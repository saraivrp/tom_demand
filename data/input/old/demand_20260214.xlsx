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1445618/Library/CloudStorage/GoogleDrive-ruipedrosaraiva@gmail.com/My Drive/dev-projects/ctt/tom_demand/data/output/"/>
    </mc:Choice>
  </mc:AlternateContent>
  <xr:revisionPtr revIDLastSave="0" documentId="13_ncr:1_{95B248C3-5282-8047-BEA1-878E58D7A9D8}" xr6:coauthVersionLast="47" xr6:coauthVersionMax="47" xr10:uidLastSave="{00000000-0000-0000-0000-000000000000}"/>
  <bookViews>
    <workbookView xWindow="0" yWindow="680" windowWidth="30240" windowHeight="18960" xr2:uid="{F159DF74-898B-9847-8C88-508D14A6C8D2}"/>
  </bookViews>
  <sheets>
    <sheet name="pivot" sheetId="2" r:id="rId1"/>
    <sheet name="demand" sheetId="1" r:id="rId2"/>
    <sheet name="refData" sheetId="4" r:id="rId3"/>
    <sheet name="demand_resp&amp;weights" sheetId="5" r:id="rId4"/>
  </sheets>
  <definedNames>
    <definedName name="_xlnm._FilterDatabase" localSheetId="1" hidden="1">demand!$A$1:$O$1</definedName>
    <definedName name="_xlnm._FilterDatabase" localSheetId="2" hidden="1">refData!$A$2:$W$2</definedName>
  </definedNames>
  <calcPr calcId="191029"/>
  <pivotCaches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O31" i="5" s="1"/>
  <c r="B81" i="5"/>
  <c r="W84" i="5" s="1"/>
  <c r="B72" i="5"/>
  <c r="O75" i="5" s="1"/>
  <c r="B63" i="5"/>
  <c r="W69" i="5" s="1"/>
  <c r="B54" i="5"/>
  <c r="W58" i="5" s="1"/>
  <c r="B34" i="5"/>
  <c r="W47" i="5" s="1"/>
  <c r="V82" i="5"/>
  <c r="R82" i="5"/>
  <c r="N82" i="5"/>
  <c r="J82" i="5"/>
  <c r="F82" i="5"/>
  <c r="B82" i="5"/>
  <c r="C81" i="5"/>
  <c r="V73" i="5"/>
  <c r="R73" i="5"/>
  <c r="N73" i="5"/>
  <c r="J73" i="5"/>
  <c r="F73" i="5"/>
  <c r="B73" i="5"/>
  <c r="C72" i="5"/>
  <c r="V64" i="5"/>
  <c r="R64" i="5"/>
  <c r="N64" i="5"/>
  <c r="J64" i="5"/>
  <c r="F64" i="5"/>
  <c r="B64" i="5"/>
  <c r="C63" i="5"/>
  <c r="V55" i="5"/>
  <c r="R55" i="5"/>
  <c r="N55" i="5"/>
  <c r="J55" i="5"/>
  <c r="F55" i="5"/>
  <c r="B55" i="5"/>
  <c r="C54" i="5"/>
  <c r="V35" i="5"/>
  <c r="R35" i="5"/>
  <c r="N35" i="5"/>
  <c r="J35" i="5"/>
  <c r="F35" i="5"/>
  <c r="B35" i="5"/>
  <c r="C34" i="5"/>
  <c r="V22" i="5"/>
  <c r="R22" i="5"/>
  <c r="N22" i="5"/>
  <c r="J22" i="5"/>
  <c r="F22" i="5"/>
  <c r="B22" i="5"/>
  <c r="C21" i="5"/>
  <c r="G28" i="5" l="1"/>
  <c r="W29" i="5"/>
  <c r="G31" i="5"/>
  <c r="C30" i="5"/>
  <c r="G23" i="5"/>
  <c r="W24" i="5"/>
  <c r="O26" i="5"/>
  <c r="G83" i="5"/>
  <c r="W87" i="5"/>
  <c r="O86" i="5"/>
  <c r="O77" i="5"/>
  <c r="G57" i="5"/>
  <c r="W75" i="5"/>
  <c r="K77" i="5"/>
  <c r="C74" i="5"/>
  <c r="K57" i="5"/>
  <c r="W78" i="5"/>
  <c r="W56" i="5"/>
  <c r="G74" i="5"/>
  <c r="S75" i="5"/>
  <c r="G77" i="5"/>
  <c r="C57" i="5"/>
  <c r="O78" i="5"/>
  <c r="S66" i="5"/>
  <c r="W66" i="5"/>
  <c r="C68" i="5"/>
  <c r="C65" i="5"/>
  <c r="G65" i="5"/>
  <c r="G66" i="5"/>
  <c r="K66" i="5"/>
  <c r="S69" i="5"/>
  <c r="W67" i="5"/>
  <c r="G68" i="5"/>
  <c r="K68" i="5"/>
  <c r="O68" i="5"/>
  <c r="G69" i="5"/>
  <c r="O69" i="5"/>
  <c r="O66" i="5"/>
  <c r="G60" i="5"/>
  <c r="K60" i="5"/>
  <c r="G59" i="5"/>
  <c r="W59" i="5"/>
  <c r="O60" i="5"/>
  <c r="K59" i="5"/>
  <c r="S60" i="5"/>
  <c r="W60" i="5"/>
  <c r="C59" i="5"/>
  <c r="O58" i="5"/>
  <c r="S58" i="5"/>
  <c r="O49" i="5"/>
  <c r="W37" i="5"/>
  <c r="G44" i="5"/>
  <c r="W50" i="5"/>
  <c r="C51" i="5"/>
  <c r="C36" i="5"/>
  <c r="C41" i="5"/>
  <c r="G46" i="5"/>
  <c r="W42" i="5"/>
  <c r="C38" i="5"/>
  <c r="K44" i="5"/>
  <c r="O44" i="5"/>
  <c r="W45" i="5"/>
  <c r="W40" i="5"/>
  <c r="G36" i="5"/>
  <c r="G41" i="5"/>
  <c r="O47" i="5"/>
  <c r="K49" i="5"/>
  <c r="G39" i="5"/>
  <c r="K39" i="5"/>
  <c r="C46" i="5"/>
  <c r="O50" i="5"/>
  <c r="O37" i="5"/>
  <c r="O42" i="5"/>
  <c r="S47" i="5"/>
  <c r="G49" i="5"/>
  <c r="O39" i="5"/>
  <c r="G51" i="5"/>
  <c r="S37" i="5"/>
  <c r="S42" i="5"/>
  <c r="S26" i="5"/>
  <c r="S31" i="5"/>
  <c r="K83" i="5"/>
  <c r="G30" i="5"/>
  <c r="W86" i="5"/>
  <c r="S39" i="5"/>
  <c r="K41" i="5"/>
  <c r="S44" i="5"/>
  <c r="C76" i="5"/>
  <c r="C87" i="5"/>
  <c r="O25" i="5"/>
  <c r="G27" i="5"/>
  <c r="W28" i="5"/>
  <c r="O30" i="5"/>
  <c r="W39" i="5"/>
  <c r="G43" i="5"/>
  <c r="W44" i="5"/>
  <c r="O46" i="5"/>
  <c r="G48" i="5"/>
  <c r="W49" i="5"/>
  <c r="O51" i="5"/>
  <c r="O57" i="5"/>
  <c r="O74" i="5"/>
  <c r="G76" i="5"/>
  <c r="W77" i="5"/>
  <c r="K65" i="5"/>
  <c r="C23" i="5"/>
  <c r="S24" i="5"/>
  <c r="K26" i="5"/>
  <c r="C28" i="5"/>
  <c r="S29" i="5"/>
  <c r="K31" i="5"/>
  <c r="K37" i="5"/>
  <c r="C39" i="5"/>
  <c r="S40" i="5"/>
  <c r="K42" i="5"/>
  <c r="C44" i="5"/>
  <c r="S45" i="5"/>
  <c r="K47" i="5"/>
  <c r="C49" i="5"/>
  <c r="S50" i="5"/>
  <c r="S56" i="5"/>
  <c r="K58" i="5"/>
  <c r="C60" i="5"/>
  <c r="C66" i="5"/>
  <c r="S67" i="5"/>
  <c r="K69" i="5"/>
  <c r="K75" i="5"/>
  <c r="C77" i="5"/>
  <c r="S78" i="5"/>
  <c r="C83" i="5"/>
  <c r="S84" i="5"/>
  <c r="K86" i="5"/>
  <c r="O23" i="5"/>
  <c r="S36" i="5"/>
  <c r="C84" i="5"/>
  <c r="S85" i="5"/>
  <c r="K87" i="5"/>
  <c r="K23" i="5"/>
  <c r="K28" i="5"/>
  <c r="S86" i="5"/>
  <c r="W26" i="5"/>
  <c r="C27" i="5"/>
  <c r="C43" i="5"/>
  <c r="S83" i="5"/>
  <c r="O36" i="5"/>
  <c r="W83" i="5"/>
  <c r="K43" i="5"/>
  <c r="K76" i="5"/>
  <c r="G24" i="5"/>
  <c r="W25" i="5"/>
  <c r="O27" i="5"/>
  <c r="G29" i="5"/>
  <c r="W30" i="5"/>
  <c r="W36" i="5"/>
  <c r="O38" i="5"/>
  <c r="G40" i="5"/>
  <c r="W41" i="5"/>
  <c r="O43" i="5"/>
  <c r="G45" i="5"/>
  <c r="W46" i="5"/>
  <c r="O48" i="5"/>
  <c r="G50" i="5"/>
  <c r="W51" i="5"/>
  <c r="G56" i="5"/>
  <c r="W57" i="5"/>
  <c r="O59" i="5"/>
  <c r="O65" i="5"/>
  <c r="G67" i="5"/>
  <c r="W68" i="5"/>
  <c r="W74" i="5"/>
  <c r="O76" i="5"/>
  <c r="G78" i="5"/>
  <c r="G84" i="5"/>
  <c r="W85" i="5"/>
  <c r="O87" i="5"/>
  <c r="C25" i="5"/>
  <c r="C85" i="5"/>
  <c r="G25" i="5"/>
  <c r="W31" i="5"/>
  <c r="G85" i="5"/>
  <c r="S23" i="5"/>
  <c r="S28" i="5"/>
  <c r="K36" i="5"/>
  <c r="K46" i="5"/>
  <c r="S49" i="5"/>
  <c r="K51" i="5"/>
  <c r="K74" i="5"/>
  <c r="S77" i="5"/>
  <c r="K85" i="5"/>
  <c r="W23" i="5"/>
  <c r="O41" i="5"/>
  <c r="O85" i="5"/>
  <c r="K38" i="5"/>
  <c r="S41" i="5"/>
  <c r="S46" i="5"/>
  <c r="C67" i="5"/>
  <c r="S68" i="5"/>
  <c r="C78" i="5"/>
  <c r="K24" i="5"/>
  <c r="C26" i="5"/>
  <c r="S27" i="5"/>
  <c r="K29" i="5"/>
  <c r="C31" i="5"/>
  <c r="C37" i="5"/>
  <c r="S38" i="5"/>
  <c r="K40" i="5"/>
  <c r="C42" i="5"/>
  <c r="S43" i="5"/>
  <c r="K45" i="5"/>
  <c r="C47" i="5"/>
  <c r="S48" i="5"/>
  <c r="K50" i="5"/>
  <c r="K56" i="5"/>
  <c r="C58" i="5"/>
  <c r="S59" i="5"/>
  <c r="S65" i="5"/>
  <c r="K67" i="5"/>
  <c r="C69" i="5"/>
  <c r="C75" i="5"/>
  <c r="S76" i="5"/>
  <c r="K78" i="5"/>
  <c r="K84" i="5"/>
  <c r="C86" i="5"/>
  <c r="S87" i="5"/>
  <c r="O28" i="5"/>
  <c r="O83" i="5"/>
  <c r="K25" i="5"/>
  <c r="K30" i="5"/>
  <c r="C48" i="5"/>
  <c r="G38" i="5"/>
  <c r="G87" i="5"/>
  <c r="C24" i="5"/>
  <c r="S25" i="5"/>
  <c r="K27" i="5"/>
  <c r="C29" i="5"/>
  <c r="S30" i="5"/>
  <c r="C40" i="5"/>
  <c r="C45" i="5"/>
  <c r="K48" i="5"/>
  <c r="C50" i="5"/>
  <c r="S51" i="5"/>
  <c r="C56" i="5"/>
  <c r="S57" i="5"/>
  <c r="S74" i="5"/>
  <c r="O24" i="5"/>
  <c r="G26" i="5"/>
  <c r="W27" i="5"/>
  <c r="O29" i="5"/>
  <c r="G37" i="5"/>
  <c r="W38" i="5"/>
  <c r="O40" i="5"/>
  <c r="G42" i="5"/>
  <c r="W43" i="5"/>
  <c r="O45" i="5"/>
  <c r="G47" i="5"/>
  <c r="W48" i="5"/>
  <c r="O56" i="5"/>
  <c r="G58" i="5"/>
  <c r="W65" i="5"/>
  <c r="O67" i="5"/>
  <c r="G75" i="5"/>
  <c r="W76" i="5"/>
  <c r="O84" i="5"/>
  <c r="G86" i="5"/>
  <c r="D198" i="4" l="1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L38" i="4"/>
  <c r="D38" i="4"/>
  <c r="L37" i="4"/>
  <c r="D37" i="4"/>
  <c r="L36" i="4"/>
  <c r="D36" i="4"/>
  <c r="L35" i="4"/>
  <c r="D35" i="4"/>
  <c r="L34" i="4"/>
  <c r="D34" i="4"/>
  <c r="L33" i="4"/>
  <c r="D33" i="4"/>
  <c r="L32" i="4"/>
  <c r="D32" i="4"/>
  <c r="L31" i="4"/>
  <c r="D31" i="4"/>
  <c r="L30" i="4"/>
  <c r="D30" i="4"/>
  <c r="L29" i="4"/>
  <c r="D29" i="4"/>
  <c r="L28" i="4"/>
  <c r="D28" i="4"/>
  <c r="L27" i="4"/>
  <c r="D27" i="4"/>
  <c r="L26" i="4"/>
  <c r="D26" i="4"/>
  <c r="L25" i="4"/>
  <c r="D25" i="4"/>
  <c r="L24" i="4"/>
  <c r="D24" i="4"/>
  <c r="L23" i="4"/>
  <c r="D23" i="4"/>
  <c r="L22" i="4"/>
  <c r="D22" i="4"/>
  <c r="L21" i="4"/>
  <c r="D21" i="4"/>
  <c r="L20" i="4"/>
  <c r="D20" i="4"/>
  <c r="L19" i="4"/>
  <c r="D19" i="4"/>
  <c r="L18" i="4"/>
  <c r="D18" i="4"/>
  <c r="L17" i="4"/>
  <c r="D17" i="4"/>
  <c r="L16" i="4"/>
  <c r="D16" i="4"/>
  <c r="L15" i="4"/>
  <c r="D15" i="4"/>
  <c r="L14" i="4"/>
  <c r="D14" i="4"/>
  <c r="L13" i="4"/>
  <c r="D13" i="4"/>
  <c r="L12" i="4"/>
  <c r="D12" i="4"/>
  <c r="V11" i="4" a="1"/>
  <c r="V11" i="4" s="1"/>
  <c r="L11" i="4"/>
  <c r="D11" i="4"/>
  <c r="V10" i="4" a="1"/>
  <c r="V10" i="4" s="1"/>
  <c r="L10" i="4"/>
  <c r="D10" i="4"/>
  <c r="V9" i="4" a="1"/>
  <c r="V9" i="4" s="1"/>
  <c r="L9" i="4"/>
  <c r="D9" i="4"/>
  <c r="V8" i="4" a="1"/>
  <c r="V8" i="4" s="1"/>
  <c r="L8" i="4"/>
  <c r="D8" i="4"/>
  <c r="V7" i="4" a="1"/>
  <c r="V7" i="4" s="1"/>
  <c r="L7" i="4"/>
  <c r="D7" i="4"/>
  <c r="V6" i="4" a="1"/>
  <c r="V6" i="4" s="1"/>
  <c r="L6" i="4"/>
  <c r="D6" i="4"/>
  <c r="V5" i="4" a="1"/>
  <c r="V5" i="4" s="1"/>
  <c r="L5" i="4"/>
  <c r="D5" i="4"/>
  <c r="V4" i="4" a="1"/>
  <c r="V4" i="4" s="1"/>
  <c r="L4" i="4"/>
  <c r="D4" i="4"/>
  <c r="V3" i="4" a="1"/>
  <c r="V3" i="4" s="1"/>
  <c r="P3" i="4"/>
  <c r="L3" i="4"/>
  <c r="D3" i="4"/>
  <c r="F189" i="4" l="1"/>
  <c r="E189" i="4" s="1"/>
  <c r="F50" i="4"/>
  <c r="F154" i="4"/>
  <c r="F104" i="4"/>
  <c r="F64" i="4"/>
  <c r="F100" i="4"/>
  <c r="F18" i="4"/>
  <c r="F54" i="4"/>
  <c r="F74" i="4"/>
  <c r="E74" i="4" s="1"/>
  <c r="F124" i="4"/>
  <c r="E124" i="4" s="1"/>
  <c r="F204" i="4"/>
  <c r="E204" i="4" s="1"/>
  <c r="F10" i="4"/>
  <c r="E10" i="4" s="1"/>
  <c r="F23" i="4"/>
  <c r="F68" i="4"/>
  <c r="E68" i="4" s="1"/>
  <c r="F113" i="4"/>
  <c r="E113" i="4" s="1"/>
  <c r="F135" i="4"/>
  <c r="F15" i="4"/>
  <c r="E15" i="4" s="1"/>
  <c r="F12" i="4"/>
  <c r="F17" i="4"/>
  <c r="E17" i="4" s="1"/>
  <c r="F22" i="4"/>
  <c r="E22" i="4" s="1"/>
  <c r="F27" i="4"/>
  <c r="E27" i="4" s="1"/>
  <c r="F32" i="4"/>
  <c r="E32" i="4" s="1"/>
  <c r="F37" i="4"/>
  <c r="E37" i="4" s="1"/>
  <c r="F43" i="4"/>
  <c r="F77" i="4"/>
  <c r="E77" i="4" s="1"/>
  <c r="F94" i="4"/>
  <c r="E94" i="4" s="1"/>
  <c r="E100" i="4"/>
  <c r="F111" i="4"/>
  <c r="E111" i="4" s="1"/>
  <c r="F127" i="4"/>
  <c r="E127" i="4" s="1"/>
  <c r="F144" i="4"/>
  <c r="E144" i="4" s="1"/>
  <c r="F161" i="4"/>
  <c r="E161" i="4" s="1"/>
  <c r="F174" i="4"/>
  <c r="E174" i="4" s="1"/>
  <c r="F179" i="4"/>
  <c r="E179" i="4" s="1"/>
  <c r="F40" i="4"/>
  <c r="E40" i="4" s="1"/>
  <c r="F53" i="4"/>
  <c r="E53" i="4" s="1"/>
  <c r="F63" i="4"/>
  <c r="F73" i="4"/>
  <c r="E73" i="4" s="1"/>
  <c r="F78" i="4"/>
  <c r="E78" i="4" s="1"/>
  <c r="F89" i="4"/>
  <c r="E89" i="4" s="1"/>
  <c r="F95" i="4"/>
  <c r="F123" i="4"/>
  <c r="E123" i="4" s="1"/>
  <c r="F128" i="4"/>
  <c r="E128" i="4" s="1"/>
  <c r="F139" i="4"/>
  <c r="E139" i="4" s="1"/>
  <c r="F145" i="4"/>
  <c r="F150" i="4"/>
  <c r="E150" i="4" s="1"/>
  <c r="F167" i="4"/>
  <c r="E167" i="4" s="1"/>
  <c r="F193" i="4"/>
  <c r="F4" i="4"/>
  <c r="E4" i="4" s="1"/>
  <c r="F9" i="4"/>
  <c r="E9" i="4" s="1"/>
  <c r="F47" i="4"/>
  <c r="E47" i="4" s="1"/>
  <c r="F57" i="4"/>
  <c r="E57" i="4" s="1"/>
  <c r="E63" i="4"/>
  <c r="F67" i="4"/>
  <c r="E67" i="4" s="1"/>
  <c r="F84" i="4"/>
  <c r="E84" i="4" s="1"/>
  <c r="F101" i="4"/>
  <c r="E101" i="4" s="1"/>
  <c r="F117" i="4"/>
  <c r="E117" i="4" s="1"/>
  <c r="F134" i="4"/>
  <c r="E134" i="4" s="1"/>
  <c r="F151" i="4"/>
  <c r="E151" i="4" s="1"/>
  <c r="F168" i="4"/>
  <c r="F175" i="4"/>
  <c r="F180" i="4"/>
  <c r="E180" i="4" s="1"/>
  <c r="F194" i="4"/>
  <c r="E194" i="4" s="1"/>
  <c r="F20" i="4"/>
  <c r="E20" i="4" s="1"/>
  <c r="F25" i="4"/>
  <c r="E25" i="4" s="1"/>
  <c r="F30" i="4"/>
  <c r="E30" i="4" s="1"/>
  <c r="F35" i="4"/>
  <c r="E35" i="4" s="1"/>
  <c r="F41" i="4"/>
  <c r="E54" i="4"/>
  <c r="E64" i="4"/>
  <c r="F91" i="4"/>
  <c r="E91" i="4" s="1"/>
  <c r="F107" i="4"/>
  <c r="E107" i="4" s="1"/>
  <c r="F141" i="4"/>
  <c r="E141" i="4" s="1"/>
  <c r="F157" i="4"/>
  <c r="E157" i="4" s="1"/>
  <c r="F164" i="4"/>
  <c r="E164" i="4" s="1"/>
  <c r="F169" i="4"/>
  <c r="E169" i="4" s="1"/>
  <c r="F188" i="4"/>
  <c r="F195" i="4"/>
  <c r="F38" i="4"/>
  <c r="E38" i="4" s="1"/>
  <c r="F85" i="4"/>
  <c r="F13" i="4"/>
  <c r="E13" i="4" s="1"/>
  <c r="F49" i="4"/>
  <c r="E49" i="4" s="1"/>
  <c r="F59" i="4"/>
  <c r="E59" i="4" s="1"/>
  <c r="F69" i="4"/>
  <c r="E69" i="4" s="1"/>
  <c r="F75" i="4"/>
  <c r="F80" i="4"/>
  <c r="E80" i="4" s="1"/>
  <c r="F103" i="4"/>
  <c r="E103" i="4" s="1"/>
  <c r="F108" i="4"/>
  <c r="E108" i="4" s="1"/>
  <c r="F119" i="4"/>
  <c r="E119" i="4" s="1"/>
  <c r="F125" i="4"/>
  <c r="E125" i="4" s="1"/>
  <c r="F130" i="4"/>
  <c r="E130" i="4" s="1"/>
  <c r="F153" i="4"/>
  <c r="E153" i="4" s="1"/>
  <c r="F158" i="4"/>
  <c r="F183" i="4"/>
  <c r="E183" i="4"/>
  <c r="F44" i="4"/>
  <c r="E44" i="4" s="1"/>
  <c r="F163" i="4"/>
  <c r="E163" i="4" s="1"/>
  <c r="F3" i="4"/>
  <c r="E3" i="4" s="1"/>
  <c r="F45" i="4"/>
  <c r="F97" i="4"/>
  <c r="E97" i="4" s="1"/>
  <c r="F114" i="4"/>
  <c r="E114" i="4" s="1"/>
  <c r="F131" i="4"/>
  <c r="E131" i="4" s="1"/>
  <c r="F147" i="4"/>
  <c r="E147" i="4" s="1"/>
  <c r="F165" i="4"/>
  <c r="F170" i="4"/>
  <c r="E170" i="4" s="1"/>
  <c r="F184" i="4"/>
  <c r="F28" i="4"/>
  <c r="E28" i="4" s="1"/>
  <c r="F48" i="4"/>
  <c r="E48" i="4" s="1"/>
  <c r="F118" i="4"/>
  <c r="E118" i="4"/>
  <c r="F140" i="4"/>
  <c r="E140" i="4" s="1"/>
  <c r="F187" i="4"/>
  <c r="E187" i="4" s="1"/>
  <c r="E18" i="4"/>
  <c r="F8" i="4"/>
  <c r="E8" i="4" s="1"/>
  <c r="F202" i="4"/>
  <c r="E202" i="4" s="1"/>
  <c r="F201" i="4"/>
  <c r="E201" i="4" s="1"/>
  <c r="F106" i="4"/>
  <c r="E106" i="4" s="1"/>
  <c r="F96" i="4"/>
  <c r="E96" i="4" s="1"/>
  <c r="F86" i="4"/>
  <c r="E86" i="4" s="1"/>
  <c r="F76" i="4"/>
  <c r="E76" i="4" s="1"/>
  <c r="F126" i="4"/>
  <c r="E126" i="4" s="1"/>
  <c r="F55" i="4"/>
  <c r="F16" i="4"/>
  <c r="E16" i="4" s="1"/>
  <c r="F21" i="4"/>
  <c r="E21" i="4" s="1"/>
  <c r="F26" i="4"/>
  <c r="E26" i="4" s="1"/>
  <c r="F31" i="4"/>
  <c r="E31" i="4" s="1"/>
  <c r="F36" i="4"/>
  <c r="E36" i="4" s="1"/>
  <c r="F42" i="4"/>
  <c r="E42" i="4" s="1"/>
  <c r="F60" i="4"/>
  <c r="E60" i="4" s="1"/>
  <c r="F70" i="4"/>
  <c r="E70" i="4" s="1"/>
  <c r="F93" i="4"/>
  <c r="E93" i="4" s="1"/>
  <c r="F98" i="4"/>
  <c r="E98" i="4" s="1"/>
  <c r="E104" i="4"/>
  <c r="F109" i="4"/>
  <c r="E109" i="4" s="1"/>
  <c r="F115" i="4"/>
  <c r="F120" i="4"/>
  <c r="E120" i="4" s="1"/>
  <c r="F143" i="4"/>
  <c r="E143" i="4" s="1"/>
  <c r="F148" i="4"/>
  <c r="E148" i="4" s="1"/>
  <c r="E154" i="4"/>
  <c r="F159" i="4"/>
  <c r="E159" i="4" s="1"/>
  <c r="F171" i="4"/>
  <c r="E171" i="4" s="1"/>
  <c r="F177" i="4"/>
  <c r="E177" i="4" s="1"/>
  <c r="E184" i="4"/>
  <c r="F79" i="4"/>
  <c r="E79" i="4" s="1"/>
  <c r="F129" i="4"/>
  <c r="E129" i="4" s="1"/>
  <c r="F19" i="4"/>
  <c r="F34" i="4"/>
  <c r="F39" i="4"/>
  <c r="E39" i="4" s="1"/>
  <c r="F51" i="4"/>
  <c r="E51" i="4" s="1"/>
  <c r="F61" i="4"/>
  <c r="E61" i="4" s="1"/>
  <c r="F71" i="4"/>
  <c r="E71" i="4" s="1"/>
  <c r="F87" i="4"/>
  <c r="E87" i="4" s="1"/>
  <c r="F121" i="4"/>
  <c r="E121" i="4" s="1"/>
  <c r="F137" i="4"/>
  <c r="E137" i="4" s="1"/>
  <c r="F178" i="4"/>
  <c r="F185" i="4"/>
  <c r="E185" i="4" s="1"/>
  <c r="F190" i="4"/>
  <c r="E190" i="4" s="1"/>
  <c r="F197" i="4"/>
  <c r="E197" i="4" s="1"/>
  <c r="F33" i="4"/>
  <c r="E33" i="4" s="1"/>
  <c r="F58" i="4"/>
  <c r="E58" i="4" s="1"/>
  <c r="F90" i="4"/>
  <c r="E90" i="4" s="1"/>
  <c r="F181" i="4"/>
  <c r="E181" i="4" s="1"/>
  <c r="E23" i="4"/>
  <c r="F11" i="4"/>
  <c r="E11" i="4" s="1"/>
  <c r="E50" i="4"/>
  <c r="F65" i="4"/>
  <c r="F81" i="4"/>
  <c r="E81" i="4" s="1"/>
  <c r="F14" i="4"/>
  <c r="E14" i="4" s="1"/>
  <c r="F24" i="4"/>
  <c r="F29" i="4"/>
  <c r="E29" i="4" s="1"/>
  <c r="F5" i="4"/>
  <c r="E5" i="4" s="1"/>
  <c r="E12" i="4"/>
  <c r="F46" i="4"/>
  <c r="E46" i="4" s="1"/>
  <c r="F56" i="4"/>
  <c r="E56" i="4" s="1"/>
  <c r="F66" i="4"/>
  <c r="E66" i="4" s="1"/>
  <c r="F83" i="4"/>
  <c r="E83" i="4" s="1"/>
  <c r="F88" i="4"/>
  <c r="E88" i="4" s="1"/>
  <c r="F99" i="4"/>
  <c r="E99" i="4" s="1"/>
  <c r="F105" i="4"/>
  <c r="E105" i="4" s="1"/>
  <c r="F110" i="4"/>
  <c r="E110" i="4" s="1"/>
  <c r="F133" i="4"/>
  <c r="E133" i="4" s="1"/>
  <c r="F138" i="4"/>
  <c r="E138" i="4" s="1"/>
  <c r="F149" i="4"/>
  <c r="E149" i="4" s="1"/>
  <c r="F155" i="4"/>
  <c r="E155" i="4" s="1"/>
  <c r="F160" i="4"/>
  <c r="E160" i="4" s="1"/>
  <c r="F173" i="4"/>
  <c r="E173" i="4" s="1"/>
  <c r="E191" i="4"/>
  <c r="F191" i="4"/>
  <c r="F198" i="4"/>
  <c r="E198" i="4" s="1"/>
  <c r="F116" i="4"/>
  <c r="E116" i="4" s="1"/>
  <c r="F136" i="4"/>
  <c r="E136" i="4" s="1"/>
  <c r="F146" i="4"/>
  <c r="E146" i="4" s="1"/>
  <c r="F156" i="4"/>
  <c r="E156" i="4" s="1"/>
  <c r="F166" i="4"/>
  <c r="E166" i="4" s="1"/>
  <c r="F176" i="4"/>
  <c r="E176" i="4" s="1"/>
  <c r="F186" i="4"/>
  <c r="E186" i="4" s="1"/>
  <c r="E193" i="4"/>
  <c r="F196" i="4"/>
  <c r="E196" i="4" s="1"/>
  <c r="F200" i="4"/>
  <c r="E200" i="4" s="1"/>
  <c r="E158" i="4"/>
  <c r="E168" i="4"/>
  <c r="E178" i="4"/>
  <c r="E188" i="4"/>
  <c r="E19" i="4"/>
  <c r="E24" i="4"/>
  <c r="E34" i="4"/>
  <c r="E41" i="4"/>
  <c r="E43" i="4"/>
  <c r="E45" i="4"/>
  <c r="E55" i="4"/>
  <c r="E65" i="4"/>
  <c r="E75" i="4"/>
  <c r="E85" i="4"/>
  <c r="E95" i="4"/>
  <c r="E115" i="4"/>
  <c r="E135" i="4"/>
  <c r="E145" i="4"/>
  <c r="E165" i="4"/>
  <c r="E175" i="4"/>
  <c r="E195" i="4"/>
  <c r="F203" i="4"/>
  <c r="E203" i="4" s="1"/>
  <c r="F7" i="4"/>
  <c r="E7" i="4" s="1"/>
  <c r="F6" i="4"/>
  <c r="E6" i="4" s="1"/>
  <c r="F52" i="4"/>
  <c r="E52" i="4" s="1"/>
  <c r="F62" i="4"/>
  <c r="E62" i="4" s="1"/>
  <c r="F72" i="4"/>
  <c r="E72" i="4" s="1"/>
  <c r="F82" i="4"/>
  <c r="E82" i="4" s="1"/>
  <c r="F92" i="4"/>
  <c r="E92" i="4" s="1"/>
  <c r="F102" i="4"/>
  <c r="E102" i="4" s="1"/>
  <c r="F112" i="4"/>
  <c r="E112" i="4" s="1"/>
  <c r="F122" i="4"/>
  <c r="E122" i="4" s="1"/>
  <c r="F132" i="4"/>
  <c r="E132" i="4" s="1"/>
  <c r="F142" i="4"/>
  <c r="E142" i="4" s="1"/>
  <c r="F152" i="4"/>
  <c r="E152" i="4" s="1"/>
  <c r="F162" i="4"/>
  <c r="E162" i="4" s="1"/>
  <c r="F172" i="4"/>
  <c r="E172" i="4" s="1"/>
  <c r="F182" i="4"/>
  <c r="E182" i="4" s="1"/>
  <c r="F192" i="4"/>
  <c r="E192" i="4" s="1"/>
  <c r="F199" i="4"/>
  <c r="E199" i="4" s="1"/>
  <c r="P953" i="1" l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<sst xmlns="http://schemas.openxmlformats.org/spreadsheetml/2006/main" count="7597" uniqueCount="1085">
  <si>
    <t>Queue</t>
  </si>
  <si>
    <t>Method</t>
  </si>
  <si>
    <t>GlobalRank</t>
  </si>
  <si>
    <t>ID</t>
  </si>
  <si>
    <t>Name</t>
  </si>
  <si>
    <t>RequestingArea</t>
  </si>
  <si>
    <t>RevenueStream</t>
  </si>
  <si>
    <t>BudgetGroup</t>
  </si>
  <si>
    <t>MicroPhase</t>
  </si>
  <si>
    <t>PriorityRA</t>
  </si>
  <si>
    <t>WSJF_Score</t>
  </si>
  <si>
    <t>Value</t>
  </si>
  <si>
    <t>Urgency</t>
  </si>
  <si>
    <t>Risk</t>
  </si>
  <si>
    <t>Size</t>
  </si>
  <si>
    <t>LATER</t>
  </si>
  <si>
    <t>Nuevos desarrollos Normalizaci√õn de direcciones</t>
  </si>
  <si>
    <t>COO</t>
  </si>
  <si>
    <t>eCommerce</t>
  </si>
  <si>
    <t>Operations</t>
  </si>
  <si>
    <t>In Definition</t>
  </si>
  <si>
    <t>SOC  - operacionaliza√Å‚Äûo do servi√Åo</t>
  </si>
  <si>
    <t>CISO</t>
  </si>
  <si>
    <t>Mail</t>
  </si>
  <si>
    <t>Ready for Solution</t>
  </si>
  <si>
    <t>Desenvolvimentos CNE no ‚Äömbito do Correio Inteligente</t>
  </si>
  <si>
    <t>GP B2B</t>
  </si>
  <si>
    <t>Business Solutions</t>
  </si>
  <si>
    <t>Commercial</t>
  </si>
  <si>
    <t>Backlog</t>
  </si>
  <si>
    <t>Log√åstica - Utiliza√Å‚Äûo de Porta Paletes Aut√õnomos</t>
  </si>
  <si>
    <t>EDO</t>
  </si>
  <si>
    <t>Fulfilment</t>
  </si>
  <si>
    <t>Nexus - Piloto Operacional Fase 2</t>
  </si>
  <si>
    <t>Gera√Å‚Äûo de ficheiro excel com dados NEV</t>
  </si>
  <si>
    <t>GPG</t>
  </si>
  <si>
    <t>Payments</t>
  </si>
  <si>
    <t>Github Migration - Aplica√Åƒ±es Canais Digitais</t>
  </si>
  <si>
    <t>SI</t>
  </si>
  <si>
    <t>Technology</t>
  </si>
  <si>
    <t>GPB2C | Parceria Unic‚Äömbio - Operacionaliza√Å‚Äûo de servi√Åo de cambio</t>
  </si>
  <si>
    <t>GP B2C</t>
  </si>
  <si>
    <t>Retail &amp; Financial Services</t>
  </si>
  <si>
    <t>Desconexi√õn de SGC - Definici√õn del RoadMap</t>
  </si>
  <si>
    <t>CIO</t>
  </si>
  <si>
    <t>Correio Inteligente - Alarm√åstica</t>
  </si>
  <si>
    <t>DLP (Data Loss Prevention) - Wave 1</t>
  </si>
  <si>
    <t>Modelo de Dados de apoio aos indicadores de Logistica</t>
  </si>
  <si>
    <t>SEO</t>
  </si>
  <si>
    <t>CCP | OTP | Rebuild application in the current tech stack</t>
  </si>
  <si>
    <t>Configura√Å‚Äûo SAP para Introdu√Å‚Äûo de IBANs da regi‚Äûo SEPA</t>
  </si>
  <si>
    <t>DSD | Criar as Listas de Correio Registado e de EMS em Simult‚Äöneo</t>
  </si>
  <si>
    <t>Correio Inteligente - FTP para P&amp;F</t>
  </si>
  <si>
    <t>Reconciliaci√õn bancaria de Cobros por tarjeta y Bizum</t>
  </si>
  <si>
    <t>CFO</t>
  </si>
  <si>
    <t>Corporate</t>
  </si>
  <si>
    <t>High Level Design</t>
  </si>
  <si>
    <t>Desmaterializa√Å‚Äûo Documentos Multicare</t>
  </si>
  <si>
    <t>GS</t>
  </si>
  <si>
    <t>Implementa√Å‚Äûo de modulo de Planeamento de Transportes em Drivian e Descontinua√Å‚Äûo do Sigest</t>
  </si>
  <si>
    <t>Expansi√õn de lectura en contenedores (Propios y de clientes)</t>
  </si>
  <si>
    <t>Migrar os documentos do viactt para Filenet</t>
  </si>
  <si>
    <t>SI-PRD</t>
  </si>
  <si>
    <t>Fatura√Å‚Äûo de Cliente Ocasional - SAP</t>
  </si>
  <si>
    <t>Servidor  Decisƒ±es: Update automatico para a nova vers‚Äûo ODM</t>
  </si>
  <si>
    <t>Plano de forma√Å‚Äûo (global e board)</t>
  </si>
  <si>
    <t>Implementa√Å‚Äûo do software da Western Union (WUPOS) em NAVe e integra√Å‚Äûo com todos os sistemas centrais</t>
  </si>
  <si>
    <t>[Salesforce Sales] - Multi oportunidad en Cuentas</t>
  </si>
  <si>
    <t>CCO</t>
  </si>
  <si>
    <t>Avalia√Å‚Äûo do custo de extens‚Äûo do licenciamento atual para a utiliza√Å‚Äûo do servi√Åo webhook - BKTER</t>
  </si>
  <si>
    <t>DeMinimis EUA - Solu√Å‚Äûo para retomar os envios de Bens para os EUA para os clientes n‚Äûo contratuais</t>
  </si>
  <si>
    <t>M√õdulo de Compliance Payshop</t>
  </si>
  <si>
    <t>[Nexus Piloto Operacional] [P&amp;S] Mapeo productos y servicios adicionales para manifiestos flujo PT-&gt;PT</t>
  </si>
  <si>
    <t>CMO</t>
  </si>
  <si>
    <t>In Solution</t>
  </si>
  <si>
    <t>Moneyball - Gest‚Äûo de Consentimentos</t>
  </si>
  <si>
    <t>Servi√Åo de envio de emails sediado na europa</t>
  </si>
  <si>
    <t>Nexus | P&amp;S | Implementa√Å‚Äûo da oferta ib√àrica</t>
  </si>
  <si>
    <t>GP ECL</t>
  </si>
  <si>
    <t>Fornecimentos autom¬∑ticos de material vend¬∑vel ‚Ä°s lojas</t>
  </si>
  <si>
    <t>Downgrade 1.200 / 4.186 Microsoft O365 E5 licences (local) to O365 F3 (web) [1/2 year]</t>
  </si>
  <si>
    <t>Altera√Åƒ±es nos Relat√õrios do DEM para pagamentos MB WAY</t>
  </si>
  <si>
    <t>Entrega em pontos para a cainiao</t>
  </si>
  <si>
    <t>Pitch</t>
  </si>
  <si>
    <t>Cliente EDP - WS P&amp;F- Novo Campo Data</t>
  </si>
  <si>
    <t>DART Team - Recomenda√Åƒ±es CTT</t>
  </si>
  <si>
    <t>[Tech] Integraci√õn eventos desde CTT PT? [Nexus Fase 2]</t>
  </si>
  <si>
    <t>Novo Cat¬∑logo de Aplica√Åƒ±es (Atlas 2.0)</t>
  </si>
  <si>
    <t>Ready for Approval</t>
  </si>
  <si>
    <t>GENAI- Rossum</t>
  </si>
  <si>
    <t>CF</t>
  </si>
  <si>
    <t>Revamp ViaCTT √± 2‚Ñ¢ Fase</t>
  </si>
  <si>
    <t>Pay I Cartƒ±es e Terminais incremento 2</t>
  </si>
  <si>
    <t>GCA - Aforro upgrade Oracle</t>
  </si>
  <si>
    <t>[Nexus Piloto Operacional] [We Serve] Puesta en marcha Fase 2 del Piloto Operacional con el flujo de env√åos PT-PT</t>
  </si>
  <si>
    <t>Migrate Azure Devops to Github Repos and Github Actions - Data repos</t>
  </si>
  <si>
    <t>PC</t>
  </si>
  <si>
    <t>Substitui√Å‚Äûo da aplica√Å‚Äûo de fatura√Å‚Äûo do P&amp;F</t>
  </si>
  <si>
    <t>Tratamento de rejeitados no SD - Eliminar pr√à-avisos com CP ficticios (BG4)</t>
  </si>
  <si>
    <t>Prote√Å‚Äûo Avan√Åada para a Interface do PayByLink</t>
  </si>
  <si>
    <t>Alargamento Infraestrutura  SI a outros sistemas desenvolvidos por EDO</t>
  </si>
  <si>
    <t>M¬∑quina vending machines: Associa√Å‚Äûo de Receita, Fatura√Å‚Äûo e gest‚Äûo de stock</t>
  </si>
  <si>
    <t>Stack Observabilidad Ib√àrico</t>
  </si>
  <si>
    <t>WebService GEO Subscri√Å‚Äûo, Relat√õrios e Alertas</t>
  </si>
  <si>
    <t>Evolu√Å‚Äûo Modelo de Incentivos Distribui√Å‚Äûo</t>
  </si>
  <si>
    <t>Nueva Herramienta de Verificaci√õn de Pagos TEMU (App)</t>
  </si>
  <si>
    <t>Indicadores para Planeamento e Controlo (transa√Åƒ±es manuais)</t>
  </si>
  <si>
    <t>Cyber attack simulation Table-top</t>
  </si>
  <si>
    <t>PEF - Descontinua√Å‚Äûo da utiliza√Å‚Äûo do FTP</t>
  </si>
  <si>
    <t>Acciones para evitar la duplicidad de recogidas de clientes v2</t>
  </si>
  <si>
    <t>GP B2C √± BO Site CTT - Simulador Certificados de Aforro / App CTT √± Aforro Digital</t>
  </si>
  <si>
    <t>ODIN | Iberian Observability Stack</t>
  </si>
  <si>
    <t>Incremento ao Safeplace CTT</t>
  </si>
  <si>
    <t>Melhorias ao processo de envio de comunica√Åƒ±es da Zurich</t>
  </si>
  <si>
    <t>POP - Melhorias a OnBoarding de clientes</t>
  </si>
  <si>
    <t>[Qlik] - Gesti√õn de oportunidades - Hito semanal por comercial disponible</t>
  </si>
  <si>
    <t>Defini√Å‚Äûo de modelo de governo para gest‚Äûo de seguran√Åa da informa√Å‚Äûo, compliance e gest‚Äûo de risco</t>
  </si>
  <si>
    <t>Apresenta√Å‚Äûo Imagens BOL LCD LOJAS</t>
  </si>
  <si>
    <t>[Nuevo Producto]-[Minerva]-Producto 48h a Islas Canarias</t>
  </si>
  <si>
    <t>Paperless - Guia expresso passar de 3 vias para 2, em apenas uma p¬∑gina</t>
  </si>
  <si>
    <t>Teleponto / Dol - Registo de situa√Åƒ±es de doen√Åas</t>
  </si>
  <si>
    <t>Onboarding POP - retifica√Å‚Äûo de interface de cria√Å‚Äûo de entidade</t>
  </si>
  <si>
    <t>Nexus | P&amp;S | Collectt (OOH)</t>
  </si>
  <si>
    <t>INTERNACIONAL | IPS  Instalar a vers‚Äûo do package #19 (technical version 13.1.19)</t>
  </si>
  <si>
    <t>Descontinua√Å‚Äûo Doxenter - Wave 2</t>
  </si>
  <si>
    <t>Galaxy - Jornada de envios √± Push recolha destinat¬∑rio</t>
  </si>
  <si>
    <t>Pagamento de Vales Nacionais e Internacionais - Finaliza√Å‚Äûo do pagamento apenas ap√õs procedimentos de RCTO conclu√ådos</t>
  </si>
  <si>
    <t>Controlo de correio JPP</t>
  </si>
  <si>
    <t>Coimas - Configura√Å‚Äûo /Mapeamentos SAP</t>
  </si>
  <si>
    <t>Crear entornos no productivos</t>
  </si>
  <si>
    <t>Evolu√Å‚Äûo tecnol√õgica do PIAO</t>
  </si>
  <si>
    <t>Liquida√Å‚Äûo de  objetos CTT  ‚Ä° cobran√Åa</t>
  </si>
  <si>
    <t>Actualizaci√õn Plan C</t>
  </si>
  <si>
    <t>Tratamento de rejeitados no SD - Tipificar, isolar e informar (BG1): Incremento</t>
  </si>
  <si>
    <t>Defini√Å‚Äûo de Pol√åtica de Gest‚Äûo de Risco Cyber</t>
  </si>
  <si>
    <t>Descontinua√Å‚Äûo do PIPOLI</t>
  </si>
  <si>
    <t>Automatiza√Å‚Äûo Revis‚Äûo Alertas AML  (Payshop)</t>
  </si>
  <si>
    <t>Novos Canais | Assegurar a liquida√Å‚Äûo autom¬∑tica das faturas de campanhas Outbound</t>
  </si>
  <si>
    <t>Incremento ao projeto LFT -  Volume certificado e n‚Äûo certificado</t>
  </si>
  <si>
    <t>EM</t>
  </si>
  <si>
    <t>Cria√Å‚Äûo de novo agente AI para valida√Å‚Äûo de c√õdigo obsoleto</t>
  </si>
  <si>
    <t>Base Dados Modelo de Incentivos CTT Expresso</t>
  </si>
  <si>
    <t>Sites CTT e Payshop | Inclus‚Äûo dos Agentes Payshop na pesquisa de Pontos de Contacto CTT</t>
  </si>
  <si>
    <t>Seguran√Åa da Informa√Å‚Äûo - revis‚Äûo anual 2025 de Pol√åticas e Normativos</t>
  </si>
  <si>
    <t>GPB2C | Apartados - Adapta√Å‚Äûo Tecnologia Locky e Otimiza√Å‚Äûo de Recolha de Dados</t>
  </si>
  <si>
    <t>[SAP] - Vincular Docuware a SAP</t>
  </si>
  <si>
    <t>GENAI-NBanks</t>
  </si>
  <si>
    <t>Nexus | We Serve - Integraci√õn eventos desde CTT PT?</t>
  </si>
  <si>
    <t>SI-OPS</t>
  </si>
  <si>
    <t>Altera√Å‚Äûo Canal Produtos Pagamentos B2C</t>
  </si>
  <si>
    <t>revamp.EPM - Framework CPM 360 Full Scope (Non Core)</t>
  </si>
  <si>
    <t>Cria√Å‚Äûo de chatbot no portal ctt expresso</t>
  </si>
  <si>
    <t>GP B2C-Automatiza√Å‚Äûo da fatura√Å‚Äûo APIN</t>
  </si>
  <si>
    <t>Moderniza√Å‚Äûo do Processo de Devolu√Å‚Äûo √± Fim dos Carimbos usados no CDP</t>
  </si>
  <si>
    <t>API Clientes - Authorization</t>
  </si>
  <si>
    <t>[Nexus Piloto Operacional] [We Serve] Incremento de env√åos en Piloto y despliegue Nexus</t>
  </si>
  <si>
    <t>Atendimento a nova Regula√Å‚Äûo aduaneiro de simplifica√Å‚Äûo da exporta√Å‚Äûo (SIMPLEX EXPORTA¬´‚àöO)</t>
  </si>
  <si>
    <t>GPB2C | Inibi√Å‚Äûo de Pagamentos a Entidades Coletivas Singulares no Nave e no STA</t>
  </si>
  <si>
    <t>[Projeto One Million] Redu√Å‚Äûo backlog objetos expresso</t>
  </si>
  <si>
    <t>Github Migration - ParcelInfo</t>
  </si>
  <si>
    <t>[SGC] - L√õgica de aplicaci√õn de perfil tarifario a nuevos centros en SGC</t>
  </si>
  <si>
    <t>DLP (Data Loss Prevention) - Wave 2</t>
  </si>
  <si>
    <t>[PUDOS] - Herramienta para orden de recogidas en PUDOS</t>
  </si>
  <si>
    <t>B2C NAVe | GP B2C-Valida√Å‚Äûo da data de Voo com a AT - Subsidio de Mobilidade</t>
  </si>
  <si>
    <t>BCTT - Relat√õrio Sendgrid</t>
  </si>
  <si>
    <t>BCTT</t>
  </si>
  <si>
    <t>Morada virtual | Servi√Åo de subscri√Å‚Äûo</t>
  </si>
  <si>
    <t>MobiCTT - Migra√Å‚Äûo de Pipelines ADO2Github</t>
  </si>
  <si>
    <t>Novo Aceita√Å‚Äûo imediata de objetos expresso em lockerProjeto</t>
  </si>
  <si>
    <t>[Desconexi√õn SGC] Cierre diario: Liquidaci√õn de portes debidos y reembolsos</t>
  </si>
  <si>
    <t>Cria√Å‚Äûo de chatbot no super portal</t>
  </si>
  <si>
    <t>GPB2C | Subsidio Social de Mobilidade - Recomenda√Åƒ±es de Auditoria (N‚à´ 21001/23)</t>
  </si>
  <si>
    <t>Tratamento de rejeitados no SD - Entrada de pr√à-aviso p√õs primeira passagem do objeto na rede de tratamento (BG3)</t>
  </si>
  <si>
    <t>Aviso de Entrega Digital</t>
  </si>
  <si>
    <t>[Web PÀôblica] [CIBERSEGURIDAD] - Migraci√õn de infraestructura de MiddleWare de PhP</t>
  </si>
  <si>
    <t>Evolutivos Nave Janeiro e Fevereiro 2026</t>
  </si>
  <si>
    <t>In Approval</t>
  </si>
  <si>
    <t>GPB2C | Via Verde √± Reposit√õrio de informa√Å‚Äûo</t>
  </si>
  <si>
    <t>P&amp;L Ib√àrica e informaci√õn de gesti√õn</t>
  </si>
  <si>
    <t>Renova√Å‚Äûo Firewalls Per√åmetro - CheckPoint</t>
  </si>
  <si>
    <t>[Desconexi√õn SGC] Cierre diario: Incidencias</t>
  </si>
  <si>
    <t>Internacional | PA | Evolu√Å‚Äûo da Linha de Tratamento Manual</t>
  </si>
  <si>
    <t>Definici√õn Arquitectura .Net Ib√àrico</t>
  </si>
  <si>
    <t>Plataforma de Gest‚Äûo Documental IGCP</t>
  </si>
  <si>
    <t>INT | IBM Sterling File Gateway - implementar balanceamento</t>
  </si>
  <si>
    <t>Rec¬∑lculo fechas de compromiso Baleares fines de semana</t>
  </si>
  <si>
    <t>ECCS por peso Informado</t>
  </si>
  <si>
    <t>GENAI-TOF</t>
  </si>
  <si>
    <t>Servi√Åo Conveni√çncia -  Impress‚Äûo A4 (complemento ao Servi√Åo de Fotocopias)</t>
  </si>
  <si>
    <t>[Desconexi√õn SGC] - Creaci√õn nuevo estado "No realizado"</t>
  </si>
  <si>
    <t>ATC</t>
  </si>
  <si>
    <t>WFA | Incremento 3 | F√àrias</t>
  </si>
  <si>
    <t>Nexus | We Care | Customer Support</t>
  </si>
  <si>
    <t>AVC</t>
  </si>
  <si>
    <t>Aviso de Rece√Å‚Äûo (AR) Digital | Envios SuperPortal e Prestadores</t>
  </si>
  <si>
    <t>Cuadro de mando reputaci√õn CTT</t>
  </si>
  <si>
    <t>COM</t>
  </si>
  <si>
    <t>Mata Aplica√Åƒ±es  - Wave 1.X - ELS</t>
  </si>
  <si>
    <t>Lojas MEO - Recolhas Contextualizadas</t>
  </si>
  <si>
    <t>Nexus | Data | Group Data</t>
  </si>
  <si>
    <t>Github Migration - Produtos</t>
  </si>
  <si>
    <t>Trazabilidad</t>
  </si>
  <si>
    <t>PRO</t>
  </si>
  <si>
    <t>[Minerva] - Carga de nuevo modelo tarifario PT Continente 2026</t>
  </si>
  <si>
    <t>Renova√Å‚Äûo core LAN Porto</t>
  </si>
  <si>
    <t>[PUDOS] - Generaci√õn POD env√åos Celeritas / Locky</t>
  </si>
  <si>
    <t>Novo modelo de integra√Å‚Äûo SAP SF com Paynest</t>
  </si>
  <si>
    <t>GPECL/INT - Interconnect | Disponibilizar Easy Return Solution Premium (ERS) - Authorising Party</t>
  </si>
  <si>
    <t>Data Governance - Master Data Management - MVP</t>
  </si>
  <si>
    <t>Nexus | We Sell | Customer Onboarding</t>
  </si>
  <si>
    <t>SELO DIGITAL</t>
  </si>
  <si>
    <t>[Nexus Piloto Operacional] [Tech] Sincronizaci√õn de Manifiestos PT-PT para Nexus</t>
  </si>
  <si>
    <t>POD - API feasibility for Cainiao</t>
  </si>
  <si>
    <t>[Desconexi√õn SGC] Portal Proveedores Last Mile - Gesti√õn de tr¬∑fico y seguimiento online de rutas por parte del centro y del proveedor</t>
  </si>
  <si>
    <t>PAY - Instrumento Transfer√çncias - Altera√Å‚Äûo Requisitos - Fev</t>
  </si>
  <si>
    <t>CSI</t>
  </si>
  <si>
    <t>MOBI_Criar QR de saida para distribui√Å‚Äûo</t>
  </si>
  <si>
    <t>Definici√õn Arquitectura React Ib√àrico</t>
  </si>
  <si>
    <t>Super B2C (App + ¬°rea Cliente) |  Alterar forma de gerar push notification na App</t>
  </si>
  <si>
    <t>DNI</t>
  </si>
  <si>
    <t>[Evolutivos SGC Finanzas] Validaci√õn de pa√ås y CP en manifiestos</t>
  </si>
  <si>
    <t>Migra√Å‚Äûo ADO2GitHub - Pipeline ODM</t>
  </si>
  <si>
    <t>[Desconexi√õn SGC] Gesti√õn de Incidencias y Soluciones</t>
  </si>
  <si>
    <t>Lojas com necessidade de 2 m¬∑quinas dispensadoras de senhas</t>
  </si>
  <si>
    <t>[Integraci√õn de Clientes] Tik Tok - Bloqueo del dato publicado de peso y medidas despu√às del estado definitivo.</t>
  </si>
  <si>
    <t>SGEE - Migra√Å‚Äûo de Pipelines ADO2Github</t>
  </si>
  <si>
    <t>[Nexus Piloto Operacional] [We Care] Generaci√õn y consumo del POD para Fase 2</t>
  </si>
  <si>
    <t>Paperless - Fatura√Å‚Äûo eletr√õnica em loja</t>
  </si>
  <si>
    <t>Envios Online &amp; Super APP | Servi√Åo de Ponto de Entrega</t>
  </si>
  <si>
    <t>Galaxy - Jornada de envios √± Jornada Expresso com oferta ib√àrica</t>
  </si>
  <si>
    <t>Reformula√Å‚Äûo do servi√Åo AOS</t>
  </si>
  <si>
    <t>Elimina√Å‚Äûo TLS 1.0 - Comunica√Å‚Äûo info T&amp;T com MEO</t>
  </si>
  <si>
    <t>Desenvolvimentos Regulamentares (Congresso UPU Dubai + Incremental Riade)</t>
  </si>
  <si>
    <t>TTEVOB - Descontinua√Å‚Äûo FTP</t>
  </si>
  <si>
    <t>[35908] - Jornada NBO: MOBI</t>
  </si>
  <si>
    <t>Nexus | Digital Channels | CLIENT PORTAL | "SUPER PORTAL" (extra MVP)</t>
  </si>
  <si>
    <t>CORP - Covline - Integra√Å‚Äûo de clientes e contratos via kafka</t>
  </si>
  <si>
    <t>Automatizar la carga del maestro de CP7 de Portugal [Objetos con origen en Espa√ía sin Cp7]</t>
  </si>
  <si>
    <t>IDC</t>
  </si>
  <si>
    <t>Revamp BIC - Indicadores di¬∑rios e mensais de neg√õcio</t>
  </si>
  <si>
    <t>Definici√õn Arquitectura Kotlin Ib√àrico</t>
  </si>
  <si>
    <t>Auditoria 2.0 - Cria√Å‚Äûo de Data Lake para implementa√Å‚Äûo de Auditoria‚Ä†Cont√ånua e Auditoria ‚Ä° Distancia - Entrega Modelos Anal√åticos</t>
  </si>
  <si>
    <t>ACR</t>
  </si>
  <si>
    <t>Env√åos Amazon destino Braga solo manifestados para entrar en senda</t>
  </si>
  <si>
    <t>Perdida de funcionalidad Modificaci√õn Art√åculos</t>
  </si>
  <si>
    <t>Integra√Å‚Äûo Automaise - Novo Voice Bot - Substituir as atuais "primas"</t>
  </si>
  <si>
    <t>Creaci√õn de interfaz en nexia para crear incidencias</t>
  </si>
  <si>
    <t>Cria√Å‚Äûo de Ordens de Fornecimento SAP/R3</t>
  </si>
  <si>
    <t>CL</t>
  </si>
  <si>
    <t>[Desconexi√õn SGC]: Creaci√õn y mantenimiento de CO's</t>
  </si>
  <si>
    <t>PAI NATAL SOLID¬°RIO</t>
  </si>
  <si>
    <t>CMP</t>
  </si>
  <si>
    <t>[Nexus] - We Sell (Lead to Contract) - Signaturit en portugu√às</t>
  </si>
  <si>
    <t>Auditoria SI - Wave 3 - Canais Digitais</t>
  </si>
  <si>
    <t>DPO</t>
  </si>
  <si>
    <t>[NEXUS]-[OOH] - MVP</t>
  </si>
  <si>
    <t>B2C - FIL-Alargamento dos meios de pagamento aceites</t>
  </si>
  <si>
    <t>FL</t>
  </si>
  <si>
    <t>GPECL/DIS |PACK EXPRESSO Contabiliza√Å‚Äûo autom¬∑tica e Re-atribui√Å‚Äûo do centro de lucro</t>
  </si>
  <si>
    <t>solu√Å‚Äûo de atualiza√Å‚Äûo de tracking em real time - Cliente Veryfex (Prozis)</t>
  </si>
  <si>
    <t>Substitui√Å‚Äûo do IOS</t>
  </si>
  <si>
    <t>GRH</t>
  </si>
  <si>
    <t>[Desconexi√õn SGC]: Brokers y Franquicias: grabaci√õn de env√åos con/sin entrega</t>
  </si>
  <si>
    <t>SAPSF - GoFluent</t>
  </si>
  <si>
    <t>GT</t>
  </si>
  <si>
    <t>[Web de Clientes] - Desconexi√õn Web-Tracking</t>
  </si>
  <si>
    <t>XRP | Altera√Å‚Äûo do fluxo de contabiliza√Å‚Äûo</t>
  </si>
  <si>
    <t>RS</t>
  </si>
  <si>
    <t>[Evolutivos SGC Finanzas] Revisi√õn de las l√õgicas de generaci√õn de facturas en 2‚à´ plano</t>
  </si>
  <si>
    <t>ESG - Incremento 1</t>
  </si>
  <si>
    <t>ST</t>
  </si>
  <si>
    <t>[Desconexi√õn SGC]: Canarias</t>
  </si>
  <si>
    <t>e-SIGN: Nova solu√Å‚Äûo de assinatura digital CTT</t>
  </si>
  <si>
    <t>TF</t>
  </si>
  <si>
    <t>Definici√õn Arquitectura Github</t>
  </si>
  <si>
    <t>Eliminate 50% of O365 Copilot licences</t>
  </si>
  <si>
    <t>[Desconexi√õn SGC] Cierre diario: Recogidas</t>
  </si>
  <si>
    <t>[We Sell] Mantenimiento de nuevos clientes de PT en Salesforce Sales</t>
  </si>
  <si>
    <t>Observability | Alarm Catalog for self provision in applications</t>
  </si>
  <si>
    <t>[NEXUS] [Desconexi√õn SGC - FR y BR]  [Web de clientes] Configuraci√õn - Administraci√õn, gesti√õn de usuarios y centros de FRANQUICIAS y BROKERS (settings)</t>
  </si>
  <si>
    <t>Informa√Å‚Äûo normalizada (Indicadores de Gest‚Äûo IG) - Fus‚Äûo relat√õrio 65 no 59 (2‚à´ e 3‚à´ fase)</t>
  </si>
  <si>
    <t>Amazon | Servi√Åo Especial Feriado</t>
  </si>
  <si>
    <t>GALAXY | Identifica√Å‚Äûo dos Clientes nas Lojas F√åsicas</t>
  </si>
  <si>
    <t>B2C - Vendas  Expresso por colaborador - CORVENDAS</t>
  </si>
  <si>
    <t>Integra√Å‚Äûo de Crashlytics nas aplica√Åƒ±es mobile</t>
  </si>
  <si>
    <t>[Desconexi√õn SGC] Qlik - Migraci√õn App Gesti√õn de Estacionados - Cloud</t>
  </si>
  <si>
    <t>CESOP - Reporte Regulat√õrio AT</t>
  </si>
  <si>
    <t>[Evolutivos SGC] Visibilidad de cargos manuales hist√õricos facturados (mejora)</t>
  </si>
  <si>
    <t>[Desconexi√õn SGC] Cierre diario: Escaneo de documentaci√õn</t>
  </si>
  <si>
    <t>Data Cost Allocation Model by Business Area</t>
  </si>
  <si>
    <t>SGEE - Descontinua√Å‚Äûo FTP</t>
  </si>
  <si>
    <t>Renova√Åao dos contratos de outsouricng COM</t>
  </si>
  <si>
    <t>[Minerva] - Cambiar m√àtodo de autenticaci√õn en Minerva</t>
  </si>
  <si>
    <t>BancoCTT - Redu√Å‚Äûo hor¬∑rio Tesouraria | Automatiza√Å‚Äûo do hor¬∑rio da senha D</t>
  </si>
  <si>
    <t>[Desconexi√õn SGC] Grabaci√õn manual de env√åos</t>
  </si>
  <si>
    <t>GitHub Migration - Aplica√Åƒ±es Wave 1</t>
  </si>
  <si>
    <t>[SGC] - Funcionalidad de asignaci√õn de gestora en Salesforce</t>
  </si>
  <si>
    <t>Descontinua√Å‚Äûo do SGCP e GIEP -  Migra√Å‚Äûo de Funcionalidades uma nova aplica√Å‚Äûo</t>
  </si>
  <si>
    <t>[Desconexi√õn SGC] [Salesforce Service] - Abonos, Siniestros e indemnizaciones</t>
  </si>
  <si>
    <t>Campanha para envios internacionais_PCR_4T2025</t>
  </si>
  <si>
    <t>Nexus | We Care | SalesForce Parameterization | Pilot</t>
  </si>
  <si>
    <t>Nexus | Data | Nexus Data</t>
  </si>
  <si>
    <t>Galaxy | MCE &amp; CDP - Nova Fase p√õs MVP - Equipa ENABLER Salesforce (AGILE WAY)</t>
  </si>
  <si>
    <t>Creaci√õn Estados Aduanas, reporte a clientes y facturaci√õn</t>
  </si>
  <si>
    <t>Upgrade plataforma OutSystems para vers‚Äûo 11.40.0</t>
  </si>
  <si>
    <t>[Qlik] - Creaci√õn de un nuevo filtro TYPE.REP.HIST‚ÄùRICAL</t>
  </si>
  <si>
    <t>Faturas PDF | SuperApp - Fatura√Å‚Äûo Portagens</t>
  </si>
  <si>
    <t>[Web de Clientes] - Configuraci√õn - Administraci√õn, gesti√õn de usuarios y centros de Clientes de Venta directa (settings)</t>
  </si>
  <si>
    <t>Despesa Frota e Edificios - Evolutivo</t>
  </si>
  <si>
    <t>Pesquisa de Pontos Collect | Melhorias</t>
  </si>
  <si>
    <t>Descontinuar o aplicativo legado "Criar envio de Correio internacional"</t>
  </si>
  <si>
    <t>Relatorio SAP Hana - Clientes com Fatura Eletronica</t>
  </si>
  <si>
    <t>Migraci√õn Infraestructura GIT =&gt; GitHub (Salesforce)</t>
  </si>
  <si>
    <t>Galaxy | Avisados em Mobi - Indicadores de Loja (Modelo 415)</t>
  </si>
  <si>
    <t>[Desconexi√õn SGC] [Salesforce] - Gesti√õn de las canalizaciones por el equipo de Operaciones desde Salesforce</t>
  </si>
  <si>
    <t>Reducing the rollout of Praas printers:</t>
  </si>
  <si>
    <t>Migraci√õn Infraestructura GIT =&gt; GitHub , Arquetipo .net</t>
  </si>
  <si>
    <t>INT | Mulesoft √± Refatoriza√Å‚Äûo de Aplica√Åƒ±es</t>
  </si>
  <si>
    <t>[Desconexi√õn SGC] Reetiquetado</t>
  </si>
  <si>
    <t>Faturas PDF | SAP - Incremento 2</t>
  </si>
  <si>
    <t>[Nexus Piloto Operacional] [We Bill] Mantenimiento de la facturaci√õn actual en cada pa√ås en la Fase 2 del Piloto Operacional</t>
  </si>
  <si>
    <t>Workforce Analytics - Incremento Integra√Å‚Äûo Indicadores Espanha</t>
  </si>
  <si>
    <t>[Nexus] - We Sell (Lead to Contract) 2.0</t>
  </si>
  <si>
    <t>Correio Registado Self-Service| Envios a partir do SuperPortal</t>
  </si>
  <si>
    <t>[Nexus] [Notificaciones]  Whatsapp desde Marketing Cloud Engagement de Salesforce - Env√åo WP para el env√åo de notificaciones con incidencia</t>
  </si>
  <si>
    <t>Amazon | Informa√Å‚Äûo complementar de fechos ocasionais e f√àrias</t>
  </si>
  <si>
    <t>Galaxy | Avisados em Mobi - POD - Aumentar o campo assinatura</t>
  </si>
  <si>
    <t>Relatorio SAP Hana - Dados de Clientes Objetos ‚Ä° Cobran√Åa</t>
  </si>
  <si>
    <t>PAY - Instrumento Cheques - Incremento I</t>
  </si>
  <si>
    <t>[Desconexi√õn SGC]: Br√õkers  Franquicias: Gesti√õn de adeudos y garant√åas</t>
  </si>
  <si>
    <t>Super B2C (App + ¬°rea Cliente) |  Incluir publicidade gen√àrica do Banco CTT nos canais digitais dos CTT</t>
  </si>
  <si>
    <t>Migraci√õn Infraestructura de Web Corporativa de AckStorm a Ctt Express</t>
  </si>
  <si>
    <t>Migra√Å‚Äûo ADO2GitHub - Pipelines CRM</t>
  </si>
  <si>
    <t>[Desconexi√õn SGC] [Evolutivos SGC Finanzas] Automatizaci√õn proceso gesti√õn documental siniestros</t>
  </si>
  <si>
    <t>Implementa√Å‚Äûo QuickWins MagicBeans</t>
  </si>
  <si>
    <t>Migraci√õn SGC - Estacionados a Nexus</t>
  </si>
  <si>
    <t>[Auditoria PT] Controles peri√õdicos que garanticen la selecci√õn de lecturas √õptimas para facturaci√õn</t>
  </si>
  <si>
    <t>Banco CTT - Altera√Å‚Äûo Processo Fatura√Å‚Äûo</t>
  </si>
  <si>
    <t>[Desconexi√õn SGC]: Br√õkers y Franquicias: Modulo distribuci√õn de Franquicias</t>
  </si>
  <si>
    <t>Aceita√Å‚Äûo Correio Empresarial - Refactoring</t>
  </si>
  <si>
    <t>[Minerva] - Interfaz de generaci√õn de ofertas de Minerva en portugu√às</t>
  </si>
  <si>
    <t>Descontinua√Å‚Äûo do winreg</t>
  </si>
  <si>
    <t>[Web de Clientes] - Grabaci√õn masiva de env√åos (carga de fichero) - v2</t>
  </si>
  <si>
    <t>Desmaterializa√Å‚Äûo dos Envios de Correio e Encomendas - Envios Online ‚ÅÑnicos (Correio e Expresso)</t>
  </si>
  <si>
    <t>Valida√Å‚Äûo Autom¬∑tica de C√õdigos Postais Internacionais</t>
  </si>
  <si>
    <t>ETCP - Anomalia na Integra√Å‚Äûo do ficheiro das recolhas</t>
  </si>
  <si>
    <t>Redu√Å‚Äûo do nÀômero de sms enviados aos clientes</t>
  </si>
  <si>
    <t>Observability | Notifications | Alarmistic association to Teams / Squads</t>
  </si>
  <si>
    <t>Ecossistema B2C √± Evolutiva - JAN e FEV 2026</t>
  </si>
  <si>
    <t>[WebHook] - Mediapost - Transmisi√õn de estados en mensaje NO est¬∑ndar</t>
  </si>
  <si>
    <t>Incremento ao processo de pagamento de faturas a fornecedores</t>
  </si>
  <si>
    <t>[Desconexi√õn SGC] PDA Planta-Dependencias PDA planta de SGC</t>
  </si>
  <si>
    <t>Descontinuar Grafana Dados</t>
  </si>
  <si>
    <t>[Evolutivos SGC Finanzas] Asignar de manera masiva el cliente master al campo grupo de procesamiento en Modulo de facturacion</t>
  </si>
  <si>
    <t>TFS Migration - NAVE</t>
  </si>
  <si>
    <t>Integraci√õn con CACESA para la sustituci√õn de ADYCO (30-nov)</t>
  </si>
  <si>
    <t>STICO - Migra√Å‚Äûo de Pipelines ADO2Github</t>
  </si>
  <si>
    <t>Creaci√õn de Interfaz de usuario para simular la creaci√õn y ciclo de vida de env√åo</t>
  </si>
  <si>
    <t>Amazon - Melhorias ao processo atual</t>
  </si>
  <si>
    <t>cambios masivos de estados</t>
  </si>
  <si>
    <t>[Salesforce - Minerva] Datos de la oferta Minerva en objeto Oferta</t>
  </si>
  <si>
    <t>IOP | CrushFTP - migra√Å‚Äûo de CentOS para Ubuntu</t>
  </si>
  <si>
    <t>[Nexus] [Producto] - Pack Express</t>
  </si>
  <si>
    <t>Evolutivas SAP FI Q1 2026</t>
  </si>
  <si>
    <t>Amazon | Servi√Åo POD (Prova de Entrega)</t>
  </si>
  <si>
    <t>Data Hub - Monitoriza√Å‚Äûo e Backup</t>
  </si>
  <si>
    <t>[SGC] - Funcionalidad de Comisi√õn Reembolso sobre "entregados" activa</t>
  </si>
  <si>
    <t>Novas regras RCTO - Lista de Profissƒ±es</t>
  </si>
  <si>
    <t>[WebHook] - Shein ADT - Migraci√õn de infraestructura de Shein ADT</t>
  </si>
  <si>
    <t>Novas funcionalidades no PA- AVC</t>
  </si>
  <si>
    <t>[Desconexi√õn SGC]: Internacional</t>
  </si>
  <si>
    <t>PRODUTOS COM LEITURA OBRIGATORIA DE CODIGO DE  IDENTIFICA¬´¬¨O</t>
  </si>
  <si>
    <t>[Internacional] - Pol√åtica de reintentos en la grabaci√õn de env√åos internacionales en el sistema del proveedor</t>
  </si>
  <si>
    <t>[PUDOS] [Wizard] - Funcionalidad PDA: Entrega de env√åos en PUDO mediante Baliza</t>
  </si>
  <si>
    <t>Evolu√Å‚Äûo Pesquisa Pontos de Contacto CTT</t>
  </si>
  <si>
    <t>[Evolutivos SGC Finanzas]  Funcionalidad "Redireccionar servicios" en Valoracion de servicios funciona parcialmente</t>
  </si>
  <si>
    <t>Auditoria SI - Wave 3 - Business Solutions</t>
  </si>
  <si>
    <t>[Desconexi√õn SGC] [Nexia] - Consulta masiva de env√åos y acciones sobre los resultados + export/import en Excel</t>
  </si>
  <si>
    <t>FIL | Segmenta√Å‚Äûo de Clientes - atribui√Å‚Äûo de descontos  PED-2021-00346</t>
  </si>
  <si>
    <t>Nexus | We Care | Adaptation of Service Infrastructures | Pilot</t>
  </si>
  <si>
    <t>IOS - Novo Extrator de dados da aplica√Å‚Äûo IOS</t>
  </si>
  <si>
    <t>Workforce Analytics - Integra√Å‚Äûo Espanha</t>
  </si>
  <si>
    <t>GT - Portal AON MVP (com SSO)</t>
  </si>
  <si>
    <t>KPIs de Prevenci√õn de Riesgos Laborales de CTT Express</t>
  </si>
  <si>
    <t>[Qlik] - Incluir ECCS en Anal√åtica Comercial</t>
  </si>
  <si>
    <t>XRP | RPA para substitui√Å‚Äûo da integra√Å‚Äûo com BPM</t>
  </si>
  <si>
    <t>[Nexus] [Producto] - Entregas Comerciales (Red Shopping)</t>
  </si>
  <si>
    <t>Liga√Å‚Äûo do AgilePoint ‚Ä° BD do CoE IAP</t>
  </si>
  <si>
    <t>Fatura√Å‚Äûo do produto C65 - Tracked Simples - Altera√Å‚Äûo Pr√à-Aviso</t>
  </si>
  <si>
    <t>INT| -  Reconstru√Å‚Äûo dos processos de LOGs do SD mulesoft no ELK coorporativo.</t>
  </si>
  <si>
    <t>[Desconexi√õn SGC] Lecturas de stock sobre Contenedores</t>
  </si>
  <si>
    <t>Contabiliza√Å‚Äûo de Saldo Remanescente e separa√Å‚Äûo entre Mail e Express no ‚Äömbito da oferta Pack de Envios</t>
  </si>
  <si>
    <t>Incluir 'audit' en los mensajes publicados en el t√õpico aws.delivery.fct.international-v1</t>
  </si>
  <si>
    <t>Citrix nas lojas - An¬∑lise para Elimina√Å‚Äûo / substitui√Å‚Äûo</t>
  </si>
  <si>
    <t>Restricci√õn de Login en APP de Planta</t>
  </si>
  <si>
    <t>IOP | Sistemas - Migra√Å‚Äûo -  Nova Farm Hyper V Lisboa - Wave 3</t>
  </si>
  <si>
    <t>SRP - Descontinua√Å‚Äûo FTP</t>
  </si>
  <si>
    <t>[Containerization] FASE2: Producir en package_event</t>
  </si>
  <si>
    <t>BCTT - disponibiliza√Å‚Äûo de logs via SFTP</t>
  </si>
  <si>
    <t>[Evolutivos SGC Finanzas] Evolutivos SGC Finanzas - Adeudos ECCS a SGC+ automatizados y diarios</t>
  </si>
  <si>
    <t>PDFs Gerados de Listagens lojas est‚Äûo alojados nos servidores do Nave</t>
  </si>
  <si>
    <t>Portal Proveedores Linehaul - Control Horario - Mejoras</t>
  </si>
  <si>
    <t>Nova Entidade Certificadora (CA) Autoridade Tribut¬∑ria e Aduaneira (AT).</t>
  </si>
  <si>
    <t>[Nexus] [We Sell] Gesti√õn de env√åos no entregados (devoluciones) del flujo PT-&gt;PT</t>
  </si>
  <si>
    <t>Data Hub - Secrets and Authentication</t>
  </si>
  <si>
    <t>[Nexus]-Portfolio Ib√àrico</t>
  </si>
  <si>
    <t>BPM - Upgrade WebSphere</t>
  </si>
  <si>
    <t>Expresso Internacional Premium | Disponibiliza√Å‚Äûo do produto no segmento ocasional</t>
  </si>
  <si>
    <t>[PET-3-] [Item-Status-v2] - Es necesario propagar la localizaci√õn GPS de los eventos en los cambios de estado de item y env√åo</t>
  </si>
  <si>
    <t>Melhorias ¬∑rea cliente correio</t>
  </si>
  <si>
    <t>Portal de Proveedores - Poder ordenar Control Horario por cualquier columna</t>
  </si>
  <si>
    <t>A receita dos  Postos  Venda de Selos (PVS)</t>
  </si>
  <si>
    <t>Fichero interfase IGIC SGC-SAP</t>
  </si>
  <si>
    <t>dotCMS - update da vers‚Äûo</t>
  </si>
  <si>
    <t>[Desconexi√õn SGC] [PUDOS] - Migraci√õn de funcionalidades de SGC al Cloud</t>
  </si>
  <si>
    <t>Configuration Profiles Endpoint</t>
  </si>
  <si>
    <t>Desactivaci√õn de recogidas fijas sin mercancias</t>
  </si>
  <si>
    <t>Confirming 2.0</t>
  </si>
  <si>
    <t>[Salesforce Sales] - Cambio del flujo de aprobaci√õn de ofertas segÀôn usuario</t>
  </si>
  <si>
    <t>Data Governance - Data Lineage</t>
  </si>
  <si>
    <t>[Nexus] [Producto] - OTP entrega segura</t>
  </si>
  <si>
    <t>Produto Internacional Expresso | Permitir envio de bens para os EUA segmento ocasional</t>
  </si>
  <si>
    <t>Nova plataforma para criar e gerir campanhas de publicidade</t>
  </si>
  <si>
    <t>[CIBER]  - Eliminaci√õn del acceso pÀôblico de los ficheros de agencias y canalizaciones en transfer.cttexpress.com</t>
  </si>
  <si>
    <t>Integra√Å‚Äûo do ficheiro de pr√à-aviso do cliente ETCP / MEO com entrega direta em ponto</t>
  </si>
  <si>
    <t>[Evolutivos SGC Finanzas] Generacion de documentos por master + grupo procesamiento (filtro)</t>
  </si>
  <si>
    <t>PAY - Instrumento Transfer√çncias - Altera√Å‚Äûo de requisitos definidos pelo BdP - mar√Åo</t>
  </si>
  <si>
    <t>Nuevos MS de Liquidaciones</t>
  </si>
  <si>
    <t>¬°rea de Cliente CTT - Empresas| Agile Way JAN e FEV 2026</t>
  </si>
  <si>
    <t>[Tech] API de common-edge Refactor</t>
  </si>
  <si>
    <t>Observability | Alarm Catalog Standardization through applications</t>
  </si>
  <si>
    <t>Servidor de Decisiones (TO)/Gesti√õn de oleadas</t>
  </si>
  <si>
    <t>[Evolutivos SGC Finanzas] Posibilidad de filtrar en Valoracion de servicios por Microservicio de Tasaci√õn "Proceso SINO"</t>
  </si>
  <si>
    <t>Upgrade servidores OutSystems para Windows Server 2022</t>
  </si>
  <si>
    <t>Qlik - Anal√åtica Comercial - Clientes Activos</t>
  </si>
  <si>
    <t>Comunica√Åƒ±es - Wifi 321 Cr√àdito - Porto</t>
  </si>
  <si>
    <t>[Nexus] [Producto] - Devoluci√õn F¬∑cil (implantar el modelo de PT para las devoluciones)</t>
  </si>
  <si>
    <t>Descontinua√Å‚Äûo do express2me para a super app</t>
  </si>
  <si>
    <t>Milytech| Altera√Å‚Äûo ‚Ä° extra√Å‚Äûo de dados de envios</t>
  </si>
  <si>
    <t>Disponibiliza√Å‚Äûo de prefixos para correio registado com pr√à-aviso (indisponibilidade prevista para breve)</t>
  </si>
  <si>
    <t>Incidencias C. propia/Mejora del sistema de geoposici√õn/Pantalla para gesti√õn de historificaciones (TO)</t>
  </si>
  <si>
    <t>Afeta√Å‚Äûo Receita Vendas Loja Online a Gestores de clientes e hierarquia</t>
  </si>
  <si>
    <t>Mejorar el algoritmo de aproximaci√õn de calculo de CP/Poblacion de manifiestos [Objetos con origen en Espa√ía sin Cp7]</t>
  </si>
  <si>
    <t>Otimiza√Å‚Äûo CRB</t>
  </si>
  <si>
    <t>[Desconexi√õn SGC] Qlik - Migraci√õn App Anal√åtica Comercial - Cloud</t>
  </si>
  <si>
    <t>Incidencias C. propia/Cambio de estado finales en Cloud (TO)</t>
  </si>
  <si>
    <t>Renova√Å‚Äûo DNS - Infoblox</t>
  </si>
  <si>
    <t>[Auditoria PT] Garantizar ejecuci√õn de fase de pruebas antes y despu√às de implantar nuevos desarrollos</t>
  </si>
  <si>
    <t>Expurgo automatic sharepoint e Team</t>
  </si>
  <si>
    <t>[Evolutivos Minerva] Zonificacion PT detallada (combinaciones PTC-PTI/PTI-PTI) (Valorar por MKT)</t>
  </si>
  <si>
    <t>Permitir que a api de cria√Å‚Äûo de guias multiprodutos possa ser utilizada por clientes que n‚Äûo sejam preparadores</t>
  </si>
  <si>
    <t>[Desconexi√õn SGC] [Salesforce Service] - Creaci√õn de flujos de trabajo entre Salesforce-Service y Nexia</t>
  </si>
  <si>
    <t>Altera√Å‚Äûo de dados ‚Ä° query designada por Sandra Teams PUDO para loky 16-10-2023</t>
  </si>
  <si>
    <t>Nexus | We Care | SalesForce Parametrization | Post MVP</t>
  </si>
  <si>
    <t>ODM - Uniformiza√Å‚Äûo Ambiente Produtivo</t>
  </si>
  <si>
    <t>Modelo de Analise de Varia√Å‚Äûo de Negocio (Efeitos Trafego e Pre√Åo)</t>
  </si>
  <si>
    <t>Visualizaci√õn de kil√õmetros en Qlik</t>
  </si>
  <si>
    <t>Descontinua√Å‚Äûo das Guias em Papel e Aplica√Åƒ±es Locais √± Introdu√Å‚Äûo de um custo adicional</t>
  </si>
  <si>
    <t>Incidencias C. propia/Predicci√õn de la demanda (TO)</t>
  </si>
  <si>
    <t>Piloto para experimentar o SW do BCE na loja</t>
  </si>
  <si>
    <t>[Minerva] - Permitir a ciertos perfiles Comerciales descargar los contratos en Word</t>
  </si>
  <si>
    <t>CCP | Commercial Catalog | Synchronization with SAP</t>
  </si>
  <si>
    <t>[Nexus-MVP] [Web de Clientes]  Visualizaci√õn Indicadores y KPIs en web de clientes en base a la app de Qlik</t>
  </si>
  <si>
    <t>Reformula√Å‚Äûo do servi√Åo HDDTM</t>
  </si>
  <si>
    <t>Altera√Å‚Äûo da Autentica√Å‚Äûo dos Distribuidores nos Lockers</t>
  </si>
  <si>
    <t>IQL | Incremento 1 | IQL com loja dummy e data IQL</t>
  </si>
  <si>
    <t>[Auditoria PT] Implementar pruebas preventivas para identificar errores en la parametrizaci√õn de las reglas de peso</t>
  </si>
  <si>
    <t>Power Bi | CRM - Acesso a Informa√Å‚Äûo do CRM atrav√às do PowerBi</t>
  </si>
  <si>
    <t>Incidencias C. propia/Sistema de seguimiento de rutas online por el proveedor y el CO (Portal del proveedor) (TO)</t>
  </si>
  <si>
    <t>[Evolutivos Minerva] Tarifas unicas por grupos de varios clientes (multicuentas asociadas incluso en diferentes CO's) (Validar por Herramientas Comerciales)</t>
  </si>
  <si>
    <t>Ariba - migra√Å‚Äûo para SAP R/3 dos dados do fornecedor em SAP Rise</t>
  </si>
  <si>
    <t>[Desconexi√õn SGC] Qlik - Migraci√õn App Indicadores de siniestros - Cloud</t>
  </si>
  <si>
    <t>Auditoria a Payroll Processos PAS √± Fase 1</t>
  </si>
  <si>
    <t>Incidencias C. Ajena/Informaci√õn al destinatario de la franja de entrega/Correcci√õn de la medici√õn (TO)</t>
  </si>
  <si>
    <t>SouCTT - Salary on Demand (Subsidio de Natal) | Paynest</t>
  </si>
  <si>
    <t>Qlik - Estado de Venta</t>
  </si>
  <si>
    <t>XRP | Refatura√Å‚Äûo entre empresas</t>
  </si>
  <si>
    <t>[Nexus-MVP] [Web de Clientes] Gesti√õn Consumibles</t>
  </si>
  <si>
    <t>BCTT - extens‚Äûo do contrato de multifun√Åƒ±es a 321 credito</t>
  </si>
  <si>
    <t>Reconfigura√Å‚Äûo de Zonas de Taxa√Å‚Äûo | Produtos Internacionais Expresso</t>
  </si>
  <si>
    <t>[Desconexi√õn SGC] Qlik - Migraci√õn App Territory P&amp;L - Cloud</t>
  </si>
  <si>
    <t>Novo Modelo de Replica√Å‚Äûo de Dados Contratuais</t>
  </si>
  <si>
    <t>Incidencias C. Ajena/Informaci√õn al destinatario de la franja de entrega/Categorizaci√õn de rutas (notificables) en el portal del proveedor (TO)</t>
  </si>
  <si>
    <t>Reformular o servi√Åo Alterar Entrega de Correio (SIGA)</t>
  </si>
  <si>
    <t>Web Clientes? - Detalles Excel con y sin Densidades (Espa√íol-Ingles), Personalizables por el propio cliente en PortalCliente y en Finanzas</t>
  </si>
  <si>
    <t>Altera√Å‚Äûo Ficheiro Pontos CTT - Cliente Nespresso</t>
  </si>
  <si>
    <t>Actualizaci√õn de maestro de c√õdigos postales PT en nexus</t>
  </si>
  <si>
    <t>ODIN | Muticloud</t>
  </si>
  <si>
    <t>Env√åos Multibulto (aplicar l√õgica de causa propia/ajena (TO)</t>
  </si>
  <si>
    <t>Assinaturas de autenticidade emails</t>
  </si>
  <si>
    <t>[Salesforce Maps] - Nuevas funcionalidades (Fase 3)</t>
  </si>
  <si>
    <t>PED-2019-00062_PRIO#34_Dinamiza√Å‚Äûo do neg√õcio da exporta√Å‚Äûo</t>
  </si>
  <si>
    <t>[Minerva]- Modelo Tarifario Densidades Zoning Actual</t>
  </si>
  <si>
    <t>Interconnect Common Return Platform | Upgrade p/ V2 (CRP2)</t>
  </si>
  <si>
    <t>El corte Ingl√çs - Relatorios de Concilia√Å‚Äûo forma automatica</t>
  </si>
  <si>
    <t>Ampliar Capacidades-Medios/Nuevos esquemas de liquidaci√õn espec√åficos para contrataciones de campa√ía (Portal del proveedor) (TO)</t>
  </si>
  <si>
    <t>CIS - AI Automation - BO Fatura√Å‚Äûo</t>
  </si>
  <si>
    <t>[Desconexi√õn SGC] Evolutivo - Quitar topics SGC (control point, ship-v1,..)</t>
  </si>
  <si>
    <t>Sites e Aplicativos | Melhorias ‚Ä°s plataformas - JAN e FEV 2026</t>
  </si>
  <si>
    <t>[Nexus Rollout] [We Bill] Estrategia de facturaci√õn de clientes ES y PT</t>
  </si>
  <si>
    <t>Estudo para levantamento e alternativa ao MUS (Microsoft)</t>
  </si>
  <si>
    <t>Habilitar soluciones entre CO¬•s de la misma provincia</t>
  </si>
  <si>
    <t>INT| -  Mata Aplica√Åƒ±es Wave 1.1X - Tradutor</t>
  </si>
  <si>
    <t>Creaci√õn Arquetipo .net</t>
  </si>
  <si>
    <t>[Alarmas Financieras] Alarma-41 Informe de n‚à´ env√åos-discrepancias tr¬∑fico-facturaci√õn (se esta trabajando internamente tambi√àn)</t>
  </si>
  <si>
    <t>Servi√Åos Reexpedi√Å‚Äûo e Reten√Å‚Äûo - Implementar melhorias</t>
  </si>
  <si>
    <t>Servicios Preferentes/Propagaci√õn de la informaci√õn al resto de sistemas (SENDA, PDA de reparto, etc.) (TO)</t>
  </si>
  <si>
    <t>Gest‚Äûo de Stocks Vending em SAP</t>
  </si>
  <si>
    <t>[Minerva] - Servicios adicionales gestionables por el equipo Comercial en la creaci√õn de una oferta</t>
  </si>
  <si>
    <t>IOP | DNS private resolvers - descontinuar bind em 2 vms ubuntu</t>
  </si>
  <si>
    <t>[Nexus] [Notificaciones] - Notificaciones ibericas</t>
  </si>
  <si>
    <t>Report automatizado para Cr√àdito Pessoal</t>
  </si>
  <si>
    <t>Notifica√Åƒ±es Expresso | Aceita√Å‚Äûo no PUDO (Pedido ZALANDO)</t>
  </si>
  <si>
    <t>Mata Aplica√Åƒ±es - Wave 1.15 - CRM Oracle Sales</t>
  </si>
  <si>
    <t>Habilitar registro de incidencias "Llegada por error" y "Mercanc√åa no enlazada" a trav√às del c√õdigo de barras del sin√õnimo.</t>
  </si>
  <si>
    <t>Simulador Correio Editorial - Jornais e Publica√Åƒ±es Peri√õdicas (JPP)  e Livros</t>
  </si>
  <si>
    <t>PDA de Reparto (TO)/Wizard de carga con autozonas</t>
  </si>
  <si>
    <t>[Desconexi√õn SGC] Cambio Maestro de canalizaciones en COs</t>
  </si>
  <si>
    <t>Automatiza√Å‚Äûo de valida√Å‚Äûo do QR Code de Selos</t>
  </si>
  <si>
    <t>[NEXUS] [Auditoria PT] [SAP] - Mejora y/o renovaci√õn del Interface Salesforce + SGC + SAP</t>
  </si>
  <si>
    <t>CCP | Configure alerts for all CCP applications</t>
  </si>
  <si>
    <t>[Seguridad] PDA Planta (TO)/Gesti√õn de Planta/ Auditor√åa de seguridad/Control de conductores</t>
  </si>
  <si>
    <t>Renova√Å‚Äûo ativos rede Datacenter CTT Express (Lisboa e Barcelona)</t>
  </si>
  <si>
    <t>Nexus | We Care | Adaptation of Service Infrastructures | MVP</t>
  </si>
  <si>
    <t>Desenvolvimentos NAVe - Aceita√Å‚Äûo campanhas DM inferiores a 100obj</t>
  </si>
  <si>
    <t>Iberian - Incremento Vis‚Äûo de tratamento por KG's, Restantes Kpi's</t>
  </si>
  <si>
    <t>D. Oferta - atualiza√Å‚Äûo base de dados dos empregados CTT em NAVe</t>
  </si>
  <si>
    <t>Implantaci√õn con empresa externa de software para la medici√õn de la Huella de Carbono</t>
  </si>
  <si>
    <t>PDA de Reparto (TO)/Gesti√õn de stocks de PDAs</t>
  </si>
  <si>
    <t>ODIN | Business unit clusters</t>
  </si>
  <si>
    <t>[Salesforce Sales - SGC ] - Evitar actualizaciones en SGC en los registros de franquicias</t>
  </si>
  <si>
    <t>ESW | EQA | Implementa√Å‚Äûo de Automa√Å‚Äûo B¬∑sica de QA em Aplica√Åƒ±es Cr√åticas</t>
  </si>
  <si>
    <t>[Producto] - Modelo Tarifario/Operativa Broker + TOF (Minerva C)</t>
  </si>
  <si>
    <t>BANCO CTT | Novo design site banco</t>
  </si>
  <si>
    <t>GPECL/DIS - Pack Expresso | Incremento ao Produto</t>
  </si>
  <si>
    <t>Automatiza√Å‚Äûo do Registo de Tarefas em CRM Provenientes de Intera√Åƒ±es em GoContact</t>
  </si>
  <si>
    <t>Migraci√õn a Cloud ficheros IDL e Inditex</t>
  </si>
  <si>
    <t>IOP | Redu√Å‚Äûo da Obsolesc√çncia Protocolos TLS 1.0 &amp; 1.1 WAVE 3</t>
  </si>
  <si>
    <t>[SGC] Actualizar protocolo de comunicaciones TLS</t>
  </si>
  <si>
    <t>Canal de DenÀôncias</t>
  </si>
  <si>
    <t>PDA Planta (TO)/Gesti√õn de Planta/App de arrastres/Contenerizaci√õn para cruces</t>
  </si>
  <si>
    <t>[PUDOS]-Modificaci√õn plantilla de factura en VDP relacionado con 58594</t>
  </si>
  <si>
    <t>MPC | Integra√Å‚Äûo Sprinklr no CRM | Melhorar Integra√Å‚Äûo de mensagens</t>
  </si>
  <si>
    <t>Estabilidad? - Migraci√õn‚Ä†Conflluent?</t>
  </si>
  <si>
    <t>MRP Armaz√àm Central CTT</t>
  </si>
  <si>
    <t>PDA Planta (TO)/Gesti√õn de Planta/Consulta de env√åos</t>
  </si>
  <si>
    <t>Auditoria a Payroll Processos PAS √± Fase 1.1</t>
  </si>
  <si>
    <t>Qlik - Anal√åtica Comercial: Dimensi√õn Grupo de Empresas</t>
  </si>
  <si>
    <t>SouCTT - Salary on Demand (adiantamento % vencimento) | Paynest</t>
  </si>
  <si>
    <t>[Web PÀôblica 2.0] - Web PÀôblica 2.0 Fase II - V2</t>
  </si>
  <si>
    <t>XRP | ADL Gest‚Äûo de Frota</t>
  </si>
  <si>
    <t>GP ECL/INT - Erros envolvendo DHL - Objeto CTT que gera mÀôltiplas Cartas de Porte DHL (AWB DHL Express)</t>
  </si>
  <si>
    <t>PDA Planta (TO)/Gesti√õn de Planta/Gesti√õn FIFO en San fernando</t>
  </si>
  <si>
    <t>INT | Migra√Å‚Äûo da solu√Å‚Äûo da Knowledge Base atual para uma solu√Å‚Äûo Knowledge Base coorporativa</t>
  </si>
  <si>
    <t>[Tech] [Desconexi√õn SGC] Desconexi√õn API WebTracking a Item-history (bitacora)</t>
  </si>
  <si>
    <t>Correio Registado Self-Service| Envios a partir da SuperApp e Site CTT</t>
  </si>
  <si>
    <t>Nueva funcionalidad SGC: Nuevas opciones de cambios masivos</t>
  </si>
  <si>
    <t>CTT Sol. Empresariais - GSB2B/BFT_Melhorias ao Processo de Fatura√Å‚Äûo</t>
  </si>
  <si>
    <t>PDA Planta (TO)/Gesti√õn de Planta/Mejoras pendientes/Cambio de eventos/lecturas a Cloud (doble registro, stock de contenedores, estacionados, etc.)</t>
  </si>
  <si>
    <t>CCT 3.0 - powered by AI</t>
  </si>
  <si>
    <t>[Desconexi√õn SGC] Migraci√õn exportaci√õn de informes de SGC a Cloud</t>
  </si>
  <si>
    <t>IOP | ClearPass - alargar cobertura da solu√Å‚Äûo de Network Access Control</t>
  </si>
  <si>
    <t>PDA Planta (TO)/Gesti√õn de Planta/Mejoras pendientes/Solventar error de contenerizaci√õn y doble registro</t>
  </si>
  <si>
    <t>Evolutivos CRM Q1.2026</t>
  </si>
  <si>
    <t>[Minerva] - Impresi√õn del contrato en funci√õn de la etapa de la opp</t>
  </si>
  <si>
    <t>[Producto] - Devoluciones anticipadas: Solicitud de Devoluci√õn de Env√åos al vuelo</t>
  </si>
  <si>
    <t>Dona Oferta √± Dados de recibo/fatura autom¬∑ticos</t>
  </si>
  <si>
    <t>GPECL/DIS - Notifica√Åƒ±es S¬∑bado e Domingo // altera√Å‚Äûo do processo de indica√Å‚Äûo da data de entrega</t>
  </si>
  <si>
    <t>Sonar | Connect Github based applications to Sonar</t>
  </si>
  <si>
    <t>[Alarmas Financieras] Alarma-46 Reporte/Alerta de Datos Clientes antes del cierre "Keysoft" (datos incompletos de clientes o deficiencia)</t>
  </si>
  <si>
    <t>Implementar valida√Å‚Äûo de configura√Å‚Äûo segura de endpoint na solu√Å‚Äûo de teletrabalho da 321 Cr√àdito</t>
  </si>
  <si>
    <t>[Desconexi√õn SGC] [Auditoria PT]  Controles para garantizar la integraci√õn correcta de la informaci√õn entre microservicio "Manifiestos" y SGC</t>
  </si>
  <si>
    <t>Tradu√Å‚Äûo do Site e da App</t>
  </si>
  <si>
    <t>PDA Planta (TO)/Gesti√õn de Planta/Mejoras pendientes/Mejora del feedback de lectura (cambio sonido y color OK y en error)</t>
  </si>
  <si>
    <t>APT | ODIN | Self Service</t>
  </si>
  <si>
    <t>crear plantilla de colecciones de mongodb</t>
  </si>
  <si>
    <t>PDA Planta (TO)/Gesti√õn de Planta/Nuevas lecturas/Recepci√õn provisional de cami√õn</t>
  </si>
  <si>
    <t>Github | Allow Github Actions to access resources inside CTT internal network</t>
  </si>
  <si>
    <t>Cambio en la L√õgica de generaci√õn de OBX en Cainiao</t>
  </si>
  <si>
    <t>A receita dos Pontos ctt n‚Äûo NAVe</t>
  </si>
  <si>
    <t>[Salesforce] - Informaci√õn de la actividad del cliente en Cuenta en Sales (a partir de Qlik)</t>
  </si>
  <si>
    <t>INT| Descontinuar os servi√Åos suportados pelo Biztalk</t>
  </si>
  <si>
    <t>[PUDOs] - [QLIK] Nueva App Pudo Sales</t>
  </si>
  <si>
    <t>INT| -  Alarm√åstica MuleSoft</t>
  </si>
  <si>
    <t>GPECL/INT -  Eventos DHL n‚Äûo integrados no T&amp;T CTT</t>
  </si>
  <si>
    <t>Informa√Å‚Äûo das vendas por colaborador E nif</t>
  </si>
  <si>
    <t>crear indice atlas search</t>
  </si>
  <si>
    <t>CCP | Migrate from .Net 8 to .Net 10</t>
  </si>
  <si>
    <t>PDA Planta (TO)/Gesti√õn de Planta/Nuevas lecturas/Admisi√õn</t>
  </si>
  <si>
    <t>Dise√íar flujos de Trabajo IA - React</t>
  </si>
  <si>
    <t>Obsolesc√çncia WAVE 0 - Converter LDAP em LDAPS (BCTT)</t>
  </si>
  <si>
    <t>[QLIK] Incorporaci√õn de datos adicionales en BI (Income Tracking App)</t>
  </si>
  <si>
    <t>ESW | EQA |Estabiliza√Å‚Äûo de Testes Autom¬∑ticos Existentes de QA</t>
  </si>
  <si>
    <t>PDA Planta (TO)/Gesti√õn de Planta/Nuevas lecturas/Entregado a agente</t>
  </si>
  <si>
    <t>Afeta√Å‚Äûo correta da receita de produtos/servi√Åos faturados fora do SAP ao respetivo gestor comercial B2B e Lojas e Loja Online</t>
  </si>
  <si>
    <t>[Desconexi√õn SGC] [Salesforce] - Integraci√õn de GoContact IVR con el Cloud (Service)</t>
  </si>
  <si>
    <t>SSM - valida√Å‚Äûo dos dados registados em NAVe, previamente ‚Ä° sua conclus‚Äûo</t>
  </si>
  <si>
    <t>Analytics - Analise de custo parceiros</t>
  </si>
  <si>
    <t>Analytics | Implementa√Å‚Äûo GAds (BigQuery)</t>
  </si>
  <si>
    <t>[Auditoria PT] Automatismo para replicar la l√õgica de correcci√õn manual de pesos declarados</t>
  </si>
  <si>
    <t>[Qlik] - Nuevos KPIS en Anal√åtica Comercial</t>
  </si>
  <si>
    <t>INT| -  Mata Aplica√Åƒ±es Wave 1.1X - Solu√Å‚Äûo de Transforma√Å‚Äûo</t>
  </si>
  <si>
    <t>[Desconexi√õn SGC] [Web de Clientes] - Descarga de seguimiento y en descarga masiva: Incluir m¬∑s campos: Peso Facturado V2</t>
  </si>
  <si>
    <t>APT | Mata Aplica√Åƒ±es - Wave 1.13</t>
  </si>
  <si>
    <t>Nova Oferta produtos Untracked e Tracked Simples - melhoria de informa√Å‚Äûo site TT 2023 07 24</t>
  </si>
  <si>
    <t>Avalia√Å‚Äûo de Novo Software de Contact Center</t>
  </si>
  <si>
    <t>PDA Planta (TO)/Gesti√õn de Planta/Nuevas lecturas/Transferido a proveedor (internacional)</t>
  </si>
  <si>
    <t>SAPSF Evolu√Å‚Äûo Integra√Åƒ±es Sistemas a montante (Teleponto + AD + IOS)</t>
  </si>
  <si>
    <t>Analisis protocolos MCP para integraci√õn de clientes</t>
  </si>
  <si>
    <t>Telemetria -  (Mobi) Descontinua√Å‚Äûo do Boletim de Veiculo</t>
  </si>
  <si>
    <t>[Evolutivos SGC Finanzas]  Alarma-86 Enga√ío Cod. Postales (solicitado tambien a traves de BI para buscar automatizaci√õn)</t>
  </si>
  <si>
    <t>Formul¬∑rio Criar Envio de Correio Internacional | Supress‚Äûo do Servi√Åo Especial de Cobran√Åa no Correio Registado para o ‚Äömbito Internacional</t>
  </si>
  <si>
    <t>PDA Planta (TO)/Gesti√õn de Planta/Nuevas lecturas/Registrar incidencias/Incidencias en general</t>
  </si>
  <si>
    <t>Autodocumentacion Integraci√õn Mulesoft con IA</t>
  </si>
  <si>
    <t>Create code reviewer AI agent</t>
  </si>
  <si>
    <t>Generaci√õn tarjeta de identificaci√õn de conductor</t>
  </si>
  <si>
    <t>APT | Mata Aplica√Åƒ±es Wave 1.12 - GCC</t>
  </si>
  <si>
    <t>[Minerva] - Campos requeridos en contrato con firma digital por Signaturit</t>
  </si>
  <si>
    <t>Banco CTT - Gest‚Äûo de Acessos em SAP4Hana</t>
  </si>
  <si>
    <t>[Web de Clientes] - Grabaci√õn masiva - Orden excel errores</t>
  </si>
  <si>
    <t>Informa√Å‚Äûo  Clientes Ocasionais</t>
  </si>
  <si>
    <t>GPECL/DIS - CTT Now melhorias aplica√Å‚Äûo</t>
  </si>
  <si>
    <t>CCP | Notifications | Refactor application to meet CCP patterns</t>
  </si>
  <si>
    <t>DHL Parcel - Webhook- Evento Recogida de Caducado en Pudo y Falso Entregado</t>
  </si>
  <si>
    <t>Creaci√õn arquetipo desarrollo React</t>
  </si>
  <si>
    <t>APT | IBM ODM | configurar HTTPS</t>
  </si>
  <si>
    <t>[Evolutivos SGC Finanzas] Inclusi√õn del Cliente M¬∑ster en todos los m√õdulos de SGC ahora no lo est¬∑n (esta ligado con el anterior)</t>
  </si>
  <si>
    <t>UPDATE | SOLU¬´‚àöO TRANSFORMA¬´‚àöO | RELAT‚ÄùRIO SERIAL NUMBER EXPEDI¬´‚àöO</t>
  </si>
  <si>
    <t>Nuevas pantallas/Gesti√õn de env√åos</t>
  </si>
  <si>
    <t>ESW | EQA | Defini√Å‚Äûo de Checklist M√ånimo de QA por Projeto</t>
  </si>
  <si>
    <t>Incluir en nexia opciones multi-idioma</t>
  </si>
  <si>
    <t>IOP | Redu√Å‚Äûo da Obsolesc√çncia Protocolos TLS 1.0 &amp; 1.1 WAVE 2</t>
  </si>
  <si>
    <t>Nuevas pantallas/Reetiquetado de env√åos</t>
  </si>
  <si>
    <t>Incus‚Äûo de informa√Å‚Äûo da √¨Fatura√Å‚Äûo prevista√Æ e √¨Tr¬∑fego previsto nos Relatorios</t>
  </si>
  <si>
    <t>[Alarmas Financieras] Alarma-78 Garantizar la igualaci√õn de datos de clientes en tres herramientas. (SGC-Salesforce-SAP)</t>
  </si>
  <si>
    <t>ESW | EQA | Integra√Å‚Äûo de Relat√õrios de Testes em Power BI</t>
  </si>
  <si>
    <t>[Salesforce Sales] - Contemplar los puntos de servicio a nivel master</t>
  </si>
  <si>
    <t>[Nexus]-[Minerva]- CTT 14h MINERVA ‚Äùptica (Nuevo producto comercial)</t>
  </si>
  <si>
    <t>BCTT - renova√Å‚Äûo de equipamentos lojas especializadas</t>
  </si>
  <si>
    <t>GPECL/DIS - CTT Now Visibilidade sobre pedidos Programados</t>
  </si>
  <si>
    <t>Desagregar a Intranet de Outsystems ( Ac√Å‚Äûo Post Mortem - INC1002170)</t>
  </si>
  <si>
    <t>Desconectar servidor SFTP SGC</t>
  </si>
  <si>
    <t>Aplica√Å‚Äûo OPL6 compromete a seguran√Åa do ecossistema CTT,</t>
  </si>
  <si>
    <t>Nuevas pantallas/Gesti√õn de incidencias (P3)/Confirmaci√õn de incidencias</t>
  </si>
  <si>
    <t>Cria√Å‚Äûo Portal Parceiro</t>
  </si>
  <si>
    <t>Dise√íar Flujos de trabajo IA - .Net</t>
  </si>
  <si>
    <t>Analytics | Tags Google Analytics G3/4 - Measurement Protocol</t>
  </si>
  <si>
    <t>Nuevas pantallas/Gesti√õn de incidencias (P3)/Estacionados</t>
  </si>
  <si>
    <t>[Alarmas Finanzas] Alarma-85 Clientes con cambio tarifas "a medio mes", si no avisan facturamos mal si hay retroactividad</t>
  </si>
  <si>
    <t>ESW | EQA | Utiliza√Å‚Äûo Regular da Automa√Å‚Äûo de QA em Regressƒ±es</t>
  </si>
  <si>
    <t>[Qlik] - Evaluador de ofertas en Qlik</t>
  </si>
  <si>
    <t>BPM - Processo de Regulariza√Å‚Äûo de Movimentos Manual</t>
  </si>
  <si>
    <t>[PUDOS] - Automatizaci√õn del tratamiento de incidencias de PUDOS cerrados</t>
  </si>
  <si>
    <t>IOP | Obsolesc√çncia WAVE 2 - Matar/Upgrade Oracle DB, IBM DB2 para ultimas versƒ±es suportadas (m√ånimo n-1)</t>
  </si>
  <si>
    <t>ECL/PSC - Identifica√Å‚Äûo de giros de distribui√Å‚Äûo (green delivery)</t>
  </si>
  <si>
    <t>IOP | Obsolesc√çncia Infraestrutura WAVE 0 - Converter LDAP em LDAPS (ENABLERS)</t>
  </si>
  <si>
    <t>Conexi√õn de b¬∑sculas manuales a Cloud</t>
  </si>
  <si>
    <t>GS B2C - Evolu√Å‚Äûo do sistema de Gest‚Äûo da informa√Å‚Äûo Geogr¬∑fica da Rede</t>
  </si>
  <si>
    <t>[Desconexi√õn SGC] M√õdulo de tasaci√õn Cloud</t>
  </si>
  <si>
    <t>IOP | Obsolesc√çncia WAVE 1 - Matar/Upgrade SQL Server anterior a 2019</t>
  </si>
  <si>
    <t>App de PDA de planta (TO)/Mejoras en las aplicaciones actuales/Identificaci√õn de cajas con env√åos en circuito en la recepci√õn</t>
  </si>
  <si>
    <t>[Evolutivos Salesforce] Alarma-77 Clientes reactivados (clientes que se dan de alta sin control)</t>
  </si>
  <si>
    <t>CRM | SPRINKLR - Ir¬∑ existir uma altera√Å‚Äûo ao nivel das APIs da Sprinklr pelo que dever‚Äûo ser necess¬∑rios ajustes ‚Ä° integra√Å‚Äûo com o CRM</t>
  </si>
  <si>
    <t>Cierre administrativo autom¬∑tico - "Evitar pasar a Entregado Administrativo env√åos que tienen un estado entregado y posteriormente se abre una caso en Salesforce y cambia a otro estado"</t>
  </si>
  <si>
    <t>RH - AI Automation</t>
  </si>
  <si>
    <t>[Auditoria PT] Pruebas sobre calidad de datos declarados por clientes con facturaci√õn basada en el peso y/o las medidas declaradas</t>
  </si>
  <si>
    <t>Solu√Å‚Äûo de Gest‚Äûo de Viagens</t>
  </si>
  <si>
    <t>Migraci√õn Microservicios a SLA nuevo</t>
  </si>
  <si>
    <t>BCTT Sincroniza√Å‚Äûo Robin &amp; O365</t>
  </si>
  <si>
    <t>App de PDA de planta (TO)/Desarrollo App externa para registro eventos 8 y 9</t>
  </si>
  <si>
    <t>IOP | Evolu√Å‚Äûo da Private Key Infrastructure (PKI) dos CTT</t>
  </si>
  <si>
    <t>[Minerva] - Dispersiones est¬∑ndar de ofertas de tipo B y C</t>
  </si>
  <si>
    <t>[PUDOS] [MONGO] - Informaci√õn completa de incidencias en colecci√õn Pickups</t>
  </si>
  <si>
    <t>GS B2C - Disponibiliza√Å‚Äûo de informa√Å‚Äûo do Data Analytics sobre Sessƒ±es NAVe</t>
  </si>
  <si>
    <t>ECL/GPR - Peso Default por Produto Expresso e Carga</t>
  </si>
  <si>
    <t>IOP | Redu√Å‚Äûo da Obsolesc√çncia Protocolos TLS 1.0 &amp; 1.1 WAVE 4 - Servidores Unix</t>
  </si>
  <si>
    <t>[Web pÀôblica Nexus] - Im¬∑genes alojadas en DOT (ex Wordpress) estudiar alojarlas en AWS</t>
  </si>
  <si>
    <t>IOP | Internet - visibilidade sobre utiliza√Å‚Äûo e qualidade do servi√Åo</t>
  </si>
  <si>
    <t>[Evolutivos SGC Finanzas]  Historificaci√õn datos de facturaci√õn perdidos tras ataque inform¬∑tico (PENDIENTE SOLUCI‚ÄùN DE IT YA PRESENTADA)</t>
  </si>
  <si>
    <t>GS B2C - Disponibiliza√Å‚Äûo de dados de vendas Filatelia dos canais FIL e DTI</t>
  </si>
  <si>
    <t>Desarrollo ECCS sin last mile (TO)</t>
  </si>
  <si>
    <t>IOP | PacketShaper - descontinua√Å‚Äûo e abate</t>
  </si>
  <si>
    <t>Definici√õn de la estrategia de preparaci√õn de entornos de prueba de aplicaciones</t>
  </si>
  <si>
    <t>MACC: DC Lisboa - Jouney to Azure cloud</t>
  </si>
  <si>
    <t>Portal Proveedores LineHaul - Plan de carga: contenerizaci√õn de camiones</t>
  </si>
  <si>
    <t>[Salesforce Sales] - Campo Centro Operativo de clientes que cuelgan de Agencias Virtuales (Amazon, ICP, Inditex....)</t>
  </si>
  <si>
    <t>B2C - Dados Vendas Dona Oferta - via Data Analytics</t>
  </si>
  <si>
    <t>[Minerva] - Habilitar Minerva para el uso por parte de los Broker / Franquicias (Operativa + Modelo tarifario)</t>
  </si>
  <si>
    <t>Controlo dos Subadiantamentos (numer¬∑rio) √± c√õd. 011 - Auditoria REC/ARC 2024_1399</t>
  </si>
  <si>
    <t>DHL | Integra√Å‚Äûo Oferta Connect</t>
  </si>
  <si>
    <t>BITS eshops</t>
  </si>
  <si>
    <t>[Bit¬∑cora] - Implementar aplicaci√õn interna que permita establecer la configuraci√õn que necesita Bit¬∑cora</t>
  </si>
  <si>
    <t>IOP | Instala√Å‚Äûo e Ativa√Å‚Äûo da Componente Guardian -  Nova Hyper V</t>
  </si>
  <si>
    <t>Portal Proveedores - Facturacion a/de proveedores fuera de SAP, necesidad de adaptar el modulo de proveedores</t>
  </si>
  <si>
    <t>IOP | Obsolesc√çncia WAVE 1 - Windows 7 (evoluir para windows 11)</t>
  </si>
  <si>
    <t>Facilitar cambio de direcci√õn entre COs de la misma provincia</t>
  </si>
  <si>
    <t>Optimizaci√õn del CAU mediante herramientas de autodiagn√õstico para operativas cr√åticas</t>
  </si>
  <si>
    <t>Melhorias de funcionamento nos Tablets das Lojas</t>
  </si>
  <si>
    <t>Sistema de seguimiento de rutas de arrastre - Implementaci√õn de eCMR</t>
  </si>
  <si>
    <t>IOP | Segrega√Å‚Äûo da Rede Privada</t>
  </si>
  <si>
    <t>[Evolutivos SGC] Adeudos manuales o autom¬∑ticos, (relacionado con trabajo de auditoria interna de ES ya informada en 2022) (Validar por Procesos)</t>
  </si>
  <si>
    <t>Altera√Å‚Äûo SGFE √± PRIMA TD 200</t>
  </si>
  <si>
    <t>[Minerva] - Evaluaci√õn de la oferta en Minerva</t>
  </si>
  <si>
    <t>Kiosk de Envios Self-service: Instala√Å‚Äûo/Configura√Åƒ±es de Cabo de Rede</t>
  </si>
  <si>
    <t>[PUDOS]-Nueva colecci√õn en Nexia. Acceso datos de DB manifest</t>
  </si>
  <si>
    <t>Experiencia e Jornada do colaborador</t>
  </si>
  <si>
    <t>Evolutivos Ecossistema Expresso | JAN e FEV 2026</t>
  </si>
  <si>
    <t>Kiosks Envios - Incremento 1 | Associa√Å‚Äûo de moradas guardadas no kiosk (via QR code App)</t>
  </si>
  <si>
    <t>C¬∑lculo de la franja horaria de entrega y elaboraci√õn de los KPIS de seguimiento</t>
  </si>
  <si>
    <t>[WebHook] - ZooPlus - Transmisi√õn de estados en mensaje est¬∑ndar</t>
  </si>
  <si>
    <t>Kiosks Envios - Incremento 2 | Simplificar jornada do cliente</t>
  </si>
  <si>
    <t>Federaci√õn de acceso a Salesforce mediante SSO - EntraID</t>
  </si>
  <si>
    <t>Simulador para agrupagem</t>
  </si>
  <si>
    <t>[Migraci√õn SalesForce a Nexus] - Mantenimiento de Recogidas fijas desde SalesForceV2</t>
  </si>
  <si>
    <t>Analytics | Evolu√Å‚Äûo das implementa√Åƒ±es DL p/ GA4 feitas nos aplicativos web/mobile 1‚Ñ¢ e 2‚Ñ¢ Fase</t>
  </si>
  <si>
    <t>MongoDB - Recopilaci√õn de usuarios y reset de contrase√ías</t>
  </si>
  <si>
    <t>Kiosks Envios - Incremento 3 | Embalagem - obten√Å‚Äûo de informa√Å‚Äûo de produto</t>
  </si>
  <si>
    <t>[Evolutivos SGC] Cambio de agencia de cargo en un env√åo / Utilizacion de agencia de facturacion, (p√àrdida de funcionalidad)</t>
  </si>
  <si>
    <t>Kiosks Envios - Incremento 4 | Alargar oferta (correio registado nacional)</t>
  </si>
  <si>
    <t>Notificaciones a PDA desde Portal del Proveedor</t>
  </si>
  <si>
    <t>[Salesforce Sales] - Disponer de un bot√õn que permita sincronizar toda una cuenta (cliente, contactos y direcciones)</t>
  </si>
  <si>
    <t>Kiosks Envios - Incremento 4 | Alargar a oferta a Correio Registado Nacional e Expresso Internacional (a definir)</t>
  </si>
  <si>
    <t>[Qlik &amp; Salesforce] - Alarmas Comercial 02- Cumplimiento del Comprometido Cierre Tareas</t>
  </si>
  <si>
    <t>Acesso SGEE Apoio ao Cliente</t>
  </si>
  <si>
    <t>Revisi√õn del PRN actual</t>
  </si>
  <si>
    <t>Auditoria EY - Cria√Å‚Äûo de Web Service para interfaces entre a aplica√Å‚Äûo IOS e a M√àdis</t>
  </si>
  <si>
    <t>Evoluci√õn portal de Arrastres V.2</t>
  </si>
  <si>
    <t>CRM I Cria√Å‚Äûo de reporting em Power BI para controlo do tratamento de solicita√Åƒ±es</t>
  </si>
  <si>
    <t>[Evolutivos SGC]  Recuperar Doble click en grid inferior valoracion de servicios, no abre las tablas como antes para editar y cambios, (p√àrdida esta funcionalidad importante)</t>
  </si>
  <si>
    <t>Simulador de tabelas</t>
  </si>
  <si>
    <t>[Mejora Calidad Servicio] - PDA - Envios Multibulto (aplicar logica de causa propia - ajena) (TO)</t>
  </si>
  <si>
    <t>Analytics | Implementa√Å‚Äûo da DL no GA para os aplicativos que n‚Äûo est‚Äûo em falta</t>
  </si>
  <si>
    <t>[Auditoria PT] Detecci√õn y expulsi√õn en los clasificadores de objetos de Clientes inactivos</t>
  </si>
  <si>
    <t>Notificaciones AWS para migraciones de lambdas de python 3.9 a 3.12</t>
  </si>
  <si>
    <t>Motor de Pesquisa de Varios objetos no SGC</t>
  </si>
  <si>
    <t>[Qlik Sense][A-Scan] - Nuevos Filtros</t>
  </si>
  <si>
    <t>COOKIES - Implementa√Å‚Äûo do Google Consent Mode nos Aplicativos e da Gest‚Äûo das cookies nos aplicativos B2B</t>
  </si>
  <si>
    <t>[Salesforce] - Automatizaci√õn de tarifas (en funci√õn de env√åos comprometidos y rentabilidad de la cuenta)</t>
  </si>
  <si>
    <t>Altera√Å‚Äûo Tal‚Äûo Vales Postais superiores a 1.000√Ñ - recomenda√Å‚Äûo auditoria REC/ASN:2025-0015</t>
  </si>
  <si>
    <t>Qlik para comerciales</t>
  </si>
  <si>
    <t>Corre√Å‚Äûo Mapeamento inform¬∑tico - metadados Vales Pagos internacionais</t>
  </si>
  <si>
    <t>[Web de Clientes] - Vulnerabilidad cr√åtica web clientes y  Revisi√õn de la web antigua</t>
  </si>
  <si>
    <t>Consulta de Objetos e Downlad dos POD'S</t>
  </si>
  <si>
    <t>Reactivar recursos al iniciar la ruta (Veh√åculos-Conductores)</t>
  </si>
  <si>
    <t>[Evolutivos SGC] Recuperar Acceso a modificacion de tarifas y configuracion del "Microservicio" (p√àrdida de funcionalidad importante)</t>
  </si>
  <si>
    <t>Motor de Pesquisa de Varios objetos no T&amp;T</t>
  </si>
  <si>
    <t>Migrar clusters de Mongo a MultiAZ</t>
  </si>
  <si>
    <t>Motor de Pesquisa de Varios objetos no S&amp;V</t>
  </si>
  <si>
    <t>Mejora de visualizaci√õn en PDA last-mail env√åos balanceados por SENDA "LIBRA"</t>
  </si>
  <si>
    <t>Elimina√Å‚Äûo da impress‚Äûo da guia da Loja na aceita√Å‚Äûo de objetos CTT Expresso (contratual e ocasional)</t>
  </si>
  <si>
    <t>[Salesforce] - Automatismo de asignaci√õn de casos a gestora de ingresos</t>
  </si>
  <si>
    <t>Fatura√Å‚Äûo Agentes Payshop - automatiza√Å‚Äûo e integra√Å‚Äûo processo CTT</t>
  </si>
  <si>
    <t>[PUDOS] - Modificaci√õn de entrega de un PUDO a otro destino (TP)/Modificaci√õn de entrega y comunicaci√õn</t>
  </si>
  <si>
    <t>Agentes Payshop - passar ficheiro em access para base de dados</t>
  </si>
  <si>
    <t>Web Clientes? - Automatizacion para Generacion y envio automatico de informes, Portal cliente</t>
  </si>
  <si>
    <t>Atualiza√Å‚Äûo Cat¬∑logo Produtos e Otimiza√Å‚Äûo de Guias de Remessa (Opera√Åƒ±es de Filatelia)</t>
  </si>
  <si>
    <t>Mejora creaci√õn servicios espor¬∑dicos</t>
  </si>
  <si>
    <t>Actualizaci√õn autom¬∑tica de aplicaciones hijas en Nexia</t>
  </si>
  <si>
    <t>Planeamento e Controlo Di¬∑rio - Concilia√Å‚Äûo Modelo A</t>
  </si>
  <si>
    <t>Portal de Proveedores - Implementar rec¬∑lculo autom¬∑tico de liquidaciones Linehaul de rutas espor¬∑dicas</t>
  </si>
  <si>
    <t>Adiantamentos para D+1 a PCTT encerrados em D</t>
  </si>
  <si>
    <t>Cyber - Securizaci√õn de los accesos a webcliente.cttexpress.com y api.cttexpress.com</t>
  </si>
  <si>
    <t>BFT - Faturas com 4 casas decimais</t>
  </si>
  <si>
    <t>[Evolutivos SGC]  Aplicaci√õn de la densidad cuando el CP no existe, confirmar IT si todo el proceso esta acabado (Incidencia)</t>
  </si>
  <si>
    <t>Cria√Å‚Äûo Se√Å‚Äûo dados Complementares</t>
  </si>
  <si>
    <t>Sistema de seguimiento de rutas de arrastre - v2</t>
  </si>
  <si>
    <t>Impressoras Termicas (Clientes Externos) - certifica√Å‚Äûo de varios modelos e handover para EM</t>
  </si>
  <si>
    <t>[Salesforce] - Datos de comisionista en Cuenta en el CRM</t>
  </si>
  <si>
    <t>[PUDOS] -Planilla de selecci√õn de puntos segÀôn criterio del cliente</t>
  </si>
  <si>
    <t>Integraci√õn Clientes</t>
  </si>
  <si>
    <t>Evoluci√õn portal de LastMile V.2</t>
  </si>
  <si>
    <t>Plataforma de Configuraci√õn de Agentes IA</t>
  </si>
  <si>
    <t>[Alarmas Finanzas] Alarma-45 Reporte/Alerta de servicios antes del cierre "Keysoft"</t>
  </si>
  <si>
    <t>[Salesforce Sales] - Completar campo Estado / provincia</t>
  </si>
  <si>
    <t>[Qlik] - Tasa de Retenci√õn &amp; Churn Rate (Qlik: Automatizar el modelo)</t>
  </si>
  <si>
    <t>[Integraci√õn de Clientes ] - Configuraci√õn fichero de COD para Zalando</t>
  </si>
  <si>
    <t>Nuevo entorno de desarrollo para microservicios</t>
  </si>
  <si>
    <t>[Evolutivos SGC] Acceso a tabla de retasados (NO las muestra si hay varias por validez en gestion de tablas) + Acceso Retasados microservicios (revisar Juancho)</t>
  </si>
  <si>
    <t>[Salesforce] - Usuario / Origen de una acci√õn sobre un env√åo en la trazabilidad desde ATC</t>
  </si>
  <si>
    <t>Creaci√õn de un entorno espec√åfico para el Sistema de Gesti√õn de Calidad y Sostenibilidad</t>
  </si>
  <si>
    <t>Cambio de API para disponer de la informaci√õn de valor y peso a declarar ante la aduana por parte del Cliente  (TC)</t>
  </si>
  <si>
    <t>[Salesforce] - Cancelar ofertas no firmadas cuando se cancele una oportunidad</t>
  </si>
  <si>
    <t>[Web de clientes] - Crear funci√õn JS que devuelva el ID de los usuarios</t>
  </si>
  <si>
    <t>PMO - Seguimiento y Control de Proyectos</t>
  </si>
  <si>
    <t>[Alarmas Finanzas] Alarma-75 Comprobar env√åos en agencias desactivadas</t>
  </si>
  <si>
    <t>Seguimiento &amp; Control de IT - Formaci√õn - Vacaciones - Otros</t>
  </si>
  <si>
    <t>[Alarmas Finanzas] Alarma-56 Env√åos abonados m¬∑s de una vez</t>
  </si>
  <si>
    <t>[Salesforce Sales] - Modificar el CIF de un centro relacionado cuando se modifique un Prospecto</t>
  </si>
  <si>
    <t>[Nexus - MVP] [PUDOS] - Desv√åo a PUDO al vuelo en incidencia</t>
  </si>
  <si>
    <t>[PEPE] Epica de prueba</t>
  </si>
  <si>
    <t>[Alarmas Finanzas] Alarma-55 Env√åos pendientes de valorizar o sin facturar del mes anterior</t>
  </si>
  <si>
    <t>[Salesforce Sales] - Control de avance de una oportunidad en funci√õn de las fechas de los hitos necesarias</t>
  </si>
  <si>
    <t>[Desconexi√õn SGC] [ FR y BR Web de clientes] - Proyecto Cloud (borrador)</t>
  </si>
  <si>
    <t>[Compras] Implantaci√õn e-Compras - Nueva Web venta material clientes (proyecto de finanzas 2023)</t>
  </si>
  <si>
    <t>[Salesforce Sales] - Notificaci√õn al usuario cuando el campo IBAN de Reembolsos sea cumplimentado</t>
  </si>
  <si>
    <t>[Internacional] - Informar a FedEx del valor asegurado del env√åo</t>
  </si>
  <si>
    <t>[Evolutivos SGC] Cambio de c√õdigo de Cliente al rectificar un servicio, confirmar IT si todo el proceso esta acabado (Incidencia)</t>
  </si>
  <si>
    <t>[Salesforce Service] - Incidencias C. Propia/Automatizar incidencias en SF (marcar prioridad en SENDA desde IVR y Web)</t>
  </si>
  <si>
    <t>Exponer dato de c√õdigo de recogida propia</t>
  </si>
  <si>
    <t>[SGC] - Cargar perfil tarifario en clientes con perfiles vac√åos</t>
  </si>
  <si>
    <t>[Salesforce] - Nuevos sectores empresariales en Candidatos y Cuentas</t>
  </si>
  <si>
    <t>[Mulesoft] - [Api Integrations Clientes] : Disponer de los client_id que invocan a los endpoint de integraciones</t>
  </si>
  <si>
    <t>[Evolutivos Salesforce]  Asignacion de tarifas por cliente master - Salesforce/Minerva (posibilidad de clientes centro con tarifas diferentes) (Validar por Herramientas Comerciales)</t>
  </si>
  <si>
    <t>[Evolutivos SGC] Aplicar correctamente los impuestos en funci√õn de la combinaci√õn art√åculo-zona, Solicitud de 2015 potenciales problemas fiscales</t>
  </si>
  <si>
    <t>[Minerva] - Actualizaci√õn del d√åa de pago en la oferta cuando el comercial lo modifique en una Opp. de Salesforce</t>
  </si>
  <si>
    <t>[NEXUS] [Web de cambios] - Transformaci√õn web de cambios - Redise√ío y tecnolog√åa React</t>
  </si>
  <si>
    <t>[Evolutivos SGC] Recuperar el Numero de factura emitida en grid de valoracion de servicios, (perdida de funcionalidad)</t>
  </si>
  <si>
    <t>[Salesforce Sales] - Incorporaci√õn de nuevos Subsegmentos SME</t>
  </si>
  <si>
    <t>[Web de clientes] - Seguimiento 2.0 - Redise√ío de la secci√õn de seguimiento</t>
  </si>
  <si>
    <t>[Alarmas Finanzas] Servicios pendientes de meses anteriores que pasen al mes siguiente a modulo de facturaci√õn una vez cerrado el mes (PENDIENTE DE SOLUCI‚ÄùN DE IT YA PRESENTADA)</t>
  </si>
  <si>
    <t>[Qlik] - App Control de Efectivos (incorporaci√õn de Kpis)</t>
  </si>
  <si>
    <t>[PUDOS] [Web clientes] - A√íadir campo nombre rtt en RDP</t>
  </si>
  <si>
    <t>[Evolutivo SGC] Adeudos RE2 y RE11 cargados el Àôltimo d√åa del mes pasadas las 17:00 horas (Pasar a Operaciones)</t>
  </si>
  <si>
    <t>[Desconexi√õn SGC] [Salesforce Service] - Migraci√õn del Almac√àn regulador? de SGC</t>
  </si>
  <si>
    <t>[Salesforce Sales] - Brokers y MBE: Permitir generaci√õn de usuarios web</t>
  </si>
  <si>
    <t>[Web de Clientes] - Visualizar costes de los servicios adicionales en la web de clientes</t>
  </si>
  <si>
    <t>[Evolutivo SGC] Desarrollar un sistema de refacturaci√õn a los brokers para que autom¬∑ticamente podamos refacturarles los costes de recogida cuando se apliquen a brokers sin coste de recogida</t>
  </si>
  <si>
    <t>[SAP] Recargo de equivalencia (m√õdulo +) Esta evolucion debe ser en SGC y en el interface de SAP no viaja</t>
  </si>
  <si>
    <t>[WE SELL] - Carga de nuevo modelo tarifario PT Continental 2026</t>
  </si>
  <si>
    <t>[Web de clientes] - Funcionalidad de gestionar y visualizar el seguimiento de los Retornados</t>
  </si>
  <si>
    <t>Mapper - uso de codigos de cliente y credenciales Cloud</t>
  </si>
  <si>
    <t>[Evolutivos SGC] Nueva funcionalidad para Clientes que no etiquetan (recargo por mercancia no/mal etiquetada) (pendiente al ser antiguo revisar con LR)</t>
  </si>
  <si>
    <t>[Nexus] - We Sell (Lead to Contract) - Modelos tarifarios en funci√õn de Zona Comercial</t>
  </si>
  <si>
    <t>[PRODUCTO] [Web de Clientes] - Puentes de Env√åos a / desde Canarias, Ceuta y Melilla</t>
  </si>
  <si>
    <t>[SAP] Migraci√õn SAP</t>
  </si>
  <si>
    <t>[Salesforce Sales] - Notificaciones del Plan de Acompa√íamiento autom¬∑ticas</t>
  </si>
  <si>
    <t>[Procesos] - Reenv√åo notificaciones env√åos en incidencia estacionados</t>
  </si>
  <si>
    <t>[Auditoria PT] Control peri√õdico de Clientes Inactivos</t>
  </si>
  <si>
    <t>[Portal del Proveedor] Nuevas funcionalidades - Bloqueo Repartidor Seguridad</t>
  </si>
  <si>
    <t>Crear LOG  reglas de pago clientes SGC</t>
  </si>
  <si>
    <t>Nueva estrategia de integraci√õn de Clientes (TC)</t>
  </si>
  <si>
    <t>[Qlik] - CANDIDATES MANAGEMENT (Crear un modelo para medir las campa√ías de MK)</t>
  </si>
  <si>
    <t>[Auditoria PT] Consulta del historial de los datos de los objetos que han sido alterados manualmente o corregidos por la automatizaci√õn</t>
  </si>
  <si>
    <t>Revisi√õn feedback a Clientes conectados a SGC (legacy)</t>
  </si>
  <si>
    <t>[PUDOS] - Herramienta de seguimiento de recogidas infructuosas de caducados</t>
  </si>
  <si>
    <t>[Auditoria PT] Control de revisiones de alteraciones manuales</t>
  </si>
  <si>
    <t>[Auditoria PT] [Salesforce Sales] - (Des)Activaci√õn de clientes centros y usuarios por cese o impagos</t>
  </si>
  <si>
    <t>[PUDOS] - Filtrado - Depuraci√õn en env√åos a direcci√õn PUDO sin PER</t>
  </si>
  <si>
    <t>Control de envios duplicados: validacion SINONIMO BULTO / REFERENCIA CLIENTE</t>
  </si>
  <si>
    <t>[Auditoria PT] Evaluar la implementaci√õn de una reclasificaci√õn autom¬∑tica de los servicios declarados incorrectamente por el cliente</t>
  </si>
  <si>
    <t>[Salesforce] - Gesti√õn de casos asignados al ¬∑rea comercial</t>
  </si>
  <si>
    <t>[Salesforce Sales] - Configuraci√õn campos/variables Pardot</t>
  </si>
  <si>
    <t>[Auditoria PT]  Seguimiento de los cambios realizados manualmente o mediante automatizaci√õn y control/aprobaci√õn de los mismos</t>
  </si>
  <si>
    <t>[Qlik] - Migraci√õn y redifinici√õn de App Notifications Analytics - Cloud</t>
  </si>
  <si>
    <t>SGC - Anulaci√õn eventos PT</t>
  </si>
  <si>
    <t>[Salesforce Sales] - Nuevo Campo Cuenta tipo Cliente y centro: "Gesti√õn por"</t>
  </si>
  <si>
    <t>[PUDOS] [Web de Clientes] - EDP y RDP: Tarificaci√õn por bonificaci√õn de servicios 24H y 48H</t>
  </si>
  <si>
    <t>Evoluci√õn verificaci√õn periodos + (pesos y medidas) V2</t>
  </si>
  <si>
    <t>[Salesforce Sales] - No mostrar campo 'Motivo de baja' cuando el estado de una cuenta pase a 'Activo'</t>
  </si>
  <si>
    <t>[Notificaciones] - Optimizaci√õn colas de salida de notificaciones, Control y Autonom√åa de gesti√õn en marketing</t>
  </si>
  <si>
    <t>Plantilla modificacion de clientes sap hanna</t>
  </si>
  <si>
    <t>[Web PÀôblica 2.0] - Gesti√õn de Consentimientos de env√åos de mails y promociones</t>
  </si>
  <si>
    <t>Query direcciones de recogida portal del proveedor</t>
  </si>
  <si>
    <t>[PUDOS] - Entregas y Recogidas Directas en PUDO - Tr¬∑nsitos ES-ES y ES-PT - Integraci√õn bidireccional de Pudos ES-PT, PT-ES</t>
  </si>
  <si>
    <t>Informes Personalizados Finanzas en SharePoint</t>
  </si>
  <si>
    <t>[Salesforce Service] - Reglas de cierre y respuesta autom¬∑tica de casos de env√åos estacionados o ubicados</t>
  </si>
  <si>
    <t>Cliente SALVADOR ESCODA SAT - Modificaci√õn Mapper</t>
  </si>
  <si>
    <t>Aplicaci√õn de reglas en registros de peso y volumen (TC)</t>
  </si>
  <si>
    <t>[Web de Clientes] - Reportes: Suscripci√õn Informes incidencias con disponibilidad a demanda</t>
  </si>
  <si>
    <t>[PUDOS] - Automatizaci√õn de comunicaci√õn de eventos de Celeritas - CTT</t>
  </si>
  <si>
    <t>[PUDOS] - Check para permitir a cliente elegir si dtt recibe notificaciones del estado del env√åo</t>
  </si>
  <si>
    <t>[Qlik] - Nueva App Plan de Acogida y Acompa√íamiento</t>
  </si>
  <si>
    <t>[PUDOS] - Mecanismo de diferenciaci√õn de recogidas en los COs. Recogidas vs. RDP</t>
  </si>
  <si>
    <t>[PUDOS] - Env√åos Punto-Punto</t>
  </si>
  <si>
    <t>Cliente EXPOLLUM - Transmisi√õn selectiva Mapper</t>
  </si>
  <si>
    <t>[PUDOS] - Mejora servicio VDP</t>
  </si>
  <si>
    <t>[Web publica] - Permitir a los destinatarios buscar un env√åo por nÀômero de etiqueta de enlace asociada en el localizador</t>
  </si>
  <si>
    <t>[Qlik Sense] Mapa de Red</t>
  </si>
  <si>
    <t>[Web de clientes] - Solicitud de env√åos - Pudo a Pudo</t>
  </si>
  <si>
    <t>[PUDOS] - Descuento comercial RDP</t>
  </si>
  <si>
    <t>[Web clientes - Mapper] - Evoluci√õn completa de grabaci√õn masiva en Cloud</t>
  </si>
  <si>
    <t>[User Endpoint API REST GET TRACKING] A√íadir organic_point_code cuando estados 2300 / 2310</t>
  </si>
  <si>
    <t>[PUDOS] - Creaci√õn de alarma ante la falta de recepci√õn de √õrdenes de recogidas de caducados Celeritas</t>
  </si>
  <si>
    <t>SLA S¬∑bados y Domingos</t>
  </si>
  <si>
    <t>[Minerva] - Modificar la plantilla de respuesta de Signaturit cuando se firma un contrato</t>
  </si>
  <si>
    <t>[PUDOS] - Automatizaci√õn de la facturaci√õn cruzada con las redes de puntos.</t>
  </si>
  <si>
    <t>[PUDOS] - Notificaciones de RDP origen PT</t>
  </si>
  <si>
    <t>[Web de clientes] - Setting: Configurar env√åo predeterminado</t>
  </si>
  <si>
    <t>Integracion Clientes Salesforce - Generacion automatica de claves de cognito para integracion Mapper</t>
  </si>
  <si>
    <t>KPI "D√åas backlog env√åos" en app de an¬∑lisis de calidad del reparto</t>
  </si>
  <si>
    <t>[Web pÀôblica] - Infraestructura - Medici√õn Analytics- Implementaci√õn DataLayer</t>
  </si>
  <si>
    <t>[Producto] - Incorporar Validaci√õn DNI / PIN  (Servicio actual)</t>
  </si>
  <si>
    <t>[Web de Clientes] - Grabaci√õn masiva - A√íadir validaci√õn (preaviso al usuario) para cargar el fichero plantilla definido</t>
  </si>
  <si>
    <t>[Web de Clientes] - Minerva Ratings - Actualizar el perfil tarifario de clientes al est¬∑ndar de 1-20 env√åos comprometidos para que visualice su tarifa en la web</t>
  </si>
  <si>
    <t>Maestro festivos provinciales en c¬∑lculos de fechas de compromiso</t>
  </si>
  <si>
    <t>[Web de Clientes] - Minerva Ratings - Visualizaci√õn incorrecta de tarifa del cliente 00052</t>
  </si>
  <si>
    <t>[WebHook] - Cacesa</t>
  </si>
  <si>
    <t>[Web de Clientes] - Estados - Seguimiento - Error con los env√åos  al filtrar por fechas de grabaci√õn</t>
  </si>
  <si>
    <t>[Nexus]-[Minerva]- Modelo Tarifario Densidades+Zona</t>
  </si>
  <si>
    <t>[PUDOS] - [Notificaciones] - N3.1 Entrega en PUDOS mostrar variable pudo address</t>
  </si>
  <si>
    <t>[Salesforce‚Ä†Service]? - Reexpedir -recanalizar- y destruir un env√åo por parte del equipo de ATC</t>
  </si>
  <si>
    <t>[Web de clientes] - Retorno en seguimiento - Mostrar por fecha de grabaci√õn y no de servicio</t>
  </si>
  <si>
    <t>[Nexus] [Web de Clientes] - Recogida Flexible Grabaci√õn de env√åos: Permitir recogida a la carta</t>
  </si>
  <si>
    <t>Herramienta Monitorizaci√õn Manifiestos (Carga de Ficheros Cloud y Grabacion Api's)</t>
  </si>
  <si>
    <t>[PUDOS] [Web PÀôblica] - Orientar venta directa (a√íadir literales)</t>
  </si>
  <si>
    <t>[Web de Clientes] - Seguimiento - A√íadir HORA junto a la FECHA</t>
  </si>
  <si>
    <t>[Desconexi√õn SGC] [QLIK] Calidad de Recogidas App QLIK</t>
  </si>
  <si>
    <t>[PRODUCTO]  [Web de Clientes] - Aranceles aduaneros Canarias</t>
  </si>
  <si>
    <t>[Web de Clientes] - Parametrizar el canal de Importaci√õn masiva para permitir su medici√õn en los sistemas</t>
  </si>
  <si>
    <t>[Web de Clientes] - Incluir tooltip en el bot√õn de a√íadir NUEVO bulto para env√åos a Puntos</t>
  </si>
  <si>
    <t>Ficheros DataTrans sin CP origen</t>
  </si>
  <si>
    <t>[Facturacion]: Modificar contenido del Email Factura a clientes</t>
  </si>
  <si>
    <t>[Qlik] - Nprinting - Informe efectividad de red</t>
  </si>
  <si>
    <t>[web clientes] Modulo aduanas: Andorra</t>
  </si>
  <si>
    <t>[PUDOS] - Pantallas Nexia consulta estados de proveedor</t>
  </si>
  <si>
    <t>[Web de Clientes] - Revisi√õn anulaci√õn env√åos</t>
  </si>
  <si>
    <t>[CELERITAS] - Inhibir notificaciones a dtt en env√åos Celeritas Cliente</t>
  </si>
  <si>
    <t>Manifest errores de carga en c√õdigos postales.</t>
  </si>
  <si>
    <t>C¬∑lculo de festivos provinciales (caso Pa√ås Vasco)</t>
  </si>
  <si>
    <t>[PUDOS] - [Salesforce-Dynamic Case] - EL bot√õn de reenv√åo de pin debe reconocer que el env√åo tiene estado 2310 no que est¬∑ en estado 2310</t>
  </si>
  <si>
    <t>[Nexus] - Informaci√õn PÀôblica de los Clientes - visi√õn de informaci√õn de clientes a destinatarios</t>
  </si>
  <si>
    <t>[PUDOS] - [QLIK] Inclusi√õn de campo provincia en hoja PUDO POINT LIST</t>
  </si>
  <si>
    <t>[PUDOS] - Gesti√õn de saturaci√õn en puntos Collectt</t>
  </si>
  <si>
    <t>[Desconexi√õn SGC] [Salesforce Service] - Gesti√õn de casos: modificaciones tipos de servicio</t>
  </si>
  <si>
    <t>[Web  de Clientes] - Comportamiento recogidas en grabaci√õn masiva</t>
  </si>
  <si>
    <t>[ESTADOS] - Mostrar a clientes el mismo evento/estado sucesivo ocurrido en dias distintos</t>
  </si>
  <si>
    <t>[Web pÀôblica] - Medici√õn Analytics - A√íadir ID en botones de los aplicativos web</t>
  </si>
  <si>
    <t>[Web de Cambios] - Mantener el idioma configurado por defecto en web de cambio</t>
  </si>
  <si>
    <t>[Web pÀôblica 2.0] - Seguimiento de env√åos - Aplicar l√õgica para mostrar bot√õn de modificar env√åos con incidencia</t>
  </si>
  <si>
    <t>Cierre diario de recogidas</t>
  </si>
  <si>
    <t>[Web de clientes Antigua] aplicar un noindex a la p¬∑gina https://app.cttexpress.com/</t>
  </si>
  <si>
    <t>[Web de Clientes] - Permisos usuario est¬∑ndar - M√õdulo de Reportes e informes</t>
  </si>
  <si>
    <t>Migracion Metodo WS GetServiceEvents de SGC a Cloud (Dupla)</t>
  </si>
  <si>
    <t>[Salesforce] - Nueva landing captaci√õn SEM conectada con el CRM y Pardot</t>
  </si>
  <si>
    <t>[Web de Clientes] - Seguimiento - Actualizar mensajes cuando no existen env√åos para mostrar en el seguimiento</t>
  </si>
  <si>
    <t>[SLA/Commitmment Date] - Parametrizaci√õn Cliente ASOS basada en la Agencia de Origen</t>
  </si>
  <si>
    <t>[PUDOS] - Entrega de Documentaci√õn para integraci√õn de redes PUDOs de terceros</t>
  </si>
  <si>
    <t>[Web PÀôblica 2.0] - C√õdigo de ShippingCode - Manifiestos genera error debido a ShippingCodes repetidos</t>
  </si>
  <si>
    <t>[Web de Clientes] - Facturaci√õn - Ocultar bloque marcos tarifarios para clientes con m¬∑s de 20K env√åos comprometidos</t>
  </si>
  <si>
    <t>Migracion Hosting aplicacion Shopify a servidores CTT</t>
  </si>
  <si>
    <t>End point to get Georeferences from listed addresses</t>
  </si>
  <si>
    <t>Conexi√õn de eventos estados PT-ES/Transici√õn de estados con eventos PT</t>
  </si>
  <si>
    <t>[Notificaciones] - Customer Communications Management basado en la funcionalidad actual</t>
  </si>
  <si>
    <t>[Web de cliente] - Seguimiento de env√åos - Informar de env√åos Caducado en Collectt</t>
  </si>
  <si>
    <t>Enlace para usuario en selecci√õn PUDO para RDP a trav√às de Web Cliente</t>
  </si>
  <si>
    <t>[web clientes]  Incluir formato Excel y CSV en suscripci√õn de informes</t>
  </si>
  <si>
    <t>[ERROR 500 MS Manifest] YDH - TIK TOK</t>
  </si>
  <si>
    <t>[Web de clientes] - Seguimiento - Geoposici√õn V2 - Comparar destino con geoposici√õn de entrega</t>
  </si>
  <si>
    <t>[Internacional]-Notificaci√õn por Incidencia "Falta de documentaci√õn"</t>
  </si>
  <si>
    <t>[PUDOS] - Destacar Locky en localizador de pudos</t>
  </si>
  <si>
    <t>CONTRATO ON LINE</t>
  </si>
  <si>
    <t>[Web publica] - Ajustes Locky en visi√õn destinatario de web pÀôblica</t>
  </si>
  <si>
    <t>[WebHook] - Factor Libre 4096600005 solo entorno de test</t>
  </si>
  <si>
    <t>[Web de cliente] - Seguimiento - Utilizar en filtro y listado de env√åo la fecha registrada en la variable shipping_date</t>
  </si>
  <si>
    <t>Epic Title (ex initiative)</t>
  </si>
  <si>
    <t>[Web de clientes] - Seguimiento - Incidencias gestionables muestra mensaje err√õneo</t>
  </si>
  <si>
    <t>[Web PÀôblica 2.0] - Formularios - : CHECK PROMOCIONES Y CONTACTOS DUPLICADOS</t>
  </si>
  <si>
    <t>[Nexus-MVP] [Web de Clientes] Traducci√õn al portugu√às</t>
  </si>
  <si>
    <t>[Desconexi√õn SGC] [WebHook] - Implementacion de la Plataforma de WebHooks standard</t>
  </si>
  <si>
    <t>[Salesforce] Notificaci√õn autom¬∑tica cambio de comercial</t>
  </si>
  <si>
    <t>[PUDOS][PDA]-Evitar falsos entregados desde PDA repartidor</t>
  </si>
  <si>
    <t>[Web de clientes][Desktop] - Seguimiento - Ocultar bot√õn de "Estados" / Alert de filtros</t>
  </si>
  <si>
    <t>[Web de clientes][Mobile] - Mi cuenta + Ayuda y soporte</t>
  </si>
  <si>
    <t>[Web de clientes][Mobile] - Agenda</t>
  </si>
  <si>
    <t>[ESTADOS VISIBLES] Endpoint Client Experience API REST GET TRACKING - TIK TOK - estados no devueltos - Copy</t>
  </si>
  <si>
    <t>[Web de clientes][Mobile] - Seguimiento de env√åos</t>
  </si>
  <si>
    <t>[Web de clientes][Mobile] - Burger Menu + Actualizaci√õn de p¬∑gina de inicio</t>
  </si>
  <si>
    <t>[Web de clientes][Mobile] - Solicitud de env√åo</t>
  </si>
  <si>
    <t>[Web PÀôblica] - Formulario y email Pagina Red PUDOS</t>
  </si>
  <si>
    <t>[Web de Clientes] - Suscripci√õn de informes - Reporte con la informaci√õn de env√åos de los Àôltimos 30 d√åas naturales - Ordenar reporte</t>
  </si>
  <si>
    <t>[WebHook] - Indtex - Migracion de SGC a Cloud</t>
  </si>
  <si>
    <t>[PUDOS] - Habilitaci√õn de LMS para entregas en PUDOS en ES</t>
  </si>
  <si>
    <t>[FR y BR] - Tarifas y Ofertas</t>
  </si>
  <si>
    <t>[FR y BR] - Campo departamento y facturaci√õn</t>
  </si>
  <si>
    <t>[Notificaciones] - PUDOS - Nueva notificaci√õn de "caducado en punto se devuelve"</t>
  </si>
  <si>
    <t>[WEB CLIENTE] Configuraci√õn visibilidad web a nivel CENTRO</t>
  </si>
  <si>
    <t>Mejora Mapper Agrupacion</t>
  </si>
  <si>
    <t>[PUDOS] - Mejora Pudo Manager</t>
  </si>
  <si>
    <t>[Web de Clientes] - Gesti√õn del env√åo - V2 A√íadir nuevas incidencias al proceso de entrega para gestionar la soluci√õn</t>
  </si>
  <si>
    <t>[Internacional]- Actualizaci√õn Web- M√õdulo Aduana</t>
  </si>
  <si>
    <t>[Web de Clientes] - Seguimiento de Env√åo - Posibilidad de descargar el albar¬∑n asociado al env√åo</t>
  </si>
  <si>
    <t>[Nexus-MVP] [Web de Clientes] - Recogidas - Resoluci√õn Incidencia en la recogida causa ajena: permitir al cliente solicitar una nueva recogida</t>
  </si>
  <si>
    <t>Mapper: Posibilidad de indicar la ruta de instalaci√õn.</t>
  </si>
  <si>
    <t>[PUDOS] - Internalizaci√õn de la gesti√õn de env√åos en punto Celeritas</t>
  </si>
  <si>
    <t>[PUDOS] - Maquetaci√õn de Justificante de entrega PUDOS (POD)</t>
  </si>
  <si>
    <t>[Producto] -  C√õdigo promocional</t>
  </si>
  <si>
    <t>[PUDOS] - Resoluci√õn incidencias de Puntos CTT Express</t>
  </si>
  <si>
    <t>Desarrollo Nuevas funcionalidades/Venta (TP)</t>
  </si>
  <si>
    <t>BITACORA - Cambiar delivery_comments de lugar</t>
  </si>
  <si>
    <t>Implementaci√õn de la red Locky (TP)</t>
  </si>
  <si>
    <t>Servicios Preferentes/Revisi√õn del c¬∑lculo de compromiso (TP)</t>
  </si>
  <si>
    <t>BITACORA EVOLUCION DE ESTADOS FINALES</t>
  </si>
  <si>
    <t>[Integraci√õn] - Publicar landing page para gestionar Devoluciones por parte de los Destinatarios - (MAS DEPORTE)</t>
  </si>
  <si>
    <t>Seguimiento de env√åos por Api Devoluci√õn retornado reexpedido y recogidas</t>
  </si>
  <si>
    <t>[Desconexi√õn SGC] [WebHook] - Monitorizaci√õn WebHooks clientes</t>
  </si>
  <si>
    <t>[CANCEL SHIPMENT - Falta check ccc] URL Management rpc-cancel</t>
  </si>
  <si>
    <t>API'S para clientes Tipos Servicio Disponibles (Integraci√õn de Clientes)</t>
  </si>
  <si>
    <t>API'S para clientes Routing y Canalizaciones (Integraci√õn de Clientes)</t>
  </si>
  <si>
    <t>[Salesforce Sales] - Clonar cliente de PRODUCCION en UAT</t>
  </si>
  <si>
    <t>Publicar en Mule para Integrations recipient_available_actions</t>
  </si>
  <si>
    <t>[Desconexi√õn SGC] [WebHook] - Dupla Logistics - Env√åo de estados</t>
  </si>
  <si>
    <t>[Desconexi√õn SGC] [WebHook] - Celeritas - Transmisi√õn de estados</t>
  </si>
  <si>
    <t>Manifest - Estandarizaci√õn de formato DNI en env√åoscon adicional RID: Transformaci√õn autom¬∑tica a mayÀôsculas</t>
  </si>
  <si>
    <t>[Salesforce Integraci√õn Clientes] - Nueva l√õgica creaci√õn de implementaciones</t>
  </si>
  <si>
    <t>[Salesforce Integraci√õn Clientes] - Automatizar el cierre de una implementaci√õn exitosa</t>
  </si>
  <si>
    <t>[Salesforce] - Relacionar una implementaci√õn entre varios clientes que cuelgan de un mismo grupo de empresa</t>
  </si>
  <si>
    <t>[ID LOGISTICS] Estados De Portugal no visibles en SGC/API REST y URL web en Espa√ía (env√åos origen ES, destino PT)</t>
  </si>
  <si>
    <t>[Desconexi√õn SGC] - Migraci√õn exportaci√õn estados e informes a Cloud</t>
  </si>
  <si>
    <t>Odoo - Implementaci√õn remitente personalizado</t>
  </si>
  <si>
    <t>Identificacion Clientes y Metodos de integracion que usan [Objetos con origen en Espa√ía sin Cp7]</t>
  </si>
  <si>
    <t>Prestashop- Habilitar adicionales identificaci√õn en destino y verificacion destinatario</t>
  </si>
  <si>
    <t>WooCommerce- Habilitar adicionales identificaci√õn en destino y verificacion destinatario</t>
  </si>
  <si>
    <t>Shopify- Habilitar adicionales identificaci√õn en destino y verificacion destinatario</t>
  </si>
  <si>
    <t>[API GET TRACKING BY DATES] - WEB TRACKING - A√íadir c√õdigo env√åo devoluci√õn - API Rest, capa User Experience</t>
  </si>
  <si>
    <t>Herramienta Soporte ADT en Nexia</t>
  </si>
  <si>
    <t>Incluir fichero con versionado sobre hist√õrico de cambios (novedades y fixes) en todos los modulos</t>
  </si>
  <si>
    <t>ELKAR - Actualizaci√õn de bultos/kilos en expedici√õn mediante carga de fichero</t>
  </si>
  <si>
    <t>[Salesforce] - Informaci√õn de campos en los casos del Plan de acompa√íamiento</t>
  </si>
  <si>
    <t>Manifest-file: Admitir carga fichero Standar Cloud sin los campos de shipping_code e item_codes rellenos (mismo comportamiento que api de experiencia de clientes)</t>
  </si>
  <si>
    <t>WANB - Webhook</t>
  </si>
  <si>
    <t>Api Horario Cortes Recogidas</t>
  </si>
  <si>
    <t>Api Manifest- Devovler fecha y hora de recogida en respuesta cuando proceda</t>
  </si>
  <si>
    <t>Api Solicitud de Recogidas (sin envio asociado)</t>
  </si>
  <si>
    <t>TEMU - WebHook</t>
  </si>
  <si>
    <t>[Internacional] - Manifiesto de env√åos internacionales de explotaci√õn con aduanas por m√àtodos de Integraci√õn Clientes</t>
  </si>
  <si>
    <t>NEXT</t>
  </si>
  <si>
    <t>SainteLague</t>
  </si>
  <si>
    <t>Securizaci√õn entorno SENDA</t>
  </si>
  <si>
    <t>Ready for Development</t>
  </si>
  <si>
    <t>Mata Aplica√Åƒ±es - Wave 1.14</t>
  </si>
  <si>
    <t>Kafka - Upgrade MSK en AWS</t>
  </si>
  <si>
    <t>SAPSF - encripta√Å‚Äûo ficheiros SEPA CTT + CTTE</t>
  </si>
  <si>
    <t>[Nexus][Internacional]-[Nuevo Producto Low Cost]- SKYNET</t>
  </si>
  <si>
    <t>SAPSF -  Solu√Å‚Äûo de Interoperabilidade com a Seguran√Åa Social (Regulat√õrio)</t>
  </si>
  <si>
    <t>[PUDOS] - Incluir selecci√õn origen PT en Web Clientes para servicios RDP origen PT con manifiesto en ES</t>
  </si>
  <si>
    <t>[Web de Clientes] - Seguimiento - Poder filtrar por c√õdigo de env√åo sin tener en cuenta las fechas desde y hasta.</t>
  </si>
  <si>
    <t>top x</t>
  </si>
  <si>
    <t>Row Labels</t>
  </si>
  <si>
    <t>TRUE</t>
  </si>
  <si>
    <t>Grand Total</t>
  </si>
  <si>
    <t>Count of ID</t>
  </si>
  <si>
    <t>Column Labels</t>
  </si>
  <si>
    <t>WSJF</t>
  </si>
  <si>
    <t>EXPORT CSV</t>
  </si>
  <si>
    <t>WEIGHTS_RA</t>
  </si>
  <si>
    <t>WEIGHTS_RS</t>
  </si>
  <si>
    <t>Weight</t>
  </si>
  <si>
    <t>Weight-RS+BG</t>
  </si>
  <si>
    <t>Weight-Base</t>
  </si>
  <si>
    <t>Check</t>
  </si>
  <si>
    <t>CTTE</t>
  </si>
  <si>
    <t>ECM</t>
  </si>
  <si>
    <t>Data &amp; AI</t>
  </si>
  <si>
    <t>Banco CTT</t>
  </si>
  <si>
    <t>SI-CRP</t>
  </si>
  <si>
    <t>CHR</t>
  </si>
  <si>
    <t>IAD</t>
  </si>
  <si>
    <t>REF DATA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</si>
  <si>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</si>
  <si>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</si>
  <si>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</si>
  <si>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</si>
  <si>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</si>
  <si>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</si>
  <si>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</si>
  <si>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</si>
  <si>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</si>
  <si>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</si>
  <si>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</si>
  <si>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</si>
  <si>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ALTERAR</t>
  </si>
  <si>
    <t>DEMAND 2025</t>
  </si>
  <si>
    <t>PORTUGAL</t>
  </si>
  <si>
    <t>ESPAÑA</t>
  </si>
  <si>
    <t>PRODUCTS</t>
  </si>
  <si>
    <t>OPERATIONS</t>
  </si>
  <si>
    <t>CORPORATE</t>
  </si>
  <si>
    <t>TECHNOLOGY</t>
  </si>
  <si>
    <t>DAT</t>
  </si>
  <si>
    <t>operations</t>
  </si>
  <si>
    <t>commercial</t>
  </si>
  <si>
    <t>corporate</t>
  </si>
  <si>
    <t>technology</t>
  </si>
  <si>
    <t>ED</t>
  </si>
  <si>
    <t>GFC</t>
  </si>
  <si>
    <t>SSJ</t>
  </si>
  <si>
    <t>DEMAND 2026</t>
  </si>
  <si>
    <t>eCOMMERCE</t>
  </si>
  <si>
    <t>check</t>
  </si>
  <si>
    <t>DAI</t>
  </si>
  <si>
    <t>MAIL</t>
  </si>
  <si>
    <t>BUSINESS SOLUTIONS</t>
  </si>
  <si>
    <t>FULFILMENT</t>
  </si>
  <si>
    <t>PAYMENTS</t>
  </si>
  <si>
    <t>RETAIL &amp; FINANCIAL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</si>
</sst>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A7D00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FFFF00"/>
      <name val="Aptos Narrow"/>
      <scheme val="minor"/>
    </font>
    <font>
      <b/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2"/>
      <color rgb="FFFFFF00"/>
      <name val="Aptos Narrow"/>
      <scheme val="minor"/>
    </font>
    <font>
      <sz val="10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1" fillId="6" borderId="4" xfId="11"/>
    <xf numFmtId="0" fontId="18" fillId="0" borderId="0" xfId="0" applyFont="1"/>
    <xf numFmtId="0" fontId="19" fillId="6" borderId="4" xfId="11" applyFont="1"/>
    <xf numFmtId="0" fontId="20" fillId="33" borderId="0" xfId="0" applyFont="1" applyFill="1"/>
    <xf numFmtId="0" fontId="18" fillId="34" borderId="0" xfId="0" applyFont="1" applyFill="1"/>
    <xf numFmtId="0" fontId="0" fillId="34" borderId="0" xfId="0" applyFill="1"/>
    <xf numFmtId="0" fontId="18" fillId="33" borderId="0" xfId="0" applyFont="1" applyFill="1"/>
    <xf numFmtId="0" fontId="21" fillId="35" borderId="0" xfId="0" applyFont="1" applyFill="1"/>
    <xf numFmtId="0" fontId="22" fillId="36" borderId="0" xfId="0" applyFont="1" applyFill="1"/>
    <xf numFmtId="0" fontId="23" fillId="0" borderId="0" xfId="0" applyFont="1"/>
    <xf numFmtId="0" fontId="0" fillId="0" borderId="10" xfId="0" applyBorder="1"/>
    <xf numFmtId="0" fontId="24" fillId="0" borderId="0" xfId="0" applyFont="1"/>
    <xf numFmtId="0" fontId="0" fillId="0" borderId="11" xfId="0" applyBorder="1"/>
    <xf numFmtId="0" fontId="26" fillId="0" borderId="0" xfId="0" applyFont="1"/>
    <xf numFmtId="0" fontId="22" fillId="37" borderId="0" xfId="0" applyFont="1" applyFill="1"/>
    <xf numFmtId="0" fontId="25" fillId="37" borderId="0" xfId="0" applyFont="1" applyFill="1"/>
    <xf numFmtId="0" fontId="9" fillId="5" borderId="4" xfId="9"/>
    <xf numFmtId="0" fontId="21" fillId="36" borderId="0" xfId="0" applyFont="1" applyFill="1"/>
    <xf numFmtId="0" fontId="18" fillId="38" borderId="0" xfId="0" applyFont="1" applyFill="1"/>
    <xf numFmtId="0" fontId="0" fillId="38" borderId="0" xfId="0" applyFill="1"/>
    <xf numFmtId="164" fontId="0" fillId="38" borderId="0" xfId="0" applyNumberFormat="1" applyFill="1"/>
    <xf numFmtId="9" fontId="0" fillId="38" borderId="0" xfId="0" applyNumberFormat="1" applyFill="1"/>
    <xf numFmtId="0" fontId="18" fillId="39" borderId="0" xfId="0" applyFont="1" applyFill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i Pedro Saraiva" refreshedDate="46075.924007638889" createdVersion="8" refreshedVersion="8" minRefreshableVersion="3" recordCount="953" xr:uid="{FFDBBDE4-2B1E-7A41-82CD-0EB30F027C31}">
  <cacheSource type="worksheet">
    <worksheetSource ref="A1:P1000" sheet="demand"/>
  </cacheSource>
  <cacheFields count="16">
    <cacheField name="Queue" numFmtId="0">
      <sharedItems containsBlank="1" count="3">
        <s v="LATER"/>
        <s v="NEXT"/>
        <m/>
      </sharedItems>
    </cacheField>
    <cacheField name="Method" numFmtId="0">
      <sharedItems containsBlank="1"/>
    </cacheField>
    <cacheField name="GlobalRank" numFmtId="0">
      <sharedItems containsString="0" containsBlank="1" containsNumber="1" containsInteger="1" minValue="1" maxValue="952"/>
    </cacheField>
    <cacheField name="ID" numFmtId="0">
      <sharedItems containsString="0" containsBlank="1" containsNumber="1" containsInteger="1" minValue="10344" maxValue="207256"/>
    </cacheField>
    <cacheField name="Name" numFmtId="0">
      <sharedItems containsBlank="1"/>
    </cacheField>
    <cacheField name="RequestingArea" numFmtId="0">
      <sharedItems containsBlank="1" count="38">
        <s v="COO"/>
        <s v="GP B2B"/>
        <s v="EDO"/>
        <s v="GP B2C"/>
        <s v="SEO"/>
        <s v="GPG"/>
        <s v="GP ECL"/>
        <s v="GS"/>
        <s v="CFO"/>
        <s v="CF"/>
        <s v="CIO"/>
        <s v="SI-PRD"/>
        <s v="SI"/>
        <s v="CISO"/>
        <s v="CMO"/>
        <s v="SI-OPS"/>
        <s v="CCO"/>
        <s v="ATC"/>
        <s v="ACR"/>
        <s v="IDC"/>
        <s v="AVC"/>
        <s v="EM"/>
        <s v="DNI"/>
        <s v="PRO"/>
        <s v="PC"/>
        <s v="COM"/>
        <s v="CSI"/>
        <s v="GT"/>
        <s v="BCTT"/>
        <s v="GRH"/>
        <s v="RS"/>
        <s v="CL"/>
        <s v="DPO"/>
        <s v="CMP"/>
        <s v="ST"/>
        <s v="FL"/>
        <s v="TF"/>
        <m/>
      </sharedItems>
    </cacheField>
    <cacheField name="RevenueStream" numFmtId="0">
      <sharedItems containsBlank="1" count="7">
        <s v="eCommerce"/>
        <s v="Mail"/>
        <s v="Business Solutions"/>
        <s v="Retail &amp; Financial Services"/>
        <s v="Payments"/>
        <s v="Fulfilment"/>
        <m/>
      </sharedItems>
    </cacheField>
    <cacheField name="BudgetGroup" numFmtId="0">
      <sharedItems containsBlank="1" count="6">
        <s v="Operations"/>
        <s v="Commercial"/>
        <s v="Corporate"/>
        <s v="Technology"/>
        <s v="CISO"/>
        <m/>
      </sharedItems>
    </cacheField>
    <cacheField name="MicroPhase" numFmtId="0">
      <sharedItems containsBlank="1"/>
    </cacheField>
    <cacheField name="PriorityRA" numFmtId="0">
      <sharedItems containsString="0" containsBlank="1" containsNumber="1" containsInteger="1" minValue="1" maxValue="150"/>
    </cacheField>
    <cacheField name="WSJF_Score" numFmtId="0">
      <sharedItems containsString="0" containsBlank="1" containsNumber="1" minValue="0.03" maxValue="10"/>
    </cacheField>
    <cacheField name="Value" numFmtId="0">
      <sharedItems containsString="0" containsBlank="1" containsNumber="1" containsInteger="1" minValue="1" maxValue="5"/>
    </cacheField>
    <cacheField name="Urgency" numFmtId="0">
      <sharedItems containsString="0" containsBlank="1" containsNumber="1" containsInteger="1" minValue="1" maxValue="4"/>
    </cacheField>
    <cacheField name="Risk" numFmtId="0">
      <sharedItems containsString="0" containsBlank="1" containsNumber="1" containsInteger="1" minValue="1" maxValue="4"/>
    </cacheField>
    <cacheField name="Size" numFmtId="0">
      <sharedItems containsString="0" containsBlank="1" containsNumber="1" containsInteger="1" minValue="1" maxValue="100"/>
    </cacheField>
    <cacheField name="top x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x v="0"/>
    <s v="SainteLague"/>
    <n v="9"/>
    <n v="130701"/>
    <s v="Nuevos desarrollos Normalizaci√õn de direcciones"/>
    <x v="0"/>
    <x v="0"/>
    <x v="0"/>
    <s v="In Definition"/>
    <n v="2"/>
    <n v="0.03"/>
    <n v="1"/>
    <n v="1"/>
    <n v="1"/>
    <n v="100"/>
    <x v="0"/>
  </r>
  <r>
    <x v="0"/>
    <s v="SainteLague"/>
    <n v="10"/>
    <n v="125697"/>
    <s v="DeMinimis EUA - Solu√Å‚Äûo para retomar os envios de Bens para os EUA para os clientes n‚Äûo contratuais"/>
    <x v="1"/>
    <x v="1"/>
    <x v="1"/>
    <s v="Backlog"/>
    <n v="1"/>
    <n v="3"/>
    <n v="3"/>
    <n v="3"/>
    <n v="3"/>
    <n v="3"/>
    <x v="0"/>
  </r>
  <r>
    <x v="0"/>
    <s v="SainteLague"/>
    <n v="11"/>
    <n v="135288"/>
    <s v="Desenvolvimentos CNE no ‚Äömbito do Correio Inteligente"/>
    <x v="1"/>
    <x v="2"/>
    <x v="1"/>
    <s v="Backlog"/>
    <n v="8"/>
    <n v="0.03"/>
    <n v="1"/>
    <n v="1"/>
    <n v="1"/>
    <n v="100"/>
    <x v="0"/>
  </r>
  <r>
    <x v="0"/>
    <s v="SainteLague"/>
    <n v="12"/>
    <n v="115295"/>
    <s v="Nexus - Piloto Operacional Fase 2"/>
    <x v="2"/>
    <x v="0"/>
    <x v="0"/>
    <s v="In Definition"/>
    <n v="2"/>
    <n v="0.03"/>
    <n v="1"/>
    <n v="1"/>
    <n v="1"/>
    <n v="100"/>
    <x v="0"/>
  </r>
  <r>
    <x v="0"/>
    <s v="SainteLague"/>
    <n v="13"/>
    <n v="118174"/>
    <s v="GPB2C | Parceria Unic‚Äömbio - Operacionaliza√Å‚Äûo de servi√Åo de cambio"/>
    <x v="3"/>
    <x v="3"/>
    <x v="1"/>
    <s v="Backlog"/>
    <n v="1"/>
    <n v="0.03"/>
    <n v="1"/>
    <n v="1"/>
    <n v="1"/>
    <n v="100"/>
    <x v="0"/>
  </r>
  <r>
    <x v="0"/>
    <s v="SainteLague"/>
    <n v="14"/>
    <n v="77828"/>
    <s v="Base Dados Modelo de Incentivos CTT Expresso"/>
    <x v="4"/>
    <x v="0"/>
    <x v="0"/>
    <s v="In Definition"/>
    <n v="2"/>
    <n v="0.03"/>
    <n v="1"/>
    <n v="1"/>
    <n v="1"/>
    <n v="100"/>
    <x v="0"/>
  </r>
  <r>
    <x v="0"/>
    <s v="SainteLague"/>
    <n v="15"/>
    <n v="168516"/>
    <s v="Gera√Å‚Äûo de ficheiro excel com dados NEV"/>
    <x v="5"/>
    <x v="4"/>
    <x v="1"/>
    <s v="In Definition"/>
    <n v="1"/>
    <n v="0.03"/>
    <n v="1"/>
    <n v="1"/>
    <n v="1"/>
    <n v="100"/>
    <x v="0"/>
  </r>
  <r>
    <x v="0"/>
    <s v="SainteLague"/>
    <n v="16"/>
    <n v="122320"/>
    <s v="Implementa√Å‚Äûo de modulo de Planeamento de Transportes em Drivian e Descontinua√Å‚Äûo do Sigest"/>
    <x v="4"/>
    <x v="1"/>
    <x v="0"/>
    <s v="High Level Design"/>
    <n v="1"/>
    <n v="4.5"/>
    <n v="4"/>
    <n v="2"/>
    <n v="3"/>
    <n v="2"/>
    <x v="0"/>
  </r>
  <r>
    <x v="0"/>
    <s v="SainteLague"/>
    <n v="17"/>
    <n v="60579"/>
    <s v="Nexus | P&amp;S | Implementa√Å‚Äûo da oferta ib√àrica"/>
    <x v="6"/>
    <x v="0"/>
    <x v="1"/>
    <s v="High Level Design"/>
    <n v="1"/>
    <n v="0.03"/>
    <n v="1"/>
    <n v="1"/>
    <n v="1"/>
    <n v="100"/>
    <x v="0"/>
  </r>
  <r>
    <x v="0"/>
    <s v="SainteLague"/>
    <n v="18"/>
    <n v="120972"/>
    <s v="Cliente EDP - WS P&amp;F- Novo Campo Data"/>
    <x v="7"/>
    <x v="2"/>
    <x v="1"/>
    <s v="Backlog"/>
    <n v="4"/>
    <n v="0.03"/>
    <n v="1"/>
    <n v="1"/>
    <n v="1"/>
    <n v="100"/>
    <x v="0"/>
  </r>
  <r>
    <x v="0"/>
    <s v="SainteLague"/>
    <n v="19"/>
    <n v="129984"/>
    <s v="Reconciliaci√õn bancaria de Cobros por tarjeta y Bizum"/>
    <x v="8"/>
    <x v="0"/>
    <x v="2"/>
    <s v="High Level Design"/>
    <n v="1"/>
    <n v="0.03"/>
    <n v="1"/>
    <n v="1"/>
    <n v="1"/>
    <n v="100"/>
    <x v="0"/>
  </r>
  <r>
    <x v="0"/>
    <s v="SainteLague"/>
    <n v="20"/>
    <n v="126644"/>
    <s v="GENAI- Rossum"/>
    <x v="9"/>
    <x v="1"/>
    <x v="2"/>
    <s v="Backlog"/>
    <n v="1"/>
    <n v="0.03"/>
    <n v="1"/>
    <n v="1"/>
    <n v="1"/>
    <n v="100"/>
    <x v="0"/>
  </r>
  <r>
    <x v="0"/>
    <s v="SainteLague"/>
    <n v="21"/>
    <n v="70063"/>
    <s v="Modelo de Dados de apoio aos indicadores de Logistica"/>
    <x v="4"/>
    <x v="5"/>
    <x v="0"/>
    <s v="Backlog"/>
    <n v="8"/>
    <n v="0.03"/>
    <n v="1"/>
    <n v="1"/>
    <n v="1"/>
    <n v="100"/>
    <x v="0"/>
  </r>
  <r>
    <x v="0"/>
    <s v="SainteLague"/>
    <n v="22"/>
    <n v="130989"/>
    <s v="Desconexi√õn de SGC - Definici√õn del RoadMap"/>
    <x v="10"/>
    <x v="0"/>
    <x v="3"/>
    <s v="Backlog"/>
    <n v="1"/>
    <n v="0.03"/>
    <n v="1"/>
    <n v="1"/>
    <n v="1"/>
    <n v="100"/>
    <x v="0"/>
  </r>
  <r>
    <x v="0"/>
    <s v="SainteLague"/>
    <n v="23"/>
    <n v="43204"/>
    <s v="Desmaterializa√Å‚Äûo Documentos Multicare"/>
    <x v="7"/>
    <x v="3"/>
    <x v="1"/>
    <s v="In Definition"/>
    <n v="25"/>
    <n v="0.03"/>
    <n v="1"/>
    <n v="1"/>
    <n v="1"/>
    <n v="100"/>
    <x v="0"/>
  </r>
  <r>
    <x v="0"/>
    <s v="SainteLague"/>
    <n v="24"/>
    <n v="49197"/>
    <s v="Migrar os documentos do viactt para Filenet"/>
    <x v="11"/>
    <x v="2"/>
    <x v="3"/>
    <s v="In Definition"/>
    <n v="1"/>
    <n v="0.03"/>
    <n v="1"/>
    <n v="1"/>
    <n v="1"/>
    <n v="100"/>
    <x v="0"/>
  </r>
  <r>
    <x v="0"/>
    <s v="SainteLague"/>
    <n v="25"/>
    <n v="132298"/>
    <s v="Github Migration - Aplica√Åƒ±es Canais Digitais"/>
    <x v="12"/>
    <x v="1"/>
    <x v="3"/>
    <s v="Backlog"/>
    <n v="1"/>
    <n v="0.03"/>
    <n v="1"/>
    <n v="1"/>
    <n v="1"/>
    <n v="100"/>
    <x v="0"/>
  </r>
  <r>
    <x v="0"/>
    <s v="SainteLague"/>
    <n v="26"/>
    <n v="123649"/>
    <s v="Entrega em pontos para a cainiao"/>
    <x v="7"/>
    <x v="0"/>
    <x v="1"/>
    <s v="Pitch"/>
    <n v="1"/>
    <n v="0.03"/>
    <n v="1"/>
    <n v="1"/>
    <n v="1"/>
    <n v="100"/>
    <x v="0"/>
  </r>
  <r>
    <x v="0"/>
    <s v="SainteLague"/>
    <n v="27"/>
    <n v="96332"/>
    <s v="CCP | OTP | Rebuild application in the current tech stack"/>
    <x v="12"/>
    <x v="0"/>
    <x v="3"/>
    <s v="Backlog"/>
    <n v="11"/>
    <n v="0.03"/>
    <n v="1"/>
    <n v="1"/>
    <n v="1"/>
    <n v="100"/>
    <x v="0"/>
  </r>
  <r>
    <x v="0"/>
    <s v="SainteLague"/>
    <n v="28"/>
    <n v="54059"/>
    <s v="Pay I Cartƒ±es e Terminais incremento 2"/>
    <x v="7"/>
    <x v="4"/>
    <x v="1"/>
    <s v="In Definition"/>
    <n v="17"/>
    <n v="0.03"/>
    <n v="1"/>
    <n v="1"/>
    <n v="1"/>
    <n v="100"/>
    <x v="0"/>
  </r>
  <r>
    <x v="0"/>
    <s v="SainteLague"/>
    <n v="29"/>
    <n v="50852"/>
    <s v="SOC  - operacionaliza√Å‚Äûo do servi√Åo"/>
    <x v="13"/>
    <x v="1"/>
    <x v="4"/>
    <s v="Ready for Solution"/>
    <n v="1"/>
    <n v="0.03"/>
    <n v="1"/>
    <n v="1"/>
    <n v="1"/>
    <n v="100"/>
    <x v="0"/>
  </r>
  <r>
    <x v="0"/>
    <s v="SainteLague"/>
    <n v="30"/>
    <n v="130406"/>
    <s v="[Nexus Piloto Operacional] [P&amp;S] Mapeo productos y servicios adicionales para manifiestos flujo PT-&gt;PT"/>
    <x v="14"/>
    <x v="0"/>
    <x v="1"/>
    <s v="In Solution"/>
    <n v="1"/>
    <n v="0.03"/>
    <n v="1"/>
    <n v="1"/>
    <n v="1"/>
    <n v="100"/>
    <x v="0"/>
  </r>
  <r>
    <x v="0"/>
    <s v="SainteLague"/>
    <n v="31"/>
    <n v="134997"/>
    <s v="Correio Inteligente - Alarm√åstica"/>
    <x v="1"/>
    <x v="2"/>
    <x v="1"/>
    <s v="In Definition"/>
    <n v="11"/>
    <n v="0.03"/>
    <n v="1"/>
    <n v="1"/>
    <n v="1"/>
    <n v="100"/>
    <x v="0"/>
  </r>
  <r>
    <x v="0"/>
    <s v="SainteLague"/>
    <n v="32"/>
    <n v="124738"/>
    <s v="Nexus | We Serve - Integraci√õn eventos desde CTT PT?"/>
    <x v="15"/>
    <x v="0"/>
    <x v="3"/>
    <s v="In Definition"/>
    <n v="1"/>
    <n v="7.0000000000000007E-2"/>
    <n v="1"/>
    <n v="3"/>
    <n v="3"/>
    <n v="100"/>
    <x v="0"/>
  </r>
  <r>
    <x v="0"/>
    <s v="SainteLague"/>
    <n v="33"/>
    <n v="126931"/>
    <s v="Moneyball - Gest‚Äûo de Consentimentos"/>
    <x v="7"/>
    <x v="1"/>
    <x v="1"/>
    <s v="Backlog"/>
    <n v="3"/>
    <n v="0.03"/>
    <n v="1"/>
    <n v="1"/>
    <n v="1"/>
    <n v="100"/>
    <x v="0"/>
  </r>
  <r>
    <x v="0"/>
    <s v="SainteLague"/>
    <n v="34"/>
    <n v="192059"/>
    <s v="Implementa√Å‚Äûo do software da Western Union (WUPOS) em NAVe e integra√Å‚Äûo com todos os sistemas centrais"/>
    <x v="3"/>
    <x v="3"/>
    <x v="1"/>
    <s v="In Definition"/>
    <n v="2"/>
    <n v="0.03"/>
    <n v="1"/>
    <n v="1"/>
    <n v="1"/>
    <n v="100"/>
    <x v="0"/>
  </r>
  <r>
    <x v="0"/>
    <s v="SainteLague"/>
    <n v="35"/>
    <n v="130577"/>
    <s v="[Salesforce Sales] - Multi oportunidad en Cuentas"/>
    <x v="16"/>
    <x v="0"/>
    <x v="1"/>
    <s v="High Level Design"/>
    <n v="1"/>
    <n v="0.03"/>
    <n v="1"/>
    <n v="1"/>
    <n v="1"/>
    <n v="100"/>
    <x v="0"/>
  </r>
  <r>
    <x v="0"/>
    <s v="SainteLague"/>
    <n v="36"/>
    <n v="194112"/>
    <s v="Substitui√Å‚Äûo da aplica√Å‚Äûo de fatura√Å‚Äûo do P&amp;F"/>
    <x v="11"/>
    <x v="2"/>
    <x v="3"/>
    <s v="In Definition"/>
    <n v="6"/>
    <n v="0.03"/>
    <n v="1"/>
    <n v="1"/>
    <n v="1"/>
    <n v="100"/>
    <x v="0"/>
  </r>
  <r>
    <x v="0"/>
    <s v="SainteLague"/>
    <n v="37"/>
    <n v="130413"/>
    <s v="[Desconexi√õn SGC] - Creaci√õn nuevo estado &quot;No realizado&quot;"/>
    <x v="17"/>
    <x v="0"/>
    <x v="2"/>
    <s v="High Level Design"/>
    <n v="1"/>
    <n v="0.03"/>
    <n v="1"/>
    <n v="1"/>
    <n v="1"/>
    <n v="100"/>
    <x v="0"/>
  </r>
  <r>
    <x v="0"/>
    <s v="SainteLague"/>
    <n v="38"/>
    <n v="124871"/>
    <s v="Auditoria 2.0 - Cria√Å‚Äûo de Data Lake para implementa√Å‚Äûo de Auditoria‚Ä†Cont√ånua e Auditoria ‚Ä° Distancia - Entrega Modelos Anal√åticos"/>
    <x v="18"/>
    <x v="1"/>
    <x v="2"/>
    <s v="In Definition"/>
    <n v="1"/>
    <n v="0.03"/>
    <n v="1"/>
    <n v="1"/>
    <n v="1"/>
    <n v="100"/>
    <x v="0"/>
  </r>
  <r>
    <x v="0"/>
    <s v="SainteLague"/>
    <n v="39"/>
    <n v="125919"/>
    <s v="Cria√Å‚Äûo de chatbot no portal ctt expresso"/>
    <x v="11"/>
    <x v="0"/>
    <x v="3"/>
    <s v="Backlog"/>
    <n v="3"/>
    <n v="0.03"/>
    <n v="1"/>
    <n v="1"/>
    <n v="1"/>
    <n v="100"/>
    <x v="0"/>
  </r>
  <r>
    <x v="0"/>
    <s v="SainteLague"/>
    <n v="40"/>
    <n v="121353"/>
    <s v="Configura√Å‚Äûo SAP para Introdu√Å‚Äûo de IBANs da regi‚Äûo SEPA"/>
    <x v="5"/>
    <x v="4"/>
    <x v="1"/>
    <s v="Backlog"/>
    <n v="2"/>
    <n v="0.03"/>
    <n v="1"/>
    <n v="1"/>
    <n v="1"/>
    <n v="100"/>
    <x v="0"/>
  </r>
  <r>
    <x v="0"/>
    <s v="SainteLague"/>
    <n v="41"/>
    <n v="130539"/>
    <s v="Automatizar la carga del maestro de CP7 de Portugal [Objetos con origen en Espa√ía sin Cp7]"/>
    <x v="19"/>
    <x v="0"/>
    <x v="1"/>
    <s v="Pitch"/>
    <n v="1"/>
    <n v="0.03"/>
    <n v="1"/>
    <n v="1"/>
    <n v="1"/>
    <n v="100"/>
    <x v="0"/>
  </r>
  <r>
    <x v="0"/>
    <s v="SainteLague"/>
    <n v="42"/>
    <n v="91809"/>
    <s v="DSD | Criar as Listas de Correio Registado e de EMS em Simult‚Äöneo"/>
    <x v="2"/>
    <x v="1"/>
    <x v="0"/>
    <s v="Ready for Solution"/>
    <n v="1"/>
    <n v="0.03"/>
    <n v="1"/>
    <n v="1"/>
    <n v="1"/>
    <n v="100"/>
    <x v="0"/>
  </r>
  <r>
    <x v="0"/>
    <s v="SainteLague"/>
    <n v="43"/>
    <n v="133470"/>
    <s v="Correio Inteligente - FTP para P&amp;F"/>
    <x v="1"/>
    <x v="2"/>
    <x v="1"/>
    <s v="Backlog"/>
    <n v="12"/>
    <n v="0.03"/>
    <n v="1"/>
    <n v="1"/>
    <n v="1"/>
    <n v="100"/>
    <x v="0"/>
  </r>
  <r>
    <x v="0"/>
    <s v="SainteLague"/>
    <n v="44"/>
    <n v="60938"/>
    <s v="Fornecimentos autom¬∑ticos de material vend¬∑vel ‚Ä°s lojas"/>
    <x v="7"/>
    <x v="3"/>
    <x v="1"/>
    <s v="Backlog"/>
    <n v="28"/>
    <n v="0.03"/>
    <n v="1"/>
    <n v="1"/>
    <n v="1"/>
    <n v="100"/>
    <x v="0"/>
  </r>
  <r>
    <x v="0"/>
    <s v="SainteLague"/>
    <n v="45"/>
    <n v="60599"/>
    <s v="Nexus | We Care | Customer Support"/>
    <x v="20"/>
    <x v="0"/>
    <x v="2"/>
    <s v="Backlog"/>
    <n v="2"/>
    <n v="0.03"/>
    <n v="1"/>
    <n v="1"/>
    <n v="1"/>
    <n v="100"/>
    <x v="0"/>
  </r>
  <r>
    <x v="0"/>
    <s v="SainteLague"/>
    <n v="46"/>
    <n v="93715"/>
    <s v="Log√åstica - Utiliza√Å‚Äûo de Porta Paletes Aut√õnomos"/>
    <x v="2"/>
    <x v="5"/>
    <x v="0"/>
    <s v="In Definition"/>
    <n v="7"/>
    <n v="0.03"/>
    <n v="1"/>
    <n v="1"/>
    <n v="1"/>
    <n v="100"/>
    <x v="0"/>
  </r>
  <r>
    <x v="0"/>
    <s v="SainteLague"/>
    <n v="47"/>
    <n v="126647"/>
    <s v="MobiCTT - Migra√Å‚Äûo de Pipelines ADO2Github"/>
    <x v="15"/>
    <x v="1"/>
    <x v="3"/>
    <s v="Backlog"/>
    <n v="2"/>
    <n v="0.03"/>
    <n v="1"/>
    <n v="1"/>
    <n v="1"/>
    <n v="100"/>
    <x v="0"/>
  </r>
  <r>
    <x v="0"/>
    <s v="SainteLague"/>
    <n v="48"/>
    <n v="126646"/>
    <s v="Incremento ao projeto LFT -  Volume certificado e n‚Äûo certificado"/>
    <x v="21"/>
    <x v="0"/>
    <x v="0"/>
    <s v="In Definition"/>
    <n v="1"/>
    <n v="0.03"/>
    <n v="1"/>
    <n v="1"/>
    <n v="1"/>
    <n v="100"/>
    <x v="0"/>
  </r>
  <r>
    <x v="0"/>
    <s v="SainteLague"/>
    <n v="49"/>
    <n v="100092"/>
    <s v="PEF - Descontinua√Å‚Äûo da utiliza√Å‚Äûo do FTP"/>
    <x v="11"/>
    <x v="2"/>
    <x v="3"/>
    <s v="Backlog"/>
    <n v="7"/>
    <n v="0.03"/>
    <n v="1"/>
    <n v="1"/>
    <n v="1"/>
    <n v="100"/>
    <x v="0"/>
  </r>
  <r>
    <x v="0"/>
    <s v="SainteLague"/>
    <n v="50"/>
    <n v="70697"/>
    <s v="Nexus | Digital Channels | CLIENT PORTAL | &quot;SUPER PORTAL&quot; (extra MVP)"/>
    <x v="22"/>
    <x v="0"/>
    <x v="1"/>
    <s v="Backlog"/>
    <n v="3"/>
    <n v="0.03"/>
    <n v="1"/>
    <n v="1"/>
    <n v="1"/>
    <n v="100"/>
    <x v="0"/>
  </r>
  <r>
    <x v="0"/>
    <s v="SainteLague"/>
    <n v="51"/>
    <n v="126458"/>
    <s v="Super B2C (App + ¬°rea Cliente) |  Alterar forma de gerar push notification na App"/>
    <x v="22"/>
    <x v="1"/>
    <x v="1"/>
    <s v="Backlog"/>
    <n v="1"/>
    <n v="0.05"/>
    <n v="3"/>
    <n v="1"/>
    <n v="1"/>
    <n v="100"/>
    <x v="0"/>
  </r>
  <r>
    <x v="0"/>
    <s v="SainteLague"/>
    <n v="52"/>
    <n v="129775"/>
    <s v="Trazabilidad"/>
    <x v="23"/>
    <x v="0"/>
    <x v="2"/>
    <s v="In Definition"/>
    <n v="1"/>
    <n v="0.03"/>
    <n v="1"/>
    <n v="1"/>
    <n v="1"/>
    <n v="100"/>
    <x v="0"/>
  </r>
  <r>
    <x v="0"/>
    <s v="SainteLague"/>
    <n v="53"/>
    <n v="120815"/>
    <s v="Fatura√Å‚Äûo de Cliente Ocasional - SAP"/>
    <x v="5"/>
    <x v="4"/>
    <x v="1"/>
    <s v="Backlog"/>
    <n v="3"/>
    <n v="0.03"/>
    <n v="1"/>
    <n v="1"/>
    <n v="1"/>
    <n v="100"/>
    <x v="0"/>
  </r>
  <r>
    <x v="0"/>
    <s v="SainteLague"/>
    <n v="54"/>
    <n v="92337"/>
    <s v="GCA - Aforro upgrade Oracle"/>
    <x v="3"/>
    <x v="3"/>
    <x v="1"/>
    <s v="Backlog"/>
    <n v="3"/>
    <n v="0.03"/>
    <n v="1"/>
    <n v="1"/>
    <n v="1"/>
    <n v="100"/>
    <x v="0"/>
  </r>
  <r>
    <x v="0"/>
    <s v="SainteLague"/>
    <n v="55"/>
    <n v="70695"/>
    <s v="Nexus | Data | Group Data"/>
    <x v="24"/>
    <x v="0"/>
    <x v="2"/>
    <s v="In Definition"/>
    <n v="6"/>
    <n v="0.03"/>
    <n v="1"/>
    <n v="1"/>
    <n v="1"/>
    <n v="100"/>
    <x v="0"/>
  </r>
  <r>
    <x v="0"/>
    <s v="SainteLague"/>
    <n v="56"/>
    <n v="103865"/>
    <s v="Avalia√Å‚Äûo do custo de extens‚Äûo do licenciamento atual para a utiliza√Å‚Äûo do servi√Åo webhook - BKTER"/>
    <x v="1"/>
    <x v="2"/>
    <x v="1"/>
    <s v="Backlog"/>
    <n v="17"/>
    <n v="0.03"/>
    <n v="1"/>
    <n v="1"/>
    <n v="1"/>
    <n v="100"/>
    <x v="0"/>
  </r>
  <r>
    <x v="0"/>
    <s v="SainteLague"/>
    <n v="57"/>
    <n v="93166"/>
    <s v="Integra√Å‚Äûo Automaise - Novo Voice Bot - Substituir as atuais &quot;primas&quot;"/>
    <x v="20"/>
    <x v="1"/>
    <x v="2"/>
    <s v="Backlog"/>
    <n v="1"/>
    <n v="0.03"/>
    <n v="1"/>
    <n v="1"/>
    <n v="1"/>
    <n v="100"/>
    <x v="0"/>
  </r>
  <r>
    <x v="0"/>
    <s v="SainteLague"/>
    <n v="58"/>
    <n v="130500"/>
    <s v="Cuadro de mando reputaci√õn CTT"/>
    <x v="25"/>
    <x v="0"/>
    <x v="2"/>
    <s v="Backlog"/>
    <n v="1"/>
    <n v="0.03"/>
    <n v="1"/>
    <n v="1"/>
    <n v="1"/>
    <n v="100"/>
    <x v="0"/>
  </r>
  <r>
    <x v="0"/>
    <s v="SainteLague"/>
    <n v="59"/>
    <n v="130894"/>
    <s v="Expansi√õn de lectura en contenedores (Propios y de clientes)"/>
    <x v="0"/>
    <x v="0"/>
    <x v="0"/>
    <s v="In Definition"/>
    <n v="3"/>
    <n v="0.03"/>
    <n v="1"/>
    <n v="1"/>
    <n v="1"/>
    <n v="100"/>
    <x v="0"/>
  </r>
  <r>
    <x v="0"/>
    <s v="SainteLague"/>
    <n v="60"/>
    <n v="125918"/>
    <s v="Cria√Å‚Äûo de chatbot no super portal"/>
    <x v="11"/>
    <x v="1"/>
    <x v="3"/>
    <s v="Backlog"/>
    <n v="2"/>
    <n v="0.03"/>
    <n v="1"/>
    <n v="1"/>
    <n v="1"/>
    <n v="100"/>
    <x v="0"/>
  </r>
  <r>
    <x v="0"/>
    <s v="SainteLague"/>
    <n v="61"/>
    <n v="126023"/>
    <s v="Melhorias ao processo de envio de comunica√Åƒ±es da Zurich"/>
    <x v="11"/>
    <x v="2"/>
    <x v="3"/>
    <s v="Backlog"/>
    <n v="8"/>
    <n v="0.04"/>
    <n v="1"/>
    <n v="2"/>
    <n v="1"/>
    <n v="100"/>
    <x v="0"/>
  </r>
  <r>
    <x v="0"/>
    <s v="SainteLague"/>
    <n v="62"/>
    <n v="44975"/>
    <s v="Servidor  Decisƒ±es: Update automatico para a nova vers‚Äûo ODM"/>
    <x v="2"/>
    <x v="0"/>
    <x v="0"/>
    <s v="Backlog"/>
    <n v="4"/>
    <n v="0.03"/>
    <n v="1"/>
    <n v="1"/>
    <n v="1"/>
    <n v="100"/>
    <x v="0"/>
  </r>
  <r>
    <x v="0"/>
    <s v="SainteLague"/>
    <n v="63"/>
    <n v="68919"/>
    <s v="M¬∑quina vending machines: Associa√Å‚Äûo de Receita, Fatura√Å‚Äûo e gest‚Äûo de stock"/>
    <x v="7"/>
    <x v="3"/>
    <x v="1"/>
    <s v="In Definition"/>
    <n v="35"/>
    <n v="0.03"/>
    <n v="1"/>
    <n v="1"/>
    <n v="1"/>
    <n v="100"/>
    <x v="0"/>
  </r>
  <r>
    <x v="0"/>
    <s v="SainteLague"/>
    <n v="64"/>
    <n v="51195"/>
    <s v="MOBI_Criar QR de saida para distribui√Å‚Äûo"/>
    <x v="4"/>
    <x v="0"/>
    <x v="0"/>
    <s v="In Definition"/>
    <n v="7"/>
    <n v="0.03"/>
    <n v="1"/>
    <n v="1"/>
    <n v="1"/>
    <n v="100"/>
    <x v="0"/>
  </r>
  <r>
    <x v="0"/>
    <s v="SainteLague"/>
    <n v="65"/>
    <n v="76554"/>
    <s v="M√õdulo de Compliance Payshop"/>
    <x v="5"/>
    <x v="4"/>
    <x v="1"/>
    <s v="In Definition"/>
    <n v="4"/>
    <n v="0.03"/>
    <n v="1"/>
    <n v="1"/>
    <n v="1"/>
    <n v="100"/>
    <x v="0"/>
  </r>
  <r>
    <x v="0"/>
    <s v="SainteLague"/>
    <n v="66"/>
    <n v="181384"/>
    <s v="PAY - Instrumento Transfer√çncias - Altera√Å‚Äûo Requisitos - Fev"/>
    <x v="26"/>
    <x v="1"/>
    <x v="1"/>
    <s v="In Definition"/>
    <n v="1"/>
    <n v="0.03"/>
    <n v="1"/>
    <n v="1"/>
    <n v="1"/>
    <n v="100"/>
    <x v="0"/>
  </r>
  <r>
    <x v="0"/>
    <s v="SainteLague"/>
    <n v="67"/>
    <n v="131067"/>
    <s v="[Nexus Piloto Operacional] [We Serve] Puesta en marcha Fase 2 del Piloto Operacional con el flujo de env√åos PT-PT"/>
    <x v="0"/>
    <x v="0"/>
    <x v="0"/>
    <s v="Ready for Approval"/>
    <n v="4"/>
    <n v="0.03"/>
    <n v="1"/>
    <n v="1"/>
    <n v="1"/>
    <n v="100"/>
    <x v="0"/>
  </r>
  <r>
    <x v="0"/>
    <s v="SainteLague"/>
    <n v="68"/>
    <n v="125912"/>
    <s v="Servi√Åo de envio de emails sediado na europa"/>
    <x v="1"/>
    <x v="2"/>
    <x v="1"/>
    <s v="Backlog"/>
    <n v="18"/>
    <n v="3"/>
    <n v="2"/>
    <n v="1"/>
    <n v="3"/>
    <n v="2"/>
    <x v="0"/>
  </r>
  <r>
    <x v="0"/>
    <s v="SainteLague"/>
    <n v="69"/>
    <n v="68794"/>
    <s v="Tratamento de rejeitados no SD - Eliminar pr√à-avisos com CP ficticios (BG4)"/>
    <x v="2"/>
    <x v="0"/>
    <x v="0"/>
    <s v="In Definition"/>
    <n v="8"/>
    <n v="0.03"/>
    <n v="1"/>
    <n v="1"/>
    <n v="1"/>
    <n v="100"/>
    <x v="0"/>
  </r>
  <r>
    <x v="0"/>
    <s v="SainteLague"/>
    <n v="70"/>
    <n v="135317"/>
    <s v="SAPSF - GoFluent"/>
    <x v="27"/>
    <x v="1"/>
    <x v="2"/>
    <s v="Backlog"/>
    <n v="1"/>
    <n v="0.04"/>
    <n v="2"/>
    <n v="1"/>
    <n v="1"/>
    <n v="100"/>
    <x v="0"/>
  </r>
  <r>
    <x v="0"/>
    <s v="SainteLague"/>
    <n v="71"/>
    <n v="70693"/>
    <s v="Nexus | P&amp;S | Collectt (OOH)"/>
    <x v="6"/>
    <x v="0"/>
    <x v="1"/>
    <s v="In Definition"/>
    <n v="2"/>
    <n v="0.03"/>
    <n v="1"/>
    <n v="1"/>
    <n v="1"/>
    <n v="100"/>
    <x v="0"/>
  </r>
  <r>
    <x v="0"/>
    <s v="SainteLague"/>
    <n v="72"/>
    <n v="76082"/>
    <s v="GP B2C √± BO Site CTT - Simulador Certificados de Aforro / App CTT √± Aforro Digital"/>
    <x v="3"/>
    <x v="3"/>
    <x v="1"/>
    <s v="Backlog"/>
    <n v="4"/>
    <n v="0.03"/>
    <n v="1"/>
    <n v="1"/>
    <n v="1"/>
    <n v="100"/>
    <x v="0"/>
  </r>
  <r>
    <x v="0"/>
    <s v="SainteLague"/>
    <n v="73"/>
    <n v="126772"/>
    <s v="Paperless - Guia expresso passar de 3 vias para 2, em apenas uma p¬∑gina"/>
    <x v="11"/>
    <x v="2"/>
    <x v="3"/>
    <s v="Backlog"/>
    <n v="10"/>
    <n v="0.03"/>
    <n v="1"/>
    <n v="1"/>
    <n v="1"/>
    <n v="100"/>
    <x v="0"/>
  </r>
  <r>
    <x v="0"/>
    <s v="SainteLague"/>
    <n v="74"/>
    <n v="134587"/>
    <s v="BCTT - Relat√õrio Sendgrid"/>
    <x v="28"/>
    <x v="1"/>
    <x v="3"/>
    <s v="In Definition"/>
    <n v="1"/>
    <n v="6"/>
    <n v="3"/>
    <n v="1"/>
    <n v="2"/>
    <n v="1"/>
    <x v="0"/>
  </r>
  <r>
    <x v="0"/>
    <s v="SainteLague"/>
    <n v="75"/>
    <n v="131055"/>
    <s v="Nueva Herramienta de Verificaci√õn de Pagos TEMU (App)"/>
    <x v="8"/>
    <x v="0"/>
    <x v="2"/>
    <s v="In Solution"/>
    <n v="2"/>
    <n v="0.03"/>
    <n v="1"/>
    <n v="1"/>
    <n v="1"/>
    <n v="100"/>
    <x v="0"/>
  </r>
  <r>
    <x v="0"/>
    <s v="SainteLague"/>
    <n v="76"/>
    <n v="129493"/>
    <s v="[Tech] Integraci√õn eventos desde CTT PT? [Nexus Fase 2]"/>
    <x v="10"/>
    <x v="0"/>
    <x v="3"/>
    <s v="High Level Design"/>
    <n v="2"/>
    <n v="0.03"/>
    <n v="1"/>
    <n v="1"/>
    <n v="1"/>
    <n v="100"/>
    <x v="0"/>
  </r>
  <r>
    <x v="0"/>
    <s v="SainteLague"/>
    <n v="77"/>
    <n v="95774"/>
    <s v="Altera√Åƒ±es nos Relat√õrios do DEM para pagamentos MB WAY"/>
    <x v="5"/>
    <x v="4"/>
    <x v="1"/>
    <s v="In Definition"/>
    <n v="5"/>
    <n v="0.03"/>
    <n v="1"/>
    <n v="1"/>
    <n v="1"/>
    <n v="100"/>
    <x v="0"/>
  </r>
  <r>
    <x v="0"/>
    <s v="SainteLague"/>
    <n v="78"/>
    <n v="69342"/>
    <s v="Substitui√Å‚Äûo do IOS"/>
    <x v="29"/>
    <x v="1"/>
    <x v="2"/>
    <s v="High Level Design"/>
    <n v="3"/>
    <n v="0.03"/>
    <n v="1"/>
    <n v="1"/>
    <n v="1"/>
    <n v="100"/>
    <x v="0"/>
  </r>
  <r>
    <x v="0"/>
    <s v="SainteLague"/>
    <n v="79"/>
    <n v="127065"/>
    <s v="Galaxy - Jornada de envios √± Push recolha destinat¬∑rio"/>
    <x v="7"/>
    <x v="0"/>
    <x v="1"/>
    <s v="Pitch"/>
    <n v="2"/>
    <n v="2"/>
    <n v="3"/>
    <n v="2"/>
    <n v="1"/>
    <n v="3"/>
    <x v="0"/>
  </r>
  <r>
    <x v="0"/>
    <s v="SainteLague"/>
    <n v="80"/>
    <n v="63424"/>
    <s v="Revamp ViaCTT √± 2‚Ñ¢ Fase"/>
    <x v="1"/>
    <x v="2"/>
    <x v="1"/>
    <s v="In Definition"/>
    <n v="21"/>
    <n v="0.03"/>
    <n v="1"/>
    <n v="1"/>
    <n v="1"/>
    <n v="100"/>
    <x v="0"/>
  </r>
  <r>
    <x v="0"/>
    <s v="SainteLague"/>
    <n v="81"/>
    <n v="116026"/>
    <s v="Novo Cat¬∑logo de Aplica√Åƒ±es (Atlas 2.0)"/>
    <x v="12"/>
    <x v="0"/>
    <x v="3"/>
    <s v="Ready for Approval"/>
    <n v="58"/>
    <n v="0.03"/>
    <n v="1"/>
    <n v="1"/>
    <n v="1"/>
    <n v="100"/>
    <x v="0"/>
  </r>
  <r>
    <x v="0"/>
    <s v="SainteLague"/>
    <n v="82"/>
    <n v="126734"/>
    <s v="Migrate Azure Devops to Github Repos and Github Actions - Data repos"/>
    <x v="24"/>
    <x v="1"/>
    <x v="2"/>
    <s v="Backlog"/>
    <n v="1"/>
    <n v="0.04"/>
    <n v="1"/>
    <n v="1"/>
    <n v="2"/>
    <n v="100"/>
    <x v="0"/>
  </r>
  <r>
    <x v="0"/>
    <s v="SainteLague"/>
    <n v="83"/>
    <n v="185996"/>
    <s v="Apresenta√Å‚Äûo Imagens BOL LCD LOJAS"/>
    <x v="7"/>
    <x v="3"/>
    <x v="1"/>
    <s v="Backlog"/>
    <n v="44"/>
    <n v="0.03"/>
    <n v="1"/>
    <n v="1"/>
    <n v="1"/>
    <n v="100"/>
    <x v="0"/>
  </r>
  <r>
    <x v="0"/>
    <s v="SainteLague"/>
    <n v="84"/>
    <n v="130343"/>
    <s v="[Nuevo Producto]-[Minerva]-Producto 48h a Islas Canarias"/>
    <x v="14"/>
    <x v="0"/>
    <x v="1"/>
    <s v="Ready for Approval"/>
    <n v="2"/>
    <n v="0.03"/>
    <n v="1"/>
    <n v="1"/>
    <n v="1"/>
    <n v="100"/>
    <x v="0"/>
  </r>
  <r>
    <x v="0"/>
    <s v="SainteLague"/>
    <n v="85"/>
    <n v="123596"/>
    <s v="Descontinua√Å‚Äûo Doxenter - Wave 2"/>
    <x v="11"/>
    <x v="2"/>
    <x v="3"/>
    <s v="Backlog"/>
    <n v="13"/>
    <n v="0.03"/>
    <n v="1"/>
    <n v="1"/>
    <n v="1"/>
    <n v="100"/>
    <x v="0"/>
  </r>
  <r>
    <x v="0"/>
    <s v="SainteLague"/>
    <n v="86"/>
    <n v="134832"/>
    <s v="Elimina√Å‚Äûo TLS 1.0 - Comunica√Å‚Äûo info T&amp;T com MEO"/>
    <x v="15"/>
    <x v="0"/>
    <x v="3"/>
    <s v="In Definition"/>
    <n v="5"/>
    <n v="4"/>
    <n v="1"/>
    <n v="3"/>
    <n v="4"/>
    <n v="2"/>
    <x v="0"/>
  </r>
  <r>
    <x v="0"/>
    <s v="SainteLague"/>
    <n v="87"/>
    <n v="128060"/>
    <s v="XRP | Altera√Å‚Äûo do fluxo de contabiliza√Å‚Äûo"/>
    <x v="30"/>
    <x v="1"/>
    <x v="2"/>
    <s v="Backlog"/>
    <n v="1"/>
    <n v="0.03"/>
    <n v="1"/>
    <n v="1"/>
    <n v="1"/>
    <n v="100"/>
    <x v="0"/>
  </r>
  <r>
    <x v="0"/>
    <s v="SainteLague"/>
    <n v="88"/>
    <n v="132534"/>
    <s v="[Qlik] - Gesti√õn de oportunidades - Hito semanal por comercial disponible"/>
    <x v="16"/>
    <x v="0"/>
    <x v="1"/>
    <s v="Backlog"/>
    <n v="2"/>
    <n v="0.03"/>
    <n v="1"/>
    <n v="1"/>
    <n v="1"/>
    <n v="100"/>
    <x v="0"/>
  </r>
  <r>
    <x v="0"/>
    <s v="SainteLague"/>
    <n v="89"/>
    <n v="53781"/>
    <s v="Prote√Å‚Äûo Avan√Åada para a Interface do PayByLink"/>
    <x v="5"/>
    <x v="4"/>
    <x v="1"/>
    <s v="In Definition"/>
    <n v="6"/>
    <n v="0.03"/>
    <n v="1"/>
    <n v="1"/>
    <n v="1"/>
    <n v="100"/>
    <x v="0"/>
  </r>
  <r>
    <x v="0"/>
    <s v="SainteLague"/>
    <n v="90"/>
    <n v="130298"/>
    <s v="[Desconexi√õn SGC] [Salesforce Service] - Abonos, Siniestros e indemnizaciones"/>
    <x v="17"/>
    <x v="0"/>
    <x v="2"/>
    <s v="In Definition"/>
    <n v="2"/>
    <n v="0.03"/>
    <n v="1"/>
    <n v="1"/>
    <n v="1"/>
    <n v="100"/>
    <x v="0"/>
  </r>
  <r>
    <x v="0"/>
    <s v="SainteLague"/>
    <n v="91"/>
    <n v="87922"/>
    <s v="Cria√Å‚Äûo de Ordens de Fornecimento SAP/R3"/>
    <x v="31"/>
    <x v="1"/>
    <x v="2"/>
    <s v="Backlog"/>
    <n v="1"/>
    <n v="0.03"/>
    <n v="1"/>
    <n v="1"/>
    <n v="1"/>
    <n v="100"/>
    <x v="0"/>
  </r>
  <r>
    <x v="0"/>
    <s v="SainteLague"/>
    <n v="92"/>
    <n v="52102"/>
    <s v="WebService GEO Subscri√Å‚Äûo, Relat√õrios e Alertas"/>
    <x v="1"/>
    <x v="2"/>
    <x v="1"/>
    <s v="Backlog"/>
    <n v="25"/>
    <n v="0.03"/>
    <n v="1"/>
    <n v="1"/>
    <n v="1"/>
    <n v="100"/>
    <x v="0"/>
  </r>
  <r>
    <x v="0"/>
    <s v="SainteLague"/>
    <n v="93"/>
    <n v="189983"/>
    <s v="Pagamento de Vales Nacionais e Internacionais - Finaliza√Å‚Äûo do pagamento apenas ap√õs procedimentos de RCTO conclu√ådos"/>
    <x v="3"/>
    <x v="3"/>
    <x v="1"/>
    <s v="Backlog"/>
    <n v="5"/>
    <n v="0.03"/>
    <n v="1"/>
    <n v="1"/>
    <n v="1"/>
    <n v="100"/>
    <x v="0"/>
  </r>
  <r>
    <x v="0"/>
    <s v="SainteLague"/>
    <n v="94"/>
    <n v="100093"/>
    <s v="TTEVOB - Descontinua√Å‚Äûo FTP"/>
    <x v="11"/>
    <x v="0"/>
    <x v="3"/>
    <s v="Backlog"/>
    <n v="9"/>
    <n v="0.03"/>
    <n v="1"/>
    <n v="1"/>
    <n v="1"/>
    <n v="100"/>
    <x v="0"/>
  </r>
  <r>
    <x v="0"/>
    <s v="SainteLague"/>
    <n v="95"/>
    <n v="123319"/>
    <s v="Auditoria SI - Wave 3 - Canais Digitais"/>
    <x v="32"/>
    <x v="1"/>
    <x v="2"/>
    <s v="Backlog"/>
    <n v="1"/>
    <n v="0.03"/>
    <n v="1"/>
    <n v="1"/>
    <n v="1"/>
    <n v="100"/>
    <x v="0"/>
  </r>
  <r>
    <x v="0"/>
    <s v="SainteLague"/>
    <n v="96"/>
    <n v="130378"/>
    <s v="[WebHook] - Mediapost - Transmisi√õn de estados en mensaje NO est¬∑ndar"/>
    <x v="19"/>
    <x v="0"/>
    <x v="1"/>
    <s v="In Definition"/>
    <n v="2"/>
    <n v="0.03"/>
    <n v="1"/>
    <n v="1"/>
    <n v="1"/>
    <n v="100"/>
    <x v="0"/>
  </r>
  <r>
    <x v="0"/>
    <s v="SainteLague"/>
    <n v="97"/>
    <n v="177539"/>
    <s v="Evolu√Å‚Äûo tecnol√õgica do PIAO"/>
    <x v="11"/>
    <x v="2"/>
    <x v="3"/>
    <s v="Backlog"/>
    <n v="14"/>
    <n v="0.03"/>
    <n v="1"/>
    <n v="1"/>
    <n v="1"/>
    <n v="100"/>
    <x v="0"/>
  </r>
  <r>
    <x v="0"/>
    <s v="SainteLague"/>
    <n v="98"/>
    <n v="77999"/>
    <s v="Nexus | We Care | SalesForce Parameterization | Pilot"/>
    <x v="20"/>
    <x v="0"/>
    <x v="2"/>
    <s v="Backlog"/>
    <n v="3"/>
    <n v="0.03"/>
    <n v="1"/>
    <n v="1"/>
    <n v="1"/>
    <n v="100"/>
    <x v="0"/>
  </r>
  <r>
    <x v="0"/>
    <s v="SainteLague"/>
    <n v="99"/>
    <n v="126278"/>
    <s v="PAI NATAL SOLID¬°RIO"/>
    <x v="33"/>
    <x v="1"/>
    <x v="2"/>
    <s v="Backlog"/>
    <n v="1"/>
    <n v="2"/>
    <n v="2"/>
    <n v="2"/>
    <n v="2"/>
    <n v="3"/>
    <x v="0"/>
  </r>
  <r>
    <x v="0"/>
    <s v="SainteLague"/>
    <n v="100"/>
    <n v="126478"/>
    <s v="Ecossistema B2C √± Evolutiva - JAN e FEV 2026"/>
    <x v="22"/>
    <x v="0"/>
    <x v="1"/>
    <s v="Backlog"/>
    <n v="4"/>
    <n v="0.03"/>
    <n v="1"/>
    <n v="1"/>
    <n v="1"/>
    <n v="100"/>
    <x v="0"/>
  </r>
  <r>
    <x v="0"/>
    <s v="SainteLague"/>
    <n v="101"/>
    <n v="111689"/>
    <s v="Indicadores para Planeamento e Controlo (transa√Åƒ±es manuais)"/>
    <x v="5"/>
    <x v="4"/>
    <x v="1"/>
    <s v="Backlog"/>
    <n v="7"/>
    <n v="0.03"/>
    <n v="1"/>
    <n v="1"/>
    <n v="1"/>
    <n v="100"/>
    <x v="0"/>
  </r>
  <r>
    <x v="0"/>
    <s v="SainteLague"/>
    <n v="102"/>
    <n v="133560"/>
    <s v="Novos Canais | Assegurar a liquida√Å‚Äûo autom¬∑tica das faturas de campanhas Outbound"/>
    <x v="7"/>
    <x v="3"/>
    <x v="1"/>
    <s v="Backlog"/>
    <n v="49"/>
    <n v="0.03"/>
    <n v="1"/>
    <n v="1"/>
    <n v="1"/>
    <n v="100"/>
    <x v="0"/>
  </r>
  <r>
    <x v="0"/>
    <s v="SainteLague"/>
    <n v="103"/>
    <n v="130649"/>
    <s v="Creaci√õn Estados Aduanas, reporte a clientes y facturaci√õn"/>
    <x v="23"/>
    <x v="0"/>
    <x v="2"/>
    <s v="In Definition"/>
    <n v="2"/>
    <n v="0.03"/>
    <n v="1"/>
    <n v="1"/>
    <n v="1"/>
    <n v="100"/>
    <x v="0"/>
  </r>
  <r>
    <x v="0"/>
    <s v="SainteLague"/>
    <n v="104"/>
    <n v="190399"/>
    <s v="Descontinua√Å‚Äûo do PIPOLI"/>
    <x v="11"/>
    <x v="2"/>
    <x v="3"/>
    <s v="Backlog"/>
    <n v="15"/>
    <n v="0.03"/>
    <n v="1"/>
    <n v="1"/>
    <n v="1"/>
    <n v="100"/>
    <x v="0"/>
  </r>
  <r>
    <x v="0"/>
    <s v="SainteLague"/>
    <n v="105"/>
    <n v="55216"/>
    <s v="ESG - Incremento 1"/>
    <x v="34"/>
    <x v="1"/>
    <x v="2"/>
    <s v="In Definition"/>
    <n v="1"/>
    <n v="0.03"/>
    <n v="1"/>
    <n v="1"/>
    <n v="1"/>
    <n v="100"/>
    <x v="0"/>
  </r>
  <r>
    <x v="0"/>
    <s v="SainteLague"/>
    <n v="106"/>
    <n v="188737"/>
    <s v="Nexus | Data | Nexus Data"/>
    <x v="24"/>
    <x v="0"/>
    <x v="2"/>
    <s v="In Definition"/>
    <n v="8"/>
    <n v="0.03"/>
    <n v="1"/>
    <n v="1"/>
    <n v="1"/>
    <n v="100"/>
    <x v="0"/>
  </r>
  <r>
    <x v="0"/>
    <s v="SainteLague"/>
    <n v="107"/>
    <n v="130811"/>
    <s v="Acciones para evitar la duplicidad de recogidas de clientes v2"/>
    <x v="0"/>
    <x v="0"/>
    <x v="0"/>
    <s v="In Solution"/>
    <n v="5"/>
    <n v="0.03"/>
    <n v="1"/>
    <n v="1"/>
    <n v="1"/>
    <n v="100"/>
    <x v="0"/>
  </r>
  <r>
    <x v="0"/>
    <s v="SainteLague"/>
    <n v="108"/>
    <n v="16503"/>
    <s v="B2C - FIL-Alargamento dos meios de pagamento aceites"/>
    <x v="35"/>
    <x v="1"/>
    <x v="2"/>
    <s v="Backlog"/>
    <n v="1"/>
    <n v="0.03"/>
    <n v="1"/>
    <n v="1"/>
    <n v="1"/>
    <n v="100"/>
    <x v="0"/>
  </r>
  <r>
    <x v="0"/>
    <s v="SainteLague"/>
    <n v="109"/>
    <n v="119415"/>
    <s v="Incremento ao Safeplace CTT"/>
    <x v="2"/>
    <x v="0"/>
    <x v="0"/>
    <s v="Backlog"/>
    <n v="9"/>
    <n v="0.03"/>
    <n v="1"/>
    <n v="1"/>
    <n v="1"/>
    <n v="100"/>
    <x v="1"/>
  </r>
  <r>
    <x v="0"/>
    <s v="SainteLague"/>
    <n v="110"/>
    <n v="44675"/>
    <s v="GPB2C | Apartados - Adapta√Å‚Äûo Tecnologia Locky e Otimiza√Å‚Äûo de Recolha de Dados"/>
    <x v="3"/>
    <x v="3"/>
    <x v="1"/>
    <s v="Backlog"/>
    <n v="6"/>
    <n v="0.03"/>
    <n v="1"/>
    <n v="1"/>
    <n v="1"/>
    <n v="100"/>
    <x v="1"/>
  </r>
  <r>
    <x v="0"/>
    <s v="SainteLague"/>
    <n v="111"/>
    <n v="130794"/>
    <s v="Actualizaci√õn Plan C"/>
    <x v="0"/>
    <x v="0"/>
    <x v="0"/>
    <s v="In Solution"/>
    <n v="6"/>
    <n v="0.03"/>
    <n v="1"/>
    <n v="1"/>
    <n v="1"/>
    <n v="100"/>
    <x v="1"/>
  </r>
  <r>
    <x v="0"/>
    <s v="SainteLague"/>
    <n v="112"/>
    <n v="120372"/>
    <s v="POP - Melhorias a OnBoarding de clientes"/>
    <x v="5"/>
    <x v="4"/>
    <x v="1"/>
    <s v="In Definition"/>
    <n v="8"/>
    <n v="0.03"/>
    <n v="1"/>
    <n v="1"/>
    <n v="1"/>
    <n v="100"/>
    <x v="1"/>
  </r>
  <r>
    <x v="0"/>
    <s v="SainteLague"/>
    <n v="113"/>
    <n v="109623"/>
    <s v="e-SIGN: Nova solu√Å‚Äûo de assinatura digital CTT"/>
    <x v="36"/>
    <x v="1"/>
    <x v="2"/>
    <s v="High Level Design"/>
    <n v="1"/>
    <n v="0.03"/>
    <n v="1"/>
    <n v="1"/>
    <n v="1"/>
    <n v="100"/>
    <x v="1"/>
  </r>
  <r>
    <x v="0"/>
    <s v="SainteLague"/>
    <n v="114"/>
    <n v="81168"/>
    <s v="Tratamento de rejeitados no SD - Tipificar, isolar e informar (BG1): Incremento"/>
    <x v="2"/>
    <x v="0"/>
    <x v="0"/>
    <s v="In Definition"/>
    <n v="10"/>
    <n v="0.03"/>
    <n v="1"/>
    <n v="1"/>
    <n v="1"/>
    <n v="100"/>
    <x v="1"/>
  </r>
  <r>
    <x v="0"/>
    <s v="SainteLague"/>
    <n v="115"/>
    <n v="126043"/>
    <s v="Morada virtual | Servi√Åo de subscri√Å‚Äûo"/>
    <x v="6"/>
    <x v="0"/>
    <x v="1"/>
    <s v="Backlog"/>
    <n v="3"/>
    <n v="0.03"/>
    <n v="1"/>
    <n v="1"/>
    <n v="1"/>
    <n v="100"/>
    <x v="1"/>
  </r>
  <r>
    <x v="0"/>
    <s v="SainteLague"/>
    <n v="116"/>
    <n v="131734"/>
    <s v="Controlo de correio JPP"/>
    <x v="1"/>
    <x v="1"/>
    <x v="1"/>
    <s v="Backlog"/>
    <n v="2"/>
    <n v="1.5"/>
    <n v="1"/>
    <n v="1"/>
    <n v="1"/>
    <n v="2"/>
    <x v="1"/>
  </r>
  <r>
    <x v="0"/>
    <s v="SainteLague"/>
    <n v="117"/>
    <n v="129453"/>
    <s v="[SAP] - Vincular Docuware a SAP"/>
    <x v="8"/>
    <x v="0"/>
    <x v="2"/>
    <s v="Backlog"/>
    <n v="3"/>
    <n v="0.03"/>
    <n v="1"/>
    <n v="1"/>
    <n v="1"/>
    <n v="100"/>
    <x v="1"/>
  </r>
  <r>
    <x v="0"/>
    <s v="SainteLague"/>
    <n v="118"/>
    <n v="16508"/>
    <s v="GP B2C-Automatiza√Å‚Äûo da fatura√Å‚Äûo APIN"/>
    <x v="3"/>
    <x v="3"/>
    <x v="1"/>
    <s v="Backlog"/>
    <n v="7"/>
    <n v="0.03"/>
    <n v="1"/>
    <n v="1"/>
    <n v="1"/>
    <n v="100"/>
    <x v="1"/>
  </r>
  <r>
    <x v="0"/>
    <s v="SainteLague"/>
    <n v="119"/>
    <n v="78905"/>
    <s v="Evolu√Å‚Äûo Modelo de Incentivos Distribui√Å‚Äûo"/>
    <x v="4"/>
    <x v="1"/>
    <x v="0"/>
    <s v="Backlog"/>
    <n v="3"/>
    <n v="0.03"/>
    <n v="1"/>
    <n v="1"/>
    <n v="1"/>
    <n v="100"/>
    <x v="1"/>
  </r>
  <r>
    <x v="0"/>
    <s v="SainteLague"/>
    <n v="120"/>
    <n v="130990"/>
    <s v="Stack Observabilidad Ib√àrico"/>
    <x v="10"/>
    <x v="0"/>
    <x v="3"/>
    <s v="Backlog"/>
    <n v="3"/>
    <n v="0.03"/>
    <n v="1"/>
    <n v="1"/>
    <n v="1"/>
    <n v="100"/>
    <x v="1"/>
  </r>
  <r>
    <x v="0"/>
    <s v="SainteLague"/>
    <n v="121"/>
    <n v="107435"/>
    <s v="Novo Aceita√Å‚Äûo imediata de objetos expresso em lockerProjeto"/>
    <x v="7"/>
    <x v="0"/>
    <x v="1"/>
    <s v="Backlog"/>
    <n v="9"/>
    <n v="0.03"/>
    <n v="1"/>
    <n v="1"/>
    <n v="1"/>
    <n v="100"/>
    <x v="1"/>
  </r>
  <r>
    <x v="0"/>
    <s v="SainteLague"/>
    <n v="122"/>
    <n v="152796"/>
    <s v="Onboarding POP - retifica√Å‚Äûo de interface de cria√Å‚Äûo de entidade"/>
    <x v="5"/>
    <x v="4"/>
    <x v="1"/>
    <s v="In Definition"/>
    <n v="9"/>
    <n v="0.03"/>
    <n v="1"/>
    <n v="1"/>
    <n v="1"/>
    <n v="100"/>
    <x v="1"/>
  </r>
  <r>
    <x v="0"/>
    <s v="SainteLague"/>
    <n v="123"/>
    <n v="126641"/>
    <s v="GENAI-NBanks"/>
    <x v="9"/>
    <x v="1"/>
    <x v="2"/>
    <s v="Backlog"/>
    <n v="2"/>
    <n v="0.03"/>
    <n v="1"/>
    <n v="1"/>
    <n v="1"/>
    <n v="100"/>
    <x v="1"/>
  </r>
  <r>
    <x v="0"/>
    <s v="SainteLague"/>
    <n v="124"/>
    <n v="131044"/>
    <s v="[PUDOS] - Herramienta para orden de recogidas en PUDOS"/>
    <x v="14"/>
    <x v="0"/>
    <x v="1"/>
    <s v="High Level Design"/>
    <n v="4"/>
    <n v="0.03"/>
    <n v="1"/>
    <n v="1"/>
    <n v="1"/>
    <n v="100"/>
    <x v="1"/>
  </r>
  <r>
    <x v="0"/>
    <s v="SainteLague"/>
    <n v="125"/>
    <n v="130900"/>
    <s v="[SGC] - L√õgica de aplicaci√õn de perfil tarifario a nuevos centros en SGC"/>
    <x v="16"/>
    <x v="0"/>
    <x v="1"/>
    <s v="Backlog"/>
    <n v="3"/>
    <n v="0.03"/>
    <n v="1"/>
    <n v="1"/>
    <n v="1"/>
    <n v="100"/>
    <x v="1"/>
  </r>
  <r>
    <x v="0"/>
    <s v="SainteLague"/>
    <n v="126"/>
    <n v="126581"/>
    <s v="Downgrade 1.200 / 4.186 Microsoft O365 E5 licences (local) to O365 F3 (web) [1/2 year]"/>
    <x v="12"/>
    <x v="1"/>
    <x v="3"/>
    <s v="Backlog"/>
    <n v="2"/>
    <n v="0.03"/>
    <n v="1"/>
    <n v="1"/>
    <n v="1"/>
    <n v="100"/>
    <x v="1"/>
  </r>
  <r>
    <x v="0"/>
    <s v="SainteLague"/>
    <n v="127"/>
    <n v="189526"/>
    <s v="GPB2C | Inibi√Å‚Äûo de Pagamentos a Entidades Coletivas Singulares no Nave e no STA"/>
    <x v="3"/>
    <x v="3"/>
    <x v="1"/>
    <s v="In Definition"/>
    <n v="8"/>
    <n v="0.03"/>
    <n v="1"/>
    <n v="1"/>
    <n v="1"/>
    <n v="100"/>
    <x v="1"/>
  </r>
  <r>
    <x v="0"/>
    <s v="SainteLague"/>
    <n v="128"/>
    <n v="129830"/>
    <s v="[Desconexi√õn SGC] [Nexia] - Consulta masiva de env√åos y acciones sobre los resultados + export/import en Excel"/>
    <x v="17"/>
    <x v="0"/>
    <x v="2"/>
    <s v="In Definition"/>
    <n v="3"/>
    <n v="0.03"/>
    <n v="1"/>
    <n v="1"/>
    <n v="1"/>
    <n v="100"/>
    <x v="1"/>
  </r>
  <r>
    <x v="0"/>
    <s v="SainteLague"/>
    <n v="129"/>
    <n v="100104"/>
    <s v="SGEE - Descontinua√Å‚Äûo FTP"/>
    <x v="11"/>
    <x v="0"/>
    <x v="3"/>
    <s v="Backlog"/>
    <n v="11"/>
    <n v="0.03"/>
    <n v="1"/>
    <n v="1"/>
    <n v="1"/>
    <n v="100"/>
    <x v="1"/>
  </r>
  <r>
    <x v="0"/>
    <s v="SainteLague"/>
    <n v="130"/>
    <n v="126574"/>
    <s v="DLP (Data Loss Prevention) - Wave 1"/>
    <x v="13"/>
    <x v="1"/>
    <x v="4"/>
    <s v="Backlog"/>
    <n v="2"/>
    <n v="0.03"/>
    <n v="1"/>
    <n v="1"/>
    <n v="1"/>
    <n v="100"/>
    <x v="1"/>
  </r>
  <r>
    <x v="0"/>
    <s v="SainteLague"/>
    <n v="131"/>
    <n v="130552"/>
    <s v="Mejorar el algoritmo de aproximaci√õn de calculo de CP/Poblacion de manifiestos [Objetos con origen en Espa√ía sin Cp7]"/>
    <x v="19"/>
    <x v="0"/>
    <x v="1"/>
    <s v="In Definition"/>
    <n v="3"/>
    <n v="0.03"/>
    <n v="1"/>
    <n v="1"/>
    <n v="1"/>
    <n v="100"/>
    <x v="1"/>
  </r>
  <r>
    <x v="0"/>
    <s v="SainteLague"/>
    <n v="132"/>
    <n v="56652"/>
    <s v="Coimas - Configura√Å‚Äûo /Mapeamentos SAP"/>
    <x v="5"/>
    <x v="4"/>
    <x v="1"/>
    <s v="In Definition"/>
    <n v="10"/>
    <n v="0.03"/>
    <n v="1"/>
    <n v="1"/>
    <n v="1"/>
    <n v="100"/>
    <x v="1"/>
  </r>
  <r>
    <x v="0"/>
    <s v="SainteLague"/>
    <n v="133"/>
    <n v="78003"/>
    <s v="Nexus | We Care | Adaptation of Service Infrastructures | Pilot"/>
    <x v="20"/>
    <x v="0"/>
    <x v="2"/>
    <s v="Backlog"/>
    <n v="4"/>
    <n v="0.03"/>
    <n v="1"/>
    <n v="1"/>
    <n v="1"/>
    <n v="100"/>
    <x v="1"/>
  </r>
  <r>
    <x v="0"/>
    <s v="SainteLague"/>
    <n v="134"/>
    <n v="44136"/>
    <s v="Liquida√Å‚Äûo de  objetos CTT  ‚Ä° cobran√Åa"/>
    <x v="7"/>
    <x v="1"/>
    <x v="1"/>
    <s v="In Definition"/>
    <n v="5"/>
    <n v="0.03"/>
    <n v="1"/>
    <n v="1"/>
    <n v="1"/>
    <n v="100"/>
    <x v="1"/>
  </r>
  <r>
    <x v="0"/>
    <s v="SainteLague"/>
    <n v="135"/>
    <n v="28297"/>
    <s v="B2C NAVe | GP B2C-Valida√Å‚Äûo da data de Voo com a AT - Subsidio de Mobilidade"/>
    <x v="3"/>
    <x v="3"/>
    <x v="1"/>
    <s v="Backlog"/>
    <n v="9"/>
    <n v="0.03"/>
    <n v="1"/>
    <n v="1"/>
    <n v="1"/>
    <n v="100"/>
    <x v="1"/>
  </r>
  <r>
    <x v="0"/>
    <s v="SainteLague"/>
    <n v="136"/>
    <n v="130995"/>
    <s v="KPIs de Prevenci√õn de Riesgos Laborales de CTT Express"/>
    <x v="23"/>
    <x v="0"/>
    <x v="2"/>
    <s v="Pitch"/>
    <n v="3"/>
    <n v="0.03"/>
    <n v="1"/>
    <n v="1"/>
    <n v="1"/>
    <n v="100"/>
    <x v="1"/>
  </r>
  <r>
    <x v="0"/>
    <s v="SainteLague"/>
    <n v="137"/>
    <n v="107765"/>
    <s v="Novas regras RCTO - Lista de Profissƒ±es"/>
    <x v="18"/>
    <x v="1"/>
    <x v="2"/>
    <s v="In Definition"/>
    <n v="2"/>
    <n v="0.03"/>
    <n v="1"/>
    <n v="1"/>
    <n v="1"/>
    <n v="100"/>
    <x v="1"/>
  </r>
  <r>
    <x v="0"/>
    <s v="SainteLague"/>
    <n v="138"/>
    <n v="128714"/>
    <s v="Workforce Analytics - Integra√Å‚Äûo Espanha"/>
    <x v="24"/>
    <x v="0"/>
    <x v="2"/>
    <s v="Backlog"/>
    <n v="10"/>
    <n v="0.03"/>
    <n v="1"/>
    <n v="1"/>
    <n v="1"/>
    <n v="100"/>
    <x v="1"/>
  </r>
  <r>
    <x v="0"/>
    <s v="SainteLague"/>
    <n v="139"/>
    <n v="130873"/>
    <s v="[Nexus Piloto Operacional] [We Serve] Incremento de env√åos en Piloto y despliegue Nexus"/>
    <x v="0"/>
    <x v="0"/>
    <x v="0"/>
    <s v="High Level Design"/>
    <n v="7"/>
    <n v="0.03"/>
    <n v="1"/>
    <n v="1"/>
    <n v="1"/>
    <n v="100"/>
    <x v="1"/>
  </r>
  <r>
    <x v="0"/>
    <s v="SainteLague"/>
    <n v="140"/>
    <n v="126509"/>
    <s v="Alargamento Infraestrutura  SI a outros sistemas desenvolvidos por EDO"/>
    <x v="2"/>
    <x v="1"/>
    <x v="0"/>
    <s v="Backlog"/>
    <n v="3"/>
    <n v="0.03"/>
    <n v="1"/>
    <n v="1"/>
    <n v="1"/>
    <n v="100"/>
    <x v="1"/>
  </r>
  <r>
    <x v="0"/>
    <s v="SainteLague"/>
    <n v="141"/>
    <n v="76788"/>
    <s v="[Projeto One Million] Redu√Å‚Äûo backlog objetos expresso"/>
    <x v="2"/>
    <x v="0"/>
    <x v="0"/>
    <s v="Backlog"/>
    <n v="11"/>
    <n v="0.03"/>
    <n v="1"/>
    <n v="1"/>
    <n v="1"/>
    <n v="100"/>
    <x v="1"/>
  </r>
  <r>
    <x v="0"/>
    <s v="SainteLague"/>
    <n v="142"/>
    <n v="188749"/>
    <s v="Automatiza√Å‚Äûo Revis‚Äûo Alertas AML  (Payshop)"/>
    <x v="5"/>
    <x v="4"/>
    <x v="1"/>
    <s v="Backlog"/>
    <n v="11"/>
    <n v="0.03"/>
    <n v="1"/>
    <n v="1"/>
    <n v="1"/>
    <n v="100"/>
    <x v="1"/>
  </r>
  <r>
    <x v="0"/>
    <s v="SainteLague"/>
    <n v="143"/>
    <n v="156771"/>
    <s v="GPB2C | Subsidio Social de Mobilidade - Recomenda√Åƒ±es de Auditoria (N‚à´ 21001/23)"/>
    <x v="3"/>
    <x v="3"/>
    <x v="1"/>
    <s v="Backlog"/>
    <n v="10"/>
    <n v="0.03"/>
    <n v="1"/>
    <n v="1"/>
    <n v="1"/>
    <n v="100"/>
    <x v="1"/>
  </r>
  <r>
    <x v="0"/>
    <s v="SainteLague"/>
    <n v="144"/>
    <n v="130114"/>
    <s v="[Desconexi√õn SGC] Cierre diario: Liquidaci√õn de portes debidos y reembolsos"/>
    <x v="0"/>
    <x v="0"/>
    <x v="0"/>
    <s v="In Definition"/>
    <n v="8"/>
    <n v="0.03"/>
    <n v="1"/>
    <n v="1"/>
    <n v="1"/>
    <n v="100"/>
    <x v="1"/>
  </r>
  <r>
    <x v="0"/>
    <s v="SainteLague"/>
    <n v="145"/>
    <n v="126749"/>
    <s v="SGEE - Migra√Å‚Äûo de Pipelines ADO2Github"/>
    <x v="15"/>
    <x v="1"/>
    <x v="3"/>
    <s v="Backlog"/>
    <n v="3"/>
    <n v="0.03"/>
    <n v="1"/>
    <n v="1"/>
    <n v="1"/>
    <n v="100"/>
    <x v="1"/>
  </r>
  <r>
    <x v="0"/>
    <s v="SainteLague"/>
    <n v="146"/>
    <n v="68791"/>
    <s v="Tratamento de rejeitados no SD - Entrada de pr√à-aviso p√õs primeira passagem do objeto na rede de tratamento (BG3)"/>
    <x v="2"/>
    <x v="0"/>
    <x v="0"/>
    <s v="In Definition"/>
    <n v="12"/>
    <n v="0.03"/>
    <n v="1"/>
    <n v="1"/>
    <n v="1"/>
    <n v="100"/>
    <x v="1"/>
  </r>
  <r>
    <x v="0"/>
    <s v="SainteLague"/>
    <n v="147"/>
    <n v="138225"/>
    <s v="GPECL/INT - Interconnect | Disponibilizar Easy Return Solution Premium (ERS) - Authorising Party"/>
    <x v="6"/>
    <x v="0"/>
    <x v="1"/>
    <s v="Backlog"/>
    <n v="4"/>
    <n v="0.03"/>
    <n v="1"/>
    <n v="1"/>
    <n v="1"/>
    <n v="100"/>
    <x v="1"/>
  </r>
  <r>
    <x v="0"/>
    <s v="SainteLague"/>
    <n v="148"/>
    <n v="126459"/>
    <s v="Super B2C (App + ¬°rea Cliente) |  Incluir publicidade gen√àrica do Banco CTT nos canais digitais dos CTT"/>
    <x v="22"/>
    <x v="1"/>
    <x v="1"/>
    <s v="Backlog"/>
    <n v="2"/>
    <n v="0.03"/>
    <n v="1"/>
    <n v="1"/>
    <n v="1"/>
    <n v="100"/>
    <x v="1"/>
  </r>
  <r>
    <x v="0"/>
    <s v="SainteLague"/>
    <n v="149"/>
    <n v="134702"/>
    <s v="P&amp;L Ib√àrica e informaci√õn de gesti√õn"/>
    <x v="8"/>
    <x v="0"/>
    <x v="2"/>
    <s v="In Solution"/>
    <n v="4"/>
    <n v="0.03"/>
    <n v="1"/>
    <n v="1"/>
    <n v="1"/>
    <n v="100"/>
    <x v="1"/>
  </r>
  <r>
    <x v="0"/>
    <s v="SainteLague"/>
    <n v="150"/>
    <n v="48167"/>
    <s v="GPB2C | Via Verde √± Reposit√õrio de informa√Å‚Äûo"/>
    <x v="3"/>
    <x v="3"/>
    <x v="1"/>
    <s v="Backlog"/>
    <n v="11"/>
    <n v="0.03"/>
    <n v="1"/>
    <n v="1"/>
    <n v="1"/>
    <n v="100"/>
    <x v="1"/>
  </r>
  <r>
    <x v="0"/>
    <s v="SainteLague"/>
    <n v="151"/>
    <n v="130991"/>
    <s v="Crear entornos no productivos"/>
    <x v="10"/>
    <x v="0"/>
    <x v="3"/>
    <s v="Backlog"/>
    <n v="4"/>
    <n v="0.03"/>
    <n v="1"/>
    <n v="1"/>
    <n v="1"/>
    <n v="100"/>
    <x v="1"/>
  </r>
  <r>
    <x v="0"/>
    <s v="SainteLague"/>
    <n v="152"/>
    <n v="203853"/>
    <s v="Sites CTT e Payshop | Inclus‚Äûo dos Agentes Payshop na pesquisa de Pontos de Contacto CTT"/>
    <x v="5"/>
    <x v="4"/>
    <x v="1"/>
    <s v="In Definition"/>
    <n v="12"/>
    <n v="0.03"/>
    <n v="1"/>
    <n v="1"/>
    <n v="1"/>
    <n v="100"/>
    <x v="1"/>
  </r>
  <r>
    <x v="0"/>
    <s v="SainteLague"/>
    <n v="153"/>
    <n v="39126"/>
    <s v="Novas funcionalidades no PA- AVC"/>
    <x v="20"/>
    <x v="1"/>
    <x v="2"/>
    <s v="Backlog"/>
    <n v="7"/>
    <n v="0.03"/>
    <n v="1"/>
    <n v="1"/>
    <n v="1"/>
    <n v="100"/>
    <x v="1"/>
  </r>
  <r>
    <x v="0"/>
    <s v="SainteLague"/>
    <n v="154"/>
    <n v="60584"/>
    <s v="Nexus | We Sell | Customer Onboarding"/>
    <x v="7"/>
    <x v="0"/>
    <x v="1"/>
    <s v="In Definition"/>
    <n v="10"/>
    <n v="0.03"/>
    <n v="1"/>
    <n v="1"/>
    <n v="1"/>
    <n v="100"/>
    <x v="1"/>
  </r>
  <r>
    <x v="0"/>
    <s v="SainteLague"/>
    <n v="155"/>
    <n v="131056"/>
    <s v="[PUDOS] - Generaci√õn POD env√åos Celeritas / Locky"/>
    <x v="14"/>
    <x v="0"/>
    <x v="1"/>
    <s v="High Level Design"/>
    <n v="5"/>
    <n v="0.03"/>
    <n v="1"/>
    <n v="1"/>
    <n v="1"/>
    <n v="100"/>
    <x v="1"/>
  </r>
  <r>
    <x v="0"/>
    <s v="SainteLague"/>
    <n v="156"/>
    <n v="125916"/>
    <s v="Paperless - Fatura√Å‚Äûo eletr√õnica em loja"/>
    <x v="11"/>
    <x v="1"/>
    <x v="3"/>
    <s v="Backlog"/>
    <n v="4"/>
    <n v="0.03"/>
    <n v="1"/>
    <n v="1"/>
    <n v="1"/>
    <n v="100"/>
    <x v="1"/>
  </r>
  <r>
    <x v="0"/>
    <s v="SainteLague"/>
    <n v="157"/>
    <n v="132533"/>
    <s v="[Minerva] - Carga de nuevo modelo tarifario PT Continente 2026"/>
    <x v="16"/>
    <x v="0"/>
    <x v="1"/>
    <s v="Ready for Solution"/>
    <n v="4"/>
    <n v="0.03"/>
    <n v="1"/>
    <n v="1"/>
    <n v="1"/>
    <n v="100"/>
    <x v="1"/>
  </r>
  <r>
    <x v="0"/>
    <s v="SainteLague"/>
    <n v="158"/>
    <n v="124599"/>
    <s v="Plataforma de Gest‚Äûo Documental IGCP"/>
    <x v="3"/>
    <x v="3"/>
    <x v="1"/>
    <s v="Pitch"/>
    <n v="12"/>
    <n v="0.03"/>
    <n v="1"/>
    <n v="1"/>
    <n v="1"/>
    <n v="100"/>
    <x v="1"/>
  </r>
  <r>
    <x v="0"/>
    <s v="SainteLague"/>
    <n v="159"/>
    <n v="185664"/>
    <s v="PAY - Instrumento Cheques - Incremento I"/>
    <x v="26"/>
    <x v="1"/>
    <x v="1"/>
    <s v="In Definition"/>
    <n v="2"/>
    <n v="0.03"/>
    <n v="1"/>
    <n v="1"/>
    <n v="1"/>
    <n v="100"/>
    <x v="1"/>
  </r>
  <r>
    <x v="0"/>
    <s v="SainteLague"/>
    <n v="160"/>
    <n v="129869"/>
    <s v="[Desconexi√õn SGC] [Salesforce Service] - Creaci√õn de flujos de trabajo entre Salesforce-Service y Nexia"/>
    <x v="17"/>
    <x v="0"/>
    <x v="2"/>
    <s v="In Solution"/>
    <n v="4"/>
    <n v="0.03"/>
    <n v="1"/>
    <n v="1"/>
    <n v="1"/>
    <n v="100"/>
    <x v="1"/>
  </r>
  <r>
    <x v="0"/>
    <s v="SainteLague"/>
    <n v="161"/>
    <n v="36196"/>
    <s v="Redu√Å‚Äûo do nÀômero de sms enviados aos clientes"/>
    <x v="11"/>
    <x v="0"/>
    <x v="3"/>
    <s v="Backlog"/>
    <n v="19"/>
    <n v="0.03"/>
    <n v="1"/>
    <n v="1"/>
    <n v="1"/>
    <n v="100"/>
    <x v="1"/>
  </r>
  <r>
    <x v="0"/>
    <s v="SainteLague"/>
    <n v="162"/>
    <n v="207256"/>
    <s v="Altera√Å‚Äûo Canal Produtos Pagamentos B2C"/>
    <x v="5"/>
    <x v="4"/>
    <x v="1"/>
    <s v="Backlog"/>
    <n v="13"/>
    <n v="0.03"/>
    <n v="1"/>
    <n v="1"/>
    <n v="1"/>
    <n v="100"/>
    <x v="1"/>
  </r>
  <r>
    <x v="0"/>
    <s v="SainteLague"/>
    <n v="163"/>
    <n v="111495"/>
    <s v="GT - Portal AON MVP (com SSO)"/>
    <x v="27"/>
    <x v="1"/>
    <x v="2"/>
    <s v="Backlog"/>
    <n v="2"/>
    <n v="0.03"/>
    <n v="1"/>
    <n v="1"/>
    <n v="1"/>
    <n v="100"/>
    <x v="1"/>
  </r>
  <r>
    <x v="0"/>
    <s v="SainteLague"/>
    <n v="164"/>
    <n v="130244"/>
    <s v="Migraci√õn a Cloud ficheros IDL e Inditex"/>
    <x v="19"/>
    <x v="0"/>
    <x v="1"/>
    <s v="Backlog"/>
    <n v="4"/>
    <n v="0.03"/>
    <n v="1"/>
    <n v="1"/>
    <n v="1"/>
    <n v="100"/>
    <x v="1"/>
  </r>
  <r>
    <x v="0"/>
    <s v="SainteLague"/>
    <n v="165"/>
    <n v="78001"/>
    <s v="Nexus | We Care | SalesForce Parametrization | Post MVP"/>
    <x v="20"/>
    <x v="0"/>
    <x v="2"/>
    <s v="Backlog"/>
    <n v="5"/>
    <n v="0.03"/>
    <n v="1"/>
    <n v="1"/>
    <n v="1"/>
    <n v="100"/>
    <x v="1"/>
  </r>
  <r>
    <x v="0"/>
    <s v="SainteLague"/>
    <n v="166"/>
    <n v="71073"/>
    <s v="Lojas com necessidade de 2 m¬∑quinas dispensadoras de senhas"/>
    <x v="28"/>
    <x v="1"/>
    <x v="3"/>
    <s v="Backlog"/>
    <n v="2"/>
    <n v="0.03"/>
    <n v="1"/>
    <n v="1"/>
    <n v="1"/>
    <n v="100"/>
    <x v="1"/>
  </r>
  <r>
    <x v="0"/>
    <s v="SainteLague"/>
    <n v="167"/>
    <n v="76019"/>
    <s v="Servi√Åo Conveni√çncia -  Impress‚Äûo A4 (complemento ao Servi√Åo de Fotocopias)"/>
    <x v="3"/>
    <x v="3"/>
    <x v="1"/>
    <s v="Backlog"/>
    <n v="13"/>
    <n v="0.03"/>
    <n v="1"/>
    <n v="1"/>
    <n v="1"/>
    <n v="100"/>
    <x v="1"/>
  </r>
  <r>
    <x v="0"/>
    <s v="SainteLague"/>
    <n v="168"/>
    <n v="130996"/>
    <s v="Visualizaci√õn de kil√õmetros en Qlik"/>
    <x v="23"/>
    <x v="0"/>
    <x v="2"/>
    <s v="Backlog"/>
    <n v="4"/>
    <n v="0.03"/>
    <n v="1"/>
    <n v="1"/>
    <n v="1"/>
    <n v="100"/>
    <x v="1"/>
  </r>
  <r>
    <x v="0"/>
    <s v="SainteLague"/>
    <n v="169"/>
    <n v="150434"/>
    <s v="Modelo de Analise de Varia√Å‚Äûo de Negocio (Efeitos Trafego e Pre√Åo)"/>
    <x v="24"/>
    <x v="0"/>
    <x v="2"/>
    <s v="Backlog"/>
    <n v="11"/>
    <n v="0.03"/>
    <n v="1"/>
    <n v="1"/>
    <n v="1"/>
    <n v="100"/>
    <x v="1"/>
  </r>
  <r>
    <x v="0"/>
    <s v="SainteLague"/>
    <n v="170"/>
    <n v="68917"/>
    <s v="IOS - Novo Extrator de dados da aplica√Å‚Äûo IOS"/>
    <x v="29"/>
    <x v="1"/>
    <x v="2"/>
    <s v="Backlog"/>
    <n v="4"/>
    <n v="0.03"/>
    <n v="1"/>
    <n v="1"/>
    <n v="1"/>
    <n v="100"/>
    <x v="1"/>
  </r>
  <r>
    <x v="0"/>
    <s v="SainteLague"/>
    <n v="171"/>
    <n v="130113"/>
    <s v="[Desconexi√õn SGC] Cierre diario: Incidencias"/>
    <x v="0"/>
    <x v="0"/>
    <x v="0"/>
    <s v="Backlog"/>
    <n v="9"/>
    <n v="0.03"/>
    <n v="1"/>
    <n v="1"/>
    <n v="1"/>
    <n v="100"/>
    <x v="1"/>
  </r>
  <r>
    <x v="0"/>
    <s v="SainteLague"/>
    <n v="172"/>
    <n v="130986"/>
    <s v="Rec¬∑lculo fechas de compromiso Baleares fines de semana"/>
    <x v="0"/>
    <x v="0"/>
    <x v="0"/>
    <s v="Backlog"/>
    <n v="10"/>
    <n v="0.03"/>
    <n v="1"/>
    <n v="1"/>
    <n v="1"/>
    <n v="100"/>
    <x v="1"/>
  </r>
  <r>
    <x v="0"/>
    <s v="SainteLague"/>
    <n v="173"/>
    <n v="125218"/>
    <s v="revamp.EPM - Framework CPM 360 Full Scope (Non Core)"/>
    <x v="24"/>
    <x v="1"/>
    <x v="2"/>
    <s v="Ready for Solution"/>
    <n v="2"/>
    <n v="0.03"/>
    <n v="1"/>
    <n v="1"/>
    <n v="1"/>
    <n v="100"/>
    <x v="1"/>
  </r>
  <r>
    <x v="0"/>
    <s v="SainteLague"/>
    <n v="174"/>
    <n v="92336"/>
    <s v="Mata Aplica√Åƒ±es  - Wave 1.X - ELS"/>
    <x v="3"/>
    <x v="3"/>
    <x v="1"/>
    <s v="Backlog"/>
    <n v="14"/>
    <n v="0.03"/>
    <n v="1"/>
    <n v="1"/>
    <n v="1"/>
    <n v="100"/>
    <x v="1"/>
  </r>
  <r>
    <x v="0"/>
    <s v="SainteLague"/>
    <n v="175"/>
    <n v="124619"/>
    <s v="Envios Online &amp; Super APP | Servi√Åo de Ponto de Entrega"/>
    <x v="6"/>
    <x v="0"/>
    <x v="1"/>
    <s v="Backlog"/>
    <n v="5"/>
    <n v="0.03"/>
    <n v="1"/>
    <n v="1"/>
    <n v="1"/>
    <n v="100"/>
    <x v="1"/>
  </r>
  <r>
    <x v="0"/>
    <s v="SainteLague"/>
    <n v="176"/>
    <n v="55327"/>
    <s v="XRP | RPA para substitui√Å‚Äûo da integra√Å‚Äûo com BPM"/>
    <x v="30"/>
    <x v="1"/>
    <x v="2"/>
    <s v="Backlog"/>
    <n v="2"/>
    <n v="0.03"/>
    <n v="1"/>
    <n v="1"/>
    <n v="1"/>
    <n v="100"/>
    <x v="1"/>
  </r>
  <r>
    <x v="0"/>
    <s v="SainteLague"/>
    <n v="177"/>
    <n v="130981"/>
    <s v="ECCS por peso Informado"/>
    <x v="8"/>
    <x v="0"/>
    <x v="2"/>
    <s v="Backlog"/>
    <n v="5"/>
    <n v="0.03"/>
    <n v="1"/>
    <n v="1"/>
    <n v="1"/>
    <n v="100"/>
    <x v="1"/>
  </r>
  <r>
    <x v="0"/>
    <s v="SainteLague"/>
    <n v="178"/>
    <n v="130663"/>
    <s v="API Clientes - Authorization"/>
    <x v="10"/>
    <x v="0"/>
    <x v="3"/>
    <s v="Backlog"/>
    <n v="5"/>
    <n v="0.03"/>
    <n v="1"/>
    <n v="1"/>
    <n v="1"/>
    <n v="100"/>
    <x v="1"/>
  </r>
  <r>
    <x v="0"/>
    <s v="SainteLague"/>
    <n v="179"/>
    <n v="176107"/>
    <s v="PRODUTOS COM LEITURA OBRIGATORIA DE CODIGO DE  IDENTIFICA¬´¬¨O"/>
    <x v="31"/>
    <x v="1"/>
    <x v="2"/>
    <s v="Backlog"/>
    <n v="2"/>
    <n v="0.03"/>
    <n v="1"/>
    <n v="1"/>
    <n v="1"/>
    <n v="100"/>
    <x v="1"/>
  </r>
  <r>
    <x v="0"/>
    <s v="SainteLague"/>
    <n v="180"/>
    <n v="127066"/>
    <s v="Galaxy - Jornada de envios √± Jornada Expresso com oferta ib√àrica"/>
    <x v="7"/>
    <x v="0"/>
    <x v="1"/>
    <s v="Backlog"/>
    <n v="12"/>
    <n v="0.03"/>
    <n v="1"/>
    <n v="1"/>
    <n v="1"/>
    <n v="100"/>
    <x v="1"/>
  </r>
  <r>
    <x v="0"/>
    <s v="SainteLague"/>
    <n v="181"/>
    <n v="130365"/>
    <s v="[Nexus Piloto Operacional] [We Care] Generaci√õn y consumo del POD para Fase 2"/>
    <x v="14"/>
    <x v="0"/>
    <x v="1"/>
    <s v="Ready for Approval"/>
    <n v="6"/>
    <n v="0.03"/>
    <n v="1"/>
    <n v="1"/>
    <n v="1"/>
    <n v="100"/>
    <x v="1"/>
  </r>
  <r>
    <x v="0"/>
    <s v="SainteLague"/>
    <n v="182"/>
    <n v="123320"/>
    <s v="Auditoria SI - Wave 3 - Business Solutions"/>
    <x v="32"/>
    <x v="1"/>
    <x v="2"/>
    <s v="Backlog"/>
    <n v="2"/>
    <n v="0.03"/>
    <n v="1"/>
    <n v="1"/>
    <n v="1"/>
    <n v="100"/>
    <x v="1"/>
  </r>
  <r>
    <x v="0"/>
    <s v="SainteLague"/>
    <n v="183"/>
    <n v="130767"/>
    <s v="[Integraci√õn de Clientes] Tik Tok - Bloqueo del dato publicado de peso y medidas despu√às del estado definitivo."/>
    <x v="16"/>
    <x v="0"/>
    <x v="1"/>
    <s v="In Definition"/>
    <n v="5"/>
    <n v="0.03"/>
    <n v="1"/>
    <n v="1"/>
    <n v="1"/>
    <n v="100"/>
    <x v="1"/>
  </r>
  <r>
    <x v="0"/>
    <s v="SainteLague"/>
    <n v="184"/>
    <n v="129677"/>
    <s v="[Seguridad] PDA Planta (TO)/Gesti√õn de Planta/ Auditor√åa de seguridad/Control de conductores"/>
    <x v="17"/>
    <x v="0"/>
    <x v="2"/>
    <s v="In Solution"/>
    <n v="5"/>
    <n v="0.03"/>
    <n v="1"/>
    <n v="1"/>
    <n v="1"/>
    <n v="100"/>
    <x v="1"/>
  </r>
  <r>
    <x v="0"/>
    <s v="SainteLague"/>
    <n v="185"/>
    <n v="48989"/>
    <s v="Evolu√Å‚Äûo Pesquisa Pontos de Contacto CTT"/>
    <x v="33"/>
    <x v="1"/>
    <x v="2"/>
    <s v="Backlog"/>
    <n v="2"/>
    <n v="0.03"/>
    <n v="1"/>
    <n v="1"/>
    <n v="1"/>
    <n v="100"/>
    <x v="1"/>
  </r>
  <r>
    <x v="0"/>
    <s v="SainteLague"/>
    <n v="186"/>
    <n v="100094"/>
    <s v="SRP - Descontinua√Å‚Äûo FTP"/>
    <x v="11"/>
    <x v="0"/>
    <x v="3"/>
    <s v="Backlog"/>
    <n v="20"/>
    <n v="0.03"/>
    <n v="1"/>
    <n v="1"/>
    <n v="1"/>
    <n v="100"/>
    <x v="1"/>
  </r>
  <r>
    <x v="0"/>
    <s v="SainteLague"/>
    <n v="187"/>
    <n v="136235"/>
    <s v="DHL Parcel - Webhook- Evento Recogida de Caducado en Pudo y Falso Entregado"/>
    <x v="19"/>
    <x v="0"/>
    <x v="1"/>
    <s v="In Definition"/>
    <n v="5"/>
    <n v="0.03"/>
    <n v="1"/>
    <n v="1"/>
    <n v="1"/>
    <n v="100"/>
    <x v="1"/>
  </r>
  <r>
    <x v="0"/>
    <s v="SainteLague"/>
    <n v="188"/>
    <n v="124872"/>
    <s v="FIL | Segmenta√Å‚Äûo de Clientes - atribui√Å‚Äûo de descontos  PED-2021-00346"/>
    <x v="35"/>
    <x v="1"/>
    <x v="2"/>
    <s v="Backlog"/>
    <n v="2"/>
    <n v="0.03"/>
    <n v="1"/>
    <n v="1"/>
    <n v="1"/>
    <n v="100"/>
    <x v="1"/>
  </r>
  <r>
    <x v="0"/>
    <s v="SainteLague"/>
    <n v="189"/>
    <n v="78005"/>
    <s v="Nexus | We Care | Adaptation of Service Infrastructures | MVP"/>
    <x v="20"/>
    <x v="0"/>
    <x v="2"/>
    <s v="Backlog"/>
    <n v="6"/>
    <n v="0.03"/>
    <n v="1"/>
    <n v="1"/>
    <n v="1"/>
    <n v="100"/>
    <x v="1"/>
  </r>
  <r>
    <x v="0"/>
    <s v="SainteLague"/>
    <n v="190"/>
    <n v="130945"/>
    <s v="Implantaci√õn con empresa externa de software para la medici√õn de la Huella de Carbono"/>
    <x v="23"/>
    <x v="0"/>
    <x v="2"/>
    <s v="Backlog"/>
    <n v="5"/>
    <n v="0.03"/>
    <n v="1"/>
    <n v="1"/>
    <n v="1"/>
    <n v="100"/>
    <x v="1"/>
  </r>
  <r>
    <x v="0"/>
    <s v="SainteLague"/>
    <n v="191"/>
    <n v="60596"/>
    <s v="Liga√Å‚Äûo do AgilePoint ‚Ä° BD do CoE IAP"/>
    <x v="36"/>
    <x v="1"/>
    <x v="2"/>
    <s v="Backlog"/>
    <n v="2"/>
    <n v="0.03"/>
    <n v="1"/>
    <n v="1"/>
    <n v="1"/>
    <n v="100"/>
    <x v="1"/>
  </r>
  <r>
    <x v="0"/>
    <s v="SainteLague"/>
    <n v="192"/>
    <n v="176414"/>
    <s v="Iberian - Incremento Vis‚Äûo de tratamento por KG's, Restantes Kpi's"/>
    <x v="24"/>
    <x v="0"/>
    <x v="2"/>
    <s v="Backlog"/>
    <n v="12"/>
    <n v="0.03"/>
    <n v="1"/>
    <n v="1"/>
    <n v="1"/>
    <n v="100"/>
    <x v="1"/>
  </r>
  <r>
    <x v="0"/>
    <s v="SainteLague"/>
    <n v="193"/>
    <n v="116662"/>
    <s v="Aviso de Entrega Digital"/>
    <x v="1"/>
    <x v="1"/>
    <x v="1"/>
    <s v="In Definition"/>
    <n v="3"/>
    <n v="0.03"/>
    <n v="1"/>
    <n v="1"/>
    <n v="1"/>
    <n v="100"/>
    <x v="1"/>
  </r>
  <r>
    <x v="0"/>
    <s v="SainteLague"/>
    <n v="194"/>
    <n v="129495"/>
    <s v="[Desconexi√õn SGC] Portal Proveedores Last Mile - Gesti√õn de tr¬∑fico y seguimiento online de rutas por parte del centro y del proveedor"/>
    <x v="0"/>
    <x v="0"/>
    <x v="0"/>
    <s v="In Definition"/>
    <n v="11"/>
    <n v="0.03"/>
    <n v="1"/>
    <n v="1"/>
    <n v="1"/>
    <n v="100"/>
    <x v="1"/>
  </r>
  <r>
    <x v="0"/>
    <s v="SainteLague"/>
    <n v="195"/>
    <n v="130013"/>
    <s v="[Desconexi√õn SGC] Gesti√õn de Incidencias y Soluciones"/>
    <x v="0"/>
    <x v="0"/>
    <x v="0"/>
    <s v="In Definition"/>
    <n v="12"/>
    <n v="0.03"/>
    <n v="1"/>
    <n v="1"/>
    <n v="1"/>
    <n v="100"/>
    <x v="1"/>
  </r>
  <r>
    <x v="0"/>
    <s v="SainteLague"/>
    <n v="196"/>
    <n v="126423"/>
    <s v="INTERNACIONAL | IPS  Instalar a vers‚Äûo do package #19 (technical version 13.1.19)"/>
    <x v="4"/>
    <x v="1"/>
    <x v="0"/>
    <s v="Ready for Solution"/>
    <n v="4"/>
    <n v="2.3330000000000002"/>
    <n v="3"/>
    <n v="2"/>
    <n v="2"/>
    <n v="3"/>
    <x v="1"/>
  </r>
  <r>
    <x v="0"/>
    <s v="SainteLague"/>
    <n v="197"/>
    <n v="204653"/>
    <s v="GPECL/DIS |PACK EXPRESSO Contabiliza√Å‚Äûo autom¬∑tica e Re-atribui√Å‚Äûo do centro de lucro"/>
    <x v="6"/>
    <x v="0"/>
    <x v="1"/>
    <s v="In Definition"/>
    <n v="6"/>
    <n v="0.03"/>
    <n v="1"/>
    <n v="1"/>
    <n v="1"/>
    <n v="100"/>
    <x v="1"/>
  </r>
  <r>
    <x v="0"/>
    <s v="SainteLague"/>
    <n v="198"/>
    <n v="129470"/>
    <s v="[Evolutivos SGC Finanzas] Validaci√õn de pa√ås y CP en manifiestos"/>
    <x v="8"/>
    <x v="0"/>
    <x v="2"/>
    <s v="High Level Design"/>
    <n v="6"/>
    <n v="0.03"/>
    <n v="1"/>
    <n v="1"/>
    <n v="1"/>
    <n v="100"/>
    <x v="1"/>
  </r>
  <r>
    <x v="0"/>
    <s v="SainteLague"/>
    <n v="199"/>
    <n v="126645"/>
    <s v="GENAI-TOF"/>
    <x v="9"/>
    <x v="1"/>
    <x v="2"/>
    <s v="Backlog"/>
    <n v="3"/>
    <n v="0.03"/>
    <n v="1"/>
    <n v="1"/>
    <n v="1"/>
    <n v="100"/>
    <x v="1"/>
  </r>
  <r>
    <x v="0"/>
    <s v="SainteLague"/>
    <n v="200"/>
    <n v="130598"/>
    <s v="[Web PÀôblica] [CIBERSEGURIDAD] - Migraci√õn de infraestructura de MiddleWare de PhP"/>
    <x v="10"/>
    <x v="0"/>
    <x v="3"/>
    <s v="In Definition"/>
    <n v="6"/>
    <n v="0.03"/>
    <n v="1"/>
    <n v="1"/>
    <n v="1"/>
    <n v="100"/>
    <x v="1"/>
  </r>
  <r>
    <x v="0"/>
    <s v="SainteLague"/>
    <n v="201"/>
    <n v="63944"/>
    <s v="solu√Å‚Äûo de atualiza√Å‚Äûo de tracking em real time - Cliente Veryfex (Prozis)"/>
    <x v="7"/>
    <x v="0"/>
    <x v="1"/>
    <s v="In Definition"/>
    <n v="36"/>
    <n v="0.03"/>
    <n v="1"/>
    <n v="1"/>
    <n v="1"/>
    <n v="100"/>
    <x v="1"/>
  </r>
  <r>
    <x v="0"/>
    <s v="SainteLague"/>
    <n v="202"/>
    <n v="125543"/>
    <s v="ODIN | Iberian Observability Stack"/>
    <x v="12"/>
    <x v="1"/>
    <x v="3"/>
    <s v="In Definition"/>
    <n v="3"/>
    <n v="0.08"/>
    <n v="5"/>
    <n v="2"/>
    <n v="1"/>
    <n v="100"/>
    <x v="1"/>
  </r>
  <r>
    <x v="0"/>
    <s v="SainteLague"/>
    <n v="203"/>
    <n v="130847"/>
    <s v="[NEXUS]-[OOH] - MVP"/>
    <x v="14"/>
    <x v="0"/>
    <x v="1"/>
    <s v="In Definition"/>
    <n v="7"/>
    <n v="0.03"/>
    <n v="1"/>
    <n v="1"/>
    <n v="1"/>
    <n v="100"/>
    <x v="1"/>
  </r>
  <r>
    <x v="0"/>
    <s v="SainteLague"/>
    <n v="204"/>
    <n v="130506"/>
    <s v="[Nexus] - We Sell (Lead to Contract) - Signaturit en portugu√às"/>
    <x v="16"/>
    <x v="0"/>
    <x v="1"/>
    <s v="High Level Design"/>
    <n v="6"/>
    <n v="0.03"/>
    <n v="1"/>
    <n v="1"/>
    <n v="1"/>
    <n v="100"/>
    <x v="1"/>
  </r>
  <r>
    <x v="0"/>
    <s v="SainteLague"/>
    <n v="205"/>
    <n v="126576"/>
    <s v="Plano de forma√Å‚Äûo (global e board)"/>
    <x v="13"/>
    <x v="1"/>
    <x v="4"/>
    <s v="Backlog"/>
    <n v="3"/>
    <n v="0.03"/>
    <n v="1"/>
    <n v="1"/>
    <n v="1"/>
    <n v="100"/>
    <x v="1"/>
  </r>
  <r>
    <x v="0"/>
    <s v="SainteLague"/>
    <n v="206"/>
    <n v="129829"/>
    <s v="[Desconexi√õn SGC] [Salesforce] - Integraci√õn de GoContact IVR con el Cloud (Service)"/>
    <x v="17"/>
    <x v="0"/>
    <x v="2"/>
    <s v="In Solution"/>
    <n v="6"/>
    <n v="0.03"/>
    <n v="1"/>
    <n v="1"/>
    <n v="1"/>
    <n v="100"/>
    <x v="1"/>
  </r>
  <r>
    <x v="0"/>
    <s v="SainteLague"/>
    <n v="207"/>
    <n v="127396"/>
    <s v="Evolutivos Nave Janeiro e Fevereiro 2026"/>
    <x v="7"/>
    <x v="1"/>
    <x v="1"/>
    <s v="In Approval"/>
    <n v="6"/>
    <n v="0.03"/>
    <n v="1"/>
    <n v="1"/>
    <n v="1"/>
    <n v="100"/>
    <x v="1"/>
  </r>
  <r>
    <x v="0"/>
    <s v="SainteLague"/>
    <n v="208"/>
    <n v="130590"/>
    <s v="[WebHook] - ZooPlus - Transmisi√õn de estados en mensaje est¬∑ndar"/>
    <x v="19"/>
    <x v="0"/>
    <x v="1"/>
    <s v="In Definition"/>
    <n v="6"/>
    <n v="0.03"/>
    <n v="1"/>
    <n v="1"/>
    <n v="1"/>
    <n v="100"/>
    <x v="1"/>
  </r>
  <r>
    <x v="0"/>
    <s v="SainteLague"/>
    <n v="209"/>
    <n v="130070"/>
    <s v="[Auditoria PT] Automatismo para replicar la l√õgica de correcci√õn manual de pesos declarados"/>
    <x v="23"/>
    <x v="0"/>
    <x v="2"/>
    <s v="Backlog"/>
    <n v="6"/>
    <n v="0.03"/>
    <n v="1"/>
    <n v="1"/>
    <n v="1"/>
    <n v="100"/>
    <x v="1"/>
  </r>
  <r>
    <x v="0"/>
    <s v="SainteLague"/>
    <n v="210"/>
    <n v="86986"/>
    <s v="IQL | Incremento 1 | IQL com loja dummy e data IQL"/>
    <x v="18"/>
    <x v="1"/>
    <x v="2"/>
    <s v="Backlog"/>
    <n v="3"/>
    <n v="0.03"/>
    <n v="1"/>
    <n v="1"/>
    <n v="1"/>
    <n v="100"/>
    <x v="1"/>
  </r>
  <r>
    <x v="0"/>
    <s v="SainteLague"/>
    <n v="211"/>
    <n v="203114"/>
    <s v="Analytics - Analise de custo parceiros"/>
    <x v="24"/>
    <x v="0"/>
    <x v="2"/>
    <s v="Backlog"/>
    <n v="15"/>
    <n v="0.03"/>
    <n v="1"/>
    <n v="1"/>
    <n v="1"/>
    <n v="100"/>
    <x v="1"/>
  </r>
  <r>
    <x v="0"/>
    <s v="SainteLague"/>
    <n v="212"/>
    <n v="131002"/>
    <s v="Env√åos Amazon destino Braga solo manifestados para entrar en senda"/>
    <x v="0"/>
    <x v="0"/>
    <x v="0"/>
    <s v="In Solution"/>
    <n v="13"/>
    <n v="0.03"/>
    <n v="1"/>
    <n v="1"/>
    <n v="1"/>
    <n v="100"/>
    <x v="1"/>
  </r>
  <r>
    <x v="0"/>
    <s v="SainteLague"/>
    <n v="213"/>
    <n v="69892"/>
    <s v="Teleponto / Dol - Registo de situa√Åƒ±es de doen√Åas"/>
    <x v="2"/>
    <x v="1"/>
    <x v="0"/>
    <s v="Backlog"/>
    <n v="5"/>
    <n v="0.03"/>
    <n v="1"/>
    <n v="1"/>
    <n v="1"/>
    <n v="100"/>
    <x v="1"/>
  </r>
  <r>
    <x v="0"/>
    <s v="SainteLague"/>
    <n v="214"/>
    <n v="131076"/>
    <s v="[Desconexi√õn SGC]: Creaci√õn y mantenimiento de CO's"/>
    <x v="0"/>
    <x v="0"/>
    <x v="0"/>
    <s v="Backlog"/>
    <n v="14"/>
    <n v="0.03"/>
    <n v="1"/>
    <n v="1"/>
    <n v="1"/>
    <n v="100"/>
    <x v="1"/>
  </r>
  <r>
    <x v="0"/>
    <s v="SainteLague"/>
    <n v="215"/>
    <n v="123648"/>
    <s v="Amazon | Servi√Åo Especial Feriado"/>
    <x v="6"/>
    <x v="0"/>
    <x v="1"/>
    <s v="Backlog"/>
    <n v="7"/>
    <n v="0.03"/>
    <n v="1"/>
    <n v="1"/>
    <n v="1"/>
    <n v="100"/>
    <x v="1"/>
  </r>
  <r>
    <x v="0"/>
    <s v="SainteLague"/>
    <n v="216"/>
    <n v="126944"/>
    <s v="GitHub Migration - Aplica√Åƒ±es Wave 1"/>
    <x v="15"/>
    <x v="1"/>
    <x v="3"/>
    <s v="Backlog"/>
    <n v="4"/>
    <n v="3.3330000000000002"/>
    <n v="4"/>
    <n v="3"/>
    <n v="3"/>
    <n v="3"/>
    <x v="1"/>
  </r>
  <r>
    <x v="0"/>
    <s v="SainteLague"/>
    <n v="217"/>
    <n v="130044"/>
    <s v="Perdida de funcionalidad Modificaci√õn Art√åculos"/>
    <x v="8"/>
    <x v="0"/>
    <x v="2"/>
    <s v="Backlog"/>
    <n v="7"/>
    <n v="0.03"/>
    <n v="1"/>
    <n v="1"/>
    <n v="1"/>
    <n v="100"/>
    <x v="1"/>
  </r>
  <r>
    <x v="0"/>
    <s v="SainteLague"/>
    <n v="218"/>
    <n v="130664"/>
    <s v="Definici√õn Arquitectura .Net Ib√àrico"/>
    <x v="10"/>
    <x v="0"/>
    <x v="3"/>
    <s v="Backlog"/>
    <n v="8"/>
    <n v="0.03"/>
    <n v="1"/>
    <n v="1"/>
    <n v="1"/>
    <n v="100"/>
    <x v="1"/>
  </r>
  <r>
    <x v="0"/>
    <s v="SainteLague"/>
    <n v="219"/>
    <n v="126474"/>
    <s v="¬°rea de Cliente CTT - Empresas| Agile Way JAN e FEV 2026"/>
    <x v="22"/>
    <x v="1"/>
    <x v="1"/>
    <s v="Backlog"/>
    <n v="5"/>
    <n v="0.03"/>
    <n v="1"/>
    <n v="1"/>
    <n v="1"/>
    <n v="100"/>
    <x v="1"/>
  </r>
  <r>
    <x v="0"/>
    <s v="SainteLague"/>
    <n v="220"/>
    <n v="50493"/>
    <s v="B2C - Vendas  Expresso por colaborador - CORVENDAS"/>
    <x v="7"/>
    <x v="0"/>
    <x v="1"/>
    <s v="Backlog"/>
    <n v="52"/>
    <n v="0.03"/>
    <n v="1"/>
    <n v="1"/>
    <n v="1"/>
    <n v="100"/>
    <x v="1"/>
  </r>
  <r>
    <x v="0"/>
    <s v="SainteLague"/>
    <n v="221"/>
    <n v="131024"/>
    <s v="[NEXUS] [Desconexi√õn SGC - FR y BR]  [Web de clientes] Configuraci√õn - Administraci√õn, gesti√õn de usuarios y centros de FRANQUICIAS y BROKERS (settings)"/>
    <x v="14"/>
    <x v="0"/>
    <x v="1"/>
    <s v="Pitch"/>
    <n v="8"/>
    <n v="0.03"/>
    <n v="1"/>
    <n v="1"/>
    <n v="1"/>
    <n v="100"/>
    <x v="1"/>
  </r>
  <r>
    <x v="0"/>
    <s v="SainteLague"/>
    <n v="222"/>
    <n v="203901"/>
    <s v="Power Bi | CRM - Acesso a Informa√Å‚Äûo do CRM atrav√às do PowerBi"/>
    <x v="20"/>
    <x v="1"/>
    <x v="2"/>
    <s v="In Definition"/>
    <n v="8"/>
    <n v="0.03"/>
    <n v="1"/>
    <n v="1"/>
    <n v="1"/>
    <n v="100"/>
    <x v="1"/>
  </r>
  <r>
    <x v="0"/>
    <s v="SainteLague"/>
    <n v="223"/>
    <n v="130372"/>
    <s v="[We Sell] Mantenimiento de nuevos clientes de PT en Salesforce Sales"/>
    <x v="16"/>
    <x v="0"/>
    <x v="1"/>
    <s v="High Level Design"/>
    <n v="7"/>
    <n v="0.03"/>
    <n v="1"/>
    <n v="1"/>
    <n v="1"/>
    <n v="100"/>
    <x v="1"/>
  </r>
  <r>
    <x v="0"/>
    <s v="SainteLague"/>
    <n v="224"/>
    <n v="42676"/>
    <s v="Descontinua√Å‚Äûo do SGCP e GIEP -  Migra√Å‚Äûo de Funcionalidades uma nova aplica√Å‚Äûo"/>
    <x v="11"/>
    <x v="1"/>
    <x v="3"/>
    <s v="In Definition"/>
    <n v="5"/>
    <n v="0.03"/>
    <n v="1"/>
    <n v="1"/>
    <n v="1"/>
    <n v="100"/>
    <x v="1"/>
  </r>
  <r>
    <x v="0"/>
    <s v="SainteLague"/>
    <n v="225"/>
    <n v="130832"/>
    <s v="Cierre administrativo autom¬∑tico - &quot;Evitar pasar a Entregado Administrativo env√åos que tienen un estado entregado y posteriormente se abre una caso en Salesforce y cambia a otro estado&quot;"/>
    <x v="17"/>
    <x v="0"/>
    <x v="2"/>
    <s v="In Definition"/>
    <n v="7"/>
    <n v="0.03"/>
    <n v="1"/>
    <n v="1"/>
    <n v="1"/>
    <n v="100"/>
    <x v="1"/>
  </r>
  <r>
    <x v="0"/>
    <s v="SainteLague"/>
    <n v="226"/>
    <n v="130604"/>
    <s v="[Integraci√õn de Clientes ] - Configuraci√õn fichero de COD para Zalando"/>
    <x v="19"/>
    <x v="0"/>
    <x v="1"/>
    <s v="Backlog"/>
    <n v="7"/>
    <n v="0.03"/>
    <n v="1"/>
    <n v="1"/>
    <n v="1"/>
    <n v="100"/>
    <x v="1"/>
  </r>
  <r>
    <x v="0"/>
    <s v="SainteLague"/>
    <n v="227"/>
    <n v="173104"/>
    <s v="PAY - Instrumento Transfer√çncias - Altera√Å‚Äûo de requisitos definidos pelo BdP - mar√Åo"/>
    <x v="26"/>
    <x v="1"/>
    <x v="1"/>
    <s v="In Definition"/>
    <n v="3"/>
    <n v="0.03"/>
    <n v="1"/>
    <n v="1"/>
    <n v="1"/>
    <n v="100"/>
    <x v="1"/>
  </r>
  <r>
    <x v="0"/>
    <s v="SainteLague"/>
    <n v="228"/>
    <n v="130079"/>
    <s v="[Auditoria PT] Pruebas sobre calidad de datos declarados por clientes con facturaci√õn basada en el peso y/o las medidas declaradas"/>
    <x v="23"/>
    <x v="0"/>
    <x v="2"/>
    <s v="Backlog"/>
    <n v="7"/>
    <n v="0.03"/>
    <n v="1"/>
    <n v="1"/>
    <n v="1"/>
    <n v="100"/>
    <x v="1"/>
  </r>
  <r>
    <x v="0"/>
    <s v="SainteLague"/>
    <n v="229"/>
    <n v="131077"/>
    <s v="[Desconexi√õn SGC]: Brokers y Franquicias: grabaci√õn de env√åos con/sin entrega"/>
    <x v="0"/>
    <x v="0"/>
    <x v="0"/>
    <s v="Backlog"/>
    <n v="15"/>
    <n v="0.03"/>
    <n v="1"/>
    <n v="1"/>
    <n v="1"/>
    <n v="100"/>
    <x v="1"/>
  </r>
  <r>
    <x v="0"/>
    <s v="SainteLague"/>
    <n v="230"/>
    <n v="59256"/>
    <s v="SouCTT - Salary on Demand (Subsidio de Natal) | Paynest"/>
    <x v="27"/>
    <x v="1"/>
    <x v="2"/>
    <s v="Backlog"/>
    <n v="3"/>
    <n v="0.03"/>
    <n v="1"/>
    <n v="1"/>
    <n v="1"/>
    <n v="100"/>
    <x v="1"/>
  </r>
  <r>
    <x v="0"/>
    <s v="SainteLague"/>
    <n v="231"/>
    <n v="131075"/>
    <s v="[Desconexi√õn SGC]: Canarias"/>
    <x v="0"/>
    <x v="0"/>
    <x v="0"/>
    <s v="Backlog"/>
    <n v="16"/>
    <n v="0.03"/>
    <n v="1"/>
    <n v="1"/>
    <n v="1"/>
    <n v="100"/>
    <x v="1"/>
  </r>
  <r>
    <x v="0"/>
    <s v="SainteLague"/>
    <n v="232"/>
    <n v="126044"/>
    <s v="Pesquisa de Pontos Collect | Melhorias"/>
    <x v="6"/>
    <x v="0"/>
    <x v="1"/>
    <s v="Backlog"/>
    <n v="8"/>
    <n v="0.03"/>
    <n v="1"/>
    <n v="1"/>
    <n v="1"/>
    <n v="100"/>
    <x v="1"/>
  </r>
  <r>
    <x v="0"/>
    <s v="SainteLague"/>
    <n v="233"/>
    <n v="193041"/>
    <s v="BancoCTT - Redu√Å‚Äûo hor¬∑rio Tesouraria | Automatiza√Å‚Äûo do hor¬∑rio da senha D"/>
    <x v="28"/>
    <x v="1"/>
    <x v="3"/>
    <s v="Backlog"/>
    <n v="3"/>
    <n v="0.03"/>
    <n v="1"/>
    <n v="1"/>
    <n v="1"/>
    <n v="100"/>
    <x v="1"/>
  </r>
  <r>
    <x v="0"/>
    <s v="SainteLague"/>
    <n v="234"/>
    <n v="129465"/>
    <s v="[Evolutivos SGC Finanzas] Revisi√õn de las l√õgicas de generaci√õn de facturas en 2‚à´ plano"/>
    <x v="8"/>
    <x v="0"/>
    <x v="2"/>
    <s v="High Level Design"/>
    <n v="8"/>
    <n v="0.03"/>
    <n v="1"/>
    <n v="1"/>
    <n v="1"/>
    <n v="100"/>
    <x v="1"/>
  </r>
  <r>
    <x v="0"/>
    <s v="SainteLague"/>
    <n v="235"/>
    <n v="130361"/>
    <s v="[Nexus Piloto Operacional] [Tech] Sincronizaci√õn de Manifiestos PT-PT para Nexus"/>
    <x v="10"/>
    <x v="0"/>
    <x v="3"/>
    <s v="High Level Design"/>
    <n v="9"/>
    <n v="0.03"/>
    <n v="1"/>
    <n v="1"/>
    <n v="1"/>
    <n v="100"/>
    <x v="1"/>
  </r>
  <r>
    <x v="0"/>
    <s v="SainteLague"/>
    <n v="236"/>
    <n v="51747"/>
    <s v="Auditoria a Payroll Processos PAS √± Fase 1"/>
    <x v="29"/>
    <x v="1"/>
    <x v="2"/>
    <s v="Backlog"/>
    <n v="5"/>
    <n v="0.03"/>
    <n v="1"/>
    <n v="1"/>
    <n v="1"/>
    <n v="100"/>
    <x v="1"/>
  </r>
  <r>
    <x v="0"/>
    <s v="SainteLague"/>
    <n v="237"/>
    <n v="155973"/>
    <s v="Relatorio SAP Hana - Clientes com Fatura Eletronica"/>
    <x v="7"/>
    <x v="0"/>
    <x v="1"/>
    <s v="Backlog"/>
    <n v="63"/>
    <n v="0.03"/>
    <n v="1"/>
    <n v="1"/>
    <n v="1"/>
    <n v="100"/>
    <x v="1"/>
  </r>
  <r>
    <x v="0"/>
    <s v="SainteLague"/>
    <n v="238"/>
    <n v="70736"/>
    <s v="WFA | Incremento 3 | F√àrias"/>
    <x v="24"/>
    <x v="1"/>
    <x v="2"/>
    <s v="In Approval"/>
    <n v="3"/>
    <n v="0.03"/>
    <n v="1"/>
    <n v="1"/>
    <n v="1"/>
    <n v="100"/>
    <x v="1"/>
  </r>
  <r>
    <x v="0"/>
    <s v="SainteLague"/>
    <n v="239"/>
    <n v="129771"/>
    <s v="[Web de Clientes] - Configuraci√õn - Administraci√õn, gesti√õn de usuarios y centros de Clientes de Venta directa (settings)"/>
    <x v="14"/>
    <x v="0"/>
    <x v="1"/>
    <s v="Pitch"/>
    <n v="9"/>
    <n v="0.03"/>
    <n v="1"/>
    <n v="1"/>
    <n v="1"/>
    <n v="100"/>
    <x v="1"/>
  </r>
  <r>
    <x v="0"/>
    <s v="SainteLague"/>
    <n v="240"/>
    <n v="132537"/>
    <s v="[Qlik] - Creaci√õn de un nuevo filtro TYPE.REP.HIST‚ÄùRICAL"/>
    <x v="16"/>
    <x v="0"/>
    <x v="1"/>
    <s v="Backlog"/>
    <n v="8"/>
    <n v="0.03"/>
    <n v="1"/>
    <n v="1"/>
    <n v="1"/>
    <n v="100"/>
    <x v="1"/>
  </r>
  <r>
    <x v="0"/>
    <s v="SainteLague"/>
    <n v="241"/>
    <n v="128057"/>
    <s v="XRP | Refatura√Å‚Äûo entre empresas"/>
    <x v="30"/>
    <x v="1"/>
    <x v="2"/>
    <s v="Backlog"/>
    <n v="3"/>
    <n v="0.03"/>
    <n v="1"/>
    <n v="1"/>
    <n v="1"/>
    <n v="100"/>
    <x v="1"/>
  </r>
  <r>
    <x v="0"/>
    <s v="SainteLague"/>
    <n v="242"/>
    <n v="129583"/>
    <s v="[Mejora Calidad Servicio] - PDA - Envios Multibulto (aplicar logica de causa propia - ajena) (TO)"/>
    <x v="17"/>
    <x v="0"/>
    <x v="2"/>
    <s v="In Definition"/>
    <n v="8"/>
    <n v="0.03"/>
    <n v="1"/>
    <n v="1"/>
    <n v="1"/>
    <n v="100"/>
    <x v="1"/>
  </r>
  <r>
    <x v="0"/>
    <s v="SainteLague"/>
    <n v="243"/>
    <n v="130912"/>
    <s v="[Mulesoft] - [Api Integrations Clientes] : Disponer de los client_id que invocan a los endpoint de integraciones"/>
    <x v="19"/>
    <x v="0"/>
    <x v="1"/>
    <s v="Backlog"/>
    <n v="8"/>
    <n v="0.03"/>
    <n v="1"/>
    <n v="1"/>
    <n v="1"/>
    <n v="100"/>
    <x v="1"/>
  </r>
  <r>
    <x v="0"/>
    <s v="SainteLague"/>
    <n v="244"/>
    <n v="96602"/>
    <s v="Ariba - migra√Å‚Äûo para SAP R/3 dos dados do fornecedor em SAP Rise"/>
    <x v="31"/>
    <x v="1"/>
    <x v="2"/>
    <s v="Backlog"/>
    <n v="3"/>
    <n v="0.03"/>
    <n v="1"/>
    <n v="1"/>
    <n v="1"/>
    <n v="100"/>
    <x v="1"/>
  </r>
  <r>
    <x v="0"/>
    <s v="SainteLague"/>
    <n v="245"/>
    <n v="130068"/>
    <s v="[Auditoria PT] Detecci√õn y expulsi√õn en los clasificadores de objetos de Clientes inactivos"/>
    <x v="23"/>
    <x v="0"/>
    <x v="2"/>
    <s v="Backlog"/>
    <n v="8"/>
    <n v="0.03"/>
    <n v="1"/>
    <n v="1"/>
    <n v="1"/>
    <n v="100"/>
    <x v="1"/>
  </r>
  <r>
    <x v="0"/>
    <s v="SainteLague"/>
    <n v="246"/>
    <n v="130112"/>
    <s v="[Desconexi√õn SGC] Cierre diario: Recogidas"/>
    <x v="0"/>
    <x v="0"/>
    <x v="0"/>
    <s v="Backlog"/>
    <n v="17"/>
    <n v="0.03"/>
    <n v="1"/>
    <n v="1"/>
    <n v="1"/>
    <n v="100"/>
    <x v="1"/>
  </r>
  <r>
    <x v="0"/>
    <s v="SainteLague"/>
    <n v="247"/>
    <n v="127257"/>
    <s v="Aviso de Rece√Å‚Äûo (AR) Digital | Envios SuperPortal e Prestadores"/>
    <x v="1"/>
    <x v="1"/>
    <x v="1"/>
    <s v="Backlog"/>
    <n v="4"/>
    <n v="0.03"/>
    <n v="1"/>
    <n v="1"/>
    <n v="1"/>
    <n v="100"/>
    <x v="1"/>
  </r>
  <r>
    <x v="0"/>
    <s v="SainteLague"/>
    <n v="248"/>
    <n v="130119"/>
    <s v="[Desconexi√õn SGC] Cierre diario: Escaneo de documentaci√õn"/>
    <x v="0"/>
    <x v="0"/>
    <x v="0"/>
    <s v="Backlog"/>
    <n v="18"/>
    <n v="0.03"/>
    <n v="1"/>
    <n v="1"/>
    <n v="1"/>
    <n v="100"/>
    <x v="1"/>
  </r>
  <r>
    <x v="0"/>
    <s v="SainteLague"/>
    <n v="249"/>
    <n v="84860"/>
    <s v="Amazon | Informa√Å‚Äûo complementar de fechos ocasionais e f√àrias"/>
    <x v="6"/>
    <x v="0"/>
    <x v="1"/>
    <s v="In Definition"/>
    <n v="9"/>
    <n v="0.03"/>
    <n v="1"/>
    <n v="1"/>
    <n v="1"/>
    <n v="100"/>
    <x v="1"/>
  </r>
  <r>
    <x v="0"/>
    <s v="SainteLague"/>
    <n v="250"/>
    <n v="104562"/>
    <s v="Atendimento a nova Regula√Å‚Äûo aduaneiro de simplifica√Å‚Äûo da exporta√Å‚Äûo (SIMPLEX EXPORTA¬´‚àöO)"/>
    <x v="4"/>
    <x v="1"/>
    <x v="0"/>
    <s v="In Definition"/>
    <n v="5"/>
    <n v="0.03"/>
    <n v="1"/>
    <n v="1"/>
    <n v="1"/>
    <n v="100"/>
    <x v="1"/>
  </r>
  <r>
    <x v="0"/>
    <s v="SainteLague"/>
    <n v="251"/>
    <n v="129463"/>
    <s v="[Evolutivos SGC] Visibilidad de cargos manuales hist√õricos facturados (mejora)"/>
    <x v="8"/>
    <x v="0"/>
    <x v="2"/>
    <s v="High Level Design"/>
    <n v="9"/>
    <n v="0.03"/>
    <n v="1"/>
    <n v="1"/>
    <n v="1"/>
    <n v="100"/>
    <x v="1"/>
  </r>
  <r>
    <x v="0"/>
    <s v="SainteLague"/>
    <n v="252"/>
    <n v="130665"/>
    <s v="Definici√õn Arquitectura React Ib√àrico"/>
    <x v="10"/>
    <x v="0"/>
    <x v="3"/>
    <s v="Backlog"/>
    <n v="10"/>
    <n v="0.03"/>
    <n v="1"/>
    <n v="1"/>
    <n v="1"/>
    <n v="100"/>
    <x v="1"/>
  </r>
  <r>
    <x v="0"/>
    <s v="SainteLague"/>
    <n v="253"/>
    <n v="88638"/>
    <s v="Novo modelo de integra√Å‚Äûo SAP SF com Paynest"/>
    <x v="9"/>
    <x v="1"/>
    <x v="2"/>
    <s v="Backlog"/>
    <n v="4"/>
    <n v="0.03"/>
    <n v="1"/>
    <n v="1"/>
    <n v="1"/>
    <n v="100"/>
    <x v="1"/>
  </r>
  <r>
    <x v="0"/>
    <s v="SainteLague"/>
    <n v="254"/>
    <n v="155967"/>
    <s v="Relatorio SAP Hana - Dados de Clientes Objetos ‚Ä° Cobran√Åa"/>
    <x v="7"/>
    <x v="0"/>
    <x v="1"/>
    <s v="Backlog"/>
    <n v="64"/>
    <n v="0.03"/>
    <n v="1"/>
    <n v="1"/>
    <n v="1"/>
    <n v="100"/>
    <x v="1"/>
  </r>
  <r>
    <x v="0"/>
    <s v="SainteLague"/>
    <n v="255"/>
    <n v="135004"/>
    <s v="Cria√Å‚Äûo de novo agente AI para valida√Å‚Äûo de c√õdigo obsoleto"/>
    <x v="12"/>
    <x v="1"/>
    <x v="3"/>
    <s v="Pitch"/>
    <n v="4"/>
    <n v="0.03"/>
    <n v="1"/>
    <n v="1"/>
    <n v="1"/>
    <n v="100"/>
    <x v="1"/>
  </r>
  <r>
    <x v="0"/>
    <s v="SainteLague"/>
    <n v="256"/>
    <n v="130103"/>
    <s v="[Nexus] [Notificaciones]  Whatsapp desde Marketing Cloud Engagement de Salesforce - Env√åo WP para el env√åo de notificaciones con incidencia"/>
    <x v="14"/>
    <x v="0"/>
    <x v="1"/>
    <s v="In Definition"/>
    <n v="10"/>
    <n v="0.03"/>
    <n v="1"/>
    <n v="1"/>
    <n v="1"/>
    <n v="100"/>
    <x v="1"/>
  </r>
  <r>
    <x v="0"/>
    <s v="SainteLague"/>
    <n v="257"/>
    <n v="130626"/>
    <s v="[Nexus] - We Sell (Lead to Contract) 2.0"/>
    <x v="16"/>
    <x v="0"/>
    <x v="1"/>
    <s v="Backlog"/>
    <n v="9"/>
    <n v="0.03"/>
    <n v="1"/>
    <n v="1"/>
    <n v="1"/>
    <n v="100"/>
    <x v="1"/>
  </r>
  <r>
    <x v="0"/>
    <s v="SainteLague"/>
    <n v="258"/>
    <n v="41221"/>
    <s v="DART Team - Recomenda√Åƒ±es CTT"/>
    <x v="13"/>
    <x v="1"/>
    <x v="4"/>
    <s v="In Definition"/>
    <n v="4"/>
    <n v="0.03"/>
    <n v="1"/>
    <n v="1"/>
    <n v="1"/>
    <n v="100"/>
    <x v="1"/>
  </r>
  <r>
    <x v="0"/>
    <s v="SainteLague"/>
    <n v="259"/>
    <n v="130691"/>
    <s v="[Salesforce] - Usuario / Origen de una acci√õn sobre un env√åo en la trazabilidad desde ATC"/>
    <x v="17"/>
    <x v="0"/>
    <x v="2"/>
    <s v="High Level Design"/>
    <n v="9"/>
    <n v="0.03"/>
    <n v="1"/>
    <n v="1"/>
    <n v="1"/>
    <n v="100"/>
    <x v="1"/>
  </r>
  <r>
    <x v="0"/>
    <s v="SainteLague"/>
    <n v="260"/>
    <n v="136116"/>
    <s v="Mapper - uso de codigos de cliente y credenciales Cloud"/>
    <x v="19"/>
    <x v="0"/>
    <x v="1"/>
    <s v="In Definition"/>
    <n v="9"/>
    <n v="0.03"/>
    <n v="1"/>
    <n v="1"/>
    <n v="1"/>
    <n v="100"/>
    <x v="1"/>
  </r>
  <r>
    <x v="0"/>
    <s v="SainteLague"/>
    <n v="261"/>
    <n v="101572"/>
    <s v="Lojas MEO - Recolhas Contextualizadas"/>
    <x v="7"/>
    <x v="1"/>
    <x v="1"/>
    <s v="In Definition"/>
    <n v="7"/>
    <n v="0.03"/>
    <n v="1"/>
    <n v="1"/>
    <n v="1"/>
    <n v="100"/>
    <x v="1"/>
  </r>
  <r>
    <x v="0"/>
    <s v="SainteLague"/>
    <n v="262"/>
    <n v="129972"/>
    <s v="Creaci√õn de un entorno espec√åfico para el Sistema de Gesti√õn de Calidad y Sostenibilidad"/>
    <x v="23"/>
    <x v="0"/>
    <x v="2"/>
    <s v="Backlog"/>
    <n v="9"/>
    <n v="0.03"/>
    <n v="1"/>
    <n v="1"/>
    <n v="1"/>
    <n v="100"/>
    <x v="1"/>
  </r>
  <r>
    <x v="0"/>
    <s v="SainteLague"/>
    <n v="263"/>
    <n v="130121"/>
    <s v="[Desconexi√õn SGC] Grabaci√õn manual de env√åos"/>
    <x v="0"/>
    <x v="0"/>
    <x v="0"/>
    <s v="Backlog"/>
    <n v="19"/>
    <n v="0.03"/>
    <n v="1"/>
    <n v="1"/>
    <n v="1"/>
    <n v="100"/>
    <x v="1"/>
  </r>
  <r>
    <x v="0"/>
    <s v="SainteLague"/>
    <n v="264"/>
    <n v="46214"/>
    <s v="Canal de DenÀôncias"/>
    <x v="18"/>
    <x v="1"/>
    <x v="2"/>
    <s v="Backlog"/>
    <n v="4"/>
    <n v="0.03"/>
    <n v="1"/>
    <n v="1"/>
    <n v="1"/>
    <n v="100"/>
    <x v="1"/>
  </r>
  <r>
    <x v="0"/>
    <s v="SainteLague"/>
    <n v="265"/>
    <n v="129496"/>
    <s v="[Desconexi√õn SGC] [Salesforce] - Gesti√õn de las canalizaciones por el equipo de Operaciones desde Salesforce"/>
    <x v="0"/>
    <x v="0"/>
    <x v="0"/>
    <s v="In Definition"/>
    <n v="20"/>
    <n v="0.03"/>
    <n v="1"/>
    <n v="1"/>
    <n v="1"/>
    <n v="100"/>
    <x v="1"/>
  </r>
  <r>
    <x v="0"/>
    <s v="SainteLague"/>
    <n v="266"/>
    <n v="118750"/>
    <s v="Valida√Å‚Äûo Autom¬∑tica de C√õdigos Postais Internacionais"/>
    <x v="6"/>
    <x v="0"/>
    <x v="1"/>
    <s v="Backlog"/>
    <n v="10"/>
    <n v="0.03"/>
    <n v="1"/>
    <n v="1"/>
    <n v="1"/>
    <n v="100"/>
    <x v="1"/>
  </r>
  <r>
    <x v="0"/>
    <s v="SainteLague"/>
    <n v="267"/>
    <n v="125275"/>
    <s v="Moderniza√Å‚Äûo do Processo de Devolu√Å‚Äûo √± Fim dos Carimbos usados no CDP"/>
    <x v="2"/>
    <x v="1"/>
    <x v="0"/>
    <s v="Backlog"/>
    <n v="6"/>
    <n v="0.03"/>
    <n v="1"/>
    <n v="1"/>
    <n v="1"/>
    <n v="100"/>
    <x v="1"/>
  </r>
  <r>
    <x v="0"/>
    <s v="SainteLague"/>
    <n v="268"/>
    <n v="129484"/>
    <s v="[SGC] - Funcionalidad de asignaci√õn de gestora en Salesforce"/>
    <x v="8"/>
    <x v="0"/>
    <x v="2"/>
    <s v="High Level Design"/>
    <n v="10"/>
    <n v="0.03"/>
    <n v="1"/>
    <n v="1"/>
    <n v="1"/>
    <n v="100"/>
    <x v="1"/>
  </r>
  <r>
    <x v="0"/>
    <s v="SainteLague"/>
    <n v="269"/>
    <n v="50234"/>
    <s v="Aceita√Å‚Äûo Correio Empresarial - Refactoring"/>
    <x v="15"/>
    <x v="1"/>
    <x v="3"/>
    <s v="In Definition"/>
    <n v="6"/>
    <n v="0.03"/>
    <n v="1"/>
    <n v="1"/>
    <n v="1"/>
    <n v="100"/>
    <x v="1"/>
  </r>
  <r>
    <x v="0"/>
    <s v="SainteLague"/>
    <n v="270"/>
    <n v="130666"/>
    <s v="Definici√õn Arquitectura Kotlin Ib√àrico"/>
    <x v="10"/>
    <x v="0"/>
    <x v="3"/>
    <s v="Backlog"/>
    <n v="11"/>
    <n v="0.03"/>
    <n v="1"/>
    <n v="1"/>
    <n v="1"/>
    <n v="100"/>
    <x v="1"/>
  </r>
  <r>
    <x v="0"/>
    <s v="SainteLague"/>
    <n v="271"/>
    <n v="130396"/>
    <s v="[Web de Clientes] - Grabaci√õn masiva de env√åos (carga de fichero) - v2"/>
    <x v="14"/>
    <x v="0"/>
    <x v="1"/>
    <s v="In Solution"/>
    <n v="11"/>
    <n v="0.03"/>
    <n v="1"/>
    <n v="1"/>
    <n v="1"/>
    <n v="100"/>
    <x v="1"/>
  </r>
  <r>
    <x v="0"/>
    <s v="SainteLague"/>
    <n v="272"/>
    <n v="126480"/>
    <s v="Sites e Aplicativos | Melhorias ‚Ä°s plataformas - JAN e FEV 2026"/>
    <x v="22"/>
    <x v="1"/>
    <x v="1"/>
    <s v="Backlog"/>
    <n v="6"/>
    <n v="0.03"/>
    <n v="1"/>
    <n v="1"/>
    <n v="1"/>
    <n v="100"/>
    <x v="1"/>
  </r>
  <r>
    <x v="0"/>
    <s v="SainteLague"/>
    <n v="273"/>
    <n v="130449"/>
    <s v="[Minerva] - Interfaz de generaci√õn de ofertas de Minerva en portugu√às"/>
    <x v="16"/>
    <x v="0"/>
    <x v="1"/>
    <s v="High Level Design"/>
    <n v="10"/>
    <n v="0.03"/>
    <n v="1"/>
    <n v="1"/>
    <n v="1"/>
    <n v="100"/>
    <x v="1"/>
  </r>
  <r>
    <x v="0"/>
    <s v="SainteLague"/>
    <n v="274"/>
    <n v="129576"/>
    <s v="[Salesforce Service] - Incidencias C. Propia/Automatizar incidencias en SF (marcar prioridad en SENDA desde IVR y Web)"/>
    <x v="17"/>
    <x v="0"/>
    <x v="2"/>
    <s v="Pitch"/>
    <n v="10"/>
    <n v="0.03"/>
    <n v="1"/>
    <n v="1"/>
    <n v="1"/>
    <n v="100"/>
    <x v="1"/>
  </r>
  <r>
    <x v="0"/>
    <s v="SainteLague"/>
    <n v="275"/>
    <n v="51911"/>
    <s v="MPC | Integra√Å‚Äûo Sprinklr no CRM | Melhorar Integra√Å‚Äûo de mensagens"/>
    <x v="20"/>
    <x v="1"/>
    <x v="2"/>
    <s v="In Definition"/>
    <n v="9"/>
    <n v="0.03"/>
    <n v="1"/>
    <n v="1"/>
    <n v="1"/>
    <n v="100"/>
    <x v="1"/>
  </r>
  <r>
    <x v="0"/>
    <s v="SainteLague"/>
    <n v="276"/>
    <n v="130694"/>
    <s v="Control de envios duplicados: validacion SINONIMO BULTO / REFERENCIA CLIENTE"/>
    <x v="19"/>
    <x v="0"/>
    <x v="1"/>
    <s v="In Definition"/>
    <n v="10"/>
    <n v="0.03"/>
    <n v="1"/>
    <n v="1"/>
    <n v="1"/>
    <n v="100"/>
    <x v="1"/>
  </r>
  <r>
    <x v="0"/>
    <s v="SainteLague"/>
    <n v="277"/>
    <n v="131065"/>
    <s v="Exponer dato de c√õdigo de recogida propia"/>
    <x v="23"/>
    <x v="0"/>
    <x v="2"/>
    <s v="Backlog"/>
    <n v="10"/>
    <n v="0.03"/>
    <n v="1"/>
    <n v="1"/>
    <n v="1"/>
    <n v="100"/>
    <x v="1"/>
  </r>
  <r>
    <x v="0"/>
    <s v="SainteLague"/>
    <n v="278"/>
    <n v="107975"/>
    <s v="Descontinua√Å‚Äûo do winreg"/>
    <x v="11"/>
    <x v="1"/>
    <x v="3"/>
    <s v="Backlog"/>
    <n v="12"/>
    <n v="0.03"/>
    <n v="1"/>
    <n v="1"/>
    <n v="1"/>
    <n v="100"/>
    <x v="1"/>
  </r>
  <r>
    <x v="0"/>
    <s v="SainteLague"/>
    <n v="279"/>
    <n v="130120"/>
    <s v="[Desconexi√õn SGC] Reetiquetado"/>
    <x v="0"/>
    <x v="0"/>
    <x v="0"/>
    <s v="In Definition"/>
    <n v="21"/>
    <n v="0.03"/>
    <n v="1"/>
    <n v="1"/>
    <n v="1"/>
    <n v="100"/>
    <x v="1"/>
  </r>
  <r>
    <x v="0"/>
    <s v="SainteLague"/>
    <n v="280"/>
    <n v="131073"/>
    <s v="[Desconexi√õn SGC]: Br√õkers  Franquicias: Gesti√õn de adeudos y garant√åas"/>
    <x v="0"/>
    <x v="0"/>
    <x v="0"/>
    <s v="Backlog"/>
    <n v="22"/>
    <n v="0.03"/>
    <n v="1"/>
    <n v="1"/>
    <n v="1"/>
    <n v="100"/>
    <x v="1"/>
  </r>
  <r>
    <x v="0"/>
    <s v="SainteLague"/>
    <n v="281"/>
    <n v="126656"/>
    <s v="CIS - AI Automation - BO Fatura√Å‚Äûo"/>
    <x v="26"/>
    <x v="1"/>
    <x v="1"/>
    <s v="Backlog"/>
    <n v="4"/>
    <n v="4.5"/>
    <n v="4"/>
    <n v="3"/>
    <n v="2"/>
    <n v="2"/>
    <x v="1"/>
  </r>
  <r>
    <x v="0"/>
    <s v="SainteLague"/>
    <n v="282"/>
    <n v="134801"/>
    <s v="Amazon | Servi√Åo POD (Prova de Entrega)"/>
    <x v="6"/>
    <x v="0"/>
    <x v="1"/>
    <s v="In Definition"/>
    <n v="11"/>
    <n v="0.03"/>
    <n v="1"/>
    <n v="1"/>
    <n v="1"/>
    <n v="100"/>
    <x v="1"/>
  </r>
  <r>
    <x v="0"/>
    <s v="SainteLague"/>
    <n v="283"/>
    <n v="130910"/>
    <s v="[Nexus Piloto Operacional] [We Bill] Mantenimiento de la facturaci√õn actual en cada pa√ås en la Fase 2 del Piloto Operacional"/>
    <x v="8"/>
    <x v="0"/>
    <x v="2"/>
    <s v="High Level Design"/>
    <n v="11"/>
    <n v="0.03"/>
    <n v="1"/>
    <n v="1"/>
    <n v="1"/>
    <n v="100"/>
    <x v="1"/>
  </r>
  <r>
    <x v="0"/>
    <s v="SainteLague"/>
    <n v="284"/>
    <n v="59257"/>
    <s v="SouCTT - Salary on Demand (adiantamento % vencimento) | Paynest"/>
    <x v="27"/>
    <x v="1"/>
    <x v="2"/>
    <s v="Backlog"/>
    <n v="4"/>
    <n v="0.03"/>
    <n v="1"/>
    <n v="1"/>
    <n v="1"/>
    <n v="100"/>
    <x v="1"/>
  </r>
  <r>
    <x v="0"/>
    <s v="SainteLague"/>
    <n v="285"/>
    <n v="130495"/>
    <s v="Creaci√õn de interfaz en nexia para crear incidencias"/>
    <x v="10"/>
    <x v="0"/>
    <x v="3"/>
    <s v="In Definition"/>
    <n v="12"/>
    <n v="0.03"/>
    <n v="1"/>
    <n v="1"/>
    <n v="1"/>
    <n v="100"/>
    <x v="1"/>
  </r>
  <r>
    <x v="0"/>
    <s v="SainteLague"/>
    <n v="286"/>
    <n v="181624"/>
    <s v="Banco CTT - Altera√Å‚Äûo Processo Fatura√Å‚Äûo"/>
    <x v="28"/>
    <x v="1"/>
    <x v="3"/>
    <s v="Backlog"/>
    <n v="4"/>
    <n v="0.03"/>
    <n v="1"/>
    <n v="1"/>
    <n v="1"/>
    <n v="100"/>
    <x v="1"/>
  </r>
  <r>
    <x v="0"/>
    <s v="SainteLague"/>
    <n v="287"/>
    <n v="129670"/>
    <s v="[Nexus] [Producto] - Pack Express"/>
    <x v="14"/>
    <x v="0"/>
    <x v="1"/>
    <s v="High Level Design"/>
    <n v="12"/>
    <n v="0.03"/>
    <n v="1"/>
    <n v="1"/>
    <n v="1"/>
    <n v="100"/>
    <x v="1"/>
  </r>
  <r>
    <x v="0"/>
    <s v="SainteLague"/>
    <n v="288"/>
    <n v="130830"/>
    <s v="[Salesforce - Minerva] Datos de la oferta Minerva en objeto Oferta"/>
    <x v="16"/>
    <x v="0"/>
    <x v="1"/>
    <s v="Backlog"/>
    <n v="11"/>
    <n v="0.03"/>
    <n v="1"/>
    <n v="1"/>
    <n v="1"/>
    <n v="100"/>
    <x v="1"/>
  </r>
  <r>
    <x v="0"/>
    <s v="SainteLague"/>
    <n v="289"/>
    <n v="66475"/>
    <s v="Auditoria a Payroll Processos PAS √± Fase 1.1"/>
    <x v="29"/>
    <x v="1"/>
    <x v="2"/>
    <s v="Backlog"/>
    <n v="6"/>
    <n v="0.03"/>
    <n v="1"/>
    <n v="1"/>
    <n v="1"/>
    <n v="100"/>
    <x v="1"/>
  </r>
  <r>
    <x v="0"/>
    <s v="SainteLague"/>
    <n v="290"/>
    <n v="129588"/>
    <s v="[Desconexi√õn SGC] [Salesforce Service] - Migraci√õn del Almac√àn regulador? de SGC"/>
    <x v="17"/>
    <x v="0"/>
    <x v="2"/>
    <s v="Backlog"/>
    <n v="11"/>
    <n v="0.03"/>
    <n v="1"/>
    <n v="1"/>
    <n v="1"/>
    <n v="100"/>
    <x v="1"/>
  </r>
  <r>
    <x v="0"/>
    <s v="SainteLague"/>
    <n v="291"/>
    <n v="130149"/>
    <s v="Cliente SALVADOR ESCODA SAT - Modificaci√õn Mapper"/>
    <x v="19"/>
    <x v="0"/>
    <x v="1"/>
    <s v="Backlog"/>
    <n v="11"/>
    <n v="0.03"/>
    <n v="1"/>
    <n v="1"/>
    <n v="1"/>
    <n v="100"/>
    <x v="1"/>
  </r>
  <r>
    <x v="0"/>
    <s v="SainteLague"/>
    <n v="292"/>
    <n v="35445"/>
    <s v="Data Governance - Master Data Management - MVP"/>
    <x v="24"/>
    <x v="1"/>
    <x v="2"/>
    <s v="High Level Design"/>
    <n v="4"/>
    <n v="0.03"/>
    <n v="1"/>
    <n v="1"/>
    <n v="1"/>
    <n v="100"/>
    <x v="1"/>
  </r>
  <r>
    <x v="0"/>
    <s v="SainteLague"/>
    <n v="293"/>
    <n v="131025"/>
    <s v="Migraci√õn SGC - Estacionados a Nexus"/>
    <x v="0"/>
    <x v="0"/>
    <x v="0"/>
    <s v="Backlog"/>
    <n v="23"/>
    <n v="0.03"/>
    <n v="1"/>
    <n v="1"/>
    <n v="1"/>
    <n v="100"/>
    <x v="1"/>
  </r>
  <r>
    <x v="0"/>
    <s v="SainteLague"/>
    <n v="294"/>
    <n v="131078"/>
    <s v="[Desconexi√õn SGC]: Br√õkers y Franquicias: Modulo distribuci√õn de Franquicias"/>
    <x v="0"/>
    <x v="0"/>
    <x v="0"/>
    <s v="Backlog"/>
    <n v="24"/>
    <n v="0.03"/>
    <n v="1"/>
    <n v="1"/>
    <n v="1"/>
    <n v="100"/>
    <x v="1"/>
  </r>
  <r>
    <x v="0"/>
    <s v="SainteLague"/>
    <n v="295"/>
    <n v="55326"/>
    <s v="XRP | ADL Gest‚Äûo de Frota"/>
    <x v="30"/>
    <x v="1"/>
    <x v="2"/>
    <s v="In Definition"/>
    <n v="4"/>
    <n v="0.03"/>
    <n v="1"/>
    <n v="1"/>
    <n v="1"/>
    <n v="100"/>
    <x v="1"/>
  </r>
  <r>
    <x v="0"/>
    <s v="SainteLague"/>
    <n v="296"/>
    <n v="123004"/>
    <s v="Fatura√Å‚Äûo do produto C65 - Tracked Simples - Altera√Å‚Äûo Pr√à-Aviso"/>
    <x v="6"/>
    <x v="0"/>
    <x v="1"/>
    <s v="Backlog"/>
    <n v="12"/>
    <n v="0.03"/>
    <n v="1"/>
    <n v="1"/>
    <n v="1"/>
    <n v="100"/>
    <x v="1"/>
  </r>
  <r>
    <x v="0"/>
    <s v="SainteLague"/>
    <n v="297"/>
    <n v="129451"/>
    <s v="[Desconexi√õn SGC] [Evolutivos SGC Finanzas] Automatizaci√õn proceso gesti√õn documental siniestros"/>
    <x v="8"/>
    <x v="0"/>
    <x v="2"/>
    <s v="Backlog"/>
    <n v="12"/>
    <n v="0.03"/>
    <n v="1"/>
    <n v="1"/>
    <n v="1"/>
    <n v="100"/>
    <x v="1"/>
  </r>
  <r>
    <x v="0"/>
    <s v="SainteLague"/>
    <n v="298"/>
    <n v="189375"/>
    <s v="MRP Armaz√àm Central CTT"/>
    <x v="31"/>
    <x v="1"/>
    <x v="2"/>
    <s v="Backlog"/>
    <n v="4"/>
    <n v="0.03"/>
    <n v="1"/>
    <n v="1"/>
    <n v="1"/>
    <n v="100"/>
    <x v="1"/>
  </r>
  <r>
    <x v="0"/>
    <s v="SainteLague"/>
    <n v="299"/>
    <n v="130529"/>
    <s v="[Web de Clientes] - Desconexi√õn Web-Tracking"/>
    <x v="10"/>
    <x v="0"/>
    <x v="3"/>
    <s v="In Solution"/>
    <n v="13"/>
    <n v="0.03"/>
    <n v="1"/>
    <n v="1"/>
    <n v="1"/>
    <n v="100"/>
    <x v="1"/>
  </r>
  <r>
    <x v="0"/>
    <s v="SainteLague"/>
    <n v="300"/>
    <n v="147251"/>
    <s v="SELO DIGITAL"/>
    <x v="1"/>
    <x v="1"/>
    <x v="1"/>
    <s v="In Definition"/>
    <n v="5"/>
    <n v="0.03"/>
    <n v="1"/>
    <n v="1"/>
    <n v="1"/>
    <n v="100"/>
    <x v="1"/>
  </r>
  <r>
    <x v="0"/>
    <s v="SainteLague"/>
    <n v="301"/>
    <n v="130304"/>
    <s v="[Nexus] [Producto] - Entregas Comerciales (Red Shopping)"/>
    <x v="14"/>
    <x v="0"/>
    <x v="1"/>
    <s v="Pitch"/>
    <n v="13"/>
    <n v="0.03"/>
    <n v="1"/>
    <n v="1"/>
    <n v="1"/>
    <n v="100"/>
    <x v="1"/>
  </r>
  <r>
    <x v="0"/>
    <s v="SainteLague"/>
    <n v="302"/>
    <n v="129868"/>
    <s v="[Qlik] - Incluir ECCS en Anal√åtica Comercial"/>
    <x v="16"/>
    <x v="0"/>
    <x v="1"/>
    <s v="In Definition"/>
    <n v="12"/>
    <n v="0.03"/>
    <n v="1"/>
    <n v="1"/>
    <n v="1"/>
    <n v="100"/>
    <x v="1"/>
  </r>
  <r>
    <x v="0"/>
    <s v="SainteLague"/>
    <n v="303"/>
    <n v="108852"/>
    <s v="Internacional | PA | Evolu√Å‚Äûo da Linha de Tratamento Manual"/>
    <x v="4"/>
    <x v="1"/>
    <x v="0"/>
    <s v="Backlog"/>
    <n v="6"/>
    <n v="0.03"/>
    <n v="1"/>
    <n v="1"/>
    <n v="1"/>
    <n v="100"/>
    <x v="1"/>
  </r>
  <r>
    <x v="0"/>
    <s v="SainteLague"/>
    <n v="304"/>
    <n v="129960"/>
    <s v="[Portal del Proveedor] Nuevas funcionalidades - Bloqueo Repartidor Seguridad"/>
    <x v="17"/>
    <x v="0"/>
    <x v="2"/>
    <s v="In Definition"/>
    <n v="12"/>
    <n v="0.03"/>
    <n v="1"/>
    <n v="1"/>
    <n v="1"/>
    <n v="100"/>
    <x v="1"/>
  </r>
  <r>
    <x v="0"/>
    <s v="SainteLague"/>
    <n v="305"/>
    <n v="130360"/>
    <s v="Cliente EXPOLLUM - Transmisi√õn selectiva Mapper"/>
    <x v="19"/>
    <x v="0"/>
    <x v="1"/>
    <s v="Backlog"/>
    <n v="12"/>
    <n v="0.03"/>
    <n v="1"/>
    <n v="1"/>
    <n v="1"/>
    <n v="100"/>
    <x v="1"/>
  </r>
  <r>
    <x v="0"/>
    <s v="SainteLague"/>
    <n v="306"/>
    <n v="88857"/>
    <s v="CORP - Covline - Integra√Å‚Äûo de clientes e contratos via kafka"/>
    <x v="9"/>
    <x v="1"/>
    <x v="2"/>
    <s v="Backlog"/>
    <n v="5"/>
    <n v="0.03"/>
    <n v="1"/>
    <n v="1"/>
    <n v="1"/>
    <n v="100"/>
    <x v="1"/>
  </r>
  <r>
    <x v="0"/>
    <s v="SainteLague"/>
    <n v="307"/>
    <n v="130716"/>
    <s v="Integraci√õn con CACESA para la sustituci√õn de ADYCO (30-nov)"/>
    <x v="0"/>
    <x v="0"/>
    <x v="0"/>
    <s v="High Level Design"/>
    <n v="25"/>
    <n v="0.03"/>
    <n v="1"/>
    <n v="1"/>
    <n v="1"/>
    <n v="100"/>
    <x v="1"/>
  </r>
  <r>
    <x v="0"/>
    <s v="SainteLague"/>
    <n v="308"/>
    <n v="130746"/>
    <s v="cambios masivos de estados"/>
    <x v="0"/>
    <x v="0"/>
    <x v="0"/>
    <s v="Backlog"/>
    <n v="26"/>
    <n v="0.03"/>
    <n v="1"/>
    <n v="1"/>
    <n v="1"/>
    <n v="100"/>
    <x v="1"/>
  </r>
  <r>
    <x v="0"/>
    <s v="SainteLague"/>
    <n v="309"/>
    <n v="132957"/>
    <s v="Github Migration - ParcelInfo"/>
    <x v="12"/>
    <x v="1"/>
    <x v="3"/>
    <s v="Backlog"/>
    <n v="5"/>
    <n v="0.03"/>
    <n v="1"/>
    <n v="1"/>
    <n v="1"/>
    <n v="100"/>
    <x v="1"/>
  </r>
  <r>
    <x v="0"/>
    <s v="SainteLague"/>
    <n v="310"/>
    <n v="105944"/>
    <s v="Expresso Internacional Premium | Disponibiliza√Å‚Äûo do produto no segmento ocasional"/>
    <x v="6"/>
    <x v="0"/>
    <x v="1"/>
    <s v="In Definition"/>
    <n v="13"/>
    <n v="0.03"/>
    <n v="1"/>
    <n v="1"/>
    <n v="1"/>
    <n v="100"/>
    <x v="1"/>
  </r>
  <r>
    <x v="0"/>
    <s v="SainteLague"/>
    <n v="311"/>
    <n v="129479"/>
    <s v="[Evolutivos SGC Finanzas] Asignar de manera masiva el cliente master al campo grupo de procesamiento en Modulo de facturacion"/>
    <x v="8"/>
    <x v="0"/>
    <x v="2"/>
    <s v="High Level Design"/>
    <n v="13"/>
    <n v="0.03"/>
    <n v="1"/>
    <n v="1"/>
    <n v="1"/>
    <n v="100"/>
    <x v="1"/>
  </r>
  <r>
    <x v="0"/>
    <s v="SainteLague"/>
    <n v="312"/>
    <n v="50849"/>
    <s v="Cyber attack simulation Table-top"/>
    <x v="13"/>
    <x v="1"/>
    <x v="4"/>
    <s v="Backlog"/>
    <n v="5"/>
    <n v="0.03"/>
    <n v="1"/>
    <n v="1"/>
    <n v="1"/>
    <n v="100"/>
    <x v="1"/>
  </r>
  <r>
    <x v="0"/>
    <s v="SainteLague"/>
    <n v="313"/>
    <n v="130667"/>
    <s v="Definici√õn Arquitectura Github"/>
    <x v="10"/>
    <x v="0"/>
    <x v="3"/>
    <s v="Backlog"/>
    <n v="14"/>
    <n v="0.03"/>
    <n v="1"/>
    <n v="1"/>
    <n v="1"/>
    <n v="100"/>
    <x v="1"/>
  </r>
  <r>
    <x v="0"/>
    <s v="SainteLague"/>
    <n v="314"/>
    <n v="130435"/>
    <s v="[Nexus]-Portfolio Ib√àrico"/>
    <x v="14"/>
    <x v="0"/>
    <x v="1"/>
    <s v="Pitch"/>
    <n v="14"/>
    <n v="0.03"/>
    <n v="1"/>
    <n v="1"/>
    <n v="1"/>
    <n v="100"/>
    <x v="1"/>
  </r>
  <r>
    <x v="0"/>
    <s v="SainteLague"/>
    <n v="315"/>
    <n v="85670"/>
    <s v="POD - API feasibility for Cainiao"/>
    <x v="7"/>
    <x v="1"/>
    <x v="1"/>
    <s v="In Definition"/>
    <n v="8"/>
    <n v="0.03"/>
    <n v="1"/>
    <n v="1"/>
    <n v="1"/>
    <n v="100"/>
    <x v="1"/>
  </r>
  <r>
    <x v="0"/>
    <s v="SainteLague"/>
    <n v="316"/>
    <n v="130374"/>
    <s v="[Nexus] [We Sell] Gesti√õn de env√åos no entregados (devoluciones) del flujo PT-&gt;PT"/>
    <x v="16"/>
    <x v="0"/>
    <x v="1"/>
    <s v="High Level Design"/>
    <n v="13"/>
    <n v="0.03"/>
    <n v="1"/>
    <n v="1"/>
    <n v="1"/>
    <n v="100"/>
    <x v="1"/>
  </r>
  <r>
    <x v="0"/>
    <s v="SainteLague"/>
    <n v="317"/>
    <n v="48991"/>
    <s v="CCT 3.0 - powered by AI"/>
    <x v="22"/>
    <x v="1"/>
    <x v="1"/>
    <s v="Backlog"/>
    <n v="7"/>
    <n v="0.03"/>
    <n v="1"/>
    <n v="1"/>
    <n v="1"/>
    <n v="100"/>
    <x v="1"/>
  </r>
  <r>
    <x v="0"/>
    <s v="SainteLague"/>
    <n v="318"/>
    <n v="129503"/>
    <s v="[Qlik] - Migraci√õn y redifinici√õn de App Notifications Analytics - Cloud"/>
    <x v="17"/>
    <x v="0"/>
    <x v="2"/>
    <s v="In Definition"/>
    <n v="13"/>
    <n v="0.03"/>
    <n v="1"/>
    <n v="1"/>
    <n v="1"/>
    <n v="100"/>
    <x v="1"/>
  </r>
  <r>
    <x v="0"/>
    <s v="SainteLague"/>
    <n v="319"/>
    <n v="130504"/>
    <s v="[User Endpoint API REST GET TRACKING] A√íadir organic_point_code cuando estados 2300 / 2310"/>
    <x v="19"/>
    <x v="0"/>
    <x v="1"/>
    <s v="Backlog"/>
    <n v="13"/>
    <n v="0.03"/>
    <n v="1"/>
    <n v="1"/>
    <n v="1"/>
    <n v="100"/>
    <x v="1"/>
  </r>
  <r>
    <x v="0"/>
    <s v="SainteLague"/>
    <n v="320"/>
    <n v="50544"/>
    <s v="Avalia√Å‚Äûo de Novo Software de Contact Center"/>
    <x v="20"/>
    <x v="1"/>
    <x v="2"/>
    <s v="Backlog"/>
    <n v="10"/>
    <n v="0.03"/>
    <n v="1"/>
    <n v="1"/>
    <n v="1"/>
    <n v="100"/>
    <x v="1"/>
  </r>
  <r>
    <x v="0"/>
    <s v="SainteLague"/>
    <n v="321"/>
    <n v="131074"/>
    <s v="[Desconexi√õn SGC]: Internacional"/>
    <x v="0"/>
    <x v="0"/>
    <x v="0"/>
    <s v="Backlog"/>
    <n v="27"/>
    <n v="0.03"/>
    <n v="1"/>
    <n v="1"/>
    <n v="1"/>
    <n v="100"/>
    <x v="1"/>
  </r>
  <r>
    <x v="0"/>
    <s v="SainteLague"/>
    <n v="322"/>
    <n v="129572"/>
    <s v="[PUDOS] [Wizard] - Funcionalidad PDA: Entrega de env√åos en PUDO mediante Baliza"/>
    <x v="0"/>
    <x v="0"/>
    <x v="0"/>
    <s v="In Definition"/>
    <n v="28"/>
    <n v="0.03"/>
    <n v="1"/>
    <n v="1"/>
    <n v="1"/>
    <n v="100"/>
    <x v="1"/>
  </r>
  <r>
    <x v="0"/>
    <s v="SainteLague"/>
    <n v="323"/>
    <n v="203092"/>
    <s v="PDFs Gerados de Listagens lojas est‚Äûo alojados nos servidores do Nave"/>
    <x v="11"/>
    <x v="1"/>
    <x v="3"/>
    <s v="Backlog"/>
    <n v="16"/>
    <n v="0.03"/>
    <n v="1"/>
    <n v="1"/>
    <n v="1"/>
    <n v="100"/>
    <x v="1"/>
  </r>
  <r>
    <x v="0"/>
    <s v="SainteLague"/>
    <n v="324"/>
    <n v="126166"/>
    <s v="Produto Internacional Expresso | Permitir envio de bens para os EUA segmento ocasional"/>
    <x v="6"/>
    <x v="0"/>
    <x v="1"/>
    <s v="Backlog"/>
    <n v="14"/>
    <n v="0.1"/>
    <n v="4"/>
    <n v="3"/>
    <n v="3"/>
    <n v="100"/>
    <x v="1"/>
  </r>
  <r>
    <x v="0"/>
    <s v="SainteLague"/>
    <n v="325"/>
    <n v="129553"/>
    <s v="[SGC] - Funcionalidad de Comisi√õn Reembolso sobre &quot;entregados&quot; activa"/>
    <x v="8"/>
    <x v="0"/>
    <x v="2"/>
    <s v="High Level Design"/>
    <n v="14"/>
    <n v="0.03"/>
    <n v="1"/>
    <n v="1"/>
    <n v="1"/>
    <n v="100"/>
    <x v="1"/>
  </r>
  <r>
    <x v="0"/>
    <s v="SainteLague"/>
    <n v="326"/>
    <n v="148011"/>
    <s v="CTT Sol. Empresariais - GSB2B/BFT_Melhorias ao Processo de Fatura√Å‚Äûo"/>
    <x v="26"/>
    <x v="1"/>
    <x v="1"/>
    <s v="In Definition"/>
    <n v="5"/>
    <n v="0.03"/>
    <n v="1"/>
    <n v="1"/>
    <n v="1"/>
    <n v="100"/>
    <x v="1"/>
  </r>
  <r>
    <x v="0"/>
    <s v="SainteLague"/>
    <n v="327"/>
    <n v="129501"/>
    <s v="[Desconexi√õn SGC] Qlik - Migraci√õn App Gesti√õn de Estacionados - Cloud"/>
    <x v="10"/>
    <x v="0"/>
    <x v="3"/>
    <s v="In Solution"/>
    <n v="15"/>
    <n v="0.03"/>
    <n v="1"/>
    <n v="1"/>
    <n v="1"/>
    <n v="100"/>
    <x v="1"/>
  </r>
  <r>
    <x v="0"/>
    <s v="SainteLague"/>
    <n v="328"/>
    <n v="129489"/>
    <s v="[Nexus] [Producto] - OTP entrega segura"/>
    <x v="14"/>
    <x v="0"/>
    <x v="1"/>
    <s v="High Level Design"/>
    <n v="15"/>
    <n v="0.03"/>
    <n v="1"/>
    <n v="1"/>
    <n v="1"/>
    <n v="100"/>
    <x v="1"/>
  </r>
  <r>
    <x v="0"/>
    <s v="SainteLague"/>
    <n v="329"/>
    <n v="67870"/>
    <s v="BCTT - disponibiliza√Å‚Äûo de logs via SFTP"/>
    <x v="28"/>
    <x v="1"/>
    <x v="3"/>
    <s v="Backlog"/>
    <n v="5"/>
    <n v="0.03"/>
    <n v="1"/>
    <n v="1"/>
    <n v="1"/>
    <n v="100"/>
    <x v="1"/>
  </r>
  <r>
    <x v="0"/>
    <s v="SainteLague"/>
    <n v="330"/>
    <n v="130783"/>
    <s v="[Salesforce Sales] - Cambio del flujo de aprobaci√õn de ofertas segÀôn usuario"/>
    <x v="16"/>
    <x v="0"/>
    <x v="1"/>
    <s v="In Solution"/>
    <n v="14"/>
    <n v="0.03"/>
    <n v="1"/>
    <n v="1"/>
    <n v="1"/>
    <n v="100"/>
    <x v="1"/>
  </r>
  <r>
    <x v="0"/>
    <s v="SainteLague"/>
    <n v="331"/>
    <n v="67561"/>
    <s v="SAPSF Evolu√Å‚Äûo Integra√Åƒ±es Sistemas a montante (Teleponto + AD + IOS)"/>
    <x v="29"/>
    <x v="1"/>
    <x v="2"/>
    <s v="Backlog"/>
    <n v="7"/>
    <n v="0.03"/>
    <n v="1"/>
    <n v="1"/>
    <n v="1"/>
    <n v="100"/>
    <x v="1"/>
  </r>
  <r>
    <x v="0"/>
    <s v="SainteLague"/>
    <n v="332"/>
    <n v="129736"/>
    <s v="[Salesforce Service] - Reglas de cierre y respuesta autom¬∑tica de casos de env√åos estacionados o ubicados"/>
    <x v="17"/>
    <x v="0"/>
    <x v="2"/>
    <s v="In Definition"/>
    <n v="14"/>
    <n v="0.03"/>
    <n v="1"/>
    <n v="1"/>
    <n v="1"/>
    <n v="100"/>
    <x v="1"/>
  </r>
  <r>
    <x v="0"/>
    <s v="SainteLague"/>
    <n v="333"/>
    <n v="136233"/>
    <s v="Integracion Clientes Salesforce - Generacion automatica de claves de cognito para integracion Mapper"/>
    <x v="19"/>
    <x v="0"/>
    <x v="1"/>
    <s v="In Definition"/>
    <n v="14"/>
    <n v="0.03"/>
    <n v="1"/>
    <n v="1"/>
    <n v="1"/>
    <n v="100"/>
    <x v="1"/>
  </r>
  <r>
    <x v="0"/>
    <s v="SainteLague"/>
    <n v="334"/>
    <n v="120278"/>
    <s v="Revamp BIC - Indicadores di¬∑rios e mensais de neg√õcio"/>
    <x v="24"/>
    <x v="1"/>
    <x v="2"/>
    <s v="Backlog"/>
    <n v="5"/>
    <n v="0.03"/>
    <n v="1"/>
    <n v="1"/>
    <n v="1"/>
    <n v="100"/>
    <x v="1"/>
  </r>
  <r>
    <x v="0"/>
    <s v="SainteLague"/>
    <n v="335"/>
    <n v="130236"/>
    <s v="[Desconexi√õn SGC] Lecturas de stock sobre Contenedores"/>
    <x v="0"/>
    <x v="0"/>
    <x v="0"/>
    <s v="Backlog"/>
    <n v="29"/>
    <n v="0.03"/>
    <n v="1"/>
    <n v="1"/>
    <n v="1"/>
    <n v="100"/>
    <x v="1"/>
  </r>
  <r>
    <x v="0"/>
    <s v="SainteLague"/>
    <n v="336"/>
    <n v="130308"/>
    <s v="Restricci√õn de Login en APP de Planta"/>
    <x v="0"/>
    <x v="0"/>
    <x v="0"/>
    <s v="Backlog"/>
    <n v="30"/>
    <n v="0.03"/>
    <n v="1"/>
    <n v="1"/>
    <n v="1"/>
    <n v="100"/>
    <x v="1"/>
  </r>
  <r>
    <x v="0"/>
    <s v="SainteLague"/>
    <n v="337"/>
    <n v="61947"/>
    <s v="Telemetria -  (Mobi) Descontinua√Å‚Äûo do Boletim de Veiculo"/>
    <x v="30"/>
    <x v="1"/>
    <x v="2"/>
    <s v="Backlog"/>
    <n v="5"/>
    <n v="0.03"/>
    <n v="1"/>
    <n v="1"/>
    <n v="1"/>
    <n v="100"/>
    <x v="1"/>
  </r>
  <r>
    <x v="0"/>
    <s v="SainteLague"/>
    <n v="338"/>
    <n v="124000"/>
    <s v="Milytech| Altera√Å‚Äûo ‚Ä° extra√Å‚Äûo de dados de envios"/>
    <x v="6"/>
    <x v="0"/>
    <x v="1"/>
    <s v="Backlog"/>
    <n v="15"/>
    <n v="0.03"/>
    <n v="1"/>
    <n v="1"/>
    <n v="1"/>
    <n v="100"/>
    <x v="1"/>
  </r>
  <r>
    <x v="0"/>
    <s v="SainteLague"/>
    <n v="339"/>
    <n v="129469"/>
    <s v="[Evolutivos SGC Finanzas]  Funcionalidad &quot;Redireccionar servicios&quot; en Valoracion de servicios funciona parcialmente"/>
    <x v="8"/>
    <x v="0"/>
    <x v="2"/>
    <s v="Backlog"/>
    <n v="15"/>
    <n v="0.03"/>
    <n v="1"/>
    <n v="1"/>
    <n v="1"/>
    <n v="100"/>
    <x v="1"/>
  </r>
  <r>
    <x v="0"/>
    <s v="SainteLague"/>
    <n v="340"/>
    <n v="126099"/>
    <s v="Desenvolvimentos Regulamentares (Congresso UPU Dubai + Incremental Riade)"/>
    <x v="1"/>
    <x v="1"/>
    <x v="1"/>
    <s v="Backlog"/>
    <n v="6"/>
    <n v="0.03"/>
    <n v="1"/>
    <n v="1"/>
    <n v="1"/>
    <n v="100"/>
    <x v="1"/>
  </r>
  <r>
    <x v="0"/>
    <s v="SainteLague"/>
    <n v="341"/>
    <n v="130861"/>
    <s v="[Minerva] - Cambiar m√àtodo de autenticaci√õn en Minerva"/>
    <x v="10"/>
    <x v="0"/>
    <x v="3"/>
    <s v="In Definition"/>
    <n v="16"/>
    <n v="0.03"/>
    <n v="1"/>
    <n v="1"/>
    <n v="1"/>
    <n v="100"/>
    <x v="1"/>
  </r>
  <r>
    <x v="0"/>
    <s v="SainteLague"/>
    <n v="342"/>
    <n v="129676"/>
    <s v="[Nexus] [Producto] - Devoluci√õn F¬∑cil (implantar el modelo de PT para las devoluciones)"/>
    <x v="14"/>
    <x v="0"/>
    <x v="1"/>
    <s v="Pitch"/>
    <n v="16"/>
    <n v="0.03"/>
    <n v="1"/>
    <n v="1"/>
    <n v="1"/>
    <n v="100"/>
    <x v="1"/>
  </r>
  <r>
    <x v="0"/>
    <s v="SainteLague"/>
    <n v="343"/>
    <n v="50788"/>
    <s v="CESOP - Reporte Regulat√õrio AT"/>
    <x v="9"/>
    <x v="1"/>
    <x v="2"/>
    <s v="Backlog"/>
    <n v="6"/>
    <n v="0.03"/>
    <n v="1"/>
    <n v="1"/>
    <n v="1"/>
    <n v="100"/>
    <x v="1"/>
  </r>
  <r>
    <x v="0"/>
    <s v="SainteLague"/>
    <n v="344"/>
    <n v="129509"/>
    <s v="Qlik - Anal√åtica Comercial - Clientes Activos"/>
    <x v="16"/>
    <x v="0"/>
    <x v="1"/>
    <s v="In Definition"/>
    <n v="15"/>
    <n v="0.03"/>
    <n v="1"/>
    <n v="1"/>
    <n v="1"/>
    <n v="100"/>
    <x v="1"/>
  </r>
  <r>
    <x v="0"/>
    <s v="SainteLague"/>
    <n v="345"/>
    <n v="129508"/>
    <s v="[Qlik] - Nueva App Plan de Acogida y Acompa√íamiento"/>
    <x v="17"/>
    <x v="0"/>
    <x v="2"/>
    <s v="In Definition"/>
    <n v="15"/>
    <n v="0.03"/>
    <n v="1"/>
    <n v="1"/>
    <n v="1"/>
    <n v="100"/>
    <x v="1"/>
  </r>
  <r>
    <x v="0"/>
    <s v="SainteLague"/>
    <n v="346"/>
    <n v="126585"/>
    <s v="Renova√Å‚Äûo Firewalls Per√åmetro - CheckPoint"/>
    <x v="12"/>
    <x v="1"/>
    <x v="3"/>
    <s v="Backlog"/>
    <n v="6"/>
    <n v="0.03"/>
    <n v="1"/>
    <n v="1"/>
    <n v="1"/>
    <n v="100"/>
    <x v="1"/>
  </r>
  <r>
    <x v="0"/>
    <s v="SainteLague"/>
    <n v="347"/>
    <n v="130587"/>
    <s v="[WebHook] - Cacesa"/>
    <x v="19"/>
    <x v="0"/>
    <x v="1"/>
    <s v="Backlog"/>
    <n v="15"/>
    <n v="0.03"/>
    <n v="1"/>
    <n v="1"/>
    <n v="1"/>
    <n v="100"/>
    <x v="1"/>
  </r>
  <r>
    <x v="0"/>
    <s v="SainteLague"/>
    <n v="348"/>
    <n v="50856"/>
    <s v="Defini√Å‚Äûo de modelo de governo para gest‚Äûo de seguran√Åa da informa√Å‚Äûo, compliance e gest‚Äûo de risco"/>
    <x v="13"/>
    <x v="1"/>
    <x v="4"/>
    <s v="Backlog"/>
    <n v="6"/>
    <n v="0.03"/>
    <n v="1"/>
    <n v="1"/>
    <n v="1"/>
    <n v="100"/>
    <x v="1"/>
  </r>
  <r>
    <x v="0"/>
    <s v="SainteLague"/>
    <n v="349"/>
    <n v="130659"/>
    <s v="Portal Proveedores Linehaul - Control Horario - Mejoras"/>
    <x v="0"/>
    <x v="0"/>
    <x v="0"/>
    <s v="High Level Design"/>
    <n v="31"/>
    <n v="0.03"/>
    <n v="1"/>
    <n v="1"/>
    <n v="1"/>
    <n v="100"/>
    <x v="1"/>
  </r>
  <r>
    <x v="0"/>
    <s v="SainteLague"/>
    <n v="350"/>
    <n v="130874"/>
    <s v="Portal de Proveedores - Poder ordenar Control Horario por cualquier columna"/>
    <x v="0"/>
    <x v="0"/>
    <x v="0"/>
    <s v="Backlog"/>
    <n v="32"/>
    <n v="0.03"/>
    <n v="1"/>
    <n v="1"/>
    <n v="1"/>
    <n v="100"/>
    <x v="1"/>
  </r>
  <r>
    <x v="0"/>
    <s v="SainteLague"/>
    <n v="351"/>
    <n v="76382"/>
    <s v="[35908] - Jornada NBO: MOBI"/>
    <x v="7"/>
    <x v="1"/>
    <x v="1"/>
    <s v="In Definition"/>
    <n v="11"/>
    <n v="0.03"/>
    <n v="1"/>
    <n v="1"/>
    <n v="1"/>
    <n v="100"/>
    <x v="1"/>
  </r>
  <r>
    <x v="0"/>
    <s v="SainteLague"/>
    <n v="352"/>
    <n v="78453"/>
    <s v="Altera√Å‚Äûo da Autentica√Å‚Äûo dos Distribuidores nos Lockers"/>
    <x v="6"/>
    <x v="0"/>
    <x v="1"/>
    <s v="In Definition"/>
    <n v="16"/>
    <n v="0.03"/>
    <n v="1"/>
    <n v="1"/>
    <n v="1"/>
    <n v="100"/>
    <x v="1"/>
  </r>
  <r>
    <x v="0"/>
    <s v="SainteLague"/>
    <n v="353"/>
    <n v="129485"/>
    <s v="[Evolutivos SGC Finanzas] Evolutivos SGC Finanzas - Adeudos ECCS a SGC+ automatizados y diarios"/>
    <x v="8"/>
    <x v="0"/>
    <x v="2"/>
    <s v="Backlog"/>
    <n v="16"/>
    <n v="0.03"/>
    <n v="1"/>
    <n v="1"/>
    <n v="1"/>
    <n v="100"/>
    <x v="1"/>
  </r>
  <r>
    <x v="0"/>
    <s v="SainteLague"/>
    <n v="354"/>
    <n v="49552"/>
    <s v="Analytics | Implementa√Å‚Äûo GAds (BigQuery)"/>
    <x v="22"/>
    <x v="1"/>
    <x v="1"/>
    <s v="Backlog"/>
    <n v="8"/>
    <n v="0.03"/>
    <n v="1"/>
    <n v="1"/>
    <n v="1"/>
    <n v="100"/>
    <x v="1"/>
  </r>
  <r>
    <x v="0"/>
    <s v="SainteLague"/>
    <n v="355"/>
    <n v="130668"/>
    <s v="Migraci√õn Infraestructura GIT =&gt; GitHub (Salesforce)"/>
    <x v="10"/>
    <x v="0"/>
    <x v="3"/>
    <s v="Backlog"/>
    <n v="17"/>
    <n v="0.03"/>
    <n v="1"/>
    <n v="1"/>
    <n v="1"/>
    <n v="100"/>
    <x v="1"/>
  </r>
  <r>
    <x v="0"/>
    <s v="SainteLague"/>
    <n v="356"/>
    <n v="130431"/>
    <s v="[Nexus-MVP] [Web de Clientes]  Visualizaci√õn Indicadores y KPIs en web de clientes en base a la app de Qlik"/>
    <x v="14"/>
    <x v="0"/>
    <x v="1"/>
    <s v="Pitch"/>
    <n v="18"/>
    <n v="0.03"/>
    <n v="1"/>
    <n v="1"/>
    <n v="1"/>
    <n v="100"/>
    <x v="1"/>
  </r>
  <r>
    <x v="0"/>
    <s v="SainteLague"/>
    <n v="357"/>
    <n v="47391"/>
    <s v="CRM | SPRINKLR - Ir¬∑ existir uma altera√Å‚Äûo ao nivel das APIs da Sprinklr pelo que dever‚Äûo ser necess¬∑rios ajustes ‚Ä° integra√Å‚Äûo com o CRM"/>
    <x v="20"/>
    <x v="1"/>
    <x v="2"/>
    <s v="Backlog"/>
    <n v="11"/>
    <n v="0.03"/>
    <n v="1"/>
    <n v="1"/>
    <n v="1"/>
    <n v="100"/>
    <x v="1"/>
  </r>
  <r>
    <x v="0"/>
    <s v="SainteLague"/>
    <n v="358"/>
    <n v="129490"/>
    <s v="[Minerva] - Permitir a ciertos perfiles Comerciales descargar los contratos en Word"/>
    <x v="16"/>
    <x v="0"/>
    <x v="1"/>
    <s v="High Level Design"/>
    <n v="16"/>
    <n v="0.03"/>
    <n v="1"/>
    <n v="1"/>
    <n v="1"/>
    <n v="100"/>
    <x v="1"/>
  </r>
  <r>
    <x v="0"/>
    <s v="SainteLague"/>
    <n v="359"/>
    <n v="129878"/>
    <s v="[Qlik Sense] Mapa de Red"/>
    <x v="17"/>
    <x v="0"/>
    <x v="2"/>
    <s v="In Definition"/>
    <n v="16"/>
    <n v="0.03"/>
    <n v="1"/>
    <n v="1"/>
    <n v="1"/>
    <n v="100"/>
    <x v="1"/>
  </r>
  <r>
    <x v="0"/>
    <s v="SainteLague"/>
    <n v="360"/>
    <n v="49198"/>
    <s v="Descontinua√Å‚Äûo do express2me para a super app"/>
    <x v="11"/>
    <x v="1"/>
    <x v="3"/>
    <s v="Backlog"/>
    <n v="17"/>
    <n v="0.03"/>
    <n v="1"/>
    <n v="1"/>
    <n v="1"/>
    <n v="100"/>
    <x v="1"/>
  </r>
  <r>
    <x v="0"/>
    <s v="SainteLague"/>
    <n v="361"/>
    <n v="129739"/>
    <s v="Herramienta Monitorizaci√õn Manifiestos (Carga de Ficheros Cloud y Grabacion Api's)"/>
    <x v="19"/>
    <x v="0"/>
    <x v="1"/>
    <s v="Backlog"/>
    <n v="16"/>
    <n v="0.03"/>
    <n v="1"/>
    <n v="1"/>
    <n v="1"/>
    <n v="100"/>
    <x v="1"/>
  </r>
  <r>
    <x v="0"/>
    <s v="SainteLague"/>
    <n v="362"/>
    <n v="173698"/>
    <s v="SSM - valida√Å‚Äûo dos dados registados em NAVe, previamente ‚Ä° sua conclus‚Äûo"/>
    <x v="26"/>
    <x v="1"/>
    <x v="1"/>
    <s v="In Definition"/>
    <n v="6"/>
    <n v="0.03"/>
    <n v="1"/>
    <n v="1"/>
    <n v="1"/>
    <n v="100"/>
    <x v="1"/>
  </r>
  <r>
    <x v="0"/>
    <s v="SainteLague"/>
    <n v="363"/>
    <n v="129570"/>
    <s v="Desactivaci√õn de recogidas fijas sin mercancias"/>
    <x v="0"/>
    <x v="0"/>
    <x v="0"/>
    <s v="Backlog"/>
    <n v="33"/>
    <n v="0.03"/>
    <n v="1"/>
    <n v="1"/>
    <n v="1"/>
    <n v="100"/>
    <x v="1"/>
  </r>
  <r>
    <x v="0"/>
    <s v="SainteLague"/>
    <n v="364"/>
    <n v="129571"/>
    <s v="Nuevos MS de Liquidaciones"/>
    <x v="0"/>
    <x v="0"/>
    <x v="0"/>
    <s v="Backlog"/>
    <n v="34"/>
    <n v="0.03"/>
    <n v="1"/>
    <n v="1"/>
    <n v="1"/>
    <n v="100"/>
    <x v="1"/>
  </r>
  <r>
    <x v="0"/>
    <s v="SainteLague"/>
    <n v="365"/>
    <n v="192027"/>
    <s v="Comunica√Åƒ±es - Wifi 321 Cr√àdito - Porto"/>
    <x v="28"/>
    <x v="1"/>
    <x v="3"/>
    <s v="Backlog"/>
    <n v="6"/>
    <n v="0.03"/>
    <n v="1"/>
    <n v="1"/>
    <n v="1"/>
    <n v="100"/>
    <x v="1"/>
  </r>
  <r>
    <x v="0"/>
    <s v="SainteLague"/>
    <n v="366"/>
    <n v="94164"/>
    <s v="Reconfigura√Å‚Äûo de Zonas de Taxa√Å‚Äûo | Produtos Internacionais Expresso"/>
    <x v="6"/>
    <x v="0"/>
    <x v="1"/>
    <s v="Backlog"/>
    <n v="17"/>
    <n v="0.03"/>
    <n v="1"/>
    <n v="1"/>
    <n v="1"/>
    <n v="100"/>
    <x v="1"/>
  </r>
  <r>
    <x v="0"/>
    <s v="SainteLague"/>
    <n v="367"/>
    <n v="129795"/>
    <s v="Fichero interfase IGIC SGC-SAP"/>
    <x v="8"/>
    <x v="0"/>
    <x v="2"/>
    <s v="In Solution"/>
    <n v="17"/>
    <n v="0.03"/>
    <n v="1"/>
    <n v="1"/>
    <n v="1"/>
    <n v="100"/>
    <x v="1"/>
  </r>
  <r>
    <x v="0"/>
    <s v="SainteLague"/>
    <n v="368"/>
    <n v="126661"/>
    <s v="RH - AI Automation"/>
    <x v="29"/>
    <x v="1"/>
    <x v="2"/>
    <s v="Backlog"/>
    <n v="8"/>
    <n v="3.5"/>
    <n v="3"/>
    <n v="2"/>
    <n v="2"/>
    <n v="2"/>
    <x v="1"/>
  </r>
  <r>
    <x v="0"/>
    <s v="SainteLague"/>
    <n v="369"/>
    <n v="130669"/>
    <s v="Migraci√õn Infraestructura GIT =&gt; GitHub , Arquetipo .net"/>
    <x v="10"/>
    <x v="0"/>
    <x v="3"/>
    <s v="Backlog"/>
    <n v="18"/>
    <n v="0.03"/>
    <n v="1"/>
    <n v="1"/>
    <n v="1"/>
    <n v="100"/>
    <x v="1"/>
  </r>
  <r>
    <x v="0"/>
    <s v="SainteLague"/>
    <n v="370"/>
    <n v="130451"/>
    <s v="[Nexus-MVP] [Web de Clientes] Gesti√õn Consumibles"/>
    <x v="14"/>
    <x v="0"/>
    <x v="1"/>
    <s v="Pitch"/>
    <n v="19"/>
    <n v="0.03"/>
    <n v="1"/>
    <n v="1"/>
    <n v="1"/>
    <n v="100"/>
    <x v="1"/>
  </r>
  <r>
    <x v="0"/>
    <s v="SainteLague"/>
    <n v="371"/>
    <n v="126735"/>
    <s v="Data Cost Allocation Model by Business Area"/>
    <x v="24"/>
    <x v="1"/>
    <x v="2"/>
    <s v="Backlog"/>
    <n v="7"/>
    <n v="0.05"/>
    <n v="3"/>
    <n v="1"/>
    <n v="1"/>
    <n v="100"/>
    <x v="1"/>
  </r>
  <r>
    <x v="0"/>
    <s v="SainteLague"/>
    <n v="372"/>
    <n v="129505"/>
    <s v="Qlik - Estado de Venta"/>
    <x v="16"/>
    <x v="0"/>
    <x v="1"/>
    <s v="In Definition"/>
    <n v="17"/>
    <n v="0.03"/>
    <n v="1"/>
    <n v="1"/>
    <n v="1"/>
    <n v="100"/>
    <x v="1"/>
  </r>
  <r>
    <x v="0"/>
    <s v="SainteLague"/>
    <n v="373"/>
    <n v="130921"/>
    <s v="SLA S¬∑bados y Domingos"/>
    <x v="17"/>
    <x v="0"/>
    <x v="2"/>
    <s v="Backlog"/>
    <n v="17"/>
    <n v="0.03"/>
    <n v="1"/>
    <n v="1"/>
    <n v="1"/>
    <n v="100"/>
    <x v="1"/>
  </r>
  <r>
    <x v="0"/>
    <s v="SainteLague"/>
    <n v="374"/>
    <n v="58934"/>
    <s v="Solu√Å‚Äûo de Gest‚Äûo de Viagens"/>
    <x v="30"/>
    <x v="1"/>
    <x v="2"/>
    <s v="In Definition"/>
    <n v="6"/>
    <n v="0.03"/>
    <n v="1"/>
    <n v="1"/>
    <n v="1"/>
    <n v="100"/>
    <x v="1"/>
  </r>
  <r>
    <x v="0"/>
    <s v="SainteLague"/>
    <n v="375"/>
    <n v="130249"/>
    <s v="Ficheros DataTrans sin CP origen"/>
    <x v="19"/>
    <x v="0"/>
    <x v="1"/>
    <s v="Backlog"/>
    <n v="17"/>
    <n v="0.03"/>
    <n v="1"/>
    <n v="1"/>
    <n v="1"/>
    <n v="100"/>
    <x v="1"/>
  </r>
  <r>
    <x v="0"/>
    <s v="SainteLague"/>
    <n v="376"/>
    <n v="129574"/>
    <s v="Servidor de Decisiones (TO)/Gesti√õn de oleadas"/>
    <x v="0"/>
    <x v="0"/>
    <x v="0"/>
    <s v="In Definition"/>
    <n v="35"/>
    <n v="0.03"/>
    <n v="1"/>
    <n v="1"/>
    <n v="1"/>
    <n v="100"/>
    <x v="1"/>
  </r>
  <r>
    <x v="0"/>
    <s v="SainteLague"/>
    <n v="377"/>
    <n v="68236"/>
    <s v="Informa√Å‚Äûo normalizada (Indicadores de Gest‚Äûo IG) - Fus‚Äûo relat√õrio 65 no 59 (2‚à´ e 3‚à´ fase)"/>
    <x v="1"/>
    <x v="1"/>
    <x v="1"/>
    <s v="In Definition"/>
    <n v="7"/>
    <n v="0.03"/>
    <n v="1"/>
    <n v="1"/>
    <n v="1"/>
    <n v="100"/>
    <x v="1"/>
  </r>
  <r>
    <x v="0"/>
    <s v="SainteLague"/>
    <n v="378"/>
    <n v="129575"/>
    <s v="Incidencias C. propia/Mejora del sistema de geoposici√õn/Pantalla para gesti√õn de historificaciones (TO)"/>
    <x v="0"/>
    <x v="0"/>
    <x v="0"/>
    <s v="In Definition"/>
    <n v="36"/>
    <n v="0.03"/>
    <n v="1"/>
    <n v="1"/>
    <n v="1"/>
    <n v="100"/>
    <x v="1"/>
  </r>
  <r>
    <x v="0"/>
    <s v="SainteLague"/>
    <n v="379"/>
    <n v="126643"/>
    <s v="Faturas PDF | SuperApp - Fatura√Å‚Äûo Portagens"/>
    <x v="9"/>
    <x v="1"/>
    <x v="2"/>
    <s v="Backlog"/>
    <n v="7"/>
    <n v="10"/>
    <n v="3"/>
    <n v="3"/>
    <n v="4"/>
    <n v="1"/>
    <x v="1"/>
  </r>
  <r>
    <x v="0"/>
    <s v="SainteLague"/>
    <n v="380"/>
    <n v="123999"/>
    <s v="Interconnect Common Return Platform | Upgrade p/ V2 (CRP2)"/>
    <x v="6"/>
    <x v="0"/>
    <x v="1"/>
    <s v="Backlog"/>
    <n v="18"/>
    <n v="0.03"/>
    <n v="1"/>
    <n v="1"/>
    <n v="1"/>
    <n v="100"/>
    <x v="1"/>
  </r>
  <r>
    <x v="0"/>
    <s v="SainteLague"/>
    <n v="381"/>
    <n v="129477"/>
    <s v="[Evolutivos SGC Finanzas] Generacion de documentos por master + grupo procesamiento (filtro)"/>
    <x v="8"/>
    <x v="0"/>
    <x v="2"/>
    <s v="Backlog"/>
    <n v="18"/>
    <n v="0.03"/>
    <n v="1"/>
    <n v="1"/>
    <n v="1"/>
    <n v="100"/>
    <x v="1"/>
  </r>
  <r>
    <x v="0"/>
    <s v="SainteLague"/>
    <n v="382"/>
    <n v="180670"/>
    <s v="INT | IBM Sterling File Gateway - implementar balanceamento"/>
    <x v="12"/>
    <x v="1"/>
    <x v="3"/>
    <s v="In Solution"/>
    <n v="7"/>
    <n v="0.03"/>
    <n v="1"/>
    <n v="1"/>
    <n v="1"/>
    <n v="100"/>
    <x v="1"/>
  </r>
  <r>
    <x v="0"/>
    <s v="SainteLague"/>
    <n v="383"/>
    <n v="130670"/>
    <s v="Migraci√õn Infraestructura de Web Corporativa de AckStorm a Ctt Express"/>
    <x v="10"/>
    <x v="0"/>
    <x v="3"/>
    <s v="Backlog"/>
    <n v="19"/>
    <n v="0.03"/>
    <n v="1"/>
    <n v="1"/>
    <n v="1"/>
    <n v="100"/>
    <x v="1"/>
  </r>
  <r>
    <x v="0"/>
    <s v="SainteLague"/>
    <n v="384"/>
    <n v="130348"/>
    <s v="[Minerva]- Modelo Tarifario Densidades Zoning Actual"/>
    <x v="14"/>
    <x v="0"/>
    <x v="1"/>
    <s v="Backlog"/>
    <n v="20"/>
    <n v="0.03"/>
    <n v="1"/>
    <n v="1"/>
    <n v="1"/>
    <n v="100"/>
    <x v="1"/>
  </r>
  <r>
    <x v="0"/>
    <s v="SainteLague"/>
    <n v="385"/>
    <n v="51049"/>
    <s v="Defini√Å‚Äûo de Pol√åtica de Gest‚Äûo de Risco Cyber"/>
    <x v="13"/>
    <x v="1"/>
    <x v="4"/>
    <s v="Backlog"/>
    <n v="7"/>
    <n v="0.03"/>
    <n v="1"/>
    <n v="1"/>
    <n v="1"/>
    <n v="100"/>
    <x v="1"/>
  </r>
  <r>
    <x v="0"/>
    <s v="SainteLague"/>
    <n v="386"/>
    <n v="130775"/>
    <s v="[Salesforce Maps] - Nuevas funcionalidades (Fase 3)"/>
    <x v="16"/>
    <x v="0"/>
    <x v="1"/>
    <s v="Backlog"/>
    <n v="18"/>
    <n v="0.03"/>
    <n v="1"/>
    <n v="1"/>
    <n v="1"/>
    <n v="100"/>
    <x v="1"/>
  </r>
  <r>
    <x v="0"/>
    <s v="SainteLague"/>
    <n v="387"/>
    <n v="130104"/>
    <s v="KPI &quot;D√åas backlog env√åos&quot; en app de an¬∑lisis de calidad del reparto"/>
    <x v="17"/>
    <x v="0"/>
    <x v="2"/>
    <s v="In Definition"/>
    <n v="18"/>
    <n v="0.03"/>
    <n v="1"/>
    <n v="1"/>
    <n v="1"/>
    <n v="100"/>
    <x v="1"/>
  </r>
  <r>
    <x v="0"/>
    <s v="SainteLague"/>
    <n v="388"/>
    <n v="76670"/>
    <s v="GALAXY | Identifica√Å‚Äûo dos Clientes nas Lojas F√åsicas"/>
    <x v="7"/>
    <x v="1"/>
    <x v="1"/>
    <s v="In Definition"/>
    <n v="13"/>
    <n v="0.03"/>
    <n v="1"/>
    <n v="1"/>
    <n v="1"/>
    <n v="100"/>
    <x v="1"/>
  </r>
  <r>
    <x v="0"/>
    <s v="SainteLague"/>
    <n v="389"/>
    <n v="130201"/>
    <s v="Manifest errores de carga en c√õdigos postales."/>
    <x v="19"/>
    <x v="0"/>
    <x v="1"/>
    <s v="Backlog"/>
    <n v="18"/>
    <n v="0.03"/>
    <n v="1"/>
    <n v="1"/>
    <n v="1"/>
    <n v="100"/>
    <x v="1"/>
  </r>
  <r>
    <x v="0"/>
    <s v="SainteLague"/>
    <n v="390"/>
    <n v="129578"/>
    <s v="Incidencias C. propia/Cambio de estado finales en Cloud (TO)"/>
    <x v="0"/>
    <x v="0"/>
    <x v="0"/>
    <s v="In Definition"/>
    <n v="37"/>
    <n v="0.03"/>
    <n v="1"/>
    <n v="1"/>
    <n v="1"/>
    <n v="100"/>
    <x v="1"/>
  </r>
  <r>
    <x v="0"/>
    <s v="SainteLague"/>
    <n v="391"/>
    <n v="84774"/>
    <s v="Analytics | Tags Google Analytics G3/4 - Measurement Protocol"/>
    <x v="22"/>
    <x v="1"/>
    <x v="1"/>
    <s v="Backlog"/>
    <n v="9"/>
    <n v="0.03"/>
    <n v="1"/>
    <n v="1"/>
    <n v="1"/>
    <n v="100"/>
    <x v="1"/>
  </r>
  <r>
    <x v="0"/>
    <s v="SainteLague"/>
    <n v="392"/>
    <n v="129579"/>
    <s v="Incidencias C. propia/Predicci√õn de la demanda (TO)"/>
    <x v="0"/>
    <x v="0"/>
    <x v="0"/>
    <s v="In Definition"/>
    <n v="38"/>
    <n v="0.03"/>
    <n v="1"/>
    <n v="1"/>
    <n v="1"/>
    <n v="100"/>
    <x v="1"/>
  </r>
  <r>
    <x v="0"/>
    <s v="SainteLague"/>
    <n v="393"/>
    <n v="36549"/>
    <s v="Novo Modelo de Replica√Å‚Äûo de Dados Contratuais"/>
    <x v="11"/>
    <x v="1"/>
    <x v="3"/>
    <s v="Backlog"/>
    <n v="18"/>
    <n v="0.03"/>
    <n v="1"/>
    <n v="1"/>
    <n v="1"/>
    <n v="100"/>
    <x v="1"/>
  </r>
  <r>
    <x v="0"/>
    <s v="SainteLague"/>
    <n v="394"/>
    <n v="105938"/>
    <s v="Notifica√Åƒ±es Expresso | Aceita√Å‚Äûo no PUDO (Pedido ZALANDO)"/>
    <x v="6"/>
    <x v="0"/>
    <x v="1"/>
    <s v="In Definition"/>
    <n v="19"/>
    <n v="0.03"/>
    <n v="1"/>
    <n v="1"/>
    <n v="1"/>
    <n v="100"/>
    <x v="1"/>
  </r>
  <r>
    <x v="0"/>
    <s v="SainteLague"/>
    <n v="395"/>
    <n v="129459"/>
    <s v="[Evolutivos SGC Finanzas] Posibilidad de filtrar en Valoracion de servicios por Microservicio de Tasaci√õn &quot;Proceso SINO&quot;"/>
    <x v="8"/>
    <x v="0"/>
    <x v="2"/>
    <s v="Backlog"/>
    <n v="19"/>
    <n v="0.03"/>
    <n v="1"/>
    <n v="1"/>
    <n v="1"/>
    <n v="100"/>
    <x v="1"/>
  </r>
  <r>
    <x v="0"/>
    <s v="SainteLague"/>
    <n v="396"/>
    <n v="50095"/>
    <s v="Cria√Å‚Äûo Portal Parceiro"/>
    <x v="26"/>
    <x v="1"/>
    <x v="1"/>
    <s v="Backlog"/>
    <n v="7"/>
    <n v="0.03"/>
    <n v="1"/>
    <n v="1"/>
    <n v="1"/>
    <n v="100"/>
    <x v="1"/>
  </r>
  <r>
    <x v="0"/>
    <s v="SainteLague"/>
    <n v="397"/>
    <n v="130075"/>
    <s v="[Auditoria PT] Controles peri√õdicos que garanticen la selecci√õn de lecturas √õptimas para facturaci√õn"/>
    <x v="10"/>
    <x v="0"/>
    <x v="3"/>
    <s v="Backlog"/>
    <n v="20"/>
    <n v="0.03"/>
    <n v="1"/>
    <n v="1"/>
    <n v="1"/>
    <n v="100"/>
    <x v="1"/>
  </r>
  <r>
    <x v="0"/>
    <s v="SainteLague"/>
    <n v="398"/>
    <n v="129896"/>
    <s v="[Nexus] [Notificaciones] - Notificaciones ibericas"/>
    <x v="14"/>
    <x v="0"/>
    <x v="1"/>
    <s v="In Solution"/>
    <n v="21"/>
    <n v="0.03"/>
    <n v="1"/>
    <n v="1"/>
    <n v="1"/>
    <n v="100"/>
    <x v="1"/>
  </r>
  <r>
    <x v="0"/>
    <s v="SainteLague"/>
    <n v="399"/>
    <n v="58133"/>
    <s v="BCTT - extens‚Äûo do contrato de multifun√Åƒ±es a 321 credito"/>
    <x v="28"/>
    <x v="1"/>
    <x v="3"/>
    <s v="In Definition"/>
    <n v="7"/>
    <n v="0.03"/>
    <n v="1"/>
    <n v="1"/>
    <n v="1"/>
    <n v="100"/>
    <x v="1"/>
  </r>
  <r>
    <x v="0"/>
    <s v="SainteLague"/>
    <n v="400"/>
    <n v="129729"/>
    <s v="[Minerva] - Servicios adicionales gestionables por el equipo Comercial en la creaci√õn de una oferta"/>
    <x v="16"/>
    <x v="0"/>
    <x v="1"/>
    <s v="In Solution"/>
    <n v="19"/>
    <n v="0.03"/>
    <n v="1"/>
    <n v="1"/>
    <n v="1"/>
    <n v="100"/>
    <x v="1"/>
  </r>
  <r>
    <x v="0"/>
    <s v="SainteLague"/>
    <n v="401"/>
    <n v="130519"/>
    <s v="Maestro festivos provinciales en c¬∑lculos de fechas de compromiso"/>
    <x v="17"/>
    <x v="0"/>
    <x v="2"/>
    <s v="In Solution"/>
    <n v="19"/>
    <n v="0.03"/>
    <n v="1"/>
    <n v="1"/>
    <n v="1"/>
    <n v="100"/>
    <x v="1"/>
  </r>
  <r>
    <x v="0"/>
    <s v="SainteLague"/>
    <n v="402"/>
    <n v="69344"/>
    <s v="Experiencia e Jornada do colaborador"/>
    <x v="29"/>
    <x v="1"/>
    <x v="2"/>
    <s v="Backlog"/>
    <n v="9"/>
    <n v="0.03"/>
    <n v="1"/>
    <n v="1"/>
    <n v="1"/>
    <n v="100"/>
    <x v="1"/>
  </r>
  <r>
    <x v="0"/>
    <s v="SainteLague"/>
    <n v="403"/>
    <n v="131110"/>
    <s v="[ESTADOS] - Mostrar a clientes el mismo evento/estado sucesivo ocurrido en dias distintos"/>
    <x v="19"/>
    <x v="0"/>
    <x v="1"/>
    <s v="Backlog"/>
    <n v="19"/>
    <n v="0.03"/>
    <n v="1"/>
    <n v="1"/>
    <n v="1"/>
    <n v="100"/>
    <x v="1"/>
  </r>
  <r>
    <x v="0"/>
    <s v="SainteLague"/>
    <n v="404"/>
    <n v="129580"/>
    <s v="Incidencias C. propia/Sistema de seguimiento de rutas online por el proveedor y el CO (Portal del proveedor) (TO)"/>
    <x v="0"/>
    <x v="0"/>
    <x v="0"/>
    <s v="In Definition"/>
    <n v="39"/>
    <n v="0.03"/>
    <n v="1"/>
    <n v="1"/>
    <n v="1"/>
    <n v="100"/>
    <x v="1"/>
  </r>
  <r>
    <x v="0"/>
    <s v="SainteLague"/>
    <n v="405"/>
    <n v="192060"/>
    <s v="Despesa Frota e Edificios - Evolutivo"/>
    <x v="24"/>
    <x v="1"/>
    <x v="2"/>
    <s v="Backlog"/>
    <n v="9"/>
    <n v="0.03"/>
    <n v="1"/>
    <n v="1"/>
    <n v="1"/>
    <n v="100"/>
    <x v="1"/>
  </r>
  <r>
    <x v="0"/>
    <s v="SainteLague"/>
    <n v="406"/>
    <n v="129581"/>
    <s v="Incidencias C. Ajena/Informaci√õn al destinatario de la franja de entrega/Correcci√õn de la medici√õn (TO)"/>
    <x v="0"/>
    <x v="0"/>
    <x v="0"/>
    <s v="In Definition"/>
    <n v="40"/>
    <n v="0.03"/>
    <n v="1"/>
    <n v="1"/>
    <n v="1"/>
    <n v="100"/>
    <x v="1"/>
  </r>
  <r>
    <x v="0"/>
    <s v="SainteLague"/>
    <n v="407"/>
    <n v="163331"/>
    <s v="GPECL/DIS - Pack Expresso | Incremento ao Produto"/>
    <x v="6"/>
    <x v="0"/>
    <x v="1"/>
    <s v="Backlog"/>
    <n v="20"/>
    <n v="0.03"/>
    <n v="1"/>
    <n v="1"/>
    <n v="1"/>
    <n v="100"/>
    <x v="1"/>
  </r>
  <r>
    <x v="0"/>
    <s v="SainteLague"/>
    <n v="408"/>
    <n v="108370"/>
    <s v="Campanha para envios internacionais_PCR_4T2025"/>
    <x v="1"/>
    <x v="1"/>
    <x v="1"/>
    <s v="Backlog"/>
    <n v="9"/>
    <n v="0.03"/>
    <n v="1"/>
    <n v="1"/>
    <n v="1"/>
    <n v="100"/>
    <x v="1"/>
  </r>
  <r>
    <x v="0"/>
    <s v="SainteLague"/>
    <n v="409"/>
    <n v="129518"/>
    <s v="[Evolutivos Minerva] Zonificacion PT detallada (combinaciones PTC-PTI/PTI-PTI) (Valorar por MKT)"/>
    <x v="8"/>
    <x v="0"/>
    <x v="2"/>
    <s v="Backlog"/>
    <n v="20"/>
    <n v="0.03"/>
    <n v="1"/>
    <n v="1"/>
    <n v="1"/>
    <n v="100"/>
    <x v="1"/>
  </r>
  <r>
    <x v="0"/>
    <s v="SainteLague"/>
    <n v="410"/>
    <n v="59177"/>
    <s v="Faturas PDF | SAP - Incremento 2"/>
    <x v="9"/>
    <x v="1"/>
    <x v="2"/>
    <s v="Backlog"/>
    <n v="8"/>
    <n v="0.03"/>
    <n v="1"/>
    <n v="1"/>
    <n v="1"/>
    <n v="100"/>
    <x v="1"/>
  </r>
  <r>
    <x v="0"/>
    <s v="SainteLague"/>
    <n v="411"/>
    <n v="129678"/>
    <s v="[Desconexi√õn SGC] PDA Planta-Dependencias PDA planta de SGC"/>
    <x v="10"/>
    <x v="0"/>
    <x v="3"/>
    <s v="In Definition"/>
    <n v="21"/>
    <n v="0.03"/>
    <n v="1"/>
    <n v="1"/>
    <n v="1"/>
    <n v="100"/>
    <x v="1"/>
  </r>
  <r>
    <x v="0"/>
    <s v="SainteLague"/>
    <n v="412"/>
    <n v="129449"/>
    <s v="[Producto] - Modelo Tarifario/Operativa Broker + TOF (Minerva C)"/>
    <x v="14"/>
    <x v="0"/>
    <x v="1"/>
    <s v="In Definition"/>
    <n v="22"/>
    <n v="0.03"/>
    <n v="1"/>
    <n v="1"/>
    <n v="1"/>
    <n v="100"/>
    <x v="1"/>
  </r>
  <r>
    <x v="0"/>
    <s v="SainteLague"/>
    <n v="413"/>
    <n v="134357"/>
    <s v="Github Migration - Produtos"/>
    <x v="12"/>
    <x v="1"/>
    <x v="3"/>
    <s v="Backlog"/>
    <n v="8"/>
    <n v="0.03"/>
    <n v="1"/>
    <n v="1"/>
    <n v="1"/>
    <n v="100"/>
    <x v="1"/>
  </r>
  <r>
    <x v="0"/>
    <s v="SainteLague"/>
    <n v="414"/>
    <n v="130804"/>
    <s v="[Salesforce Sales - SGC ] - Evitar actualizaciones en SGC en los registros de franquicias"/>
    <x v="16"/>
    <x v="0"/>
    <x v="1"/>
    <s v="Backlog"/>
    <n v="20"/>
    <n v="0.03"/>
    <n v="1"/>
    <n v="1"/>
    <n v="1"/>
    <n v="100"/>
    <x v="1"/>
  </r>
  <r>
    <x v="0"/>
    <s v="SainteLague"/>
    <n v="415"/>
    <n v="129543"/>
    <s v="[Salesforce‚Ä†Service]? - Reexpedir -recanalizar- y destruir un env√åo por parte del equipo de ATC"/>
    <x v="17"/>
    <x v="0"/>
    <x v="2"/>
    <s v="In Definition"/>
    <n v="20"/>
    <n v="0.03"/>
    <n v="1"/>
    <n v="1"/>
    <n v="1"/>
    <n v="100"/>
    <x v="1"/>
  </r>
  <r>
    <x v="0"/>
    <s v="SainteLague"/>
    <n v="416"/>
    <n v="53828"/>
    <s v="Seguran√Åa da Informa√Å‚Äûo - revis‚Äûo anual 2025 de Pol√åticas e Normativos"/>
    <x v="13"/>
    <x v="1"/>
    <x v="4"/>
    <s v="Backlog"/>
    <n v="8"/>
    <n v="0.03"/>
    <n v="1"/>
    <n v="1"/>
    <n v="1"/>
    <n v="100"/>
    <x v="1"/>
  </r>
  <r>
    <x v="0"/>
    <s v="SainteLague"/>
    <n v="417"/>
    <n v="130773"/>
    <s v="Migracion Metodo WS GetServiceEvents de SGC a Cloud (Dupla)"/>
    <x v="19"/>
    <x v="0"/>
    <x v="1"/>
    <s v="High Level Design"/>
    <n v="20"/>
    <n v="0.03"/>
    <n v="1"/>
    <n v="1"/>
    <n v="1"/>
    <n v="100"/>
    <x v="1"/>
  </r>
  <r>
    <x v="0"/>
    <s v="SainteLague"/>
    <n v="418"/>
    <n v="129585"/>
    <s v="Incidencias C. Ajena/Informaci√õn al destinatario de la franja de entrega/Categorizaci√õn de rutas (notificables) en el portal del proveedor (TO)"/>
    <x v="0"/>
    <x v="0"/>
    <x v="0"/>
    <s v="In Definition"/>
    <n v="41"/>
    <n v="0.03"/>
    <n v="1"/>
    <n v="1"/>
    <n v="1"/>
    <n v="100"/>
    <x v="1"/>
  </r>
  <r>
    <x v="0"/>
    <s v="SainteLague"/>
    <n v="419"/>
    <n v="76398"/>
    <s v="Galaxy | MCE &amp; CDP - Nova Fase p√õs MVP - Equipa ENABLER Salesforce (AGILE WAY)"/>
    <x v="7"/>
    <x v="1"/>
    <x v="1"/>
    <s v="In Definition"/>
    <n v="14"/>
    <n v="0.03"/>
    <n v="1"/>
    <n v="1"/>
    <n v="1"/>
    <n v="100"/>
    <x v="1"/>
  </r>
  <r>
    <x v="0"/>
    <s v="SainteLague"/>
    <n v="420"/>
    <n v="129589"/>
    <s v="Env√åos Multibulto (aplicar l√õgica de causa propia/ajena (TO)"/>
    <x v="0"/>
    <x v="0"/>
    <x v="0"/>
    <s v="In Definition"/>
    <n v="42"/>
    <n v="0.03"/>
    <n v="1"/>
    <n v="1"/>
    <n v="1"/>
    <n v="100"/>
    <x v="1"/>
  </r>
  <r>
    <x v="0"/>
    <s v="SainteLague"/>
    <n v="421"/>
    <n v="204261"/>
    <s v="GP ECL/INT - Erros envolvendo DHL - Objeto CTT que gera mÀôltiplas Cartas de Porte DHL (AWB DHL Express)"/>
    <x v="6"/>
    <x v="0"/>
    <x v="1"/>
    <s v="Backlog"/>
    <n v="21"/>
    <n v="0.03"/>
    <n v="1"/>
    <n v="1"/>
    <n v="1"/>
    <n v="100"/>
    <x v="1"/>
  </r>
  <r>
    <x v="0"/>
    <s v="SainteLague"/>
    <n v="422"/>
    <n v="169688"/>
    <s v="BITS eshops"/>
    <x v="22"/>
    <x v="1"/>
    <x v="1"/>
    <s v="Backlog"/>
    <n v="10"/>
    <n v="0.03"/>
    <n v="1"/>
    <n v="1"/>
    <n v="1"/>
    <n v="100"/>
    <x v="1"/>
  </r>
  <r>
    <x v="0"/>
    <s v="SainteLague"/>
    <n v="423"/>
    <n v="129481"/>
    <s v="[Evolutivos Minerva] Tarifas unicas por grupos de varios clientes (multicuentas asociadas incluso en diferentes CO's) (Validar por Herramientas Comerciales)"/>
    <x v="8"/>
    <x v="0"/>
    <x v="2"/>
    <s v="Backlog"/>
    <n v="21"/>
    <n v="0.03"/>
    <n v="1"/>
    <n v="1"/>
    <n v="1"/>
    <n v="100"/>
    <x v="1"/>
  </r>
  <r>
    <x v="0"/>
    <s v="SainteLague"/>
    <n v="424"/>
    <n v="70559"/>
    <s v="Controlo dos Subadiantamentos (numer¬∑rio) √± c√õd. 011 - Auditoria REC/ARC 2024_1399"/>
    <x v="26"/>
    <x v="1"/>
    <x v="1"/>
    <s v="Backlog"/>
    <n v="8"/>
    <n v="0.03"/>
    <n v="1"/>
    <n v="1"/>
    <n v="1"/>
    <n v="100"/>
    <x v="1"/>
  </r>
  <r>
    <x v="0"/>
    <s v="SainteLague"/>
    <n v="425"/>
    <n v="130377"/>
    <s v="Creaci√õn de Interfaz de usuario para simular la creaci√õn y ciclo de vida de env√åo"/>
    <x v="10"/>
    <x v="0"/>
    <x v="3"/>
    <s v="Backlog"/>
    <n v="22"/>
    <n v="0.03"/>
    <n v="1"/>
    <n v="1"/>
    <n v="1"/>
    <n v="100"/>
    <x v="1"/>
  </r>
  <r>
    <x v="0"/>
    <s v="SainteLague"/>
    <n v="426"/>
    <n v="130958"/>
    <s v="[Web PÀôblica 2.0] - Web PÀôblica 2.0 Fase II - V2"/>
    <x v="14"/>
    <x v="0"/>
    <x v="1"/>
    <s v="High Level Design"/>
    <n v="23"/>
    <n v="0.03"/>
    <n v="1"/>
    <n v="1"/>
    <n v="1"/>
    <n v="100"/>
    <x v="1"/>
  </r>
  <r>
    <x v="0"/>
    <s v="SainteLague"/>
    <n v="427"/>
    <n v="175823"/>
    <s v="Report automatizado para Cr√àdito Pessoal"/>
    <x v="28"/>
    <x v="1"/>
    <x v="3"/>
    <s v="Backlog"/>
    <n v="8"/>
    <n v="0.03"/>
    <n v="1"/>
    <n v="1"/>
    <n v="1"/>
    <n v="100"/>
    <x v="1"/>
  </r>
  <r>
    <x v="0"/>
    <s v="SainteLague"/>
    <n v="428"/>
    <n v="129752"/>
    <s v="Qlik - Anal√åtica Comercial: Dimensi√õn Grupo de Empresas"/>
    <x v="16"/>
    <x v="0"/>
    <x v="1"/>
    <s v="In Definition"/>
    <n v="21"/>
    <n v="0.03"/>
    <n v="1"/>
    <n v="1"/>
    <n v="1"/>
    <n v="100"/>
    <x v="1"/>
  </r>
  <r>
    <x v="0"/>
    <s v="SainteLague"/>
    <n v="429"/>
    <n v="129569"/>
    <s v="[Desconexi√õn SGC] [QLIK] Calidad de Recogidas App QLIK"/>
    <x v="17"/>
    <x v="0"/>
    <x v="2"/>
    <s v="Backlog"/>
    <n v="21"/>
    <n v="0.03"/>
    <n v="1"/>
    <n v="1"/>
    <n v="1"/>
    <n v="100"/>
    <x v="1"/>
  </r>
  <r>
    <x v="0"/>
    <s v="SainteLague"/>
    <n v="430"/>
    <n v="62476"/>
    <s v="Auditoria EY - Cria√Å‚Äûo de Web Service para interfaces entre a aplica√Å‚Äûo IOS e a M√àdis"/>
    <x v="29"/>
    <x v="1"/>
    <x v="2"/>
    <s v="Backlog"/>
    <n v="10"/>
    <n v="0.03"/>
    <n v="1"/>
    <n v="1"/>
    <n v="1"/>
    <n v="100"/>
    <x v="1"/>
  </r>
  <r>
    <x v="0"/>
    <s v="SainteLague"/>
    <n v="431"/>
    <n v="130631"/>
    <s v="Migracion Hosting aplicacion Shopify a servidores CTT"/>
    <x v="19"/>
    <x v="0"/>
    <x v="1"/>
    <s v="In Definition"/>
    <n v="21"/>
    <n v="0.03"/>
    <n v="1"/>
    <n v="1"/>
    <n v="1"/>
    <n v="100"/>
    <x v="1"/>
  </r>
  <r>
    <x v="0"/>
    <s v="SainteLague"/>
    <n v="432"/>
    <n v="129590"/>
    <s v="Ampliar Capacidades-Medios/Nuevos esquemas de liquidaci√õn espec√åficos para contrataciones de campa√ía (Portal del proveedor) (TO)"/>
    <x v="0"/>
    <x v="0"/>
    <x v="0"/>
    <s v="In Definition"/>
    <n v="43"/>
    <n v="0.03"/>
    <n v="1"/>
    <n v="1"/>
    <n v="1"/>
    <n v="100"/>
    <x v="1"/>
  </r>
  <r>
    <x v="0"/>
    <s v="SainteLague"/>
    <n v="433"/>
    <n v="166289"/>
    <s v="Workforce Analytics - Incremento Integra√Å‚Äûo Indicadores Espanha"/>
    <x v="24"/>
    <x v="1"/>
    <x v="2"/>
    <s v="Backlog"/>
    <n v="13"/>
    <n v="0.03"/>
    <n v="1"/>
    <n v="1"/>
    <n v="1"/>
    <n v="100"/>
    <x v="1"/>
  </r>
  <r>
    <x v="0"/>
    <s v="SainteLague"/>
    <n v="434"/>
    <n v="129591"/>
    <s v="Habilitar soluciones entre CO¬•s de la misma provincia"/>
    <x v="0"/>
    <x v="0"/>
    <x v="0"/>
    <s v="In Definition"/>
    <n v="44"/>
    <n v="0.03"/>
    <n v="1"/>
    <n v="1"/>
    <n v="1"/>
    <n v="100"/>
    <x v="1"/>
  </r>
  <r>
    <x v="0"/>
    <s v="SainteLague"/>
    <n v="435"/>
    <n v="178627"/>
    <s v="GPECL/DIS - Notifica√Åƒ±es S¬∑bado e Domingo // altera√Å‚Äûo do processo de indica√Å‚Äûo da data de entrega"/>
    <x v="6"/>
    <x v="0"/>
    <x v="1"/>
    <s v="Backlog"/>
    <n v="22"/>
    <n v="0.03"/>
    <n v="1"/>
    <n v="1"/>
    <n v="1"/>
    <n v="100"/>
    <x v="1"/>
  </r>
  <r>
    <x v="0"/>
    <s v="SainteLague"/>
    <n v="436"/>
    <n v="132425"/>
    <s v="Descontinuar o aplicativo legado &quot;Criar envio de Correio internacional&quot;"/>
    <x v="1"/>
    <x v="1"/>
    <x v="1"/>
    <s v="Backlog"/>
    <n v="10"/>
    <n v="4.5"/>
    <n v="3"/>
    <n v="3"/>
    <n v="3"/>
    <n v="2"/>
    <x v="1"/>
  </r>
  <r>
    <x v="0"/>
    <s v="SainteLague"/>
    <n v="437"/>
    <n v="129483"/>
    <s v="Web Clientes? - Detalles Excel con y sin Densidades (Espa√íol-Ingles), Personalizables por el propio cliente en PortalCliente y en Finanzas"/>
    <x v="8"/>
    <x v="0"/>
    <x v="2"/>
    <s v="Backlog"/>
    <n v="22"/>
    <n v="0.03"/>
    <n v="1"/>
    <n v="1"/>
    <n v="1"/>
    <n v="100"/>
    <x v="1"/>
  </r>
  <r>
    <x v="0"/>
    <s v="SainteLague"/>
    <n v="438"/>
    <n v="130532"/>
    <s v="[WebHook] - Shein ADT - Migraci√õn de infraestructura de Shein ADT"/>
    <x v="10"/>
    <x v="0"/>
    <x v="3"/>
    <s v="Backlog"/>
    <n v="23"/>
    <n v="0.03"/>
    <n v="1"/>
    <n v="1"/>
    <n v="1"/>
    <n v="100"/>
    <x v="1"/>
  </r>
  <r>
    <x v="0"/>
    <s v="SainteLague"/>
    <n v="439"/>
    <n v="124133"/>
    <s v="Incremento ao processo de pagamento de faturas a fornecedores"/>
    <x v="9"/>
    <x v="1"/>
    <x v="2"/>
    <s v="Backlog"/>
    <n v="9"/>
    <n v="0.03"/>
    <n v="1"/>
    <n v="1"/>
    <n v="1"/>
    <n v="100"/>
    <x v="1"/>
  </r>
  <r>
    <x v="0"/>
    <s v="SainteLague"/>
    <n v="440"/>
    <n v="129672"/>
    <s v="[Producto] - Devoluciones anticipadas: Solicitud de Devoluci√õn de Env√åos al vuelo"/>
    <x v="14"/>
    <x v="0"/>
    <x v="1"/>
    <s v="High Level Design"/>
    <n v="24"/>
    <n v="0.03"/>
    <n v="1"/>
    <n v="1"/>
    <n v="1"/>
    <n v="100"/>
    <x v="1"/>
  </r>
  <r>
    <x v="0"/>
    <s v="SainteLague"/>
    <n v="441"/>
    <n v="126586"/>
    <s v="Renova√Å‚Äûo core LAN Porto"/>
    <x v="12"/>
    <x v="1"/>
    <x v="3"/>
    <s v="In Definition"/>
    <n v="9"/>
    <n v="3"/>
    <n v="5"/>
    <n v="2"/>
    <n v="2"/>
    <n v="3"/>
    <x v="1"/>
  </r>
  <r>
    <x v="0"/>
    <s v="SainteLague"/>
    <n v="442"/>
    <n v="129867"/>
    <s v="[Minerva] - Impresi√õn del contrato en funci√õn de la etapa de la opp"/>
    <x v="16"/>
    <x v="0"/>
    <x v="1"/>
    <s v="High Level Design"/>
    <n v="22"/>
    <n v="0.03"/>
    <n v="1"/>
    <n v="1"/>
    <n v="1"/>
    <n v="100"/>
    <x v="1"/>
  </r>
  <r>
    <x v="0"/>
    <s v="SainteLague"/>
    <n v="443"/>
    <n v="129506"/>
    <s v="[Qlik] - Nprinting - Informe efectividad de red"/>
    <x v="17"/>
    <x v="0"/>
    <x v="2"/>
    <s v="In Definition"/>
    <n v="22"/>
    <n v="0.03"/>
    <n v="1"/>
    <n v="1"/>
    <n v="1"/>
    <n v="100"/>
    <x v="1"/>
  </r>
  <r>
    <x v="0"/>
    <s v="SainteLague"/>
    <n v="444"/>
    <n v="126575"/>
    <s v="DLP (Data Loss Prevention) - Wave 2"/>
    <x v="13"/>
    <x v="1"/>
    <x v="4"/>
    <s v="Backlog"/>
    <n v="9"/>
    <n v="0.03"/>
    <n v="1"/>
    <n v="1"/>
    <n v="1"/>
    <n v="100"/>
    <x v="1"/>
  </r>
  <r>
    <x v="0"/>
    <s v="SainteLague"/>
    <n v="445"/>
    <n v="130359"/>
    <s v="[ERROR 500 MS Manifest] YDH - TIK TOK"/>
    <x v="19"/>
    <x v="0"/>
    <x v="1"/>
    <s v="Backlog"/>
    <n v="22"/>
    <n v="0.03"/>
    <n v="1"/>
    <n v="1"/>
    <n v="1"/>
    <n v="100"/>
    <x v="1"/>
  </r>
  <r>
    <x v="0"/>
    <s v="SainteLague"/>
    <n v="446"/>
    <n v="129594"/>
    <s v="Servicios Preferentes/Propagaci√õn de la informaci√õn al resto de sistemas (SENDA, PDA de reparto, etc.) (TO)"/>
    <x v="0"/>
    <x v="0"/>
    <x v="0"/>
    <s v="In Definition"/>
    <n v="45"/>
    <n v="0.03"/>
    <n v="1"/>
    <n v="1"/>
    <n v="1"/>
    <n v="100"/>
    <x v="1"/>
  </r>
  <r>
    <x v="0"/>
    <s v="SainteLague"/>
    <n v="447"/>
    <n v="206177"/>
    <s v="Galaxy | Avisados em Mobi - Indicadores de Loja (Modelo 415)"/>
    <x v="7"/>
    <x v="1"/>
    <x v="1"/>
    <s v="Backlog"/>
    <n v="15"/>
    <n v="0.03"/>
    <n v="1"/>
    <n v="1"/>
    <n v="1"/>
    <n v="100"/>
    <x v="1"/>
  </r>
  <r>
    <x v="0"/>
    <s v="SainteLague"/>
    <n v="448"/>
    <n v="129595"/>
    <s v="PDA de Reparto (TO)/Wizard de carga con autozonas"/>
    <x v="0"/>
    <x v="0"/>
    <x v="0"/>
    <s v="In Definition"/>
    <n v="46"/>
    <n v="0.03"/>
    <n v="1"/>
    <n v="1"/>
    <n v="1"/>
    <n v="100"/>
    <x v="1"/>
  </r>
  <r>
    <x v="0"/>
    <s v="SainteLague"/>
    <n v="449"/>
    <n v="43366"/>
    <s v="GPECL/INT -  Eventos DHL n‚Äûo integrados no T&amp;T CTT"/>
    <x v="6"/>
    <x v="0"/>
    <x v="1"/>
    <s v="Backlog"/>
    <n v="23"/>
    <n v="0.03"/>
    <n v="1"/>
    <n v="1"/>
    <n v="1"/>
    <n v="100"/>
    <x v="1"/>
  </r>
  <r>
    <x v="0"/>
    <s v="SainteLague"/>
    <n v="450"/>
    <n v="176770"/>
    <s v="Analytics | Evolu√Å‚Äûo das implementa√Åƒ±es DL p/ GA4 feitas nos aplicativos web/mobile 1‚Ñ¢ e 2‚Ñ¢ Fase"/>
    <x v="22"/>
    <x v="1"/>
    <x v="1"/>
    <s v="Backlog"/>
    <n v="11"/>
    <n v="0.03"/>
    <n v="1"/>
    <n v="1"/>
    <n v="1"/>
    <n v="100"/>
    <x v="1"/>
  </r>
  <r>
    <x v="0"/>
    <s v="SainteLague"/>
    <n v="451"/>
    <n v="130367"/>
    <s v="[Nexus Rollout] [We Bill] Estrategia de facturaci√õn de clientes ES y PT"/>
    <x v="8"/>
    <x v="0"/>
    <x v="2"/>
    <s v="Backlog"/>
    <n v="23"/>
    <n v="0.03"/>
    <n v="1"/>
    <n v="1"/>
    <n v="1"/>
    <n v="100"/>
    <x v="1"/>
  </r>
  <r>
    <x v="0"/>
    <s v="SainteLague"/>
    <n v="452"/>
    <n v="129565"/>
    <s v="[Internacional] - Pol√åtica de reintentos en la grabaci√õn de env√åos internacionales en el sistema del proveedor"/>
    <x v="10"/>
    <x v="0"/>
    <x v="3"/>
    <s v="Backlog"/>
    <n v="24"/>
    <n v="0.03"/>
    <n v="1"/>
    <n v="1"/>
    <n v="1"/>
    <n v="100"/>
    <x v="1"/>
  </r>
  <r>
    <x v="0"/>
    <s v="SainteLague"/>
    <n v="453"/>
    <n v="173285"/>
    <s v="Simulador para agrupagem"/>
    <x v="26"/>
    <x v="1"/>
    <x v="1"/>
    <s v="Backlog"/>
    <n v="9"/>
    <n v="0.03"/>
    <n v="1"/>
    <n v="1"/>
    <n v="1"/>
    <n v="100"/>
    <x v="1"/>
  </r>
  <r>
    <x v="0"/>
    <s v="SainteLague"/>
    <n v="454"/>
    <n v="129507"/>
    <s v="[PUDOs] - [QLIK] Nueva App Pudo Sales"/>
    <x v="14"/>
    <x v="0"/>
    <x v="1"/>
    <s v="Backlog"/>
    <n v="25"/>
    <n v="0.03"/>
    <n v="1"/>
    <n v="1"/>
    <n v="1"/>
    <n v="100"/>
    <x v="1"/>
  </r>
  <r>
    <x v="0"/>
    <s v="SainteLague"/>
    <n v="455"/>
    <n v="96860"/>
    <s v="BANCO CTT | Novo design site banco"/>
    <x v="28"/>
    <x v="1"/>
    <x v="3"/>
    <s v="Backlog"/>
    <n v="9"/>
    <n v="0.03"/>
    <n v="1"/>
    <n v="1"/>
    <n v="1"/>
    <n v="100"/>
    <x v="1"/>
  </r>
  <r>
    <x v="0"/>
    <s v="SainteLague"/>
    <n v="456"/>
    <n v="130826"/>
    <s v="[Salesforce] - Informaci√õn de la actividad del cliente en Cuenta en Sales (a partir de Qlik)"/>
    <x v="16"/>
    <x v="0"/>
    <x v="1"/>
    <s v="In Definition"/>
    <n v="23"/>
    <n v="0.03"/>
    <n v="1"/>
    <n v="1"/>
    <n v="1"/>
    <n v="100"/>
    <x v="1"/>
  </r>
  <r>
    <x v="0"/>
    <s v="SainteLague"/>
    <n v="457"/>
    <n v="130328"/>
    <s v="C¬∑lculo de festivos provinciales (caso Pa√ås Vasco)"/>
    <x v="17"/>
    <x v="0"/>
    <x v="2"/>
    <s v="Backlog"/>
    <n v="23"/>
    <n v="0.03"/>
    <n v="1"/>
    <n v="1"/>
    <n v="1"/>
    <n v="100"/>
    <x v="1"/>
  </r>
  <r>
    <x v="0"/>
    <s v="SainteLague"/>
    <n v="458"/>
    <n v="68267"/>
    <s v="Descontinuar Grafana Dados"/>
    <x v="24"/>
    <x v="1"/>
    <x v="2"/>
    <s v="Backlog"/>
    <n v="14"/>
    <n v="0.03"/>
    <n v="1"/>
    <n v="1"/>
    <n v="1"/>
    <n v="100"/>
    <x v="1"/>
  </r>
  <r>
    <x v="0"/>
    <s v="SainteLague"/>
    <n v="459"/>
    <n v="130300"/>
    <s v="[WebHook] - Factor Libre 4096600005 solo entorno de test"/>
    <x v="19"/>
    <x v="0"/>
    <x v="1"/>
    <s v="Backlog"/>
    <n v="23"/>
    <n v="0.03"/>
    <n v="1"/>
    <n v="1"/>
    <n v="1"/>
    <n v="100"/>
    <x v="1"/>
  </r>
  <r>
    <x v="0"/>
    <s v="SainteLague"/>
    <n v="460"/>
    <n v="129596"/>
    <s v="PDA de Reparto (TO)/Gesti√õn de stocks de PDAs"/>
    <x v="0"/>
    <x v="0"/>
    <x v="0"/>
    <s v="In Definition"/>
    <n v="47"/>
    <n v="0.03"/>
    <n v="1"/>
    <n v="1"/>
    <n v="1"/>
    <n v="100"/>
    <x v="1"/>
  </r>
  <r>
    <x v="0"/>
    <s v="SainteLague"/>
    <n v="461"/>
    <n v="127256"/>
    <s v="Correio Registado Self-Service| Envios a partir do SuperPortal"/>
    <x v="1"/>
    <x v="1"/>
    <x v="1"/>
    <s v="Backlog"/>
    <n v="13"/>
    <n v="0.03"/>
    <n v="1"/>
    <n v="1"/>
    <n v="1"/>
    <n v="100"/>
    <x v="1"/>
  </r>
  <r>
    <x v="0"/>
    <s v="SainteLague"/>
    <n v="462"/>
    <n v="129597"/>
    <s v="PDA Planta (TO)/Gesti√õn de Planta/App de arrastres/Contenerizaci√õn para cruces"/>
    <x v="0"/>
    <x v="0"/>
    <x v="0"/>
    <s v="In Definition"/>
    <n v="48"/>
    <n v="0.03"/>
    <n v="1"/>
    <n v="1"/>
    <n v="1"/>
    <n v="100"/>
    <x v="1"/>
  </r>
  <r>
    <x v="0"/>
    <s v="SainteLague"/>
    <n v="463"/>
    <n v="157527"/>
    <s v="Nova Oferta produtos Untracked e Tracked Simples - melhoria de informa√Å‚Äûo site TT 2023 07 24"/>
    <x v="6"/>
    <x v="0"/>
    <x v="1"/>
    <s v="Backlog"/>
    <n v="24"/>
    <n v="0.03"/>
    <n v="1"/>
    <n v="1"/>
    <n v="1"/>
    <n v="100"/>
    <x v="1"/>
  </r>
  <r>
    <x v="0"/>
    <s v="SainteLague"/>
    <n v="464"/>
    <n v="125766"/>
    <s v="Evolutivas SAP FI Q1 2026"/>
    <x v="9"/>
    <x v="1"/>
    <x v="2"/>
    <s v="Backlog"/>
    <n v="10"/>
    <n v="3"/>
    <n v="1"/>
    <n v="1"/>
    <n v="1"/>
    <n v="1"/>
    <x v="1"/>
  </r>
  <r>
    <x v="0"/>
    <s v="SainteLague"/>
    <n v="465"/>
    <n v="129444"/>
    <s v="[Alarmas Financieras] Alarma-41 Informe de n‚à´ env√åos-discrepancias tr¬∑fico-facturaci√õn (se esta trabajando internamente tambi√àn)"/>
    <x v="8"/>
    <x v="0"/>
    <x v="2"/>
    <s v="Backlog"/>
    <n v="24"/>
    <n v="0.03"/>
    <n v="1"/>
    <n v="1"/>
    <n v="1"/>
    <n v="100"/>
    <x v="1"/>
  </r>
  <r>
    <x v="0"/>
    <s v="SainteLague"/>
    <n v="466"/>
    <n v="129577"/>
    <s v="Incluir 'audit' en los mensajes publicados en el t√õpico aws.delivery.fct.international-v1"/>
    <x v="10"/>
    <x v="0"/>
    <x v="3"/>
    <s v="Backlog"/>
    <n v="25"/>
    <n v="0.03"/>
    <n v="1"/>
    <n v="1"/>
    <n v="1"/>
    <n v="100"/>
    <x v="1"/>
  </r>
  <r>
    <x v="0"/>
    <s v="SainteLague"/>
    <n v="467"/>
    <n v="132061"/>
    <s v="Migra√Å‚Äûo ADO2GitHub - Pipeline ODM"/>
    <x v="12"/>
    <x v="1"/>
    <x v="3"/>
    <s v="Backlog"/>
    <n v="10"/>
    <n v="10"/>
    <n v="2"/>
    <n v="4"/>
    <n v="4"/>
    <n v="1"/>
    <x v="1"/>
  </r>
  <r>
    <x v="0"/>
    <s v="SainteLague"/>
    <n v="468"/>
    <n v="130341"/>
    <s v="[Desconexi√õn SGC] [Web de Clientes] - Descarga de seguimiento y en descarga masiva: Incluir m¬∑s campos: Peso Facturado V2"/>
    <x v="14"/>
    <x v="0"/>
    <x v="1"/>
    <s v="In Definition"/>
    <n v="26"/>
    <n v="0.03"/>
    <n v="1"/>
    <n v="1"/>
    <n v="1"/>
    <n v="100"/>
    <x v="1"/>
  </r>
  <r>
    <x v="0"/>
    <s v="SainteLague"/>
    <n v="469"/>
    <n v="130301"/>
    <s v="[Qlik] - Nuevos KPIS en Anal√åtica Comercial"/>
    <x v="16"/>
    <x v="0"/>
    <x v="1"/>
    <s v="Backlog"/>
    <n v="24"/>
    <n v="0.03"/>
    <n v="1"/>
    <n v="1"/>
    <n v="1"/>
    <n v="100"/>
    <x v="1"/>
  </r>
  <r>
    <x v="0"/>
    <s v="SainteLague"/>
    <n v="470"/>
    <n v="201686"/>
    <s v="Galaxy | Avisados em Mobi - POD - Aumentar o campo assinatura"/>
    <x v="7"/>
    <x v="1"/>
    <x v="1"/>
    <s v="Backlog"/>
    <n v="16"/>
    <n v="0.03"/>
    <n v="1"/>
    <n v="1"/>
    <n v="1"/>
    <n v="100"/>
    <x v="1"/>
  </r>
  <r>
    <x v="0"/>
    <s v="SainteLague"/>
    <n v="471"/>
    <n v="130331"/>
    <s v="[Desconexi√õn SGC] [Salesforce Service] - Gesti√õn de casos: modificaciones tipos de servicio"/>
    <x v="17"/>
    <x v="0"/>
    <x v="2"/>
    <s v="Backlog"/>
    <n v="24"/>
    <n v="0.03"/>
    <n v="1"/>
    <n v="1"/>
    <n v="1"/>
    <n v="100"/>
    <x v="1"/>
  </r>
  <r>
    <x v="0"/>
    <s v="SainteLague"/>
    <n v="472"/>
    <n v="176776"/>
    <s v="Analytics | Implementa√Å‚Äûo da DL no GA para os aplicativos que n‚Äûo est‚Äûo em falta"/>
    <x v="22"/>
    <x v="1"/>
    <x v="1"/>
    <s v="Backlog"/>
    <n v="12"/>
    <n v="0.03"/>
    <n v="1"/>
    <n v="1"/>
    <n v="1"/>
    <n v="100"/>
    <x v="1"/>
  </r>
  <r>
    <x v="0"/>
    <s v="SainteLague"/>
    <n v="473"/>
    <n v="129826"/>
    <s v="[Desconexi√õn SGC] [WebHook] - Implementacion de la Plataforma de WebHooks standard"/>
    <x v="19"/>
    <x v="0"/>
    <x v="1"/>
    <s v="In Definition"/>
    <n v="24"/>
    <n v="0.03"/>
    <n v="1"/>
    <n v="1"/>
    <n v="1"/>
    <n v="100"/>
    <x v="1"/>
  </r>
  <r>
    <x v="0"/>
    <s v="SainteLague"/>
    <n v="474"/>
    <n v="129598"/>
    <s v="PDA Planta (TO)/Gesti√õn de Planta/Consulta de env√åos"/>
    <x v="0"/>
    <x v="0"/>
    <x v="0"/>
    <s v="In Definition"/>
    <n v="49"/>
    <n v="0.03"/>
    <n v="1"/>
    <n v="1"/>
    <n v="1"/>
    <n v="100"/>
    <x v="1"/>
  </r>
  <r>
    <x v="0"/>
    <s v="SainteLague"/>
    <n v="475"/>
    <n v="173286"/>
    <s v="Simulador de tabelas"/>
    <x v="26"/>
    <x v="1"/>
    <x v="1"/>
    <s v="Backlog"/>
    <n v="10"/>
    <n v="0.03"/>
    <n v="1"/>
    <n v="1"/>
    <n v="1"/>
    <n v="100"/>
    <x v="1"/>
  </r>
  <r>
    <x v="0"/>
    <s v="SainteLague"/>
    <n v="476"/>
    <n v="129599"/>
    <s v="PDA Planta (TO)/Gesti√õn de Planta/Gesti√õn FIFO en San fernando"/>
    <x v="0"/>
    <x v="0"/>
    <x v="0"/>
    <s v="In Definition"/>
    <n v="50"/>
    <n v="0.03"/>
    <n v="1"/>
    <n v="1"/>
    <n v="1"/>
    <n v="100"/>
    <x v="1"/>
  </r>
  <r>
    <x v="0"/>
    <s v="SainteLague"/>
    <n v="477"/>
    <n v="140468"/>
    <s v="GPECL/DIS - CTT Now melhorias aplica√Å‚Äûo"/>
    <x v="6"/>
    <x v="0"/>
    <x v="1"/>
    <s v="Backlog"/>
    <n v="25"/>
    <n v="0.03"/>
    <n v="1"/>
    <n v="1"/>
    <n v="1"/>
    <n v="100"/>
    <x v="1"/>
  </r>
  <r>
    <x v="0"/>
    <s v="SainteLague"/>
    <n v="478"/>
    <n v="68595"/>
    <s v="Implementar valida√Å‚Äûo de configura√Å‚Äûo segura de endpoint na solu√Å‚Äûo de teletrabalho da 321 Cr√àdito"/>
    <x v="28"/>
    <x v="1"/>
    <x v="3"/>
    <s v="High Level Design"/>
    <n v="10"/>
    <n v="4.5"/>
    <n v="5"/>
    <n v="2"/>
    <n v="2"/>
    <n v="2"/>
    <x v="1"/>
  </r>
  <r>
    <x v="0"/>
    <s v="SainteLague"/>
    <n v="479"/>
    <n v="129455"/>
    <s v="[NEXUS] [Auditoria PT] [SAP] - Mejora y/o renovaci√õn del Interface Salesforce + SGC + SAP"/>
    <x v="8"/>
    <x v="0"/>
    <x v="2"/>
    <s v="In Solution"/>
    <n v="25"/>
    <n v="0.03"/>
    <n v="1"/>
    <n v="1"/>
    <n v="1"/>
    <n v="100"/>
    <x v="1"/>
  </r>
  <r>
    <x v="0"/>
    <s v="SainteLague"/>
    <n v="480"/>
    <n v="129741"/>
    <s v="[Containerization] FASE2: Producir en package_event"/>
    <x v="10"/>
    <x v="0"/>
    <x v="3"/>
    <s v="In Definition"/>
    <n v="26"/>
    <n v="0.03"/>
    <n v="1"/>
    <n v="1"/>
    <n v="1"/>
    <n v="100"/>
    <x v="1"/>
  </r>
  <r>
    <x v="0"/>
    <s v="SainteLague"/>
    <n v="481"/>
    <n v="199976"/>
    <s v="Data Hub - Monitoriza√Å‚Äûo e Backup"/>
    <x v="24"/>
    <x v="1"/>
    <x v="2"/>
    <s v="Backlog"/>
    <n v="16"/>
    <n v="0.03"/>
    <n v="1"/>
    <n v="1"/>
    <n v="1"/>
    <n v="100"/>
    <x v="1"/>
  </r>
  <r>
    <x v="0"/>
    <s v="SainteLague"/>
    <n v="482"/>
    <n v="130411"/>
    <s v="[Web de Clientes] - Grabaci√õn masiva - Orden excel errores"/>
    <x v="14"/>
    <x v="0"/>
    <x v="1"/>
    <s v="In Definition"/>
    <n v="27"/>
    <n v="0.03"/>
    <n v="1"/>
    <n v="1"/>
    <n v="1"/>
    <n v="100"/>
    <x v="1"/>
  </r>
  <r>
    <x v="0"/>
    <s v="SainteLague"/>
    <n v="483"/>
    <n v="130001"/>
    <s v="[Minerva] - Campos requeridos en contrato con firma digital por Signaturit"/>
    <x v="16"/>
    <x v="0"/>
    <x v="1"/>
    <s v="In Definition"/>
    <n v="25"/>
    <n v="0.03"/>
    <n v="1"/>
    <n v="1"/>
    <n v="1"/>
    <n v="100"/>
    <x v="1"/>
  </r>
  <r>
    <x v="0"/>
    <s v="SainteLague"/>
    <n v="484"/>
    <n v="199556"/>
    <s v="Desmaterializa√Å‚Äûo dos Envios de Correio e Encomendas - Envios Online ‚ÅÑnicos (Correio e Expresso)"/>
    <x v="1"/>
    <x v="1"/>
    <x v="1"/>
    <s v="Backlog"/>
    <n v="14"/>
    <n v="0.03"/>
    <n v="1"/>
    <n v="1"/>
    <n v="1"/>
    <n v="100"/>
    <x v="1"/>
  </r>
  <r>
    <x v="0"/>
    <s v="SainteLague"/>
    <n v="485"/>
    <n v="130468"/>
    <s v="Cierre diario de recogidas"/>
    <x v="17"/>
    <x v="0"/>
    <x v="2"/>
    <s v="Backlog"/>
    <n v="25"/>
    <n v="0.03"/>
    <n v="1"/>
    <n v="1"/>
    <n v="1"/>
    <n v="100"/>
    <x v="1"/>
  </r>
  <r>
    <x v="0"/>
    <s v="SainteLague"/>
    <n v="486"/>
    <n v="71501"/>
    <s v="Nova Entidade Certificadora (CA) Autoridade Tribut¬∑ria e Aduaneira (AT)."/>
    <x v="9"/>
    <x v="1"/>
    <x v="2"/>
    <s v="In Definition"/>
    <n v="11"/>
    <n v="0.03"/>
    <n v="1"/>
    <n v="1"/>
    <n v="1"/>
    <n v="100"/>
    <x v="1"/>
  </r>
  <r>
    <x v="0"/>
    <s v="SainteLague"/>
    <n v="487"/>
    <n v="130655"/>
    <s v="[ESTADOS VISIBLES] Endpoint Client Experience API REST GET TRACKING - TIK TOK - estados no devueltos - Copy"/>
    <x v="19"/>
    <x v="0"/>
    <x v="1"/>
    <s v="Backlog"/>
    <n v="25"/>
    <n v="0.03"/>
    <n v="1"/>
    <n v="1"/>
    <n v="1"/>
    <n v="100"/>
    <x v="1"/>
  </r>
  <r>
    <x v="0"/>
    <s v="SainteLague"/>
    <n v="488"/>
    <n v="129600"/>
    <s v="PDA Planta (TO)/Gesti√õn de Planta/Mejoras pendientes/Cambio de eventos/lecturas a Cloud (doble registro, stock de contenedores, estacionados, etc.)"/>
    <x v="0"/>
    <x v="0"/>
    <x v="0"/>
    <s v="In Definition"/>
    <n v="51"/>
    <n v="0.03"/>
    <n v="1"/>
    <n v="1"/>
    <n v="1"/>
    <n v="100"/>
    <x v="1"/>
  </r>
  <r>
    <x v="0"/>
    <s v="SainteLague"/>
    <n v="489"/>
    <n v="126579"/>
    <s v="Reformula√Å‚Äûo do servi√Åo AOS"/>
    <x v="12"/>
    <x v="1"/>
    <x v="3"/>
    <s v="Backlog"/>
    <n v="12"/>
    <n v="0.03"/>
    <n v="1"/>
    <n v="1"/>
    <n v="1"/>
    <n v="100"/>
    <x v="1"/>
  </r>
  <r>
    <x v="0"/>
    <s v="SainteLague"/>
    <n v="490"/>
    <n v="129601"/>
    <s v="PDA Planta (TO)/Gesti√õn de Planta/Mejoras pendientes/Solventar error de contenerizaci√õn y doble registro"/>
    <x v="0"/>
    <x v="0"/>
    <x v="0"/>
    <s v="In Definition"/>
    <n v="52"/>
    <n v="0.03"/>
    <n v="1"/>
    <n v="1"/>
    <n v="1"/>
    <n v="100"/>
    <x v="1"/>
  </r>
  <r>
    <x v="0"/>
    <s v="SainteLague"/>
    <n v="491"/>
    <n v="131505"/>
    <s v="GPECL/DIS - CTT Now Visibilidade sobre pedidos Programados"/>
    <x v="6"/>
    <x v="0"/>
    <x v="1"/>
    <s v="Backlog"/>
    <n v="26"/>
    <n v="0.03"/>
    <n v="1"/>
    <n v="1"/>
    <n v="1"/>
    <n v="100"/>
    <x v="1"/>
  </r>
  <r>
    <x v="0"/>
    <s v="SainteLague"/>
    <n v="492"/>
    <n v="190291"/>
    <s v="ETCP - Anomalia na Integra√Å‚Äûo do ficheiro das recolhas"/>
    <x v="7"/>
    <x v="1"/>
    <x v="1"/>
    <s v="In Definition"/>
    <n v="18"/>
    <n v="0.03"/>
    <n v="1"/>
    <n v="1"/>
    <n v="1"/>
    <n v="100"/>
    <x v="1"/>
  </r>
  <r>
    <x v="0"/>
    <s v="SainteLague"/>
    <n v="493"/>
    <n v="130483"/>
    <s v="[PUDOS]-Modificaci√õn plantilla de factura en VDP relacionado con 58594"/>
    <x v="8"/>
    <x v="0"/>
    <x v="2"/>
    <s v="Backlog"/>
    <n v="26"/>
    <n v="0.03"/>
    <n v="1"/>
    <n v="1"/>
    <n v="1"/>
    <n v="100"/>
    <x v="1"/>
  </r>
  <r>
    <x v="0"/>
    <s v="SainteLague"/>
    <n v="494"/>
    <n v="130433"/>
    <s v="[PET-3-] [Item-Status-v2] - Es necesario propagar la localizaci√õn GPS de los eventos en los cambios de estado de item y env√åo"/>
    <x v="10"/>
    <x v="0"/>
    <x v="3"/>
    <s v="In Solution"/>
    <n v="27"/>
    <n v="0.03"/>
    <n v="1"/>
    <n v="1"/>
    <n v="1"/>
    <n v="100"/>
    <x v="1"/>
  </r>
  <r>
    <x v="0"/>
    <s v="SainteLague"/>
    <n v="495"/>
    <n v="199026"/>
    <s v="COOKIES - Implementa√Å‚Äûo do Google Consent Mode nos Aplicativos e da Gest‚Äûo das cookies nos aplicativos B2B"/>
    <x v="22"/>
    <x v="1"/>
    <x v="1"/>
    <s v="Backlog"/>
    <n v="13"/>
    <n v="0.03"/>
    <n v="1"/>
    <n v="1"/>
    <n v="1"/>
    <n v="100"/>
    <x v="1"/>
  </r>
  <r>
    <x v="0"/>
    <s v="SainteLague"/>
    <n v="496"/>
    <n v="129534"/>
    <s v="[Nexus]-[Minerva]- CTT 14h MINERVA ‚Äùptica (Nuevo producto comercial)"/>
    <x v="14"/>
    <x v="0"/>
    <x v="1"/>
    <s v="In Definition"/>
    <n v="28"/>
    <n v="0.03"/>
    <n v="1"/>
    <n v="1"/>
    <n v="1"/>
    <n v="100"/>
    <x v="1"/>
  </r>
  <r>
    <x v="0"/>
    <s v="SainteLague"/>
    <n v="497"/>
    <n v="130368"/>
    <s v="[Salesforce Sales] - Contemplar los puntos de servicio a nivel master"/>
    <x v="16"/>
    <x v="0"/>
    <x v="1"/>
    <s v="In Solution"/>
    <n v="26"/>
    <n v="0.03"/>
    <n v="1"/>
    <n v="1"/>
    <n v="1"/>
    <n v="100"/>
    <x v="1"/>
  </r>
  <r>
    <x v="0"/>
    <s v="SainteLague"/>
    <n v="498"/>
    <n v="173278"/>
    <s v="Motor de Pesquisa de Varios objetos no SGC"/>
    <x v="26"/>
    <x v="1"/>
    <x v="1"/>
    <s v="Backlog"/>
    <n v="11"/>
    <n v="0.03"/>
    <n v="1"/>
    <n v="1"/>
    <n v="1"/>
    <n v="100"/>
    <x v="1"/>
  </r>
  <r>
    <x v="0"/>
    <s v="SainteLague"/>
    <n v="499"/>
    <n v="134184"/>
    <s v="[SLA/Commitmment Date] - Parametrizaci√õn Cliente ASOS basada en la Agencia de Origen"/>
    <x v="17"/>
    <x v="0"/>
    <x v="2"/>
    <s v="High Level Design"/>
    <n v="26"/>
    <n v="0.03"/>
    <n v="1"/>
    <n v="1"/>
    <n v="1"/>
    <n v="100"/>
    <x v="1"/>
  </r>
  <r>
    <x v="0"/>
    <s v="SainteLague"/>
    <n v="500"/>
    <n v="130473"/>
    <s v="[WebHook] - Indtex - Migracion de SGC a Cloud"/>
    <x v="19"/>
    <x v="0"/>
    <x v="1"/>
    <s v="In Definition"/>
    <n v="26"/>
    <n v="0.03"/>
    <n v="1"/>
    <n v="1"/>
    <n v="1"/>
    <n v="100"/>
    <x v="1"/>
  </r>
  <r>
    <x v="0"/>
    <s v="SainteLague"/>
    <n v="501"/>
    <n v="177123"/>
    <s v="Obsolesc√çncia WAVE 0 - Converter LDAP em LDAPS (BCTT)"/>
    <x v="28"/>
    <x v="1"/>
    <x v="3"/>
    <s v="Backlog"/>
    <n v="11"/>
    <n v="0.03"/>
    <n v="1"/>
    <n v="1"/>
    <n v="1"/>
    <n v="100"/>
    <x v="1"/>
  </r>
  <r>
    <x v="0"/>
    <s v="SainteLague"/>
    <n v="502"/>
    <n v="129602"/>
    <s v="PDA Planta (TO)/Gesti√õn de Planta/Mejoras pendientes/Mejora del feedback de lectura (cambio sonido y color OK y en error)"/>
    <x v="0"/>
    <x v="0"/>
    <x v="0"/>
    <s v="In Definition"/>
    <n v="53"/>
    <n v="0.03"/>
    <n v="1"/>
    <n v="1"/>
    <n v="1"/>
    <n v="100"/>
    <x v="1"/>
  </r>
  <r>
    <x v="0"/>
    <s v="SainteLague"/>
    <n v="503"/>
    <n v="199977"/>
    <s v="Data Hub - Secrets and Authentication"/>
    <x v="24"/>
    <x v="1"/>
    <x v="2"/>
    <s v="Backlog"/>
    <n v="17"/>
    <n v="0.03"/>
    <n v="1"/>
    <n v="1"/>
    <n v="1"/>
    <n v="100"/>
    <x v="1"/>
  </r>
  <r>
    <x v="0"/>
    <s v="SainteLague"/>
    <n v="504"/>
    <n v="129603"/>
    <s v="PDA Planta (TO)/Gesti√õn de Planta/Nuevas lecturas/Recepci√õn provisional de cami√õn"/>
    <x v="0"/>
    <x v="0"/>
    <x v="0"/>
    <s v="In Definition"/>
    <n v="54"/>
    <n v="0.03"/>
    <n v="1"/>
    <n v="1"/>
    <n v="1"/>
    <n v="100"/>
    <x v="1"/>
  </r>
  <r>
    <x v="0"/>
    <s v="SainteLague"/>
    <n v="505"/>
    <n v="99517"/>
    <s v="ECL/PSC - Identifica√Å‚Äûo de giros de distribui√Å‚Äûo (green delivery)"/>
    <x v="6"/>
    <x v="0"/>
    <x v="1"/>
    <s v="Backlog"/>
    <n v="27"/>
    <n v="0.03"/>
    <n v="1"/>
    <n v="1"/>
    <n v="1"/>
    <n v="100"/>
    <x v="1"/>
  </r>
  <r>
    <x v="0"/>
    <s v="SainteLague"/>
    <n v="506"/>
    <n v="134943"/>
    <s v="STICO - Migra√Å‚Äûo de Pipelines ADO2Github"/>
    <x v="1"/>
    <x v="1"/>
    <x v="1"/>
    <s v="Backlog"/>
    <n v="15"/>
    <n v="2.6669999999999998"/>
    <n v="4"/>
    <n v="1"/>
    <n v="3"/>
    <n v="3"/>
    <x v="1"/>
  </r>
  <r>
    <x v="0"/>
    <s v="SainteLague"/>
    <n v="507"/>
    <n v="130320"/>
    <s v="Nueva funcionalidad SGC: Nuevas opciones de cambios masivos"/>
    <x v="8"/>
    <x v="0"/>
    <x v="2"/>
    <s v="Backlog"/>
    <n v="27"/>
    <n v="0.03"/>
    <n v="1"/>
    <n v="1"/>
    <n v="1"/>
    <n v="100"/>
    <x v="1"/>
  </r>
  <r>
    <x v="0"/>
    <s v="SainteLague"/>
    <n v="508"/>
    <n v="130147"/>
    <s v="[Desconexi√õn SGC] [PUDOS] - Migraci√õn de funcionalidades de SGC al Cloud"/>
    <x v="10"/>
    <x v="0"/>
    <x v="3"/>
    <s v="Backlog"/>
    <n v="28"/>
    <n v="0.03"/>
    <n v="1"/>
    <n v="1"/>
    <n v="1"/>
    <n v="100"/>
    <x v="1"/>
  </r>
  <r>
    <x v="0"/>
    <s v="SainteLague"/>
    <n v="509"/>
    <n v="69337"/>
    <s v="Confirming 2.0"/>
    <x v="9"/>
    <x v="1"/>
    <x v="2"/>
    <s v="Backlog"/>
    <n v="12"/>
    <n v="0.03"/>
    <n v="1"/>
    <n v="1"/>
    <n v="1"/>
    <n v="100"/>
    <x v="1"/>
  </r>
  <r>
    <x v="0"/>
    <s v="SainteLague"/>
    <n v="510"/>
    <n v="131081"/>
    <s v="[PUDOS] - Automatizaci√õn del tratamiento de incidencias de PUDOS cerrados"/>
    <x v="14"/>
    <x v="0"/>
    <x v="1"/>
    <s v="Backlog"/>
    <n v="29"/>
    <n v="0.03"/>
    <n v="1"/>
    <n v="1"/>
    <n v="1"/>
    <n v="100"/>
    <x v="1"/>
  </r>
  <r>
    <x v="0"/>
    <s v="SainteLague"/>
    <n v="511"/>
    <n v="130407"/>
    <s v="[Qlik] - Evaluador de ofertas en Qlik"/>
    <x v="16"/>
    <x v="0"/>
    <x v="1"/>
    <s v="Backlog"/>
    <n v="27"/>
    <n v="0.03"/>
    <n v="1"/>
    <n v="1"/>
    <n v="1"/>
    <n v="100"/>
    <x v="1"/>
  </r>
  <r>
    <x v="0"/>
    <s v="SainteLague"/>
    <n v="512"/>
    <n v="126583"/>
    <s v="Eliminate 50% of O365 Copilot licences"/>
    <x v="12"/>
    <x v="1"/>
    <x v="3"/>
    <s v="Backlog"/>
    <n v="13"/>
    <n v="0.03"/>
    <n v="1"/>
    <n v="1"/>
    <n v="1"/>
    <n v="100"/>
    <x v="1"/>
  </r>
  <r>
    <x v="0"/>
    <s v="SainteLague"/>
    <n v="513"/>
    <n v="129654"/>
    <s v="Conexi√õn de eventos estados PT-ES/Transici√õn de estados con eventos PT"/>
    <x v="17"/>
    <x v="0"/>
    <x v="2"/>
    <s v="Backlog"/>
    <n v="27"/>
    <n v="0.03"/>
    <n v="1"/>
    <n v="1"/>
    <n v="1"/>
    <n v="100"/>
    <x v="1"/>
  </r>
  <r>
    <x v="0"/>
    <s v="SainteLague"/>
    <n v="514"/>
    <n v="129566"/>
    <s v="Mejora Mapper Agrupacion"/>
    <x v="19"/>
    <x v="0"/>
    <x v="1"/>
    <s v="Backlog"/>
    <n v="27"/>
    <n v="0.03"/>
    <n v="1"/>
    <n v="1"/>
    <n v="1"/>
    <n v="100"/>
    <x v="1"/>
  </r>
  <r>
    <x v="0"/>
    <s v="SainteLague"/>
    <n v="515"/>
    <n v="188477"/>
    <s v="Amazon - Melhorias ao processo atual"/>
    <x v="7"/>
    <x v="1"/>
    <x v="1"/>
    <s v="In Definition"/>
    <n v="19"/>
    <n v="0.03"/>
    <n v="1"/>
    <n v="1"/>
    <n v="1"/>
    <n v="100"/>
    <x v="1"/>
  </r>
  <r>
    <x v="0"/>
    <s v="SainteLague"/>
    <n v="516"/>
    <n v="129604"/>
    <s v="PDA Planta (TO)/Gesti√õn de Planta/Nuevas lecturas/Admisi√õn"/>
    <x v="0"/>
    <x v="0"/>
    <x v="0"/>
    <s v="In Definition"/>
    <n v="55"/>
    <n v="0.03"/>
    <n v="1"/>
    <n v="1"/>
    <n v="1"/>
    <n v="100"/>
    <x v="1"/>
  </r>
  <r>
    <x v="0"/>
    <s v="SainteLague"/>
    <n v="517"/>
    <n v="74510"/>
    <s v="Altera√Å‚Äûo Tal‚Äûo Vales Postais superiores a 1.000√Ñ - recomenda√Å‚Äûo auditoria REC/ASN:2025-0015"/>
    <x v="26"/>
    <x v="1"/>
    <x v="1"/>
    <s v="Backlog"/>
    <n v="12"/>
    <n v="0.03"/>
    <n v="1"/>
    <n v="1"/>
    <n v="1"/>
    <n v="100"/>
    <x v="1"/>
  </r>
  <r>
    <x v="0"/>
    <s v="SainteLague"/>
    <n v="518"/>
    <n v="129605"/>
    <s v="PDA Planta (TO)/Gesti√õn de Planta/Nuevas lecturas/Entregado a agente"/>
    <x v="0"/>
    <x v="0"/>
    <x v="0"/>
    <s v="In Definition"/>
    <n v="56"/>
    <n v="0.03"/>
    <n v="1"/>
    <n v="1"/>
    <n v="1"/>
    <n v="100"/>
    <x v="1"/>
  </r>
  <r>
    <x v="0"/>
    <s v="SainteLague"/>
    <n v="519"/>
    <n v="71425"/>
    <s v="ECL/GPR - Peso Default por Produto Expresso e Carga"/>
    <x v="6"/>
    <x v="0"/>
    <x v="1"/>
    <s v="Backlog"/>
    <n v="28"/>
    <n v="0.03"/>
    <n v="1"/>
    <n v="1"/>
    <n v="1"/>
    <n v="100"/>
    <x v="1"/>
  </r>
  <r>
    <x v="0"/>
    <s v="SainteLague"/>
    <n v="520"/>
    <n v="172578"/>
    <s v="Banco CTT - Gest‚Äûo de Acessos em SAP4Hana"/>
    <x v="28"/>
    <x v="1"/>
    <x v="3"/>
    <s v="Backlog"/>
    <n v="12"/>
    <n v="0.03"/>
    <n v="1"/>
    <n v="1"/>
    <n v="1"/>
    <n v="100"/>
    <x v="1"/>
  </r>
  <r>
    <x v="0"/>
    <s v="SainteLague"/>
    <n v="521"/>
    <n v="129445"/>
    <s v="[Alarmas Financieras] Alarma-46 Reporte/Alerta de Datos Clientes antes del cierre &quot;Keysoft&quot; (datos incompletos de clientes o deficiencia)"/>
    <x v="8"/>
    <x v="0"/>
    <x v="2"/>
    <s v="Backlog"/>
    <n v="28"/>
    <n v="0.03"/>
    <n v="1"/>
    <n v="1"/>
    <n v="1"/>
    <n v="100"/>
    <x v="1"/>
  </r>
  <r>
    <x v="0"/>
    <s v="SainteLague"/>
    <n v="522"/>
    <n v="130362"/>
    <s v="[CIBER]  - Eliminaci√õn del acceso pÀôblico de los ficheros de agencias y canalizaciones en transfer.cttexpress.com"/>
    <x v="10"/>
    <x v="0"/>
    <x v="3"/>
    <s v="Backlog"/>
    <n v="29"/>
    <n v="0.03"/>
    <n v="1"/>
    <n v="1"/>
    <n v="1"/>
    <n v="100"/>
    <x v="1"/>
  </r>
  <r>
    <x v="0"/>
    <s v="SainteLague"/>
    <n v="523"/>
    <n v="205107"/>
    <s v="Data Governance - Data Lineage"/>
    <x v="24"/>
    <x v="1"/>
    <x v="2"/>
    <s v="Backlog"/>
    <n v="18"/>
    <n v="0.03"/>
    <n v="1"/>
    <n v="1"/>
    <n v="1"/>
    <n v="100"/>
    <x v="1"/>
  </r>
  <r>
    <x v="0"/>
    <s v="SainteLague"/>
    <n v="524"/>
    <n v="130487"/>
    <s v="[PUDOS] [MONGO] - Informaci√õn completa de incidencias en colecci√õn Pickups"/>
    <x v="14"/>
    <x v="0"/>
    <x v="1"/>
    <s v="Backlog"/>
    <n v="30"/>
    <n v="0.03"/>
    <n v="1"/>
    <n v="1"/>
    <n v="1"/>
    <n v="100"/>
    <x v="1"/>
  </r>
  <r>
    <x v="0"/>
    <s v="SainteLague"/>
    <n v="525"/>
    <n v="129533"/>
    <s v="[Minerva] - Dispersiones est¬∑ndar de ofertas de tipo B y C"/>
    <x v="16"/>
    <x v="0"/>
    <x v="1"/>
    <s v="High Level Design"/>
    <n v="28"/>
    <n v="0.03"/>
    <n v="1"/>
    <n v="1"/>
    <n v="1"/>
    <n v="100"/>
    <x v="1"/>
  </r>
  <r>
    <x v="0"/>
    <s v="SainteLague"/>
    <n v="526"/>
    <n v="84849"/>
    <s v="Contabiliza√Å‚Äûo de Saldo Remanescente e separa√Å‚Äûo entre Mail e Express no ‚Äömbito da oferta Pack de Envios"/>
    <x v="1"/>
    <x v="1"/>
    <x v="1"/>
    <s v="Backlog"/>
    <n v="16"/>
    <n v="0.03"/>
    <n v="1"/>
    <n v="1"/>
    <n v="1"/>
    <n v="100"/>
    <x v="1"/>
  </r>
  <r>
    <x v="0"/>
    <s v="SainteLague"/>
    <n v="527"/>
    <n v="129725"/>
    <s v="Mapper: Posibilidad de indicar la ruta de instalaci√õn."/>
    <x v="19"/>
    <x v="0"/>
    <x v="1"/>
    <s v="Backlog"/>
    <n v="28"/>
    <n v="0.03"/>
    <n v="1"/>
    <n v="1"/>
    <n v="1"/>
    <n v="100"/>
    <x v="1"/>
  </r>
  <r>
    <x v="0"/>
    <s v="SainteLague"/>
    <n v="528"/>
    <n v="129646"/>
    <s v="PDA Planta (TO)/Gesti√õn de Planta/Nuevas lecturas/Transferido a proveedor (internacional)"/>
    <x v="0"/>
    <x v="0"/>
    <x v="0"/>
    <s v="In Definition"/>
    <n v="57"/>
    <n v="0.03"/>
    <n v="1"/>
    <n v="1"/>
    <n v="1"/>
    <n v="100"/>
    <x v="1"/>
  </r>
  <r>
    <x v="0"/>
    <s v="SainteLague"/>
    <n v="529"/>
    <n v="69341"/>
    <s v="Otimiza√Å‚Äûo CRB"/>
    <x v="9"/>
    <x v="1"/>
    <x v="2"/>
    <s v="Backlog"/>
    <n v="13"/>
    <n v="0.03"/>
    <n v="1"/>
    <n v="1"/>
    <n v="1"/>
    <n v="100"/>
    <x v="1"/>
  </r>
  <r>
    <x v="0"/>
    <s v="SainteLague"/>
    <n v="530"/>
    <n v="129647"/>
    <s v="PDA Planta (TO)/Gesti√õn de Planta/Nuevas lecturas/Registrar incidencias/Incidencias en general"/>
    <x v="0"/>
    <x v="0"/>
    <x v="0"/>
    <s v="In Definition"/>
    <n v="58"/>
    <n v="0.03"/>
    <n v="1"/>
    <n v="1"/>
    <n v="1"/>
    <n v="100"/>
    <x v="1"/>
  </r>
  <r>
    <x v="0"/>
    <s v="SainteLague"/>
    <n v="531"/>
    <n v="134802"/>
    <s v="DHL | Integra√Å‚Äûo Oferta Connect"/>
    <x v="6"/>
    <x v="0"/>
    <x v="1"/>
    <s v="Backlog"/>
    <n v="29"/>
    <n v="0.03"/>
    <n v="1"/>
    <n v="1"/>
    <n v="1"/>
    <n v="100"/>
    <x v="1"/>
  </r>
  <r>
    <x v="0"/>
    <s v="SainteLague"/>
    <n v="532"/>
    <n v="125545"/>
    <s v="Observability | Alarm Catalog for self provision in applications"/>
    <x v="12"/>
    <x v="1"/>
    <x v="3"/>
    <s v="In Definition"/>
    <n v="14"/>
    <n v="0.08"/>
    <n v="5"/>
    <n v="2"/>
    <n v="1"/>
    <n v="100"/>
    <x v="1"/>
  </r>
  <r>
    <x v="0"/>
    <s v="SainteLague"/>
    <n v="533"/>
    <n v="130111"/>
    <s v="Cambio en la L√õgica de generaci√õn de OBX en Cainiao"/>
    <x v="8"/>
    <x v="0"/>
    <x v="2"/>
    <s v="Backlog"/>
    <n v="29"/>
    <n v="0.03"/>
    <n v="1"/>
    <n v="1"/>
    <n v="1"/>
    <n v="100"/>
    <x v="1"/>
  </r>
  <r>
    <x v="0"/>
    <s v="SainteLague"/>
    <n v="534"/>
    <n v="133243"/>
    <s v="Citrix nas lojas - An¬∑lise para Elimina√Å‚Äûo / substitui√Å‚Äûo"/>
    <x v="7"/>
    <x v="1"/>
    <x v="1"/>
    <s v="Backlog"/>
    <n v="20"/>
    <n v="0.03"/>
    <n v="1"/>
    <n v="1"/>
    <n v="1"/>
    <n v="100"/>
    <x v="1"/>
  </r>
  <r>
    <x v="0"/>
    <s v="SainteLague"/>
    <n v="535"/>
    <n v="130491"/>
    <s v="[Tech] API de common-edge Refactor"/>
    <x v="10"/>
    <x v="0"/>
    <x v="3"/>
    <s v="Backlog"/>
    <n v="30"/>
    <n v="0.03"/>
    <n v="1"/>
    <n v="1"/>
    <n v="1"/>
    <n v="100"/>
    <x v="1"/>
  </r>
  <r>
    <x v="0"/>
    <s v="SainteLague"/>
    <n v="536"/>
    <n v="130634"/>
    <s v="[Minerva] - Habilitar Minerva para el uso por parte de los Broker / Franquicias (Operativa + Modelo tarifario)"/>
    <x v="14"/>
    <x v="0"/>
    <x v="1"/>
    <s v="In Definition"/>
    <n v="31"/>
    <n v="0.03"/>
    <n v="1"/>
    <n v="1"/>
    <n v="1"/>
    <n v="100"/>
    <x v="1"/>
  </r>
  <r>
    <x v="0"/>
    <s v="SainteLague"/>
    <n v="537"/>
    <n v="36274"/>
    <s v="Corre√Å‚Äûo Mapeamento inform¬∑tico - metadados Vales Pagos internacionais"/>
    <x v="26"/>
    <x v="1"/>
    <x v="1"/>
    <s v="In Definition"/>
    <n v="13"/>
    <n v="0.03"/>
    <n v="1"/>
    <n v="1"/>
    <n v="1"/>
    <n v="100"/>
    <x v="1"/>
  </r>
  <r>
    <x v="0"/>
    <s v="SainteLague"/>
    <n v="538"/>
    <n v="130266"/>
    <s v="[Salesforce Sales] - Campo Centro Operativo de clientes que cuelgan de Agencias Virtuales (Amazon, ICP, Inditex....)"/>
    <x v="16"/>
    <x v="0"/>
    <x v="1"/>
    <s v="In Solution"/>
    <n v="29"/>
    <n v="0.03"/>
    <n v="1"/>
    <n v="1"/>
    <n v="1"/>
    <n v="100"/>
    <x v="1"/>
  </r>
  <r>
    <x v="0"/>
    <s v="SainteLague"/>
    <n v="539"/>
    <n v="130163"/>
    <s v="BITACORA - Cambiar delivery_comments de lugar"/>
    <x v="19"/>
    <x v="0"/>
    <x v="1"/>
    <s v="Backlog"/>
    <n v="29"/>
    <n v="0.03"/>
    <n v="1"/>
    <n v="1"/>
    <n v="1"/>
    <n v="100"/>
    <x v="1"/>
  </r>
  <r>
    <x v="0"/>
    <s v="SainteLague"/>
    <n v="540"/>
    <n v="70015"/>
    <s v="BCTT - renova√Å‚Äûo de equipamentos lojas especializadas"/>
    <x v="28"/>
    <x v="1"/>
    <x v="3"/>
    <s v="Backlog"/>
    <n v="13"/>
    <n v="0.03"/>
    <n v="1"/>
    <n v="1"/>
    <n v="1"/>
    <n v="100"/>
    <x v="1"/>
  </r>
  <r>
    <x v="0"/>
    <s v="SainteLague"/>
    <n v="541"/>
    <n v="129650"/>
    <s v="Generaci√õn tarjeta de identificaci√õn de conductor"/>
    <x v="0"/>
    <x v="0"/>
    <x v="0"/>
    <s v="Backlog"/>
    <n v="59"/>
    <n v="0.03"/>
    <n v="1"/>
    <n v="1"/>
    <n v="1"/>
    <n v="100"/>
    <x v="1"/>
  </r>
  <r>
    <x v="0"/>
    <s v="SainteLague"/>
    <n v="542"/>
    <n v="129655"/>
    <s v="Nuevas pantallas/Gesti√õn de env√åos"/>
    <x v="0"/>
    <x v="0"/>
    <x v="0"/>
    <s v="Backlog"/>
    <n v="60"/>
    <n v="0.03"/>
    <n v="1"/>
    <n v="1"/>
    <n v="1"/>
    <n v="100"/>
    <x v="1"/>
  </r>
  <r>
    <x v="0"/>
    <s v="SainteLague"/>
    <n v="543"/>
    <n v="189783"/>
    <s v="Melhorias ¬∑rea cliente correio"/>
    <x v="1"/>
    <x v="1"/>
    <x v="1"/>
    <s v="Backlog"/>
    <n v="19"/>
    <n v="0.03"/>
    <n v="1"/>
    <n v="1"/>
    <n v="1"/>
    <n v="100"/>
    <x v="1"/>
  </r>
  <r>
    <x v="0"/>
    <s v="SainteLague"/>
    <n v="544"/>
    <n v="126476"/>
    <s v="Evolutivos Ecossistema Expresso | JAN e FEV 2026"/>
    <x v="6"/>
    <x v="0"/>
    <x v="1"/>
    <s v="In Definition"/>
    <n v="30"/>
    <n v="0.03"/>
    <n v="1"/>
    <n v="1"/>
    <n v="1"/>
    <n v="100"/>
    <x v="1"/>
  </r>
  <r>
    <x v="0"/>
    <s v="SainteLague"/>
    <n v="545"/>
    <n v="130143"/>
    <s v="[QLIK] Incorporaci√õn de datos adicionales en BI (Income Tracking App)"/>
    <x v="8"/>
    <x v="0"/>
    <x v="2"/>
    <s v="Backlog"/>
    <n v="30"/>
    <n v="0.03"/>
    <n v="1"/>
    <n v="1"/>
    <n v="1"/>
    <n v="100"/>
    <x v="1"/>
  </r>
  <r>
    <x v="0"/>
    <s v="SainteLague"/>
    <n v="546"/>
    <n v="125694"/>
    <s v="Integra√Å‚Äûo de Crashlytics nas aplica√Åƒ±es mobile"/>
    <x v="12"/>
    <x v="1"/>
    <x v="3"/>
    <s v="Backlog"/>
    <n v="15"/>
    <n v="0.03"/>
    <n v="1"/>
    <n v="1"/>
    <n v="1"/>
    <n v="100"/>
    <x v="1"/>
  </r>
  <r>
    <x v="0"/>
    <s v="SainteLague"/>
    <n v="547"/>
    <n v="129500"/>
    <s v="[Desconexi√õn SGC] Qlik - Migraci√õn App Anal√åtica Comercial - Cloud"/>
    <x v="10"/>
    <x v="0"/>
    <x v="3"/>
    <s v="In Definition"/>
    <n v="31"/>
    <n v="0.03"/>
    <n v="1"/>
    <n v="1"/>
    <n v="1"/>
    <n v="100"/>
    <x v="1"/>
  </r>
  <r>
    <x v="0"/>
    <s v="SainteLague"/>
    <n v="548"/>
    <n v="46567"/>
    <s v="A receita dos  Postos  Venda de Selos (PVS)"/>
    <x v="7"/>
    <x v="1"/>
    <x v="1"/>
    <s v="Backlog"/>
    <n v="21"/>
    <n v="0.03"/>
    <n v="1"/>
    <n v="1"/>
    <n v="1"/>
    <n v="100"/>
    <x v="1"/>
  </r>
  <r>
    <x v="0"/>
    <s v="SainteLague"/>
    <n v="549"/>
    <n v="130824"/>
    <s v="[PUDOS]-Nueva colecci√õn en Nexia. Acceso datos de DB manifest"/>
    <x v="14"/>
    <x v="0"/>
    <x v="1"/>
    <s v="Backlog"/>
    <n v="32"/>
    <n v="0.03"/>
    <n v="1"/>
    <n v="1"/>
    <n v="1"/>
    <n v="100"/>
    <x v="1"/>
  </r>
  <r>
    <x v="0"/>
    <s v="SainteLague"/>
    <n v="550"/>
    <n v="130409"/>
    <s v="[Minerva] - Evaluaci√õn de la oferta en Minerva"/>
    <x v="16"/>
    <x v="0"/>
    <x v="1"/>
    <s v="Backlog"/>
    <n v="30"/>
    <n v="0.03"/>
    <n v="1"/>
    <n v="1"/>
    <n v="1"/>
    <n v="100"/>
    <x v="1"/>
  </r>
  <r>
    <x v="0"/>
    <s v="SainteLague"/>
    <n v="551"/>
    <n v="173335"/>
    <s v="Consulta de Objetos e Downlad dos POD'S"/>
    <x v="26"/>
    <x v="1"/>
    <x v="1"/>
    <s v="Backlog"/>
    <n v="14"/>
    <n v="0.03"/>
    <n v="1"/>
    <n v="1"/>
    <n v="1"/>
    <n v="100"/>
    <x v="1"/>
  </r>
  <r>
    <x v="0"/>
    <s v="SainteLague"/>
    <n v="552"/>
    <n v="130045"/>
    <s v="BITACORA EVOLUCION DE ESTADOS FINALES"/>
    <x v="19"/>
    <x v="0"/>
    <x v="1"/>
    <s v="Backlog"/>
    <n v="30"/>
    <n v="0.03"/>
    <n v="1"/>
    <n v="1"/>
    <n v="1"/>
    <n v="100"/>
    <x v="1"/>
  </r>
  <r>
    <x v="0"/>
    <s v="SainteLague"/>
    <n v="553"/>
    <n v="129656"/>
    <s v="Nuevas pantallas/Reetiquetado de env√åos"/>
    <x v="0"/>
    <x v="0"/>
    <x v="0"/>
    <s v="Backlog"/>
    <n v="61"/>
    <n v="0.03"/>
    <n v="1"/>
    <n v="1"/>
    <n v="1"/>
    <n v="100"/>
    <x v="1"/>
  </r>
  <r>
    <x v="0"/>
    <s v="SainteLague"/>
    <n v="554"/>
    <n v="171544"/>
    <s v="BCTT Sincroniza√Å‚Äûo Robin &amp; O365"/>
    <x v="28"/>
    <x v="1"/>
    <x v="3"/>
    <s v="Backlog"/>
    <n v="14"/>
    <n v="0.03"/>
    <n v="1"/>
    <n v="1"/>
    <n v="1"/>
    <n v="100"/>
    <x v="1"/>
  </r>
  <r>
    <x v="0"/>
    <s v="SainteLague"/>
    <n v="555"/>
    <n v="129657"/>
    <s v="Nuevas pantallas/Gesti√õn de incidencias (P3)/Confirmaci√õn de incidencias"/>
    <x v="0"/>
    <x v="0"/>
    <x v="0"/>
    <s v="Backlog"/>
    <n v="62"/>
    <n v="0.03"/>
    <n v="1"/>
    <n v="1"/>
    <n v="1"/>
    <n v="100"/>
    <x v="1"/>
  </r>
  <r>
    <x v="0"/>
    <s v="SainteLague"/>
    <n v="556"/>
    <n v="129475"/>
    <s v="[Evolutivos SGC Finanzas]  Alarma-86 Enga√ío Cod. Postales (solicitado tambien a traves de BI para buscar automatizaci√õn)"/>
    <x v="8"/>
    <x v="0"/>
    <x v="2"/>
    <s v="Backlog"/>
    <n v="31"/>
    <n v="0.03"/>
    <n v="1"/>
    <n v="1"/>
    <n v="1"/>
    <n v="100"/>
    <x v="1"/>
  </r>
  <r>
    <x v="0"/>
    <s v="SainteLague"/>
    <n v="557"/>
    <n v="174328"/>
    <s v="Nova plataforma para criar e gerir campanhas de publicidade"/>
    <x v="1"/>
    <x v="1"/>
    <x v="1"/>
    <s v="Backlog"/>
    <n v="20"/>
    <n v="0.03"/>
    <n v="1"/>
    <n v="1"/>
    <n v="1"/>
    <n v="100"/>
    <x v="1"/>
  </r>
  <r>
    <x v="0"/>
    <s v="SainteLague"/>
    <n v="558"/>
    <n v="130077"/>
    <s v="[Auditoria PT] Garantizar ejecuci√õn de fase de pruebas antes y despu√às de implantar nuevos desarrollos"/>
    <x v="10"/>
    <x v="0"/>
    <x v="3"/>
    <s v="Backlog"/>
    <n v="32"/>
    <n v="0.03"/>
    <n v="1"/>
    <n v="1"/>
    <n v="1"/>
    <n v="100"/>
    <x v="1"/>
  </r>
  <r>
    <x v="0"/>
    <s v="SainteLague"/>
    <n v="559"/>
    <n v="130498"/>
    <s v="[Qlik &amp; Salesforce] - Alarmas Comercial 02- Cumplimiento del Comprometido Cierre Tareas"/>
    <x v="14"/>
    <x v="0"/>
    <x v="1"/>
    <s v="In Definition"/>
    <n v="33"/>
    <n v="0.03"/>
    <n v="1"/>
    <n v="1"/>
    <n v="1"/>
    <n v="100"/>
    <x v="1"/>
  </r>
  <r>
    <x v="0"/>
    <s v="SainteLague"/>
    <n v="560"/>
    <n v="126577"/>
    <s v="Renova√Åao dos contratos de outsouricng COM"/>
    <x v="12"/>
    <x v="1"/>
    <x v="3"/>
    <s v="In Definition"/>
    <n v="16"/>
    <n v="0.03"/>
    <n v="1"/>
    <n v="1"/>
    <n v="1"/>
    <n v="100"/>
    <x v="1"/>
  </r>
  <r>
    <x v="0"/>
    <s v="SainteLague"/>
    <n v="561"/>
    <n v="129547"/>
    <s v="[Salesforce Sales] - Disponer de un bot√õn que permita sincronizar toda una cuenta (cliente, contactos y direcciones)"/>
    <x v="16"/>
    <x v="0"/>
    <x v="1"/>
    <s v="High Level Design"/>
    <n v="31"/>
    <n v="0.03"/>
    <n v="1"/>
    <n v="1"/>
    <n v="1"/>
    <n v="100"/>
    <x v="1"/>
  </r>
  <r>
    <x v="0"/>
    <s v="SainteLague"/>
    <n v="562"/>
    <n v="129850"/>
    <s v="[Integraci√õn] - Publicar landing page para gestionar Devoluciones por parte de los Destinatarios - (MAS DEPORTE)"/>
    <x v="19"/>
    <x v="0"/>
    <x v="1"/>
    <s v="In Definition"/>
    <n v="31"/>
    <n v="0.03"/>
    <n v="1"/>
    <n v="1"/>
    <n v="1"/>
    <n v="100"/>
    <x v="1"/>
  </r>
  <r>
    <x v="0"/>
    <s v="SainteLague"/>
    <n v="563"/>
    <n v="195972"/>
    <s v="Integra√Å‚Äûo do ficheiro de pr√à-aviso do cliente ETCP / MEO com entrega direta em ponto"/>
    <x v="7"/>
    <x v="1"/>
    <x v="1"/>
    <s v="High Level Design"/>
    <n v="22"/>
    <n v="0.03"/>
    <n v="1"/>
    <n v="1"/>
    <n v="1"/>
    <n v="100"/>
    <x v="1"/>
  </r>
  <r>
    <x v="0"/>
    <s v="SainteLague"/>
    <n v="564"/>
    <n v="129658"/>
    <s v="Nuevas pantallas/Gesti√õn de incidencias (P3)/Estacionados"/>
    <x v="0"/>
    <x v="0"/>
    <x v="0"/>
    <s v="Backlog"/>
    <n v="63"/>
    <n v="0.03"/>
    <n v="1"/>
    <n v="1"/>
    <n v="1"/>
    <n v="100"/>
    <x v="1"/>
  </r>
  <r>
    <x v="0"/>
    <s v="SainteLague"/>
    <n v="565"/>
    <n v="173279"/>
    <s v="Motor de Pesquisa de Varios objetos no T&amp;T"/>
    <x v="26"/>
    <x v="1"/>
    <x v="1"/>
    <s v="Backlog"/>
    <n v="15"/>
    <n v="0.03"/>
    <n v="1"/>
    <n v="1"/>
    <n v="1"/>
    <n v="100"/>
    <x v="1"/>
  </r>
  <r>
    <x v="0"/>
    <s v="SainteLague"/>
    <n v="566"/>
    <n v="129659"/>
    <s v="Conexi√õn de b¬∑sculas manuales a Cloud"/>
    <x v="0"/>
    <x v="0"/>
    <x v="0"/>
    <s v="Backlog"/>
    <n v="64"/>
    <n v="0.03"/>
    <n v="1"/>
    <n v="1"/>
    <n v="1"/>
    <n v="100"/>
    <x v="1"/>
  </r>
  <r>
    <x v="0"/>
    <s v="SainteLague"/>
    <n v="567"/>
    <n v="129472"/>
    <s v="[Evolutivos SGC Finanzas] Inclusi√õn del Cliente M¬∑ster en todos los m√õdulos de SGC ahora no lo est¬∑n (esta ligado con el anterior)"/>
    <x v="8"/>
    <x v="0"/>
    <x v="2"/>
    <s v="Backlog"/>
    <n v="32"/>
    <n v="0.03"/>
    <n v="1"/>
    <n v="1"/>
    <n v="1"/>
    <n v="100"/>
    <x v="1"/>
  </r>
  <r>
    <x v="0"/>
    <s v="SainteLague"/>
    <n v="568"/>
    <n v="145226"/>
    <s v="Disponibiliza√Å‚Äûo de prefixos para correio registado com pr√à-aviso (indisponibilidade prevista para breve)"/>
    <x v="1"/>
    <x v="1"/>
    <x v="1"/>
    <s v="Backlog"/>
    <n v="22"/>
    <n v="0.03"/>
    <n v="1"/>
    <n v="1"/>
    <n v="1"/>
    <n v="100"/>
    <x v="1"/>
  </r>
  <r>
    <x v="0"/>
    <s v="SainteLague"/>
    <n v="569"/>
    <n v="130078"/>
    <s v="[Auditoria PT] Implementar pruebas preventivas para identificar errores en la parametrizaci√õn de las reglas de peso"/>
    <x v="10"/>
    <x v="0"/>
    <x v="3"/>
    <s v="Backlog"/>
    <n v="33"/>
    <n v="0.03"/>
    <n v="1"/>
    <n v="1"/>
    <n v="1"/>
    <n v="100"/>
    <x v="1"/>
  </r>
  <r>
    <x v="0"/>
    <s v="SainteLague"/>
    <n v="570"/>
    <n v="129697"/>
    <s v="Qlik para comerciales"/>
    <x v="14"/>
    <x v="0"/>
    <x v="1"/>
    <s v="In Definition"/>
    <n v="34"/>
    <n v="0.03"/>
    <n v="1"/>
    <n v="1"/>
    <n v="1"/>
    <n v="100"/>
    <x v="1"/>
  </r>
  <r>
    <x v="0"/>
    <s v="SainteLague"/>
    <n v="571"/>
    <n v="125692"/>
    <s v="Upgrade plataforma OutSystems para vers‚Äûo 11.40.0"/>
    <x v="12"/>
    <x v="1"/>
    <x v="3"/>
    <s v="Backlog"/>
    <n v="17"/>
    <n v="0.03"/>
    <n v="1"/>
    <n v="1"/>
    <n v="1"/>
    <n v="100"/>
    <x v="1"/>
  </r>
  <r>
    <x v="0"/>
    <s v="SainteLague"/>
    <n v="572"/>
    <n v="129494"/>
    <s v="[Salesforce] - Automatizaci√õn de tarifas (en funci√õn de env√åos comprometidos y rentabilidad de la cuenta)"/>
    <x v="16"/>
    <x v="0"/>
    <x v="1"/>
    <s v="Backlog"/>
    <n v="32"/>
    <n v="0.03"/>
    <n v="1"/>
    <n v="1"/>
    <n v="1"/>
    <n v="100"/>
    <x v="1"/>
  </r>
  <r>
    <x v="0"/>
    <s v="SainteLague"/>
    <n v="573"/>
    <n v="129510"/>
    <s v="Seguimiento de env√åos por Api Devoluci√õn retornado reexpedido y recogidas"/>
    <x v="19"/>
    <x v="0"/>
    <x v="1"/>
    <s v="In Definition"/>
    <n v="32"/>
    <n v="0.03"/>
    <n v="1"/>
    <n v="1"/>
    <n v="1"/>
    <n v="100"/>
    <x v="1"/>
  </r>
  <r>
    <x v="0"/>
    <s v="SainteLague"/>
    <n v="574"/>
    <n v="204677"/>
    <s v="Afeta√Å‚Äûo Receita Vendas Loja Online a Gestores de clientes e hierarquia"/>
    <x v="7"/>
    <x v="1"/>
    <x v="1"/>
    <s v="Backlog"/>
    <n v="23"/>
    <n v="0.03"/>
    <n v="1"/>
    <n v="1"/>
    <n v="1"/>
    <n v="100"/>
    <x v="1"/>
  </r>
  <r>
    <x v="0"/>
    <s v="SainteLague"/>
    <n v="575"/>
    <n v="129660"/>
    <s v="App de PDA de planta (TO)/Mejoras en las aplicaciones actuales/Identificaci√õn de cajas con env√åos en circuito en la recepci√õn"/>
    <x v="0"/>
    <x v="0"/>
    <x v="0"/>
    <s v="Backlog"/>
    <n v="65"/>
    <n v="0.03"/>
    <n v="1"/>
    <n v="1"/>
    <n v="1"/>
    <n v="100"/>
    <x v="1"/>
  </r>
  <r>
    <x v="0"/>
    <s v="SainteLague"/>
    <n v="576"/>
    <n v="129661"/>
    <s v="App de PDA de planta (TO)/Desarrollo App externa para registro eventos 8 y 9"/>
    <x v="0"/>
    <x v="0"/>
    <x v="0"/>
    <s v="Backlog"/>
    <n v="66"/>
    <n v="0.03"/>
    <n v="1"/>
    <n v="1"/>
    <n v="1"/>
    <n v="100"/>
    <x v="1"/>
  </r>
  <r>
    <x v="0"/>
    <s v="SainteLague"/>
    <n v="577"/>
    <n v="173281"/>
    <s v="Motor de Pesquisa de Varios objetos no S&amp;V"/>
    <x v="26"/>
    <x v="1"/>
    <x v="1"/>
    <s v="Backlog"/>
    <n v="16"/>
    <n v="0.03"/>
    <n v="1"/>
    <n v="1"/>
    <n v="1"/>
    <n v="100"/>
    <x v="1"/>
  </r>
  <r>
    <x v="0"/>
    <s v="SainteLague"/>
    <n v="578"/>
    <n v="129456"/>
    <s v="[Alarmas Financieras] Alarma-78 Garantizar la igualaci√õn de datos de clientes en tres herramientas. (SGC-Salesforce-SAP)"/>
    <x v="8"/>
    <x v="0"/>
    <x v="2"/>
    <s v="Backlog"/>
    <n v="33"/>
    <n v="0.03"/>
    <n v="1"/>
    <n v="1"/>
    <n v="1"/>
    <n v="100"/>
    <x v="1"/>
  </r>
  <r>
    <x v="0"/>
    <s v="SainteLague"/>
    <n v="579"/>
    <n v="187043"/>
    <s v="Permitir que a api de cria√Å‚Äûo de guias multiprodutos possa ser utilizada por clientes que n‚Äûo sejam preparadores"/>
    <x v="1"/>
    <x v="1"/>
    <x v="1"/>
    <s v="Backlog"/>
    <n v="23"/>
    <n v="0.03"/>
    <n v="1"/>
    <n v="1"/>
    <n v="1"/>
    <n v="100"/>
    <x v="1"/>
  </r>
  <r>
    <x v="0"/>
    <s v="SainteLague"/>
    <n v="580"/>
    <n v="129502"/>
    <s v="[Desconexi√õn SGC] Qlik - Migraci√õn App Indicadores de siniestros - Cloud"/>
    <x v="10"/>
    <x v="0"/>
    <x v="3"/>
    <s v="In Solution"/>
    <n v="34"/>
    <n v="0.03"/>
    <n v="1"/>
    <n v="1"/>
    <n v="1"/>
    <n v="100"/>
    <x v="1"/>
  </r>
  <r>
    <x v="0"/>
    <s v="SainteLague"/>
    <n v="581"/>
    <n v="129573"/>
    <s v="[PUDOS] - Modificaci√õn de entrega de un PUDO a otro destino (TP)/Modificaci√õn de entrega y comunicaci√õn"/>
    <x v="14"/>
    <x v="0"/>
    <x v="1"/>
    <s v="High Level Design"/>
    <n v="35"/>
    <n v="0.03"/>
    <n v="1"/>
    <n v="1"/>
    <n v="1"/>
    <n v="100"/>
    <x v="1"/>
  </r>
  <r>
    <x v="0"/>
    <s v="SainteLague"/>
    <n v="582"/>
    <n v="126584"/>
    <s v="Reducing the rollout of Praas printers:"/>
    <x v="12"/>
    <x v="1"/>
    <x v="3"/>
    <s v="Backlog"/>
    <n v="18"/>
    <n v="0.03"/>
    <n v="1"/>
    <n v="1"/>
    <n v="1"/>
    <n v="100"/>
    <x v="1"/>
  </r>
  <r>
    <x v="0"/>
    <s v="SainteLague"/>
    <n v="583"/>
    <n v="129836"/>
    <s v="[Salesforce] - Automatismo de asignaci√õn de casos a gestora de ingresos"/>
    <x v="16"/>
    <x v="0"/>
    <x v="1"/>
    <s v="Backlog"/>
    <n v="33"/>
    <n v="0.03"/>
    <n v="1"/>
    <n v="1"/>
    <n v="1"/>
    <n v="100"/>
    <x v="1"/>
  </r>
  <r>
    <x v="0"/>
    <s v="SainteLague"/>
    <n v="584"/>
    <n v="130178"/>
    <s v="[Desconexi√õn SGC] [WebHook] - Monitorizaci√õn WebHooks clientes"/>
    <x v="19"/>
    <x v="0"/>
    <x v="1"/>
    <s v="Backlog"/>
    <n v="33"/>
    <n v="0.03"/>
    <n v="1"/>
    <n v="1"/>
    <n v="1"/>
    <n v="100"/>
    <x v="1"/>
  </r>
  <r>
    <x v="0"/>
    <s v="SainteLague"/>
    <n v="585"/>
    <n v="203999"/>
    <s v="Altera√Å‚Äûo de dados ‚Ä° query designada por Sandra Teams PUDO para loky 16-10-2023"/>
    <x v="7"/>
    <x v="1"/>
    <x v="1"/>
    <s v="Backlog"/>
    <n v="24"/>
    <n v="0.03"/>
    <n v="1"/>
    <n v="1"/>
    <n v="1"/>
    <n v="100"/>
    <x v="1"/>
  </r>
  <r>
    <x v="0"/>
    <s v="SainteLague"/>
    <n v="586"/>
    <n v="129664"/>
    <s v="Desarrollo ECCS sin last mile (TO)"/>
    <x v="0"/>
    <x v="0"/>
    <x v="0"/>
    <s v="Backlog"/>
    <n v="67"/>
    <n v="0.03"/>
    <n v="1"/>
    <n v="1"/>
    <n v="1"/>
    <n v="100"/>
    <x v="1"/>
  </r>
  <r>
    <x v="0"/>
    <s v="SainteLague"/>
    <n v="587"/>
    <n v="129497"/>
    <s v="Portal Proveedores LineHaul - Plan de carga: contenerizaci√õn de camiones"/>
    <x v="0"/>
    <x v="0"/>
    <x v="0"/>
    <s v="In Definition"/>
    <n v="68"/>
    <n v="0.03"/>
    <n v="1"/>
    <n v="1"/>
    <n v="1"/>
    <n v="100"/>
    <x v="1"/>
  </r>
  <r>
    <x v="0"/>
    <s v="SainteLague"/>
    <n v="588"/>
    <n v="193256"/>
    <s v="Elimina√Å‚Äûo da impress‚Äûo da guia da Loja na aceita√Å‚Äûo de objetos CTT Expresso (contratual e ocasional)"/>
    <x v="26"/>
    <x v="1"/>
    <x v="1"/>
    <s v="Backlog"/>
    <n v="17"/>
    <n v="0.03"/>
    <n v="1"/>
    <n v="1"/>
    <n v="1"/>
    <n v="100"/>
    <x v="1"/>
  </r>
  <r>
    <x v="0"/>
    <s v="SainteLague"/>
    <n v="589"/>
    <n v="129442"/>
    <s v="[Alarmas Finanzas] Alarma-85 Clientes con cambio tarifas &quot;a medio mes&quot;, si no avisan facturamos mal si hay retroactividad"/>
    <x v="8"/>
    <x v="0"/>
    <x v="2"/>
    <s v="Backlog"/>
    <n v="34"/>
    <n v="0.03"/>
    <n v="1"/>
    <n v="1"/>
    <n v="1"/>
    <n v="100"/>
    <x v="1"/>
  </r>
  <r>
    <x v="0"/>
    <s v="SainteLague"/>
    <n v="590"/>
    <n v="129504"/>
    <s v="[Desconexi√õn SGC] Qlik - Migraci√õn App Territory P&amp;L - Cloud"/>
    <x v="10"/>
    <x v="0"/>
    <x v="3"/>
    <s v="In Definition"/>
    <n v="35"/>
    <n v="0.03"/>
    <n v="1"/>
    <n v="1"/>
    <n v="1"/>
    <n v="100"/>
    <x v="1"/>
  </r>
  <r>
    <x v="0"/>
    <s v="SainteLague"/>
    <n v="591"/>
    <n v="90947"/>
    <s v="Descontinua√Å‚Äûo das Guias em Papel e Aplica√Åƒ±es Locais √± Introdu√Å‚Äûo de um custo adicional"/>
    <x v="1"/>
    <x v="1"/>
    <x v="1"/>
    <s v="Backlog"/>
    <n v="24"/>
    <n v="0.03"/>
    <n v="1"/>
    <n v="1"/>
    <n v="1"/>
    <n v="100"/>
    <x v="1"/>
  </r>
  <r>
    <x v="0"/>
    <s v="SainteLague"/>
    <n v="592"/>
    <n v="130183"/>
    <s v="[PUDOS] -Planilla de selecci√õn de puntos segÀôn criterio del cliente"/>
    <x v="14"/>
    <x v="0"/>
    <x v="1"/>
    <s v="Backlog"/>
    <n v="36"/>
    <n v="0.03"/>
    <n v="1"/>
    <n v="1"/>
    <n v="1"/>
    <n v="100"/>
    <x v="1"/>
  </r>
  <r>
    <x v="0"/>
    <s v="SainteLague"/>
    <n v="593"/>
    <n v="130289"/>
    <s v="[Salesforce] - Datos de comisionista en Cuenta en el CRM"/>
    <x v="16"/>
    <x v="0"/>
    <x v="1"/>
    <s v="Backlog"/>
    <n v="34"/>
    <n v="0.03"/>
    <n v="1"/>
    <n v="1"/>
    <n v="1"/>
    <n v="100"/>
    <x v="1"/>
  </r>
  <r>
    <x v="0"/>
    <s v="SainteLague"/>
    <n v="594"/>
    <n v="131992"/>
    <s v="INT | Mulesoft √± Refatoriza√Å‚Äûo de Aplica√Åƒ±es"/>
    <x v="12"/>
    <x v="1"/>
    <x v="3"/>
    <s v="Backlog"/>
    <n v="19"/>
    <n v="0.03"/>
    <n v="1"/>
    <n v="1"/>
    <n v="1"/>
    <n v="100"/>
    <x v="1"/>
  </r>
  <r>
    <x v="0"/>
    <s v="SainteLague"/>
    <n v="595"/>
    <n v="130357"/>
    <s v="[CANCEL SHIPMENT - Falta check ccc] URL Management rpc-cancel"/>
    <x v="19"/>
    <x v="0"/>
    <x v="1"/>
    <s v="Backlog"/>
    <n v="34"/>
    <n v="0.03"/>
    <n v="1"/>
    <n v="1"/>
    <n v="1"/>
    <n v="100"/>
    <x v="1"/>
  </r>
  <r>
    <x v="0"/>
    <s v="SainteLague"/>
    <n v="596"/>
    <n v="50738"/>
    <s v="Piloto para experimentar o SW do BCE na loja"/>
    <x v="7"/>
    <x v="1"/>
    <x v="1"/>
    <s v="Backlog"/>
    <n v="26"/>
    <n v="0.03"/>
    <n v="1"/>
    <n v="1"/>
    <n v="1"/>
    <n v="100"/>
    <x v="1"/>
  </r>
  <r>
    <x v="0"/>
    <s v="SainteLague"/>
    <n v="597"/>
    <n v="129858"/>
    <s v="Facilitar cambio de direcci√õn entre COs de la misma provincia"/>
    <x v="0"/>
    <x v="0"/>
    <x v="0"/>
    <s v="In Definition"/>
    <n v="69"/>
    <n v="0.03"/>
    <n v="1"/>
    <n v="1"/>
    <n v="1"/>
    <n v="100"/>
    <x v="1"/>
  </r>
  <r>
    <x v="0"/>
    <s v="SainteLague"/>
    <n v="598"/>
    <n v="129895"/>
    <s v="Sistema de seguimiento de rutas de arrastre - Implementaci√õn de eCMR"/>
    <x v="0"/>
    <x v="0"/>
    <x v="0"/>
    <s v="Ready for Solution"/>
    <n v="70"/>
    <n v="0.03"/>
    <n v="1"/>
    <n v="1"/>
    <n v="1"/>
    <n v="100"/>
    <x v="1"/>
  </r>
  <r>
    <x v="0"/>
    <s v="SainteLague"/>
    <n v="599"/>
    <n v="94489"/>
    <s v="Fatura√Å‚Äûo Agentes Payshop - automatiza√Å‚Äûo e integra√Å‚Äûo processo CTT"/>
    <x v="26"/>
    <x v="1"/>
    <x v="1"/>
    <s v="Backlog"/>
    <n v="18"/>
    <n v="0.03"/>
    <n v="1"/>
    <n v="1"/>
    <n v="1"/>
    <n v="100"/>
    <x v="1"/>
  </r>
  <r>
    <x v="0"/>
    <s v="SainteLague"/>
    <n v="600"/>
    <n v="129452"/>
    <s v="[Evolutivos Salesforce] Alarma-77 Clientes reactivados (clientes que se dan de alta sin control)"/>
    <x v="8"/>
    <x v="0"/>
    <x v="2"/>
    <s v="Backlog"/>
    <n v="35"/>
    <n v="0.03"/>
    <n v="1"/>
    <n v="1"/>
    <n v="1"/>
    <n v="100"/>
    <x v="1"/>
  </r>
  <r>
    <x v="0"/>
    <s v="SainteLague"/>
    <n v="601"/>
    <n v="130480"/>
    <s v="Actualizaci√õn de maestro de c√õdigos postales PT en nexus"/>
    <x v="10"/>
    <x v="0"/>
    <x v="3"/>
    <s v="Backlog"/>
    <n v="36"/>
    <n v="0.03"/>
    <n v="1"/>
    <n v="1"/>
    <n v="1"/>
    <n v="100"/>
    <x v="1"/>
  </r>
  <r>
    <x v="0"/>
    <s v="SainteLague"/>
    <n v="602"/>
    <n v="46015"/>
    <s v="Reformular o servi√Åo Alterar Entrega de Correio (SIGA)"/>
    <x v="1"/>
    <x v="1"/>
    <x v="1"/>
    <s v="Backlog"/>
    <n v="26"/>
    <n v="0.03"/>
    <n v="1"/>
    <n v="1"/>
    <n v="1"/>
    <n v="100"/>
    <x v="1"/>
  </r>
  <r>
    <x v="0"/>
    <s v="SainteLague"/>
    <n v="603"/>
    <n v="129669"/>
    <s v="[Qlik] - Tasa de Retenci√õn &amp; Churn Rate (Qlik: Automatizar el modelo)"/>
    <x v="14"/>
    <x v="0"/>
    <x v="1"/>
    <s v="In Definition"/>
    <n v="37"/>
    <n v="0.03"/>
    <n v="1"/>
    <n v="1"/>
    <n v="1"/>
    <n v="100"/>
    <x v="1"/>
  </r>
  <r>
    <x v="0"/>
    <s v="SainteLague"/>
    <n v="604"/>
    <n v="130275"/>
    <s v="[Salesforce Sales] - Completar campo Estado / provincia"/>
    <x v="16"/>
    <x v="0"/>
    <x v="1"/>
    <s v="Backlog"/>
    <n v="35"/>
    <n v="0.03"/>
    <n v="1"/>
    <n v="1"/>
    <n v="1"/>
    <n v="100"/>
    <x v="1"/>
  </r>
  <r>
    <x v="0"/>
    <s v="SainteLague"/>
    <n v="605"/>
    <n v="132060"/>
    <s v="Migra√Å‚Äûo ADO2GitHub - Pipelines CRM"/>
    <x v="12"/>
    <x v="1"/>
    <x v="3"/>
    <s v="Backlog"/>
    <n v="20"/>
    <n v="8"/>
    <n v="2"/>
    <n v="3"/>
    <n v="3"/>
    <n v="1"/>
    <x v="1"/>
  </r>
  <r>
    <x v="0"/>
    <s v="SainteLague"/>
    <n v="606"/>
    <n v="129757"/>
    <s v="API'S para clientes Tipos Servicio Disponibles (Integraci√õn de Clientes)"/>
    <x v="19"/>
    <x v="0"/>
    <x v="1"/>
    <s v="In Definition"/>
    <n v="35"/>
    <n v="0.03"/>
    <n v="1"/>
    <n v="1"/>
    <n v="1"/>
    <n v="100"/>
    <x v="1"/>
  </r>
  <r>
    <x v="0"/>
    <s v="SainteLague"/>
    <n v="607"/>
    <n v="129944"/>
    <s v="C¬∑lculo de la franja horaria de entrega y elaboraci√õn de los KPIS de seguimiento"/>
    <x v="0"/>
    <x v="0"/>
    <x v="0"/>
    <s v="High Level Design"/>
    <n v="71"/>
    <n v="0.03"/>
    <n v="1"/>
    <n v="1"/>
    <n v="1"/>
    <n v="100"/>
    <x v="1"/>
  </r>
  <r>
    <x v="0"/>
    <s v="SainteLague"/>
    <n v="608"/>
    <n v="55478"/>
    <s v="Altera√Å‚Äûo Ficheiro Pontos CTT - Cliente Nespresso"/>
    <x v="7"/>
    <x v="1"/>
    <x v="1"/>
    <s v="In Definition"/>
    <n v="27"/>
    <n v="0.03"/>
    <n v="1"/>
    <n v="1"/>
    <n v="1"/>
    <n v="100"/>
    <x v="1"/>
  </r>
  <r>
    <x v="0"/>
    <s v="SainteLague"/>
    <n v="609"/>
    <n v="130326"/>
    <s v="[Migraci√õn SalesForce a Nexus] - Mantenimiento de Recogidas fijas desde SalesForceV2"/>
    <x v="0"/>
    <x v="0"/>
    <x v="0"/>
    <s v="In Solution"/>
    <n v="72"/>
    <n v="0.03"/>
    <n v="1"/>
    <n v="1"/>
    <n v="1"/>
    <n v="100"/>
    <x v="1"/>
  </r>
  <r>
    <x v="0"/>
    <s v="SainteLague"/>
    <n v="610"/>
    <n v="94915"/>
    <s v="Agentes Payshop - passar ficheiro em access para base de dados"/>
    <x v="26"/>
    <x v="1"/>
    <x v="1"/>
    <s v="Backlog"/>
    <n v="19"/>
    <n v="0.03"/>
    <n v="1"/>
    <n v="1"/>
    <n v="1"/>
    <n v="100"/>
    <x v="1"/>
  </r>
  <r>
    <x v="0"/>
    <s v="SainteLague"/>
    <n v="611"/>
    <n v="129529"/>
    <s v="[Evolutivos SGC Finanzas]  Historificaci√õn datos de facturaci√õn perdidos tras ataque inform¬∑tico (PENDIENTE SOLUCI‚ÄùN DE IT YA PRESENTADA)"/>
    <x v="8"/>
    <x v="0"/>
    <x v="2"/>
    <s v="Backlog"/>
    <n v="36"/>
    <n v="0.03"/>
    <n v="1"/>
    <n v="1"/>
    <n v="1"/>
    <n v="100"/>
    <x v="1"/>
  </r>
  <r>
    <x v="0"/>
    <s v="SainteLague"/>
    <n v="612"/>
    <n v="129679"/>
    <s v="[Desconexi√õn SGC] Evolutivo - Quitar topics SGC (control point, ship-v1,..)"/>
    <x v="10"/>
    <x v="0"/>
    <x v="3"/>
    <s v="High Level Design"/>
    <n v="37"/>
    <n v="0.03"/>
    <n v="1"/>
    <n v="1"/>
    <n v="1"/>
    <n v="100"/>
    <x v="1"/>
  </r>
  <r>
    <x v="0"/>
    <s v="SainteLague"/>
    <n v="613"/>
    <n v="45693"/>
    <s v="PED-2019-00062_PRIO#34_Dinamiza√Å‚Äûo do neg√õcio da exporta√Å‚Äûo"/>
    <x v="1"/>
    <x v="1"/>
    <x v="1"/>
    <s v="Backlog"/>
    <n v="27"/>
    <n v="0.03"/>
    <n v="1"/>
    <n v="1"/>
    <n v="1"/>
    <n v="100"/>
    <x v="1"/>
  </r>
  <r>
    <x v="0"/>
    <s v="SainteLague"/>
    <n v="614"/>
    <n v="130805"/>
    <s v="[Web de clientes] - Crear funci√õn JS que devuelva el ID de los usuarios"/>
    <x v="14"/>
    <x v="0"/>
    <x v="1"/>
    <s v="Backlog"/>
    <n v="38"/>
    <n v="0.03"/>
    <n v="1"/>
    <n v="1"/>
    <n v="1"/>
    <n v="100"/>
    <x v="1"/>
  </r>
  <r>
    <x v="0"/>
    <s v="SainteLague"/>
    <n v="615"/>
    <n v="129545"/>
    <s v="[Salesforce] - Cancelar ofertas no firmadas cuando se cancele una oportunidad"/>
    <x v="16"/>
    <x v="0"/>
    <x v="1"/>
    <s v="Backlog"/>
    <n v="36"/>
    <n v="0.03"/>
    <n v="1"/>
    <n v="1"/>
    <n v="1"/>
    <n v="100"/>
    <x v="1"/>
  </r>
  <r>
    <x v="0"/>
    <s v="SainteLague"/>
    <n v="616"/>
    <n v="127624"/>
    <s v="Implementa√Å‚Äûo QuickWins MagicBeans"/>
    <x v="12"/>
    <x v="1"/>
    <x v="3"/>
    <s v="Backlog"/>
    <n v="21"/>
    <n v="0.03"/>
    <n v="1"/>
    <n v="1"/>
    <n v="1"/>
    <n v="100"/>
    <x v="1"/>
  </r>
  <r>
    <x v="0"/>
    <s v="SainteLague"/>
    <n v="617"/>
    <n v="129408"/>
    <s v="API'S para clientes Routing y Canalizaciones (Integraci√õn de Clientes)"/>
    <x v="19"/>
    <x v="0"/>
    <x v="1"/>
    <s v="In Definition"/>
    <n v="36"/>
    <n v="0.03"/>
    <n v="1"/>
    <n v="1"/>
    <n v="1"/>
    <n v="100"/>
    <x v="1"/>
  </r>
  <r>
    <x v="0"/>
    <s v="SainteLague"/>
    <n v="618"/>
    <n v="130036"/>
    <s v="Notificaciones a PDA desde Portal del Proveedor"/>
    <x v="0"/>
    <x v="0"/>
    <x v="0"/>
    <s v="In Solution"/>
    <n v="73"/>
    <n v="0.03"/>
    <n v="1"/>
    <n v="1"/>
    <n v="1"/>
    <n v="100"/>
    <x v="1"/>
  </r>
  <r>
    <x v="0"/>
    <s v="SainteLague"/>
    <n v="619"/>
    <n v="65058"/>
    <s v="El corte Ingl√çs - Relatorios de Concilia√Å‚Äûo forma automatica"/>
    <x v="7"/>
    <x v="1"/>
    <x v="1"/>
    <s v="In Definition"/>
    <n v="29"/>
    <n v="0.03"/>
    <n v="1"/>
    <n v="1"/>
    <n v="1"/>
    <n v="100"/>
    <x v="1"/>
  </r>
  <r>
    <x v="0"/>
    <s v="SainteLague"/>
    <n v="620"/>
    <n v="131085"/>
    <s v="Evoluci√õn portal de Arrastres V.2"/>
    <x v="0"/>
    <x v="0"/>
    <x v="0"/>
    <s v="In Solution"/>
    <n v="74"/>
    <n v="0.03"/>
    <n v="1"/>
    <n v="1"/>
    <n v="1"/>
    <n v="100"/>
    <x v="1"/>
  </r>
  <r>
    <x v="0"/>
    <s v="SainteLague"/>
    <n v="621"/>
    <n v="129450"/>
    <s v="Portal Proveedores - Facturacion a/de proveedores fuera de SAP, necesidad de adaptar el modulo de proveedores"/>
    <x v="8"/>
    <x v="0"/>
    <x v="2"/>
    <s v="Backlog"/>
    <n v="37"/>
    <n v="0.03"/>
    <n v="1"/>
    <n v="1"/>
    <n v="1"/>
    <n v="100"/>
    <x v="1"/>
  </r>
  <r>
    <x v="0"/>
    <s v="SainteLague"/>
    <n v="622"/>
    <n v="46750"/>
    <s v="Atualiza√Å‚Äûo Cat¬∑logo Produtos e Otimiza√Å‚Äûo de Guias de Remessa (Opera√Åƒ±es de Filatelia)"/>
    <x v="26"/>
    <x v="1"/>
    <x v="1"/>
    <s v="Backlog"/>
    <n v="20"/>
    <n v="0.03"/>
    <n v="1"/>
    <n v="1"/>
    <n v="1"/>
    <n v="100"/>
    <x v="1"/>
  </r>
  <r>
    <x v="0"/>
    <s v="SainteLague"/>
    <n v="623"/>
    <n v="130713"/>
    <s v="Creaci√õn Arquetipo .net"/>
    <x v="10"/>
    <x v="0"/>
    <x v="3"/>
    <s v="In Solution"/>
    <n v="38"/>
    <n v="0.03"/>
    <n v="1"/>
    <n v="1"/>
    <n v="1"/>
    <n v="100"/>
    <x v="1"/>
  </r>
  <r>
    <x v="0"/>
    <s v="SainteLague"/>
    <n v="624"/>
    <n v="129928"/>
    <s v="[Nexus - MVP] [PUDOS] - Desv√åo a PUDO al vuelo en incidencia"/>
    <x v="14"/>
    <x v="0"/>
    <x v="1"/>
    <s v="Backlog"/>
    <n v="39"/>
    <n v="0.03"/>
    <n v="1"/>
    <n v="1"/>
    <n v="1"/>
    <n v="100"/>
    <x v="1"/>
  </r>
  <r>
    <x v="0"/>
    <s v="SainteLague"/>
    <n v="625"/>
    <n v="10379"/>
    <s v="Servi√Åos Reexpedi√Å‚Äûo e Reten√Å‚Äûo - Implementar melhorias"/>
    <x v="1"/>
    <x v="1"/>
    <x v="1"/>
    <s v="Backlog"/>
    <n v="28"/>
    <n v="0.03"/>
    <n v="1"/>
    <n v="1"/>
    <n v="1"/>
    <n v="100"/>
    <x v="1"/>
  </r>
  <r>
    <x v="0"/>
    <s v="SainteLague"/>
    <n v="626"/>
    <n v="129544"/>
    <s v="[Salesforce Sales] - Modificar el CIF de un centro relacionado cuando se modifique un Prospecto"/>
    <x v="16"/>
    <x v="0"/>
    <x v="1"/>
    <s v="In Definition"/>
    <n v="37"/>
    <n v="0.03"/>
    <n v="1"/>
    <n v="1"/>
    <n v="1"/>
    <n v="100"/>
    <x v="1"/>
  </r>
  <r>
    <x v="0"/>
    <s v="SainteLague"/>
    <n v="627"/>
    <n v="132054"/>
    <s v="Observability | Notifications | Alarmistic association to Teams / Squads"/>
    <x v="12"/>
    <x v="1"/>
    <x v="3"/>
    <s v="In Definition"/>
    <n v="22"/>
    <n v="0.03"/>
    <n v="1"/>
    <n v="1"/>
    <n v="1"/>
    <n v="100"/>
    <x v="1"/>
  </r>
  <r>
    <x v="0"/>
    <s v="SainteLague"/>
    <n v="628"/>
    <n v="130293"/>
    <s v="[Salesforce Sales] - Clonar cliente de PRODUCCION en UAT"/>
    <x v="19"/>
    <x v="0"/>
    <x v="1"/>
    <s v="High Level Design"/>
    <n v="37"/>
    <n v="0.03"/>
    <n v="1"/>
    <n v="1"/>
    <n v="1"/>
    <n v="100"/>
    <x v="1"/>
  </r>
  <r>
    <x v="0"/>
    <s v="SainteLague"/>
    <n v="629"/>
    <n v="130699"/>
    <s v="[Qlik Sense][A-Scan] - Nuevos Filtros"/>
    <x v="0"/>
    <x v="0"/>
    <x v="0"/>
    <s v="Ready for Solution"/>
    <n v="75"/>
    <n v="0.03"/>
    <n v="1"/>
    <n v="1"/>
    <n v="1"/>
    <n v="100"/>
    <x v="1"/>
  </r>
  <r>
    <x v="0"/>
    <s v="SainteLague"/>
    <n v="630"/>
    <n v="85248"/>
    <s v="Gest‚Äûo de Stocks Vending em SAP"/>
    <x v="7"/>
    <x v="1"/>
    <x v="1"/>
    <s v="Backlog"/>
    <n v="30"/>
    <n v="0.03"/>
    <n v="1"/>
    <n v="1"/>
    <n v="1"/>
    <n v="100"/>
    <x v="1"/>
  </r>
  <r>
    <x v="0"/>
    <s v="SainteLague"/>
    <n v="631"/>
    <n v="136127"/>
    <s v="Reactivar recursos al iniciar la ruta (Veh√åculos-Conductores)"/>
    <x v="0"/>
    <x v="0"/>
    <x v="0"/>
    <s v="In Definition"/>
    <n v="76"/>
    <n v="0.03"/>
    <n v="1"/>
    <n v="1"/>
    <n v="1"/>
    <n v="100"/>
    <x v="1"/>
  </r>
  <r>
    <x v="0"/>
    <s v="SainteLague"/>
    <n v="632"/>
    <n v="129476"/>
    <s v="[Evolutivos SGC] Adeudos manuales o autom¬∑ticos, (relacionado con trabajo de auditoria interna de ES ya informada en 2022) (Validar por Procesos)"/>
    <x v="8"/>
    <x v="0"/>
    <x v="2"/>
    <s v="Backlog"/>
    <n v="38"/>
    <n v="0.03"/>
    <n v="1"/>
    <n v="1"/>
    <n v="1"/>
    <n v="100"/>
    <x v="1"/>
  </r>
  <r>
    <x v="0"/>
    <s v="SainteLague"/>
    <n v="633"/>
    <n v="169812"/>
    <s v="Planeamento e Controlo Di¬∑rio - Concilia√Å‚Äûo Modelo A"/>
    <x v="26"/>
    <x v="1"/>
    <x v="1"/>
    <s v="Backlog"/>
    <n v="21"/>
    <n v="0.03"/>
    <n v="1"/>
    <n v="1"/>
    <n v="1"/>
    <n v="100"/>
    <x v="1"/>
  </r>
  <r>
    <x v="0"/>
    <s v="SainteLague"/>
    <n v="634"/>
    <n v="129776"/>
    <s v="Habilitar registro de incidencias &quot;Llegada por error&quot; y &quot;Mercanc√åa no enlazada&quot; a trav√às del c√õdigo de barras del sin√õnimo."/>
    <x v="10"/>
    <x v="0"/>
    <x v="3"/>
    <s v="High Level Design"/>
    <n v="39"/>
    <n v="0.03"/>
    <n v="1"/>
    <n v="1"/>
    <n v="1"/>
    <n v="100"/>
    <x v="1"/>
  </r>
  <r>
    <x v="0"/>
    <s v="SainteLague"/>
    <n v="635"/>
    <n v="130255"/>
    <s v="[Desconexi√õn SGC] [ FR y BR Web de clientes] - Proyecto Cloud (borrador)"/>
    <x v="14"/>
    <x v="0"/>
    <x v="1"/>
    <s v="In Definition"/>
    <n v="40"/>
    <n v="0.03"/>
    <n v="1"/>
    <n v="1"/>
    <n v="1"/>
    <n v="100"/>
    <x v="1"/>
  </r>
  <r>
    <x v="0"/>
    <s v="SainteLague"/>
    <n v="636"/>
    <n v="140413"/>
    <s v="Simulador Correio Editorial - Jornais e Publica√Åƒ±es Peri√õdicas (JPP)  e Livros"/>
    <x v="1"/>
    <x v="1"/>
    <x v="1"/>
    <s v="Backlog"/>
    <n v="29"/>
    <n v="0.03"/>
    <n v="1"/>
    <n v="1"/>
    <n v="1"/>
    <n v="100"/>
    <x v="1"/>
  </r>
  <r>
    <x v="0"/>
    <s v="SainteLague"/>
    <n v="637"/>
    <n v="129542"/>
    <s v="[Salesforce Sales] - Control de avance de una oportunidad en funci√õn de las fechas de los hitos necesarias"/>
    <x v="16"/>
    <x v="0"/>
    <x v="1"/>
    <s v="In Definition"/>
    <n v="38"/>
    <n v="0.03"/>
    <n v="1"/>
    <n v="1"/>
    <n v="1"/>
    <n v="100"/>
    <x v="1"/>
  </r>
  <r>
    <x v="0"/>
    <s v="SainteLague"/>
    <n v="638"/>
    <n v="129863"/>
    <s v="Publicar en Mule para Integrations recipient_available_actions"/>
    <x v="19"/>
    <x v="0"/>
    <x v="1"/>
    <s v="In Definition"/>
    <n v="38"/>
    <n v="0.03"/>
    <n v="1"/>
    <n v="1"/>
    <n v="1"/>
    <n v="100"/>
    <x v="1"/>
  </r>
  <r>
    <x v="0"/>
    <s v="SainteLague"/>
    <n v="639"/>
    <n v="132956"/>
    <s v="TFS Migration - NAVE"/>
    <x v="12"/>
    <x v="1"/>
    <x v="3"/>
    <s v="Backlog"/>
    <n v="23"/>
    <n v="0.03"/>
    <n v="1"/>
    <n v="1"/>
    <n v="1"/>
    <n v="100"/>
    <x v="1"/>
  </r>
  <r>
    <x v="0"/>
    <s v="SainteLague"/>
    <n v="640"/>
    <n v="135612"/>
    <s v="Mejora de visualizaci√õn en PDA last-mail env√åos balanceados por SENDA &quot;LIBRA&quot;"/>
    <x v="0"/>
    <x v="0"/>
    <x v="0"/>
    <s v="Backlog"/>
    <n v="77"/>
    <n v="0.03"/>
    <n v="1"/>
    <n v="1"/>
    <n v="1"/>
    <n v="100"/>
    <x v="1"/>
  </r>
  <r>
    <x v="0"/>
    <s v="SainteLague"/>
    <n v="641"/>
    <n v="88579"/>
    <s v="Automatiza√Å‚Äûo de valida√Å‚Äûo do QR Code de Selos"/>
    <x v="7"/>
    <x v="1"/>
    <x v="1"/>
    <s v="In Definition"/>
    <n v="31"/>
    <n v="0.03"/>
    <n v="1"/>
    <n v="1"/>
    <n v="1"/>
    <n v="100"/>
    <x v="1"/>
  </r>
  <r>
    <x v="0"/>
    <s v="SainteLague"/>
    <n v="642"/>
    <n v="135153"/>
    <s v="Mejora creaci√õn servicios espor¬∑dicos"/>
    <x v="0"/>
    <x v="0"/>
    <x v="0"/>
    <s v="In Definition"/>
    <n v="78"/>
    <n v="0.03"/>
    <n v="1"/>
    <n v="1"/>
    <n v="1"/>
    <n v="100"/>
    <x v="1"/>
  </r>
  <r>
    <x v="0"/>
    <s v="SainteLague"/>
    <n v="643"/>
    <n v="129474"/>
    <s v="[Evolutivos SGC] Cambio de agencia de cargo en un env√åo / Utilizacion de agencia de facturacion, (p√àrdida de funcionalidad)"/>
    <x v="8"/>
    <x v="0"/>
    <x v="2"/>
    <s v="Backlog"/>
    <n v="39"/>
    <n v="0.03"/>
    <n v="1"/>
    <n v="1"/>
    <n v="1"/>
    <n v="100"/>
    <x v="1"/>
  </r>
  <r>
    <x v="0"/>
    <s v="SainteLague"/>
    <n v="644"/>
    <n v="142362"/>
    <s v="Adiantamentos para D+1 a PCTT encerrados em D"/>
    <x v="26"/>
    <x v="1"/>
    <x v="1"/>
    <s v="Backlog"/>
    <n v="22"/>
    <n v="0.03"/>
    <n v="1"/>
    <n v="1"/>
    <n v="1"/>
    <n v="100"/>
    <x v="1"/>
  </r>
  <r>
    <x v="0"/>
    <s v="SainteLague"/>
    <n v="645"/>
    <n v="130239"/>
    <s v="[Desconexi√õn SGC] Cambio Maestro de canalizaciones en COs"/>
    <x v="10"/>
    <x v="0"/>
    <x v="3"/>
    <s v="In Definition"/>
    <n v="40"/>
    <n v="0.03"/>
    <n v="1"/>
    <n v="1"/>
    <n v="1"/>
    <n v="100"/>
    <x v="1"/>
  </r>
  <r>
    <x v="0"/>
    <s v="SainteLague"/>
    <n v="646"/>
    <n v="129939"/>
    <s v="[Internacional] - Informar a FedEx del valor asegurado del env√åo"/>
    <x v="14"/>
    <x v="0"/>
    <x v="1"/>
    <s v="In Definition"/>
    <n v="41"/>
    <n v="0.03"/>
    <n v="1"/>
    <n v="1"/>
    <n v="1"/>
    <n v="100"/>
    <x v="1"/>
  </r>
  <r>
    <x v="0"/>
    <s v="SainteLague"/>
    <n v="647"/>
    <n v="42573"/>
    <s v="Desenvolvimentos NAVe - Aceita√Å‚Äûo campanhas DM inferiores a 100obj"/>
    <x v="1"/>
    <x v="1"/>
    <x v="1"/>
    <s v="Backlog"/>
    <n v="30"/>
    <n v="0.03"/>
    <n v="1"/>
    <n v="1"/>
    <n v="1"/>
    <n v="100"/>
    <x v="1"/>
  </r>
  <r>
    <x v="0"/>
    <s v="SainteLague"/>
    <n v="648"/>
    <n v="129546"/>
    <s v="[Salesforce Sales] - Notificaci√õn al usuario cuando el campo IBAN de Reembolsos sea cumplimentado"/>
    <x v="16"/>
    <x v="0"/>
    <x v="1"/>
    <s v="In Definition"/>
    <n v="39"/>
    <n v="0.03"/>
    <n v="1"/>
    <n v="1"/>
    <n v="1"/>
    <n v="100"/>
    <x v="1"/>
  </r>
  <r>
    <x v="0"/>
    <s v="SainteLague"/>
    <n v="649"/>
    <n v="129549"/>
    <s v="[Desconexi√õn SGC] [WebHook] - Dupla Logistics - Env√åo de estados"/>
    <x v="19"/>
    <x v="0"/>
    <x v="1"/>
    <s v="In Definition"/>
    <n v="39"/>
    <n v="0.03"/>
    <n v="1"/>
    <n v="1"/>
    <n v="1"/>
    <n v="100"/>
    <x v="1"/>
  </r>
  <r>
    <x v="0"/>
    <s v="SainteLague"/>
    <n v="650"/>
    <n v="173201"/>
    <s v="IOP | CrushFTP - migra√Å‚Äûo de CentOS para Ubuntu"/>
    <x v="12"/>
    <x v="1"/>
    <x v="3"/>
    <s v="Backlog"/>
    <n v="24"/>
    <n v="0.03"/>
    <n v="1"/>
    <n v="1"/>
    <n v="1"/>
    <n v="100"/>
    <x v="1"/>
  </r>
  <r>
    <x v="0"/>
    <s v="SainteLague"/>
    <n v="651"/>
    <n v="134467"/>
    <s v="Portal de Proveedores - Implementar rec¬∑lculo autom¬∑tico de liquidaciones Linehaul de rutas espor¬∑dicas"/>
    <x v="0"/>
    <x v="0"/>
    <x v="0"/>
    <s v="In Definition"/>
    <n v="79"/>
    <n v="0.03"/>
    <n v="1"/>
    <n v="1"/>
    <n v="1"/>
    <n v="100"/>
    <x v="1"/>
  </r>
  <r>
    <x v="0"/>
    <s v="SainteLague"/>
    <n v="652"/>
    <n v="133185"/>
    <s v="Sistema de seguimiento de rutas de arrastre - v2"/>
    <x v="0"/>
    <x v="0"/>
    <x v="0"/>
    <s v="Backlog"/>
    <n v="80"/>
    <n v="0.03"/>
    <n v="1"/>
    <n v="1"/>
    <n v="1"/>
    <n v="100"/>
    <x v="1"/>
  </r>
  <r>
    <x v="0"/>
    <s v="SainteLague"/>
    <n v="653"/>
    <n v="91539"/>
    <s v="D. Oferta - atualiza√Å‚Äûo base de dados dos empregados CTT em NAVe"/>
    <x v="7"/>
    <x v="1"/>
    <x v="1"/>
    <s v="Backlog"/>
    <n v="32"/>
    <n v="0.03"/>
    <n v="1"/>
    <n v="1"/>
    <n v="1"/>
    <n v="100"/>
    <x v="1"/>
  </r>
  <r>
    <x v="0"/>
    <s v="SainteLague"/>
    <n v="654"/>
    <n v="129478"/>
    <s v="[Evolutivos SGC]  Recuperar Doble click en grid inferior valoracion de servicios, no abre las tablas como antes para editar y cambios, (p√àrdida esta funcionalidad importante)"/>
    <x v="8"/>
    <x v="0"/>
    <x v="2"/>
    <s v="Backlog"/>
    <n v="40"/>
    <n v="0.03"/>
    <n v="1"/>
    <n v="1"/>
    <n v="1"/>
    <n v="100"/>
    <x v="1"/>
  </r>
  <r>
    <x v="0"/>
    <s v="SainteLague"/>
    <n v="655"/>
    <n v="129721"/>
    <s v="[SGC] Actualizar protocolo de comunicaciones TLS"/>
    <x v="10"/>
    <x v="0"/>
    <x v="3"/>
    <s v="In Solution"/>
    <n v="41"/>
    <n v="0.03"/>
    <n v="1"/>
    <n v="1"/>
    <n v="1"/>
    <n v="100"/>
    <x v="1"/>
  </r>
  <r>
    <x v="0"/>
    <s v="SainteLague"/>
    <n v="656"/>
    <n v="160028"/>
    <s v="BFT - Faturas com 4 casas decimais"/>
    <x v="26"/>
    <x v="1"/>
    <x v="1"/>
    <s v="Backlog"/>
    <n v="23"/>
    <n v="0.03"/>
    <n v="1"/>
    <n v="1"/>
    <n v="1"/>
    <n v="100"/>
    <x v="1"/>
  </r>
  <r>
    <x v="0"/>
    <s v="SainteLague"/>
    <n v="657"/>
    <n v="130739"/>
    <s v="[Salesforce] - Nuevos sectores empresariales en Candidatos y Cuentas"/>
    <x v="14"/>
    <x v="0"/>
    <x v="1"/>
    <s v="High Level Design"/>
    <n v="42"/>
    <n v="0.03"/>
    <n v="1"/>
    <n v="1"/>
    <n v="1"/>
    <n v="100"/>
    <x v="1"/>
  </r>
  <r>
    <x v="0"/>
    <s v="SainteLague"/>
    <n v="658"/>
    <n v="131994"/>
    <s v="INT| -  Reconstru√Å‚Äûo dos processos de LOGs do SD mulesoft no ELK coorporativo."/>
    <x v="12"/>
    <x v="1"/>
    <x v="3"/>
    <s v="Backlog"/>
    <n v="25"/>
    <n v="0.03"/>
    <n v="1"/>
    <n v="1"/>
    <n v="1"/>
    <n v="100"/>
    <x v="1"/>
  </r>
  <r>
    <x v="0"/>
    <s v="SainteLague"/>
    <n v="659"/>
    <n v="131120"/>
    <s v="[SGC] - Cargar perfil tarifario en clientes con perfiles vac√åos"/>
    <x v="16"/>
    <x v="0"/>
    <x v="1"/>
    <s v="Backlog"/>
    <n v="40"/>
    <n v="0.03"/>
    <n v="1"/>
    <n v="1"/>
    <n v="1"/>
    <n v="100"/>
    <x v="1"/>
  </r>
  <r>
    <x v="0"/>
    <s v="SainteLague"/>
    <n v="660"/>
    <n v="130024"/>
    <s v="[Desconexi√õn SGC] [WebHook] - Celeritas - Transmisi√õn de estados"/>
    <x v="19"/>
    <x v="0"/>
    <x v="1"/>
    <s v="In Definition"/>
    <n v="40"/>
    <n v="0.03"/>
    <n v="1"/>
    <n v="1"/>
    <n v="1"/>
    <n v="100"/>
    <x v="1"/>
  </r>
  <r>
    <x v="0"/>
    <s v="SainteLague"/>
    <n v="661"/>
    <n v="87975"/>
    <s v="Automatiza√Å‚Äûo do Registo de Tarefas em CRM Provenientes de Intera√Åƒ±es em GoContact"/>
    <x v="7"/>
    <x v="1"/>
    <x v="1"/>
    <s v="Backlog"/>
    <n v="33"/>
    <n v="0.03"/>
    <n v="1"/>
    <n v="1"/>
    <n v="1"/>
    <n v="100"/>
    <x v="1"/>
  </r>
  <r>
    <x v="0"/>
    <s v="SainteLague"/>
    <n v="662"/>
    <n v="131086"/>
    <s v="Evoluci√õn portal de LastMile V.2"/>
    <x v="0"/>
    <x v="0"/>
    <x v="0"/>
    <s v="In Solution"/>
    <n v="81"/>
    <n v="0.03"/>
    <n v="1"/>
    <n v="1"/>
    <n v="1"/>
    <n v="100"/>
    <x v="1"/>
  </r>
  <r>
    <x v="0"/>
    <s v="SainteLague"/>
    <n v="663"/>
    <n v="129473"/>
    <s v="[Evolutivos SGC] Recuperar Acceso a modificacion de tarifas y configuracion del &quot;Microservicio&quot; (p√àrdida de funcionalidad importante)"/>
    <x v="8"/>
    <x v="0"/>
    <x v="2"/>
    <s v="Backlog"/>
    <n v="41"/>
    <n v="0.03"/>
    <n v="1"/>
    <n v="1"/>
    <n v="1"/>
    <n v="100"/>
    <x v="1"/>
  </r>
  <r>
    <x v="0"/>
    <s v="SainteLague"/>
    <n v="664"/>
    <n v="192862"/>
    <s v="Cria√Å‚Äûo Se√Å‚Äûo dados Complementares"/>
    <x v="26"/>
    <x v="1"/>
    <x v="1"/>
    <s v="Backlog"/>
    <n v="24"/>
    <n v="0.03"/>
    <n v="1"/>
    <n v="1"/>
    <n v="1"/>
    <n v="100"/>
    <x v="1"/>
  </r>
  <r>
    <x v="0"/>
    <s v="SainteLague"/>
    <n v="665"/>
    <n v="129492"/>
    <s v="Estabilidad? - Migraci√õn‚Ä†Conflluent?"/>
    <x v="10"/>
    <x v="0"/>
    <x v="3"/>
    <s v="Backlog"/>
    <n v="42"/>
    <n v="0.03"/>
    <n v="1"/>
    <n v="1"/>
    <n v="1"/>
    <n v="100"/>
    <x v="1"/>
  </r>
  <r>
    <x v="0"/>
    <s v="SainteLague"/>
    <n v="666"/>
    <n v="129758"/>
    <s v="[NEXUS] [Web de cambios] - Transformaci√õn web de cambios - Redise√ío y tecnolog√åa React"/>
    <x v="14"/>
    <x v="0"/>
    <x v="1"/>
    <s v="Pitch"/>
    <n v="43"/>
    <n v="0.03"/>
    <n v="1"/>
    <n v="1"/>
    <n v="1"/>
    <n v="100"/>
    <x v="1"/>
  </r>
  <r>
    <x v="0"/>
    <s v="SainteLague"/>
    <n v="667"/>
    <n v="71332"/>
    <s v="IOP | Sistemas - Migra√Å‚Äûo -  Nova Farm Hyper V Lisboa - Wave 3"/>
    <x v="12"/>
    <x v="1"/>
    <x v="3"/>
    <s v="Backlog"/>
    <n v="26"/>
    <n v="0.03"/>
    <n v="1"/>
    <n v="1"/>
    <n v="1"/>
    <n v="100"/>
    <x v="1"/>
  </r>
  <r>
    <x v="0"/>
    <s v="SainteLague"/>
    <n v="668"/>
    <n v="134447"/>
    <s v="[Minerva] - Actualizaci√õn del d√åa de pago en la oferta cuando el comercial lo modifique en una Opp. de Salesforce"/>
    <x v="16"/>
    <x v="0"/>
    <x v="1"/>
    <s v="High Level Design"/>
    <n v="41"/>
    <n v="0.03"/>
    <n v="1"/>
    <n v="1"/>
    <n v="1"/>
    <n v="100"/>
    <x v="1"/>
  </r>
  <r>
    <x v="0"/>
    <s v="SainteLague"/>
    <n v="669"/>
    <n v="130145"/>
    <s v="Manifest - Estandarizaci√õn de formato DNI en env√åoscon adicional RID: Transformaci√õn autom¬∑tica a mayÀôsculas"/>
    <x v="19"/>
    <x v="0"/>
    <x v="1"/>
    <s v="Backlog"/>
    <n v="41"/>
    <n v="0.03"/>
    <n v="1"/>
    <n v="1"/>
    <n v="1"/>
    <n v="100"/>
    <x v="1"/>
  </r>
  <r>
    <x v="0"/>
    <s v="SainteLague"/>
    <n v="670"/>
    <n v="76303"/>
    <s v="Correio Registado Self-Service| Envios a partir da SuperApp e Site CTT"/>
    <x v="7"/>
    <x v="1"/>
    <x v="1"/>
    <s v="Backlog"/>
    <n v="34"/>
    <n v="0.03"/>
    <n v="1"/>
    <n v="1"/>
    <n v="1"/>
    <n v="100"/>
    <x v="1"/>
  </r>
  <r>
    <x v="0"/>
    <s v="SainteLague"/>
    <n v="671"/>
    <n v="129803"/>
    <s v="Web Clientes? - Automatizacion para Generacion y envio automatico de informes, Portal cliente"/>
    <x v="8"/>
    <x v="0"/>
    <x v="2"/>
    <s v="Backlog"/>
    <n v="42"/>
    <n v="0.03"/>
    <n v="1"/>
    <n v="1"/>
    <n v="1"/>
    <n v="100"/>
    <x v="1"/>
  </r>
  <r>
    <x v="0"/>
    <s v="SainteLague"/>
    <n v="672"/>
    <n v="133246"/>
    <s v="Impressoras Termicas (Clientes Externos) - certifica√Å‚Äûo de varios modelos e handover para EM"/>
    <x v="26"/>
    <x v="1"/>
    <x v="1"/>
    <s v="Backlog"/>
    <n v="25"/>
    <n v="0.03"/>
    <n v="1"/>
    <n v="1"/>
    <n v="1"/>
    <n v="100"/>
    <x v="1"/>
  </r>
  <r>
    <x v="0"/>
    <s v="SainteLague"/>
    <n v="673"/>
    <n v="130492"/>
    <s v="[Tech] [Desconexi√õn SGC] Desconexi√õn API WebTracking a Item-history (bitacora)"/>
    <x v="10"/>
    <x v="0"/>
    <x v="3"/>
    <s v="In Solution"/>
    <n v="43"/>
    <n v="0.03"/>
    <n v="1"/>
    <n v="1"/>
    <n v="1"/>
    <n v="100"/>
    <x v="1"/>
  </r>
  <r>
    <x v="0"/>
    <s v="SainteLague"/>
    <n v="674"/>
    <n v="130443"/>
    <s v="[Web de clientes] - Seguimiento 2.0 - Redise√ío de la secci√õn de seguimiento"/>
    <x v="14"/>
    <x v="0"/>
    <x v="1"/>
    <s v="Backlog"/>
    <n v="44"/>
    <n v="0.03"/>
    <n v="1"/>
    <n v="1"/>
    <n v="1"/>
    <n v="100"/>
    <x v="1"/>
  </r>
  <r>
    <x v="0"/>
    <s v="SainteLague"/>
    <n v="675"/>
    <n v="132062"/>
    <s v="BPM - Upgrade WebSphere"/>
    <x v="12"/>
    <x v="1"/>
    <x v="3"/>
    <s v="Backlog"/>
    <n v="27"/>
    <n v="7"/>
    <n v="3"/>
    <n v="2"/>
    <n v="2"/>
    <n v="1"/>
    <x v="1"/>
  </r>
  <r>
    <x v="0"/>
    <s v="SainteLague"/>
    <n v="676"/>
    <n v="136973"/>
    <s v="[Salesforce Sales] - Incorporaci√õn de nuevos Subsegmentos SME"/>
    <x v="16"/>
    <x v="0"/>
    <x v="1"/>
    <s v="Backlog"/>
    <n v="42"/>
    <n v="0.03"/>
    <n v="1"/>
    <n v="1"/>
    <n v="1"/>
    <n v="100"/>
    <x v="1"/>
  </r>
  <r>
    <x v="0"/>
    <s v="SainteLague"/>
    <n v="677"/>
    <n v="129535"/>
    <s v="[Salesforce Integraci√õn Clientes] - Nueva l√õgica creaci√õn de implementaciones"/>
    <x v="19"/>
    <x v="0"/>
    <x v="1"/>
    <s v="High Level Design"/>
    <n v="42"/>
    <n v="0.03"/>
    <n v="1"/>
    <n v="1"/>
    <n v="1"/>
    <n v="100"/>
    <x v="1"/>
  </r>
  <r>
    <x v="0"/>
    <s v="SainteLague"/>
    <n v="678"/>
    <n v="16889"/>
    <s v="Dona Oferta √± Dados de recibo/fatura autom¬∑ticos"/>
    <x v="7"/>
    <x v="1"/>
    <x v="1"/>
    <s v="Backlog"/>
    <n v="37"/>
    <n v="0.03"/>
    <n v="1"/>
    <n v="1"/>
    <n v="1"/>
    <n v="100"/>
    <x v="1"/>
  </r>
  <r>
    <x v="0"/>
    <s v="SainteLague"/>
    <n v="679"/>
    <n v="129471"/>
    <s v="[Evolutivos SGC]  Aplicaci√õn de la densidad cuando el CP no existe, confirmar IT si todo el proceso esta acabado (Incidencia)"/>
    <x v="8"/>
    <x v="0"/>
    <x v="2"/>
    <s v="Backlog"/>
    <n v="43"/>
    <n v="0.03"/>
    <n v="1"/>
    <n v="1"/>
    <n v="1"/>
    <n v="100"/>
    <x v="1"/>
  </r>
  <r>
    <x v="0"/>
    <s v="SainteLague"/>
    <n v="680"/>
    <n v="130166"/>
    <s v="[Desconexi√õn SGC] Migraci√õn exportaci√õn de informes de SGC a Cloud"/>
    <x v="10"/>
    <x v="0"/>
    <x v="3"/>
    <s v="Backlog"/>
    <n v="44"/>
    <n v="0.03"/>
    <n v="1"/>
    <n v="1"/>
    <n v="1"/>
    <n v="100"/>
    <x v="1"/>
  </r>
  <r>
    <x v="0"/>
    <s v="SainteLague"/>
    <n v="681"/>
    <n v="132278"/>
    <s v="dotCMS - update da vers‚Äûo"/>
    <x v="12"/>
    <x v="1"/>
    <x v="3"/>
    <s v="Backlog"/>
    <n v="28"/>
    <n v="0.03"/>
    <n v="1"/>
    <n v="1"/>
    <n v="1"/>
    <n v="100"/>
    <x v="1"/>
  </r>
  <r>
    <x v="0"/>
    <s v="SainteLague"/>
    <n v="682"/>
    <n v="130732"/>
    <s v="[PUDOS] [Web clientes] - A√íadir campo nombre rtt en RDP"/>
    <x v="14"/>
    <x v="0"/>
    <x v="1"/>
    <s v="Backlog"/>
    <n v="45"/>
    <n v="0.03"/>
    <n v="1"/>
    <n v="1"/>
    <n v="1"/>
    <n v="100"/>
    <x v="1"/>
  </r>
  <r>
    <x v="0"/>
    <s v="SainteLague"/>
    <n v="683"/>
    <n v="136913"/>
    <s v="[Qlik] - App Control de Efectivos (incorporaci√õn de Kpis)"/>
    <x v="16"/>
    <x v="0"/>
    <x v="1"/>
    <s v="Backlog"/>
    <n v="43"/>
    <n v="0.03"/>
    <n v="1"/>
    <n v="1"/>
    <n v="1"/>
    <n v="100"/>
    <x v="1"/>
  </r>
  <r>
    <x v="0"/>
    <s v="SainteLague"/>
    <n v="684"/>
    <n v="50206"/>
    <s v="Tradu√Å‚Äûo do Site e da App"/>
    <x v="7"/>
    <x v="1"/>
    <x v="1"/>
    <s v="Backlog"/>
    <n v="38"/>
    <n v="0.03"/>
    <n v="1"/>
    <n v="1"/>
    <n v="1"/>
    <n v="100"/>
    <x v="1"/>
  </r>
  <r>
    <x v="0"/>
    <s v="SainteLague"/>
    <n v="685"/>
    <n v="129554"/>
    <s v="[Salesforce Integraci√õn Clientes] - Automatizar el cierre de una implementaci√õn exitosa"/>
    <x v="19"/>
    <x v="0"/>
    <x v="1"/>
    <s v="Backlog"/>
    <n v="43"/>
    <n v="0.03"/>
    <n v="1"/>
    <n v="1"/>
    <n v="1"/>
    <n v="100"/>
    <x v="1"/>
  </r>
  <r>
    <x v="0"/>
    <s v="SainteLague"/>
    <n v="686"/>
    <n v="129443"/>
    <s v="[Alarmas Finanzas] Alarma-45 Reporte/Alerta de servicios antes del cierre &quot;Keysoft&quot;"/>
    <x v="8"/>
    <x v="0"/>
    <x v="2"/>
    <s v="Backlog"/>
    <n v="44"/>
    <n v="0.03"/>
    <n v="1"/>
    <n v="1"/>
    <n v="1"/>
    <n v="100"/>
    <x v="1"/>
  </r>
  <r>
    <x v="0"/>
    <s v="SainteLague"/>
    <n v="687"/>
    <n v="127619"/>
    <s v="Configuration Profiles Endpoint"/>
    <x v="12"/>
    <x v="1"/>
    <x v="3"/>
    <s v="Backlog"/>
    <n v="29"/>
    <n v="0.03"/>
    <n v="1"/>
    <n v="1"/>
    <n v="1"/>
    <n v="100"/>
    <x v="1"/>
  </r>
  <r>
    <x v="0"/>
    <s v="SainteLague"/>
    <n v="688"/>
    <n v="130076"/>
    <s v="[Desconexi√õn SGC] [Auditoria PT]  Controles para garantizar la integraci√õn correcta de la informaci√õn entre microservicio &quot;Manifiestos&quot; y SGC"/>
    <x v="10"/>
    <x v="0"/>
    <x v="3"/>
    <s v="Backlog"/>
    <n v="45"/>
    <n v="0.03"/>
    <n v="1"/>
    <n v="1"/>
    <n v="1"/>
    <n v="100"/>
    <x v="1"/>
  </r>
  <r>
    <x v="0"/>
    <s v="SainteLague"/>
    <n v="689"/>
    <n v="46558"/>
    <s v="A receita dos Pontos ctt n‚Äûo NAVe"/>
    <x v="7"/>
    <x v="1"/>
    <x v="1"/>
    <s v="Backlog"/>
    <n v="39"/>
    <n v="0.03"/>
    <n v="1"/>
    <n v="1"/>
    <n v="1"/>
    <n v="100"/>
    <x v="1"/>
  </r>
  <r>
    <x v="0"/>
    <s v="SainteLague"/>
    <n v="690"/>
    <n v="130676"/>
    <s v="[Web de Clientes] - Visualizar costes de los servicios adicionales en la web de clientes"/>
    <x v="14"/>
    <x v="0"/>
    <x v="1"/>
    <s v="Backlog"/>
    <n v="46"/>
    <n v="0.03"/>
    <n v="1"/>
    <n v="1"/>
    <n v="1"/>
    <n v="100"/>
    <x v="1"/>
  </r>
  <r>
    <x v="0"/>
    <s v="SainteLague"/>
    <n v="691"/>
    <n v="135029"/>
    <s v="[Salesforce Sales] - Brokers y MBE: Permitir generaci√õn de usuarios web"/>
    <x v="16"/>
    <x v="0"/>
    <x v="1"/>
    <s v="Backlog"/>
    <n v="44"/>
    <n v="0.03"/>
    <n v="1"/>
    <n v="1"/>
    <n v="1"/>
    <n v="100"/>
    <x v="1"/>
  </r>
  <r>
    <x v="0"/>
    <s v="SainteLague"/>
    <n v="692"/>
    <n v="125544"/>
    <s v="Observability | Alarm Catalog Standardization through applications"/>
    <x v="12"/>
    <x v="1"/>
    <x v="3"/>
    <s v="In Definition"/>
    <n v="30"/>
    <n v="0.08"/>
    <n v="5"/>
    <n v="2"/>
    <n v="1"/>
    <n v="100"/>
    <x v="1"/>
  </r>
  <r>
    <x v="0"/>
    <s v="SainteLague"/>
    <n v="693"/>
    <n v="129555"/>
    <s v="[Salesforce] - Relacionar una implementaci√õn entre varios clientes que cuelgan de un mismo grupo de empresa"/>
    <x v="19"/>
    <x v="0"/>
    <x v="1"/>
    <s v="High Level Design"/>
    <n v="44"/>
    <n v="0.03"/>
    <n v="1"/>
    <n v="1"/>
    <n v="1"/>
    <n v="100"/>
    <x v="1"/>
  </r>
  <r>
    <x v="0"/>
    <s v="SainteLague"/>
    <n v="694"/>
    <n v="129468"/>
    <s v="[Evolutivos SGC] Acceso a tabla de retasados (NO las muestra si hay varias por validez en gestion de tablas) + Acceso Retasados microservicios (revisar Juancho)"/>
    <x v="8"/>
    <x v="0"/>
    <x v="2"/>
    <s v="Backlog"/>
    <n v="45"/>
    <n v="0.03"/>
    <n v="1"/>
    <n v="1"/>
    <n v="1"/>
    <n v="100"/>
    <x v="1"/>
  </r>
  <r>
    <x v="0"/>
    <s v="SainteLague"/>
    <n v="695"/>
    <n v="113960"/>
    <s v="Informa√Å‚Äûo das vendas por colaborador E nif"/>
    <x v="7"/>
    <x v="1"/>
    <x v="1"/>
    <s v="Backlog"/>
    <n v="40"/>
    <n v="0.03"/>
    <n v="1"/>
    <n v="1"/>
    <n v="1"/>
    <n v="100"/>
    <x v="1"/>
  </r>
  <r>
    <x v="0"/>
    <s v="SainteLague"/>
    <n v="696"/>
    <n v="130489"/>
    <s v="crear plantilla de colecciones de mongodb"/>
    <x v="10"/>
    <x v="0"/>
    <x v="3"/>
    <s v="Backlog"/>
    <n v="46"/>
    <n v="0.03"/>
    <n v="1"/>
    <n v="1"/>
    <n v="1"/>
    <n v="100"/>
    <x v="1"/>
  </r>
  <r>
    <x v="0"/>
    <s v="SainteLague"/>
    <n v="697"/>
    <n v="130351"/>
    <s v="[Web de clientes] - Funcionalidad de gestionar y visualizar el seguimiento de los Retornados"/>
    <x v="14"/>
    <x v="0"/>
    <x v="1"/>
    <s v="In Solution"/>
    <n v="47"/>
    <n v="0.03"/>
    <n v="1"/>
    <n v="1"/>
    <n v="1"/>
    <n v="100"/>
    <x v="1"/>
  </r>
  <r>
    <x v="0"/>
    <s v="SainteLague"/>
    <n v="698"/>
    <n v="125693"/>
    <s v="Upgrade servidores OutSystems para Windows Server 2022"/>
    <x v="12"/>
    <x v="1"/>
    <x v="3"/>
    <s v="Backlog"/>
    <n v="31"/>
    <n v="0.03"/>
    <n v="1"/>
    <n v="1"/>
    <n v="1"/>
    <n v="100"/>
    <x v="1"/>
  </r>
  <r>
    <x v="0"/>
    <s v="SainteLague"/>
    <n v="699"/>
    <n v="131087"/>
    <s v="[WE SELL] - Carga de nuevo modelo tarifario PT Continental 2026"/>
    <x v="16"/>
    <x v="0"/>
    <x v="1"/>
    <s v="Ready for Solution"/>
    <n v="45"/>
    <n v="0.03"/>
    <n v="1"/>
    <n v="1"/>
    <n v="1"/>
    <n v="100"/>
    <x v="1"/>
  </r>
  <r>
    <x v="0"/>
    <s v="SainteLague"/>
    <n v="700"/>
    <n v="130567"/>
    <s v="[ID LOGISTICS] Estados De Portugal no visibles en SGC/API REST y URL web en Espa√ía (env√åos origen ES, destino PT)"/>
    <x v="19"/>
    <x v="0"/>
    <x v="1"/>
    <s v="Backlog"/>
    <n v="45"/>
    <n v="0.03"/>
    <n v="1"/>
    <n v="1"/>
    <n v="1"/>
    <n v="100"/>
    <x v="1"/>
  </r>
  <r>
    <x v="0"/>
    <s v="SainteLague"/>
    <n v="701"/>
    <n v="196287"/>
    <s v="Afeta√Å‚Äûo correta da receita de produtos/servi√Åos faturados fora do SAP ao respetivo gestor comercial B2B e Lojas e Loja Online"/>
    <x v="7"/>
    <x v="1"/>
    <x v="1"/>
    <s v="Backlog"/>
    <n v="41"/>
    <n v="0.03"/>
    <n v="1"/>
    <n v="1"/>
    <n v="1"/>
    <n v="100"/>
    <x v="1"/>
  </r>
  <r>
    <x v="0"/>
    <s v="SainteLague"/>
    <n v="702"/>
    <n v="129446"/>
    <s v="[Alarmas Finanzas] Alarma-75 Comprobar env√åos en agencias desactivadas"/>
    <x v="8"/>
    <x v="0"/>
    <x v="2"/>
    <s v="Backlog"/>
    <n v="46"/>
    <n v="0.03"/>
    <n v="1"/>
    <n v="1"/>
    <n v="1"/>
    <n v="100"/>
    <x v="1"/>
  </r>
  <r>
    <x v="0"/>
    <s v="SainteLague"/>
    <n v="703"/>
    <n v="126587"/>
    <s v="Renova√Å‚Äûo DNS - Infoblox"/>
    <x v="12"/>
    <x v="1"/>
    <x v="3"/>
    <s v="Ready for Solution"/>
    <n v="32"/>
    <n v="0.03"/>
    <n v="1"/>
    <n v="1"/>
    <n v="1"/>
    <n v="100"/>
    <x v="1"/>
  </r>
  <r>
    <x v="0"/>
    <s v="SainteLague"/>
    <n v="704"/>
    <n v="130490"/>
    <s v="crear indice atlas search"/>
    <x v="10"/>
    <x v="0"/>
    <x v="3"/>
    <s v="Backlog"/>
    <n v="47"/>
    <n v="0.03"/>
    <n v="1"/>
    <n v="1"/>
    <n v="1"/>
    <n v="100"/>
    <x v="1"/>
  </r>
  <r>
    <x v="0"/>
    <s v="SainteLague"/>
    <n v="705"/>
    <n v="129831"/>
    <s v="[PRODUCTO] [Web de Clientes] - Puentes de Env√åos a / desde Canarias, Ceuta y Melilla"/>
    <x v="14"/>
    <x v="0"/>
    <x v="1"/>
    <s v="In Definition"/>
    <n v="48"/>
    <n v="0.03"/>
    <n v="1"/>
    <n v="1"/>
    <n v="1"/>
    <n v="100"/>
    <x v="1"/>
  </r>
  <r>
    <x v="0"/>
    <s v="SainteLague"/>
    <n v="706"/>
    <n v="190603"/>
    <s v="Formul¬∑rio Criar Envio de Correio Internacional | Supress‚Äûo do Servi√Åo Especial de Cobran√Åa no Correio Registado para o ‚Äömbito Internacional"/>
    <x v="7"/>
    <x v="1"/>
    <x v="1"/>
    <s v="Backlog"/>
    <n v="42"/>
    <n v="0.03"/>
    <n v="1"/>
    <n v="1"/>
    <n v="1"/>
    <n v="100"/>
    <x v="1"/>
  </r>
  <r>
    <x v="0"/>
    <s v="SainteLague"/>
    <n v="707"/>
    <n v="130484"/>
    <s v="[Nexus] - We Sell (Lead to Contract) - Modelos tarifarios en funci√õn de Zona Comercial"/>
    <x v="16"/>
    <x v="0"/>
    <x v="1"/>
    <s v="High Level Design"/>
    <n v="46"/>
    <n v="0.03"/>
    <n v="1"/>
    <n v="1"/>
    <n v="1"/>
    <n v="100"/>
    <x v="1"/>
  </r>
  <r>
    <x v="0"/>
    <s v="SainteLague"/>
    <n v="708"/>
    <n v="130340"/>
    <s v="[Desconexi√õn SGC] - Migraci√õn exportaci√õn estados e informes a Cloud"/>
    <x v="19"/>
    <x v="0"/>
    <x v="1"/>
    <s v="Backlog"/>
    <n v="46"/>
    <n v="0.03"/>
    <n v="1"/>
    <n v="1"/>
    <n v="1"/>
    <n v="100"/>
    <x v="1"/>
  </r>
  <r>
    <x v="0"/>
    <s v="SainteLague"/>
    <n v="709"/>
    <n v="127626"/>
    <s v="Expurgo automatic sharepoint e Team"/>
    <x v="12"/>
    <x v="1"/>
    <x v="3"/>
    <s v="Backlog"/>
    <n v="34"/>
    <n v="0.03"/>
    <n v="1"/>
    <n v="1"/>
    <n v="1"/>
    <n v="100"/>
    <x v="1"/>
  </r>
  <r>
    <x v="0"/>
    <s v="SainteLague"/>
    <n v="710"/>
    <n v="129447"/>
    <s v="[Alarmas Finanzas] Alarma-56 Env√åos abonados m¬∑s de una vez"/>
    <x v="8"/>
    <x v="0"/>
    <x v="2"/>
    <s v="Backlog"/>
    <n v="47"/>
    <n v="0.03"/>
    <n v="1"/>
    <n v="1"/>
    <n v="1"/>
    <n v="100"/>
    <x v="1"/>
  </r>
  <r>
    <x v="0"/>
    <s v="SainteLague"/>
    <n v="711"/>
    <n v="130349"/>
    <s v="Dise√íar flujos de Trabajo IA - React"/>
    <x v="10"/>
    <x v="0"/>
    <x v="3"/>
    <s v="Backlog"/>
    <n v="48"/>
    <n v="0.03"/>
    <n v="1"/>
    <n v="1"/>
    <n v="1"/>
    <n v="100"/>
    <x v="1"/>
  </r>
  <r>
    <x v="0"/>
    <s v="SainteLague"/>
    <n v="712"/>
    <n v="190312"/>
    <s v="Informa√Å‚Äûo  Clientes Ocasionais"/>
    <x v="7"/>
    <x v="1"/>
    <x v="1"/>
    <s v="Backlog"/>
    <n v="43"/>
    <n v="0.03"/>
    <n v="1"/>
    <n v="1"/>
    <n v="1"/>
    <n v="100"/>
    <x v="1"/>
  </r>
  <r>
    <x v="0"/>
    <s v="SainteLague"/>
    <n v="713"/>
    <n v="129881"/>
    <s v="[Procesos] - Reenv√åo notificaciones env√åos en incidencia estacionados"/>
    <x v="14"/>
    <x v="0"/>
    <x v="1"/>
    <s v="In Definition"/>
    <n v="49"/>
    <n v="0.03"/>
    <n v="1"/>
    <n v="1"/>
    <n v="1"/>
    <n v="100"/>
    <x v="1"/>
  </r>
  <r>
    <x v="0"/>
    <s v="SainteLague"/>
    <n v="714"/>
    <n v="130278"/>
    <s v="[Salesforce Sales] - Notificaciones del Plan de Acompa√íamiento autom¬∑ticas"/>
    <x v="16"/>
    <x v="0"/>
    <x v="1"/>
    <s v="Backlog"/>
    <n v="47"/>
    <n v="0.03"/>
    <n v="1"/>
    <n v="1"/>
    <n v="1"/>
    <n v="100"/>
    <x v="1"/>
  </r>
  <r>
    <x v="0"/>
    <s v="SainteLague"/>
    <n v="715"/>
    <n v="132063"/>
    <s v="ODM - Uniformiza√Å‚Äûo Ambiente Produtivo"/>
    <x v="12"/>
    <x v="1"/>
    <x v="3"/>
    <s v="Backlog"/>
    <n v="35"/>
    <n v="7"/>
    <n v="3"/>
    <n v="2"/>
    <n v="2"/>
    <n v="1"/>
    <x v="1"/>
  </r>
  <r>
    <x v="0"/>
    <s v="SainteLague"/>
    <n v="716"/>
    <n v="130475"/>
    <s v="Odoo - Implementaci√õn remitente personalizado"/>
    <x v="19"/>
    <x v="0"/>
    <x v="1"/>
    <s v="Backlog"/>
    <n v="47"/>
    <n v="0.03"/>
    <n v="1"/>
    <n v="1"/>
    <n v="1"/>
    <n v="100"/>
    <x v="1"/>
  </r>
  <r>
    <x v="0"/>
    <s v="SainteLague"/>
    <n v="717"/>
    <n v="129448"/>
    <s v="[Alarmas Finanzas] Alarma-55 Env√åos pendientes de valorizar o sin facturar del mes anterior"/>
    <x v="8"/>
    <x v="0"/>
    <x v="2"/>
    <s v="Backlog"/>
    <n v="48"/>
    <n v="0.03"/>
    <n v="1"/>
    <n v="1"/>
    <n v="1"/>
    <n v="100"/>
    <x v="1"/>
  </r>
  <r>
    <x v="0"/>
    <s v="SainteLague"/>
    <n v="718"/>
    <n v="173452"/>
    <s v="UPDATE | SOLU¬´‚àöO TRANSFORMA¬´‚àöO | RELAT‚ÄùRIO SERIAL NUMBER EXPEDI¬´‚àöO"/>
    <x v="7"/>
    <x v="1"/>
    <x v="1"/>
    <s v="Backlog"/>
    <n v="45"/>
    <n v="0.03"/>
    <n v="1"/>
    <n v="1"/>
    <n v="1"/>
    <n v="100"/>
    <x v="1"/>
  </r>
  <r>
    <x v="0"/>
    <s v="SainteLague"/>
    <n v="719"/>
    <n v="130350"/>
    <s v="Analisis protocolos MCP para integraci√õn de clientes"/>
    <x v="10"/>
    <x v="0"/>
    <x v="3"/>
    <s v="Backlog"/>
    <n v="49"/>
    <n v="0.03"/>
    <n v="1"/>
    <n v="1"/>
    <n v="1"/>
    <n v="100"/>
    <x v="1"/>
  </r>
  <r>
    <x v="0"/>
    <s v="SainteLague"/>
    <n v="720"/>
    <n v="98564"/>
    <s v="CCP | Commercial Catalog | Synchronization with SAP"/>
    <x v="12"/>
    <x v="1"/>
    <x v="3"/>
    <s v="Backlog"/>
    <n v="36"/>
    <n v="0.03"/>
    <n v="1"/>
    <n v="1"/>
    <n v="1"/>
    <n v="100"/>
    <x v="1"/>
  </r>
  <r>
    <x v="0"/>
    <s v="SainteLague"/>
    <n v="721"/>
    <n v="129530"/>
    <s v="[Qlik] - CANDIDATES MANAGEMENT (Crear un modelo para medir las campa√ías de MK)"/>
    <x v="14"/>
    <x v="0"/>
    <x v="1"/>
    <s v="Backlog"/>
    <n v="50"/>
    <n v="0.03"/>
    <n v="1"/>
    <n v="1"/>
    <n v="1"/>
    <n v="100"/>
    <x v="1"/>
  </r>
  <r>
    <x v="0"/>
    <s v="SainteLague"/>
    <n v="722"/>
    <n v="129662"/>
    <s v="Nueva estrategia de integraci√õn de Clientes (TC)"/>
    <x v="16"/>
    <x v="0"/>
    <x v="1"/>
    <s v="Backlog"/>
    <n v="48"/>
    <n v="0.03"/>
    <n v="1"/>
    <n v="1"/>
    <n v="1"/>
    <n v="100"/>
    <x v="1"/>
  </r>
  <r>
    <x v="0"/>
    <s v="SainteLague"/>
    <n v="723"/>
    <n v="160300"/>
    <s v="Incus‚Äûo de informa√Å‚Äûo da √¨Fatura√Å‚Äûo prevista√Æ e √¨Tr¬∑fego previsto nos Relatorios"/>
    <x v="7"/>
    <x v="1"/>
    <x v="1"/>
    <s v="Backlog"/>
    <n v="46"/>
    <n v="0.03"/>
    <n v="1"/>
    <n v="1"/>
    <n v="1"/>
    <n v="100"/>
    <x v="1"/>
  </r>
  <r>
    <x v="0"/>
    <s v="SainteLague"/>
    <n v="724"/>
    <n v="130556"/>
    <s v="Identificacion Clientes y Metodos de integracion que usan [Objetos con origen en Espa√ía sin Cp7]"/>
    <x v="19"/>
    <x v="0"/>
    <x v="1"/>
    <s v="Backlog"/>
    <n v="48"/>
    <n v="0.03"/>
    <n v="1"/>
    <n v="1"/>
    <n v="1"/>
    <n v="100"/>
    <x v="1"/>
  </r>
  <r>
    <x v="0"/>
    <s v="SainteLague"/>
    <n v="725"/>
    <n v="129482"/>
    <s v="[Compras] Implantaci√õn e-Compras - Nueva Web venta material clientes (proyecto de finanzas 2023)"/>
    <x v="8"/>
    <x v="0"/>
    <x v="2"/>
    <s v="Backlog"/>
    <n v="49"/>
    <n v="0.03"/>
    <n v="1"/>
    <n v="1"/>
    <n v="1"/>
    <n v="100"/>
    <x v="1"/>
  </r>
  <r>
    <x v="0"/>
    <s v="SainteLague"/>
    <n v="726"/>
    <n v="126578"/>
    <s v="Reformula√Å‚Äûo do servi√Åo HDDTM"/>
    <x v="12"/>
    <x v="1"/>
    <x v="3"/>
    <s v="Backlog"/>
    <n v="37"/>
    <n v="0.03"/>
    <n v="1"/>
    <n v="1"/>
    <n v="1"/>
    <n v="100"/>
    <x v="1"/>
  </r>
  <r>
    <x v="0"/>
    <s v="SainteLague"/>
    <n v="727"/>
    <n v="130440"/>
    <s v="Autodocumentacion Integraci√õn Mulesoft con IA"/>
    <x v="10"/>
    <x v="0"/>
    <x v="3"/>
    <s v="Backlog"/>
    <n v="50"/>
    <n v="0.03"/>
    <n v="1"/>
    <n v="1"/>
    <n v="1"/>
    <n v="100"/>
    <x v="1"/>
  </r>
  <r>
    <x v="0"/>
    <s v="SainteLague"/>
    <n v="728"/>
    <n v="129674"/>
    <s v="[PUDOS] - Herramienta de seguimiento de recogidas infructuosas de caducados"/>
    <x v="14"/>
    <x v="0"/>
    <x v="1"/>
    <s v="Backlog"/>
    <n v="51"/>
    <n v="0.03"/>
    <n v="1"/>
    <n v="1"/>
    <n v="1"/>
    <n v="100"/>
    <x v="1"/>
  </r>
  <r>
    <x v="0"/>
    <s v="SainteLague"/>
    <n v="729"/>
    <n v="159032"/>
    <s v="Aplica√Å‚Äûo OPL6 compromete a seguran√Åa do ecossistema CTT,"/>
    <x v="7"/>
    <x v="1"/>
    <x v="1"/>
    <s v="Backlog"/>
    <n v="47"/>
    <n v="0.03"/>
    <n v="1"/>
    <n v="1"/>
    <n v="1"/>
    <n v="100"/>
    <x v="1"/>
  </r>
  <r>
    <x v="0"/>
    <s v="SainteLague"/>
    <n v="730"/>
    <n v="129653"/>
    <s v="Revisi√õn feedback a Clientes conectados a SGC (legacy)"/>
    <x v="16"/>
    <x v="0"/>
    <x v="1"/>
    <s v="Backlog"/>
    <n v="49"/>
    <n v="0.03"/>
    <n v="1"/>
    <n v="1"/>
    <n v="1"/>
    <n v="100"/>
    <x v="1"/>
  </r>
  <r>
    <x v="0"/>
    <s v="SainteLague"/>
    <n v="731"/>
    <n v="130885"/>
    <s v="Prestashop- Habilitar adicionales identificaci√õn en destino y verificacion destinatario"/>
    <x v="19"/>
    <x v="0"/>
    <x v="1"/>
    <s v="Backlog"/>
    <n v="49"/>
    <n v="0.03"/>
    <n v="1"/>
    <n v="1"/>
    <n v="1"/>
    <n v="100"/>
    <x v="1"/>
  </r>
  <r>
    <x v="0"/>
    <s v="SainteLague"/>
    <n v="732"/>
    <n v="127817"/>
    <s v="ODIN | Muticloud"/>
    <x v="12"/>
    <x v="1"/>
    <x v="3"/>
    <s v="Backlog"/>
    <n v="38"/>
    <n v="3.5"/>
    <n v="5"/>
    <n v="1"/>
    <n v="1"/>
    <n v="2"/>
    <x v="1"/>
  </r>
  <r>
    <x v="0"/>
    <s v="SainteLague"/>
    <n v="733"/>
    <n v="129467"/>
    <s v="[Evolutivos SGC] Cambio de c√õdigo de Cliente al rectificar un servicio, confirmar IT si todo el proceso esta acabado (Incidencia)"/>
    <x v="8"/>
    <x v="0"/>
    <x v="2"/>
    <s v="Backlog"/>
    <n v="50"/>
    <n v="0.03"/>
    <n v="1"/>
    <n v="1"/>
    <n v="1"/>
    <n v="100"/>
    <x v="1"/>
  </r>
  <r>
    <x v="0"/>
    <s v="SainteLague"/>
    <n v="734"/>
    <n v="146437"/>
    <s v="BPM - Processo de Regulariza√Å‚Äûo de Movimentos Manual"/>
    <x v="7"/>
    <x v="1"/>
    <x v="1"/>
    <s v="Backlog"/>
    <n v="48"/>
    <n v="0.03"/>
    <n v="1"/>
    <n v="1"/>
    <n v="1"/>
    <n v="100"/>
    <x v="1"/>
  </r>
  <r>
    <x v="0"/>
    <s v="SainteLague"/>
    <n v="735"/>
    <n v="130573"/>
    <s v="Creaci√õn arquetipo desarrollo React"/>
    <x v="10"/>
    <x v="0"/>
    <x v="3"/>
    <s v="Backlog"/>
    <n v="51"/>
    <n v="0.03"/>
    <n v="1"/>
    <n v="1"/>
    <n v="1"/>
    <n v="100"/>
    <x v="1"/>
  </r>
  <r>
    <x v="0"/>
    <s v="SainteLague"/>
    <n v="736"/>
    <n v="129675"/>
    <s v="[PUDOS] - Filtrado - Depuraci√õn en env√åos a direcci√õn PUDO sin PER"/>
    <x v="14"/>
    <x v="0"/>
    <x v="1"/>
    <s v="Backlog"/>
    <n v="52"/>
    <n v="0.03"/>
    <n v="1"/>
    <n v="1"/>
    <n v="1"/>
    <n v="100"/>
    <x v="1"/>
  </r>
  <r>
    <x v="0"/>
    <s v="SainteLague"/>
    <n v="737"/>
    <n v="95633"/>
    <s v="Assinaturas de autenticidade emails"/>
    <x v="12"/>
    <x v="1"/>
    <x v="3"/>
    <s v="Backlog"/>
    <n v="39"/>
    <n v="0.03"/>
    <n v="1"/>
    <n v="1"/>
    <n v="1"/>
    <n v="100"/>
    <x v="1"/>
  </r>
  <r>
    <x v="0"/>
    <s v="SainteLague"/>
    <n v="738"/>
    <n v="129562"/>
    <s v="[Auditoria PT] [Salesforce Sales] - (Des)Activaci√õn de clientes centros y usuarios por cese o impagos"/>
    <x v="16"/>
    <x v="0"/>
    <x v="1"/>
    <s v="In Definition"/>
    <n v="50"/>
    <n v="0.03"/>
    <n v="1"/>
    <n v="1"/>
    <n v="1"/>
    <n v="100"/>
    <x v="1"/>
  </r>
  <r>
    <x v="0"/>
    <s v="SainteLague"/>
    <n v="739"/>
    <n v="130888"/>
    <s v="WooCommerce- Habilitar adicionales identificaci√õn en destino y verificacion destinatario"/>
    <x v="19"/>
    <x v="0"/>
    <x v="1"/>
    <s v="Backlog"/>
    <n v="50"/>
    <n v="0.03"/>
    <n v="1"/>
    <n v="1"/>
    <n v="1"/>
    <n v="100"/>
    <x v="1"/>
  </r>
  <r>
    <x v="0"/>
    <s v="SainteLague"/>
    <n v="740"/>
    <n v="123106"/>
    <s v="GS B2C - Evolu√Å‚Äûo do sistema de Gest‚Äûo da informa√Å‚Äûo Geogr¬∑fica da Rede"/>
    <x v="7"/>
    <x v="1"/>
    <x v="1"/>
    <s v="In Definition"/>
    <n v="50"/>
    <n v="0.03"/>
    <n v="1"/>
    <n v="1"/>
    <n v="1"/>
    <n v="100"/>
    <x v="1"/>
  </r>
  <r>
    <x v="0"/>
    <s v="SainteLague"/>
    <n v="741"/>
    <n v="129480"/>
    <s v="[Evolutivos Salesforce]  Asignacion de tarifas por cliente master - Salesforce/Minerva (posibilidad de clientes centro con tarifas diferentes) (Validar por Herramientas Comerciales)"/>
    <x v="8"/>
    <x v="0"/>
    <x v="2"/>
    <s v="Backlog"/>
    <n v="51"/>
    <n v="0.03"/>
    <n v="1"/>
    <n v="1"/>
    <n v="1"/>
    <n v="100"/>
    <x v="1"/>
  </r>
  <r>
    <x v="0"/>
    <s v="SainteLague"/>
    <n v="742"/>
    <n v="130622"/>
    <s v="Incluir en nexia opciones multi-idioma"/>
    <x v="10"/>
    <x v="0"/>
    <x v="3"/>
    <s v="Backlog"/>
    <n v="52"/>
    <n v="0.03"/>
    <n v="1"/>
    <n v="1"/>
    <n v="1"/>
    <n v="100"/>
    <x v="1"/>
  </r>
  <r>
    <x v="0"/>
    <s v="SainteLague"/>
    <n v="743"/>
    <n v="126580"/>
    <s v="Estudo para levantamento e alternativa ao MUS (Microsoft)"/>
    <x v="12"/>
    <x v="1"/>
    <x v="3"/>
    <s v="Backlog"/>
    <n v="40"/>
    <n v="0.03"/>
    <n v="1"/>
    <n v="1"/>
    <n v="1"/>
    <n v="100"/>
    <x v="1"/>
  </r>
  <r>
    <x v="0"/>
    <s v="SainteLague"/>
    <n v="744"/>
    <n v="130442"/>
    <s v="[Salesforce Sales] - Configuraci√õn campos/variables Pardot"/>
    <x v="14"/>
    <x v="0"/>
    <x v="1"/>
    <s v="Backlog"/>
    <n v="53"/>
    <n v="0.03"/>
    <n v="1"/>
    <n v="1"/>
    <n v="1"/>
    <n v="100"/>
    <x v="1"/>
  </r>
  <r>
    <x v="0"/>
    <s v="SainteLague"/>
    <n v="745"/>
    <n v="129560"/>
    <s v="[Salesforce] - Gesti√õn de casos asignados al ¬∑rea comercial"/>
    <x v="16"/>
    <x v="0"/>
    <x v="1"/>
    <s v="Backlog"/>
    <n v="51"/>
    <n v="0.03"/>
    <n v="1"/>
    <n v="1"/>
    <n v="1"/>
    <n v="100"/>
    <x v="1"/>
  </r>
  <r>
    <x v="0"/>
    <s v="SainteLague"/>
    <n v="746"/>
    <n v="66650"/>
    <s v="GS B2C - Disponibiliza√Å‚Äûo de informa√Å‚Äûo do Data Analytics sobre Sessƒ±es NAVe"/>
    <x v="7"/>
    <x v="1"/>
    <x v="1"/>
    <s v="Backlog"/>
    <n v="51"/>
    <n v="0.03"/>
    <n v="1"/>
    <n v="1"/>
    <n v="1"/>
    <n v="100"/>
    <x v="1"/>
  </r>
  <r>
    <x v="0"/>
    <s v="SainteLague"/>
    <n v="747"/>
    <n v="130891"/>
    <s v="Shopify- Habilitar adicionales identificaci√õn en destino y verificacion destinatario"/>
    <x v="19"/>
    <x v="0"/>
    <x v="1"/>
    <s v="In Definition"/>
    <n v="51"/>
    <n v="0.03"/>
    <n v="1"/>
    <n v="1"/>
    <n v="1"/>
    <n v="100"/>
    <x v="1"/>
  </r>
  <r>
    <x v="0"/>
    <s v="SainteLague"/>
    <n v="748"/>
    <n v="129466"/>
    <s v="[Evolutivos SGC] Aplicar correctamente los impuestos en funci√õn de la combinaci√õn art√åculo-zona, Solicitud de 2015 potenciales problemas fiscales"/>
    <x v="8"/>
    <x v="0"/>
    <x v="2"/>
    <s v="Backlog"/>
    <n v="52"/>
    <n v="0.03"/>
    <n v="1"/>
    <n v="1"/>
    <n v="1"/>
    <n v="100"/>
    <x v="1"/>
  </r>
  <r>
    <x v="0"/>
    <s v="SainteLague"/>
    <n v="749"/>
    <n v="131989"/>
    <s v="INT| -  Mata Aplica√Åƒ±es Wave 1.1X - Tradutor"/>
    <x v="12"/>
    <x v="1"/>
    <x v="3"/>
    <s v="Backlog"/>
    <n v="41"/>
    <n v="0.03"/>
    <n v="1"/>
    <n v="1"/>
    <n v="1"/>
    <n v="100"/>
    <x v="1"/>
  </r>
  <r>
    <x v="0"/>
    <s v="SainteLague"/>
    <n v="750"/>
    <n v="130625"/>
    <s v="Desconectar servidor SFTP SGC"/>
    <x v="10"/>
    <x v="0"/>
    <x v="3"/>
    <s v="Backlog"/>
    <n v="53"/>
    <n v="0.03"/>
    <n v="1"/>
    <n v="1"/>
    <n v="1"/>
    <n v="100"/>
    <x v="1"/>
  </r>
  <r>
    <x v="0"/>
    <s v="SainteLague"/>
    <n v="751"/>
    <n v="50482"/>
    <s v="GS B2C - Disponibiliza√Å‚Äûo de dados de vendas Filatelia dos canais FIL e DTI"/>
    <x v="7"/>
    <x v="1"/>
    <x v="1"/>
    <s v="Backlog"/>
    <n v="53"/>
    <n v="0.03"/>
    <n v="1"/>
    <n v="1"/>
    <n v="1"/>
    <n v="100"/>
    <x v="1"/>
  </r>
  <r>
    <x v="0"/>
    <s v="SainteLague"/>
    <n v="752"/>
    <n v="129862"/>
    <s v="[PUDOS] [Web de Clientes] - EDP y RDP: Tarificaci√õn por bonificaci√õn de servicios 24H y 48H"/>
    <x v="14"/>
    <x v="0"/>
    <x v="1"/>
    <s v="In Definition"/>
    <n v="54"/>
    <n v="0.03"/>
    <n v="1"/>
    <n v="1"/>
    <n v="1"/>
    <n v="100"/>
    <x v="1"/>
  </r>
  <r>
    <x v="0"/>
    <s v="SainteLague"/>
    <n v="753"/>
    <n v="129557"/>
    <s v="[Salesforce Sales] - Nuevo Campo Cuenta tipo Cliente y centro: &quot;Gesti√õn por&quot;"/>
    <x v="16"/>
    <x v="0"/>
    <x v="1"/>
    <s v="In Definition"/>
    <n v="52"/>
    <n v="0.03"/>
    <n v="1"/>
    <n v="1"/>
    <n v="1"/>
    <n v="100"/>
    <x v="1"/>
  </r>
  <r>
    <x v="0"/>
    <s v="SainteLague"/>
    <n v="754"/>
    <n v="192640"/>
    <s v="IOP | DNS private resolvers - descontinuar bind em 2 vms ubuntu"/>
    <x v="12"/>
    <x v="1"/>
    <x v="3"/>
    <s v="Backlog"/>
    <n v="42"/>
    <n v="0.03"/>
    <n v="1"/>
    <n v="1"/>
    <n v="1"/>
    <n v="100"/>
    <x v="1"/>
  </r>
  <r>
    <x v="0"/>
    <s v="SainteLague"/>
    <n v="755"/>
    <n v="130902"/>
    <s v="[API GET TRACKING BY DATES] - WEB TRACKING - A√íadir c√õdigo env√åo devoluci√õn - API Rest, capa User Experience"/>
    <x v="19"/>
    <x v="0"/>
    <x v="1"/>
    <s v="Backlog"/>
    <n v="52"/>
    <n v="0.03"/>
    <n v="1"/>
    <n v="1"/>
    <n v="1"/>
    <n v="100"/>
    <x v="1"/>
  </r>
  <r>
    <x v="0"/>
    <s v="SainteLague"/>
    <n v="756"/>
    <n v="129464"/>
    <s v="[Evolutivos SGC] Recuperar el Numero de factura emitida en grid de valoracion de servicios, (perdida de funcionalidad)"/>
    <x v="8"/>
    <x v="0"/>
    <x v="2"/>
    <s v="Backlog"/>
    <n v="53"/>
    <n v="0.03"/>
    <n v="1"/>
    <n v="1"/>
    <n v="1"/>
    <n v="100"/>
    <x v="1"/>
  </r>
  <r>
    <x v="0"/>
    <s v="SainteLague"/>
    <n v="757"/>
    <n v="48860"/>
    <s v="B2C - Dados Vendas Dona Oferta - via Data Analytics"/>
    <x v="7"/>
    <x v="1"/>
    <x v="1"/>
    <s v="Backlog"/>
    <n v="54"/>
    <n v="0.03"/>
    <n v="1"/>
    <n v="1"/>
    <n v="1"/>
    <n v="100"/>
    <x v="1"/>
  </r>
  <r>
    <x v="0"/>
    <s v="SainteLague"/>
    <n v="758"/>
    <n v="130647"/>
    <s v="Dise√íar Flujos de trabajo IA - .Net"/>
    <x v="10"/>
    <x v="0"/>
    <x v="3"/>
    <s v="Backlog"/>
    <n v="54"/>
    <n v="0.03"/>
    <n v="1"/>
    <n v="1"/>
    <n v="1"/>
    <n v="100"/>
    <x v="1"/>
  </r>
  <r>
    <x v="0"/>
    <s v="SainteLague"/>
    <n v="759"/>
    <n v="129865"/>
    <s v="[Notificaciones] - Optimizaci√õn colas de salida de notificaciones, Control y Autonom√åa de gesti√õn en marketing"/>
    <x v="14"/>
    <x v="0"/>
    <x v="1"/>
    <s v="In Definition"/>
    <n v="55"/>
    <n v="0.03"/>
    <n v="1"/>
    <n v="1"/>
    <n v="1"/>
    <n v="100"/>
    <x v="1"/>
  </r>
  <r>
    <x v="0"/>
    <s v="SainteLague"/>
    <n v="760"/>
    <n v="132059"/>
    <s v="Mata Aplica√Åƒ±es - Wave 1.15 - CRM Oracle Sales"/>
    <x v="12"/>
    <x v="1"/>
    <x v="3"/>
    <s v="Backlog"/>
    <n v="43"/>
    <n v="3"/>
    <n v="3"/>
    <n v="3"/>
    <n v="3"/>
    <n v="3"/>
    <x v="1"/>
  </r>
  <r>
    <x v="0"/>
    <s v="SainteLague"/>
    <n v="761"/>
    <n v="129556"/>
    <s v="[Salesforce Sales] - No mostrar campo 'Motivo de baja' cuando el estado de una cuenta pase a 'Activo'"/>
    <x v="16"/>
    <x v="0"/>
    <x v="1"/>
    <s v="In Definition"/>
    <n v="53"/>
    <n v="0.03"/>
    <n v="1"/>
    <n v="1"/>
    <n v="1"/>
    <n v="100"/>
    <x v="1"/>
  </r>
  <r>
    <x v="0"/>
    <s v="SainteLague"/>
    <n v="762"/>
    <n v="130931"/>
    <s v="Herramienta Soporte ADT en Nexia"/>
    <x v="19"/>
    <x v="0"/>
    <x v="1"/>
    <s v="In Definition"/>
    <n v="53"/>
    <n v="0.03"/>
    <n v="1"/>
    <n v="1"/>
    <n v="1"/>
    <n v="100"/>
    <x v="1"/>
  </r>
  <r>
    <x v="0"/>
    <s v="SainteLague"/>
    <n v="763"/>
    <n v="10344"/>
    <s v="Melhorias de funcionamento nos Tablets das Lojas"/>
    <x v="7"/>
    <x v="1"/>
    <x v="1"/>
    <s v="Backlog"/>
    <n v="55"/>
    <n v="0.03"/>
    <n v="1"/>
    <n v="1"/>
    <n v="1"/>
    <n v="100"/>
    <x v="1"/>
  </r>
  <r>
    <x v="0"/>
    <s v="SainteLague"/>
    <n v="764"/>
    <n v="129462"/>
    <s v="[Alarmas Finanzas] Servicios pendientes de meses anteriores que pasen al mes siguiente a modulo de facturaci√õn una vez cerrado el mes (PENDIENTE DE SOLUCI‚ÄùN DE IT YA PRESENTADA)"/>
    <x v="8"/>
    <x v="0"/>
    <x v="2"/>
    <s v="Backlog"/>
    <n v="54"/>
    <n v="0.03"/>
    <n v="1"/>
    <n v="1"/>
    <n v="1"/>
    <n v="100"/>
    <x v="1"/>
  </r>
  <r>
    <x v="0"/>
    <s v="SainteLague"/>
    <n v="765"/>
    <n v="132219"/>
    <s v="CCP | Configure alerts for all CCP applications"/>
    <x v="12"/>
    <x v="1"/>
    <x v="3"/>
    <s v="Backlog"/>
    <n v="44"/>
    <n v="3.5"/>
    <n v="3"/>
    <n v="2"/>
    <n v="2"/>
    <n v="2"/>
    <x v="1"/>
  </r>
  <r>
    <x v="0"/>
    <s v="SainteLague"/>
    <n v="766"/>
    <n v="130021"/>
    <s v="[Desconexi√õn SGC] M√õdulo de tasaci√õn Cloud"/>
    <x v="10"/>
    <x v="0"/>
    <x v="3"/>
    <s v="Backlog"/>
    <n v="55"/>
    <n v="0.03"/>
    <n v="1"/>
    <n v="1"/>
    <n v="1"/>
    <n v="100"/>
    <x v="1"/>
  </r>
  <r>
    <x v="0"/>
    <s v="SainteLague"/>
    <n v="767"/>
    <n v="130741"/>
    <s v="[Web PÀôblica 2.0] - Gesti√õn de Consentimientos de env√åos de mails y promociones"/>
    <x v="14"/>
    <x v="0"/>
    <x v="1"/>
    <s v="In Definition"/>
    <n v="56"/>
    <n v="0.03"/>
    <n v="1"/>
    <n v="1"/>
    <n v="1"/>
    <n v="100"/>
    <x v="1"/>
  </r>
  <r>
    <x v="0"/>
    <s v="SainteLague"/>
    <n v="768"/>
    <n v="10345"/>
    <s v="Altera√Å‚Äûo SGFE √± PRIMA TD 200"/>
    <x v="7"/>
    <x v="1"/>
    <x v="1"/>
    <s v="Backlog"/>
    <n v="56"/>
    <n v="0.03"/>
    <n v="1"/>
    <n v="1"/>
    <n v="1"/>
    <n v="100"/>
    <x v="1"/>
  </r>
  <r>
    <x v="0"/>
    <s v="SainteLague"/>
    <n v="769"/>
    <n v="130523"/>
    <s v="Incluir fichero con versionado sobre hist√õrico de cambios (novedades y fixes) en todos los modulos"/>
    <x v="19"/>
    <x v="0"/>
    <x v="1"/>
    <s v="In Definition"/>
    <n v="54"/>
    <n v="0.03"/>
    <n v="1"/>
    <n v="1"/>
    <n v="1"/>
    <n v="100"/>
    <x v="1"/>
  </r>
  <r>
    <x v="0"/>
    <s v="SainteLague"/>
    <n v="770"/>
    <n v="129461"/>
    <s v="[Evolutivo SGC] Adeudos RE2 y RE11 cargados el Àôltimo d√åa del mes pasadas las 17:00 horas (Pasar a Operaciones)"/>
    <x v="8"/>
    <x v="0"/>
    <x v="2"/>
    <s v="Backlog"/>
    <n v="55"/>
    <n v="0.03"/>
    <n v="1"/>
    <n v="1"/>
    <n v="1"/>
    <n v="100"/>
    <x v="1"/>
  </r>
  <r>
    <x v="0"/>
    <s v="SainteLague"/>
    <n v="771"/>
    <n v="126588"/>
    <s v="Renova√Å‚Äûo ativos rede Datacenter CTT Express (Lisboa e Barcelona)"/>
    <x v="12"/>
    <x v="1"/>
    <x v="3"/>
    <s v="Backlog"/>
    <n v="45"/>
    <n v="0.03"/>
    <n v="1"/>
    <n v="1"/>
    <n v="1"/>
    <n v="100"/>
    <x v="1"/>
  </r>
  <r>
    <x v="0"/>
    <s v="SainteLague"/>
    <n v="772"/>
    <n v="130662"/>
    <s v="Migraci√õn Microservicios a SLA nuevo"/>
    <x v="10"/>
    <x v="0"/>
    <x v="3"/>
    <s v="In Definition"/>
    <n v="56"/>
    <n v="0.03"/>
    <n v="1"/>
    <n v="1"/>
    <n v="1"/>
    <n v="100"/>
    <x v="1"/>
  </r>
  <r>
    <x v="0"/>
    <s v="SainteLague"/>
    <n v="773"/>
    <n v="129491"/>
    <s v="[PUDOS] - Entregas y Recogidas Directas en PUDO - Tr¬∑nsitos ES-ES y ES-PT - Integraci√õn bidireccional de Pudos ES-PT, PT-ES"/>
    <x v="14"/>
    <x v="0"/>
    <x v="1"/>
    <s v="Backlog"/>
    <n v="57"/>
    <n v="0.03"/>
    <n v="1"/>
    <n v="1"/>
    <n v="1"/>
    <n v="100"/>
    <x v="1"/>
  </r>
  <r>
    <x v="0"/>
    <s v="SainteLague"/>
    <n v="774"/>
    <n v="157275"/>
    <s v="Kiosk de Envios Self-service: Instala√Å‚Äûo/Configura√Åƒ±es de Cabo de Rede"/>
    <x v="7"/>
    <x v="1"/>
    <x v="1"/>
    <s v="Backlog"/>
    <n v="57"/>
    <n v="0.03"/>
    <n v="1"/>
    <n v="1"/>
    <n v="1"/>
    <n v="100"/>
    <x v="1"/>
  </r>
  <r>
    <x v="0"/>
    <s v="SainteLague"/>
    <n v="775"/>
    <n v="130358"/>
    <s v="ELKAR - Actualizaci√õn de bultos/kilos en expedici√õn mediante carga de fichero"/>
    <x v="19"/>
    <x v="0"/>
    <x v="1"/>
    <s v="Pitch"/>
    <n v="55"/>
    <n v="0.03"/>
    <n v="1"/>
    <n v="1"/>
    <n v="1"/>
    <n v="100"/>
    <x v="1"/>
  </r>
  <r>
    <x v="0"/>
    <s v="SainteLague"/>
    <n v="776"/>
    <n v="129460"/>
    <s v="[Evolutivo SGC] Desarrollar un sistema de refacturaci√õn a los brokers para que autom¬∑ticamente podamos refacturarles los costes de recogida cuando se apliquen a brokers sin coste de recogida"/>
    <x v="8"/>
    <x v="0"/>
    <x v="2"/>
    <s v="Backlog"/>
    <n v="56"/>
    <n v="0.03"/>
    <n v="1"/>
    <n v="1"/>
    <n v="1"/>
    <n v="100"/>
    <x v="1"/>
  </r>
  <r>
    <x v="0"/>
    <s v="SainteLague"/>
    <n v="777"/>
    <n v="124021"/>
    <s v="ODIN | Business unit clusters"/>
    <x v="12"/>
    <x v="1"/>
    <x v="3"/>
    <s v="Backlog"/>
    <n v="46"/>
    <n v="0.03"/>
    <n v="1"/>
    <n v="1"/>
    <n v="1"/>
    <n v="100"/>
    <x v="1"/>
  </r>
  <r>
    <x v="0"/>
    <s v="SainteLague"/>
    <n v="778"/>
    <n v="130843"/>
    <s v="[Web pÀôblica Nexus] - Im¬∑genes alojadas en DOT (ex Wordpress) estudiar alojarlas en AWS"/>
    <x v="10"/>
    <x v="0"/>
    <x v="3"/>
    <s v="Backlog"/>
    <n v="57"/>
    <n v="0.03"/>
    <n v="1"/>
    <n v="1"/>
    <n v="1"/>
    <n v="100"/>
    <x v="1"/>
  </r>
  <r>
    <x v="0"/>
    <s v="SainteLague"/>
    <n v="779"/>
    <n v="129912"/>
    <s v="[Web de Clientes] - Reportes: Suscripci√õn Informes incidencias con disponibilidad a demanda"/>
    <x v="14"/>
    <x v="0"/>
    <x v="1"/>
    <s v="In Definition"/>
    <n v="58"/>
    <n v="0.03"/>
    <n v="1"/>
    <n v="1"/>
    <n v="1"/>
    <n v="100"/>
    <x v="1"/>
  </r>
  <r>
    <x v="0"/>
    <s v="SainteLague"/>
    <n v="780"/>
    <n v="136529"/>
    <s v="Kiosks Envios - Incremento 1 | Associa√Å‚Äûo de moradas guardadas no kiosk (via QR code App)"/>
    <x v="7"/>
    <x v="1"/>
    <x v="1"/>
    <s v="Backlog"/>
    <n v="58"/>
    <n v="0.03"/>
    <n v="1"/>
    <n v="1"/>
    <n v="1"/>
    <n v="100"/>
    <x v="1"/>
  </r>
  <r>
    <x v="0"/>
    <s v="SainteLague"/>
    <n v="781"/>
    <n v="130970"/>
    <s v="[Salesforce] - Informaci√õn de campos en los casos del Plan de acompa√íamiento"/>
    <x v="19"/>
    <x v="0"/>
    <x v="1"/>
    <s v="Backlog"/>
    <n v="56"/>
    <n v="0.03"/>
    <n v="1"/>
    <n v="1"/>
    <n v="1"/>
    <n v="100"/>
    <x v="1"/>
  </r>
  <r>
    <x v="0"/>
    <s v="SainteLague"/>
    <n v="782"/>
    <n v="132022"/>
    <s v="ESW | EQA | Implementa√Å‚Äûo de Automa√Å‚Äûo B¬∑sica de QA em Aplica√Åƒ±es Cr√åticas"/>
    <x v="12"/>
    <x v="1"/>
    <x v="3"/>
    <s v="Backlog"/>
    <n v="47"/>
    <n v="0.03"/>
    <n v="1"/>
    <n v="1"/>
    <n v="1"/>
    <n v="100"/>
    <x v="1"/>
  </r>
  <r>
    <x v="0"/>
    <s v="SainteLague"/>
    <n v="783"/>
    <n v="129454"/>
    <s v="[SAP] Recargo de equivalencia (m√õdulo +) Esta evolucion debe ser en SGC y en el interface de SAP no viaja"/>
    <x v="8"/>
    <x v="0"/>
    <x v="2"/>
    <s v="Backlog"/>
    <n v="57"/>
    <n v="0.03"/>
    <n v="1"/>
    <n v="1"/>
    <n v="1"/>
    <n v="100"/>
    <x v="1"/>
  </r>
  <r>
    <x v="0"/>
    <s v="SainteLague"/>
    <n v="784"/>
    <n v="130853"/>
    <s v="Definici√õn de la estrategia de preparaci√õn de entornos de prueba de aplicaciones"/>
    <x v="10"/>
    <x v="0"/>
    <x v="3"/>
    <s v="Backlog"/>
    <n v="58"/>
    <n v="0.03"/>
    <n v="1"/>
    <n v="1"/>
    <n v="1"/>
    <n v="100"/>
    <x v="1"/>
  </r>
  <r>
    <x v="0"/>
    <s v="SainteLague"/>
    <n v="785"/>
    <n v="136530"/>
    <s v="Kiosks Envios - Incremento 2 | Simplificar jornada do cliente"/>
    <x v="7"/>
    <x v="1"/>
    <x v="1"/>
    <s v="Backlog"/>
    <n v="59"/>
    <n v="0.03"/>
    <n v="1"/>
    <n v="1"/>
    <n v="1"/>
    <n v="100"/>
    <x v="1"/>
  </r>
  <r>
    <x v="0"/>
    <s v="SainteLague"/>
    <n v="786"/>
    <n v="130174"/>
    <s v="[PUDOS] - Automatizaci√õn de comunicaci√õn de eventos de Celeritas - CTT"/>
    <x v="14"/>
    <x v="0"/>
    <x v="1"/>
    <s v="Backlog"/>
    <n v="59"/>
    <n v="0.03"/>
    <n v="1"/>
    <n v="1"/>
    <n v="1"/>
    <n v="100"/>
    <x v="1"/>
  </r>
  <r>
    <x v="0"/>
    <s v="SainteLague"/>
    <n v="787"/>
    <n v="130807"/>
    <s v="Manifest-file: Admitir carga fichero Standar Cloud sin los campos de shipping_code e item_codes rellenos (mismo comportamiento que api de experiencia de clientes)"/>
    <x v="19"/>
    <x v="0"/>
    <x v="1"/>
    <s v="Backlog"/>
    <n v="57"/>
    <n v="0.03"/>
    <n v="1"/>
    <n v="1"/>
    <n v="1"/>
    <n v="100"/>
    <x v="1"/>
  </r>
  <r>
    <x v="0"/>
    <s v="SainteLague"/>
    <n v="788"/>
    <n v="48157"/>
    <s v="IOP | Redu√Å‚Äûo da Obsolesc√çncia Protocolos TLS 1.0 &amp; 1.1 WAVE 3"/>
    <x v="12"/>
    <x v="1"/>
    <x v="3"/>
    <s v="Backlog"/>
    <n v="48"/>
    <n v="0.03"/>
    <n v="1"/>
    <n v="1"/>
    <n v="1"/>
    <n v="100"/>
    <x v="1"/>
  </r>
  <r>
    <x v="0"/>
    <s v="SainteLague"/>
    <n v="789"/>
    <n v="129458"/>
    <s v="[Evolutivos SGC] Nueva funcionalidad para Clientes que no etiquetan (recargo por mercancia no/mal etiquetada) (pendiente al ser antiguo revisar con LR)"/>
    <x v="8"/>
    <x v="0"/>
    <x v="2"/>
    <s v="Backlog"/>
    <n v="58"/>
    <n v="0.03"/>
    <n v="1"/>
    <n v="1"/>
    <n v="1"/>
    <n v="100"/>
    <x v="1"/>
  </r>
  <r>
    <x v="0"/>
    <s v="SainteLague"/>
    <n v="790"/>
    <n v="130967"/>
    <s v="[Bit¬∑cora] - Implementar aplicaci√õn interna que permita establecer la configuraci√õn que necesita Bit¬∑cora"/>
    <x v="10"/>
    <x v="0"/>
    <x v="3"/>
    <s v="Backlog"/>
    <n v="59"/>
    <n v="0.03"/>
    <n v="1"/>
    <n v="1"/>
    <n v="1"/>
    <n v="100"/>
    <x v="1"/>
  </r>
  <r>
    <x v="0"/>
    <s v="SainteLague"/>
    <n v="791"/>
    <n v="111671"/>
    <s v="Kiosks Envios - Incremento 3 | Embalagem - obten√Å‚Äûo de informa√Å‚Äûo de produto"/>
    <x v="7"/>
    <x v="1"/>
    <x v="1"/>
    <s v="Backlog"/>
    <n v="60"/>
    <n v="0.03"/>
    <n v="1"/>
    <n v="1"/>
    <n v="1"/>
    <n v="100"/>
    <x v="1"/>
  </r>
  <r>
    <x v="0"/>
    <s v="SainteLague"/>
    <n v="792"/>
    <n v="130101"/>
    <s v="[PUDOS] - Check para permitir a cliente elegir si dtt recibe notificaciones del estado del env√åo"/>
    <x v="14"/>
    <x v="0"/>
    <x v="1"/>
    <s v="Backlog"/>
    <n v="60"/>
    <n v="0.03"/>
    <n v="1"/>
    <n v="1"/>
    <n v="1"/>
    <n v="100"/>
    <x v="1"/>
  </r>
  <r>
    <x v="0"/>
    <s v="SainteLague"/>
    <n v="793"/>
    <n v="136234"/>
    <s v="WANB - Webhook"/>
    <x v="19"/>
    <x v="0"/>
    <x v="1"/>
    <s v="In Definition"/>
    <n v="58"/>
    <n v="0.03"/>
    <n v="1"/>
    <n v="1"/>
    <n v="1"/>
    <n v="100"/>
    <x v="1"/>
  </r>
  <r>
    <x v="0"/>
    <s v="SainteLague"/>
    <n v="794"/>
    <n v="131991"/>
    <s v="INT | Migra√Å‚Äûo da solu√Å‚Äûo da Knowledge Base atual para uma solu√Å‚Äûo Knowledge Base coorporativa"/>
    <x v="12"/>
    <x v="1"/>
    <x v="3"/>
    <s v="Backlog"/>
    <n v="49"/>
    <n v="0.03"/>
    <n v="1"/>
    <n v="1"/>
    <n v="1"/>
    <n v="100"/>
    <x v="1"/>
  </r>
  <r>
    <x v="0"/>
    <s v="SainteLague"/>
    <n v="795"/>
    <n v="129486"/>
    <s v="[SAP] Migraci√õn SAP"/>
    <x v="8"/>
    <x v="0"/>
    <x v="2"/>
    <s v="Backlog"/>
    <n v="59"/>
    <n v="0.03"/>
    <n v="1"/>
    <n v="1"/>
    <n v="1"/>
    <n v="100"/>
    <x v="1"/>
  </r>
  <r>
    <x v="0"/>
    <s v="SainteLague"/>
    <n v="796"/>
    <n v="136531"/>
    <s v="Kiosks Envios - Incremento 4 | Alargar oferta (correio registado nacional)"/>
    <x v="7"/>
    <x v="1"/>
    <x v="1"/>
    <s v="Backlog"/>
    <n v="61"/>
    <n v="0.03"/>
    <n v="1"/>
    <n v="1"/>
    <n v="1"/>
    <n v="100"/>
    <x v="1"/>
  </r>
  <r>
    <x v="0"/>
    <s v="SainteLague"/>
    <n v="797"/>
    <n v="130730"/>
    <s v="Optimizaci√õn del CAU mediante herramientas de autodiagn√õstico para operativas cr√åticas"/>
    <x v="10"/>
    <x v="0"/>
    <x v="3"/>
    <s v="Backlog"/>
    <n v="60"/>
    <n v="0.03"/>
    <n v="1"/>
    <n v="1"/>
    <n v="1"/>
    <n v="100"/>
    <x v="1"/>
  </r>
  <r>
    <x v="0"/>
    <s v="SainteLague"/>
    <n v="798"/>
    <n v="130284"/>
    <s v="[PUDOS] - Mecanismo de diferenciaci√õn de recogidas en los COs. Recogidas vs. RDP"/>
    <x v="14"/>
    <x v="0"/>
    <x v="1"/>
    <s v="Backlog"/>
    <n v="61"/>
    <n v="0.03"/>
    <n v="1"/>
    <n v="1"/>
    <n v="1"/>
    <n v="100"/>
    <x v="1"/>
  </r>
  <r>
    <x v="0"/>
    <s v="SainteLague"/>
    <n v="799"/>
    <n v="180676"/>
    <s v="IOP | ClearPass - alargar cobertura da solu√Å‚Äûo de Network Access Control"/>
    <x v="12"/>
    <x v="1"/>
    <x v="3"/>
    <s v="Backlog"/>
    <n v="50"/>
    <n v="0.03"/>
    <n v="1"/>
    <n v="1"/>
    <n v="1"/>
    <n v="100"/>
    <x v="1"/>
  </r>
  <r>
    <x v="0"/>
    <s v="SainteLague"/>
    <n v="800"/>
    <n v="136179"/>
    <s v="Api Horario Cortes Recogidas"/>
    <x v="19"/>
    <x v="0"/>
    <x v="1"/>
    <s v="In Definition"/>
    <n v="59"/>
    <n v="0.03"/>
    <n v="1"/>
    <n v="1"/>
    <n v="1"/>
    <n v="100"/>
    <x v="1"/>
  </r>
  <r>
    <x v="0"/>
    <s v="SainteLague"/>
    <n v="801"/>
    <n v="130069"/>
    <s v="[Auditoria PT] Control peri√õdico de Clientes Inactivos"/>
    <x v="8"/>
    <x v="0"/>
    <x v="2"/>
    <s v="Backlog"/>
    <n v="60"/>
    <n v="0.03"/>
    <n v="1"/>
    <n v="1"/>
    <n v="1"/>
    <n v="100"/>
    <x v="1"/>
  </r>
  <r>
    <x v="0"/>
    <s v="SainteLague"/>
    <n v="802"/>
    <n v="159929"/>
    <s v="Kiosks Envios - Incremento 4 | Alargar a oferta a Correio Registado Nacional e Expresso Internacional (a definir)"/>
    <x v="7"/>
    <x v="1"/>
    <x v="1"/>
    <s v="Backlog"/>
    <n v="62"/>
    <n v="0.03"/>
    <n v="1"/>
    <n v="1"/>
    <n v="1"/>
    <n v="100"/>
    <x v="1"/>
  </r>
  <r>
    <x v="0"/>
    <s v="SainteLague"/>
    <n v="803"/>
    <n v="130793"/>
    <s v="Federaci√õn de acceso a Salesforce mediante SSO - EntraID"/>
    <x v="10"/>
    <x v="0"/>
    <x v="3"/>
    <s v="Backlog"/>
    <n v="61"/>
    <n v="0.03"/>
    <n v="1"/>
    <n v="1"/>
    <n v="1"/>
    <n v="100"/>
    <x v="1"/>
  </r>
  <r>
    <x v="0"/>
    <s v="SainteLague"/>
    <n v="804"/>
    <n v="130253"/>
    <s v="[PUDOS] - Env√åos Punto-Punto"/>
    <x v="14"/>
    <x v="0"/>
    <x v="1"/>
    <s v="Backlog"/>
    <n v="62"/>
    <n v="0.03"/>
    <n v="1"/>
    <n v="1"/>
    <n v="1"/>
    <n v="100"/>
    <x v="1"/>
  </r>
  <r>
    <x v="0"/>
    <s v="SainteLague"/>
    <n v="805"/>
    <n v="132058"/>
    <s v="Evolutivos CRM Q1.2026"/>
    <x v="12"/>
    <x v="1"/>
    <x v="3"/>
    <s v="Backlog"/>
    <n v="51"/>
    <n v="4"/>
    <n v="2"/>
    <n v="1"/>
    <n v="1"/>
    <n v="1"/>
    <x v="1"/>
  </r>
  <r>
    <x v="0"/>
    <s v="SainteLague"/>
    <n v="806"/>
    <n v="136177"/>
    <s v="Api Manifest- Devovler fecha y hora de recogida en respuesta cuando proceda"/>
    <x v="19"/>
    <x v="0"/>
    <x v="1"/>
    <s v="In Definition"/>
    <n v="60"/>
    <n v="0.03"/>
    <n v="1"/>
    <n v="1"/>
    <n v="1"/>
    <n v="100"/>
    <x v="1"/>
  </r>
  <r>
    <x v="0"/>
    <s v="SainteLague"/>
    <n v="807"/>
    <n v="130306"/>
    <s v="Crear LOG  reglas de pago clientes SGC"/>
    <x v="8"/>
    <x v="0"/>
    <x v="2"/>
    <s v="Backlog"/>
    <n v="61"/>
    <n v="0.03"/>
    <n v="1"/>
    <n v="1"/>
    <n v="1"/>
    <n v="100"/>
    <x v="1"/>
  </r>
  <r>
    <x v="0"/>
    <s v="SainteLague"/>
    <n v="808"/>
    <n v="135091"/>
    <s v="Acesso SGEE Apoio ao Cliente"/>
    <x v="7"/>
    <x v="1"/>
    <x v="1"/>
    <s v="Backlog"/>
    <n v="65"/>
    <n v="0.03"/>
    <n v="1"/>
    <n v="1"/>
    <n v="1"/>
    <n v="100"/>
    <x v="1"/>
  </r>
  <r>
    <x v="0"/>
    <s v="SainteLague"/>
    <n v="809"/>
    <n v="130796"/>
    <s v="MongoDB - Recopilaci√õn de usuarios y reset de contrase√ías"/>
    <x v="10"/>
    <x v="0"/>
    <x v="3"/>
    <s v="Backlog"/>
    <n v="62"/>
    <n v="0.03"/>
    <n v="1"/>
    <n v="1"/>
    <n v="1"/>
    <n v="100"/>
    <x v="1"/>
  </r>
  <r>
    <x v="0"/>
    <s v="SainteLague"/>
    <n v="810"/>
    <n v="129979"/>
    <s v="[PUDOS] - Mejora servicio VDP"/>
    <x v="14"/>
    <x v="0"/>
    <x v="1"/>
    <s v="Backlog"/>
    <n v="63"/>
    <n v="0.03"/>
    <n v="1"/>
    <n v="1"/>
    <n v="1"/>
    <n v="100"/>
    <x v="1"/>
  </r>
  <r>
    <x v="0"/>
    <s v="SainteLague"/>
    <n v="811"/>
    <n v="106746"/>
    <s v="Sonar | Connect Github based applications to Sonar"/>
    <x v="12"/>
    <x v="1"/>
    <x v="3"/>
    <s v="Backlog"/>
    <n v="52"/>
    <n v="0.03"/>
    <n v="1"/>
    <n v="1"/>
    <n v="1"/>
    <n v="100"/>
    <x v="1"/>
  </r>
  <r>
    <x v="0"/>
    <s v="SainteLague"/>
    <n v="812"/>
    <n v="136173"/>
    <s v="Api Solicitud de Recogidas (sin envio asociado)"/>
    <x v="19"/>
    <x v="0"/>
    <x v="1"/>
    <s v="In Definition"/>
    <n v="61"/>
    <n v="0.03"/>
    <n v="1"/>
    <n v="1"/>
    <n v="1"/>
    <n v="100"/>
    <x v="1"/>
  </r>
  <r>
    <x v="0"/>
    <s v="SainteLague"/>
    <n v="813"/>
    <n v="191866"/>
    <s v="CRM I Cria√Å‚Äûo de reporting em Power BI para controlo do tratamento de solicita√Åƒ±es"/>
    <x v="7"/>
    <x v="1"/>
    <x v="1"/>
    <s v="Backlog"/>
    <n v="66"/>
    <n v="0.03"/>
    <n v="1"/>
    <n v="1"/>
    <n v="1"/>
    <n v="100"/>
    <x v="1"/>
  </r>
  <r>
    <x v="0"/>
    <s v="SainteLague"/>
    <n v="814"/>
    <n v="130071"/>
    <s v="[Auditoria PT] Consulta del historial de los datos de los objetos que han sido alterados manualmente o corregidos por la automatizaci√õn"/>
    <x v="8"/>
    <x v="0"/>
    <x v="2"/>
    <s v="Backlog"/>
    <n v="62"/>
    <n v="0.03"/>
    <n v="1"/>
    <n v="1"/>
    <n v="1"/>
    <n v="100"/>
    <x v="1"/>
  </r>
  <r>
    <x v="0"/>
    <s v="SainteLague"/>
    <n v="815"/>
    <n v="130815"/>
    <s v="Revisi√õn del PRN actual"/>
    <x v="10"/>
    <x v="0"/>
    <x v="3"/>
    <s v="Backlog"/>
    <n v="63"/>
    <n v="0.03"/>
    <n v="1"/>
    <n v="1"/>
    <n v="1"/>
    <n v="100"/>
    <x v="1"/>
  </r>
  <r>
    <x v="0"/>
    <s v="SainteLague"/>
    <n v="816"/>
    <n v="50641"/>
    <s v="APT | ODIN | Self Service"/>
    <x v="12"/>
    <x v="1"/>
    <x v="3"/>
    <s v="Backlog"/>
    <n v="53"/>
    <n v="0.03"/>
    <n v="1"/>
    <n v="1"/>
    <n v="1"/>
    <n v="100"/>
    <x v="1"/>
  </r>
  <r>
    <x v="0"/>
    <s v="SainteLague"/>
    <n v="817"/>
    <n v="130318"/>
    <s v="[Web publica] - Permitir a los destinatarios buscar un env√åo por nÀômero de etiqueta de enlace asociada en el localizador"/>
    <x v="14"/>
    <x v="0"/>
    <x v="1"/>
    <s v="Backlog"/>
    <n v="64"/>
    <n v="0.03"/>
    <n v="1"/>
    <n v="1"/>
    <n v="1"/>
    <n v="100"/>
    <x v="1"/>
  </r>
  <r>
    <x v="0"/>
    <s v="SainteLague"/>
    <n v="818"/>
    <n v="135956"/>
    <s v="TEMU - WebHook"/>
    <x v="19"/>
    <x v="0"/>
    <x v="1"/>
    <s v="In Definition"/>
    <n v="62"/>
    <n v="0.03"/>
    <n v="1"/>
    <n v="1"/>
    <n v="1"/>
    <n v="100"/>
    <x v="1"/>
  </r>
  <r>
    <x v="0"/>
    <s v="SainteLague"/>
    <n v="819"/>
    <n v="96334"/>
    <s v="Github | Allow Github Actions to access resources inside CTT internal network"/>
    <x v="12"/>
    <x v="1"/>
    <x v="3"/>
    <s v="Backlog"/>
    <n v="54"/>
    <n v="0.03"/>
    <n v="1"/>
    <n v="1"/>
    <n v="1"/>
    <n v="100"/>
    <x v="1"/>
  </r>
  <r>
    <x v="0"/>
    <s v="SainteLague"/>
    <n v="820"/>
    <n v="130072"/>
    <s v="[Auditoria PT] Control de revisiones de alteraciones manuales"/>
    <x v="8"/>
    <x v="0"/>
    <x v="2"/>
    <s v="Backlog"/>
    <n v="63"/>
    <n v="0.03"/>
    <n v="1"/>
    <n v="1"/>
    <n v="1"/>
    <n v="100"/>
    <x v="1"/>
  </r>
  <r>
    <x v="0"/>
    <s v="SainteLague"/>
    <n v="821"/>
    <n v="130829"/>
    <s v="Notificaciones AWS para migraciones de lambdas de python 3.9 a 3.12"/>
    <x v="10"/>
    <x v="0"/>
    <x v="3"/>
    <s v="Backlog"/>
    <n v="64"/>
    <n v="0.03"/>
    <n v="1"/>
    <n v="1"/>
    <n v="1"/>
    <n v="100"/>
    <x v="1"/>
  </r>
  <r>
    <x v="0"/>
    <s v="SainteLague"/>
    <n v="822"/>
    <n v="131990"/>
    <s v="INT| Descontinuar os servi√Åos suportados pelo Biztalk"/>
    <x v="12"/>
    <x v="1"/>
    <x v="3"/>
    <s v="Backlog"/>
    <n v="55"/>
    <n v="0.03"/>
    <n v="1"/>
    <n v="1"/>
    <n v="1"/>
    <n v="100"/>
    <x v="1"/>
  </r>
  <r>
    <x v="0"/>
    <s v="SainteLague"/>
    <n v="823"/>
    <n v="130329"/>
    <s v="[Web de clientes] - Solicitud de env√åos - Pudo a Pudo"/>
    <x v="14"/>
    <x v="0"/>
    <x v="1"/>
    <s v="Backlog"/>
    <n v="65"/>
    <n v="0.03"/>
    <n v="1"/>
    <n v="1"/>
    <n v="1"/>
    <n v="100"/>
    <x v="1"/>
  </r>
  <r>
    <x v="0"/>
    <s v="SainteLague"/>
    <n v="824"/>
    <n v="132736"/>
    <s v="[Internacional] - Manifiesto de env√åos internacionales de explotaci√õn con aduanas por m√àtodos de Integraci√õn Clientes"/>
    <x v="19"/>
    <x v="0"/>
    <x v="1"/>
    <s v="Backlog"/>
    <n v="63"/>
    <n v="0.03"/>
    <n v="1"/>
    <n v="1"/>
    <n v="1"/>
    <n v="100"/>
    <x v="1"/>
  </r>
  <r>
    <x v="0"/>
    <s v="SainteLague"/>
    <n v="825"/>
    <n v="131995"/>
    <s v="INT| -  Alarm√åstica MuleSoft"/>
    <x v="12"/>
    <x v="1"/>
    <x v="3"/>
    <s v="Backlog"/>
    <n v="56"/>
    <n v="0.03"/>
    <n v="1"/>
    <n v="1"/>
    <n v="1"/>
    <n v="100"/>
    <x v="1"/>
  </r>
  <r>
    <x v="0"/>
    <s v="SainteLague"/>
    <n v="826"/>
    <n v="130073"/>
    <s v="[Auditoria PT] Evaluar la implementaci√õn de una reclasificaci√õn autom¬∑tica de los servicios declarados incorrectamente por el cliente"/>
    <x v="8"/>
    <x v="0"/>
    <x v="2"/>
    <s v="Backlog"/>
    <n v="64"/>
    <n v="0.03"/>
    <n v="1"/>
    <n v="1"/>
    <n v="1"/>
    <n v="100"/>
    <x v="1"/>
  </r>
  <r>
    <x v="0"/>
    <s v="SainteLague"/>
    <n v="827"/>
    <n v="132222"/>
    <s v="CCP | Migrate from .Net 8 to .Net 10"/>
    <x v="12"/>
    <x v="1"/>
    <x v="3"/>
    <s v="Backlog"/>
    <n v="57"/>
    <n v="0.03"/>
    <n v="1"/>
    <n v="1"/>
    <n v="1"/>
    <n v="100"/>
    <x v="1"/>
  </r>
  <r>
    <x v="0"/>
    <s v="SainteLague"/>
    <n v="828"/>
    <n v="130871"/>
    <s v="[Web de Clientes] - Vulnerabilidad cr√åtica web clientes y  Revisi√õn de la web antigua"/>
    <x v="10"/>
    <x v="0"/>
    <x v="3"/>
    <s v="In Definition"/>
    <n v="65"/>
    <n v="0.03"/>
    <n v="1"/>
    <n v="1"/>
    <n v="1"/>
    <n v="100"/>
    <x v="1"/>
  </r>
  <r>
    <x v="0"/>
    <s v="SainteLague"/>
    <n v="829"/>
    <n v="130399"/>
    <s v="[PUDOS] - Descuento comercial RDP"/>
    <x v="14"/>
    <x v="0"/>
    <x v="1"/>
    <s v="Backlog"/>
    <n v="66"/>
    <n v="0.03"/>
    <n v="1"/>
    <n v="1"/>
    <n v="1"/>
    <n v="100"/>
    <x v="1"/>
  </r>
  <r>
    <x v="0"/>
    <s v="SainteLague"/>
    <n v="830"/>
    <n v="132023"/>
    <s v="ESW | EQA |Estabiliza√Å‚Äûo de Testes Autom¬∑ticos Existentes de QA"/>
    <x v="12"/>
    <x v="1"/>
    <x v="3"/>
    <s v="Backlog"/>
    <n v="59"/>
    <n v="0.03"/>
    <n v="1"/>
    <n v="1"/>
    <n v="1"/>
    <n v="100"/>
    <x v="1"/>
  </r>
  <r>
    <x v="0"/>
    <s v="SainteLague"/>
    <n v="831"/>
    <n v="130074"/>
    <s v="[Auditoria PT]  Seguimiento de los cambios realizados manualmente o mediante automatizaci√õn y control/aprobaci√õn de los mismos"/>
    <x v="8"/>
    <x v="0"/>
    <x v="2"/>
    <s v="Backlog"/>
    <n v="65"/>
    <n v="0.03"/>
    <n v="1"/>
    <n v="1"/>
    <n v="1"/>
    <n v="100"/>
    <x v="1"/>
  </r>
  <r>
    <x v="0"/>
    <s v="SainteLague"/>
    <n v="832"/>
    <n v="130700"/>
    <s v="Migrar clusters de Mongo a MultiAZ"/>
    <x v="10"/>
    <x v="0"/>
    <x v="3"/>
    <s v="Backlog"/>
    <n v="66"/>
    <n v="0.03"/>
    <n v="1"/>
    <n v="1"/>
    <n v="1"/>
    <n v="100"/>
    <x v="1"/>
  </r>
  <r>
    <x v="0"/>
    <s v="SainteLague"/>
    <n v="833"/>
    <n v="131993"/>
    <s v="INT| -  Mata Aplica√Åƒ±es Wave 1.1X - Solu√Å‚Äûo de Transforma√Å‚Äûo"/>
    <x v="12"/>
    <x v="1"/>
    <x v="3"/>
    <s v="Backlog"/>
    <n v="60"/>
    <n v="0.03"/>
    <n v="1"/>
    <n v="1"/>
    <n v="1"/>
    <n v="100"/>
    <x v="1"/>
  </r>
  <r>
    <x v="0"/>
    <s v="SainteLague"/>
    <n v="834"/>
    <n v="130247"/>
    <s v="[Web clientes - Mapper] - Evoluci√õn completa de grabaci√õn masiva en Cloud"/>
    <x v="14"/>
    <x v="0"/>
    <x v="1"/>
    <s v="Backlog"/>
    <n v="67"/>
    <n v="0.03"/>
    <n v="1"/>
    <n v="1"/>
    <n v="1"/>
    <n v="100"/>
    <x v="1"/>
  </r>
  <r>
    <x v="0"/>
    <s v="SainteLague"/>
    <n v="835"/>
    <n v="130653"/>
    <s v="SGC - Anulaci√õn eventos PT"/>
    <x v="8"/>
    <x v="0"/>
    <x v="2"/>
    <s v="Backlog"/>
    <n v="66"/>
    <n v="0.03"/>
    <n v="1"/>
    <n v="1"/>
    <n v="1"/>
    <n v="100"/>
    <x v="1"/>
  </r>
  <r>
    <x v="0"/>
    <s v="SainteLague"/>
    <n v="836"/>
    <n v="50994"/>
    <s v="APT | Mata Aplica√Åƒ±es - Wave 1.13"/>
    <x v="12"/>
    <x v="1"/>
    <x v="3"/>
    <s v="Backlog"/>
    <n v="61"/>
    <n v="0.03"/>
    <n v="1"/>
    <n v="1"/>
    <n v="1"/>
    <n v="100"/>
    <x v="1"/>
  </r>
  <r>
    <x v="0"/>
    <s v="SainteLague"/>
    <n v="837"/>
    <n v="130709"/>
    <s v="Actualizaci√õn autom¬∑tica de aplicaciones hijas en Nexia"/>
    <x v="10"/>
    <x v="0"/>
    <x v="3"/>
    <s v="In Definition"/>
    <n v="67"/>
    <n v="0.03"/>
    <n v="1"/>
    <n v="1"/>
    <n v="1"/>
    <n v="100"/>
    <x v="1"/>
  </r>
  <r>
    <x v="0"/>
    <s v="SainteLague"/>
    <n v="838"/>
    <n v="129941"/>
    <s v="[PUDOS] - Creaci√õn de alarma ante la falta de recepci√õn de √õrdenes de recogidas de caducados Celeritas"/>
    <x v="14"/>
    <x v="0"/>
    <x v="1"/>
    <s v="Backlog"/>
    <n v="68"/>
    <n v="0.03"/>
    <n v="1"/>
    <n v="1"/>
    <n v="1"/>
    <n v="100"/>
    <x v="1"/>
  </r>
  <r>
    <x v="0"/>
    <s v="SainteLague"/>
    <n v="839"/>
    <n v="132220"/>
    <s v="Create code reviewer AI agent"/>
    <x v="12"/>
    <x v="1"/>
    <x v="3"/>
    <s v="Backlog"/>
    <n v="62"/>
    <n v="0.03"/>
    <n v="1"/>
    <n v="1"/>
    <n v="1"/>
    <n v="100"/>
    <x v="1"/>
  </r>
  <r>
    <x v="0"/>
    <s v="SainteLague"/>
    <n v="840"/>
    <n v="130742"/>
    <s v="Evoluci√õn verificaci√õn periodos + (pesos y medidas) V2"/>
    <x v="8"/>
    <x v="0"/>
    <x v="2"/>
    <s v="Backlog"/>
    <n v="67"/>
    <n v="0.03"/>
    <n v="1"/>
    <n v="1"/>
    <n v="1"/>
    <n v="100"/>
    <x v="1"/>
  </r>
  <r>
    <x v="0"/>
    <s v="SainteLague"/>
    <n v="841"/>
    <n v="130675"/>
    <s v="Cyber - Securizaci√õn de los accesos a webcliente.cttexpress.com y api.cttexpress.com"/>
    <x v="10"/>
    <x v="0"/>
    <x v="3"/>
    <s v="Backlog"/>
    <n v="68"/>
    <n v="0.03"/>
    <n v="1"/>
    <n v="1"/>
    <n v="1"/>
    <n v="100"/>
    <x v="1"/>
  </r>
  <r>
    <x v="0"/>
    <s v="SainteLague"/>
    <n v="842"/>
    <n v="49513"/>
    <s v="APT | Mata Aplica√Åƒ±es Wave 1.12 - GCC"/>
    <x v="12"/>
    <x v="1"/>
    <x v="3"/>
    <s v="Backlog"/>
    <n v="63"/>
    <n v="0.03"/>
    <n v="1"/>
    <n v="1"/>
    <n v="1"/>
    <n v="100"/>
    <x v="1"/>
  </r>
  <r>
    <x v="0"/>
    <s v="SainteLague"/>
    <n v="843"/>
    <n v="130472"/>
    <s v="[Minerva] - Modificar la plantilla de respuesta de Signaturit cuando se firma un contrato"/>
    <x v="14"/>
    <x v="0"/>
    <x v="1"/>
    <s v="Backlog"/>
    <n v="69"/>
    <n v="0.03"/>
    <n v="1"/>
    <n v="1"/>
    <n v="1"/>
    <n v="100"/>
    <x v="1"/>
  </r>
  <r>
    <x v="0"/>
    <s v="SainteLague"/>
    <n v="844"/>
    <n v="132218"/>
    <s v="CCP | Notifications | Refactor application to meet CCP patterns"/>
    <x v="12"/>
    <x v="1"/>
    <x v="3"/>
    <s v="Backlog"/>
    <n v="64"/>
    <n v="6"/>
    <n v="3"/>
    <n v="2"/>
    <n v="1"/>
    <n v="1"/>
    <x v="1"/>
  </r>
  <r>
    <x v="0"/>
    <s v="SainteLague"/>
    <n v="845"/>
    <n v="131143"/>
    <s v="Plantilla modificacion de clientes sap hanna"/>
    <x v="8"/>
    <x v="0"/>
    <x v="2"/>
    <s v="Backlog"/>
    <n v="68"/>
    <n v="0.03"/>
    <n v="1"/>
    <n v="1"/>
    <n v="1"/>
    <n v="100"/>
    <x v="1"/>
  </r>
  <r>
    <x v="0"/>
    <s v="SainteLague"/>
    <n v="846"/>
    <n v="130219"/>
    <s v="Integraci√õn Clientes"/>
    <x v="10"/>
    <x v="0"/>
    <x v="3"/>
    <s v="Backlog"/>
    <n v="69"/>
    <n v="0.03"/>
    <n v="1"/>
    <n v="1"/>
    <n v="1"/>
    <n v="100"/>
    <x v="1"/>
  </r>
  <r>
    <x v="0"/>
    <s v="SainteLague"/>
    <n v="847"/>
    <n v="158454"/>
    <s v="APT | IBM ODM | configurar HTTPS"/>
    <x v="12"/>
    <x v="1"/>
    <x v="3"/>
    <s v="Backlog"/>
    <n v="65"/>
    <n v="0.03"/>
    <n v="1"/>
    <n v="1"/>
    <n v="1"/>
    <n v="100"/>
    <x v="1"/>
  </r>
  <r>
    <x v="0"/>
    <s v="SainteLague"/>
    <n v="848"/>
    <n v="129668"/>
    <s v="[PUDOS] - Automatizaci√õn de la facturaci√õn cruzada con las redes de puntos."/>
    <x v="14"/>
    <x v="0"/>
    <x v="1"/>
    <s v="Backlog"/>
    <n v="70"/>
    <n v="0.03"/>
    <n v="1"/>
    <n v="1"/>
    <n v="1"/>
    <n v="100"/>
    <x v="1"/>
  </r>
  <r>
    <x v="0"/>
    <s v="SainteLague"/>
    <n v="849"/>
    <n v="130858"/>
    <s v="Query direcciones de recogida portal del proveedor"/>
    <x v="8"/>
    <x v="0"/>
    <x v="2"/>
    <s v="In Definition"/>
    <n v="69"/>
    <n v="0.03"/>
    <n v="1"/>
    <n v="1"/>
    <n v="1"/>
    <n v="100"/>
    <x v="1"/>
  </r>
  <r>
    <x v="0"/>
    <s v="SainteLague"/>
    <n v="850"/>
    <n v="132021"/>
    <s v="ESW | EQA | Defini√Å‚Äûo de Checklist M√ånimo de QA por Projeto"/>
    <x v="12"/>
    <x v="1"/>
    <x v="3"/>
    <s v="Backlog"/>
    <n v="66"/>
    <n v="0.03"/>
    <n v="1"/>
    <n v="1"/>
    <n v="1"/>
    <n v="100"/>
    <x v="1"/>
  </r>
  <r>
    <x v="0"/>
    <s v="SainteLague"/>
    <n v="851"/>
    <n v="131059"/>
    <s v="Plataforma de Configuraci√õn de Agentes IA"/>
    <x v="10"/>
    <x v="0"/>
    <x v="3"/>
    <s v="In Definition"/>
    <n v="70"/>
    <n v="0.03"/>
    <n v="1"/>
    <n v="1"/>
    <n v="1"/>
    <n v="100"/>
    <x v="1"/>
  </r>
  <r>
    <x v="0"/>
    <s v="SainteLague"/>
    <n v="852"/>
    <n v="130602"/>
    <s v="[PUDOS] - Notificaciones de RDP origen PT"/>
    <x v="14"/>
    <x v="0"/>
    <x v="1"/>
    <s v="Backlog"/>
    <n v="71"/>
    <n v="0.03"/>
    <n v="1"/>
    <n v="1"/>
    <n v="1"/>
    <n v="100"/>
    <x v="1"/>
  </r>
  <r>
    <x v="0"/>
    <s v="SainteLague"/>
    <n v="853"/>
    <n v="48156"/>
    <s v="IOP | Redu√Å‚Äûo da Obsolesc√çncia Protocolos TLS 1.0 &amp; 1.1 WAVE 2"/>
    <x v="12"/>
    <x v="1"/>
    <x v="3"/>
    <s v="Backlog"/>
    <n v="67"/>
    <n v="0.03"/>
    <n v="1"/>
    <n v="1"/>
    <n v="1"/>
    <n v="100"/>
    <x v="1"/>
  </r>
  <r>
    <x v="0"/>
    <s v="SainteLague"/>
    <n v="854"/>
    <n v="130336"/>
    <s v="Informes Personalizados Finanzas en SharePoint"/>
    <x v="8"/>
    <x v="0"/>
    <x v="2"/>
    <s v="High Level Design"/>
    <n v="70"/>
    <n v="0.03"/>
    <n v="1"/>
    <n v="1"/>
    <n v="1"/>
    <n v="100"/>
    <x v="1"/>
  </r>
  <r>
    <x v="0"/>
    <s v="SainteLague"/>
    <n v="855"/>
    <n v="131070"/>
    <s v="Nuevo entorno de desarrollo para microservicios"/>
    <x v="10"/>
    <x v="0"/>
    <x v="3"/>
    <s v="In Definition"/>
    <n v="71"/>
    <n v="0.03"/>
    <n v="1"/>
    <n v="1"/>
    <n v="1"/>
    <n v="100"/>
    <x v="1"/>
  </r>
  <r>
    <x v="0"/>
    <s v="SainteLague"/>
    <n v="856"/>
    <n v="69351"/>
    <s v="ESW | EQA | Integra√Å‚Äûo de Relat√õrios de Testes em Power BI"/>
    <x v="12"/>
    <x v="1"/>
    <x v="3"/>
    <s v="In Definition"/>
    <n v="68"/>
    <n v="0.03"/>
    <n v="1"/>
    <n v="1"/>
    <n v="1"/>
    <n v="100"/>
    <x v="1"/>
  </r>
  <r>
    <x v="0"/>
    <s v="SainteLague"/>
    <n v="857"/>
    <n v="130452"/>
    <s v="[Web de clientes] - Setting: Configurar env√åo predeterminado"/>
    <x v="14"/>
    <x v="0"/>
    <x v="1"/>
    <s v="Backlog"/>
    <n v="72"/>
    <n v="0.03"/>
    <n v="1"/>
    <n v="1"/>
    <n v="1"/>
    <n v="100"/>
    <x v="1"/>
  </r>
  <r>
    <x v="0"/>
    <s v="SainteLague"/>
    <n v="858"/>
    <n v="65266"/>
    <s v="Desagregar a Intranet de Outsystems ( Ac√Å‚Äûo Post Mortem - INC1002170)"/>
    <x v="12"/>
    <x v="1"/>
    <x v="3"/>
    <s v="Backlog"/>
    <n v="69"/>
    <n v="0.03"/>
    <n v="1"/>
    <n v="1"/>
    <n v="1"/>
    <n v="100"/>
    <x v="1"/>
  </r>
  <r>
    <x v="0"/>
    <s v="SainteLague"/>
    <n v="859"/>
    <n v="129592"/>
    <s v="Aplicaci√õn de reglas en registros de peso y volumen (TC)"/>
    <x v="8"/>
    <x v="0"/>
    <x v="2"/>
    <s v="In Definition"/>
    <n v="71"/>
    <n v="0.03"/>
    <n v="1"/>
    <n v="1"/>
    <n v="1"/>
    <n v="100"/>
    <x v="1"/>
  </r>
  <r>
    <x v="0"/>
    <s v="SainteLague"/>
    <n v="860"/>
    <n v="129663"/>
    <s v="Cambio de API para disponer de la informaci√õn de valor y peso a declarar ante la aduana por parte del Cliente  (TC)"/>
    <x v="10"/>
    <x v="0"/>
    <x v="3"/>
    <s v="Backlog"/>
    <n v="72"/>
    <n v="0.03"/>
    <n v="1"/>
    <n v="1"/>
    <n v="1"/>
    <n v="100"/>
    <x v="1"/>
  </r>
  <r>
    <x v="0"/>
    <s v="SainteLague"/>
    <n v="861"/>
    <n v="132024"/>
    <s v="ESW | EQA | Utiliza√Å‚Äûo Regular da Automa√Å‚Äûo de QA em Regressƒ±es"/>
    <x v="12"/>
    <x v="1"/>
    <x v="3"/>
    <s v="Backlog"/>
    <n v="70"/>
    <n v="0.03"/>
    <n v="1"/>
    <n v="1"/>
    <n v="1"/>
    <n v="100"/>
    <x v="1"/>
  </r>
  <r>
    <x v="0"/>
    <s v="SainteLague"/>
    <n v="862"/>
    <n v="130420"/>
    <s v="[Web pÀôblica] - Infraestructura - Medici√õn Analytics- Implementaci√õn DataLayer"/>
    <x v="14"/>
    <x v="0"/>
    <x v="1"/>
    <s v="In Definition"/>
    <n v="73"/>
    <n v="0.03"/>
    <n v="1"/>
    <n v="1"/>
    <n v="1"/>
    <n v="100"/>
    <x v="1"/>
  </r>
  <r>
    <x v="0"/>
    <s v="SainteLague"/>
    <n v="863"/>
    <n v="130161"/>
    <s v="PMO - Seguimiento y Control de Proyectos"/>
    <x v="10"/>
    <x v="0"/>
    <x v="3"/>
    <s v="Backlog"/>
    <n v="73"/>
    <n v="0.03"/>
    <n v="1"/>
    <n v="1"/>
    <n v="1"/>
    <n v="100"/>
    <x v="1"/>
  </r>
  <r>
    <x v="0"/>
    <s v="SainteLague"/>
    <n v="864"/>
    <n v="177129"/>
    <s v="IOP | Obsolesc√çncia WAVE 2 - Matar/Upgrade Oracle DB, IBM DB2 para ultimas versƒ±es suportadas (m√ånimo n-1)"/>
    <x v="12"/>
    <x v="1"/>
    <x v="3"/>
    <s v="Backlog"/>
    <n v="71"/>
    <n v="0.03"/>
    <n v="1"/>
    <n v="1"/>
    <n v="1"/>
    <n v="100"/>
    <x v="1"/>
  </r>
  <r>
    <x v="0"/>
    <s v="SainteLague"/>
    <n v="865"/>
    <n v="130454"/>
    <s v="[Producto] - Incorporar Validaci√õn DNI / PIN  (Servicio actual)"/>
    <x v="14"/>
    <x v="0"/>
    <x v="1"/>
    <s v="In Definition"/>
    <n v="74"/>
    <n v="0.03"/>
    <n v="1"/>
    <n v="1"/>
    <n v="1"/>
    <n v="100"/>
    <x v="1"/>
  </r>
  <r>
    <x v="0"/>
    <s v="SainteLague"/>
    <n v="866"/>
    <n v="130366"/>
    <s v="Seguimiento &amp; Control de IT - Formaci√õn - Vacaciones - Otros"/>
    <x v="10"/>
    <x v="0"/>
    <x v="3"/>
    <s v="Backlog"/>
    <n v="74"/>
    <n v="0.03"/>
    <n v="1"/>
    <n v="1"/>
    <n v="1"/>
    <n v="100"/>
    <x v="1"/>
  </r>
  <r>
    <x v="0"/>
    <s v="SainteLague"/>
    <n v="867"/>
    <n v="177125"/>
    <s v="IOP | Obsolesc√çncia Infraestrutura WAVE 0 - Converter LDAP em LDAPS (ENABLERS)"/>
    <x v="12"/>
    <x v="1"/>
    <x v="3"/>
    <s v="Backlog"/>
    <n v="72"/>
    <n v="0.03"/>
    <n v="1"/>
    <n v="1"/>
    <n v="1"/>
    <n v="100"/>
    <x v="1"/>
  </r>
  <r>
    <x v="0"/>
    <s v="SainteLague"/>
    <n v="868"/>
    <n v="130453"/>
    <s v="[Web de Clientes] - Grabaci√õn masiva - A√íadir validaci√õn (preaviso al usuario) para cargar el fichero plantilla definido"/>
    <x v="14"/>
    <x v="0"/>
    <x v="1"/>
    <s v="Backlog"/>
    <n v="75"/>
    <n v="0.03"/>
    <n v="1"/>
    <n v="1"/>
    <n v="1"/>
    <n v="100"/>
    <x v="1"/>
  </r>
  <r>
    <x v="0"/>
    <s v="SainteLague"/>
    <n v="869"/>
    <n v="132845"/>
    <s v="[PEPE] Epica de prueba"/>
    <x v="10"/>
    <x v="0"/>
    <x v="3"/>
    <s v="Backlog"/>
    <n v="75"/>
    <n v="0.03"/>
    <n v="1"/>
    <n v="1"/>
    <n v="1"/>
    <n v="100"/>
    <x v="1"/>
  </r>
  <r>
    <x v="0"/>
    <s v="SainteLague"/>
    <n v="870"/>
    <n v="177128"/>
    <s v="IOP | Obsolesc√çncia WAVE 1 - Matar/Upgrade SQL Server anterior a 2019"/>
    <x v="12"/>
    <x v="1"/>
    <x v="3"/>
    <s v="Backlog"/>
    <n v="73"/>
    <n v="0.03"/>
    <n v="1"/>
    <n v="1"/>
    <n v="1"/>
    <n v="100"/>
    <x v="1"/>
  </r>
  <r>
    <x v="0"/>
    <s v="SainteLague"/>
    <n v="871"/>
    <n v="130285"/>
    <s v="[Web de Clientes] - Minerva Ratings - Actualizar el perfil tarifario de clientes al est¬∑ndar de 1-20 env√åos comprometidos para que visualice su tarifa en la web"/>
    <x v="14"/>
    <x v="0"/>
    <x v="1"/>
    <s v="Backlog"/>
    <n v="76"/>
    <n v="0.03"/>
    <n v="1"/>
    <n v="1"/>
    <n v="1"/>
    <n v="100"/>
    <x v="1"/>
  </r>
  <r>
    <x v="0"/>
    <s v="SainteLague"/>
    <n v="872"/>
    <n v="130290"/>
    <s v="[Web de Clientes] - Minerva Ratings - Visualizaci√õn incorrecta de tarifa del cliente 00052"/>
    <x v="14"/>
    <x v="0"/>
    <x v="1"/>
    <s v="Backlog"/>
    <n v="77"/>
    <n v="0.03"/>
    <n v="1"/>
    <n v="1"/>
    <n v="1"/>
    <n v="100"/>
    <x v="1"/>
  </r>
  <r>
    <x v="0"/>
    <s v="SainteLague"/>
    <n v="873"/>
    <n v="35914"/>
    <s v="IOP | Evolu√Å‚Äûo da Private Key Infrastructure (PKI) dos CTT"/>
    <x v="12"/>
    <x v="1"/>
    <x v="3"/>
    <s v="Backlog"/>
    <n v="74"/>
    <n v="0.03"/>
    <n v="1"/>
    <n v="1"/>
    <n v="1"/>
    <n v="100"/>
    <x v="1"/>
  </r>
  <r>
    <x v="0"/>
    <s v="SainteLague"/>
    <n v="874"/>
    <n v="130142"/>
    <s v="[Web de Clientes] - Estados - Seguimiento - Error con los env√åos  al filtrar por fechas de grabaci√õn"/>
    <x v="14"/>
    <x v="0"/>
    <x v="1"/>
    <s v="In Definition"/>
    <n v="78"/>
    <n v="0.03"/>
    <n v="1"/>
    <n v="1"/>
    <n v="1"/>
    <n v="100"/>
    <x v="1"/>
  </r>
  <r>
    <x v="0"/>
    <s v="SainteLague"/>
    <n v="875"/>
    <n v="48158"/>
    <s v="IOP | Redu√Å‚Äûo da Obsolesc√çncia Protocolos TLS 1.0 &amp; 1.1 WAVE 4 - Servidores Unix"/>
    <x v="12"/>
    <x v="1"/>
    <x v="3"/>
    <s v="Backlog"/>
    <n v="75"/>
    <n v="0.03"/>
    <n v="1"/>
    <n v="1"/>
    <n v="1"/>
    <n v="100"/>
    <x v="1"/>
  </r>
  <r>
    <x v="0"/>
    <s v="SainteLague"/>
    <n v="876"/>
    <n v="130342"/>
    <s v="[Nexus]-[Minerva]- Modelo Tarifario Densidades+Zona"/>
    <x v="14"/>
    <x v="0"/>
    <x v="1"/>
    <s v="Backlog"/>
    <n v="79"/>
    <n v="0.03"/>
    <n v="1"/>
    <n v="1"/>
    <n v="1"/>
    <n v="100"/>
    <x v="1"/>
  </r>
  <r>
    <x v="0"/>
    <s v="SainteLague"/>
    <n v="877"/>
    <n v="130347"/>
    <s v="[PUDOS] - [Notificaciones] - N3.1 Entrega en PUDOS mostrar variable pudo address"/>
    <x v="14"/>
    <x v="0"/>
    <x v="1"/>
    <s v="Backlog"/>
    <n v="80"/>
    <n v="0.03"/>
    <n v="1"/>
    <n v="1"/>
    <n v="1"/>
    <n v="100"/>
    <x v="1"/>
  </r>
  <r>
    <x v="0"/>
    <s v="SainteLague"/>
    <n v="878"/>
    <n v="192033"/>
    <s v="IOP | Internet - visibilidade sobre utiliza√Å‚Äûo e qualidade do servi√Åo"/>
    <x v="12"/>
    <x v="1"/>
    <x v="3"/>
    <s v="Backlog"/>
    <n v="76"/>
    <n v="0.03"/>
    <n v="1"/>
    <n v="1"/>
    <n v="1"/>
    <n v="100"/>
    <x v="1"/>
  </r>
  <r>
    <x v="0"/>
    <s v="SainteLague"/>
    <n v="879"/>
    <n v="130305"/>
    <s v="[Web de clientes] - Retorno en seguimiento - Mostrar por fecha de grabaci√õn y no de servicio"/>
    <x v="14"/>
    <x v="0"/>
    <x v="1"/>
    <s v="Backlog"/>
    <n v="81"/>
    <n v="0.03"/>
    <n v="1"/>
    <n v="1"/>
    <n v="1"/>
    <n v="100"/>
    <x v="1"/>
  </r>
  <r>
    <x v="0"/>
    <s v="SainteLague"/>
    <n v="880"/>
    <n v="129667"/>
    <s v="[Nexus] [Web de Clientes] - Recogida Flexible Grabaci√õn de env√åos: Permitir recogida a la carta"/>
    <x v="14"/>
    <x v="0"/>
    <x v="1"/>
    <s v="Backlog"/>
    <n v="82"/>
    <n v="0.03"/>
    <n v="1"/>
    <n v="1"/>
    <n v="1"/>
    <n v="100"/>
    <x v="1"/>
  </r>
  <r>
    <x v="0"/>
    <s v="SainteLague"/>
    <n v="881"/>
    <n v="192032"/>
    <s v="IOP | PacketShaper - descontinua√Å‚Äûo e abate"/>
    <x v="12"/>
    <x v="1"/>
    <x v="3"/>
    <s v="Backlog"/>
    <n v="77"/>
    <n v="0.03"/>
    <n v="1"/>
    <n v="1"/>
    <n v="1"/>
    <n v="100"/>
    <x v="1"/>
  </r>
  <r>
    <x v="0"/>
    <s v="SainteLague"/>
    <n v="882"/>
    <n v="130465"/>
    <s v="[PUDOS] [Web PÀôblica] - Orientar venta directa (a√íadir literales)"/>
    <x v="14"/>
    <x v="0"/>
    <x v="1"/>
    <s v="Backlog"/>
    <n v="83"/>
    <n v="0.03"/>
    <n v="1"/>
    <n v="1"/>
    <n v="1"/>
    <n v="100"/>
    <x v="1"/>
  </r>
  <r>
    <x v="0"/>
    <s v="SainteLague"/>
    <n v="883"/>
    <n v="130456"/>
    <s v="[Web de Clientes] - Seguimiento - A√íadir HORA junto a la FECHA"/>
    <x v="14"/>
    <x v="0"/>
    <x v="1"/>
    <s v="Backlog"/>
    <n v="84"/>
    <n v="0.03"/>
    <n v="1"/>
    <n v="1"/>
    <n v="1"/>
    <n v="100"/>
    <x v="1"/>
  </r>
  <r>
    <x v="0"/>
    <s v="SainteLague"/>
    <n v="884"/>
    <n v="69196"/>
    <s v="MACC: DC Lisboa - Jouney to Azure cloud"/>
    <x v="12"/>
    <x v="1"/>
    <x v="3"/>
    <s v="Backlog"/>
    <n v="78"/>
    <n v="0.03"/>
    <n v="1"/>
    <n v="1"/>
    <n v="1"/>
    <n v="100"/>
    <x v="1"/>
  </r>
  <r>
    <x v="0"/>
    <s v="SainteLague"/>
    <n v="885"/>
    <n v="130476"/>
    <s v="[PRODUCTO]  [Web de Clientes] - Aranceles aduaneros Canarias"/>
    <x v="14"/>
    <x v="0"/>
    <x v="1"/>
    <s v="Backlog"/>
    <n v="85"/>
    <n v="0.03"/>
    <n v="1"/>
    <n v="1"/>
    <n v="1"/>
    <n v="100"/>
    <x v="1"/>
  </r>
  <r>
    <x v="0"/>
    <s v="SainteLague"/>
    <n v="886"/>
    <n v="130509"/>
    <s v="[Web de Clientes] - Parametrizar el canal de Importaci√õn masiva para permitir su medici√õn en los sistemas"/>
    <x v="14"/>
    <x v="0"/>
    <x v="1"/>
    <s v="Backlog"/>
    <n v="86"/>
    <n v="0.03"/>
    <n v="1"/>
    <n v="1"/>
    <n v="1"/>
    <n v="100"/>
    <x v="1"/>
  </r>
  <r>
    <x v="0"/>
    <s v="SainteLague"/>
    <n v="887"/>
    <n v="74950"/>
    <s v="IOP | Instala√Å‚Äûo e Ativa√Å‚Äûo da Componente Guardian -  Nova Hyper V"/>
    <x v="12"/>
    <x v="1"/>
    <x v="3"/>
    <s v="Backlog"/>
    <n v="79"/>
    <n v="0.03"/>
    <n v="1"/>
    <n v="1"/>
    <n v="1"/>
    <n v="100"/>
    <x v="1"/>
  </r>
  <r>
    <x v="0"/>
    <s v="SainteLague"/>
    <n v="888"/>
    <n v="130518"/>
    <s v="[Web de Clientes] - Incluir tooltip en el bot√õn de a√íadir NUEVO bulto para env√åos a Puntos"/>
    <x v="14"/>
    <x v="0"/>
    <x v="1"/>
    <s v="Backlog"/>
    <n v="87"/>
    <n v="0.03"/>
    <n v="1"/>
    <n v="1"/>
    <n v="1"/>
    <n v="100"/>
    <x v="1"/>
  </r>
  <r>
    <x v="0"/>
    <s v="SainteLague"/>
    <n v="889"/>
    <n v="177126"/>
    <s v="IOP | Obsolesc√çncia WAVE 1 - Windows 7 (evoluir para windows 11)"/>
    <x v="12"/>
    <x v="1"/>
    <x v="3"/>
    <s v="Backlog"/>
    <n v="80"/>
    <n v="0.03"/>
    <n v="1"/>
    <n v="1"/>
    <n v="1"/>
    <n v="100"/>
    <x v="1"/>
  </r>
  <r>
    <x v="0"/>
    <s v="SainteLague"/>
    <n v="890"/>
    <n v="130546"/>
    <s v="[Facturacion]: Modificar contenido del Email Factura a clientes"/>
    <x v="14"/>
    <x v="0"/>
    <x v="1"/>
    <s v="Backlog"/>
    <n v="88"/>
    <n v="0.03"/>
    <n v="1"/>
    <n v="1"/>
    <n v="1"/>
    <n v="100"/>
    <x v="1"/>
  </r>
  <r>
    <x v="0"/>
    <s v="SainteLague"/>
    <n v="891"/>
    <n v="130547"/>
    <s v="[web clientes] Modulo aduanas: Andorra"/>
    <x v="14"/>
    <x v="0"/>
    <x v="1"/>
    <s v="Backlog"/>
    <n v="89"/>
    <n v="0.03"/>
    <n v="1"/>
    <n v="1"/>
    <n v="1"/>
    <n v="100"/>
    <x v="1"/>
  </r>
  <r>
    <x v="0"/>
    <s v="SainteLague"/>
    <n v="892"/>
    <n v="180673"/>
    <s v="IOP | Segrega√Å‚Äûo da Rede Privada"/>
    <x v="12"/>
    <x v="1"/>
    <x v="3"/>
    <s v="Backlog"/>
    <n v="81"/>
    <n v="0.03"/>
    <n v="1"/>
    <n v="1"/>
    <n v="1"/>
    <n v="100"/>
    <x v="1"/>
  </r>
  <r>
    <x v="0"/>
    <s v="SainteLague"/>
    <n v="893"/>
    <n v="130576"/>
    <s v="[PUDOS] - Pantallas Nexia consulta estados de proveedor"/>
    <x v="14"/>
    <x v="0"/>
    <x v="1"/>
    <s v="Backlog"/>
    <n v="90"/>
    <n v="0.03"/>
    <n v="1"/>
    <n v="1"/>
    <n v="1"/>
    <n v="100"/>
    <x v="1"/>
  </r>
  <r>
    <x v="0"/>
    <s v="SainteLague"/>
    <n v="894"/>
    <n v="130572"/>
    <s v="[Web de Clientes] - Revisi√õn anulaci√õn env√åos"/>
    <x v="14"/>
    <x v="0"/>
    <x v="1"/>
    <s v="Backlog"/>
    <n v="91"/>
    <n v="0.03"/>
    <n v="1"/>
    <n v="1"/>
    <n v="1"/>
    <n v="100"/>
    <x v="1"/>
  </r>
  <r>
    <x v="0"/>
    <s v="SainteLague"/>
    <n v="895"/>
    <n v="130488"/>
    <s v="[CELERITAS] - Inhibir notificaciones a dtt en env√åos Celeritas Cliente"/>
    <x v="14"/>
    <x v="0"/>
    <x v="1"/>
    <s v="Backlog"/>
    <n v="92"/>
    <n v="0.03"/>
    <n v="1"/>
    <n v="1"/>
    <n v="1"/>
    <n v="100"/>
    <x v="1"/>
  </r>
  <r>
    <x v="0"/>
    <s v="SainteLague"/>
    <n v="896"/>
    <n v="130599"/>
    <s v="[PUDOS] - [Salesforce-Dynamic Case] - EL bot√õn de reenv√åo de pin debe reconocer que el env√åo tiene estado 2310 no que est¬∑ en estado 2310"/>
    <x v="14"/>
    <x v="0"/>
    <x v="1"/>
    <s v="Backlog"/>
    <n v="93"/>
    <n v="0.03"/>
    <n v="1"/>
    <n v="1"/>
    <n v="1"/>
    <n v="100"/>
    <x v="1"/>
  </r>
  <r>
    <x v="0"/>
    <s v="SainteLague"/>
    <n v="897"/>
    <n v="130635"/>
    <s v="[Nexus] - Informaci√õn PÀôblica de los Clientes - visi√õn de informaci√õn de clientes a destinatarios"/>
    <x v="14"/>
    <x v="0"/>
    <x v="1"/>
    <s v="In Definition"/>
    <n v="94"/>
    <n v="0.03"/>
    <n v="1"/>
    <n v="1"/>
    <n v="1"/>
    <n v="100"/>
    <x v="1"/>
  </r>
  <r>
    <x v="0"/>
    <s v="SainteLague"/>
    <n v="898"/>
    <n v="130997"/>
    <s v="[PUDOS] - [QLIK] Inclusi√õn de campo provincia en hoja PUDO POINT LIST"/>
    <x v="14"/>
    <x v="0"/>
    <x v="1"/>
    <s v="Backlog"/>
    <n v="95"/>
    <n v="0.03"/>
    <n v="1"/>
    <n v="1"/>
    <n v="1"/>
    <n v="100"/>
    <x v="1"/>
  </r>
  <r>
    <x v="0"/>
    <s v="SainteLague"/>
    <n v="899"/>
    <n v="130870"/>
    <s v="[PUDOS] - Gesti√õn de saturaci√õn en puntos Collectt"/>
    <x v="14"/>
    <x v="0"/>
    <x v="1"/>
    <s v="Backlog"/>
    <n v="96"/>
    <n v="0.03"/>
    <n v="1"/>
    <n v="1"/>
    <n v="1"/>
    <n v="100"/>
    <x v="1"/>
  </r>
  <r>
    <x v="0"/>
    <s v="SainteLague"/>
    <n v="900"/>
    <n v="130447"/>
    <s v="[Web  de Clientes] - Comportamiento recogidas en grabaci√õn masiva"/>
    <x v="14"/>
    <x v="0"/>
    <x v="1"/>
    <s v="Backlog"/>
    <n v="97"/>
    <n v="0.03"/>
    <n v="1"/>
    <n v="1"/>
    <n v="1"/>
    <n v="100"/>
    <x v="1"/>
  </r>
  <r>
    <x v="0"/>
    <s v="SainteLague"/>
    <n v="901"/>
    <n v="130907"/>
    <s v="[Web pÀôblica] - Medici√õn Analytics - A√íadir ID en botones de los aplicativos web"/>
    <x v="14"/>
    <x v="0"/>
    <x v="1"/>
    <s v="In Definition"/>
    <n v="98"/>
    <n v="0.03"/>
    <n v="1"/>
    <n v="1"/>
    <n v="1"/>
    <n v="100"/>
    <x v="1"/>
  </r>
  <r>
    <x v="0"/>
    <s v="SainteLague"/>
    <n v="902"/>
    <n v="130916"/>
    <s v="[Web de Cambios] - Mantener el idioma configurado por defecto en web de cambio"/>
    <x v="14"/>
    <x v="0"/>
    <x v="1"/>
    <s v="Backlog"/>
    <n v="99"/>
    <n v="0.03"/>
    <n v="1"/>
    <n v="1"/>
    <n v="1"/>
    <n v="100"/>
    <x v="1"/>
  </r>
  <r>
    <x v="0"/>
    <s v="SainteLague"/>
    <n v="903"/>
    <n v="130935"/>
    <s v="[Web pÀôblica 2.0] - Seguimiento de env√åos - Aplicar l√õgica para mostrar bot√õn de modificar env√åos con incidencia"/>
    <x v="14"/>
    <x v="0"/>
    <x v="1"/>
    <s v="Backlog"/>
    <n v="100"/>
    <n v="0.03"/>
    <n v="1"/>
    <n v="1"/>
    <n v="1"/>
    <n v="100"/>
    <x v="1"/>
  </r>
  <r>
    <x v="0"/>
    <s v="SainteLague"/>
    <n v="904"/>
    <n v="130944"/>
    <s v="[Web de clientes Antigua] aplicar un noindex a la p¬∑gina https://app.cttexpress.com/"/>
    <x v="14"/>
    <x v="0"/>
    <x v="1"/>
    <s v="Backlog"/>
    <n v="101"/>
    <n v="0.03"/>
    <n v="1"/>
    <n v="1"/>
    <n v="1"/>
    <n v="100"/>
    <x v="1"/>
  </r>
  <r>
    <x v="0"/>
    <s v="SainteLague"/>
    <n v="905"/>
    <n v="130976"/>
    <s v="[Web de Clientes] - Permisos usuario est¬∑ndar - M√õdulo de Reportes e informes"/>
    <x v="14"/>
    <x v="0"/>
    <x v="1"/>
    <s v="Backlog"/>
    <n v="102"/>
    <n v="0.03"/>
    <n v="1"/>
    <n v="1"/>
    <n v="1"/>
    <n v="100"/>
    <x v="1"/>
  </r>
  <r>
    <x v="0"/>
    <s v="SainteLague"/>
    <n v="906"/>
    <n v="130844"/>
    <s v="[Salesforce] - Nueva landing captaci√õn SEM conectada con el CRM y Pardot"/>
    <x v="14"/>
    <x v="0"/>
    <x v="1"/>
    <s v="High Level Design"/>
    <n v="103"/>
    <n v="0.03"/>
    <n v="1"/>
    <n v="1"/>
    <n v="1"/>
    <n v="100"/>
    <x v="1"/>
  </r>
  <r>
    <x v="0"/>
    <s v="SainteLague"/>
    <n v="907"/>
    <n v="130477"/>
    <s v="[Web de Clientes] - Seguimiento - Actualizar mensajes cuando no existen env√åos para mostrar en el seguimiento"/>
    <x v="14"/>
    <x v="0"/>
    <x v="1"/>
    <s v="In Definition"/>
    <n v="104"/>
    <n v="0.03"/>
    <n v="1"/>
    <n v="1"/>
    <n v="1"/>
    <n v="100"/>
    <x v="1"/>
  </r>
  <r>
    <x v="0"/>
    <s v="SainteLague"/>
    <n v="908"/>
    <n v="130813"/>
    <s v="[PUDOS] - Entrega de Documentaci√õn para integraci√õn de redes PUDOs de terceros"/>
    <x v="14"/>
    <x v="0"/>
    <x v="1"/>
    <s v="High Level Design"/>
    <n v="105"/>
    <n v="0.03"/>
    <n v="1"/>
    <n v="1"/>
    <n v="1"/>
    <n v="100"/>
    <x v="1"/>
  </r>
  <r>
    <x v="0"/>
    <s v="SainteLague"/>
    <n v="909"/>
    <n v="131060"/>
    <s v="[Web PÀôblica 2.0] - C√õdigo de ShippingCode - Manifiestos genera error debido a ShippingCodes repetidos"/>
    <x v="14"/>
    <x v="0"/>
    <x v="1"/>
    <s v="Backlog"/>
    <n v="107"/>
    <n v="0.03"/>
    <n v="1"/>
    <n v="1"/>
    <n v="1"/>
    <n v="100"/>
    <x v="1"/>
  </r>
  <r>
    <x v="0"/>
    <s v="SainteLague"/>
    <n v="910"/>
    <n v="131108"/>
    <s v="[Web de Clientes] - Facturaci√õn - Ocultar bloque marcos tarifarios para clientes con m¬∑s de 20K env√åos comprometidos"/>
    <x v="14"/>
    <x v="0"/>
    <x v="1"/>
    <s v="In Definition"/>
    <n v="108"/>
    <n v="0.03"/>
    <n v="1"/>
    <n v="1"/>
    <n v="1"/>
    <n v="100"/>
    <x v="1"/>
  </r>
  <r>
    <x v="0"/>
    <s v="SainteLague"/>
    <n v="911"/>
    <n v="137068"/>
    <s v="End point to get Georeferences from listed addresses"/>
    <x v="14"/>
    <x v="0"/>
    <x v="1"/>
    <s v="Backlog"/>
    <n v="109"/>
    <n v="0.03"/>
    <n v="1"/>
    <n v="1"/>
    <n v="1"/>
    <n v="100"/>
    <x v="1"/>
  </r>
  <r>
    <x v="0"/>
    <s v="SainteLague"/>
    <n v="912"/>
    <n v="136610"/>
    <s v="[Notificaciones] - Customer Communications Management basado en la funcionalidad actual"/>
    <x v="14"/>
    <x v="0"/>
    <x v="1"/>
    <s v="In Definition"/>
    <n v="110"/>
    <n v="0.03"/>
    <n v="1"/>
    <n v="1"/>
    <n v="1"/>
    <n v="100"/>
    <x v="1"/>
  </r>
  <r>
    <x v="0"/>
    <s v="SainteLague"/>
    <n v="913"/>
    <n v="136479"/>
    <s v="[Web de cliente] - Seguimiento de env√åos - Informar de env√åos Caducado en Collectt"/>
    <x v="14"/>
    <x v="0"/>
    <x v="1"/>
    <s v="Backlog"/>
    <n v="111"/>
    <n v="0.03"/>
    <n v="1"/>
    <n v="1"/>
    <n v="1"/>
    <n v="100"/>
    <x v="1"/>
  </r>
  <r>
    <x v="0"/>
    <s v="SainteLague"/>
    <n v="914"/>
    <n v="136346"/>
    <s v="Enlace para usuario en selecci√õn PUDO para RDP a trav√às de Web Cliente"/>
    <x v="14"/>
    <x v="0"/>
    <x v="1"/>
    <s v="Backlog"/>
    <n v="112"/>
    <n v="0.03"/>
    <n v="1"/>
    <n v="1"/>
    <n v="1"/>
    <n v="100"/>
    <x v="1"/>
  </r>
  <r>
    <x v="0"/>
    <s v="SainteLague"/>
    <n v="915"/>
    <n v="135524"/>
    <s v="[web clientes]  Incluir formato Excel y CSV en suscripci√õn de informes"/>
    <x v="14"/>
    <x v="0"/>
    <x v="1"/>
    <s v="Backlog"/>
    <n v="113"/>
    <n v="0.03"/>
    <n v="1"/>
    <n v="1"/>
    <n v="1"/>
    <n v="100"/>
    <x v="1"/>
  </r>
  <r>
    <x v="0"/>
    <s v="SainteLague"/>
    <n v="916"/>
    <n v="135345"/>
    <s v="[Web de clientes] - Seguimiento - Geoposici√õn V2 - Comparar destino con geoposici√õn de entrega"/>
    <x v="14"/>
    <x v="0"/>
    <x v="1"/>
    <s v="Backlog"/>
    <n v="114"/>
    <n v="0.03"/>
    <n v="1"/>
    <n v="1"/>
    <n v="1"/>
    <n v="100"/>
    <x v="1"/>
  </r>
  <r>
    <x v="0"/>
    <s v="SainteLague"/>
    <n v="917"/>
    <n v="135097"/>
    <s v="[Internacional]-Notificaci√õn por Incidencia &quot;Falta de documentaci√õn&quot;"/>
    <x v="14"/>
    <x v="0"/>
    <x v="1"/>
    <s v="Backlog"/>
    <n v="115"/>
    <n v="0.03"/>
    <n v="1"/>
    <n v="1"/>
    <n v="1"/>
    <n v="100"/>
    <x v="1"/>
  </r>
  <r>
    <x v="0"/>
    <s v="SainteLague"/>
    <n v="918"/>
    <n v="134746"/>
    <s v="[PUDOS] - Destacar Locky en localizador de pudos"/>
    <x v="14"/>
    <x v="0"/>
    <x v="1"/>
    <s v="Backlog"/>
    <n v="116"/>
    <n v="0.03"/>
    <n v="1"/>
    <n v="1"/>
    <n v="1"/>
    <n v="100"/>
    <x v="1"/>
  </r>
  <r>
    <x v="0"/>
    <s v="SainteLague"/>
    <n v="919"/>
    <n v="134614"/>
    <s v="CONTRATO ON LINE"/>
    <x v="14"/>
    <x v="0"/>
    <x v="1"/>
    <s v="Backlog"/>
    <n v="117"/>
    <n v="0.03"/>
    <n v="1"/>
    <n v="1"/>
    <n v="1"/>
    <n v="100"/>
    <x v="1"/>
  </r>
  <r>
    <x v="0"/>
    <s v="SainteLague"/>
    <n v="920"/>
    <n v="134613"/>
    <s v="[Web publica] - Ajustes Locky en visi√õn destinatario de web pÀôblica"/>
    <x v="14"/>
    <x v="0"/>
    <x v="1"/>
    <s v="Backlog"/>
    <n v="118"/>
    <n v="0.03"/>
    <n v="1"/>
    <n v="1"/>
    <n v="1"/>
    <n v="100"/>
    <x v="1"/>
  </r>
  <r>
    <x v="0"/>
    <s v="SainteLague"/>
    <n v="921"/>
    <n v="134602"/>
    <s v="[Web de cliente] - Seguimiento - Utilizar en filtro y listado de env√åo la fecha registrada en la variable shipping_date"/>
    <x v="14"/>
    <x v="0"/>
    <x v="1"/>
    <s v="Backlog"/>
    <n v="119"/>
    <n v="0.03"/>
    <n v="1"/>
    <n v="1"/>
    <n v="1"/>
    <n v="100"/>
    <x v="1"/>
  </r>
  <r>
    <x v="0"/>
    <s v="SainteLague"/>
    <n v="922"/>
    <n v="133992"/>
    <s v="Epic Title (ex initiative)"/>
    <x v="14"/>
    <x v="0"/>
    <x v="1"/>
    <s v="Backlog"/>
    <n v="120"/>
    <n v="0.03"/>
    <n v="1"/>
    <n v="1"/>
    <n v="1"/>
    <n v="100"/>
    <x v="1"/>
  </r>
  <r>
    <x v="0"/>
    <s v="SainteLague"/>
    <n v="923"/>
    <n v="133988"/>
    <s v="[Web de clientes] - Seguimiento - Incidencias gestionables muestra mensaje err√õneo"/>
    <x v="14"/>
    <x v="0"/>
    <x v="1"/>
    <s v="Backlog"/>
    <n v="121"/>
    <n v="0.03"/>
    <n v="1"/>
    <n v="1"/>
    <n v="1"/>
    <n v="100"/>
    <x v="1"/>
  </r>
  <r>
    <x v="0"/>
    <s v="SainteLague"/>
    <n v="924"/>
    <n v="133842"/>
    <s v="[Web PÀôblica 2.0] - Formularios - : CHECK PROMOCIONES Y CONTACTOS DUPLICADOS"/>
    <x v="14"/>
    <x v="0"/>
    <x v="1"/>
    <s v="Backlog"/>
    <n v="122"/>
    <n v="0.03"/>
    <n v="1"/>
    <n v="1"/>
    <n v="1"/>
    <n v="100"/>
    <x v="1"/>
  </r>
  <r>
    <x v="0"/>
    <s v="SainteLague"/>
    <n v="925"/>
    <n v="133834"/>
    <s v="[Nexus-MVP] [Web de Clientes] Traducci√õn al portugu√às"/>
    <x v="14"/>
    <x v="0"/>
    <x v="1"/>
    <s v="Backlog"/>
    <n v="123"/>
    <n v="0.03"/>
    <n v="1"/>
    <n v="1"/>
    <n v="1"/>
    <n v="100"/>
    <x v="1"/>
  </r>
  <r>
    <x v="0"/>
    <s v="SainteLague"/>
    <n v="926"/>
    <n v="131162"/>
    <s v="[Salesforce] Notificaci√õn autom¬∑tica cambio de comercial"/>
    <x v="14"/>
    <x v="0"/>
    <x v="1"/>
    <s v="Backlog"/>
    <n v="124"/>
    <n v="0.03"/>
    <n v="1"/>
    <n v="1"/>
    <n v="1"/>
    <n v="100"/>
    <x v="1"/>
  </r>
  <r>
    <x v="0"/>
    <s v="SainteLague"/>
    <n v="927"/>
    <n v="131157"/>
    <s v="[PUDOS][PDA]-Evitar falsos entregados desde PDA repartidor"/>
    <x v="14"/>
    <x v="0"/>
    <x v="1"/>
    <s v="Backlog"/>
    <n v="125"/>
    <n v="0.03"/>
    <n v="1"/>
    <n v="1"/>
    <n v="1"/>
    <n v="100"/>
    <x v="1"/>
  </r>
  <r>
    <x v="0"/>
    <s v="SainteLague"/>
    <n v="928"/>
    <n v="131132"/>
    <s v="[Web de clientes][Desktop] - Seguimiento - Ocultar bot√õn de &quot;Estados&quot; / Alert de filtros"/>
    <x v="14"/>
    <x v="0"/>
    <x v="1"/>
    <s v="Backlog"/>
    <n v="126"/>
    <n v="0.03"/>
    <n v="1"/>
    <n v="1"/>
    <n v="1"/>
    <n v="100"/>
    <x v="1"/>
  </r>
  <r>
    <x v="0"/>
    <s v="SainteLague"/>
    <n v="929"/>
    <n v="131130"/>
    <s v="[Web de clientes][Mobile] - Mi cuenta + Ayuda y soporte"/>
    <x v="14"/>
    <x v="0"/>
    <x v="1"/>
    <s v="Backlog"/>
    <n v="127"/>
    <n v="0.03"/>
    <n v="1"/>
    <n v="1"/>
    <n v="1"/>
    <n v="100"/>
    <x v="1"/>
  </r>
  <r>
    <x v="0"/>
    <s v="SainteLague"/>
    <n v="930"/>
    <n v="131128"/>
    <s v="[Web de clientes][Mobile] - Agenda"/>
    <x v="14"/>
    <x v="0"/>
    <x v="1"/>
    <s v="Backlog"/>
    <n v="128"/>
    <n v="0.03"/>
    <n v="1"/>
    <n v="1"/>
    <n v="1"/>
    <n v="100"/>
    <x v="1"/>
  </r>
  <r>
    <x v="0"/>
    <s v="SainteLague"/>
    <n v="931"/>
    <n v="131126"/>
    <s v="[Web de clientes][Mobile] - Seguimiento de env√åos"/>
    <x v="14"/>
    <x v="0"/>
    <x v="1"/>
    <s v="Backlog"/>
    <n v="129"/>
    <n v="0.03"/>
    <n v="1"/>
    <n v="1"/>
    <n v="1"/>
    <n v="100"/>
    <x v="1"/>
  </r>
  <r>
    <x v="0"/>
    <s v="SainteLague"/>
    <n v="932"/>
    <n v="131124"/>
    <s v="[Web de clientes][Mobile] - Burger Menu + Actualizaci√õn de p¬∑gina de inicio"/>
    <x v="14"/>
    <x v="0"/>
    <x v="1"/>
    <s v="Backlog"/>
    <n v="130"/>
    <n v="0.03"/>
    <n v="1"/>
    <n v="1"/>
    <n v="1"/>
    <n v="100"/>
    <x v="1"/>
  </r>
  <r>
    <x v="0"/>
    <s v="SainteLague"/>
    <n v="933"/>
    <n v="131122"/>
    <s v="[Web de clientes][Mobile] - Solicitud de env√åo"/>
    <x v="14"/>
    <x v="0"/>
    <x v="1"/>
    <s v="Backlog"/>
    <n v="131"/>
    <n v="0.03"/>
    <n v="1"/>
    <n v="1"/>
    <n v="1"/>
    <n v="100"/>
    <x v="1"/>
  </r>
  <r>
    <x v="0"/>
    <s v="SainteLague"/>
    <n v="934"/>
    <n v="131115"/>
    <s v="[Web PÀôblica] - Formulario y email Pagina Red PUDOS"/>
    <x v="14"/>
    <x v="0"/>
    <x v="1"/>
    <s v="Backlog"/>
    <n v="132"/>
    <n v="0.03"/>
    <n v="1"/>
    <n v="1"/>
    <n v="1"/>
    <n v="100"/>
    <x v="1"/>
  </r>
  <r>
    <x v="0"/>
    <s v="SainteLague"/>
    <n v="935"/>
    <n v="131105"/>
    <s v="[Web de Clientes] - Suscripci√õn de informes - Reporte con la informaci√õn de env√åos de los Àôltimos 30 d√åas naturales - Ordenar reporte"/>
    <x v="14"/>
    <x v="0"/>
    <x v="1"/>
    <s v="Backlog"/>
    <n v="133"/>
    <n v="0.03"/>
    <n v="1"/>
    <n v="1"/>
    <n v="1"/>
    <n v="100"/>
    <x v="1"/>
  </r>
  <r>
    <x v="0"/>
    <s v="SainteLague"/>
    <n v="936"/>
    <n v="131082"/>
    <s v="[PUDOS] - Habilitaci√õn de LMS para entregas en PUDOS en ES"/>
    <x v="14"/>
    <x v="0"/>
    <x v="1"/>
    <s v="Backlog"/>
    <n v="134"/>
    <n v="0.03"/>
    <n v="1"/>
    <n v="1"/>
    <n v="1"/>
    <n v="100"/>
    <x v="1"/>
  </r>
  <r>
    <x v="0"/>
    <s v="SainteLague"/>
    <n v="937"/>
    <n v="131080"/>
    <s v="[FR y BR] - Tarifas y Ofertas"/>
    <x v="14"/>
    <x v="0"/>
    <x v="1"/>
    <s v="Backlog"/>
    <n v="135"/>
    <n v="0.03"/>
    <n v="1"/>
    <n v="1"/>
    <n v="1"/>
    <n v="100"/>
    <x v="1"/>
  </r>
  <r>
    <x v="0"/>
    <s v="SainteLague"/>
    <n v="938"/>
    <n v="131079"/>
    <s v="[FR y BR] - Campo departamento y facturaci√õn"/>
    <x v="14"/>
    <x v="0"/>
    <x v="1"/>
    <s v="Backlog"/>
    <n v="136"/>
    <n v="0.03"/>
    <n v="1"/>
    <n v="1"/>
    <n v="1"/>
    <n v="100"/>
    <x v="1"/>
  </r>
  <r>
    <x v="0"/>
    <s v="SainteLague"/>
    <n v="939"/>
    <n v="131069"/>
    <s v="[Notificaciones] - PUDOS - Nueva notificaci√õn de &quot;caducado en punto se devuelve&quot;"/>
    <x v="14"/>
    <x v="0"/>
    <x v="1"/>
    <s v="Backlog"/>
    <n v="137"/>
    <n v="0.03"/>
    <n v="1"/>
    <n v="1"/>
    <n v="1"/>
    <n v="100"/>
    <x v="1"/>
  </r>
  <r>
    <x v="0"/>
    <s v="SainteLague"/>
    <n v="940"/>
    <n v="131018"/>
    <s v="[WEB CLIENTE] Configuraci√õn visibilidad web a nivel CENTRO"/>
    <x v="14"/>
    <x v="0"/>
    <x v="1"/>
    <s v="Backlog"/>
    <n v="138"/>
    <n v="0.03"/>
    <n v="1"/>
    <n v="1"/>
    <n v="1"/>
    <n v="100"/>
    <x v="1"/>
  </r>
  <r>
    <x v="0"/>
    <s v="SainteLague"/>
    <n v="941"/>
    <n v="131008"/>
    <s v="[PUDOS] - Mejora Pudo Manager"/>
    <x v="14"/>
    <x v="0"/>
    <x v="1"/>
    <s v="Backlog"/>
    <n v="139"/>
    <n v="0.03"/>
    <n v="1"/>
    <n v="1"/>
    <n v="1"/>
    <n v="100"/>
    <x v="1"/>
  </r>
  <r>
    <x v="0"/>
    <s v="SainteLague"/>
    <n v="942"/>
    <n v="130924"/>
    <s v="[Web de Clientes] - Gesti√õn del env√åo - V2 A√íadir nuevas incidencias al proceso de entrega para gestionar la soluci√õn"/>
    <x v="14"/>
    <x v="0"/>
    <x v="1"/>
    <s v="Backlog"/>
    <n v="140"/>
    <n v="0.03"/>
    <n v="1"/>
    <n v="1"/>
    <n v="1"/>
    <n v="100"/>
    <x v="1"/>
  </r>
  <r>
    <x v="0"/>
    <s v="SainteLague"/>
    <n v="943"/>
    <n v="130817"/>
    <s v="[Internacional]- Actualizaci√õn Web- M√õdulo Aduana"/>
    <x v="14"/>
    <x v="0"/>
    <x v="1"/>
    <s v="In Definition"/>
    <n v="141"/>
    <n v="0.03"/>
    <n v="1"/>
    <n v="1"/>
    <n v="1"/>
    <n v="100"/>
    <x v="1"/>
  </r>
  <r>
    <x v="0"/>
    <s v="SainteLague"/>
    <n v="944"/>
    <n v="130639"/>
    <s v="[Web de Clientes] - Seguimiento de Env√åo - Posibilidad de descargar el albar¬∑n asociado al env√åo"/>
    <x v="14"/>
    <x v="0"/>
    <x v="1"/>
    <s v="High Level Design"/>
    <n v="142"/>
    <n v="0.03"/>
    <n v="1"/>
    <n v="1"/>
    <n v="1"/>
    <n v="100"/>
    <x v="1"/>
  </r>
  <r>
    <x v="0"/>
    <s v="SainteLague"/>
    <n v="945"/>
    <n v="129938"/>
    <s v="[Nexus-MVP] [Web de Clientes] - Recogidas - Resoluci√õn Incidencia en la recogida causa ajena: permitir al cliente solicitar una nueva recogida"/>
    <x v="14"/>
    <x v="0"/>
    <x v="1"/>
    <s v="Backlog"/>
    <n v="143"/>
    <n v="0.03"/>
    <n v="1"/>
    <n v="1"/>
    <n v="1"/>
    <n v="100"/>
    <x v="1"/>
  </r>
  <r>
    <x v="0"/>
    <s v="SainteLague"/>
    <n v="946"/>
    <n v="129934"/>
    <s v="[PUDOS] - Internalizaci√õn de la gesti√õn de env√åos en punto Celeritas"/>
    <x v="14"/>
    <x v="0"/>
    <x v="1"/>
    <s v="Backlog"/>
    <n v="144"/>
    <n v="0.03"/>
    <n v="1"/>
    <n v="1"/>
    <n v="1"/>
    <n v="100"/>
    <x v="1"/>
  </r>
  <r>
    <x v="0"/>
    <s v="SainteLague"/>
    <n v="947"/>
    <n v="129848"/>
    <s v="[PUDOS] - Maquetaci√õn de Justificante de entrega PUDOS (POD)"/>
    <x v="14"/>
    <x v="0"/>
    <x v="1"/>
    <s v="Backlog"/>
    <n v="145"/>
    <n v="0.03"/>
    <n v="1"/>
    <n v="1"/>
    <n v="1"/>
    <n v="100"/>
    <x v="1"/>
  </r>
  <r>
    <x v="0"/>
    <s v="SainteLague"/>
    <n v="948"/>
    <n v="129726"/>
    <s v="[Producto] -  C√õdigo promocional"/>
    <x v="14"/>
    <x v="0"/>
    <x v="1"/>
    <s v="Ready for Solution"/>
    <n v="146"/>
    <n v="0.03"/>
    <n v="1"/>
    <n v="1"/>
    <n v="1"/>
    <n v="100"/>
    <x v="1"/>
  </r>
  <r>
    <x v="0"/>
    <s v="SainteLague"/>
    <n v="949"/>
    <n v="129671"/>
    <s v="[PUDOS] - Resoluci√õn incidencias de Puntos CTT Express"/>
    <x v="14"/>
    <x v="0"/>
    <x v="1"/>
    <s v="In Definition"/>
    <n v="147"/>
    <n v="0.03"/>
    <n v="1"/>
    <n v="1"/>
    <n v="1"/>
    <n v="100"/>
    <x v="1"/>
  </r>
  <r>
    <x v="0"/>
    <s v="SainteLague"/>
    <n v="950"/>
    <n v="129649"/>
    <s v="Desarrollo Nuevas funcionalidades/Venta (TP)"/>
    <x v="14"/>
    <x v="0"/>
    <x v="1"/>
    <s v="Backlog"/>
    <n v="148"/>
    <n v="0.03"/>
    <n v="1"/>
    <n v="1"/>
    <n v="1"/>
    <n v="100"/>
    <x v="1"/>
  </r>
  <r>
    <x v="0"/>
    <s v="SainteLague"/>
    <n v="951"/>
    <n v="129648"/>
    <s v="Implementaci√õn de la red Locky (TP)"/>
    <x v="14"/>
    <x v="0"/>
    <x v="1"/>
    <s v="Backlog"/>
    <n v="149"/>
    <n v="0.03"/>
    <n v="1"/>
    <n v="1"/>
    <n v="1"/>
    <n v="100"/>
    <x v="1"/>
  </r>
  <r>
    <x v="0"/>
    <s v="SainteLague"/>
    <n v="952"/>
    <n v="129593"/>
    <s v="Servicios Preferentes/Revisi√õn del c¬∑lculo de compromiso (TP)"/>
    <x v="14"/>
    <x v="0"/>
    <x v="1"/>
    <s v="In Definition"/>
    <n v="150"/>
    <n v="0.03"/>
    <n v="1"/>
    <n v="1"/>
    <n v="1"/>
    <n v="100"/>
    <x v="1"/>
  </r>
  <r>
    <x v="1"/>
    <s v="WSJF"/>
    <n v="1"/>
    <n v="120240"/>
    <s v="Mata Aplica√Åƒ±es - Wave 1.14"/>
    <x v="12"/>
    <x v="1"/>
    <x v="3"/>
    <s v="Ready for Development"/>
    <n v="33"/>
    <n v="2.6669999999999998"/>
    <n v="4"/>
    <n v="2"/>
    <n v="2"/>
    <n v="3"/>
    <x v="0"/>
  </r>
  <r>
    <x v="1"/>
    <s v="WSJF"/>
    <n v="2"/>
    <n v="129833"/>
    <s v="Securizaci√õn entorno SENDA"/>
    <x v="0"/>
    <x v="0"/>
    <x v="0"/>
    <s v="Ready for Development"/>
    <n v="1"/>
    <n v="0.03"/>
    <n v="1"/>
    <n v="1"/>
    <n v="1"/>
    <n v="100"/>
    <x v="0"/>
  </r>
  <r>
    <x v="1"/>
    <s v="WSJF"/>
    <n v="3"/>
    <n v="130928"/>
    <s v="Kafka - Upgrade MSK en AWS"/>
    <x v="10"/>
    <x v="0"/>
    <x v="3"/>
    <s v="Ready for Development"/>
    <n v="7"/>
    <n v="0.03"/>
    <n v="1"/>
    <n v="1"/>
    <n v="1"/>
    <n v="100"/>
    <x v="0"/>
  </r>
  <r>
    <x v="1"/>
    <s v="WSJF"/>
    <n v="4"/>
    <n v="129755"/>
    <s v="[Nexus][Internacional]-[Nuevo Producto Low Cost]- SKYNET"/>
    <x v="14"/>
    <x v="0"/>
    <x v="1"/>
    <s v="Ready for Development"/>
    <n v="3"/>
    <n v="0.03"/>
    <n v="1"/>
    <n v="1"/>
    <n v="1"/>
    <n v="100"/>
    <x v="0"/>
  </r>
  <r>
    <x v="1"/>
    <s v="WSJF"/>
    <n v="5"/>
    <n v="130543"/>
    <s v="[PUDOS] - Incluir selecci√õn origen PT en Web Clientes para servicios RDP origen PT con manifiesto en ES"/>
    <x v="14"/>
    <x v="0"/>
    <x v="1"/>
    <s v="Ready for Development"/>
    <n v="17"/>
    <n v="0.03"/>
    <n v="1"/>
    <n v="1"/>
    <n v="1"/>
    <n v="100"/>
    <x v="0"/>
  </r>
  <r>
    <x v="1"/>
    <s v="WSJF"/>
    <n v="6"/>
    <n v="131049"/>
    <s v="[Web de Clientes] - Seguimiento - Poder filtrar por c√õdigo de env√åo sin tener en cuenta las fechas desde y hasta."/>
    <x v="14"/>
    <x v="0"/>
    <x v="1"/>
    <s v="Ready for Development"/>
    <n v="106"/>
    <n v="0.03"/>
    <n v="1"/>
    <n v="1"/>
    <n v="1"/>
    <n v="100"/>
    <x v="0"/>
  </r>
  <r>
    <x v="1"/>
    <s v="WSJF"/>
    <n v="7"/>
    <n v="98651"/>
    <s v="SAPSF - encripta√Å‚Äûo ficheiros SEPA CTT + CTTE"/>
    <x v="29"/>
    <x v="1"/>
    <x v="2"/>
    <s v="Ready for Development"/>
    <n v="1"/>
    <n v="0.03"/>
    <n v="1"/>
    <n v="1"/>
    <n v="1"/>
    <n v="100"/>
    <x v="0"/>
  </r>
  <r>
    <x v="1"/>
    <s v="WSJF"/>
    <n v="8"/>
    <n v="99510"/>
    <s v="SAPSF -  Solu√Å‚Äûo de Interoperabilidade com a Seguran√Åa Social (Regulat√õrio)"/>
    <x v="29"/>
    <x v="1"/>
    <x v="2"/>
    <s v="Ready for Development"/>
    <n v="2"/>
    <n v="0.03"/>
    <n v="1"/>
    <n v="1"/>
    <n v="1"/>
    <n v="100"/>
    <x v="0"/>
  </r>
  <r>
    <x v="2"/>
    <m/>
    <m/>
    <m/>
    <m/>
    <x v="37"/>
    <x v="6"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9F7B3-CEBA-DA43-ADC2-0DE32432B2B9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P9" firstHeaderRow="1" firstDataRow="2" firstDataCol="1" rowPageCount="2" colPageCount="1"/>
  <pivotFields count="16"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39">
        <item x="18"/>
        <item x="17"/>
        <item x="20"/>
        <item x="28"/>
        <item x="16"/>
        <item x="9"/>
        <item x="8"/>
        <item x="10"/>
        <item x="13"/>
        <item x="31"/>
        <item x="14"/>
        <item x="33"/>
        <item x="25"/>
        <item x="0"/>
        <item x="26"/>
        <item x="22"/>
        <item x="32"/>
        <item x="2"/>
        <item x="21"/>
        <item x="35"/>
        <item x="1"/>
        <item x="3"/>
        <item x="6"/>
        <item x="5"/>
        <item x="29"/>
        <item x="7"/>
        <item x="27"/>
        <item x="19"/>
        <item x="24"/>
        <item x="23"/>
        <item x="30"/>
        <item x="4"/>
        <item x="12"/>
        <item x="15"/>
        <item x="11"/>
        <item x="34"/>
        <item x="3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8">
        <item h="1" x="2"/>
        <item h="1" x="0"/>
        <item h="1" x="5"/>
        <item h="1" x="1"/>
        <item h="1" x="4"/>
        <item x="3"/>
        <item h="1" x="6"/>
        <item t="default"/>
      </items>
    </pivotField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Fields count="2">
    <field x="7"/>
    <field x="5"/>
  </rowFields>
  <rowItems count="4">
    <i>
      <x v="1"/>
    </i>
    <i r="1">
      <x v="25"/>
    </i>
    <i r="1">
      <x v="21"/>
    </i>
    <i t="grand">
      <x/>
    </i>
  </rowItems>
  <colFields count="1">
    <field x="6"/>
  </colFields>
  <colItems count="2">
    <i>
      <x v="5"/>
    </i>
    <i t="grand">
      <x/>
    </i>
  </colItems>
  <pageFields count="2">
    <pageField fld="15" hier="-1"/>
    <pageField fld="0" hier="-1"/>
  </pageField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27DF3-E807-BF4B-8EA0-9CF139ABE454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L11" firstHeaderRow="1" firstDataRow="2" firstDataCol="1" rowPageCount="2" colPageCount="1"/>
  <pivotFields count="16"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39">
        <item x="18"/>
        <item x="17"/>
        <item x="20"/>
        <item x="28"/>
        <item x="16"/>
        <item x="9"/>
        <item x="8"/>
        <item x="10"/>
        <item x="13"/>
        <item x="31"/>
        <item x="14"/>
        <item x="33"/>
        <item x="25"/>
        <item x="0"/>
        <item x="26"/>
        <item x="22"/>
        <item x="32"/>
        <item x="2"/>
        <item x="21"/>
        <item x="35"/>
        <item x="1"/>
        <item x="3"/>
        <item x="6"/>
        <item x="5"/>
        <item x="29"/>
        <item x="7"/>
        <item x="27"/>
        <item x="19"/>
        <item x="24"/>
        <item x="23"/>
        <item x="30"/>
        <item x="4"/>
        <item x="12"/>
        <item x="15"/>
        <item x="11"/>
        <item x="34"/>
        <item x="3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8">
        <item x="2"/>
        <item h="1" x="0"/>
        <item h="1" x="5"/>
        <item h="1" x="1"/>
        <item h="1" x="4"/>
        <item h="1" x="3"/>
        <item h="1" x="6"/>
        <item t="default"/>
      </items>
    </pivotField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Fields count="2">
    <field x="7"/>
    <field x="5"/>
  </rowFields>
  <rowItems count="6">
    <i>
      <x v="1"/>
    </i>
    <i r="1">
      <x v="20"/>
    </i>
    <i r="1">
      <x v="25"/>
    </i>
    <i>
      <x v="4"/>
    </i>
    <i r="1">
      <x v="34"/>
    </i>
    <i t="grand">
      <x/>
    </i>
  </rowItems>
  <colFields count="1">
    <field x="6"/>
  </colFields>
  <colItems count="2">
    <i>
      <x/>
    </i>
    <i t="grand">
      <x/>
    </i>
  </colItems>
  <pageFields count="2">
    <pageField fld="15" hier="-1"/>
    <pageField fld="0" hier="-1"/>
  </pageField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7B80D-0970-7048-9DB9-027914C06420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H34" firstHeaderRow="1" firstDataRow="2" firstDataCol="1" rowPageCount="2" colPageCount="1"/>
  <pivotFields count="16"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39">
        <item x="18"/>
        <item x="17"/>
        <item x="20"/>
        <item x="28"/>
        <item x="16"/>
        <item x="9"/>
        <item x="8"/>
        <item x="10"/>
        <item x="13"/>
        <item x="31"/>
        <item x="14"/>
        <item x="33"/>
        <item x="25"/>
        <item x="0"/>
        <item x="26"/>
        <item x="22"/>
        <item x="32"/>
        <item x="2"/>
        <item x="21"/>
        <item x="35"/>
        <item x="1"/>
        <item x="3"/>
        <item x="6"/>
        <item x="5"/>
        <item x="29"/>
        <item x="7"/>
        <item x="27"/>
        <item x="19"/>
        <item x="24"/>
        <item x="23"/>
        <item x="30"/>
        <item x="4"/>
        <item x="12"/>
        <item x="15"/>
        <item x="11"/>
        <item x="34"/>
        <item x="3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8">
        <item h="1" x="2"/>
        <item h="1" x="0"/>
        <item h="1" x="5"/>
        <item x="1"/>
        <item h="1" x="4"/>
        <item h="1" x="3"/>
        <item h="1" x="6"/>
        <item t="default"/>
      </items>
    </pivotField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Fields count="2">
    <field x="7"/>
    <field x="5"/>
  </rowFields>
  <rowItems count="29">
    <i>
      <x/>
    </i>
    <i r="1">
      <x v="8"/>
    </i>
    <i>
      <x v="1"/>
    </i>
    <i r="1">
      <x v="25"/>
    </i>
    <i r="1">
      <x v="20"/>
    </i>
    <i r="1">
      <x v="14"/>
    </i>
    <i r="1">
      <x v="15"/>
    </i>
    <i>
      <x v="2"/>
    </i>
    <i r="1">
      <x v="24"/>
    </i>
    <i r="1">
      <x v="35"/>
    </i>
    <i r="1">
      <x v="28"/>
    </i>
    <i r="1">
      <x v="2"/>
    </i>
    <i r="1">
      <x v="19"/>
    </i>
    <i r="1">
      <x v="5"/>
    </i>
    <i r="1">
      <x v="26"/>
    </i>
    <i r="1">
      <x v="9"/>
    </i>
    <i r="1">
      <x v="30"/>
    </i>
    <i r="1">
      <x v="11"/>
    </i>
    <i r="1">
      <x/>
    </i>
    <i r="1">
      <x v="16"/>
    </i>
    <i>
      <x v="3"/>
    </i>
    <i r="1">
      <x v="31"/>
    </i>
    <i r="1">
      <x v="17"/>
    </i>
    <i>
      <x v="4"/>
    </i>
    <i r="1">
      <x v="34"/>
    </i>
    <i r="1">
      <x v="33"/>
    </i>
    <i r="1">
      <x v="3"/>
    </i>
    <i r="1">
      <x v="32"/>
    </i>
    <i t="grand">
      <x/>
    </i>
  </rowItems>
  <colFields count="1">
    <field x="6"/>
  </colFields>
  <colItems count="2">
    <i>
      <x v="3"/>
    </i>
    <i t="grand">
      <x/>
    </i>
  </colItems>
  <pageFields count="2">
    <pageField fld="15" hier="-1"/>
    <pageField fld="0" hier="-1"/>
  </pageField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98432-6FAF-1E43-B476-18FF0D15BE91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30" firstHeaderRow="1" firstDataRow="2" firstDataCol="1" rowPageCount="2" colPageCount="1"/>
  <pivotFields count="16"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dataField="1" showAll="0"/>
    <pivotField showAll="0"/>
    <pivotField axis="axisRow" showAll="0">
      <items count="39">
        <item x="18"/>
        <item x="17"/>
        <item x="20"/>
        <item x="28"/>
        <item x="16"/>
        <item x="9"/>
        <item x="8"/>
        <item x="10"/>
        <item x="13"/>
        <item x="31"/>
        <item x="14"/>
        <item x="33"/>
        <item x="25"/>
        <item x="0"/>
        <item x="26"/>
        <item x="22"/>
        <item x="32"/>
        <item x="2"/>
        <item x="21"/>
        <item x="35"/>
        <item x="1"/>
        <item x="3"/>
        <item x="6"/>
        <item x="5"/>
        <item x="29"/>
        <item x="7"/>
        <item x="27"/>
        <item x="19"/>
        <item x="24"/>
        <item x="23"/>
        <item x="30"/>
        <item x="4"/>
        <item x="12"/>
        <item x="15"/>
        <item x="11"/>
        <item x="34"/>
        <item x="36"/>
        <item x="37"/>
        <item t="default"/>
      </items>
    </pivotField>
    <pivotField axis="axisCol" showAll="0">
      <items count="8">
        <item h="1" x="2"/>
        <item x="0"/>
        <item h="1" x="5"/>
        <item h="1" x="1"/>
        <item h="1" x="4"/>
        <item h="1" x="3"/>
        <item h="1" x="6"/>
        <item t="default"/>
      </items>
    </pivotField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Fields count="2">
    <field x="7"/>
    <field x="5"/>
  </rowFields>
  <rowItems count="25">
    <i>
      <x v="1"/>
    </i>
    <i r="1">
      <x v="4"/>
    </i>
    <i r="1">
      <x v="10"/>
    </i>
    <i r="1">
      <x v="15"/>
    </i>
    <i r="1">
      <x v="22"/>
    </i>
    <i r="1">
      <x v="25"/>
    </i>
    <i r="1">
      <x v="27"/>
    </i>
    <i>
      <x v="2"/>
    </i>
    <i r="1">
      <x v="1"/>
    </i>
    <i r="1">
      <x v="2"/>
    </i>
    <i r="1">
      <x v="6"/>
    </i>
    <i r="1">
      <x v="12"/>
    </i>
    <i r="1">
      <x v="28"/>
    </i>
    <i r="1">
      <x v="29"/>
    </i>
    <i>
      <x v="3"/>
    </i>
    <i r="1">
      <x v="13"/>
    </i>
    <i r="1">
      <x v="17"/>
    </i>
    <i r="1">
      <x v="18"/>
    </i>
    <i r="1">
      <x v="31"/>
    </i>
    <i>
      <x v="4"/>
    </i>
    <i r="1">
      <x v="7"/>
    </i>
    <i r="1">
      <x v="32"/>
    </i>
    <i r="1">
      <x v="33"/>
    </i>
    <i r="1">
      <x v="34"/>
    </i>
    <i t="grand">
      <x/>
    </i>
  </rowItems>
  <colFields count="1">
    <field x="6"/>
  </colFields>
  <colItems count="2">
    <i>
      <x v="1"/>
    </i>
    <i t="grand">
      <x/>
    </i>
  </colItems>
  <pageFields count="2">
    <pageField fld="15" hier="-1"/>
    <pageField fld="0" hier="-1"/>
  </pageField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591B-88A1-7440-A178-A0B46DCDD029}">
  <dimension ref="A1:P34"/>
  <sheetViews>
    <sheetView tabSelected="1" zoomScale="120" zoomScaleNormal="120" workbookViewId="0">
      <pane ySplit="5" topLeftCell="A6" activePane="bottomLeft" state="frozen"/>
      <selection pane="bottomLeft" activeCell="J17" sqref="J17"/>
    </sheetView>
  </sheetViews>
  <sheetFormatPr baseColWidth="10" defaultRowHeight="16" x14ac:dyDescent="0.2"/>
  <cols>
    <col min="1" max="1" width="13.5" bestFit="1" customWidth="1"/>
    <col min="2" max="2" width="16" bestFit="1" customWidth="1"/>
    <col min="3" max="3" width="10.5" bestFit="1" customWidth="1"/>
    <col min="4" max="4" width="9.6640625" bestFit="1" customWidth="1"/>
    <col min="5" max="5" width="4.6640625" bestFit="1" customWidth="1"/>
    <col min="6" max="6" width="13.5" bestFit="1" customWidth="1"/>
    <col min="7" max="7" width="16" bestFit="1" customWidth="1"/>
    <col min="8" max="9" width="10.5" bestFit="1" customWidth="1"/>
    <col min="10" max="10" width="13.5" bestFit="1" customWidth="1"/>
    <col min="11" max="11" width="17" bestFit="1" customWidth="1"/>
    <col min="12" max="12" width="10.5" bestFit="1" customWidth="1"/>
    <col min="14" max="14" width="13.5" bestFit="1" customWidth="1"/>
    <col min="15" max="15" width="23" bestFit="1" customWidth="1"/>
    <col min="16" max="16" width="10.5" bestFit="1" customWidth="1"/>
  </cols>
  <sheetData>
    <row r="1" spans="1:16" x14ac:dyDescent="0.2">
      <c r="A1" s="1" t="s">
        <v>1026</v>
      </c>
      <c r="B1" t="s">
        <v>1028</v>
      </c>
      <c r="F1" s="1" t="s">
        <v>1026</v>
      </c>
      <c r="G1" t="s">
        <v>1028</v>
      </c>
      <c r="J1" s="1" t="s">
        <v>1026</v>
      </c>
      <c r="K1" t="s">
        <v>1028</v>
      </c>
      <c r="N1" s="1" t="s">
        <v>1026</v>
      </c>
      <c r="O1" t="s">
        <v>1028</v>
      </c>
    </row>
    <row r="2" spans="1:16" x14ac:dyDescent="0.2">
      <c r="A2" s="1" t="s">
        <v>0</v>
      </c>
      <c r="B2" t="s">
        <v>15</v>
      </c>
      <c r="F2" s="1" t="s">
        <v>0</v>
      </c>
      <c r="G2" t="s">
        <v>15</v>
      </c>
      <c r="J2" s="1" t="s">
        <v>0</v>
      </c>
      <c r="K2" t="s">
        <v>15</v>
      </c>
      <c r="N2" s="1" t="s">
        <v>0</v>
      </c>
      <c r="O2" t="s">
        <v>15</v>
      </c>
    </row>
    <row r="4" spans="1:16" x14ac:dyDescent="0.2">
      <c r="A4" s="1" t="s">
        <v>1030</v>
      </c>
      <c r="B4" s="1" t="s">
        <v>1031</v>
      </c>
      <c r="F4" s="1" t="s">
        <v>1030</v>
      </c>
      <c r="G4" s="1" t="s">
        <v>1031</v>
      </c>
      <c r="J4" s="1" t="s">
        <v>1030</v>
      </c>
      <c r="K4" s="1" t="s">
        <v>1031</v>
      </c>
      <c r="N4" s="1" t="s">
        <v>1030</v>
      </c>
      <c r="O4" s="1" t="s">
        <v>1031</v>
      </c>
    </row>
    <row r="5" spans="1:16" x14ac:dyDescent="0.2">
      <c r="A5" s="1" t="s">
        <v>1027</v>
      </c>
      <c r="B5" t="s">
        <v>18</v>
      </c>
      <c r="C5" t="s">
        <v>1029</v>
      </c>
      <c r="F5" s="1" t="s">
        <v>1027</v>
      </c>
      <c r="G5" t="s">
        <v>23</v>
      </c>
      <c r="H5" t="s">
        <v>1029</v>
      </c>
      <c r="J5" s="1" t="s">
        <v>1027</v>
      </c>
      <c r="K5" t="s">
        <v>27</v>
      </c>
      <c r="L5" t="s">
        <v>1029</v>
      </c>
      <c r="N5" s="1" t="s">
        <v>1027</v>
      </c>
      <c r="O5" t="s">
        <v>42</v>
      </c>
      <c r="P5" t="s">
        <v>1029</v>
      </c>
    </row>
    <row r="6" spans="1:16" x14ac:dyDescent="0.2">
      <c r="A6" s="2" t="s">
        <v>28</v>
      </c>
      <c r="B6" s="28">
        <v>12</v>
      </c>
      <c r="C6" s="28">
        <v>12</v>
      </c>
      <c r="F6" s="2" t="s">
        <v>22</v>
      </c>
      <c r="G6" s="28">
        <v>1</v>
      </c>
      <c r="H6" s="28">
        <v>1</v>
      </c>
      <c r="J6" s="2" t="s">
        <v>28</v>
      </c>
      <c r="K6" s="28">
        <v>8</v>
      </c>
      <c r="L6" s="28">
        <v>8</v>
      </c>
      <c r="N6" s="2" t="s">
        <v>28</v>
      </c>
      <c r="O6" s="28">
        <v>10</v>
      </c>
      <c r="P6" s="28">
        <v>10</v>
      </c>
    </row>
    <row r="7" spans="1:16" x14ac:dyDescent="0.2">
      <c r="A7" s="27" t="s">
        <v>68</v>
      </c>
      <c r="B7" s="28">
        <v>2</v>
      </c>
      <c r="C7" s="28">
        <v>2</v>
      </c>
      <c r="F7" s="27" t="s">
        <v>22</v>
      </c>
      <c r="G7" s="28">
        <v>1</v>
      </c>
      <c r="H7" s="28">
        <v>1</v>
      </c>
      <c r="J7" s="27" t="s">
        <v>26</v>
      </c>
      <c r="K7" s="28">
        <v>7</v>
      </c>
      <c r="L7" s="28">
        <v>7</v>
      </c>
      <c r="N7" s="27" t="s">
        <v>58</v>
      </c>
      <c r="O7" s="28">
        <v>5</v>
      </c>
      <c r="P7" s="28">
        <v>5</v>
      </c>
    </row>
    <row r="8" spans="1:16" x14ac:dyDescent="0.2">
      <c r="A8" s="27" t="s">
        <v>73</v>
      </c>
      <c r="B8" s="28">
        <v>2</v>
      </c>
      <c r="C8" s="28">
        <v>2</v>
      </c>
      <c r="F8" s="2" t="s">
        <v>28</v>
      </c>
      <c r="G8" s="28">
        <v>4</v>
      </c>
      <c r="H8" s="28">
        <v>4</v>
      </c>
      <c r="J8" s="27" t="s">
        <v>58</v>
      </c>
      <c r="K8" s="28">
        <v>1</v>
      </c>
      <c r="L8" s="28">
        <v>1</v>
      </c>
      <c r="N8" s="27" t="s">
        <v>41</v>
      </c>
      <c r="O8" s="28">
        <v>5</v>
      </c>
      <c r="P8" s="28">
        <v>5</v>
      </c>
    </row>
    <row r="9" spans="1:16" x14ac:dyDescent="0.2">
      <c r="A9" s="27" t="s">
        <v>219</v>
      </c>
      <c r="B9" s="28">
        <v>2</v>
      </c>
      <c r="C9" s="28">
        <v>2</v>
      </c>
      <c r="F9" s="27" t="s">
        <v>58</v>
      </c>
      <c r="G9" s="28">
        <v>1</v>
      </c>
      <c r="H9" s="28">
        <v>1</v>
      </c>
      <c r="J9" s="2" t="s">
        <v>39</v>
      </c>
      <c r="K9" s="28">
        <v>8</v>
      </c>
      <c r="L9" s="28">
        <v>8</v>
      </c>
      <c r="N9" s="2" t="s">
        <v>1029</v>
      </c>
      <c r="O9" s="28">
        <v>10</v>
      </c>
      <c r="P9" s="28">
        <v>10</v>
      </c>
    </row>
    <row r="10" spans="1:16" x14ac:dyDescent="0.2">
      <c r="A10" s="27" t="s">
        <v>78</v>
      </c>
      <c r="B10" s="28">
        <v>2</v>
      </c>
      <c r="C10" s="28">
        <v>2</v>
      </c>
      <c r="F10" s="27" t="s">
        <v>26</v>
      </c>
      <c r="G10" s="28">
        <v>1</v>
      </c>
      <c r="H10" s="28">
        <v>1</v>
      </c>
      <c r="J10" s="27" t="s">
        <v>62</v>
      </c>
      <c r="K10" s="28">
        <v>8</v>
      </c>
      <c r="L10" s="28">
        <v>8</v>
      </c>
    </row>
    <row r="11" spans="1:16" x14ac:dyDescent="0.2">
      <c r="A11" s="27" t="s">
        <v>58</v>
      </c>
      <c r="B11" s="28">
        <v>2</v>
      </c>
      <c r="C11" s="28">
        <v>2</v>
      </c>
      <c r="F11" s="27" t="s">
        <v>215</v>
      </c>
      <c r="G11" s="28">
        <v>1</v>
      </c>
      <c r="H11" s="28">
        <v>1</v>
      </c>
      <c r="J11" s="2" t="s">
        <v>1029</v>
      </c>
      <c r="K11" s="28">
        <v>16</v>
      </c>
      <c r="L11" s="28">
        <v>16</v>
      </c>
    </row>
    <row r="12" spans="1:16" x14ac:dyDescent="0.2">
      <c r="A12" s="27" t="s">
        <v>238</v>
      </c>
      <c r="B12" s="28">
        <v>2</v>
      </c>
      <c r="C12" s="28">
        <v>2</v>
      </c>
      <c r="F12" s="27" t="s">
        <v>219</v>
      </c>
      <c r="G12" s="28">
        <v>1</v>
      </c>
      <c r="H12" s="28">
        <v>1</v>
      </c>
    </row>
    <row r="13" spans="1:16" x14ac:dyDescent="0.2">
      <c r="A13" s="2" t="s">
        <v>55</v>
      </c>
      <c r="B13" s="28">
        <v>11</v>
      </c>
      <c r="C13" s="28">
        <v>11</v>
      </c>
      <c r="F13" s="2" t="s">
        <v>55</v>
      </c>
      <c r="G13" s="28">
        <v>12</v>
      </c>
      <c r="H13" s="28">
        <v>12</v>
      </c>
    </row>
    <row r="14" spans="1:16" x14ac:dyDescent="0.2">
      <c r="A14" s="27" t="s">
        <v>190</v>
      </c>
      <c r="B14" s="28">
        <v>2</v>
      </c>
      <c r="C14" s="28">
        <v>2</v>
      </c>
      <c r="F14" s="27" t="s">
        <v>261</v>
      </c>
      <c r="G14" s="28">
        <v>1</v>
      </c>
      <c r="H14" s="28">
        <v>1</v>
      </c>
    </row>
    <row r="15" spans="1:16" x14ac:dyDescent="0.2">
      <c r="A15" s="27" t="s">
        <v>193</v>
      </c>
      <c r="B15" s="28">
        <v>2</v>
      </c>
      <c r="C15" s="28">
        <v>2</v>
      </c>
      <c r="F15" s="27" t="s">
        <v>270</v>
      </c>
      <c r="G15" s="28">
        <v>1</v>
      </c>
      <c r="H15" s="28">
        <v>1</v>
      </c>
    </row>
    <row r="16" spans="1:16" x14ac:dyDescent="0.2">
      <c r="A16" s="27" t="s">
        <v>54</v>
      </c>
      <c r="B16" s="28">
        <v>2</v>
      </c>
      <c r="C16" s="28">
        <v>2</v>
      </c>
      <c r="F16" s="27" t="s">
        <v>96</v>
      </c>
      <c r="G16" s="28">
        <v>1</v>
      </c>
      <c r="H16" s="28">
        <v>1</v>
      </c>
    </row>
    <row r="17" spans="1:8" x14ac:dyDescent="0.2">
      <c r="A17" s="27" t="s">
        <v>196</v>
      </c>
      <c r="B17" s="28">
        <v>1</v>
      </c>
      <c r="C17" s="28">
        <v>1</v>
      </c>
      <c r="F17" s="27" t="s">
        <v>193</v>
      </c>
      <c r="G17" s="28">
        <v>1</v>
      </c>
      <c r="H17" s="28">
        <v>1</v>
      </c>
    </row>
    <row r="18" spans="1:8" x14ac:dyDescent="0.2">
      <c r="A18" s="27" t="s">
        <v>96</v>
      </c>
      <c r="B18" s="28">
        <v>2</v>
      </c>
      <c r="C18" s="28">
        <v>2</v>
      </c>
      <c r="F18" s="27" t="s">
        <v>257</v>
      </c>
      <c r="G18" s="28">
        <v>1</v>
      </c>
      <c r="H18" s="28">
        <v>1</v>
      </c>
    </row>
    <row r="19" spans="1:8" x14ac:dyDescent="0.2">
      <c r="A19" s="27" t="s">
        <v>202</v>
      </c>
      <c r="B19" s="28">
        <v>2</v>
      </c>
      <c r="C19" s="28">
        <v>2</v>
      </c>
      <c r="F19" s="27" t="s">
        <v>90</v>
      </c>
      <c r="G19" s="28">
        <v>1</v>
      </c>
      <c r="H19" s="28">
        <v>1</v>
      </c>
    </row>
    <row r="20" spans="1:8" x14ac:dyDescent="0.2">
      <c r="A20" s="2" t="s">
        <v>19</v>
      </c>
      <c r="B20" s="28">
        <v>10</v>
      </c>
      <c r="C20" s="28">
        <v>10</v>
      </c>
      <c r="F20" s="27" t="s">
        <v>264</v>
      </c>
      <c r="G20" s="28">
        <v>1</v>
      </c>
      <c r="H20" s="28">
        <v>1</v>
      </c>
    </row>
    <row r="21" spans="1:8" x14ac:dyDescent="0.2">
      <c r="A21" s="27" t="s">
        <v>17</v>
      </c>
      <c r="B21" s="28">
        <v>4</v>
      </c>
      <c r="C21" s="28">
        <v>4</v>
      </c>
      <c r="F21" s="27" t="s">
        <v>248</v>
      </c>
      <c r="G21" s="28">
        <v>1</v>
      </c>
      <c r="H21" s="28">
        <v>1</v>
      </c>
    </row>
    <row r="22" spans="1:8" x14ac:dyDescent="0.2">
      <c r="A22" s="27" t="s">
        <v>31</v>
      </c>
      <c r="B22" s="28">
        <v>3</v>
      </c>
      <c r="C22" s="28">
        <v>3</v>
      </c>
      <c r="F22" s="27" t="s">
        <v>267</v>
      </c>
      <c r="G22" s="28">
        <v>1</v>
      </c>
      <c r="H22" s="28">
        <v>1</v>
      </c>
    </row>
    <row r="23" spans="1:8" x14ac:dyDescent="0.2">
      <c r="A23" s="27" t="s">
        <v>139</v>
      </c>
      <c r="B23" s="28">
        <v>1</v>
      </c>
      <c r="C23" s="28">
        <v>1</v>
      </c>
      <c r="F23" s="27" t="s">
        <v>251</v>
      </c>
      <c r="G23" s="28">
        <v>1</v>
      </c>
      <c r="H23" s="28">
        <v>1</v>
      </c>
    </row>
    <row r="24" spans="1:8" x14ac:dyDescent="0.2">
      <c r="A24" s="27" t="s">
        <v>48</v>
      </c>
      <c r="B24" s="28">
        <v>2</v>
      </c>
      <c r="C24" s="28">
        <v>2</v>
      </c>
      <c r="F24" s="27" t="s">
        <v>242</v>
      </c>
      <c r="G24" s="28">
        <v>1</v>
      </c>
      <c r="H24" s="28">
        <v>1</v>
      </c>
    </row>
    <row r="25" spans="1:8" x14ac:dyDescent="0.2">
      <c r="A25" s="2" t="s">
        <v>39</v>
      </c>
      <c r="B25" s="28">
        <v>8</v>
      </c>
      <c r="C25" s="28">
        <v>8</v>
      </c>
      <c r="F25" s="27" t="s">
        <v>254</v>
      </c>
      <c r="G25" s="28">
        <v>1</v>
      </c>
      <c r="H25" s="28">
        <v>1</v>
      </c>
    </row>
    <row r="26" spans="1:8" x14ac:dyDescent="0.2">
      <c r="A26" s="27" t="s">
        <v>44</v>
      </c>
      <c r="B26" s="28">
        <v>2</v>
      </c>
      <c r="C26" s="28">
        <v>2</v>
      </c>
      <c r="F26" s="2" t="s">
        <v>19</v>
      </c>
      <c r="G26" s="28">
        <v>2</v>
      </c>
      <c r="H26" s="28">
        <v>2</v>
      </c>
    </row>
    <row r="27" spans="1:8" x14ac:dyDescent="0.2">
      <c r="A27" s="27" t="s">
        <v>38</v>
      </c>
      <c r="B27" s="28">
        <v>2</v>
      </c>
      <c r="C27" s="28">
        <v>2</v>
      </c>
      <c r="F27" s="27" t="s">
        <v>48</v>
      </c>
      <c r="G27" s="28">
        <v>1</v>
      </c>
      <c r="H27" s="28">
        <v>1</v>
      </c>
    </row>
    <row r="28" spans="1:8" x14ac:dyDescent="0.2">
      <c r="A28" s="27" t="s">
        <v>148</v>
      </c>
      <c r="B28" s="28">
        <v>2</v>
      </c>
      <c r="C28" s="28">
        <v>2</v>
      </c>
      <c r="F28" s="27" t="s">
        <v>31</v>
      </c>
      <c r="G28" s="28">
        <v>1</v>
      </c>
      <c r="H28" s="28">
        <v>1</v>
      </c>
    </row>
    <row r="29" spans="1:8" x14ac:dyDescent="0.2">
      <c r="A29" s="27" t="s">
        <v>62</v>
      </c>
      <c r="B29" s="28">
        <v>2</v>
      </c>
      <c r="C29" s="28">
        <v>2</v>
      </c>
      <c r="F29" s="2" t="s">
        <v>39</v>
      </c>
      <c r="G29" s="28">
        <v>4</v>
      </c>
      <c r="H29" s="28">
        <v>4</v>
      </c>
    </row>
    <row r="30" spans="1:8" x14ac:dyDescent="0.2">
      <c r="A30" s="2" t="s">
        <v>1029</v>
      </c>
      <c r="B30" s="28">
        <v>41</v>
      </c>
      <c r="C30" s="28">
        <v>41</v>
      </c>
      <c r="F30" s="27" t="s">
        <v>62</v>
      </c>
      <c r="G30" s="28">
        <v>1</v>
      </c>
      <c r="H30" s="28">
        <v>1</v>
      </c>
    </row>
    <row r="31" spans="1:8" x14ac:dyDescent="0.2">
      <c r="F31" s="27" t="s">
        <v>148</v>
      </c>
      <c r="G31" s="28">
        <v>1</v>
      </c>
      <c r="H31" s="28">
        <v>1</v>
      </c>
    </row>
    <row r="32" spans="1:8" x14ac:dyDescent="0.2">
      <c r="F32" s="27" t="s">
        <v>165</v>
      </c>
      <c r="G32" s="28">
        <v>1</v>
      </c>
      <c r="H32" s="28">
        <v>1</v>
      </c>
    </row>
    <row r="33" spans="6:8" x14ac:dyDescent="0.2">
      <c r="F33" s="27" t="s">
        <v>38</v>
      </c>
      <c r="G33" s="28">
        <v>1</v>
      </c>
      <c r="H33" s="28">
        <v>1</v>
      </c>
    </row>
    <row r="34" spans="6:8" x14ac:dyDescent="0.2">
      <c r="F34" s="2" t="s">
        <v>1029</v>
      </c>
      <c r="G34" s="28">
        <v>23</v>
      </c>
      <c r="H34" s="28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0C1C-C428-0E4A-882A-8A1DAC6CD16F}">
  <dimension ref="A1:Q953"/>
  <sheetViews>
    <sheetView workbookViewId="0">
      <pane ySplit="1" topLeftCell="A2" activePane="bottomLeft" state="frozen"/>
      <selection pane="bottomLeft" sqref="A1:O953"/>
    </sheetView>
  </sheetViews>
  <sheetFormatPr baseColWidth="10" defaultRowHeight="16" x14ac:dyDescent="0.2"/>
  <cols>
    <col min="16" max="16" width="10.83203125" style="4"/>
  </cols>
  <sheetData>
    <row r="1" spans="1:17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1026</v>
      </c>
      <c r="Q1" s="7">
        <v>108</v>
      </c>
    </row>
    <row r="2" spans="1:17" x14ac:dyDescent="0.2">
      <c r="A2" t="s">
        <v>15</v>
      </c>
      <c r="B2" t="s">
        <v>1016</v>
      </c>
      <c r="C2">
        <v>9</v>
      </c>
      <c r="D2">
        <v>130701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>
        <v>0.03</v>
      </c>
      <c r="L2">
        <v>1</v>
      </c>
      <c r="M2">
        <v>1</v>
      </c>
      <c r="N2">
        <v>1</v>
      </c>
      <c r="O2">
        <v>100</v>
      </c>
      <c r="P2" s="4" t="b">
        <f>C2&lt;($Q$1+1)</f>
        <v>1</v>
      </c>
    </row>
    <row r="3" spans="1:17" x14ac:dyDescent="0.2">
      <c r="A3" t="s">
        <v>15</v>
      </c>
      <c r="B3" t="s">
        <v>1016</v>
      </c>
      <c r="C3">
        <v>10</v>
      </c>
      <c r="D3">
        <v>125697</v>
      </c>
      <c r="E3" t="s">
        <v>70</v>
      </c>
      <c r="F3" t="s">
        <v>26</v>
      </c>
      <c r="G3" t="s">
        <v>23</v>
      </c>
      <c r="H3" t="s">
        <v>28</v>
      </c>
      <c r="I3" t="s">
        <v>29</v>
      </c>
      <c r="J3">
        <v>1</v>
      </c>
      <c r="K3">
        <v>3</v>
      </c>
      <c r="L3">
        <v>3</v>
      </c>
      <c r="M3">
        <v>3</v>
      </c>
      <c r="N3">
        <v>3</v>
      </c>
      <c r="O3">
        <v>3</v>
      </c>
      <c r="P3" s="4" t="b">
        <f t="shared" ref="P3:P66" si="0">C3&lt;($Q$1+1)</f>
        <v>1</v>
      </c>
    </row>
    <row r="4" spans="1:17" x14ac:dyDescent="0.2">
      <c r="A4" t="s">
        <v>15</v>
      </c>
      <c r="B4" t="s">
        <v>1016</v>
      </c>
      <c r="C4">
        <v>11</v>
      </c>
      <c r="D4">
        <v>135288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>
        <v>8</v>
      </c>
      <c r="K4">
        <v>0.03</v>
      </c>
      <c r="L4">
        <v>1</v>
      </c>
      <c r="M4">
        <v>1</v>
      </c>
      <c r="N4">
        <v>1</v>
      </c>
      <c r="O4">
        <v>100</v>
      </c>
      <c r="P4" s="4" t="b">
        <f t="shared" si="0"/>
        <v>1</v>
      </c>
    </row>
    <row r="5" spans="1:17" x14ac:dyDescent="0.2">
      <c r="A5" t="s">
        <v>15</v>
      </c>
      <c r="B5" t="s">
        <v>1016</v>
      </c>
      <c r="C5">
        <v>12</v>
      </c>
      <c r="D5">
        <v>115295</v>
      </c>
      <c r="E5" t="s">
        <v>33</v>
      </c>
      <c r="F5" t="s">
        <v>31</v>
      </c>
      <c r="G5" t="s">
        <v>18</v>
      </c>
      <c r="H5" t="s">
        <v>19</v>
      </c>
      <c r="I5" t="s">
        <v>20</v>
      </c>
      <c r="J5">
        <v>2</v>
      </c>
      <c r="K5">
        <v>0.03</v>
      </c>
      <c r="L5">
        <v>1</v>
      </c>
      <c r="M5">
        <v>1</v>
      </c>
      <c r="N5">
        <v>1</v>
      </c>
      <c r="O5">
        <v>100</v>
      </c>
      <c r="P5" s="4" t="b">
        <f t="shared" si="0"/>
        <v>1</v>
      </c>
    </row>
    <row r="6" spans="1:17" x14ac:dyDescent="0.2">
      <c r="A6" t="s">
        <v>15</v>
      </c>
      <c r="B6" t="s">
        <v>1016</v>
      </c>
      <c r="C6">
        <v>13</v>
      </c>
      <c r="D6">
        <v>118174</v>
      </c>
      <c r="E6" t="s">
        <v>40</v>
      </c>
      <c r="F6" t="s">
        <v>41</v>
      </c>
      <c r="G6" t="s">
        <v>42</v>
      </c>
      <c r="H6" t="s">
        <v>28</v>
      </c>
      <c r="I6" t="s">
        <v>29</v>
      </c>
      <c r="J6">
        <v>1</v>
      </c>
      <c r="K6">
        <v>0.03</v>
      </c>
      <c r="L6">
        <v>1</v>
      </c>
      <c r="M6">
        <v>1</v>
      </c>
      <c r="N6">
        <v>1</v>
      </c>
      <c r="O6">
        <v>100</v>
      </c>
      <c r="P6" s="4" t="b">
        <f t="shared" si="0"/>
        <v>1</v>
      </c>
    </row>
    <row r="7" spans="1:17" x14ac:dyDescent="0.2">
      <c r="A7" t="s">
        <v>15</v>
      </c>
      <c r="B7" t="s">
        <v>1016</v>
      </c>
      <c r="C7">
        <v>14</v>
      </c>
      <c r="D7">
        <v>77828</v>
      </c>
      <c r="E7" t="s">
        <v>141</v>
      </c>
      <c r="F7" t="s">
        <v>48</v>
      </c>
      <c r="G7" t="s">
        <v>18</v>
      </c>
      <c r="H7" t="s">
        <v>19</v>
      </c>
      <c r="I7" t="s">
        <v>20</v>
      </c>
      <c r="J7">
        <v>2</v>
      </c>
      <c r="K7">
        <v>0.03</v>
      </c>
      <c r="L7">
        <v>1</v>
      </c>
      <c r="M7">
        <v>1</v>
      </c>
      <c r="N7">
        <v>1</v>
      </c>
      <c r="O7">
        <v>100</v>
      </c>
      <c r="P7" s="4" t="b">
        <f t="shared" si="0"/>
        <v>1</v>
      </c>
    </row>
    <row r="8" spans="1:17" x14ac:dyDescent="0.2">
      <c r="A8" t="s">
        <v>15</v>
      </c>
      <c r="B8" t="s">
        <v>1016</v>
      </c>
      <c r="C8">
        <v>15</v>
      </c>
      <c r="D8">
        <v>168516</v>
      </c>
      <c r="E8" t="s">
        <v>34</v>
      </c>
      <c r="F8" t="s">
        <v>35</v>
      </c>
      <c r="G8" t="s">
        <v>36</v>
      </c>
      <c r="H8" t="s">
        <v>28</v>
      </c>
      <c r="I8" t="s">
        <v>20</v>
      </c>
      <c r="J8">
        <v>1</v>
      </c>
      <c r="K8">
        <v>0.03</v>
      </c>
      <c r="L8">
        <v>1</v>
      </c>
      <c r="M8">
        <v>1</v>
      </c>
      <c r="N8">
        <v>1</v>
      </c>
      <c r="O8">
        <v>100</v>
      </c>
      <c r="P8" s="4" t="b">
        <f t="shared" si="0"/>
        <v>1</v>
      </c>
    </row>
    <row r="9" spans="1:17" x14ac:dyDescent="0.2">
      <c r="A9" t="s">
        <v>15</v>
      </c>
      <c r="B9" t="s">
        <v>1016</v>
      </c>
      <c r="C9">
        <v>16</v>
      </c>
      <c r="D9">
        <v>122320</v>
      </c>
      <c r="E9" t="s">
        <v>59</v>
      </c>
      <c r="F9" t="s">
        <v>48</v>
      </c>
      <c r="G9" t="s">
        <v>23</v>
      </c>
      <c r="H9" t="s">
        <v>19</v>
      </c>
      <c r="I9" t="s">
        <v>56</v>
      </c>
      <c r="J9">
        <v>1</v>
      </c>
      <c r="K9">
        <v>4.5</v>
      </c>
      <c r="L9">
        <v>4</v>
      </c>
      <c r="M9">
        <v>2</v>
      </c>
      <c r="N9">
        <v>3</v>
      </c>
      <c r="O9">
        <v>2</v>
      </c>
      <c r="P9" s="4" t="b">
        <f t="shared" si="0"/>
        <v>1</v>
      </c>
    </row>
    <row r="10" spans="1:17" x14ac:dyDescent="0.2">
      <c r="A10" t="s">
        <v>15</v>
      </c>
      <c r="B10" t="s">
        <v>1016</v>
      </c>
      <c r="C10">
        <v>17</v>
      </c>
      <c r="D10">
        <v>60579</v>
      </c>
      <c r="E10" t="s">
        <v>77</v>
      </c>
      <c r="F10" t="s">
        <v>78</v>
      </c>
      <c r="G10" t="s">
        <v>18</v>
      </c>
      <c r="H10" t="s">
        <v>28</v>
      </c>
      <c r="I10" t="s">
        <v>56</v>
      </c>
      <c r="J10">
        <v>1</v>
      </c>
      <c r="K10">
        <v>0.03</v>
      </c>
      <c r="L10">
        <v>1</v>
      </c>
      <c r="M10">
        <v>1</v>
      </c>
      <c r="N10">
        <v>1</v>
      </c>
      <c r="O10">
        <v>100</v>
      </c>
      <c r="P10" s="4" t="b">
        <f t="shared" si="0"/>
        <v>1</v>
      </c>
    </row>
    <row r="11" spans="1:17" x14ac:dyDescent="0.2">
      <c r="A11" t="s">
        <v>15</v>
      </c>
      <c r="B11" t="s">
        <v>1016</v>
      </c>
      <c r="C11">
        <v>18</v>
      </c>
      <c r="D11">
        <v>120972</v>
      </c>
      <c r="E11" t="s">
        <v>84</v>
      </c>
      <c r="F11" t="s">
        <v>58</v>
      </c>
      <c r="G11" t="s">
        <v>27</v>
      </c>
      <c r="H11" t="s">
        <v>28</v>
      </c>
      <c r="I11" t="s">
        <v>29</v>
      </c>
      <c r="J11">
        <v>4</v>
      </c>
      <c r="K11">
        <v>0.03</v>
      </c>
      <c r="L11">
        <v>1</v>
      </c>
      <c r="M11">
        <v>1</v>
      </c>
      <c r="N11">
        <v>1</v>
      </c>
      <c r="O11">
        <v>100</v>
      </c>
      <c r="P11" s="4" t="b">
        <f t="shared" si="0"/>
        <v>1</v>
      </c>
    </row>
    <row r="12" spans="1:17" x14ac:dyDescent="0.2">
      <c r="A12" t="s">
        <v>15</v>
      </c>
      <c r="B12" t="s">
        <v>1016</v>
      </c>
      <c r="C12">
        <v>19</v>
      </c>
      <c r="D12">
        <v>129984</v>
      </c>
      <c r="E12" t="s">
        <v>53</v>
      </c>
      <c r="F12" t="s">
        <v>54</v>
      </c>
      <c r="G12" t="s">
        <v>18</v>
      </c>
      <c r="H12" t="s">
        <v>55</v>
      </c>
      <c r="I12" t="s">
        <v>56</v>
      </c>
      <c r="J12">
        <v>1</v>
      </c>
      <c r="K12">
        <v>0.03</v>
      </c>
      <c r="L12">
        <v>1</v>
      </c>
      <c r="M12">
        <v>1</v>
      </c>
      <c r="N12">
        <v>1</v>
      </c>
      <c r="O12">
        <v>100</v>
      </c>
      <c r="P12" s="4" t="b">
        <f t="shared" si="0"/>
        <v>1</v>
      </c>
    </row>
    <row r="13" spans="1:17" x14ac:dyDescent="0.2">
      <c r="A13" t="s">
        <v>15</v>
      </c>
      <c r="B13" t="s">
        <v>1016</v>
      </c>
      <c r="C13">
        <v>20</v>
      </c>
      <c r="D13">
        <v>126644</v>
      </c>
      <c r="E13" t="s">
        <v>89</v>
      </c>
      <c r="F13" t="s">
        <v>90</v>
      </c>
      <c r="G13" t="s">
        <v>23</v>
      </c>
      <c r="H13" t="s">
        <v>55</v>
      </c>
      <c r="I13" t="s">
        <v>29</v>
      </c>
      <c r="J13">
        <v>1</v>
      </c>
      <c r="K13">
        <v>0.03</v>
      </c>
      <c r="L13">
        <v>1</v>
      </c>
      <c r="M13">
        <v>1</v>
      </c>
      <c r="N13">
        <v>1</v>
      </c>
      <c r="O13">
        <v>100</v>
      </c>
      <c r="P13" s="4" t="b">
        <f t="shared" si="0"/>
        <v>1</v>
      </c>
    </row>
    <row r="14" spans="1:17" x14ac:dyDescent="0.2">
      <c r="A14" t="s">
        <v>15</v>
      </c>
      <c r="B14" t="s">
        <v>1016</v>
      </c>
      <c r="C14">
        <v>21</v>
      </c>
      <c r="D14">
        <v>70063</v>
      </c>
      <c r="E14" t="s">
        <v>47</v>
      </c>
      <c r="F14" t="s">
        <v>48</v>
      </c>
      <c r="G14" t="s">
        <v>32</v>
      </c>
      <c r="H14" t="s">
        <v>19</v>
      </c>
      <c r="I14" t="s">
        <v>29</v>
      </c>
      <c r="J14">
        <v>8</v>
      </c>
      <c r="K14">
        <v>0.03</v>
      </c>
      <c r="L14">
        <v>1</v>
      </c>
      <c r="M14">
        <v>1</v>
      </c>
      <c r="N14">
        <v>1</v>
      </c>
      <c r="O14">
        <v>100</v>
      </c>
      <c r="P14" s="4" t="b">
        <f t="shared" si="0"/>
        <v>1</v>
      </c>
    </row>
    <row r="15" spans="1:17" x14ac:dyDescent="0.2">
      <c r="A15" t="s">
        <v>15</v>
      </c>
      <c r="B15" t="s">
        <v>1016</v>
      </c>
      <c r="C15">
        <v>22</v>
      </c>
      <c r="D15">
        <v>130989</v>
      </c>
      <c r="E15" t="s">
        <v>43</v>
      </c>
      <c r="F15" t="s">
        <v>44</v>
      </c>
      <c r="G15" t="s">
        <v>18</v>
      </c>
      <c r="H15" t="s">
        <v>39</v>
      </c>
      <c r="I15" t="s">
        <v>29</v>
      </c>
      <c r="J15">
        <v>1</v>
      </c>
      <c r="K15">
        <v>0.03</v>
      </c>
      <c r="L15">
        <v>1</v>
      </c>
      <c r="M15">
        <v>1</v>
      </c>
      <c r="N15">
        <v>1</v>
      </c>
      <c r="O15">
        <v>100</v>
      </c>
      <c r="P15" s="4" t="b">
        <f t="shared" si="0"/>
        <v>1</v>
      </c>
    </row>
    <row r="16" spans="1:17" x14ac:dyDescent="0.2">
      <c r="A16" t="s">
        <v>15</v>
      </c>
      <c r="B16" t="s">
        <v>1016</v>
      </c>
      <c r="C16">
        <v>23</v>
      </c>
      <c r="D16">
        <v>43204</v>
      </c>
      <c r="E16" t="s">
        <v>57</v>
      </c>
      <c r="F16" t="s">
        <v>58</v>
      </c>
      <c r="G16" t="s">
        <v>42</v>
      </c>
      <c r="H16" t="s">
        <v>28</v>
      </c>
      <c r="I16" t="s">
        <v>20</v>
      </c>
      <c r="J16">
        <v>25</v>
      </c>
      <c r="K16">
        <v>0.03</v>
      </c>
      <c r="L16">
        <v>1</v>
      </c>
      <c r="M16">
        <v>1</v>
      </c>
      <c r="N16">
        <v>1</v>
      </c>
      <c r="O16">
        <v>100</v>
      </c>
      <c r="P16" s="4" t="b">
        <f t="shared" si="0"/>
        <v>1</v>
      </c>
    </row>
    <row r="17" spans="1:16" x14ac:dyDescent="0.2">
      <c r="A17" t="s">
        <v>15</v>
      </c>
      <c r="B17" t="s">
        <v>1016</v>
      </c>
      <c r="C17">
        <v>24</v>
      </c>
      <c r="D17">
        <v>49197</v>
      </c>
      <c r="E17" t="s">
        <v>61</v>
      </c>
      <c r="F17" t="s">
        <v>62</v>
      </c>
      <c r="G17" t="s">
        <v>27</v>
      </c>
      <c r="H17" t="s">
        <v>39</v>
      </c>
      <c r="I17" t="s">
        <v>20</v>
      </c>
      <c r="J17">
        <v>1</v>
      </c>
      <c r="K17">
        <v>0.03</v>
      </c>
      <c r="L17">
        <v>1</v>
      </c>
      <c r="M17">
        <v>1</v>
      </c>
      <c r="N17">
        <v>1</v>
      </c>
      <c r="O17">
        <v>100</v>
      </c>
      <c r="P17" s="4" t="b">
        <f t="shared" si="0"/>
        <v>1</v>
      </c>
    </row>
    <row r="18" spans="1:16" x14ac:dyDescent="0.2">
      <c r="A18" t="s">
        <v>15</v>
      </c>
      <c r="B18" t="s">
        <v>1016</v>
      </c>
      <c r="C18">
        <v>25</v>
      </c>
      <c r="D18">
        <v>132298</v>
      </c>
      <c r="E18" t="s">
        <v>37</v>
      </c>
      <c r="F18" t="s">
        <v>38</v>
      </c>
      <c r="G18" t="s">
        <v>23</v>
      </c>
      <c r="H18" t="s">
        <v>39</v>
      </c>
      <c r="I18" t="s">
        <v>29</v>
      </c>
      <c r="J18">
        <v>1</v>
      </c>
      <c r="K18">
        <v>0.03</v>
      </c>
      <c r="L18">
        <v>1</v>
      </c>
      <c r="M18">
        <v>1</v>
      </c>
      <c r="N18">
        <v>1</v>
      </c>
      <c r="O18">
        <v>100</v>
      </c>
      <c r="P18" s="4" t="b">
        <f t="shared" si="0"/>
        <v>1</v>
      </c>
    </row>
    <row r="19" spans="1:16" x14ac:dyDescent="0.2">
      <c r="A19" t="s">
        <v>15</v>
      </c>
      <c r="B19" t="s">
        <v>1016</v>
      </c>
      <c r="C19">
        <v>26</v>
      </c>
      <c r="D19">
        <v>123649</v>
      </c>
      <c r="E19" t="s">
        <v>82</v>
      </c>
      <c r="F19" t="s">
        <v>58</v>
      </c>
      <c r="G19" t="s">
        <v>18</v>
      </c>
      <c r="H19" t="s">
        <v>28</v>
      </c>
      <c r="I19" t="s">
        <v>83</v>
      </c>
      <c r="J19">
        <v>1</v>
      </c>
      <c r="K19">
        <v>0.03</v>
      </c>
      <c r="L19">
        <v>1</v>
      </c>
      <c r="M19">
        <v>1</v>
      </c>
      <c r="N19">
        <v>1</v>
      </c>
      <c r="O19">
        <v>100</v>
      </c>
      <c r="P19" s="4" t="b">
        <f t="shared" si="0"/>
        <v>1</v>
      </c>
    </row>
    <row r="20" spans="1:16" x14ac:dyDescent="0.2">
      <c r="A20" t="s">
        <v>15</v>
      </c>
      <c r="B20" t="s">
        <v>1016</v>
      </c>
      <c r="C20">
        <v>27</v>
      </c>
      <c r="D20">
        <v>96332</v>
      </c>
      <c r="E20" t="s">
        <v>49</v>
      </c>
      <c r="F20" t="s">
        <v>38</v>
      </c>
      <c r="G20" t="s">
        <v>18</v>
      </c>
      <c r="H20" t="s">
        <v>39</v>
      </c>
      <c r="I20" t="s">
        <v>29</v>
      </c>
      <c r="J20">
        <v>11</v>
      </c>
      <c r="K20">
        <v>0.03</v>
      </c>
      <c r="L20">
        <v>1</v>
      </c>
      <c r="M20">
        <v>1</v>
      </c>
      <c r="N20">
        <v>1</v>
      </c>
      <c r="O20">
        <v>100</v>
      </c>
      <c r="P20" s="4" t="b">
        <f t="shared" si="0"/>
        <v>1</v>
      </c>
    </row>
    <row r="21" spans="1:16" x14ac:dyDescent="0.2">
      <c r="A21" t="s">
        <v>15</v>
      </c>
      <c r="B21" t="s">
        <v>1016</v>
      </c>
      <c r="C21">
        <v>28</v>
      </c>
      <c r="D21">
        <v>54059</v>
      </c>
      <c r="E21" t="s">
        <v>92</v>
      </c>
      <c r="F21" t="s">
        <v>58</v>
      </c>
      <c r="G21" t="s">
        <v>36</v>
      </c>
      <c r="H21" t="s">
        <v>28</v>
      </c>
      <c r="I21" t="s">
        <v>20</v>
      </c>
      <c r="J21">
        <v>17</v>
      </c>
      <c r="K21">
        <v>0.03</v>
      </c>
      <c r="L21">
        <v>1</v>
      </c>
      <c r="M21">
        <v>1</v>
      </c>
      <c r="N21">
        <v>1</v>
      </c>
      <c r="O21">
        <v>100</v>
      </c>
      <c r="P21" s="4" t="b">
        <f t="shared" si="0"/>
        <v>1</v>
      </c>
    </row>
    <row r="22" spans="1:16" x14ac:dyDescent="0.2">
      <c r="A22" t="s">
        <v>15</v>
      </c>
      <c r="B22" t="s">
        <v>1016</v>
      </c>
      <c r="C22">
        <v>29</v>
      </c>
      <c r="D22">
        <v>50852</v>
      </c>
      <c r="E22" t="s">
        <v>21</v>
      </c>
      <c r="F22" t="s">
        <v>22</v>
      </c>
      <c r="G22" t="s">
        <v>23</v>
      </c>
      <c r="H22" t="s">
        <v>22</v>
      </c>
      <c r="I22" t="s">
        <v>24</v>
      </c>
      <c r="J22">
        <v>1</v>
      </c>
      <c r="K22">
        <v>0.03</v>
      </c>
      <c r="L22">
        <v>1</v>
      </c>
      <c r="M22">
        <v>1</v>
      </c>
      <c r="N22">
        <v>1</v>
      </c>
      <c r="O22">
        <v>100</v>
      </c>
      <c r="P22" s="4" t="b">
        <f t="shared" si="0"/>
        <v>1</v>
      </c>
    </row>
    <row r="23" spans="1:16" x14ac:dyDescent="0.2">
      <c r="A23" t="s">
        <v>15</v>
      </c>
      <c r="B23" t="s">
        <v>1016</v>
      </c>
      <c r="C23">
        <v>30</v>
      </c>
      <c r="D23">
        <v>130406</v>
      </c>
      <c r="E23" t="s">
        <v>72</v>
      </c>
      <c r="F23" t="s">
        <v>73</v>
      </c>
      <c r="G23" t="s">
        <v>18</v>
      </c>
      <c r="H23" t="s">
        <v>28</v>
      </c>
      <c r="I23" t="s">
        <v>74</v>
      </c>
      <c r="J23">
        <v>1</v>
      </c>
      <c r="K23">
        <v>0.03</v>
      </c>
      <c r="L23">
        <v>1</v>
      </c>
      <c r="M23">
        <v>1</v>
      </c>
      <c r="N23">
        <v>1</v>
      </c>
      <c r="O23">
        <v>100</v>
      </c>
      <c r="P23" s="4" t="b">
        <f t="shared" si="0"/>
        <v>1</v>
      </c>
    </row>
    <row r="24" spans="1:16" x14ac:dyDescent="0.2">
      <c r="A24" t="s">
        <v>15</v>
      </c>
      <c r="B24" t="s">
        <v>1016</v>
      </c>
      <c r="C24">
        <v>31</v>
      </c>
      <c r="D24">
        <v>134997</v>
      </c>
      <c r="E24" t="s">
        <v>45</v>
      </c>
      <c r="F24" t="s">
        <v>26</v>
      </c>
      <c r="G24" t="s">
        <v>27</v>
      </c>
      <c r="H24" t="s">
        <v>28</v>
      </c>
      <c r="I24" t="s">
        <v>20</v>
      </c>
      <c r="J24">
        <v>11</v>
      </c>
      <c r="K24">
        <v>0.03</v>
      </c>
      <c r="L24">
        <v>1</v>
      </c>
      <c r="M24">
        <v>1</v>
      </c>
      <c r="N24">
        <v>1</v>
      </c>
      <c r="O24">
        <v>100</v>
      </c>
      <c r="P24" s="4" t="b">
        <f t="shared" si="0"/>
        <v>1</v>
      </c>
    </row>
    <row r="25" spans="1:16" x14ac:dyDescent="0.2">
      <c r="A25" t="s">
        <v>15</v>
      </c>
      <c r="B25" t="s">
        <v>1016</v>
      </c>
      <c r="C25">
        <v>32</v>
      </c>
      <c r="D25">
        <v>124738</v>
      </c>
      <c r="E25" t="s">
        <v>147</v>
      </c>
      <c r="F25" t="s">
        <v>148</v>
      </c>
      <c r="G25" t="s">
        <v>18</v>
      </c>
      <c r="H25" t="s">
        <v>39</v>
      </c>
      <c r="I25" t="s">
        <v>20</v>
      </c>
      <c r="J25">
        <v>1</v>
      </c>
      <c r="K25">
        <v>7.0000000000000007E-2</v>
      </c>
      <c r="L25">
        <v>1</v>
      </c>
      <c r="M25">
        <v>3</v>
      </c>
      <c r="N25">
        <v>3</v>
      </c>
      <c r="O25">
        <v>100</v>
      </c>
      <c r="P25" s="4" t="b">
        <f t="shared" si="0"/>
        <v>1</v>
      </c>
    </row>
    <row r="26" spans="1:16" x14ac:dyDescent="0.2">
      <c r="A26" t="s">
        <v>15</v>
      </c>
      <c r="B26" t="s">
        <v>1016</v>
      </c>
      <c r="C26">
        <v>33</v>
      </c>
      <c r="D26">
        <v>126931</v>
      </c>
      <c r="E26" t="s">
        <v>75</v>
      </c>
      <c r="F26" t="s">
        <v>58</v>
      </c>
      <c r="G26" t="s">
        <v>23</v>
      </c>
      <c r="H26" t="s">
        <v>28</v>
      </c>
      <c r="I26" t="s">
        <v>29</v>
      </c>
      <c r="J26">
        <v>3</v>
      </c>
      <c r="K26">
        <v>0.03</v>
      </c>
      <c r="L26">
        <v>1</v>
      </c>
      <c r="M26">
        <v>1</v>
      </c>
      <c r="N26">
        <v>1</v>
      </c>
      <c r="O26">
        <v>100</v>
      </c>
      <c r="P26" s="4" t="b">
        <f t="shared" si="0"/>
        <v>1</v>
      </c>
    </row>
    <row r="27" spans="1:16" x14ac:dyDescent="0.2">
      <c r="A27" t="s">
        <v>15</v>
      </c>
      <c r="B27" t="s">
        <v>1016</v>
      </c>
      <c r="C27">
        <v>34</v>
      </c>
      <c r="D27">
        <v>192059</v>
      </c>
      <c r="E27" t="s">
        <v>66</v>
      </c>
      <c r="F27" t="s">
        <v>41</v>
      </c>
      <c r="G27" t="s">
        <v>42</v>
      </c>
      <c r="H27" t="s">
        <v>28</v>
      </c>
      <c r="I27" t="s">
        <v>20</v>
      </c>
      <c r="J27">
        <v>2</v>
      </c>
      <c r="K27">
        <v>0.03</v>
      </c>
      <c r="L27">
        <v>1</v>
      </c>
      <c r="M27">
        <v>1</v>
      </c>
      <c r="N27">
        <v>1</v>
      </c>
      <c r="O27">
        <v>100</v>
      </c>
      <c r="P27" s="4" t="b">
        <f t="shared" si="0"/>
        <v>1</v>
      </c>
    </row>
    <row r="28" spans="1:16" x14ac:dyDescent="0.2">
      <c r="A28" t="s">
        <v>15</v>
      </c>
      <c r="B28" t="s">
        <v>1016</v>
      </c>
      <c r="C28">
        <v>35</v>
      </c>
      <c r="D28">
        <v>130577</v>
      </c>
      <c r="E28" t="s">
        <v>67</v>
      </c>
      <c r="F28" t="s">
        <v>68</v>
      </c>
      <c r="G28" t="s">
        <v>18</v>
      </c>
      <c r="H28" t="s">
        <v>28</v>
      </c>
      <c r="I28" t="s">
        <v>56</v>
      </c>
      <c r="J28">
        <v>1</v>
      </c>
      <c r="K28">
        <v>0.03</v>
      </c>
      <c r="L28">
        <v>1</v>
      </c>
      <c r="M28">
        <v>1</v>
      </c>
      <c r="N28">
        <v>1</v>
      </c>
      <c r="O28">
        <v>100</v>
      </c>
      <c r="P28" s="4" t="b">
        <f t="shared" si="0"/>
        <v>1</v>
      </c>
    </row>
    <row r="29" spans="1:16" x14ac:dyDescent="0.2">
      <c r="A29" t="s">
        <v>15</v>
      </c>
      <c r="B29" t="s">
        <v>1016</v>
      </c>
      <c r="C29">
        <v>36</v>
      </c>
      <c r="D29">
        <v>194112</v>
      </c>
      <c r="E29" t="s">
        <v>97</v>
      </c>
      <c r="F29" t="s">
        <v>62</v>
      </c>
      <c r="G29" t="s">
        <v>27</v>
      </c>
      <c r="H29" t="s">
        <v>39</v>
      </c>
      <c r="I29" t="s">
        <v>20</v>
      </c>
      <c r="J29">
        <v>6</v>
      </c>
      <c r="K29">
        <v>0.03</v>
      </c>
      <c r="L29">
        <v>1</v>
      </c>
      <c r="M29">
        <v>1</v>
      </c>
      <c r="N29">
        <v>1</v>
      </c>
      <c r="O29">
        <v>100</v>
      </c>
      <c r="P29" s="4" t="b">
        <f t="shared" si="0"/>
        <v>1</v>
      </c>
    </row>
    <row r="30" spans="1:16" x14ac:dyDescent="0.2">
      <c r="A30" t="s">
        <v>15</v>
      </c>
      <c r="B30" t="s">
        <v>1016</v>
      </c>
      <c r="C30">
        <v>37</v>
      </c>
      <c r="D30">
        <v>130413</v>
      </c>
      <c r="E30" t="s">
        <v>189</v>
      </c>
      <c r="F30" t="s">
        <v>190</v>
      </c>
      <c r="G30" t="s">
        <v>18</v>
      </c>
      <c r="H30" t="s">
        <v>55</v>
      </c>
      <c r="I30" t="s">
        <v>56</v>
      </c>
      <c r="J30">
        <v>1</v>
      </c>
      <c r="K30">
        <v>0.03</v>
      </c>
      <c r="L30">
        <v>1</v>
      </c>
      <c r="M30">
        <v>1</v>
      </c>
      <c r="N30">
        <v>1</v>
      </c>
      <c r="O30">
        <v>100</v>
      </c>
      <c r="P30" s="4" t="b">
        <f t="shared" si="0"/>
        <v>1</v>
      </c>
    </row>
    <row r="31" spans="1:16" x14ac:dyDescent="0.2">
      <c r="A31" t="s">
        <v>15</v>
      </c>
      <c r="B31" t="s">
        <v>1016</v>
      </c>
      <c r="C31">
        <v>38</v>
      </c>
      <c r="D31">
        <v>124871</v>
      </c>
      <c r="E31" t="s">
        <v>241</v>
      </c>
      <c r="F31" t="s">
        <v>242</v>
      </c>
      <c r="G31" t="s">
        <v>23</v>
      </c>
      <c r="H31" t="s">
        <v>55</v>
      </c>
      <c r="I31" t="s">
        <v>20</v>
      </c>
      <c r="J31">
        <v>1</v>
      </c>
      <c r="K31">
        <v>0.03</v>
      </c>
      <c r="L31">
        <v>1</v>
      </c>
      <c r="M31">
        <v>1</v>
      </c>
      <c r="N31">
        <v>1</v>
      </c>
      <c r="O31">
        <v>100</v>
      </c>
      <c r="P31" s="4" t="b">
        <f t="shared" si="0"/>
        <v>1</v>
      </c>
    </row>
    <row r="32" spans="1:16" x14ac:dyDescent="0.2">
      <c r="A32" t="s">
        <v>15</v>
      </c>
      <c r="B32" t="s">
        <v>1016</v>
      </c>
      <c r="C32">
        <v>39</v>
      </c>
      <c r="D32">
        <v>125919</v>
      </c>
      <c r="E32" t="s">
        <v>151</v>
      </c>
      <c r="F32" t="s">
        <v>62</v>
      </c>
      <c r="G32" t="s">
        <v>18</v>
      </c>
      <c r="H32" t="s">
        <v>39</v>
      </c>
      <c r="I32" t="s">
        <v>29</v>
      </c>
      <c r="J32">
        <v>3</v>
      </c>
      <c r="K32">
        <v>0.03</v>
      </c>
      <c r="L32">
        <v>1</v>
      </c>
      <c r="M32">
        <v>1</v>
      </c>
      <c r="N32">
        <v>1</v>
      </c>
      <c r="O32">
        <v>100</v>
      </c>
      <c r="P32" s="4" t="b">
        <f t="shared" si="0"/>
        <v>1</v>
      </c>
    </row>
    <row r="33" spans="1:16" x14ac:dyDescent="0.2">
      <c r="A33" t="s">
        <v>15</v>
      </c>
      <c r="B33" t="s">
        <v>1016</v>
      </c>
      <c r="C33">
        <v>40</v>
      </c>
      <c r="D33">
        <v>121353</v>
      </c>
      <c r="E33" t="s">
        <v>50</v>
      </c>
      <c r="F33" t="s">
        <v>35</v>
      </c>
      <c r="G33" t="s">
        <v>36</v>
      </c>
      <c r="H33" t="s">
        <v>28</v>
      </c>
      <c r="I33" t="s">
        <v>29</v>
      </c>
      <c r="J33">
        <v>2</v>
      </c>
      <c r="K33">
        <v>0.03</v>
      </c>
      <c r="L33">
        <v>1</v>
      </c>
      <c r="M33">
        <v>1</v>
      </c>
      <c r="N33">
        <v>1</v>
      </c>
      <c r="O33">
        <v>100</v>
      </c>
      <c r="P33" s="4" t="b">
        <f t="shared" si="0"/>
        <v>1</v>
      </c>
    </row>
    <row r="34" spans="1:16" x14ac:dyDescent="0.2">
      <c r="A34" t="s">
        <v>15</v>
      </c>
      <c r="B34" t="s">
        <v>1016</v>
      </c>
      <c r="C34">
        <v>41</v>
      </c>
      <c r="D34">
        <v>130539</v>
      </c>
      <c r="E34" t="s">
        <v>237</v>
      </c>
      <c r="F34" t="s">
        <v>238</v>
      </c>
      <c r="G34" t="s">
        <v>18</v>
      </c>
      <c r="H34" t="s">
        <v>28</v>
      </c>
      <c r="I34" t="s">
        <v>83</v>
      </c>
      <c r="J34">
        <v>1</v>
      </c>
      <c r="K34">
        <v>0.03</v>
      </c>
      <c r="L34">
        <v>1</v>
      </c>
      <c r="M34">
        <v>1</v>
      </c>
      <c r="N34">
        <v>1</v>
      </c>
      <c r="O34">
        <v>100</v>
      </c>
      <c r="P34" s="4" t="b">
        <f t="shared" si="0"/>
        <v>1</v>
      </c>
    </row>
    <row r="35" spans="1:16" x14ac:dyDescent="0.2">
      <c r="A35" t="s">
        <v>15</v>
      </c>
      <c r="B35" t="s">
        <v>1016</v>
      </c>
      <c r="C35">
        <v>42</v>
      </c>
      <c r="D35">
        <v>91809</v>
      </c>
      <c r="E35" t="s">
        <v>51</v>
      </c>
      <c r="F35" t="s">
        <v>31</v>
      </c>
      <c r="G35" t="s">
        <v>23</v>
      </c>
      <c r="H35" t="s">
        <v>19</v>
      </c>
      <c r="I35" t="s">
        <v>24</v>
      </c>
      <c r="J35">
        <v>1</v>
      </c>
      <c r="K35">
        <v>0.03</v>
      </c>
      <c r="L35">
        <v>1</v>
      </c>
      <c r="M35">
        <v>1</v>
      </c>
      <c r="N35">
        <v>1</v>
      </c>
      <c r="O35">
        <v>100</v>
      </c>
      <c r="P35" s="4" t="b">
        <f t="shared" si="0"/>
        <v>1</v>
      </c>
    </row>
    <row r="36" spans="1:16" x14ac:dyDescent="0.2">
      <c r="A36" t="s">
        <v>15</v>
      </c>
      <c r="B36" t="s">
        <v>1016</v>
      </c>
      <c r="C36">
        <v>43</v>
      </c>
      <c r="D36">
        <v>133470</v>
      </c>
      <c r="E36" t="s">
        <v>52</v>
      </c>
      <c r="F36" t="s">
        <v>26</v>
      </c>
      <c r="G36" t="s">
        <v>27</v>
      </c>
      <c r="H36" t="s">
        <v>28</v>
      </c>
      <c r="I36" t="s">
        <v>29</v>
      </c>
      <c r="J36">
        <v>12</v>
      </c>
      <c r="K36">
        <v>0.03</v>
      </c>
      <c r="L36">
        <v>1</v>
      </c>
      <c r="M36">
        <v>1</v>
      </c>
      <c r="N36">
        <v>1</v>
      </c>
      <c r="O36">
        <v>100</v>
      </c>
      <c r="P36" s="4" t="b">
        <f t="shared" si="0"/>
        <v>1</v>
      </c>
    </row>
    <row r="37" spans="1:16" x14ac:dyDescent="0.2">
      <c r="A37" t="s">
        <v>15</v>
      </c>
      <c r="B37" t="s">
        <v>1016</v>
      </c>
      <c r="C37">
        <v>44</v>
      </c>
      <c r="D37">
        <v>60938</v>
      </c>
      <c r="E37" t="s">
        <v>79</v>
      </c>
      <c r="F37" t="s">
        <v>58</v>
      </c>
      <c r="G37" t="s">
        <v>42</v>
      </c>
      <c r="H37" t="s">
        <v>28</v>
      </c>
      <c r="I37" t="s">
        <v>29</v>
      </c>
      <c r="J37">
        <v>28</v>
      </c>
      <c r="K37">
        <v>0.03</v>
      </c>
      <c r="L37">
        <v>1</v>
      </c>
      <c r="M37">
        <v>1</v>
      </c>
      <c r="N37">
        <v>1</v>
      </c>
      <c r="O37">
        <v>100</v>
      </c>
      <c r="P37" s="4" t="b">
        <f t="shared" si="0"/>
        <v>1</v>
      </c>
    </row>
    <row r="38" spans="1:16" x14ac:dyDescent="0.2">
      <c r="A38" t="s">
        <v>15</v>
      </c>
      <c r="B38" t="s">
        <v>1016</v>
      </c>
      <c r="C38">
        <v>45</v>
      </c>
      <c r="D38">
        <v>60599</v>
      </c>
      <c r="E38" t="s">
        <v>192</v>
      </c>
      <c r="F38" t="s">
        <v>193</v>
      </c>
      <c r="G38" t="s">
        <v>18</v>
      </c>
      <c r="H38" t="s">
        <v>55</v>
      </c>
      <c r="I38" t="s">
        <v>29</v>
      </c>
      <c r="J38">
        <v>2</v>
      </c>
      <c r="K38">
        <v>0.03</v>
      </c>
      <c r="L38">
        <v>1</v>
      </c>
      <c r="M38">
        <v>1</v>
      </c>
      <c r="N38">
        <v>1</v>
      </c>
      <c r="O38">
        <v>100</v>
      </c>
      <c r="P38" s="4" t="b">
        <f t="shared" si="0"/>
        <v>1</v>
      </c>
    </row>
    <row r="39" spans="1:16" x14ac:dyDescent="0.2">
      <c r="A39" t="s">
        <v>15</v>
      </c>
      <c r="B39" t="s">
        <v>1016</v>
      </c>
      <c r="C39">
        <v>46</v>
      </c>
      <c r="D39">
        <v>93715</v>
      </c>
      <c r="E39" t="s">
        <v>30</v>
      </c>
      <c r="F39" t="s">
        <v>31</v>
      </c>
      <c r="G39" t="s">
        <v>32</v>
      </c>
      <c r="H39" t="s">
        <v>19</v>
      </c>
      <c r="I39" t="s">
        <v>20</v>
      </c>
      <c r="J39">
        <v>7</v>
      </c>
      <c r="K39">
        <v>0.03</v>
      </c>
      <c r="L39">
        <v>1</v>
      </c>
      <c r="M39">
        <v>1</v>
      </c>
      <c r="N39">
        <v>1</v>
      </c>
      <c r="O39">
        <v>100</v>
      </c>
      <c r="P39" s="4" t="b">
        <f t="shared" si="0"/>
        <v>1</v>
      </c>
    </row>
    <row r="40" spans="1:16" x14ac:dyDescent="0.2">
      <c r="A40" t="s">
        <v>15</v>
      </c>
      <c r="B40" t="s">
        <v>1016</v>
      </c>
      <c r="C40">
        <v>47</v>
      </c>
      <c r="D40">
        <v>126647</v>
      </c>
      <c r="E40" t="s">
        <v>167</v>
      </c>
      <c r="F40" t="s">
        <v>148</v>
      </c>
      <c r="G40" t="s">
        <v>23</v>
      </c>
      <c r="H40" t="s">
        <v>39</v>
      </c>
      <c r="I40" t="s">
        <v>29</v>
      </c>
      <c r="J40">
        <v>2</v>
      </c>
      <c r="K40">
        <v>0.03</v>
      </c>
      <c r="L40">
        <v>1</v>
      </c>
      <c r="M40">
        <v>1</v>
      </c>
      <c r="N40">
        <v>1</v>
      </c>
      <c r="O40">
        <v>100</v>
      </c>
      <c r="P40" s="4" t="b">
        <f t="shared" si="0"/>
        <v>1</v>
      </c>
    </row>
    <row r="41" spans="1:16" x14ac:dyDescent="0.2">
      <c r="A41" t="s">
        <v>15</v>
      </c>
      <c r="B41" t="s">
        <v>1016</v>
      </c>
      <c r="C41">
        <v>48</v>
      </c>
      <c r="D41">
        <v>126646</v>
      </c>
      <c r="E41" t="s">
        <v>138</v>
      </c>
      <c r="F41" t="s">
        <v>139</v>
      </c>
      <c r="G41" t="s">
        <v>18</v>
      </c>
      <c r="H41" t="s">
        <v>19</v>
      </c>
      <c r="I41" t="s">
        <v>20</v>
      </c>
      <c r="J41">
        <v>1</v>
      </c>
      <c r="K41">
        <v>0.03</v>
      </c>
      <c r="L41">
        <v>1</v>
      </c>
      <c r="M41">
        <v>1</v>
      </c>
      <c r="N41">
        <v>1</v>
      </c>
      <c r="O41">
        <v>100</v>
      </c>
      <c r="P41" s="4" t="b">
        <f t="shared" si="0"/>
        <v>1</v>
      </c>
    </row>
    <row r="42" spans="1:16" x14ac:dyDescent="0.2">
      <c r="A42" t="s">
        <v>15</v>
      </c>
      <c r="B42" t="s">
        <v>1016</v>
      </c>
      <c r="C42">
        <v>49</v>
      </c>
      <c r="D42">
        <v>100092</v>
      </c>
      <c r="E42" t="s">
        <v>108</v>
      </c>
      <c r="F42" t="s">
        <v>62</v>
      </c>
      <c r="G42" t="s">
        <v>27</v>
      </c>
      <c r="H42" t="s">
        <v>39</v>
      </c>
      <c r="I42" t="s">
        <v>29</v>
      </c>
      <c r="J42">
        <v>7</v>
      </c>
      <c r="K42">
        <v>0.03</v>
      </c>
      <c r="L42">
        <v>1</v>
      </c>
      <c r="M42">
        <v>1</v>
      </c>
      <c r="N42">
        <v>1</v>
      </c>
      <c r="O42">
        <v>100</v>
      </c>
      <c r="P42" s="4" t="b">
        <f t="shared" si="0"/>
        <v>1</v>
      </c>
    </row>
    <row r="43" spans="1:16" x14ac:dyDescent="0.2">
      <c r="A43" t="s">
        <v>15</v>
      </c>
      <c r="B43" t="s">
        <v>1016</v>
      </c>
      <c r="C43">
        <v>50</v>
      </c>
      <c r="D43">
        <v>70697</v>
      </c>
      <c r="E43" t="s">
        <v>235</v>
      </c>
      <c r="F43" t="s">
        <v>219</v>
      </c>
      <c r="G43" t="s">
        <v>18</v>
      </c>
      <c r="H43" t="s">
        <v>28</v>
      </c>
      <c r="I43" t="s">
        <v>29</v>
      </c>
      <c r="J43">
        <v>3</v>
      </c>
      <c r="K43">
        <v>0.03</v>
      </c>
      <c r="L43">
        <v>1</v>
      </c>
      <c r="M43">
        <v>1</v>
      </c>
      <c r="N43">
        <v>1</v>
      </c>
      <c r="O43">
        <v>100</v>
      </c>
      <c r="P43" s="4" t="b">
        <f t="shared" si="0"/>
        <v>1</v>
      </c>
    </row>
    <row r="44" spans="1:16" x14ac:dyDescent="0.2">
      <c r="A44" t="s">
        <v>15</v>
      </c>
      <c r="B44" t="s">
        <v>1016</v>
      </c>
      <c r="C44">
        <v>51</v>
      </c>
      <c r="D44">
        <v>126458</v>
      </c>
      <c r="E44" t="s">
        <v>218</v>
      </c>
      <c r="F44" t="s">
        <v>219</v>
      </c>
      <c r="G44" t="s">
        <v>23</v>
      </c>
      <c r="H44" t="s">
        <v>28</v>
      </c>
      <c r="I44" t="s">
        <v>29</v>
      </c>
      <c r="J44">
        <v>1</v>
      </c>
      <c r="K44">
        <v>0.05</v>
      </c>
      <c r="L44">
        <v>3</v>
      </c>
      <c r="M44">
        <v>1</v>
      </c>
      <c r="N44">
        <v>1</v>
      </c>
      <c r="O44">
        <v>100</v>
      </c>
      <c r="P44" s="4" t="b">
        <f t="shared" si="0"/>
        <v>1</v>
      </c>
    </row>
    <row r="45" spans="1:16" x14ac:dyDescent="0.2">
      <c r="A45" t="s">
        <v>15</v>
      </c>
      <c r="B45" t="s">
        <v>1016</v>
      </c>
      <c r="C45">
        <v>52</v>
      </c>
      <c r="D45">
        <v>129775</v>
      </c>
      <c r="E45" t="s">
        <v>201</v>
      </c>
      <c r="F45" t="s">
        <v>202</v>
      </c>
      <c r="G45" t="s">
        <v>18</v>
      </c>
      <c r="H45" t="s">
        <v>55</v>
      </c>
      <c r="I45" t="s">
        <v>20</v>
      </c>
      <c r="J45">
        <v>1</v>
      </c>
      <c r="K45">
        <v>0.03</v>
      </c>
      <c r="L45">
        <v>1</v>
      </c>
      <c r="M45">
        <v>1</v>
      </c>
      <c r="N45">
        <v>1</v>
      </c>
      <c r="O45">
        <v>100</v>
      </c>
      <c r="P45" s="4" t="b">
        <f t="shared" si="0"/>
        <v>1</v>
      </c>
    </row>
    <row r="46" spans="1:16" x14ac:dyDescent="0.2">
      <c r="A46" t="s">
        <v>15</v>
      </c>
      <c r="B46" t="s">
        <v>1016</v>
      </c>
      <c r="C46">
        <v>53</v>
      </c>
      <c r="D46">
        <v>120815</v>
      </c>
      <c r="E46" t="s">
        <v>63</v>
      </c>
      <c r="F46" t="s">
        <v>35</v>
      </c>
      <c r="G46" t="s">
        <v>36</v>
      </c>
      <c r="H46" t="s">
        <v>28</v>
      </c>
      <c r="I46" t="s">
        <v>29</v>
      </c>
      <c r="J46">
        <v>3</v>
      </c>
      <c r="K46">
        <v>0.03</v>
      </c>
      <c r="L46">
        <v>1</v>
      </c>
      <c r="M46">
        <v>1</v>
      </c>
      <c r="N46">
        <v>1</v>
      </c>
      <c r="O46">
        <v>100</v>
      </c>
      <c r="P46" s="4" t="b">
        <f t="shared" si="0"/>
        <v>1</v>
      </c>
    </row>
    <row r="47" spans="1:16" x14ac:dyDescent="0.2">
      <c r="A47" t="s">
        <v>15</v>
      </c>
      <c r="B47" t="s">
        <v>1016</v>
      </c>
      <c r="C47">
        <v>54</v>
      </c>
      <c r="D47">
        <v>92337</v>
      </c>
      <c r="E47" t="s">
        <v>93</v>
      </c>
      <c r="F47" t="s">
        <v>41</v>
      </c>
      <c r="G47" t="s">
        <v>42</v>
      </c>
      <c r="H47" t="s">
        <v>28</v>
      </c>
      <c r="I47" t="s">
        <v>29</v>
      </c>
      <c r="J47">
        <v>3</v>
      </c>
      <c r="K47">
        <v>0.03</v>
      </c>
      <c r="L47">
        <v>1</v>
      </c>
      <c r="M47">
        <v>1</v>
      </c>
      <c r="N47">
        <v>1</v>
      </c>
      <c r="O47">
        <v>100</v>
      </c>
      <c r="P47" s="4" t="b">
        <f t="shared" si="0"/>
        <v>1</v>
      </c>
    </row>
    <row r="48" spans="1:16" x14ac:dyDescent="0.2">
      <c r="A48" t="s">
        <v>15</v>
      </c>
      <c r="B48" t="s">
        <v>1016</v>
      </c>
      <c r="C48">
        <v>55</v>
      </c>
      <c r="D48">
        <v>70695</v>
      </c>
      <c r="E48" t="s">
        <v>199</v>
      </c>
      <c r="F48" t="s">
        <v>96</v>
      </c>
      <c r="G48" t="s">
        <v>18</v>
      </c>
      <c r="H48" t="s">
        <v>55</v>
      </c>
      <c r="I48" t="s">
        <v>20</v>
      </c>
      <c r="J48">
        <v>6</v>
      </c>
      <c r="K48">
        <v>0.03</v>
      </c>
      <c r="L48">
        <v>1</v>
      </c>
      <c r="M48">
        <v>1</v>
      </c>
      <c r="N48">
        <v>1</v>
      </c>
      <c r="O48">
        <v>100</v>
      </c>
      <c r="P48" s="4" t="b">
        <f t="shared" si="0"/>
        <v>1</v>
      </c>
    </row>
    <row r="49" spans="1:16" x14ac:dyDescent="0.2">
      <c r="A49" t="s">
        <v>15</v>
      </c>
      <c r="B49" t="s">
        <v>1016</v>
      </c>
      <c r="C49">
        <v>56</v>
      </c>
      <c r="D49">
        <v>103865</v>
      </c>
      <c r="E49" t="s">
        <v>69</v>
      </c>
      <c r="F49" t="s">
        <v>26</v>
      </c>
      <c r="G49" t="s">
        <v>27</v>
      </c>
      <c r="H49" t="s">
        <v>28</v>
      </c>
      <c r="I49" t="s">
        <v>29</v>
      </c>
      <c r="J49">
        <v>17</v>
      </c>
      <c r="K49">
        <v>0.03</v>
      </c>
      <c r="L49">
        <v>1</v>
      </c>
      <c r="M49">
        <v>1</v>
      </c>
      <c r="N49">
        <v>1</v>
      </c>
      <c r="O49">
        <v>100</v>
      </c>
      <c r="P49" s="4" t="b">
        <f t="shared" si="0"/>
        <v>1</v>
      </c>
    </row>
    <row r="50" spans="1:16" x14ac:dyDescent="0.2">
      <c r="A50" t="s">
        <v>15</v>
      </c>
      <c r="B50" t="s">
        <v>1016</v>
      </c>
      <c r="C50">
        <v>57</v>
      </c>
      <c r="D50">
        <v>93166</v>
      </c>
      <c r="E50" t="s">
        <v>245</v>
      </c>
      <c r="F50" t="s">
        <v>193</v>
      </c>
      <c r="G50" t="s">
        <v>23</v>
      </c>
      <c r="H50" t="s">
        <v>55</v>
      </c>
      <c r="I50" t="s">
        <v>29</v>
      </c>
      <c r="J50">
        <v>1</v>
      </c>
      <c r="K50">
        <v>0.03</v>
      </c>
      <c r="L50">
        <v>1</v>
      </c>
      <c r="M50">
        <v>1</v>
      </c>
      <c r="N50">
        <v>1</v>
      </c>
      <c r="O50">
        <v>100</v>
      </c>
      <c r="P50" s="4" t="b">
        <f t="shared" si="0"/>
        <v>1</v>
      </c>
    </row>
    <row r="51" spans="1:16" x14ac:dyDescent="0.2">
      <c r="A51" t="s">
        <v>15</v>
      </c>
      <c r="B51" t="s">
        <v>1016</v>
      </c>
      <c r="C51">
        <v>58</v>
      </c>
      <c r="D51">
        <v>130500</v>
      </c>
      <c r="E51" t="s">
        <v>195</v>
      </c>
      <c r="F51" t="s">
        <v>196</v>
      </c>
      <c r="G51" t="s">
        <v>18</v>
      </c>
      <c r="H51" t="s">
        <v>55</v>
      </c>
      <c r="I51" t="s">
        <v>29</v>
      </c>
      <c r="J51">
        <v>1</v>
      </c>
      <c r="K51">
        <v>0.03</v>
      </c>
      <c r="L51">
        <v>1</v>
      </c>
      <c r="M51">
        <v>1</v>
      </c>
      <c r="N51">
        <v>1</v>
      </c>
      <c r="O51">
        <v>100</v>
      </c>
      <c r="P51" s="4" t="b">
        <f t="shared" si="0"/>
        <v>1</v>
      </c>
    </row>
    <row r="52" spans="1:16" x14ac:dyDescent="0.2">
      <c r="A52" t="s">
        <v>15</v>
      </c>
      <c r="B52" t="s">
        <v>1016</v>
      </c>
      <c r="C52">
        <v>59</v>
      </c>
      <c r="D52">
        <v>130894</v>
      </c>
      <c r="E52" t="s">
        <v>60</v>
      </c>
      <c r="F52" t="s">
        <v>17</v>
      </c>
      <c r="G52" t="s">
        <v>18</v>
      </c>
      <c r="H52" t="s">
        <v>19</v>
      </c>
      <c r="I52" t="s">
        <v>20</v>
      </c>
      <c r="J52">
        <v>3</v>
      </c>
      <c r="K52">
        <v>0.03</v>
      </c>
      <c r="L52">
        <v>1</v>
      </c>
      <c r="M52">
        <v>1</v>
      </c>
      <c r="N52">
        <v>1</v>
      </c>
      <c r="O52">
        <v>100</v>
      </c>
      <c r="P52" s="4" t="b">
        <f t="shared" si="0"/>
        <v>1</v>
      </c>
    </row>
    <row r="53" spans="1:16" x14ac:dyDescent="0.2">
      <c r="A53" t="s">
        <v>15</v>
      </c>
      <c r="B53" t="s">
        <v>1016</v>
      </c>
      <c r="C53">
        <v>60</v>
      </c>
      <c r="D53">
        <v>125918</v>
      </c>
      <c r="E53" t="s">
        <v>170</v>
      </c>
      <c r="F53" t="s">
        <v>62</v>
      </c>
      <c r="G53" t="s">
        <v>23</v>
      </c>
      <c r="H53" t="s">
        <v>39</v>
      </c>
      <c r="I53" t="s">
        <v>29</v>
      </c>
      <c r="J53">
        <v>2</v>
      </c>
      <c r="K53">
        <v>0.03</v>
      </c>
      <c r="L53">
        <v>1</v>
      </c>
      <c r="M53">
        <v>1</v>
      </c>
      <c r="N53">
        <v>1</v>
      </c>
      <c r="O53">
        <v>100</v>
      </c>
      <c r="P53" s="4" t="b">
        <f t="shared" si="0"/>
        <v>1</v>
      </c>
    </row>
    <row r="54" spans="1:16" x14ac:dyDescent="0.2">
      <c r="A54" t="s">
        <v>15</v>
      </c>
      <c r="B54" t="s">
        <v>1016</v>
      </c>
      <c r="C54">
        <v>61</v>
      </c>
      <c r="D54">
        <v>126023</v>
      </c>
      <c r="E54" t="s">
        <v>113</v>
      </c>
      <c r="F54" t="s">
        <v>62</v>
      </c>
      <c r="G54" t="s">
        <v>27</v>
      </c>
      <c r="H54" t="s">
        <v>39</v>
      </c>
      <c r="I54" t="s">
        <v>29</v>
      </c>
      <c r="J54">
        <v>8</v>
      </c>
      <c r="K54">
        <v>0.04</v>
      </c>
      <c r="L54">
        <v>1</v>
      </c>
      <c r="M54">
        <v>2</v>
      </c>
      <c r="N54">
        <v>1</v>
      </c>
      <c r="O54">
        <v>100</v>
      </c>
      <c r="P54" s="4" t="b">
        <f t="shared" si="0"/>
        <v>1</v>
      </c>
    </row>
    <row r="55" spans="1:16" x14ac:dyDescent="0.2">
      <c r="A55" t="s">
        <v>15</v>
      </c>
      <c r="B55" t="s">
        <v>1016</v>
      </c>
      <c r="C55">
        <v>62</v>
      </c>
      <c r="D55">
        <v>44975</v>
      </c>
      <c r="E55" t="s">
        <v>64</v>
      </c>
      <c r="F55" t="s">
        <v>31</v>
      </c>
      <c r="G55" t="s">
        <v>18</v>
      </c>
      <c r="H55" t="s">
        <v>19</v>
      </c>
      <c r="I55" t="s">
        <v>29</v>
      </c>
      <c r="J55">
        <v>4</v>
      </c>
      <c r="K55">
        <v>0.03</v>
      </c>
      <c r="L55">
        <v>1</v>
      </c>
      <c r="M55">
        <v>1</v>
      </c>
      <c r="N55">
        <v>1</v>
      </c>
      <c r="O55">
        <v>100</v>
      </c>
      <c r="P55" s="4" t="b">
        <f t="shared" si="0"/>
        <v>1</v>
      </c>
    </row>
    <row r="56" spans="1:16" x14ac:dyDescent="0.2">
      <c r="A56" t="s">
        <v>15</v>
      </c>
      <c r="B56" t="s">
        <v>1016</v>
      </c>
      <c r="C56">
        <v>63</v>
      </c>
      <c r="D56">
        <v>68919</v>
      </c>
      <c r="E56" t="s">
        <v>101</v>
      </c>
      <c r="F56" t="s">
        <v>58</v>
      </c>
      <c r="G56" t="s">
        <v>42</v>
      </c>
      <c r="H56" t="s">
        <v>28</v>
      </c>
      <c r="I56" t="s">
        <v>20</v>
      </c>
      <c r="J56">
        <v>35</v>
      </c>
      <c r="K56">
        <v>0.03</v>
      </c>
      <c r="L56">
        <v>1</v>
      </c>
      <c r="M56">
        <v>1</v>
      </c>
      <c r="N56">
        <v>1</v>
      </c>
      <c r="O56">
        <v>100</v>
      </c>
      <c r="P56" s="4" t="b">
        <f t="shared" si="0"/>
        <v>1</v>
      </c>
    </row>
    <row r="57" spans="1:16" x14ac:dyDescent="0.2">
      <c r="A57" t="s">
        <v>15</v>
      </c>
      <c r="B57" t="s">
        <v>1016</v>
      </c>
      <c r="C57">
        <v>64</v>
      </c>
      <c r="D57">
        <v>51195</v>
      </c>
      <c r="E57" t="s">
        <v>216</v>
      </c>
      <c r="F57" t="s">
        <v>48</v>
      </c>
      <c r="G57" t="s">
        <v>18</v>
      </c>
      <c r="H57" t="s">
        <v>19</v>
      </c>
      <c r="I57" t="s">
        <v>20</v>
      </c>
      <c r="J57">
        <v>7</v>
      </c>
      <c r="K57">
        <v>0.03</v>
      </c>
      <c r="L57">
        <v>1</v>
      </c>
      <c r="M57">
        <v>1</v>
      </c>
      <c r="N57">
        <v>1</v>
      </c>
      <c r="O57">
        <v>100</v>
      </c>
      <c r="P57" s="4" t="b">
        <f t="shared" si="0"/>
        <v>1</v>
      </c>
    </row>
    <row r="58" spans="1:16" x14ac:dyDescent="0.2">
      <c r="A58" t="s">
        <v>15</v>
      </c>
      <c r="B58" t="s">
        <v>1016</v>
      </c>
      <c r="C58">
        <v>65</v>
      </c>
      <c r="D58">
        <v>76554</v>
      </c>
      <c r="E58" t="s">
        <v>71</v>
      </c>
      <c r="F58" t="s">
        <v>35</v>
      </c>
      <c r="G58" t="s">
        <v>36</v>
      </c>
      <c r="H58" t="s">
        <v>28</v>
      </c>
      <c r="I58" t="s">
        <v>20</v>
      </c>
      <c r="J58">
        <v>4</v>
      </c>
      <c r="K58">
        <v>0.03</v>
      </c>
      <c r="L58">
        <v>1</v>
      </c>
      <c r="M58">
        <v>1</v>
      </c>
      <c r="N58">
        <v>1</v>
      </c>
      <c r="O58">
        <v>100</v>
      </c>
      <c r="P58" s="4" t="b">
        <f t="shared" si="0"/>
        <v>1</v>
      </c>
    </row>
    <row r="59" spans="1:16" x14ac:dyDescent="0.2">
      <c r="A59" t="s">
        <v>15</v>
      </c>
      <c r="B59" t="s">
        <v>1016</v>
      </c>
      <c r="C59">
        <v>66</v>
      </c>
      <c r="D59">
        <v>181384</v>
      </c>
      <c r="E59" t="s">
        <v>214</v>
      </c>
      <c r="F59" t="s">
        <v>215</v>
      </c>
      <c r="G59" t="s">
        <v>23</v>
      </c>
      <c r="H59" t="s">
        <v>28</v>
      </c>
      <c r="I59" t="s">
        <v>20</v>
      </c>
      <c r="J59">
        <v>1</v>
      </c>
      <c r="K59">
        <v>0.03</v>
      </c>
      <c r="L59">
        <v>1</v>
      </c>
      <c r="M59">
        <v>1</v>
      </c>
      <c r="N59">
        <v>1</v>
      </c>
      <c r="O59">
        <v>100</v>
      </c>
      <c r="P59" s="4" t="b">
        <f t="shared" si="0"/>
        <v>1</v>
      </c>
    </row>
    <row r="60" spans="1:16" x14ac:dyDescent="0.2">
      <c r="A60" t="s">
        <v>15</v>
      </c>
      <c r="B60" t="s">
        <v>1016</v>
      </c>
      <c r="C60">
        <v>67</v>
      </c>
      <c r="D60">
        <v>131067</v>
      </c>
      <c r="E60" t="s">
        <v>94</v>
      </c>
      <c r="F60" t="s">
        <v>17</v>
      </c>
      <c r="G60" t="s">
        <v>18</v>
      </c>
      <c r="H60" t="s">
        <v>19</v>
      </c>
      <c r="I60" t="s">
        <v>88</v>
      </c>
      <c r="J60">
        <v>4</v>
      </c>
      <c r="K60">
        <v>0.03</v>
      </c>
      <c r="L60">
        <v>1</v>
      </c>
      <c r="M60">
        <v>1</v>
      </c>
      <c r="N60">
        <v>1</v>
      </c>
      <c r="O60">
        <v>100</v>
      </c>
      <c r="P60" s="4" t="b">
        <f t="shared" si="0"/>
        <v>1</v>
      </c>
    </row>
    <row r="61" spans="1:16" x14ac:dyDescent="0.2">
      <c r="A61" t="s">
        <v>15</v>
      </c>
      <c r="B61" t="s">
        <v>1016</v>
      </c>
      <c r="C61">
        <v>68</v>
      </c>
      <c r="D61">
        <v>125912</v>
      </c>
      <c r="E61" t="s">
        <v>76</v>
      </c>
      <c r="F61" t="s">
        <v>26</v>
      </c>
      <c r="G61" t="s">
        <v>27</v>
      </c>
      <c r="H61" t="s">
        <v>28</v>
      </c>
      <c r="I61" t="s">
        <v>29</v>
      </c>
      <c r="J61">
        <v>18</v>
      </c>
      <c r="K61">
        <v>3</v>
      </c>
      <c r="L61">
        <v>2</v>
      </c>
      <c r="M61">
        <v>1</v>
      </c>
      <c r="N61">
        <v>3</v>
      </c>
      <c r="O61">
        <v>2</v>
      </c>
      <c r="P61" s="4" t="b">
        <f t="shared" si="0"/>
        <v>1</v>
      </c>
    </row>
    <row r="62" spans="1:16" x14ac:dyDescent="0.2">
      <c r="A62" t="s">
        <v>15</v>
      </c>
      <c r="B62" t="s">
        <v>1016</v>
      </c>
      <c r="C62">
        <v>69</v>
      </c>
      <c r="D62">
        <v>68794</v>
      </c>
      <c r="E62" t="s">
        <v>98</v>
      </c>
      <c r="F62" t="s">
        <v>31</v>
      </c>
      <c r="G62" t="s">
        <v>18</v>
      </c>
      <c r="H62" t="s">
        <v>19</v>
      </c>
      <c r="I62" t="s">
        <v>20</v>
      </c>
      <c r="J62">
        <v>8</v>
      </c>
      <c r="K62">
        <v>0.03</v>
      </c>
      <c r="L62">
        <v>1</v>
      </c>
      <c r="M62">
        <v>1</v>
      </c>
      <c r="N62">
        <v>1</v>
      </c>
      <c r="O62">
        <v>100</v>
      </c>
      <c r="P62" s="4" t="b">
        <f t="shared" si="0"/>
        <v>1</v>
      </c>
    </row>
    <row r="63" spans="1:16" x14ac:dyDescent="0.2">
      <c r="A63" t="s">
        <v>15</v>
      </c>
      <c r="B63" t="s">
        <v>1016</v>
      </c>
      <c r="C63">
        <v>70</v>
      </c>
      <c r="D63">
        <v>135317</v>
      </c>
      <c r="E63" t="s">
        <v>263</v>
      </c>
      <c r="F63" t="s">
        <v>264</v>
      </c>
      <c r="G63" t="s">
        <v>23</v>
      </c>
      <c r="H63" t="s">
        <v>55</v>
      </c>
      <c r="I63" t="s">
        <v>29</v>
      </c>
      <c r="J63">
        <v>1</v>
      </c>
      <c r="K63">
        <v>0.04</v>
      </c>
      <c r="L63">
        <v>2</v>
      </c>
      <c r="M63">
        <v>1</v>
      </c>
      <c r="N63">
        <v>1</v>
      </c>
      <c r="O63">
        <v>100</v>
      </c>
      <c r="P63" s="4" t="b">
        <f t="shared" si="0"/>
        <v>1</v>
      </c>
    </row>
    <row r="64" spans="1:16" x14ac:dyDescent="0.2">
      <c r="A64" t="s">
        <v>15</v>
      </c>
      <c r="B64" t="s">
        <v>1016</v>
      </c>
      <c r="C64">
        <v>71</v>
      </c>
      <c r="D64">
        <v>70693</v>
      </c>
      <c r="E64" t="s">
        <v>122</v>
      </c>
      <c r="F64" t="s">
        <v>78</v>
      </c>
      <c r="G64" t="s">
        <v>18</v>
      </c>
      <c r="H64" t="s">
        <v>28</v>
      </c>
      <c r="I64" t="s">
        <v>20</v>
      </c>
      <c r="J64">
        <v>2</v>
      </c>
      <c r="K64">
        <v>0.03</v>
      </c>
      <c r="L64">
        <v>1</v>
      </c>
      <c r="M64">
        <v>1</v>
      </c>
      <c r="N64">
        <v>1</v>
      </c>
      <c r="O64">
        <v>100</v>
      </c>
      <c r="P64" s="4" t="b">
        <f t="shared" si="0"/>
        <v>1</v>
      </c>
    </row>
    <row r="65" spans="1:16" x14ac:dyDescent="0.2">
      <c r="A65" t="s">
        <v>15</v>
      </c>
      <c r="B65" t="s">
        <v>1016</v>
      </c>
      <c r="C65">
        <v>72</v>
      </c>
      <c r="D65">
        <v>76082</v>
      </c>
      <c r="E65" t="s">
        <v>110</v>
      </c>
      <c r="F65" t="s">
        <v>41</v>
      </c>
      <c r="G65" t="s">
        <v>42</v>
      </c>
      <c r="H65" t="s">
        <v>28</v>
      </c>
      <c r="I65" t="s">
        <v>29</v>
      </c>
      <c r="J65">
        <v>4</v>
      </c>
      <c r="K65">
        <v>0.03</v>
      </c>
      <c r="L65">
        <v>1</v>
      </c>
      <c r="M65">
        <v>1</v>
      </c>
      <c r="N65">
        <v>1</v>
      </c>
      <c r="O65">
        <v>100</v>
      </c>
      <c r="P65" s="4" t="b">
        <f t="shared" si="0"/>
        <v>1</v>
      </c>
    </row>
    <row r="66" spans="1:16" x14ac:dyDescent="0.2">
      <c r="A66" t="s">
        <v>15</v>
      </c>
      <c r="B66" t="s">
        <v>1016</v>
      </c>
      <c r="C66">
        <v>73</v>
      </c>
      <c r="D66">
        <v>126772</v>
      </c>
      <c r="E66" t="s">
        <v>119</v>
      </c>
      <c r="F66" t="s">
        <v>62</v>
      </c>
      <c r="G66" t="s">
        <v>27</v>
      </c>
      <c r="H66" t="s">
        <v>39</v>
      </c>
      <c r="I66" t="s">
        <v>29</v>
      </c>
      <c r="J66">
        <v>10</v>
      </c>
      <c r="K66">
        <v>0.03</v>
      </c>
      <c r="L66">
        <v>1</v>
      </c>
      <c r="M66">
        <v>1</v>
      </c>
      <c r="N66">
        <v>1</v>
      </c>
      <c r="O66">
        <v>100</v>
      </c>
      <c r="P66" s="4" t="b">
        <f t="shared" si="0"/>
        <v>1</v>
      </c>
    </row>
    <row r="67" spans="1:16" x14ac:dyDescent="0.2">
      <c r="A67" t="s">
        <v>15</v>
      </c>
      <c r="B67" t="s">
        <v>1016</v>
      </c>
      <c r="C67">
        <v>74</v>
      </c>
      <c r="D67">
        <v>134587</v>
      </c>
      <c r="E67" t="s">
        <v>164</v>
      </c>
      <c r="F67" t="s">
        <v>165</v>
      </c>
      <c r="G67" t="s">
        <v>23</v>
      </c>
      <c r="H67" t="s">
        <v>39</v>
      </c>
      <c r="I67" t="s">
        <v>20</v>
      </c>
      <c r="J67">
        <v>1</v>
      </c>
      <c r="K67">
        <v>6</v>
      </c>
      <c r="L67">
        <v>3</v>
      </c>
      <c r="M67">
        <v>1</v>
      </c>
      <c r="N67">
        <v>2</v>
      </c>
      <c r="O67">
        <v>1</v>
      </c>
      <c r="P67" s="4" t="b">
        <f t="shared" ref="P67:P130" si="1">C67&lt;($Q$1+1)</f>
        <v>1</v>
      </c>
    </row>
    <row r="68" spans="1:16" x14ac:dyDescent="0.2">
      <c r="A68" t="s">
        <v>15</v>
      </c>
      <c r="B68" t="s">
        <v>1016</v>
      </c>
      <c r="C68">
        <v>75</v>
      </c>
      <c r="D68">
        <v>131055</v>
      </c>
      <c r="E68" t="s">
        <v>105</v>
      </c>
      <c r="F68" t="s">
        <v>54</v>
      </c>
      <c r="G68" t="s">
        <v>18</v>
      </c>
      <c r="H68" t="s">
        <v>55</v>
      </c>
      <c r="I68" t="s">
        <v>74</v>
      </c>
      <c r="J68">
        <v>2</v>
      </c>
      <c r="K68">
        <v>0.03</v>
      </c>
      <c r="L68">
        <v>1</v>
      </c>
      <c r="M68">
        <v>1</v>
      </c>
      <c r="N68">
        <v>1</v>
      </c>
      <c r="O68">
        <v>100</v>
      </c>
      <c r="P68" s="4" t="b">
        <f t="shared" si="1"/>
        <v>1</v>
      </c>
    </row>
    <row r="69" spans="1:16" x14ac:dyDescent="0.2">
      <c r="A69" t="s">
        <v>15</v>
      </c>
      <c r="B69" t="s">
        <v>1016</v>
      </c>
      <c r="C69">
        <v>76</v>
      </c>
      <c r="D69">
        <v>129493</v>
      </c>
      <c r="E69" t="s">
        <v>86</v>
      </c>
      <c r="F69" t="s">
        <v>44</v>
      </c>
      <c r="G69" t="s">
        <v>18</v>
      </c>
      <c r="H69" t="s">
        <v>39</v>
      </c>
      <c r="I69" t="s">
        <v>56</v>
      </c>
      <c r="J69">
        <v>2</v>
      </c>
      <c r="K69">
        <v>0.03</v>
      </c>
      <c r="L69">
        <v>1</v>
      </c>
      <c r="M69">
        <v>1</v>
      </c>
      <c r="N69">
        <v>1</v>
      </c>
      <c r="O69">
        <v>100</v>
      </c>
      <c r="P69" s="4" t="b">
        <f t="shared" si="1"/>
        <v>1</v>
      </c>
    </row>
    <row r="70" spans="1:16" x14ac:dyDescent="0.2">
      <c r="A70" t="s">
        <v>15</v>
      </c>
      <c r="B70" t="s">
        <v>1016</v>
      </c>
      <c r="C70">
        <v>77</v>
      </c>
      <c r="D70">
        <v>95774</v>
      </c>
      <c r="E70" t="s">
        <v>81</v>
      </c>
      <c r="F70" t="s">
        <v>35</v>
      </c>
      <c r="G70" t="s">
        <v>36</v>
      </c>
      <c r="H70" t="s">
        <v>28</v>
      </c>
      <c r="I70" t="s">
        <v>20</v>
      </c>
      <c r="J70">
        <v>5</v>
      </c>
      <c r="K70">
        <v>0.03</v>
      </c>
      <c r="L70">
        <v>1</v>
      </c>
      <c r="M70">
        <v>1</v>
      </c>
      <c r="N70">
        <v>1</v>
      </c>
      <c r="O70">
        <v>100</v>
      </c>
      <c r="P70" s="4" t="b">
        <f t="shared" si="1"/>
        <v>1</v>
      </c>
    </row>
    <row r="71" spans="1:16" x14ac:dyDescent="0.2">
      <c r="A71" t="s">
        <v>15</v>
      </c>
      <c r="B71" t="s">
        <v>1016</v>
      </c>
      <c r="C71">
        <v>78</v>
      </c>
      <c r="D71">
        <v>69342</v>
      </c>
      <c r="E71" t="s">
        <v>260</v>
      </c>
      <c r="F71" t="s">
        <v>261</v>
      </c>
      <c r="G71" t="s">
        <v>23</v>
      </c>
      <c r="H71" t="s">
        <v>55</v>
      </c>
      <c r="I71" t="s">
        <v>56</v>
      </c>
      <c r="J71">
        <v>3</v>
      </c>
      <c r="K71">
        <v>0.03</v>
      </c>
      <c r="L71">
        <v>1</v>
      </c>
      <c r="M71">
        <v>1</v>
      </c>
      <c r="N71">
        <v>1</v>
      </c>
      <c r="O71">
        <v>100</v>
      </c>
      <c r="P71" s="4" t="b">
        <f t="shared" si="1"/>
        <v>1</v>
      </c>
    </row>
    <row r="72" spans="1:16" x14ac:dyDescent="0.2">
      <c r="A72" t="s">
        <v>15</v>
      </c>
      <c r="B72" t="s">
        <v>1016</v>
      </c>
      <c r="C72">
        <v>79</v>
      </c>
      <c r="D72">
        <v>127065</v>
      </c>
      <c r="E72" t="s">
        <v>125</v>
      </c>
      <c r="F72" t="s">
        <v>58</v>
      </c>
      <c r="G72" t="s">
        <v>18</v>
      </c>
      <c r="H72" t="s">
        <v>28</v>
      </c>
      <c r="I72" t="s">
        <v>83</v>
      </c>
      <c r="J72">
        <v>2</v>
      </c>
      <c r="K72">
        <v>2</v>
      </c>
      <c r="L72">
        <v>3</v>
      </c>
      <c r="M72">
        <v>2</v>
      </c>
      <c r="N72">
        <v>1</v>
      </c>
      <c r="O72">
        <v>3</v>
      </c>
      <c r="P72" s="4" t="b">
        <f t="shared" si="1"/>
        <v>1</v>
      </c>
    </row>
    <row r="73" spans="1:16" x14ac:dyDescent="0.2">
      <c r="A73" t="s">
        <v>15</v>
      </c>
      <c r="B73" t="s">
        <v>1016</v>
      </c>
      <c r="C73">
        <v>80</v>
      </c>
      <c r="D73">
        <v>63424</v>
      </c>
      <c r="E73" t="s">
        <v>91</v>
      </c>
      <c r="F73" t="s">
        <v>26</v>
      </c>
      <c r="G73" t="s">
        <v>27</v>
      </c>
      <c r="H73" t="s">
        <v>28</v>
      </c>
      <c r="I73" t="s">
        <v>20</v>
      </c>
      <c r="J73">
        <v>21</v>
      </c>
      <c r="K73">
        <v>0.03</v>
      </c>
      <c r="L73">
        <v>1</v>
      </c>
      <c r="M73">
        <v>1</v>
      </c>
      <c r="N73">
        <v>1</v>
      </c>
      <c r="O73">
        <v>100</v>
      </c>
      <c r="P73" s="4" t="b">
        <f t="shared" si="1"/>
        <v>1</v>
      </c>
    </row>
    <row r="74" spans="1:16" x14ac:dyDescent="0.2">
      <c r="A74" t="s">
        <v>15</v>
      </c>
      <c r="B74" t="s">
        <v>1016</v>
      </c>
      <c r="C74">
        <v>81</v>
      </c>
      <c r="D74">
        <v>116026</v>
      </c>
      <c r="E74" t="s">
        <v>87</v>
      </c>
      <c r="F74" t="s">
        <v>38</v>
      </c>
      <c r="G74" t="s">
        <v>18</v>
      </c>
      <c r="H74" t="s">
        <v>39</v>
      </c>
      <c r="I74" t="s">
        <v>88</v>
      </c>
      <c r="J74">
        <v>58</v>
      </c>
      <c r="K74">
        <v>0.03</v>
      </c>
      <c r="L74">
        <v>1</v>
      </c>
      <c r="M74">
        <v>1</v>
      </c>
      <c r="N74">
        <v>1</v>
      </c>
      <c r="O74">
        <v>100</v>
      </c>
      <c r="P74" s="4" t="b">
        <f t="shared" si="1"/>
        <v>1</v>
      </c>
    </row>
    <row r="75" spans="1:16" x14ac:dyDescent="0.2">
      <c r="A75" t="s">
        <v>15</v>
      </c>
      <c r="B75" t="s">
        <v>1016</v>
      </c>
      <c r="C75">
        <v>82</v>
      </c>
      <c r="D75">
        <v>126734</v>
      </c>
      <c r="E75" t="s">
        <v>95</v>
      </c>
      <c r="F75" t="s">
        <v>96</v>
      </c>
      <c r="G75" t="s">
        <v>23</v>
      </c>
      <c r="H75" t="s">
        <v>55</v>
      </c>
      <c r="I75" t="s">
        <v>29</v>
      </c>
      <c r="J75">
        <v>1</v>
      </c>
      <c r="K75">
        <v>0.04</v>
      </c>
      <c r="L75">
        <v>1</v>
      </c>
      <c r="M75">
        <v>1</v>
      </c>
      <c r="N75">
        <v>2</v>
      </c>
      <c r="O75">
        <v>100</v>
      </c>
      <c r="P75" s="4" t="b">
        <f t="shared" si="1"/>
        <v>1</v>
      </c>
    </row>
    <row r="76" spans="1:16" x14ac:dyDescent="0.2">
      <c r="A76" t="s">
        <v>15</v>
      </c>
      <c r="B76" t="s">
        <v>1016</v>
      </c>
      <c r="C76">
        <v>83</v>
      </c>
      <c r="D76">
        <v>185996</v>
      </c>
      <c r="E76" t="s">
        <v>117</v>
      </c>
      <c r="F76" t="s">
        <v>58</v>
      </c>
      <c r="G76" t="s">
        <v>42</v>
      </c>
      <c r="H76" t="s">
        <v>28</v>
      </c>
      <c r="I76" t="s">
        <v>29</v>
      </c>
      <c r="J76">
        <v>44</v>
      </c>
      <c r="K76">
        <v>0.03</v>
      </c>
      <c r="L76">
        <v>1</v>
      </c>
      <c r="M76">
        <v>1</v>
      </c>
      <c r="N76">
        <v>1</v>
      </c>
      <c r="O76">
        <v>100</v>
      </c>
      <c r="P76" s="4" t="b">
        <f t="shared" si="1"/>
        <v>1</v>
      </c>
    </row>
    <row r="77" spans="1:16" x14ac:dyDescent="0.2">
      <c r="A77" t="s">
        <v>15</v>
      </c>
      <c r="B77" t="s">
        <v>1016</v>
      </c>
      <c r="C77">
        <v>84</v>
      </c>
      <c r="D77">
        <v>130343</v>
      </c>
      <c r="E77" t="s">
        <v>118</v>
      </c>
      <c r="F77" t="s">
        <v>73</v>
      </c>
      <c r="G77" t="s">
        <v>18</v>
      </c>
      <c r="H77" t="s">
        <v>28</v>
      </c>
      <c r="I77" t="s">
        <v>88</v>
      </c>
      <c r="J77">
        <v>2</v>
      </c>
      <c r="K77">
        <v>0.03</v>
      </c>
      <c r="L77">
        <v>1</v>
      </c>
      <c r="M77">
        <v>1</v>
      </c>
      <c r="N77">
        <v>1</v>
      </c>
      <c r="O77">
        <v>100</v>
      </c>
      <c r="P77" s="4" t="b">
        <f t="shared" si="1"/>
        <v>1</v>
      </c>
    </row>
    <row r="78" spans="1:16" x14ac:dyDescent="0.2">
      <c r="A78" t="s">
        <v>15</v>
      </c>
      <c r="B78" t="s">
        <v>1016</v>
      </c>
      <c r="C78">
        <v>85</v>
      </c>
      <c r="D78">
        <v>123596</v>
      </c>
      <c r="E78" t="s">
        <v>124</v>
      </c>
      <c r="F78" t="s">
        <v>62</v>
      </c>
      <c r="G78" t="s">
        <v>27</v>
      </c>
      <c r="H78" t="s">
        <v>39</v>
      </c>
      <c r="I78" t="s">
        <v>29</v>
      </c>
      <c r="J78">
        <v>13</v>
      </c>
      <c r="K78">
        <v>0.03</v>
      </c>
      <c r="L78">
        <v>1</v>
      </c>
      <c r="M78">
        <v>1</v>
      </c>
      <c r="N78">
        <v>1</v>
      </c>
      <c r="O78">
        <v>100</v>
      </c>
      <c r="P78" s="4" t="b">
        <f t="shared" si="1"/>
        <v>1</v>
      </c>
    </row>
    <row r="79" spans="1:16" x14ac:dyDescent="0.2">
      <c r="A79" t="s">
        <v>15</v>
      </c>
      <c r="B79" t="s">
        <v>1016</v>
      </c>
      <c r="C79">
        <v>86</v>
      </c>
      <c r="D79">
        <v>134832</v>
      </c>
      <c r="E79" t="s">
        <v>231</v>
      </c>
      <c r="F79" t="s">
        <v>148</v>
      </c>
      <c r="G79" t="s">
        <v>18</v>
      </c>
      <c r="H79" t="s">
        <v>39</v>
      </c>
      <c r="I79" t="s">
        <v>20</v>
      </c>
      <c r="J79">
        <v>5</v>
      </c>
      <c r="K79">
        <v>4</v>
      </c>
      <c r="L79">
        <v>1</v>
      </c>
      <c r="M79">
        <v>3</v>
      </c>
      <c r="N79">
        <v>4</v>
      </c>
      <c r="O79">
        <v>2</v>
      </c>
      <c r="P79" s="4" t="b">
        <f t="shared" si="1"/>
        <v>1</v>
      </c>
    </row>
    <row r="80" spans="1:16" x14ac:dyDescent="0.2">
      <c r="A80" t="s">
        <v>15</v>
      </c>
      <c r="B80" t="s">
        <v>1016</v>
      </c>
      <c r="C80">
        <v>87</v>
      </c>
      <c r="D80">
        <v>128060</v>
      </c>
      <c r="E80" t="s">
        <v>266</v>
      </c>
      <c r="F80" t="s">
        <v>267</v>
      </c>
      <c r="G80" t="s">
        <v>23</v>
      </c>
      <c r="H80" t="s">
        <v>55</v>
      </c>
      <c r="I80" t="s">
        <v>29</v>
      </c>
      <c r="J80">
        <v>1</v>
      </c>
      <c r="K80">
        <v>0.03</v>
      </c>
      <c r="L80">
        <v>1</v>
      </c>
      <c r="M80">
        <v>1</v>
      </c>
      <c r="N80">
        <v>1</v>
      </c>
      <c r="O80">
        <v>100</v>
      </c>
      <c r="P80" s="4" t="b">
        <f t="shared" si="1"/>
        <v>1</v>
      </c>
    </row>
    <row r="81" spans="1:16" x14ac:dyDescent="0.2">
      <c r="A81" t="s">
        <v>15</v>
      </c>
      <c r="B81" t="s">
        <v>1016</v>
      </c>
      <c r="C81">
        <v>88</v>
      </c>
      <c r="D81">
        <v>132534</v>
      </c>
      <c r="E81" t="s">
        <v>115</v>
      </c>
      <c r="F81" t="s">
        <v>68</v>
      </c>
      <c r="G81" t="s">
        <v>18</v>
      </c>
      <c r="H81" t="s">
        <v>28</v>
      </c>
      <c r="I81" t="s">
        <v>29</v>
      </c>
      <c r="J81">
        <v>2</v>
      </c>
      <c r="K81">
        <v>0.03</v>
      </c>
      <c r="L81">
        <v>1</v>
      </c>
      <c r="M81">
        <v>1</v>
      </c>
      <c r="N81">
        <v>1</v>
      </c>
      <c r="O81">
        <v>100</v>
      </c>
      <c r="P81" s="4" t="b">
        <f t="shared" si="1"/>
        <v>1</v>
      </c>
    </row>
    <row r="82" spans="1:16" x14ac:dyDescent="0.2">
      <c r="A82" t="s">
        <v>15</v>
      </c>
      <c r="B82" t="s">
        <v>1016</v>
      </c>
      <c r="C82">
        <v>89</v>
      </c>
      <c r="D82">
        <v>53781</v>
      </c>
      <c r="E82" t="s">
        <v>99</v>
      </c>
      <c r="F82" t="s">
        <v>35</v>
      </c>
      <c r="G82" t="s">
        <v>36</v>
      </c>
      <c r="H82" t="s">
        <v>28</v>
      </c>
      <c r="I82" t="s">
        <v>20</v>
      </c>
      <c r="J82">
        <v>6</v>
      </c>
      <c r="K82">
        <v>0.03</v>
      </c>
      <c r="L82">
        <v>1</v>
      </c>
      <c r="M82">
        <v>1</v>
      </c>
      <c r="N82">
        <v>1</v>
      </c>
      <c r="O82">
        <v>100</v>
      </c>
      <c r="P82" s="4" t="b">
        <f t="shared" si="1"/>
        <v>1</v>
      </c>
    </row>
    <row r="83" spans="1:16" x14ac:dyDescent="0.2">
      <c r="A83" t="s">
        <v>15</v>
      </c>
      <c r="B83" t="s">
        <v>1016</v>
      </c>
      <c r="C83">
        <v>90</v>
      </c>
      <c r="D83">
        <v>130298</v>
      </c>
      <c r="E83" t="s">
        <v>298</v>
      </c>
      <c r="F83" t="s">
        <v>190</v>
      </c>
      <c r="G83" t="s">
        <v>18</v>
      </c>
      <c r="H83" t="s">
        <v>55</v>
      </c>
      <c r="I83" t="s">
        <v>20</v>
      </c>
      <c r="J83">
        <v>2</v>
      </c>
      <c r="K83">
        <v>0.03</v>
      </c>
      <c r="L83">
        <v>1</v>
      </c>
      <c r="M83">
        <v>1</v>
      </c>
      <c r="N83">
        <v>1</v>
      </c>
      <c r="O83">
        <v>100</v>
      </c>
      <c r="P83" s="4" t="b">
        <f t="shared" si="1"/>
        <v>1</v>
      </c>
    </row>
    <row r="84" spans="1:16" x14ac:dyDescent="0.2">
      <c r="A84" t="s">
        <v>15</v>
      </c>
      <c r="B84" t="s">
        <v>1016</v>
      </c>
      <c r="C84">
        <v>91</v>
      </c>
      <c r="D84">
        <v>87922</v>
      </c>
      <c r="E84" t="s">
        <v>247</v>
      </c>
      <c r="F84" t="s">
        <v>248</v>
      </c>
      <c r="G84" t="s">
        <v>23</v>
      </c>
      <c r="H84" t="s">
        <v>55</v>
      </c>
      <c r="I84" t="s">
        <v>29</v>
      </c>
      <c r="J84">
        <v>1</v>
      </c>
      <c r="K84">
        <v>0.03</v>
      </c>
      <c r="L84">
        <v>1</v>
      </c>
      <c r="M84">
        <v>1</v>
      </c>
      <c r="N84">
        <v>1</v>
      </c>
      <c r="O84">
        <v>100</v>
      </c>
      <c r="P84" s="4" t="b">
        <f t="shared" si="1"/>
        <v>1</v>
      </c>
    </row>
    <row r="85" spans="1:16" x14ac:dyDescent="0.2">
      <c r="A85" t="s">
        <v>15</v>
      </c>
      <c r="B85" t="s">
        <v>1016</v>
      </c>
      <c r="C85">
        <v>92</v>
      </c>
      <c r="D85">
        <v>52102</v>
      </c>
      <c r="E85" t="s">
        <v>103</v>
      </c>
      <c r="F85" t="s">
        <v>26</v>
      </c>
      <c r="G85" t="s">
        <v>27</v>
      </c>
      <c r="H85" t="s">
        <v>28</v>
      </c>
      <c r="I85" t="s">
        <v>29</v>
      </c>
      <c r="J85">
        <v>25</v>
      </c>
      <c r="K85">
        <v>0.03</v>
      </c>
      <c r="L85">
        <v>1</v>
      </c>
      <c r="M85">
        <v>1</v>
      </c>
      <c r="N85">
        <v>1</v>
      </c>
      <c r="O85">
        <v>100</v>
      </c>
      <c r="P85" s="4" t="b">
        <f t="shared" si="1"/>
        <v>1</v>
      </c>
    </row>
    <row r="86" spans="1:16" x14ac:dyDescent="0.2">
      <c r="A86" t="s">
        <v>15</v>
      </c>
      <c r="B86" t="s">
        <v>1016</v>
      </c>
      <c r="C86">
        <v>93</v>
      </c>
      <c r="D86">
        <v>189983</v>
      </c>
      <c r="E86" t="s">
        <v>126</v>
      </c>
      <c r="F86" t="s">
        <v>41</v>
      </c>
      <c r="G86" t="s">
        <v>42</v>
      </c>
      <c r="H86" t="s">
        <v>28</v>
      </c>
      <c r="I86" t="s">
        <v>29</v>
      </c>
      <c r="J86">
        <v>5</v>
      </c>
      <c r="K86">
        <v>0.03</v>
      </c>
      <c r="L86">
        <v>1</v>
      </c>
      <c r="M86">
        <v>1</v>
      </c>
      <c r="N86">
        <v>1</v>
      </c>
      <c r="O86">
        <v>100</v>
      </c>
      <c r="P86" s="4" t="b">
        <f t="shared" si="1"/>
        <v>1</v>
      </c>
    </row>
    <row r="87" spans="1:16" x14ac:dyDescent="0.2">
      <c r="A87" t="s">
        <v>15</v>
      </c>
      <c r="B87" t="s">
        <v>1016</v>
      </c>
      <c r="C87">
        <v>94</v>
      </c>
      <c r="D87">
        <v>100093</v>
      </c>
      <c r="E87" t="s">
        <v>233</v>
      </c>
      <c r="F87" t="s">
        <v>62</v>
      </c>
      <c r="G87" t="s">
        <v>18</v>
      </c>
      <c r="H87" t="s">
        <v>39</v>
      </c>
      <c r="I87" t="s">
        <v>29</v>
      </c>
      <c r="J87">
        <v>9</v>
      </c>
      <c r="K87">
        <v>0.03</v>
      </c>
      <c r="L87">
        <v>1</v>
      </c>
      <c r="M87">
        <v>1</v>
      </c>
      <c r="N87">
        <v>1</v>
      </c>
      <c r="O87">
        <v>100</v>
      </c>
      <c r="P87" s="4" t="b">
        <f t="shared" si="1"/>
        <v>1</v>
      </c>
    </row>
    <row r="88" spans="1:16" x14ac:dyDescent="0.2">
      <c r="A88" t="s">
        <v>15</v>
      </c>
      <c r="B88" t="s">
        <v>1016</v>
      </c>
      <c r="C88">
        <v>95</v>
      </c>
      <c r="D88">
        <v>123319</v>
      </c>
      <c r="E88" t="s">
        <v>253</v>
      </c>
      <c r="F88" t="s">
        <v>254</v>
      </c>
      <c r="G88" t="s">
        <v>23</v>
      </c>
      <c r="H88" t="s">
        <v>55</v>
      </c>
      <c r="I88" t="s">
        <v>29</v>
      </c>
      <c r="J88">
        <v>1</v>
      </c>
      <c r="K88">
        <v>0.03</v>
      </c>
      <c r="L88">
        <v>1</v>
      </c>
      <c r="M88">
        <v>1</v>
      </c>
      <c r="N88">
        <v>1</v>
      </c>
      <c r="O88">
        <v>100</v>
      </c>
      <c r="P88" s="4" t="b">
        <f t="shared" si="1"/>
        <v>1</v>
      </c>
    </row>
    <row r="89" spans="1:16" x14ac:dyDescent="0.2">
      <c r="A89" t="s">
        <v>15</v>
      </c>
      <c r="B89" t="s">
        <v>1016</v>
      </c>
      <c r="C89">
        <v>96</v>
      </c>
      <c r="D89">
        <v>130378</v>
      </c>
      <c r="E89" t="s">
        <v>349</v>
      </c>
      <c r="F89" t="s">
        <v>238</v>
      </c>
      <c r="G89" t="s">
        <v>18</v>
      </c>
      <c r="H89" t="s">
        <v>28</v>
      </c>
      <c r="I89" t="s">
        <v>20</v>
      </c>
      <c r="J89">
        <v>2</v>
      </c>
      <c r="K89">
        <v>0.03</v>
      </c>
      <c r="L89">
        <v>1</v>
      </c>
      <c r="M89">
        <v>1</v>
      </c>
      <c r="N89">
        <v>1</v>
      </c>
      <c r="O89">
        <v>100</v>
      </c>
      <c r="P89" s="4" t="b">
        <f t="shared" si="1"/>
        <v>1</v>
      </c>
    </row>
    <row r="90" spans="1:16" x14ac:dyDescent="0.2">
      <c r="A90" t="s">
        <v>15</v>
      </c>
      <c r="B90" t="s">
        <v>1016</v>
      </c>
      <c r="C90">
        <v>97</v>
      </c>
      <c r="D90">
        <v>177539</v>
      </c>
      <c r="E90" t="s">
        <v>130</v>
      </c>
      <c r="F90" t="s">
        <v>62</v>
      </c>
      <c r="G90" t="s">
        <v>27</v>
      </c>
      <c r="H90" t="s">
        <v>39</v>
      </c>
      <c r="I90" t="s">
        <v>29</v>
      </c>
      <c r="J90">
        <v>14</v>
      </c>
      <c r="K90">
        <v>0.03</v>
      </c>
      <c r="L90">
        <v>1</v>
      </c>
      <c r="M90">
        <v>1</v>
      </c>
      <c r="N90">
        <v>1</v>
      </c>
      <c r="O90">
        <v>100</v>
      </c>
      <c r="P90" s="4" t="b">
        <f t="shared" si="1"/>
        <v>1</v>
      </c>
    </row>
    <row r="91" spans="1:16" x14ac:dyDescent="0.2">
      <c r="A91" t="s">
        <v>15</v>
      </c>
      <c r="B91" t="s">
        <v>1016</v>
      </c>
      <c r="C91">
        <v>98</v>
      </c>
      <c r="D91">
        <v>77999</v>
      </c>
      <c r="E91" t="s">
        <v>300</v>
      </c>
      <c r="F91" t="s">
        <v>193</v>
      </c>
      <c r="G91" t="s">
        <v>18</v>
      </c>
      <c r="H91" t="s">
        <v>55</v>
      </c>
      <c r="I91" t="s">
        <v>29</v>
      </c>
      <c r="J91">
        <v>3</v>
      </c>
      <c r="K91">
        <v>0.03</v>
      </c>
      <c r="L91">
        <v>1</v>
      </c>
      <c r="M91">
        <v>1</v>
      </c>
      <c r="N91">
        <v>1</v>
      </c>
      <c r="O91">
        <v>100</v>
      </c>
      <c r="P91" s="4" t="b">
        <f t="shared" si="1"/>
        <v>1</v>
      </c>
    </row>
    <row r="92" spans="1:16" x14ac:dyDescent="0.2">
      <c r="A92" t="s">
        <v>15</v>
      </c>
      <c r="B92" t="s">
        <v>1016</v>
      </c>
      <c r="C92">
        <v>99</v>
      </c>
      <c r="D92">
        <v>126278</v>
      </c>
      <c r="E92" t="s">
        <v>250</v>
      </c>
      <c r="F92" t="s">
        <v>251</v>
      </c>
      <c r="G92" t="s">
        <v>23</v>
      </c>
      <c r="H92" t="s">
        <v>55</v>
      </c>
      <c r="I92" t="s">
        <v>29</v>
      </c>
      <c r="J92">
        <v>1</v>
      </c>
      <c r="K92">
        <v>2</v>
      </c>
      <c r="L92">
        <v>2</v>
      </c>
      <c r="M92">
        <v>2</v>
      </c>
      <c r="N92">
        <v>2</v>
      </c>
      <c r="O92">
        <v>3</v>
      </c>
      <c r="P92" s="4" t="b">
        <f t="shared" si="1"/>
        <v>1</v>
      </c>
    </row>
    <row r="93" spans="1:16" x14ac:dyDescent="0.2">
      <c r="A93" t="s">
        <v>15</v>
      </c>
      <c r="B93" t="s">
        <v>1016</v>
      </c>
      <c r="C93">
        <v>100</v>
      </c>
      <c r="D93">
        <v>126478</v>
      </c>
      <c r="E93" t="s">
        <v>348</v>
      </c>
      <c r="F93" t="s">
        <v>219</v>
      </c>
      <c r="G93" t="s">
        <v>18</v>
      </c>
      <c r="H93" t="s">
        <v>28</v>
      </c>
      <c r="I93" t="s">
        <v>29</v>
      </c>
      <c r="J93">
        <v>4</v>
      </c>
      <c r="K93">
        <v>0.03</v>
      </c>
      <c r="L93">
        <v>1</v>
      </c>
      <c r="M93">
        <v>1</v>
      </c>
      <c r="N93">
        <v>1</v>
      </c>
      <c r="O93">
        <v>100</v>
      </c>
      <c r="P93" s="4" t="b">
        <f t="shared" si="1"/>
        <v>1</v>
      </c>
    </row>
    <row r="94" spans="1:16" x14ac:dyDescent="0.2">
      <c r="A94" t="s">
        <v>15</v>
      </c>
      <c r="B94" t="s">
        <v>1016</v>
      </c>
      <c r="C94">
        <v>101</v>
      </c>
      <c r="D94">
        <v>111689</v>
      </c>
      <c r="E94" t="s">
        <v>106</v>
      </c>
      <c r="F94" t="s">
        <v>35</v>
      </c>
      <c r="G94" t="s">
        <v>36</v>
      </c>
      <c r="H94" t="s">
        <v>28</v>
      </c>
      <c r="I94" t="s">
        <v>29</v>
      </c>
      <c r="J94">
        <v>7</v>
      </c>
      <c r="K94">
        <v>0.03</v>
      </c>
      <c r="L94">
        <v>1</v>
      </c>
      <c r="M94">
        <v>1</v>
      </c>
      <c r="N94">
        <v>1</v>
      </c>
      <c r="O94">
        <v>100</v>
      </c>
      <c r="P94" s="4" t="b">
        <f t="shared" si="1"/>
        <v>1</v>
      </c>
    </row>
    <row r="95" spans="1:16" x14ac:dyDescent="0.2">
      <c r="A95" t="s">
        <v>15</v>
      </c>
      <c r="B95" t="s">
        <v>1016</v>
      </c>
      <c r="C95">
        <v>102</v>
      </c>
      <c r="D95">
        <v>133560</v>
      </c>
      <c r="E95" t="s">
        <v>137</v>
      </c>
      <c r="F95" t="s">
        <v>58</v>
      </c>
      <c r="G95" t="s">
        <v>42</v>
      </c>
      <c r="H95" t="s">
        <v>28</v>
      </c>
      <c r="I95" t="s">
        <v>29</v>
      </c>
      <c r="J95">
        <v>49</v>
      </c>
      <c r="K95">
        <v>0.03</v>
      </c>
      <c r="L95">
        <v>1</v>
      </c>
      <c r="M95">
        <v>1</v>
      </c>
      <c r="N95">
        <v>1</v>
      </c>
      <c r="O95">
        <v>100</v>
      </c>
      <c r="P95" s="4" t="b">
        <f t="shared" si="1"/>
        <v>1</v>
      </c>
    </row>
    <row r="96" spans="1:16" x14ac:dyDescent="0.2">
      <c r="A96" t="s">
        <v>15</v>
      </c>
      <c r="B96" t="s">
        <v>1016</v>
      </c>
      <c r="C96">
        <v>103</v>
      </c>
      <c r="D96">
        <v>130649</v>
      </c>
      <c r="E96" t="s">
        <v>303</v>
      </c>
      <c r="F96" t="s">
        <v>202</v>
      </c>
      <c r="G96" t="s">
        <v>18</v>
      </c>
      <c r="H96" t="s">
        <v>55</v>
      </c>
      <c r="I96" t="s">
        <v>20</v>
      </c>
      <c r="J96">
        <v>2</v>
      </c>
      <c r="K96">
        <v>0.03</v>
      </c>
      <c r="L96">
        <v>1</v>
      </c>
      <c r="M96">
        <v>1</v>
      </c>
      <c r="N96">
        <v>1</v>
      </c>
      <c r="O96">
        <v>100</v>
      </c>
      <c r="P96" s="4" t="b">
        <f t="shared" si="1"/>
        <v>1</v>
      </c>
    </row>
    <row r="97" spans="1:16" x14ac:dyDescent="0.2">
      <c r="A97" t="s">
        <v>15</v>
      </c>
      <c r="B97" t="s">
        <v>1016</v>
      </c>
      <c r="C97">
        <v>104</v>
      </c>
      <c r="D97">
        <v>190399</v>
      </c>
      <c r="E97" t="s">
        <v>135</v>
      </c>
      <c r="F97" t="s">
        <v>62</v>
      </c>
      <c r="G97" t="s">
        <v>27</v>
      </c>
      <c r="H97" t="s">
        <v>39</v>
      </c>
      <c r="I97" t="s">
        <v>29</v>
      </c>
      <c r="J97">
        <v>15</v>
      </c>
      <c r="K97">
        <v>0.03</v>
      </c>
      <c r="L97">
        <v>1</v>
      </c>
      <c r="M97">
        <v>1</v>
      </c>
      <c r="N97">
        <v>1</v>
      </c>
      <c r="O97">
        <v>100</v>
      </c>
      <c r="P97" s="4" t="b">
        <f t="shared" si="1"/>
        <v>1</v>
      </c>
    </row>
    <row r="98" spans="1:16" x14ac:dyDescent="0.2">
      <c r="A98" t="s">
        <v>15</v>
      </c>
      <c r="B98" t="s">
        <v>1016</v>
      </c>
      <c r="C98">
        <v>105</v>
      </c>
      <c r="D98">
        <v>55216</v>
      </c>
      <c r="E98" t="s">
        <v>269</v>
      </c>
      <c r="F98" t="s">
        <v>270</v>
      </c>
      <c r="G98" t="s">
        <v>23</v>
      </c>
      <c r="H98" t="s">
        <v>55</v>
      </c>
      <c r="I98" t="s">
        <v>20</v>
      </c>
      <c r="J98">
        <v>1</v>
      </c>
      <c r="K98">
        <v>0.03</v>
      </c>
      <c r="L98">
        <v>1</v>
      </c>
      <c r="M98">
        <v>1</v>
      </c>
      <c r="N98">
        <v>1</v>
      </c>
      <c r="O98">
        <v>100</v>
      </c>
      <c r="P98" s="4" t="b">
        <f t="shared" si="1"/>
        <v>1</v>
      </c>
    </row>
    <row r="99" spans="1:16" x14ac:dyDescent="0.2">
      <c r="A99" t="s">
        <v>15</v>
      </c>
      <c r="B99" t="s">
        <v>1016</v>
      </c>
      <c r="C99">
        <v>106</v>
      </c>
      <c r="D99">
        <v>188737</v>
      </c>
      <c r="E99" t="s">
        <v>301</v>
      </c>
      <c r="F99" t="s">
        <v>96</v>
      </c>
      <c r="G99" t="s">
        <v>18</v>
      </c>
      <c r="H99" t="s">
        <v>55</v>
      </c>
      <c r="I99" t="s">
        <v>20</v>
      </c>
      <c r="J99">
        <v>8</v>
      </c>
      <c r="K99">
        <v>0.03</v>
      </c>
      <c r="L99">
        <v>1</v>
      </c>
      <c r="M99">
        <v>1</v>
      </c>
      <c r="N99">
        <v>1</v>
      </c>
      <c r="O99">
        <v>100</v>
      </c>
      <c r="P99" s="4" t="b">
        <f t="shared" si="1"/>
        <v>1</v>
      </c>
    </row>
    <row r="100" spans="1:16" x14ac:dyDescent="0.2">
      <c r="A100" t="s">
        <v>15</v>
      </c>
      <c r="B100" t="s">
        <v>1016</v>
      </c>
      <c r="C100">
        <v>107</v>
      </c>
      <c r="D100">
        <v>130811</v>
      </c>
      <c r="E100" t="s">
        <v>109</v>
      </c>
      <c r="F100" t="s">
        <v>17</v>
      </c>
      <c r="G100" t="s">
        <v>18</v>
      </c>
      <c r="H100" t="s">
        <v>19</v>
      </c>
      <c r="I100" t="s">
        <v>74</v>
      </c>
      <c r="J100">
        <v>5</v>
      </c>
      <c r="K100">
        <v>0.03</v>
      </c>
      <c r="L100">
        <v>1</v>
      </c>
      <c r="M100">
        <v>1</v>
      </c>
      <c r="N100">
        <v>1</v>
      </c>
      <c r="O100">
        <v>100</v>
      </c>
      <c r="P100" s="4" t="b">
        <f t="shared" si="1"/>
        <v>1</v>
      </c>
    </row>
    <row r="101" spans="1:16" x14ac:dyDescent="0.2">
      <c r="A101" t="s">
        <v>15</v>
      </c>
      <c r="B101" t="s">
        <v>1016</v>
      </c>
      <c r="C101">
        <v>108</v>
      </c>
      <c r="D101">
        <v>16503</v>
      </c>
      <c r="E101" t="s">
        <v>256</v>
      </c>
      <c r="F101" t="s">
        <v>257</v>
      </c>
      <c r="G101" t="s">
        <v>23</v>
      </c>
      <c r="H101" t="s">
        <v>55</v>
      </c>
      <c r="I101" t="s">
        <v>29</v>
      </c>
      <c r="J101">
        <v>1</v>
      </c>
      <c r="K101">
        <v>0.03</v>
      </c>
      <c r="L101">
        <v>1</v>
      </c>
      <c r="M101">
        <v>1</v>
      </c>
      <c r="N101">
        <v>1</v>
      </c>
      <c r="O101">
        <v>100</v>
      </c>
      <c r="P101" s="4" t="b">
        <f t="shared" si="1"/>
        <v>1</v>
      </c>
    </row>
    <row r="102" spans="1:16" x14ac:dyDescent="0.2">
      <c r="A102" t="s">
        <v>15</v>
      </c>
      <c r="B102" t="s">
        <v>1016</v>
      </c>
      <c r="C102">
        <v>109</v>
      </c>
      <c r="D102">
        <v>119415</v>
      </c>
      <c r="E102" t="s">
        <v>112</v>
      </c>
      <c r="F102" t="s">
        <v>31</v>
      </c>
      <c r="G102" t="s">
        <v>18</v>
      </c>
      <c r="H102" t="s">
        <v>19</v>
      </c>
      <c r="I102" t="s">
        <v>29</v>
      </c>
      <c r="J102">
        <v>9</v>
      </c>
      <c r="K102">
        <v>0.03</v>
      </c>
      <c r="L102">
        <v>1</v>
      </c>
      <c r="M102">
        <v>1</v>
      </c>
      <c r="N102">
        <v>1</v>
      </c>
      <c r="O102">
        <v>100</v>
      </c>
      <c r="P102" s="4" t="b">
        <f t="shared" si="1"/>
        <v>0</v>
      </c>
    </row>
    <row r="103" spans="1:16" x14ac:dyDescent="0.2">
      <c r="A103" t="s">
        <v>15</v>
      </c>
      <c r="B103" t="s">
        <v>1016</v>
      </c>
      <c r="C103">
        <v>110</v>
      </c>
      <c r="D103">
        <v>44675</v>
      </c>
      <c r="E103" t="s">
        <v>144</v>
      </c>
      <c r="F103" t="s">
        <v>41</v>
      </c>
      <c r="G103" t="s">
        <v>42</v>
      </c>
      <c r="H103" t="s">
        <v>28</v>
      </c>
      <c r="I103" t="s">
        <v>29</v>
      </c>
      <c r="J103">
        <v>6</v>
      </c>
      <c r="K103">
        <v>0.03</v>
      </c>
      <c r="L103">
        <v>1</v>
      </c>
      <c r="M103">
        <v>1</v>
      </c>
      <c r="N103">
        <v>1</v>
      </c>
      <c r="O103">
        <v>100</v>
      </c>
      <c r="P103" s="4" t="b">
        <f t="shared" si="1"/>
        <v>0</v>
      </c>
    </row>
    <row r="104" spans="1:16" x14ac:dyDescent="0.2">
      <c r="A104" t="s">
        <v>15</v>
      </c>
      <c r="B104" t="s">
        <v>1016</v>
      </c>
      <c r="C104">
        <v>111</v>
      </c>
      <c r="D104">
        <v>130794</v>
      </c>
      <c r="E104" t="s">
        <v>132</v>
      </c>
      <c r="F104" t="s">
        <v>17</v>
      </c>
      <c r="G104" t="s">
        <v>18</v>
      </c>
      <c r="H104" t="s">
        <v>19</v>
      </c>
      <c r="I104" t="s">
        <v>74</v>
      </c>
      <c r="J104">
        <v>6</v>
      </c>
      <c r="K104">
        <v>0.03</v>
      </c>
      <c r="L104">
        <v>1</v>
      </c>
      <c r="M104">
        <v>1</v>
      </c>
      <c r="N104">
        <v>1</v>
      </c>
      <c r="O104">
        <v>100</v>
      </c>
      <c r="P104" s="4" t="b">
        <f t="shared" si="1"/>
        <v>0</v>
      </c>
    </row>
    <row r="105" spans="1:16" x14ac:dyDescent="0.2">
      <c r="A105" t="s">
        <v>15</v>
      </c>
      <c r="B105" t="s">
        <v>1016</v>
      </c>
      <c r="C105">
        <v>112</v>
      </c>
      <c r="D105">
        <v>120372</v>
      </c>
      <c r="E105" t="s">
        <v>114</v>
      </c>
      <c r="F105" t="s">
        <v>35</v>
      </c>
      <c r="G105" t="s">
        <v>36</v>
      </c>
      <c r="H105" t="s">
        <v>28</v>
      </c>
      <c r="I105" t="s">
        <v>20</v>
      </c>
      <c r="J105">
        <v>8</v>
      </c>
      <c r="K105">
        <v>0.03</v>
      </c>
      <c r="L105">
        <v>1</v>
      </c>
      <c r="M105">
        <v>1</v>
      </c>
      <c r="N105">
        <v>1</v>
      </c>
      <c r="O105">
        <v>100</v>
      </c>
      <c r="P105" s="4" t="b">
        <f t="shared" si="1"/>
        <v>0</v>
      </c>
    </row>
    <row r="106" spans="1:16" x14ac:dyDescent="0.2">
      <c r="A106" t="s">
        <v>15</v>
      </c>
      <c r="B106" t="s">
        <v>1016</v>
      </c>
      <c r="C106">
        <v>113</v>
      </c>
      <c r="D106">
        <v>109623</v>
      </c>
      <c r="E106" t="s">
        <v>272</v>
      </c>
      <c r="F106" t="s">
        <v>273</v>
      </c>
      <c r="G106" t="s">
        <v>23</v>
      </c>
      <c r="H106" t="s">
        <v>55</v>
      </c>
      <c r="I106" t="s">
        <v>56</v>
      </c>
      <c r="J106">
        <v>1</v>
      </c>
      <c r="K106">
        <v>0.03</v>
      </c>
      <c r="L106">
        <v>1</v>
      </c>
      <c r="M106">
        <v>1</v>
      </c>
      <c r="N106">
        <v>1</v>
      </c>
      <c r="O106">
        <v>100</v>
      </c>
      <c r="P106" s="4" t="b">
        <f t="shared" si="1"/>
        <v>0</v>
      </c>
    </row>
    <row r="107" spans="1:16" x14ac:dyDescent="0.2">
      <c r="A107" t="s">
        <v>15</v>
      </c>
      <c r="B107" t="s">
        <v>1016</v>
      </c>
      <c r="C107">
        <v>114</v>
      </c>
      <c r="D107">
        <v>81168</v>
      </c>
      <c r="E107" t="s">
        <v>133</v>
      </c>
      <c r="F107" t="s">
        <v>31</v>
      </c>
      <c r="G107" t="s">
        <v>18</v>
      </c>
      <c r="H107" t="s">
        <v>19</v>
      </c>
      <c r="I107" t="s">
        <v>20</v>
      </c>
      <c r="J107">
        <v>10</v>
      </c>
      <c r="K107">
        <v>0.03</v>
      </c>
      <c r="L107">
        <v>1</v>
      </c>
      <c r="M107">
        <v>1</v>
      </c>
      <c r="N107">
        <v>1</v>
      </c>
      <c r="O107">
        <v>100</v>
      </c>
      <c r="P107" s="4" t="b">
        <f t="shared" si="1"/>
        <v>0</v>
      </c>
    </row>
    <row r="108" spans="1:16" x14ac:dyDescent="0.2">
      <c r="A108" t="s">
        <v>15</v>
      </c>
      <c r="B108" t="s">
        <v>1016</v>
      </c>
      <c r="C108">
        <v>115</v>
      </c>
      <c r="D108">
        <v>126043</v>
      </c>
      <c r="E108" t="s">
        <v>166</v>
      </c>
      <c r="F108" t="s">
        <v>78</v>
      </c>
      <c r="G108" t="s">
        <v>18</v>
      </c>
      <c r="H108" t="s">
        <v>28</v>
      </c>
      <c r="I108" t="s">
        <v>29</v>
      </c>
      <c r="J108">
        <v>3</v>
      </c>
      <c r="K108">
        <v>0.03</v>
      </c>
      <c r="L108">
        <v>1</v>
      </c>
      <c r="M108">
        <v>1</v>
      </c>
      <c r="N108">
        <v>1</v>
      </c>
      <c r="O108">
        <v>100</v>
      </c>
      <c r="P108" s="4" t="b">
        <f t="shared" si="1"/>
        <v>0</v>
      </c>
    </row>
    <row r="109" spans="1:16" x14ac:dyDescent="0.2">
      <c r="A109" t="s">
        <v>15</v>
      </c>
      <c r="B109" t="s">
        <v>1016</v>
      </c>
      <c r="C109">
        <v>116</v>
      </c>
      <c r="D109">
        <v>131734</v>
      </c>
      <c r="E109" t="s">
        <v>127</v>
      </c>
      <c r="F109" t="s">
        <v>26</v>
      </c>
      <c r="G109" t="s">
        <v>23</v>
      </c>
      <c r="H109" t="s">
        <v>28</v>
      </c>
      <c r="I109" t="s">
        <v>29</v>
      </c>
      <c r="J109">
        <v>2</v>
      </c>
      <c r="K109">
        <v>1.5</v>
      </c>
      <c r="L109">
        <v>1</v>
      </c>
      <c r="M109">
        <v>1</v>
      </c>
      <c r="N109">
        <v>1</v>
      </c>
      <c r="O109">
        <v>2</v>
      </c>
      <c r="P109" s="4" t="b">
        <f t="shared" si="1"/>
        <v>0</v>
      </c>
    </row>
    <row r="110" spans="1:16" x14ac:dyDescent="0.2">
      <c r="A110" t="s">
        <v>15</v>
      </c>
      <c r="B110" t="s">
        <v>1016</v>
      </c>
      <c r="C110">
        <v>117</v>
      </c>
      <c r="D110">
        <v>129453</v>
      </c>
      <c r="E110" t="s">
        <v>145</v>
      </c>
      <c r="F110" t="s">
        <v>54</v>
      </c>
      <c r="G110" t="s">
        <v>18</v>
      </c>
      <c r="H110" t="s">
        <v>55</v>
      </c>
      <c r="I110" t="s">
        <v>29</v>
      </c>
      <c r="J110">
        <v>3</v>
      </c>
      <c r="K110">
        <v>0.03</v>
      </c>
      <c r="L110">
        <v>1</v>
      </c>
      <c r="M110">
        <v>1</v>
      </c>
      <c r="N110">
        <v>1</v>
      </c>
      <c r="O110">
        <v>100</v>
      </c>
      <c r="P110" s="4" t="b">
        <f t="shared" si="1"/>
        <v>0</v>
      </c>
    </row>
    <row r="111" spans="1:16" x14ac:dyDescent="0.2">
      <c r="A111" t="s">
        <v>15</v>
      </c>
      <c r="B111" t="s">
        <v>1016</v>
      </c>
      <c r="C111">
        <v>118</v>
      </c>
      <c r="D111">
        <v>16508</v>
      </c>
      <c r="E111" t="s">
        <v>152</v>
      </c>
      <c r="F111" t="s">
        <v>41</v>
      </c>
      <c r="G111" t="s">
        <v>42</v>
      </c>
      <c r="H111" t="s">
        <v>28</v>
      </c>
      <c r="I111" t="s">
        <v>29</v>
      </c>
      <c r="J111">
        <v>7</v>
      </c>
      <c r="K111">
        <v>0.03</v>
      </c>
      <c r="L111">
        <v>1</v>
      </c>
      <c r="M111">
        <v>1</v>
      </c>
      <c r="N111">
        <v>1</v>
      </c>
      <c r="O111">
        <v>100</v>
      </c>
      <c r="P111" s="4" t="b">
        <f t="shared" si="1"/>
        <v>0</v>
      </c>
    </row>
    <row r="112" spans="1:16" x14ac:dyDescent="0.2">
      <c r="A112" t="s">
        <v>15</v>
      </c>
      <c r="B112" t="s">
        <v>1016</v>
      </c>
      <c r="C112">
        <v>119</v>
      </c>
      <c r="D112">
        <v>78905</v>
      </c>
      <c r="E112" t="s">
        <v>104</v>
      </c>
      <c r="F112" t="s">
        <v>48</v>
      </c>
      <c r="G112" t="s">
        <v>23</v>
      </c>
      <c r="H112" t="s">
        <v>19</v>
      </c>
      <c r="I112" t="s">
        <v>29</v>
      </c>
      <c r="J112">
        <v>3</v>
      </c>
      <c r="K112">
        <v>0.03</v>
      </c>
      <c r="L112">
        <v>1</v>
      </c>
      <c r="M112">
        <v>1</v>
      </c>
      <c r="N112">
        <v>1</v>
      </c>
      <c r="O112">
        <v>100</v>
      </c>
      <c r="P112" s="4" t="b">
        <f t="shared" si="1"/>
        <v>0</v>
      </c>
    </row>
    <row r="113" spans="1:16" x14ac:dyDescent="0.2">
      <c r="A113" t="s">
        <v>15</v>
      </c>
      <c r="B113" t="s">
        <v>1016</v>
      </c>
      <c r="C113">
        <v>120</v>
      </c>
      <c r="D113">
        <v>130990</v>
      </c>
      <c r="E113" t="s">
        <v>102</v>
      </c>
      <c r="F113" t="s">
        <v>44</v>
      </c>
      <c r="G113" t="s">
        <v>18</v>
      </c>
      <c r="H113" t="s">
        <v>39</v>
      </c>
      <c r="I113" t="s">
        <v>29</v>
      </c>
      <c r="J113">
        <v>3</v>
      </c>
      <c r="K113">
        <v>0.03</v>
      </c>
      <c r="L113">
        <v>1</v>
      </c>
      <c r="M113">
        <v>1</v>
      </c>
      <c r="N113">
        <v>1</v>
      </c>
      <c r="O113">
        <v>100</v>
      </c>
      <c r="P113" s="4" t="b">
        <f t="shared" si="1"/>
        <v>0</v>
      </c>
    </row>
    <row r="114" spans="1:16" x14ac:dyDescent="0.2">
      <c r="A114" t="s">
        <v>15</v>
      </c>
      <c r="B114" t="s">
        <v>1016</v>
      </c>
      <c r="C114">
        <v>121</v>
      </c>
      <c r="D114">
        <v>107435</v>
      </c>
      <c r="E114" t="s">
        <v>168</v>
      </c>
      <c r="F114" t="s">
        <v>58</v>
      </c>
      <c r="G114" t="s">
        <v>18</v>
      </c>
      <c r="H114" t="s">
        <v>28</v>
      </c>
      <c r="I114" t="s">
        <v>29</v>
      </c>
      <c r="J114">
        <v>9</v>
      </c>
      <c r="K114">
        <v>0.03</v>
      </c>
      <c r="L114">
        <v>1</v>
      </c>
      <c r="M114">
        <v>1</v>
      </c>
      <c r="N114">
        <v>1</v>
      </c>
      <c r="O114">
        <v>100</v>
      </c>
      <c r="P114" s="4" t="b">
        <f t="shared" si="1"/>
        <v>0</v>
      </c>
    </row>
    <row r="115" spans="1:16" x14ac:dyDescent="0.2">
      <c r="A115" t="s">
        <v>15</v>
      </c>
      <c r="B115" t="s">
        <v>1016</v>
      </c>
      <c r="C115">
        <v>122</v>
      </c>
      <c r="D115">
        <v>152796</v>
      </c>
      <c r="E115" t="s">
        <v>121</v>
      </c>
      <c r="F115" t="s">
        <v>35</v>
      </c>
      <c r="G115" t="s">
        <v>36</v>
      </c>
      <c r="H115" t="s">
        <v>28</v>
      </c>
      <c r="I115" t="s">
        <v>20</v>
      </c>
      <c r="J115">
        <v>9</v>
      </c>
      <c r="K115">
        <v>0.03</v>
      </c>
      <c r="L115">
        <v>1</v>
      </c>
      <c r="M115">
        <v>1</v>
      </c>
      <c r="N115">
        <v>1</v>
      </c>
      <c r="O115">
        <v>100</v>
      </c>
      <c r="P115" s="4" t="b">
        <f t="shared" si="1"/>
        <v>0</v>
      </c>
    </row>
    <row r="116" spans="1:16" x14ac:dyDescent="0.2">
      <c r="A116" t="s">
        <v>15</v>
      </c>
      <c r="B116" t="s">
        <v>1016</v>
      </c>
      <c r="C116">
        <v>123</v>
      </c>
      <c r="D116">
        <v>126641</v>
      </c>
      <c r="E116" t="s">
        <v>146</v>
      </c>
      <c r="F116" t="s">
        <v>90</v>
      </c>
      <c r="G116" t="s">
        <v>23</v>
      </c>
      <c r="H116" t="s">
        <v>55</v>
      </c>
      <c r="I116" t="s">
        <v>29</v>
      </c>
      <c r="J116">
        <v>2</v>
      </c>
      <c r="K116">
        <v>0.03</v>
      </c>
      <c r="L116">
        <v>1</v>
      </c>
      <c r="M116">
        <v>1</v>
      </c>
      <c r="N116">
        <v>1</v>
      </c>
      <c r="O116">
        <v>100</v>
      </c>
      <c r="P116" s="4" t="b">
        <f t="shared" si="1"/>
        <v>0</v>
      </c>
    </row>
    <row r="117" spans="1:16" x14ac:dyDescent="0.2">
      <c r="A117" t="s">
        <v>15</v>
      </c>
      <c r="B117" t="s">
        <v>1016</v>
      </c>
      <c r="C117">
        <v>124</v>
      </c>
      <c r="D117">
        <v>131044</v>
      </c>
      <c r="E117" t="s">
        <v>162</v>
      </c>
      <c r="F117" t="s">
        <v>73</v>
      </c>
      <c r="G117" t="s">
        <v>18</v>
      </c>
      <c r="H117" t="s">
        <v>28</v>
      </c>
      <c r="I117" t="s">
        <v>56</v>
      </c>
      <c r="J117">
        <v>4</v>
      </c>
      <c r="K117">
        <v>0.03</v>
      </c>
      <c r="L117">
        <v>1</v>
      </c>
      <c r="M117">
        <v>1</v>
      </c>
      <c r="N117">
        <v>1</v>
      </c>
      <c r="O117">
        <v>100</v>
      </c>
      <c r="P117" s="4" t="b">
        <f t="shared" si="1"/>
        <v>0</v>
      </c>
    </row>
    <row r="118" spans="1:16" x14ac:dyDescent="0.2">
      <c r="A118" t="s">
        <v>15</v>
      </c>
      <c r="B118" t="s">
        <v>1016</v>
      </c>
      <c r="C118">
        <v>125</v>
      </c>
      <c r="D118">
        <v>130900</v>
      </c>
      <c r="E118" t="s">
        <v>160</v>
      </c>
      <c r="F118" t="s">
        <v>68</v>
      </c>
      <c r="G118" t="s">
        <v>18</v>
      </c>
      <c r="H118" t="s">
        <v>28</v>
      </c>
      <c r="I118" t="s">
        <v>29</v>
      </c>
      <c r="J118">
        <v>3</v>
      </c>
      <c r="K118">
        <v>0.03</v>
      </c>
      <c r="L118">
        <v>1</v>
      </c>
      <c r="M118">
        <v>1</v>
      </c>
      <c r="N118">
        <v>1</v>
      </c>
      <c r="O118">
        <v>100</v>
      </c>
      <c r="P118" s="4" t="b">
        <f t="shared" si="1"/>
        <v>0</v>
      </c>
    </row>
    <row r="119" spans="1:16" x14ac:dyDescent="0.2">
      <c r="A119" t="s">
        <v>15</v>
      </c>
      <c r="B119" t="s">
        <v>1016</v>
      </c>
      <c r="C119">
        <v>126</v>
      </c>
      <c r="D119">
        <v>126581</v>
      </c>
      <c r="E119" t="s">
        <v>80</v>
      </c>
      <c r="F119" t="s">
        <v>38</v>
      </c>
      <c r="G119" t="s">
        <v>23</v>
      </c>
      <c r="H119" t="s">
        <v>39</v>
      </c>
      <c r="I119" t="s">
        <v>29</v>
      </c>
      <c r="J119">
        <v>2</v>
      </c>
      <c r="K119">
        <v>0.03</v>
      </c>
      <c r="L119">
        <v>1</v>
      </c>
      <c r="M119">
        <v>1</v>
      </c>
      <c r="N119">
        <v>1</v>
      </c>
      <c r="O119">
        <v>100</v>
      </c>
      <c r="P119" s="4" t="b">
        <f t="shared" si="1"/>
        <v>0</v>
      </c>
    </row>
    <row r="120" spans="1:16" x14ac:dyDescent="0.2">
      <c r="A120" t="s">
        <v>15</v>
      </c>
      <c r="B120" t="s">
        <v>1016</v>
      </c>
      <c r="C120">
        <v>127</v>
      </c>
      <c r="D120">
        <v>189526</v>
      </c>
      <c r="E120" t="s">
        <v>157</v>
      </c>
      <c r="F120" t="s">
        <v>41</v>
      </c>
      <c r="G120" t="s">
        <v>42</v>
      </c>
      <c r="H120" t="s">
        <v>28</v>
      </c>
      <c r="I120" t="s">
        <v>20</v>
      </c>
      <c r="J120">
        <v>8</v>
      </c>
      <c r="K120">
        <v>0.03</v>
      </c>
      <c r="L120">
        <v>1</v>
      </c>
      <c r="M120">
        <v>1</v>
      </c>
      <c r="N120">
        <v>1</v>
      </c>
      <c r="O120">
        <v>100</v>
      </c>
      <c r="P120" s="4" t="b">
        <f t="shared" si="1"/>
        <v>0</v>
      </c>
    </row>
    <row r="121" spans="1:16" x14ac:dyDescent="0.2">
      <c r="A121" t="s">
        <v>15</v>
      </c>
      <c r="B121" t="s">
        <v>1016</v>
      </c>
      <c r="C121">
        <v>128</v>
      </c>
      <c r="D121">
        <v>129830</v>
      </c>
      <c r="E121" t="s">
        <v>377</v>
      </c>
      <c r="F121" t="s">
        <v>190</v>
      </c>
      <c r="G121" t="s">
        <v>18</v>
      </c>
      <c r="H121" t="s">
        <v>55</v>
      </c>
      <c r="I121" t="s">
        <v>20</v>
      </c>
      <c r="J121">
        <v>3</v>
      </c>
      <c r="K121">
        <v>0.03</v>
      </c>
      <c r="L121">
        <v>1</v>
      </c>
      <c r="M121">
        <v>1</v>
      </c>
      <c r="N121">
        <v>1</v>
      </c>
      <c r="O121">
        <v>100</v>
      </c>
      <c r="P121" s="4" t="b">
        <f t="shared" si="1"/>
        <v>0</v>
      </c>
    </row>
    <row r="122" spans="1:16" x14ac:dyDescent="0.2">
      <c r="A122" t="s">
        <v>15</v>
      </c>
      <c r="B122" t="s">
        <v>1016</v>
      </c>
      <c r="C122">
        <v>129</v>
      </c>
      <c r="D122">
        <v>100104</v>
      </c>
      <c r="E122" t="s">
        <v>290</v>
      </c>
      <c r="F122" t="s">
        <v>62</v>
      </c>
      <c r="G122" t="s">
        <v>18</v>
      </c>
      <c r="H122" t="s">
        <v>39</v>
      </c>
      <c r="I122" t="s">
        <v>29</v>
      </c>
      <c r="J122">
        <v>11</v>
      </c>
      <c r="K122">
        <v>0.03</v>
      </c>
      <c r="L122">
        <v>1</v>
      </c>
      <c r="M122">
        <v>1</v>
      </c>
      <c r="N122">
        <v>1</v>
      </c>
      <c r="O122">
        <v>100</v>
      </c>
      <c r="P122" s="4" t="b">
        <f t="shared" si="1"/>
        <v>0</v>
      </c>
    </row>
    <row r="123" spans="1:16" x14ac:dyDescent="0.2">
      <c r="A123" t="s">
        <v>15</v>
      </c>
      <c r="B123" t="s">
        <v>1016</v>
      </c>
      <c r="C123">
        <v>130</v>
      </c>
      <c r="D123">
        <v>126574</v>
      </c>
      <c r="E123" t="s">
        <v>46</v>
      </c>
      <c r="F123" t="s">
        <v>22</v>
      </c>
      <c r="G123" t="s">
        <v>23</v>
      </c>
      <c r="H123" t="s">
        <v>22</v>
      </c>
      <c r="I123" t="s">
        <v>29</v>
      </c>
      <c r="J123">
        <v>2</v>
      </c>
      <c r="K123">
        <v>0.03</v>
      </c>
      <c r="L123">
        <v>1</v>
      </c>
      <c r="M123">
        <v>1</v>
      </c>
      <c r="N123">
        <v>1</v>
      </c>
      <c r="O123">
        <v>100</v>
      </c>
      <c r="P123" s="4" t="b">
        <f t="shared" si="1"/>
        <v>0</v>
      </c>
    </row>
    <row r="124" spans="1:16" x14ac:dyDescent="0.2">
      <c r="A124" t="s">
        <v>15</v>
      </c>
      <c r="B124" t="s">
        <v>1016</v>
      </c>
      <c r="C124">
        <v>131</v>
      </c>
      <c r="D124">
        <v>130552</v>
      </c>
      <c r="E124" t="s">
        <v>442</v>
      </c>
      <c r="F124" t="s">
        <v>238</v>
      </c>
      <c r="G124" t="s">
        <v>18</v>
      </c>
      <c r="H124" t="s">
        <v>28</v>
      </c>
      <c r="I124" t="s">
        <v>20</v>
      </c>
      <c r="J124">
        <v>3</v>
      </c>
      <c r="K124">
        <v>0.03</v>
      </c>
      <c r="L124">
        <v>1</v>
      </c>
      <c r="M124">
        <v>1</v>
      </c>
      <c r="N124">
        <v>1</v>
      </c>
      <c r="O124">
        <v>100</v>
      </c>
      <c r="P124" s="4" t="b">
        <f t="shared" si="1"/>
        <v>0</v>
      </c>
    </row>
    <row r="125" spans="1:16" x14ac:dyDescent="0.2">
      <c r="A125" t="s">
        <v>15</v>
      </c>
      <c r="B125" t="s">
        <v>1016</v>
      </c>
      <c r="C125">
        <v>132</v>
      </c>
      <c r="D125">
        <v>56652</v>
      </c>
      <c r="E125" t="s">
        <v>128</v>
      </c>
      <c r="F125" t="s">
        <v>35</v>
      </c>
      <c r="G125" t="s">
        <v>36</v>
      </c>
      <c r="H125" t="s">
        <v>28</v>
      </c>
      <c r="I125" t="s">
        <v>20</v>
      </c>
      <c r="J125">
        <v>10</v>
      </c>
      <c r="K125">
        <v>0.03</v>
      </c>
      <c r="L125">
        <v>1</v>
      </c>
      <c r="M125">
        <v>1</v>
      </c>
      <c r="N125">
        <v>1</v>
      </c>
      <c r="O125">
        <v>100</v>
      </c>
      <c r="P125" s="4" t="b">
        <f t="shared" si="1"/>
        <v>0</v>
      </c>
    </row>
    <row r="126" spans="1:16" x14ac:dyDescent="0.2">
      <c r="A126" t="s">
        <v>15</v>
      </c>
      <c r="B126" t="s">
        <v>1016</v>
      </c>
      <c r="C126">
        <v>133</v>
      </c>
      <c r="D126">
        <v>78003</v>
      </c>
      <c r="E126" t="s">
        <v>379</v>
      </c>
      <c r="F126" t="s">
        <v>193</v>
      </c>
      <c r="G126" t="s">
        <v>18</v>
      </c>
      <c r="H126" t="s">
        <v>55</v>
      </c>
      <c r="I126" t="s">
        <v>29</v>
      </c>
      <c r="J126">
        <v>4</v>
      </c>
      <c r="K126">
        <v>0.03</v>
      </c>
      <c r="L126">
        <v>1</v>
      </c>
      <c r="M126">
        <v>1</v>
      </c>
      <c r="N126">
        <v>1</v>
      </c>
      <c r="O126">
        <v>100</v>
      </c>
      <c r="P126" s="4" t="b">
        <f t="shared" si="1"/>
        <v>0</v>
      </c>
    </row>
    <row r="127" spans="1:16" x14ac:dyDescent="0.2">
      <c r="A127" t="s">
        <v>15</v>
      </c>
      <c r="B127" t="s">
        <v>1016</v>
      </c>
      <c r="C127">
        <v>134</v>
      </c>
      <c r="D127">
        <v>44136</v>
      </c>
      <c r="E127" t="s">
        <v>131</v>
      </c>
      <c r="F127" t="s">
        <v>58</v>
      </c>
      <c r="G127" t="s">
        <v>23</v>
      </c>
      <c r="H127" t="s">
        <v>28</v>
      </c>
      <c r="I127" t="s">
        <v>20</v>
      </c>
      <c r="J127">
        <v>5</v>
      </c>
      <c r="K127">
        <v>0.03</v>
      </c>
      <c r="L127">
        <v>1</v>
      </c>
      <c r="M127">
        <v>1</v>
      </c>
      <c r="N127">
        <v>1</v>
      </c>
      <c r="O127">
        <v>100</v>
      </c>
      <c r="P127" s="4" t="b">
        <f t="shared" si="1"/>
        <v>0</v>
      </c>
    </row>
    <row r="128" spans="1:16" x14ac:dyDescent="0.2">
      <c r="A128" t="s">
        <v>15</v>
      </c>
      <c r="B128" t="s">
        <v>1016</v>
      </c>
      <c r="C128">
        <v>135</v>
      </c>
      <c r="D128">
        <v>28297</v>
      </c>
      <c r="E128" t="s">
        <v>163</v>
      </c>
      <c r="F128" t="s">
        <v>41</v>
      </c>
      <c r="G128" t="s">
        <v>42</v>
      </c>
      <c r="H128" t="s">
        <v>28</v>
      </c>
      <c r="I128" t="s">
        <v>29</v>
      </c>
      <c r="J128">
        <v>9</v>
      </c>
      <c r="K128">
        <v>0.03</v>
      </c>
      <c r="L128">
        <v>1</v>
      </c>
      <c r="M128">
        <v>1</v>
      </c>
      <c r="N128">
        <v>1</v>
      </c>
      <c r="O128">
        <v>100</v>
      </c>
      <c r="P128" s="4" t="b">
        <f t="shared" si="1"/>
        <v>0</v>
      </c>
    </row>
    <row r="129" spans="1:16" x14ac:dyDescent="0.2">
      <c r="A129" t="s">
        <v>15</v>
      </c>
      <c r="B129" t="s">
        <v>1016</v>
      </c>
      <c r="C129">
        <v>136</v>
      </c>
      <c r="D129">
        <v>130995</v>
      </c>
      <c r="E129" t="s">
        <v>383</v>
      </c>
      <c r="F129" t="s">
        <v>202</v>
      </c>
      <c r="G129" t="s">
        <v>18</v>
      </c>
      <c r="H129" t="s">
        <v>55</v>
      </c>
      <c r="I129" t="s">
        <v>83</v>
      </c>
      <c r="J129">
        <v>3</v>
      </c>
      <c r="K129">
        <v>0.03</v>
      </c>
      <c r="L129">
        <v>1</v>
      </c>
      <c r="M129">
        <v>1</v>
      </c>
      <c r="N129">
        <v>1</v>
      </c>
      <c r="O129">
        <v>100</v>
      </c>
      <c r="P129" s="4" t="b">
        <f t="shared" si="1"/>
        <v>0</v>
      </c>
    </row>
    <row r="130" spans="1:16" x14ac:dyDescent="0.2">
      <c r="A130" t="s">
        <v>15</v>
      </c>
      <c r="B130" t="s">
        <v>1016</v>
      </c>
      <c r="C130">
        <v>137</v>
      </c>
      <c r="D130">
        <v>107765</v>
      </c>
      <c r="E130" t="s">
        <v>367</v>
      </c>
      <c r="F130" t="s">
        <v>242</v>
      </c>
      <c r="G130" t="s">
        <v>23</v>
      </c>
      <c r="H130" t="s">
        <v>55</v>
      </c>
      <c r="I130" t="s">
        <v>20</v>
      </c>
      <c r="J130">
        <v>2</v>
      </c>
      <c r="K130">
        <v>0.03</v>
      </c>
      <c r="L130">
        <v>1</v>
      </c>
      <c r="M130">
        <v>1</v>
      </c>
      <c r="N130">
        <v>1</v>
      </c>
      <c r="O130">
        <v>100</v>
      </c>
      <c r="P130" s="4" t="b">
        <f t="shared" si="1"/>
        <v>0</v>
      </c>
    </row>
    <row r="131" spans="1:16" x14ac:dyDescent="0.2">
      <c r="A131" t="s">
        <v>15</v>
      </c>
      <c r="B131" t="s">
        <v>1016</v>
      </c>
      <c r="C131">
        <v>138</v>
      </c>
      <c r="D131">
        <v>128714</v>
      </c>
      <c r="E131" t="s">
        <v>381</v>
      </c>
      <c r="F131" t="s">
        <v>96</v>
      </c>
      <c r="G131" t="s">
        <v>18</v>
      </c>
      <c r="H131" t="s">
        <v>55</v>
      </c>
      <c r="I131" t="s">
        <v>29</v>
      </c>
      <c r="J131">
        <v>10</v>
      </c>
      <c r="K131">
        <v>0.03</v>
      </c>
      <c r="L131">
        <v>1</v>
      </c>
      <c r="M131">
        <v>1</v>
      </c>
      <c r="N131">
        <v>1</v>
      </c>
      <c r="O131">
        <v>100</v>
      </c>
      <c r="P131" s="4" t="b">
        <f t="shared" ref="P131:P194" si="2">C131&lt;($Q$1+1)</f>
        <v>0</v>
      </c>
    </row>
    <row r="132" spans="1:16" x14ac:dyDescent="0.2">
      <c r="A132" t="s">
        <v>15</v>
      </c>
      <c r="B132" t="s">
        <v>1016</v>
      </c>
      <c r="C132">
        <v>139</v>
      </c>
      <c r="D132">
        <v>130873</v>
      </c>
      <c r="E132" t="s">
        <v>155</v>
      </c>
      <c r="F132" t="s">
        <v>17</v>
      </c>
      <c r="G132" t="s">
        <v>18</v>
      </c>
      <c r="H132" t="s">
        <v>19</v>
      </c>
      <c r="I132" t="s">
        <v>56</v>
      </c>
      <c r="J132">
        <v>7</v>
      </c>
      <c r="K132">
        <v>0.03</v>
      </c>
      <c r="L132">
        <v>1</v>
      </c>
      <c r="M132">
        <v>1</v>
      </c>
      <c r="N132">
        <v>1</v>
      </c>
      <c r="O132">
        <v>100</v>
      </c>
      <c r="P132" s="4" t="b">
        <f t="shared" si="2"/>
        <v>0</v>
      </c>
    </row>
    <row r="133" spans="1:16" x14ac:dyDescent="0.2">
      <c r="A133" t="s">
        <v>15</v>
      </c>
      <c r="B133" t="s">
        <v>1016</v>
      </c>
      <c r="C133">
        <v>140</v>
      </c>
      <c r="D133">
        <v>126509</v>
      </c>
      <c r="E133" t="s">
        <v>100</v>
      </c>
      <c r="F133" t="s">
        <v>31</v>
      </c>
      <c r="G133" t="s">
        <v>23</v>
      </c>
      <c r="H133" t="s">
        <v>19</v>
      </c>
      <c r="I133" t="s">
        <v>29</v>
      </c>
      <c r="J133">
        <v>3</v>
      </c>
      <c r="K133">
        <v>0.03</v>
      </c>
      <c r="L133">
        <v>1</v>
      </c>
      <c r="M133">
        <v>1</v>
      </c>
      <c r="N133">
        <v>1</v>
      </c>
      <c r="O133">
        <v>100</v>
      </c>
      <c r="P133" s="4" t="b">
        <f t="shared" si="2"/>
        <v>0</v>
      </c>
    </row>
    <row r="134" spans="1:16" x14ac:dyDescent="0.2">
      <c r="A134" t="s">
        <v>15</v>
      </c>
      <c r="B134" t="s">
        <v>1016</v>
      </c>
      <c r="C134">
        <v>141</v>
      </c>
      <c r="D134">
        <v>76788</v>
      </c>
      <c r="E134" t="s">
        <v>158</v>
      </c>
      <c r="F134" t="s">
        <v>31</v>
      </c>
      <c r="G134" t="s">
        <v>18</v>
      </c>
      <c r="H134" t="s">
        <v>19</v>
      </c>
      <c r="I134" t="s">
        <v>29</v>
      </c>
      <c r="J134">
        <v>11</v>
      </c>
      <c r="K134">
        <v>0.03</v>
      </c>
      <c r="L134">
        <v>1</v>
      </c>
      <c r="M134">
        <v>1</v>
      </c>
      <c r="N134">
        <v>1</v>
      </c>
      <c r="O134">
        <v>100</v>
      </c>
      <c r="P134" s="4" t="b">
        <f t="shared" si="2"/>
        <v>0</v>
      </c>
    </row>
    <row r="135" spans="1:16" x14ac:dyDescent="0.2">
      <c r="A135" t="s">
        <v>15</v>
      </c>
      <c r="B135" t="s">
        <v>1016</v>
      </c>
      <c r="C135">
        <v>142</v>
      </c>
      <c r="D135">
        <v>188749</v>
      </c>
      <c r="E135" t="s">
        <v>136</v>
      </c>
      <c r="F135" t="s">
        <v>35</v>
      </c>
      <c r="G135" t="s">
        <v>36</v>
      </c>
      <c r="H135" t="s">
        <v>28</v>
      </c>
      <c r="I135" t="s">
        <v>29</v>
      </c>
      <c r="J135">
        <v>11</v>
      </c>
      <c r="K135">
        <v>0.03</v>
      </c>
      <c r="L135">
        <v>1</v>
      </c>
      <c r="M135">
        <v>1</v>
      </c>
      <c r="N135">
        <v>1</v>
      </c>
      <c r="O135">
        <v>100</v>
      </c>
      <c r="P135" s="4" t="b">
        <f t="shared" si="2"/>
        <v>0</v>
      </c>
    </row>
    <row r="136" spans="1:16" x14ac:dyDescent="0.2">
      <c r="A136" t="s">
        <v>15</v>
      </c>
      <c r="B136" t="s">
        <v>1016</v>
      </c>
      <c r="C136">
        <v>143</v>
      </c>
      <c r="D136">
        <v>156771</v>
      </c>
      <c r="E136" t="s">
        <v>171</v>
      </c>
      <c r="F136" t="s">
        <v>41</v>
      </c>
      <c r="G136" t="s">
        <v>42</v>
      </c>
      <c r="H136" t="s">
        <v>28</v>
      </c>
      <c r="I136" t="s">
        <v>29</v>
      </c>
      <c r="J136">
        <v>10</v>
      </c>
      <c r="K136">
        <v>0.03</v>
      </c>
      <c r="L136">
        <v>1</v>
      </c>
      <c r="M136">
        <v>1</v>
      </c>
      <c r="N136">
        <v>1</v>
      </c>
      <c r="O136">
        <v>100</v>
      </c>
      <c r="P136" s="4" t="b">
        <f t="shared" si="2"/>
        <v>0</v>
      </c>
    </row>
    <row r="137" spans="1:16" x14ac:dyDescent="0.2">
      <c r="A137" t="s">
        <v>15</v>
      </c>
      <c r="B137" t="s">
        <v>1016</v>
      </c>
      <c r="C137">
        <v>144</v>
      </c>
      <c r="D137">
        <v>130114</v>
      </c>
      <c r="E137" t="s">
        <v>169</v>
      </c>
      <c r="F137" t="s">
        <v>17</v>
      </c>
      <c r="G137" t="s">
        <v>18</v>
      </c>
      <c r="H137" t="s">
        <v>19</v>
      </c>
      <c r="I137" t="s">
        <v>20</v>
      </c>
      <c r="J137">
        <v>8</v>
      </c>
      <c r="K137">
        <v>0.03</v>
      </c>
      <c r="L137">
        <v>1</v>
      </c>
      <c r="M137">
        <v>1</v>
      </c>
      <c r="N137">
        <v>1</v>
      </c>
      <c r="O137">
        <v>100</v>
      </c>
      <c r="P137" s="4" t="b">
        <f t="shared" si="2"/>
        <v>0</v>
      </c>
    </row>
    <row r="138" spans="1:16" x14ac:dyDescent="0.2">
      <c r="A138" t="s">
        <v>15</v>
      </c>
      <c r="B138" t="s">
        <v>1016</v>
      </c>
      <c r="C138">
        <v>145</v>
      </c>
      <c r="D138">
        <v>126749</v>
      </c>
      <c r="E138" t="s">
        <v>225</v>
      </c>
      <c r="F138" t="s">
        <v>148</v>
      </c>
      <c r="G138" t="s">
        <v>23</v>
      </c>
      <c r="H138" t="s">
        <v>39</v>
      </c>
      <c r="I138" t="s">
        <v>29</v>
      </c>
      <c r="J138">
        <v>3</v>
      </c>
      <c r="K138">
        <v>0.03</v>
      </c>
      <c r="L138">
        <v>1</v>
      </c>
      <c r="M138">
        <v>1</v>
      </c>
      <c r="N138">
        <v>1</v>
      </c>
      <c r="O138">
        <v>100</v>
      </c>
      <c r="P138" s="4" t="b">
        <f t="shared" si="2"/>
        <v>0</v>
      </c>
    </row>
    <row r="139" spans="1:16" x14ac:dyDescent="0.2">
      <c r="A139" t="s">
        <v>15</v>
      </c>
      <c r="B139" t="s">
        <v>1016</v>
      </c>
      <c r="C139">
        <v>146</v>
      </c>
      <c r="D139">
        <v>68791</v>
      </c>
      <c r="E139" t="s">
        <v>172</v>
      </c>
      <c r="F139" t="s">
        <v>31</v>
      </c>
      <c r="G139" t="s">
        <v>18</v>
      </c>
      <c r="H139" t="s">
        <v>19</v>
      </c>
      <c r="I139" t="s">
        <v>20</v>
      </c>
      <c r="J139">
        <v>12</v>
      </c>
      <c r="K139">
        <v>0.03</v>
      </c>
      <c r="L139">
        <v>1</v>
      </c>
      <c r="M139">
        <v>1</v>
      </c>
      <c r="N139">
        <v>1</v>
      </c>
      <c r="O139">
        <v>100</v>
      </c>
      <c r="P139" s="4" t="b">
        <f t="shared" si="2"/>
        <v>0</v>
      </c>
    </row>
    <row r="140" spans="1:16" x14ac:dyDescent="0.2">
      <c r="A140" t="s">
        <v>15</v>
      </c>
      <c r="B140" t="s">
        <v>1016</v>
      </c>
      <c r="C140">
        <v>147</v>
      </c>
      <c r="D140">
        <v>138225</v>
      </c>
      <c r="E140" t="s">
        <v>207</v>
      </c>
      <c r="F140" t="s">
        <v>78</v>
      </c>
      <c r="G140" t="s">
        <v>18</v>
      </c>
      <c r="H140" t="s">
        <v>28</v>
      </c>
      <c r="I140" t="s">
        <v>29</v>
      </c>
      <c r="J140">
        <v>4</v>
      </c>
      <c r="K140">
        <v>0.03</v>
      </c>
      <c r="L140">
        <v>1</v>
      </c>
      <c r="M140">
        <v>1</v>
      </c>
      <c r="N140">
        <v>1</v>
      </c>
      <c r="O140">
        <v>100</v>
      </c>
      <c r="P140" s="4" t="b">
        <f t="shared" si="2"/>
        <v>0</v>
      </c>
    </row>
    <row r="141" spans="1:16" x14ac:dyDescent="0.2">
      <c r="A141" t="s">
        <v>15</v>
      </c>
      <c r="B141" t="s">
        <v>1016</v>
      </c>
      <c r="C141">
        <v>148</v>
      </c>
      <c r="D141">
        <v>126459</v>
      </c>
      <c r="E141" t="s">
        <v>330</v>
      </c>
      <c r="F141" t="s">
        <v>219</v>
      </c>
      <c r="G141" t="s">
        <v>23</v>
      </c>
      <c r="H141" t="s">
        <v>28</v>
      </c>
      <c r="I141" t="s">
        <v>29</v>
      </c>
      <c r="J141">
        <v>2</v>
      </c>
      <c r="K141">
        <v>0.03</v>
      </c>
      <c r="L141">
        <v>1</v>
      </c>
      <c r="M141">
        <v>1</v>
      </c>
      <c r="N141">
        <v>1</v>
      </c>
      <c r="O141">
        <v>100</v>
      </c>
      <c r="P141" s="4" t="b">
        <f t="shared" si="2"/>
        <v>0</v>
      </c>
    </row>
    <row r="142" spans="1:16" x14ac:dyDescent="0.2">
      <c r="A142" t="s">
        <v>15</v>
      </c>
      <c r="B142" t="s">
        <v>1016</v>
      </c>
      <c r="C142">
        <v>149</v>
      </c>
      <c r="D142">
        <v>134702</v>
      </c>
      <c r="E142" t="s">
        <v>178</v>
      </c>
      <c r="F142" t="s">
        <v>54</v>
      </c>
      <c r="G142" t="s">
        <v>18</v>
      </c>
      <c r="H142" t="s">
        <v>55</v>
      </c>
      <c r="I142" t="s">
        <v>74</v>
      </c>
      <c r="J142">
        <v>4</v>
      </c>
      <c r="K142">
        <v>0.03</v>
      </c>
      <c r="L142">
        <v>1</v>
      </c>
      <c r="M142">
        <v>1</v>
      </c>
      <c r="N142">
        <v>1</v>
      </c>
      <c r="O142">
        <v>100</v>
      </c>
      <c r="P142" s="4" t="b">
        <f t="shared" si="2"/>
        <v>0</v>
      </c>
    </row>
    <row r="143" spans="1:16" x14ac:dyDescent="0.2">
      <c r="A143" t="s">
        <v>15</v>
      </c>
      <c r="B143" t="s">
        <v>1016</v>
      </c>
      <c r="C143">
        <v>150</v>
      </c>
      <c r="D143">
        <v>48167</v>
      </c>
      <c r="E143" t="s">
        <v>177</v>
      </c>
      <c r="F143" t="s">
        <v>41</v>
      </c>
      <c r="G143" t="s">
        <v>42</v>
      </c>
      <c r="H143" t="s">
        <v>28</v>
      </c>
      <c r="I143" t="s">
        <v>29</v>
      </c>
      <c r="J143">
        <v>11</v>
      </c>
      <c r="K143">
        <v>0.03</v>
      </c>
      <c r="L143">
        <v>1</v>
      </c>
      <c r="M143">
        <v>1</v>
      </c>
      <c r="N143">
        <v>1</v>
      </c>
      <c r="O143">
        <v>100</v>
      </c>
      <c r="P143" s="4" t="b">
        <f t="shared" si="2"/>
        <v>0</v>
      </c>
    </row>
    <row r="144" spans="1:16" x14ac:dyDescent="0.2">
      <c r="A144" t="s">
        <v>15</v>
      </c>
      <c r="B144" t="s">
        <v>1016</v>
      </c>
      <c r="C144">
        <v>151</v>
      </c>
      <c r="D144">
        <v>130991</v>
      </c>
      <c r="E144" t="s">
        <v>129</v>
      </c>
      <c r="F144" t="s">
        <v>44</v>
      </c>
      <c r="G144" t="s">
        <v>18</v>
      </c>
      <c r="H144" t="s">
        <v>39</v>
      </c>
      <c r="I144" t="s">
        <v>29</v>
      </c>
      <c r="J144">
        <v>4</v>
      </c>
      <c r="K144">
        <v>0.03</v>
      </c>
      <c r="L144">
        <v>1</v>
      </c>
      <c r="M144">
        <v>1</v>
      </c>
      <c r="N144">
        <v>1</v>
      </c>
      <c r="O144">
        <v>100</v>
      </c>
      <c r="P144" s="4" t="b">
        <f t="shared" si="2"/>
        <v>0</v>
      </c>
    </row>
    <row r="145" spans="1:16" x14ac:dyDescent="0.2">
      <c r="A145" t="s">
        <v>15</v>
      </c>
      <c r="B145" t="s">
        <v>1016</v>
      </c>
      <c r="C145">
        <v>152</v>
      </c>
      <c r="D145">
        <v>203853</v>
      </c>
      <c r="E145" t="s">
        <v>142</v>
      </c>
      <c r="F145" t="s">
        <v>35</v>
      </c>
      <c r="G145" t="s">
        <v>36</v>
      </c>
      <c r="H145" t="s">
        <v>28</v>
      </c>
      <c r="I145" t="s">
        <v>20</v>
      </c>
      <c r="J145">
        <v>12</v>
      </c>
      <c r="K145">
        <v>0.03</v>
      </c>
      <c r="L145">
        <v>1</v>
      </c>
      <c r="M145">
        <v>1</v>
      </c>
      <c r="N145">
        <v>1</v>
      </c>
      <c r="O145">
        <v>100</v>
      </c>
      <c r="P145" s="4" t="b">
        <f t="shared" si="2"/>
        <v>0</v>
      </c>
    </row>
    <row r="146" spans="1:16" x14ac:dyDescent="0.2">
      <c r="A146" t="s">
        <v>15</v>
      </c>
      <c r="B146" t="s">
        <v>1016</v>
      </c>
      <c r="C146">
        <v>153</v>
      </c>
      <c r="D146">
        <v>39126</v>
      </c>
      <c r="E146" t="s">
        <v>369</v>
      </c>
      <c r="F146" t="s">
        <v>193</v>
      </c>
      <c r="G146" t="s">
        <v>23</v>
      </c>
      <c r="H146" t="s">
        <v>55</v>
      </c>
      <c r="I146" t="s">
        <v>29</v>
      </c>
      <c r="J146">
        <v>7</v>
      </c>
      <c r="K146">
        <v>0.03</v>
      </c>
      <c r="L146">
        <v>1</v>
      </c>
      <c r="M146">
        <v>1</v>
      </c>
      <c r="N146">
        <v>1</v>
      </c>
      <c r="O146">
        <v>100</v>
      </c>
      <c r="P146" s="4" t="b">
        <f t="shared" si="2"/>
        <v>0</v>
      </c>
    </row>
    <row r="147" spans="1:16" x14ac:dyDescent="0.2">
      <c r="A147" t="s">
        <v>15</v>
      </c>
      <c r="B147" t="s">
        <v>1016</v>
      </c>
      <c r="C147">
        <v>154</v>
      </c>
      <c r="D147">
        <v>60584</v>
      </c>
      <c r="E147" t="s">
        <v>209</v>
      </c>
      <c r="F147" t="s">
        <v>58</v>
      </c>
      <c r="G147" t="s">
        <v>18</v>
      </c>
      <c r="H147" t="s">
        <v>28</v>
      </c>
      <c r="I147" t="s">
        <v>20</v>
      </c>
      <c r="J147">
        <v>10</v>
      </c>
      <c r="K147">
        <v>0.03</v>
      </c>
      <c r="L147">
        <v>1</v>
      </c>
      <c r="M147">
        <v>1</v>
      </c>
      <c r="N147">
        <v>1</v>
      </c>
      <c r="O147">
        <v>100</v>
      </c>
      <c r="P147" s="4" t="b">
        <f t="shared" si="2"/>
        <v>0</v>
      </c>
    </row>
    <row r="148" spans="1:16" x14ac:dyDescent="0.2">
      <c r="A148" t="s">
        <v>15</v>
      </c>
      <c r="B148" t="s">
        <v>1016</v>
      </c>
      <c r="C148">
        <v>155</v>
      </c>
      <c r="D148">
        <v>131056</v>
      </c>
      <c r="E148" t="s">
        <v>205</v>
      </c>
      <c r="F148" t="s">
        <v>73</v>
      </c>
      <c r="G148" t="s">
        <v>18</v>
      </c>
      <c r="H148" t="s">
        <v>28</v>
      </c>
      <c r="I148" t="s">
        <v>56</v>
      </c>
      <c r="J148">
        <v>5</v>
      </c>
      <c r="K148">
        <v>0.03</v>
      </c>
      <c r="L148">
        <v>1</v>
      </c>
      <c r="M148">
        <v>1</v>
      </c>
      <c r="N148">
        <v>1</v>
      </c>
      <c r="O148">
        <v>100</v>
      </c>
      <c r="P148" s="4" t="b">
        <f t="shared" si="2"/>
        <v>0</v>
      </c>
    </row>
    <row r="149" spans="1:16" x14ac:dyDescent="0.2">
      <c r="A149" t="s">
        <v>15</v>
      </c>
      <c r="B149" t="s">
        <v>1016</v>
      </c>
      <c r="C149">
        <v>156</v>
      </c>
      <c r="D149">
        <v>125916</v>
      </c>
      <c r="E149" t="s">
        <v>227</v>
      </c>
      <c r="F149" t="s">
        <v>62</v>
      </c>
      <c r="G149" t="s">
        <v>23</v>
      </c>
      <c r="H149" t="s">
        <v>39</v>
      </c>
      <c r="I149" t="s">
        <v>29</v>
      </c>
      <c r="J149">
        <v>4</v>
      </c>
      <c r="K149">
        <v>0.03</v>
      </c>
      <c r="L149">
        <v>1</v>
      </c>
      <c r="M149">
        <v>1</v>
      </c>
      <c r="N149">
        <v>1</v>
      </c>
      <c r="O149">
        <v>100</v>
      </c>
      <c r="P149" s="4" t="b">
        <f t="shared" si="2"/>
        <v>0</v>
      </c>
    </row>
    <row r="150" spans="1:16" x14ac:dyDescent="0.2">
      <c r="A150" t="s">
        <v>15</v>
      </c>
      <c r="B150" t="s">
        <v>1016</v>
      </c>
      <c r="C150">
        <v>157</v>
      </c>
      <c r="D150">
        <v>132533</v>
      </c>
      <c r="E150" t="s">
        <v>203</v>
      </c>
      <c r="F150" t="s">
        <v>68</v>
      </c>
      <c r="G150" t="s">
        <v>18</v>
      </c>
      <c r="H150" t="s">
        <v>28</v>
      </c>
      <c r="I150" t="s">
        <v>24</v>
      </c>
      <c r="J150">
        <v>4</v>
      </c>
      <c r="K150">
        <v>0.03</v>
      </c>
      <c r="L150">
        <v>1</v>
      </c>
      <c r="M150">
        <v>1</v>
      </c>
      <c r="N150">
        <v>1</v>
      </c>
      <c r="O150">
        <v>100</v>
      </c>
      <c r="P150" s="4" t="b">
        <f t="shared" si="2"/>
        <v>0</v>
      </c>
    </row>
    <row r="151" spans="1:16" x14ac:dyDescent="0.2">
      <c r="A151" t="s">
        <v>15</v>
      </c>
      <c r="B151" t="s">
        <v>1016</v>
      </c>
      <c r="C151">
        <v>158</v>
      </c>
      <c r="D151">
        <v>124599</v>
      </c>
      <c r="E151" t="s">
        <v>183</v>
      </c>
      <c r="F151" t="s">
        <v>41</v>
      </c>
      <c r="G151" t="s">
        <v>42</v>
      </c>
      <c r="H151" t="s">
        <v>28</v>
      </c>
      <c r="I151" t="s">
        <v>83</v>
      </c>
      <c r="J151">
        <v>12</v>
      </c>
      <c r="K151">
        <v>0.03</v>
      </c>
      <c r="L151">
        <v>1</v>
      </c>
      <c r="M151">
        <v>1</v>
      </c>
      <c r="N151">
        <v>1</v>
      </c>
      <c r="O151">
        <v>100</v>
      </c>
      <c r="P151" s="4" t="b">
        <f t="shared" si="2"/>
        <v>0</v>
      </c>
    </row>
    <row r="152" spans="1:16" x14ac:dyDescent="0.2">
      <c r="A152" t="s">
        <v>15</v>
      </c>
      <c r="B152" t="s">
        <v>1016</v>
      </c>
      <c r="C152">
        <v>159</v>
      </c>
      <c r="D152">
        <v>185664</v>
      </c>
      <c r="E152" t="s">
        <v>328</v>
      </c>
      <c r="F152" t="s">
        <v>215</v>
      </c>
      <c r="G152" t="s">
        <v>23</v>
      </c>
      <c r="H152" t="s">
        <v>28</v>
      </c>
      <c r="I152" t="s">
        <v>20</v>
      </c>
      <c r="J152">
        <v>2</v>
      </c>
      <c r="K152">
        <v>0.03</v>
      </c>
      <c r="L152">
        <v>1</v>
      </c>
      <c r="M152">
        <v>1</v>
      </c>
      <c r="N152">
        <v>1</v>
      </c>
      <c r="O152">
        <v>100</v>
      </c>
      <c r="P152" s="4" t="b">
        <f t="shared" si="2"/>
        <v>0</v>
      </c>
    </row>
    <row r="153" spans="1:16" x14ac:dyDescent="0.2">
      <c r="A153" t="s">
        <v>15</v>
      </c>
      <c r="B153" t="s">
        <v>1016</v>
      </c>
      <c r="C153">
        <v>160</v>
      </c>
      <c r="D153">
        <v>129869</v>
      </c>
      <c r="E153" t="s">
        <v>451</v>
      </c>
      <c r="F153" t="s">
        <v>190</v>
      </c>
      <c r="G153" t="s">
        <v>18</v>
      </c>
      <c r="H153" t="s">
        <v>55</v>
      </c>
      <c r="I153" t="s">
        <v>74</v>
      </c>
      <c r="J153">
        <v>4</v>
      </c>
      <c r="K153">
        <v>0.03</v>
      </c>
      <c r="L153">
        <v>1</v>
      </c>
      <c r="M153">
        <v>1</v>
      </c>
      <c r="N153">
        <v>1</v>
      </c>
      <c r="O153">
        <v>100</v>
      </c>
      <c r="P153" s="4" t="b">
        <f t="shared" si="2"/>
        <v>0</v>
      </c>
    </row>
    <row r="154" spans="1:16" x14ac:dyDescent="0.2">
      <c r="A154" t="s">
        <v>15</v>
      </c>
      <c r="B154" t="s">
        <v>1016</v>
      </c>
      <c r="C154">
        <v>161</v>
      </c>
      <c r="D154">
        <v>36196</v>
      </c>
      <c r="E154" t="s">
        <v>346</v>
      </c>
      <c r="F154" t="s">
        <v>62</v>
      </c>
      <c r="G154" t="s">
        <v>18</v>
      </c>
      <c r="H154" t="s">
        <v>39</v>
      </c>
      <c r="I154" t="s">
        <v>29</v>
      </c>
      <c r="J154">
        <v>19</v>
      </c>
      <c r="K154">
        <v>0.03</v>
      </c>
      <c r="L154">
        <v>1</v>
      </c>
      <c r="M154">
        <v>1</v>
      </c>
      <c r="N154">
        <v>1</v>
      </c>
      <c r="O154">
        <v>100</v>
      </c>
      <c r="P154" s="4" t="b">
        <f t="shared" si="2"/>
        <v>0</v>
      </c>
    </row>
    <row r="155" spans="1:16" x14ac:dyDescent="0.2">
      <c r="A155" t="s">
        <v>15</v>
      </c>
      <c r="B155" t="s">
        <v>1016</v>
      </c>
      <c r="C155">
        <v>162</v>
      </c>
      <c r="D155">
        <v>207256</v>
      </c>
      <c r="E155" t="s">
        <v>149</v>
      </c>
      <c r="F155" t="s">
        <v>35</v>
      </c>
      <c r="G155" t="s">
        <v>36</v>
      </c>
      <c r="H155" t="s">
        <v>28</v>
      </c>
      <c r="I155" t="s">
        <v>29</v>
      </c>
      <c r="J155">
        <v>13</v>
      </c>
      <c r="K155">
        <v>0.03</v>
      </c>
      <c r="L155">
        <v>1</v>
      </c>
      <c r="M155">
        <v>1</v>
      </c>
      <c r="N155">
        <v>1</v>
      </c>
      <c r="O155">
        <v>100</v>
      </c>
      <c r="P155" s="4" t="b">
        <f t="shared" si="2"/>
        <v>0</v>
      </c>
    </row>
    <row r="156" spans="1:16" x14ac:dyDescent="0.2">
      <c r="A156" t="s">
        <v>15</v>
      </c>
      <c r="B156" t="s">
        <v>1016</v>
      </c>
      <c r="C156">
        <v>163</v>
      </c>
      <c r="D156">
        <v>111495</v>
      </c>
      <c r="E156" t="s">
        <v>382</v>
      </c>
      <c r="F156" t="s">
        <v>264</v>
      </c>
      <c r="G156" t="s">
        <v>23</v>
      </c>
      <c r="H156" t="s">
        <v>55</v>
      </c>
      <c r="I156" t="s">
        <v>29</v>
      </c>
      <c r="J156">
        <v>2</v>
      </c>
      <c r="K156">
        <v>0.03</v>
      </c>
      <c r="L156">
        <v>1</v>
      </c>
      <c r="M156">
        <v>1</v>
      </c>
      <c r="N156">
        <v>1</v>
      </c>
      <c r="O156">
        <v>100</v>
      </c>
      <c r="P156" s="4" t="b">
        <f t="shared" si="2"/>
        <v>0</v>
      </c>
    </row>
    <row r="157" spans="1:16" x14ac:dyDescent="0.2">
      <c r="A157" t="s">
        <v>15</v>
      </c>
      <c r="B157" t="s">
        <v>1016</v>
      </c>
      <c r="C157">
        <v>164</v>
      </c>
      <c r="D157">
        <v>130244</v>
      </c>
      <c r="E157" t="s">
        <v>536</v>
      </c>
      <c r="F157" t="s">
        <v>238</v>
      </c>
      <c r="G157" t="s">
        <v>18</v>
      </c>
      <c r="H157" t="s">
        <v>28</v>
      </c>
      <c r="I157" t="s">
        <v>29</v>
      </c>
      <c r="J157">
        <v>4</v>
      </c>
      <c r="K157">
        <v>0.03</v>
      </c>
      <c r="L157">
        <v>1</v>
      </c>
      <c r="M157">
        <v>1</v>
      </c>
      <c r="N157">
        <v>1</v>
      </c>
      <c r="O157">
        <v>100</v>
      </c>
      <c r="P157" s="4" t="b">
        <f t="shared" si="2"/>
        <v>0</v>
      </c>
    </row>
    <row r="158" spans="1:16" x14ac:dyDescent="0.2">
      <c r="A158" t="s">
        <v>15</v>
      </c>
      <c r="B158" t="s">
        <v>1016</v>
      </c>
      <c r="C158">
        <v>165</v>
      </c>
      <c r="D158">
        <v>78001</v>
      </c>
      <c r="E158" t="s">
        <v>453</v>
      </c>
      <c r="F158" t="s">
        <v>193</v>
      </c>
      <c r="G158" t="s">
        <v>18</v>
      </c>
      <c r="H158" t="s">
        <v>55</v>
      </c>
      <c r="I158" t="s">
        <v>29</v>
      </c>
      <c r="J158">
        <v>5</v>
      </c>
      <c r="K158">
        <v>0.03</v>
      </c>
      <c r="L158">
        <v>1</v>
      </c>
      <c r="M158">
        <v>1</v>
      </c>
      <c r="N158">
        <v>1</v>
      </c>
      <c r="O158">
        <v>100</v>
      </c>
      <c r="P158" s="4" t="b">
        <f t="shared" si="2"/>
        <v>0</v>
      </c>
    </row>
    <row r="159" spans="1:16" x14ac:dyDescent="0.2">
      <c r="A159" t="s">
        <v>15</v>
      </c>
      <c r="B159" t="s">
        <v>1016</v>
      </c>
      <c r="C159">
        <v>166</v>
      </c>
      <c r="D159">
        <v>71073</v>
      </c>
      <c r="E159" t="s">
        <v>223</v>
      </c>
      <c r="F159" t="s">
        <v>165</v>
      </c>
      <c r="G159" t="s">
        <v>23</v>
      </c>
      <c r="H159" t="s">
        <v>39</v>
      </c>
      <c r="I159" t="s">
        <v>29</v>
      </c>
      <c r="J159">
        <v>2</v>
      </c>
      <c r="K159">
        <v>0.03</v>
      </c>
      <c r="L159">
        <v>1</v>
      </c>
      <c r="M159">
        <v>1</v>
      </c>
      <c r="N159">
        <v>1</v>
      </c>
      <c r="O159">
        <v>100</v>
      </c>
      <c r="P159" s="4" t="b">
        <f t="shared" si="2"/>
        <v>0</v>
      </c>
    </row>
    <row r="160" spans="1:16" x14ac:dyDescent="0.2">
      <c r="A160" t="s">
        <v>15</v>
      </c>
      <c r="B160" t="s">
        <v>1016</v>
      </c>
      <c r="C160">
        <v>167</v>
      </c>
      <c r="D160">
        <v>76019</v>
      </c>
      <c r="E160" t="s">
        <v>188</v>
      </c>
      <c r="F160" t="s">
        <v>41</v>
      </c>
      <c r="G160" t="s">
        <v>42</v>
      </c>
      <c r="H160" t="s">
        <v>28</v>
      </c>
      <c r="I160" t="s">
        <v>29</v>
      </c>
      <c r="J160">
        <v>13</v>
      </c>
      <c r="K160">
        <v>0.03</v>
      </c>
      <c r="L160">
        <v>1</v>
      </c>
      <c r="M160">
        <v>1</v>
      </c>
      <c r="N160">
        <v>1</v>
      </c>
      <c r="O160">
        <v>100</v>
      </c>
      <c r="P160" s="4" t="b">
        <f t="shared" si="2"/>
        <v>0</v>
      </c>
    </row>
    <row r="161" spans="1:16" x14ac:dyDescent="0.2">
      <c r="A161" t="s">
        <v>15</v>
      </c>
      <c r="B161" t="s">
        <v>1016</v>
      </c>
      <c r="C161">
        <v>168</v>
      </c>
      <c r="D161">
        <v>130996</v>
      </c>
      <c r="E161" t="s">
        <v>456</v>
      </c>
      <c r="F161" t="s">
        <v>202</v>
      </c>
      <c r="G161" t="s">
        <v>18</v>
      </c>
      <c r="H161" t="s">
        <v>55</v>
      </c>
      <c r="I161" t="s">
        <v>29</v>
      </c>
      <c r="J161">
        <v>4</v>
      </c>
      <c r="K161">
        <v>0.03</v>
      </c>
      <c r="L161">
        <v>1</v>
      </c>
      <c r="M161">
        <v>1</v>
      </c>
      <c r="N161">
        <v>1</v>
      </c>
      <c r="O161">
        <v>100</v>
      </c>
      <c r="P161" s="4" t="b">
        <f t="shared" si="2"/>
        <v>0</v>
      </c>
    </row>
    <row r="162" spans="1:16" x14ac:dyDescent="0.2">
      <c r="A162" t="s">
        <v>15</v>
      </c>
      <c r="B162" t="s">
        <v>1016</v>
      </c>
      <c r="C162">
        <v>169</v>
      </c>
      <c r="D162">
        <v>150434</v>
      </c>
      <c r="E162" t="s">
        <v>455</v>
      </c>
      <c r="F162" t="s">
        <v>96</v>
      </c>
      <c r="G162" t="s">
        <v>18</v>
      </c>
      <c r="H162" t="s">
        <v>55</v>
      </c>
      <c r="I162" t="s">
        <v>29</v>
      </c>
      <c r="J162">
        <v>11</v>
      </c>
      <c r="K162">
        <v>0.03</v>
      </c>
      <c r="L162">
        <v>1</v>
      </c>
      <c r="M162">
        <v>1</v>
      </c>
      <c r="N162">
        <v>1</v>
      </c>
      <c r="O162">
        <v>100</v>
      </c>
      <c r="P162" s="4" t="b">
        <f t="shared" si="2"/>
        <v>0</v>
      </c>
    </row>
    <row r="163" spans="1:16" x14ac:dyDescent="0.2">
      <c r="A163" t="s">
        <v>15</v>
      </c>
      <c r="B163" t="s">
        <v>1016</v>
      </c>
      <c r="C163">
        <v>170</v>
      </c>
      <c r="D163">
        <v>68917</v>
      </c>
      <c r="E163" t="s">
        <v>380</v>
      </c>
      <c r="F163" t="s">
        <v>261</v>
      </c>
      <c r="G163" t="s">
        <v>23</v>
      </c>
      <c r="H163" t="s">
        <v>55</v>
      </c>
      <c r="I163" t="s">
        <v>29</v>
      </c>
      <c r="J163">
        <v>4</v>
      </c>
      <c r="K163">
        <v>0.03</v>
      </c>
      <c r="L163">
        <v>1</v>
      </c>
      <c r="M163">
        <v>1</v>
      </c>
      <c r="N163">
        <v>1</v>
      </c>
      <c r="O163">
        <v>100</v>
      </c>
      <c r="P163" s="4" t="b">
        <f t="shared" si="2"/>
        <v>0</v>
      </c>
    </row>
    <row r="164" spans="1:16" x14ac:dyDescent="0.2">
      <c r="A164" t="s">
        <v>15</v>
      </c>
      <c r="B164" t="s">
        <v>1016</v>
      </c>
      <c r="C164">
        <v>171</v>
      </c>
      <c r="D164">
        <v>130113</v>
      </c>
      <c r="E164" t="s">
        <v>180</v>
      </c>
      <c r="F164" t="s">
        <v>17</v>
      </c>
      <c r="G164" t="s">
        <v>18</v>
      </c>
      <c r="H164" t="s">
        <v>19</v>
      </c>
      <c r="I164" t="s">
        <v>29</v>
      </c>
      <c r="J164">
        <v>9</v>
      </c>
      <c r="K164">
        <v>0.03</v>
      </c>
      <c r="L164">
        <v>1</v>
      </c>
      <c r="M164">
        <v>1</v>
      </c>
      <c r="N164">
        <v>1</v>
      </c>
      <c r="O164">
        <v>100</v>
      </c>
      <c r="P164" s="4" t="b">
        <f t="shared" si="2"/>
        <v>0</v>
      </c>
    </row>
    <row r="165" spans="1:16" x14ac:dyDescent="0.2">
      <c r="A165" t="s">
        <v>15</v>
      </c>
      <c r="B165" t="s">
        <v>1016</v>
      </c>
      <c r="C165">
        <v>172</v>
      </c>
      <c r="D165">
        <v>130986</v>
      </c>
      <c r="E165" t="s">
        <v>185</v>
      </c>
      <c r="F165" t="s">
        <v>17</v>
      </c>
      <c r="G165" t="s">
        <v>18</v>
      </c>
      <c r="H165" t="s">
        <v>19</v>
      </c>
      <c r="I165" t="s">
        <v>29</v>
      </c>
      <c r="J165">
        <v>10</v>
      </c>
      <c r="K165">
        <v>0.03</v>
      </c>
      <c r="L165">
        <v>1</v>
      </c>
      <c r="M165">
        <v>1</v>
      </c>
      <c r="N165">
        <v>1</v>
      </c>
      <c r="O165">
        <v>100</v>
      </c>
      <c r="P165" s="4" t="b">
        <f t="shared" si="2"/>
        <v>0</v>
      </c>
    </row>
    <row r="166" spans="1:16" x14ac:dyDescent="0.2">
      <c r="A166" t="s">
        <v>15</v>
      </c>
      <c r="B166" t="s">
        <v>1016</v>
      </c>
      <c r="C166">
        <v>173</v>
      </c>
      <c r="D166">
        <v>125218</v>
      </c>
      <c r="E166" t="s">
        <v>150</v>
      </c>
      <c r="F166" t="s">
        <v>96</v>
      </c>
      <c r="G166" t="s">
        <v>23</v>
      </c>
      <c r="H166" t="s">
        <v>55</v>
      </c>
      <c r="I166" t="s">
        <v>24</v>
      </c>
      <c r="J166">
        <v>2</v>
      </c>
      <c r="K166">
        <v>0.03</v>
      </c>
      <c r="L166">
        <v>1</v>
      </c>
      <c r="M166">
        <v>1</v>
      </c>
      <c r="N166">
        <v>1</v>
      </c>
      <c r="O166">
        <v>100</v>
      </c>
      <c r="P166" s="4" t="b">
        <f t="shared" si="2"/>
        <v>0</v>
      </c>
    </row>
    <row r="167" spans="1:16" x14ac:dyDescent="0.2">
      <c r="A167" t="s">
        <v>15</v>
      </c>
      <c r="B167" t="s">
        <v>1016</v>
      </c>
      <c r="C167">
        <v>174</v>
      </c>
      <c r="D167">
        <v>92336</v>
      </c>
      <c r="E167" t="s">
        <v>197</v>
      </c>
      <c r="F167" t="s">
        <v>41</v>
      </c>
      <c r="G167" t="s">
        <v>42</v>
      </c>
      <c r="H167" t="s">
        <v>28</v>
      </c>
      <c r="I167" t="s">
        <v>29</v>
      </c>
      <c r="J167">
        <v>14</v>
      </c>
      <c r="K167">
        <v>0.03</v>
      </c>
      <c r="L167">
        <v>1</v>
      </c>
      <c r="M167">
        <v>1</v>
      </c>
      <c r="N167">
        <v>1</v>
      </c>
      <c r="O167">
        <v>100</v>
      </c>
      <c r="P167" s="4" t="b">
        <f t="shared" si="2"/>
        <v>0</v>
      </c>
    </row>
    <row r="168" spans="1:16" x14ac:dyDescent="0.2">
      <c r="A168" t="s">
        <v>15</v>
      </c>
      <c r="B168" t="s">
        <v>1016</v>
      </c>
      <c r="C168">
        <v>175</v>
      </c>
      <c r="D168">
        <v>124619</v>
      </c>
      <c r="E168" t="s">
        <v>228</v>
      </c>
      <c r="F168" t="s">
        <v>78</v>
      </c>
      <c r="G168" t="s">
        <v>18</v>
      </c>
      <c r="H168" t="s">
        <v>28</v>
      </c>
      <c r="I168" t="s">
        <v>29</v>
      </c>
      <c r="J168">
        <v>5</v>
      </c>
      <c r="K168">
        <v>0.03</v>
      </c>
      <c r="L168">
        <v>1</v>
      </c>
      <c r="M168">
        <v>1</v>
      </c>
      <c r="N168">
        <v>1</v>
      </c>
      <c r="O168">
        <v>100</v>
      </c>
      <c r="P168" s="4" t="b">
        <f t="shared" si="2"/>
        <v>0</v>
      </c>
    </row>
    <row r="169" spans="1:16" x14ac:dyDescent="0.2">
      <c r="A169" t="s">
        <v>15</v>
      </c>
      <c r="B169" t="s">
        <v>1016</v>
      </c>
      <c r="C169">
        <v>176</v>
      </c>
      <c r="D169">
        <v>55327</v>
      </c>
      <c r="E169" t="s">
        <v>385</v>
      </c>
      <c r="F169" t="s">
        <v>267</v>
      </c>
      <c r="G169" t="s">
        <v>23</v>
      </c>
      <c r="H169" t="s">
        <v>55</v>
      </c>
      <c r="I169" t="s">
        <v>29</v>
      </c>
      <c r="J169">
        <v>2</v>
      </c>
      <c r="K169">
        <v>0.03</v>
      </c>
      <c r="L169">
        <v>1</v>
      </c>
      <c r="M169">
        <v>1</v>
      </c>
      <c r="N169">
        <v>1</v>
      </c>
      <c r="O169">
        <v>100</v>
      </c>
      <c r="P169" s="4" t="b">
        <f t="shared" si="2"/>
        <v>0</v>
      </c>
    </row>
    <row r="170" spans="1:16" x14ac:dyDescent="0.2">
      <c r="A170" t="s">
        <v>15</v>
      </c>
      <c r="B170" t="s">
        <v>1016</v>
      </c>
      <c r="C170">
        <v>177</v>
      </c>
      <c r="D170">
        <v>130981</v>
      </c>
      <c r="E170" t="s">
        <v>186</v>
      </c>
      <c r="F170" t="s">
        <v>54</v>
      </c>
      <c r="G170" t="s">
        <v>18</v>
      </c>
      <c r="H170" t="s">
        <v>55</v>
      </c>
      <c r="I170" t="s">
        <v>29</v>
      </c>
      <c r="J170">
        <v>5</v>
      </c>
      <c r="K170">
        <v>0.03</v>
      </c>
      <c r="L170">
        <v>1</v>
      </c>
      <c r="M170">
        <v>1</v>
      </c>
      <c r="N170">
        <v>1</v>
      </c>
      <c r="O170">
        <v>100</v>
      </c>
      <c r="P170" s="4" t="b">
        <f t="shared" si="2"/>
        <v>0</v>
      </c>
    </row>
    <row r="171" spans="1:16" x14ac:dyDescent="0.2">
      <c r="A171" t="s">
        <v>15</v>
      </c>
      <c r="B171" t="s">
        <v>1016</v>
      </c>
      <c r="C171">
        <v>178</v>
      </c>
      <c r="D171">
        <v>130663</v>
      </c>
      <c r="E171" t="s">
        <v>154</v>
      </c>
      <c r="F171" t="s">
        <v>44</v>
      </c>
      <c r="G171" t="s">
        <v>18</v>
      </c>
      <c r="H171" t="s">
        <v>39</v>
      </c>
      <c r="I171" t="s">
        <v>29</v>
      </c>
      <c r="J171">
        <v>5</v>
      </c>
      <c r="K171">
        <v>0.03</v>
      </c>
      <c r="L171">
        <v>1</v>
      </c>
      <c r="M171">
        <v>1</v>
      </c>
      <c r="N171">
        <v>1</v>
      </c>
      <c r="O171">
        <v>100</v>
      </c>
      <c r="P171" s="4" t="b">
        <f t="shared" si="2"/>
        <v>0</v>
      </c>
    </row>
    <row r="172" spans="1:16" x14ac:dyDescent="0.2">
      <c r="A172" t="s">
        <v>15</v>
      </c>
      <c r="B172" t="s">
        <v>1016</v>
      </c>
      <c r="C172">
        <v>179</v>
      </c>
      <c r="D172">
        <v>176107</v>
      </c>
      <c r="E172" t="s">
        <v>371</v>
      </c>
      <c r="F172" t="s">
        <v>248</v>
      </c>
      <c r="G172" t="s">
        <v>23</v>
      </c>
      <c r="H172" t="s">
        <v>55</v>
      </c>
      <c r="I172" t="s">
        <v>29</v>
      </c>
      <c r="J172">
        <v>2</v>
      </c>
      <c r="K172">
        <v>0.03</v>
      </c>
      <c r="L172">
        <v>1</v>
      </c>
      <c r="M172">
        <v>1</v>
      </c>
      <c r="N172">
        <v>1</v>
      </c>
      <c r="O172">
        <v>100</v>
      </c>
      <c r="P172" s="4" t="b">
        <f t="shared" si="2"/>
        <v>0</v>
      </c>
    </row>
    <row r="173" spans="1:16" x14ac:dyDescent="0.2">
      <c r="A173" t="s">
        <v>15</v>
      </c>
      <c r="B173" t="s">
        <v>1016</v>
      </c>
      <c r="C173">
        <v>180</v>
      </c>
      <c r="D173">
        <v>127066</v>
      </c>
      <c r="E173" t="s">
        <v>229</v>
      </c>
      <c r="F173" t="s">
        <v>58</v>
      </c>
      <c r="G173" t="s">
        <v>18</v>
      </c>
      <c r="H173" t="s">
        <v>28</v>
      </c>
      <c r="I173" t="s">
        <v>29</v>
      </c>
      <c r="J173">
        <v>12</v>
      </c>
      <c r="K173">
        <v>0.03</v>
      </c>
      <c r="L173">
        <v>1</v>
      </c>
      <c r="M173">
        <v>1</v>
      </c>
      <c r="N173">
        <v>1</v>
      </c>
      <c r="O173">
        <v>100</v>
      </c>
      <c r="P173" s="4" t="b">
        <f t="shared" si="2"/>
        <v>0</v>
      </c>
    </row>
    <row r="174" spans="1:16" x14ac:dyDescent="0.2">
      <c r="A174" t="s">
        <v>15</v>
      </c>
      <c r="B174" t="s">
        <v>1016</v>
      </c>
      <c r="C174">
        <v>181</v>
      </c>
      <c r="D174">
        <v>130365</v>
      </c>
      <c r="E174" t="s">
        <v>226</v>
      </c>
      <c r="F174" t="s">
        <v>73</v>
      </c>
      <c r="G174" t="s">
        <v>18</v>
      </c>
      <c r="H174" t="s">
        <v>28</v>
      </c>
      <c r="I174" t="s">
        <v>88</v>
      </c>
      <c r="J174">
        <v>6</v>
      </c>
      <c r="K174">
        <v>0.03</v>
      </c>
      <c r="L174">
        <v>1</v>
      </c>
      <c r="M174">
        <v>1</v>
      </c>
      <c r="N174">
        <v>1</v>
      </c>
      <c r="O174">
        <v>100</v>
      </c>
      <c r="P174" s="4" t="b">
        <f t="shared" si="2"/>
        <v>0</v>
      </c>
    </row>
    <row r="175" spans="1:16" x14ac:dyDescent="0.2">
      <c r="A175" t="s">
        <v>15</v>
      </c>
      <c r="B175" t="s">
        <v>1016</v>
      </c>
      <c r="C175">
        <v>182</v>
      </c>
      <c r="D175">
        <v>123320</v>
      </c>
      <c r="E175" t="s">
        <v>376</v>
      </c>
      <c r="F175" t="s">
        <v>254</v>
      </c>
      <c r="G175" t="s">
        <v>23</v>
      </c>
      <c r="H175" t="s">
        <v>55</v>
      </c>
      <c r="I175" t="s">
        <v>29</v>
      </c>
      <c r="J175">
        <v>2</v>
      </c>
      <c r="K175">
        <v>0.03</v>
      </c>
      <c r="L175">
        <v>1</v>
      </c>
      <c r="M175">
        <v>1</v>
      </c>
      <c r="N175">
        <v>1</v>
      </c>
      <c r="O175">
        <v>100</v>
      </c>
      <c r="P175" s="4" t="b">
        <f t="shared" si="2"/>
        <v>0</v>
      </c>
    </row>
    <row r="176" spans="1:16" x14ac:dyDescent="0.2">
      <c r="A176" t="s">
        <v>15</v>
      </c>
      <c r="B176" t="s">
        <v>1016</v>
      </c>
      <c r="C176">
        <v>183</v>
      </c>
      <c r="D176">
        <v>130767</v>
      </c>
      <c r="E176" t="s">
        <v>224</v>
      </c>
      <c r="F176" t="s">
        <v>68</v>
      </c>
      <c r="G176" t="s">
        <v>18</v>
      </c>
      <c r="H176" t="s">
        <v>28</v>
      </c>
      <c r="I176" t="s">
        <v>20</v>
      </c>
      <c r="J176">
        <v>5</v>
      </c>
      <c r="K176">
        <v>0.03</v>
      </c>
      <c r="L176">
        <v>1</v>
      </c>
      <c r="M176">
        <v>1</v>
      </c>
      <c r="N176">
        <v>1</v>
      </c>
      <c r="O176">
        <v>100</v>
      </c>
      <c r="P176" s="4" t="b">
        <f t="shared" si="2"/>
        <v>0</v>
      </c>
    </row>
    <row r="177" spans="1:16" x14ac:dyDescent="0.2">
      <c r="A177" t="s">
        <v>15</v>
      </c>
      <c r="B177" t="s">
        <v>1016</v>
      </c>
      <c r="C177">
        <v>184</v>
      </c>
      <c r="D177">
        <v>129677</v>
      </c>
      <c r="E177" t="s">
        <v>521</v>
      </c>
      <c r="F177" t="s">
        <v>190</v>
      </c>
      <c r="G177" t="s">
        <v>18</v>
      </c>
      <c r="H177" t="s">
        <v>55</v>
      </c>
      <c r="I177" t="s">
        <v>74</v>
      </c>
      <c r="J177">
        <v>5</v>
      </c>
      <c r="K177">
        <v>0.03</v>
      </c>
      <c r="L177">
        <v>1</v>
      </c>
      <c r="M177">
        <v>1</v>
      </c>
      <c r="N177">
        <v>1</v>
      </c>
      <c r="O177">
        <v>100</v>
      </c>
      <c r="P177" s="4" t="b">
        <f t="shared" si="2"/>
        <v>0</v>
      </c>
    </row>
    <row r="178" spans="1:16" x14ac:dyDescent="0.2">
      <c r="A178" t="s">
        <v>15</v>
      </c>
      <c r="B178" t="s">
        <v>1016</v>
      </c>
      <c r="C178">
        <v>185</v>
      </c>
      <c r="D178">
        <v>48989</v>
      </c>
      <c r="E178" t="s">
        <v>374</v>
      </c>
      <c r="F178" t="s">
        <v>251</v>
      </c>
      <c r="G178" t="s">
        <v>23</v>
      </c>
      <c r="H178" t="s">
        <v>55</v>
      </c>
      <c r="I178" t="s">
        <v>29</v>
      </c>
      <c r="J178">
        <v>2</v>
      </c>
      <c r="K178">
        <v>0.03</v>
      </c>
      <c r="L178">
        <v>1</v>
      </c>
      <c r="M178">
        <v>1</v>
      </c>
      <c r="N178">
        <v>1</v>
      </c>
      <c r="O178">
        <v>100</v>
      </c>
      <c r="P178" s="4" t="b">
        <f t="shared" si="2"/>
        <v>0</v>
      </c>
    </row>
    <row r="179" spans="1:16" x14ac:dyDescent="0.2">
      <c r="A179" t="s">
        <v>15</v>
      </c>
      <c r="B179" t="s">
        <v>1016</v>
      </c>
      <c r="C179">
        <v>186</v>
      </c>
      <c r="D179">
        <v>100094</v>
      </c>
      <c r="E179" t="s">
        <v>396</v>
      </c>
      <c r="F179" t="s">
        <v>62</v>
      </c>
      <c r="G179" t="s">
        <v>18</v>
      </c>
      <c r="H179" t="s">
        <v>39</v>
      </c>
      <c r="I179" t="s">
        <v>29</v>
      </c>
      <c r="J179">
        <v>20</v>
      </c>
      <c r="K179">
        <v>0.03</v>
      </c>
      <c r="L179">
        <v>1</v>
      </c>
      <c r="M179">
        <v>1</v>
      </c>
      <c r="N179">
        <v>1</v>
      </c>
      <c r="O179">
        <v>100</v>
      </c>
      <c r="P179" s="4" t="b">
        <f t="shared" si="2"/>
        <v>0</v>
      </c>
    </row>
    <row r="180" spans="1:16" x14ac:dyDescent="0.2">
      <c r="A180" t="s">
        <v>15</v>
      </c>
      <c r="B180" t="s">
        <v>1016</v>
      </c>
      <c r="C180">
        <v>187</v>
      </c>
      <c r="D180">
        <v>136235</v>
      </c>
      <c r="E180" t="s">
        <v>623</v>
      </c>
      <c r="F180" t="s">
        <v>238</v>
      </c>
      <c r="G180" t="s">
        <v>18</v>
      </c>
      <c r="H180" t="s">
        <v>28</v>
      </c>
      <c r="I180" t="s">
        <v>20</v>
      </c>
      <c r="J180">
        <v>5</v>
      </c>
      <c r="K180">
        <v>0.03</v>
      </c>
      <c r="L180">
        <v>1</v>
      </c>
      <c r="M180">
        <v>1</v>
      </c>
      <c r="N180">
        <v>1</v>
      </c>
      <c r="O180">
        <v>100</v>
      </c>
      <c r="P180" s="4" t="b">
        <f t="shared" si="2"/>
        <v>0</v>
      </c>
    </row>
    <row r="181" spans="1:16" x14ac:dyDescent="0.2">
      <c r="A181" t="s">
        <v>15</v>
      </c>
      <c r="B181" t="s">
        <v>1016</v>
      </c>
      <c r="C181">
        <v>188</v>
      </c>
      <c r="D181">
        <v>124872</v>
      </c>
      <c r="E181" t="s">
        <v>378</v>
      </c>
      <c r="F181" t="s">
        <v>257</v>
      </c>
      <c r="G181" t="s">
        <v>23</v>
      </c>
      <c r="H181" t="s">
        <v>55</v>
      </c>
      <c r="I181" t="s">
        <v>29</v>
      </c>
      <c r="J181">
        <v>2</v>
      </c>
      <c r="K181">
        <v>0.03</v>
      </c>
      <c r="L181">
        <v>1</v>
      </c>
      <c r="M181">
        <v>1</v>
      </c>
      <c r="N181">
        <v>1</v>
      </c>
      <c r="O181">
        <v>100</v>
      </c>
      <c r="P181" s="4" t="b">
        <f t="shared" si="2"/>
        <v>0</v>
      </c>
    </row>
    <row r="182" spans="1:16" x14ac:dyDescent="0.2">
      <c r="A182" t="s">
        <v>15</v>
      </c>
      <c r="B182" t="s">
        <v>1016</v>
      </c>
      <c r="C182">
        <v>189</v>
      </c>
      <c r="D182">
        <v>78005</v>
      </c>
      <c r="E182" t="s">
        <v>523</v>
      </c>
      <c r="F182" t="s">
        <v>193</v>
      </c>
      <c r="G182" t="s">
        <v>18</v>
      </c>
      <c r="H182" t="s">
        <v>55</v>
      </c>
      <c r="I182" t="s">
        <v>29</v>
      </c>
      <c r="J182">
        <v>6</v>
      </c>
      <c r="K182">
        <v>0.03</v>
      </c>
      <c r="L182">
        <v>1</v>
      </c>
      <c r="M182">
        <v>1</v>
      </c>
      <c r="N182">
        <v>1</v>
      </c>
      <c r="O182">
        <v>100</v>
      </c>
      <c r="P182" s="4" t="b">
        <f t="shared" si="2"/>
        <v>0</v>
      </c>
    </row>
    <row r="183" spans="1:16" x14ac:dyDescent="0.2">
      <c r="A183" t="s">
        <v>15</v>
      </c>
      <c r="B183" t="s">
        <v>1016</v>
      </c>
      <c r="C183">
        <v>190</v>
      </c>
      <c r="D183">
        <v>130945</v>
      </c>
      <c r="E183" t="s">
        <v>527</v>
      </c>
      <c r="F183" t="s">
        <v>202</v>
      </c>
      <c r="G183" t="s">
        <v>18</v>
      </c>
      <c r="H183" t="s">
        <v>55</v>
      </c>
      <c r="I183" t="s">
        <v>29</v>
      </c>
      <c r="J183">
        <v>5</v>
      </c>
      <c r="K183">
        <v>0.03</v>
      </c>
      <c r="L183">
        <v>1</v>
      </c>
      <c r="M183">
        <v>1</v>
      </c>
      <c r="N183">
        <v>1</v>
      </c>
      <c r="O183">
        <v>100</v>
      </c>
      <c r="P183" s="4" t="b">
        <f t="shared" si="2"/>
        <v>0</v>
      </c>
    </row>
    <row r="184" spans="1:16" x14ac:dyDescent="0.2">
      <c r="A184" t="s">
        <v>15</v>
      </c>
      <c r="B184" t="s">
        <v>1016</v>
      </c>
      <c r="C184">
        <v>191</v>
      </c>
      <c r="D184">
        <v>60596</v>
      </c>
      <c r="E184" t="s">
        <v>387</v>
      </c>
      <c r="F184" t="s">
        <v>273</v>
      </c>
      <c r="G184" t="s">
        <v>23</v>
      </c>
      <c r="H184" t="s">
        <v>55</v>
      </c>
      <c r="I184" t="s">
        <v>29</v>
      </c>
      <c r="J184">
        <v>2</v>
      </c>
      <c r="K184">
        <v>0.03</v>
      </c>
      <c r="L184">
        <v>1</v>
      </c>
      <c r="M184">
        <v>1</v>
      </c>
      <c r="N184">
        <v>1</v>
      </c>
      <c r="O184">
        <v>100</v>
      </c>
      <c r="P184" s="4" t="b">
        <f t="shared" si="2"/>
        <v>0</v>
      </c>
    </row>
    <row r="185" spans="1:16" x14ac:dyDescent="0.2">
      <c r="A185" t="s">
        <v>15</v>
      </c>
      <c r="B185" t="s">
        <v>1016</v>
      </c>
      <c r="C185">
        <v>192</v>
      </c>
      <c r="D185">
        <v>176414</v>
      </c>
      <c r="E185" t="s">
        <v>525</v>
      </c>
      <c r="F185" t="s">
        <v>96</v>
      </c>
      <c r="G185" t="s">
        <v>18</v>
      </c>
      <c r="H185" t="s">
        <v>55</v>
      </c>
      <c r="I185" t="s">
        <v>29</v>
      </c>
      <c r="J185">
        <v>12</v>
      </c>
      <c r="K185">
        <v>0.03</v>
      </c>
      <c r="L185">
        <v>1</v>
      </c>
      <c r="M185">
        <v>1</v>
      </c>
      <c r="N185">
        <v>1</v>
      </c>
      <c r="O185">
        <v>100</v>
      </c>
      <c r="P185" s="4" t="b">
        <f t="shared" si="2"/>
        <v>0</v>
      </c>
    </row>
    <row r="186" spans="1:16" x14ac:dyDescent="0.2">
      <c r="A186" t="s">
        <v>15</v>
      </c>
      <c r="B186" t="s">
        <v>1016</v>
      </c>
      <c r="C186">
        <v>193</v>
      </c>
      <c r="D186">
        <v>116662</v>
      </c>
      <c r="E186" t="s">
        <v>173</v>
      </c>
      <c r="F186" t="s">
        <v>26</v>
      </c>
      <c r="G186" t="s">
        <v>23</v>
      </c>
      <c r="H186" t="s">
        <v>28</v>
      </c>
      <c r="I186" t="s">
        <v>20</v>
      </c>
      <c r="J186">
        <v>3</v>
      </c>
      <c r="K186">
        <v>0.03</v>
      </c>
      <c r="L186">
        <v>1</v>
      </c>
      <c r="M186">
        <v>1</v>
      </c>
      <c r="N186">
        <v>1</v>
      </c>
      <c r="O186">
        <v>100</v>
      </c>
      <c r="P186" s="4" t="b">
        <f t="shared" si="2"/>
        <v>0</v>
      </c>
    </row>
    <row r="187" spans="1:16" x14ac:dyDescent="0.2">
      <c r="A187" t="s">
        <v>15</v>
      </c>
      <c r="B187" t="s">
        <v>1016</v>
      </c>
      <c r="C187">
        <v>194</v>
      </c>
      <c r="D187">
        <v>129495</v>
      </c>
      <c r="E187" t="s">
        <v>213</v>
      </c>
      <c r="F187" t="s">
        <v>17</v>
      </c>
      <c r="G187" t="s">
        <v>18</v>
      </c>
      <c r="H187" t="s">
        <v>19</v>
      </c>
      <c r="I187" t="s">
        <v>20</v>
      </c>
      <c r="J187">
        <v>11</v>
      </c>
      <c r="K187">
        <v>0.03</v>
      </c>
      <c r="L187">
        <v>1</v>
      </c>
      <c r="M187">
        <v>1</v>
      </c>
      <c r="N187">
        <v>1</v>
      </c>
      <c r="O187">
        <v>100</v>
      </c>
      <c r="P187" s="4" t="b">
        <f t="shared" si="2"/>
        <v>0</v>
      </c>
    </row>
    <row r="188" spans="1:16" x14ac:dyDescent="0.2">
      <c r="A188" t="s">
        <v>15</v>
      </c>
      <c r="B188" t="s">
        <v>1016</v>
      </c>
      <c r="C188">
        <v>195</v>
      </c>
      <c r="D188">
        <v>130013</v>
      </c>
      <c r="E188" t="s">
        <v>222</v>
      </c>
      <c r="F188" t="s">
        <v>17</v>
      </c>
      <c r="G188" t="s">
        <v>18</v>
      </c>
      <c r="H188" t="s">
        <v>19</v>
      </c>
      <c r="I188" t="s">
        <v>20</v>
      </c>
      <c r="J188">
        <v>12</v>
      </c>
      <c r="K188">
        <v>0.03</v>
      </c>
      <c r="L188">
        <v>1</v>
      </c>
      <c r="M188">
        <v>1</v>
      </c>
      <c r="N188">
        <v>1</v>
      </c>
      <c r="O188">
        <v>100</v>
      </c>
      <c r="P188" s="4" t="b">
        <f t="shared" si="2"/>
        <v>0</v>
      </c>
    </row>
    <row r="189" spans="1:16" x14ac:dyDescent="0.2">
      <c r="A189" t="s">
        <v>15</v>
      </c>
      <c r="B189" t="s">
        <v>1016</v>
      </c>
      <c r="C189">
        <v>196</v>
      </c>
      <c r="D189">
        <v>126423</v>
      </c>
      <c r="E189" t="s">
        <v>123</v>
      </c>
      <c r="F189" t="s">
        <v>48</v>
      </c>
      <c r="G189" t="s">
        <v>23</v>
      </c>
      <c r="H189" t="s">
        <v>19</v>
      </c>
      <c r="I189" t="s">
        <v>24</v>
      </c>
      <c r="J189">
        <v>4</v>
      </c>
      <c r="K189">
        <v>2.3330000000000002</v>
      </c>
      <c r="L189">
        <v>3</v>
      </c>
      <c r="M189">
        <v>2</v>
      </c>
      <c r="N189">
        <v>2</v>
      </c>
      <c r="O189">
        <v>3</v>
      </c>
      <c r="P189" s="4" t="b">
        <f t="shared" si="2"/>
        <v>0</v>
      </c>
    </row>
    <row r="190" spans="1:16" x14ac:dyDescent="0.2">
      <c r="A190" t="s">
        <v>15</v>
      </c>
      <c r="B190" t="s">
        <v>1016</v>
      </c>
      <c r="C190">
        <v>197</v>
      </c>
      <c r="D190">
        <v>204653</v>
      </c>
      <c r="E190" t="s">
        <v>258</v>
      </c>
      <c r="F190" t="s">
        <v>78</v>
      </c>
      <c r="G190" t="s">
        <v>18</v>
      </c>
      <c r="H190" t="s">
        <v>28</v>
      </c>
      <c r="I190" t="s">
        <v>20</v>
      </c>
      <c r="J190">
        <v>6</v>
      </c>
      <c r="K190">
        <v>0.03</v>
      </c>
      <c r="L190">
        <v>1</v>
      </c>
      <c r="M190">
        <v>1</v>
      </c>
      <c r="N190">
        <v>1</v>
      </c>
      <c r="O190">
        <v>100</v>
      </c>
      <c r="P190" s="4" t="b">
        <f t="shared" si="2"/>
        <v>0</v>
      </c>
    </row>
    <row r="191" spans="1:16" x14ac:dyDescent="0.2">
      <c r="A191" t="s">
        <v>15</v>
      </c>
      <c r="B191" t="s">
        <v>1016</v>
      </c>
      <c r="C191">
        <v>198</v>
      </c>
      <c r="D191">
        <v>129470</v>
      </c>
      <c r="E191" t="s">
        <v>220</v>
      </c>
      <c r="F191" t="s">
        <v>54</v>
      </c>
      <c r="G191" t="s">
        <v>18</v>
      </c>
      <c r="H191" t="s">
        <v>55</v>
      </c>
      <c r="I191" t="s">
        <v>56</v>
      </c>
      <c r="J191">
        <v>6</v>
      </c>
      <c r="K191">
        <v>0.03</v>
      </c>
      <c r="L191">
        <v>1</v>
      </c>
      <c r="M191">
        <v>1</v>
      </c>
      <c r="N191">
        <v>1</v>
      </c>
      <c r="O191">
        <v>100</v>
      </c>
      <c r="P191" s="4" t="b">
        <f t="shared" si="2"/>
        <v>0</v>
      </c>
    </row>
    <row r="192" spans="1:16" x14ac:dyDescent="0.2">
      <c r="A192" t="s">
        <v>15</v>
      </c>
      <c r="B192" t="s">
        <v>1016</v>
      </c>
      <c r="C192">
        <v>199</v>
      </c>
      <c r="D192">
        <v>126645</v>
      </c>
      <c r="E192" t="s">
        <v>187</v>
      </c>
      <c r="F192" t="s">
        <v>90</v>
      </c>
      <c r="G192" t="s">
        <v>23</v>
      </c>
      <c r="H192" t="s">
        <v>55</v>
      </c>
      <c r="I192" t="s">
        <v>29</v>
      </c>
      <c r="J192">
        <v>3</v>
      </c>
      <c r="K192">
        <v>0.03</v>
      </c>
      <c r="L192">
        <v>1</v>
      </c>
      <c r="M192">
        <v>1</v>
      </c>
      <c r="N192">
        <v>1</v>
      </c>
      <c r="O192">
        <v>100</v>
      </c>
      <c r="P192" s="4" t="b">
        <f t="shared" si="2"/>
        <v>0</v>
      </c>
    </row>
    <row r="193" spans="1:16" x14ac:dyDescent="0.2">
      <c r="A193" t="s">
        <v>15</v>
      </c>
      <c r="B193" t="s">
        <v>1016</v>
      </c>
      <c r="C193">
        <v>200</v>
      </c>
      <c r="D193">
        <v>130598</v>
      </c>
      <c r="E193" t="s">
        <v>174</v>
      </c>
      <c r="F193" t="s">
        <v>44</v>
      </c>
      <c r="G193" t="s">
        <v>18</v>
      </c>
      <c r="H193" t="s">
        <v>39</v>
      </c>
      <c r="I193" t="s">
        <v>20</v>
      </c>
      <c r="J193">
        <v>6</v>
      </c>
      <c r="K193">
        <v>0.03</v>
      </c>
      <c r="L193">
        <v>1</v>
      </c>
      <c r="M193">
        <v>1</v>
      </c>
      <c r="N193">
        <v>1</v>
      </c>
      <c r="O193">
        <v>100</v>
      </c>
      <c r="P193" s="4" t="b">
        <f t="shared" si="2"/>
        <v>0</v>
      </c>
    </row>
    <row r="194" spans="1:16" x14ac:dyDescent="0.2">
      <c r="A194" t="s">
        <v>15</v>
      </c>
      <c r="B194" t="s">
        <v>1016</v>
      </c>
      <c r="C194">
        <v>201</v>
      </c>
      <c r="D194">
        <v>63944</v>
      </c>
      <c r="E194" t="s">
        <v>259</v>
      </c>
      <c r="F194" t="s">
        <v>58</v>
      </c>
      <c r="G194" t="s">
        <v>18</v>
      </c>
      <c r="H194" t="s">
        <v>28</v>
      </c>
      <c r="I194" t="s">
        <v>20</v>
      </c>
      <c r="J194">
        <v>36</v>
      </c>
      <c r="K194">
        <v>0.03</v>
      </c>
      <c r="L194">
        <v>1</v>
      </c>
      <c r="M194">
        <v>1</v>
      </c>
      <c r="N194">
        <v>1</v>
      </c>
      <c r="O194">
        <v>100</v>
      </c>
      <c r="P194" s="4" t="b">
        <f t="shared" si="2"/>
        <v>0</v>
      </c>
    </row>
    <row r="195" spans="1:16" x14ac:dyDescent="0.2">
      <c r="A195" t="s">
        <v>15</v>
      </c>
      <c r="B195" t="s">
        <v>1016</v>
      </c>
      <c r="C195">
        <v>202</v>
      </c>
      <c r="D195">
        <v>125543</v>
      </c>
      <c r="E195" t="s">
        <v>111</v>
      </c>
      <c r="F195" t="s">
        <v>38</v>
      </c>
      <c r="G195" t="s">
        <v>23</v>
      </c>
      <c r="H195" t="s">
        <v>39</v>
      </c>
      <c r="I195" t="s">
        <v>20</v>
      </c>
      <c r="J195">
        <v>3</v>
      </c>
      <c r="K195">
        <v>0.08</v>
      </c>
      <c r="L195">
        <v>5</v>
      </c>
      <c r="M195">
        <v>2</v>
      </c>
      <c r="N195">
        <v>1</v>
      </c>
      <c r="O195">
        <v>100</v>
      </c>
      <c r="P195" s="4" t="b">
        <f t="shared" ref="P195:P258" si="3">C195&lt;($Q$1+1)</f>
        <v>0</v>
      </c>
    </row>
    <row r="196" spans="1:16" x14ac:dyDescent="0.2">
      <c r="A196" t="s">
        <v>15</v>
      </c>
      <c r="B196" t="s">
        <v>1016</v>
      </c>
      <c r="C196">
        <v>203</v>
      </c>
      <c r="D196">
        <v>130847</v>
      </c>
      <c r="E196" t="s">
        <v>255</v>
      </c>
      <c r="F196" t="s">
        <v>73</v>
      </c>
      <c r="G196" t="s">
        <v>18</v>
      </c>
      <c r="H196" t="s">
        <v>28</v>
      </c>
      <c r="I196" t="s">
        <v>20</v>
      </c>
      <c r="J196">
        <v>7</v>
      </c>
      <c r="K196">
        <v>0.03</v>
      </c>
      <c r="L196">
        <v>1</v>
      </c>
      <c r="M196">
        <v>1</v>
      </c>
      <c r="N196">
        <v>1</v>
      </c>
      <c r="O196">
        <v>100</v>
      </c>
      <c r="P196" s="4" t="b">
        <f t="shared" si="3"/>
        <v>0</v>
      </c>
    </row>
    <row r="197" spans="1:16" x14ac:dyDescent="0.2">
      <c r="A197" t="s">
        <v>15</v>
      </c>
      <c r="B197" t="s">
        <v>1016</v>
      </c>
      <c r="C197">
        <v>204</v>
      </c>
      <c r="D197">
        <v>130506</v>
      </c>
      <c r="E197" t="s">
        <v>252</v>
      </c>
      <c r="F197" t="s">
        <v>68</v>
      </c>
      <c r="G197" t="s">
        <v>18</v>
      </c>
      <c r="H197" t="s">
        <v>28</v>
      </c>
      <c r="I197" t="s">
        <v>56</v>
      </c>
      <c r="J197">
        <v>6</v>
      </c>
      <c r="K197">
        <v>0.03</v>
      </c>
      <c r="L197">
        <v>1</v>
      </c>
      <c r="M197">
        <v>1</v>
      </c>
      <c r="N197">
        <v>1</v>
      </c>
      <c r="O197">
        <v>100</v>
      </c>
      <c r="P197" s="4" t="b">
        <f t="shared" si="3"/>
        <v>0</v>
      </c>
    </row>
    <row r="198" spans="1:16" x14ac:dyDescent="0.2">
      <c r="A198" t="s">
        <v>15</v>
      </c>
      <c r="B198" t="s">
        <v>1016</v>
      </c>
      <c r="C198">
        <v>205</v>
      </c>
      <c r="D198">
        <v>126576</v>
      </c>
      <c r="E198" t="s">
        <v>65</v>
      </c>
      <c r="F198" t="s">
        <v>22</v>
      </c>
      <c r="G198" t="s">
        <v>23</v>
      </c>
      <c r="H198" t="s">
        <v>22</v>
      </c>
      <c r="I198" t="s">
        <v>29</v>
      </c>
      <c r="J198">
        <v>3</v>
      </c>
      <c r="K198">
        <v>0.03</v>
      </c>
      <c r="L198">
        <v>1</v>
      </c>
      <c r="M198">
        <v>1</v>
      </c>
      <c r="N198">
        <v>1</v>
      </c>
      <c r="O198">
        <v>100</v>
      </c>
      <c r="P198" s="4" t="b">
        <f t="shared" si="3"/>
        <v>0</v>
      </c>
    </row>
    <row r="199" spans="1:16" x14ac:dyDescent="0.2">
      <c r="A199" t="s">
        <v>15</v>
      </c>
      <c r="B199" t="s">
        <v>1016</v>
      </c>
      <c r="C199">
        <v>206</v>
      </c>
      <c r="D199">
        <v>129829</v>
      </c>
      <c r="E199" t="s">
        <v>595</v>
      </c>
      <c r="F199" t="s">
        <v>190</v>
      </c>
      <c r="G199" t="s">
        <v>18</v>
      </c>
      <c r="H199" t="s">
        <v>55</v>
      </c>
      <c r="I199" t="s">
        <v>74</v>
      </c>
      <c r="J199">
        <v>6</v>
      </c>
      <c r="K199">
        <v>0.03</v>
      </c>
      <c r="L199">
        <v>1</v>
      </c>
      <c r="M199">
        <v>1</v>
      </c>
      <c r="N199">
        <v>1</v>
      </c>
      <c r="O199">
        <v>100</v>
      </c>
      <c r="P199" s="4" t="b">
        <f t="shared" si="3"/>
        <v>0</v>
      </c>
    </row>
    <row r="200" spans="1:16" x14ac:dyDescent="0.2">
      <c r="A200" t="s">
        <v>15</v>
      </c>
      <c r="B200" t="s">
        <v>1016</v>
      </c>
      <c r="C200">
        <v>207</v>
      </c>
      <c r="D200">
        <v>127396</v>
      </c>
      <c r="E200" t="s">
        <v>175</v>
      </c>
      <c r="F200" t="s">
        <v>58</v>
      </c>
      <c r="G200" t="s">
        <v>23</v>
      </c>
      <c r="H200" t="s">
        <v>28</v>
      </c>
      <c r="I200" t="s">
        <v>176</v>
      </c>
      <c r="J200">
        <v>6</v>
      </c>
      <c r="K200">
        <v>0.03</v>
      </c>
      <c r="L200">
        <v>1</v>
      </c>
      <c r="M200">
        <v>1</v>
      </c>
      <c r="N200">
        <v>1</v>
      </c>
      <c r="O200">
        <v>100</v>
      </c>
      <c r="P200" s="4" t="b">
        <f t="shared" si="3"/>
        <v>0</v>
      </c>
    </row>
    <row r="201" spans="1:16" x14ac:dyDescent="0.2">
      <c r="A201" t="s">
        <v>15</v>
      </c>
      <c r="B201" t="s">
        <v>1016</v>
      </c>
      <c r="C201">
        <v>208</v>
      </c>
      <c r="D201">
        <v>130590</v>
      </c>
      <c r="E201" t="s">
        <v>709</v>
      </c>
      <c r="F201" t="s">
        <v>238</v>
      </c>
      <c r="G201" t="s">
        <v>18</v>
      </c>
      <c r="H201" t="s">
        <v>28</v>
      </c>
      <c r="I201" t="s">
        <v>20</v>
      </c>
      <c r="J201">
        <v>6</v>
      </c>
      <c r="K201">
        <v>0.03</v>
      </c>
      <c r="L201">
        <v>1</v>
      </c>
      <c r="M201">
        <v>1</v>
      </c>
      <c r="N201">
        <v>1</v>
      </c>
      <c r="O201">
        <v>100</v>
      </c>
      <c r="P201" s="4" t="b">
        <f t="shared" si="3"/>
        <v>0</v>
      </c>
    </row>
    <row r="202" spans="1:16" x14ac:dyDescent="0.2">
      <c r="A202" t="s">
        <v>15</v>
      </c>
      <c r="B202" t="s">
        <v>1016</v>
      </c>
      <c r="C202">
        <v>209</v>
      </c>
      <c r="D202">
        <v>130070</v>
      </c>
      <c r="E202" t="s">
        <v>599</v>
      </c>
      <c r="F202" t="s">
        <v>202</v>
      </c>
      <c r="G202" t="s">
        <v>18</v>
      </c>
      <c r="H202" t="s">
        <v>55</v>
      </c>
      <c r="I202" t="s">
        <v>29</v>
      </c>
      <c r="J202">
        <v>6</v>
      </c>
      <c r="K202">
        <v>0.03</v>
      </c>
      <c r="L202">
        <v>1</v>
      </c>
      <c r="M202">
        <v>1</v>
      </c>
      <c r="N202">
        <v>1</v>
      </c>
      <c r="O202">
        <v>100</v>
      </c>
      <c r="P202" s="4" t="b">
        <f t="shared" si="3"/>
        <v>0</v>
      </c>
    </row>
    <row r="203" spans="1:16" x14ac:dyDescent="0.2">
      <c r="A203" t="s">
        <v>15</v>
      </c>
      <c r="B203" t="s">
        <v>1016</v>
      </c>
      <c r="C203">
        <v>210</v>
      </c>
      <c r="D203">
        <v>86986</v>
      </c>
      <c r="E203" t="s">
        <v>465</v>
      </c>
      <c r="F203" t="s">
        <v>242</v>
      </c>
      <c r="G203" t="s">
        <v>23</v>
      </c>
      <c r="H203" t="s">
        <v>55</v>
      </c>
      <c r="I203" t="s">
        <v>29</v>
      </c>
      <c r="J203">
        <v>3</v>
      </c>
      <c r="K203">
        <v>0.03</v>
      </c>
      <c r="L203">
        <v>1</v>
      </c>
      <c r="M203">
        <v>1</v>
      </c>
      <c r="N203">
        <v>1</v>
      </c>
      <c r="O203">
        <v>100</v>
      </c>
      <c r="P203" s="4" t="b">
        <f t="shared" si="3"/>
        <v>0</v>
      </c>
    </row>
    <row r="204" spans="1:16" x14ac:dyDescent="0.2">
      <c r="A204" t="s">
        <v>15</v>
      </c>
      <c r="B204" t="s">
        <v>1016</v>
      </c>
      <c r="C204">
        <v>211</v>
      </c>
      <c r="D204">
        <v>203114</v>
      </c>
      <c r="E204" t="s">
        <v>597</v>
      </c>
      <c r="F204" t="s">
        <v>96</v>
      </c>
      <c r="G204" t="s">
        <v>18</v>
      </c>
      <c r="H204" t="s">
        <v>55</v>
      </c>
      <c r="I204" t="s">
        <v>29</v>
      </c>
      <c r="J204">
        <v>15</v>
      </c>
      <c r="K204">
        <v>0.03</v>
      </c>
      <c r="L204">
        <v>1</v>
      </c>
      <c r="M204">
        <v>1</v>
      </c>
      <c r="N204">
        <v>1</v>
      </c>
      <c r="O204">
        <v>100</v>
      </c>
      <c r="P204" s="4" t="b">
        <f t="shared" si="3"/>
        <v>0</v>
      </c>
    </row>
    <row r="205" spans="1:16" x14ac:dyDescent="0.2">
      <c r="A205" t="s">
        <v>15</v>
      </c>
      <c r="B205" t="s">
        <v>1016</v>
      </c>
      <c r="C205">
        <v>212</v>
      </c>
      <c r="D205">
        <v>131002</v>
      </c>
      <c r="E205" t="s">
        <v>243</v>
      </c>
      <c r="F205" t="s">
        <v>17</v>
      </c>
      <c r="G205" t="s">
        <v>18</v>
      </c>
      <c r="H205" t="s">
        <v>19</v>
      </c>
      <c r="I205" t="s">
        <v>74</v>
      </c>
      <c r="J205">
        <v>13</v>
      </c>
      <c r="K205">
        <v>0.03</v>
      </c>
      <c r="L205">
        <v>1</v>
      </c>
      <c r="M205">
        <v>1</v>
      </c>
      <c r="N205">
        <v>1</v>
      </c>
      <c r="O205">
        <v>100</v>
      </c>
      <c r="P205" s="4" t="b">
        <f t="shared" si="3"/>
        <v>0</v>
      </c>
    </row>
    <row r="206" spans="1:16" x14ac:dyDescent="0.2">
      <c r="A206" t="s">
        <v>15</v>
      </c>
      <c r="B206" t="s">
        <v>1016</v>
      </c>
      <c r="C206">
        <v>213</v>
      </c>
      <c r="D206">
        <v>69892</v>
      </c>
      <c r="E206" t="s">
        <v>120</v>
      </c>
      <c r="F206" t="s">
        <v>31</v>
      </c>
      <c r="G206" t="s">
        <v>23</v>
      </c>
      <c r="H206" t="s">
        <v>19</v>
      </c>
      <c r="I206" t="s">
        <v>29</v>
      </c>
      <c r="J206">
        <v>5</v>
      </c>
      <c r="K206">
        <v>0.03</v>
      </c>
      <c r="L206">
        <v>1</v>
      </c>
      <c r="M206">
        <v>1</v>
      </c>
      <c r="N206">
        <v>1</v>
      </c>
      <c r="O206">
        <v>100</v>
      </c>
      <c r="P206" s="4" t="b">
        <f t="shared" si="3"/>
        <v>0</v>
      </c>
    </row>
    <row r="207" spans="1:16" x14ac:dyDescent="0.2">
      <c r="A207" t="s">
        <v>15</v>
      </c>
      <c r="B207" t="s">
        <v>1016</v>
      </c>
      <c r="C207">
        <v>214</v>
      </c>
      <c r="D207">
        <v>131076</v>
      </c>
      <c r="E207" t="s">
        <v>249</v>
      </c>
      <c r="F207" t="s">
        <v>17</v>
      </c>
      <c r="G207" t="s">
        <v>18</v>
      </c>
      <c r="H207" t="s">
        <v>19</v>
      </c>
      <c r="I207" t="s">
        <v>29</v>
      </c>
      <c r="J207">
        <v>14</v>
      </c>
      <c r="K207">
        <v>0.03</v>
      </c>
      <c r="L207">
        <v>1</v>
      </c>
      <c r="M207">
        <v>1</v>
      </c>
      <c r="N207">
        <v>1</v>
      </c>
      <c r="O207">
        <v>100</v>
      </c>
      <c r="P207" s="4" t="b">
        <f t="shared" si="3"/>
        <v>0</v>
      </c>
    </row>
    <row r="208" spans="1:16" x14ac:dyDescent="0.2">
      <c r="A208" t="s">
        <v>15</v>
      </c>
      <c r="B208" t="s">
        <v>1016</v>
      </c>
      <c r="C208">
        <v>215</v>
      </c>
      <c r="D208">
        <v>123648</v>
      </c>
      <c r="E208" t="s">
        <v>281</v>
      </c>
      <c r="F208" t="s">
        <v>78</v>
      </c>
      <c r="G208" t="s">
        <v>18</v>
      </c>
      <c r="H208" t="s">
        <v>28</v>
      </c>
      <c r="I208" t="s">
        <v>29</v>
      </c>
      <c r="J208">
        <v>7</v>
      </c>
      <c r="K208">
        <v>0.03</v>
      </c>
      <c r="L208">
        <v>1</v>
      </c>
      <c r="M208">
        <v>1</v>
      </c>
      <c r="N208">
        <v>1</v>
      </c>
      <c r="O208">
        <v>100</v>
      </c>
      <c r="P208" s="4" t="b">
        <f t="shared" si="3"/>
        <v>0</v>
      </c>
    </row>
    <row r="209" spans="1:16" x14ac:dyDescent="0.2">
      <c r="A209" t="s">
        <v>15</v>
      </c>
      <c r="B209" t="s">
        <v>1016</v>
      </c>
      <c r="C209">
        <v>216</v>
      </c>
      <c r="D209">
        <v>126944</v>
      </c>
      <c r="E209" t="s">
        <v>295</v>
      </c>
      <c r="F209" t="s">
        <v>148</v>
      </c>
      <c r="G209" t="s">
        <v>23</v>
      </c>
      <c r="H209" t="s">
        <v>39</v>
      </c>
      <c r="I209" t="s">
        <v>29</v>
      </c>
      <c r="J209">
        <v>4</v>
      </c>
      <c r="K209">
        <v>3.3330000000000002</v>
      </c>
      <c r="L209">
        <v>4</v>
      </c>
      <c r="M209">
        <v>3</v>
      </c>
      <c r="N209">
        <v>3</v>
      </c>
      <c r="O209">
        <v>3</v>
      </c>
      <c r="P209" s="4" t="b">
        <f t="shared" si="3"/>
        <v>0</v>
      </c>
    </row>
    <row r="210" spans="1:16" x14ac:dyDescent="0.2">
      <c r="A210" t="s">
        <v>15</v>
      </c>
      <c r="B210" t="s">
        <v>1016</v>
      </c>
      <c r="C210">
        <v>217</v>
      </c>
      <c r="D210">
        <v>130044</v>
      </c>
      <c r="E210" t="s">
        <v>244</v>
      </c>
      <c r="F210" t="s">
        <v>54</v>
      </c>
      <c r="G210" t="s">
        <v>18</v>
      </c>
      <c r="H210" t="s">
        <v>55</v>
      </c>
      <c r="I210" t="s">
        <v>29</v>
      </c>
      <c r="J210">
        <v>7</v>
      </c>
      <c r="K210">
        <v>0.03</v>
      </c>
      <c r="L210">
        <v>1</v>
      </c>
      <c r="M210">
        <v>1</v>
      </c>
      <c r="N210">
        <v>1</v>
      </c>
      <c r="O210">
        <v>100</v>
      </c>
      <c r="P210" s="4" t="b">
        <f t="shared" si="3"/>
        <v>0</v>
      </c>
    </row>
    <row r="211" spans="1:16" x14ac:dyDescent="0.2">
      <c r="A211" t="s">
        <v>15</v>
      </c>
      <c r="B211" t="s">
        <v>1016</v>
      </c>
      <c r="C211">
        <v>218</v>
      </c>
      <c r="D211">
        <v>130664</v>
      </c>
      <c r="E211" t="s">
        <v>182</v>
      </c>
      <c r="F211" t="s">
        <v>44</v>
      </c>
      <c r="G211" t="s">
        <v>18</v>
      </c>
      <c r="H211" t="s">
        <v>39</v>
      </c>
      <c r="I211" t="s">
        <v>29</v>
      </c>
      <c r="J211">
        <v>8</v>
      </c>
      <c r="K211">
        <v>0.03</v>
      </c>
      <c r="L211">
        <v>1</v>
      </c>
      <c r="M211">
        <v>1</v>
      </c>
      <c r="N211">
        <v>1</v>
      </c>
      <c r="O211">
        <v>100</v>
      </c>
      <c r="P211" s="4" t="b">
        <f t="shared" si="3"/>
        <v>0</v>
      </c>
    </row>
    <row r="212" spans="1:16" x14ac:dyDescent="0.2">
      <c r="A212" t="s">
        <v>15</v>
      </c>
      <c r="B212" t="s">
        <v>1016</v>
      </c>
      <c r="C212">
        <v>219</v>
      </c>
      <c r="D212">
        <v>126474</v>
      </c>
      <c r="E212" t="s">
        <v>428</v>
      </c>
      <c r="F212" t="s">
        <v>219</v>
      </c>
      <c r="G212" t="s">
        <v>23</v>
      </c>
      <c r="H212" t="s">
        <v>28</v>
      </c>
      <c r="I212" t="s">
        <v>29</v>
      </c>
      <c r="J212">
        <v>5</v>
      </c>
      <c r="K212">
        <v>0.03</v>
      </c>
      <c r="L212">
        <v>1</v>
      </c>
      <c r="M212">
        <v>1</v>
      </c>
      <c r="N212">
        <v>1</v>
      </c>
      <c r="O212">
        <v>100</v>
      </c>
      <c r="P212" s="4" t="b">
        <f t="shared" si="3"/>
        <v>0</v>
      </c>
    </row>
    <row r="213" spans="1:16" x14ac:dyDescent="0.2">
      <c r="A213" t="s">
        <v>15</v>
      </c>
      <c r="B213" t="s">
        <v>1016</v>
      </c>
      <c r="C213">
        <v>220</v>
      </c>
      <c r="D213">
        <v>50493</v>
      </c>
      <c r="E213" t="s">
        <v>283</v>
      </c>
      <c r="F213" t="s">
        <v>58</v>
      </c>
      <c r="G213" t="s">
        <v>18</v>
      </c>
      <c r="H213" t="s">
        <v>28</v>
      </c>
      <c r="I213" t="s">
        <v>29</v>
      </c>
      <c r="J213">
        <v>52</v>
      </c>
      <c r="K213">
        <v>0.03</v>
      </c>
      <c r="L213">
        <v>1</v>
      </c>
      <c r="M213">
        <v>1</v>
      </c>
      <c r="N213">
        <v>1</v>
      </c>
      <c r="O213">
        <v>100</v>
      </c>
      <c r="P213" s="4" t="b">
        <f t="shared" si="3"/>
        <v>0</v>
      </c>
    </row>
    <row r="214" spans="1:16" x14ac:dyDescent="0.2">
      <c r="A214" t="s">
        <v>15</v>
      </c>
      <c r="B214" t="s">
        <v>1016</v>
      </c>
      <c r="C214">
        <v>221</v>
      </c>
      <c r="D214">
        <v>131024</v>
      </c>
      <c r="E214" t="s">
        <v>279</v>
      </c>
      <c r="F214" t="s">
        <v>73</v>
      </c>
      <c r="G214" t="s">
        <v>18</v>
      </c>
      <c r="H214" t="s">
        <v>28</v>
      </c>
      <c r="I214" t="s">
        <v>83</v>
      </c>
      <c r="J214">
        <v>8</v>
      </c>
      <c r="K214">
        <v>0.03</v>
      </c>
      <c r="L214">
        <v>1</v>
      </c>
      <c r="M214">
        <v>1</v>
      </c>
      <c r="N214">
        <v>1</v>
      </c>
      <c r="O214">
        <v>100</v>
      </c>
      <c r="P214" s="4" t="b">
        <f t="shared" si="3"/>
        <v>0</v>
      </c>
    </row>
    <row r="215" spans="1:16" x14ac:dyDescent="0.2">
      <c r="A215" t="s">
        <v>15</v>
      </c>
      <c r="B215" t="s">
        <v>1016</v>
      </c>
      <c r="C215">
        <v>222</v>
      </c>
      <c r="D215">
        <v>203901</v>
      </c>
      <c r="E215" t="s">
        <v>467</v>
      </c>
      <c r="F215" t="s">
        <v>193</v>
      </c>
      <c r="G215" t="s">
        <v>23</v>
      </c>
      <c r="H215" t="s">
        <v>55</v>
      </c>
      <c r="I215" t="s">
        <v>20</v>
      </c>
      <c r="J215">
        <v>8</v>
      </c>
      <c r="K215">
        <v>0.03</v>
      </c>
      <c r="L215">
        <v>1</v>
      </c>
      <c r="M215">
        <v>1</v>
      </c>
      <c r="N215">
        <v>1</v>
      </c>
      <c r="O215">
        <v>100</v>
      </c>
      <c r="P215" s="4" t="b">
        <f t="shared" si="3"/>
        <v>0</v>
      </c>
    </row>
    <row r="216" spans="1:16" x14ac:dyDescent="0.2">
      <c r="A216" t="s">
        <v>15</v>
      </c>
      <c r="B216" t="s">
        <v>1016</v>
      </c>
      <c r="C216">
        <v>223</v>
      </c>
      <c r="D216">
        <v>130372</v>
      </c>
      <c r="E216" t="s">
        <v>277</v>
      </c>
      <c r="F216" t="s">
        <v>68</v>
      </c>
      <c r="G216" t="s">
        <v>18</v>
      </c>
      <c r="H216" t="s">
        <v>28</v>
      </c>
      <c r="I216" t="s">
        <v>56</v>
      </c>
      <c r="J216">
        <v>7</v>
      </c>
      <c r="K216">
        <v>0.03</v>
      </c>
      <c r="L216">
        <v>1</v>
      </c>
      <c r="M216">
        <v>1</v>
      </c>
      <c r="N216">
        <v>1</v>
      </c>
      <c r="O216">
        <v>100</v>
      </c>
      <c r="P216" s="4" t="b">
        <f t="shared" si="3"/>
        <v>0</v>
      </c>
    </row>
    <row r="217" spans="1:16" x14ac:dyDescent="0.2">
      <c r="A217" t="s">
        <v>15</v>
      </c>
      <c r="B217" t="s">
        <v>1016</v>
      </c>
      <c r="C217">
        <v>224</v>
      </c>
      <c r="D217">
        <v>42676</v>
      </c>
      <c r="E217" t="s">
        <v>297</v>
      </c>
      <c r="F217" t="s">
        <v>62</v>
      </c>
      <c r="G217" t="s">
        <v>23</v>
      </c>
      <c r="H217" t="s">
        <v>39</v>
      </c>
      <c r="I217" t="s">
        <v>20</v>
      </c>
      <c r="J217">
        <v>5</v>
      </c>
      <c r="K217">
        <v>0.03</v>
      </c>
      <c r="L217">
        <v>1</v>
      </c>
      <c r="M217">
        <v>1</v>
      </c>
      <c r="N217">
        <v>1</v>
      </c>
      <c r="O217">
        <v>100</v>
      </c>
      <c r="P217" s="4" t="b">
        <f t="shared" si="3"/>
        <v>0</v>
      </c>
    </row>
    <row r="218" spans="1:16" x14ac:dyDescent="0.2">
      <c r="A218" t="s">
        <v>15</v>
      </c>
      <c r="B218" t="s">
        <v>1016</v>
      </c>
      <c r="C218">
        <v>225</v>
      </c>
      <c r="D218">
        <v>130832</v>
      </c>
      <c r="E218" t="s">
        <v>663</v>
      </c>
      <c r="F218" t="s">
        <v>190</v>
      </c>
      <c r="G218" t="s">
        <v>18</v>
      </c>
      <c r="H218" t="s">
        <v>55</v>
      </c>
      <c r="I218" t="s">
        <v>20</v>
      </c>
      <c r="J218">
        <v>7</v>
      </c>
      <c r="K218">
        <v>0.03</v>
      </c>
      <c r="L218">
        <v>1</v>
      </c>
      <c r="M218">
        <v>1</v>
      </c>
      <c r="N218">
        <v>1</v>
      </c>
      <c r="O218">
        <v>100</v>
      </c>
      <c r="P218" s="4" t="b">
        <f t="shared" si="3"/>
        <v>0</v>
      </c>
    </row>
    <row r="219" spans="1:16" x14ac:dyDescent="0.2">
      <c r="A219" t="s">
        <v>15</v>
      </c>
      <c r="B219" t="s">
        <v>1016</v>
      </c>
      <c r="C219">
        <v>226</v>
      </c>
      <c r="D219">
        <v>130604</v>
      </c>
      <c r="E219" t="s">
        <v>775</v>
      </c>
      <c r="F219" t="s">
        <v>238</v>
      </c>
      <c r="G219" t="s">
        <v>18</v>
      </c>
      <c r="H219" t="s">
        <v>28</v>
      </c>
      <c r="I219" t="s">
        <v>29</v>
      </c>
      <c r="J219">
        <v>7</v>
      </c>
      <c r="K219">
        <v>0.03</v>
      </c>
      <c r="L219">
        <v>1</v>
      </c>
      <c r="M219">
        <v>1</v>
      </c>
      <c r="N219">
        <v>1</v>
      </c>
      <c r="O219">
        <v>100</v>
      </c>
      <c r="P219" s="4" t="b">
        <f t="shared" si="3"/>
        <v>0</v>
      </c>
    </row>
    <row r="220" spans="1:16" x14ac:dyDescent="0.2">
      <c r="A220" t="s">
        <v>15</v>
      </c>
      <c r="B220" t="s">
        <v>1016</v>
      </c>
      <c r="C220">
        <v>227</v>
      </c>
      <c r="D220">
        <v>173104</v>
      </c>
      <c r="E220" t="s">
        <v>426</v>
      </c>
      <c r="F220" t="s">
        <v>215</v>
      </c>
      <c r="G220" t="s">
        <v>23</v>
      </c>
      <c r="H220" t="s">
        <v>28</v>
      </c>
      <c r="I220" t="s">
        <v>20</v>
      </c>
      <c r="J220">
        <v>3</v>
      </c>
      <c r="K220">
        <v>0.03</v>
      </c>
      <c r="L220">
        <v>1</v>
      </c>
      <c r="M220">
        <v>1</v>
      </c>
      <c r="N220">
        <v>1</v>
      </c>
      <c r="O220">
        <v>100</v>
      </c>
      <c r="P220" s="4" t="b">
        <f t="shared" si="3"/>
        <v>0</v>
      </c>
    </row>
    <row r="221" spans="1:16" x14ac:dyDescent="0.2">
      <c r="A221" t="s">
        <v>15</v>
      </c>
      <c r="B221" t="s">
        <v>1016</v>
      </c>
      <c r="C221">
        <v>228</v>
      </c>
      <c r="D221">
        <v>130079</v>
      </c>
      <c r="E221" t="s">
        <v>665</v>
      </c>
      <c r="F221" t="s">
        <v>202</v>
      </c>
      <c r="G221" t="s">
        <v>18</v>
      </c>
      <c r="H221" t="s">
        <v>55</v>
      </c>
      <c r="I221" t="s">
        <v>29</v>
      </c>
      <c r="J221">
        <v>7</v>
      </c>
      <c r="K221">
        <v>0.03</v>
      </c>
      <c r="L221">
        <v>1</v>
      </c>
      <c r="M221">
        <v>1</v>
      </c>
      <c r="N221">
        <v>1</v>
      </c>
      <c r="O221">
        <v>100</v>
      </c>
      <c r="P221" s="4" t="b">
        <f t="shared" si="3"/>
        <v>0</v>
      </c>
    </row>
    <row r="222" spans="1:16" x14ac:dyDescent="0.2">
      <c r="A222" t="s">
        <v>15</v>
      </c>
      <c r="B222" t="s">
        <v>1016</v>
      </c>
      <c r="C222">
        <v>229</v>
      </c>
      <c r="D222">
        <v>131077</v>
      </c>
      <c r="E222" t="s">
        <v>262</v>
      </c>
      <c r="F222" t="s">
        <v>17</v>
      </c>
      <c r="G222" t="s">
        <v>18</v>
      </c>
      <c r="H222" t="s">
        <v>19</v>
      </c>
      <c r="I222" t="s">
        <v>29</v>
      </c>
      <c r="J222">
        <v>15</v>
      </c>
      <c r="K222">
        <v>0.03</v>
      </c>
      <c r="L222">
        <v>1</v>
      </c>
      <c r="M222">
        <v>1</v>
      </c>
      <c r="N222">
        <v>1</v>
      </c>
      <c r="O222">
        <v>100</v>
      </c>
      <c r="P222" s="4" t="b">
        <f t="shared" si="3"/>
        <v>0</v>
      </c>
    </row>
    <row r="223" spans="1:16" x14ac:dyDescent="0.2">
      <c r="A223" t="s">
        <v>15</v>
      </c>
      <c r="B223" t="s">
        <v>1016</v>
      </c>
      <c r="C223">
        <v>230</v>
      </c>
      <c r="D223">
        <v>59256</v>
      </c>
      <c r="E223" t="s">
        <v>474</v>
      </c>
      <c r="F223" t="s">
        <v>264</v>
      </c>
      <c r="G223" t="s">
        <v>23</v>
      </c>
      <c r="H223" t="s">
        <v>55</v>
      </c>
      <c r="I223" t="s">
        <v>29</v>
      </c>
      <c r="J223">
        <v>3</v>
      </c>
      <c r="K223">
        <v>0.03</v>
      </c>
      <c r="L223">
        <v>1</v>
      </c>
      <c r="M223">
        <v>1</v>
      </c>
      <c r="N223">
        <v>1</v>
      </c>
      <c r="O223">
        <v>100</v>
      </c>
      <c r="P223" s="4" t="b">
        <f t="shared" si="3"/>
        <v>0</v>
      </c>
    </row>
    <row r="224" spans="1:16" x14ac:dyDescent="0.2">
      <c r="A224" t="s">
        <v>15</v>
      </c>
      <c r="B224" t="s">
        <v>1016</v>
      </c>
      <c r="C224">
        <v>231</v>
      </c>
      <c r="D224">
        <v>131075</v>
      </c>
      <c r="E224" t="s">
        <v>271</v>
      </c>
      <c r="F224" t="s">
        <v>17</v>
      </c>
      <c r="G224" t="s">
        <v>18</v>
      </c>
      <c r="H224" t="s">
        <v>19</v>
      </c>
      <c r="I224" t="s">
        <v>29</v>
      </c>
      <c r="J224">
        <v>16</v>
      </c>
      <c r="K224">
        <v>0.03</v>
      </c>
      <c r="L224">
        <v>1</v>
      </c>
      <c r="M224">
        <v>1</v>
      </c>
      <c r="N224">
        <v>1</v>
      </c>
      <c r="O224">
        <v>100</v>
      </c>
      <c r="P224" s="4" t="b">
        <f t="shared" si="3"/>
        <v>0</v>
      </c>
    </row>
    <row r="225" spans="1:16" x14ac:dyDescent="0.2">
      <c r="A225" t="s">
        <v>15</v>
      </c>
      <c r="B225" t="s">
        <v>1016</v>
      </c>
      <c r="C225">
        <v>232</v>
      </c>
      <c r="D225">
        <v>126044</v>
      </c>
      <c r="E225" t="s">
        <v>309</v>
      </c>
      <c r="F225" t="s">
        <v>78</v>
      </c>
      <c r="G225" t="s">
        <v>18</v>
      </c>
      <c r="H225" t="s">
        <v>28</v>
      </c>
      <c r="I225" t="s">
        <v>29</v>
      </c>
      <c r="J225">
        <v>8</v>
      </c>
      <c r="K225">
        <v>0.03</v>
      </c>
      <c r="L225">
        <v>1</v>
      </c>
      <c r="M225">
        <v>1</v>
      </c>
      <c r="N225">
        <v>1</v>
      </c>
      <c r="O225">
        <v>100</v>
      </c>
      <c r="P225" s="4" t="b">
        <f t="shared" si="3"/>
        <v>0</v>
      </c>
    </row>
    <row r="226" spans="1:16" x14ac:dyDescent="0.2">
      <c r="A226" t="s">
        <v>15</v>
      </c>
      <c r="B226" t="s">
        <v>1016</v>
      </c>
      <c r="C226">
        <v>233</v>
      </c>
      <c r="D226">
        <v>193041</v>
      </c>
      <c r="E226" t="s">
        <v>293</v>
      </c>
      <c r="F226" t="s">
        <v>165</v>
      </c>
      <c r="G226" t="s">
        <v>23</v>
      </c>
      <c r="H226" t="s">
        <v>39</v>
      </c>
      <c r="I226" t="s">
        <v>29</v>
      </c>
      <c r="J226">
        <v>3</v>
      </c>
      <c r="K226">
        <v>0.03</v>
      </c>
      <c r="L226">
        <v>1</v>
      </c>
      <c r="M226">
        <v>1</v>
      </c>
      <c r="N226">
        <v>1</v>
      </c>
      <c r="O226">
        <v>100</v>
      </c>
      <c r="P226" s="4" t="b">
        <f t="shared" si="3"/>
        <v>0</v>
      </c>
    </row>
    <row r="227" spans="1:16" x14ac:dyDescent="0.2">
      <c r="A227" t="s">
        <v>15</v>
      </c>
      <c r="B227" t="s">
        <v>1016</v>
      </c>
      <c r="C227">
        <v>234</v>
      </c>
      <c r="D227">
        <v>129465</v>
      </c>
      <c r="E227" t="s">
        <v>268</v>
      </c>
      <c r="F227" t="s">
        <v>54</v>
      </c>
      <c r="G227" t="s">
        <v>18</v>
      </c>
      <c r="H227" t="s">
        <v>55</v>
      </c>
      <c r="I227" t="s">
        <v>56</v>
      </c>
      <c r="J227">
        <v>8</v>
      </c>
      <c r="K227">
        <v>0.03</v>
      </c>
      <c r="L227">
        <v>1</v>
      </c>
      <c r="M227">
        <v>1</v>
      </c>
      <c r="N227">
        <v>1</v>
      </c>
      <c r="O227">
        <v>100</v>
      </c>
      <c r="P227" s="4" t="b">
        <f t="shared" si="3"/>
        <v>0</v>
      </c>
    </row>
    <row r="228" spans="1:16" x14ac:dyDescent="0.2">
      <c r="A228" t="s">
        <v>15</v>
      </c>
      <c r="B228" t="s">
        <v>1016</v>
      </c>
      <c r="C228">
        <v>235</v>
      </c>
      <c r="D228">
        <v>130361</v>
      </c>
      <c r="E228" t="s">
        <v>211</v>
      </c>
      <c r="F228" t="s">
        <v>44</v>
      </c>
      <c r="G228" t="s">
        <v>18</v>
      </c>
      <c r="H228" t="s">
        <v>39</v>
      </c>
      <c r="I228" t="s">
        <v>56</v>
      </c>
      <c r="J228">
        <v>9</v>
      </c>
      <c r="K228">
        <v>0.03</v>
      </c>
      <c r="L228">
        <v>1</v>
      </c>
      <c r="M228">
        <v>1</v>
      </c>
      <c r="N228">
        <v>1</v>
      </c>
      <c r="O228">
        <v>100</v>
      </c>
      <c r="P228" s="4" t="b">
        <f t="shared" si="3"/>
        <v>0</v>
      </c>
    </row>
    <row r="229" spans="1:16" x14ac:dyDescent="0.2">
      <c r="A229" t="s">
        <v>15</v>
      </c>
      <c r="B229" t="s">
        <v>1016</v>
      </c>
      <c r="C229">
        <v>236</v>
      </c>
      <c r="D229">
        <v>51747</v>
      </c>
      <c r="E229" t="s">
        <v>472</v>
      </c>
      <c r="F229" t="s">
        <v>261</v>
      </c>
      <c r="G229" t="s">
        <v>23</v>
      </c>
      <c r="H229" t="s">
        <v>55</v>
      </c>
      <c r="I229" t="s">
        <v>29</v>
      </c>
      <c r="J229">
        <v>5</v>
      </c>
      <c r="K229">
        <v>0.03</v>
      </c>
      <c r="L229">
        <v>1</v>
      </c>
      <c r="M229">
        <v>1</v>
      </c>
      <c r="N229">
        <v>1</v>
      </c>
      <c r="O229">
        <v>100</v>
      </c>
      <c r="P229" s="4" t="b">
        <f t="shared" si="3"/>
        <v>0</v>
      </c>
    </row>
    <row r="230" spans="1:16" x14ac:dyDescent="0.2">
      <c r="A230" t="s">
        <v>15</v>
      </c>
      <c r="B230" t="s">
        <v>1016</v>
      </c>
      <c r="C230">
        <v>237</v>
      </c>
      <c r="D230">
        <v>155973</v>
      </c>
      <c r="E230" t="s">
        <v>311</v>
      </c>
      <c r="F230" t="s">
        <v>58</v>
      </c>
      <c r="G230" t="s">
        <v>18</v>
      </c>
      <c r="H230" t="s">
        <v>28</v>
      </c>
      <c r="I230" t="s">
        <v>29</v>
      </c>
      <c r="J230">
        <v>63</v>
      </c>
      <c r="K230">
        <v>0.03</v>
      </c>
      <c r="L230">
        <v>1</v>
      </c>
      <c r="M230">
        <v>1</v>
      </c>
      <c r="N230">
        <v>1</v>
      </c>
      <c r="O230">
        <v>100</v>
      </c>
      <c r="P230" s="4" t="b">
        <f t="shared" si="3"/>
        <v>0</v>
      </c>
    </row>
    <row r="231" spans="1:16" x14ac:dyDescent="0.2">
      <c r="A231" t="s">
        <v>15</v>
      </c>
      <c r="B231" t="s">
        <v>1016</v>
      </c>
      <c r="C231">
        <v>238</v>
      </c>
      <c r="D231">
        <v>70736</v>
      </c>
      <c r="E231" t="s">
        <v>191</v>
      </c>
      <c r="F231" t="s">
        <v>96</v>
      </c>
      <c r="G231" t="s">
        <v>23</v>
      </c>
      <c r="H231" t="s">
        <v>55</v>
      </c>
      <c r="I231" t="s">
        <v>176</v>
      </c>
      <c r="J231">
        <v>3</v>
      </c>
      <c r="K231">
        <v>0.03</v>
      </c>
      <c r="L231">
        <v>1</v>
      </c>
      <c r="M231">
        <v>1</v>
      </c>
      <c r="N231">
        <v>1</v>
      </c>
      <c r="O231">
        <v>100</v>
      </c>
      <c r="P231" s="4" t="b">
        <f t="shared" si="3"/>
        <v>0</v>
      </c>
    </row>
    <row r="232" spans="1:16" x14ac:dyDescent="0.2">
      <c r="A232" t="s">
        <v>15</v>
      </c>
      <c r="B232" t="s">
        <v>1016</v>
      </c>
      <c r="C232">
        <v>239</v>
      </c>
      <c r="D232">
        <v>129771</v>
      </c>
      <c r="E232" t="s">
        <v>307</v>
      </c>
      <c r="F232" t="s">
        <v>73</v>
      </c>
      <c r="G232" t="s">
        <v>18</v>
      </c>
      <c r="H232" t="s">
        <v>28</v>
      </c>
      <c r="I232" t="s">
        <v>83</v>
      </c>
      <c r="J232">
        <v>9</v>
      </c>
      <c r="K232">
        <v>0.03</v>
      </c>
      <c r="L232">
        <v>1</v>
      </c>
      <c r="M232">
        <v>1</v>
      </c>
      <c r="N232">
        <v>1</v>
      </c>
      <c r="O232">
        <v>100</v>
      </c>
      <c r="P232" s="4" t="b">
        <f t="shared" si="3"/>
        <v>0</v>
      </c>
    </row>
    <row r="233" spans="1:16" x14ac:dyDescent="0.2">
      <c r="A233" t="s">
        <v>15</v>
      </c>
      <c r="B233" t="s">
        <v>1016</v>
      </c>
      <c r="C233">
        <v>240</v>
      </c>
      <c r="D233">
        <v>132537</v>
      </c>
      <c r="E233" t="s">
        <v>305</v>
      </c>
      <c r="F233" t="s">
        <v>68</v>
      </c>
      <c r="G233" t="s">
        <v>18</v>
      </c>
      <c r="H233" t="s">
        <v>28</v>
      </c>
      <c r="I233" t="s">
        <v>29</v>
      </c>
      <c r="J233">
        <v>8</v>
      </c>
      <c r="K233">
        <v>0.03</v>
      </c>
      <c r="L233">
        <v>1</v>
      </c>
      <c r="M233">
        <v>1</v>
      </c>
      <c r="N233">
        <v>1</v>
      </c>
      <c r="O233">
        <v>100</v>
      </c>
      <c r="P233" s="4" t="b">
        <f t="shared" si="3"/>
        <v>0</v>
      </c>
    </row>
    <row r="234" spans="1:16" x14ac:dyDescent="0.2">
      <c r="A234" t="s">
        <v>15</v>
      </c>
      <c r="B234" t="s">
        <v>1016</v>
      </c>
      <c r="C234">
        <v>241</v>
      </c>
      <c r="D234">
        <v>128057</v>
      </c>
      <c r="E234" t="s">
        <v>476</v>
      </c>
      <c r="F234" t="s">
        <v>267</v>
      </c>
      <c r="G234" t="s">
        <v>23</v>
      </c>
      <c r="H234" t="s">
        <v>55</v>
      </c>
      <c r="I234" t="s">
        <v>29</v>
      </c>
      <c r="J234">
        <v>3</v>
      </c>
      <c r="K234">
        <v>0.03</v>
      </c>
      <c r="L234">
        <v>1</v>
      </c>
      <c r="M234">
        <v>1</v>
      </c>
      <c r="N234">
        <v>1</v>
      </c>
      <c r="O234">
        <v>100</v>
      </c>
      <c r="P234" s="4" t="b">
        <f t="shared" si="3"/>
        <v>0</v>
      </c>
    </row>
    <row r="235" spans="1:16" x14ac:dyDescent="0.2">
      <c r="A235" t="s">
        <v>15</v>
      </c>
      <c r="B235" t="s">
        <v>1016</v>
      </c>
      <c r="C235">
        <v>242</v>
      </c>
      <c r="D235">
        <v>129583</v>
      </c>
      <c r="E235" t="s">
        <v>730</v>
      </c>
      <c r="F235" t="s">
        <v>190</v>
      </c>
      <c r="G235" t="s">
        <v>18</v>
      </c>
      <c r="H235" t="s">
        <v>55</v>
      </c>
      <c r="I235" t="s">
        <v>20</v>
      </c>
      <c r="J235">
        <v>8</v>
      </c>
      <c r="K235">
        <v>0.03</v>
      </c>
      <c r="L235">
        <v>1</v>
      </c>
      <c r="M235">
        <v>1</v>
      </c>
      <c r="N235">
        <v>1</v>
      </c>
      <c r="O235">
        <v>100</v>
      </c>
      <c r="P235" s="4" t="b">
        <f t="shared" si="3"/>
        <v>0</v>
      </c>
    </row>
    <row r="236" spans="1:16" x14ac:dyDescent="0.2">
      <c r="A236" t="s">
        <v>15</v>
      </c>
      <c r="B236" t="s">
        <v>1016</v>
      </c>
      <c r="C236">
        <v>243</v>
      </c>
      <c r="D236">
        <v>130912</v>
      </c>
      <c r="E236" t="s">
        <v>801</v>
      </c>
      <c r="F236" t="s">
        <v>238</v>
      </c>
      <c r="G236" t="s">
        <v>18</v>
      </c>
      <c r="H236" t="s">
        <v>28</v>
      </c>
      <c r="I236" t="s">
        <v>29</v>
      </c>
      <c r="J236">
        <v>8</v>
      </c>
      <c r="K236">
        <v>0.03</v>
      </c>
      <c r="L236">
        <v>1</v>
      </c>
      <c r="M236">
        <v>1</v>
      </c>
      <c r="N236">
        <v>1</v>
      </c>
      <c r="O236">
        <v>100</v>
      </c>
      <c r="P236" s="4" t="b">
        <f t="shared" si="3"/>
        <v>0</v>
      </c>
    </row>
    <row r="237" spans="1:16" x14ac:dyDescent="0.2">
      <c r="A237" t="s">
        <v>15</v>
      </c>
      <c r="B237" t="s">
        <v>1016</v>
      </c>
      <c r="C237">
        <v>244</v>
      </c>
      <c r="D237">
        <v>96602</v>
      </c>
      <c r="E237" t="s">
        <v>470</v>
      </c>
      <c r="F237" t="s">
        <v>248</v>
      </c>
      <c r="G237" t="s">
        <v>23</v>
      </c>
      <c r="H237" t="s">
        <v>55</v>
      </c>
      <c r="I237" t="s">
        <v>29</v>
      </c>
      <c r="J237">
        <v>3</v>
      </c>
      <c r="K237">
        <v>0.03</v>
      </c>
      <c r="L237">
        <v>1</v>
      </c>
      <c r="M237">
        <v>1</v>
      </c>
      <c r="N237">
        <v>1</v>
      </c>
      <c r="O237">
        <v>100</v>
      </c>
      <c r="P237" s="4" t="b">
        <f t="shared" si="3"/>
        <v>0</v>
      </c>
    </row>
    <row r="238" spans="1:16" x14ac:dyDescent="0.2">
      <c r="A238" t="s">
        <v>15</v>
      </c>
      <c r="B238" t="s">
        <v>1016</v>
      </c>
      <c r="C238">
        <v>245</v>
      </c>
      <c r="D238">
        <v>130068</v>
      </c>
      <c r="E238" t="s">
        <v>732</v>
      </c>
      <c r="F238" t="s">
        <v>202</v>
      </c>
      <c r="G238" t="s">
        <v>18</v>
      </c>
      <c r="H238" t="s">
        <v>55</v>
      </c>
      <c r="I238" t="s">
        <v>29</v>
      </c>
      <c r="J238">
        <v>8</v>
      </c>
      <c r="K238">
        <v>0.03</v>
      </c>
      <c r="L238">
        <v>1</v>
      </c>
      <c r="M238">
        <v>1</v>
      </c>
      <c r="N238">
        <v>1</v>
      </c>
      <c r="O238">
        <v>100</v>
      </c>
      <c r="P238" s="4" t="b">
        <f t="shared" si="3"/>
        <v>0</v>
      </c>
    </row>
    <row r="239" spans="1:16" x14ac:dyDescent="0.2">
      <c r="A239" t="s">
        <v>15</v>
      </c>
      <c r="B239" t="s">
        <v>1016</v>
      </c>
      <c r="C239">
        <v>246</v>
      </c>
      <c r="D239">
        <v>130112</v>
      </c>
      <c r="E239" t="s">
        <v>276</v>
      </c>
      <c r="F239" t="s">
        <v>17</v>
      </c>
      <c r="G239" t="s">
        <v>18</v>
      </c>
      <c r="H239" t="s">
        <v>19</v>
      </c>
      <c r="I239" t="s">
        <v>29</v>
      </c>
      <c r="J239">
        <v>17</v>
      </c>
      <c r="K239">
        <v>0.03</v>
      </c>
      <c r="L239">
        <v>1</v>
      </c>
      <c r="M239">
        <v>1</v>
      </c>
      <c r="N239">
        <v>1</v>
      </c>
      <c r="O239">
        <v>100</v>
      </c>
      <c r="P239" s="4" t="b">
        <f t="shared" si="3"/>
        <v>0</v>
      </c>
    </row>
    <row r="240" spans="1:16" x14ac:dyDescent="0.2">
      <c r="A240" t="s">
        <v>15</v>
      </c>
      <c r="B240" t="s">
        <v>1016</v>
      </c>
      <c r="C240">
        <v>247</v>
      </c>
      <c r="D240">
        <v>127257</v>
      </c>
      <c r="E240" t="s">
        <v>194</v>
      </c>
      <c r="F240" t="s">
        <v>26</v>
      </c>
      <c r="G240" t="s">
        <v>23</v>
      </c>
      <c r="H240" t="s">
        <v>28</v>
      </c>
      <c r="I240" t="s">
        <v>29</v>
      </c>
      <c r="J240">
        <v>4</v>
      </c>
      <c r="K240">
        <v>0.03</v>
      </c>
      <c r="L240">
        <v>1</v>
      </c>
      <c r="M240">
        <v>1</v>
      </c>
      <c r="N240">
        <v>1</v>
      </c>
      <c r="O240">
        <v>100</v>
      </c>
      <c r="P240" s="4" t="b">
        <f t="shared" si="3"/>
        <v>0</v>
      </c>
    </row>
    <row r="241" spans="1:16" x14ac:dyDescent="0.2">
      <c r="A241" t="s">
        <v>15</v>
      </c>
      <c r="B241" t="s">
        <v>1016</v>
      </c>
      <c r="C241">
        <v>248</v>
      </c>
      <c r="D241">
        <v>130119</v>
      </c>
      <c r="E241" t="s">
        <v>288</v>
      </c>
      <c r="F241" t="s">
        <v>17</v>
      </c>
      <c r="G241" t="s">
        <v>18</v>
      </c>
      <c r="H241" t="s">
        <v>19</v>
      </c>
      <c r="I241" t="s">
        <v>29</v>
      </c>
      <c r="J241">
        <v>18</v>
      </c>
      <c r="K241">
        <v>0.03</v>
      </c>
      <c r="L241">
        <v>1</v>
      </c>
      <c r="M241">
        <v>1</v>
      </c>
      <c r="N241">
        <v>1</v>
      </c>
      <c r="O241">
        <v>100</v>
      </c>
      <c r="P241" s="4" t="b">
        <f t="shared" si="3"/>
        <v>0</v>
      </c>
    </row>
    <row r="242" spans="1:16" x14ac:dyDescent="0.2">
      <c r="A242" t="s">
        <v>15</v>
      </c>
      <c r="B242" t="s">
        <v>1016</v>
      </c>
      <c r="C242">
        <v>249</v>
      </c>
      <c r="D242">
        <v>84860</v>
      </c>
      <c r="E242" t="s">
        <v>325</v>
      </c>
      <c r="F242" t="s">
        <v>78</v>
      </c>
      <c r="G242" t="s">
        <v>18</v>
      </c>
      <c r="H242" t="s">
        <v>28</v>
      </c>
      <c r="I242" t="s">
        <v>20</v>
      </c>
      <c r="J242">
        <v>9</v>
      </c>
      <c r="K242">
        <v>0.03</v>
      </c>
      <c r="L242">
        <v>1</v>
      </c>
      <c r="M242">
        <v>1</v>
      </c>
      <c r="N242">
        <v>1</v>
      </c>
      <c r="O242">
        <v>100</v>
      </c>
      <c r="P242" s="4" t="b">
        <f t="shared" si="3"/>
        <v>0</v>
      </c>
    </row>
    <row r="243" spans="1:16" x14ac:dyDescent="0.2">
      <c r="A243" t="s">
        <v>15</v>
      </c>
      <c r="B243" t="s">
        <v>1016</v>
      </c>
      <c r="C243">
        <v>250</v>
      </c>
      <c r="D243">
        <v>104562</v>
      </c>
      <c r="E243" t="s">
        <v>156</v>
      </c>
      <c r="F243" t="s">
        <v>48</v>
      </c>
      <c r="G243" t="s">
        <v>23</v>
      </c>
      <c r="H243" t="s">
        <v>19</v>
      </c>
      <c r="I243" t="s">
        <v>20</v>
      </c>
      <c r="J243">
        <v>5</v>
      </c>
      <c r="K243">
        <v>0.03</v>
      </c>
      <c r="L243">
        <v>1</v>
      </c>
      <c r="M243">
        <v>1</v>
      </c>
      <c r="N243">
        <v>1</v>
      </c>
      <c r="O243">
        <v>100</v>
      </c>
      <c r="P243" s="4" t="b">
        <f t="shared" si="3"/>
        <v>0</v>
      </c>
    </row>
    <row r="244" spans="1:16" x14ac:dyDescent="0.2">
      <c r="A244" t="s">
        <v>15</v>
      </c>
      <c r="B244" t="s">
        <v>1016</v>
      </c>
      <c r="C244">
        <v>251</v>
      </c>
      <c r="D244">
        <v>129463</v>
      </c>
      <c r="E244" t="s">
        <v>287</v>
      </c>
      <c r="F244" t="s">
        <v>54</v>
      </c>
      <c r="G244" t="s">
        <v>18</v>
      </c>
      <c r="H244" t="s">
        <v>55</v>
      </c>
      <c r="I244" t="s">
        <v>56</v>
      </c>
      <c r="J244">
        <v>9</v>
      </c>
      <c r="K244">
        <v>0.03</v>
      </c>
      <c r="L244">
        <v>1</v>
      </c>
      <c r="M244">
        <v>1</v>
      </c>
      <c r="N244">
        <v>1</v>
      </c>
      <c r="O244">
        <v>100</v>
      </c>
      <c r="P244" s="4" t="b">
        <f t="shared" si="3"/>
        <v>0</v>
      </c>
    </row>
    <row r="245" spans="1:16" x14ac:dyDescent="0.2">
      <c r="A245" t="s">
        <v>15</v>
      </c>
      <c r="B245" t="s">
        <v>1016</v>
      </c>
      <c r="C245">
        <v>252</v>
      </c>
      <c r="D245">
        <v>130665</v>
      </c>
      <c r="E245" t="s">
        <v>217</v>
      </c>
      <c r="F245" t="s">
        <v>44</v>
      </c>
      <c r="G245" t="s">
        <v>18</v>
      </c>
      <c r="H245" t="s">
        <v>39</v>
      </c>
      <c r="I245" t="s">
        <v>29</v>
      </c>
      <c r="J245">
        <v>10</v>
      </c>
      <c r="K245">
        <v>0.03</v>
      </c>
      <c r="L245">
        <v>1</v>
      </c>
      <c r="M245">
        <v>1</v>
      </c>
      <c r="N245">
        <v>1</v>
      </c>
      <c r="O245">
        <v>100</v>
      </c>
      <c r="P245" s="4" t="b">
        <f t="shared" si="3"/>
        <v>0</v>
      </c>
    </row>
    <row r="246" spans="1:16" x14ac:dyDescent="0.2">
      <c r="A246" t="s">
        <v>15</v>
      </c>
      <c r="B246" t="s">
        <v>1016</v>
      </c>
      <c r="C246">
        <v>253</v>
      </c>
      <c r="D246">
        <v>88638</v>
      </c>
      <c r="E246" t="s">
        <v>206</v>
      </c>
      <c r="F246" t="s">
        <v>90</v>
      </c>
      <c r="G246" t="s">
        <v>23</v>
      </c>
      <c r="H246" t="s">
        <v>55</v>
      </c>
      <c r="I246" t="s">
        <v>29</v>
      </c>
      <c r="J246">
        <v>4</v>
      </c>
      <c r="K246">
        <v>0.03</v>
      </c>
      <c r="L246">
        <v>1</v>
      </c>
      <c r="M246">
        <v>1</v>
      </c>
      <c r="N246">
        <v>1</v>
      </c>
      <c r="O246">
        <v>100</v>
      </c>
      <c r="P246" s="4" t="b">
        <f t="shared" si="3"/>
        <v>0</v>
      </c>
    </row>
    <row r="247" spans="1:16" x14ac:dyDescent="0.2">
      <c r="A247" t="s">
        <v>15</v>
      </c>
      <c r="B247" t="s">
        <v>1016</v>
      </c>
      <c r="C247">
        <v>254</v>
      </c>
      <c r="D247">
        <v>155967</v>
      </c>
      <c r="E247" t="s">
        <v>327</v>
      </c>
      <c r="F247" t="s">
        <v>58</v>
      </c>
      <c r="G247" t="s">
        <v>18</v>
      </c>
      <c r="H247" t="s">
        <v>28</v>
      </c>
      <c r="I247" t="s">
        <v>29</v>
      </c>
      <c r="J247">
        <v>64</v>
      </c>
      <c r="K247">
        <v>0.03</v>
      </c>
      <c r="L247">
        <v>1</v>
      </c>
      <c r="M247">
        <v>1</v>
      </c>
      <c r="N247">
        <v>1</v>
      </c>
      <c r="O247">
        <v>100</v>
      </c>
      <c r="P247" s="4" t="b">
        <f t="shared" si="3"/>
        <v>0</v>
      </c>
    </row>
    <row r="248" spans="1:16" x14ac:dyDescent="0.2">
      <c r="A248" t="s">
        <v>15</v>
      </c>
      <c r="B248" t="s">
        <v>1016</v>
      </c>
      <c r="C248">
        <v>255</v>
      </c>
      <c r="D248">
        <v>135004</v>
      </c>
      <c r="E248" t="s">
        <v>140</v>
      </c>
      <c r="F248" t="s">
        <v>38</v>
      </c>
      <c r="G248" t="s">
        <v>23</v>
      </c>
      <c r="H248" t="s">
        <v>39</v>
      </c>
      <c r="I248" t="s">
        <v>83</v>
      </c>
      <c r="J248">
        <v>4</v>
      </c>
      <c r="K248">
        <v>0.03</v>
      </c>
      <c r="L248">
        <v>1</v>
      </c>
      <c r="M248">
        <v>1</v>
      </c>
      <c r="N248">
        <v>1</v>
      </c>
      <c r="O248">
        <v>100</v>
      </c>
      <c r="P248" s="4" t="b">
        <f t="shared" si="3"/>
        <v>0</v>
      </c>
    </row>
    <row r="249" spans="1:16" x14ac:dyDescent="0.2">
      <c r="A249" t="s">
        <v>15</v>
      </c>
      <c r="B249" t="s">
        <v>1016</v>
      </c>
      <c r="C249">
        <v>256</v>
      </c>
      <c r="D249">
        <v>130103</v>
      </c>
      <c r="E249" t="s">
        <v>324</v>
      </c>
      <c r="F249" t="s">
        <v>73</v>
      </c>
      <c r="G249" t="s">
        <v>18</v>
      </c>
      <c r="H249" t="s">
        <v>28</v>
      </c>
      <c r="I249" t="s">
        <v>20</v>
      </c>
      <c r="J249">
        <v>10</v>
      </c>
      <c r="K249">
        <v>0.03</v>
      </c>
      <c r="L249">
        <v>1</v>
      </c>
      <c r="M249">
        <v>1</v>
      </c>
      <c r="N249">
        <v>1</v>
      </c>
      <c r="O249">
        <v>100</v>
      </c>
      <c r="P249" s="4" t="b">
        <f t="shared" si="3"/>
        <v>0</v>
      </c>
    </row>
    <row r="250" spans="1:16" x14ac:dyDescent="0.2">
      <c r="A250" t="s">
        <v>15</v>
      </c>
      <c r="B250" t="s">
        <v>1016</v>
      </c>
      <c r="C250">
        <v>257</v>
      </c>
      <c r="D250">
        <v>130626</v>
      </c>
      <c r="E250" t="s">
        <v>322</v>
      </c>
      <c r="F250" t="s">
        <v>68</v>
      </c>
      <c r="G250" t="s">
        <v>18</v>
      </c>
      <c r="H250" t="s">
        <v>28</v>
      </c>
      <c r="I250" t="s">
        <v>29</v>
      </c>
      <c r="J250">
        <v>9</v>
      </c>
      <c r="K250">
        <v>0.03</v>
      </c>
      <c r="L250">
        <v>1</v>
      </c>
      <c r="M250">
        <v>1</v>
      </c>
      <c r="N250">
        <v>1</v>
      </c>
      <c r="O250">
        <v>100</v>
      </c>
      <c r="P250" s="4" t="b">
        <f t="shared" si="3"/>
        <v>0</v>
      </c>
    </row>
    <row r="251" spans="1:16" x14ac:dyDescent="0.2">
      <c r="A251" t="s">
        <v>15</v>
      </c>
      <c r="B251" t="s">
        <v>1016</v>
      </c>
      <c r="C251">
        <v>258</v>
      </c>
      <c r="D251">
        <v>41221</v>
      </c>
      <c r="E251" t="s">
        <v>85</v>
      </c>
      <c r="F251" t="s">
        <v>22</v>
      </c>
      <c r="G251" t="s">
        <v>23</v>
      </c>
      <c r="H251" t="s">
        <v>22</v>
      </c>
      <c r="I251" t="s">
        <v>20</v>
      </c>
      <c r="J251">
        <v>4</v>
      </c>
      <c r="K251">
        <v>0.03</v>
      </c>
      <c r="L251">
        <v>1</v>
      </c>
      <c r="M251">
        <v>1</v>
      </c>
      <c r="N251">
        <v>1</v>
      </c>
      <c r="O251">
        <v>100</v>
      </c>
      <c r="P251" s="4" t="b">
        <f t="shared" si="3"/>
        <v>0</v>
      </c>
    </row>
    <row r="252" spans="1:16" x14ac:dyDescent="0.2">
      <c r="A252" t="s">
        <v>15</v>
      </c>
      <c r="B252" t="s">
        <v>1016</v>
      </c>
      <c r="C252">
        <v>259</v>
      </c>
      <c r="D252">
        <v>130691</v>
      </c>
      <c r="E252" t="s">
        <v>778</v>
      </c>
      <c r="F252" t="s">
        <v>190</v>
      </c>
      <c r="G252" t="s">
        <v>18</v>
      </c>
      <c r="H252" t="s">
        <v>55</v>
      </c>
      <c r="I252" t="s">
        <v>56</v>
      </c>
      <c r="J252">
        <v>9</v>
      </c>
      <c r="K252">
        <v>0.03</v>
      </c>
      <c r="L252">
        <v>1</v>
      </c>
      <c r="M252">
        <v>1</v>
      </c>
      <c r="N252">
        <v>1</v>
      </c>
      <c r="O252">
        <v>100</v>
      </c>
      <c r="P252" s="4" t="b">
        <f t="shared" si="3"/>
        <v>0</v>
      </c>
    </row>
    <row r="253" spans="1:16" x14ac:dyDescent="0.2">
      <c r="A253" t="s">
        <v>15</v>
      </c>
      <c r="B253" t="s">
        <v>1016</v>
      </c>
      <c r="C253">
        <v>260</v>
      </c>
      <c r="D253">
        <v>136116</v>
      </c>
      <c r="E253" t="s">
        <v>820</v>
      </c>
      <c r="F253" t="s">
        <v>238</v>
      </c>
      <c r="G253" t="s">
        <v>18</v>
      </c>
      <c r="H253" t="s">
        <v>28</v>
      </c>
      <c r="I253" t="s">
        <v>20</v>
      </c>
      <c r="J253">
        <v>9</v>
      </c>
      <c r="K253">
        <v>0.03</v>
      </c>
      <c r="L253">
        <v>1</v>
      </c>
      <c r="M253">
        <v>1</v>
      </c>
      <c r="N253">
        <v>1</v>
      </c>
      <c r="O253">
        <v>100</v>
      </c>
      <c r="P253" s="4" t="b">
        <f t="shared" si="3"/>
        <v>0</v>
      </c>
    </row>
    <row r="254" spans="1:16" x14ac:dyDescent="0.2">
      <c r="A254" t="s">
        <v>15</v>
      </c>
      <c r="B254" t="s">
        <v>1016</v>
      </c>
      <c r="C254">
        <v>261</v>
      </c>
      <c r="D254">
        <v>101572</v>
      </c>
      <c r="E254" t="s">
        <v>198</v>
      </c>
      <c r="F254" t="s">
        <v>58</v>
      </c>
      <c r="G254" t="s">
        <v>23</v>
      </c>
      <c r="H254" t="s">
        <v>28</v>
      </c>
      <c r="I254" t="s">
        <v>20</v>
      </c>
      <c r="J254">
        <v>7</v>
      </c>
      <c r="K254">
        <v>0.03</v>
      </c>
      <c r="L254">
        <v>1</v>
      </c>
      <c r="M254">
        <v>1</v>
      </c>
      <c r="N254">
        <v>1</v>
      </c>
      <c r="O254">
        <v>100</v>
      </c>
      <c r="P254" s="4" t="b">
        <f t="shared" si="3"/>
        <v>0</v>
      </c>
    </row>
    <row r="255" spans="1:16" x14ac:dyDescent="0.2">
      <c r="A255" t="s">
        <v>15</v>
      </c>
      <c r="B255" t="s">
        <v>1016</v>
      </c>
      <c r="C255">
        <v>262</v>
      </c>
      <c r="D255">
        <v>129972</v>
      </c>
      <c r="E255" t="s">
        <v>779</v>
      </c>
      <c r="F255" t="s">
        <v>202</v>
      </c>
      <c r="G255" t="s">
        <v>18</v>
      </c>
      <c r="H255" t="s">
        <v>55</v>
      </c>
      <c r="I255" t="s">
        <v>29</v>
      </c>
      <c r="J255">
        <v>9</v>
      </c>
      <c r="K255">
        <v>0.03</v>
      </c>
      <c r="L255">
        <v>1</v>
      </c>
      <c r="M255">
        <v>1</v>
      </c>
      <c r="N255">
        <v>1</v>
      </c>
      <c r="O255">
        <v>100</v>
      </c>
      <c r="P255" s="4" t="b">
        <f t="shared" si="3"/>
        <v>0</v>
      </c>
    </row>
    <row r="256" spans="1:16" x14ac:dyDescent="0.2">
      <c r="A256" t="s">
        <v>15</v>
      </c>
      <c r="B256" t="s">
        <v>1016</v>
      </c>
      <c r="C256">
        <v>263</v>
      </c>
      <c r="D256">
        <v>130121</v>
      </c>
      <c r="E256" t="s">
        <v>294</v>
      </c>
      <c r="F256" t="s">
        <v>17</v>
      </c>
      <c r="G256" t="s">
        <v>18</v>
      </c>
      <c r="H256" t="s">
        <v>19</v>
      </c>
      <c r="I256" t="s">
        <v>29</v>
      </c>
      <c r="J256">
        <v>19</v>
      </c>
      <c r="K256">
        <v>0.03</v>
      </c>
      <c r="L256">
        <v>1</v>
      </c>
      <c r="M256">
        <v>1</v>
      </c>
      <c r="N256">
        <v>1</v>
      </c>
      <c r="O256">
        <v>100</v>
      </c>
      <c r="P256" s="4" t="b">
        <f t="shared" si="3"/>
        <v>0</v>
      </c>
    </row>
    <row r="257" spans="1:16" x14ac:dyDescent="0.2">
      <c r="A257" t="s">
        <v>15</v>
      </c>
      <c r="B257" t="s">
        <v>1016</v>
      </c>
      <c r="C257">
        <v>264</v>
      </c>
      <c r="D257">
        <v>46214</v>
      </c>
      <c r="E257" t="s">
        <v>539</v>
      </c>
      <c r="F257" t="s">
        <v>242</v>
      </c>
      <c r="G257" t="s">
        <v>23</v>
      </c>
      <c r="H257" t="s">
        <v>55</v>
      </c>
      <c r="I257" t="s">
        <v>29</v>
      </c>
      <c r="J257">
        <v>4</v>
      </c>
      <c r="K257">
        <v>0.03</v>
      </c>
      <c r="L257">
        <v>1</v>
      </c>
      <c r="M257">
        <v>1</v>
      </c>
      <c r="N257">
        <v>1</v>
      </c>
      <c r="O257">
        <v>100</v>
      </c>
      <c r="P257" s="4" t="b">
        <f t="shared" si="3"/>
        <v>0</v>
      </c>
    </row>
    <row r="258" spans="1:16" x14ac:dyDescent="0.2">
      <c r="A258" t="s">
        <v>15</v>
      </c>
      <c r="B258" t="s">
        <v>1016</v>
      </c>
      <c r="C258">
        <v>265</v>
      </c>
      <c r="D258">
        <v>129496</v>
      </c>
      <c r="E258" t="s">
        <v>314</v>
      </c>
      <c r="F258" t="s">
        <v>17</v>
      </c>
      <c r="G258" t="s">
        <v>18</v>
      </c>
      <c r="H258" t="s">
        <v>19</v>
      </c>
      <c r="I258" t="s">
        <v>20</v>
      </c>
      <c r="J258">
        <v>20</v>
      </c>
      <c r="K258">
        <v>0.03</v>
      </c>
      <c r="L258">
        <v>1</v>
      </c>
      <c r="M258">
        <v>1</v>
      </c>
      <c r="N258">
        <v>1</v>
      </c>
      <c r="O258">
        <v>100</v>
      </c>
      <c r="P258" s="4" t="b">
        <f t="shared" si="3"/>
        <v>0</v>
      </c>
    </row>
    <row r="259" spans="1:16" x14ac:dyDescent="0.2">
      <c r="A259" t="s">
        <v>15</v>
      </c>
      <c r="B259" t="s">
        <v>1016</v>
      </c>
      <c r="C259">
        <v>266</v>
      </c>
      <c r="D259">
        <v>118750</v>
      </c>
      <c r="E259" t="s">
        <v>344</v>
      </c>
      <c r="F259" t="s">
        <v>78</v>
      </c>
      <c r="G259" t="s">
        <v>18</v>
      </c>
      <c r="H259" t="s">
        <v>28</v>
      </c>
      <c r="I259" t="s">
        <v>29</v>
      </c>
      <c r="J259">
        <v>10</v>
      </c>
      <c r="K259">
        <v>0.03</v>
      </c>
      <c r="L259">
        <v>1</v>
      </c>
      <c r="M259">
        <v>1</v>
      </c>
      <c r="N259">
        <v>1</v>
      </c>
      <c r="O259">
        <v>100</v>
      </c>
      <c r="P259" s="4" t="b">
        <f t="shared" ref="P259:P322" si="4">C259&lt;($Q$1+1)</f>
        <v>0</v>
      </c>
    </row>
    <row r="260" spans="1:16" x14ac:dyDescent="0.2">
      <c r="A260" t="s">
        <v>15</v>
      </c>
      <c r="B260" t="s">
        <v>1016</v>
      </c>
      <c r="C260">
        <v>267</v>
      </c>
      <c r="D260">
        <v>125275</v>
      </c>
      <c r="E260" t="s">
        <v>153</v>
      </c>
      <c r="F260" t="s">
        <v>31</v>
      </c>
      <c r="G260" t="s">
        <v>23</v>
      </c>
      <c r="H260" t="s">
        <v>19</v>
      </c>
      <c r="I260" t="s">
        <v>29</v>
      </c>
      <c r="J260">
        <v>6</v>
      </c>
      <c r="K260">
        <v>0.03</v>
      </c>
      <c r="L260">
        <v>1</v>
      </c>
      <c r="M260">
        <v>1</v>
      </c>
      <c r="N260">
        <v>1</v>
      </c>
      <c r="O260">
        <v>100</v>
      </c>
      <c r="P260" s="4" t="b">
        <f t="shared" si="4"/>
        <v>0</v>
      </c>
    </row>
    <row r="261" spans="1:16" x14ac:dyDescent="0.2">
      <c r="A261" t="s">
        <v>15</v>
      </c>
      <c r="B261" t="s">
        <v>1016</v>
      </c>
      <c r="C261">
        <v>268</v>
      </c>
      <c r="D261">
        <v>129484</v>
      </c>
      <c r="E261" t="s">
        <v>296</v>
      </c>
      <c r="F261" t="s">
        <v>54</v>
      </c>
      <c r="G261" t="s">
        <v>18</v>
      </c>
      <c r="H261" t="s">
        <v>55</v>
      </c>
      <c r="I261" t="s">
        <v>56</v>
      </c>
      <c r="J261">
        <v>10</v>
      </c>
      <c r="K261">
        <v>0.03</v>
      </c>
      <c r="L261">
        <v>1</v>
      </c>
      <c r="M261">
        <v>1</v>
      </c>
      <c r="N261">
        <v>1</v>
      </c>
      <c r="O261">
        <v>100</v>
      </c>
      <c r="P261" s="4" t="b">
        <f t="shared" si="4"/>
        <v>0</v>
      </c>
    </row>
    <row r="262" spans="1:16" x14ac:dyDescent="0.2">
      <c r="A262" t="s">
        <v>15</v>
      </c>
      <c r="B262" t="s">
        <v>1016</v>
      </c>
      <c r="C262">
        <v>269</v>
      </c>
      <c r="D262">
        <v>50234</v>
      </c>
      <c r="E262" t="s">
        <v>339</v>
      </c>
      <c r="F262" t="s">
        <v>148</v>
      </c>
      <c r="G262" t="s">
        <v>23</v>
      </c>
      <c r="H262" t="s">
        <v>39</v>
      </c>
      <c r="I262" t="s">
        <v>20</v>
      </c>
      <c r="J262">
        <v>6</v>
      </c>
      <c r="K262">
        <v>0.03</v>
      </c>
      <c r="L262">
        <v>1</v>
      </c>
      <c r="M262">
        <v>1</v>
      </c>
      <c r="N262">
        <v>1</v>
      </c>
      <c r="O262">
        <v>100</v>
      </c>
      <c r="P262" s="4" t="b">
        <f t="shared" si="4"/>
        <v>0</v>
      </c>
    </row>
    <row r="263" spans="1:16" x14ac:dyDescent="0.2">
      <c r="A263" t="s">
        <v>15</v>
      </c>
      <c r="B263" t="s">
        <v>1016</v>
      </c>
      <c r="C263">
        <v>270</v>
      </c>
      <c r="D263">
        <v>130666</v>
      </c>
      <c r="E263" t="s">
        <v>240</v>
      </c>
      <c r="F263" t="s">
        <v>44</v>
      </c>
      <c r="G263" t="s">
        <v>18</v>
      </c>
      <c r="H263" t="s">
        <v>39</v>
      </c>
      <c r="I263" t="s">
        <v>29</v>
      </c>
      <c r="J263">
        <v>11</v>
      </c>
      <c r="K263">
        <v>0.03</v>
      </c>
      <c r="L263">
        <v>1</v>
      </c>
      <c r="M263">
        <v>1</v>
      </c>
      <c r="N263">
        <v>1</v>
      </c>
      <c r="O263">
        <v>100</v>
      </c>
      <c r="P263" s="4" t="b">
        <f t="shared" si="4"/>
        <v>0</v>
      </c>
    </row>
    <row r="264" spans="1:16" x14ac:dyDescent="0.2">
      <c r="A264" t="s">
        <v>15</v>
      </c>
      <c r="B264" t="s">
        <v>1016</v>
      </c>
      <c r="C264">
        <v>271</v>
      </c>
      <c r="D264">
        <v>130396</v>
      </c>
      <c r="E264" t="s">
        <v>342</v>
      </c>
      <c r="F264" t="s">
        <v>73</v>
      </c>
      <c r="G264" t="s">
        <v>18</v>
      </c>
      <c r="H264" t="s">
        <v>28</v>
      </c>
      <c r="I264" t="s">
        <v>74</v>
      </c>
      <c r="J264">
        <v>11</v>
      </c>
      <c r="K264">
        <v>0.03</v>
      </c>
      <c r="L264">
        <v>1</v>
      </c>
      <c r="M264">
        <v>1</v>
      </c>
      <c r="N264">
        <v>1</v>
      </c>
      <c r="O264">
        <v>100</v>
      </c>
      <c r="P264" s="4" t="b">
        <f t="shared" si="4"/>
        <v>0</v>
      </c>
    </row>
    <row r="265" spans="1:16" x14ac:dyDescent="0.2">
      <c r="A265" t="s">
        <v>15</v>
      </c>
      <c r="B265" t="s">
        <v>1016</v>
      </c>
      <c r="C265">
        <v>272</v>
      </c>
      <c r="D265">
        <v>126480</v>
      </c>
      <c r="E265" t="s">
        <v>498</v>
      </c>
      <c r="F265" t="s">
        <v>219</v>
      </c>
      <c r="G265" t="s">
        <v>23</v>
      </c>
      <c r="H265" t="s">
        <v>28</v>
      </c>
      <c r="I265" t="s">
        <v>29</v>
      </c>
      <c r="J265">
        <v>6</v>
      </c>
      <c r="K265">
        <v>0.03</v>
      </c>
      <c r="L265">
        <v>1</v>
      </c>
      <c r="M265">
        <v>1</v>
      </c>
      <c r="N265">
        <v>1</v>
      </c>
      <c r="O265">
        <v>100</v>
      </c>
      <c r="P265" s="4" t="b">
        <f t="shared" si="4"/>
        <v>0</v>
      </c>
    </row>
    <row r="266" spans="1:16" x14ac:dyDescent="0.2">
      <c r="A266" t="s">
        <v>15</v>
      </c>
      <c r="B266" t="s">
        <v>1016</v>
      </c>
      <c r="C266">
        <v>273</v>
      </c>
      <c r="D266">
        <v>130449</v>
      </c>
      <c r="E266" t="s">
        <v>340</v>
      </c>
      <c r="F266" t="s">
        <v>68</v>
      </c>
      <c r="G266" t="s">
        <v>18</v>
      </c>
      <c r="H266" t="s">
        <v>28</v>
      </c>
      <c r="I266" t="s">
        <v>56</v>
      </c>
      <c r="J266">
        <v>10</v>
      </c>
      <c r="K266">
        <v>0.03</v>
      </c>
      <c r="L266">
        <v>1</v>
      </c>
      <c r="M266">
        <v>1</v>
      </c>
      <c r="N266">
        <v>1</v>
      </c>
      <c r="O266">
        <v>100</v>
      </c>
      <c r="P266" s="4" t="b">
        <f t="shared" si="4"/>
        <v>0</v>
      </c>
    </row>
    <row r="267" spans="1:16" x14ac:dyDescent="0.2">
      <c r="A267" t="s">
        <v>15</v>
      </c>
      <c r="B267" t="s">
        <v>1016</v>
      </c>
      <c r="C267">
        <v>274</v>
      </c>
      <c r="D267">
        <v>129576</v>
      </c>
      <c r="E267" t="s">
        <v>797</v>
      </c>
      <c r="F267" t="s">
        <v>190</v>
      </c>
      <c r="G267" t="s">
        <v>18</v>
      </c>
      <c r="H267" t="s">
        <v>55</v>
      </c>
      <c r="I267" t="s">
        <v>83</v>
      </c>
      <c r="J267">
        <v>10</v>
      </c>
      <c r="K267">
        <v>0.03</v>
      </c>
      <c r="L267">
        <v>1</v>
      </c>
      <c r="M267">
        <v>1</v>
      </c>
      <c r="N267">
        <v>1</v>
      </c>
      <c r="O267">
        <v>100</v>
      </c>
      <c r="P267" s="4" t="b">
        <f t="shared" si="4"/>
        <v>0</v>
      </c>
    </row>
    <row r="268" spans="1:16" x14ac:dyDescent="0.2">
      <c r="A268" t="s">
        <v>15</v>
      </c>
      <c r="B268" t="s">
        <v>1016</v>
      </c>
      <c r="C268">
        <v>275</v>
      </c>
      <c r="D268">
        <v>51911</v>
      </c>
      <c r="E268" t="s">
        <v>542</v>
      </c>
      <c r="F268" t="s">
        <v>193</v>
      </c>
      <c r="G268" t="s">
        <v>23</v>
      </c>
      <c r="H268" t="s">
        <v>55</v>
      </c>
      <c r="I268" t="s">
        <v>20</v>
      </c>
      <c r="J268">
        <v>9</v>
      </c>
      <c r="K268">
        <v>0.03</v>
      </c>
      <c r="L268">
        <v>1</v>
      </c>
      <c r="M268">
        <v>1</v>
      </c>
      <c r="N268">
        <v>1</v>
      </c>
      <c r="O268">
        <v>100</v>
      </c>
      <c r="P268" s="4" t="b">
        <f t="shared" si="4"/>
        <v>0</v>
      </c>
    </row>
    <row r="269" spans="1:16" x14ac:dyDescent="0.2">
      <c r="A269" t="s">
        <v>15</v>
      </c>
      <c r="B269" t="s">
        <v>1016</v>
      </c>
      <c r="C269">
        <v>276</v>
      </c>
      <c r="D269">
        <v>130694</v>
      </c>
      <c r="E269" t="s">
        <v>838</v>
      </c>
      <c r="F269" t="s">
        <v>238</v>
      </c>
      <c r="G269" t="s">
        <v>18</v>
      </c>
      <c r="H269" t="s">
        <v>28</v>
      </c>
      <c r="I269" t="s">
        <v>20</v>
      </c>
      <c r="J269">
        <v>10</v>
      </c>
      <c r="K269">
        <v>0.03</v>
      </c>
      <c r="L269">
        <v>1</v>
      </c>
      <c r="M269">
        <v>1</v>
      </c>
      <c r="N269">
        <v>1</v>
      </c>
      <c r="O269">
        <v>100</v>
      </c>
      <c r="P269" s="4" t="b">
        <f t="shared" si="4"/>
        <v>0</v>
      </c>
    </row>
    <row r="270" spans="1:16" x14ac:dyDescent="0.2">
      <c r="A270" t="s">
        <v>15</v>
      </c>
      <c r="B270" t="s">
        <v>1016</v>
      </c>
      <c r="C270">
        <v>277</v>
      </c>
      <c r="D270">
        <v>131065</v>
      </c>
      <c r="E270" t="s">
        <v>798</v>
      </c>
      <c r="F270" t="s">
        <v>202</v>
      </c>
      <c r="G270" t="s">
        <v>18</v>
      </c>
      <c r="H270" t="s">
        <v>55</v>
      </c>
      <c r="I270" t="s">
        <v>29</v>
      </c>
      <c r="J270">
        <v>10</v>
      </c>
      <c r="K270">
        <v>0.03</v>
      </c>
      <c r="L270">
        <v>1</v>
      </c>
      <c r="M270">
        <v>1</v>
      </c>
      <c r="N270">
        <v>1</v>
      </c>
      <c r="O270">
        <v>100</v>
      </c>
      <c r="P270" s="4" t="b">
        <f t="shared" si="4"/>
        <v>0</v>
      </c>
    </row>
    <row r="271" spans="1:16" x14ac:dyDescent="0.2">
      <c r="A271" t="s">
        <v>15</v>
      </c>
      <c r="B271" t="s">
        <v>1016</v>
      </c>
      <c r="C271">
        <v>278</v>
      </c>
      <c r="D271">
        <v>107975</v>
      </c>
      <c r="E271" t="s">
        <v>341</v>
      </c>
      <c r="F271" t="s">
        <v>62</v>
      </c>
      <c r="G271" t="s">
        <v>23</v>
      </c>
      <c r="H271" t="s">
        <v>39</v>
      </c>
      <c r="I271" t="s">
        <v>29</v>
      </c>
      <c r="J271">
        <v>12</v>
      </c>
      <c r="K271">
        <v>0.03</v>
      </c>
      <c r="L271">
        <v>1</v>
      </c>
      <c r="M271">
        <v>1</v>
      </c>
      <c r="N271">
        <v>1</v>
      </c>
      <c r="O271">
        <v>100</v>
      </c>
      <c r="P271" s="4" t="b">
        <f t="shared" si="4"/>
        <v>0</v>
      </c>
    </row>
    <row r="272" spans="1:16" x14ac:dyDescent="0.2">
      <c r="A272" t="s">
        <v>15</v>
      </c>
      <c r="B272" t="s">
        <v>1016</v>
      </c>
      <c r="C272">
        <v>279</v>
      </c>
      <c r="D272">
        <v>130120</v>
      </c>
      <c r="E272" t="s">
        <v>318</v>
      </c>
      <c r="F272" t="s">
        <v>17</v>
      </c>
      <c r="G272" t="s">
        <v>18</v>
      </c>
      <c r="H272" t="s">
        <v>19</v>
      </c>
      <c r="I272" t="s">
        <v>20</v>
      </c>
      <c r="J272">
        <v>21</v>
      </c>
      <c r="K272">
        <v>0.03</v>
      </c>
      <c r="L272">
        <v>1</v>
      </c>
      <c r="M272">
        <v>1</v>
      </c>
      <c r="N272">
        <v>1</v>
      </c>
      <c r="O272">
        <v>100</v>
      </c>
      <c r="P272" s="4" t="b">
        <f t="shared" si="4"/>
        <v>0</v>
      </c>
    </row>
    <row r="273" spans="1:16" x14ac:dyDescent="0.2">
      <c r="A273" t="s">
        <v>15</v>
      </c>
      <c r="B273" t="s">
        <v>1016</v>
      </c>
      <c r="C273">
        <v>280</v>
      </c>
      <c r="D273">
        <v>131073</v>
      </c>
      <c r="E273" t="s">
        <v>329</v>
      </c>
      <c r="F273" t="s">
        <v>17</v>
      </c>
      <c r="G273" t="s">
        <v>18</v>
      </c>
      <c r="H273" t="s">
        <v>19</v>
      </c>
      <c r="I273" t="s">
        <v>29</v>
      </c>
      <c r="J273">
        <v>22</v>
      </c>
      <c r="K273">
        <v>0.03</v>
      </c>
      <c r="L273">
        <v>1</v>
      </c>
      <c r="M273">
        <v>1</v>
      </c>
      <c r="N273">
        <v>1</v>
      </c>
      <c r="O273">
        <v>100</v>
      </c>
      <c r="P273" s="4" t="b">
        <f t="shared" si="4"/>
        <v>0</v>
      </c>
    </row>
    <row r="274" spans="1:16" x14ac:dyDescent="0.2">
      <c r="A274" t="s">
        <v>15</v>
      </c>
      <c r="B274" t="s">
        <v>1016</v>
      </c>
      <c r="C274">
        <v>281</v>
      </c>
      <c r="D274">
        <v>126656</v>
      </c>
      <c r="E274" t="s">
        <v>496</v>
      </c>
      <c r="F274" t="s">
        <v>215</v>
      </c>
      <c r="G274" t="s">
        <v>23</v>
      </c>
      <c r="H274" t="s">
        <v>28</v>
      </c>
      <c r="I274" t="s">
        <v>29</v>
      </c>
      <c r="J274">
        <v>4</v>
      </c>
      <c r="K274">
        <v>4.5</v>
      </c>
      <c r="L274">
        <v>4</v>
      </c>
      <c r="M274">
        <v>3</v>
      </c>
      <c r="N274">
        <v>2</v>
      </c>
      <c r="O274">
        <v>2</v>
      </c>
      <c r="P274" s="4" t="b">
        <f t="shared" si="4"/>
        <v>0</v>
      </c>
    </row>
    <row r="275" spans="1:16" x14ac:dyDescent="0.2">
      <c r="A275" t="s">
        <v>15</v>
      </c>
      <c r="B275" t="s">
        <v>1016</v>
      </c>
      <c r="C275">
        <v>282</v>
      </c>
      <c r="D275">
        <v>134801</v>
      </c>
      <c r="E275" t="s">
        <v>364</v>
      </c>
      <c r="F275" t="s">
        <v>78</v>
      </c>
      <c r="G275" t="s">
        <v>18</v>
      </c>
      <c r="H275" t="s">
        <v>28</v>
      </c>
      <c r="I275" t="s">
        <v>20</v>
      </c>
      <c r="J275">
        <v>11</v>
      </c>
      <c r="K275">
        <v>0.03</v>
      </c>
      <c r="L275">
        <v>1</v>
      </c>
      <c r="M275">
        <v>1</v>
      </c>
      <c r="N275">
        <v>1</v>
      </c>
      <c r="O275">
        <v>100</v>
      </c>
      <c r="P275" s="4" t="b">
        <f t="shared" si="4"/>
        <v>0</v>
      </c>
    </row>
    <row r="276" spans="1:16" x14ac:dyDescent="0.2">
      <c r="A276" t="s">
        <v>15</v>
      </c>
      <c r="B276" t="s">
        <v>1016</v>
      </c>
      <c r="C276">
        <v>283</v>
      </c>
      <c r="D276">
        <v>130910</v>
      </c>
      <c r="E276" t="s">
        <v>320</v>
      </c>
      <c r="F276" t="s">
        <v>54</v>
      </c>
      <c r="G276" t="s">
        <v>18</v>
      </c>
      <c r="H276" t="s">
        <v>55</v>
      </c>
      <c r="I276" t="s">
        <v>56</v>
      </c>
      <c r="J276">
        <v>11</v>
      </c>
      <c r="K276">
        <v>0.03</v>
      </c>
      <c r="L276">
        <v>1</v>
      </c>
      <c r="M276">
        <v>1</v>
      </c>
      <c r="N276">
        <v>1</v>
      </c>
      <c r="O276">
        <v>100</v>
      </c>
      <c r="P276" s="4" t="b">
        <f t="shared" si="4"/>
        <v>0</v>
      </c>
    </row>
    <row r="277" spans="1:16" x14ac:dyDescent="0.2">
      <c r="A277" t="s">
        <v>15</v>
      </c>
      <c r="B277" t="s">
        <v>1016</v>
      </c>
      <c r="C277">
        <v>284</v>
      </c>
      <c r="D277">
        <v>59257</v>
      </c>
      <c r="E277" t="s">
        <v>548</v>
      </c>
      <c r="F277" t="s">
        <v>264</v>
      </c>
      <c r="G277" t="s">
        <v>23</v>
      </c>
      <c r="H277" t="s">
        <v>55</v>
      </c>
      <c r="I277" t="s">
        <v>29</v>
      </c>
      <c r="J277">
        <v>4</v>
      </c>
      <c r="K277">
        <v>0.03</v>
      </c>
      <c r="L277">
        <v>1</v>
      </c>
      <c r="M277">
        <v>1</v>
      </c>
      <c r="N277">
        <v>1</v>
      </c>
      <c r="O277">
        <v>100</v>
      </c>
      <c r="P277" s="4" t="b">
        <f t="shared" si="4"/>
        <v>0</v>
      </c>
    </row>
    <row r="278" spans="1:16" x14ac:dyDescent="0.2">
      <c r="A278" t="s">
        <v>15</v>
      </c>
      <c r="B278" t="s">
        <v>1016</v>
      </c>
      <c r="C278">
        <v>285</v>
      </c>
      <c r="D278">
        <v>130495</v>
      </c>
      <c r="E278" t="s">
        <v>246</v>
      </c>
      <c r="F278" t="s">
        <v>44</v>
      </c>
      <c r="G278" t="s">
        <v>18</v>
      </c>
      <c r="H278" t="s">
        <v>39</v>
      </c>
      <c r="I278" t="s">
        <v>20</v>
      </c>
      <c r="J278">
        <v>12</v>
      </c>
      <c r="K278">
        <v>0.03</v>
      </c>
      <c r="L278">
        <v>1</v>
      </c>
      <c r="M278">
        <v>1</v>
      </c>
      <c r="N278">
        <v>1</v>
      </c>
      <c r="O278">
        <v>100</v>
      </c>
      <c r="P278" s="4" t="b">
        <f t="shared" si="4"/>
        <v>0</v>
      </c>
    </row>
    <row r="279" spans="1:16" x14ac:dyDescent="0.2">
      <c r="A279" t="s">
        <v>15</v>
      </c>
      <c r="B279" t="s">
        <v>1016</v>
      </c>
      <c r="C279">
        <v>286</v>
      </c>
      <c r="D279">
        <v>181624</v>
      </c>
      <c r="E279" t="s">
        <v>337</v>
      </c>
      <c r="F279" t="s">
        <v>165</v>
      </c>
      <c r="G279" t="s">
        <v>23</v>
      </c>
      <c r="H279" t="s">
        <v>39</v>
      </c>
      <c r="I279" t="s">
        <v>29</v>
      </c>
      <c r="J279">
        <v>4</v>
      </c>
      <c r="K279">
        <v>0.03</v>
      </c>
      <c r="L279">
        <v>1</v>
      </c>
      <c r="M279">
        <v>1</v>
      </c>
      <c r="N279">
        <v>1</v>
      </c>
      <c r="O279">
        <v>100</v>
      </c>
      <c r="P279" s="4" t="b">
        <f t="shared" si="4"/>
        <v>0</v>
      </c>
    </row>
    <row r="280" spans="1:16" x14ac:dyDescent="0.2">
      <c r="A280" t="s">
        <v>15</v>
      </c>
      <c r="B280" t="s">
        <v>1016</v>
      </c>
      <c r="C280">
        <v>287</v>
      </c>
      <c r="D280">
        <v>129670</v>
      </c>
      <c r="E280" t="s">
        <v>362</v>
      </c>
      <c r="F280" t="s">
        <v>73</v>
      </c>
      <c r="G280" t="s">
        <v>18</v>
      </c>
      <c r="H280" t="s">
        <v>28</v>
      </c>
      <c r="I280" t="s">
        <v>56</v>
      </c>
      <c r="J280">
        <v>12</v>
      </c>
      <c r="K280">
        <v>0.03</v>
      </c>
      <c r="L280">
        <v>1</v>
      </c>
      <c r="M280">
        <v>1</v>
      </c>
      <c r="N280">
        <v>1</v>
      </c>
      <c r="O280">
        <v>100</v>
      </c>
      <c r="P280" s="4" t="b">
        <f t="shared" si="4"/>
        <v>0</v>
      </c>
    </row>
    <row r="281" spans="1:16" x14ac:dyDescent="0.2">
      <c r="A281" t="s">
        <v>15</v>
      </c>
      <c r="B281" t="s">
        <v>1016</v>
      </c>
      <c r="C281">
        <v>288</v>
      </c>
      <c r="D281">
        <v>130830</v>
      </c>
      <c r="E281" t="s">
        <v>360</v>
      </c>
      <c r="F281" t="s">
        <v>68</v>
      </c>
      <c r="G281" t="s">
        <v>18</v>
      </c>
      <c r="H281" t="s">
        <v>28</v>
      </c>
      <c r="I281" t="s">
        <v>29</v>
      </c>
      <c r="J281">
        <v>11</v>
      </c>
      <c r="K281">
        <v>0.03</v>
      </c>
      <c r="L281">
        <v>1</v>
      </c>
      <c r="M281">
        <v>1</v>
      </c>
      <c r="N281">
        <v>1</v>
      </c>
      <c r="O281">
        <v>100</v>
      </c>
      <c r="P281" s="4" t="b">
        <f t="shared" si="4"/>
        <v>0</v>
      </c>
    </row>
    <row r="282" spans="1:16" x14ac:dyDescent="0.2">
      <c r="A282" t="s">
        <v>15</v>
      </c>
      <c r="B282" t="s">
        <v>1016</v>
      </c>
      <c r="C282">
        <v>289</v>
      </c>
      <c r="D282">
        <v>66475</v>
      </c>
      <c r="E282" t="s">
        <v>546</v>
      </c>
      <c r="F282" t="s">
        <v>261</v>
      </c>
      <c r="G282" t="s">
        <v>23</v>
      </c>
      <c r="H282" t="s">
        <v>55</v>
      </c>
      <c r="I282" t="s">
        <v>29</v>
      </c>
      <c r="J282">
        <v>6</v>
      </c>
      <c r="K282">
        <v>0.03</v>
      </c>
      <c r="L282">
        <v>1</v>
      </c>
      <c r="M282">
        <v>1</v>
      </c>
      <c r="N282">
        <v>1</v>
      </c>
      <c r="O282">
        <v>100</v>
      </c>
      <c r="P282" s="4" t="b">
        <f t="shared" si="4"/>
        <v>0</v>
      </c>
    </row>
    <row r="283" spans="1:16" x14ac:dyDescent="0.2">
      <c r="A283" t="s">
        <v>15</v>
      </c>
      <c r="B283" t="s">
        <v>1016</v>
      </c>
      <c r="C283">
        <v>290</v>
      </c>
      <c r="D283">
        <v>129588</v>
      </c>
      <c r="E283" t="s">
        <v>813</v>
      </c>
      <c r="F283" t="s">
        <v>190</v>
      </c>
      <c r="G283" t="s">
        <v>18</v>
      </c>
      <c r="H283" t="s">
        <v>55</v>
      </c>
      <c r="I283" t="s">
        <v>29</v>
      </c>
      <c r="J283">
        <v>11</v>
      </c>
      <c r="K283">
        <v>0.03</v>
      </c>
      <c r="L283">
        <v>1</v>
      </c>
      <c r="M283">
        <v>1</v>
      </c>
      <c r="N283">
        <v>1</v>
      </c>
      <c r="O283">
        <v>100</v>
      </c>
      <c r="P283" s="4" t="b">
        <f t="shared" si="4"/>
        <v>0</v>
      </c>
    </row>
    <row r="284" spans="1:16" x14ac:dyDescent="0.2">
      <c r="A284" t="s">
        <v>15</v>
      </c>
      <c r="B284" t="s">
        <v>1016</v>
      </c>
      <c r="C284">
        <v>291</v>
      </c>
      <c r="D284">
        <v>130149</v>
      </c>
      <c r="E284" t="s">
        <v>856</v>
      </c>
      <c r="F284" t="s">
        <v>238</v>
      </c>
      <c r="G284" t="s">
        <v>18</v>
      </c>
      <c r="H284" t="s">
        <v>28</v>
      </c>
      <c r="I284" t="s">
        <v>29</v>
      </c>
      <c r="J284">
        <v>11</v>
      </c>
      <c r="K284">
        <v>0.03</v>
      </c>
      <c r="L284">
        <v>1</v>
      </c>
      <c r="M284">
        <v>1</v>
      </c>
      <c r="N284">
        <v>1</v>
      </c>
      <c r="O284">
        <v>100</v>
      </c>
      <c r="P284" s="4" t="b">
        <f t="shared" si="4"/>
        <v>0</v>
      </c>
    </row>
    <row r="285" spans="1:16" x14ac:dyDescent="0.2">
      <c r="A285" t="s">
        <v>15</v>
      </c>
      <c r="B285" t="s">
        <v>1016</v>
      </c>
      <c r="C285">
        <v>292</v>
      </c>
      <c r="D285">
        <v>35445</v>
      </c>
      <c r="E285" t="s">
        <v>208</v>
      </c>
      <c r="F285" t="s">
        <v>96</v>
      </c>
      <c r="G285" t="s">
        <v>23</v>
      </c>
      <c r="H285" t="s">
        <v>55</v>
      </c>
      <c r="I285" t="s">
        <v>56</v>
      </c>
      <c r="J285">
        <v>4</v>
      </c>
      <c r="K285">
        <v>0.03</v>
      </c>
      <c r="L285">
        <v>1</v>
      </c>
      <c r="M285">
        <v>1</v>
      </c>
      <c r="N285">
        <v>1</v>
      </c>
      <c r="O285">
        <v>100</v>
      </c>
      <c r="P285" s="4" t="b">
        <f t="shared" si="4"/>
        <v>0</v>
      </c>
    </row>
    <row r="286" spans="1:16" x14ac:dyDescent="0.2">
      <c r="A286" t="s">
        <v>15</v>
      </c>
      <c r="B286" t="s">
        <v>1016</v>
      </c>
      <c r="C286">
        <v>293</v>
      </c>
      <c r="D286">
        <v>131025</v>
      </c>
      <c r="E286" t="s">
        <v>335</v>
      </c>
      <c r="F286" t="s">
        <v>17</v>
      </c>
      <c r="G286" t="s">
        <v>18</v>
      </c>
      <c r="H286" t="s">
        <v>19</v>
      </c>
      <c r="I286" t="s">
        <v>29</v>
      </c>
      <c r="J286">
        <v>23</v>
      </c>
      <c r="K286">
        <v>0.03</v>
      </c>
      <c r="L286">
        <v>1</v>
      </c>
      <c r="M286">
        <v>1</v>
      </c>
      <c r="N286">
        <v>1</v>
      </c>
      <c r="O286">
        <v>100</v>
      </c>
      <c r="P286" s="4" t="b">
        <f t="shared" si="4"/>
        <v>0</v>
      </c>
    </row>
    <row r="287" spans="1:16" x14ac:dyDescent="0.2">
      <c r="A287" t="s">
        <v>15</v>
      </c>
      <c r="B287" t="s">
        <v>1016</v>
      </c>
      <c r="C287">
        <v>294</v>
      </c>
      <c r="D287">
        <v>131078</v>
      </c>
      <c r="E287" t="s">
        <v>338</v>
      </c>
      <c r="F287" t="s">
        <v>17</v>
      </c>
      <c r="G287" t="s">
        <v>18</v>
      </c>
      <c r="H287" t="s">
        <v>19</v>
      </c>
      <c r="I287" t="s">
        <v>29</v>
      </c>
      <c r="J287">
        <v>24</v>
      </c>
      <c r="K287">
        <v>0.03</v>
      </c>
      <c r="L287">
        <v>1</v>
      </c>
      <c r="M287">
        <v>1</v>
      </c>
      <c r="N287">
        <v>1</v>
      </c>
      <c r="O287">
        <v>100</v>
      </c>
      <c r="P287" s="4" t="b">
        <f t="shared" si="4"/>
        <v>0</v>
      </c>
    </row>
    <row r="288" spans="1:16" x14ac:dyDescent="0.2">
      <c r="A288" t="s">
        <v>15</v>
      </c>
      <c r="B288" t="s">
        <v>1016</v>
      </c>
      <c r="C288">
        <v>295</v>
      </c>
      <c r="D288">
        <v>55326</v>
      </c>
      <c r="E288" t="s">
        <v>550</v>
      </c>
      <c r="F288" t="s">
        <v>267</v>
      </c>
      <c r="G288" t="s">
        <v>23</v>
      </c>
      <c r="H288" t="s">
        <v>55</v>
      </c>
      <c r="I288" t="s">
        <v>20</v>
      </c>
      <c r="J288">
        <v>4</v>
      </c>
      <c r="K288">
        <v>0.03</v>
      </c>
      <c r="L288">
        <v>1</v>
      </c>
      <c r="M288">
        <v>1</v>
      </c>
      <c r="N288">
        <v>1</v>
      </c>
      <c r="O288">
        <v>100</v>
      </c>
      <c r="P288" s="4" t="b">
        <f t="shared" si="4"/>
        <v>0</v>
      </c>
    </row>
    <row r="289" spans="1:16" x14ac:dyDescent="0.2">
      <c r="A289" t="s">
        <v>15</v>
      </c>
      <c r="B289" t="s">
        <v>1016</v>
      </c>
      <c r="C289">
        <v>296</v>
      </c>
      <c r="D289">
        <v>123004</v>
      </c>
      <c r="E289" t="s">
        <v>388</v>
      </c>
      <c r="F289" t="s">
        <v>78</v>
      </c>
      <c r="G289" t="s">
        <v>18</v>
      </c>
      <c r="H289" t="s">
        <v>28</v>
      </c>
      <c r="I289" t="s">
        <v>29</v>
      </c>
      <c r="J289">
        <v>12</v>
      </c>
      <c r="K289">
        <v>0.03</v>
      </c>
      <c r="L289">
        <v>1</v>
      </c>
      <c r="M289">
        <v>1</v>
      </c>
      <c r="N289">
        <v>1</v>
      </c>
      <c r="O289">
        <v>100</v>
      </c>
      <c r="P289" s="4" t="b">
        <f t="shared" si="4"/>
        <v>0</v>
      </c>
    </row>
    <row r="290" spans="1:16" x14ac:dyDescent="0.2">
      <c r="A290" t="s">
        <v>15</v>
      </c>
      <c r="B290" t="s">
        <v>1016</v>
      </c>
      <c r="C290">
        <v>297</v>
      </c>
      <c r="D290">
        <v>129451</v>
      </c>
      <c r="E290" t="s">
        <v>333</v>
      </c>
      <c r="F290" t="s">
        <v>54</v>
      </c>
      <c r="G290" t="s">
        <v>18</v>
      </c>
      <c r="H290" t="s">
        <v>55</v>
      </c>
      <c r="I290" t="s">
        <v>29</v>
      </c>
      <c r="J290">
        <v>12</v>
      </c>
      <c r="K290">
        <v>0.03</v>
      </c>
      <c r="L290">
        <v>1</v>
      </c>
      <c r="M290">
        <v>1</v>
      </c>
      <c r="N290">
        <v>1</v>
      </c>
      <c r="O290">
        <v>100</v>
      </c>
      <c r="P290" s="4" t="b">
        <f t="shared" si="4"/>
        <v>0</v>
      </c>
    </row>
    <row r="291" spans="1:16" x14ac:dyDescent="0.2">
      <c r="A291" t="s">
        <v>15</v>
      </c>
      <c r="B291" t="s">
        <v>1016</v>
      </c>
      <c r="C291">
        <v>298</v>
      </c>
      <c r="D291">
        <v>189375</v>
      </c>
      <c r="E291" t="s">
        <v>544</v>
      </c>
      <c r="F291" t="s">
        <v>248</v>
      </c>
      <c r="G291" t="s">
        <v>23</v>
      </c>
      <c r="H291" t="s">
        <v>55</v>
      </c>
      <c r="I291" t="s">
        <v>29</v>
      </c>
      <c r="J291">
        <v>4</v>
      </c>
      <c r="K291">
        <v>0.03</v>
      </c>
      <c r="L291">
        <v>1</v>
      </c>
      <c r="M291">
        <v>1</v>
      </c>
      <c r="N291">
        <v>1</v>
      </c>
      <c r="O291">
        <v>100</v>
      </c>
      <c r="P291" s="4" t="b">
        <f t="shared" si="4"/>
        <v>0</v>
      </c>
    </row>
    <row r="292" spans="1:16" x14ac:dyDescent="0.2">
      <c r="A292" t="s">
        <v>15</v>
      </c>
      <c r="B292" t="s">
        <v>1016</v>
      </c>
      <c r="C292">
        <v>299</v>
      </c>
      <c r="D292">
        <v>130529</v>
      </c>
      <c r="E292" t="s">
        <v>265</v>
      </c>
      <c r="F292" t="s">
        <v>44</v>
      </c>
      <c r="G292" t="s">
        <v>18</v>
      </c>
      <c r="H292" t="s">
        <v>39</v>
      </c>
      <c r="I292" t="s">
        <v>74</v>
      </c>
      <c r="J292">
        <v>13</v>
      </c>
      <c r="K292">
        <v>0.03</v>
      </c>
      <c r="L292">
        <v>1</v>
      </c>
      <c r="M292">
        <v>1</v>
      </c>
      <c r="N292">
        <v>1</v>
      </c>
      <c r="O292">
        <v>100</v>
      </c>
      <c r="P292" s="4" t="b">
        <f t="shared" si="4"/>
        <v>0</v>
      </c>
    </row>
    <row r="293" spans="1:16" x14ac:dyDescent="0.2">
      <c r="A293" t="s">
        <v>15</v>
      </c>
      <c r="B293" t="s">
        <v>1016</v>
      </c>
      <c r="C293">
        <v>300</v>
      </c>
      <c r="D293">
        <v>147251</v>
      </c>
      <c r="E293" t="s">
        <v>210</v>
      </c>
      <c r="F293" t="s">
        <v>26</v>
      </c>
      <c r="G293" t="s">
        <v>23</v>
      </c>
      <c r="H293" t="s">
        <v>28</v>
      </c>
      <c r="I293" t="s">
        <v>20</v>
      </c>
      <c r="J293">
        <v>5</v>
      </c>
      <c r="K293">
        <v>0.03</v>
      </c>
      <c r="L293">
        <v>1</v>
      </c>
      <c r="M293">
        <v>1</v>
      </c>
      <c r="N293">
        <v>1</v>
      </c>
      <c r="O293">
        <v>100</v>
      </c>
      <c r="P293" s="4" t="b">
        <f t="shared" si="4"/>
        <v>0</v>
      </c>
    </row>
    <row r="294" spans="1:16" x14ac:dyDescent="0.2">
      <c r="A294" t="s">
        <v>15</v>
      </c>
      <c r="B294" t="s">
        <v>1016</v>
      </c>
      <c r="C294">
        <v>301</v>
      </c>
      <c r="D294">
        <v>130304</v>
      </c>
      <c r="E294" t="s">
        <v>386</v>
      </c>
      <c r="F294" t="s">
        <v>73</v>
      </c>
      <c r="G294" t="s">
        <v>18</v>
      </c>
      <c r="H294" t="s">
        <v>28</v>
      </c>
      <c r="I294" t="s">
        <v>83</v>
      </c>
      <c r="J294">
        <v>13</v>
      </c>
      <c r="K294">
        <v>0.03</v>
      </c>
      <c r="L294">
        <v>1</v>
      </c>
      <c r="M294">
        <v>1</v>
      </c>
      <c r="N294">
        <v>1</v>
      </c>
      <c r="O294">
        <v>100</v>
      </c>
      <c r="P294" s="4" t="b">
        <f t="shared" si="4"/>
        <v>0</v>
      </c>
    </row>
    <row r="295" spans="1:16" x14ac:dyDescent="0.2">
      <c r="A295" t="s">
        <v>15</v>
      </c>
      <c r="B295" t="s">
        <v>1016</v>
      </c>
      <c r="C295">
        <v>302</v>
      </c>
      <c r="D295">
        <v>129868</v>
      </c>
      <c r="E295" t="s">
        <v>384</v>
      </c>
      <c r="F295" t="s">
        <v>68</v>
      </c>
      <c r="G295" t="s">
        <v>18</v>
      </c>
      <c r="H295" t="s">
        <v>28</v>
      </c>
      <c r="I295" t="s">
        <v>20</v>
      </c>
      <c r="J295">
        <v>12</v>
      </c>
      <c r="K295">
        <v>0.03</v>
      </c>
      <c r="L295">
        <v>1</v>
      </c>
      <c r="M295">
        <v>1</v>
      </c>
      <c r="N295">
        <v>1</v>
      </c>
      <c r="O295">
        <v>100</v>
      </c>
      <c r="P295" s="4" t="b">
        <f t="shared" si="4"/>
        <v>0</v>
      </c>
    </row>
    <row r="296" spans="1:16" x14ac:dyDescent="0.2">
      <c r="A296" t="s">
        <v>15</v>
      </c>
      <c r="B296" t="s">
        <v>1016</v>
      </c>
      <c r="C296">
        <v>303</v>
      </c>
      <c r="D296">
        <v>108852</v>
      </c>
      <c r="E296" t="s">
        <v>181</v>
      </c>
      <c r="F296" t="s">
        <v>48</v>
      </c>
      <c r="G296" t="s">
        <v>23</v>
      </c>
      <c r="H296" t="s">
        <v>19</v>
      </c>
      <c r="I296" t="s">
        <v>29</v>
      </c>
      <c r="J296">
        <v>6</v>
      </c>
      <c r="K296">
        <v>0.03</v>
      </c>
      <c r="L296">
        <v>1</v>
      </c>
      <c r="M296">
        <v>1</v>
      </c>
      <c r="N296">
        <v>1</v>
      </c>
      <c r="O296">
        <v>100</v>
      </c>
      <c r="P296" s="4" t="b">
        <f t="shared" si="4"/>
        <v>0</v>
      </c>
    </row>
    <row r="297" spans="1:16" x14ac:dyDescent="0.2">
      <c r="A297" t="s">
        <v>15</v>
      </c>
      <c r="B297" t="s">
        <v>1016</v>
      </c>
      <c r="C297">
        <v>304</v>
      </c>
      <c r="D297">
        <v>129960</v>
      </c>
      <c r="E297" t="s">
        <v>828</v>
      </c>
      <c r="F297" t="s">
        <v>190</v>
      </c>
      <c r="G297" t="s">
        <v>18</v>
      </c>
      <c r="H297" t="s">
        <v>55</v>
      </c>
      <c r="I297" t="s">
        <v>20</v>
      </c>
      <c r="J297">
        <v>12</v>
      </c>
      <c r="K297">
        <v>0.03</v>
      </c>
      <c r="L297">
        <v>1</v>
      </c>
      <c r="M297">
        <v>1</v>
      </c>
      <c r="N297">
        <v>1</v>
      </c>
      <c r="O297">
        <v>100</v>
      </c>
      <c r="P297" s="4" t="b">
        <f t="shared" si="4"/>
        <v>0</v>
      </c>
    </row>
    <row r="298" spans="1:16" x14ac:dyDescent="0.2">
      <c r="A298" t="s">
        <v>15</v>
      </c>
      <c r="B298" t="s">
        <v>1016</v>
      </c>
      <c r="C298">
        <v>305</v>
      </c>
      <c r="D298">
        <v>130360</v>
      </c>
      <c r="E298" t="s">
        <v>864</v>
      </c>
      <c r="F298" t="s">
        <v>238</v>
      </c>
      <c r="G298" t="s">
        <v>18</v>
      </c>
      <c r="H298" t="s">
        <v>28</v>
      </c>
      <c r="I298" t="s">
        <v>29</v>
      </c>
      <c r="J298">
        <v>12</v>
      </c>
      <c r="K298">
        <v>0.03</v>
      </c>
      <c r="L298">
        <v>1</v>
      </c>
      <c r="M298">
        <v>1</v>
      </c>
      <c r="N298">
        <v>1</v>
      </c>
      <c r="O298">
        <v>100</v>
      </c>
      <c r="P298" s="4" t="b">
        <f t="shared" si="4"/>
        <v>0</v>
      </c>
    </row>
    <row r="299" spans="1:16" x14ac:dyDescent="0.2">
      <c r="A299" t="s">
        <v>15</v>
      </c>
      <c r="B299" t="s">
        <v>1016</v>
      </c>
      <c r="C299">
        <v>306</v>
      </c>
      <c r="D299">
        <v>88857</v>
      </c>
      <c r="E299" t="s">
        <v>236</v>
      </c>
      <c r="F299" t="s">
        <v>90</v>
      </c>
      <c r="G299" t="s">
        <v>23</v>
      </c>
      <c r="H299" t="s">
        <v>55</v>
      </c>
      <c r="I299" t="s">
        <v>29</v>
      </c>
      <c r="J299">
        <v>5</v>
      </c>
      <c r="K299">
        <v>0.03</v>
      </c>
      <c r="L299">
        <v>1</v>
      </c>
      <c r="M299">
        <v>1</v>
      </c>
      <c r="N299">
        <v>1</v>
      </c>
      <c r="O299">
        <v>100</v>
      </c>
      <c r="P299" s="4" t="b">
        <f t="shared" si="4"/>
        <v>0</v>
      </c>
    </row>
    <row r="300" spans="1:16" x14ac:dyDescent="0.2">
      <c r="A300" t="s">
        <v>15</v>
      </c>
      <c r="B300" t="s">
        <v>1016</v>
      </c>
      <c r="C300">
        <v>307</v>
      </c>
      <c r="D300">
        <v>130716</v>
      </c>
      <c r="E300" t="s">
        <v>355</v>
      </c>
      <c r="F300" t="s">
        <v>17</v>
      </c>
      <c r="G300" t="s">
        <v>18</v>
      </c>
      <c r="H300" t="s">
        <v>19</v>
      </c>
      <c r="I300" t="s">
        <v>56</v>
      </c>
      <c r="J300">
        <v>25</v>
      </c>
      <c r="K300">
        <v>0.03</v>
      </c>
      <c r="L300">
        <v>1</v>
      </c>
      <c r="M300">
        <v>1</v>
      </c>
      <c r="N300">
        <v>1</v>
      </c>
      <c r="O300">
        <v>100</v>
      </c>
      <c r="P300" s="4" t="b">
        <f t="shared" si="4"/>
        <v>0</v>
      </c>
    </row>
    <row r="301" spans="1:16" x14ac:dyDescent="0.2">
      <c r="A301" t="s">
        <v>15</v>
      </c>
      <c r="B301" t="s">
        <v>1016</v>
      </c>
      <c r="C301">
        <v>308</v>
      </c>
      <c r="D301">
        <v>130746</v>
      </c>
      <c r="E301" t="s">
        <v>359</v>
      </c>
      <c r="F301" t="s">
        <v>17</v>
      </c>
      <c r="G301" t="s">
        <v>18</v>
      </c>
      <c r="H301" t="s">
        <v>19</v>
      </c>
      <c r="I301" t="s">
        <v>29</v>
      </c>
      <c r="J301">
        <v>26</v>
      </c>
      <c r="K301">
        <v>0.03</v>
      </c>
      <c r="L301">
        <v>1</v>
      </c>
      <c r="M301">
        <v>1</v>
      </c>
      <c r="N301">
        <v>1</v>
      </c>
      <c r="O301">
        <v>100</v>
      </c>
      <c r="P301" s="4" t="b">
        <f t="shared" si="4"/>
        <v>0</v>
      </c>
    </row>
    <row r="302" spans="1:16" x14ac:dyDescent="0.2">
      <c r="A302" t="s">
        <v>15</v>
      </c>
      <c r="B302" t="s">
        <v>1016</v>
      </c>
      <c r="C302">
        <v>309</v>
      </c>
      <c r="D302">
        <v>132957</v>
      </c>
      <c r="E302" t="s">
        <v>159</v>
      </c>
      <c r="F302" t="s">
        <v>38</v>
      </c>
      <c r="G302" t="s">
        <v>23</v>
      </c>
      <c r="H302" t="s">
        <v>39</v>
      </c>
      <c r="I302" t="s">
        <v>29</v>
      </c>
      <c r="J302">
        <v>5</v>
      </c>
      <c r="K302">
        <v>0.03</v>
      </c>
      <c r="L302">
        <v>1</v>
      </c>
      <c r="M302">
        <v>1</v>
      </c>
      <c r="N302">
        <v>1</v>
      </c>
      <c r="O302">
        <v>100</v>
      </c>
      <c r="P302" s="4" t="b">
        <f t="shared" si="4"/>
        <v>0</v>
      </c>
    </row>
    <row r="303" spans="1:16" x14ac:dyDescent="0.2">
      <c r="A303" t="s">
        <v>15</v>
      </c>
      <c r="B303" t="s">
        <v>1016</v>
      </c>
      <c r="C303">
        <v>310</v>
      </c>
      <c r="D303">
        <v>105944</v>
      </c>
      <c r="E303" t="s">
        <v>407</v>
      </c>
      <c r="F303" t="s">
        <v>78</v>
      </c>
      <c r="G303" t="s">
        <v>18</v>
      </c>
      <c r="H303" t="s">
        <v>28</v>
      </c>
      <c r="I303" t="s">
        <v>20</v>
      </c>
      <c r="J303">
        <v>13</v>
      </c>
      <c r="K303">
        <v>0.03</v>
      </c>
      <c r="L303">
        <v>1</v>
      </c>
      <c r="M303">
        <v>1</v>
      </c>
      <c r="N303">
        <v>1</v>
      </c>
      <c r="O303">
        <v>100</v>
      </c>
      <c r="P303" s="4" t="b">
        <f t="shared" si="4"/>
        <v>0</v>
      </c>
    </row>
    <row r="304" spans="1:16" x14ac:dyDescent="0.2">
      <c r="A304" t="s">
        <v>15</v>
      </c>
      <c r="B304" t="s">
        <v>1016</v>
      </c>
      <c r="C304">
        <v>311</v>
      </c>
      <c r="D304">
        <v>129479</v>
      </c>
      <c r="E304" t="s">
        <v>353</v>
      </c>
      <c r="F304" t="s">
        <v>54</v>
      </c>
      <c r="G304" t="s">
        <v>18</v>
      </c>
      <c r="H304" t="s">
        <v>55</v>
      </c>
      <c r="I304" t="s">
        <v>56</v>
      </c>
      <c r="J304">
        <v>13</v>
      </c>
      <c r="K304">
        <v>0.03</v>
      </c>
      <c r="L304">
        <v>1</v>
      </c>
      <c r="M304">
        <v>1</v>
      </c>
      <c r="N304">
        <v>1</v>
      </c>
      <c r="O304">
        <v>100</v>
      </c>
      <c r="P304" s="4" t="b">
        <f t="shared" si="4"/>
        <v>0</v>
      </c>
    </row>
    <row r="305" spans="1:16" x14ac:dyDescent="0.2">
      <c r="A305" t="s">
        <v>15</v>
      </c>
      <c r="B305" t="s">
        <v>1016</v>
      </c>
      <c r="C305">
        <v>312</v>
      </c>
      <c r="D305">
        <v>50849</v>
      </c>
      <c r="E305" t="s">
        <v>107</v>
      </c>
      <c r="F305" t="s">
        <v>22</v>
      </c>
      <c r="G305" t="s">
        <v>23</v>
      </c>
      <c r="H305" t="s">
        <v>22</v>
      </c>
      <c r="I305" t="s">
        <v>29</v>
      </c>
      <c r="J305">
        <v>5</v>
      </c>
      <c r="K305">
        <v>0.03</v>
      </c>
      <c r="L305">
        <v>1</v>
      </c>
      <c r="M305">
        <v>1</v>
      </c>
      <c r="N305">
        <v>1</v>
      </c>
      <c r="O305">
        <v>100</v>
      </c>
      <c r="P305" s="4" t="b">
        <f t="shared" si="4"/>
        <v>0</v>
      </c>
    </row>
    <row r="306" spans="1:16" x14ac:dyDescent="0.2">
      <c r="A306" t="s">
        <v>15</v>
      </c>
      <c r="B306" t="s">
        <v>1016</v>
      </c>
      <c r="C306">
        <v>313</v>
      </c>
      <c r="D306">
        <v>130667</v>
      </c>
      <c r="E306" t="s">
        <v>274</v>
      </c>
      <c r="F306" t="s">
        <v>44</v>
      </c>
      <c r="G306" t="s">
        <v>18</v>
      </c>
      <c r="H306" t="s">
        <v>39</v>
      </c>
      <c r="I306" t="s">
        <v>29</v>
      </c>
      <c r="J306">
        <v>14</v>
      </c>
      <c r="K306">
        <v>0.03</v>
      </c>
      <c r="L306">
        <v>1</v>
      </c>
      <c r="M306">
        <v>1</v>
      </c>
      <c r="N306">
        <v>1</v>
      </c>
      <c r="O306">
        <v>100</v>
      </c>
      <c r="P306" s="4" t="b">
        <f t="shared" si="4"/>
        <v>0</v>
      </c>
    </row>
    <row r="307" spans="1:16" x14ac:dyDescent="0.2">
      <c r="A307" t="s">
        <v>15</v>
      </c>
      <c r="B307" t="s">
        <v>1016</v>
      </c>
      <c r="C307">
        <v>314</v>
      </c>
      <c r="D307">
        <v>130435</v>
      </c>
      <c r="E307" t="s">
        <v>405</v>
      </c>
      <c r="F307" t="s">
        <v>73</v>
      </c>
      <c r="G307" t="s">
        <v>18</v>
      </c>
      <c r="H307" t="s">
        <v>28</v>
      </c>
      <c r="I307" t="s">
        <v>83</v>
      </c>
      <c r="J307">
        <v>14</v>
      </c>
      <c r="K307">
        <v>0.03</v>
      </c>
      <c r="L307">
        <v>1</v>
      </c>
      <c r="M307">
        <v>1</v>
      </c>
      <c r="N307">
        <v>1</v>
      </c>
      <c r="O307">
        <v>100</v>
      </c>
      <c r="P307" s="4" t="b">
        <f t="shared" si="4"/>
        <v>0</v>
      </c>
    </row>
    <row r="308" spans="1:16" x14ac:dyDescent="0.2">
      <c r="A308" t="s">
        <v>15</v>
      </c>
      <c r="B308" t="s">
        <v>1016</v>
      </c>
      <c r="C308">
        <v>315</v>
      </c>
      <c r="D308">
        <v>85670</v>
      </c>
      <c r="E308" t="s">
        <v>212</v>
      </c>
      <c r="F308" t="s">
        <v>58</v>
      </c>
      <c r="G308" t="s">
        <v>23</v>
      </c>
      <c r="H308" t="s">
        <v>28</v>
      </c>
      <c r="I308" t="s">
        <v>20</v>
      </c>
      <c r="J308">
        <v>8</v>
      </c>
      <c r="K308">
        <v>0.03</v>
      </c>
      <c r="L308">
        <v>1</v>
      </c>
      <c r="M308">
        <v>1</v>
      </c>
      <c r="N308">
        <v>1</v>
      </c>
      <c r="O308">
        <v>100</v>
      </c>
      <c r="P308" s="4" t="b">
        <f t="shared" si="4"/>
        <v>0</v>
      </c>
    </row>
    <row r="309" spans="1:16" x14ac:dyDescent="0.2">
      <c r="A309" t="s">
        <v>15</v>
      </c>
      <c r="B309" t="s">
        <v>1016</v>
      </c>
      <c r="C309">
        <v>316</v>
      </c>
      <c r="D309">
        <v>130374</v>
      </c>
      <c r="E309" t="s">
        <v>403</v>
      </c>
      <c r="F309" t="s">
        <v>68</v>
      </c>
      <c r="G309" t="s">
        <v>18</v>
      </c>
      <c r="H309" t="s">
        <v>28</v>
      </c>
      <c r="I309" t="s">
        <v>56</v>
      </c>
      <c r="J309">
        <v>13</v>
      </c>
      <c r="K309">
        <v>0.03</v>
      </c>
      <c r="L309">
        <v>1</v>
      </c>
      <c r="M309">
        <v>1</v>
      </c>
      <c r="N309">
        <v>1</v>
      </c>
      <c r="O309">
        <v>100</v>
      </c>
      <c r="P309" s="4" t="b">
        <f t="shared" si="4"/>
        <v>0</v>
      </c>
    </row>
    <row r="310" spans="1:16" x14ac:dyDescent="0.2">
      <c r="A310" t="s">
        <v>15</v>
      </c>
      <c r="B310" t="s">
        <v>1016</v>
      </c>
      <c r="C310">
        <v>317</v>
      </c>
      <c r="D310">
        <v>48991</v>
      </c>
      <c r="E310" t="s">
        <v>559</v>
      </c>
      <c r="F310" t="s">
        <v>219</v>
      </c>
      <c r="G310" t="s">
        <v>23</v>
      </c>
      <c r="H310" t="s">
        <v>28</v>
      </c>
      <c r="I310" t="s">
        <v>29</v>
      </c>
      <c r="J310">
        <v>7</v>
      </c>
      <c r="K310">
        <v>0.03</v>
      </c>
      <c r="L310">
        <v>1</v>
      </c>
      <c r="M310">
        <v>1</v>
      </c>
      <c r="N310">
        <v>1</v>
      </c>
      <c r="O310">
        <v>100</v>
      </c>
      <c r="P310" s="4" t="b">
        <f t="shared" si="4"/>
        <v>0</v>
      </c>
    </row>
    <row r="311" spans="1:16" x14ac:dyDescent="0.2">
      <c r="A311" t="s">
        <v>15</v>
      </c>
      <c r="B311" t="s">
        <v>1016</v>
      </c>
      <c r="C311">
        <v>318</v>
      </c>
      <c r="D311">
        <v>129503</v>
      </c>
      <c r="E311" t="s">
        <v>843</v>
      </c>
      <c r="F311" t="s">
        <v>190</v>
      </c>
      <c r="G311" t="s">
        <v>18</v>
      </c>
      <c r="H311" t="s">
        <v>55</v>
      </c>
      <c r="I311" t="s">
        <v>20</v>
      </c>
      <c r="J311">
        <v>13</v>
      </c>
      <c r="K311">
        <v>0.03</v>
      </c>
      <c r="L311">
        <v>1</v>
      </c>
      <c r="M311">
        <v>1</v>
      </c>
      <c r="N311">
        <v>1</v>
      </c>
      <c r="O311">
        <v>100</v>
      </c>
      <c r="P311" s="4" t="b">
        <f t="shared" si="4"/>
        <v>0</v>
      </c>
    </row>
    <row r="312" spans="1:16" x14ac:dyDescent="0.2">
      <c r="A312" t="s">
        <v>15</v>
      </c>
      <c r="B312" t="s">
        <v>1016</v>
      </c>
      <c r="C312">
        <v>319</v>
      </c>
      <c r="D312">
        <v>130504</v>
      </c>
      <c r="E312" t="s">
        <v>871</v>
      </c>
      <c r="F312" t="s">
        <v>238</v>
      </c>
      <c r="G312" t="s">
        <v>18</v>
      </c>
      <c r="H312" t="s">
        <v>28</v>
      </c>
      <c r="I312" t="s">
        <v>29</v>
      </c>
      <c r="J312">
        <v>13</v>
      </c>
      <c r="K312">
        <v>0.03</v>
      </c>
      <c r="L312">
        <v>1</v>
      </c>
      <c r="M312">
        <v>1</v>
      </c>
      <c r="N312">
        <v>1</v>
      </c>
      <c r="O312">
        <v>100</v>
      </c>
      <c r="P312" s="4" t="b">
        <f t="shared" si="4"/>
        <v>0</v>
      </c>
    </row>
    <row r="313" spans="1:16" x14ac:dyDescent="0.2">
      <c r="A313" t="s">
        <v>15</v>
      </c>
      <c r="B313" t="s">
        <v>1016</v>
      </c>
      <c r="C313">
        <v>320</v>
      </c>
      <c r="D313">
        <v>50544</v>
      </c>
      <c r="E313" t="s">
        <v>605</v>
      </c>
      <c r="F313" t="s">
        <v>193</v>
      </c>
      <c r="G313" t="s">
        <v>23</v>
      </c>
      <c r="H313" t="s">
        <v>55</v>
      </c>
      <c r="I313" t="s">
        <v>29</v>
      </c>
      <c r="J313">
        <v>10</v>
      </c>
      <c r="K313">
        <v>0.03</v>
      </c>
      <c r="L313">
        <v>1</v>
      </c>
      <c r="M313">
        <v>1</v>
      </c>
      <c r="N313">
        <v>1</v>
      </c>
      <c r="O313">
        <v>100</v>
      </c>
      <c r="P313" s="4" t="b">
        <f t="shared" si="4"/>
        <v>0</v>
      </c>
    </row>
    <row r="314" spans="1:16" x14ac:dyDescent="0.2">
      <c r="A314" t="s">
        <v>15</v>
      </c>
      <c r="B314" t="s">
        <v>1016</v>
      </c>
      <c r="C314">
        <v>321</v>
      </c>
      <c r="D314">
        <v>131074</v>
      </c>
      <c r="E314" t="s">
        <v>370</v>
      </c>
      <c r="F314" t="s">
        <v>17</v>
      </c>
      <c r="G314" t="s">
        <v>18</v>
      </c>
      <c r="H314" t="s">
        <v>19</v>
      </c>
      <c r="I314" t="s">
        <v>29</v>
      </c>
      <c r="J314">
        <v>27</v>
      </c>
      <c r="K314">
        <v>0.03</v>
      </c>
      <c r="L314">
        <v>1</v>
      </c>
      <c r="M314">
        <v>1</v>
      </c>
      <c r="N314">
        <v>1</v>
      </c>
      <c r="O314">
        <v>100</v>
      </c>
      <c r="P314" s="4" t="b">
        <f t="shared" si="4"/>
        <v>0</v>
      </c>
    </row>
    <row r="315" spans="1:16" x14ac:dyDescent="0.2">
      <c r="A315" t="s">
        <v>15</v>
      </c>
      <c r="B315" t="s">
        <v>1016</v>
      </c>
      <c r="C315">
        <v>322</v>
      </c>
      <c r="D315">
        <v>129572</v>
      </c>
      <c r="E315" t="s">
        <v>373</v>
      </c>
      <c r="F315" t="s">
        <v>17</v>
      </c>
      <c r="G315" t="s">
        <v>18</v>
      </c>
      <c r="H315" t="s">
        <v>19</v>
      </c>
      <c r="I315" t="s">
        <v>20</v>
      </c>
      <c r="J315">
        <v>28</v>
      </c>
      <c r="K315">
        <v>0.03</v>
      </c>
      <c r="L315">
        <v>1</v>
      </c>
      <c r="M315">
        <v>1</v>
      </c>
      <c r="N315">
        <v>1</v>
      </c>
      <c r="O315">
        <v>100</v>
      </c>
      <c r="P315" s="4" t="b">
        <f t="shared" si="4"/>
        <v>0</v>
      </c>
    </row>
    <row r="316" spans="1:16" x14ac:dyDescent="0.2">
      <c r="A316" t="s">
        <v>15</v>
      </c>
      <c r="B316" t="s">
        <v>1016</v>
      </c>
      <c r="C316">
        <v>323</v>
      </c>
      <c r="D316">
        <v>203092</v>
      </c>
      <c r="E316" t="s">
        <v>400</v>
      </c>
      <c r="F316" t="s">
        <v>62</v>
      </c>
      <c r="G316" t="s">
        <v>23</v>
      </c>
      <c r="H316" t="s">
        <v>39</v>
      </c>
      <c r="I316" t="s">
        <v>29</v>
      </c>
      <c r="J316">
        <v>16</v>
      </c>
      <c r="K316">
        <v>0.03</v>
      </c>
      <c r="L316">
        <v>1</v>
      </c>
      <c r="M316">
        <v>1</v>
      </c>
      <c r="N316">
        <v>1</v>
      </c>
      <c r="O316">
        <v>100</v>
      </c>
      <c r="P316" s="4" t="b">
        <f t="shared" si="4"/>
        <v>0</v>
      </c>
    </row>
    <row r="317" spans="1:16" x14ac:dyDescent="0.2">
      <c r="A317" t="s">
        <v>15</v>
      </c>
      <c r="B317" t="s">
        <v>1016</v>
      </c>
      <c r="C317">
        <v>324</v>
      </c>
      <c r="D317">
        <v>126166</v>
      </c>
      <c r="E317" t="s">
        <v>421</v>
      </c>
      <c r="F317" t="s">
        <v>78</v>
      </c>
      <c r="G317" t="s">
        <v>18</v>
      </c>
      <c r="H317" t="s">
        <v>28</v>
      </c>
      <c r="I317" t="s">
        <v>29</v>
      </c>
      <c r="J317">
        <v>14</v>
      </c>
      <c r="K317">
        <v>0.1</v>
      </c>
      <c r="L317">
        <v>4</v>
      </c>
      <c r="M317">
        <v>3</v>
      </c>
      <c r="N317">
        <v>3</v>
      </c>
      <c r="O317">
        <v>100</v>
      </c>
      <c r="P317" s="4" t="b">
        <f t="shared" si="4"/>
        <v>0</v>
      </c>
    </row>
    <row r="318" spans="1:16" x14ac:dyDescent="0.2">
      <c r="A318" t="s">
        <v>15</v>
      </c>
      <c r="B318" t="s">
        <v>1016</v>
      </c>
      <c r="C318">
        <v>325</v>
      </c>
      <c r="D318">
        <v>129553</v>
      </c>
      <c r="E318" t="s">
        <v>366</v>
      </c>
      <c r="F318" t="s">
        <v>54</v>
      </c>
      <c r="G318" t="s">
        <v>18</v>
      </c>
      <c r="H318" t="s">
        <v>55</v>
      </c>
      <c r="I318" t="s">
        <v>56</v>
      </c>
      <c r="J318">
        <v>14</v>
      </c>
      <c r="K318">
        <v>0.03</v>
      </c>
      <c r="L318">
        <v>1</v>
      </c>
      <c r="M318">
        <v>1</v>
      </c>
      <c r="N318">
        <v>1</v>
      </c>
      <c r="O318">
        <v>100</v>
      </c>
      <c r="P318" s="4" t="b">
        <f t="shared" si="4"/>
        <v>0</v>
      </c>
    </row>
    <row r="319" spans="1:16" x14ac:dyDescent="0.2">
      <c r="A319" t="s">
        <v>15</v>
      </c>
      <c r="B319" t="s">
        <v>1016</v>
      </c>
      <c r="C319">
        <v>326</v>
      </c>
      <c r="D319">
        <v>148011</v>
      </c>
      <c r="E319" t="s">
        <v>557</v>
      </c>
      <c r="F319" t="s">
        <v>215</v>
      </c>
      <c r="G319" t="s">
        <v>23</v>
      </c>
      <c r="H319" t="s">
        <v>28</v>
      </c>
      <c r="I319" t="s">
        <v>20</v>
      </c>
      <c r="J319">
        <v>5</v>
      </c>
      <c r="K319">
        <v>0.03</v>
      </c>
      <c r="L319">
        <v>1</v>
      </c>
      <c r="M319">
        <v>1</v>
      </c>
      <c r="N319">
        <v>1</v>
      </c>
      <c r="O319">
        <v>100</v>
      </c>
      <c r="P319" s="4" t="b">
        <f t="shared" si="4"/>
        <v>0</v>
      </c>
    </row>
    <row r="320" spans="1:16" x14ac:dyDescent="0.2">
      <c r="A320" t="s">
        <v>15</v>
      </c>
      <c r="B320" t="s">
        <v>1016</v>
      </c>
      <c r="C320">
        <v>327</v>
      </c>
      <c r="D320">
        <v>129501</v>
      </c>
      <c r="E320" t="s">
        <v>285</v>
      </c>
      <c r="F320" t="s">
        <v>44</v>
      </c>
      <c r="G320" t="s">
        <v>18</v>
      </c>
      <c r="H320" t="s">
        <v>39</v>
      </c>
      <c r="I320" t="s">
        <v>74</v>
      </c>
      <c r="J320">
        <v>15</v>
      </c>
      <c r="K320">
        <v>0.03</v>
      </c>
      <c r="L320">
        <v>1</v>
      </c>
      <c r="M320">
        <v>1</v>
      </c>
      <c r="N320">
        <v>1</v>
      </c>
      <c r="O320">
        <v>100</v>
      </c>
      <c r="P320" s="4" t="b">
        <f t="shared" si="4"/>
        <v>0</v>
      </c>
    </row>
    <row r="321" spans="1:16" x14ac:dyDescent="0.2">
      <c r="A321" t="s">
        <v>15</v>
      </c>
      <c r="B321" t="s">
        <v>1016</v>
      </c>
      <c r="C321">
        <v>328</v>
      </c>
      <c r="D321">
        <v>129489</v>
      </c>
      <c r="E321" t="s">
        <v>420</v>
      </c>
      <c r="F321" t="s">
        <v>73</v>
      </c>
      <c r="G321" t="s">
        <v>18</v>
      </c>
      <c r="H321" t="s">
        <v>28</v>
      </c>
      <c r="I321" t="s">
        <v>56</v>
      </c>
      <c r="J321">
        <v>15</v>
      </c>
      <c r="K321">
        <v>0.03</v>
      </c>
      <c r="L321">
        <v>1</v>
      </c>
      <c r="M321">
        <v>1</v>
      </c>
      <c r="N321">
        <v>1</v>
      </c>
      <c r="O321">
        <v>100</v>
      </c>
      <c r="P321" s="4" t="b">
        <f t="shared" si="4"/>
        <v>0</v>
      </c>
    </row>
    <row r="322" spans="1:16" x14ac:dyDescent="0.2">
      <c r="A322" t="s">
        <v>15</v>
      </c>
      <c r="B322" t="s">
        <v>1016</v>
      </c>
      <c r="C322">
        <v>329</v>
      </c>
      <c r="D322">
        <v>67870</v>
      </c>
      <c r="E322" t="s">
        <v>398</v>
      </c>
      <c r="F322" t="s">
        <v>165</v>
      </c>
      <c r="G322" t="s">
        <v>23</v>
      </c>
      <c r="H322" t="s">
        <v>39</v>
      </c>
      <c r="I322" t="s">
        <v>29</v>
      </c>
      <c r="J322">
        <v>5</v>
      </c>
      <c r="K322">
        <v>0.03</v>
      </c>
      <c r="L322">
        <v>1</v>
      </c>
      <c r="M322">
        <v>1</v>
      </c>
      <c r="N322">
        <v>1</v>
      </c>
      <c r="O322">
        <v>100</v>
      </c>
      <c r="P322" s="4" t="b">
        <f t="shared" si="4"/>
        <v>0</v>
      </c>
    </row>
    <row r="323" spans="1:16" x14ac:dyDescent="0.2">
      <c r="A323" t="s">
        <v>15</v>
      </c>
      <c r="B323" t="s">
        <v>1016</v>
      </c>
      <c r="C323">
        <v>330</v>
      </c>
      <c r="D323">
        <v>130783</v>
      </c>
      <c r="E323" t="s">
        <v>418</v>
      </c>
      <c r="F323" t="s">
        <v>68</v>
      </c>
      <c r="G323" t="s">
        <v>18</v>
      </c>
      <c r="H323" t="s">
        <v>28</v>
      </c>
      <c r="I323" t="s">
        <v>74</v>
      </c>
      <c r="J323">
        <v>14</v>
      </c>
      <c r="K323">
        <v>0.03</v>
      </c>
      <c r="L323">
        <v>1</v>
      </c>
      <c r="M323">
        <v>1</v>
      </c>
      <c r="N323">
        <v>1</v>
      </c>
      <c r="O323">
        <v>100</v>
      </c>
      <c r="P323" s="4" t="b">
        <f t="shared" ref="P323:P386" si="5">C323&lt;($Q$1+1)</f>
        <v>0</v>
      </c>
    </row>
    <row r="324" spans="1:16" x14ac:dyDescent="0.2">
      <c r="A324" t="s">
        <v>15</v>
      </c>
      <c r="B324" t="s">
        <v>1016</v>
      </c>
      <c r="C324">
        <v>331</v>
      </c>
      <c r="D324">
        <v>67561</v>
      </c>
      <c r="E324" t="s">
        <v>607</v>
      </c>
      <c r="F324" t="s">
        <v>261</v>
      </c>
      <c r="G324" t="s">
        <v>23</v>
      </c>
      <c r="H324" t="s">
        <v>55</v>
      </c>
      <c r="I324" t="s">
        <v>29</v>
      </c>
      <c r="J324">
        <v>7</v>
      </c>
      <c r="K324">
        <v>0.03</v>
      </c>
      <c r="L324">
        <v>1</v>
      </c>
      <c r="M324">
        <v>1</v>
      </c>
      <c r="N324">
        <v>1</v>
      </c>
      <c r="O324">
        <v>100</v>
      </c>
      <c r="P324" s="4" t="b">
        <f t="shared" si="5"/>
        <v>0</v>
      </c>
    </row>
    <row r="325" spans="1:16" x14ac:dyDescent="0.2">
      <c r="A325" t="s">
        <v>15</v>
      </c>
      <c r="B325" t="s">
        <v>1016</v>
      </c>
      <c r="C325">
        <v>332</v>
      </c>
      <c r="D325">
        <v>129736</v>
      </c>
      <c r="E325" t="s">
        <v>855</v>
      </c>
      <c r="F325" t="s">
        <v>190</v>
      </c>
      <c r="G325" t="s">
        <v>18</v>
      </c>
      <c r="H325" t="s">
        <v>55</v>
      </c>
      <c r="I325" t="s">
        <v>20</v>
      </c>
      <c r="J325">
        <v>14</v>
      </c>
      <c r="K325">
        <v>0.03</v>
      </c>
      <c r="L325">
        <v>1</v>
      </c>
      <c r="M325">
        <v>1</v>
      </c>
      <c r="N325">
        <v>1</v>
      </c>
      <c r="O325">
        <v>100</v>
      </c>
      <c r="P325" s="4" t="b">
        <f t="shared" si="5"/>
        <v>0</v>
      </c>
    </row>
    <row r="326" spans="1:16" x14ac:dyDescent="0.2">
      <c r="A326" t="s">
        <v>15</v>
      </c>
      <c r="B326" t="s">
        <v>1016</v>
      </c>
      <c r="C326">
        <v>333</v>
      </c>
      <c r="D326">
        <v>136233</v>
      </c>
      <c r="E326" t="s">
        <v>878</v>
      </c>
      <c r="F326" t="s">
        <v>238</v>
      </c>
      <c r="G326" t="s">
        <v>18</v>
      </c>
      <c r="H326" t="s">
        <v>28</v>
      </c>
      <c r="I326" t="s">
        <v>20</v>
      </c>
      <c r="J326">
        <v>14</v>
      </c>
      <c r="K326">
        <v>0.03</v>
      </c>
      <c r="L326">
        <v>1</v>
      </c>
      <c r="M326">
        <v>1</v>
      </c>
      <c r="N326">
        <v>1</v>
      </c>
      <c r="O326">
        <v>100</v>
      </c>
      <c r="P326" s="4" t="b">
        <f t="shared" si="5"/>
        <v>0</v>
      </c>
    </row>
    <row r="327" spans="1:16" x14ac:dyDescent="0.2">
      <c r="A327" t="s">
        <v>15</v>
      </c>
      <c r="B327" t="s">
        <v>1016</v>
      </c>
      <c r="C327">
        <v>334</v>
      </c>
      <c r="D327">
        <v>120278</v>
      </c>
      <c r="E327" t="s">
        <v>239</v>
      </c>
      <c r="F327" t="s">
        <v>96</v>
      </c>
      <c r="G327" t="s">
        <v>23</v>
      </c>
      <c r="H327" t="s">
        <v>55</v>
      </c>
      <c r="I327" t="s">
        <v>29</v>
      </c>
      <c r="J327">
        <v>5</v>
      </c>
      <c r="K327">
        <v>0.03</v>
      </c>
      <c r="L327">
        <v>1</v>
      </c>
      <c r="M327">
        <v>1</v>
      </c>
      <c r="N327">
        <v>1</v>
      </c>
      <c r="O327">
        <v>100</v>
      </c>
      <c r="P327" s="4" t="b">
        <f t="shared" si="5"/>
        <v>0</v>
      </c>
    </row>
    <row r="328" spans="1:16" x14ac:dyDescent="0.2">
      <c r="A328" t="s">
        <v>15</v>
      </c>
      <c r="B328" t="s">
        <v>1016</v>
      </c>
      <c r="C328">
        <v>335</v>
      </c>
      <c r="D328">
        <v>130236</v>
      </c>
      <c r="E328" t="s">
        <v>390</v>
      </c>
      <c r="F328" t="s">
        <v>17</v>
      </c>
      <c r="G328" t="s">
        <v>18</v>
      </c>
      <c r="H328" t="s">
        <v>19</v>
      </c>
      <c r="I328" t="s">
        <v>29</v>
      </c>
      <c r="J328">
        <v>29</v>
      </c>
      <c r="K328">
        <v>0.03</v>
      </c>
      <c r="L328">
        <v>1</v>
      </c>
      <c r="M328">
        <v>1</v>
      </c>
      <c r="N328">
        <v>1</v>
      </c>
      <c r="O328">
        <v>100</v>
      </c>
      <c r="P328" s="4" t="b">
        <f t="shared" si="5"/>
        <v>0</v>
      </c>
    </row>
    <row r="329" spans="1:16" x14ac:dyDescent="0.2">
      <c r="A329" t="s">
        <v>15</v>
      </c>
      <c r="B329" t="s">
        <v>1016</v>
      </c>
      <c r="C329">
        <v>336</v>
      </c>
      <c r="D329">
        <v>130308</v>
      </c>
      <c r="E329" t="s">
        <v>394</v>
      </c>
      <c r="F329" t="s">
        <v>17</v>
      </c>
      <c r="G329" t="s">
        <v>18</v>
      </c>
      <c r="H329" t="s">
        <v>19</v>
      </c>
      <c r="I329" t="s">
        <v>29</v>
      </c>
      <c r="J329">
        <v>30</v>
      </c>
      <c r="K329">
        <v>0.03</v>
      </c>
      <c r="L329">
        <v>1</v>
      </c>
      <c r="M329">
        <v>1</v>
      </c>
      <c r="N329">
        <v>1</v>
      </c>
      <c r="O329">
        <v>100</v>
      </c>
      <c r="P329" s="4" t="b">
        <f t="shared" si="5"/>
        <v>0</v>
      </c>
    </row>
    <row r="330" spans="1:16" x14ac:dyDescent="0.2">
      <c r="A330" t="s">
        <v>15</v>
      </c>
      <c r="B330" t="s">
        <v>1016</v>
      </c>
      <c r="C330">
        <v>337</v>
      </c>
      <c r="D330">
        <v>61947</v>
      </c>
      <c r="E330" t="s">
        <v>609</v>
      </c>
      <c r="F330" t="s">
        <v>267</v>
      </c>
      <c r="G330" t="s">
        <v>23</v>
      </c>
      <c r="H330" t="s">
        <v>55</v>
      </c>
      <c r="I330" t="s">
        <v>29</v>
      </c>
      <c r="J330">
        <v>5</v>
      </c>
      <c r="K330">
        <v>0.03</v>
      </c>
      <c r="L330">
        <v>1</v>
      </c>
      <c r="M330">
        <v>1</v>
      </c>
      <c r="N330">
        <v>1</v>
      </c>
      <c r="O330">
        <v>100</v>
      </c>
      <c r="P330" s="4" t="b">
        <f t="shared" si="5"/>
        <v>0</v>
      </c>
    </row>
    <row r="331" spans="1:16" x14ac:dyDescent="0.2">
      <c r="A331" t="s">
        <v>15</v>
      </c>
      <c r="B331" t="s">
        <v>1016</v>
      </c>
      <c r="C331">
        <v>338</v>
      </c>
      <c r="D331">
        <v>124000</v>
      </c>
      <c r="E331" t="s">
        <v>438</v>
      </c>
      <c r="F331" t="s">
        <v>78</v>
      </c>
      <c r="G331" t="s">
        <v>18</v>
      </c>
      <c r="H331" t="s">
        <v>28</v>
      </c>
      <c r="I331" t="s">
        <v>29</v>
      </c>
      <c r="J331">
        <v>15</v>
      </c>
      <c r="K331">
        <v>0.03</v>
      </c>
      <c r="L331">
        <v>1</v>
      </c>
      <c r="M331">
        <v>1</v>
      </c>
      <c r="N331">
        <v>1</v>
      </c>
      <c r="O331">
        <v>100</v>
      </c>
      <c r="P331" s="4" t="b">
        <f t="shared" si="5"/>
        <v>0</v>
      </c>
    </row>
    <row r="332" spans="1:16" x14ac:dyDescent="0.2">
      <c r="A332" t="s">
        <v>15</v>
      </c>
      <c r="B332" t="s">
        <v>1016</v>
      </c>
      <c r="C332">
        <v>339</v>
      </c>
      <c r="D332">
        <v>129469</v>
      </c>
      <c r="E332" t="s">
        <v>375</v>
      </c>
      <c r="F332" t="s">
        <v>54</v>
      </c>
      <c r="G332" t="s">
        <v>18</v>
      </c>
      <c r="H332" t="s">
        <v>55</v>
      </c>
      <c r="I332" t="s">
        <v>29</v>
      </c>
      <c r="J332">
        <v>15</v>
      </c>
      <c r="K332">
        <v>0.03</v>
      </c>
      <c r="L332">
        <v>1</v>
      </c>
      <c r="M332">
        <v>1</v>
      </c>
      <c r="N332">
        <v>1</v>
      </c>
      <c r="O332">
        <v>100</v>
      </c>
      <c r="P332" s="4" t="b">
        <f t="shared" si="5"/>
        <v>0</v>
      </c>
    </row>
    <row r="333" spans="1:16" x14ac:dyDescent="0.2">
      <c r="A333" t="s">
        <v>15</v>
      </c>
      <c r="B333" t="s">
        <v>1016</v>
      </c>
      <c r="C333">
        <v>340</v>
      </c>
      <c r="D333">
        <v>126099</v>
      </c>
      <c r="E333" t="s">
        <v>232</v>
      </c>
      <c r="F333" t="s">
        <v>26</v>
      </c>
      <c r="G333" t="s">
        <v>23</v>
      </c>
      <c r="H333" t="s">
        <v>28</v>
      </c>
      <c r="I333" t="s">
        <v>29</v>
      </c>
      <c r="J333">
        <v>6</v>
      </c>
      <c r="K333">
        <v>0.03</v>
      </c>
      <c r="L333">
        <v>1</v>
      </c>
      <c r="M333">
        <v>1</v>
      </c>
      <c r="N333">
        <v>1</v>
      </c>
      <c r="O333">
        <v>100</v>
      </c>
      <c r="P333" s="4" t="b">
        <f t="shared" si="5"/>
        <v>0</v>
      </c>
    </row>
    <row r="334" spans="1:16" x14ac:dyDescent="0.2">
      <c r="A334" t="s">
        <v>15</v>
      </c>
      <c r="B334" t="s">
        <v>1016</v>
      </c>
      <c r="C334">
        <v>341</v>
      </c>
      <c r="D334">
        <v>130861</v>
      </c>
      <c r="E334" t="s">
        <v>292</v>
      </c>
      <c r="F334" t="s">
        <v>44</v>
      </c>
      <c r="G334" t="s">
        <v>18</v>
      </c>
      <c r="H334" t="s">
        <v>39</v>
      </c>
      <c r="I334" t="s">
        <v>20</v>
      </c>
      <c r="J334">
        <v>16</v>
      </c>
      <c r="K334">
        <v>0.03</v>
      </c>
      <c r="L334">
        <v>1</v>
      </c>
      <c r="M334">
        <v>1</v>
      </c>
      <c r="N334">
        <v>1</v>
      </c>
      <c r="O334">
        <v>100</v>
      </c>
      <c r="P334" s="4" t="b">
        <f t="shared" si="5"/>
        <v>0</v>
      </c>
    </row>
    <row r="335" spans="1:16" x14ac:dyDescent="0.2">
      <c r="A335" t="s">
        <v>15</v>
      </c>
      <c r="B335" t="s">
        <v>1016</v>
      </c>
      <c r="C335">
        <v>342</v>
      </c>
      <c r="D335">
        <v>129676</v>
      </c>
      <c r="E335" t="s">
        <v>436</v>
      </c>
      <c r="F335" t="s">
        <v>73</v>
      </c>
      <c r="G335" t="s">
        <v>18</v>
      </c>
      <c r="H335" t="s">
        <v>28</v>
      </c>
      <c r="I335" t="s">
        <v>83</v>
      </c>
      <c r="J335">
        <v>16</v>
      </c>
      <c r="K335">
        <v>0.03</v>
      </c>
      <c r="L335">
        <v>1</v>
      </c>
      <c r="M335">
        <v>1</v>
      </c>
      <c r="N335">
        <v>1</v>
      </c>
      <c r="O335">
        <v>100</v>
      </c>
      <c r="P335" s="4" t="b">
        <f t="shared" si="5"/>
        <v>0</v>
      </c>
    </row>
    <row r="336" spans="1:16" x14ac:dyDescent="0.2">
      <c r="A336" t="s">
        <v>15</v>
      </c>
      <c r="B336" t="s">
        <v>1016</v>
      </c>
      <c r="C336">
        <v>343</v>
      </c>
      <c r="D336">
        <v>50788</v>
      </c>
      <c r="E336" t="s">
        <v>286</v>
      </c>
      <c r="F336" t="s">
        <v>90</v>
      </c>
      <c r="G336" t="s">
        <v>23</v>
      </c>
      <c r="H336" t="s">
        <v>55</v>
      </c>
      <c r="I336" t="s">
        <v>29</v>
      </c>
      <c r="J336">
        <v>6</v>
      </c>
      <c r="K336">
        <v>0.03</v>
      </c>
      <c r="L336">
        <v>1</v>
      </c>
      <c r="M336">
        <v>1</v>
      </c>
      <c r="N336">
        <v>1</v>
      </c>
      <c r="O336">
        <v>100</v>
      </c>
      <c r="P336" s="4" t="b">
        <f t="shared" si="5"/>
        <v>0</v>
      </c>
    </row>
    <row r="337" spans="1:16" x14ac:dyDescent="0.2">
      <c r="A337" t="s">
        <v>15</v>
      </c>
      <c r="B337" t="s">
        <v>1016</v>
      </c>
      <c r="C337">
        <v>344</v>
      </c>
      <c r="D337">
        <v>129509</v>
      </c>
      <c r="E337" t="s">
        <v>434</v>
      </c>
      <c r="F337" t="s">
        <v>68</v>
      </c>
      <c r="G337" t="s">
        <v>18</v>
      </c>
      <c r="H337" t="s">
        <v>28</v>
      </c>
      <c r="I337" t="s">
        <v>20</v>
      </c>
      <c r="J337">
        <v>15</v>
      </c>
      <c r="K337">
        <v>0.03</v>
      </c>
      <c r="L337">
        <v>1</v>
      </c>
      <c r="M337">
        <v>1</v>
      </c>
      <c r="N337">
        <v>1</v>
      </c>
      <c r="O337">
        <v>100</v>
      </c>
      <c r="P337" s="4" t="b">
        <f t="shared" si="5"/>
        <v>0</v>
      </c>
    </row>
    <row r="338" spans="1:16" x14ac:dyDescent="0.2">
      <c r="A338" t="s">
        <v>15</v>
      </c>
      <c r="B338" t="s">
        <v>1016</v>
      </c>
      <c r="C338">
        <v>345</v>
      </c>
      <c r="D338">
        <v>129508</v>
      </c>
      <c r="E338" t="s">
        <v>861</v>
      </c>
      <c r="F338" t="s">
        <v>190</v>
      </c>
      <c r="G338" t="s">
        <v>18</v>
      </c>
      <c r="H338" t="s">
        <v>55</v>
      </c>
      <c r="I338" t="s">
        <v>20</v>
      </c>
      <c r="J338">
        <v>15</v>
      </c>
      <c r="K338">
        <v>0.03</v>
      </c>
      <c r="L338">
        <v>1</v>
      </c>
      <c r="M338">
        <v>1</v>
      </c>
      <c r="N338">
        <v>1</v>
      </c>
      <c r="O338">
        <v>100</v>
      </c>
      <c r="P338" s="4" t="b">
        <f t="shared" si="5"/>
        <v>0</v>
      </c>
    </row>
    <row r="339" spans="1:16" x14ac:dyDescent="0.2">
      <c r="A339" t="s">
        <v>15</v>
      </c>
      <c r="B339" t="s">
        <v>1016</v>
      </c>
      <c r="C339">
        <v>346</v>
      </c>
      <c r="D339">
        <v>126585</v>
      </c>
      <c r="E339" t="s">
        <v>179</v>
      </c>
      <c r="F339" t="s">
        <v>38</v>
      </c>
      <c r="G339" t="s">
        <v>23</v>
      </c>
      <c r="H339" t="s">
        <v>39</v>
      </c>
      <c r="I339" t="s">
        <v>29</v>
      </c>
      <c r="J339">
        <v>6</v>
      </c>
      <c r="K339">
        <v>0.03</v>
      </c>
      <c r="L339">
        <v>1</v>
      </c>
      <c r="M339">
        <v>1</v>
      </c>
      <c r="N339">
        <v>1</v>
      </c>
      <c r="O339">
        <v>100</v>
      </c>
      <c r="P339" s="4" t="b">
        <f t="shared" si="5"/>
        <v>0</v>
      </c>
    </row>
    <row r="340" spans="1:16" x14ac:dyDescent="0.2">
      <c r="A340" t="s">
        <v>15</v>
      </c>
      <c r="B340" t="s">
        <v>1016</v>
      </c>
      <c r="C340">
        <v>347</v>
      </c>
      <c r="D340">
        <v>130587</v>
      </c>
      <c r="E340" t="s">
        <v>886</v>
      </c>
      <c r="F340" t="s">
        <v>238</v>
      </c>
      <c r="G340" t="s">
        <v>18</v>
      </c>
      <c r="H340" t="s">
        <v>28</v>
      </c>
      <c r="I340" t="s">
        <v>29</v>
      </c>
      <c r="J340">
        <v>15</v>
      </c>
      <c r="K340">
        <v>0.03</v>
      </c>
      <c r="L340">
        <v>1</v>
      </c>
      <c r="M340">
        <v>1</v>
      </c>
      <c r="N340">
        <v>1</v>
      </c>
      <c r="O340">
        <v>100</v>
      </c>
      <c r="P340" s="4" t="b">
        <f t="shared" si="5"/>
        <v>0</v>
      </c>
    </row>
    <row r="341" spans="1:16" x14ac:dyDescent="0.2">
      <c r="A341" t="s">
        <v>15</v>
      </c>
      <c r="B341" t="s">
        <v>1016</v>
      </c>
      <c r="C341">
        <v>348</v>
      </c>
      <c r="D341">
        <v>50856</v>
      </c>
      <c r="E341" t="s">
        <v>116</v>
      </c>
      <c r="F341" t="s">
        <v>22</v>
      </c>
      <c r="G341" t="s">
        <v>23</v>
      </c>
      <c r="H341" t="s">
        <v>22</v>
      </c>
      <c r="I341" t="s">
        <v>29</v>
      </c>
      <c r="J341">
        <v>6</v>
      </c>
      <c r="K341">
        <v>0.03</v>
      </c>
      <c r="L341">
        <v>1</v>
      </c>
      <c r="M341">
        <v>1</v>
      </c>
      <c r="N341">
        <v>1</v>
      </c>
      <c r="O341">
        <v>100</v>
      </c>
      <c r="P341" s="4" t="b">
        <f t="shared" si="5"/>
        <v>0</v>
      </c>
    </row>
    <row r="342" spans="1:16" x14ac:dyDescent="0.2">
      <c r="A342" t="s">
        <v>15</v>
      </c>
      <c r="B342" t="s">
        <v>1016</v>
      </c>
      <c r="C342">
        <v>349</v>
      </c>
      <c r="D342">
        <v>130659</v>
      </c>
      <c r="E342" t="s">
        <v>401</v>
      </c>
      <c r="F342" t="s">
        <v>17</v>
      </c>
      <c r="G342" t="s">
        <v>18</v>
      </c>
      <c r="H342" t="s">
        <v>19</v>
      </c>
      <c r="I342" t="s">
        <v>56</v>
      </c>
      <c r="J342">
        <v>31</v>
      </c>
      <c r="K342">
        <v>0.03</v>
      </c>
      <c r="L342">
        <v>1</v>
      </c>
      <c r="M342">
        <v>1</v>
      </c>
      <c r="N342">
        <v>1</v>
      </c>
      <c r="O342">
        <v>100</v>
      </c>
      <c r="P342" s="4" t="b">
        <f t="shared" si="5"/>
        <v>0</v>
      </c>
    </row>
    <row r="343" spans="1:16" x14ac:dyDescent="0.2">
      <c r="A343" t="s">
        <v>15</v>
      </c>
      <c r="B343" t="s">
        <v>1016</v>
      </c>
      <c r="C343">
        <v>350</v>
      </c>
      <c r="D343">
        <v>130874</v>
      </c>
      <c r="E343" t="s">
        <v>410</v>
      </c>
      <c r="F343" t="s">
        <v>17</v>
      </c>
      <c r="G343" t="s">
        <v>18</v>
      </c>
      <c r="H343" t="s">
        <v>19</v>
      </c>
      <c r="I343" t="s">
        <v>29</v>
      </c>
      <c r="J343">
        <v>32</v>
      </c>
      <c r="K343">
        <v>0.03</v>
      </c>
      <c r="L343">
        <v>1</v>
      </c>
      <c r="M343">
        <v>1</v>
      </c>
      <c r="N343">
        <v>1</v>
      </c>
      <c r="O343">
        <v>100</v>
      </c>
      <c r="P343" s="4" t="b">
        <f t="shared" si="5"/>
        <v>0</v>
      </c>
    </row>
    <row r="344" spans="1:16" x14ac:dyDescent="0.2">
      <c r="A344" t="s">
        <v>15</v>
      </c>
      <c r="B344" t="s">
        <v>1016</v>
      </c>
      <c r="C344">
        <v>351</v>
      </c>
      <c r="D344">
        <v>76382</v>
      </c>
      <c r="E344" t="s">
        <v>234</v>
      </c>
      <c r="F344" t="s">
        <v>58</v>
      </c>
      <c r="G344" t="s">
        <v>23</v>
      </c>
      <c r="H344" t="s">
        <v>28</v>
      </c>
      <c r="I344" t="s">
        <v>20</v>
      </c>
      <c r="J344">
        <v>11</v>
      </c>
      <c r="K344">
        <v>0.03</v>
      </c>
      <c r="L344">
        <v>1</v>
      </c>
      <c r="M344">
        <v>1</v>
      </c>
      <c r="N344">
        <v>1</v>
      </c>
      <c r="O344">
        <v>100</v>
      </c>
      <c r="P344" s="4" t="b">
        <f t="shared" si="5"/>
        <v>0</v>
      </c>
    </row>
    <row r="345" spans="1:16" x14ac:dyDescent="0.2">
      <c r="A345" t="s">
        <v>15</v>
      </c>
      <c r="B345" t="s">
        <v>1016</v>
      </c>
      <c r="C345">
        <v>352</v>
      </c>
      <c r="D345">
        <v>78453</v>
      </c>
      <c r="E345" t="s">
        <v>464</v>
      </c>
      <c r="F345" t="s">
        <v>78</v>
      </c>
      <c r="G345" t="s">
        <v>18</v>
      </c>
      <c r="H345" t="s">
        <v>28</v>
      </c>
      <c r="I345" t="s">
        <v>20</v>
      </c>
      <c r="J345">
        <v>16</v>
      </c>
      <c r="K345">
        <v>0.03</v>
      </c>
      <c r="L345">
        <v>1</v>
      </c>
      <c r="M345">
        <v>1</v>
      </c>
      <c r="N345">
        <v>1</v>
      </c>
      <c r="O345">
        <v>100</v>
      </c>
      <c r="P345" s="4" t="b">
        <f t="shared" si="5"/>
        <v>0</v>
      </c>
    </row>
    <row r="346" spans="1:16" x14ac:dyDescent="0.2">
      <c r="A346" t="s">
        <v>15</v>
      </c>
      <c r="B346" t="s">
        <v>1016</v>
      </c>
      <c r="C346">
        <v>353</v>
      </c>
      <c r="D346">
        <v>129485</v>
      </c>
      <c r="E346" t="s">
        <v>399</v>
      </c>
      <c r="F346" t="s">
        <v>54</v>
      </c>
      <c r="G346" t="s">
        <v>18</v>
      </c>
      <c r="H346" t="s">
        <v>55</v>
      </c>
      <c r="I346" t="s">
        <v>29</v>
      </c>
      <c r="J346">
        <v>16</v>
      </c>
      <c r="K346">
        <v>0.03</v>
      </c>
      <c r="L346">
        <v>1</v>
      </c>
      <c r="M346">
        <v>1</v>
      </c>
      <c r="N346">
        <v>1</v>
      </c>
      <c r="O346">
        <v>100</v>
      </c>
      <c r="P346" s="4" t="b">
        <f t="shared" si="5"/>
        <v>0</v>
      </c>
    </row>
    <row r="347" spans="1:16" x14ac:dyDescent="0.2">
      <c r="A347" t="s">
        <v>15</v>
      </c>
      <c r="B347" t="s">
        <v>1016</v>
      </c>
      <c r="C347">
        <v>354</v>
      </c>
      <c r="D347">
        <v>49552</v>
      </c>
      <c r="E347" t="s">
        <v>598</v>
      </c>
      <c r="F347" t="s">
        <v>219</v>
      </c>
      <c r="G347" t="s">
        <v>23</v>
      </c>
      <c r="H347" t="s">
        <v>28</v>
      </c>
      <c r="I347" t="s">
        <v>29</v>
      </c>
      <c r="J347">
        <v>8</v>
      </c>
      <c r="K347">
        <v>0.03</v>
      </c>
      <c r="L347">
        <v>1</v>
      </c>
      <c r="M347">
        <v>1</v>
      </c>
      <c r="N347">
        <v>1</v>
      </c>
      <c r="O347">
        <v>100</v>
      </c>
      <c r="P347" s="4" t="b">
        <f t="shared" si="5"/>
        <v>0</v>
      </c>
    </row>
    <row r="348" spans="1:16" x14ac:dyDescent="0.2">
      <c r="A348" t="s">
        <v>15</v>
      </c>
      <c r="B348" t="s">
        <v>1016</v>
      </c>
      <c r="C348">
        <v>355</v>
      </c>
      <c r="D348">
        <v>130668</v>
      </c>
      <c r="E348" t="s">
        <v>312</v>
      </c>
      <c r="F348" t="s">
        <v>44</v>
      </c>
      <c r="G348" t="s">
        <v>18</v>
      </c>
      <c r="H348" t="s">
        <v>39</v>
      </c>
      <c r="I348" t="s">
        <v>29</v>
      </c>
      <c r="J348">
        <v>17</v>
      </c>
      <c r="K348">
        <v>0.03</v>
      </c>
      <c r="L348">
        <v>1</v>
      </c>
      <c r="M348">
        <v>1</v>
      </c>
      <c r="N348">
        <v>1</v>
      </c>
      <c r="O348">
        <v>100</v>
      </c>
      <c r="P348" s="4" t="b">
        <f t="shared" si="5"/>
        <v>0</v>
      </c>
    </row>
    <row r="349" spans="1:16" x14ac:dyDescent="0.2">
      <c r="A349" t="s">
        <v>15</v>
      </c>
      <c r="B349" t="s">
        <v>1016</v>
      </c>
      <c r="C349">
        <v>356</v>
      </c>
      <c r="D349">
        <v>130431</v>
      </c>
      <c r="E349" t="s">
        <v>462</v>
      </c>
      <c r="F349" t="s">
        <v>73</v>
      </c>
      <c r="G349" t="s">
        <v>18</v>
      </c>
      <c r="H349" t="s">
        <v>28</v>
      </c>
      <c r="I349" t="s">
        <v>83</v>
      </c>
      <c r="J349">
        <v>18</v>
      </c>
      <c r="K349">
        <v>0.03</v>
      </c>
      <c r="L349">
        <v>1</v>
      </c>
      <c r="M349">
        <v>1</v>
      </c>
      <c r="N349">
        <v>1</v>
      </c>
      <c r="O349">
        <v>100</v>
      </c>
      <c r="P349" s="4" t="b">
        <f t="shared" si="5"/>
        <v>0</v>
      </c>
    </row>
    <row r="350" spans="1:16" x14ac:dyDescent="0.2">
      <c r="A350" t="s">
        <v>15</v>
      </c>
      <c r="B350" t="s">
        <v>1016</v>
      </c>
      <c r="C350">
        <v>357</v>
      </c>
      <c r="D350">
        <v>47391</v>
      </c>
      <c r="E350" t="s">
        <v>662</v>
      </c>
      <c r="F350" t="s">
        <v>193</v>
      </c>
      <c r="G350" t="s">
        <v>23</v>
      </c>
      <c r="H350" t="s">
        <v>55</v>
      </c>
      <c r="I350" t="s">
        <v>29</v>
      </c>
      <c r="J350">
        <v>11</v>
      </c>
      <c r="K350">
        <v>0.03</v>
      </c>
      <c r="L350">
        <v>1</v>
      </c>
      <c r="M350">
        <v>1</v>
      </c>
      <c r="N350">
        <v>1</v>
      </c>
      <c r="O350">
        <v>100</v>
      </c>
      <c r="P350" s="4" t="b">
        <f t="shared" si="5"/>
        <v>0</v>
      </c>
    </row>
    <row r="351" spans="1:16" x14ac:dyDescent="0.2">
      <c r="A351" t="s">
        <v>15</v>
      </c>
      <c r="B351" t="s">
        <v>1016</v>
      </c>
      <c r="C351">
        <v>358</v>
      </c>
      <c r="D351">
        <v>129490</v>
      </c>
      <c r="E351" t="s">
        <v>460</v>
      </c>
      <c r="F351" t="s">
        <v>68</v>
      </c>
      <c r="G351" t="s">
        <v>18</v>
      </c>
      <c r="H351" t="s">
        <v>28</v>
      </c>
      <c r="I351" t="s">
        <v>56</v>
      </c>
      <c r="J351">
        <v>16</v>
      </c>
      <c r="K351">
        <v>0.03</v>
      </c>
      <c r="L351">
        <v>1</v>
      </c>
      <c r="M351">
        <v>1</v>
      </c>
      <c r="N351">
        <v>1</v>
      </c>
      <c r="O351">
        <v>100</v>
      </c>
      <c r="P351" s="4" t="b">
        <f t="shared" si="5"/>
        <v>0</v>
      </c>
    </row>
    <row r="352" spans="1:16" x14ac:dyDescent="0.2">
      <c r="A352" t="s">
        <v>15</v>
      </c>
      <c r="B352" t="s">
        <v>1016</v>
      </c>
      <c r="C352">
        <v>359</v>
      </c>
      <c r="D352">
        <v>129878</v>
      </c>
      <c r="E352" t="s">
        <v>867</v>
      </c>
      <c r="F352" t="s">
        <v>190</v>
      </c>
      <c r="G352" t="s">
        <v>18</v>
      </c>
      <c r="H352" t="s">
        <v>55</v>
      </c>
      <c r="I352" t="s">
        <v>20</v>
      </c>
      <c r="J352">
        <v>16</v>
      </c>
      <c r="K352">
        <v>0.03</v>
      </c>
      <c r="L352">
        <v>1</v>
      </c>
      <c r="M352">
        <v>1</v>
      </c>
      <c r="N352">
        <v>1</v>
      </c>
      <c r="O352">
        <v>100</v>
      </c>
      <c r="P352" s="4" t="b">
        <f t="shared" si="5"/>
        <v>0</v>
      </c>
    </row>
    <row r="353" spans="1:16" x14ac:dyDescent="0.2">
      <c r="A353" t="s">
        <v>15</v>
      </c>
      <c r="B353" t="s">
        <v>1016</v>
      </c>
      <c r="C353">
        <v>360</v>
      </c>
      <c r="D353">
        <v>49198</v>
      </c>
      <c r="E353" t="s">
        <v>437</v>
      </c>
      <c r="F353" t="s">
        <v>62</v>
      </c>
      <c r="G353" t="s">
        <v>23</v>
      </c>
      <c r="H353" t="s">
        <v>39</v>
      </c>
      <c r="I353" t="s">
        <v>29</v>
      </c>
      <c r="J353">
        <v>17</v>
      </c>
      <c r="K353">
        <v>0.03</v>
      </c>
      <c r="L353">
        <v>1</v>
      </c>
      <c r="M353">
        <v>1</v>
      </c>
      <c r="N353">
        <v>1</v>
      </c>
      <c r="O353">
        <v>100</v>
      </c>
      <c r="P353" s="4" t="b">
        <f t="shared" si="5"/>
        <v>0</v>
      </c>
    </row>
    <row r="354" spans="1:16" x14ac:dyDescent="0.2">
      <c r="A354" t="s">
        <v>15</v>
      </c>
      <c r="B354" t="s">
        <v>1016</v>
      </c>
      <c r="C354">
        <v>361</v>
      </c>
      <c r="D354">
        <v>129739</v>
      </c>
      <c r="E354" t="s">
        <v>893</v>
      </c>
      <c r="F354" t="s">
        <v>238</v>
      </c>
      <c r="G354" t="s">
        <v>18</v>
      </c>
      <c r="H354" t="s">
        <v>28</v>
      </c>
      <c r="I354" t="s">
        <v>29</v>
      </c>
      <c r="J354">
        <v>16</v>
      </c>
      <c r="K354">
        <v>0.03</v>
      </c>
      <c r="L354">
        <v>1</v>
      </c>
      <c r="M354">
        <v>1</v>
      </c>
      <c r="N354">
        <v>1</v>
      </c>
      <c r="O354">
        <v>100</v>
      </c>
      <c r="P354" s="4" t="b">
        <f t="shared" si="5"/>
        <v>0</v>
      </c>
    </row>
    <row r="355" spans="1:16" x14ac:dyDescent="0.2">
      <c r="A355" t="s">
        <v>15</v>
      </c>
      <c r="B355" t="s">
        <v>1016</v>
      </c>
      <c r="C355">
        <v>362</v>
      </c>
      <c r="D355">
        <v>173698</v>
      </c>
      <c r="E355" t="s">
        <v>596</v>
      </c>
      <c r="F355" t="s">
        <v>215</v>
      </c>
      <c r="G355" t="s">
        <v>23</v>
      </c>
      <c r="H355" t="s">
        <v>28</v>
      </c>
      <c r="I355" t="s">
        <v>20</v>
      </c>
      <c r="J355">
        <v>6</v>
      </c>
      <c r="K355">
        <v>0.03</v>
      </c>
      <c r="L355">
        <v>1</v>
      </c>
      <c r="M355">
        <v>1</v>
      </c>
      <c r="N355">
        <v>1</v>
      </c>
      <c r="O355">
        <v>100</v>
      </c>
      <c r="P355" s="4" t="b">
        <f t="shared" si="5"/>
        <v>0</v>
      </c>
    </row>
    <row r="356" spans="1:16" x14ac:dyDescent="0.2">
      <c r="A356" t="s">
        <v>15</v>
      </c>
      <c r="B356" t="s">
        <v>1016</v>
      </c>
      <c r="C356">
        <v>363</v>
      </c>
      <c r="D356">
        <v>129570</v>
      </c>
      <c r="E356" t="s">
        <v>416</v>
      </c>
      <c r="F356" t="s">
        <v>17</v>
      </c>
      <c r="G356" t="s">
        <v>18</v>
      </c>
      <c r="H356" t="s">
        <v>19</v>
      </c>
      <c r="I356" t="s">
        <v>29</v>
      </c>
      <c r="J356">
        <v>33</v>
      </c>
      <c r="K356">
        <v>0.03</v>
      </c>
      <c r="L356">
        <v>1</v>
      </c>
      <c r="M356">
        <v>1</v>
      </c>
      <c r="N356">
        <v>1</v>
      </c>
      <c r="O356">
        <v>100</v>
      </c>
      <c r="P356" s="4" t="b">
        <f t="shared" si="5"/>
        <v>0</v>
      </c>
    </row>
    <row r="357" spans="1:16" x14ac:dyDescent="0.2">
      <c r="A357" t="s">
        <v>15</v>
      </c>
      <c r="B357" t="s">
        <v>1016</v>
      </c>
      <c r="C357">
        <v>364</v>
      </c>
      <c r="D357">
        <v>129571</v>
      </c>
      <c r="E357" t="s">
        <v>427</v>
      </c>
      <c r="F357" t="s">
        <v>17</v>
      </c>
      <c r="G357" t="s">
        <v>18</v>
      </c>
      <c r="H357" t="s">
        <v>19</v>
      </c>
      <c r="I357" t="s">
        <v>29</v>
      </c>
      <c r="J357">
        <v>34</v>
      </c>
      <c r="K357">
        <v>0.03</v>
      </c>
      <c r="L357">
        <v>1</v>
      </c>
      <c r="M357">
        <v>1</v>
      </c>
      <c r="N357">
        <v>1</v>
      </c>
      <c r="O357">
        <v>100</v>
      </c>
      <c r="P357" s="4" t="b">
        <f t="shared" si="5"/>
        <v>0</v>
      </c>
    </row>
    <row r="358" spans="1:16" x14ac:dyDescent="0.2">
      <c r="A358" t="s">
        <v>15</v>
      </c>
      <c r="B358" t="s">
        <v>1016</v>
      </c>
      <c r="C358">
        <v>365</v>
      </c>
      <c r="D358">
        <v>192027</v>
      </c>
      <c r="E358" t="s">
        <v>435</v>
      </c>
      <c r="F358" t="s">
        <v>165</v>
      </c>
      <c r="G358" t="s">
        <v>23</v>
      </c>
      <c r="H358" t="s">
        <v>39</v>
      </c>
      <c r="I358" t="s">
        <v>29</v>
      </c>
      <c r="J358">
        <v>6</v>
      </c>
      <c r="K358">
        <v>0.03</v>
      </c>
      <c r="L358">
        <v>1</v>
      </c>
      <c r="M358">
        <v>1</v>
      </c>
      <c r="N358">
        <v>1</v>
      </c>
      <c r="O358">
        <v>100</v>
      </c>
      <c r="P358" s="4" t="b">
        <f t="shared" si="5"/>
        <v>0</v>
      </c>
    </row>
    <row r="359" spans="1:16" x14ac:dyDescent="0.2">
      <c r="A359" t="s">
        <v>15</v>
      </c>
      <c r="B359" t="s">
        <v>1016</v>
      </c>
      <c r="C359">
        <v>366</v>
      </c>
      <c r="D359">
        <v>94164</v>
      </c>
      <c r="E359" t="s">
        <v>479</v>
      </c>
      <c r="F359" t="s">
        <v>78</v>
      </c>
      <c r="G359" t="s">
        <v>18</v>
      </c>
      <c r="H359" t="s">
        <v>28</v>
      </c>
      <c r="I359" t="s">
        <v>29</v>
      </c>
      <c r="J359">
        <v>17</v>
      </c>
      <c r="K359">
        <v>0.03</v>
      </c>
      <c r="L359">
        <v>1</v>
      </c>
      <c r="M359">
        <v>1</v>
      </c>
      <c r="N359">
        <v>1</v>
      </c>
      <c r="O359">
        <v>100</v>
      </c>
      <c r="P359" s="4" t="b">
        <f t="shared" si="5"/>
        <v>0</v>
      </c>
    </row>
    <row r="360" spans="1:16" x14ac:dyDescent="0.2">
      <c r="A360" t="s">
        <v>15</v>
      </c>
      <c r="B360" t="s">
        <v>1016</v>
      </c>
      <c r="C360">
        <v>367</v>
      </c>
      <c r="D360">
        <v>129795</v>
      </c>
      <c r="E360" t="s">
        <v>412</v>
      </c>
      <c r="F360" t="s">
        <v>54</v>
      </c>
      <c r="G360" t="s">
        <v>18</v>
      </c>
      <c r="H360" t="s">
        <v>55</v>
      </c>
      <c r="I360" t="s">
        <v>74</v>
      </c>
      <c r="J360">
        <v>17</v>
      </c>
      <c r="K360">
        <v>0.03</v>
      </c>
      <c r="L360">
        <v>1</v>
      </c>
      <c r="M360">
        <v>1</v>
      </c>
      <c r="N360">
        <v>1</v>
      </c>
      <c r="O360">
        <v>100</v>
      </c>
      <c r="P360" s="4" t="b">
        <f t="shared" si="5"/>
        <v>0</v>
      </c>
    </row>
    <row r="361" spans="1:16" x14ac:dyDescent="0.2">
      <c r="A361" t="s">
        <v>15</v>
      </c>
      <c r="B361" t="s">
        <v>1016</v>
      </c>
      <c r="C361">
        <v>368</v>
      </c>
      <c r="D361">
        <v>126661</v>
      </c>
      <c r="E361" t="s">
        <v>664</v>
      </c>
      <c r="F361" t="s">
        <v>261</v>
      </c>
      <c r="G361" t="s">
        <v>23</v>
      </c>
      <c r="H361" t="s">
        <v>55</v>
      </c>
      <c r="I361" t="s">
        <v>29</v>
      </c>
      <c r="J361">
        <v>8</v>
      </c>
      <c r="K361">
        <v>3.5</v>
      </c>
      <c r="L361">
        <v>3</v>
      </c>
      <c r="M361">
        <v>2</v>
      </c>
      <c r="N361">
        <v>2</v>
      </c>
      <c r="O361">
        <v>2</v>
      </c>
      <c r="P361" s="4" t="b">
        <f t="shared" si="5"/>
        <v>0</v>
      </c>
    </row>
    <row r="362" spans="1:16" x14ac:dyDescent="0.2">
      <c r="A362" t="s">
        <v>15</v>
      </c>
      <c r="B362" t="s">
        <v>1016</v>
      </c>
      <c r="C362">
        <v>369</v>
      </c>
      <c r="D362">
        <v>130669</v>
      </c>
      <c r="E362" t="s">
        <v>316</v>
      </c>
      <c r="F362" t="s">
        <v>44</v>
      </c>
      <c r="G362" t="s">
        <v>18</v>
      </c>
      <c r="H362" t="s">
        <v>39</v>
      </c>
      <c r="I362" t="s">
        <v>29</v>
      </c>
      <c r="J362">
        <v>18</v>
      </c>
      <c r="K362">
        <v>0.03</v>
      </c>
      <c r="L362">
        <v>1</v>
      </c>
      <c r="M362">
        <v>1</v>
      </c>
      <c r="N362">
        <v>1</v>
      </c>
      <c r="O362">
        <v>100</v>
      </c>
      <c r="P362" s="4" t="b">
        <f t="shared" si="5"/>
        <v>0</v>
      </c>
    </row>
    <row r="363" spans="1:16" x14ac:dyDescent="0.2">
      <c r="A363" t="s">
        <v>15</v>
      </c>
      <c r="B363" t="s">
        <v>1016</v>
      </c>
      <c r="C363">
        <v>370</v>
      </c>
      <c r="D363">
        <v>130451</v>
      </c>
      <c r="E363" t="s">
        <v>477</v>
      </c>
      <c r="F363" t="s">
        <v>73</v>
      </c>
      <c r="G363" t="s">
        <v>18</v>
      </c>
      <c r="H363" t="s">
        <v>28</v>
      </c>
      <c r="I363" t="s">
        <v>83</v>
      </c>
      <c r="J363">
        <v>19</v>
      </c>
      <c r="K363">
        <v>0.03</v>
      </c>
      <c r="L363">
        <v>1</v>
      </c>
      <c r="M363">
        <v>1</v>
      </c>
      <c r="N363">
        <v>1</v>
      </c>
      <c r="O363">
        <v>100</v>
      </c>
      <c r="P363" s="4" t="b">
        <f t="shared" si="5"/>
        <v>0</v>
      </c>
    </row>
    <row r="364" spans="1:16" x14ac:dyDescent="0.2">
      <c r="A364" t="s">
        <v>15</v>
      </c>
      <c r="B364" t="s">
        <v>1016</v>
      </c>
      <c r="C364">
        <v>371</v>
      </c>
      <c r="D364">
        <v>126735</v>
      </c>
      <c r="E364" t="s">
        <v>289</v>
      </c>
      <c r="F364" t="s">
        <v>96</v>
      </c>
      <c r="G364" t="s">
        <v>23</v>
      </c>
      <c r="H364" t="s">
        <v>55</v>
      </c>
      <c r="I364" t="s">
        <v>29</v>
      </c>
      <c r="J364">
        <v>7</v>
      </c>
      <c r="K364">
        <v>0.05</v>
      </c>
      <c r="L364">
        <v>3</v>
      </c>
      <c r="M364">
        <v>1</v>
      </c>
      <c r="N364">
        <v>1</v>
      </c>
      <c r="O364">
        <v>100</v>
      </c>
      <c r="P364" s="4" t="b">
        <f t="shared" si="5"/>
        <v>0</v>
      </c>
    </row>
    <row r="365" spans="1:16" x14ac:dyDescent="0.2">
      <c r="A365" t="s">
        <v>15</v>
      </c>
      <c r="B365" t="s">
        <v>1016</v>
      </c>
      <c r="C365">
        <v>372</v>
      </c>
      <c r="D365">
        <v>129505</v>
      </c>
      <c r="E365" t="s">
        <v>475</v>
      </c>
      <c r="F365" t="s">
        <v>68</v>
      </c>
      <c r="G365" t="s">
        <v>18</v>
      </c>
      <c r="H365" t="s">
        <v>28</v>
      </c>
      <c r="I365" t="s">
        <v>20</v>
      </c>
      <c r="J365">
        <v>17</v>
      </c>
      <c r="K365">
        <v>0.03</v>
      </c>
      <c r="L365">
        <v>1</v>
      </c>
      <c r="M365">
        <v>1</v>
      </c>
      <c r="N365">
        <v>1</v>
      </c>
      <c r="O365">
        <v>100</v>
      </c>
      <c r="P365" s="4" t="b">
        <f t="shared" si="5"/>
        <v>0</v>
      </c>
    </row>
    <row r="366" spans="1:16" x14ac:dyDescent="0.2">
      <c r="A366" t="s">
        <v>15</v>
      </c>
      <c r="B366" t="s">
        <v>1016</v>
      </c>
      <c r="C366">
        <v>373</v>
      </c>
      <c r="D366">
        <v>130921</v>
      </c>
      <c r="E366" t="s">
        <v>873</v>
      </c>
      <c r="F366" t="s">
        <v>190</v>
      </c>
      <c r="G366" t="s">
        <v>18</v>
      </c>
      <c r="H366" t="s">
        <v>55</v>
      </c>
      <c r="I366" t="s">
        <v>29</v>
      </c>
      <c r="J366">
        <v>17</v>
      </c>
      <c r="K366">
        <v>0.03</v>
      </c>
      <c r="L366">
        <v>1</v>
      </c>
      <c r="M366">
        <v>1</v>
      </c>
      <c r="N366">
        <v>1</v>
      </c>
      <c r="O366">
        <v>100</v>
      </c>
      <c r="P366" s="4" t="b">
        <f t="shared" si="5"/>
        <v>0</v>
      </c>
    </row>
    <row r="367" spans="1:16" x14ac:dyDescent="0.2">
      <c r="A367" t="s">
        <v>15</v>
      </c>
      <c r="B367" t="s">
        <v>1016</v>
      </c>
      <c r="C367">
        <v>374</v>
      </c>
      <c r="D367">
        <v>58934</v>
      </c>
      <c r="E367" t="s">
        <v>666</v>
      </c>
      <c r="F367" t="s">
        <v>267</v>
      </c>
      <c r="G367" t="s">
        <v>23</v>
      </c>
      <c r="H367" t="s">
        <v>55</v>
      </c>
      <c r="I367" t="s">
        <v>20</v>
      </c>
      <c r="J367">
        <v>6</v>
      </c>
      <c r="K367">
        <v>0.03</v>
      </c>
      <c r="L367">
        <v>1</v>
      </c>
      <c r="M367">
        <v>1</v>
      </c>
      <c r="N367">
        <v>1</v>
      </c>
      <c r="O367">
        <v>100</v>
      </c>
      <c r="P367" s="4" t="b">
        <f t="shared" si="5"/>
        <v>0</v>
      </c>
    </row>
    <row r="368" spans="1:16" x14ac:dyDescent="0.2">
      <c r="A368" t="s">
        <v>15</v>
      </c>
      <c r="B368" t="s">
        <v>1016</v>
      </c>
      <c r="C368">
        <v>375</v>
      </c>
      <c r="D368">
        <v>130249</v>
      </c>
      <c r="E368" t="s">
        <v>900</v>
      </c>
      <c r="F368" t="s">
        <v>238</v>
      </c>
      <c r="G368" t="s">
        <v>18</v>
      </c>
      <c r="H368" t="s">
        <v>28</v>
      </c>
      <c r="I368" t="s">
        <v>29</v>
      </c>
      <c r="J368">
        <v>17</v>
      </c>
      <c r="K368">
        <v>0.03</v>
      </c>
      <c r="L368">
        <v>1</v>
      </c>
      <c r="M368">
        <v>1</v>
      </c>
      <c r="N368">
        <v>1</v>
      </c>
      <c r="O368">
        <v>100</v>
      </c>
      <c r="P368" s="4" t="b">
        <f t="shared" si="5"/>
        <v>0</v>
      </c>
    </row>
    <row r="369" spans="1:16" x14ac:dyDescent="0.2">
      <c r="A369" t="s">
        <v>15</v>
      </c>
      <c r="B369" t="s">
        <v>1016</v>
      </c>
      <c r="C369">
        <v>376</v>
      </c>
      <c r="D369">
        <v>129574</v>
      </c>
      <c r="E369" t="s">
        <v>431</v>
      </c>
      <c r="F369" t="s">
        <v>17</v>
      </c>
      <c r="G369" t="s">
        <v>18</v>
      </c>
      <c r="H369" t="s">
        <v>19</v>
      </c>
      <c r="I369" t="s">
        <v>20</v>
      </c>
      <c r="J369">
        <v>35</v>
      </c>
      <c r="K369">
        <v>0.03</v>
      </c>
      <c r="L369">
        <v>1</v>
      </c>
      <c r="M369">
        <v>1</v>
      </c>
      <c r="N369">
        <v>1</v>
      </c>
      <c r="O369">
        <v>100</v>
      </c>
      <c r="P369" s="4" t="b">
        <f t="shared" si="5"/>
        <v>0</v>
      </c>
    </row>
    <row r="370" spans="1:16" x14ac:dyDescent="0.2">
      <c r="A370" t="s">
        <v>15</v>
      </c>
      <c r="B370" t="s">
        <v>1016</v>
      </c>
      <c r="C370">
        <v>377</v>
      </c>
      <c r="D370">
        <v>68236</v>
      </c>
      <c r="E370" t="s">
        <v>280</v>
      </c>
      <c r="F370" t="s">
        <v>26</v>
      </c>
      <c r="G370" t="s">
        <v>23</v>
      </c>
      <c r="H370" t="s">
        <v>28</v>
      </c>
      <c r="I370" t="s">
        <v>20</v>
      </c>
      <c r="J370">
        <v>7</v>
      </c>
      <c r="K370">
        <v>0.03</v>
      </c>
      <c r="L370">
        <v>1</v>
      </c>
      <c r="M370">
        <v>1</v>
      </c>
      <c r="N370">
        <v>1</v>
      </c>
      <c r="O370">
        <v>100</v>
      </c>
      <c r="P370" s="4" t="b">
        <f t="shared" si="5"/>
        <v>0</v>
      </c>
    </row>
    <row r="371" spans="1:16" x14ac:dyDescent="0.2">
      <c r="A371" t="s">
        <v>15</v>
      </c>
      <c r="B371" t="s">
        <v>1016</v>
      </c>
      <c r="C371">
        <v>378</v>
      </c>
      <c r="D371">
        <v>129575</v>
      </c>
      <c r="E371" t="s">
        <v>440</v>
      </c>
      <c r="F371" t="s">
        <v>17</v>
      </c>
      <c r="G371" t="s">
        <v>18</v>
      </c>
      <c r="H371" t="s">
        <v>19</v>
      </c>
      <c r="I371" t="s">
        <v>20</v>
      </c>
      <c r="J371">
        <v>36</v>
      </c>
      <c r="K371">
        <v>0.03</v>
      </c>
      <c r="L371">
        <v>1</v>
      </c>
      <c r="M371">
        <v>1</v>
      </c>
      <c r="N371">
        <v>1</v>
      </c>
      <c r="O371">
        <v>100</v>
      </c>
      <c r="P371" s="4" t="b">
        <f t="shared" si="5"/>
        <v>0</v>
      </c>
    </row>
    <row r="372" spans="1:16" x14ac:dyDescent="0.2">
      <c r="A372" t="s">
        <v>15</v>
      </c>
      <c r="B372" t="s">
        <v>1016</v>
      </c>
      <c r="C372">
        <v>379</v>
      </c>
      <c r="D372">
        <v>126643</v>
      </c>
      <c r="E372" t="s">
        <v>306</v>
      </c>
      <c r="F372" t="s">
        <v>90</v>
      </c>
      <c r="G372" t="s">
        <v>23</v>
      </c>
      <c r="H372" t="s">
        <v>55</v>
      </c>
      <c r="I372" t="s">
        <v>29</v>
      </c>
      <c r="J372">
        <v>7</v>
      </c>
      <c r="K372">
        <v>10</v>
      </c>
      <c r="L372">
        <v>3</v>
      </c>
      <c r="M372">
        <v>3</v>
      </c>
      <c r="N372">
        <v>4</v>
      </c>
      <c r="O372">
        <v>1</v>
      </c>
      <c r="P372" s="4" t="b">
        <f t="shared" si="5"/>
        <v>0</v>
      </c>
    </row>
    <row r="373" spans="1:16" x14ac:dyDescent="0.2">
      <c r="A373" t="s">
        <v>15</v>
      </c>
      <c r="B373" t="s">
        <v>1016</v>
      </c>
      <c r="C373">
        <v>380</v>
      </c>
      <c r="D373">
        <v>123999</v>
      </c>
      <c r="E373" t="s">
        <v>493</v>
      </c>
      <c r="F373" t="s">
        <v>78</v>
      </c>
      <c r="G373" t="s">
        <v>18</v>
      </c>
      <c r="H373" t="s">
        <v>28</v>
      </c>
      <c r="I373" t="s">
        <v>29</v>
      </c>
      <c r="J373">
        <v>18</v>
      </c>
      <c r="K373">
        <v>0.03</v>
      </c>
      <c r="L373">
        <v>1</v>
      </c>
      <c r="M373">
        <v>1</v>
      </c>
      <c r="N373">
        <v>1</v>
      </c>
      <c r="O373">
        <v>100</v>
      </c>
      <c r="P373" s="4" t="b">
        <f t="shared" si="5"/>
        <v>0</v>
      </c>
    </row>
    <row r="374" spans="1:16" x14ac:dyDescent="0.2">
      <c r="A374" t="s">
        <v>15</v>
      </c>
      <c r="B374" t="s">
        <v>1016</v>
      </c>
      <c r="C374">
        <v>381</v>
      </c>
      <c r="D374">
        <v>129477</v>
      </c>
      <c r="E374" t="s">
        <v>425</v>
      </c>
      <c r="F374" t="s">
        <v>54</v>
      </c>
      <c r="G374" t="s">
        <v>18</v>
      </c>
      <c r="H374" t="s">
        <v>55</v>
      </c>
      <c r="I374" t="s">
        <v>29</v>
      </c>
      <c r="J374">
        <v>18</v>
      </c>
      <c r="K374">
        <v>0.03</v>
      </c>
      <c r="L374">
        <v>1</v>
      </c>
      <c r="M374">
        <v>1</v>
      </c>
      <c r="N374">
        <v>1</v>
      </c>
      <c r="O374">
        <v>100</v>
      </c>
      <c r="P374" s="4" t="b">
        <f t="shared" si="5"/>
        <v>0</v>
      </c>
    </row>
    <row r="375" spans="1:16" x14ac:dyDescent="0.2">
      <c r="A375" t="s">
        <v>15</v>
      </c>
      <c r="B375" t="s">
        <v>1016</v>
      </c>
      <c r="C375">
        <v>382</v>
      </c>
      <c r="D375">
        <v>180670</v>
      </c>
      <c r="E375" t="s">
        <v>184</v>
      </c>
      <c r="F375" t="s">
        <v>38</v>
      </c>
      <c r="G375" t="s">
        <v>23</v>
      </c>
      <c r="H375" t="s">
        <v>39</v>
      </c>
      <c r="I375" t="s">
        <v>74</v>
      </c>
      <c r="J375">
        <v>7</v>
      </c>
      <c r="K375">
        <v>0.03</v>
      </c>
      <c r="L375">
        <v>1</v>
      </c>
      <c r="M375">
        <v>1</v>
      </c>
      <c r="N375">
        <v>1</v>
      </c>
      <c r="O375">
        <v>100</v>
      </c>
      <c r="P375" s="4" t="b">
        <f t="shared" si="5"/>
        <v>0</v>
      </c>
    </row>
    <row r="376" spans="1:16" x14ac:dyDescent="0.2">
      <c r="A376" t="s">
        <v>15</v>
      </c>
      <c r="B376" t="s">
        <v>1016</v>
      </c>
      <c r="C376">
        <v>383</v>
      </c>
      <c r="D376">
        <v>130670</v>
      </c>
      <c r="E376" t="s">
        <v>331</v>
      </c>
      <c r="F376" t="s">
        <v>44</v>
      </c>
      <c r="G376" t="s">
        <v>18</v>
      </c>
      <c r="H376" t="s">
        <v>39</v>
      </c>
      <c r="I376" t="s">
        <v>29</v>
      </c>
      <c r="J376">
        <v>19</v>
      </c>
      <c r="K376">
        <v>0.03</v>
      </c>
      <c r="L376">
        <v>1</v>
      </c>
      <c r="M376">
        <v>1</v>
      </c>
      <c r="N376">
        <v>1</v>
      </c>
      <c r="O376">
        <v>100</v>
      </c>
      <c r="P376" s="4" t="b">
        <f t="shared" si="5"/>
        <v>0</v>
      </c>
    </row>
    <row r="377" spans="1:16" x14ac:dyDescent="0.2">
      <c r="A377" t="s">
        <v>15</v>
      </c>
      <c r="B377" t="s">
        <v>1016</v>
      </c>
      <c r="C377">
        <v>384</v>
      </c>
      <c r="D377">
        <v>130348</v>
      </c>
      <c r="E377" t="s">
        <v>492</v>
      </c>
      <c r="F377" t="s">
        <v>73</v>
      </c>
      <c r="G377" t="s">
        <v>18</v>
      </c>
      <c r="H377" t="s">
        <v>28</v>
      </c>
      <c r="I377" t="s">
        <v>29</v>
      </c>
      <c r="J377">
        <v>20</v>
      </c>
      <c r="K377">
        <v>0.03</v>
      </c>
      <c r="L377">
        <v>1</v>
      </c>
      <c r="M377">
        <v>1</v>
      </c>
      <c r="N377">
        <v>1</v>
      </c>
      <c r="O377">
        <v>100</v>
      </c>
      <c r="P377" s="4" t="b">
        <f t="shared" si="5"/>
        <v>0</v>
      </c>
    </row>
    <row r="378" spans="1:16" x14ac:dyDescent="0.2">
      <c r="A378" t="s">
        <v>15</v>
      </c>
      <c r="B378" t="s">
        <v>1016</v>
      </c>
      <c r="C378">
        <v>385</v>
      </c>
      <c r="D378">
        <v>51049</v>
      </c>
      <c r="E378" t="s">
        <v>134</v>
      </c>
      <c r="F378" t="s">
        <v>22</v>
      </c>
      <c r="G378" t="s">
        <v>23</v>
      </c>
      <c r="H378" t="s">
        <v>22</v>
      </c>
      <c r="I378" t="s">
        <v>29</v>
      </c>
      <c r="J378">
        <v>7</v>
      </c>
      <c r="K378">
        <v>0.03</v>
      </c>
      <c r="L378">
        <v>1</v>
      </c>
      <c r="M378">
        <v>1</v>
      </c>
      <c r="N378">
        <v>1</v>
      </c>
      <c r="O378">
        <v>100</v>
      </c>
      <c r="P378" s="4" t="b">
        <f t="shared" si="5"/>
        <v>0</v>
      </c>
    </row>
    <row r="379" spans="1:16" x14ac:dyDescent="0.2">
      <c r="A379" t="s">
        <v>15</v>
      </c>
      <c r="B379" t="s">
        <v>1016</v>
      </c>
      <c r="C379">
        <v>386</v>
      </c>
      <c r="D379">
        <v>130775</v>
      </c>
      <c r="E379" t="s">
        <v>490</v>
      </c>
      <c r="F379" t="s">
        <v>68</v>
      </c>
      <c r="G379" t="s">
        <v>18</v>
      </c>
      <c r="H379" t="s">
        <v>28</v>
      </c>
      <c r="I379" t="s">
        <v>29</v>
      </c>
      <c r="J379">
        <v>18</v>
      </c>
      <c r="K379">
        <v>0.03</v>
      </c>
      <c r="L379">
        <v>1</v>
      </c>
      <c r="M379">
        <v>1</v>
      </c>
      <c r="N379">
        <v>1</v>
      </c>
      <c r="O379">
        <v>100</v>
      </c>
      <c r="P379" s="4" t="b">
        <f t="shared" si="5"/>
        <v>0</v>
      </c>
    </row>
    <row r="380" spans="1:16" x14ac:dyDescent="0.2">
      <c r="A380" t="s">
        <v>15</v>
      </c>
      <c r="B380" t="s">
        <v>1016</v>
      </c>
      <c r="C380">
        <v>387</v>
      </c>
      <c r="D380">
        <v>130104</v>
      </c>
      <c r="E380" t="s">
        <v>879</v>
      </c>
      <c r="F380" t="s">
        <v>190</v>
      </c>
      <c r="G380" t="s">
        <v>18</v>
      </c>
      <c r="H380" t="s">
        <v>55</v>
      </c>
      <c r="I380" t="s">
        <v>20</v>
      </c>
      <c r="J380">
        <v>18</v>
      </c>
      <c r="K380">
        <v>0.03</v>
      </c>
      <c r="L380">
        <v>1</v>
      </c>
      <c r="M380">
        <v>1</v>
      </c>
      <c r="N380">
        <v>1</v>
      </c>
      <c r="O380">
        <v>100</v>
      </c>
      <c r="P380" s="4" t="b">
        <f t="shared" si="5"/>
        <v>0</v>
      </c>
    </row>
    <row r="381" spans="1:16" x14ac:dyDescent="0.2">
      <c r="A381" t="s">
        <v>15</v>
      </c>
      <c r="B381" t="s">
        <v>1016</v>
      </c>
      <c r="C381">
        <v>388</v>
      </c>
      <c r="D381">
        <v>76670</v>
      </c>
      <c r="E381" t="s">
        <v>282</v>
      </c>
      <c r="F381" t="s">
        <v>58</v>
      </c>
      <c r="G381" t="s">
        <v>23</v>
      </c>
      <c r="H381" t="s">
        <v>28</v>
      </c>
      <c r="I381" t="s">
        <v>20</v>
      </c>
      <c r="J381">
        <v>13</v>
      </c>
      <c r="K381">
        <v>0.03</v>
      </c>
      <c r="L381">
        <v>1</v>
      </c>
      <c r="M381">
        <v>1</v>
      </c>
      <c r="N381">
        <v>1</v>
      </c>
      <c r="O381">
        <v>100</v>
      </c>
      <c r="P381" s="4" t="b">
        <f t="shared" si="5"/>
        <v>0</v>
      </c>
    </row>
    <row r="382" spans="1:16" x14ac:dyDescent="0.2">
      <c r="A382" t="s">
        <v>15</v>
      </c>
      <c r="B382" t="s">
        <v>1016</v>
      </c>
      <c r="C382">
        <v>389</v>
      </c>
      <c r="D382">
        <v>130201</v>
      </c>
      <c r="E382" t="s">
        <v>907</v>
      </c>
      <c r="F382" t="s">
        <v>238</v>
      </c>
      <c r="G382" t="s">
        <v>18</v>
      </c>
      <c r="H382" t="s">
        <v>28</v>
      </c>
      <c r="I382" t="s">
        <v>29</v>
      </c>
      <c r="J382">
        <v>18</v>
      </c>
      <c r="K382">
        <v>0.03</v>
      </c>
      <c r="L382">
        <v>1</v>
      </c>
      <c r="M382">
        <v>1</v>
      </c>
      <c r="N382">
        <v>1</v>
      </c>
      <c r="O382">
        <v>100</v>
      </c>
      <c r="P382" s="4" t="b">
        <f t="shared" si="5"/>
        <v>0</v>
      </c>
    </row>
    <row r="383" spans="1:16" x14ac:dyDescent="0.2">
      <c r="A383" t="s">
        <v>15</v>
      </c>
      <c r="B383" t="s">
        <v>1016</v>
      </c>
      <c r="C383">
        <v>390</v>
      </c>
      <c r="D383">
        <v>129578</v>
      </c>
      <c r="E383" t="s">
        <v>445</v>
      </c>
      <c r="F383" t="s">
        <v>17</v>
      </c>
      <c r="G383" t="s">
        <v>18</v>
      </c>
      <c r="H383" t="s">
        <v>19</v>
      </c>
      <c r="I383" t="s">
        <v>20</v>
      </c>
      <c r="J383">
        <v>37</v>
      </c>
      <c r="K383">
        <v>0.03</v>
      </c>
      <c r="L383">
        <v>1</v>
      </c>
      <c r="M383">
        <v>1</v>
      </c>
      <c r="N383">
        <v>1</v>
      </c>
      <c r="O383">
        <v>100</v>
      </c>
      <c r="P383" s="4" t="b">
        <f t="shared" si="5"/>
        <v>0</v>
      </c>
    </row>
    <row r="384" spans="1:16" x14ac:dyDescent="0.2">
      <c r="A384" t="s">
        <v>15</v>
      </c>
      <c r="B384" t="s">
        <v>1016</v>
      </c>
      <c r="C384">
        <v>391</v>
      </c>
      <c r="D384">
        <v>84774</v>
      </c>
      <c r="E384" t="s">
        <v>646</v>
      </c>
      <c r="F384" t="s">
        <v>219</v>
      </c>
      <c r="G384" t="s">
        <v>23</v>
      </c>
      <c r="H384" t="s">
        <v>28</v>
      </c>
      <c r="I384" t="s">
        <v>29</v>
      </c>
      <c r="J384">
        <v>9</v>
      </c>
      <c r="K384">
        <v>0.03</v>
      </c>
      <c r="L384">
        <v>1</v>
      </c>
      <c r="M384">
        <v>1</v>
      </c>
      <c r="N384">
        <v>1</v>
      </c>
      <c r="O384">
        <v>100</v>
      </c>
      <c r="P384" s="4" t="b">
        <f t="shared" si="5"/>
        <v>0</v>
      </c>
    </row>
    <row r="385" spans="1:16" x14ac:dyDescent="0.2">
      <c r="A385" t="s">
        <v>15</v>
      </c>
      <c r="B385" t="s">
        <v>1016</v>
      </c>
      <c r="C385">
        <v>392</v>
      </c>
      <c r="D385">
        <v>129579</v>
      </c>
      <c r="E385" t="s">
        <v>458</v>
      </c>
      <c r="F385" t="s">
        <v>17</v>
      </c>
      <c r="G385" t="s">
        <v>18</v>
      </c>
      <c r="H385" t="s">
        <v>19</v>
      </c>
      <c r="I385" t="s">
        <v>20</v>
      </c>
      <c r="J385">
        <v>38</v>
      </c>
      <c r="K385">
        <v>0.03</v>
      </c>
      <c r="L385">
        <v>1</v>
      </c>
      <c r="M385">
        <v>1</v>
      </c>
      <c r="N385">
        <v>1</v>
      </c>
      <c r="O385">
        <v>100</v>
      </c>
      <c r="P385" s="4" t="b">
        <f t="shared" si="5"/>
        <v>0</v>
      </c>
    </row>
    <row r="386" spans="1:16" x14ac:dyDescent="0.2">
      <c r="A386" t="s">
        <v>15</v>
      </c>
      <c r="B386" t="s">
        <v>1016</v>
      </c>
      <c r="C386">
        <v>393</v>
      </c>
      <c r="D386">
        <v>36549</v>
      </c>
      <c r="E386" t="s">
        <v>481</v>
      </c>
      <c r="F386" t="s">
        <v>62</v>
      </c>
      <c r="G386" t="s">
        <v>23</v>
      </c>
      <c r="H386" t="s">
        <v>39</v>
      </c>
      <c r="I386" t="s">
        <v>29</v>
      </c>
      <c r="J386">
        <v>18</v>
      </c>
      <c r="K386">
        <v>0.03</v>
      </c>
      <c r="L386">
        <v>1</v>
      </c>
      <c r="M386">
        <v>1</v>
      </c>
      <c r="N386">
        <v>1</v>
      </c>
      <c r="O386">
        <v>100</v>
      </c>
      <c r="P386" s="4" t="b">
        <f t="shared" si="5"/>
        <v>0</v>
      </c>
    </row>
    <row r="387" spans="1:16" x14ac:dyDescent="0.2">
      <c r="A387" t="s">
        <v>15</v>
      </c>
      <c r="B387" t="s">
        <v>1016</v>
      </c>
      <c r="C387">
        <v>394</v>
      </c>
      <c r="D387">
        <v>105938</v>
      </c>
      <c r="E387" t="s">
        <v>512</v>
      </c>
      <c r="F387" t="s">
        <v>78</v>
      </c>
      <c r="G387" t="s">
        <v>18</v>
      </c>
      <c r="H387" t="s">
        <v>28</v>
      </c>
      <c r="I387" t="s">
        <v>20</v>
      </c>
      <c r="J387">
        <v>19</v>
      </c>
      <c r="K387">
        <v>0.03</v>
      </c>
      <c r="L387">
        <v>1</v>
      </c>
      <c r="M387">
        <v>1</v>
      </c>
      <c r="N387">
        <v>1</v>
      </c>
      <c r="O387">
        <v>100</v>
      </c>
      <c r="P387" s="4" t="b">
        <f t="shared" ref="P387:P450" si="6">C387&lt;($Q$1+1)</f>
        <v>0</v>
      </c>
    </row>
    <row r="388" spans="1:16" x14ac:dyDescent="0.2">
      <c r="A388" t="s">
        <v>15</v>
      </c>
      <c r="B388" t="s">
        <v>1016</v>
      </c>
      <c r="C388">
        <v>395</v>
      </c>
      <c r="D388">
        <v>129459</v>
      </c>
      <c r="E388" t="s">
        <v>432</v>
      </c>
      <c r="F388" t="s">
        <v>54</v>
      </c>
      <c r="G388" t="s">
        <v>18</v>
      </c>
      <c r="H388" t="s">
        <v>55</v>
      </c>
      <c r="I388" t="s">
        <v>29</v>
      </c>
      <c r="J388">
        <v>19</v>
      </c>
      <c r="K388">
        <v>0.03</v>
      </c>
      <c r="L388">
        <v>1</v>
      </c>
      <c r="M388">
        <v>1</v>
      </c>
      <c r="N388">
        <v>1</v>
      </c>
      <c r="O388">
        <v>100</v>
      </c>
      <c r="P388" s="4" t="b">
        <f t="shared" si="6"/>
        <v>0</v>
      </c>
    </row>
    <row r="389" spans="1:16" x14ac:dyDescent="0.2">
      <c r="A389" t="s">
        <v>15</v>
      </c>
      <c r="B389" t="s">
        <v>1016</v>
      </c>
      <c r="C389">
        <v>396</v>
      </c>
      <c r="D389">
        <v>50095</v>
      </c>
      <c r="E389" t="s">
        <v>644</v>
      </c>
      <c r="F389" t="s">
        <v>215</v>
      </c>
      <c r="G389" t="s">
        <v>23</v>
      </c>
      <c r="H389" t="s">
        <v>28</v>
      </c>
      <c r="I389" t="s">
        <v>29</v>
      </c>
      <c r="J389">
        <v>7</v>
      </c>
      <c r="K389">
        <v>0.03</v>
      </c>
      <c r="L389">
        <v>1</v>
      </c>
      <c r="M389">
        <v>1</v>
      </c>
      <c r="N389">
        <v>1</v>
      </c>
      <c r="O389">
        <v>100</v>
      </c>
      <c r="P389" s="4" t="b">
        <f t="shared" si="6"/>
        <v>0</v>
      </c>
    </row>
    <row r="390" spans="1:16" x14ac:dyDescent="0.2">
      <c r="A390" t="s">
        <v>15</v>
      </c>
      <c r="B390" t="s">
        <v>1016</v>
      </c>
      <c r="C390">
        <v>397</v>
      </c>
      <c r="D390">
        <v>130075</v>
      </c>
      <c r="E390" t="s">
        <v>336</v>
      </c>
      <c r="F390" t="s">
        <v>44</v>
      </c>
      <c r="G390" t="s">
        <v>18</v>
      </c>
      <c r="H390" t="s">
        <v>39</v>
      </c>
      <c r="I390" t="s">
        <v>29</v>
      </c>
      <c r="J390">
        <v>20</v>
      </c>
      <c r="K390">
        <v>0.03</v>
      </c>
      <c r="L390">
        <v>1</v>
      </c>
      <c r="M390">
        <v>1</v>
      </c>
      <c r="N390">
        <v>1</v>
      </c>
      <c r="O390">
        <v>100</v>
      </c>
      <c r="P390" s="4" t="b">
        <f t="shared" si="6"/>
        <v>0</v>
      </c>
    </row>
    <row r="391" spans="1:16" x14ac:dyDescent="0.2">
      <c r="A391" t="s">
        <v>15</v>
      </c>
      <c r="B391" t="s">
        <v>1016</v>
      </c>
      <c r="C391">
        <v>398</v>
      </c>
      <c r="D391">
        <v>129896</v>
      </c>
      <c r="E391" t="s">
        <v>510</v>
      </c>
      <c r="F391" t="s">
        <v>73</v>
      </c>
      <c r="G391" t="s">
        <v>18</v>
      </c>
      <c r="H391" t="s">
        <v>28</v>
      </c>
      <c r="I391" t="s">
        <v>74</v>
      </c>
      <c r="J391">
        <v>21</v>
      </c>
      <c r="K391">
        <v>0.03</v>
      </c>
      <c r="L391">
        <v>1</v>
      </c>
      <c r="M391">
        <v>1</v>
      </c>
      <c r="N391">
        <v>1</v>
      </c>
      <c r="O391">
        <v>100</v>
      </c>
      <c r="P391" s="4" t="b">
        <f t="shared" si="6"/>
        <v>0</v>
      </c>
    </row>
    <row r="392" spans="1:16" x14ac:dyDescent="0.2">
      <c r="A392" t="s">
        <v>15</v>
      </c>
      <c r="B392" t="s">
        <v>1016</v>
      </c>
      <c r="C392">
        <v>399</v>
      </c>
      <c r="D392">
        <v>58133</v>
      </c>
      <c r="E392" t="s">
        <v>478</v>
      </c>
      <c r="F392" t="s">
        <v>165</v>
      </c>
      <c r="G392" t="s">
        <v>23</v>
      </c>
      <c r="H392" t="s">
        <v>39</v>
      </c>
      <c r="I392" t="s">
        <v>20</v>
      </c>
      <c r="J392">
        <v>7</v>
      </c>
      <c r="K392">
        <v>0.03</v>
      </c>
      <c r="L392">
        <v>1</v>
      </c>
      <c r="M392">
        <v>1</v>
      </c>
      <c r="N392">
        <v>1</v>
      </c>
      <c r="O392">
        <v>100</v>
      </c>
      <c r="P392" s="4" t="b">
        <f t="shared" si="6"/>
        <v>0</v>
      </c>
    </row>
    <row r="393" spans="1:16" x14ac:dyDescent="0.2">
      <c r="A393" t="s">
        <v>15</v>
      </c>
      <c r="B393" t="s">
        <v>1016</v>
      </c>
      <c r="C393">
        <v>400</v>
      </c>
      <c r="D393">
        <v>129729</v>
      </c>
      <c r="E393" t="s">
        <v>508</v>
      </c>
      <c r="F393" t="s">
        <v>68</v>
      </c>
      <c r="G393" t="s">
        <v>18</v>
      </c>
      <c r="H393" t="s">
        <v>28</v>
      </c>
      <c r="I393" t="s">
        <v>74</v>
      </c>
      <c r="J393">
        <v>19</v>
      </c>
      <c r="K393">
        <v>0.03</v>
      </c>
      <c r="L393">
        <v>1</v>
      </c>
      <c r="M393">
        <v>1</v>
      </c>
      <c r="N393">
        <v>1</v>
      </c>
      <c r="O393">
        <v>100</v>
      </c>
      <c r="P393" s="4" t="b">
        <f t="shared" si="6"/>
        <v>0</v>
      </c>
    </row>
    <row r="394" spans="1:16" x14ac:dyDescent="0.2">
      <c r="A394" t="s">
        <v>15</v>
      </c>
      <c r="B394" t="s">
        <v>1016</v>
      </c>
      <c r="C394">
        <v>401</v>
      </c>
      <c r="D394">
        <v>130519</v>
      </c>
      <c r="E394" t="s">
        <v>884</v>
      </c>
      <c r="F394" t="s">
        <v>190</v>
      </c>
      <c r="G394" t="s">
        <v>18</v>
      </c>
      <c r="H394" t="s">
        <v>55</v>
      </c>
      <c r="I394" t="s">
        <v>74</v>
      </c>
      <c r="J394">
        <v>19</v>
      </c>
      <c r="K394">
        <v>0.03</v>
      </c>
      <c r="L394">
        <v>1</v>
      </c>
      <c r="M394">
        <v>1</v>
      </c>
      <c r="N394">
        <v>1</v>
      </c>
      <c r="O394">
        <v>100</v>
      </c>
      <c r="P394" s="4" t="b">
        <f t="shared" si="6"/>
        <v>0</v>
      </c>
    </row>
    <row r="395" spans="1:16" x14ac:dyDescent="0.2">
      <c r="A395" t="s">
        <v>15</v>
      </c>
      <c r="B395" t="s">
        <v>1016</v>
      </c>
      <c r="C395">
        <v>402</v>
      </c>
      <c r="D395">
        <v>69344</v>
      </c>
      <c r="E395" t="s">
        <v>705</v>
      </c>
      <c r="F395" t="s">
        <v>261</v>
      </c>
      <c r="G395" t="s">
        <v>23</v>
      </c>
      <c r="H395" t="s">
        <v>55</v>
      </c>
      <c r="I395" t="s">
        <v>29</v>
      </c>
      <c r="J395">
        <v>9</v>
      </c>
      <c r="K395">
        <v>0.03</v>
      </c>
      <c r="L395">
        <v>1</v>
      </c>
      <c r="M395">
        <v>1</v>
      </c>
      <c r="N395">
        <v>1</v>
      </c>
      <c r="O395">
        <v>100</v>
      </c>
      <c r="P395" s="4" t="b">
        <f t="shared" si="6"/>
        <v>0</v>
      </c>
    </row>
    <row r="396" spans="1:16" x14ac:dyDescent="0.2">
      <c r="A396" t="s">
        <v>15</v>
      </c>
      <c r="B396" t="s">
        <v>1016</v>
      </c>
      <c r="C396">
        <v>403</v>
      </c>
      <c r="D396">
        <v>131110</v>
      </c>
      <c r="E396" t="s">
        <v>915</v>
      </c>
      <c r="F396" t="s">
        <v>238</v>
      </c>
      <c r="G396" t="s">
        <v>18</v>
      </c>
      <c r="H396" t="s">
        <v>28</v>
      </c>
      <c r="I396" t="s">
        <v>29</v>
      </c>
      <c r="J396">
        <v>19</v>
      </c>
      <c r="K396">
        <v>0.03</v>
      </c>
      <c r="L396">
        <v>1</v>
      </c>
      <c r="M396">
        <v>1</v>
      </c>
      <c r="N396">
        <v>1</v>
      </c>
      <c r="O396">
        <v>100</v>
      </c>
      <c r="P396" s="4" t="b">
        <f t="shared" si="6"/>
        <v>0</v>
      </c>
    </row>
    <row r="397" spans="1:16" x14ac:dyDescent="0.2">
      <c r="A397" t="s">
        <v>15</v>
      </c>
      <c r="B397" t="s">
        <v>1016</v>
      </c>
      <c r="C397">
        <v>404</v>
      </c>
      <c r="D397">
        <v>129580</v>
      </c>
      <c r="E397" t="s">
        <v>468</v>
      </c>
      <c r="F397" t="s">
        <v>17</v>
      </c>
      <c r="G397" t="s">
        <v>18</v>
      </c>
      <c r="H397" t="s">
        <v>19</v>
      </c>
      <c r="I397" t="s">
        <v>20</v>
      </c>
      <c r="J397">
        <v>39</v>
      </c>
      <c r="K397">
        <v>0.03</v>
      </c>
      <c r="L397">
        <v>1</v>
      </c>
      <c r="M397">
        <v>1</v>
      </c>
      <c r="N397">
        <v>1</v>
      </c>
      <c r="O397">
        <v>100</v>
      </c>
      <c r="P397" s="4" t="b">
        <f t="shared" si="6"/>
        <v>0</v>
      </c>
    </row>
    <row r="398" spans="1:16" x14ac:dyDescent="0.2">
      <c r="A398" t="s">
        <v>15</v>
      </c>
      <c r="B398" t="s">
        <v>1016</v>
      </c>
      <c r="C398">
        <v>405</v>
      </c>
      <c r="D398">
        <v>192060</v>
      </c>
      <c r="E398" t="s">
        <v>308</v>
      </c>
      <c r="F398" t="s">
        <v>96</v>
      </c>
      <c r="G398" t="s">
        <v>23</v>
      </c>
      <c r="H398" t="s">
        <v>55</v>
      </c>
      <c r="I398" t="s">
        <v>29</v>
      </c>
      <c r="J398">
        <v>9</v>
      </c>
      <c r="K398">
        <v>0.03</v>
      </c>
      <c r="L398">
        <v>1</v>
      </c>
      <c r="M398">
        <v>1</v>
      </c>
      <c r="N398">
        <v>1</v>
      </c>
      <c r="O398">
        <v>100</v>
      </c>
      <c r="P398" s="4" t="b">
        <f t="shared" si="6"/>
        <v>0</v>
      </c>
    </row>
    <row r="399" spans="1:16" x14ac:dyDescent="0.2">
      <c r="A399" t="s">
        <v>15</v>
      </c>
      <c r="B399" t="s">
        <v>1016</v>
      </c>
      <c r="C399">
        <v>406</v>
      </c>
      <c r="D399">
        <v>129581</v>
      </c>
      <c r="E399" t="s">
        <v>473</v>
      </c>
      <c r="F399" t="s">
        <v>17</v>
      </c>
      <c r="G399" t="s">
        <v>18</v>
      </c>
      <c r="H399" t="s">
        <v>19</v>
      </c>
      <c r="I399" t="s">
        <v>20</v>
      </c>
      <c r="J399">
        <v>40</v>
      </c>
      <c r="K399">
        <v>0.03</v>
      </c>
      <c r="L399">
        <v>1</v>
      </c>
      <c r="M399">
        <v>1</v>
      </c>
      <c r="N399">
        <v>1</v>
      </c>
      <c r="O399">
        <v>100</v>
      </c>
      <c r="P399" s="4" t="b">
        <f t="shared" si="6"/>
        <v>0</v>
      </c>
    </row>
    <row r="400" spans="1:16" x14ac:dyDescent="0.2">
      <c r="A400" t="s">
        <v>15</v>
      </c>
      <c r="B400" t="s">
        <v>1016</v>
      </c>
      <c r="C400">
        <v>407</v>
      </c>
      <c r="D400">
        <v>163331</v>
      </c>
      <c r="E400" t="s">
        <v>534</v>
      </c>
      <c r="F400" t="s">
        <v>78</v>
      </c>
      <c r="G400" t="s">
        <v>18</v>
      </c>
      <c r="H400" t="s">
        <v>28</v>
      </c>
      <c r="I400" t="s">
        <v>29</v>
      </c>
      <c r="J400">
        <v>20</v>
      </c>
      <c r="K400">
        <v>0.03</v>
      </c>
      <c r="L400">
        <v>1</v>
      </c>
      <c r="M400">
        <v>1</v>
      </c>
      <c r="N400">
        <v>1</v>
      </c>
      <c r="O400">
        <v>100</v>
      </c>
      <c r="P400" s="4" t="b">
        <f t="shared" si="6"/>
        <v>0</v>
      </c>
    </row>
    <row r="401" spans="1:16" x14ac:dyDescent="0.2">
      <c r="A401" t="s">
        <v>15</v>
      </c>
      <c r="B401" t="s">
        <v>1016</v>
      </c>
      <c r="C401">
        <v>408</v>
      </c>
      <c r="D401">
        <v>108370</v>
      </c>
      <c r="E401" t="s">
        <v>299</v>
      </c>
      <c r="F401" t="s">
        <v>26</v>
      </c>
      <c r="G401" t="s">
        <v>23</v>
      </c>
      <c r="H401" t="s">
        <v>28</v>
      </c>
      <c r="I401" t="s">
        <v>29</v>
      </c>
      <c r="J401">
        <v>9</v>
      </c>
      <c r="K401">
        <v>0.03</v>
      </c>
      <c r="L401">
        <v>1</v>
      </c>
      <c r="M401">
        <v>1</v>
      </c>
      <c r="N401">
        <v>1</v>
      </c>
      <c r="O401">
        <v>100</v>
      </c>
      <c r="P401" s="4" t="b">
        <f t="shared" si="6"/>
        <v>0</v>
      </c>
    </row>
    <row r="402" spans="1:16" x14ac:dyDescent="0.2">
      <c r="A402" t="s">
        <v>15</v>
      </c>
      <c r="B402" t="s">
        <v>1016</v>
      </c>
      <c r="C402">
        <v>409</v>
      </c>
      <c r="D402">
        <v>129518</v>
      </c>
      <c r="E402" t="s">
        <v>449</v>
      </c>
      <c r="F402" t="s">
        <v>54</v>
      </c>
      <c r="G402" t="s">
        <v>18</v>
      </c>
      <c r="H402" t="s">
        <v>55</v>
      </c>
      <c r="I402" t="s">
        <v>29</v>
      </c>
      <c r="J402">
        <v>20</v>
      </c>
      <c r="K402">
        <v>0.03</v>
      </c>
      <c r="L402">
        <v>1</v>
      </c>
      <c r="M402">
        <v>1</v>
      </c>
      <c r="N402">
        <v>1</v>
      </c>
      <c r="O402">
        <v>100</v>
      </c>
      <c r="P402" s="4" t="b">
        <f t="shared" si="6"/>
        <v>0</v>
      </c>
    </row>
    <row r="403" spans="1:16" x14ac:dyDescent="0.2">
      <c r="A403" t="s">
        <v>15</v>
      </c>
      <c r="B403" t="s">
        <v>1016</v>
      </c>
      <c r="C403">
        <v>410</v>
      </c>
      <c r="D403">
        <v>59177</v>
      </c>
      <c r="E403" t="s">
        <v>319</v>
      </c>
      <c r="F403" t="s">
        <v>90</v>
      </c>
      <c r="G403" t="s">
        <v>23</v>
      </c>
      <c r="H403" t="s">
        <v>55</v>
      </c>
      <c r="I403" t="s">
        <v>29</v>
      </c>
      <c r="J403">
        <v>8</v>
      </c>
      <c r="K403">
        <v>0.03</v>
      </c>
      <c r="L403">
        <v>1</v>
      </c>
      <c r="M403">
        <v>1</v>
      </c>
      <c r="N403">
        <v>1</v>
      </c>
      <c r="O403">
        <v>100</v>
      </c>
      <c r="P403" s="4" t="b">
        <f t="shared" si="6"/>
        <v>0</v>
      </c>
    </row>
    <row r="404" spans="1:16" x14ac:dyDescent="0.2">
      <c r="A404" t="s">
        <v>15</v>
      </c>
      <c r="B404" t="s">
        <v>1016</v>
      </c>
      <c r="C404">
        <v>411</v>
      </c>
      <c r="D404">
        <v>129678</v>
      </c>
      <c r="E404" t="s">
        <v>351</v>
      </c>
      <c r="F404" t="s">
        <v>44</v>
      </c>
      <c r="G404" t="s">
        <v>18</v>
      </c>
      <c r="H404" t="s">
        <v>39</v>
      </c>
      <c r="I404" t="s">
        <v>20</v>
      </c>
      <c r="J404">
        <v>21</v>
      </c>
      <c r="K404">
        <v>0.03</v>
      </c>
      <c r="L404">
        <v>1</v>
      </c>
      <c r="M404">
        <v>1</v>
      </c>
      <c r="N404">
        <v>1</v>
      </c>
      <c r="O404">
        <v>100</v>
      </c>
      <c r="P404" s="4" t="b">
        <f t="shared" si="6"/>
        <v>0</v>
      </c>
    </row>
    <row r="405" spans="1:16" x14ac:dyDescent="0.2">
      <c r="A405" t="s">
        <v>15</v>
      </c>
      <c r="B405" t="s">
        <v>1016</v>
      </c>
      <c r="C405">
        <v>412</v>
      </c>
      <c r="D405">
        <v>129449</v>
      </c>
      <c r="E405" t="s">
        <v>532</v>
      </c>
      <c r="F405" t="s">
        <v>73</v>
      </c>
      <c r="G405" t="s">
        <v>18</v>
      </c>
      <c r="H405" t="s">
        <v>28</v>
      </c>
      <c r="I405" t="s">
        <v>20</v>
      </c>
      <c r="J405">
        <v>22</v>
      </c>
      <c r="K405">
        <v>0.03</v>
      </c>
      <c r="L405">
        <v>1</v>
      </c>
      <c r="M405">
        <v>1</v>
      </c>
      <c r="N405">
        <v>1</v>
      </c>
      <c r="O405">
        <v>100</v>
      </c>
      <c r="P405" s="4" t="b">
        <f t="shared" si="6"/>
        <v>0</v>
      </c>
    </row>
    <row r="406" spans="1:16" x14ac:dyDescent="0.2">
      <c r="A406" t="s">
        <v>15</v>
      </c>
      <c r="B406" t="s">
        <v>1016</v>
      </c>
      <c r="C406">
        <v>413</v>
      </c>
      <c r="D406">
        <v>134357</v>
      </c>
      <c r="E406" t="s">
        <v>200</v>
      </c>
      <c r="F406" t="s">
        <v>38</v>
      </c>
      <c r="G406" t="s">
        <v>23</v>
      </c>
      <c r="H406" t="s">
        <v>39</v>
      </c>
      <c r="I406" t="s">
        <v>29</v>
      </c>
      <c r="J406">
        <v>8</v>
      </c>
      <c r="K406">
        <v>0.03</v>
      </c>
      <c r="L406">
        <v>1</v>
      </c>
      <c r="M406">
        <v>1</v>
      </c>
      <c r="N406">
        <v>1</v>
      </c>
      <c r="O406">
        <v>100</v>
      </c>
      <c r="P406" s="4" t="b">
        <f t="shared" si="6"/>
        <v>0</v>
      </c>
    </row>
    <row r="407" spans="1:16" x14ac:dyDescent="0.2">
      <c r="A407" t="s">
        <v>15</v>
      </c>
      <c r="B407" t="s">
        <v>1016</v>
      </c>
      <c r="C407">
        <v>414</v>
      </c>
      <c r="D407">
        <v>130804</v>
      </c>
      <c r="E407" t="s">
        <v>530</v>
      </c>
      <c r="F407" t="s">
        <v>68</v>
      </c>
      <c r="G407" t="s">
        <v>18</v>
      </c>
      <c r="H407" t="s">
        <v>28</v>
      </c>
      <c r="I407" t="s">
        <v>29</v>
      </c>
      <c r="J407">
        <v>20</v>
      </c>
      <c r="K407">
        <v>0.03</v>
      </c>
      <c r="L407">
        <v>1</v>
      </c>
      <c r="M407">
        <v>1</v>
      </c>
      <c r="N407">
        <v>1</v>
      </c>
      <c r="O407">
        <v>100</v>
      </c>
      <c r="P407" s="4" t="b">
        <f t="shared" si="6"/>
        <v>0</v>
      </c>
    </row>
    <row r="408" spans="1:16" x14ac:dyDescent="0.2">
      <c r="A408" t="s">
        <v>15</v>
      </c>
      <c r="B408" t="s">
        <v>1016</v>
      </c>
      <c r="C408">
        <v>415</v>
      </c>
      <c r="D408">
        <v>129543</v>
      </c>
      <c r="E408" t="s">
        <v>890</v>
      </c>
      <c r="F408" t="s">
        <v>190</v>
      </c>
      <c r="G408" t="s">
        <v>18</v>
      </c>
      <c r="H408" t="s">
        <v>55</v>
      </c>
      <c r="I408" t="s">
        <v>20</v>
      </c>
      <c r="J408">
        <v>20</v>
      </c>
      <c r="K408">
        <v>0.03</v>
      </c>
      <c r="L408">
        <v>1</v>
      </c>
      <c r="M408">
        <v>1</v>
      </c>
      <c r="N408">
        <v>1</v>
      </c>
      <c r="O408">
        <v>100</v>
      </c>
      <c r="P408" s="4" t="b">
        <f t="shared" si="6"/>
        <v>0</v>
      </c>
    </row>
    <row r="409" spans="1:16" x14ac:dyDescent="0.2">
      <c r="A409" t="s">
        <v>15</v>
      </c>
      <c r="B409" t="s">
        <v>1016</v>
      </c>
      <c r="C409">
        <v>416</v>
      </c>
      <c r="D409">
        <v>53828</v>
      </c>
      <c r="E409" t="s">
        <v>143</v>
      </c>
      <c r="F409" t="s">
        <v>22</v>
      </c>
      <c r="G409" t="s">
        <v>23</v>
      </c>
      <c r="H409" t="s">
        <v>22</v>
      </c>
      <c r="I409" t="s">
        <v>29</v>
      </c>
      <c r="J409">
        <v>8</v>
      </c>
      <c r="K409">
        <v>0.03</v>
      </c>
      <c r="L409">
        <v>1</v>
      </c>
      <c r="M409">
        <v>1</v>
      </c>
      <c r="N409">
        <v>1</v>
      </c>
      <c r="O409">
        <v>100</v>
      </c>
      <c r="P409" s="4" t="b">
        <f t="shared" si="6"/>
        <v>0</v>
      </c>
    </row>
    <row r="410" spans="1:16" x14ac:dyDescent="0.2">
      <c r="A410" t="s">
        <v>15</v>
      </c>
      <c r="B410" t="s">
        <v>1016</v>
      </c>
      <c r="C410">
        <v>417</v>
      </c>
      <c r="D410">
        <v>130773</v>
      </c>
      <c r="E410" t="s">
        <v>922</v>
      </c>
      <c r="F410" t="s">
        <v>238</v>
      </c>
      <c r="G410" t="s">
        <v>18</v>
      </c>
      <c r="H410" t="s">
        <v>28</v>
      </c>
      <c r="I410" t="s">
        <v>56</v>
      </c>
      <c r="J410">
        <v>20</v>
      </c>
      <c r="K410">
        <v>0.03</v>
      </c>
      <c r="L410">
        <v>1</v>
      </c>
      <c r="M410">
        <v>1</v>
      </c>
      <c r="N410">
        <v>1</v>
      </c>
      <c r="O410">
        <v>100</v>
      </c>
      <c r="P410" s="4" t="b">
        <f t="shared" si="6"/>
        <v>0</v>
      </c>
    </row>
    <row r="411" spans="1:16" x14ac:dyDescent="0.2">
      <c r="A411" t="s">
        <v>15</v>
      </c>
      <c r="B411" t="s">
        <v>1016</v>
      </c>
      <c r="C411">
        <v>418</v>
      </c>
      <c r="D411">
        <v>129585</v>
      </c>
      <c r="E411" t="s">
        <v>482</v>
      </c>
      <c r="F411" t="s">
        <v>17</v>
      </c>
      <c r="G411" t="s">
        <v>18</v>
      </c>
      <c r="H411" t="s">
        <v>19</v>
      </c>
      <c r="I411" t="s">
        <v>20</v>
      </c>
      <c r="J411">
        <v>41</v>
      </c>
      <c r="K411">
        <v>0.03</v>
      </c>
      <c r="L411">
        <v>1</v>
      </c>
      <c r="M411">
        <v>1</v>
      </c>
      <c r="N411">
        <v>1</v>
      </c>
      <c r="O411">
        <v>100</v>
      </c>
      <c r="P411" s="4" t="b">
        <f t="shared" si="6"/>
        <v>0</v>
      </c>
    </row>
    <row r="412" spans="1:16" x14ac:dyDescent="0.2">
      <c r="A412" t="s">
        <v>15</v>
      </c>
      <c r="B412" t="s">
        <v>1016</v>
      </c>
      <c r="C412">
        <v>419</v>
      </c>
      <c r="D412">
        <v>76398</v>
      </c>
      <c r="E412" t="s">
        <v>302</v>
      </c>
      <c r="F412" t="s">
        <v>58</v>
      </c>
      <c r="G412" t="s">
        <v>23</v>
      </c>
      <c r="H412" t="s">
        <v>28</v>
      </c>
      <c r="I412" t="s">
        <v>20</v>
      </c>
      <c r="J412">
        <v>14</v>
      </c>
      <c r="K412">
        <v>0.03</v>
      </c>
      <c r="L412">
        <v>1</v>
      </c>
      <c r="M412">
        <v>1</v>
      </c>
      <c r="N412">
        <v>1</v>
      </c>
      <c r="O412">
        <v>100</v>
      </c>
      <c r="P412" s="4" t="b">
        <f t="shared" si="6"/>
        <v>0</v>
      </c>
    </row>
    <row r="413" spans="1:16" x14ac:dyDescent="0.2">
      <c r="A413" t="s">
        <v>15</v>
      </c>
      <c r="B413" t="s">
        <v>1016</v>
      </c>
      <c r="C413">
        <v>420</v>
      </c>
      <c r="D413">
        <v>129589</v>
      </c>
      <c r="E413" t="s">
        <v>488</v>
      </c>
      <c r="F413" t="s">
        <v>17</v>
      </c>
      <c r="G413" t="s">
        <v>18</v>
      </c>
      <c r="H413" t="s">
        <v>19</v>
      </c>
      <c r="I413" t="s">
        <v>20</v>
      </c>
      <c r="J413">
        <v>42</v>
      </c>
      <c r="K413">
        <v>0.03</v>
      </c>
      <c r="L413">
        <v>1</v>
      </c>
      <c r="M413">
        <v>1</v>
      </c>
      <c r="N413">
        <v>1</v>
      </c>
      <c r="O413">
        <v>100</v>
      </c>
      <c r="P413" s="4" t="b">
        <f t="shared" si="6"/>
        <v>0</v>
      </c>
    </row>
    <row r="414" spans="1:16" x14ac:dyDescent="0.2">
      <c r="A414" t="s">
        <v>15</v>
      </c>
      <c r="B414" t="s">
        <v>1016</v>
      </c>
      <c r="C414">
        <v>421</v>
      </c>
      <c r="D414">
        <v>204261</v>
      </c>
      <c r="E414" t="s">
        <v>551</v>
      </c>
      <c r="F414" t="s">
        <v>78</v>
      </c>
      <c r="G414" t="s">
        <v>18</v>
      </c>
      <c r="H414" t="s">
        <v>28</v>
      </c>
      <c r="I414" t="s">
        <v>29</v>
      </c>
      <c r="J414">
        <v>21</v>
      </c>
      <c r="K414">
        <v>0.03</v>
      </c>
      <c r="L414">
        <v>1</v>
      </c>
      <c r="M414">
        <v>1</v>
      </c>
      <c r="N414">
        <v>1</v>
      </c>
      <c r="O414">
        <v>100</v>
      </c>
      <c r="P414" s="4" t="b">
        <f t="shared" si="6"/>
        <v>0</v>
      </c>
    </row>
    <row r="415" spans="1:16" x14ac:dyDescent="0.2">
      <c r="A415" t="s">
        <v>15</v>
      </c>
      <c r="B415" t="s">
        <v>1016</v>
      </c>
      <c r="C415">
        <v>422</v>
      </c>
      <c r="D415">
        <v>169688</v>
      </c>
      <c r="E415" t="s">
        <v>690</v>
      </c>
      <c r="F415" t="s">
        <v>219</v>
      </c>
      <c r="G415" t="s">
        <v>23</v>
      </c>
      <c r="H415" t="s">
        <v>28</v>
      </c>
      <c r="I415" t="s">
        <v>29</v>
      </c>
      <c r="J415">
        <v>10</v>
      </c>
      <c r="K415">
        <v>0.03</v>
      </c>
      <c r="L415">
        <v>1</v>
      </c>
      <c r="M415">
        <v>1</v>
      </c>
      <c r="N415">
        <v>1</v>
      </c>
      <c r="O415">
        <v>100</v>
      </c>
      <c r="P415" s="4" t="b">
        <f t="shared" si="6"/>
        <v>0</v>
      </c>
    </row>
    <row r="416" spans="1:16" x14ac:dyDescent="0.2">
      <c r="A416" t="s">
        <v>15</v>
      </c>
      <c r="B416" t="s">
        <v>1016</v>
      </c>
      <c r="C416">
        <v>423</v>
      </c>
      <c r="D416">
        <v>129481</v>
      </c>
      <c r="E416" t="s">
        <v>469</v>
      </c>
      <c r="F416" t="s">
        <v>54</v>
      </c>
      <c r="G416" t="s">
        <v>18</v>
      </c>
      <c r="H416" t="s">
        <v>55</v>
      </c>
      <c r="I416" t="s">
        <v>29</v>
      </c>
      <c r="J416">
        <v>21</v>
      </c>
      <c r="K416">
        <v>0.03</v>
      </c>
      <c r="L416">
        <v>1</v>
      </c>
      <c r="M416">
        <v>1</v>
      </c>
      <c r="N416">
        <v>1</v>
      </c>
      <c r="O416">
        <v>100</v>
      </c>
      <c r="P416" s="4" t="b">
        <f t="shared" si="6"/>
        <v>0</v>
      </c>
    </row>
    <row r="417" spans="1:16" x14ac:dyDescent="0.2">
      <c r="A417" t="s">
        <v>15</v>
      </c>
      <c r="B417" t="s">
        <v>1016</v>
      </c>
      <c r="C417">
        <v>424</v>
      </c>
      <c r="D417">
        <v>70559</v>
      </c>
      <c r="E417" t="s">
        <v>688</v>
      </c>
      <c r="F417" t="s">
        <v>215</v>
      </c>
      <c r="G417" t="s">
        <v>23</v>
      </c>
      <c r="H417" t="s">
        <v>28</v>
      </c>
      <c r="I417" t="s">
        <v>29</v>
      </c>
      <c r="J417">
        <v>8</v>
      </c>
      <c r="K417">
        <v>0.03</v>
      </c>
      <c r="L417">
        <v>1</v>
      </c>
      <c r="M417">
        <v>1</v>
      </c>
      <c r="N417">
        <v>1</v>
      </c>
      <c r="O417">
        <v>100</v>
      </c>
      <c r="P417" s="4" t="b">
        <f t="shared" si="6"/>
        <v>0</v>
      </c>
    </row>
    <row r="418" spans="1:16" x14ac:dyDescent="0.2">
      <c r="A418" t="s">
        <v>15</v>
      </c>
      <c r="B418" t="s">
        <v>1016</v>
      </c>
      <c r="C418">
        <v>425</v>
      </c>
      <c r="D418">
        <v>130377</v>
      </c>
      <c r="E418" t="s">
        <v>357</v>
      </c>
      <c r="F418" t="s">
        <v>44</v>
      </c>
      <c r="G418" t="s">
        <v>18</v>
      </c>
      <c r="H418" t="s">
        <v>39</v>
      </c>
      <c r="I418" t="s">
        <v>29</v>
      </c>
      <c r="J418">
        <v>22</v>
      </c>
      <c r="K418">
        <v>0.03</v>
      </c>
      <c r="L418">
        <v>1</v>
      </c>
      <c r="M418">
        <v>1</v>
      </c>
      <c r="N418">
        <v>1</v>
      </c>
      <c r="O418">
        <v>100</v>
      </c>
      <c r="P418" s="4" t="b">
        <f t="shared" si="6"/>
        <v>0</v>
      </c>
    </row>
    <row r="419" spans="1:16" x14ac:dyDescent="0.2">
      <c r="A419" t="s">
        <v>15</v>
      </c>
      <c r="B419" t="s">
        <v>1016</v>
      </c>
      <c r="C419">
        <v>426</v>
      </c>
      <c r="D419">
        <v>130958</v>
      </c>
      <c r="E419" t="s">
        <v>549</v>
      </c>
      <c r="F419" t="s">
        <v>73</v>
      </c>
      <c r="G419" t="s">
        <v>18</v>
      </c>
      <c r="H419" t="s">
        <v>28</v>
      </c>
      <c r="I419" t="s">
        <v>56</v>
      </c>
      <c r="J419">
        <v>23</v>
      </c>
      <c r="K419">
        <v>0.03</v>
      </c>
      <c r="L419">
        <v>1</v>
      </c>
      <c r="M419">
        <v>1</v>
      </c>
      <c r="N419">
        <v>1</v>
      </c>
      <c r="O419">
        <v>100</v>
      </c>
      <c r="P419" s="4" t="b">
        <f t="shared" si="6"/>
        <v>0</v>
      </c>
    </row>
    <row r="420" spans="1:16" x14ac:dyDescent="0.2">
      <c r="A420" t="s">
        <v>15</v>
      </c>
      <c r="B420" t="s">
        <v>1016</v>
      </c>
      <c r="C420">
        <v>427</v>
      </c>
      <c r="D420">
        <v>175823</v>
      </c>
      <c r="E420" t="s">
        <v>511</v>
      </c>
      <c r="F420" t="s">
        <v>165</v>
      </c>
      <c r="G420" t="s">
        <v>23</v>
      </c>
      <c r="H420" t="s">
        <v>39</v>
      </c>
      <c r="I420" t="s">
        <v>29</v>
      </c>
      <c r="J420">
        <v>8</v>
      </c>
      <c r="K420">
        <v>0.03</v>
      </c>
      <c r="L420">
        <v>1</v>
      </c>
      <c r="M420">
        <v>1</v>
      </c>
      <c r="N420">
        <v>1</v>
      </c>
      <c r="O420">
        <v>100</v>
      </c>
      <c r="P420" s="4" t="b">
        <f t="shared" si="6"/>
        <v>0</v>
      </c>
    </row>
    <row r="421" spans="1:16" x14ac:dyDescent="0.2">
      <c r="A421" t="s">
        <v>15</v>
      </c>
      <c r="B421" t="s">
        <v>1016</v>
      </c>
      <c r="C421">
        <v>428</v>
      </c>
      <c r="D421">
        <v>129752</v>
      </c>
      <c r="E421" t="s">
        <v>547</v>
      </c>
      <c r="F421" t="s">
        <v>68</v>
      </c>
      <c r="G421" t="s">
        <v>18</v>
      </c>
      <c r="H421" t="s">
        <v>28</v>
      </c>
      <c r="I421" t="s">
        <v>20</v>
      </c>
      <c r="J421">
        <v>21</v>
      </c>
      <c r="K421">
        <v>0.03</v>
      </c>
      <c r="L421">
        <v>1</v>
      </c>
      <c r="M421">
        <v>1</v>
      </c>
      <c r="N421">
        <v>1</v>
      </c>
      <c r="O421">
        <v>100</v>
      </c>
      <c r="P421" s="4" t="b">
        <f t="shared" si="6"/>
        <v>0</v>
      </c>
    </row>
    <row r="422" spans="1:16" x14ac:dyDescent="0.2">
      <c r="A422" t="s">
        <v>15</v>
      </c>
      <c r="B422" t="s">
        <v>1016</v>
      </c>
      <c r="C422">
        <v>429</v>
      </c>
      <c r="D422">
        <v>129569</v>
      </c>
      <c r="E422" t="s">
        <v>896</v>
      </c>
      <c r="F422" t="s">
        <v>190</v>
      </c>
      <c r="G422" t="s">
        <v>18</v>
      </c>
      <c r="H422" t="s">
        <v>55</v>
      </c>
      <c r="I422" t="s">
        <v>29</v>
      </c>
      <c r="J422">
        <v>21</v>
      </c>
      <c r="K422">
        <v>0.03</v>
      </c>
      <c r="L422">
        <v>1</v>
      </c>
      <c r="M422">
        <v>1</v>
      </c>
      <c r="N422">
        <v>1</v>
      </c>
      <c r="O422">
        <v>100</v>
      </c>
      <c r="P422" s="4" t="b">
        <f t="shared" si="6"/>
        <v>0</v>
      </c>
    </row>
    <row r="423" spans="1:16" x14ac:dyDescent="0.2">
      <c r="A423" t="s">
        <v>15</v>
      </c>
      <c r="B423" t="s">
        <v>1016</v>
      </c>
      <c r="C423">
        <v>430</v>
      </c>
      <c r="D423">
        <v>62476</v>
      </c>
      <c r="E423" t="s">
        <v>725</v>
      </c>
      <c r="F423" t="s">
        <v>261</v>
      </c>
      <c r="G423" t="s">
        <v>23</v>
      </c>
      <c r="H423" t="s">
        <v>55</v>
      </c>
      <c r="I423" t="s">
        <v>29</v>
      </c>
      <c r="J423">
        <v>10</v>
      </c>
      <c r="K423">
        <v>0.03</v>
      </c>
      <c r="L423">
        <v>1</v>
      </c>
      <c r="M423">
        <v>1</v>
      </c>
      <c r="N423">
        <v>1</v>
      </c>
      <c r="O423">
        <v>100</v>
      </c>
      <c r="P423" s="4" t="b">
        <f t="shared" si="6"/>
        <v>0</v>
      </c>
    </row>
    <row r="424" spans="1:16" x14ac:dyDescent="0.2">
      <c r="A424" t="s">
        <v>15</v>
      </c>
      <c r="B424" t="s">
        <v>1016</v>
      </c>
      <c r="C424">
        <v>431</v>
      </c>
      <c r="D424">
        <v>130631</v>
      </c>
      <c r="E424" t="s">
        <v>929</v>
      </c>
      <c r="F424" t="s">
        <v>238</v>
      </c>
      <c r="G424" t="s">
        <v>18</v>
      </c>
      <c r="H424" t="s">
        <v>28</v>
      </c>
      <c r="I424" t="s">
        <v>20</v>
      </c>
      <c r="J424">
        <v>21</v>
      </c>
      <c r="K424">
        <v>0.03</v>
      </c>
      <c r="L424">
        <v>1</v>
      </c>
      <c r="M424">
        <v>1</v>
      </c>
      <c r="N424">
        <v>1</v>
      </c>
      <c r="O424">
        <v>100</v>
      </c>
      <c r="P424" s="4" t="b">
        <f t="shared" si="6"/>
        <v>0</v>
      </c>
    </row>
    <row r="425" spans="1:16" x14ac:dyDescent="0.2">
      <c r="A425" t="s">
        <v>15</v>
      </c>
      <c r="B425" t="s">
        <v>1016</v>
      </c>
      <c r="C425">
        <v>432</v>
      </c>
      <c r="D425">
        <v>129590</v>
      </c>
      <c r="E425" t="s">
        <v>495</v>
      </c>
      <c r="F425" t="s">
        <v>17</v>
      </c>
      <c r="G425" t="s">
        <v>18</v>
      </c>
      <c r="H425" t="s">
        <v>19</v>
      </c>
      <c r="I425" t="s">
        <v>20</v>
      </c>
      <c r="J425">
        <v>43</v>
      </c>
      <c r="K425">
        <v>0.03</v>
      </c>
      <c r="L425">
        <v>1</v>
      </c>
      <c r="M425">
        <v>1</v>
      </c>
      <c r="N425">
        <v>1</v>
      </c>
      <c r="O425">
        <v>100</v>
      </c>
      <c r="P425" s="4" t="b">
        <f t="shared" si="6"/>
        <v>0</v>
      </c>
    </row>
    <row r="426" spans="1:16" x14ac:dyDescent="0.2">
      <c r="A426" t="s">
        <v>15</v>
      </c>
      <c r="B426" t="s">
        <v>1016</v>
      </c>
      <c r="C426">
        <v>433</v>
      </c>
      <c r="D426">
        <v>166289</v>
      </c>
      <c r="E426" t="s">
        <v>321</v>
      </c>
      <c r="F426" t="s">
        <v>96</v>
      </c>
      <c r="G426" t="s">
        <v>23</v>
      </c>
      <c r="H426" t="s">
        <v>55</v>
      </c>
      <c r="I426" t="s">
        <v>29</v>
      </c>
      <c r="J426">
        <v>13</v>
      </c>
      <c r="K426">
        <v>0.03</v>
      </c>
      <c r="L426">
        <v>1</v>
      </c>
      <c r="M426">
        <v>1</v>
      </c>
      <c r="N426">
        <v>1</v>
      </c>
      <c r="O426">
        <v>100</v>
      </c>
      <c r="P426" s="4" t="b">
        <f t="shared" si="6"/>
        <v>0</v>
      </c>
    </row>
    <row r="427" spans="1:16" x14ac:dyDescent="0.2">
      <c r="A427" t="s">
        <v>15</v>
      </c>
      <c r="B427" t="s">
        <v>1016</v>
      </c>
      <c r="C427">
        <v>434</v>
      </c>
      <c r="D427">
        <v>129591</v>
      </c>
      <c r="E427" t="s">
        <v>501</v>
      </c>
      <c r="F427" t="s">
        <v>17</v>
      </c>
      <c r="G427" t="s">
        <v>18</v>
      </c>
      <c r="H427" t="s">
        <v>19</v>
      </c>
      <c r="I427" t="s">
        <v>20</v>
      </c>
      <c r="J427">
        <v>44</v>
      </c>
      <c r="K427">
        <v>0.03</v>
      </c>
      <c r="L427">
        <v>1</v>
      </c>
      <c r="M427">
        <v>1</v>
      </c>
      <c r="N427">
        <v>1</v>
      </c>
      <c r="O427">
        <v>100</v>
      </c>
      <c r="P427" s="4" t="b">
        <f t="shared" si="6"/>
        <v>0</v>
      </c>
    </row>
    <row r="428" spans="1:16" x14ac:dyDescent="0.2">
      <c r="A428" t="s">
        <v>15</v>
      </c>
      <c r="B428" t="s">
        <v>1016</v>
      </c>
      <c r="C428">
        <v>435</v>
      </c>
      <c r="D428">
        <v>178627</v>
      </c>
      <c r="E428" t="s">
        <v>567</v>
      </c>
      <c r="F428" t="s">
        <v>78</v>
      </c>
      <c r="G428" t="s">
        <v>18</v>
      </c>
      <c r="H428" t="s">
        <v>28</v>
      </c>
      <c r="I428" t="s">
        <v>29</v>
      </c>
      <c r="J428">
        <v>22</v>
      </c>
      <c r="K428">
        <v>0.03</v>
      </c>
      <c r="L428">
        <v>1</v>
      </c>
      <c r="M428">
        <v>1</v>
      </c>
      <c r="N428">
        <v>1</v>
      </c>
      <c r="O428">
        <v>100</v>
      </c>
      <c r="P428" s="4" t="b">
        <f t="shared" si="6"/>
        <v>0</v>
      </c>
    </row>
    <row r="429" spans="1:16" x14ac:dyDescent="0.2">
      <c r="A429" t="s">
        <v>15</v>
      </c>
      <c r="B429" t="s">
        <v>1016</v>
      </c>
      <c r="C429">
        <v>436</v>
      </c>
      <c r="D429">
        <v>132425</v>
      </c>
      <c r="E429" t="s">
        <v>310</v>
      </c>
      <c r="F429" t="s">
        <v>26</v>
      </c>
      <c r="G429" t="s">
        <v>23</v>
      </c>
      <c r="H429" t="s">
        <v>28</v>
      </c>
      <c r="I429" t="s">
        <v>29</v>
      </c>
      <c r="J429">
        <v>10</v>
      </c>
      <c r="K429">
        <v>4.5</v>
      </c>
      <c r="L429">
        <v>3</v>
      </c>
      <c r="M429">
        <v>3</v>
      </c>
      <c r="N429">
        <v>3</v>
      </c>
      <c r="O429">
        <v>2</v>
      </c>
      <c r="P429" s="4" t="b">
        <f t="shared" si="6"/>
        <v>0</v>
      </c>
    </row>
    <row r="430" spans="1:16" x14ac:dyDescent="0.2">
      <c r="A430" t="s">
        <v>15</v>
      </c>
      <c r="B430" t="s">
        <v>1016</v>
      </c>
      <c r="C430">
        <v>437</v>
      </c>
      <c r="D430">
        <v>129483</v>
      </c>
      <c r="E430" t="s">
        <v>484</v>
      </c>
      <c r="F430" t="s">
        <v>54</v>
      </c>
      <c r="G430" t="s">
        <v>18</v>
      </c>
      <c r="H430" t="s">
        <v>55</v>
      </c>
      <c r="I430" t="s">
        <v>29</v>
      </c>
      <c r="J430">
        <v>22</v>
      </c>
      <c r="K430">
        <v>0.03</v>
      </c>
      <c r="L430">
        <v>1</v>
      </c>
      <c r="M430">
        <v>1</v>
      </c>
      <c r="N430">
        <v>1</v>
      </c>
      <c r="O430">
        <v>100</v>
      </c>
      <c r="P430" s="4" t="b">
        <f t="shared" si="6"/>
        <v>0</v>
      </c>
    </row>
    <row r="431" spans="1:16" x14ac:dyDescent="0.2">
      <c r="A431" t="s">
        <v>15</v>
      </c>
      <c r="B431" t="s">
        <v>1016</v>
      </c>
      <c r="C431">
        <v>438</v>
      </c>
      <c r="D431">
        <v>130532</v>
      </c>
      <c r="E431" t="s">
        <v>368</v>
      </c>
      <c r="F431" t="s">
        <v>44</v>
      </c>
      <c r="G431" t="s">
        <v>18</v>
      </c>
      <c r="H431" t="s">
        <v>39</v>
      </c>
      <c r="I431" t="s">
        <v>29</v>
      </c>
      <c r="J431">
        <v>23</v>
      </c>
      <c r="K431">
        <v>0.03</v>
      </c>
      <c r="L431">
        <v>1</v>
      </c>
      <c r="M431">
        <v>1</v>
      </c>
      <c r="N431">
        <v>1</v>
      </c>
      <c r="O431">
        <v>100</v>
      </c>
      <c r="P431" s="4" t="b">
        <f t="shared" si="6"/>
        <v>0</v>
      </c>
    </row>
    <row r="432" spans="1:16" x14ac:dyDescent="0.2">
      <c r="A432" t="s">
        <v>15</v>
      </c>
      <c r="B432" t="s">
        <v>1016</v>
      </c>
      <c r="C432">
        <v>439</v>
      </c>
      <c r="D432">
        <v>124133</v>
      </c>
      <c r="E432" t="s">
        <v>350</v>
      </c>
      <c r="F432" t="s">
        <v>90</v>
      </c>
      <c r="G432" t="s">
        <v>23</v>
      </c>
      <c r="H432" t="s">
        <v>55</v>
      </c>
      <c r="I432" t="s">
        <v>29</v>
      </c>
      <c r="J432">
        <v>9</v>
      </c>
      <c r="K432">
        <v>0.03</v>
      </c>
      <c r="L432">
        <v>1</v>
      </c>
      <c r="M432">
        <v>1</v>
      </c>
      <c r="N432">
        <v>1</v>
      </c>
      <c r="O432">
        <v>100</v>
      </c>
      <c r="P432" s="4" t="b">
        <f t="shared" si="6"/>
        <v>0</v>
      </c>
    </row>
    <row r="433" spans="1:16" x14ac:dyDescent="0.2">
      <c r="A433" t="s">
        <v>15</v>
      </c>
      <c r="B433" t="s">
        <v>1016</v>
      </c>
      <c r="C433">
        <v>440</v>
      </c>
      <c r="D433">
        <v>129672</v>
      </c>
      <c r="E433" t="s">
        <v>565</v>
      </c>
      <c r="F433" t="s">
        <v>73</v>
      </c>
      <c r="G433" t="s">
        <v>18</v>
      </c>
      <c r="H433" t="s">
        <v>28</v>
      </c>
      <c r="I433" t="s">
        <v>56</v>
      </c>
      <c r="J433">
        <v>24</v>
      </c>
      <c r="K433">
        <v>0.03</v>
      </c>
      <c r="L433">
        <v>1</v>
      </c>
      <c r="M433">
        <v>1</v>
      </c>
      <c r="N433">
        <v>1</v>
      </c>
      <c r="O433">
        <v>100</v>
      </c>
      <c r="P433" s="4" t="b">
        <f t="shared" si="6"/>
        <v>0</v>
      </c>
    </row>
    <row r="434" spans="1:16" x14ac:dyDescent="0.2">
      <c r="A434" t="s">
        <v>15</v>
      </c>
      <c r="B434" t="s">
        <v>1016</v>
      </c>
      <c r="C434">
        <v>441</v>
      </c>
      <c r="D434">
        <v>126586</v>
      </c>
      <c r="E434" t="s">
        <v>204</v>
      </c>
      <c r="F434" t="s">
        <v>38</v>
      </c>
      <c r="G434" t="s">
        <v>23</v>
      </c>
      <c r="H434" t="s">
        <v>39</v>
      </c>
      <c r="I434" t="s">
        <v>20</v>
      </c>
      <c r="J434">
        <v>9</v>
      </c>
      <c r="K434">
        <v>3</v>
      </c>
      <c r="L434">
        <v>5</v>
      </c>
      <c r="M434">
        <v>2</v>
      </c>
      <c r="N434">
        <v>2</v>
      </c>
      <c r="O434">
        <v>3</v>
      </c>
      <c r="P434" s="4" t="b">
        <f t="shared" si="6"/>
        <v>0</v>
      </c>
    </row>
    <row r="435" spans="1:16" x14ac:dyDescent="0.2">
      <c r="A435" t="s">
        <v>15</v>
      </c>
      <c r="B435" t="s">
        <v>1016</v>
      </c>
      <c r="C435">
        <v>442</v>
      </c>
      <c r="D435">
        <v>129867</v>
      </c>
      <c r="E435" t="s">
        <v>564</v>
      </c>
      <c r="F435" t="s">
        <v>68</v>
      </c>
      <c r="G435" t="s">
        <v>18</v>
      </c>
      <c r="H435" t="s">
        <v>28</v>
      </c>
      <c r="I435" t="s">
        <v>56</v>
      </c>
      <c r="J435">
        <v>22</v>
      </c>
      <c r="K435">
        <v>0.03</v>
      </c>
      <c r="L435">
        <v>1</v>
      </c>
      <c r="M435">
        <v>1</v>
      </c>
      <c r="N435">
        <v>1</v>
      </c>
      <c r="O435">
        <v>100</v>
      </c>
      <c r="P435" s="4" t="b">
        <f t="shared" si="6"/>
        <v>0</v>
      </c>
    </row>
    <row r="436" spans="1:16" x14ac:dyDescent="0.2">
      <c r="A436" t="s">
        <v>15</v>
      </c>
      <c r="B436" t="s">
        <v>1016</v>
      </c>
      <c r="C436">
        <v>443</v>
      </c>
      <c r="D436">
        <v>129506</v>
      </c>
      <c r="E436" t="s">
        <v>902</v>
      </c>
      <c r="F436" t="s">
        <v>190</v>
      </c>
      <c r="G436" t="s">
        <v>18</v>
      </c>
      <c r="H436" t="s">
        <v>55</v>
      </c>
      <c r="I436" t="s">
        <v>20</v>
      </c>
      <c r="J436">
        <v>22</v>
      </c>
      <c r="K436">
        <v>0.03</v>
      </c>
      <c r="L436">
        <v>1</v>
      </c>
      <c r="M436">
        <v>1</v>
      </c>
      <c r="N436">
        <v>1</v>
      </c>
      <c r="O436">
        <v>100</v>
      </c>
      <c r="P436" s="4" t="b">
        <f t="shared" si="6"/>
        <v>0</v>
      </c>
    </row>
    <row r="437" spans="1:16" x14ac:dyDescent="0.2">
      <c r="A437" t="s">
        <v>15</v>
      </c>
      <c r="B437" t="s">
        <v>1016</v>
      </c>
      <c r="C437">
        <v>444</v>
      </c>
      <c r="D437">
        <v>126575</v>
      </c>
      <c r="E437" t="s">
        <v>161</v>
      </c>
      <c r="F437" t="s">
        <v>22</v>
      </c>
      <c r="G437" t="s">
        <v>23</v>
      </c>
      <c r="H437" t="s">
        <v>22</v>
      </c>
      <c r="I437" t="s">
        <v>29</v>
      </c>
      <c r="J437">
        <v>9</v>
      </c>
      <c r="K437">
        <v>0.03</v>
      </c>
      <c r="L437">
        <v>1</v>
      </c>
      <c r="M437">
        <v>1</v>
      </c>
      <c r="N437">
        <v>1</v>
      </c>
      <c r="O437">
        <v>100</v>
      </c>
      <c r="P437" s="4" t="b">
        <f t="shared" si="6"/>
        <v>0</v>
      </c>
    </row>
    <row r="438" spans="1:16" x14ac:dyDescent="0.2">
      <c r="A438" t="s">
        <v>15</v>
      </c>
      <c r="B438" t="s">
        <v>1016</v>
      </c>
      <c r="C438">
        <v>445</v>
      </c>
      <c r="D438">
        <v>130359</v>
      </c>
      <c r="E438" t="s">
        <v>936</v>
      </c>
      <c r="F438" t="s">
        <v>238</v>
      </c>
      <c r="G438" t="s">
        <v>18</v>
      </c>
      <c r="H438" t="s">
        <v>28</v>
      </c>
      <c r="I438" t="s">
        <v>29</v>
      </c>
      <c r="J438">
        <v>22</v>
      </c>
      <c r="K438">
        <v>0.03</v>
      </c>
      <c r="L438">
        <v>1</v>
      </c>
      <c r="M438">
        <v>1</v>
      </c>
      <c r="N438">
        <v>1</v>
      </c>
      <c r="O438">
        <v>100</v>
      </c>
      <c r="P438" s="4" t="b">
        <f t="shared" si="6"/>
        <v>0</v>
      </c>
    </row>
    <row r="439" spans="1:16" x14ac:dyDescent="0.2">
      <c r="A439" t="s">
        <v>15</v>
      </c>
      <c r="B439" t="s">
        <v>1016</v>
      </c>
      <c r="C439">
        <v>446</v>
      </c>
      <c r="D439">
        <v>129594</v>
      </c>
      <c r="E439" t="s">
        <v>506</v>
      </c>
      <c r="F439" t="s">
        <v>17</v>
      </c>
      <c r="G439" t="s">
        <v>18</v>
      </c>
      <c r="H439" t="s">
        <v>19</v>
      </c>
      <c r="I439" t="s">
        <v>20</v>
      </c>
      <c r="J439">
        <v>45</v>
      </c>
      <c r="K439">
        <v>0.03</v>
      </c>
      <c r="L439">
        <v>1</v>
      </c>
      <c r="M439">
        <v>1</v>
      </c>
      <c r="N439">
        <v>1</v>
      </c>
      <c r="O439">
        <v>100</v>
      </c>
      <c r="P439" s="4" t="b">
        <f t="shared" si="6"/>
        <v>0</v>
      </c>
    </row>
    <row r="440" spans="1:16" x14ac:dyDescent="0.2">
      <c r="A440" t="s">
        <v>15</v>
      </c>
      <c r="B440" t="s">
        <v>1016</v>
      </c>
      <c r="C440">
        <v>447</v>
      </c>
      <c r="D440">
        <v>206177</v>
      </c>
      <c r="E440" t="s">
        <v>313</v>
      </c>
      <c r="F440" t="s">
        <v>58</v>
      </c>
      <c r="G440" t="s">
        <v>23</v>
      </c>
      <c r="H440" t="s">
        <v>28</v>
      </c>
      <c r="I440" t="s">
        <v>29</v>
      </c>
      <c r="J440">
        <v>15</v>
      </c>
      <c r="K440">
        <v>0.03</v>
      </c>
      <c r="L440">
        <v>1</v>
      </c>
      <c r="M440">
        <v>1</v>
      </c>
      <c r="N440">
        <v>1</v>
      </c>
      <c r="O440">
        <v>100</v>
      </c>
      <c r="P440" s="4" t="b">
        <f t="shared" si="6"/>
        <v>0</v>
      </c>
    </row>
    <row r="441" spans="1:16" x14ac:dyDescent="0.2">
      <c r="A441" t="s">
        <v>15</v>
      </c>
      <c r="B441" t="s">
        <v>1016</v>
      </c>
      <c r="C441">
        <v>448</v>
      </c>
      <c r="D441">
        <v>129595</v>
      </c>
      <c r="E441" t="s">
        <v>516</v>
      </c>
      <c r="F441" t="s">
        <v>17</v>
      </c>
      <c r="G441" t="s">
        <v>18</v>
      </c>
      <c r="H441" t="s">
        <v>19</v>
      </c>
      <c r="I441" t="s">
        <v>20</v>
      </c>
      <c r="J441">
        <v>46</v>
      </c>
      <c r="K441">
        <v>0.03</v>
      </c>
      <c r="L441">
        <v>1</v>
      </c>
      <c r="M441">
        <v>1</v>
      </c>
      <c r="N441">
        <v>1</v>
      </c>
      <c r="O441">
        <v>100</v>
      </c>
      <c r="P441" s="4" t="b">
        <f t="shared" si="6"/>
        <v>0</v>
      </c>
    </row>
    <row r="442" spans="1:16" x14ac:dyDescent="0.2">
      <c r="A442" t="s">
        <v>15</v>
      </c>
      <c r="B442" t="s">
        <v>1016</v>
      </c>
      <c r="C442">
        <v>449</v>
      </c>
      <c r="D442">
        <v>43366</v>
      </c>
      <c r="E442" t="s">
        <v>584</v>
      </c>
      <c r="F442" t="s">
        <v>78</v>
      </c>
      <c r="G442" t="s">
        <v>18</v>
      </c>
      <c r="H442" t="s">
        <v>28</v>
      </c>
      <c r="I442" t="s">
        <v>29</v>
      </c>
      <c r="J442">
        <v>23</v>
      </c>
      <c r="K442">
        <v>0.03</v>
      </c>
      <c r="L442">
        <v>1</v>
      </c>
      <c r="M442">
        <v>1</v>
      </c>
      <c r="N442">
        <v>1</v>
      </c>
      <c r="O442">
        <v>100</v>
      </c>
      <c r="P442" s="4" t="b">
        <f t="shared" si="6"/>
        <v>0</v>
      </c>
    </row>
    <row r="443" spans="1:16" x14ac:dyDescent="0.2">
      <c r="A443" t="s">
        <v>15</v>
      </c>
      <c r="B443" t="s">
        <v>1016</v>
      </c>
      <c r="C443">
        <v>450</v>
      </c>
      <c r="D443">
        <v>176770</v>
      </c>
      <c r="E443" t="s">
        <v>714</v>
      </c>
      <c r="F443" t="s">
        <v>219</v>
      </c>
      <c r="G443" t="s">
        <v>23</v>
      </c>
      <c r="H443" t="s">
        <v>28</v>
      </c>
      <c r="I443" t="s">
        <v>29</v>
      </c>
      <c r="J443">
        <v>11</v>
      </c>
      <c r="K443">
        <v>0.03</v>
      </c>
      <c r="L443">
        <v>1</v>
      </c>
      <c r="M443">
        <v>1</v>
      </c>
      <c r="N443">
        <v>1</v>
      </c>
      <c r="O443">
        <v>100</v>
      </c>
      <c r="P443" s="4" t="b">
        <f t="shared" si="6"/>
        <v>0</v>
      </c>
    </row>
    <row r="444" spans="1:16" x14ac:dyDescent="0.2">
      <c r="A444" t="s">
        <v>15</v>
      </c>
      <c r="B444" t="s">
        <v>1016</v>
      </c>
      <c r="C444">
        <v>451</v>
      </c>
      <c r="D444">
        <v>130367</v>
      </c>
      <c r="E444" t="s">
        <v>499</v>
      </c>
      <c r="F444" t="s">
        <v>54</v>
      </c>
      <c r="G444" t="s">
        <v>18</v>
      </c>
      <c r="H444" t="s">
        <v>55</v>
      </c>
      <c r="I444" t="s">
        <v>29</v>
      </c>
      <c r="J444">
        <v>23</v>
      </c>
      <c r="K444">
        <v>0.03</v>
      </c>
      <c r="L444">
        <v>1</v>
      </c>
      <c r="M444">
        <v>1</v>
      </c>
      <c r="N444">
        <v>1</v>
      </c>
      <c r="O444">
        <v>100</v>
      </c>
      <c r="P444" s="4" t="b">
        <f t="shared" si="6"/>
        <v>0</v>
      </c>
    </row>
    <row r="445" spans="1:16" x14ac:dyDescent="0.2">
      <c r="A445" t="s">
        <v>15</v>
      </c>
      <c r="B445" t="s">
        <v>1016</v>
      </c>
      <c r="C445">
        <v>452</v>
      </c>
      <c r="D445">
        <v>129565</v>
      </c>
      <c r="E445" t="s">
        <v>372</v>
      </c>
      <c r="F445" t="s">
        <v>44</v>
      </c>
      <c r="G445" t="s">
        <v>18</v>
      </c>
      <c r="H445" t="s">
        <v>39</v>
      </c>
      <c r="I445" t="s">
        <v>29</v>
      </c>
      <c r="J445">
        <v>24</v>
      </c>
      <c r="K445">
        <v>0.03</v>
      </c>
      <c r="L445">
        <v>1</v>
      </c>
      <c r="M445">
        <v>1</v>
      </c>
      <c r="N445">
        <v>1</v>
      </c>
      <c r="O445">
        <v>100</v>
      </c>
      <c r="P445" s="4" t="b">
        <f t="shared" si="6"/>
        <v>0</v>
      </c>
    </row>
    <row r="446" spans="1:16" x14ac:dyDescent="0.2">
      <c r="A446" t="s">
        <v>15</v>
      </c>
      <c r="B446" t="s">
        <v>1016</v>
      </c>
      <c r="C446">
        <v>453</v>
      </c>
      <c r="D446">
        <v>173285</v>
      </c>
      <c r="E446" t="s">
        <v>712</v>
      </c>
      <c r="F446" t="s">
        <v>215</v>
      </c>
      <c r="G446" t="s">
        <v>23</v>
      </c>
      <c r="H446" t="s">
        <v>28</v>
      </c>
      <c r="I446" t="s">
        <v>29</v>
      </c>
      <c r="J446">
        <v>9</v>
      </c>
      <c r="K446">
        <v>0.03</v>
      </c>
      <c r="L446">
        <v>1</v>
      </c>
      <c r="M446">
        <v>1</v>
      </c>
      <c r="N446">
        <v>1</v>
      </c>
      <c r="O446">
        <v>100</v>
      </c>
      <c r="P446" s="4" t="b">
        <f t="shared" si="6"/>
        <v>0</v>
      </c>
    </row>
    <row r="447" spans="1:16" x14ac:dyDescent="0.2">
      <c r="A447" t="s">
        <v>15</v>
      </c>
      <c r="B447" t="s">
        <v>1016</v>
      </c>
      <c r="C447">
        <v>454</v>
      </c>
      <c r="D447">
        <v>129507</v>
      </c>
      <c r="E447" t="s">
        <v>582</v>
      </c>
      <c r="F447" t="s">
        <v>73</v>
      </c>
      <c r="G447" t="s">
        <v>18</v>
      </c>
      <c r="H447" t="s">
        <v>28</v>
      </c>
      <c r="I447" t="s">
        <v>29</v>
      </c>
      <c r="J447">
        <v>25</v>
      </c>
      <c r="K447">
        <v>0.03</v>
      </c>
      <c r="L447">
        <v>1</v>
      </c>
      <c r="M447">
        <v>1</v>
      </c>
      <c r="N447">
        <v>1</v>
      </c>
      <c r="O447">
        <v>100</v>
      </c>
      <c r="P447" s="4" t="b">
        <f t="shared" si="6"/>
        <v>0</v>
      </c>
    </row>
    <row r="448" spans="1:16" x14ac:dyDescent="0.2">
      <c r="A448" t="s">
        <v>15</v>
      </c>
      <c r="B448" t="s">
        <v>1016</v>
      </c>
      <c r="C448">
        <v>455</v>
      </c>
      <c r="D448">
        <v>96860</v>
      </c>
      <c r="E448" t="s">
        <v>533</v>
      </c>
      <c r="F448" t="s">
        <v>165</v>
      </c>
      <c r="G448" t="s">
        <v>23</v>
      </c>
      <c r="H448" t="s">
        <v>39</v>
      </c>
      <c r="I448" t="s">
        <v>29</v>
      </c>
      <c r="J448">
        <v>9</v>
      </c>
      <c r="K448">
        <v>0.03</v>
      </c>
      <c r="L448">
        <v>1</v>
      </c>
      <c r="M448">
        <v>1</v>
      </c>
      <c r="N448">
        <v>1</v>
      </c>
      <c r="O448">
        <v>100</v>
      </c>
      <c r="P448" s="4" t="b">
        <f t="shared" si="6"/>
        <v>0</v>
      </c>
    </row>
    <row r="449" spans="1:16" x14ac:dyDescent="0.2">
      <c r="A449" t="s">
        <v>15</v>
      </c>
      <c r="B449" t="s">
        <v>1016</v>
      </c>
      <c r="C449">
        <v>456</v>
      </c>
      <c r="D449">
        <v>130826</v>
      </c>
      <c r="E449" t="s">
        <v>580</v>
      </c>
      <c r="F449" t="s">
        <v>68</v>
      </c>
      <c r="G449" t="s">
        <v>18</v>
      </c>
      <c r="H449" t="s">
        <v>28</v>
      </c>
      <c r="I449" t="s">
        <v>20</v>
      </c>
      <c r="J449">
        <v>23</v>
      </c>
      <c r="K449">
        <v>0.03</v>
      </c>
      <c r="L449">
        <v>1</v>
      </c>
      <c r="M449">
        <v>1</v>
      </c>
      <c r="N449">
        <v>1</v>
      </c>
      <c r="O449">
        <v>100</v>
      </c>
      <c r="P449" s="4" t="b">
        <f t="shared" si="6"/>
        <v>0</v>
      </c>
    </row>
    <row r="450" spans="1:16" x14ac:dyDescent="0.2">
      <c r="A450" t="s">
        <v>15</v>
      </c>
      <c r="B450" t="s">
        <v>1016</v>
      </c>
      <c r="C450">
        <v>457</v>
      </c>
      <c r="D450">
        <v>130328</v>
      </c>
      <c r="E450" t="s">
        <v>908</v>
      </c>
      <c r="F450" t="s">
        <v>190</v>
      </c>
      <c r="G450" t="s">
        <v>18</v>
      </c>
      <c r="H450" t="s">
        <v>55</v>
      </c>
      <c r="I450" t="s">
        <v>29</v>
      </c>
      <c r="J450">
        <v>23</v>
      </c>
      <c r="K450">
        <v>0.03</v>
      </c>
      <c r="L450">
        <v>1</v>
      </c>
      <c r="M450">
        <v>1</v>
      </c>
      <c r="N450">
        <v>1</v>
      </c>
      <c r="O450">
        <v>100</v>
      </c>
      <c r="P450" s="4" t="b">
        <f t="shared" si="6"/>
        <v>0</v>
      </c>
    </row>
    <row r="451" spans="1:16" x14ac:dyDescent="0.2">
      <c r="A451" t="s">
        <v>15</v>
      </c>
      <c r="B451" t="s">
        <v>1016</v>
      </c>
      <c r="C451">
        <v>458</v>
      </c>
      <c r="D451">
        <v>68267</v>
      </c>
      <c r="E451" t="s">
        <v>352</v>
      </c>
      <c r="F451" t="s">
        <v>96</v>
      </c>
      <c r="G451" t="s">
        <v>23</v>
      </c>
      <c r="H451" t="s">
        <v>55</v>
      </c>
      <c r="I451" t="s">
        <v>29</v>
      </c>
      <c r="J451">
        <v>14</v>
      </c>
      <c r="K451">
        <v>0.03</v>
      </c>
      <c r="L451">
        <v>1</v>
      </c>
      <c r="M451">
        <v>1</v>
      </c>
      <c r="N451">
        <v>1</v>
      </c>
      <c r="O451">
        <v>100</v>
      </c>
      <c r="P451" s="4" t="b">
        <f t="shared" ref="P451:P514" si="7">C451&lt;($Q$1+1)</f>
        <v>0</v>
      </c>
    </row>
    <row r="452" spans="1:16" x14ac:dyDescent="0.2">
      <c r="A452" t="s">
        <v>15</v>
      </c>
      <c r="B452" t="s">
        <v>1016</v>
      </c>
      <c r="C452">
        <v>459</v>
      </c>
      <c r="D452">
        <v>130300</v>
      </c>
      <c r="E452" t="s">
        <v>942</v>
      </c>
      <c r="F452" t="s">
        <v>238</v>
      </c>
      <c r="G452" t="s">
        <v>18</v>
      </c>
      <c r="H452" t="s">
        <v>28</v>
      </c>
      <c r="I452" t="s">
        <v>29</v>
      </c>
      <c r="J452">
        <v>23</v>
      </c>
      <c r="K452">
        <v>0.03</v>
      </c>
      <c r="L452">
        <v>1</v>
      </c>
      <c r="M452">
        <v>1</v>
      </c>
      <c r="N452">
        <v>1</v>
      </c>
      <c r="O452">
        <v>100</v>
      </c>
      <c r="P452" s="4" t="b">
        <f t="shared" si="7"/>
        <v>0</v>
      </c>
    </row>
    <row r="453" spans="1:16" x14ac:dyDescent="0.2">
      <c r="A453" t="s">
        <v>15</v>
      </c>
      <c r="B453" t="s">
        <v>1016</v>
      </c>
      <c r="C453">
        <v>460</v>
      </c>
      <c r="D453">
        <v>129596</v>
      </c>
      <c r="E453" t="s">
        <v>528</v>
      </c>
      <c r="F453" t="s">
        <v>17</v>
      </c>
      <c r="G453" t="s">
        <v>18</v>
      </c>
      <c r="H453" t="s">
        <v>19</v>
      </c>
      <c r="I453" t="s">
        <v>20</v>
      </c>
      <c r="J453">
        <v>47</v>
      </c>
      <c r="K453">
        <v>0.03</v>
      </c>
      <c r="L453">
        <v>1</v>
      </c>
      <c r="M453">
        <v>1</v>
      </c>
      <c r="N453">
        <v>1</v>
      </c>
      <c r="O453">
        <v>100</v>
      </c>
      <c r="P453" s="4" t="b">
        <f t="shared" si="7"/>
        <v>0</v>
      </c>
    </row>
    <row r="454" spans="1:16" x14ac:dyDescent="0.2">
      <c r="A454" t="s">
        <v>15</v>
      </c>
      <c r="B454" t="s">
        <v>1016</v>
      </c>
      <c r="C454">
        <v>461</v>
      </c>
      <c r="D454">
        <v>127256</v>
      </c>
      <c r="E454" t="s">
        <v>323</v>
      </c>
      <c r="F454" t="s">
        <v>26</v>
      </c>
      <c r="G454" t="s">
        <v>23</v>
      </c>
      <c r="H454" t="s">
        <v>28</v>
      </c>
      <c r="I454" t="s">
        <v>29</v>
      </c>
      <c r="J454">
        <v>13</v>
      </c>
      <c r="K454">
        <v>0.03</v>
      </c>
      <c r="L454">
        <v>1</v>
      </c>
      <c r="M454">
        <v>1</v>
      </c>
      <c r="N454">
        <v>1</v>
      </c>
      <c r="O454">
        <v>100</v>
      </c>
      <c r="P454" s="4" t="b">
        <f t="shared" si="7"/>
        <v>0</v>
      </c>
    </row>
    <row r="455" spans="1:16" x14ac:dyDescent="0.2">
      <c r="A455" t="s">
        <v>15</v>
      </c>
      <c r="B455" t="s">
        <v>1016</v>
      </c>
      <c r="C455">
        <v>462</v>
      </c>
      <c r="D455">
        <v>129597</v>
      </c>
      <c r="E455" t="s">
        <v>540</v>
      </c>
      <c r="F455" t="s">
        <v>17</v>
      </c>
      <c r="G455" t="s">
        <v>18</v>
      </c>
      <c r="H455" t="s">
        <v>19</v>
      </c>
      <c r="I455" t="s">
        <v>20</v>
      </c>
      <c r="J455">
        <v>48</v>
      </c>
      <c r="K455">
        <v>0.03</v>
      </c>
      <c r="L455">
        <v>1</v>
      </c>
      <c r="M455">
        <v>1</v>
      </c>
      <c r="N455">
        <v>1</v>
      </c>
      <c r="O455">
        <v>100</v>
      </c>
      <c r="P455" s="4" t="b">
        <f t="shared" si="7"/>
        <v>0</v>
      </c>
    </row>
    <row r="456" spans="1:16" x14ac:dyDescent="0.2">
      <c r="A456" t="s">
        <v>15</v>
      </c>
      <c r="B456" t="s">
        <v>1016</v>
      </c>
      <c r="C456">
        <v>463</v>
      </c>
      <c r="D456">
        <v>157527</v>
      </c>
      <c r="E456" t="s">
        <v>604</v>
      </c>
      <c r="F456" t="s">
        <v>78</v>
      </c>
      <c r="G456" t="s">
        <v>18</v>
      </c>
      <c r="H456" t="s">
        <v>28</v>
      </c>
      <c r="I456" t="s">
        <v>29</v>
      </c>
      <c r="J456">
        <v>24</v>
      </c>
      <c r="K456">
        <v>0.03</v>
      </c>
      <c r="L456">
        <v>1</v>
      </c>
      <c r="M456">
        <v>1</v>
      </c>
      <c r="N456">
        <v>1</v>
      </c>
      <c r="O456">
        <v>100</v>
      </c>
      <c r="P456" s="4" t="b">
        <f t="shared" si="7"/>
        <v>0</v>
      </c>
    </row>
    <row r="457" spans="1:16" x14ac:dyDescent="0.2">
      <c r="A457" t="s">
        <v>15</v>
      </c>
      <c r="B457" t="s">
        <v>1016</v>
      </c>
      <c r="C457">
        <v>464</v>
      </c>
      <c r="D457">
        <v>125766</v>
      </c>
      <c r="E457" t="s">
        <v>363</v>
      </c>
      <c r="F457" t="s">
        <v>90</v>
      </c>
      <c r="G457" t="s">
        <v>23</v>
      </c>
      <c r="H457" t="s">
        <v>55</v>
      </c>
      <c r="I457" t="s">
        <v>29</v>
      </c>
      <c r="J457">
        <v>10</v>
      </c>
      <c r="K457">
        <v>3</v>
      </c>
      <c r="L457">
        <v>1</v>
      </c>
      <c r="M457">
        <v>1</v>
      </c>
      <c r="N457">
        <v>1</v>
      </c>
      <c r="O457">
        <v>1</v>
      </c>
      <c r="P457" s="4" t="b">
        <f t="shared" si="7"/>
        <v>0</v>
      </c>
    </row>
    <row r="458" spans="1:16" x14ac:dyDescent="0.2">
      <c r="A458" t="s">
        <v>15</v>
      </c>
      <c r="B458" t="s">
        <v>1016</v>
      </c>
      <c r="C458">
        <v>465</v>
      </c>
      <c r="D458">
        <v>129444</v>
      </c>
      <c r="E458" t="s">
        <v>504</v>
      </c>
      <c r="F458" t="s">
        <v>54</v>
      </c>
      <c r="G458" t="s">
        <v>18</v>
      </c>
      <c r="H458" t="s">
        <v>55</v>
      </c>
      <c r="I458" t="s">
        <v>29</v>
      </c>
      <c r="J458">
        <v>24</v>
      </c>
      <c r="K458">
        <v>0.03</v>
      </c>
      <c r="L458">
        <v>1</v>
      </c>
      <c r="M458">
        <v>1</v>
      </c>
      <c r="N458">
        <v>1</v>
      </c>
      <c r="O458">
        <v>100</v>
      </c>
      <c r="P458" s="4" t="b">
        <f t="shared" si="7"/>
        <v>0</v>
      </c>
    </row>
    <row r="459" spans="1:16" x14ac:dyDescent="0.2">
      <c r="A459" t="s">
        <v>15</v>
      </c>
      <c r="B459" t="s">
        <v>1016</v>
      </c>
      <c r="C459">
        <v>466</v>
      </c>
      <c r="D459">
        <v>129577</v>
      </c>
      <c r="E459" t="s">
        <v>392</v>
      </c>
      <c r="F459" t="s">
        <v>44</v>
      </c>
      <c r="G459" t="s">
        <v>18</v>
      </c>
      <c r="H459" t="s">
        <v>39</v>
      </c>
      <c r="I459" t="s">
        <v>29</v>
      </c>
      <c r="J459">
        <v>25</v>
      </c>
      <c r="K459">
        <v>0.03</v>
      </c>
      <c r="L459">
        <v>1</v>
      </c>
      <c r="M459">
        <v>1</v>
      </c>
      <c r="N459">
        <v>1</v>
      </c>
      <c r="O459">
        <v>100</v>
      </c>
      <c r="P459" s="4" t="b">
        <f t="shared" si="7"/>
        <v>0</v>
      </c>
    </row>
    <row r="460" spans="1:16" x14ac:dyDescent="0.2">
      <c r="A460" t="s">
        <v>15</v>
      </c>
      <c r="B460" t="s">
        <v>1016</v>
      </c>
      <c r="C460">
        <v>467</v>
      </c>
      <c r="D460">
        <v>132061</v>
      </c>
      <c r="E460" t="s">
        <v>221</v>
      </c>
      <c r="F460" t="s">
        <v>38</v>
      </c>
      <c r="G460" t="s">
        <v>23</v>
      </c>
      <c r="H460" t="s">
        <v>39</v>
      </c>
      <c r="I460" t="s">
        <v>29</v>
      </c>
      <c r="J460">
        <v>10</v>
      </c>
      <c r="K460">
        <v>10</v>
      </c>
      <c r="L460">
        <v>2</v>
      </c>
      <c r="M460">
        <v>4</v>
      </c>
      <c r="N460">
        <v>4</v>
      </c>
      <c r="O460">
        <v>1</v>
      </c>
      <c r="P460" s="4" t="b">
        <f t="shared" si="7"/>
        <v>0</v>
      </c>
    </row>
    <row r="461" spans="1:16" x14ac:dyDescent="0.2">
      <c r="A461" t="s">
        <v>15</v>
      </c>
      <c r="B461" t="s">
        <v>1016</v>
      </c>
      <c r="C461">
        <v>468</v>
      </c>
      <c r="D461">
        <v>130341</v>
      </c>
      <c r="E461" t="s">
        <v>602</v>
      </c>
      <c r="F461" t="s">
        <v>73</v>
      </c>
      <c r="G461" t="s">
        <v>18</v>
      </c>
      <c r="H461" t="s">
        <v>28</v>
      </c>
      <c r="I461" t="s">
        <v>20</v>
      </c>
      <c r="J461">
        <v>26</v>
      </c>
      <c r="K461">
        <v>0.03</v>
      </c>
      <c r="L461">
        <v>1</v>
      </c>
      <c r="M461">
        <v>1</v>
      </c>
      <c r="N461">
        <v>1</v>
      </c>
      <c r="O461">
        <v>100</v>
      </c>
      <c r="P461" s="4" t="b">
        <f t="shared" si="7"/>
        <v>0</v>
      </c>
    </row>
    <row r="462" spans="1:16" x14ac:dyDescent="0.2">
      <c r="A462" t="s">
        <v>15</v>
      </c>
      <c r="B462" t="s">
        <v>1016</v>
      </c>
      <c r="C462">
        <v>469</v>
      </c>
      <c r="D462">
        <v>130301</v>
      </c>
      <c r="E462" t="s">
        <v>600</v>
      </c>
      <c r="F462" t="s">
        <v>68</v>
      </c>
      <c r="G462" t="s">
        <v>18</v>
      </c>
      <c r="H462" t="s">
        <v>28</v>
      </c>
      <c r="I462" t="s">
        <v>29</v>
      </c>
      <c r="J462">
        <v>24</v>
      </c>
      <c r="K462">
        <v>0.03</v>
      </c>
      <c r="L462">
        <v>1</v>
      </c>
      <c r="M462">
        <v>1</v>
      </c>
      <c r="N462">
        <v>1</v>
      </c>
      <c r="O462">
        <v>100</v>
      </c>
      <c r="P462" s="4" t="b">
        <f t="shared" si="7"/>
        <v>0</v>
      </c>
    </row>
    <row r="463" spans="1:16" x14ac:dyDescent="0.2">
      <c r="A463" t="s">
        <v>15</v>
      </c>
      <c r="B463" t="s">
        <v>1016</v>
      </c>
      <c r="C463">
        <v>470</v>
      </c>
      <c r="D463">
        <v>201686</v>
      </c>
      <c r="E463" t="s">
        <v>326</v>
      </c>
      <c r="F463" t="s">
        <v>58</v>
      </c>
      <c r="G463" t="s">
        <v>23</v>
      </c>
      <c r="H463" t="s">
        <v>28</v>
      </c>
      <c r="I463" t="s">
        <v>29</v>
      </c>
      <c r="J463">
        <v>16</v>
      </c>
      <c r="K463">
        <v>0.03</v>
      </c>
      <c r="L463">
        <v>1</v>
      </c>
      <c r="M463">
        <v>1</v>
      </c>
      <c r="N463">
        <v>1</v>
      </c>
      <c r="O463">
        <v>100</v>
      </c>
      <c r="P463" s="4" t="b">
        <f t="shared" si="7"/>
        <v>0</v>
      </c>
    </row>
    <row r="464" spans="1:16" x14ac:dyDescent="0.2">
      <c r="A464" t="s">
        <v>15</v>
      </c>
      <c r="B464" t="s">
        <v>1016</v>
      </c>
      <c r="C464">
        <v>471</v>
      </c>
      <c r="D464">
        <v>130331</v>
      </c>
      <c r="E464" t="s">
        <v>913</v>
      </c>
      <c r="F464" t="s">
        <v>190</v>
      </c>
      <c r="G464" t="s">
        <v>18</v>
      </c>
      <c r="H464" t="s">
        <v>55</v>
      </c>
      <c r="I464" t="s">
        <v>29</v>
      </c>
      <c r="J464">
        <v>24</v>
      </c>
      <c r="K464">
        <v>0.03</v>
      </c>
      <c r="L464">
        <v>1</v>
      </c>
      <c r="M464">
        <v>1</v>
      </c>
      <c r="N464">
        <v>1</v>
      </c>
      <c r="O464">
        <v>100</v>
      </c>
      <c r="P464" s="4" t="b">
        <f t="shared" si="7"/>
        <v>0</v>
      </c>
    </row>
    <row r="465" spans="1:16" x14ac:dyDescent="0.2">
      <c r="A465" t="s">
        <v>15</v>
      </c>
      <c r="B465" t="s">
        <v>1016</v>
      </c>
      <c r="C465">
        <v>472</v>
      </c>
      <c r="D465">
        <v>176776</v>
      </c>
      <c r="E465" t="s">
        <v>731</v>
      </c>
      <c r="F465" t="s">
        <v>219</v>
      </c>
      <c r="G465" t="s">
        <v>23</v>
      </c>
      <c r="H465" t="s">
        <v>28</v>
      </c>
      <c r="I465" t="s">
        <v>29</v>
      </c>
      <c r="J465">
        <v>12</v>
      </c>
      <c r="K465">
        <v>0.03</v>
      </c>
      <c r="L465">
        <v>1</v>
      </c>
      <c r="M465">
        <v>1</v>
      </c>
      <c r="N465">
        <v>1</v>
      </c>
      <c r="O465">
        <v>100</v>
      </c>
      <c r="P465" s="4" t="b">
        <f t="shared" si="7"/>
        <v>0</v>
      </c>
    </row>
    <row r="466" spans="1:16" x14ac:dyDescent="0.2">
      <c r="A466" t="s">
        <v>15</v>
      </c>
      <c r="B466" t="s">
        <v>1016</v>
      </c>
      <c r="C466">
        <v>473</v>
      </c>
      <c r="D466">
        <v>129826</v>
      </c>
      <c r="E466" t="s">
        <v>948</v>
      </c>
      <c r="F466" t="s">
        <v>238</v>
      </c>
      <c r="G466" t="s">
        <v>18</v>
      </c>
      <c r="H466" t="s">
        <v>28</v>
      </c>
      <c r="I466" t="s">
        <v>20</v>
      </c>
      <c r="J466">
        <v>24</v>
      </c>
      <c r="K466">
        <v>0.03</v>
      </c>
      <c r="L466">
        <v>1</v>
      </c>
      <c r="M466">
        <v>1</v>
      </c>
      <c r="N466">
        <v>1</v>
      </c>
      <c r="O466">
        <v>100</v>
      </c>
      <c r="P466" s="4" t="b">
        <f t="shared" si="7"/>
        <v>0</v>
      </c>
    </row>
    <row r="467" spans="1:16" x14ac:dyDescent="0.2">
      <c r="A467" t="s">
        <v>15</v>
      </c>
      <c r="B467" t="s">
        <v>1016</v>
      </c>
      <c r="C467">
        <v>474</v>
      </c>
      <c r="D467">
        <v>129598</v>
      </c>
      <c r="E467" t="s">
        <v>545</v>
      </c>
      <c r="F467" t="s">
        <v>17</v>
      </c>
      <c r="G467" t="s">
        <v>18</v>
      </c>
      <c r="H467" t="s">
        <v>19</v>
      </c>
      <c r="I467" t="s">
        <v>20</v>
      </c>
      <c r="J467">
        <v>49</v>
      </c>
      <c r="K467">
        <v>0.03</v>
      </c>
      <c r="L467">
        <v>1</v>
      </c>
      <c r="M467">
        <v>1</v>
      </c>
      <c r="N467">
        <v>1</v>
      </c>
      <c r="O467">
        <v>100</v>
      </c>
      <c r="P467" s="4" t="b">
        <f t="shared" si="7"/>
        <v>0</v>
      </c>
    </row>
    <row r="468" spans="1:16" x14ac:dyDescent="0.2">
      <c r="A468" t="s">
        <v>15</v>
      </c>
      <c r="B468" t="s">
        <v>1016</v>
      </c>
      <c r="C468">
        <v>475</v>
      </c>
      <c r="D468">
        <v>173286</v>
      </c>
      <c r="E468" t="s">
        <v>729</v>
      </c>
      <c r="F468" t="s">
        <v>215</v>
      </c>
      <c r="G468" t="s">
        <v>23</v>
      </c>
      <c r="H468" t="s">
        <v>28</v>
      </c>
      <c r="I468" t="s">
        <v>29</v>
      </c>
      <c r="J468">
        <v>10</v>
      </c>
      <c r="K468">
        <v>0.03</v>
      </c>
      <c r="L468">
        <v>1</v>
      </c>
      <c r="M468">
        <v>1</v>
      </c>
      <c r="N468">
        <v>1</v>
      </c>
      <c r="O468">
        <v>100</v>
      </c>
      <c r="P468" s="4" t="b">
        <f t="shared" si="7"/>
        <v>0</v>
      </c>
    </row>
    <row r="469" spans="1:16" x14ac:dyDescent="0.2">
      <c r="A469" t="s">
        <v>15</v>
      </c>
      <c r="B469" t="s">
        <v>1016</v>
      </c>
      <c r="C469">
        <v>476</v>
      </c>
      <c r="D469">
        <v>129599</v>
      </c>
      <c r="E469" t="s">
        <v>552</v>
      </c>
      <c r="F469" t="s">
        <v>17</v>
      </c>
      <c r="G469" t="s">
        <v>18</v>
      </c>
      <c r="H469" t="s">
        <v>19</v>
      </c>
      <c r="I469" t="s">
        <v>20</v>
      </c>
      <c r="J469">
        <v>50</v>
      </c>
      <c r="K469">
        <v>0.03</v>
      </c>
      <c r="L469">
        <v>1</v>
      </c>
      <c r="M469">
        <v>1</v>
      </c>
      <c r="N469">
        <v>1</v>
      </c>
      <c r="O469">
        <v>100</v>
      </c>
      <c r="P469" s="4" t="b">
        <f t="shared" si="7"/>
        <v>0</v>
      </c>
    </row>
    <row r="470" spans="1:16" x14ac:dyDescent="0.2">
      <c r="A470" t="s">
        <v>15</v>
      </c>
      <c r="B470" t="s">
        <v>1016</v>
      </c>
      <c r="C470">
        <v>477</v>
      </c>
      <c r="D470">
        <v>140468</v>
      </c>
      <c r="E470" t="s">
        <v>621</v>
      </c>
      <c r="F470" t="s">
        <v>78</v>
      </c>
      <c r="G470" t="s">
        <v>18</v>
      </c>
      <c r="H470" t="s">
        <v>28</v>
      </c>
      <c r="I470" t="s">
        <v>29</v>
      </c>
      <c r="J470">
        <v>25</v>
      </c>
      <c r="K470">
        <v>0.03</v>
      </c>
      <c r="L470">
        <v>1</v>
      </c>
      <c r="M470">
        <v>1</v>
      </c>
      <c r="N470">
        <v>1</v>
      </c>
      <c r="O470">
        <v>100</v>
      </c>
      <c r="P470" s="4" t="b">
        <f t="shared" si="7"/>
        <v>0</v>
      </c>
    </row>
    <row r="471" spans="1:16" x14ac:dyDescent="0.2">
      <c r="A471" t="s">
        <v>15</v>
      </c>
      <c r="B471" t="s">
        <v>1016</v>
      </c>
      <c r="C471">
        <v>478</v>
      </c>
      <c r="D471">
        <v>68595</v>
      </c>
      <c r="E471" t="s">
        <v>570</v>
      </c>
      <c r="F471" t="s">
        <v>165</v>
      </c>
      <c r="G471" t="s">
        <v>23</v>
      </c>
      <c r="H471" t="s">
        <v>39</v>
      </c>
      <c r="I471" t="s">
        <v>56</v>
      </c>
      <c r="J471">
        <v>10</v>
      </c>
      <c r="K471">
        <v>4.5</v>
      </c>
      <c r="L471">
        <v>5</v>
      </c>
      <c r="M471">
        <v>2</v>
      </c>
      <c r="N471">
        <v>2</v>
      </c>
      <c r="O471">
        <v>2</v>
      </c>
      <c r="P471" s="4" t="b">
        <f t="shared" si="7"/>
        <v>0</v>
      </c>
    </row>
    <row r="472" spans="1:16" x14ac:dyDescent="0.2">
      <c r="A472" t="s">
        <v>15</v>
      </c>
      <c r="B472" t="s">
        <v>1016</v>
      </c>
      <c r="C472">
        <v>479</v>
      </c>
      <c r="D472">
        <v>129455</v>
      </c>
      <c r="E472" t="s">
        <v>519</v>
      </c>
      <c r="F472" t="s">
        <v>54</v>
      </c>
      <c r="G472" t="s">
        <v>18</v>
      </c>
      <c r="H472" t="s">
        <v>55</v>
      </c>
      <c r="I472" t="s">
        <v>74</v>
      </c>
      <c r="J472">
        <v>25</v>
      </c>
      <c r="K472">
        <v>0.03</v>
      </c>
      <c r="L472">
        <v>1</v>
      </c>
      <c r="M472">
        <v>1</v>
      </c>
      <c r="N472">
        <v>1</v>
      </c>
      <c r="O472">
        <v>100</v>
      </c>
      <c r="P472" s="4" t="b">
        <f t="shared" si="7"/>
        <v>0</v>
      </c>
    </row>
    <row r="473" spans="1:16" x14ac:dyDescent="0.2">
      <c r="A473" t="s">
        <v>15</v>
      </c>
      <c r="B473" t="s">
        <v>1016</v>
      </c>
      <c r="C473">
        <v>480</v>
      </c>
      <c r="D473">
        <v>129741</v>
      </c>
      <c r="E473" t="s">
        <v>397</v>
      </c>
      <c r="F473" t="s">
        <v>44</v>
      </c>
      <c r="G473" t="s">
        <v>18</v>
      </c>
      <c r="H473" t="s">
        <v>39</v>
      </c>
      <c r="I473" t="s">
        <v>20</v>
      </c>
      <c r="J473">
        <v>26</v>
      </c>
      <c r="K473">
        <v>0.03</v>
      </c>
      <c r="L473">
        <v>1</v>
      </c>
      <c r="M473">
        <v>1</v>
      </c>
      <c r="N473">
        <v>1</v>
      </c>
      <c r="O473">
        <v>100</v>
      </c>
      <c r="P473" s="4" t="b">
        <f t="shared" si="7"/>
        <v>0</v>
      </c>
    </row>
    <row r="474" spans="1:16" x14ac:dyDescent="0.2">
      <c r="A474" t="s">
        <v>15</v>
      </c>
      <c r="B474" t="s">
        <v>1016</v>
      </c>
      <c r="C474">
        <v>481</v>
      </c>
      <c r="D474">
        <v>199976</v>
      </c>
      <c r="E474" t="s">
        <v>365</v>
      </c>
      <c r="F474" t="s">
        <v>96</v>
      </c>
      <c r="G474" t="s">
        <v>23</v>
      </c>
      <c r="H474" t="s">
        <v>55</v>
      </c>
      <c r="I474" t="s">
        <v>29</v>
      </c>
      <c r="J474">
        <v>16</v>
      </c>
      <c r="K474">
        <v>0.03</v>
      </c>
      <c r="L474">
        <v>1</v>
      </c>
      <c r="M474">
        <v>1</v>
      </c>
      <c r="N474">
        <v>1</v>
      </c>
      <c r="O474">
        <v>100</v>
      </c>
      <c r="P474" s="4" t="b">
        <f t="shared" si="7"/>
        <v>0</v>
      </c>
    </row>
    <row r="475" spans="1:16" x14ac:dyDescent="0.2">
      <c r="A475" t="s">
        <v>15</v>
      </c>
      <c r="B475" t="s">
        <v>1016</v>
      </c>
      <c r="C475">
        <v>482</v>
      </c>
      <c r="D475">
        <v>130411</v>
      </c>
      <c r="E475" t="s">
        <v>619</v>
      </c>
      <c r="F475" t="s">
        <v>73</v>
      </c>
      <c r="G475" t="s">
        <v>18</v>
      </c>
      <c r="H475" t="s">
        <v>28</v>
      </c>
      <c r="I475" t="s">
        <v>20</v>
      </c>
      <c r="J475">
        <v>27</v>
      </c>
      <c r="K475">
        <v>0.03</v>
      </c>
      <c r="L475">
        <v>1</v>
      </c>
      <c r="M475">
        <v>1</v>
      </c>
      <c r="N475">
        <v>1</v>
      </c>
      <c r="O475">
        <v>100</v>
      </c>
      <c r="P475" s="4" t="b">
        <f t="shared" si="7"/>
        <v>0</v>
      </c>
    </row>
    <row r="476" spans="1:16" x14ac:dyDescent="0.2">
      <c r="A476" t="s">
        <v>15</v>
      </c>
      <c r="B476" t="s">
        <v>1016</v>
      </c>
      <c r="C476">
        <v>483</v>
      </c>
      <c r="D476">
        <v>130001</v>
      </c>
      <c r="E476" t="s">
        <v>617</v>
      </c>
      <c r="F476" t="s">
        <v>68</v>
      </c>
      <c r="G476" t="s">
        <v>18</v>
      </c>
      <c r="H476" t="s">
        <v>28</v>
      </c>
      <c r="I476" t="s">
        <v>20</v>
      </c>
      <c r="J476">
        <v>25</v>
      </c>
      <c r="K476">
        <v>0.03</v>
      </c>
      <c r="L476">
        <v>1</v>
      </c>
      <c r="M476">
        <v>1</v>
      </c>
      <c r="N476">
        <v>1</v>
      </c>
      <c r="O476">
        <v>100</v>
      </c>
      <c r="P476" s="4" t="b">
        <f t="shared" si="7"/>
        <v>0</v>
      </c>
    </row>
    <row r="477" spans="1:16" x14ac:dyDescent="0.2">
      <c r="A477" t="s">
        <v>15</v>
      </c>
      <c r="B477" t="s">
        <v>1016</v>
      </c>
      <c r="C477">
        <v>484</v>
      </c>
      <c r="D477">
        <v>199556</v>
      </c>
      <c r="E477" t="s">
        <v>343</v>
      </c>
      <c r="F477" t="s">
        <v>26</v>
      </c>
      <c r="G477" t="s">
        <v>23</v>
      </c>
      <c r="H477" t="s">
        <v>28</v>
      </c>
      <c r="I477" t="s">
        <v>29</v>
      </c>
      <c r="J477">
        <v>14</v>
      </c>
      <c r="K477">
        <v>0.03</v>
      </c>
      <c r="L477">
        <v>1</v>
      </c>
      <c r="M477">
        <v>1</v>
      </c>
      <c r="N477">
        <v>1</v>
      </c>
      <c r="O477">
        <v>100</v>
      </c>
      <c r="P477" s="4" t="b">
        <f t="shared" si="7"/>
        <v>0</v>
      </c>
    </row>
    <row r="478" spans="1:16" x14ac:dyDescent="0.2">
      <c r="A478" t="s">
        <v>15</v>
      </c>
      <c r="B478" t="s">
        <v>1016</v>
      </c>
      <c r="C478">
        <v>485</v>
      </c>
      <c r="D478">
        <v>130468</v>
      </c>
      <c r="E478" t="s">
        <v>919</v>
      </c>
      <c r="F478" t="s">
        <v>190</v>
      </c>
      <c r="G478" t="s">
        <v>18</v>
      </c>
      <c r="H478" t="s">
        <v>55</v>
      </c>
      <c r="I478" t="s">
        <v>29</v>
      </c>
      <c r="J478">
        <v>25</v>
      </c>
      <c r="K478">
        <v>0.03</v>
      </c>
      <c r="L478">
        <v>1</v>
      </c>
      <c r="M478">
        <v>1</v>
      </c>
      <c r="N478">
        <v>1</v>
      </c>
      <c r="O478">
        <v>100</v>
      </c>
      <c r="P478" s="4" t="b">
        <f t="shared" si="7"/>
        <v>0</v>
      </c>
    </row>
    <row r="479" spans="1:16" x14ac:dyDescent="0.2">
      <c r="A479" t="s">
        <v>15</v>
      </c>
      <c r="B479" t="s">
        <v>1016</v>
      </c>
      <c r="C479">
        <v>486</v>
      </c>
      <c r="D479">
        <v>71501</v>
      </c>
      <c r="E479" t="s">
        <v>402</v>
      </c>
      <c r="F479" t="s">
        <v>90</v>
      </c>
      <c r="G479" t="s">
        <v>23</v>
      </c>
      <c r="H479" t="s">
        <v>55</v>
      </c>
      <c r="I479" t="s">
        <v>20</v>
      </c>
      <c r="J479">
        <v>11</v>
      </c>
      <c r="K479">
        <v>0.03</v>
      </c>
      <c r="L479">
        <v>1</v>
      </c>
      <c r="M479">
        <v>1</v>
      </c>
      <c r="N479">
        <v>1</v>
      </c>
      <c r="O479">
        <v>100</v>
      </c>
      <c r="P479" s="4" t="b">
        <f t="shared" si="7"/>
        <v>0</v>
      </c>
    </row>
    <row r="480" spans="1:16" x14ac:dyDescent="0.2">
      <c r="A480" t="s">
        <v>15</v>
      </c>
      <c r="B480" t="s">
        <v>1016</v>
      </c>
      <c r="C480">
        <v>487</v>
      </c>
      <c r="D480">
        <v>130655</v>
      </c>
      <c r="E480" t="s">
        <v>954</v>
      </c>
      <c r="F480" t="s">
        <v>238</v>
      </c>
      <c r="G480" t="s">
        <v>18</v>
      </c>
      <c r="H480" t="s">
        <v>28</v>
      </c>
      <c r="I480" t="s">
        <v>29</v>
      </c>
      <c r="J480">
        <v>25</v>
      </c>
      <c r="K480">
        <v>0.03</v>
      </c>
      <c r="L480">
        <v>1</v>
      </c>
      <c r="M480">
        <v>1</v>
      </c>
      <c r="N480">
        <v>1</v>
      </c>
      <c r="O480">
        <v>100</v>
      </c>
      <c r="P480" s="4" t="b">
        <f t="shared" si="7"/>
        <v>0</v>
      </c>
    </row>
    <row r="481" spans="1:16" x14ac:dyDescent="0.2">
      <c r="A481" t="s">
        <v>15</v>
      </c>
      <c r="B481" t="s">
        <v>1016</v>
      </c>
      <c r="C481">
        <v>488</v>
      </c>
      <c r="D481">
        <v>129600</v>
      </c>
      <c r="E481" t="s">
        <v>558</v>
      </c>
      <c r="F481" t="s">
        <v>17</v>
      </c>
      <c r="G481" t="s">
        <v>18</v>
      </c>
      <c r="H481" t="s">
        <v>19</v>
      </c>
      <c r="I481" t="s">
        <v>20</v>
      </c>
      <c r="J481">
        <v>51</v>
      </c>
      <c r="K481">
        <v>0.03</v>
      </c>
      <c r="L481">
        <v>1</v>
      </c>
      <c r="M481">
        <v>1</v>
      </c>
      <c r="N481">
        <v>1</v>
      </c>
      <c r="O481">
        <v>100</v>
      </c>
      <c r="P481" s="4" t="b">
        <f t="shared" si="7"/>
        <v>0</v>
      </c>
    </row>
    <row r="482" spans="1:16" x14ac:dyDescent="0.2">
      <c r="A482" t="s">
        <v>15</v>
      </c>
      <c r="B482" t="s">
        <v>1016</v>
      </c>
      <c r="C482">
        <v>489</v>
      </c>
      <c r="D482">
        <v>126579</v>
      </c>
      <c r="E482" t="s">
        <v>230</v>
      </c>
      <c r="F482" t="s">
        <v>38</v>
      </c>
      <c r="G482" t="s">
        <v>23</v>
      </c>
      <c r="H482" t="s">
        <v>39</v>
      </c>
      <c r="I482" t="s">
        <v>29</v>
      </c>
      <c r="J482">
        <v>12</v>
      </c>
      <c r="K482">
        <v>0.03</v>
      </c>
      <c r="L482">
        <v>1</v>
      </c>
      <c r="M482">
        <v>1</v>
      </c>
      <c r="N482">
        <v>1</v>
      </c>
      <c r="O482">
        <v>100</v>
      </c>
      <c r="P482" s="4" t="b">
        <f t="shared" si="7"/>
        <v>0</v>
      </c>
    </row>
    <row r="483" spans="1:16" x14ac:dyDescent="0.2">
      <c r="A483" t="s">
        <v>15</v>
      </c>
      <c r="B483" t="s">
        <v>1016</v>
      </c>
      <c r="C483">
        <v>490</v>
      </c>
      <c r="D483">
        <v>129601</v>
      </c>
      <c r="E483" t="s">
        <v>562</v>
      </c>
      <c r="F483" t="s">
        <v>17</v>
      </c>
      <c r="G483" t="s">
        <v>18</v>
      </c>
      <c r="H483" t="s">
        <v>19</v>
      </c>
      <c r="I483" t="s">
        <v>20</v>
      </c>
      <c r="J483">
        <v>52</v>
      </c>
      <c r="K483">
        <v>0.03</v>
      </c>
      <c r="L483">
        <v>1</v>
      </c>
      <c r="M483">
        <v>1</v>
      </c>
      <c r="N483">
        <v>1</v>
      </c>
      <c r="O483">
        <v>100</v>
      </c>
      <c r="P483" s="4" t="b">
        <f t="shared" si="7"/>
        <v>0</v>
      </c>
    </row>
    <row r="484" spans="1:16" x14ac:dyDescent="0.2">
      <c r="A484" t="s">
        <v>15</v>
      </c>
      <c r="B484" t="s">
        <v>1016</v>
      </c>
      <c r="C484">
        <v>491</v>
      </c>
      <c r="D484">
        <v>131505</v>
      </c>
      <c r="E484" t="s">
        <v>639</v>
      </c>
      <c r="F484" t="s">
        <v>78</v>
      </c>
      <c r="G484" t="s">
        <v>18</v>
      </c>
      <c r="H484" t="s">
        <v>28</v>
      </c>
      <c r="I484" t="s">
        <v>29</v>
      </c>
      <c r="J484">
        <v>26</v>
      </c>
      <c r="K484">
        <v>0.03</v>
      </c>
      <c r="L484">
        <v>1</v>
      </c>
      <c r="M484">
        <v>1</v>
      </c>
      <c r="N484">
        <v>1</v>
      </c>
      <c r="O484">
        <v>100</v>
      </c>
      <c r="P484" s="4" t="b">
        <f t="shared" si="7"/>
        <v>0</v>
      </c>
    </row>
    <row r="485" spans="1:16" x14ac:dyDescent="0.2">
      <c r="A485" t="s">
        <v>15</v>
      </c>
      <c r="B485" t="s">
        <v>1016</v>
      </c>
      <c r="C485">
        <v>492</v>
      </c>
      <c r="D485">
        <v>190291</v>
      </c>
      <c r="E485" t="s">
        <v>345</v>
      </c>
      <c r="F485" t="s">
        <v>58</v>
      </c>
      <c r="G485" t="s">
        <v>23</v>
      </c>
      <c r="H485" t="s">
        <v>28</v>
      </c>
      <c r="I485" t="s">
        <v>20</v>
      </c>
      <c r="J485">
        <v>18</v>
      </c>
      <c r="K485">
        <v>0.03</v>
      </c>
      <c r="L485">
        <v>1</v>
      </c>
      <c r="M485">
        <v>1</v>
      </c>
      <c r="N485">
        <v>1</v>
      </c>
      <c r="O485">
        <v>100</v>
      </c>
      <c r="P485" s="4" t="b">
        <f t="shared" si="7"/>
        <v>0</v>
      </c>
    </row>
    <row r="486" spans="1:16" x14ac:dyDescent="0.2">
      <c r="A486" t="s">
        <v>15</v>
      </c>
      <c r="B486" t="s">
        <v>1016</v>
      </c>
      <c r="C486">
        <v>493</v>
      </c>
      <c r="D486">
        <v>130483</v>
      </c>
      <c r="E486" t="s">
        <v>541</v>
      </c>
      <c r="F486" t="s">
        <v>54</v>
      </c>
      <c r="G486" t="s">
        <v>18</v>
      </c>
      <c r="H486" t="s">
        <v>55</v>
      </c>
      <c r="I486" t="s">
        <v>29</v>
      </c>
      <c r="J486">
        <v>26</v>
      </c>
      <c r="K486">
        <v>0.03</v>
      </c>
      <c r="L486">
        <v>1</v>
      </c>
      <c r="M486">
        <v>1</v>
      </c>
      <c r="N486">
        <v>1</v>
      </c>
      <c r="O486">
        <v>100</v>
      </c>
      <c r="P486" s="4" t="b">
        <f t="shared" si="7"/>
        <v>0</v>
      </c>
    </row>
    <row r="487" spans="1:16" x14ac:dyDescent="0.2">
      <c r="A487" t="s">
        <v>15</v>
      </c>
      <c r="B487" t="s">
        <v>1016</v>
      </c>
      <c r="C487">
        <v>494</v>
      </c>
      <c r="D487">
        <v>130433</v>
      </c>
      <c r="E487" t="s">
        <v>408</v>
      </c>
      <c r="F487" t="s">
        <v>44</v>
      </c>
      <c r="G487" t="s">
        <v>18</v>
      </c>
      <c r="H487" t="s">
        <v>39</v>
      </c>
      <c r="I487" t="s">
        <v>74</v>
      </c>
      <c r="J487">
        <v>27</v>
      </c>
      <c r="K487">
        <v>0.03</v>
      </c>
      <c r="L487">
        <v>1</v>
      </c>
      <c r="M487">
        <v>1</v>
      </c>
      <c r="N487">
        <v>1</v>
      </c>
      <c r="O487">
        <v>100</v>
      </c>
      <c r="P487" s="4" t="b">
        <f t="shared" si="7"/>
        <v>0</v>
      </c>
    </row>
    <row r="488" spans="1:16" x14ac:dyDescent="0.2">
      <c r="A488" t="s">
        <v>15</v>
      </c>
      <c r="B488" t="s">
        <v>1016</v>
      </c>
      <c r="C488">
        <v>495</v>
      </c>
      <c r="D488">
        <v>199026</v>
      </c>
      <c r="E488" t="s">
        <v>736</v>
      </c>
      <c r="F488" t="s">
        <v>219</v>
      </c>
      <c r="G488" t="s">
        <v>23</v>
      </c>
      <c r="H488" t="s">
        <v>28</v>
      </c>
      <c r="I488" t="s">
        <v>29</v>
      </c>
      <c r="J488">
        <v>13</v>
      </c>
      <c r="K488">
        <v>0.03</v>
      </c>
      <c r="L488">
        <v>1</v>
      </c>
      <c r="M488">
        <v>1</v>
      </c>
      <c r="N488">
        <v>1</v>
      </c>
      <c r="O488">
        <v>100</v>
      </c>
      <c r="P488" s="4" t="b">
        <f t="shared" si="7"/>
        <v>0</v>
      </c>
    </row>
    <row r="489" spans="1:16" x14ac:dyDescent="0.2">
      <c r="A489" t="s">
        <v>15</v>
      </c>
      <c r="B489" t="s">
        <v>1016</v>
      </c>
      <c r="C489">
        <v>496</v>
      </c>
      <c r="D489">
        <v>129534</v>
      </c>
      <c r="E489" t="s">
        <v>637</v>
      </c>
      <c r="F489" t="s">
        <v>73</v>
      </c>
      <c r="G489" t="s">
        <v>18</v>
      </c>
      <c r="H489" t="s">
        <v>28</v>
      </c>
      <c r="I489" t="s">
        <v>20</v>
      </c>
      <c r="J489">
        <v>28</v>
      </c>
      <c r="K489">
        <v>0.03</v>
      </c>
      <c r="L489">
        <v>1</v>
      </c>
      <c r="M489">
        <v>1</v>
      </c>
      <c r="N489">
        <v>1</v>
      </c>
      <c r="O489">
        <v>100</v>
      </c>
      <c r="P489" s="4" t="b">
        <f t="shared" si="7"/>
        <v>0</v>
      </c>
    </row>
    <row r="490" spans="1:16" x14ac:dyDescent="0.2">
      <c r="A490" t="s">
        <v>15</v>
      </c>
      <c r="B490" t="s">
        <v>1016</v>
      </c>
      <c r="C490">
        <v>497</v>
      </c>
      <c r="D490">
        <v>130368</v>
      </c>
      <c r="E490" t="s">
        <v>636</v>
      </c>
      <c r="F490" t="s">
        <v>68</v>
      </c>
      <c r="G490" t="s">
        <v>18</v>
      </c>
      <c r="H490" t="s">
        <v>28</v>
      </c>
      <c r="I490" t="s">
        <v>74</v>
      </c>
      <c r="J490">
        <v>26</v>
      </c>
      <c r="K490">
        <v>0.03</v>
      </c>
      <c r="L490">
        <v>1</v>
      </c>
      <c r="M490">
        <v>1</v>
      </c>
      <c r="N490">
        <v>1</v>
      </c>
      <c r="O490">
        <v>100</v>
      </c>
      <c r="P490" s="4" t="b">
        <f t="shared" si="7"/>
        <v>0</v>
      </c>
    </row>
    <row r="491" spans="1:16" x14ac:dyDescent="0.2">
      <c r="A491" t="s">
        <v>15</v>
      </c>
      <c r="B491" t="s">
        <v>1016</v>
      </c>
      <c r="C491">
        <v>498</v>
      </c>
      <c r="D491">
        <v>173278</v>
      </c>
      <c r="E491" t="s">
        <v>734</v>
      </c>
      <c r="F491" t="s">
        <v>215</v>
      </c>
      <c r="G491" t="s">
        <v>23</v>
      </c>
      <c r="H491" t="s">
        <v>28</v>
      </c>
      <c r="I491" t="s">
        <v>29</v>
      </c>
      <c r="J491">
        <v>11</v>
      </c>
      <c r="K491">
        <v>0.03</v>
      </c>
      <c r="L491">
        <v>1</v>
      </c>
      <c r="M491">
        <v>1</v>
      </c>
      <c r="N491">
        <v>1</v>
      </c>
      <c r="O491">
        <v>100</v>
      </c>
      <c r="P491" s="4" t="b">
        <f t="shared" si="7"/>
        <v>0</v>
      </c>
    </row>
    <row r="492" spans="1:16" x14ac:dyDescent="0.2">
      <c r="A492" t="s">
        <v>15</v>
      </c>
      <c r="B492" t="s">
        <v>1016</v>
      </c>
      <c r="C492">
        <v>499</v>
      </c>
      <c r="D492">
        <v>134184</v>
      </c>
      <c r="E492" t="s">
        <v>925</v>
      </c>
      <c r="F492" t="s">
        <v>190</v>
      </c>
      <c r="G492" t="s">
        <v>18</v>
      </c>
      <c r="H492" t="s">
        <v>55</v>
      </c>
      <c r="I492" t="s">
        <v>56</v>
      </c>
      <c r="J492">
        <v>26</v>
      </c>
      <c r="K492">
        <v>0.03</v>
      </c>
      <c r="L492">
        <v>1</v>
      </c>
      <c r="M492">
        <v>1</v>
      </c>
      <c r="N492">
        <v>1</v>
      </c>
      <c r="O492">
        <v>100</v>
      </c>
      <c r="P492" s="4" t="b">
        <f t="shared" si="7"/>
        <v>0</v>
      </c>
    </row>
    <row r="493" spans="1:16" x14ac:dyDescent="0.2">
      <c r="A493" t="s">
        <v>15</v>
      </c>
      <c r="B493" t="s">
        <v>1016</v>
      </c>
      <c r="C493">
        <v>500</v>
      </c>
      <c r="D493">
        <v>130473</v>
      </c>
      <c r="E493" t="s">
        <v>960</v>
      </c>
      <c r="F493" t="s">
        <v>238</v>
      </c>
      <c r="G493" t="s">
        <v>18</v>
      </c>
      <c r="H493" t="s">
        <v>28</v>
      </c>
      <c r="I493" t="s">
        <v>20</v>
      </c>
      <c r="J493">
        <v>26</v>
      </c>
      <c r="K493">
        <v>0.03</v>
      </c>
      <c r="L493">
        <v>1</v>
      </c>
      <c r="M493">
        <v>1</v>
      </c>
      <c r="N493">
        <v>1</v>
      </c>
      <c r="O493">
        <v>100</v>
      </c>
      <c r="P493" s="4" t="b">
        <f t="shared" si="7"/>
        <v>0</v>
      </c>
    </row>
    <row r="494" spans="1:16" x14ac:dyDescent="0.2">
      <c r="A494" t="s">
        <v>15</v>
      </c>
      <c r="B494" t="s">
        <v>1016</v>
      </c>
      <c r="C494">
        <v>501</v>
      </c>
      <c r="D494">
        <v>177123</v>
      </c>
      <c r="E494" t="s">
        <v>590</v>
      </c>
      <c r="F494" t="s">
        <v>165</v>
      </c>
      <c r="G494" t="s">
        <v>23</v>
      </c>
      <c r="H494" t="s">
        <v>39</v>
      </c>
      <c r="I494" t="s">
        <v>29</v>
      </c>
      <c r="J494">
        <v>11</v>
      </c>
      <c r="K494">
        <v>0.03</v>
      </c>
      <c r="L494">
        <v>1</v>
      </c>
      <c r="M494">
        <v>1</v>
      </c>
      <c r="N494">
        <v>1</v>
      </c>
      <c r="O494">
        <v>100</v>
      </c>
      <c r="P494" s="4" t="b">
        <f t="shared" si="7"/>
        <v>0</v>
      </c>
    </row>
    <row r="495" spans="1:16" x14ac:dyDescent="0.2">
      <c r="A495" t="s">
        <v>15</v>
      </c>
      <c r="B495" t="s">
        <v>1016</v>
      </c>
      <c r="C495">
        <v>502</v>
      </c>
      <c r="D495">
        <v>129602</v>
      </c>
      <c r="E495" t="s">
        <v>573</v>
      </c>
      <c r="F495" t="s">
        <v>17</v>
      </c>
      <c r="G495" t="s">
        <v>18</v>
      </c>
      <c r="H495" t="s">
        <v>19</v>
      </c>
      <c r="I495" t="s">
        <v>20</v>
      </c>
      <c r="J495">
        <v>53</v>
      </c>
      <c r="K495">
        <v>0.03</v>
      </c>
      <c r="L495">
        <v>1</v>
      </c>
      <c r="M495">
        <v>1</v>
      </c>
      <c r="N495">
        <v>1</v>
      </c>
      <c r="O495">
        <v>100</v>
      </c>
      <c r="P495" s="4" t="b">
        <f t="shared" si="7"/>
        <v>0</v>
      </c>
    </row>
    <row r="496" spans="1:16" x14ac:dyDescent="0.2">
      <c r="A496" t="s">
        <v>15</v>
      </c>
      <c r="B496" t="s">
        <v>1016</v>
      </c>
      <c r="C496">
        <v>503</v>
      </c>
      <c r="D496">
        <v>199977</v>
      </c>
      <c r="E496" t="s">
        <v>404</v>
      </c>
      <c r="F496" t="s">
        <v>96</v>
      </c>
      <c r="G496" t="s">
        <v>23</v>
      </c>
      <c r="H496" t="s">
        <v>55</v>
      </c>
      <c r="I496" t="s">
        <v>29</v>
      </c>
      <c r="J496">
        <v>17</v>
      </c>
      <c r="K496">
        <v>0.03</v>
      </c>
      <c r="L496">
        <v>1</v>
      </c>
      <c r="M496">
        <v>1</v>
      </c>
      <c r="N496">
        <v>1</v>
      </c>
      <c r="O496">
        <v>100</v>
      </c>
      <c r="P496" s="4" t="b">
        <f t="shared" si="7"/>
        <v>0</v>
      </c>
    </row>
    <row r="497" spans="1:16" x14ac:dyDescent="0.2">
      <c r="A497" t="s">
        <v>15</v>
      </c>
      <c r="B497" t="s">
        <v>1016</v>
      </c>
      <c r="C497">
        <v>504</v>
      </c>
      <c r="D497">
        <v>129603</v>
      </c>
      <c r="E497" t="s">
        <v>576</v>
      </c>
      <c r="F497" t="s">
        <v>17</v>
      </c>
      <c r="G497" t="s">
        <v>18</v>
      </c>
      <c r="H497" t="s">
        <v>19</v>
      </c>
      <c r="I497" t="s">
        <v>20</v>
      </c>
      <c r="J497">
        <v>54</v>
      </c>
      <c r="K497">
        <v>0.03</v>
      </c>
      <c r="L497">
        <v>1</v>
      </c>
      <c r="M497">
        <v>1</v>
      </c>
      <c r="N497">
        <v>1</v>
      </c>
      <c r="O497">
        <v>100</v>
      </c>
      <c r="P497" s="4" t="b">
        <f t="shared" si="7"/>
        <v>0</v>
      </c>
    </row>
    <row r="498" spans="1:16" x14ac:dyDescent="0.2">
      <c r="A498" t="s">
        <v>15</v>
      </c>
      <c r="B498" t="s">
        <v>1016</v>
      </c>
      <c r="C498">
        <v>505</v>
      </c>
      <c r="D498">
        <v>99517</v>
      </c>
      <c r="E498" t="s">
        <v>654</v>
      </c>
      <c r="F498" t="s">
        <v>78</v>
      </c>
      <c r="G498" t="s">
        <v>18</v>
      </c>
      <c r="H498" t="s">
        <v>28</v>
      </c>
      <c r="I498" t="s">
        <v>29</v>
      </c>
      <c r="J498">
        <v>27</v>
      </c>
      <c r="K498">
        <v>0.03</v>
      </c>
      <c r="L498">
        <v>1</v>
      </c>
      <c r="M498">
        <v>1</v>
      </c>
      <c r="N498">
        <v>1</v>
      </c>
      <c r="O498">
        <v>100</v>
      </c>
      <c r="P498" s="4" t="b">
        <f t="shared" si="7"/>
        <v>0</v>
      </c>
    </row>
    <row r="499" spans="1:16" x14ac:dyDescent="0.2">
      <c r="A499" t="s">
        <v>15</v>
      </c>
      <c r="B499" t="s">
        <v>1016</v>
      </c>
      <c r="C499">
        <v>506</v>
      </c>
      <c r="D499">
        <v>134943</v>
      </c>
      <c r="E499" t="s">
        <v>356</v>
      </c>
      <c r="F499" t="s">
        <v>26</v>
      </c>
      <c r="G499" t="s">
        <v>23</v>
      </c>
      <c r="H499" t="s">
        <v>28</v>
      </c>
      <c r="I499" t="s">
        <v>29</v>
      </c>
      <c r="J499">
        <v>15</v>
      </c>
      <c r="K499">
        <v>2.6669999999999998</v>
      </c>
      <c r="L499">
        <v>4</v>
      </c>
      <c r="M499">
        <v>1</v>
      </c>
      <c r="N499">
        <v>3</v>
      </c>
      <c r="O499">
        <v>3</v>
      </c>
      <c r="P499" s="4" t="b">
        <f t="shared" si="7"/>
        <v>0</v>
      </c>
    </row>
    <row r="500" spans="1:16" x14ac:dyDescent="0.2">
      <c r="A500" t="s">
        <v>15</v>
      </c>
      <c r="B500" t="s">
        <v>1016</v>
      </c>
      <c r="C500">
        <v>507</v>
      </c>
      <c r="D500">
        <v>130320</v>
      </c>
      <c r="E500" t="s">
        <v>556</v>
      </c>
      <c r="F500" t="s">
        <v>54</v>
      </c>
      <c r="G500" t="s">
        <v>18</v>
      </c>
      <c r="H500" t="s">
        <v>55</v>
      </c>
      <c r="I500" t="s">
        <v>29</v>
      </c>
      <c r="J500">
        <v>27</v>
      </c>
      <c r="K500">
        <v>0.03</v>
      </c>
      <c r="L500">
        <v>1</v>
      </c>
      <c r="M500">
        <v>1</v>
      </c>
      <c r="N500">
        <v>1</v>
      </c>
      <c r="O500">
        <v>100</v>
      </c>
      <c r="P500" s="4" t="b">
        <f t="shared" si="7"/>
        <v>0</v>
      </c>
    </row>
    <row r="501" spans="1:16" x14ac:dyDescent="0.2">
      <c r="A501" t="s">
        <v>15</v>
      </c>
      <c r="B501" t="s">
        <v>1016</v>
      </c>
      <c r="C501">
        <v>508</v>
      </c>
      <c r="D501">
        <v>130147</v>
      </c>
      <c r="E501" t="s">
        <v>414</v>
      </c>
      <c r="F501" t="s">
        <v>44</v>
      </c>
      <c r="G501" t="s">
        <v>18</v>
      </c>
      <c r="H501" t="s">
        <v>39</v>
      </c>
      <c r="I501" t="s">
        <v>29</v>
      </c>
      <c r="J501">
        <v>28</v>
      </c>
      <c r="K501">
        <v>0.03</v>
      </c>
      <c r="L501">
        <v>1</v>
      </c>
      <c r="M501">
        <v>1</v>
      </c>
      <c r="N501">
        <v>1</v>
      </c>
      <c r="O501">
        <v>100</v>
      </c>
      <c r="P501" s="4" t="b">
        <f t="shared" si="7"/>
        <v>0</v>
      </c>
    </row>
    <row r="502" spans="1:16" x14ac:dyDescent="0.2">
      <c r="A502" t="s">
        <v>15</v>
      </c>
      <c r="B502" t="s">
        <v>1016</v>
      </c>
      <c r="C502">
        <v>509</v>
      </c>
      <c r="D502">
        <v>69337</v>
      </c>
      <c r="E502" t="s">
        <v>417</v>
      </c>
      <c r="F502" t="s">
        <v>90</v>
      </c>
      <c r="G502" t="s">
        <v>23</v>
      </c>
      <c r="H502" t="s">
        <v>55</v>
      </c>
      <c r="I502" t="s">
        <v>29</v>
      </c>
      <c r="J502">
        <v>12</v>
      </c>
      <c r="K502">
        <v>0.03</v>
      </c>
      <c r="L502">
        <v>1</v>
      </c>
      <c r="M502">
        <v>1</v>
      </c>
      <c r="N502">
        <v>1</v>
      </c>
      <c r="O502">
        <v>100</v>
      </c>
      <c r="P502" s="4" t="b">
        <f t="shared" si="7"/>
        <v>0</v>
      </c>
    </row>
    <row r="503" spans="1:16" x14ac:dyDescent="0.2">
      <c r="A503" t="s">
        <v>15</v>
      </c>
      <c r="B503" t="s">
        <v>1016</v>
      </c>
      <c r="C503">
        <v>510</v>
      </c>
      <c r="D503">
        <v>131081</v>
      </c>
      <c r="E503" t="s">
        <v>652</v>
      </c>
      <c r="F503" t="s">
        <v>73</v>
      </c>
      <c r="G503" t="s">
        <v>18</v>
      </c>
      <c r="H503" t="s">
        <v>28</v>
      </c>
      <c r="I503" t="s">
        <v>29</v>
      </c>
      <c r="J503">
        <v>29</v>
      </c>
      <c r="K503">
        <v>0.03</v>
      </c>
      <c r="L503">
        <v>1</v>
      </c>
      <c r="M503">
        <v>1</v>
      </c>
      <c r="N503">
        <v>1</v>
      </c>
      <c r="O503">
        <v>100</v>
      </c>
      <c r="P503" s="4" t="b">
        <f t="shared" si="7"/>
        <v>0</v>
      </c>
    </row>
    <row r="504" spans="1:16" x14ac:dyDescent="0.2">
      <c r="A504" t="s">
        <v>15</v>
      </c>
      <c r="B504" t="s">
        <v>1016</v>
      </c>
      <c r="C504">
        <v>511</v>
      </c>
      <c r="D504">
        <v>130407</v>
      </c>
      <c r="E504" t="s">
        <v>650</v>
      </c>
      <c r="F504" t="s">
        <v>68</v>
      </c>
      <c r="G504" t="s">
        <v>18</v>
      </c>
      <c r="H504" t="s">
        <v>28</v>
      </c>
      <c r="I504" t="s">
        <v>29</v>
      </c>
      <c r="J504">
        <v>27</v>
      </c>
      <c r="K504">
        <v>0.03</v>
      </c>
      <c r="L504">
        <v>1</v>
      </c>
      <c r="M504">
        <v>1</v>
      </c>
      <c r="N504">
        <v>1</v>
      </c>
      <c r="O504">
        <v>100</v>
      </c>
      <c r="P504" s="4" t="b">
        <f t="shared" si="7"/>
        <v>0</v>
      </c>
    </row>
    <row r="505" spans="1:16" x14ac:dyDescent="0.2">
      <c r="A505" t="s">
        <v>15</v>
      </c>
      <c r="B505" t="s">
        <v>1016</v>
      </c>
      <c r="C505">
        <v>512</v>
      </c>
      <c r="D505">
        <v>126583</v>
      </c>
      <c r="E505" t="s">
        <v>275</v>
      </c>
      <c r="F505" t="s">
        <v>38</v>
      </c>
      <c r="G505" t="s">
        <v>23</v>
      </c>
      <c r="H505" t="s">
        <v>39</v>
      </c>
      <c r="I505" t="s">
        <v>29</v>
      </c>
      <c r="J505">
        <v>13</v>
      </c>
      <c r="K505">
        <v>0.03</v>
      </c>
      <c r="L505">
        <v>1</v>
      </c>
      <c r="M505">
        <v>1</v>
      </c>
      <c r="N505">
        <v>1</v>
      </c>
      <c r="O505">
        <v>100</v>
      </c>
      <c r="P505" s="4" t="b">
        <f t="shared" si="7"/>
        <v>0</v>
      </c>
    </row>
    <row r="506" spans="1:16" x14ac:dyDescent="0.2">
      <c r="A506" t="s">
        <v>15</v>
      </c>
      <c r="B506" t="s">
        <v>1016</v>
      </c>
      <c r="C506">
        <v>513</v>
      </c>
      <c r="D506">
        <v>129654</v>
      </c>
      <c r="E506" t="s">
        <v>931</v>
      </c>
      <c r="F506" t="s">
        <v>190</v>
      </c>
      <c r="G506" t="s">
        <v>18</v>
      </c>
      <c r="H506" t="s">
        <v>55</v>
      </c>
      <c r="I506" t="s">
        <v>29</v>
      </c>
      <c r="J506">
        <v>27</v>
      </c>
      <c r="K506">
        <v>0.03</v>
      </c>
      <c r="L506">
        <v>1</v>
      </c>
      <c r="M506">
        <v>1</v>
      </c>
      <c r="N506">
        <v>1</v>
      </c>
      <c r="O506">
        <v>100</v>
      </c>
      <c r="P506" s="4" t="b">
        <f t="shared" si="7"/>
        <v>0</v>
      </c>
    </row>
    <row r="507" spans="1:16" x14ac:dyDescent="0.2">
      <c r="A507" t="s">
        <v>15</v>
      </c>
      <c r="B507" t="s">
        <v>1016</v>
      </c>
      <c r="C507">
        <v>514</v>
      </c>
      <c r="D507">
        <v>129566</v>
      </c>
      <c r="E507" t="s">
        <v>966</v>
      </c>
      <c r="F507" t="s">
        <v>238</v>
      </c>
      <c r="G507" t="s">
        <v>18</v>
      </c>
      <c r="H507" t="s">
        <v>28</v>
      </c>
      <c r="I507" t="s">
        <v>29</v>
      </c>
      <c r="J507">
        <v>27</v>
      </c>
      <c r="K507">
        <v>0.03</v>
      </c>
      <c r="L507">
        <v>1</v>
      </c>
      <c r="M507">
        <v>1</v>
      </c>
      <c r="N507">
        <v>1</v>
      </c>
      <c r="O507">
        <v>100</v>
      </c>
      <c r="P507" s="4" t="b">
        <f t="shared" si="7"/>
        <v>0</v>
      </c>
    </row>
    <row r="508" spans="1:16" x14ac:dyDescent="0.2">
      <c r="A508" t="s">
        <v>15</v>
      </c>
      <c r="B508" t="s">
        <v>1016</v>
      </c>
      <c r="C508">
        <v>515</v>
      </c>
      <c r="D508">
        <v>188477</v>
      </c>
      <c r="E508" t="s">
        <v>358</v>
      </c>
      <c r="F508" t="s">
        <v>58</v>
      </c>
      <c r="G508" t="s">
        <v>23</v>
      </c>
      <c r="H508" t="s">
        <v>28</v>
      </c>
      <c r="I508" t="s">
        <v>20</v>
      </c>
      <c r="J508">
        <v>19</v>
      </c>
      <c r="K508">
        <v>0.03</v>
      </c>
      <c r="L508">
        <v>1</v>
      </c>
      <c r="M508">
        <v>1</v>
      </c>
      <c r="N508">
        <v>1</v>
      </c>
      <c r="O508">
        <v>100</v>
      </c>
      <c r="P508" s="4" t="b">
        <f t="shared" si="7"/>
        <v>0</v>
      </c>
    </row>
    <row r="509" spans="1:16" x14ac:dyDescent="0.2">
      <c r="A509" t="s">
        <v>15</v>
      </c>
      <c r="B509" t="s">
        <v>1016</v>
      </c>
      <c r="C509">
        <v>516</v>
      </c>
      <c r="D509">
        <v>129604</v>
      </c>
      <c r="E509" t="s">
        <v>588</v>
      </c>
      <c r="F509" t="s">
        <v>17</v>
      </c>
      <c r="G509" t="s">
        <v>18</v>
      </c>
      <c r="H509" t="s">
        <v>19</v>
      </c>
      <c r="I509" t="s">
        <v>20</v>
      </c>
      <c r="J509">
        <v>55</v>
      </c>
      <c r="K509">
        <v>0.03</v>
      </c>
      <c r="L509">
        <v>1</v>
      </c>
      <c r="M509">
        <v>1</v>
      </c>
      <c r="N509">
        <v>1</v>
      </c>
      <c r="O509">
        <v>100</v>
      </c>
      <c r="P509" s="4" t="b">
        <f t="shared" si="7"/>
        <v>0</v>
      </c>
    </row>
    <row r="510" spans="1:16" x14ac:dyDescent="0.2">
      <c r="A510" t="s">
        <v>15</v>
      </c>
      <c r="B510" t="s">
        <v>1016</v>
      </c>
      <c r="C510">
        <v>517</v>
      </c>
      <c r="D510">
        <v>74510</v>
      </c>
      <c r="E510" t="s">
        <v>738</v>
      </c>
      <c r="F510" t="s">
        <v>215</v>
      </c>
      <c r="G510" t="s">
        <v>23</v>
      </c>
      <c r="H510" t="s">
        <v>28</v>
      </c>
      <c r="I510" t="s">
        <v>29</v>
      </c>
      <c r="J510">
        <v>12</v>
      </c>
      <c r="K510">
        <v>0.03</v>
      </c>
      <c r="L510">
        <v>1</v>
      </c>
      <c r="M510">
        <v>1</v>
      </c>
      <c r="N510">
        <v>1</v>
      </c>
      <c r="O510">
        <v>100</v>
      </c>
      <c r="P510" s="4" t="b">
        <f t="shared" si="7"/>
        <v>0</v>
      </c>
    </row>
    <row r="511" spans="1:16" x14ac:dyDescent="0.2">
      <c r="A511" t="s">
        <v>15</v>
      </c>
      <c r="B511" t="s">
        <v>1016</v>
      </c>
      <c r="C511">
        <v>518</v>
      </c>
      <c r="D511">
        <v>129605</v>
      </c>
      <c r="E511" t="s">
        <v>593</v>
      </c>
      <c r="F511" t="s">
        <v>17</v>
      </c>
      <c r="G511" t="s">
        <v>18</v>
      </c>
      <c r="H511" t="s">
        <v>19</v>
      </c>
      <c r="I511" t="s">
        <v>20</v>
      </c>
      <c r="J511">
        <v>56</v>
      </c>
      <c r="K511">
        <v>0.03</v>
      </c>
      <c r="L511">
        <v>1</v>
      </c>
      <c r="M511">
        <v>1</v>
      </c>
      <c r="N511">
        <v>1</v>
      </c>
      <c r="O511">
        <v>100</v>
      </c>
      <c r="P511" s="4" t="b">
        <f t="shared" si="7"/>
        <v>0</v>
      </c>
    </row>
    <row r="512" spans="1:16" x14ac:dyDescent="0.2">
      <c r="A512" t="s">
        <v>15</v>
      </c>
      <c r="B512" t="s">
        <v>1016</v>
      </c>
      <c r="C512">
        <v>519</v>
      </c>
      <c r="D512">
        <v>71425</v>
      </c>
      <c r="E512" t="s">
        <v>674</v>
      </c>
      <c r="F512" t="s">
        <v>78</v>
      </c>
      <c r="G512" t="s">
        <v>18</v>
      </c>
      <c r="H512" t="s">
        <v>28</v>
      </c>
      <c r="I512" t="s">
        <v>29</v>
      </c>
      <c r="J512">
        <v>28</v>
      </c>
      <c r="K512">
        <v>0.03</v>
      </c>
      <c r="L512">
        <v>1</v>
      </c>
      <c r="M512">
        <v>1</v>
      </c>
      <c r="N512">
        <v>1</v>
      </c>
      <c r="O512">
        <v>100</v>
      </c>
      <c r="P512" s="4" t="b">
        <f t="shared" si="7"/>
        <v>0</v>
      </c>
    </row>
    <row r="513" spans="1:16" x14ac:dyDescent="0.2">
      <c r="A513" t="s">
        <v>15</v>
      </c>
      <c r="B513" t="s">
        <v>1016</v>
      </c>
      <c r="C513">
        <v>520</v>
      </c>
      <c r="D513">
        <v>172578</v>
      </c>
      <c r="E513" t="s">
        <v>618</v>
      </c>
      <c r="F513" t="s">
        <v>165</v>
      </c>
      <c r="G513" t="s">
        <v>23</v>
      </c>
      <c r="H513" t="s">
        <v>39</v>
      </c>
      <c r="I513" t="s">
        <v>29</v>
      </c>
      <c r="J513">
        <v>12</v>
      </c>
      <c r="K513">
        <v>0.03</v>
      </c>
      <c r="L513">
        <v>1</v>
      </c>
      <c r="M513">
        <v>1</v>
      </c>
      <c r="N513">
        <v>1</v>
      </c>
      <c r="O513">
        <v>100</v>
      </c>
      <c r="P513" s="4" t="b">
        <f t="shared" si="7"/>
        <v>0</v>
      </c>
    </row>
    <row r="514" spans="1:16" x14ac:dyDescent="0.2">
      <c r="A514" t="s">
        <v>15</v>
      </c>
      <c r="B514" t="s">
        <v>1016</v>
      </c>
      <c r="C514">
        <v>521</v>
      </c>
      <c r="D514">
        <v>129445</v>
      </c>
      <c r="E514" t="s">
        <v>569</v>
      </c>
      <c r="F514" t="s">
        <v>54</v>
      </c>
      <c r="G514" t="s">
        <v>18</v>
      </c>
      <c r="H514" t="s">
        <v>55</v>
      </c>
      <c r="I514" t="s">
        <v>29</v>
      </c>
      <c r="J514">
        <v>28</v>
      </c>
      <c r="K514">
        <v>0.03</v>
      </c>
      <c r="L514">
        <v>1</v>
      </c>
      <c r="M514">
        <v>1</v>
      </c>
      <c r="N514">
        <v>1</v>
      </c>
      <c r="O514">
        <v>100</v>
      </c>
      <c r="P514" s="4" t="b">
        <f t="shared" si="7"/>
        <v>0</v>
      </c>
    </row>
    <row r="515" spans="1:16" x14ac:dyDescent="0.2">
      <c r="A515" t="s">
        <v>15</v>
      </c>
      <c r="B515" t="s">
        <v>1016</v>
      </c>
      <c r="C515">
        <v>522</v>
      </c>
      <c r="D515">
        <v>130362</v>
      </c>
      <c r="E515" t="s">
        <v>423</v>
      </c>
      <c r="F515" t="s">
        <v>44</v>
      </c>
      <c r="G515" t="s">
        <v>18</v>
      </c>
      <c r="H515" t="s">
        <v>39</v>
      </c>
      <c r="I515" t="s">
        <v>29</v>
      </c>
      <c r="J515">
        <v>29</v>
      </c>
      <c r="K515">
        <v>0.03</v>
      </c>
      <c r="L515">
        <v>1</v>
      </c>
      <c r="M515">
        <v>1</v>
      </c>
      <c r="N515">
        <v>1</v>
      </c>
      <c r="O515">
        <v>100</v>
      </c>
      <c r="P515" s="4" t="b">
        <f t="shared" ref="P515:P578" si="8">C515&lt;($Q$1+1)</f>
        <v>0</v>
      </c>
    </row>
    <row r="516" spans="1:16" x14ac:dyDescent="0.2">
      <c r="A516" t="s">
        <v>15</v>
      </c>
      <c r="B516" t="s">
        <v>1016</v>
      </c>
      <c r="C516">
        <v>523</v>
      </c>
      <c r="D516">
        <v>205107</v>
      </c>
      <c r="E516" t="s">
        <v>419</v>
      </c>
      <c r="F516" t="s">
        <v>96</v>
      </c>
      <c r="G516" t="s">
        <v>23</v>
      </c>
      <c r="H516" t="s">
        <v>55</v>
      </c>
      <c r="I516" t="s">
        <v>29</v>
      </c>
      <c r="J516">
        <v>18</v>
      </c>
      <c r="K516">
        <v>0.03</v>
      </c>
      <c r="L516">
        <v>1</v>
      </c>
      <c r="M516">
        <v>1</v>
      </c>
      <c r="N516">
        <v>1</v>
      </c>
      <c r="O516">
        <v>100</v>
      </c>
      <c r="P516" s="4" t="b">
        <f t="shared" si="8"/>
        <v>0</v>
      </c>
    </row>
    <row r="517" spans="1:16" x14ac:dyDescent="0.2">
      <c r="A517" t="s">
        <v>15</v>
      </c>
      <c r="B517" t="s">
        <v>1016</v>
      </c>
      <c r="C517">
        <v>524</v>
      </c>
      <c r="D517">
        <v>130487</v>
      </c>
      <c r="E517" t="s">
        <v>672</v>
      </c>
      <c r="F517" t="s">
        <v>73</v>
      </c>
      <c r="G517" t="s">
        <v>18</v>
      </c>
      <c r="H517" t="s">
        <v>28</v>
      </c>
      <c r="I517" t="s">
        <v>29</v>
      </c>
      <c r="J517">
        <v>30</v>
      </c>
      <c r="K517">
        <v>0.03</v>
      </c>
      <c r="L517">
        <v>1</v>
      </c>
      <c r="M517">
        <v>1</v>
      </c>
      <c r="N517">
        <v>1</v>
      </c>
      <c r="O517">
        <v>100</v>
      </c>
      <c r="P517" s="4" t="b">
        <f t="shared" si="8"/>
        <v>0</v>
      </c>
    </row>
    <row r="518" spans="1:16" x14ac:dyDescent="0.2">
      <c r="A518" t="s">
        <v>15</v>
      </c>
      <c r="B518" t="s">
        <v>1016</v>
      </c>
      <c r="C518">
        <v>525</v>
      </c>
      <c r="D518">
        <v>129533</v>
      </c>
      <c r="E518" t="s">
        <v>671</v>
      </c>
      <c r="F518" t="s">
        <v>68</v>
      </c>
      <c r="G518" t="s">
        <v>18</v>
      </c>
      <c r="H518" t="s">
        <v>28</v>
      </c>
      <c r="I518" t="s">
        <v>56</v>
      </c>
      <c r="J518">
        <v>28</v>
      </c>
      <c r="K518">
        <v>0.03</v>
      </c>
      <c r="L518">
        <v>1</v>
      </c>
      <c r="M518">
        <v>1</v>
      </c>
      <c r="N518">
        <v>1</v>
      </c>
      <c r="O518">
        <v>100</v>
      </c>
      <c r="P518" s="4" t="b">
        <f t="shared" si="8"/>
        <v>0</v>
      </c>
    </row>
    <row r="519" spans="1:16" x14ac:dyDescent="0.2">
      <c r="A519" t="s">
        <v>15</v>
      </c>
      <c r="B519" t="s">
        <v>1016</v>
      </c>
      <c r="C519">
        <v>526</v>
      </c>
      <c r="D519">
        <v>84849</v>
      </c>
      <c r="E519" t="s">
        <v>391</v>
      </c>
      <c r="F519" t="s">
        <v>26</v>
      </c>
      <c r="G519" t="s">
        <v>23</v>
      </c>
      <c r="H519" t="s">
        <v>28</v>
      </c>
      <c r="I519" t="s">
        <v>29</v>
      </c>
      <c r="J519">
        <v>16</v>
      </c>
      <c r="K519">
        <v>0.03</v>
      </c>
      <c r="L519">
        <v>1</v>
      </c>
      <c r="M519">
        <v>1</v>
      </c>
      <c r="N519">
        <v>1</v>
      </c>
      <c r="O519">
        <v>100</v>
      </c>
      <c r="P519" s="4" t="b">
        <f t="shared" si="8"/>
        <v>0</v>
      </c>
    </row>
    <row r="520" spans="1:16" x14ac:dyDescent="0.2">
      <c r="A520" t="s">
        <v>15</v>
      </c>
      <c r="B520" t="s">
        <v>1016</v>
      </c>
      <c r="C520">
        <v>527</v>
      </c>
      <c r="D520">
        <v>129725</v>
      </c>
      <c r="E520" t="s">
        <v>972</v>
      </c>
      <c r="F520" t="s">
        <v>238</v>
      </c>
      <c r="G520" t="s">
        <v>18</v>
      </c>
      <c r="H520" t="s">
        <v>28</v>
      </c>
      <c r="I520" t="s">
        <v>29</v>
      </c>
      <c r="J520">
        <v>28</v>
      </c>
      <c r="K520">
        <v>0.03</v>
      </c>
      <c r="L520">
        <v>1</v>
      </c>
      <c r="M520">
        <v>1</v>
      </c>
      <c r="N520">
        <v>1</v>
      </c>
      <c r="O520">
        <v>100</v>
      </c>
      <c r="P520" s="4" t="b">
        <f t="shared" si="8"/>
        <v>0</v>
      </c>
    </row>
    <row r="521" spans="1:16" x14ac:dyDescent="0.2">
      <c r="A521" t="s">
        <v>15</v>
      </c>
      <c r="B521" t="s">
        <v>1016</v>
      </c>
      <c r="C521">
        <v>528</v>
      </c>
      <c r="D521">
        <v>129646</v>
      </c>
      <c r="E521" t="s">
        <v>606</v>
      </c>
      <c r="F521" t="s">
        <v>17</v>
      </c>
      <c r="G521" t="s">
        <v>18</v>
      </c>
      <c r="H521" t="s">
        <v>19</v>
      </c>
      <c r="I521" t="s">
        <v>20</v>
      </c>
      <c r="J521">
        <v>57</v>
      </c>
      <c r="K521">
        <v>0.03</v>
      </c>
      <c r="L521">
        <v>1</v>
      </c>
      <c r="M521">
        <v>1</v>
      </c>
      <c r="N521">
        <v>1</v>
      </c>
      <c r="O521">
        <v>100</v>
      </c>
      <c r="P521" s="4" t="b">
        <f t="shared" si="8"/>
        <v>0</v>
      </c>
    </row>
    <row r="522" spans="1:16" x14ac:dyDescent="0.2">
      <c r="A522" t="s">
        <v>15</v>
      </c>
      <c r="B522" t="s">
        <v>1016</v>
      </c>
      <c r="C522">
        <v>529</v>
      </c>
      <c r="D522">
        <v>69341</v>
      </c>
      <c r="E522" t="s">
        <v>443</v>
      </c>
      <c r="F522" t="s">
        <v>90</v>
      </c>
      <c r="G522" t="s">
        <v>23</v>
      </c>
      <c r="H522" t="s">
        <v>55</v>
      </c>
      <c r="I522" t="s">
        <v>29</v>
      </c>
      <c r="J522">
        <v>13</v>
      </c>
      <c r="K522">
        <v>0.03</v>
      </c>
      <c r="L522">
        <v>1</v>
      </c>
      <c r="M522">
        <v>1</v>
      </c>
      <c r="N522">
        <v>1</v>
      </c>
      <c r="O522">
        <v>100</v>
      </c>
      <c r="P522" s="4" t="b">
        <f t="shared" si="8"/>
        <v>0</v>
      </c>
    </row>
    <row r="523" spans="1:16" x14ac:dyDescent="0.2">
      <c r="A523" t="s">
        <v>15</v>
      </c>
      <c r="B523" t="s">
        <v>1016</v>
      </c>
      <c r="C523">
        <v>530</v>
      </c>
      <c r="D523">
        <v>129647</v>
      </c>
      <c r="E523" t="s">
        <v>612</v>
      </c>
      <c r="F523" t="s">
        <v>17</v>
      </c>
      <c r="G523" t="s">
        <v>18</v>
      </c>
      <c r="H523" t="s">
        <v>19</v>
      </c>
      <c r="I523" t="s">
        <v>20</v>
      </c>
      <c r="J523">
        <v>58</v>
      </c>
      <c r="K523">
        <v>0.03</v>
      </c>
      <c r="L523">
        <v>1</v>
      </c>
      <c r="M523">
        <v>1</v>
      </c>
      <c r="N523">
        <v>1</v>
      </c>
      <c r="O523">
        <v>100</v>
      </c>
      <c r="P523" s="4" t="b">
        <f t="shared" si="8"/>
        <v>0</v>
      </c>
    </row>
    <row r="524" spans="1:16" x14ac:dyDescent="0.2">
      <c r="A524" t="s">
        <v>15</v>
      </c>
      <c r="B524" t="s">
        <v>1016</v>
      </c>
      <c r="C524">
        <v>531</v>
      </c>
      <c r="D524">
        <v>134802</v>
      </c>
      <c r="E524" t="s">
        <v>689</v>
      </c>
      <c r="F524" t="s">
        <v>78</v>
      </c>
      <c r="G524" t="s">
        <v>18</v>
      </c>
      <c r="H524" t="s">
        <v>28</v>
      </c>
      <c r="I524" t="s">
        <v>29</v>
      </c>
      <c r="J524">
        <v>29</v>
      </c>
      <c r="K524">
        <v>0.03</v>
      </c>
      <c r="L524">
        <v>1</v>
      </c>
      <c r="M524">
        <v>1</v>
      </c>
      <c r="N524">
        <v>1</v>
      </c>
      <c r="O524">
        <v>100</v>
      </c>
      <c r="P524" s="4" t="b">
        <f t="shared" si="8"/>
        <v>0</v>
      </c>
    </row>
    <row r="525" spans="1:16" x14ac:dyDescent="0.2">
      <c r="A525" t="s">
        <v>15</v>
      </c>
      <c r="B525" t="s">
        <v>1016</v>
      </c>
      <c r="C525">
        <v>532</v>
      </c>
      <c r="D525">
        <v>125545</v>
      </c>
      <c r="E525" t="s">
        <v>278</v>
      </c>
      <c r="F525" t="s">
        <v>38</v>
      </c>
      <c r="G525" t="s">
        <v>23</v>
      </c>
      <c r="H525" t="s">
        <v>39</v>
      </c>
      <c r="I525" t="s">
        <v>20</v>
      </c>
      <c r="J525">
        <v>14</v>
      </c>
      <c r="K525">
        <v>0.08</v>
      </c>
      <c r="L525">
        <v>5</v>
      </c>
      <c r="M525">
        <v>2</v>
      </c>
      <c r="N525">
        <v>1</v>
      </c>
      <c r="O525">
        <v>100</v>
      </c>
      <c r="P525" s="4" t="b">
        <f t="shared" si="8"/>
        <v>0</v>
      </c>
    </row>
    <row r="526" spans="1:16" x14ac:dyDescent="0.2">
      <c r="A526" t="s">
        <v>15</v>
      </c>
      <c r="B526" t="s">
        <v>1016</v>
      </c>
      <c r="C526">
        <v>533</v>
      </c>
      <c r="D526">
        <v>130111</v>
      </c>
      <c r="E526" t="s">
        <v>578</v>
      </c>
      <c r="F526" t="s">
        <v>54</v>
      </c>
      <c r="G526" t="s">
        <v>18</v>
      </c>
      <c r="H526" t="s">
        <v>55</v>
      </c>
      <c r="I526" t="s">
        <v>29</v>
      </c>
      <c r="J526">
        <v>29</v>
      </c>
      <c r="K526">
        <v>0.03</v>
      </c>
      <c r="L526">
        <v>1</v>
      </c>
      <c r="M526">
        <v>1</v>
      </c>
      <c r="N526">
        <v>1</v>
      </c>
      <c r="O526">
        <v>100</v>
      </c>
      <c r="P526" s="4" t="b">
        <f t="shared" si="8"/>
        <v>0</v>
      </c>
    </row>
    <row r="527" spans="1:16" x14ac:dyDescent="0.2">
      <c r="A527" t="s">
        <v>15</v>
      </c>
      <c r="B527" t="s">
        <v>1016</v>
      </c>
      <c r="C527">
        <v>534</v>
      </c>
      <c r="D527">
        <v>133243</v>
      </c>
      <c r="E527" t="s">
        <v>393</v>
      </c>
      <c r="F527" t="s">
        <v>58</v>
      </c>
      <c r="G527" t="s">
        <v>23</v>
      </c>
      <c r="H527" t="s">
        <v>28</v>
      </c>
      <c r="I527" t="s">
        <v>29</v>
      </c>
      <c r="J527">
        <v>20</v>
      </c>
      <c r="K527">
        <v>0.03</v>
      </c>
      <c r="L527">
        <v>1</v>
      </c>
      <c r="M527">
        <v>1</v>
      </c>
      <c r="N527">
        <v>1</v>
      </c>
      <c r="O527">
        <v>100</v>
      </c>
      <c r="P527" s="4" t="b">
        <f t="shared" si="8"/>
        <v>0</v>
      </c>
    </row>
    <row r="528" spans="1:16" x14ac:dyDescent="0.2">
      <c r="A528" t="s">
        <v>15</v>
      </c>
      <c r="B528" t="s">
        <v>1016</v>
      </c>
      <c r="C528">
        <v>535</v>
      </c>
      <c r="D528">
        <v>130491</v>
      </c>
      <c r="E528" t="s">
        <v>429</v>
      </c>
      <c r="F528" t="s">
        <v>44</v>
      </c>
      <c r="G528" t="s">
        <v>18</v>
      </c>
      <c r="H528" t="s">
        <v>39</v>
      </c>
      <c r="I528" t="s">
        <v>29</v>
      </c>
      <c r="J528">
        <v>30</v>
      </c>
      <c r="K528">
        <v>0.03</v>
      </c>
      <c r="L528">
        <v>1</v>
      </c>
      <c r="M528">
        <v>1</v>
      </c>
      <c r="N528">
        <v>1</v>
      </c>
      <c r="O528">
        <v>100</v>
      </c>
      <c r="P528" s="4" t="b">
        <f t="shared" si="8"/>
        <v>0</v>
      </c>
    </row>
    <row r="529" spans="1:16" x14ac:dyDescent="0.2">
      <c r="A529" t="s">
        <v>15</v>
      </c>
      <c r="B529" t="s">
        <v>1016</v>
      </c>
      <c r="C529">
        <v>536</v>
      </c>
      <c r="D529">
        <v>130634</v>
      </c>
      <c r="E529" t="s">
        <v>687</v>
      </c>
      <c r="F529" t="s">
        <v>73</v>
      </c>
      <c r="G529" t="s">
        <v>18</v>
      </c>
      <c r="H529" t="s">
        <v>28</v>
      </c>
      <c r="I529" t="s">
        <v>20</v>
      </c>
      <c r="J529">
        <v>31</v>
      </c>
      <c r="K529">
        <v>0.03</v>
      </c>
      <c r="L529">
        <v>1</v>
      </c>
      <c r="M529">
        <v>1</v>
      </c>
      <c r="N529">
        <v>1</v>
      </c>
      <c r="O529">
        <v>100</v>
      </c>
      <c r="P529" s="4" t="b">
        <f t="shared" si="8"/>
        <v>0</v>
      </c>
    </row>
    <row r="530" spans="1:16" x14ac:dyDescent="0.2">
      <c r="A530" t="s">
        <v>15</v>
      </c>
      <c r="B530" t="s">
        <v>1016</v>
      </c>
      <c r="C530">
        <v>537</v>
      </c>
      <c r="D530">
        <v>36274</v>
      </c>
      <c r="E530" t="s">
        <v>740</v>
      </c>
      <c r="F530" t="s">
        <v>215</v>
      </c>
      <c r="G530" t="s">
        <v>23</v>
      </c>
      <c r="H530" t="s">
        <v>28</v>
      </c>
      <c r="I530" t="s">
        <v>20</v>
      </c>
      <c r="J530">
        <v>13</v>
      </c>
      <c r="K530">
        <v>0.03</v>
      </c>
      <c r="L530">
        <v>1</v>
      </c>
      <c r="M530">
        <v>1</v>
      </c>
      <c r="N530">
        <v>1</v>
      </c>
      <c r="O530">
        <v>100</v>
      </c>
      <c r="P530" s="4" t="b">
        <f t="shared" si="8"/>
        <v>0</v>
      </c>
    </row>
    <row r="531" spans="1:16" x14ac:dyDescent="0.2">
      <c r="A531" t="s">
        <v>15</v>
      </c>
      <c r="B531" t="s">
        <v>1016</v>
      </c>
      <c r="C531">
        <v>538</v>
      </c>
      <c r="D531">
        <v>130266</v>
      </c>
      <c r="E531" t="s">
        <v>685</v>
      </c>
      <c r="F531" t="s">
        <v>68</v>
      </c>
      <c r="G531" t="s">
        <v>18</v>
      </c>
      <c r="H531" t="s">
        <v>28</v>
      </c>
      <c r="I531" t="s">
        <v>74</v>
      </c>
      <c r="J531">
        <v>29</v>
      </c>
      <c r="K531">
        <v>0.03</v>
      </c>
      <c r="L531">
        <v>1</v>
      </c>
      <c r="M531">
        <v>1</v>
      </c>
      <c r="N531">
        <v>1</v>
      </c>
      <c r="O531">
        <v>100</v>
      </c>
      <c r="P531" s="4" t="b">
        <f t="shared" si="8"/>
        <v>0</v>
      </c>
    </row>
    <row r="532" spans="1:16" x14ac:dyDescent="0.2">
      <c r="A532" t="s">
        <v>15</v>
      </c>
      <c r="B532" t="s">
        <v>1016</v>
      </c>
      <c r="C532">
        <v>539</v>
      </c>
      <c r="D532">
        <v>130163</v>
      </c>
      <c r="E532" t="s">
        <v>978</v>
      </c>
      <c r="F532" t="s">
        <v>238</v>
      </c>
      <c r="G532" t="s">
        <v>18</v>
      </c>
      <c r="H532" t="s">
        <v>28</v>
      </c>
      <c r="I532" t="s">
        <v>29</v>
      </c>
      <c r="J532">
        <v>29</v>
      </c>
      <c r="K532">
        <v>0.03</v>
      </c>
      <c r="L532">
        <v>1</v>
      </c>
      <c r="M532">
        <v>1</v>
      </c>
      <c r="N532">
        <v>1</v>
      </c>
      <c r="O532">
        <v>100</v>
      </c>
      <c r="P532" s="4" t="b">
        <f t="shared" si="8"/>
        <v>0</v>
      </c>
    </row>
    <row r="533" spans="1:16" x14ac:dyDescent="0.2">
      <c r="A533" t="s">
        <v>15</v>
      </c>
      <c r="B533" t="s">
        <v>1016</v>
      </c>
      <c r="C533">
        <v>540</v>
      </c>
      <c r="D533">
        <v>70015</v>
      </c>
      <c r="E533" t="s">
        <v>638</v>
      </c>
      <c r="F533" t="s">
        <v>165</v>
      </c>
      <c r="G533" t="s">
        <v>23</v>
      </c>
      <c r="H533" t="s">
        <v>39</v>
      </c>
      <c r="I533" t="s">
        <v>29</v>
      </c>
      <c r="J533">
        <v>13</v>
      </c>
      <c r="K533">
        <v>0.03</v>
      </c>
      <c r="L533">
        <v>1</v>
      </c>
      <c r="M533">
        <v>1</v>
      </c>
      <c r="N533">
        <v>1</v>
      </c>
      <c r="O533">
        <v>100</v>
      </c>
      <c r="P533" s="4" t="b">
        <f t="shared" si="8"/>
        <v>0</v>
      </c>
    </row>
    <row r="534" spans="1:16" x14ac:dyDescent="0.2">
      <c r="A534" t="s">
        <v>15</v>
      </c>
      <c r="B534" t="s">
        <v>1016</v>
      </c>
      <c r="C534">
        <v>541</v>
      </c>
      <c r="D534">
        <v>129650</v>
      </c>
      <c r="E534" t="s">
        <v>615</v>
      </c>
      <c r="F534" t="s">
        <v>17</v>
      </c>
      <c r="G534" t="s">
        <v>18</v>
      </c>
      <c r="H534" t="s">
        <v>19</v>
      </c>
      <c r="I534" t="s">
        <v>29</v>
      </c>
      <c r="J534">
        <v>59</v>
      </c>
      <c r="K534">
        <v>0.03</v>
      </c>
      <c r="L534">
        <v>1</v>
      </c>
      <c r="M534">
        <v>1</v>
      </c>
      <c r="N534">
        <v>1</v>
      </c>
      <c r="O534">
        <v>100</v>
      </c>
      <c r="P534" s="4" t="b">
        <f t="shared" si="8"/>
        <v>0</v>
      </c>
    </row>
    <row r="535" spans="1:16" x14ac:dyDescent="0.2">
      <c r="A535" t="s">
        <v>15</v>
      </c>
      <c r="B535" t="s">
        <v>1016</v>
      </c>
      <c r="C535">
        <v>542</v>
      </c>
      <c r="D535">
        <v>129655</v>
      </c>
      <c r="E535" t="s">
        <v>628</v>
      </c>
      <c r="F535" t="s">
        <v>17</v>
      </c>
      <c r="G535" t="s">
        <v>18</v>
      </c>
      <c r="H535" t="s">
        <v>19</v>
      </c>
      <c r="I535" t="s">
        <v>29</v>
      </c>
      <c r="J535">
        <v>60</v>
      </c>
      <c r="K535">
        <v>0.03</v>
      </c>
      <c r="L535">
        <v>1</v>
      </c>
      <c r="M535">
        <v>1</v>
      </c>
      <c r="N535">
        <v>1</v>
      </c>
      <c r="O535">
        <v>100</v>
      </c>
      <c r="P535" s="4" t="b">
        <f t="shared" si="8"/>
        <v>0</v>
      </c>
    </row>
    <row r="536" spans="1:16" x14ac:dyDescent="0.2">
      <c r="A536" t="s">
        <v>15</v>
      </c>
      <c r="B536" t="s">
        <v>1016</v>
      </c>
      <c r="C536">
        <v>543</v>
      </c>
      <c r="D536">
        <v>189783</v>
      </c>
      <c r="E536" t="s">
        <v>409</v>
      </c>
      <c r="F536" t="s">
        <v>26</v>
      </c>
      <c r="G536" t="s">
        <v>23</v>
      </c>
      <c r="H536" t="s">
        <v>28</v>
      </c>
      <c r="I536" t="s">
        <v>29</v>
      </c>
      <c r="J536">
        <v>19</v>
      </c>
      <c r="K536">
        <v>0.03</v>
      </c>
      <c r="L536">
        <v>1</v>
      </c>
      <c r="M536">
        <v>1</v>
      </c>
      <c r="N536">
        <v>1</v>
      </c>
      <c r="O536">
        <v>100</v>
      </c>
      <c r="P536" s="4" t="b">
        <f t="shared" si="8"/>
        <v>0</v>
      </c>
    </row>
    <row r="537" spans="1:16" x14ac:dyDescent="0.2">
      <c r="A537" t="s">
        <v>15</v>
      </c>
      <c r="B537" t="s">
        <v>1016</v>
      </c>
      <c r="C537">
        <v>544</v>
      </c>
      <c r="D537">
        <v>126476</v>
      </c>
      <c r="E537" t="s">
        <v>706</v>
      </c>
      <c r="F537" t="s">
        <v>78</v>
      </c>
      <c r="G537" t="s">
        <v>18</v>
      </c>
      <c r="H537" t="s">
        <v>28</v>
      </c>
      <c r="I537" t="s">
        <v>20</v>
      </c>
      <c r="J537">
        <v>30</v>
      </c>
      <c r="K537">
        <v>0.03</v>
      </c>
      <c r="L537">
        <v>1</v>
      </c>
      <c r="M537">
        <v>1</v>
      </c>
      <c r="N537">
        <v>1</v>
      </c>
      <c r="O537">
        <v>100</v>
      </c>
      <c r="P537" s="4" t="b">
        <f t="shared" si="8"/>
        <v>0</v>
      </c>
    </row>
    <row r="538" spans="1:16" x14ac:dyDescent="0.2">
      <c r="A538" t="s">
        <v>15</v>
      </c>
      <c r="B538" t="s">
        <v>1016</v>
      </c>
      <c r="C538">
        <v>545</v>
      </c>
      <c r="D538">
        <v>130143</v>
      </c>
      <c r="E538" t="s">
        <v>591</v>
      </c>
      <c r="F538" t="s">
        <v>54</v>
      </c>
      <c r="G538" t="s">
        <v>18</v>
      </c>
      <c r="H538" t="s">
        <v>55</v>
      </c>
      <c r="I538" t="s">
        <v>29</v>
      </c>
      <c r="J538">
        <v>30</v>
      </c>
      <c r="K538">
        <v>0.03</v>
      </c>
      <c r="L538">
        <v>1</v>
      </c>
      <c r="M538">
        <v>1</v>
      </c>
      <c r="N538">
        <v>1</v>
      </c>
      <c r="O538">
        <v>100</v>
      </c>
      <c r="P538" s="4" t="b">
        <f t="shared" si="8"/>
        <v>0</v>
      </c>
    </row>
    <row r="539" spans="1:16" x14ac:dyDescent="0.2">
      <c r="A539" t="s">
        <v>15</v>
      </c>
      <c r="B539" t="s">
        <v>1016</v>
      </c>
      <c r="C539">
        <v>546</v>
      </c>
      <c r="D539">
        <v>125694</v>
      </c>
      <c r="E539" t="s">
        <v>284</v>
      </c>
      <c r="F539" t="s">
        <v>38</v>
      </c>
      <c r="G539" t="s">
        <v>23</v>
      </c>
      <c r="H539" t="s">
        <v>39</v>
      </c>
      <c r="I539" t="s">
        <v>29</v>
      </c>
      <c r="J539">
        <v>15</v>
      </c>
      <c r="K539">
        <v>0.03</v>
      </c>
      <c r="L539">
        <v>1</v>
      </c>
      <c r="M539">
        <v>1</v>
      </c>
      <c r="N539">
        <v>1</v>
      </c>
      <c r="O539">
        <v>100</v>
      </c>
      <c r="P539" s="4" t="b">
        <f t="shared" si="8"/>
        <v>0</v>
      </c>
    </row>
    <row r="540" spans="1:16" x14ac:dyDescent="0.2">
      <c r="A540" t="s">
        <v>15</v>
      </c>
      <c r="B540" t="s">
        <v>1016</v>
      </c>
      <c r="C540">
        <v>547</v>
      </c>
      <c r="D540">
        <v>129500</v>
      </c>
      <c r="E540" t="s">
        <v>444</v>
      </c>
      <c r="F540" t="s">
        <v>44</v>
      </c>
      <c r="G540" t="s">
        <v>18</v>
      </c>
      <c r="H540" t="s">
        <v>39</v>
      </c>
      <c r="I540" t="s">
        <v>20</v>
      </c>
      <c r="J540">
        <v>31</v>
      </c>
      <c r="K540">
        <v>0.03</v>
      </c>
      <c r="L540">
        <v>1</v>
      </c>
      <c r="M540">
        <v>1</v>
      </c>
      <c r="N540">
        <v>1</v>
      </c>
      <c r="O540">
        <v>100</v>
      </c>
      <c r="P540" s="4" t="b">
        <f t="shared" si="8"/>
        <v>0</v>
      </c>
    </row>
    <row r="541" spans="1:16" x14ac:dyDescent="0.2">
      <c r="A541" t="s">
        <v>15</v>
      </c>
      <c r="B541" t="s">
        <v>1016</v>
      </c>
      <c r="C541">
        <v>548</v>
      </c>
      <c r="D541">
        <v>46567</v>
      </c>
      <c r="E541" t="s">
        <v>411</v>
      </c>
      <c r="F541" t="s">
        <v>58</v>
      </c>
      <c r="G541" t="s">
        <v>23</v>
      </c>
      <c r="H541" t="s">
        <v>28</v>
      </c>
      <c r="I541" t="s">
        <v>29</v>
      </c>
      <c r="J541">
        <v>21</v>
      </c>
      <c r="K541">
        <v>0.03</v>
      </c>
      <c r="L541">
        <v>1</v>
      </c>
      <c r="M541">
        <v>1</v>
      </c>
      <c r="N541">
        <v>1</v>
      </c>
      <c r="O541">
        <v>100</v>
      </c>
      <c r="P541" s="4" t="b">
        <f t="shared" si="8"/>
        <v>0</v>
      </c>
    </row>
    <row r="542" spans="1:16" x14ac:dyDescent="0.2">
      <c r="A542" t="s">
        <v>15</v>
      </c>
      <c r="B542" t="s">
        <v>1016</v>
      </c>
      <c r="C542">
        <v>549</v>
      </c>
      <c r="D542">
        <v>130824</v>
      </c>
      <c r="E542" t="s">
        <v>704</v>
      </c>
      <c r="F542" t="s">
        <v>73</v>
      </c>
      <c r="G542" t="s">
        <v>18</v>
      </c>
      <c r="H542" t="s">
        <v>28</v>
      </c>
      <c r="I542" t="s">
        <v>29</v>
      </c>
      <c r="J542">
        <v>32</v>
      </c>
      <c r="K542">
        <v>0.03</v>
      </c>
      <c r="L542">
        <v>1</v>
      </c>
      <c r="M542">
        <v>1</v>
      </c>
      <c r="N542">
        <v>1</v>
      </c>
      <c r="O542">
        <v>100</v>
      </c>
      <c r="P542" s="4" t="b">
        <f t="shared" si="8"/>
        <v>0</v>
      </c>
    </row>
    <row r="543" spans="1:16" x14ac:dyDescent="0.2">
      <c r="A543" t="s">
        <v>15</v>
      </c>
      <c r="B543" t="s">
        <v>1016</v>
      </c>
      <c r="C543">
        <v>550</v>
      </c>
      <c r="D543">
        <v>130409</v>
      </c>
      <c r="E543" t="s">
        <v>702</v>
      </c>
      <c r="F543" t="s">
        <v>68</v>
      </c>
      <c r="G543" t="s">
        <v>18</v>
      </c>
      <c r="H543" t="s">
        <v>28</v>
      </c>
      <c r="I543" t="s">
        <v>29</v>
      </c>
      <c r="J543">
        <v>30</v>
      </c>
      <c r="K543">
        <v>0.03</v>
      </c>
      <c r="L543">
        <v>1</v>
      </c>
      <c r="M543">
        <v>1</v>
      </c>
      <c r="N543">
        <v>1</v>
      </c>
      <c r="O543">
        <v>100</v>
      </c>
      <c r="P543" s="4" t="b">
        <f t="shared" si="8"/>
        <v>0</v>
      </c>
    </row>
    <row r="544" spans="1:16" x14ac:dyDescent="0.2">
      <c r="A544" t="s">
        <v>15</v>
      </c>
      <c r="B544" t="s">
        <v>1016</v>
      </c>
      <c r="C544">
        <v>551</v>
      </c>
      <c r="D544">
        <v>173335</v>
      </c>
      <c r="E544" t="s">
        <v>742</v>
      </c>
      <c r="F544" t="s">
        <v>215</v>
      </c>
      <c r="G544" t="s">
        <v>23</v>
      </c>
      <c r="H544" t="s">
        <v>28</v>
      </c>
      <c r="I544" t="s">
        <v>29</v>
      </c>
      <c r="J544">
        <v>14</v>
      </c>
      <c r="K544">
        <v>0.03</v>
      </c>
      <c r="L544">
        <v>1</v>
      </c>
      <c r="M544">
        <v>1</v>
      </c>
      <c r="N544">
        <v>1</v>
      </c>
      <c r="O544">
        <v>100</v>
      </c>
      <c r="P544" s="4" t="b">
        <f t="shared" si="8"/>
        <v>0</v>
      </c>
    </row>
    <row r="545" spans="1:16" x14ac:dyDescent="0.2">
      <c r="A545" t="s">
        <v>15</v>
      </c>
      <c r="B545" t="s">
        <v>1016</v>
      </c>
      <c r="C545">
        <v>552</v>
      </c>
      <c r="D545">
        <v>130045</v>
      </c>
      <c r="E545" t="s">
        <v>981</v>
      </c>
      <c r="F545" t="s">
        <v>238</v>
      </c>
      <c r="G545" t="s">
        <v>18</v>
      </c>
      <c r="H545" t="s">
        <v>28</v>
      </c>
      <c r="I545" t="s">
        <v>29</v>
      </c>
      <c r="J545">
        <v>30</v>
      </c>
      <c r="K545">
        <v>0.03</v>
      </c>
      <c r="L545">
        <v>1</v>
      </c>
      <c r="M545">
        <v>1</v>
      </c>
      <c r="N545">
        <v>1</v>
      </c>
      <c r="O545">
        <v>100</v>
      </c>
      <c r="P545" s="4" t="b">
        <f t="shared" si="8"/>
        <v>0</v>
      </c>
    </row>
    <row r="546" spans="1:16" x14ac:dyDescent="0.2">
      <c r="A546" t="s">
        <v>15</v>
      </c>
      <c r="B546" t="s">
        <v>1016</v>
      </c>
      <c r="C546">
        <v>553</v>
      </c>
      <c r="D546">
        <v>129656</v>
      </c>
      <c r="E546" t="s">
        <v>632</v>
      </c>
      <c r="F546" t="s">
        <v>17</v>
      </c>
      <c r="G546" t="s">
        <v>18</v>
      </c>
      <c r="H546" t="s">
        <v>19</v>
      </c>
      <c r="I546" t="s">
        <v>29</v>
      </c>
      <c r="J546">
        <v>61</v>
      </c>
      <c r="K546">
        <v>0.03</v>
      </c>
      <c r="L546">
        <v>1</v>
      </c>
      <c r="M546">
        <v>1</v>
      </c>
      <c r="N546">
        <v>1</v>
      </c>
      <c r="O546">
        <v>100</v>
      </c>
      <c r="P546" s="4" t="b">
        <f t="shared" si="8"/>
        <v>0</v>
      </c>
    </row>
    <row r="547" spans="1:16" x14ac:dyDescent="0.2">
      <c r="A547" t="s">
        <v>15</v>
      </c>
      <c r="B547" t="s">
        <v>1016</v>
      </c>
      <c r="C547">
        <v>554</v>
      </c>
      <c r="D547">
        <v>171544</v>
      </c>
      <c r="E547" t="s">
        <v>668</v>
      </c>
      <c r="F547" t="s">
        <v>165</v>
      </c>
      <c r="G547" t="s">
        <v>23</v>
      </c>
      <c r="H547" t="s">
        <v>39</v>
      </c>
      <c r="I547" t="s">
        <v>29</v>
      </c>
      <c r="J547">
        <v>14</v>
      </c>
      <c r="K547">
        <v>0.03</v>
      </c>
      <c r="L547">
        <v>1</v>
      </c>
      <c r="M547">
        <v>1</v>
      </c>
      <c r="N547">
        <v>1</v>
      </c>
      <c r="O547">
        <v>100</v>
      </c>
      <c r="P547" s="4" t="b">
        <f t="shared" si="8"/>
        <v>0</v>
      </c>
    </row>
    <row r="548" spans="1:16" x14ac:dyDescent="0.2">
      <c r="A548" t="s">
        <v>15</v>
      </c>
      <c r="B548" t="s">
        <v>1016</v>
      </c>
      <c r="C548">
        <v>555</v>
      </c>
      <c r="D548">
        <v>129657</v>
      </c>
      <c r="E548" t="s">
        <v>643</v>
      </c>
      <c r="F548" t="s">
        <v>17</v>
      </c>
      <c r="G548" t="s">
        <v>18</v>
      </c>
      <c r="H548" t="s">
        <v>19</v>
      </c>
      <c r="I548" t="s">
        <v>29</v>
      </c>
      <c r="J548">
        <v>62</v>
      </c>
      <c r="K548">
        <v>0.03</v>
      </c>
      <c r="L548">
        <v>1</v>
      </c>
      <c r="M548">
        <v>1</v>
      </c>
      <c r="N548">
        <v>1</v>
      </c>
      <c r="O548">
        <v>100</v>
      </c>
      <c r="P548" s="4" t="b">
        <f t="shared" si="8"/>
        <v>0</v>
      </c>
    </row>
    <row r="549" spans="1:16" x14ac:dyDescent="0.2">
      <c r="A549" t="s">
        <v>15</v>
      </c>
      <c r="B549" t="s">
        <v>1016</v>
      </c>
      <c r="C549">
        <v>556</v>
      </c>
      <c r="D549">
        <v>129475</v>
      </c>
      <c r="E549" t="s">
        <v>610</v>
      </c>
      <c r="F549" t="s">
        <v>54</v>
      </c>
      <c r="G549" t="s">
        <v>18</v>
      </c>
      <c r="H549" t="s">
        <v>55</v>
      </c>
      <c r="I549" t="s">
        <v>29</v>
      </c>
      <c r="J549">
        <v>31</v>
      </c>
      <c r="K549">
        <v>0.03</v>
      </c>
      <c r="L549">
        <v>1</v>
      </c>
      <c r="M549">
        <v>1</v>
      </c>
      <c r="N549">
        <v>1</v>
      </c>
      <c r="O549">
        <v>100</v>
      </c>
      <c r="P549" s="4" t="b">
        <f t="shared" si="8"/>
        <v>0</v>
      </c>
    </row>
    <row r="550" spans="1:16" x14ac:dyDescent="0.2">
      <c r="A550" t="s">
        <v>15</v>
      </c>
      <c r="B550" t="s">
        <v>1016</v>
      </c>
      <c r="C550">
        <v>557</v>
      </c>
      <c r="D550">
        <v>174328</v>
      </c>
      <c r="E550" t="s">
        <v>422</v>
      </c>
      <c r="F550" t="s">
        <v>26</v>
      </c>
      <c r="G550" t="s">
        <v>23</v>
      </c>
      <c r="H550" t="s">
        <v>28</v>
      </c>
      <c r="I550" t="s">
        <v>29</v>
      </c>
      <c r="J550">
        <v>20</v>
      </c>
      <c r="K550">
        <v>0.03</v>
      </c>
      <c r="L550">
        <v>1</v>
      </c>
      <c r="M550">
        <v>1</v>
      </c>
      <c r="N550">
        <v>1</v>
      </c>
      <c r="O550">
        <v>100</v>
      </c>
      <c r="P550" s="4" t="b">
        <f t="shared" si="8"/>
        <v>0</v>
      </c>
    </row>
    <row r="551" spans="1:16" x14ac:dyDescent="0.2">
      <c r="A551" t="s">
        <v>15</v>
      </c>
      <c r="B551" t="s">
        <v>1016</v>
      </c>
      <c r="C551">
        <v>558</v>
      </c>
      <c r="D551">
        <v>130077</v>
      </c>
      <c r="E551" t="s">
        <v>447</v>
      </c>
      <c r="F551" t="s">
        <v>44</v>
      </c>
      <c r="G551" t="s">
        <v>18</v>
      </c>
      <c r="H551" t="s">
        <v>39</v>
      </c>
      <c r="I551" t="s">
        <v>29</v>
      </c>
      <c r="J551">
        <v>32</v>
      </c>
      <c r="K551">
        <v>0.03</v>
      </c>
      <c r="L551">
        <v>1</v>
      </c>
      <c r="M551">
        <v>1</v>
      </c>
      <c r="N551">
        <v>1</v>
      </c>
      <c r="O551">
        <v>100</v>
      </c>
      <c r="P551" s="4" t="b">
        <f t="shared" si="8"/>
        <v>0</v>
      </c>
    </row>
    <row r="552" spans="1:16" x14ac:dyDescent="0.2">
      <c r="A552" t="s">
        <v>15</v>
      </c>
      <c r="B552" t="s">
        <v>1016</v>
      </c>
      <c r="C552">
        <v>559</v>
      </c>
      <c r="D552">
        <v>130498</v>
      </c>
      <c r="E552" t="s">
        <v>722</v>
      </c>
      <c r="F552" t="s">
        <v>73</v>
      </c>
      <c r="G552" t="s">
        <v>18</v>
      </c>
      <c r="H552" t="s">
        <v>28</v>
      </c>
      <c r="I552" t="s">
        <v>20</v>
      </c>
      <c r="J552">
        <v>33</v>
      </c>
      <c r="K552">
        <v>0.03</v>
      </c>
      <c r="L552">
        <v>1</v>
      </c>
      <c r="M552">
        <v>1</v>
      </c>
      <c r="N552">
        <v>1</v>
      </c>
      <c r="O552">
        <v>100</v>
      </c>
      <c r="P552" s="4" t="b">
        <f t="shared" si="8"/>
        <v>0</v>
      </c>
    </row>
    <row r="553" spans="1:16" x14ac:dyDescent="0.2">
      <c r="A553" t="s">
        <v>15</v>
      </c>
      <c r="B553" t="s">
        <v>1016</v>
      </c>
      <c r="C553">
        <v>560</v>
      </c>
      <c r="D553">
        <v>126577</v>
      </c>
      <c r="E553" t="s">
        <v>291</v>
      </c>
      <c r="F553" t="s">
        <v>38</v>
      </c>
      <c r="G553" t="s">
        <v>23</v>
      </c>
      <c r="H553" t="s">
        <v>39</v>
      </c>
      <c r="I553" t="s">
        <v>20</v>
      </c>
      <c r="J553">
        <v>16</v>
      </c>
      <c r="K553">
        <v>0.03</v>
      </c>
      <c r="L553">
        <v>1</v>
      </c>
      <c r="M553">
        <v>1</v>
      </c>
      <c r="N553">
        <v>1</v>
      </c>
      <c r="O553">
        <v>100</v>
      </c>
      <c r="P553" s="4" t="b">
        <f t="shared" si="8"/>
        <v>0</v>
      </c>
    </row>
    <row r="554" spans="1:16" x14ac:dyDescent="0.2">
      <c r="A554" t="s">
        <v>15</v>
      </c>
      <c r="B554" t="s">
        <v>1016</v>
      </c>
      <c r="C554">
        <v>561</v>
      </c>
      <c r="D554">
        <v>129547</v>
      </c>
      <c r="E554" t="s">
        <v>720</v>
      </c>
      <c r="F554" t="s">
        <v>68</v>
      </c>
      <c r="G554" t="s">
        <v>18</v>
      </c>
      <c r="H554" t="s">
        <v>28</v>
      </c>
      <c r="I554" t="s">
        <v>56</v>
      </c>
      <c r="J554">
        <v>31</v>
      </c>
      <c r="K554">
        <v>0.03</v>
      </c>
      <c r="L554">
        <v>1</v>
      </c>
      <c r="M554">
        <v>1</v>
      </c>
      <c r="N554">
        <v>1</v>
      </c>
      <c r="O554">
        <v>100</v>
      </c>
      <c r="P554" s="4" t="b">
        <f t="shared" si="8"/>
        <v>0</v>
      </c>
    </row>
    <row r="555" spans="1:16" x14ac:dyDescent="0.2">
      <c r="A555" t="s">
        <v>15</v>
      </c>
      <c r="B555" t="s">
        <v>1016</v>
      </c>
      <c r="C555">
        <v>562</v>
      </c>
      <c r="D555">
        <v>129850</v>
      </c>
      <c r="E555" t="s">
        <v>982</v>
      </c>
      <c r="F555" t="s">
        <v>238</v>
      </c>
      <c r="G555" t="s">
        <v>18</v>
      </c>
      <c r="H555" t="s">
        <v>28</v>
      </c>
      <c r="I555" t="s">
        <v>20</v>
      </c>
      <c r="J555">
        <v>31</v>
      </c>
      <c r="K555">
        <v>0.03</v>
      </c>
      <c r="L555">
        <v>1</v>
      </c>
      <c r="M555">
        <v>1</v>
      </c>
      <c r="N555">
        <v>1</v>
      </c>
      <c r="O555">
        <v>100</v>
      </c>
      <c r="P555" s="4" t="b">
        <f t="shared" si="8"/>
        <v>0</v>
      </c>
    </row>
    <row r="556" spans="1:16" x14ac:dyDescent="0.2">
      <c r="A556" t="s">
        <v>15</v>
      </c>
      <c r="B556" t="s">
        <v>1016</v>
      </c>
      <c r="C556">
        <v>563</v>
      </c>
      <c r="D556">
        <v>195972</v>
      </c>
      <c r="E556" t="s">
        <v>424</v>
      </c>
      <c r="F556" t="s">
        <v>58</v>
      </c>
      <c r="G556" t="s">
        <v>23</v>
      </c>
      <c r="H556" t="s">
        <v>28</v>
      </c>
      <c r="I556" t="s">
        <v>56</v>
      </c>
      <c r="J556">
        <v>22</v>
      </c>
      <c r="K556">
        <v>0.03</v>
      </c>
      <c r="L556">
        <v>1</v>
      </c>
      <c r="M556">
        <v>1</v>
      </c>
      <c r="N556">
        <v>1</v>
      </c>
      <c r="O556">
        <v>100</v>
      </c>
      <c r="P556" s="4" t="b">
        <f t="shared" si="8"/>
        <v>0</v>
      </c>
    </row>
    <row r="557" spans="1:16" x14ac:dyDescent="0.2">
      <c r="A557" t="s">
        <v>15</v>
      </c>
      <c r="B557" t="s">
        <v>1016</v>
      </c>
      <c r="C557">
        <v>564</v>
      </c>
      <c r="D557">
        <v>129658</v>
      </c>
      <c r="E557" t="s">
        <v>647</v>
      </c>
      <c r="F557" t="s">
        <v>17</v>
      </c>
      <c r="G557" t="s">
        <v>18</v>
      </c>
      <c r="H557" t="s">
        <v>19</v>
      </c>
      <c r="I557" t="s">
        <v>29</v>
      </c>
      <c r="J557">
        <v>63</v>
      </c>
      <c r="K557">
        <v>0.03</v>
      </c>
      <c r="L557">
        <v>1</v>
      </c>
      <c r="M557">
        <v>1</v>
      </c>
      <c r="N557">
        <v>1</v>
      </c>
      <c r="O557">
        <v>100</v>
      </c>
      <c r="P557" s="4" t="b">
        <f t="shared" si="8"/>
        <v>0</v>
      </c>
    </row>
    <row r="558" spans="1:16" x14ac:dyDescent="0.2">
      <c r="A558" t="s">
        <v>15</v>
      </c>
      <c r="B558" t="s">
        <v>1016</v>
      </c>
      <c r="C558">
        <v>565</v>
      </c>
      <c r="D558">
        <v>173279</v>
      </c>
      <c r="E558" t="s">
        <v>745</v>
      </c>
      <c r="F558" t="s">
        <v>215</v>
      </c>
      <c r="G558" t="s">
        <v>23</v>
      </c>
      <c r="H558" t="s">
        <v>28</v>
      </c>
      <c r="I558" t="s">
        <v>29</v>
      </c>
      <c r="J558">
        <v>15</v>
      </c>
      <c r="K558">
        <v>0.03</v>
      </c>
      <c r="L558">
        <v>1</v>
      </c>
      <c r="M558">
        <v>1</v>
      </c>
      <c r="N558">
        <v>1</v>
      </c>
      <c r="O558">
        <v>100</v>
      </c>
      <c r="P558" s="4" t="b">
        <f t="shared" si="8"/>
        <v>0</v>
      </c>
    </row>
    <row r="559" spans="1:16" x14ac:dyDescent="0.2">
      <c r="A559" t="s">
        <v>15</v>
      </c>
      <c r="B559" t="s">
        <v>1016</v>
      </c>
      <c r="C559">
        <v>566</v>
      </c>
      <c r="D559">
        <v>129659</v>
      </c>
      <c r="E559" t="s">
        <v>656</v>
      </c>
      <c r="F559" t="s">
        <v>17</v>
      </c>
      <c r="G559" t="s">
        <v>18</v>
      </c>
      <c r="H559" t="s">
        <v>19</v>
      </c>
      <c r="I559" t="s">
        <v>29</v>
      </c>
      <c r="J559">
        <v>64</v>
      </c>
      <c r="K559">
        <v>0.03</v>
      </c>
      <c r="L559">
        <v>1</v>
      </c>
      <c r="M559">
        <v>1</v>
      </c>
      <c r="N559">
        <v>1</v>
      </c>
      <c r="O559">
        <v>100</v>
      </c>
      <c r="P559" s="4" t="b">
        <f t="shared" si="8"/>
        <v>0</v>
      </c>
    </row>
    <row r="560" spans="1:16" x14ac:dyDescent="0.2">
      <c r="A560" t="s">
        <v>15</v>
      </c>
      <c r="B560" t="s">
        <v>1016</v>
      </c>
      <c r="C560">
        <v>567</v>
      </c>
      <c r="D560">
        <v>129472</v>
      </c>
      <c r="E560" t="s">
        <v>626</v>
      </c>
      <c r="F560" t="s">
        <v>54</v>
      </c>
      <c r="G560" t="s">
        <v>18</v>
      </c>
      <c r="H560" t="s">
        <v>55</v>
      </c>
      <c r="I560" t="s">
        <v>29</v>
      </c>
      <c r="J560">
        <v>32</v>
      </c>
      <c r="K560">
        <v>0.03</v>
      </c>
      <c r="L560">
        <v>1</v>
      </c>
      <c r="M560">
        <v>1</v>
      </c>
      <c r="N560">
        <v>1</v>
      </c>
      <c r="O560">
        <v>100</v>
      </c>
      <c r="P560" s="4" t="b">
        <f t="shared" si="8"/>
        <v>0</v>
      </c>
    </row>
    <row r="561" spans="1:16" x14ac:dyDescent="0.2">
      <c r="A561" t="s">
        <v>15</v>
      </c>
      <c r="B561" t="s">
        <v>1016</v>
      </c>
      <c r="C561">
        <v>568</v>
      </c>
      <c r="D561">
        <v>145226</v>
      </c>
      <c r="E561" t="s">
        <v>439</v>
      </c>
      <c r="F561" t="s">
        <v>26</v>
      </c>
      <c r="G561" t="s">
        <v>23</v>
      </c>
      <c r="H561" t="s">
        <v>28</v>
      </c>
      <c r="I561" t="s">
        <v>29</v>
      </c>
      <c r="J561">
        <v>22</v>
      </c>
      <c r="K561">
        <v>0.03</v>
      </c>
      <c r="L561">
        <v>1</v>
      </c>
      <c r="M561">
        <v>1</v>
      </c>
      <c r="N561">
        <v>1</v>
      </c>
      <c r="O561">
        <v>100</v>
      </c>
      <c r="P561" s="4" t="b">
        <f t="shared" si="8"/>
        <v>0</v>
      </c>
    </row>
    <row r="562" spans="1:16" x14ac:dyDescent="0.2">
      <c r="A562" t="s">
        <v>15</v>
      </c>
      <c r="B562" t="s">
        <v>1016</v>
      </c>
      <c r="C562">
        <v>569</v>
      </c>
      <c r="D562">
        <v>130078</v>
      </c>
      <c r="E562" t="s">
        <v>466</v>
      </c>
      <c r="F562" t="s">
        <v>44</v>
      </c>
      <c r="G562" t="s">
        <v>18</v>
      </c>
      <c r="H562" t="s">
        <v>39</v>
      </c>
      <c r="I562" t="s">
        <v>29</v>
      </c>
      <c r="J562">
        <v>33</v>
      </c>
      <c r="K562">
        <v>0.03</v>
      </c>
      <c r="L562">
        <v>1</v>
      </c>
      <c r="M562">
        <v>1</v>
      </c>
      <c r="N562">
        <v>1</v>
      </c>
      <c r="O562">
        <v>100</v>
      </c>
      <c r="P562" s="4" t="b">
        <f t="shared" si="8"/>
        <v>0</v>
      </c>
    </row>
    <row r="563" spans="1:16" x14ac:dyDescent="0.2">
      <c r="A563" t="s">
        <v>15</v>
      </c>
      <c r="B563" t="s">
        <v>1016</v>
      </c>
      <c r="C563">
        <v>570</v>
      </c>
      <c r="D563">
        <v>129697</v>
      </c>
      <c r="E563" t="s">
        <v>739</v>
      </c>
      <c r="F563" t="s">
        <v>73</v>
      </c>
      <c r="G563" t="s">
        <v>18</v>
      </c>
      <c r="H563" t="s">
        <v>28</v>
      </c>
      <c r="I563" t="s">
        <v>20</v>
      </c>
      <c r="J563">
        <v>34</v>
      </c>
      <c r="K563">
        <v>0.03</v>
      </c>
      <c r="L563">
        <v>1</v>
      </c>
      <c r="M563">
        <v>1</v>
      </c>
      <c r="N563">
        <v>1</v>
      </c>
      <c r="O563">
        <v>100</v>
      </c>
      <c r="P563" s="4" t="b">
        <f t="shared" si="8"/>
        <v>0</v>
      </c>
    </row>
    <row r="564" spans="1:16" x14ac:dyDescent="0.2">
      <c r="A564" t="s">
        <v>15</v>
      </c>
      <c r="B564" t="s">
        <v>1016</v>
      </c>
      <c r="C564">
        <v>571</v>
      </c>
      <c r="D564">
        <v>125692</v>
      </c>
      <c r="E564" t="s">
        <v>304</v>
      </c>
      <c r="F564" t="s">
        <v>38</v>
      </c>
      <c r="G564" t="s">
        <v>23</v>
      </c>
      <c r="H564" t="s">
        <v>39</v>
      </c>
      <c r="I564" t="s">
        <v>29</v>
      </c>
      <c r="J564">
        <v>17</v>
      </c>
      <c r="K564">
        <v>0.03</v>
      </c>
      <c r="L564">
        <v>1</v>
      </c>
      <c r="M564">
        <v>1</v>
      </c>
      <c r="N564">
        <v>1</v>
      </c>
      <c r="O564">
        <v>100</v>
      </c>
      <c r="P564" s="4" t="b">
        <f t="shared" si="8"/>
        <v>0</v>
      </c>
    </row>
    <row r="565" spans="1:16" x14ac:dyDescent="0.2">
      <c r="A565" t="s">
        <v>15</v>
      </c>
      <c r="B565" t="s">
        <v>1016</v>
      </c>
      <c r="C565">
        <v>572</v>
      </c>
      <c r="D565">
        <v>129494</v>
      </c>
      <c r="E565" t="s">
        <v>737</v>
      </c>
      <c r="F565" t="s">
        <v>68</v>
      </c>
      <c r="G565" t="s">
        <v>18</v>
      </c>
      <c r="H565" t="s">
        <v>28</v>
      </c>
      <c r="I565" t="s">
        <v>29</v>
      </c>
      <c r="J565">
        <v>32</v>
      </c>
      <c r="K565">
        <v>0.03</v>
      </c>
      <c r="L565">
        <v>1</v>
      </c>
      <c r="M565">
        <v>1</v>
      </c>
      <c r="N565">
        <v>1</v>
      </c>
      <c r="O565">
        <v>100</v>
      </c>
      <c r="P565" s="4" t="b">
        <f t="shared" si="8"/>
        <v>0</v>
      </c>
    </row>
    <row r="566" spans="1:16" x14ac:dyDescent="0.2">
      <c r="A566" t="s">
        <v>15</v>
      </c>
      <c r="B566" t="s">
        <v>1016</v>
      </c>
      <c r="C566">
        <v>573</v>
      </c>
      <c r="D566">
        <v>129510</v>
      </c>
      <c r="E566" t="s">
        <v>983</v>
      </c>
      <c r="F566" t="s">
        <v>238</v>
      </c>
      <c r="G566" t="s">
        <v>18</v>
      </c>
      <c r="H566" t="s">
        <v>28</v>
      </c>
      <c r="I566" t="s">
        <v>20</v>
      </c>
      <c r="J566">
        <v>32</v>
      </c>
      <c r="K566">
        <v>0.03</v>
      </c>
      <c r="L566">
        <v>1</v>
      </c>
      <c r="M566">
        <v>1</v>
      </c>
      <c r="N566">
        <v>1</v>
      </c>
      <c r="O566">
        <v>100</v>
      </c>
      <c r="P566" s="4" t="b">
        <f t="shared" si="8"/>
        <v>0</v>
      </c>
    </row>
    <row r="567" spans="1:16" x14ac:dyDescent="0.2">
      <c r="A567" t="s">
        <v>15</v>
      </c>
      <c r="B567" t="s">
        <v>1016</v>
      </c>
      <c r="C567">
        <v>574</v>
      </c>
      <c r="D567">
        <v>204677</v>
      </c>
      <c r="E567" t="s">
        <v>441</v>
      </c>
      <c r="F567" t="s">
        <v>58</v>
      </c>
      <c r="G567" t="s">
        <v>23</v>
      </c>
      <c r="H567" t="s">
        <v>28</v>
      </c>
      <c r="I567" t="s">
        <v>29</v>
      </c>
      <c r="J567">
        <v>23</v>
      </c>
      <c r="K567">
        <v>0.03</v>
      </c>
      <c r="L567">
        <v>1</v>
      </c>
      <c r="M567">
        <v>1</v>
      </c>
      <c r="N567">
        <v>1</v>
      </c>
      <c r="O567">
        <v>100</v>
      </c>
      <c r="P567" s="4" t="b">
        <f t="shared" si="8"/>
        <v>0</v>
      </c>
    </row>
    <row r="568" spans="1:16" x14ac:dyDescent="0.2">
      <c r="A568" t="s">
        <v>15</v>
      </c>
      <c r="B568" t="s">
        <v>1016</v>
      </c>
      <c r="C568">
        <v>575</v>
      </c>
      <c r="D568">
        <v>129660</v>
      </c>
      <c r="E568" t="s">
        <v>660</v>
      </c>
      <c r="F568" t="s">
        <v>17</v>
      </c>
      <c r="G568" t="s">
        <v>18</v>
      </c>
      <c r="H568" t="s">
        <v>19</v>
      </c>
      <c r="I568" t="s">
        <v>29</v>
      </c>
      <c r="J568">
        <v>65</v>
      </c>
      <c r="K568">
        <v>0.03</v>
      </c>
      <c r="L568">
        <v>1</v>
      </c>
      <c r="M568">
        <v>1</v>
      </c>
      <c r="N568">
        <v>1</v>
      </c>
      <c r="O568">
        <v>100</v>
      </c>
      <c r="P568" s="4" t="b">
        <f t="shared" si="8"/>
        <v>0</v>
      </c>
    </row>
    <row r="569" spans="1:16" x14ac:dyDescent="0.2">
      <c r="A569" t="s">
        <v>15</v>
      </c>
      <c r="B569" t="s">
        <v>1016</v>
      </c>
      <c r="C569">
        <v>576</v>
      </c>
      <c r="D569">
        <v>129661</v>
      </c>
      <c r="E569" t="s">
        <v>669</v>
      </c>
      <c r="F569" t="s">
        <v>17</v>
      </c>
      <c r="G569" t="s">
        <v>18</v>
      </c>
      <c r="H569" t="s">
        <v>19</v>
      </c>
      <c r="I569" t="s">
        <v>29</v>
      </c>
      <c r="J569">
        <v>66</v>
      </c>
      <c r="K569">
        <v>0.03</v>
      </c>
      <c r="L569">
        <v>1</v>
      </c>
      <c r="M569">
        <v>1</v>
      </c>
      <c r="N569">
        <v>1</v>
      </c>
      <c r="O569">
        <v>100</v>
      </c>
      <c r="P569" s="4" t="b">
        <f t="shared" si="8"/>
        <v>0</v>
      </c>
    </row>
    <row r="570" spans="1:16" x14ac:dyDescent="0.2">
      <c r="A570" t="s">
        <v>15</v>
      </c>
      <c r="B570" t="s">
        <v>1016</v>
      </c>
      <c r="C570">
        <v>577</v>
      </c>
      <c r="D570">
        <v>173281</v>
      </c>
      <c r="E570" t="s">
        <v>747</v>
      </c>
      <c r="F570" t="s">
        <v>215</v>
      </c>
      <c r="G570" t="s">
        <v>23</v>
      </c>
      <c r="H570" t="s">
        <v>28</v>
      </c>
      <c r="I570" t="s">
        <v>29</v>
      </c>
      <c r="J570">
        <v>16</v>
      </c>
      <c r="K570">
        <v>0.03</v>
      </c>
      <c r="L570">
        <v>1</v>
      </c>
      <c r="M570">
        <v>1</v>
      </c>
      <c r="N570">
        <v>1</v>
      </c>
      <c r="O570">
        <v>100</v>
      </c>
      <c r="P570" s="4" t="b">
        <f t="shared" si="8"/>
        <v>0</v>
      </c>
    </row>
    <row r="571" spans="1:16" x14ac:dyDescent="0.2">
      <c r="A571" t="s">
        <v>15</v>
      </c>
      <c r="B571" t="s">
        <v>1016</v>
      </c>
      <c r="C571">
        <v>578</v>
      </c>
      <c r="D571">
        <v>129456</v>
      </c>
      <c r="E571" t="s">
        <v>634</v>
      </c>
      <c r="F571" t="s">
        <v>54</v>
      </c>
      <c r="G571" t="s">
        <v>18</v>
      </c>
      <c r="H571" t="s">
        <v>55</v>
      </c>
      <c r="I571" t="s">
        <v>29</v>
      </c>
      <c r="J571">
        <v>33</v>
      </c>
      <c r="K571">
        <v>0.03</v>
      </c>
      <c r="L571">
        <v>1</v>
      </c>
      <c r="M571">
        <v>1</v>
      </c>
      <c r="N571">
        <v>1</v>
      </c>
      <c r="O571">
        <v>100</v>
      </c>
      <c r="P571" s="4" t="b">
        <f t="shared" si="8"/>
        <v>0</v>
      </c>
    </row>
    <row r="572" spans="1:16" x14ac:dyDescent="0.2">
      <c r="A572" t="s">
        <v>15</v>
      </c>
      <c r="B572" t="s">
        <v>1016</v>
      </c>
      <c r="C572">
        <v>579</v>
      </c>
      <c r="D572">
        <v>187043</v>
      </c>
      <c r="E572" t="s">
        <v>450</v>
      </c>
      <c r="F572" t="s">
        <v>26</v>
      </c>
      <c r="G572" t="s">
        <v>23</v>
      </c>
      <c r="H572" t="s">
        <v>28</v>
      </c>
      <c r="I572" t="s">
        <v>29</v>
      </c>
      <c r="J572">
        <v>23</v>
      </c>
      <c r="K572">
        <v>0.03</v>
      </c>
      <c r="L572">
        <v>1</v>
      </c>
      <c r="M572">
        <v>1</v>
      </c>
      <c r="N572">
        <v>1</v>
      </c>
      <c r="O572">
        <v>100</v>
      </c>
      <c r="P572" s="4" t="b">
        <f t="shared" si="8"/>
        <v>0</v>
      </c>
    </row>
    <row r="573" spans="1:16" x14ac:dyDescent="0.2">
      <c r="A573" t="s">
        <v>15</v>
      </c>
      <c r="B573" t="s">
        <v>1016</v>
      </c>
      <c r="C573">
        <v>580</v>
      </c>
      <c r="D573">
        <v>129502</v>
      </c>
      <c r="E573" t="s">
        <v>471</v>
      </c>
      <c r="F573" t="s">
        <v>44</v>
      </c>
      <c r="G573" t="s">
        <v>18</v>
      </c>
      <c r="H573" t="s">
        <v>39</v>
      </c>
      <c r="I573" t="s">
        <v>74</v>
      </c>
      <c r="J573">
        <v>34</v>
      </c>
      <c r="K573">
        <v>0.03</v>
      </c>
      <c r="L573">
        <v>1</v>
      </c>
      <c r="M573">
        <v>1</v>
      </c>
      <c r="N573">
        <v>1</v>
      </c>
      <c r="O573">
        <v>100</v>
      </c>
      <c r="P573" s="4" t="b">
        <f t="shared" si="8"/>
        <v>0</v>
      </c>
    </row>
    <row r="574" spans="1:16" x14ac:dyDescent="0.2">
      <c r="A574" t="s">
        <v>15</v>
      </c>
      <c r="B574" t="s">
        <v>1016</v>
      </c>
      <c r="C574">
        <v>581</v>
      </c>
      <c r="D574">
        <v>129573</v>
      </c>
      <c r="E574" t="s">
        <v>752</v>
      </c>
      <c r="F574" t="s">
        <v>73</v>
      </c>
      <c r="G574" t="s">
        <v>18</v>
      </c>
      <c r="H574" t="s">
        <v>28</v>
      </c>
      <c r="I574" t="s">
        <v>56</v>
      </c>
      <c r="J574">
        <v>35</v>
      </c>
      <c r="K574">
        <v>0.03</v>
      </c>
      <c r="L574">
        <v>1</v>
      </c>
      <c r="M574">
        <v>1</v>
      </c>
      <c r="N574">
        <v>1</v>
      </c>
      <c r="O574">
        <v>100</v>
      </c>
      <c r="P574" s="4" t="b">
        <f t="shared" si="8"/>
        <v>0</v>
      </c>
    </row>
    <row r="575" spans="1:16" x14ac:dyDescent="0.2">
      <c r="A575" t="s">
        <v>15</v>
      </c>
      <c r="B575" t="s">
        <v>1016</v>
      </c>
      <c r="C575">
        <v>582</v>
      </c>
      <c r="D575">
        <v>126584</v>
      </c>
      <c r="E575" t="s">
        <v>315</v>
      </c>
      <c r="F575" t="s">
        <v>38</v>
      </c>
      <c r="G575" t="s">
        <v>23</v>
      </c>
      <c r="H575" t="s">
        <v>39</v>
      </c>
      <c r="I575" t="s">
        <v>29</v>
      </c>
      <c r="J575">
        <v>18</v>
      </c>
      <c r="K575">
        <v>0.03</v>
      </c>
      <c r="L575">
        <v>1</v>
      </c>
      <c r="M575">
        <v>1</v>
      </c>
      <c r="N575">
        <v>1</v>
      </c>
      <c r="O575">
        <v>100</v>
      </c>
      <c r="P575" s="4" t="b">
        <f t="shared" si="8"/>
        <v>0</v>
      </c>
    </row>
    <row r="576" spans="1:16" x14ac:dyDescent="0.2">
      <c r="A576" t="s">
        <v>15</v>
      </c>
      <c r="B576" t="s">
        <v>1016</v>
      </c>
      <c r="C576">
        <v>583</v>
      </c>
      <c r="D576">
        <v>129836</v>
      </c>
      <c r="E576" t="s">
        <v>750</v>
      </c>
      <c r="F576" t="s">
        <v>68</v>
      </c>
      <c r="G576" t="s">
        <v>18</v>
      </c>
      <c r="H576" t="s">
        <v>28</v>
      </c>
      <c r="I576" t="s">
        <v>29</v>
      </c>
      <c r="J576">
        <v>33</v>
      </c>
      <c r="K576">
        <v>0.03</v>
      </c>
      <c r="L576">
        <v>1</v>
      </c>
      <c r="M576">
        <v>1</v>
      </c>
      <c r="N576">
        <v>1</v>
      </c>
      <c r="O576">
        <v>100</v>
      </c>
      <c r="P576" s="4" t="b">
        <f t="shared" si="8"/>
        <v>0</v>
      </c>
    </row>
    <row r="577" spans="1:16" x14ac:dyDescent="0.2">
      <c r="A577" t="s">
        <v>15</v>
      </c>
      <c r="B577" t="s">
        <v>1016</v>
      </c>
      <c r="C577">
        <v>584</v>
      </c>
      <c r="D577">
        <v>130178</v>
      </c>
      <c r="E577" t="s">
        <v>984</v>
      </c>
      <c r="F577" t="s">
        <v>238</v>
      </c>
      <c r="G577" t="s">
        <v>18</v>
      </c>
      <c r="H577" t="s">
        <v>28</v>
      </c>
      <c r="I577" t="s">
        <v>29</v>
      </c>
      <c r="J577">
        <v>33</v>
      </c>
      <c r="K577">
        <v>0.03</v>
      </c>
      <c r="L577">
        <v>1</v>
      </c>
      <c r="M577">
        <v>1</v>
      </c>
      <c r="N577">
        <v>1</v>
      </c>
      <c r="O577">
        <v>100</v>
      </c>
      <c r="P577" s="4" t="b">
        <f t="shared" si="8"/>
        <v>0</v>
      </c>
    </row>
    <row r="578" spans="1:16" x14ac:dyDescent="0.2">
      <c r="A578" t="s">
        <v>15</v>
      </c>
      <c r="B578" t="s">
        <v>1016</v>
      </c>
      <c r="C578">
        <v>585</v>
      </c>
      <c r="D578">
        <v>203999</v>
      </c>
      <c r="E578" t="s">
        <v>452</v>
      </c>
      <c r="F578" t="s">
        <v>58</v>
      </c>
      <c r="G578" t="s">
        <v>23</v>
      </c>
      <c r="H578" t="s">
        <v>28</v>
      </c>
      <c r="I578" t="s">
        <v>29</v>
      </c>
      <c r="J578">
        <v>24</v>
      </c>
      <c r="K578">
        <v>0.03</v>
      </c>
      <c r="L578">
        <v>1</v>
      </c>
      <c r="M578">
        <v>1</v>
      </c>
      <c r="N578">
        <v>1</v>
      </c>
      <c r="O578">
        <v>100</v>
      </c>
      <c r="P578" s="4" t="b">
        <f t="shared" si="8"/>
        <v>0</v>
      </c>
    </row>
    <row r="579" spans="1:16" x14ac:dyDescent="0.2">
      <c r="A579" t="s">
        <v>15</v>
      </c>
      <c r="B579" t="s">
        <v>1016</v>
      </c>
      <c r="C579">
        <v>586</v>
      </c>
      <c r="D579">
        <v>129664</v>
      </c>
      <c r="E579" t="s">
        <v>680</v>
      </c>
      <c r="F579" t="s">
        <v>17</v>
      </c>
      <c r="G579" t="s">
        <v>18</v>
      </c>
      <c r="H579" t="s">
        <v>19</v>
      </c>
      <c r="I579" t="s">
        <v>29</v>
      </c>
      <c r="J579">
        <v>67</v>
      </c>
      <c r="K579">
        <v>0.03</v>
      </c>
      <c r="L579">
        <v>1</v>
      </c>
      <c r="M579">
        <v>1</v>
      </c>
      <c r="N579">
        <v>1</v>
      </c>
      <c r="O579">
        <v>100</v>
      </c>
      <c r="P579" s="4" t="b">
        <f t="shared" ref="P579:P642" si="9">C579&lt;($Q$1+1)</f>
        <v>0</v>
      </c>
    </row>
    <row r="580" spans="1:16" x14ac:dyDescent="0.2">
      <c r="A580" t="s">
        <v>15</v>
      </c>
      <c r="B580" t="s">
        <v>1016</v>
      </c>
      <c r="C580">
        <v>587</v>
      </c>
      <c r="D580">
        <v>129497</v>
      </c>
      <c r="E580" t="s">
        <v>684</v>
      </c>
      <c r="F580" t="s">
        <v>17</v>
      </c>
      <c r="G580" t="s">
        <v>18</v>
      </c>
      <c r="H580" t="s">
        <v>19</v>
      </c>
      <c r="I580" t="s">
        <v>20</v>
      </c>
      <c r="J580">
        <v>68</v>
      </c>
      <c r="K580">
        <v>0.03</v>
      </c>
      <c r="L580">
        <v>1</v>
      </c>
      <c r="M580">
        <v>1</v>
      </c>
      <c r="N580">
        <v>1</v>
      </c>
      <c r="O580">
        <v>100</v>
      </c>
      <c r="P580" s="4" t="b">
        <f t="shared" si="9"/>
        <v>0</v>
      </c>
    </row>
    <row r="581" spans="1:16" x14ac:dyDescent="0.2">
      <c r="A581" t="s">
        <v>15</v>
      </c>
      <c r="B581" t="s">
        <v>1016</v>
      </c>
      <c r="C581">
        <v>588</v>
      </c>
      <c r="D581">
        <v>193256</v>
      </c>
      <c r="E581" t="s">
        <v>749</v>
      </c>
      <c r="F581" t="s">
        <v>215</v>
      </c>
      <c r="G581" t="s">
        <v>23</v>
      </c>
      <c r="H581" t="s">
        <v>28</v>
      </c>
      <c r="I581" t="s">
        <v>29</v>
      </c>
      <c r="J581">
        <v>17</v>
      </c>
      <c r="K581">
        <v>0.03</v>
      </c>
      <c r="L581">
        <v>1</v>
      </c>
      <c r="M581">
        <v>1</v>
      </c>
      <c r="N581">
        <v>1</v>
      </c>
      <c r="O581">
        <v>100</v>
      </c>
      <c r="P581" s="4" t="b">
        <f t="shared" si="9"/>
        <v>0</v>
      </c>
    </row>
    <row r="582" spans="1:16" x14ac:dyDescent="0.2">
      <c r="A582" t="s">
        <v>15</v>
      </c>
      <c r="B582" t="s">
        <v>1016</v>
      </c>
      <c r="C582">
        <v>589</v>
      </c>
      <c r="D582">
        <v>129442</v>
      </c>
      <c r="E582" t="s">
        <v>648</v>
      </c>
      <c r="F582" t="s">
        <v>54</v>
      </c>
      <c r="G582" t="s">
        <v>18</v>
      </c>
      <c r="H582" t="s">
        <v>55</v>
      </c>
      <c r="I582" t="s">
        <v>29</v>
      </c>
      <c r="J582">
        <v>34</v>
      </c>
      <c r="K582">
        <v>0.03</v>
      </c>
      <c r="L582">
        <v>1</v>
      </c>
      <c r="M582">
        <v>1</v>
      </c>
      <c r="N582">
        <v>1</v>
      </c>
      <c r="O582">
        <v>100</v>
      </c>
      <c r="P582" s="4" t="b">
        <f t="shared" si="9"/>
        <v>0</v>
      </c>
    </row>
    <row r="583" spans="1:16" x14ac:dyDescent="0.2">
      <c r="A583" t="s">
        <v>15</v>
      </c>
      <c r="B583" t="s">
        <v>1016</v>
      </c>
      <c r="C583">
        <v>590</v>
      </c>
      <c r="D583">
        <v>129504</v>
      </c>
      <c r="E583" t="s">
        <v>480</v>
      </c>
      <c r="F583" t="s">
        <v>44</v>
      </c>
      <c r="G583" t="s">
        <v>18</v>
      </c>
      <c r="H583" t="s">
        <v>39</v>
      </c>
      <c r="I583" t="s">
        <v>20</v>
      </c>
      <c r="J583">
        <v>35</v>
      </c>
      <c r="K583">
        <v>0.03</v>
      </c>
      <c r="L583">
        <v>1</v>
      </c>
      <c r="M583">
        <v>1</v>
      </c>
      <c r="N583">
        <v>1</v>
      </c>
      <c r="O583">
        <v>100</v>
      </c>
      <c r="P583" s="4" t="b">
        <f t="shared" si="9"/>
        <v>0</v>
      </c>
    </row>
    <row r="584" spans="1:16" x14ac:dyDescent="0.2">
      <c r="A584" t="s">
        <v>15</v>
      </c>
      <c r="B584" t="s">
        <v>1016</v>
      </c>
      <c r="C584">
        <v>591</v>
      </c>
      <c r="D584">
        <v>90947</v>
      </c>
      <c r="E584" t="s">
        <v>457</v>
      </c>
      <c r="F584" t="s">
        <v>26</v>
      </c>
      <c r="G584" t="s">
        <v>23</v>
      </c>
      <c r="H584" t="s">
        <v>28</v>
      </c>
      <c r="I584" t="s">
        <v>29</v>
      </c>
      <c r="J584">
        <v>24</v>
      </c>
      <c r="K584">
        <v>0.03</v>
      </c>
      <c r="L584">
        <v>1</v>
      </c>
      <c r="M584">
        <v>1</v>
      </c>
      <c r="N584">
        <v>1</v>
      </c>
      <c r="O584">
        <v>100</v>
      </c>
      <c r="P584" s="4" t="b">
        <f t="shared" si="9"/>
        <v>0</v>
      </c>
    </row>
    <row r="585" spans="1:16" x14ac:dyDescent="0.2">
      <c r="A585" t="s">
        <v>15</v>
      </c>
      <c r="B585" t="s">
        <v>1016</v>
      </c>
      <c r="C585">
        <v>592</v>
      </c>
      <c r="D585">
        <v>130183</v>
      </c>
      <c r="E585" t="s">
        <v>768</v>
      </c>
      <c r="F585" t="s">
        <v>73</v>
      </c>
      <c r="G585" t="s">
        <v>18</v>
      </c>
      <c r="H585" t="s">
        <v>28</v>
      </c>
      <c r="I585" t="s">
        <v>29</v>
      </c>
      <c r="J585">
        <v>36</v>
      </c>
      <c r="K585">
        <v>0.03</v>
      </c>
      <c r="L585">
        <v>1</v>
      </c>
      <c r="M585">
        <v>1</v>
      </c>
      <c r="N585">
        <v>1</v>
      </c>
      <c r="O585">
        <v>100</v>
      </c>
      <c r="P585" s="4" t="b">
        <f t="shared" si="9"/>
        <v>0</v>
      </c>
    </row>
    <row r="586" spans="1:16" x14ac:dyDescent="0.2">
      <c r="A586" t="s">
        <v>15</v>
      </c>
      <c r="B586" t="s">
        <v>1016</v>
      </c>
      <c r="C586">
        <v>593</v>
      </c>
      <c r="D586">
        <v>130289</v>
      </c>
      <c r="E586" t="s">
        <v>767</v>
      </c>
      <c r="F586" t="s">
        <v>68</v>
      </c>
      <c r="G586" t="s">
        <v>18</v>
      </c>
      <c r="H586" t="s">
        <v>28</v>
      </c>
      <c r="I586" t="s">
        <v>29</v>
      </c>
      <c r="J586">
        <v>34</v>
      </c>
      <c r="K586">
        <v>0.03</v>
      </c>
      <c r="L586">
        <v>1</v>
      </c>
      <c r="M586">
        <v>1</v>
      </c>
      <c r="N586">
        <v>1</v>
      </c>
      <c r="O586">
        <v>100</v>
      </c>
      <c r="P586" s="4" t="b">
        <f t="shared" si="9"/>
        <v>0</v>
      </c>
    </row>
    <row r="587" spans="1:16" x14ac:dyDescent="0.2">
      <c r="A587" t="s">
        <v>15</v>
      </c>
      <c r="B587" t="s">
        <v>1016</v>
      </c>
      <c r="C587">
        <v>594</v>
      </c>
      <c r="D587">
        <v>131992</v>
      </c>
      <c r="E587" t="s">
        <v>317</v>
      </c>
      <c r="F587" t="s">
        <v>38</v>
      </c>
      <c r="G587" t="s">
        <v>23</v>
      </c>
      <c r="H587" t="s">
        <v>39</v>
      </c>
      <c r="I587" t="s">
        <v>29</v>
      </c>
      <c r="J587">
        <v>19</v>
      </c>
      <c r="K587">
        <v>0.03</v>
      </c>
      <c r="L587">
        <v>1</v>
      </c>
      <c r="M587">
        <v>1</v>
      </c>
      <c r="N587">
        <v>1</v>
      </c>
      <c r="O587">
        <v>100</v>
      </c>
      <c r="P587" s="4" t="b">
        <f t="shared" si="9"/>
        <v>0</v>
      </c>
    </row>
    <row r="588" spans="1:16" x14ac:dyDescent="0.2">
      <c r="A588" t="s">
        <v>15</v>
      </c>
      <c r="B588" t="s">
        <v>1016</v>
      </c>
      <c r="C588">
        <v>595</v>
      </c>
      <c r="D588">
        <v>130357</v>
      </c>
      <c r="E588" t="s">
        <v>985</v>
      </c>
      <c r="F588" t="s">
        <v>238</v>
      </c>
      <c r="G588" t="s">
        <v>18</v>
      </c>
      <c r="H588" t="s">
        <v>28</v>
      </c>
      <c r="I588" t="s">
        <v>29</v>
      </c>
      <c r="J588">
        <v>34</v>
      </c>
      <c r="K588">
        <v>0.03</v>
      </c>
      <c r="L588">
        <v>1</v>
      </c>
      <c r="M588">
        <v>1</v>
      </c>
      <c r="N588">
        <v>1</v>
      </c>
      <c r="O588">
        <v>100</v>
      </c>
      <c r="P588" s="4" t="b">
        <f t="shared" si="9"/>
        <v>0</v>
      </c>
    </row>
    <row r="589" spans="1:16" x14ac:dyDescent="0.2">
      <c r="A589" t="s">
        <v>15</v>
      </c>
      <c r="B589" t="s">
        <v>1016</v>
      </c>
      <c r="C589">
        <v>596</v>
      </c>
      <c r="D589">
        <v>50738</v>
      </c>
      <c r="E589" t="s">
        <v>459</v>
      </c>
      <c r="F589" t="s">
        <v>58</v>
      </c>
      <c r="G589" t="s">
        <v>23</v>
      </c>
      <c r="H589" t="s">
        <v>28</v>
      </c>
      <c r="I589" t="s">
        <v>29</v>
      </c>
      <c r="J589">
        <v>26</v>
      </c>
      <c r="K589">
        <v>0.03</v>
      </c>
      <c r="L589">
        <v>1</v>
      </c>
      <c r="M589">
        <v>1</v>
      </c>
      <c r="N589">
        <v>1</v>
      </c>
      <c r="O589">
        <v>100</v>
      </c>
      <c r="P589" s="4" t="b">
        <f t="shared" si="9"/>
        <v>0</v>
      </c>
    </row>
    <row r="590" spans="1:16" x14ac:dyDescent="0.2">
      <c r="A590" t="s">
        <v>15</v>
      </c>
      <c r="B590" t="s">
        <v>1016</v>
      </c>
      <c r="C590">
        <v>597</v>
      </c>
      <c r="D590">
        <v>129858</v>
      </c>
      <c r="E590" t="s">
        <v>695</v>
      </c>
      <c r="F590" t="s">
        <v>17</v>
      </c>
      <c r="G590" t="s">
        <v>18</v>
      </c>
      <c r="H590" t="s">
        <v>19</v>
      </c>
      <c r="I590" t="s">
        <v>20</v>
      </c>
      <c r="J590">
        <v>69</v>
      </c>
      <c r="K590">
        <v>0.03</v>
      </c>
      <c r="L590">
        <v>1</v>
      </c>
      <c r="M590">
        <v>1</v>
      </c>
      <c r="N590">
        <v>1</v>
      </c>
      <c r="O590">
        <v>100</v>
      </c>
      <c r="P590" s="4" t="b">
        <f t="shared" si="9"/>
        <v>0</v>
      </c>
    </row>
    <row r="591" spans="1:16" x14ac:dyDescent="0.2">
      <c r="A591" t="s">
        <v>15</v>
      </c>
      <c r="B591" t="s">
        <v>1016</v>
      </c>
      <c r="C591">
        <v>598</v>
      </c>
      <c r="D591">
        <v>129895</v>
      </c>
      <c r="E591" t="s">
        <v>698</v>
      </c>
      <c r="F591" t="s">
        <v>17</v>
      </c>
      <c r="G591" t="s">
        <v>18</v>
      </c>
      <c r="H591" t="s">
        <v>19</v>
      </c>
      <c r="I591" t="s">
        <v>24</v>
      </c>
      <c r="J591">
        <v>70</v>
      </c>
      <c r="K591">
        <v>0.03</v>
      </c>
      <c r="L591">
        <v>1</v>
      </c>
      <c r="M591">
        <v>1</v>
      </c>
      <c r="N591">
        <v>1</v>
      </c>
      <c r="O591">
        <v>100</v>
      </c>
      <c r="P591" s="4" t="b">
        <f t="shared" si="9"/>
        <v>0</v>
      </c>
    </row>
    <row r="592" spans="1:16" x14ac:dyDescent="0.2">
      <c r="A592" t="s">
        <v>15</v>
      </c>
      <c r="B592" t="s">
        <v>1016</v>
      </c>
      <c r="C592">
        <v>599</v>
      </c>
      <c r="D592">
        <v>94489</v>
      </c>
      <c r="E592" t="s">
        <v>751</v>
      </c>
      <c r="F592" t="s">
        <v>215</v>
      </c>
      <c r="G592" t="s">
        <v>23</v>
      </c>
      <c r="H592" t="s">
        <v>28</v>
      </c>
      <c r="I592" t="s">
        <v>29</v>
      </c>
      <c r="J592">
        <v>18</v>
      </c>
      <c r="K592">
        <v>0.03</v>
      </c>
      <c r="L592">
        <v>1</v>
      </c>
      <c r="M592">
        <v>1</v>
      </c>
      <c r="N592">
        <v>1</v>
      </c>
      <c r="O592">
        <v>100</v>
      </c>
      <c r="P592" s="4" t="b">
        <f t="shared" si="9"/>
        <v>0</v>
      </c>
    </row>
    <row r="593" spans="1:16" x14ac:dyDescent="0.2">
      <c r="A593" t="s">
        <v>15</v>
      </c>
      <c r="B593" t="s">
        <v>1016</v>
      </c>
      <c r="C593">
        <v>600</v>
      </c>
      <c r="D593">
        <v>129452</v>
      </c>
      <c r="E593" t="s">
        <v>661</v>
      </c>
      <c r="F593" t="s">
        <v>54</v>
      </c>
      <c r="G593" t="s">
        <v>18</v>
      </c>
      <c r="H593" t="s">
        <v>55</v>
      </c>
      <c r="I593" t="s">
        <v>29</v>
      </c>
      <c r="J593">
        <v>35</v>
      </c>
      <c r="K593">
        <v>0.03</v>
      </c>
      <c r="L593">
        <v>1</v>
      </c>
      <c r="M593">
        <v>1</v>
      </c>
      <c r="N593">
        <v>1</v>
      </c>
      <c r="O593">
        <v>100</v>
      </c>
      <c r="P593" s="4" t="b">
        <f t="shared" si="9"/>
        <v>0</v>
      </c>
    </row>
    <row r="594" spans="1:16" x14ac:dyDescent="0.2">
      <c r="A594" t="s">
        <v>15</v>
      </c>
      <c r="B594" t="s">
        <v>1016</v>
      </c>
      <c r="C594">
        <v>601</v>
      </c>
      <c r="D594">
        <v>130480</v>
      </c>
      <c r="E594" t="s">
        <v>486</v>
      </c>
      <c r="F594" t="s">
        <v>44</v>
      </c>
      <c r="G594" t="s">
        <v>18</v>
      </c>
      <c r="H594" t="s">
        <v>39</v>
      </c>
      <c r="I594" t="s">
        <v>29</v>
      </c>
      <c r="J594">
        <v>36</v>
      </c>
      <c r="K594">
        <v>0.03</v>
      </c>
      <c r="L594">
        <v>1</v>
      </c>
      <c r="M594">
        <v>1</v>
      </c>
      <c r="N594">
        <v>1</v>
      </c>
      <c r="O594">
        <v>100</v>
      </c>
      <c r="P594" s="4" t="b">
        <f t="shared" si="9"/>
        <v>0</v>
      </c>
    </row>
    <row r="595" spans="1:16" x14ac:dyDescent="0.2">
      <c r="A595" t="s">
        <v>15</v>
      </c>
      <c r="B595" t="s">
        <v>1016</v>
      </c>
      <c r="C595">
        <v>602</v>
      </c>
      <c r="D595">
        <v>46015</v>
      </c>
      <c r="E595" t="s">
        <v>483</v>
      </c>
      <c r="F595" t="s">
        <v>26</v>
      </c>
      <c r="G595" t="s">
        <v>23</v>
      </c>
      <c r="H595" t="s">
        <v>28</v>
      </c>
      <c r="I595" t="s">
        <v>29</v>
      </c>
      <c r="J595">
        <v>26</v>
      </c>
      <c r="K595">
        <v>0.03</v>
      </c>
      <c r="L595">
        <v>1</v>
      </c>
      <c r="M595">
        <v>1</v>
      </c>
      <c r="N595">
        <v>1</v>
      </c>
      <c r="O595">
        <v>100</v>
      </c>
      <c r="P595" s="4" t="b">
        <f t="shared" si="9"/>
        <v>0</v>
      </c>
    </row>
    <row r="596" spans="1:16" x14ac:dyDescent="0.2">
      <c r="A596" t="s">
        <v>15</v>
      </c>
      <c r="B596" t="s">
        <v>1016</v>
      </c>
      <c r="C596">
        <v>603</v>
      </c>
      <c r="D596">
        <v>129669</v>
      </c>
      <c r="E596" t="s">
        <v>774</v>
      </c>
      <c r="F596" t="s">
        <v>73</v>
      </c>
      <c r="G596" t="s">
        <v>18</v>
      </c>
      <c r="H596" t="s">
        <v>28</v>
      </c>
      <c r="I596" t="s">
        <v>20</v>
      </c>
      <c r="J596">
        <v>37</v>
      </c>
      <c r="K596">
        <v>0.03</v>
      </c>
      <c r="L596">
        <v>1</v>
      </c>
      <c r="M596">
        <v>1</v>
      </c>
      <c r="N596">
        <v>1</v>
      </c>
      <c r="O596">
        <v>100</v>
      </c>
      <c r="P596" s="4" t="b">
        <f t="shared" si="9"/>
        <v>0</v>
      </c>
    </row>
    <row r="597" spans="1:16" x14ac:dyDescent="0.2">
      <c r="A597" t="s">
        <v>15</v>
      </c>
      <c r="B597" t="s">
        <v>1016</v>
      </c>
      <c r="C597">
        <v>604</v>
      </c>
      <c r="D597">
        <v>130275</v>
      </c>
      <c r="E597" t="s">
        <v>773</v>
      </c>
      <c r="F597" t="s">
        <v>68</v>
      </c>
      <c r="G597" t="s">
        <v>18</v>
      </c>
      <c r="H597" t="s">
        <v>28</v>
      </c>
      <c r="I597" t="s">
        <v>29</v>
      </c>
      <c r="J597">
        <v>35</v>
      </c>
      <c r="K597">
        <v>0.03</v>
      </c>
      <c r="L597">
        <v>1</v>
      </c>
      <c r="M597">
        <v>1</v>
      </c>
      <c r="N597">
        <v>1</v>
      </c>
      <c r="O597">
        <v>100</v>
      </c>
      <c r="P597" s="4" t="b">
        <f t="shared" si="9"/>
        <v>0</v>
      </c>
    </row>
    <row r="598" spans="1:16" x14ac:dyDescent="0.2">
      <c r="A598" t="s">
        <v>15</v>
      </c>
      <c r="B598" t="s">
        <v>1016</v>
      </c>
      <c r="C598">
        <v>605</v>
      </c>
      <c r="D598">
        <v>132060</v>
      </c>
      <c r="E598" t="s">
        <v>332</v>
      </c>
      <c r="F598" t="s">
        <v>38</v>
      </c>
      <c r="G598" t="s">
        <v>23</v>
      </c>
      <c r="H598" t="s">
        <v>39</v>
      </c>
      <c r="I598" t="s">
        <v>29</v>
      </c>
      <c r="J598">
        <v>20</v>
      </c>
      <c r="K598">
        <v>8</v>
      </c>
      <c r="L598">
        <v>2</v>
      </c>
      <c r="M598">
        <v>3</v>
      </c>
      <c r="N598">
        <v>3</v>
      </c>
      <c r="O598">
        <v>1</v>
      </c>
      <c r="P598" s="4" t="b">
        <f t="shared" si="9"/>
        <v>0</v>
      </c>
    </row>
    <row r="599" spans="1:16" x14ac:dyDescent="0.2">
      <c r="A599" t="s">
        <v>15</v>
      </c>
      <c r="B599" t="s">
        <v>1016</v>
      </c>
      <c r="C599">
        <v>606</v>
      </c>
      <c r="D599">
        <v>129757</v>
      </c>
      <c r="E599" t="s">
        <v>986</v>
      </c>
      <c r="F599" t="s">
        <v>238</v>
      </c>
      <c r="G599" t="s">
        <v>18</v>
      </c>
      <c r="H599" t="s">
        <v>28</v>
      </c>
      <c r="I599" t="s">
        <v>20</v>
      </c>
      <c r="J599">
        <v>35</v>
      </c>
      <c r="K599">
        <v>0.03</v>
      </c>
      <c r="L599">
        <v>1</v>
      </c>
      <c r="M599">
        <v>1</v>
      </c>
      <c r="N599">
        <v>1</v>
      </c>
      <c r="O599">
        <v>100</v>
      </c>
      <c r="P599" s="4" t="b">
        <f t="shared" si="9"/>
        <v>0</v>
      </c>
    </row>
    <row r="600" spans="1:16" x14ac:dyDescent="0.2">
      <c r="A600" t="s">
        <v>15</v>
      </c>
      <c r="B600" t="s">
        <v>1016</v>
      </c>
      <c r="C600">
        <v>607</v>
      </c>
      <c r="D600">
        <v>129944</v>
      </c>
      <c r="E600" t="s">
        <v>708</v>
      </c>
      <c r="F600" t="s">
        <v>17</v>
      </c>
      <c r="G600" t="s">
        <v>18</v>
      </c>
      <c r="H600" t="s">
        <v>19</v>
      </c>
      <c r="I600" t="s">
        <v>56</v>
      </c>
      <c r="J600">
        <v>71</v>
      </c>
      <c r="K600">
        <v>0.03</v>
      </c>
      <c r="L600">
        <v>1</v>
      </c>
      <c r="M600">
        <v>1</v>
      </c>
      <c r="N600">
        <v>1</v>
      </c>
      <c r="O600">
        <v>100</v>
      </c>
      <c r="P600" s="4" t="b">
        <f t="shared" si="9"/>
        <v>0</v>
      </c>
    </row>
    <row r="601" spans="1:16" x14ac:dyDescent="0.2">
      <c r="A601" t="s">
        <v>15</v>
      </c>
      <c r="B601" t="s">
        <v>1016</v>
      </c>
      <c r="C601">
        <v>608</v>
      </c>
      <c r="D601">
        <v>55478</v>
      </c>
      <c r="E601" t="s">
        <v>485</v>
      </c>
      <c r="F601" t="s">
        <v>58</v>
      </c>
      <c r="G601" t="s">
        <v>23</v>
      </c>
      <c r="H601" t="s">
        <v>28</v>
      </c>
      <c r="I601" t="s">
        <v>20</v>
      </c>
      <c r="J601">
        <v>27</v>
      </c>
      <c r="K601">
        <v>0.03</v>
      </c>
      <c r="L601">
        <v>1</v>
      </c>
      <c r="M601">
        <v>1</v>
      </c>
      <c r="N601">
        <v>1</v>
      </c>
      <c r="O601">
        <v>100</v>
      </c>
      <c r="P601" s="4" t="b">
        <f t="shared" si="9"/>
        <v>0</v>
      </c>
    </row>
    <row r="602" spans="1:16" x14ac:dyDescent="0.2">
      <c r="A602" t="s">
        <v>15</v>
      </c>
      <c r="B602" t="s">
        <v>1016</v>
      </c>
      <c r="C602">
        <v>609</v>
      </c>
      <c r="D602">
        <v>130326</v>
      </c>
      <c r="E602" t="s">
        <v>713</v>
      </c>
      <c r="F602" t="s">
        <v>17</v>
      </c>
      <c r="G602" t="s">
        <v>18</v>
      </c>
      <c r="H602" t="s">
        <v>19</v>
      </c>
      <c r="I602" t="s">
        <v>74</v>
      </c>
      <c r="J602">
        <v>72</v>
      </c>
      <c r="K602">
        <v>0.03</v>
      </c>
      <c r="L602">
        <v>1</v>
      </c>
      <c r="M602">
        <v>1</v>
      </c>
      <c r="N602">
        <v>1</v>
      </c>
      <c r="O602">
        <v>100</v>
      </c>
      <c r="P602" s="4" t="b">
        <f t="shared" si="9"/>
        <v>0</v>
      </c>
    </row>
    <row r="603" spans="1:16" x14ac:dyDescent="0.2">
      <c r="A603" t="s">
        <v>15</v>
      </c>
      <c r="B603" t="s">
        <v>1016</v>
      </c>
      <c r="C603">
        <v>610</v>
      </c>
      <c r="D603">
        <v>94915</v>
      </c>
      <c r="E603" t="s">
        <v>753</v>
      </c>
      <c r="F603" t="s">
        <v>215</v>
      </c>
      <c r="G603" t="s">
        <v>23</v>
      </c>
      <c r="H603" t="s">
        <v>28</v>
      </c>
      <c r="I603" t="s">
        <v>29</v>
      </c>
      <c r="J603">
        <v>19</v>
      </c>
      <c r="K603">
        <v>0.03</v>
      </c>
      <c r="L603">
        <v>1</v>
      </c>
      <c r="M603">
        <v>1</v>
      </c>
      <c r="N603">
        <v>1</v>
      </c>
      <c r="O603">
        <v>100</v>
      </c>
      <c r="P603" s="4" t="b">
        <f t="shared" si="9"/>
        <v>0</v>
      </c>
    </row>
    <row r="604" spans="1:16" x14ac:dyDescent="0.2">
      <c r="A604" t="s">
        <v>15</v>
      </c>
      <c r="B604" t="s">
        <v>1016</v>
      </c>
      <c r="C604">
        <v>611</v>
      </c>
      <c r="D604">
        <v>129529</v>
      </c>
      <c r="E604" t="s">
        <v>678</v>
      </c>
      <c r="F604" t="s">
        <v>54</v>
      </c>
      <c r="G604" t="s">
        <v>18</v>
      </c>
      <c r="H604" t="s">
        <v>55</v>
      </c>
      <c r="I604" t="s">
        <v>29</v>
      </c>
      <c r="J604">
        <v>36</v>
      </c>
      <c r="K604">
        <v>0.03</v>
      </c>
      <c r="L604">
        <v>1</v>
      </c>
      <c r="M604">
        <v>1</v>
      </c>
      <c r="N604">
        <v>1</v>
      </c>
      <c r="O604">
        <v>100</v>
      </c>
      <c r="P604" s="4" t="b">
        <f t="shared" si="9"/>
        <v>0</v>
      </c>
    </row>
    <row r="605" spans="1:16" x14ac:dyDescent="0.2">
      <c r="A605" t="s">
        <v>15</v>
      </c>
      <c r="B605" t="s">
        <v>1016</v>
      </c>
      <c r="C605">
        <v>612</v>
      </c>
      <c r="D605">
        <v>129679</v>
      </c>
      <c r="E605" t="s">
        <v>497</v>
      </c>
      <c r="F605" t="s">
        <v>44</v>
      </c>
      <c r="G605" t="s">
        <v>18</v>
      </c>
      <c r="H605" t="s">
        <v>39</v>
      </c>
      <c r="I605" t="s">
        <v>56</v>
      </c>
      <c r="J605">
        <v>37</v>
      </c>
      <c r="K605">
        <v>0.03</v>
      </c>
      <c r="L605">
        <v>1</v>
      </c>
      <c r="M605">
        <v>1</v>
      </c>
      <c r="N605">
        <v>1</v>
      </c>
      <c r="O605">
        <v>100</v>
      </c>
      <c r="P605" s="4" t="b">
        <f t="shared" si="9"/>
        <v>0</v>
      </c>
    </row>
    <row r="606" spans="1:16" x14ac:dyDescent="0.2">
      <c r="A606" t="s">
        <v>15</v>
      </c>
      <c r="B606" t="s">
        <v>1016</v>
      </c>
      <c r="C606">
        <v>613</v>
      </c>
      <c r="D606">
        <v>45693</v>
      </c>
      <c r="E606" t="s">
        <v>491</v>
      </c>
      <c r="F606" t="s">
        <v>26</v>
      </c>
      <c r="G606" t="s">
        <v>23</v>
      </c>
      <c r="H606" t="s">
        <v>28</v>
      </c>
      <c r="I606" t="s">
        <v>29</v>
      </c>
      <c r="J606">
        <v>27</v>
      </c>
      <c r="K606">
        <v>0.03</v>
      </c>
      <c r="L606">
        <v>1</v>
      </c>
      <c r="M606">
        <v>1</v>
      </c>
      <c r="N606">
        <v>1</v>
      </c>
      <c r="O606">
        <v>100</v>
      </c>
      <c r="P606" s="4" t="b">
        <f t="shared" si="9"/>
        <v>0</v>
      </c>
    </row>
    <row r="607" spans="1:16" x14ac:dyDescent="0.2">
      <c r="A607" t="s">
        <v>15</v>
      </c>
      <c r="B607" t="s">
        <v>1016</v>
      </c>
      <c r="C607">
        <v>614</v>
      </c>
      <c r="D607">
        <v>130805</v>
      </c>
      <c r="E607" t="s">
        <v>782</v>
      </c>
      <c r="F607" t="s">
        <v>73</v>
      </c>
      <c r="G607" t="s">
        <v>18</v>
      </c>
      <c r="H607" t="s">
        <v>28</v>
      </c>
      <c r="I607" t="s">
        <v>29</v>
      </c>
      <c r="J607">
        <v>38</v>
      </c>
      <c r="K607">
        <v>0.03</v>
      </c>
      <c r="L607">
        <v>1</v>
      </c>
      <c r="M607">
        <v>1</v>
      </c>
      <c r="N607">
        <v>1</v>
      </c>
      <c r="O607">
        <v>100</v>
      </c>
      <c r="P607" s="4" t="b">
        <f t="shared" si="9"/>
        <v>0</v>
      </c>
    </row>
    <row r="608" spans="1:16" x14ac:dyDescent="0.2">
      <c r="A608" t="s">
        <v>15</v>
      </c>
      <c r="B608" t="s">
        <v>1016</v>
      </c>
      <c r="C608">
        <v>615</v>
      </c>
      <c r="D608">
        <v>129545</v>
      </c>
      <c r="E608" t="s">
        <v>781</v>
      </c>
      <c r="F608" t="s">
        <v>68</v>
      </c>
      <c r="G608" t="s">
        <v>18</v>
      </c>
      <c r="H608" t="s">
        <v>28</v>
      </c>
      <c r="I608" t="s">
        <v>29</v>
      </c>
      <c r="J608">
        <v>36</v>
      </c>
      <c r="K608">
        <v>0.03</v>
      </c>
      <c r="L608">
        <v>1</v>
      </c>
      <c r="M608">
        <v>1</v>
      </c>
      <c r="N608">
        <v>1</v>
      </c>
      <c r="O608">
        <v>100</v>
      </c>
      <c r="P608" s="4" t="b">
        <f t="shared" si="9"/>
        <v>0</v>
      </c>
    </row>
    <row r="609" spans="1:16" x14ac:dyDescent="0.2">
      <c r="A609" t="s">
        <v>15</v>
      </c>
      <c r="B609" t="s">
        <v>1016</v>
      </c>
      <c r="C609">
        <v>616</v>
      </c>
      <c r="D609">
        <v>127624</v>
      </c>
      <c r="E609" t="s">
        <v>334</v>
      </c>
      <c r="F609" t="s">
        <v>38</v>
      </c>
      <c r="G609" t="s">
        <v>23</v>
      </c>
      <c r="H609" t="s">
        <v>39</v>
      </c>
      <c r="I609" t="s">
        <v>29</v>
      </c>
      <c r="J609">
        <v>21</v>
      </c>
      <c r="K609">
        <v>0.03</v>
      </c>
      <c r="L609">
        <v>1</v>
      </c>
      <c r="M609">
        <v>1</v>
      </c>
      <c r="N609">
        <v>1</v>
      </c>
      <c r="O609">
        <v>100</v>
      </c>
      <c r="P609" s="4" t="b">
        <f t="shared" si="9"/>
        <v>0</v>
      </c>
    </row>
    <row r="610" spans="1:16" x14ac:dyDescent="0.2">
      <c r="A610" t="s">
        <v>15</v>
      </c>
      <c r="B610" t="s">
        <v>1016</v>
      </c>
      <c r="C610">
        <v>617</v>
      </c>
      <c r="D610">
        <v>129408</v>
      </c>
      <c r="E610" t="s">
        <v>987</v>
      </c>
      <c r="F610" t="s">
        <v>238</v>
      </c>
      <c r="G610" t="s">
        <v>18</v>
      </c>
      <c r="H610" t="s">
        <v>28</v>
      </c>
      <c r="I610" t="s">
        <v>20</v>
      </c>
      <c r="J610">
        <v>36</v>
      </c>
      <c r="K610">
        <v>0.03</v>
      </c>
      <c r="L610">
        <v>1</v>
      </c>
      <c r="M610">
        <v>1</v>
      </c>
      <c r="N610">
        <v>1</v>
      </c>
      <c r="O610">
        <v>100</v>
      </c>
      <c r="P610" s="4" t="b">
        <f t="shared" si="9"/>
        <v>0</v>
      </c>
    </row>
    <row r="611" spans="1:16" x14ac:dyDescent="0.2">
      <c r="A611" t="s">
        <v>15</v>
      </c>
      <c r="B611" t="s">
        <v>1016</v>
      </c>
      <c r="C611">
        <v>618</v>
      </c>
      <c r="D611">
        <v>130036</v>
      </c>
      <c r="E611" t="s">
        <v>719</v>
      </c>
      <c r="F611" t="s">
        <v>17</v>
      </c>
      <c r="G611" t="s">
        <v>18</v>
      </c>
      <c r="H611" t="s">
        <v>19</v>
      </c>
      <c r="I611" t="s">
        <v>74</v>
      </c>
      <c r="J611">
        <v>73</v>
      </c>
      <c r="K611">
        <v>0.03</v>
      </c>
      <c r="L611">
        <v>1</v>
      </c>
      <c r="M611">
        <v>1</v>
      </c>
      <c r="N611">
        <v>1</v>
      </c>
      <c r="O611">
        <v>100</v>
      </c>
      <c r="P611" s="4" t="b">
        <f t="shared" si="9"/>
        <v>0</v>
      </c>
    </row>
    <row r="612" spans="1:16" x14ac:dyDescent="0.2">
      <c r="A612" t="s">
        <v>15</v>
      </c>
      <c r="B612" t="s">
        <v>1016</v>
      </c>
      <c r="C612">
        <v>619</v>
      </c>
      <c r="D612">
        <v>65058</v>
      </c>
      <c r="E612" t="s">
        <v>494</v>
      </c>
      <c r="F612" t="s">
        <v>58</v>
      </c>
      <c r="G612" t="s">
        <v>23</v>
      </c>
      <c r="H612" t="s">
        <v>28</v>
      </c>
      <c r="I612" t="s">
        <v>20</v>
      </c>
      <c r="J612">
        <v>29</v>
      </c>
      <c r="K612">
        <v>0.03</v>
      </c>
      <c r="L612">
        <v>1</v>
      </c>
      <c r="M612">
        <v>1</v>
      </c>
      <c r="N612">
        <v>1</v>
      </c>
      <c r="O612">
        <v>100</v>
      </c>
      <c r="P612" s="4" t="b">
        <f t="shared" si="9"/>
        <v>0</v>
      </c>
    </row>
    <row r="613" spans="1:16" x14ac:dyDescent="0.2">
      <c r="A613" t="s">
        <v>15</v>
      </c>
      <c r="B613" t="s">
        <v>1016</v>
      </c>
      <c r="C613">
        <v>620</v>
      </c>
      <c r="D613">
        <v>131085</v>
      </c>
      <c r="E613" t="s">
        <v>726</v>
      </c>
      <c r="F613" t="s">
        <v>17</v>
      </c>
      <c r="G613" t="s">
        <v>18</v>
      </c>
      <c r="H613" t="s">
        <v>19</v>
      </c>
      <c r="I613" t="s">
        <v>74</v>
      </c>
      <c r="J613">
        <v>74</v>
      </c>
      <c r="K613">
        <v>0.03</v>
      </c>
      <c r="L613">
        <v>1</v>
      </c>
      <c r="M613">
        <v>1</v>
      </c>
      <c r="N613">
        <v>1</v>
      </c>
      <c r="O613">
        <v>100</v>
      </c>
      <c r="P613" s="4" t="b">
        <f t="shared" si="9"/>
        <v>0</v>
      </c>
    </row>
    <row r="614" spans="1:16" x14ac:dyDescent="0.2">
      <c r="A614" t="s">
        <v>15</v>
      </c>
      <c r="B614" t="s">
        <v>1016</v>
      </c>
      <c r="C614">
        <v>621</v>
      </c>
      <c r="D614">
        <v>129450</v>
      </c>
      <c r="E614" t="s">
        <v>693</v>
      </c>
      <c r="F614" t="s">
        <v>54</v>
      </c>
      <c r="G614" t="s">
        <v>18</v>
      </c>
      <c r="H614" t="s">
        <v>55</v>
      </c>
      <c r="I614" t="s">
        <v>29</v>
      </c>
      <c r="J614">
        <v>37</v>
      </c>
      <c r="K614">
        <v>0.03</v>
      </c>
      <c r="L614">
        <v>1</v>
      </c>
      <c r="M614">
        <v>1</v>
      </c>
      <c r="N614">
        <v>1</v>
      </c>
      <c r="O614">
        <v>100</v>
      </c>
      <c r="P614" s="4" t="b">
        <f t="shared" si="9"/>
        <v>0</v>
      </c>
    </row>
    <row r="615" spans="1:16" x14ac:dyDescent="0.2">
      <c r="A615" t="s">
        <v>15</v>
      </c>
      <c r="B615" t="s">
        <v>1016</v>
      </c>
      <c r="C615">
        <v>622</v>
      </c>
      <c r="D615">
        <v>46750</v>
      </c>
      <c r="E615" t="s">
        <v>755</v>
      </c>
      <c r="F615" t="s">
        <v>215</v>
      </c>
      <c r="G615" t="s">
        <v>23</v>
      </c>
      <c r="H615" t="s">
        <v>28</v>
      </c>
      <c r="I615" t="s">
        <v>29</v>
      </c>
      <c r="J615">
        <v>20</v>
      </c>
      <c r="K615">
        <v>0.03</v>
      </c>
      <c r="L615">
        <v>1</v>
      </c>
      <c r="M615">
        <v>1</v>
      </c>
      <c r="N615">
        <v>1</v>
      </c>
      <c r="O615">
        <v>100</v>
      </c>
      <c r="P615" s="4" t="b">
        <f t="shared" si="9"/>
        <v>0</v>
      </c>
    </row>
    <row r="616" spans="1:16" x14ac:dyDescent="0.2">
      <c r="A616" t="s">
        <v>15</v>
      </c>
      <c r="B616" t="s">
        <v>1016</v>
      </c>
      <c r="C616">
        <v>623</v>
      </c>
      <c r="D616">
        <v>130713</v>
      </c>
      <c r="E616" t="s">
        <v>503</v>
      </c>
      <c r="F616" t="s">
        <v>44</v>
      </c>
      <c r="G616" t="s">
        <v>18</v>
      </c>
      <c r="H616" t="s">
        <v>39</v>
      </c>
      <c r="I616" t="s">
        <v>74</v>
      </c>
      <c r="J616">
        <v>38</v>
      </c>
      <c r="K616">
        <v>0.03</v>
      </c>
      <c r="L616">
        <v>1</v>
      </c>
      <c r="M616">
        <v>1</v>
      </c>
      <c r="N616">
        <v>1</v>
      </c>
      <c r="O616">
        <v>100</v>
      </c>
      <c r="P616" s="4" t="b">
        <f t="shared" si="9"/>
        <v>0</v>
      </c>
    </row>
    <row r="617" spans="1:16" x14ac:dyDescent="0.2">
      <c r="A617" t="s">
        <v>15</v>
      </c>
      <c r="B617" t="s">
        <v>1016</v>
      </c>
      <c r="C617">
        <v>624</v>
      </c>
      <c r="D617">
        <v>129928</v>
      </c>
      <c r="E617" t="s">
        <v>788</v>
      </c>
      <c r="F617" t="s">
        <v>73</v>
      </c>
      <c r="G617" t="s">
        <v>18</v>
      </c>
      <c r="H617" t="s">
        <v>28</v>
      </c>
      <c r="I617" t="s">
        <v>29</v>
      </c>
      <c r="J617">
        <v>39</v>
      </c>
      <c r="K617">
        <v>0.03</v>
      </c>
      <c r="L617">
        <v>1</v>
      </c>
      <c r="M617">
        <v>1</v>
      </c>
      <c r="N617">
        <v>1</v>
      </c>
      <c r="O617">
        <v>100</v>
      </c>
      <c r="P617" s="4" t="b">
        <f t="shared" si="9"/>
        <v>0</v>
      </c>
    </row>
    <row r="618" spans="1:16" x14ac:dyDescent="0.2">
      <c r="A618" t="s">
        <v>15</v>
      </c>
      <c r="B618" t="s">
        <v>1016</v>
      </c>
      <c r="C618">
        <v>625</v>
      </c>
      <c r="D618">
        <v>10379</v>
      </c>
      <c r="E618" t="s">
        <v>505</v>
      </c>
      <c r="F618" t="s">
        <v>26</v>
      </c>
      <c r="G618" t="s">
        <v>23</v>
      </c>
      <c r="H618" t="s">
        <v>28</v>
      </c>
      <c r="I618" t="s">
        <v>29</v>
      </c>
      <c r="J618">
        <v>28</v>
      </c>
      <c r="K618">
        <v>0.03</v>
      </c>
      <c r="L618">
        <v>1</v>
      </c>
      <c r="M618">
        <v>1</v>
      </c>
      <c r="N618">
        <v>1</v>
      </c>
      <c r="O618">
        <v>100</v>
      </c>
      <c r="P618" s="4" t="b">
        <f t="shared" si="9"/>
        <v>0</v>
      </c>
    </row>
    <row r="619" spans="1:16" x14ac:dyDescent="0.2">
      <c r="A619" t="s">
        <v>15</v>
      </c>
      <c r="B619" t="s">
        <v>1016</v>
      </c>
      <c r="C619">
        <v>626</v>
      </c>
      <c r="D619">
        <v>129544</v>
      </c>
      <c r="E619" t="s">
        <v>787</v>
      </c>
      <c r="F619" t="s">
        <v>68</v>
      </c>
      <c r="G619" t="s">
        <v>18</v>
      </c>
      <c r="H619" t="s">
        <v>28</v>
      </c>
      <c r="I619" t="s">
        <v>20</v>
      </c>
      <c r="J619">
        <v>37</v>
      </c>
      <c r="K619">
        <v>0.03</v>
      </c>
      <c r="L619">
        <v>1</v>
      </c>
      <c r="M619">
        <v>1</v>
      </c>
      <c r="N619">
        <v>1</v>
      </c>
      <c r="O619">
        <v>100</v>
      </c>
      <c r="P619" s="4" t="b">
        <f t="shared" si="9"/>
        <v>0</v>
      </c>
    </row>
    <row r="620" spans="1:16" x14ac:dyDescent="0.2">
      <c r="A620" t="s">
        <v>15</v>
      </c>
      <c r="B620" t="s">
        <v>1016</v>
      </c>
      <c r="C620">
        <v>627</v>
      </c>
      <c r="D620">
        <v>132054</v>
      </c>
      <c r="E620" t="s">
        <v>347</v>
      </c>
      <c r="F620" t="s">
        <v>38</v>
      </c>
      <c r="G620" t="s">
        <v>23</v>
      </c>
      <c r="H620" t="s">
        <v>39</v>
      </c>
      <c r="I620" t="s">
        <v>20</v>
      </c>
      <c r="J620">
        <v>22</v>
      </c>
      <c r="K620">
        <v>0.03</v>
      </c>
      <c r="L620">
        <v>1</v>
      </c>
      <c r="M620">
        <v>1</v>
      </c>
      <c r="N620">
        <v>1</v>
      </c>
      <c r="O620">
        <v>100</v>
      </c>
      <c r="P620" s="4" t="b">
        <f t="shared" si="9"/>
        <v>0</v>
      </c>
    </row>
    <row r="621" spans="1:16" x14ac:dyDescent="0.2">
      <c r="A621" t="s">
        <v>15</v>
      </c>
      <c r="B621" t="s">
        <v>1016</v>
      </c>
      <c r="C621">
        <v>628</v>
      </c>
      <c r="D621">
        <v>130293</v>
      </c>
      <c r="E621" t="s">
        <v>988</v>
      </c>
      <c r="F621" t="s">
        <v>238</v>
      </c>
      <c r="G621" t="s">
        <v>18</v>
      </c>
      <c r="H621" t="s">
        <v>28</v>
      </c>
      <c r="I621" t="s">
        <v>56</v>
      </c>
      <c r="J621">
        <v>37</v>
      </c>
      <c r="K621">
        <v>0.03</v>
      </c>
      <c r="L621">
        <v>1</v>
      </c>
      <c r="M621">
        <v>1</v>
      </c>
      <c r="N621">
        <v>1</v>
      </c>
      <c r="O621">
        <v>100</v>
      </c>
      <c r="P621" s="4" t="b">
        <f t="shared" si="9"/>
        <v>0</v>
      </c>
    </row>
    <row r="622" spans="1:16" x14ac:dyDescent="0.2">
      <c r="A622" t="s">
        <v>15</v>
      </c>
      <c r="B622" t="s">
        <v>1016</v>
      </c>
      <c r="C622">
        <v>629</v>
      </c>
      <c r="D622">
        <v>130699</v>
      </c>
      <c r="E622" t="s">
        <v>735</v>
      </c>
      <c r="F622" t="s">
        <v>17</v>
      </c>
      <c r="G622" t="s">
        <v>18</v>
      </c>
      <c r="H622" t="s">
        <v>19</v>
      </c>
      <c r="I622" t="s">
        <v>24</v>
      </c>
      <c r="J622">
        <v>75</v>
      </c>
      <c r="K622">
        <v>0.03</v>
      </c>
      <c r="L622">
        <v>1</v>
      </c>
      <c r="M622">
        <v>1</v>
      </c>
      <c r="N622">
        <v>1</v>
      </c>
      <c r="O622">
        <v>100</v>
      </c>
      <c r="P622" s="4" t="b">
        <f t="shared" si="9"/>
        <v>0</v>
      </c>
    </row>
    <row r="623" spans="1:16" x14ac:dyDescent="0.2">
      <c r="A623" t="s">
        <v>15</v>
      </c>
      <c r="B623" t="s">
        <v>1016</v>
      </c>
      <c r="C623">
        <v>630</v>
      </c>
      <c r="D623">
        <v>85248</v>
      </c>
      <c r="E623" t="s">
        <v>507</v>
      </c>
      <c r="F623" t="s">
        <v>58</v>
      </c>
      <c r="G623" t="s">
        <v>23</v>
      </c>
      <c r="H623" t="s">
        <v>28</v>
      </c>
      <c r="I623" t="s">
        <v>29</v>
      </c>
      <c r="J623">
        <v>30</v>
      </c>
      <c r="K623">
        <v>0.03</v>
      </c>
      <c r="L623">
        <v>1</v>
      </c>
      <c r="M623">
        <v>1</v>
      </c>
      <c r="N623">
        <v>1</v>
      </c>
      <c r="O623">
        <v>100</v>
      </c>
      <c r="P623" s="4" t="b">
        <f t="shared" si="9"/>
        <v>0</v>
      </c>
    </row>
    <row r="624" spans="1:16" x14ac:dyDescent="0.2">
      <c r="A624" t="s">
        <v>15</v>
      </c>
      <c r="B624" t="s">
        <v>1016</v>
      </c>
      <c r="C624">
        <v>631</v>
      </c>
      <c r="D624">
        <v>136127</v>
      </c>
      <c r="E624" t="s">
        <v>743</v>
      </c>
      <c r="F624" t="s">
        <v>17</v>
      </c>
      <c r="G624" t="s">
        <v>18</v>
      </c>
      <c r="H624" t="s">
        <v>19</v>
      </c>
      <c r="I624" t="s">
        <v>20</v>
      </c>
      <c r="J624">
        <v>76</v>
      </c>
      <c r="K624">
        <v>0.03</v>
      </c>
      <c r="L624">
        <v>1</v>
      </c>
      <c r="M624">
        <v>1</v>
      </c>
      <c r="N624">
        <v>1</v>
      </c>
      <c r="O624">
        <v>100</v>
      </c>
      <c r="P624" s="4" t="b">
        <f t="shared" si="9"/>
        <v>0</v>
      </c>
    </row>
    <row r="625" spans="1:16" x14ac:dyDescent="0.2">
      <c r="A625" t="s">
        <v>15</v>
      </c>
      <c r="B625" t="s">
        <v>1016</v>
      </c>
      <c r="C625">
        <v>632</v>
      </c>
      <c r="D625">
        <v>129476</v>
      </c>
      <c r="E625" t="s">
        <v>700</v>
      </c>
      <c r="F625" t="s">
        <v>54</v>
      </c>
      <c r="G625" t="s">
        <v>18</v>
      </c>
      <c r="H625" t="s">
        <v>55</v>
      </c>
      <c r="I625" t="s">
        <v>29</v>
      </c>
      <c r="J625">
        <v>38</v>
      </c>
      <c r="K625">
        <v>0.03</v>
      </c>
      <c r="L625">
        <v>1</v>
      </c>
      <c r="M625">
        <v>1</v>
      </c>
      <c r="N625">
        <v>1</v>
      </c>
      <c r="O625">
        <v>100</v>
      </c>
      <c r="P625" s="4" t="b">
        <f t="shared" si="9"/>
        <v>0</v>
      </c>
    </row>
    <row r="626" spans="1:16" x14ac:dyDescent="0.2">
      <c r="A626" t="s">
        <v>15</v>
      </c>
      <c r="B626" t="s">
        <v>1016</v>
      </c>
      <c r="C626">
        <v>633</v>
      </c>
      <c r="D626">
        <v>169812</v>
      </c>
      <c r="E626" t="s">
        <v>758</v>
      </c>
      <c r="F626" t="s">
        <v>215</v>
      </c>
      <c r="G626" t="s">
        <v>23</v>
      </c>
      <c r="H626" t="s">
        <v>28</v>
      </c>
      <c r="I626" t="s">
        <v>29</v>
      </c>
      <c r="J626">
        <v>21</v>
      </c>
      <c r="K626">
        <v>0.03</v>
      </c>
      <c r="L626">
        <v>1</v>
      </c>
      <c r="M626">
        <v>1</v>
      </c>
      <c r="N626">
        <v>1</v>
      </c>
      <c r="O626">
        <v>100</v>
      </c>
      <c r="P626" s="4" t="b">
        <f t="shared" si="9"/>
        <v>0</v>
      </c>
    </row>
    <row r="627" spans="1:16" x14ac:dyDescent="0.2">
      <c r="A627" t="s">
        <v>15</v>
      </c>
      <c r="B627" t="s">
        <v>1016</v>
      </c>
      <c r="C627">
        <v>634</v>
      </c>
      <c r="D627">
        <v>129776</v>
      </c>
      <c r="E627" t="s">
        <v>514</v>
      </c>
      <c r="F627" t="s">
        <v>44</v>
      </c>
      <c r="G627" t="s">
        <v>18</v>
      </c>
      <c r="H627" t="s">
        <v>39</v>
      </c>
      <c r="I627" t="s">
        <v>56</v>
      </c>
      <c r="J627">
        <v>39</v>
      </c>
      <c r="K627">
        <v>0.03</v>
      </c>
      <c r="L627">
        <v>1</v>
      </c>
      <c r="M627">
        <v>1</v>
      </c>
      <c r="N627">
        <v>1</v>
      </c>
      <c r="O627">
        <v>100</v>
      </c>
      <c r="P627" s="4" t="b">
        <f t="shared" si="9"/>
        <v>0</v>
      </c>
    </row>
    <row r="628" spans="1:16" x14ac:dyDescent="0.2">
      <c r="A628" t="s">
        <v>15</v>
      </c>
      <c r="B628" t="s">
        <v>1016</v>
      </c>
      <c r="C628">
        <v>635</v>
      </c>
      <c r="D628">
        <v>130255</v>
      </c>
      <c r="E628" t="s">
        <v>792</v>
      </c>
      <c r="F628" t="s">
        <v>73</v>
      </c>
      <c r="G628" t="s">
        <v>18</v>
      </c>
      <c r="H628" t="s">
        <v>28</v>
      </c>
      <c r="I628" t="s">
        <v>20</v>
      </c>
      <c r="J628">
        <v>40</v>
      </c>
      <c r="K628">
        <v>0.03</v>
      </c>
      <c r="L628">
        <v>1</v>
      </c>
      <c r="M628">
        <v>1</v>
      </c>
      <c r="N628">
        <v>1</v>
      </c>
      <c r="O628">
        <v>100</v>
      </c>
      <c r="P628" s="4" t="b">
        <f t="shared" si="9"/>
        <v>0</v>
      </c>
    </row>
    <row r="629" spans="1:16" x14ac:dyDescent="0.2">
      <c r="A629" t="s">
        <v>15</v>
      </c>
      <c r="B629" t="s">
        <v>1016</v>
      </c>
      <c r="C629">
        <v>636</v>
      </c>
      <c r="D629">
        <v>140413</v>
      </c>
      <c r="E629" t="s">
        <v>515</v>
      </c>
      <c r="F629" t="s">
        <v>26</v>
      </c>
      <c r="G629" t="s">
        <v>23</v>
      </c>
      <c r="H629" t="s">
        <v>28</v>
      </c>
      <c r="I629" t="s">
        <v>29</v>
      </c>
      <c r="J629">
        <v>29</v>
      </c>
      <c r="K629">
        <v>0.03</v>
      </c>
      <c r="L629">
        <v>1</v>
      </c>
      <c r="M629">
        <v>1</v>
      </c>
      <c r="N629">
        <v>1</v>
      </c>
      <c r="O629">
        <v>100</v>
      </c>
      <c r="P629" s="4" t="b">
        <f t="shared" si="9"/>
        <v>0</v>
      </c>
    </row>
    <row r="630" spans="1:16" x14ac:dyDescent="0.2">
      <c r="A630" t="s">
        <v>15</v>
      </c>
      <c r="B630" t="s">
        <v>1016</v>
      </c>
      <c r="C630">
        <v>637</v>
      </c>
      <c r="D630">
        <v>129542</v>
      </c>
      <c r="E630" t="s">
        <v>791</v>
      </c>
      <c r="F630" t="s">
        <v>68</v>
      </c>
      <c r="G630" t="s">
        <v>18</v>
      </c>
      <c r="H630" t="s">
        <v>28</v>
      </c>
      <c r="I630" t="s">
        <v>20</v>
      </c>
      <c r="J630">
        <v>38</v>
      </c>
      <c r="K630">
        <v>0.03</v>
      </c>
      <c r="L630">
        <v>1</v>
      </c>
      <c r="M630">
        <v>1</v>
      </c>
      <c r="N630">
        <v>1</v>
      </c>
      <c r="O630">
        <v>100</v>
      </c>
      <c r="P630" s="4" t="b">
        <f t="shared" si="9"/>
        <v>0</v>
      </c>
    </row>
    <row r="631" spans="1:16" x14ac:dyDescent="0.2">
      <c r="A631" t="s">
        <v>15</v>
      </c>
      <c r="B631" t="s">
        <v>1016</v>
      </c>
      <c r="C631">
        <v>638</v>
      </c>
      <c r="D631">
        <v>129863</v>
      </c>
      <c r="E631" t="s">
        <v>989</v>
      </c>
      <c r="F631" t="s">
        <v>238</v>
      </c>
      <c r="G631" t="s">
        <v>18</v>
      </c>
      <c r="H631" t="s">
        <v>28</v>
      </c>
      <c r="I631" t="s">
        <v>20</v>
      </c>
      <c r="J631">
        <v>38</v>
      </c>
      <c r="K631">
        <v>0.03</v>
      </c>
      <c r="L631">
        <v>1</v>
      </c>
      <c r="M631">
        <v>1</v>
      </c>
      <c r="N631">
        <v>1</v>
      </c>
      <c r="O631">
        <v>100</v>
      </c>
      <c r="P631" s="4" t="b">
        <f t="shared" si="9"/>
        <v>0</v>
      </c>
    </row>
    <row r="632" spans="1:16" x14ac:dyDescent="0.2">
      <c r="A632" t="s">
        <v>15</v>
      </c>
      <c r="B632" t="s">
        <v>1016</v>
      </c>
      <c r="C632">
        <v>639</v>
      </c>
      <c r="D632">
        <v>132956</v>
      </c>
      <c r="E632" t="s">
        <v>354</v>
      </c>
      <c r="F632" t="s">
        <v>38</v>
      </c>
      <c r="G632" t="s">
        <v>23</v>
      </c>
      <c r="H632" t="s">
        <v>39</v>
      </c>
      <c r="I632" t="s">
        <v>29</v>
      </c>
      <c r="J632">
        <v>23</v>
      </c>
      <c r="K632">
        <v>0.03</v>
      </c>
      <c r="L632">
        <v>1</v>
      </c>
      <c r="M632">
        <v>1</v>
      </c>
      <c r="N632">
        <v>1</v>
      </c>
      <c r="O632">
        <v>100</v>
      </c>
      <c r="P632" s="4" t="b">
        <f t="shared" si="9"/>
        <v>0</v>
      </c>
    </row>
    <row r="633" spans="1:16" x14ac:dyDescent="0.2">
      <c r="A633" t="s">
        <v>15</v>
      </c>
      <c r="B633" t="s">
        <v>1016</v>
      </c>
      <c r="C633">
        <v>640</v>
      </c>
      <c r="D633">
        <v>135612</v>
      </c>
      <c r="E633" t="s">
        <v>748</v>
      </c>
      <c r="F633" t="s">
        <v>17</v>
      </c>
      <c r="G633" t="s">
        <v>18</v>
      </c>
      <c r="H633" t="s">
        <v>19</v>
      </c>
      <c r="I633" t="s">
        <v>29</v>
      </c>
      <c r="J633">
        <v>77</v>
      </c>
      <c r="K633">
        <v>0.03</v>
      </c>
      <c r="L633">
        <v>1</v>
      </c>
      <c r="M633">
        <v>1</v>
      </c>
      <c r="N633">
        <v>1</v>
      </c>
      <c r="O633">
        <v>100</v>
      </c>
      <c r="P633" s="4" t="b">
        <f t="shared" si="9"/>
        <v>0</v>
      </c>
    </row>
    <row r="634" spans="1:16" x14ac:dyDescent="0.2">
      <c r="A634" t="s">
        <v>15</v>
      </c>
      <c r="B634" t="s">
        <v>1016</v>
      </c>
      <c r="C634">
        <v>641</v>
      </c>
      <c r="D634">
        <v>88579</v>
      </c>
      <c r="E634" t="s">
        <v>518</v>
      </c>
      <c r="F634" t="s">
        <v>58</v>
      </c>
      <c r="G634" t="s">
        <v>23</v>
      </c>
      <c r="H634" t="s">
        <v>28</v>
      </c>
      <c r="I634" t="s">
        <v>20</v>
      </c>
      <c r="J634">
        <v>31</v>
      </c>
      <c r="K634">
        <v>0.03</v>
      </c>
      <c r="L634">
        <v>1</v>
      </c>
      <c r="M634">
        <v>1</v>
      </c>
      <c r="N634">
        <v>1</v>
      </c>
      <c r="O634">
        <v>100</v>
      </c>
      <c r="P634" s="4" t="b">
        <f t="shared" si="9"/>
        <v>0</v>
      </c>
    </row>
    <row r="635" spans="1:16" x14ac:dyDescent="0.2">
      <c r="A635" t="s">
        <v>15</v>
      </c>
      <c r="B635" t="s">
        <v>1016</v>
      </c>
      <c r="C635">
        <v>642</v>
      </c>
      <c r="D635">
        <v>135153</v>
      </c>
      <c r="E635" t="s">
        <v>756</v>
      </c>
      <c r="F635" t="s">
        <v>17</v>
      </c>
      <c r="G635" t="s">
        <v>18</v>
      </c>
      <c r="H635" t="s">
        <v>19</v>
      </c>
      <c r="I635" t="s">
        <v>20</v>
      </c>
      <c r="J635">
        <v>78</v>
      </c>
      <c r="K635">
        <v>0.03</v>
      </c>
      <c r="L635">
        <v>1</v>
      </c>
      <c r="M635">
        <v>1</v>
      </c>
      <c r="N635">
        <v>1</v>
      </c>
      <c r="O635">
        <v>100</v>
      </c>
      <c r="P635" s="4" t="b">
        <f t="shared" si="9"/>
        <v>0</v>
      </c>
    </row>
    <row r="636" spans="1:16" x14ac:dyDescent="0.2">
      <c r="A636" t="s">
        <v>15</v>
      </c>
      <c r="B636" t="s">
        <v>1016</v>
      </c>
      <c r="C636">
        <v>643</v>
      </c>
      <c r="D636">
        <v>129474</v>
      </c>
      <c r="E636" t="s">
        <v>717</v>
      </c>
      <c r="F636" t="s">
        <v>54</v>
      </c>
      <c r="G636" t="s">
        <v>18</v>
      </c>
      <c r="H636" t="s">
        <v>55</v>
      </c>
      <c r="I636" t="s">
        <v>29</v>
      </c>
      <c r="J636">
        <v>39</v>
      </c>
      <c r="K636">
        <v>0.03</v>
      </c>
      <c r="L636">
        <v>1</v>
      </c>
      <c r="M636">
        <v>1</v>
      </c>
      <c r="N636">
        <v>1</v>
      </c>
      <c r="O636">
        <v>100</v>
      </c>
      <c r="P636" s="4" t="b">
        <f t="shared" si="9"/>
        <v>0</v>
      </c>
    </row>
    <row r="637" spans="1:16" x14ac:dyDescent="0.2">
      <c r="A637" t="s">
        <v>15</v>
      </c>
      <c r="B637" t="s">
        <v>1016</v>
      </c>
      <c r="C637">
        <v>644</v>
      </c>
      <c r="D637">
        <v>142362</v>
      </c>
      <c r="E637" t="s">
        <v>760</v>
      </c>
      <c r="F637" t="s">
        <v>215</v>
      </c>
      <c r="G637" t="s">
        <v>23</v>
      </c>
      <c r="H637" t="s">
        <v>28</v>
      </c>
      <c r="I637" t="s">
        <v>29</v>
      </c>
      <c r="J637">
        <v>22</v>
      </c>
      <c r="K637">
        <v>0.03</v>
      </c>
      <c r="L637">
        <v>1</v>
      </c>
      <c r="M637">
        <v>1</v>
      </c>
      <c r="N637">
        <v>1</v>
      </c>
      <c r="O637">
        <v>100</v>
      </c>
      <c r="P637" s="4" t="b">
        <f t="shared" si="9"/>
        <v>0</v>
      </c>
    </row>
    <row r="638" spans="1:16" x14ac:dyDescent="0.2">
      <c r="A638" t="s">
        <v>15</v>
      </c>
      <c r="B638" t="s">
        <v>1016</v>
      </c>
      <c r="C638">
        <v>645</v>
      </c>
      <c r="D638">
        <v>130239</v>
      </c>
      <c r="E638" t="s">
        <v>517</v>
      </c>
      <c r="F638" t="s">
        <v>44</v>
      </c>
      <c r="G638" t="s">
        <v>18</v>
      </c>
      <c r="H638" t="s">
        <v>39</v>
      </c>
      <c r="I638" t="s">
        <v>20</v>
      </c>
      <c r="J638">
        <v>40</v>
      </c>
      <c r="K638">
        <v>0.03</v>
      </c>
      <c r="L638">
        <v>1</v>
      </c>
      <c r="M638">
        <v>1</v>
      </c>
      <c r="N638">
        <v>1</v>
      </c>
      <c r="O638">
        <v>100</v>
      </c>
      <c r="P638" s="4" t="b">
        <f t="shared" si="9"/>
        <v>0</v>
      </c>
    </row>
    <row r="639" spans="1:16" x14ac:dyDescent="0.2">
      <c r="A639" t="s">
        <v>15</v>
      </c>
      <c r="B639" t="s">
        <v>1016</v>
      </c>
      <c r="C639">
        <v>646</v>
      </c>
      <c r="D639">
        <v>129939</v>
      </c>
      <c r="E639" t="s">
        <v>795</v>
      </c>
      <c r="F639" t="s">
        <v>73</v>
      </c>
      <c r="G639" t="s">
        <v>18</v>
      </c>
      <c r="H639" t="s">
        <v>28</v>
      </c>
      <c r="I639" t="s">
        <v>20</v>
      </c>
      <c r="J639">
        <v>41</v>
      </c>
      <c r="K639">
        <v>0.03</v>
      </c>
      <c r="L639">
        <v>1</v>
      </c>
      <c r="M639">
        <v>1</v>
      </c>
      <c r="N639">
        <v>1</v>
      </c>
      <c r="O639">
        <v>100</v>
      </c>
      <c r="P639" s="4" t="b">
        <f t="shared" si="9"/>
        <v>0</v>
      </c>
    </row>
    <row r="640" spans="1:16" x14ac:dyDescent="0.2">
      <c r="A640" t="s">
        <v>15</v>
      </c>
      <c r="B640" t="s">
        <v>1016</v>
      </c>
      <c r="C640">
        <v>647</v>
      </c>
      <c r="D640">
        <v>42573</v>
      </c>
      <c r="E640" t="s">
        <v>524</v>
      </c>
      <c r="F640" t="s">
        <v>26</v>
      </c>
      <c r="G640" t="s">
        <v>23</v>
      </c>
      <c r="H640" t="s">
        <v>28</v>
      </c>
      <c r="I640" t="s">
        <v>29</v>
      </c>
      <c r="J640">
        <v>30</v>
      </c>
      <c r="K640">
        <v>0.03</v>
      </c>
      <c r="L640">
        <v>1</v>
      </c>
      <c r="M640">
        <v>1</v>
      </c>
      <c r="N640">
        <v>1</v>
      </c>
      <c r="O640">
        <v>100</v>
      </c>
      <c r="P640" s="4" t="b">
        <f t="shared" si="9"/>
        <v>0</v>
      </c>
    </row>
    <row r="641" spans="1:16" x14ac:dyDescent="0.2">
      <c r="A641" t="s">
        <v>15</v>
      </c>
      <c r="B641" t="s">
        <v>1016</v>
      </c>
      <c r="C641">
        <v>648</v>
      </c>
      <c r="D641">
        <v>129546</v>
      </c>
      <c r="E641" t="s">
        <v>794</v>
      </c>
      <c r="F641" t="s">
        <v>68</v>
      </c>
      <c r="G641" t="s">
        <v>18</v>
      </c>
      <c r="H641" t="s">
        <v>28</v>
      </c>
      <c r="I641" t="s">
        <v>20</v>
      </c>
      <c r="J641">
        <v>39</v>
      </c>
      <c r="K641">
        <v>0.03</v>
      </c>
      <c r="L641">
        <v>1</v>
      </c>
      <c r="M641">
        <v>1</v>
      </c>
      <c r="N641">
        <v>1</v>
      </c>
      <c r="O641">
        <v>100</v>
      </c>
      <c r="P641" s="4" t="b">
        <f t="shared" si="9"/>
        <v>0</v>
      </c>
    </row>
    <row r="642" spans="1:16" x14ac:dyDescent="0.2">
      <c r="A642" t="s">
        <v>15</v>
      </c>
      <c r="B642" t="s">
        <v>1016</v>
      </c>
      <c r="C642">
        <v>649</v>
      </c>
      <c r="D642">
        <v>129549</v>
      </c>
      <c r="E642" t="s">
        <v>990</v>
      </c>
      <c r="F642" t="s">
        <v>238</v>
      </c>
      <c r="G642" t="s">
        <v>18</v>
      </c>
      <c r="H642" t="s">
        <v>28</v>
      </c>
      <c r="I642" t="s">
        <v>20</v>
      </c>
      <c r="J642">
        <v>39</v>
      </c>
      <c r="K642">
        <v>0.03</v>
      </c>
      <c r="L642">
        <v>1</v>
      </c>
      <c r="M642">
        <v>1</v>
      </c>
      <c r="N642">
        <v>1</v>
      </c>
      <c r="O642">
        <v>100</v>
      </c>
      <c r="P642" s="4" t="b">
        <f t="shared" si="9"/>
        <v>0</v>
      </c>
    </row>
    <row r="643" spans="1:16" x14ac:dyDescent="0.2">
      <c r="A643" t="s">
        <v>15</v>
      </c>
      <c r="B643" t="s">
        <v>1016</v>
      </c>
      <c r="C643">
        <v>650</v>
      </c>
      <c r="D643">
        <v>173201</v>
      </c>
      <c r="E643" t="s">
        <v>361</v>
      </c>
      <c r="F643" t="s">
        <v>38</v>
      </c>
      <c r="G643" t="s">
        <v>23</v>
      </c>
      <c r="H643" t="s">
        <v>39</v>
      </c>
      <c r="I643" t="s">
        <v>29</v>
      </c>
      <c r="J643">
        <v>24</v>
      </c>
      <c r="K643">
        <v>0.03</v>
      </c>
      <c r="L643">
        <v>1</v>
      </c>
      <c r="M643">
        <v>1</v>
      </c>
      <c r="N643">
        <v>1</v>
      </c>
      <c r="O643">
        <v>100</v>
      </c>
      <c r="P643" s="4" t="b">
        <f t="shared" ref="P643:P706" si="10">C643&lt;($Q$1+1)</f>
        <v>0</v>
      </c>
    </row>
    <row r="644" spans="1:16" x14ac:dyDescent="0.2">
      <c r="A644" t="s">
        <v>15</v>
      </c>
      <c r="B644" t="s">
        <v>1016</v>
      </c>
      <c r="C644">
        <v>651</v>
      </c>
      <c r="D644">
        <v>134467</v>
      </c>
      <c r="E644" t="s">
        <v>759</v>
      </c>
      <c r="F644" t="s">
        <v>17</v>
      </c>
      <c r="G644" t="s">
        <v>18</v>
      </c>
      <c r="H644" t="s">
        <v>19</v>
      </c>
      <c r="I644" t="s">
        <v>20</v>
      </c>
      <c r="J644">
        <v>79</v>
      </c>
      <c r="K644">
        <v>0.03</v>
      </c>
      <c r="L644">
        <v>1</v>
      </c>
      <c r="M644">
        <v>1</v>
      </c>
      <c r="N644">
        <v>1</v>
      </c>
      <c r="O644">
        <v>100</v>
      </c>
      <c r="P644" s="4" t="b">
        <f t="shared" si="10"/>
        <v>0</v>
      </c>
    </row>
    <row r="645" spans="1:16" x14ac:dyDescent="0.2">
      <c r="A645" t="s">
        <v>15</v>
      </c>
      <c r="B645" t="s">
        <v>1016</v>
      </c>
      <c r="C645">
        <v>652</v>
      </c>
      <c r="D645">
        <v>133185</v>
      </c>
      <c r="E645" t="s">
        <v>765</v>
      </c>
      <c r="F645" t="s">
        <v>17</v>
      </c>
      <c r="G645" t="s">
        <v>18</v>
      </c>
      <c r="H645" t="s">
        <v>19</v>
      </c>
      <c r="I645" t="s">
        <v>29</v>
      </c>
      <c r="J645">
        <v>80</v>
      </c>
      <c r="K645">
        <v>0.03</v>
      </c>
      <c r="L645">
        <v>1</v>
      </c>
      <c r="M645">
        <v>1</v>
      </c>
      <c r="N645">
        <v>1</v>
      </c>
      <c r="O645">
        <v>100</v>
      </c>
      <c r="P645" s="4" t="b">
        <f t="shared" si="10"/>
        <v>0</v>
      </c>
    </row>
    <row r="646" spans="1:16" x14ac:dyDescent="0.2">
      <c r="A646" t="s">
        <v>15</v>
      </c>
      <c r="B646" t="s">
        <v>1016</v>
      </c>
      <c r="C646">
        <v>653</v>
      </c>
      <c r="D646">
        <v>91539</v>
      </c>
      <c r="E646" t="s">
        <v>526</v>
      </c>
      <c r="F646" t="s">
        <v>58</v>
      </c>
      <c r="G646" t="s">
        <v>23</v>
      </c>
      <c r="H646" t="s">
        <v>28</v>
      </c>
      <c r="I646" t="s">
        <v>29</v>
      </c>
      <c r="J646">
        <v>32</v>
      </c>
      <c r="K646">
        <v>0.03</v>
      </c>
      <c r="L646">
        <v>1</v>
      </c>
      <c r="M646">
        <v>1</v>
      </c>
      <c r="N646">
        <v>1</v>
      </c>
      <c r="O646">
        <v>100</v>
      </c>
      <c r="P646" s="4" t="b">
        <f t="shared" si="10"/>
        <v>0</v>
      </c>
    </row>
    <row r="647" spans="1:16" x14ac:dyDescent="0.2">
      <c r="A647" t="s">
        <v>15</v>
      </c>
      <c r="B647" t="s">
        <v>1016</v>
      </c>
      <c r="C647">
        <v>654</v>
      </c>
      <c r="D647">
        <v>129478</v>
      </c>
      <c r="E647" t="s">
        <v>728</v>
      </c>
      <c r="F647" t="s">
        <v>54</v>
      </c>
      <c r="G647" t="s">
        <v>18</v>
      </c>
      <c r="H647" t="s">
        <v>55</v>
      </c>
      <c r="I647" t="s">
        <v>29</v>
      </c>
      <c r="J647">
        <v>40</v>
      </c>
      <c r="K647">
        <v>0.03</v>
      </c>
      <c r="L647">
        <v>1</v>
      </c>
      <c r="M647">
        <v>1</v>
      </c>
      <c r="N647">
        <v>1</v>
      </c>
      <c r="O647">
        <v>100</v>
      </c>
      <c r="P647" s="4" t="b">
        <f t="shared" si="10"/>
        <v>0</v>
      </c>
    </row>
    <row r="648" spans="1:16" x14ac:dyDescent="0.2">
      <c r="A648" t="s">
        <v>15</v>
      </c>
      <c r="B648" t="s">
        <v>1016</v>
      </c>
      <c r="C648">
        <v>655</v>
      </c>
      <c r="D648">
        <v>129721</v>
      </c>
      <c r="E648" t="s">
        <v>538</v>
      </c>
      <c r="F648" t="s">
        <v>44</v>
      </c>
      <c r="G648" t="s">
        <v>18</v>
      </c>
      <c r="H648" t="s">
        <v>39</v>
      </c>
      <c r="I648" t="s">
        <v>74</v>
      </c>
      <c r="J648">
        <v>41</v>
      </c>
      <c r="K648">
        <v>0.03</v>
      </c>
      <c r="L648">
        <v>1</v>
      </c>
      <c r="M648">
        <v>1</v>
      </c>
      <c r="N648">
        <v>1</v>
      </c>
      <c r="O648">
        <v>100</v>
      </c>
      <c r="P648" s="4" t="b">
        <f t="shared" si="10"/>
        <v>0</v>
      </c>
    </row>
    <row r="649" spans="1:16" x14ac:dyDescent="0.2">
      <c r="A649" t="s">
        <v>15</v>
      </c>
      <c r="B649" t="s">
        <v>1016</v>
      </c>
      <c r="C649">
        <v>656</v>
      </c>
      <c r="D649">
        <v>160028</v>
      </c>
      <c r="E649" t="s">
        <v>762</v>
      </c>
      <c r="F649" t="s">
        <v>215</v>
      </c>
      <c r="G649" t="s">
        <v>23</v>
      </c>
      <c r="H649" t="s">
        <v>28</v>
      </c>
      <c r="I649" t="s">
        <v>29</v>
      </c>
      <c r="J649">
        <v>23</v>
      </c>
      <c r="K649">
        <v>0.03</v>
      </c>
      <c r="L649">
        <v>1</v>
      </c>
      <c r="M649">
        <v>1</v>
      </c>
      <c r="N649">
        <v>1</v>
      </c>
      <c r="O649">
        <v>100</v>
      </c>
      <c r="P649" s="4" t="b">
        <f t="shared" si="10"/>
        <v>0</v>
      </c>
    </row>
    <row r="650" spans="1:16" x14ac:dyDescent="0.2">
      <c r="A650" t="s">
        <v>15</v>
      </c>
      <c r="B650" t="s">
        <v>1016</v>
      </c>
      <c r="C650">
        <v>657</v>
      </c>
      <c r="D650">
        <v>130739</v>
      </c>
      <c r="E650" t="s">
        <v>800</v>
      </c>
      <c r="F650" t="s">
        <v>73</v>
      </c>
      <c r="G650" t="s">
        <v>18</v>
      </c>
      <c r="H650" t="s">
        <v>28</v>
      </c>
      <c r="I650" t="s">
        <v>56</v>
      </c>
      <c r="J650">
        <v>42</v>
      </c>
      <c r="K650">
        <v>0.03</v>
      </c>
      <c r="L650">
        <v>1</v>
      </c>
      <c r="M650">
        <v>1</v>
      </c>
      <c r="N650">
        <v>1</v>
      </c>
      <c r="O650">
        <v>100</v>
      </c>
      <c r="P650" s="4" t="b">
        <f t="shared" si="10"/>
        <v>0</v>
      </c>
    </row>
    <row r="651" spans="1:16" x14ac:dyDescent="0.2">
      <c r="A651" t="s">
        <v>15</v>
      </c>
      <c r="B651" t="s">
        <v>1016</v>
      </c>
      <c r="C651">
        <v>658</v>
      </c>
      <c r="D651">
        <v>131994</v>
      </c>
      <c r="E651" t="s">
        <v>389</v>
      </c>
      <c r="F651" t="s">
        <v>38</v>
      </c>
      <c r="G651" t="s">
        <v>23</v>
      </c>
      <c r="H651" t="s">
        <v>39</v>
      </c>
      <c r="I651" t="s">
        <v>29</v>
      </c>
      <c r="J651">
        <v>25</v>
      </c>
      <c r="K651">
        <v>0.03</v>
      </c>
      <c r="L651">
        <v>1</v>
      </c>
      <c r="M651">
        <v>1</v>
      </c>
      <c r="N651">
        <v>1</v>
      </c>
      <c r="O651">
        <v>100</v>
      </c>
      <c r="P651" s="4" t="b">
        <f t="shared" si="10"/>
        <v>0</v>
      </c>
    </row>
    <row r="652" spans="1:16" x14ac:dyDescent="0.2">
      <c r="A652" t="s">
        <v>15</v>
      </c>
      <c r="B652" t="s">
        <v>1016</v>
      </c>
      <c r="C652">
        <v>659</v>
      </c>
      <c r="D652">
        <v>131120</v>
      </c>
      <c r="E652" t="s">
        <v>799</v>
      </c>
      <c r="F652" t="s">
        <v>68</v>
      </c>
      <c r="G652" t="s">
        <v>18</v>
      </c>
      <c r="H652" t="s">
        <v>28</v>
      </c>
      <c r="I652" t="s">
        <v>29</v>
      </c>
      <c r="J652">
        <v>40</v>
      </c>
      <c r="K652">
        <v>0.03</v>
      </c>
      <c r="L652">
        <v>1</v>
      </c>
      <c r="M652">
        <v>1</v>
      </c>
      <c r="N652">
        <v>1</v>
      </c>
      <c r="O652">
        <v>100</v>
      </c>
      <c r="P652" s="4" t="b">
        <f t="shared" si="10"/>
        <v>0</v>
      </c>
    </row>
    <row r="653" spans="1:16" x14ac:dyDescent="0.2">
      <c r="A653" t="s">
        <v>15</v>
      </c>
      <c r="B653" t="s">
        <v>1016</v>
      </c>
      <c r="C653">
        <v>660</v>
      </c>
      <c r="D653">
        <v>130024</v>
      </c>
      <c r="E653" t="s">
        <v>991</v>
      </c>
      <c r="F653" t="s">
        <v>238</v>
      </c>
      <c r="G653" t="s">
        <v>18</v>
      </c>
      <c r="H653" t="s">
        <v>28</v>
      </c>
      <c r="I653" t="s">
        <v>20</v>
      </c>
      <c r="J653">
        <v>40</v>
      </c>
      <c r="K653">
        <v>0.03</v>
      </c>
      <c r="L653">
        <v>1</v>
      </c>
      <c r="M653">
        <v>1</v>
      </c>
      <c r="N653">
        <v>1</v>
      </c>
      <c r="O653">
        <v>100</v>
      </c>
      <c r="P653" s="4" t="b">
        <f t="shared" si="10"/>
        <v>0</v>
      </c>
    </row>
    <row r="654" spans="1:16" x14ac:dyDescent="0.2">
      <c r="A654" t="s">
        <v>15</v>
      </c>
      <c r="B654" t="s">
        <v>1016</v>
      </c>
      <c r="C654">
        <v>661</v>
      </c>
      <c r="D654">
        <v>87975</v>
      </c>
      <c r="E654" t="s">
        <v>535</v>
      </c>
      <c r="F654" t="s">
        <v>58</v>
      </c>
      <c r="G654" t="s">
        <v>23</v>
      </c>
      <c r="H654" t="s">
        <v>28</v>
      </c>
      <c r="I654" t="s">
        <v>29</v>
      </c>
      <c r="J654">
        <v>33</v>
      </c>
      <c r="K654">
        <v>0.03</v>
      </c>
      <c r="L654">
        <v>1</v>
      </c>
      <c r="M654">
        <v>1</v>
      </c>
      <c r="N654">
        <v>1</v>
      </c>
      <c r="O654">
        <v>100</v>
      </c>
      <c r="P654" s="4" t="b">
        <f t="shared" si="10"/>
        <v>0</v>
      </c>
    </row>
    <row r="655" spans="1:16" x14ac:dyDescent="0.2">
      <c r="A655" t="s">
        <v>15</v>
      </c>
      <c r="B655" t="s">
        <v>1016</v>
      </c>
      <c r="C655">
        <v>662</v>
      </c>
      <c r="D655">
        <v>131086</v>
      </c>
      <c r="E655" t="s">
        <v>770</v>
      </c>
      <c r="F655" t="s">
        <v>17</v>
      </c>
      <c r="G655" t="s">
        <v>18</v>
      </c>
      <c r="H655" t="s">
        <v>19</v>
      </c>
      <c r="I655" t="s">
        <v>74</v>
      </c>
      <c r="J655">
        <v>81</v>
      </c>
      <c r="K655">
        <v>0.03</v>
      </c>
      <c r="L655">
        <v>1</v>
      </c>
      <c r="M655">
        <v>1</v>
      </c>
      <c r="N655">
        <v>1</v>
      </c>
      <c r="O655">
        <v>100</v>
      </c>
      <c r="P655" s="4" t="b">
        <f t="shared" si="10"/>
        <v>0</v>
      </c>
    </row>
    <row r="656" spans="1:16" x14ac:dyDescent="0.2">
      <c r="A656" t="s">
        <v>15</v>
      </c>
      <c r="B656" t="s">
        <v>1016</v>
      </c>
      <c r="C656">
        <v>663</v>
      </c>
      <c r="D656">
        <v>129473</v>
      </c>
      <c r="E656" t="s">
        <v>744</v>
      </c>
      <c r="F656" t="s">
        <v>54</v>
      </c>
      <c r="G656" t="s">
        <v>18</v>
      </c>
      <c r="H656" t="s">
        <v>55</v>
      </c>
      <c r="I656" t="s">
        <v>29</v>
      </c>
      <c r="J656">
        <v>41</v>
      </c>
      <c r="K656">
        <v>0.03</v>
      </c>
      <c r="L656">
        <v>1</v>
      </c>
      <c r="M656">
        <v>1</v>
      </c>
      <c r="N656">
        <v>1</v>
      </c>
      <c r="O656">
        <v>100</v>
      </c>
      <c r="P656" s="4" t="b">
        <f t="shared" si="10"/>
        <v>0</v>
      </c>
    </row>
    <row r="657" spans="1:16" x14ac:dyDescent="0.2">
      <c r="A657" t="s">
        <v>15</v>
      </c>
      <c r="B657" t="s">
        <v>1016</v>
      </c>
      <c r="C657">
        <v>664</v>
      </c>
      <c r="D657">
        <v>192862</v>
      </c>
      <c r="E657" t="s">
        <v>764</v>
      </c>
      <c r="F657" t="s">
        <v>215</v>
      </c>
      <c r="G657" t="s">
        <v>23</v>
      </c>
      <c r="H657" t="s">
        <v>28</v>
      </c>
      <c r="I657" t="s">
        <v>29</v>
      </c>
      <c r="J657">
        <v>24</v>
      </c>
      <c r="K657">
        <v>0.03</v>
      </c>
      <c r="L657">
        <v>1</v>
      </c>
      <c r="M657">
        <v>1</v>
      </c>
      <c r="N657">
        <v>1</v>
      </c>
      <c r="O657">
        <v>100</v>
      </c>
      <c r="P657" s="4" t="b">
        <f t="shared" si="10"/>
        <v>0</v>
      </c>
    </row>
    <row r="658" spans="1:16" x14ac:dyDescent="0.2">
      <c r="A658" t="s">
        <v>15</v>
      </c>
      <c r="B658" t="s">
        <v>1016</v>
      </c>
      <c r="C658">
        <v>665</v>
      </c>
      <c r="D658">
        <v>129492</v>
      </c>
      <c r="E658" t="s">
        <v>543</v>
      </c>
      <c r="F658" t="s">
        <v>44</v>
      </c>
      <c r="G658" t="s">
        <v>18</v>
      </c>
      <c r="H658" t="s">
        <v>39</v>
      </c>
      <c r="I658" t="s">
        <v>29</v>
      </c>
      <c r="J658">
        <v>42</v>
      </c>
      <c r="K658">
        <v>0.03</v>
      </c>
      <c r="L658">
        <v>1</v>
      </c>
      <c r="M658">
        <v>1</v>
      </c>
      <c r="N658">
        <v>1</v>
      </c>
      <c r="O658">
        <v>100</v>
      </c>
      <c r="P658" s="4" t="b">
        <f t="shared" si="10"/>
        <v>0</v>
      </c>
    </row>
    <row r="659" spans="1:16" x14ac:dyDescent="0.2">
      <c r="A659" t="s">
        <v>15</v>
      </c>
      <c r="B659" t="s">
        <v>1016</v>
      </c>
      <c r="C659">
        <v>666</v>
      </c>
      <c r="D659">
        <v>129758</v>
      </c>
      <c r="E659" t="s">
        <v>805</v>
      </c>
      <c r="F659" t="s">
        <v>73</v>
      </c>
      <c r="G659" t="s">
        <v>18</v>
      </c>
      <c r="H659" t="s">
        <v>28</v>
      </c>
      <c r="I659" t="s">
        <v>83</v>
      </c>
      <c r="J659">
        <v>43</v>
      </c>
      <c r="K659">
        <v>0.03</v>
      </c>
      <c r="L659">
        <v>1</v>
      </c>
      <c r="M659">
        <v>1</v>
      </c>
      <c r="N659">
        <v>1</v>
      </c>
      <c r="O659">
        <v>100</v>
      </c>
      <c r="P659" s="4" t="b">
        <f t="shared" si="10"/>
        <v>0</v>
      </c>
    </row>
    <row r="660" spans="1:16" x14ac:dyDescent="0.2">
      <c r="A660" t="s">
        <v>15</v>
      </c>
      <c r="B660" t="s">
        <v>1016</v>
      </c>
      <c r="C660">
        <v>667</v>
      </c>
      <c r="D660">
        <v>71332</v>
      </c>
      <c r="E660" t="s">
        <v>395</v>
      </c>
      <c r="F660" t="s">
        <v>38</v>
      </c>
      <c r="G660" t="s">
        <v>23</v>
      </c>
      <c r="H660" t="s">
        <v>39</v>
      </c>
      <c r="I660" t="s">
        <v>29</v>
      </c>
      <c r="J660">
        <v>26</v>
      </c>
      <c r="K660">
        <v>0.03</v>
      </c>
      <c r="L660">
        <v>1</v>
      </c>
      <c r="M660">
        <v>1</v>
      </c>
      <c r="N660">
        <v>1</v>
      </c>
      <c r="O660">
        <v>100</v>
      </c>
      <c r="P660" s="4" t="b">
        <f t="shared" si="10"/>
        <v>0</v>
      </c>
    </row>
    <row r="661" spans="1:16" x14ac:dyDescent="0.2">
      <c r="A661" t="s">
        <v>15</v>
      </c>
      <c r="B661" t="s">
        <v>1016</v>
      </c>
      <c r="C661">
        <v>668</v>
      </c>
      <c r="D661">
        <v>134447</v>
      </c>
      <c r="E661" t="s">
        <v>804</v>
      </c>
      <c r="F661" t="s">
        <v>68</v>
      </c>
      <c r="G661" t="s">
        <v>18</v>
      </c>
      <c r="H661" t="s">
        <v>28</v>
      </c>
      <c r="I661" t="s">
        <v>56</v>
      </c>
      <c r="J661">
        <v>41</v>
      </c>
      <c r="K661">
        <v>0.03</v>
      </c>
      <c r="L661">
        <v>1</v>
      </c>
      <c r="M661">
        <v>1</v>
      </c>
      <c r="N661">
        <v>1</v>
      </c>
      <c r="O661">
        <v>100</v>
      </c>
      <c r="P661" s="4" t="b">
        <f t="shared" si="10"/>
        <v>0</v>
      </c>
    </row>
    <row r="662" spans="1:16" x14ac:dyDescent="0.2">
      <c r="A662" t="s">
        <v>15</v>
      </c>
      <c r="B662" t="s">
        <v>1016</v>
      </c>
      <c r="C662">
        <v>669</v>
      </c>
      <c r="D662">
        <v>130145</v>
      </c>
      <c r="E662" t="s">
        <v>992</v>
      </c>
      <c r="F662" t="s">
        <v>238</v>
      </c>
      <c r="G662" t="s">
        <v>18</v>
      </c>
      <c r="H662" t="s">
        <v>28</v>
      </c>
      <c r="I662" t="s">
        <v>29</v>
      </c>
      <c r="J662">
        <v>41</v>
      </c>
      <c r="K662">
        <v>0.03</v>
      </c>
      <c r="L662">
        <v>1</v>
      </c>
      <c r="M662">
        <v>1</v>
      </c>
      <c r="N662">
        <v>1</v>
      </c>
      <c r="O662">
        <v>100</v>
      </c>
      <c r="P662" s="4" t="b">
        <f t="shared" si="10"/>
        <v>0</v>
      </c>
    </row>
    <row r="663" spans="1:16" x14ac:dyDescent="0.2">
      <c r="A663" t="s">
        <v>15</v>
      </c>
      <c r="B663" t="s">
        <v>1016</v>
      </c>
      <c r="C663">
        <v>670</v>
      </c>
      <c r="D663">
        <v>76303</v>
      </c>
      <c r="E663" t="s">
        <v>555</v>
      </c>
      <c r="F663" t="s">
        <v>58</v>
      </c>
      <c r="G663" t="s">
        <v>23</v>
      </c>
      <c r="H663" t="s">
        <v>28</v>
      </c>
      <c r="I663" t="s">
        <v>29</v>
      </c>
      <c r="J663">
        <v>34</v>
      </c>
      <c r="K663">
        <v>0.03</v>
      </c>
      <c r="L663">
        <v>1</v>
      </c>
      <c r="M663">
        <v>1</v>
      </c>
      <c r="N663">
        <v>1</v>
      </c>
      <c r="O663">
        <v>100</v>
      </c>
      <c r="P663" s="4" t="b">
        <f t="shared" si="10"/>
        <v>0</v>
      </c>
    </row>
    <row r="664" spans="1:16" x14ac:dyDescent="0.2">
      <c r="A664" t="s">
        <v>15</v>
      </c>
      <c r="B664" t="s">
        <v>1016</v>
      </c>
      <c r="C664">
        <v>671</v>
      </c>
      <c r="D664">
        <v>129803</v>
      </c>
      <c r="E664" t="s">
        <v>754</v>
      </c>
      <c r="F664" t="s">
        <v>54</v>
      </c>
      <c r="G664" t="s">
        <v>18</v>
      </c>
      <c r="H664" t="s">
        <v>55</v>
      </c>
      <c r="I664" t="s">
        <v>29</v>
      </c>
      <c r="J664">
        <v>42</v>
      </c>
      <c r="K664">
        <v>0.03</v>
      </c>
      <c r="L664">
        <v>1</v>
      </c>
      <c r="M664">
        <v>1</v>
      </c>
      <c r="N664">
        <v>1</v>
      </c>
      <c r="O664">
        <v>100</v>
      </c>
      <c r="P664" s="4" t="b">
        <f t="shared" si="10"/>
        <v>0</v>
      </c>
    </row>
    <row r="665" spans="1:16" x14ac:dyDescent="0.2">
      <c r="A665" t="s">
        <v>15</v>
      </c>
      <c r="B665" t="s">
        <v>1016</v>
      </c>
      <c r="C665">
        <v>672</v>
      </c>
      <c r="D665">
        <v>133246</v>
      </c>
      <c r="E665" t="s">
        <v>766</v>
      </c>
      <c r="F665" t="s">
        <v>215</v>
      </c>
      <c r="G665" t="s">
        <v>23</v>
      </c>
      <c r="H665" t="s">
        <v>28</v>
      </c>
      <c r="I665" t="s">
        <v>29</v>
      </c>
      <c r="J665">
        <v>25</v>
      </c>
      <c r="K665">
        <v>0.03</v>
      </c>
      <c r="L665">
        <v>1</v>
      </c>
      <c r="M665">
        <v>1</v>
      </c>
      <c r="N665">
        <v>1</v>
      </c>
      <c r="O665">
        <v>100</v>
      </c>
      <c r="P665" s="4" t="b">
        <f t="shared" si="10"/>
        <v>0</v>
      </c>
    </row>
    <row r="666" spans="1:16" x14ac:dyDescent="0.2">
      <c r="A666" t="s">
        <v>15</v>
      </c>
      <c r="B666" t="s">
        <v>1016</v>
      </c>
      <c r="C666">
        <v>673</v>
      </c>
      <c r="D666">
        <v>130492</v>
      </c>
      <c r="E666" t="s">
        <v>554</v>
      </c>
      <c r="F666" t="s">
        <v>44</v>
      </c>
      <c r="G666" t="s">
        <v>18</v>
      </c>
      <c r="H666" t="s">
        <v>39</v>
      </c>
      <c r="I666" t="s">
        <v>74</v>
      </c>
      <c r="J666">
        <v>43</v>
      </c>
      <c r="K666">
        <v>0.03</v>
      </c>
      <c r="L666">
        <v>1</v>
      </c>
      <c r="M666">
        <v>1</v>
      </c>
      <c r="N666">
        <v>1</v>
      </c>
      <c r="O666">
        <v>100</v>
      </c>
      <c r="P666" s="4" t="b">
        <f t="shared" si="10"/>
        <v>0</v>
      </c>
    </row>
    <row r="667" spans="1:16" x14ac:dyDescent="0.2">
      <c r="A667" t="s">
        <v>15</v>
      </c>
      <c r="B667" t="s">
        <v>1016</v>
      </c>
      <c r="C667">
        <v>674</v>
      </c>
      <c r="D667">
        <v>130443</v>
      </c>
      <c r="E667" t="s">
        <v>808</v>
      </c>
      <c r="F667" t="s">
        <v>73</v>
      </c>
      <c r="G667" t="s">
        <v>18</v>
      </c>
      <c r="H667" t="s">
        <v>28</v>
      </c>
      <c r="I667" t="s">
        <v>29</v>
      </c>
      <c r="J667">
        <v>44</v>
      </c>
      <c r="K667">
        <v>0.03</v>
      </c>
      <c r="L667">
        <v>1</v>
      </c>
      <c r="M667">
        <v>1</v>
      </c>
      <c r="N667">
        <v>1</v>
      </c>
      <c r="O667">
        <v>100</v>
      </c>
      <c r="P667" s="4" t="b">
        <f t="shared" si="10"/>
        <v>0</v>
      </c>
    </row>
    <row r="668" spans="1:16" x14ac:dyDescent="0.2">
      <c r="A668" t="s">
        <v>15</v>
      </c>
      <c r="B668" t="s">
        <v>1016</v>
      </c>
      <c r="C668">
        <v>675</v>
      </c>
      <c r="D668">
        <v>132062</v>
      </c>
      <c r="E668" t="s">
        <v>406</v>
      </c>
      <c r="F668" t="s">
        <v>38</v>
      </c>
      <c r="G668" t="s">
        <v>23</v>
      </c>
      <c r="H668" t="s">
        <v>39</v>
      </c>
      <c r="I668" t="s">
        <v>29</v>
      </c>
      <c r="J668">
        <v>27</v>
      </c>
      <c r="K668">
        <v>7</v>
      </c>
      <c r="L668">
        <v>3</v>
      </c>
      <c r="M668">
        <v>2</v>
      </c>
      <c r="N668">
        <v>2</v>
      </c>
      <c r="O668">
        <v>1</v>
      </c>
      <c r="P668" s="4" t="b">
        <f t="shared" si="10"/>
        <v>0</v>
      </c>
    </row>
    <row r="669" spans="1:16" x14ac:dyDescent="0.2">
      <c r="A669" t="s">
        <v>15</v>
      </c>
      <c r="B669" t="s">
        <v>1016</v>
      </c>
      <c r="C669">
        <v>676</v>
      </c>
      <c r="D669">
        <v>136973</v>
      </c>
      <c r="E669" t="s">
        <v>807</v>
      </c>
      <c r="F669" t="s">
        <v>68</v>
      </c>
      <c r="G669" t="s">
        <v>18</v>
      </c>
      <c r="H669" t="s">
        <v>28</v>
      </c>
      <c r="I669" t="s">
        <v>29</v>
      </c>
      <c r="J669">
        <v>42</v>
      </c>
      <c r="K669">
        <v>0.03</v>
      </c>
      <c r="L669">
        <v>1</v>
      </c>
      <c r="M669">
        <v>1</v>
      </c>
      <c r="N669">
        <v>1</v>
      </c>
      <c r="O669">
        <v>100</v>
      </c>
      <c r="P669" s="4" t="b">
        <f t="shared" si="10"/>
        <v>0</v>
      </c>
    </row>
    <row r="670" spans="1:16" x14ac:dyDescent="0.2">
      <c r="A670" t="s">
        <v>15</v>
      </c>
      <c r="B670" t="s">
        <v>1016</v>
      </c>
      <c r="C670">
        <v>677</v>
      </c>
      <c r="D670">
        <v>129535</v>
      </c>
      <c r="E670" t="s">
        <v>993</v>
      </c>
      <c r="F670" t="s">
        <v>238</v>
      </c>
      <c r="G670" t="s">
        <v>18</v>
      </c>
      <c r="H670" t="s">
        <v>28</v>
      </c>
      <c r="I670" t="s">
        <v>56</v>
      </c>
      <c r="J670">
        <v>42</v>
      </c>
      <c r="K670">
        <v>0.03</v>
      </c>
      <c r="L670">
        <v>1</v>
      </c>
      <c r="M670">
        <v>1</v>
      </c>
      <c r="N670">
        <v>1</v>
      </c>
      <c r="O670">
        <v>100</v>
      </c>
      <c r="P670" s="4" t="b">
        <f t="shared" si="10"/>
        <v>0</v>
      </c>
    </row>
    <row r="671" spans="1:16" x14ac:dyDescent="0.2">
      <c r="A671" t="s">
        <v>15</v>
      </c>
      <c r="B671" t="s">
        <v>1016</v>
      </c>
      <c r="C671">
        <v>678</v>
      </c>
      <c r="D671">
        <v>16889</v>
      </c>
      <c r="E671" t="s">
        <v>566</v>
      </c>
      <c r="F671" t="s">
        <v>58</v>
      </c>
      <c r="G671" t="s">
        <v>23</v>
      </c>
      <c r="H671" t="s">
        <v>28</v>
      </c>
      <c r="I671" t="s">
        <v>29</v>
      </c>
      <c r="J671">
        <v>37</v>
      </c>
      <c r="K671">
        <v>0.03</v>
      </c>
      <c r="L671">
        <v>1</v>
      </c>
      <c r="M671">
        <v>1</v>
      </c>
      <c r="N671">
        <v>1</v>
      </c>
      <c r="O671">
        <v>100</v>
      </c>
      <c r="P671" s="4" t="b">
        <f t="shared" si="10"/>
        <v>0</v>
      </c>
    </row>
    <row r="672" spans="1:16" x14ac:dyDescent="0.2">
      <c r="A672" t="s">
        <v>15</v>
      </c>
      <c r="B672" t="s">
        <v>1016</v>
      </c>
      <c r="C672">
        <v>679</v>
      </c>
      <c r="D672">
        <v>129471</v>
      </c>
      <c r="E672" t="s">
        <v>763</v>
      </c>
      <c r="F672" t="s">
        <v>54</v>
      </c>
      <c r="G672" t="s">
        <v>18</v>
      </c>
      <c r="H672" t="s">
        <v>55</v>
      </c>
      <c r="I672" t="s">
        <v>29</v>
      </c>
      <c r="J672">
        <v>43</v>
      </c>
      <c r="K672">
        <v>0.03</v>
      </c>
      <c r="L672">
        <v>1</v>
      </c>
      <c r="M672">
        <v>1</v>
      </c>
      <c r="N672">
        <v>1</v>
      </c>
      <c r="O672">
        <v>100</v>
      </c>
      <c r="P672" s="4" t="b">
        <f t="shared" si="10"/>
        <v>0</v>
      </c>
    </row>
    <row r="673" spans="1:16" x14ac:dyDescent="0.2">
      <c r="A673" t="s">
        <v>15</v>
      </c>
      <c r="B673" t="s">
        <v>1016</v>
      </c>
      <c r="C673">
        <v>680</v>
      </c>
      <c r="D673">
        <v>130166</v>
      </c>
      <c r="E673" t="s">
        <v>560</v>
      </c>
      <c r="F673" t="s">
        <v>44</v>
      </c>
      <c r="G673" t="s">
        <v>18</v>
      </c>
      <c r="H673" t="s">
        <v>39</v>
      </c>
      <c r="I673" t="s">
        <v>29</v>
      </c>
      <c r="J673">
        <v>44</v>
      </c>
      <c r="K673">
        <v>0.03</v>
      </c>
      <c r="L673">
        <v>1</v>
      </c>
      <c r="M673">
        <v>1</v>
      </c>
      <c r="N673">
        <v>1</v>
      </c>
      <c r="O673">
        <v>100</v>
      </c>
      <c r="P673" s="4" t="b">
        <f t="shared" si="10"/>
        <v>0</v>
      </c>
    </row>
    <row r="674" spans="1:16" x14ac:dyDescent="0.2">
      <c r="A674" t="s">
        <v>15</v>
      </c>
      <c r="B674" t="s">
        <v>1016</v>
      </c>
      <c r="C674">
        <v>681</v>
      </c>
      <c r="D674">
        <v>132278</v>
      </c>
      <c r="E674" t="s">
        <v>413</v>
      </c>
      <c r="F674" t="s">
        <v>38</v>
      </c>
      <c r="G674" t="s">
        <v>23</v>
      </c>
      <c r="H674" t="s">
        <v>39</v>
      </c>
      <c r="I674" t="s">
        <v>29</v>
      </c>
      <c r="J674">
        <v>28</v>
      </c>
      <c r="K674">
        <v>0.03</v>
      </c>
      <c r="L674">
        <v>1</v>
      </c>
      <c r="M674">
        <v>1</v>
      </c>
      <c r="N674">
        <v>1</v>
      </c>
      <c r="O674">
        <v>100</v>
      </c>
      <c r="P674" s="4" t="b">
        <f t="shared" si="10"/>
        <v>0</v>
      </c>
    </row>
    <row r="675" spans="1:16" x14ac:dyDescent="0.2">
      <c r="A675" t="s">
        <v>15</v>
      </c>
      <c r="B675" t="s">
        <v>1016</v>
      </c>
      <c r="C675">
        <v>682</v>
      </c>
      <c r="D675">
        <v>130732</v>
      </c>
      <c r="E675" t="s">
        <v>811</v>
      </c>
      <c r="F675" t="s">
        <v>73</v>
      </c>
      <c r="G675" t="s">
        <v>18</v>
      </c>
      <c r="H675" t="s">
        <v>28</v>
      </c>
      <c r="I675" t="s">
        <v>29</v>
      </c>
      <c r="J675">
        <v>45</v>
      </c>
      <c r="K675">
        <v>0.03</v>
      </c>
      <c r="L675">
        <v>1</v>
      </c>
      <c r="M675">
        <v>1</v>
      </c>
      <c r="N675">
        <v>1</v>
      </c>
      <c r="O675">
        <v>100</v>
      </c>
      <c r="P675" s="4" t="b">
        <f t="shared" si="10"/>
        <v>0</v>
      </c>
    </row>
    <row r="676" spans="1:16" x14ac:dyDescent="0.2">
      <c r="A676" t="s">
        <v>15</v>
      </c>
      <c r="B676" t="s">
        <v>1016</v>
      </c>
      <c r="C676">
        <v>683</v>
      </c>
      <c r="D676">
        <v>136913</v>
      </c>
      <c r="E676" t="s">
        <v>810</v>
      </c>
      <c r="F676" t="s">
        <v>68</v>
      </c>
      <c r="G676" t="s">
        <v>18</v>
      </c>
      <c r="H676" t="s">
        <v>28</v>
      </c>
      <c r="I676" t="s">
        <v>29</v>
      </c>
      <c r="J676">
        <v>43</v>
      </c>
      <c r="K676">
        <v>0.03</v>
      </c>
      <c r="L676">
        <v>1</v>
      </c>
      <c r="M676">
        <v>1</v>
      </c>
      <c r="N676">
        <v>1</v>
      </c>
      <c r="O676">
        <v>100</v>
      </c>
      <c r="P676" s="4" t="b">
        <f t="shared" si="10"/>
        <v>0</v>
      </c>
    </row>
    <row r="677" spans="1:16" x14ac:dyDescent="0.2">
      <c r="A677" t="s">
        <v>15</v>
      </c>
      <c r="B677" t="s">
        <v>1016</v>
      </c>
      <c r="C677">
        <v>684</v>
      </c>
      <c r="D677">
        <v>50206</v>
      </c>
      <c r="E677" t="s">
        <v>572</v>
      </c>
      <c r="F677" t="s">
        <v>58</v>
      </c>
      <c r="G677" t="s">
        <v>23</v>
      </c>
      <c r="H677" t="s">
        <v>28</v>
      </c>
      <c r="I677" t="s">
        <v>29</v>
      </c>
      <c r="J677">
        <v>38</v>
      </c>
      <c r="K677">
        <v>0.03</v>
      </c>
      <c r="L677">
        <v>1</v>
      </c>
      <c r="M677">
        <v>1</v>
      </c>
      <c r="N677">
        <v>1</v>
      </c>
      <c r="O677">
        <v>100</v>
      </c>
      <c r="P677" s="4" t="b">
        <f t="shared" si="10"/>
        <v>0</v>
      </c>
    </row>
    <row r="678" spans="1:16" x14ac:dyDescent="0.2">
      <c r="A678" t="s">
        <v>15</v>
      </c>
      <c r="B678" t="s">
        <v>1016</v>
      </c>
      <c r="C678">
        <v>685</v>
      </c>
      <c r="D678">
        <v>129554</v>
      </c>
      <c r="E678" t="s">
        <v>994</v>
      </c>
      <c r="F678" t="s">
        <v>238</v>
      </c>
      <c r="G678" t="s">
        <v>18</v>
      </c>
      <c r="H678" t="s">
        <v>28</v>
      </c>
      <c r="I678" t="s">
        <v>29</v>
      </c>
      <c r="J678">
        <v>43</v>
      </c>
      <c r="K678">
        <v>0.03</v>
      </c>
      <c r="L678">
        <v>1</v>
      </c>
      <c r="M678">
        <v>1</v>
      </c>
      <c r="N678">
        <v>1</v>
      </c>
      <c r="O678">
        <v>100</v>
      </c>
      <c r="P678" s="4" t="b">
        <f t="shared" si="10"/>
        <v>0</v>
      </c>
    </row>
    <row r="679" spans="1:16" x14ac:dyDescent="0.2">
      <c r="A679" t="s">
        <v>15</v>
      </c>
      <c r="B679" t="s">
        <v>1016</v>
      </c>
      <c r="C679">
        <v>686</v>
      </c>
      <c r="D679">
        <v>129443</v>
      </c>
      <c r="E679" t="s">
        <v>772</v>
      </c>
      <c r="F679" t="s">
        <v>54</v>
      </c>
      <c r="G679" t="s">
        <v>18</v>
      </c>
      <c r="H679" t="s">
        <v>55</v>
      </c>
      <c r="I679" t="s">
        <v>29</v>
      </c>
      <c r="J679">
        <v>44</v>
      </c>
      <c r="K679">
        <v>0.03</v>
      </c>
      <c r="L679">
        <v>1</v>
      </c>
      <c r="M679">
        <v>1</v>
      </c>
      <c r="N679">
        <v>1</v>
      </c>
      <c r="O679">
        <v>100</v>
      </c>
      <c r="P679" s="4" t="b">
        <f t="shared" si="10"/>
        <v>0</v>
      </c>
    </row>
    <row r="680" spans="1:16" x14ac:dyDescent="0.2">
      <c r="A680" t="s">
        <v>15</v>
      </c>
      <c r="B680" t="s">
        <v>1016</v>
      </c>
      <c r="C680">
        <v>687</v>
      </c>
      <c r="D680">
        <v>127619</v>
      </c>
      <c r="E680" t="s">
        <v>415</v>
      </c>
      <c r="F680" t="s">
        <v>38</v>
      </c>
      <c r="G680" t="s">
        <v>23</v>
      </c>
      <c r="H680" t="s">
        <v>39</v>
      </c>
      <c r="I680" t="s">
        <v>29</v>
      </c>
      <c r="J680">
        <v>29</v>
      </c>
      <c r="K680">
        <v>0.03</v>
      </c>
      <c r="L680">
        <v>1</v>
      </c>
      <c r="M680">
        <v>1</v>
      </c>
      <c r="N680">
        <v>1</v>
      </c>
      <c r="O680">
        <v>100</v>
      </c>
      <c r="P680" s="4" t="b">
        <f t="shared" si="10"/>
        <v>0</v>
      </c>
    </row>
    <row r="681" spans="1:16" x14ac:dyDescent="0.2">
      <c r="A681" t="s">
        <v>15</v>
      </c>
      <c r="B681" t="s">
        <v>1016</v>
      </c>
      <c r="C681">
        <v>688</v>
      </c>
      <c r="D681">
        <v>130076</v>
      </c>
      <c r="E681" t="s">
        <v>571</v>
      </c>
      <c r="F681" t="s">
        <v>44</v>
      </c>
      <c r="G681" t="s">
        <v>18</v>
      </c>
      <c r="H681" t="s">
        <v>39</v>
      </c>
      <c r="I681" t="s">
        <v>29</v>
      </c>
      <c r="J681">
        <v>45</v>
      </c>
      <c r="K681">
        <v>0.03</v>
      </c>
      <c r="L681">
        <v>1</v>
      </c>
      <c r="M681">
        <v>1</v>
      </c>
      <c r="N681">
        <v>1</v>
      </c>
      <c r="O681">
        <v>100</v>
      </c>
      <c r="P681" s="4" t="b">
        <f t="shared" si="10"/>
        <v>0</v>
      </c>
    </row>
    <row r="682" spans="1:16" x14ac:dyDescent="0.2">
      <c r="A682" t="s">
        <v>15</v>
      </c>
      <c r="B682" t="s">
        <v>1016</v>
      </c>
      <c r="C682">
        <v>689</v>
      </c>
      <c r="D682">
        <v>46558</v>
      </c>
      <c r="E682" t="s">
        <v>579</v>
      </c>
      <c r="F682" t="s">
        <v>58</v>
      </c>
      <c r="G682" t="s">
        <v>23</v>
      </c>
      <c r="H682" t="s">
        <v>28</v>
      </c>
      <c r="I682" t="s">
        <v>29</v>
      </c>
      <c r="J682">
        <v>39</v>
      </c>
      <c r="K682">
        <v>0.03</v>
      </c>
      <c r="L682">
        <v>1</v>
      </c>
      <c r="M682">
        <v>1</v>
      </c>
      <c r="N682">
        <v>1</v>
      </c>
      <c r="O682">
        <v>100</v>
      </c>
      <c r="P682" s="4" t="b">
        <f t="shared" si="10"/>
        <v>0</v>
      </c>
    </row>
    <row r="683" spans="1:16" x14ac:dyDescent="0.2">
      <c r="A683" t="s">
        <v>15</v>
      </c>
      <c r="B683" t="s">
        <v>1016</v>
      </c>
      <c r="C683">
        <v>690</v>
      </c>
      <c r="D683">
        <v>130676</v>
      </c>
      <c r="E683" t="s">
        <v>815</v>
      </c>
      <c r="F683" t="s">
        <v>73</v>
      </c>
      <c r="G683" t="s">
        <v>18</v>
      </c>
      <c r="H683" t="s">
        <v>28</v>
      </c>
      <c r="I683" t="s">
        <v>29</v>
      </c>
      <c r="J683">
        <v>46</v>
      </c>
      <c r="K683">
        <v>0.03</v>
      </c>
      <c r="L683">
        <v>1</v>
      </c>
      <c r="M683">
        <v>1</v>
      </c>
      <c r="N683">
        <v>1</v>
      </c>
      <c r="O683">
        <v>100</v>
      </c>
      <c r="P683" s="4" t="b">
        <f t="shared" si="10"/>
        <v>0</v>
      </c>
    </row>
    <row r="684" spans="1:16" x14ac:dyDescent="0.2">
      <c r="A684" t="s">
        <v>15</v>
      </c>
      <c r="B684" t="s">
        <v>1016</v>
      </c>
      <c r="C684">
        <v>691</v>
      </c>
      <c r="D684">
        <v>135029</v>
      </c>
      <c r="E684" t="s">
        <v>814</v>
      </c>
      <c r="F684" t="s">
        <v>68</v>
      </c>
      <c r="G684" t="s">
        <v>18</v>
      </c>
      <c r="H684" t="s">
        <v>28</v>
      </c>
      <c r="I684" t="s">
        <v>29</v>
      </c>
      <c r="J684">
        <v>44</v>
      </c>
      <c r="K684">
        <v>0.03</v>
      </c>
      <c r="L684">
        <v>1</v>
      </c>
      <c r="M684">
        <v>1</v>
      </c>
      <c r="N684">
        <v>1</v>
      </c>
      <c r="O684">
        <v>100</v>
      </c>
      <c r="P684" s="4" t="b">
        <f t="shared" si="10"/>
        <v>0</v>
      </c>
    </row>
    <row r="685" spans="1:16" x14ac:dyDescent="0.2">
      <c r="A685" t="s">
        <v>15</v>
      </c>
      <c r="B685" t="s">
        <v>1016</v>
      </c>
      <c r="C685">
        <v>692</v>
      </c>
      <c r="D685">
        <v>125544</v>
      </c>
      <c r="E685" t="s">
        <v>430</v>
      </c>
      <c r="F685" t="s">
        <v>38</v>
      </c>
      <c r="G685" t="s">
        <v>23</v>
      </c>
      <c r="H685" t="s">
        <v>39</v>
      </c>
      <c r="I685" t="s">
        <v>20</v>
      </c>
      <c r="J685">
        <v>30</v>
      </c>
      <c r="K685">
        <v>0.08</v>
      </c>
      <c r="L685">
        <v>5</v>
      </c>
      <c r="M685">
        <v>2</v>
      </c>
      <c r="N685">
        <v>1</v>
      </c>
      <c r="O685">
        <v>100</v>
      </c>
      <c r="P685" s="4" t="b">
        <f t="shared" si="10"/>
        <v>0</v>
      </c>
    </row>
    <row r="686" spans="1:16" x14ac:dyDescent="0.2">
      <c r="A686" t="s">
        <v>15</v>
      </c>
      <c r="B686" t="s">
        <v>1016</v>
      </c>
      <c r="C686">
        <v>693</v>
      </c>
      <c r="D686">
        <v>129555</v>
      </c>
      <c r="E686" t="s">
        <v>995</v>
      </c>
      <c r="F686" t="s">
        <v>238</v>
      </c>
      <c r="G686" t="s">
        <v>18</v>
      </c>
      <c r="H686" t="s">
        <v>28</v>
      </c>
      <c r="I686" t="s">
        <v>56</v>
      </c>
      <c r="J686">
        <v>44</v>
      </c>
      <c r="K686">
        <v>0.03</v>
      </c>
      <c r="L686">
        <v>1</v>
      </c>
      <c r="M686">
        <v>1</v>
      </c>
      <c r="N686">
        <v>1</v>
      </c>
      <c r="O686">
        <v>100</v>
      </c>
      <c r="P686" s="4" t="b">
        <f t="shared" si="10"/>
        <v>0</v>
      </c>
    </row>
    <row r="687" spans="1:16" x14ac:dyDescent="0.2">
      <c r="A687" t="s">
        <v>15</v>
      </c>
      <c r="B687" t="s">
        <v>1016</v>
      </c>
      <c r="C687">
        <v>694</v>
      </c>
      <c r="D687">
        <v>129468</v>
      </c>
      <c r="E687" t="s">
        <v>777</v>
      </c>
      <c r="F687" t="s">
        <v>54</v>
      </c>
      <c r="G687" t="s">
        <v>18</v>
      </c>
      <c r="H687" t="s">
        <v>55</v>
      </c>
      <c r="I687" t="s">
        <v>29</v>
      </c>
      <c r="J687">
        <v>45</v>
      </c>
      <c r="K687">
        <v>0.03</v>
      </c>
      <c r="L687">
        <v>1</v>
      </c>
      <c r="M687">
        <v>1</v>
      </c>
      <c r="N687">
        <v>1</v>
      </c>
      <c r="O687">
        <v>100</v>
      </c>
      <c r="P687" s="4" t="b">
        <f t="shared" si="10"/>
        <v>0</v>
      </c>
    </row>
    <row r="688" spans="1:16" x14ac:dyDescent="0.2">
      <c r="A688" t="s">
        <v>15</v>
      </c>
      <c r="B688" t="s">
        <v>1016</v>
      </c>
      <c r="C688">
        <v>695</v>
      </c>
      <c r="D688">
        <v>113960</v>
      </c>
      <c r="E688" t="s">
        <v>585</v>
      </c>
      <c r="F688" t="s">
        <v>58</v>
      </c>
      <c r="G688" t="s">
        <v>23</v>
      </c>
      <c r="H688" t="s">
        <v>28</v>
      </c>
      <c r="I688" t="s">
        <v>29</v>
      </c>
      <c r="J688">
        <v>40</v>
      </c>
      <c r="K688">
        <v>0.03</v>
      </c>
      <c r="L688">
        <v>1</v>
      </c>
      <c r="M688">
        <v>1</v>
      </c>
      <c r="N688">
        <v>1</v>
      </c>
      <c r="O688">
        <v>100</v>
      </c>
      <c r="P688" s="4" t="b">
        <f t="shared" si="10"/>
        <v>0</v>
      </c>
    </row>
    <row r="689" spans="1:16" x14ac:dyDescent="0.2">
      <c r="A689" t="s">
        <v>15</v>
      </c>
      <c r="B689" t="s">
        <v>1016</v>
      </c>
      <c r="C689">
        <v>696</v>
      </c>
      <c r="D689">
        <v>130489</v>
      </c>
      <c r="E689" t="s">
        <v>575</v>
      </c>
      <c r="F689" t="s">
        <v>44</v>
      </c>
      <c r="G689" t="s">
        <v>18</v>
      </c>
      <c r="H689" t="s">
        <v>39</v>
      </c>
      <c r="I689" t="s">
        <v>29</v>
      </c>
      <c r="J689">
        <v>46</v>
      </c>
      <c r="K689">
        <v>0.03</v>
      </c>
      <c r="L689">
        <v>1</v>
      </c>
      <c r="M689">
        <v>1</v>
      </c>
      <c r="N689">
        <v>1</v>
      </c>
      <c r="O689">
        <v>100</v>
      </c>
      <c r="P689" s="4" t="b">
        <f t="shared" si="10"/>
        <v>0</v>
      </c>
    </row>
    <row r="690" spans="1:16" x14ac:dyDescent="0.2">
      <c r="A690" t="s">
        <v>15</v>
      </c>
      <c r="B690" t="s">
        <v>1016</v>
      </c>
      <c r="C690">
        <v>697</v>
      </c>
      <c r="D690">
        <v>130351</v>
      </c>
      <c r="E690" t="s">
        <v>819</v>
      </c>
      <c r="F690" t="s">
        <v>73</v>
      </c>
      <c r="G690" t="s">
        <v>18</v>
      </c>
      <c r="H690" t="s">
        <v>28</v>
      </c>
      <c r="I690" t="s">
        <v>74</v>
      </c>
      <c r="J690">
        <v>47</v>
      </c>
      <c r="K690">
        <v>0.03</v>
      </c>
      <c r="L690">
        <v>1</v>
      </c>
      <c r="M690">
        <v>1</v>
      </c>
      <c r="N690">
        <v>1</v>
      </c>
      <c r="O690">
        <v>100</v>
      </c>
      <c r="P690" s="4" t="b">
        <f t="shared" si="10"/>
        <v>0</v>
      </c>
    </row>
    <row r="691" spans="1:16" x14ac:dyDescent="0.2">
      <c r="A691" t="s">
        <v>15</v>
      </c>
      <c r="B691" t="s">
        <v>1016</v>
      </c>
      <c r="C691">
        <v>698</v>
      </c>
      <c r="D691">
        <v>125693</v>
      </c>
      <c r="E691" t="s">
        <v>433</v>
      </c>
      <c r="F691" t="s">
        <v>38</v>
      </c>
      <c r="G691" t="s">
        <v>23</v>
      </c>
      <c r="H691" t="s">
        <v>39</v>
      </c>
      <c r="I691" t="s">
        <v>29</v>
      </c>
      <c r="J691">
        <v>31</v>
      </c>
      <c r="K691">
        <v>0.03</v>
      </c>
      <c r="L691">
        <v>1</v>
      </c>
      <c r="M691">
        <v>1</v>
      </c>
      <c r="N691">
        <v>1</v>
      </c>
      <c r="O691">
        <v>100</v>
      </c>
      <c r="P691" s="4" t="b">
        <f t="shared" si="10"/>
        <v>0</v>
      </c>
    </row>
    <row r="692" spans="1:16" x14ac:dyDescent="0.2">
      <c r="A692" t="s">
        <v>15</v>
      </c>
      <c r="B692" t="s">
        <v>1016</v>
      </c>
      <c r="C692">
        <v>699</v>
      </c>
      <c r="D692">
        <v>131087</v>
      </c>
      <c r="E692" t="s">
        <v>818</v>
      </c>
      <c r="F692" t="s">
        <v>68</v>
      </c>
      <c r="G692" t="s">
        <v>18</v>
      </c>
      <c r="H692" t="s">
        <v>28</v>
      </c>
      <c r="I692" t="s">
        <v>24</v>
      </c>
      <c r="J692">
        <v>45</v>
      </c>
      <c r="K692">
        <v>0.03</v>
      </c>
      <c r="L692">
        <v>1</v>
      </c>
      <c r="M692">
        <v>1</v>
      </c>
      <c r="N692">
        <v>1</v>
      </c>
      <c r="O692">
        <v>100</v>
      </c>
      <c r="P692" s="4" t="b">
        <f t="shared" si="10"/>
        <v>0</v>
      </c>
    </row>
    <row r="693" spans="1:16" x14ac:dyDescent="0.2">
      <c r="A693" t="s">
        <v>15</v>
      </c>
      <c r="B693" t="s">
        <v>1016</v>
      </c>
      <c r="C693">
        <v>700</v>
      </c>
      <c r="D693">
        <v>130567</v>
      </c>
      <c r="E693" t="s">
        <v>996</v>
      </c>
      <c r="F693" t="s">
        <v>238</v>
      </c>
      <c r="G693" t="s">
        <v>18</v>
      </c>
      <c r="H693" t="s">
        <v>28</v>
      </c>
      <c r="I693" t="s">
        <v>29</v>
      </c>
      <c r="J693">
        <v>45</v>
      </c>
      <c r="K693">
        <v>0.03</v>
      </c>
      <c r="L693">
        <v>1</v>
      </c>
      <c r="M693">
        <v>1</v>
      </c>
      <c r="N693">
        <v>1</v>
      </c>
      <c r="O693">
        <v>100</v>
      </c>
      <c r="P693" s="4" t="b">
        <f t="shared" si="10"/>
        <v>0</v>
      </c>
    </row>
    <row r="694" spans="1:16" x14ac:dyDescent="0.2">
      <c r="A694" t="s">
        <v>15</v>
      </c>
      <c r="B694" t="s">
        <v>1016</v>
      </c>
      <c r="C694">
        <v>701</v>
      </c>
      <c r="D694">
        <v>196287</v>
      </c>
      <c r="E694" t="s">
        <v>594</v>
      </c>
      <c r="F694" t="s">
        <v>58</v>
      </c>
      <c r="G694" t="s">
        <v>23</v>
      </c>
      <c r="H694" t="s">
        <v>28</v>
      </c>
      <c r="I694" t="s">
        <v>29</v>
      </c>
      <c r="J694">
        <v>41</v>
      </c>
      <c r="K694">
        <v>0.03</v>
      </c>
      <c r="L694">
        <v>1</v>
      </c>
      <c r="M694">
        <v>1</v>
      </c>
      <c r="N694">
        <v>1</v>
      </c>
      <c r="O694">
        <v>100</v>
      </c>
      <c r="P694" s="4" t="b">
        <f t="shared" si="10"/>
        <v>0</v>
      </c>
    </row>
    <row r="695" spans="1:16" x14ac:dyDescent="0.2">
      <c r="A695" t="s">
        <v>15</v>
      </c>
      <c r="B695" t="s">
        <v>1016</v>
      </c>
      <c r="C695">
        <v>702</v>
      </c>
      <c r="D695">
        <v>129446</v>
      </c>
      <c r="E695" t="s">
        <v>784</v>
      </c>
      <c r="F695" t="s">
        <v>54</v>
      </c>
      <c r="G695" t="s">
        <v>18</v>
      </c>
      <c r="H695" t="s">
        <v>55</v>
      </c>
      <c r="I695" t="s">
        <v>29</v>
      </c>
      <c r="J695">
        <v>46</v>
      </c>
      <c r="K695">
        <v>0.03</v>
      </c>
      <c r="L695">
        <v>1</v>
      </c>
      <c r="M695">
        <v>1</v>
      </c>
      <c r="N695">
        <v>1</v>
      </c>
      <c r="O695">
        <v>100</v>
      </c>
      <c r="P695" s="4" t="b">
        <f t="shared" si="10"/>
        <v>0</v>
      </c>
    </row>
    <row r="696" spans="1:16" x14ac:dyDescent="0.2">
      <c r="A696" t="s">
        <v>15</v>
      </c>
      <c r="B696" t="s">
        <v>1016</v>
      </c>
      <c r="C696">
        <v>703</v>
      </c>
      <c r="D696">
        <v>126587</v>
      </c>
      <c r="E696" t="s">
        <v>446</v>
      </c>
      <c r="F696" t="s">
        <v>38</v>
      </c>
      <c r="G696" t="s">
        <v>23</v>
      </c>
      <c r="H696" t="s">
        <v>39</v>
      </c>
      <c r="I696" t="s">
        <v>24</v>
      </c>
      <c r="J696">
        <v>32</v>
      </c>
      <c r="K696">
        <v>0.03</v>
      </c>
      <c r="L696">
        <v>1</v>
      </c>
      <c r="M696">
        <v>1</v>
      </c>
      <c r="N696">
        <v>1</v>
      </c>
      <c r="O696">
        <v>100</v>
      </c>
      <c r="P696" s="4" t="b">
        <f t="shared" si="10"/>
        <v>0</v>
      </c>
    </row>
    <row r="697" spans="1:16" x14ac:dyDescent="0.2">
      <c r="A697" t="s">
        <v>15</v>
      </c>
      <c r="B697" t="s">
        <v>1016</v>
      </c>
      <c r="C697">
        <v>704</v>
      </c>
      <c r="D697">
        <v>130490</v>
      </c>
      <c r="E697" t="s">
        <v>586</v>
      </c>
      <c r="F697" t="s">
        <v>44</v>
      </c>
      <c r="G697" t="s">
        <v>18</v>
      </c>
      <c r="H697" t="s">
        <v>39</v>
      </c>
      <c r="I697" t="s">
        <v>29</v>
      </c>
      <c r="J697">
        <v>47</v>
      </c>
      <c r="K697">
        <v>0.03</v>
      </c>
      <c r="L697">
        <v>1</v>
      </c>
      <c r="M697">
        <v>1</v>
      </c>
      <c r="N697">
        <v>1</v>
      </c>
      <c r="O697">
        <v>100</v>
      </c>
      <c r="P697" s="4" t="b">
        <f t="shared" si="10"/>
        <v>0</v>
      </c>
    </row>
    <row r="698" spans="1:16" x14ac:dyDescent="0.2">
      <c r="A698" t="s">
        <v>15</v>
      </c>
      <c r="B698" t="s">
        <v>1016</v>
      </c>
      <c r="C698">
        <v>705</v>
      </c>
      <c r="D698">
        <v>129831</v>
      </c>
      <c r="E698" t="s">
        <v>823</v>
      </c>
      <c r="F698" t="s">
        <v>73</v>
      </c>
      <c r="G698" t="s">
        <v>18</v>
      </c>
      <c r="H698" t="s">
        <v>28</v>
      </c>
      <c r="I698" t="s">
        <v>20</v>
      </c>
      <c r="J698">
        <v>48</v>
      </c>
      <c r="K698">
        <v>0.03</v>
      </c>
      <c r="L698">
        <v>1</v>
      </c>
      <c r="M698">
        <v>1</v>
      </c>
      <c r="N698">
        <v>1</v>
      </c>
      <c r="O698">
        <v>100</v>
      </c>
      <c r="P698" s="4" t="b">
        <f t="shared" si="10"/>
        <v>0</v>
      </c>
    </row>
    <row r="699" spans="1:16" x14ac:dyDescent="0.2">
      <c r="A699" t="s">
        <v>15</v>
      </c>
      <c r="B699" t="s">
        <v>1016</v>
      </c>
      <c r="C699">
        <v>706</v>
      </c>
      <c r="D699">
        <v>190603</v>
      </c>
      <c r="E699" t="s">
        <v>611</v>
      </c>
      <c r="F699" t="s">
        <v>58</v>
      </c>
      <c r="G699" t="s">
        <v>23</v>
      </c>
      <c r="H699" t="s">
        <v>28</v>
      </c>
      <c r="I699" t="s">
        <v>29</v>
      </c>
      <c r="J699">
        <v>42</v>
      </c>
      <c r="K699">
        <v>0.03</v>
      </c>
      <c r="L699">
        <v>1</v>
      </c>
      <c r="M699">
        <v>1</v>
      </c>
      <c r="N699">
        <v>1</v>
      </c>
      <c r="O699">
        <v>100</v>
      </c>
      <c r="P699" s="4" t="b">
        <f t="shared" si="10"/>
        <v>0</v>
      </c>
    </row>
    <row r="700" spans="1:16" x14ac:dyDescent="0.2">
      <c r="A700" t="s">
        <v>15</v>
      </c>
      <c r="B700" t="s">
        <v>1016</v>
      </c>
      <c r="C700">
        <v>707</v>
      </c>
      <c r="D700">
        <v>130484</v>
      </c>
      <c r="E700" t="s">
        <v>822</v>
      </c>
      <c r="F700" t="s">
        <v>68</v>
      </c>
      <c r="G700" t="s">
        <v>18</v>
      </c>
      <c r="H700" t="s">
        <v>28</v>
      </c>
      <c r="I700" t="s">
        <v>56</v>
      </c>
      <c r="J700">
        <v>46</v>
      </c>
      <c r="K700">
        <v>0.03</v>
      </c>
      <c r="L700">
        <v>1</v>
      </c>
      <c r="M700">
        <v>1</v>
      </c>
      <c r="N700">
        <v>1</v>
      </c>
      <c r="O700">
        <v>100</v>
      </c>
      <c r="P700" s="4" t="b">
        <f t="shared" si="10"/>
        <v>0</v>
      </c>
    </row>
    <row r="701" spans="1:16" x14ac:dyDescent="0.2">
      <c r="A701" t="s">
        <v>15</v>
      </c>
      <c r="B701" t="s">
        <v>1016</v>
      </c>
      <c r="C701">
        <v>708</v>
      </c>
      <c r="D701">
        <v>130340</v>
      </c>
      <c r="E701" t="s">
        <v>997</v>
      </c>
      <c r="F701" t="s">
        <v>238</v>
      </c>
      <c r="G701" t="s">
        <v>18</v>
      </c>
      <c r="H701" t="s">
        <v>28</v>
      </c>
      <c r="I701" t="s">
        <v>29</v>
      </c>
      <c r="J701">
        <v>46</v>
      </c>
      <c r="K701">
        <v>0.03</v>
      </c>
      <c r="L701">
        <v>1</v>
      </c>
      <c r="M701">
        <v>1</v>
      </c>
      <c r="N701">
        <v>1</v>
      </c>
      <c r="O701">
        <v>100</v>
      </c>
      <c r="P701" s="4" t="b">
        <f t="shared" si="10"/>
        <v>0</v>
      </c>
    </row>
    <row r="702" spans="1:16" x14ac:dyDescent="0.2">
      <c r="A702" t="s">
        <v>15</v>
      </c>
      <c r="B702" t="s">
        <v>1016</v>
      </c>
      <c r="C702">
        <v>709</v>
      </c>
      <c r="D702">
        <v>127626</v>
      </c>
      <c r="E702" t="s">
        <v>448</v>
      </c>
      <c r="F702" t="s">
        <v>38</v>
      </c>
      <c r="G702" t="s">
        <v>23</v>
      </c>
      <c r="H702" t="s">
        <v>39</v>
      </c>
      <c r="I702" t="s">
        <v>29</v>
      </c>
      <c r="J702">
        <v>34</v>
      </c>
      <c r="K702">
        <v>0.03</v>
      </c>
      <c r="L702">
        <v>1</v>
      </c>
      <c r="M702">
        <v>1</v>
      </c>
      <c r="N702">
        <v>1</v>
      </c>
      <c r="O702">
        <v>100</v>
      </c>
      <c r="P702" s="4" t="b">
        <f t="shared" si="10"/>
        <v>0</v>
      </c>
    </row>
    <row r="703" spans="1:16" x14ac:dyDescent="0.2">
      <c r="A703" t="s">
        <v>15</v>
      </c>
      <c r="B703" t="s">
        <v>1016</v>
      </c>
      <c r="C703">
        <v>710</v>
      </c>
      <c r="D703">
        <v>129447</v>
      </c>
      <c r="E703" t="s">
        <v>786</v>
      </c>
      <c r="F703" t="s">
        <v>54</v>
      </c>
      <c r="G703" t="s">
        <v>18</v>
      </c>
      <c r="H703" t="s">
        <v>55</v>
      </c>
      <c r="I703" t="s">
        <v>29</v>
      </c>
      <c r="J703">
        <v>47</v>
      </c>
      <c r="K703">
        <v>0.03</v>
      </c>
      <c r="L703">
        <v>1</v>
      </c>
      <c r="M703">
        <v>1</v>
      </c>
      <c r="N703">
        <v>1</v>
      </c>
      <c r="O703">
        <v>100</v>
      </c>
      <c r="P703" s="4" t="b">
        <f t="shared" si="10"/>
        <v>0</v>
      </c>
    </row>
    <row r="704" spans="1:16" x14ac:dyDescent="0.2">
      <c r="A704" t="s">
        <v>15</v>
      </c>
      <c r="B704" t="s">
        <v>1016</v>
      </c>
      <c r="C704">
        <v>711</v>
      </c>
      <c r="D704">
        <v>130349</v>
      </c>
      <c r="E704" t="s">
        <v>589</v>
      </c>
      <c r="F704" t="s">
        <v>44</v>
      </c>
      <c r="G704" t="s">
        <v>18</v>
      </c>
      <c r="H704" t="s">
        <v>39</v>
      </c>
      <c r="I704" t="s">
        <v>29</v>
      </c>
      <c r="J704">
        <v>48</v>
      </c>
      <c r="K704">
        <v>0.03</v>
      </c>
      <c r="L704">
        <v>1</v>
      </c>
      <c r="M704">
        <v>1</v>
      </c>
      <c r="N704">
        <v>1</v>
      </c>
      <c r="O704">
        <v>100</v>
      </c>
      <c r="P704" s="4" t="b">
        <f t="shared" si="10"/>
        <v>0</v>
      </c>
    </row>
    <row r="705" spans="1:16" x14ac:dyDescent="0.2">
      <c r="A705" t="s">
        <v>15</v>
      </c>
      <c r="B705" t="s">
        <v>1016</v>
      </c>
      <c r="C705">
        <v>712</v>
      </c>
      <c r="D705">
        <v>190312</v>
      </c>
      <c r="E705" t="s">
        <v>620</v>
      </c>
      <c r="F705" t="s">
        <v>58</v>
      </c>
      <c r="G705" t="s">
        <v>23</v>
      </c>
      <c r="H705" t="s">
        <v>28</v>
      </c>
      <c r="I705" t="s">
        <v>29</v>
      </c>
      <c r="J705">
        <v>43</v>
      </c>
      <c r="K705">
        <v>0.03</v>
      </c>
      <c r="L705">
        <v>1</v>
      </c>
      <c r="M705">
        <v>1</v>
      </c>
      <c r="N705">
        <v>1</v>
      </c>
      <c r="O705">
        <v>100</v>
      </c>
      <c r="P705" s="4" t="b">
        <f t="shared" si="10"/>
        <v>0</v>
      </c>
    </row>
    <row r="706" spans="1:16" x14ac:dyDescent="0.2">
      <c r="A706" t="s">
        <v>15</v>
      </c>
      <c r="B706" t="s">
        <v>1016</v>
      </c>
      <c r="C706">
        <v>713</v>
      </c>
      <c r="D706">
        <v>129881</v>
      </c>
      <c r="E706" t="s">
        <v>826</v>
      </c>
      <c r="F706" t="s">
        <v>73</v>
      </c>
      <c r="G706" t="s">
        <v>18</v>
      </c>
      <c r="H706" t="s">
        <v>28</v>
      </c>
      <c r="I706" t="s">
        <v>20</v>
      </c>
      <c r="J706">
        <v>49</v>
      </c>
      <c r="K706">
        <v>0.03</v>
      </c>
      <c r="L706">
        <v>1</v>
      </c>
      <c r="M706">
        <v>1</v>
      </c>
      <c r="N706">
        <v>1</v>
      </c>
      <c r="O706">
        <v>100</v>
      </c>
      <c r="P706" s="4" t="b">
        <f t="shared" si="10"/>
        <v>0</v>
      </c>
    </row>
    <row r="707" spans="1:16" x14ac:dyDescent="0.2">
      <c r="A707" t="s">
        <v>15</v>
      </c>
      <c r="B707" t="s">
        <v>1016</v>
      </c>
      <c r="C707">
        <v>714</v>
      </c>
      <c r="D707">
        <v>130278</v>
      </c>
      <c r="E707" t="s">
        <v>825</v>
      </c>
      <c r="F707" t="s">
        <v>68</v>
      </c>
      <c r="G707" t="s">
        <v>18</v>
      </c>
      <c r="H707" t="s">
        <v>28</v>
      </c>
      <c r="I707" t="s">
        <v>29</v>
      </c>
      <c r="J707">
        <v>47</v>
      </c>
      <c r="K707">
        <v>0.03</v>
      </c>
      <c r="L707">
        <v>1</v>
      </c>
      <c r="M707">
        <v>1</v>
      </c>
      <c r="N707">
        <v>1</v>
      </c>
      <c r="O707">
        <v>100</v>
      </c>
      <c r="P707" s="4" t="b">
        <f t="shared" ref="P707:P770" si="11">C707&lt;($Q$1+1)</f>
        <v>0</v>
      </c>
    </row>
    <row r="708" spans="1:16" x14ac:dyDescent="0.2">
      <c r="A708" t="s">
        <v>15</v>
      </c>
      <c r="B708" t="s">
        <v>1016</v>
      </c>
      <c r="C708">
        <v>715</v>
      </c>
      <c r="D708">
        <v>132063</v>
      </c>
      <c r="E708" t="s">
        <v>454</v>
      </c>
      <c r="F708" t="s">
        <v>38</v>
      </c>
      <c r="G708" t="s">
        <v>23</v>
      </c>
      <c r="H708" t="s">
        <v>39</v>
      </c>
      <c r="I708" t="s">
        <v>29</v>
      </c>
      <c r="J708">
        <v>35</v>
      </c>
      <c r="K708">
        <v>7</v>
      </c>
      <c r="L708">
        <v>3</v>
      </c>
      <c r="M708">
        <v>2</v>
      </c>
      <c r="N708">
        <v>2</v>
      </c>
      <c r="O708">
        <v>1</v>
      </c>
      <c r="P708" s="4" t="b">
        <f t="shared" si="11"/>
        <v>0</v>
      </c>
    </row>
    <row r="709" spans="1:16" x14ac:dyDescent="0.2">
      <c r="A709" t="s">
        <v>15</v>
      </c>
      <c r="B709" t="s">
        <v>1016</v>
      </c>
      <c r="C709">
        <v>716</v>
      </c>
      <c r="D709">
        <v>130475</v>
      </c>
      <c r="E709" t="s">
        <v>998</v>
      </c>
      <c r="F709" t="s">
        <v>238</v>
      </c>
      <c r="G709" t="s">
        <v>18</v>
      </c>
      <c r="H709" t="s">
        <v>28</v>
      </c>
      <c r="I709" t="s">
        <v>29</v>
      </c>
      <c r="J709">
        <v>47</v>
      </c>
      <c r="K709">
        <v>0.03</v>
      </c>
      <c r="L709">
        <v>1</v>
      </c>
      <c r="M709">
        <v>1</v>
      </c>
      <c r="N709">
        <v>1</v>
      </c>
      <c r="O709">
        <v>100</v>
      </c>
      <c r="P709" s="4" t="b">
        <f t="shared" si="11"/>
        <v>0</v>
      </c>
    </row>
    <row r="710" spans="1:16" x14ac:dyDescent="0.2">
      <c r="A710" t="s">
        <v>15</v>
      </c>
      <c r="B710" t="s">
        <v>1016</v>
      </c>
      <c r="C710">
        <v>717</v>
      </c>
      <c r="D710">
        <v>129448</v>
      </c>
      <c r="E710" t="s">
        <v>790</v>
      </c>
      <c r="F710" t="s">
        <v>54</v>
      </c>
      <c r="G710" t="s">
        <v>18</v>
      </c>
      <c r="H710" t="s">
        <v>55</v>
      </c>
      <c r="I710" t="s">
        <v>29</v>
      </c>
      <c r="J710">
        <v>48</v>
      </c>
      <c r="K710">
        <v>0.03</v>
      </c>
      <c r="L710">
        <v>1</v>
      </c>
      <c r="M710">
        <v>1</v>
      </c>
      <c r="N710">
        <v>1</v>
      </c>
      <c r="O710">
        <v>100</v>
      </c>
      <c r="P710" s="4" t="b">
        <f t="shared" si="11"/>
        <v>0</v>
      </c>
    </row>
    <row r="711" spans="1:16" x14ac:dyDescent="0.2">
      <c r="A711" t="s">
        <v>15</v>
      </c>
      <c r="B711" t="s">
        <v>1016</v>
      </c>
      <c r="C711">
        <v>718</v>
      </c>
      <c r="D711">
        <v>173452</v>
      </c>
      <c r="E711" t="s">
        <v>627</v>
      </c>
      <c r="F711" t="s">
        <v>58</v>
      </c>
      <c r="G711" t="s">
        <v>23</v>
      </c>
      <c r="H711" t="s">
        <v>28</v>
      </c>
      <c r="I711" t="s">
        <v>29</v>
      </c>
      <c r="J711">
        <v>45</v>
      </c>
      <c r="K711">
        <v>0.03</v>
      </c>
      <c r="L711">
        <v>1</v>
      </c>
      <c r="M711">
        <v>1</v>
      </c>
      <c r="N711">
        <v>1</v>
      </c>
      <c r="O711">
        <v>100</v>
      </c>
      <c r="P711" s="4" t="b">
        <f t="shared" si="11"/>
        <v>0</v>
      </c>
    </row>
    <row r="712" spans="1:16" x14ac:dyDescent="0.2">
      <c r="A712" t="s">
        <v>15</v>
      </c>
      <c r="B712" t="s">
        <v>1016</v>
      </c>
      <c r="C712">
        <v>719</v>
      </c>
      <c r="D712">
        <v>130350</v>
      </c>
      <c r="E712" t="s">
        <v>608</v>
      </c>
      <c r="F712" t="s">
        <v>44</v>
      </c>
      <c r="G712" t="s">
        <v>18</v>
      </c>
      <c r="H712" t="s">
        <v>39</v>
      </c>
      <c r="I712" t="s">
        <v>29</v>
      </c>
      <c r="J712">
        <v>49</v>
      </c>
      <c r="K712">
        <v>0.03</v>
      </c>
      <c r="L712">
        <v>1</v>
      </c>
      <c r="M712">
        <v>1</v>
      </c>
      <c r="N712">
        <v>1</v>
      </c>
      <c r="O712">
        <v>100</v>
      </c>
      <c r="P712" s="4" t="b">
        <f t="shared" si="11"/>
        <v>0</v>
      </c>
    </row>
    <row r="713" spans="1:16" x14ac:dyDescent="0.2">
      <c r="A713" t="s">
        <v>15</v>
      </c>
      <c r="B713" t="s">
        <v>1016</v>
      </c>
      <c r="C713">
        <v>720</v>
      </c>
      <c r="D713">
        <v>98564</v>
      </c>
      <c r="E713" t="s">
        <v>461</v>
      </c>
      <c r="F713" t="s">
        <v>38</v>
      </c>
      <c r="G713" t="s">
        <v>23</v>
      </c>
      <c r="H713" t="s">
        <v>39</v>
      </c>
      <c r="I713" t="s">
        <v>29</v>
      </c>
      <c r="J713">
        <v>36</v>
      </c>
      <c r="K713">
        <v>0.03</v>
      </c>
      <c r="L713">
        <v>1</v>
      </c>
      <c r="M713">
        <v>1</v>
      </c>
      <c r="N713">
        <v>1</v>
      </c>
      <c r="O713">
        <v>100</v>
      </c>
      <c r="P713" s="4" t="b">
        <f t="shared" si="11"/>
        <v>0</v>
      </c>
    </row>
    <row r="714" spans="1:16" x14ac:dyDescent="0.2">
      <c r="A714" t="s">
        <v>15</v>
      </c>
      <c r="B714" t="s">
        <v>1016</v>
      </c>
      <c r="C714">
        <v>721</v>
      </c>
      <c r="D714">
        <v>129530</v>
      </c>
      <c r="E714" t="s">
        <v>831</v>
      </c>
      <c r="F714" t="s">
        <v>73</v>
      </c>
      <c r="G714" t="s">
        <v>18</v>
      </c>
      <c r="H714" t="s">
        <v>28</v>
      </c>
      <c r="I714" t="s">
        <v>29</v>
      </c>
      <c r="J714">
        <v>50</v>
      </c>
      <c r="K714">
        <v>0.03</v>
      </c>
      <c r="L714">
        <v>1</v>
      </c>
      <c r="M714">
        <v>1</v>
      </c>
      <c r="N714">
        <v>1</v>
      </c>
      <c r="O714">
        <v>100</v>
      </c>
      <c r="P714" s="4" t="b">
        <f t="shared" si="11"/>
        <v>0</v>
      </c>
    </row>
    <row r="715" spans="1:16" x14ac:dyDescent="0.2">
      <c r="A715" t="s">
        <v>15</v>
      </c>
      <c r="B715" t="s">
        <v>1016</v>
      </c>
      <c r="C715">
        <v>722</v>
      </c>
      <c r="D715">
        <v>129662</v>
      </c>
      <c r="E715" t="s">
        <v>830</v>
      </c>
      <c r="F715" t="s">
        <v>68</v>
      </c>
      <c r="G715" t="s">
        <v>18</v>
      </c>
      <c r="H715" t="s">
        <v>28</v>
      </c>
      <c r="I715" t="s">
        <v>29</v>
      </c>
      <c r="J715">
        <v>48</v>
      </c>
      <c r="K715">
        <v>0.03</v>
      </c>
      <c r="L715">
        <v>1</v>
      </c>
      <c r="M715">
        <v>1</v>
      </c>
      <c r="N715">
        <v>1</v>
      </c>
      <c r="O715">
        <v>100</v>
      </c>
      <c r="P715" s="4" t="b">
        <f t="shared" si="11"/>
        <v>0</v>
      </c>
    </row>
    <row r="716" spans="1:16" x14ac:dyDescent="0.2">
      <c r="A716" t="s">
        <v>15</v>
      </c>
      <c r="B716" t="s">
        <v>1016</v>
      </c>
      <c r="C716">
        <v>723</v>
      </c>
      <c r="D716">
        <v>160300</v>
      </c>
      <c r="E716" t="s">
        <v>633</v>
      </c>
      <c r="F716" t="s">
        <v>58</v>
      </c>
      <c r="G716" t="s">
        <v>23</v>
      </c>
      <c r="H716" t="s">
        <v>28</v>
      </c>
      <c r="I716" t="s">
        <v>29</v>
      </c>
      <c r="J716">
        <v>46</v>
      </c>
      <c r="K716">
        <v>0.03</v>
      </c>
      <c r="L716">
        <v>1</v>
      </c>
      <c r="M716">
        <v>1</v>
      </c>
      <c r="N716">
        <v>1</v>
      </c>
      <c r="O716">
        <v>100</v>
      </c>
      <c r="P716" s="4" t="b">
        <f t="shared" si="11"/>
        <v>0</v>
      </c>
    </row>
    <row r="717" spans="1:16" x14ac:dyDescent="0.2">
      <c r="A717" t="s">
        <v>15</v>
      </c>
      <c r="B717" t="s">
        <v>1016</v>
      </c>
      <c r="C717">
        <v>724</v>
      </c>
      <c r="D717">
        <v>130556</v>
      </c>
      <c r="E717" t="s">
        <v>999</v>
      </c>
      <c r="F717" t="s">
        <v>238</v>
      </c>
      <c r="G717" t="s">
        <v>18</v>
      </c>
      <c r="H717" t="s">
        <v>28</v>
      </c>
      <c r="I717" t="s">
        <v>29</v>
      </c>
      <c r="J717">
        <v>48</v>
      </c>
      <c r="K717">
        <v>0.03</v>
      </c>
      <c r="L717">
        <v>1</v>
      </c>
      <c r="M717">
        <v>1</v>
      </c>
      <c r="N717">
        <v>1</v>
      </c>
      <c r="O717">
        <v>100</v>
      </c>
      <c r="P717" s="4" t="b">
        <f t="shared" si="11"/>
        <v>0</v>
      </c>
    </row>
    <row r="718" spans="1:16" x14ac:dyDescent="0.2">
      <c r="A718" t="s">
        <v>15</v>
      </c>
      <c r="B718" t="s">
        <v>1016</v>
      </c>
      <c r="C718">
        <v>725</v>
      </c>
      <c r="D718">
        <v>129482</v>
      </c>
      <c r="E718" t="s">
        <v>793</v>
      </c>
      <c r="F718" t="s">
        <v>54</v>
      </c>
      <c r="G718" t="s">
        <v>18</v>
      </c>
      <c r="H718" t="s">
        <v>55</v>
      </c>
      <c r="I718" t="s">
        <v>29</v>
      </c>
      <c r="J718">
        <v>49</v>
      </c>
      <c r="K718">
        <v>0.03</v>
      </c>
      <c r="L718">
        <v>1</v>
      </c>
      <c r="M718">
        <v>1</v>
      </c>
      <c r="N718">
        <v>1</v>
      </c>
      <c r="O718">
        <v>100</v>
      </c>
      <c r="P718" s="4" t="b">
        <f t="shared" si="11"/>
        <v>0</v>
      </c>
    </row>
    <row r="719" spans="1:16" x14ac:dyDescent="0.2">
      <c r="A719" t="s">
        <v>15</v>
      </c>
      <c r="B719" t="s">
        <v>1016</v>
      </c>
      <c r="C719">
        <v>726</v>
      </c>
      <c r="D719">
        <v>126578</v>
      </c>
      <c r="E719" t="s">
        <v>463</v>
      </c>
      <c r="F719" t="s">
        <v>38</v>
      </c>
      <c r="G719" t="s">
        <v>23</v>
      </c>
      <c r="H719" t="s">
        <v>39</v>
      </c>
      <c r="I719" t="s">
        <v>29</v>
      </c>
      <c r="J719">
        <v>37</v>
      </c>
      <c r="K719">
        <v>0.03</v>
      </c>
      <c r="L719">
        <v>1</v>
      </c>
      <c r="M719">
        <v>1</v>
      </c>
      <c r="N719">
        <v>1</v>
      </c>
      <c r="O719">
        <v>100</v>
      </c>
      <c r="P719" s="4" t="b">
        <f t="shared" si="11"/>
        <v>0</v>
      </c>
    </row>
    <row r="720" spans="1:16" x14ac:dyDescent="0.2">
      <c r="A720" t="s">
        <v>15</v>
      </c>
      <c r="B720" t="s">
        <v>1016</v>
      </c>
      <c r="C720">
        <v>727</v>
      </c>
      <c r="D720">
        <v>130440</v>
      </c>
      <c r="E720" t="s">
        <v>613</v>
      </c>
      <c r="F720" t="s">
        <v>44</v>
      </c>
      <c r="G720" t="s">
        <v>18</v>
      </c>
      <c r="H720" t="s">
        <v>39</v>
      </c>
      <c r="I720" t="s">
        <v>29</v>
      </c>
      <c r="J720">
        <v>50</v>
      </c>
      <c r="K720">
        <v>0.03</v>
      </c>
      <c r="L720">
        <v>1</v>
      </c>
      <c r="M720">
        <v>1</v>
      </c>
      <c r="N720">
        <v>1</v>
      </c>
      <c r="O720">
        <v>100</v>
      </c>
      <c r="P720" s="4" t="b">
        <f t="shared" si="11"/>
        <v>0</v>
      </c>
    </row>
    <row r="721" spans="1:16" x14ac:dyDescent="0.2">
      <c r="A721" t="s">
        <v>15</v>
      </c>
      <c r="B721" t="s">
        <v>1016</v>
      </c>
      <c r="C721">
        <v>728</v>
      </c>
      <c r="D721">
        <v>129674</v>
      </c>
      <c r="E721" t="s">
        <v>834</v>
      </c>
      <c r="F721" t="s">
        <v>73</v>
      </c>
      <c r="G721" t="s">
        <v>18</v>
      </c>
      <c r="H721" t="s">
        <v>28</v>
      </c>
      <c r="I721" t="s">
        <v>29</v>
      </c>
      <c r="J721">
        <v>51</v>
      </c>
      <c r="K721">
        <v>0.03</v>
      </c>
      <c r="L721">
        <v>1</v>
      </c>
      <c r="M721">
        <v>1</v>
      </c>
      <c r="N721">
        <v>1</v>
      </c>
      <c r="O721">
        <v>100</v>
      </c>
      <c r="P721" s="4" t="b">
        <f t="shared" si="11"/>
        <v>0</v>
      </c>
    </row>
    <row r="722" spans="1:16" x14ac:dyDescent="0.2">
      <c r="A722" t="s">
        <v>15</v>
      </c>
      <c r="B722" t="s">
        <v>1016</v>
      </c>
      <c r="C722">
        <v>729</v>
      </c>
      <c r="D722">
        <v>159032</v>
      </c>
      <c r="E722" t="s">
        <v>642</v>
      </c>
      <c r="F722" t="s">
        <v>58</v>
      </c>
      <c r="G722" t="s">
        <v>23</v>
      </c>
      <c r="H722" t="s">
        <v>28</v>
      </c>
      <c r="I722" t="s">
        <v>29</v>
      </c>
      <c r="J722">
        <v>47</v>
      </c>
      <c r="K722">
        <v>0.03</v>
      </c>
      <c r="L722">
        <v>1</v>
      </c>
      <c r="M722">
        <v>1</v>
      </c>
      <c r="N722">
        <v>1</v>
      </c>
      <c r="O722">
        <v>100</v>
      </c>
      <c r="P722" s="4" t="b">
        <f t="shared" si="11"/>
        <v>0</v>
      </c>
    </row>
    <row r="723" spans="1:16" x14ac:dyDescent="0.2">
      <c r="A723" t="s">
        <v>15</v>
      </c>
      <c r="B723" t="s">
        <v>1016</v>
      </c>
      <c r="C723">
        <v>730</v>
      </c>
      <c r="D723">
        <v>129653</v>
      </c>
      <c r="E723" t="s">
        <v>833</v>
      </c>
      <c r="F723" t="s">
        <v>68</v>
      </c>
      <c r="G723" t="s">
        <v>18</v>
      </c>
      <c r="H723" t="s">
        <v>28</v>
      </c>
      <c r="I723" t="s">
        <v>29</v>
      </c>
      <c r="J723">
        <v>49</v>
      </c>
      <c r="K723">
        <v>0.03</v>
      </c>
      <c r="L723">
        <v>1</v>
      </c>
      <c r="M723">
        <v>1</v>
      </c>
      <c r="N723">
        <v>1</v>
      </c>
      <c r="O723">
        <v>100</v>
      </c>
      <c r="P723" s="4" t="b">
        <f t="shared" si="11"/>
        <v>0</v>
      </c>
    </row>
    <row r="724" spans="1:16" x14ac:dyDescent="0.2">
      <c r="A724" t="s">
        <v>15</v>
      </c>
      <c r="B724" t="s">
        <v>1016</v>
      </c>
      <c r="C724">
        <v>731</v>
      </c>
      <c r="D724">
        <v>130885</v>
      </c>
      <c r="E724" t="s">
        <v>1000</v>
      </c>
      <c r="F724" t="s">
        <v>238</v>
      </c>
      <c r="G724" t="s">
        <v>18</v>
      </c>
      <c r="H724" t="s">
        <v>28</v>
      </c>
      <c r="I724" t="s">
        <v>29</v>
      </c>
      <c r="J724">
        <v>49</v>
      </c>
      <c r="K724">
        <v>0.03</v>
      </c>
      <c r="L724">
        <v>1</v>
      </c>
      <c r="M724">
        <v>1</v>
      </c>
      <c r="N724">
        <v>1</v>
      </c>
      <c r="O724">
        <v>100</v>
      </c>
      <c r="P724" s="4" t="b">
        <f t="shared" si="11"/>
        <v>0</v>
      </c>
    </row>
    <row r="725" spans="1:16" x14ac:dyDescent="0.2">
      <c r="A725" t="s">
        <v>15</v>
      </c>
      <c r="B725" t="s">
        <v>1016</v>
      </c>
      <c r="C725">
        <v>732</v>
      </c>
      <c r="D725">
        <v>127817</v>
      </c>
      <c r="E725" t="s">
        <v>487</v>
      </c>
      <c r="F725" t="s">
        <v>38</v>
      </c>
      <c r="G725" t="s">
        <v>23</v>
      </c>
      <c r="H725" t="s">
        <v>39</v>
      </c>
      <c r="I725" t="s">
        <v>29</v>
      </c>
      <c r="J725">
        <v>38</v>
      </c>
      <c r="K725">
        <v>3.5</v>
      </c>
      <c r="L725">
        <v>5</v>
      </c>
      <c r="M725">
        <v>1</v>
      </c>
      <c r="N725">
        <v>1</v>
      </c>
      <c r="O725">
        <v>2</v>
      </c>
      <c r="P725" s="4" t="b">
        <f t="shared" si="11"/>
        <v>0</v>
      </c>
    </row>
    <row r="726" spans="1:16" x14ac:dyDescent="0.2">
      <c r="A726" t="s">
        <v>15</v>
      </c>
      <c r="B726" t="s">
        <v>1016</v>
      </c>
      <c r="C726">
        <v>733</v>
      </c>
      <c r="D726">
        <v>129467</v>
      </c>
      <c r="E726" t="s">
        <v>796</v>
      </c>
      <c r="F726" t="s">
        <v>54</v>
      </c>
      <c r="G726" t="s">
        <v>18</v>
      </c>
      <c r="H726" t="s">
        <v>55</v>
      </c>
      <c r="I726" t="s">
        <v>29</v>
      </c>
      <c r="J726">
        <v>50</v>
      </c>
      <c r="K726">
        <v>0.03</v>
      </c>
      <c r="L726">
        <v>1</v>
      </c>
      <c r="M726">
        <v>1</v>
      </c>
      <c r="N726">
        <v>1</v>
      </c>
      <c r="O726">
        <v>100</v>
      </c>
      <c r="P726" s="4" t="b">
        <f t="shared" si="11"/>
        <v>0</v>
      </c>
    </row>
    <row r="727" spans="1:16" x14ac:dyDescent="0.2">
      <c r="A727" t="s">
        <v>15</v>
      </c>
      <c r="B727" t="s">
        <v>1016</v>
      </c>
      <c r="C727">
        <v>734</v>
      </c>
      <c r="D727">
        <v>146437</v>
      </c>
      <c r="E727" t="s">
        <v>651</v>
      </c>
      <c r="F727" t="s">
        <v>58</v>
      </c>
      <c r="G727" t="s">
        <v>23</v>
      </c>
      <c r="H727" t="s">
        <v>28</v>
      </c>
      <c r="I727" t="s">
        <v>29</v>
      </c>
      <c r="J727">
        <v>48</v>
      </c>
      <c r="K727">
        <v>0.03</v>
      </c>
      <c r="L727">
        <v>1</v>
      </c>
      <c r="M727">
        <v>1</v>
      </c>
      <c r="N727">
        <v>1</v>
      </c>
      <c r="O727">
        <v>100</v>
      </c>
      <c r="P727" s="4" t="b">
        <f t="shared" si="11"/>
        <v>0</v>
      </c>
    </row>
    <row r="728" spans="1:16" x14ac:dyDescent="0.2">
      <c r="A728" t="s">
        <v>15</v>
      </c>
      <c r="B728" t="s">
        <v>1016</v>
      </c>
      <c r="C728">
        <v>735</v>
      </c>
      <c r="D728">
        <v>130573</v>
      </c>
      <c r="E728" t="s">
        <v>624</v>
      </c>
      <c r="F728" t="s">
        <v>44</v>
      </c>
      <c r="G728" t="s">
        <v>18</v>
      </c>
      <c r="H728" t="s">
        <v>39</v>
      </c>
      <c r="I728" t="s">
        <v>29</v>
      </c>
      <c r="J728">
        <v>51</v>
      </c>
      <c r="K728">
        <v>0.03</v>
      </c>
      <c r="L728">
        <v>1</v>
      </c>
      <c r="M728">
        <v>1</v>
      </c>
      <c r="N728">
        <v>1</v>
      </c>
      <c r="O728">
        <v>100</v>
      </c>
      <c r="P728" s="4" t="b">
        <f t="shared" si="11"/>
        <v>0</v>
      </c>
    </row>
    <row r="729" spans="1:16" x14ac:dyDescent="0.2">
      <c r="A729" t="s">
        <v>15</v>
      </c>
      <c r="B729" t="s">
        <v>1016</v>
      </c>
      <c r="C729">
        <v>736</v>
      </c>
      <c r="D729">
        <v>129675</v>
      </c>
      <c r="E729" t="s">
        <v>837</v>
      </c>
      <c r="F729" t="s">
        <v>73</v>
      </c>
      <c r="G729" t="s">
        <v>18</v>
      </c>
      <c r="H729" t="s">
        <v>28</v>
      </c>
      <c r="I729" t="s">
        <v>29</v>
      </c>
      <c r="J729">
        <v>52</v>
      </c>
      <c r="K729">
        <v>0.03</v>
      </c>
      <c r="L729">
        <v>1</v>
      </c>
      <c r="M729">
        <v>1</v>
      </c>
      <c r="N729">
        <v>1</v>
      </c>
      <c r="O729">
        <v>100</v>
      </c>
      <c r="P729" s="4" t="b">
        <f t="shared" si="11"/>
        <v>0</v>
      </c>
    </row>
    <row r="730" spans="1:16" x14ac:dyDescent="0.2">
      <c r="A730" t="s">
        <v>15</v>
      </c>
      <c r="B730" t="s">
        <v>1016</v>
      </c>
      <c r="C730">
        <v>737</v>
      </c>
      <c r="D730">
        <v>95633</v>
      </c>
      <c r="E730" t="s">
        <v>489</v>
      </c>
      <c r="F730" t="s">
        <v>38</v>
      </c>
      <c r="G730" t="s">
        <v>23</v>
      </c>
      <c r="H730" t="s">
        <v>39</v>
      </c>
      <c r="I730" t="s">
        <v>29</v>
      </c>
      <c r="J730">
        <v>39</v>
      </c>
      <c r="K730">
        <v>0.03</v>
      </c>
      <c r="L730">
        <v>1</v>
      </c>
      <c r="M730">
        <v>1</v>
      </c>
      <c r="N730">
        <v>1</v>
      </c>
      <c r="O730">
        <v>100</v>
      </c>
      <c r="P730" s="4" t="b">
        <f t="shared" si="11"/>
        <v>0</v>
      </c>
    </row>
    <row r="731" spans="1:16" x14ac:dyDescent="0.2">
      <c r="A731" t="s">
        <v>15</v>
      </c>
      <c r="B731" t="s">
        <v>1016</v>
      </c>
      <c r="C731">
        <v>738</v>
      </c>
      <c r="D731">
        <v>129562</v>
      </c>
      <c r="E731" t="s">
        <v>836</v>
      </c>
      <c r="F731" t="s">
        <v>68</v>
      </c>
      <c r="G731" t="s">
        <v>18</v>
      </c>
      <c r="H731" t="s">
        <v>28</v>
      </c>
      <c r="I731" t="s">
        <v>20</v>
      </c>
      <c r="J731">
        <v>50</v>
      </c>
      <c r="K731">
        <v>0.03</v>
      </c>
      <c r="L731">
        <v>1</v>
      </c>
      <c r="M731">
        <v>1</v>
      </c>
      <c r="N731">
        <v>1</v>
      </c>
      <c r="O731">
        <v>100</v>
      </c>
      <c r="P731" s="4" t="b">
        <f t="shared" si="11"/>
        <v>0</v>
      </c>
    </row>
    <row r="732" spans="1:16" x14ac:dyDescent="0.2">
      <c r="A732" t="s">
        <v>15</v>
      </c>
      <c r="B732" t="s">
        <v>1016</v>
      </c>
      <c r="C732">
        <v>739</v>
      </c>
      <c r="D732">
        <v>130888</v>
      </c>
      <c r="E732" t="s">
        <v>1001</v>
      </c>
      <c r="F732" t="s">
        <v>238</v>
      </c>
      <c r="G732" t="s">
        <v>18</v>
      </c>
      <c r="H732" t="s">
        <v>28</v>
      </c>
      <c r="I732" t="s">
        <v>29</v>
      </c>
      <c r="J732">
        <v>50</v>
      </c>
      <c r="K732">
        <v>0.03</v>
      </c>
      <c r="L732">
        <v>1</v>
      </c>
      <c r="M732">
        <v>1</v>
      </c>
      <c r="N732">
        <v>1</v>
      </c>
      <c r="O732">
        <v>100</v>
      </c>
      <c r="P732" s="4" t="b">
        <f t="shared" si="11"/>
        <v>0</v>
      </c>
    </row>
    <row r="733" spans="1:16" x14ac:dyDescent="0.2">
      <c r="A733" t="s">
        <v>15</v>
      </c>
      <c r="B733" t="s">
        <v>1016</v>
      </c>
      <c r="C733">
        <v>740</v>
      </c>
      <c r="D733">
        <v>123106</v>
      </c>
      <c r="E733" t="s">
        <v>657</v>
      </c>
      <c r="F733" t="s">
        <v>58</v>
      </c>
      <c r="G733" t="s">
        <v>23</v>
      </c>
      <c r="H733" t="s">
        <v>28</v>
      </c>
      <c r="I733" t="s">
        <v>20</v>
      </c>
      <c r="J733">
        <v>50</v>
      </c>
      <c r="K733">
        <v>0.03</v>
      </c>
      <c r="L733">
        <v>1</v>
      </c>
      <c r="M733">
        <v>1</v>
      </c>
      <c r="N733">
        <v>1</v>
      </c>
      <c r="O733">
        <v>100</v>
      </c>
      <c r="P733" s="4" t="b">
        <f t="shared" si="11"/>
        <v>0</v>
      </c>
    </row>
    <row r="734" spans="1:16" x14ac:dyDescent="0.2">
      <c r="A734" t="s">
        <v>15</v>
      </c>
      <c r="B734" t="s">
        <v>1016</v>
      </c>
      <c r="C734">
        <v>741</v>
      </c>
      <c r="D734">
        <v>129480</v>
      </c>
      <c r="E734" t="s">
        <v>802</v>
      </c>
      <c r="F734" t="s">
        <v>54</v>
      </c>
      <c r="G734" t="s">
        <v>18</v>
      </c>
      <c r="H734" t="s">
        <v>55</v>
      </c>
      <c r="I734" t="s">
        <v>29</v>
      </c>
      <c r="J734">
        <v>51</v>
      </c>
      <c r="K734">
        <v>0.03</v>
      </c>
      <c r="L734">
        <v>1</v>
      </c>
      <c r="M734">
        <v>1</v>
      </c>
      <c r="N734">
        <v>1</v>
      </c>
      <c r="O734">
        <v>100</v>
      </c>
      <c r="P734" s="4" t="b">
        <f t="shared" si="11"/>
        <v>0</v>
      </c>
    </row>
    <row r="735" spans="1:16" x14ac:dyDescent="0.2">
      <c r="A735" t="s">
        <v>15</v>
      </c>
      <c r="B735" t="s">
        <v>1016</v>
      </c>
      <c r="C735">
        <v>742</v>
      </c>
      <c r="D735">
        <v>130622</v>
      </c>
      <c r="E735" t="s">
        <v>630</v>
      </c>
      <c r="F735" t="s">
        <v>44</v>
      </c>
      <c r="G735" t="s">
        <v>18</v>
      </c>
      <c r="H735" t="s">
        <v>39</v>
      </c>
      <c r="I735" t="s">
        <v>29</v>
      </c>
      <c r="J735">
        <v>52</v>
      </c>
      <c r="K735">
        <v>0.03</v>
      </c>
      <c r="L735">
        <v>1</v>
      </c>
      <c r="M735">
        <v>1</v>
      </c>
      <c r="N735">
        <v>1</v>
      </c>
      <c r="O735">
        <v>100</v>
      </c>
      <c r="P735" s="4" t="b">
        <f t="shared" si="11"/>
        <v>0</v>
      </c>
    </row>
    <row r="736" spans="1:16" x14ac:dyDescent="0.2">
      <c r="A736" t="s">
        <v>15</v>
      </c>
      <c r="B736" t="s">
        <v>1016</v>
      </c>
      <c r="C736">
        <v>743</v>
      </c>
      <c r="D736">
        <v>126580</v>
      </c>
      <c r="E736" t="s">
        <v>500</v>
      </c>
      <c r="F736" t="s">
        <v>38</v>
      </c>
      <c r="G736" t="s">
        <v>23</v>
      </c>
      <c r="H736" t="s">
        <v>39</v>
      </c>
      <c r="I736" t="s">
        <v>29</v>
      </c>
      <c r="J736">
        <v>40</v>
      </c>
      <c r="K736">
        <v>0.03</v>
      </c>
      <c r="L736">
        <v>1</v>
      </c>
      <c r="M736">
        <v>1</v>
      </c>
      <c r="N736">
        <v>1</v>
      </c>
      <c r="O736">
        <v>100</v>
      </c>
      <c r="P736" s="4" t="b">
        <f t="shared" si="11"/>
        <v>0</v>
      </c>
    </row>
    <row r="737" spans="1:16" x14ac:dyDescent="0.2">
      <c r="A737" t="s">
        <v>15</v>
      </c>
      <c r="B737" t="s">
        <v>1016</v>
      </c>
      <c r="C737">
        <v>744</v>
      </c>
      <c r="D737">
        <v>130442</v>
      </c>
      <c r="E737" t="s">
        <v>841</v>
      </c>
      <c r="F737" t="s">
        <v>73</v>
      </c>
      <c r="G737" t="s">
        <v>18</v>
      </c>
      <c r="H737" t="s">
        <v>28</v>
      </c>
      <c r="I737" t="s">
        <v>29</v>
      </c>
      <c r="J737">
        <v>53</v>
      </c>
      <c r="K737">
        <v>0.03</v>
      </c>
      <c r="L737">
        <v>1</v>
      </c>
      <c r="M737">
        <v>1</v>
      </c>
      <c r="N737">
        <v>1</v>
      </c>
      <c r="O737">
        <v>100</v>
      </c>
      <c r="P737" s="4" t="b">
        <f t="shared" si="11"/>
        <v>0</v>
      </c>
    </row>
    <row r="738" spans="1:16" x14ac:dyDescent="0.2">
      <c r="A738" t="s">
        <v>15</v>
      </c>
      <c r="B738" t="s">
        <v>1016</v>
      </c>
      <c r="C738">
        <v>745</v>
      </c>
      <c r="D738">
        <v>129560</v>
      </c>
      <c r="E738" t="s">
        <v>840</v>
      </c>
      <c r="F738" t="s">
        <v>68</v>
      </c>
      <c r="G738" t="s">
        <v>18</v>
      </c>
      <c r="H738" t="s">
        <v>28</v>
      </c>
      <c r="I738" t="s">
        <v>29</v>
      </c>
      <c r="J738">
        <v>51</v>
      </c>
      <c r="K738">
        <v>0.03</v>
      </c>
      <c r="L738">
        <v>1</v>
      </c>
      <c r="M738">
        <v>1</v>
      </c>
      <c r="N738">
        <v>1</v>
      </c>
      <c r="O738">
        <v>100</v>
      </c>
      <c r="P738" s="4" t="b">
        <f t="shared" si="11"/>
        <v>0</v>
      </c>
    </row>
    <row r="739" spans="1:16" x14ac:dyDescent="0.2">
      <c r="A739" t="s">
        <v>15</v>
      </c>
      <c r="B739" t="s">
        <v>1016</v>
      </c>
      <c r="C739">
        <v>746</v>
      </c>
      <c r="D739">
        <v>66650</v>
      </c>
      <c r="E739" t="s">
        <v>673</v>
      </c>
      <c r="F739" t="s">
        <v>58</v>
      </c>
      <c r="G739" t="s">
        <v>23</v>
      </c>
      <c r="H739" t="s">
        <v>28</v>
      </c>
      <c r="I739" t="s">
        <v>29</v>
      </c>
      <c r="J739">
        <v>51</v>
      </c>
      <c r="K739">
        <v>0.03</v>
      </c>
      <c r="L739">
        <v>1</v>
      </c>
      <c r="M739">
        <v>1</v>
      </c>
      <c r="N739">
        <v>1</v>
      </c>
      <c r="O739">
        <v>100</v>
      </c>
      <c r="P739" s="4" t="b">
        <f t="shared" si="11"/>
        <v>0</v>
      </c>
    </row>
    <row r="740" spans="1:16" x14ac:dyDescent="0.2">
      <c r="A740" t="s">
        <v>15</v>
      </c>
      <c r="B740" t="s">
        <v>1016</v>
      </c>
      <c r="C740">
        <v>747</v>
      </c>
      <c r="D740">
        <v>130891</v>
      </c>
      <c r="E740" t="s">
        <v>1002</v>
      </c>
      <c r="F740" t="s">
        <v>238</v>
      </c>
      <c r="G740" t="s">
        <v>18</v>
      </c>
      <c r="H740" t="s">
        <v>28</v>
      </c>
      <c r="I740" t="s">
        <v>20</v>
      </c>
      <c r="J740">
        <v>51</v>
      </c>
      <c r="K740">
        <v>0.03</v>
      </c>
      <c r="L740">
        <v>1</v>
      </c>
      <c r="M740">
        <v>1</v>
      </c>
      <c r="N740">
        <v>1</v>
      </c>
      <c r="O740">
        <v>100</v>
      </c>
      <c r="P740" s="4" t="b">
        <f t="shared" si="11"/>
        <v>0</v>
      </c>
    </row>
    <row r="741" spans="1:16" x14ac:dyDescent="0.2">
      <c r="A741" t="s">
        <v>15</v>
      </c>
      <c r="B741" t="s">
        <v>1016</v>
      </c>
      <c r="C741">
        <v>748</v>
      </c>
      <c r="D741">
        <v>129466</v>
      </c>
      <c r="E741" t="s">
        <v>803</v>
      </c>
      <c r="F741" t="s">
        <v>54</v>
      </c>
      <c r="G741" t="s">
        <v>18</v>
      </c>
      <c r="H741" t="s">
        <v>55</v>
      </c>
      <c r="I741" t="s">
        <v>29</v>
      </c>
      <c r="J741">
        <v>52</v>
      </c>
      <c r="K741">
        <v>0.03</v>
      </c>
      <c r="L741">
        <v>1</v>
      </c>
      <c r="M741">
        <v>1</v>
      </c>
      <c r="N741">
        <v>1</v>
      </c>
      <c r="O741">
        <v>100</v>
      </c>
      <c r="P741" s="4" t="b">
        <f t="shared" si="11"/>
        <v>0</v>
      </c>
    </row>
    <row r="742" spans="1:16" x14ac:dyDescent="0.2">
      <c r="A742" t="s">
        <v>15</v>
      </c>
      <c r="B742" t="s">
        <v>1016</v>
      </c>
      <c r="C742">
        <v>749</v>
      </c>
      <c r="D742">
        <v>131989</v>
      </c>
      <c r="E742" t="s">
        <v>502</v>
      </c>
      <c r="F742" t="s">
        <v>38</v>
      </c>
      <c r="G742" t="s">
        <v>23</v>
      </c>
      <c r="H742" t="s">
        <v>39</v>
      </c>
      <c r="I742" t="s">
        <v>29</v>
      </c>
      <c r="J742">
        <v>41</v>
      </c>
      <c r="K742">
        <v>0.03</v>
      </c>
      <c r="L742">
        <v>1</v>
      </c>
      <c r="M742">
        <v>1</v>
      </c>
      <c r="N742">
        <v>1</v>
      </c>
      <c r="O742">
        <v>100</v>
      </c>
      <c r="P742" s="4" t="b">
        <f t="shared" si="11"/>
        <v>0</v>
      </c>
    </row>
    <row r="743" spans="1:16" x14ac:dyDescent="0.2">
      <c r="A743" t="s">
        <v>15</v>
      </c>
      <c r="B743" t="s">
        <v>1016</v>
      </c>
      <c r="C743">
        <v>750</v>
      </c>
      <c r="D743">
        <v>130625</v>
      </c>
      <c r="E743" t="s">
        <v>641</v>
      </c>
      <c r="F743" t="s">
        <v>44</v>
      </c>
      <c r="G743" t="s">
        <v>18</v>
      </c>
      <c r="H743" t="s">
        <v>39</v>
      </c>
      <c r="I743" t="s">
        <v>29</v>
      </c>
      <c r="J743">
        <v>53</v>
      </c>
      <c r="K743">
        <v>0.03</v>
      </c>
      <c r="L743">
        <v>1</v>
      </c>
      <c r="M743">
        <v>1</v>
      </c>
      <c r="N743">
        <v>1</v>
      </c>
      <c r="O743">
        <v>100</v>
      </c>
      <c r="P743" s="4" t="b">
        <f t="shared" si="11"/>
        <v>0</v>
      </c>
    </row>
    <row r="744" spans="1:16" x14ac:dyDescent="0.2">
      <c r="A744" t="s">
        <v>15</v>
      </c>
      <c r="B744" t="s">
        <v>1016</v>
      </c>
      <c r="C744">
        <v>751</v>
      </c>
      <c r="D744">
        <v>50482</v>
      </c>
      <c r="E744" t="s">
        <v>679</v>
      </c>
      <c r="F744" t="s">
        <v>58</v>
      </c>
      <c r="G744" t="s">
        <v>23</v>
      </c>
      <c r="H744" t="s">
        <v>28</v>
      </c>
      <c r="I744" t="s">
        <v>29</v>
      </c>
      <c r="J744">
        <v>53</v>
      </c>
      <c r="K744">
        <v>0.03</v>
      </c>
      <c r="L744">
        <v>1</v>
      </c>
      <c r="M744">
        <v>1</v>
      </c>
      <c r="N744">
        <v>1</v>
      </c>
      <c r="O744">
        <v>100</v>
      </c>
      <c r="P744" s="4" t="b">
        <f t="shared" si="11"/>
        <v>0</v>
      </c>
    </row>
    <row r="745" spans="1:16" x14ac:dyDescent="0.2">
      <c r="A745" t="s">
        <v>15</v>
      </c>
      <c r="B745" t="s">
        <v>1016</v>
      </c>
      <c r="C745">
        <v>752</v>
      </c>
      <c r="D745">
        <v>129862</v>
      </c>
      <c r="E745" t="s">
        <v>846</v>
      </c>
      <c r="F745" t="s">
        <v>73</v>
      </c>
      <c r="G745" t="s">
        <v>18</v>
      </c>
      <c r="H745" t="s">
        <v>28</v>
      </c>
      <c r="I745" t="s">
        <v>20</v>
      </c>
      <c r="J745">
        <v>54</v>
      </c>
      <c r="K745">
        <v>0.03</v>
      </c>
      <c r="L745">
        <v>1</v>
      </c>
      <c r="M745">
        <v>1</v>
      </c>
      <c r="N745">
        <v>1</v>
      </c>
      <c r="O745">
        <v>100</v>
      </c>
      <c r="P745" s="4" t="b">
        <f t="shared" si="11"/>
        <v>0</v>
      </c>
    </row>
    <row r="746" spans="1:16" x14ac:dyDescent="0.2">
      <c r="A746" t="s">
        <v>15</v>
      </c>
      <c r="B746" t="s">
        <v>1016</v>
      </c>
      <c r="C746">
        <v>753</v>
      </c>
      <c r="D746">
        <v>129557</v>
      </c>
      <c r="E746" t="s">
        <v>845</v>
      </c>
      <c r="F746" t="s">
        <v>68</v>
      </c>
      <c r="G746" t="s">
        <v>18</v>
      </c>
      <c r="H746" t="s">
        <v>28</v>
      </c>
      <c r="I746" t="s">
        <v>20</v>
      </c>
      <c r="J746">
        <v>52</v>
      </c>
      <c r="K746">
        <v>0.03</v>
      </c>
      <c r="L746">
        <v>1</v>
      </c>
      <c r="M746">
        <v>1</v>
      </c>
      <c r="N746">
        <v>1</v>
      </c>
      <c r="O746">
        <v>100</v>
      </c>
      <c r="P746" s="4" t="b">
        <f t="shared" si="11"/>
        <v>0</v>
      </c>
    </row>
    <row r="747" spans="1:16" x14ac:dyDescent="0.2">
      <c r="A747" t="s">
        <v>15</v>
      </c>
      <c r="B747" t="s">
        <v>1016</v>
      </c>
      <c r="C747">
        <v>754</v>
      </c>
      <c r="D747">
        <v>192640</v>
      </c>
      <c r="E747" t="s">
        <v>509</v>
      </c>
      <c r="F747" t="s">
        <v>38</v>
      </c>
      <c r="G747" t="s">
        <v>23</v>
      </c>
      <c r="H747" t="s">
        <v>39</v>
      </c>
      <c r="I747" t="s">
        <v>29</v>
      </c>
      <c r="J747">
        <v>42</v>
      </c>
      <c r="K747">
        <v>0.03</v>
      </c>
      <c r="L747">
        <v>1</v>
      </c>
      <c r="M747">
        <v>1</v>
      </c>
      <c r="N747">
        <v>1</v>
      </c>
      <c r="O747">
        <v>100</v>
      </c>
      <c r="P747" s="4" t="b">
        <f t="shared" si="11"/>
        <v>0</v>
      </c>
    </row>
    <row r="748" spans="1:16" x14ac:dyDescent="0.2">
      <c r="A748" t="s">
        <v>15</v>
      </c>
      <c r="B748" t="s">
        <v>1016</v>
      </c>
      <c r="C748">
        <v>755</v>
      </c>
      <c r="D748">
        <v>130902</v>
      </c>
      <c r="E748" t="s">
        <v>1003</v>
      </c>
      <c r="F748" t="s">
        <v>238</v>
      </c>
      <c r="G748" t="s">
        <v>18</v>
      </c>
      <c r="H748" t="s">
        <v>28</v>
      </c>
      <c r="I748" t="s">
        <v>29</v>
      </c>
      <c r="J748">
        <v>52</v>
      </c>
      <c r="K748">
        <v>0.03</v>
      </c>
      <c r="L748">
        <v>1</v>
      </c>
      <c r="M748">
        <v>1</v>
      </c>
      <c r="N748">
        <v>1</v>
      </c>
      <c r="O748">
        <v>100</v>
      </c>
      <c r="P748" s="4" t="b">
        <f t="shared" si="11"/>
        <v>0</v>
      </c>
    </row>
    <row r="749" spans="1:16" x14ac:dyDescent="0.2">
      <c r="A749" t="s">
        <v>15</v>
      </c>
      <c r="B749" t="s">
        <v>1016</v>
      </c>
      <c r="C749">
        <v>756</v>
      </c>
      <c r="D749">
        <v>129464</v>
      </c>
      <c r="E749" t="s">
        <v>806</v>
      </c>
      <c r="F749" t="s">
        <v>54</v>
      </c>
      <c r="G749" t="s">
        <v>18</v>
      </c>
      <c r="H749" t="s">
        <v>55</v>
      </c>
      <c r="I749" t="s">
        <v>29</v>
      </c>
      <c r="J749">
        <v>53</v>
      </c>
      <c r="K749">
        <v>0.03</v>
      </c>
      <c r="L749">
        <v>1</v>
      </c>
      <c r="M749">
        <v>1</v>
      </c>
      <c r="N749">
        <v>1</v>
      </c>
      <c r="O749">
        <v>100</v>
      </c>
      <c r="P749" s="4" t="b">
        <f t="shared" si="11"/>
        <v>0</v>
      </c>
    </row>
    <row r="750" spans="1:16" x14ac:dyDescent="0.2">
      <c r="A750" t="s">
        <v>15</v>
      </c>
      <c r="B750" t="s">
        <v>1016</v>
      </c>
      <c r="C750">
        <v>757</v>
      </c>
      <c r="D750">
        <v>48860</v>
      </c>
      <c r="E750" t="s">
        <v>686</v>
      </c>
      <c r="F750" t="s">
        <v>58</v>
      </c>
      <c r="G750" t="s">
        <v>23</v>
      </c>
      <c r="H750" t="s">
        <v>28</v>
      </c>
      <c r="I750" t="s">
        <v>29</v>
      </c>
      <c r="J750">
        <v>54</v>
      </c>
      <c r="K750">
        <v>0.03</v>
      </c>
      <c r="L750">
        <v>1</v>
      </c>
      <c r="M750">
        <v>1</v>
      </c>
      <c r="N750">
        <v>1</v>
      </c>
      <c r="O750">
        <v>100</v>
      </c>
      <c r="P750" s="4" t="b">
        <f t="shared" si="11"/>
        <v>0</v>
      </c>
    </row>
    <row r="751" spans="1:16" x14ac:dyDescent="0.2">
      <c r="A751" t="s">
        <v>15</v>
      </c>
      <c r="B751" t="s">
        <v>1016</v>
      </c>
      <c r="C751">
        <v>758</v>
      </c>
      <c r="D751">
        <v>130647</v>
      </c>
      <c r="E751" t="s">
        <v>645</v>
      </c>
      <c r="F751" t="s">
        <v>44</v>
      </c>
      <c r="G751" t="s">
        <v>18</v>
      </c>
      <c r="H751" t="s">
        <v>39</v>
      </c>
      <c r="I751" t="s">
        <v>29</v>
      </c>
      <c r="J751">
        <v>54</v>
      </c>
      <c r="K751">
        <v>0.03</v>
      </c>
      <c r="L751">
        <v>1</v>
      </c>
      <c r="M751">
        <v>1</v>
      </c>
      <c r="N751">
        <v>1</v>
      </c>
      <c r="O751">
        <v>100</v>
      </c>
      <c r="P751" s="4" t="b">
        <f t="shared" si="11"/>
        <v>0</v>
      </c>
    </row>
    <row r="752" spans="1:16" x14ac:dyDescent="0.2">
      <c r="A752" t="s">
        <v>15</v>
      </c>
      <c r="B752" t="s">
        <v>1016</v>
      </c>
      <c r="C752">
        <v>759</v>
      </c>
      <c r="D752">
        <v>129865</v>
      </c>
      <c r="E752" t="s">
        <v>849</v>
      </c>
      <c r="F752" t="s">
        <v>73</v>
      </c>
      <c r="G752" t="s">
        <v>18</v>
      </c>
      <c r="H752" t="s">
        <v>28</v>
      </c>
      <c r="I752" t="s">
        <v>20</v>
      </c>
      <c r="J752">
        <v>55</v>
      </c>
      <c r="K752">
        <v>0.03</v>
      </c>
      <c r="L752">
        <v>1</v>
      </c>
      <c r="M752">
        <v>1</v>
      </c>
      <c r="N752">
        <v>1</v>
      </c>
      <c r="O752">
        <v>100</v>
      </c>
      <c r="P752" s="4" t="b">
        <f t="shared" si="11"/>
        <v>0</v>
      </c>
    </row>
    <row r="753" spans="1:16" x14ac:dyDescent="0.2">
      <c r="A753" t="s">
        <v>15</v>
      </c>
      <c r="B753" t="s">
        <v>1016</v>
      </c>
      <c r="C753">
        <v>760</v>
      </c>
      <c r="D753">
        <v>132059</v>
      </c>
      <c r="E753" t="s">
        <v>513</v>
      </c>
      <c r="F753" t="s">
        <v>38</v>
      </c>
      <c r="G753" t="s">
        <v>23</v>
      </c>
      <c r="H753" t="s">
        <v>39</v>
      </c>
      <c r="I753" t="s">
        <v>29</v>
      </c>
      <c r="J753">
        <v>43</v>
      </c>
      <c r="K753">
        <v>3</v>
      </c>
      <c r="L753">
        <v>3</v>
      </c>
      <c r="M753">
        <v>3</v>
      </c>
      <c r="N753">
        <v>3</v>
      </c>
      <c r="O753">
        <v>3</v>
      </c>
      <c r="P753" s="4" t="b">
        <f t="shared" si="11"/>
        <v>0</v>
      </c>
    </row>
    <row r="754" spans="1:16" x14ac:dyDescent="0.2">
      <c r="A754" t="s">
        <v>15</v>
      </c>
      <c r="B754" t="s">
        <v>1016</v>
      </c>
      <c r="C754">
        <v>761</v>
      </c>
      <c r="D754">
        <v>129556</v>
      </c>
      <c r="E754" t="s">
        <v>848</v>
      </c>
      <c r="F754" t="s">
        <v>68</v>
      </c>
      <c r="G754" t="s">
        <v>18</v>
      </c>
      <c r="H754" t="s">
        <v>28</v>
      </c>
      <c r="I754" t="s">
        <v>20</v>
      </c>
      <c r="J754">
        <v>53</v>
      </c>
      <c r="K754">
        <v>0.03</v>
      </c>
      <c r="L754">
        <v>1</v>
      </c>
      <c r="M754">
        <v>1</v>
      </c>
      <c r="N754">
        <v>1</v>
      </c>
      <c r="O754">
        <v>100</v>
      </c>
      <c r="P754" s="4" t="b">
        <f t="shared" si="11"/>
        <v>0</v>
      </c>
    </row>
    <row r="755" spans="1:16" x14ac:dyDescent="0.2">
      <c r="A755" t="s">
        <v>15</v>
      </c>
      <c r="B755" t="s">
        <v>1016</v>
      </c>
      <c r="C755">
        <v>762</v>
      </c>
      <c r="D755">
        <v>130931</v>
      </c>
      <c r="E755" t="s">
        <v>1004</v>
      </c>
      <c r="F755" t="s">
        <v>238</v>
      </c>
      <c r="G755" t="s">
        <v>18</v>
      </c>
      <c r="H755" t="s">
        <v>28</v>
      </c>
      <c r="I755" t="s">
        <v>20</v>
      </c>
      <c r="J755">
        <v>53</v>
      </c>
      <c r="K755">
        <v>0.03</v>
      </c>
      <c r="L755">
        <v>1</v>
      </c>
      <c r="M755">
        <v>1</v>
      </c>
      <c r="N755">
        <v>1</v>
      </c>
      <c r="O755">
        <v>100</v>
      </c>
      <c r="P755" s="4" t="b">
        <f t="shared" si="11"/>
        <v>0</v>
      </c>
    </row>
    <row r="756" spans="1:16" x14ac:dyDescent="0.2">
      <c r="A756" t="s">
        <v>15</v>
      </c>
      <c r="B756" t="s">
        <v>1016</v>
      </c>
      <c r="C756">
        <v>763</v>
      </c>
      <c r="D756">
        <v>10344</v>
      </c>
      <c r="E756" t="s">
        <v>697</v>
      </c>
      <c r="F756" t="s">
        <v>58</v>
      </c>
      <c r="G756" t="s">
        <v>23</v>
      </c>
      <c r="H756" t="s">
        <v>28</v>
      </c>
      <c r="I756" t="s">
        <v>29</v>
      </c>
      <c r="J756">
        <v>55</v>
      </c>
      <c r="K756">
        <v>0.03</v>
      </c>
      <c r="L756">
        <v>1</v>
      </c>
      <c r="M756">
        <v>1</v>
      </c>
      <c r="N756">
        <v>1</v>
      </c>
      <c r="O756">
        <v>100</v>
      </c>
      <c r="P756" s="4" t="b">
        <f t="shared" si="11"/>
        <v>0</v>
      </c>
    </row>
    <row r="757" spans="1:16" x14ac:dyDescent="0.2">
      <c r="A757" t="s">
        <v>15</v>
      </c>
      <c r="B757" t="s">
        <v>1016</v>
      </c>
      <c r="C757">
        <v>764</v>
      </c>
      <c r="D757">
        <v>129462</v>
      </c>
      <c r="E757" t="s">
        <v>809</v>
      </c>
      <c r="F757" t="s">
        <v>54</v>
      </c>
      <c r="G757" t="s">
        <v>18</v>
      </c>
      <c r="H757" t="s">
        <v>55</v>
      </c>
      <c r="I757" t="s">
        <v>29</v>
      </c>
      <c r="J757">
        <v>54</v>
      </c>
      <c r="K757">
        <v>0.03</v>
      </c>
      <c r="L757">
        <v>1</v>
      </c>
      <c r="M757">
        <v>1</v>
      </c>
      <c r="N757">
        <v>1</v>
      </c>
      <c r="O757">
        <v>100</v>
      </c>
      <c r="P757" s="4" t="b">
        <f t="shared" si="11"/>
        <v>0</v>
      </c>
    </row>
    <row r="758" spans="1:16" x14ac:dyDescent="0.2">
      <c r="A758" t="s">
        <v>15</v>
      </c>
      <c r="B758" t="s">
        <v>1016</v>
      </c>
      <c r="C758">
        <v>765</v>
      </c>
      <c r="D758">
        <v>132219</v>
      </c>
      <c r="E758" t="s">
        <v>520</v>
      </c>
      <c r="F758" t="s">
        <v>38</v>
      </c>
      <c r="G758" t="s">
        <v>23</v>
      </c>
      <c r="H758" t="s">
        <v>39</v>
      </c>
      <c r="I758" t="s">
        <v>29</v>
      </c>
      <c r="J758">
        <v>44</v>
      </c>
      <c r="K758">
        <v>3.5</v>
      </c>
      <c r="L758">
        <v>3</v>
      </c>
      <c r="M758">
        <v>2</v>
      </c>
      <c r="N758">
        <v>2</v>
      </c>
      <c r="O758">
        <v>2</v>
      </c>
      <c r="P758" s="4" t="b">
        <f t="shared" si="11"/>
        <v>0</v>
      </c>
    </row>
    <row r="759" spans="1:16" x14ac:dyDescent="0.2">
      <c r="A759" t="s">
        <v>15</v>
      </c>
      <c r="B759" t="s">
        <v>1016</v>
      </c>
      <c r="C759">
        <v>766</v>
      </c>
      <c r="D759">
        <v>130021</v>
      </c>
      <c r="E759" t="s">
        <v>658</v>
      </c>
      <c r="F759" t="s">
        <v>44</v>
      </c>
      <c r="G759" t="s">
        <v>18</v>
      </c>
      <c r="H759" t="s">
        <v>39</v>
      </c>
      <c r="I759" t="s">
        <v>29</v>
      </c>
      <c r="J759">
        <v>55</v>
      </c>
      <c r="K759">
        <v>0.03</v>
      </c>
      <c r="L759">
        <v>1</v>
      </c>
      <c r="M759">
        <v>1</v>
      </c>
      <c r="N759">
        <v>1</v>
      </c>
      <c r="O759">
        <v>100</v>
      </c>
      <c r="P759" s="4" t="b">
        <f t="shared" si="11"/>
        <v>0</v>
      </c>
    </row>
    <row r="760" spans="1:16" x14ac:dyDescent="0.2">
      <c r="A760" t="s">
        <v>15</v>
      </c>
      <c r="B760" t="s">
        <v>1016</v>
      </c>
      <c r="C760">
        <v>767</v>
      </c>
      <c r="D760">
        <v>130741</v>
      </c>
      <c r="E760" t="s">
        <v>851</v>
      </c>
      <c r="F760" t="s">
        <v>73</v>
      </c>
      <c r="G760" t="s">
        <v>18</v>
      </c>
      <c r="H760" t="s">
        <v>28</v>
      </c>
      <c r="I760" t="s">
        <v>20</v>
      </c>
      <c r="J760">
        <v>56</v>
      </c>
      <c r="K760">
        <v>0.03</v>
      </c>
      <c r="L760">
        <v>1</v>
      </c>
      <c r="M760">
        <v>1</v>
      </c>
      <c r="N760">
        <v>1</v>
      </c>
      <c r="O760">
        <v>100</v>
      </c>
      <c r="P760" s="4" t="b">
        <f t="shared" si="11"/>
        <v>0</v>
      </c>
    </row>
    <row r="761" spans="1:16" x14ac:dyDescent="0.2">
      <c r="A761" t="s">
        <v>15</v>
      </c>
      <c r="B761" t="s">
        <v>1016</v>
      </c>
      <c r="C761">
        <v>768</v>
      </c>
      <c r="D761">
        <v>10345</v>
      </c>
      <c r="E761" t="s">
        <v>701</v>
      </c>
      <c r="F761" t="s">
        <v>58</v>
      </c>
      <c r="G761" t="s">
        <v>23</v>
      </c>
      <c r="H761" t="s">
        <v>28</v>
      </c>
      <c r="I761" t="s">
        <v>29</v>
      </c>
      <c r="J761">
        <v>56</v>
      </c>
      <c r="K761">
        <v>0.03</v>
      </c>
      <c r="L761">
        <v>1</v>
      </c>
      <c r="M761">
        <v>1</v>
      </c>
      <c r="N761">
        <v>1</v>
      </c>
      <c r="O761">
        <v>100</v>
      </c>
      <c r="P761" s="4" t="b">
        <f t="shared" si="11"/>
        <v>0</v>
      </c>
    </row>
    <row r="762" spans="1:16" x14ac:dyDescent="0.2">
      <c r="A762" t="s">
        <v>15</v>
      </c>
      <c r="B762" t="s">
        <v>1016</v>
      </c>
      <c r="C762">
        <v>769</v>
      </c>
      <c r="D762">
        <v>130523</v>
      </c>
      <c r="E762" t="s">
        <v>1005</v>
      </c>
      <c r="F762" t="s">
        <v>238</v>
      </c>
      <c r="G762" t="s">
        <v>18</v>
      </c>
      <c r="H762" t="s">
        <v>28</v>
      </c>
      <c r="I762" t="s">
        <v>20</v>
      </c>
      <c r="J762">
        <v>54</v>
      </c>
      <c r="K762">
        <v>0.03</v>
      </c>
      <c r="L762">
        <v>1</v>
      </c>
      <c r="M762">
        <v>1</v>
      </c>
      <c r="N762">
        <v>1</v>
      </c>
      <c r="O762">
        <v>100</v>
      </c>
      <c r="P762" s="4" t="b">
        <f t="shared" si="11"/>
        <v>0</v>
      </c>
    </row>
    <row r="763" spans="1:16" x14ac:dyDescent="0.2">
      <c r="A763" t="s">
        <v>15</v>
      </c>
      <c r="B763" t="s">
        <v>1016</v>
      </c>
      <c r="C763">
        <v>770</v>
      </c>
      <c r="D763">
        <v>129461</v>
      </c>
      <c r="E763" t="s">
        <v>812</v>
      </c>
      <c r="F763" t="s">
        <v>54</v>
      </c>
      <c r="G763" t="s">
        <v>18</v>
      </c>
      <c r="H763" t="s">
        <v>55</v>
      </c>
      <c r="I763" t="s">
        <v>29</v>
      </c>
      <c r="J763">
        <v>55</v>
      </c>
      <c r="K763">
        <v>0.03</v>
      </c>
      <c r="L763">
        <v>1</v>
      </c>
      <c r="M763">
        <v>1</v>
      </c>
      <c r="N763">
        <v>1</v>
      </c>
      <c r="O763">
        <v>100</v>
      </c>
      <c r="P763" s="4" t="b">
        <f t="shared" si="11"/>
        <v>0</v>
      </c>
    </row>
    <row r="764" spans="1:16" x14ac:dyDescent="0.2">
      <c r="A764" t="s">
        <v>15</v>
      </c>
      <c r="B764" t="s">
        <v>1016</v>
      </c>
      <c r="C764">
        <v>771</v>
      </c>
      <c r="D764">
        <v>126588</v>
      </c>
      <c r="E764" t="s">
        <v>522</v>
      </c>
      <c r="F764" t="s">
        <v>38</v>
      </c>
      <c r="G764" t="s">
        <v>23</v>
      </c>
      <c r="H764" t="s">
        <v>39</v>
      </c>
      <c r="I764" t="s">
        <v>29</v>
      </c>
      <c r="J764">
        <v>45</v>
      </c>
      <c r="K764">
        <v>0.03</v>
      </c>
      <c r="L764">
        <v>1</v>
      </c>
      <c r="M764">
        <v>1</v>
      </c>
      <c r="N764">
        <v>1</v>
      </c>
      <c r="O764">
        <v>100</v>
      </c>
      <c r="P764" s="4" t="b">
        <f t="shared" si="11"/>
        <v>0</v>
      </c>
    </row>
    <row r="765" spans="1:16" x14ac:dyDescent="0.2">
      <c r="A765" t="s">
        <v>15</v>
      </c>
      <c r="B765" t="s">
        <v>1016</v>
      </c>
      <c r="C765">
        <v>772</v>
      </c>
      <c r="D765">
        <v>130662</v>
      </c>
      <c r="E765" t="s">
        <v>667</v>
      </c>
      <c r="F765" t="s">
        <v>44</v>
      </c>
      <c r="G765" t="s">
        <v>18</v>
      </c>
      <c r="H765" t="s">
        <v>39</v>
      </c>
      <c r="I765" t="s">
        <v>20</v>
      </c>
      <c r="J765">
        <v>56</v>
      </c>
      <c r="K765">
        <v>0.03</v>
      </c>
      <c r="L765">
        <v>1</v>
      </c>
      <c r="M765">
        <v>1</v>
      </c>
      <c r="N765">
        <v>1</v>
      </c>
      <c r="O765">
        <v>100</v>
      </c>
      <c r="P765" s="4" t="b">
        <f t="shared" si="11"/>
        <v>0</v>
      </c>
    </row>
    <row r="766" spans="1:16" x14ac:dyDescent="0.2">
      <c r="A766" t="s">
        <v>15</v>
      </c>
      <c r="B766" t="s">
        <v>1016</v>
      </c>
      <c r="C766">
        <v>773</v>
      </c>
      <c r="D766">
        <v>129491</v>
      </c>
      <c r="E766" t="s">
        <v>853</v>
      </c>
      <c r="F766" t="s">
        <v>73</v>
      </c>
      <c r="G766" t="s">
        <v>18</v>
      </c>
      <c r="H766" t="s">
        <v>28</v>
      </c>
      <c r="I766" t="s">
        <v>29</v>
      </c>
      <c r="J766">
        <v>57</v>
      </c>
      <c r="K766">
        <v>0.03</v>
      </c>
      <c r="L766">
        <v>1</v>
      </c>
      <c r="M766">
        <v>1</v>
      </c>
      <c r="N766">
        <v>1</v>
      </c>
      <c r="O766">
        <v>100</v>
      </c>
      <c r="P766" s="4" t="b">
        <f t="shared" si="11"/>
        <v>0</v>
      </c>
    </row>
    <row r="767" spans="1:16" x14ac:dyDescent="0.2">
      <c r="A767" t="s">
        <v>15</v>
      </c>
      <c r="B767" t="s">
        <v>1016</v>
      </c>
      <c r="C767">
        <v>774</v>
      </c>
      <c r="D767">
        <v>157275</v>
      </c>
      <c r="E767" t="s">
        <v>703</v>
      </c>
      <c r="F767" t="s">
        <v>58</v>
      </c>
      <c r="G767" t="s">
        <v>23</v>
      </c>
      <c r="H767" t="s">
        <v>28</v>
      </c>
      <c r="I767" t="s">
        <v>29</v>
      </c>
      <c r="J767">
        <v>57</v>
      </c>
      <c r="K767">
        <v>0.03</v>
      </c>
      <c r="L767">
        <v>1</v>
      </c>
      <c r="M767">
        <v>1</v>
      </c>
      <c r="N767">
        <v>1</v>
      </c>
      <c r="O767">
        <v>100</v>
      </c>
      <c r="P767" s="4" t="b">
        <f t="shared" si="11"/>
        <v>0</v>
      </c>
    </row>
    <row r="768" spans="1:16" x14ac:dyDescent="0.2">
      <c r="A768" t="s">
        <v>15</v>
      </c>
      <c r="B768" t="s">
        <v>1016</v>
      </c>
      <c r="C768">
        <v>775</v>
      </c>
      <c r="D768">
        <v>130358</v>
      </c>
      <c r="E768" t="s">
        <v>1006</v>
      </c>
      <c r="F768" t="s">
        <v>238</v>
      </c>
      <c r="G768" t="s">
        <v>18</v>
      </c>
      <c r="H768" t="s">
        <v>28</v>
      </c>
      <c r="I768" t="s">
        <v>83</v>
      </c>
      <c r="J768">
        <v>55</v>
      </c>
      <c r="K768">
        <v>0.03</v>
      </c>
      <c r="L768">
        <v>1</v>
      </c>
      <c r="M768">
        <v>1</v>
      </c>
      <c r="N768">
        <v>1</v>
      </c>
      <c r="O768">
        <v>100</v>
      </c>
      <c r="P768" s="4" t="b">
        <f t="shared" si="11"/>
        <v>0</v>
      </c>
    </row>
    <row r="769" spans="1:16" x14ac:dyDescent="0.2">
      <c r="A769" t="s">
        <v>15</v>
      </c>
      <c r="B769" t="s">
        <v>1016</v>
      </c>
      <c r="C769">
        <v>776</v>
      </c>
      <c r="D769">
        <v>129460</v>
      </c>
      <c r="E769" t="s">
        <v>816</v>
      </c>
      <c r="F769" t="s">
        <v>54</v>
      </c>
      <c r="G769" t="s">
        <v>18</v>
      </c>
      <c r="H769" t="s">
        <v>55</v>
      </c>
      <c r="I769" t="s">
        <v>29</v>
      </c>
      <c r="J769">
        <v>56</v>
      </c>
      <c r="K769">
        <v>0.03</v>
      </c>
      <c r="L769">
        <v>1</v>
      </c>
      <c r="M769">
        <v>1</v>
      </c>
      <c r="N769">
        <v>1</v>
      </c>
      <c r="O769">
        <v>100</v>
      </c>
      <c r="P769" s="4" t="b">
        <f t="shared" si="11"/>
        <v>0</v>
      </c>
    </row>
    <row r="770" spans="1:16" x14ac:dyDescent="0.2">
      <c r="A770" t="s">
        <v>15</v>
      </c>
      <c r="B770" t="s">
        <v>1016</v>
      </c>
      <c r="C770">
        <v>777</v>
      </c>
      <c r="D770">
        <v>124021</v>
      </c>
      <c r="E770" t="s">
        <v>529</v>
      </c>
      <c r="F770" t="s">
        <v>38</v>
      </c>
      <c r="G770" t="s">
        <v>23</v>
      </c>
      <c r="H770" t="s">
        <v>39</v>
      </c>
      <c r="I770" t="s">
        <v>29</v>
      </c>
      <c r="J770">
        <v>46</v>
      </c>
      <c r="K770">
        <v>0.03</v>
      </c>
      <c r="L770">
        <v>1</v>
      </c>
      <c r="M770">
        <v>1</v>
      </c>
      <c r="N770">
        <v>1</v>
      </c>
      <c r="O770">
        <v>100</v>
      </c>
      <c r="P770" s="4" t="b">
        <f t="shared" si="11"/>
        <v>0</v>
      </c>
    </row>
    <row r="771" spans="1:16" x14ac:dyDescent="0.2">
      <c r="A771" t="s">
        <v>15</v>
      </c>
      <c r="B771" t="s">
        <v>1016</v>
      </c>
      <c r="C771">
        <v>778</v>
      </c>
      <c r="D771">
        <v>130843</v>
      </c>
      <c r="E771" t="s">
        <v>676</v>
      </c>
      <c r="F771" t="s">
        <v>44</v>
      </c>
      <c r="G771" t="s">
        <v>18</v>
      </c>
      <c r="H771" t="s">
        <v>39</v>
      </c>
      <c r="I771" t="s">
        <v>29</v>
      </c>
      <c r="J771">
        <v>57</v>
      </c>
      <c r="K771">
        <v>0.03</v>
      </c>
      <c r="L771">
        <v>1</v>
      </c>
      <c r="M771">
        <v>1</v>
      </c>
      <c r="N771">
        <v>1</v>
      </c>
      <c r="O771">
        <v>100</v>
      </c>
      <c r="P771" s="4" t="b">
        <f t="shared" ref="P771:P834" si="12">C771&lt;($Q$1+1)</f>
        <v>0</v>
      </c>
    </row>
    <row r="772" spans="1:16" x14ac:dyDescent="0.2">
      <c r="A772" t="s">
        <v>15</v>
      </c>
      <c r="B772" t="s">
        <v>1016</v>
      </c>
      <c r="C772">
        <v>779</v>
      </c>
      <c r="D772">
        <v>129912</v>
      </c>
      <c r="E772" t="s">
        <v>858</v>
      </c>
      <c r="F772" t="s">
        <v>73</v>
      </c>
      <c r="G772" t="s">
        <v>18</v>
      </c>
      <c r="H772" t="s">
        <v>28</v>
      </c>
      <c r="I772" t="s">
        <v>20</v>
      </c>
      <c r="J772">
        <v>58</v>
      </c>
      <c r="K772">
        <v>0.03</v>
      </c>
      <c r="L772">
        <v>1</v>
      </c>
      <c r="M772">
        <v>1</v>
      </c>
      <c r="N772">
        <v>1</v>
      </c>
      <c r="O772">
        <v>100</v>
      </c>
      <c r="P772" s="4" t="b">
        <f t="shared" si="12"/>
        <v>0</v>
      </c>
    </row>
    <row r="773" spans="1:16" x14ac:dyDescent="0.2">
      <c r="A773" t="s">
        <v>15</v>
      </c>
      <c r="B773" t="s">
        <v>1016</v>
      </c>
      <c r="C773">
        <v>780</v>
      </c>
      <c r="D773">
        <v>136529</v>
      </c>
      <c r="E773" t="s">
        <v>707</v>
      </c>
      <c r="F773" t="s">
        <v>58</v>
      </c>
      <c r="G773" t="s">
        <v>23</v>
      </c>
      <c r="H773" t="s">
        <v>28</v>
      </c>
      <c r="I773" t="s">
        <v>29</v>
      </c>
      <c r="J773">
        <v>58</v>
      </c>
      <c r="K773">
        <v>0.03</v>
      </c>
      <c r="L773">
        <v>1</v>
      </c>
      <c r="M773">
        <v>1</v>
      </c>
      <c r="N773">
        <v>1</v>
      </c>
      <c r="O773">
        <v>100</v>
      </c>
      <c r="P773" s="4" t="b">
        <f t="shared" si="12"/>
        <v>0</v>
      </c>
    </row>
    <row r="774" spans="1:16" x14ac:dyDescent="0.2">
      <c r="A774" t="s">
        <v>15</v>
      </c>
      <c r="B774" t="s">
        <v>1016</v>
      </c>
      <c r="C774">
        <v>781</v>
      </c>
      <c r="D774">
        <v>130970</v>
      </c>
      <c r="E774" t="s">
        <v>1007</v>
      </c>
      <c r="F774" t="s">
        <v>238</v>
      </c>
      <c r="G774" t="s">
        <v>18</v>
      </c>
      <c r="H774" t="s">
        <v>28</v>
      </c>
      <c r="I774" t="s">
        <v>29</v>
      </c>
      <c r="J774">
        <v>56</v>
      </c>
      <c r="K774">
        <v>0.03</v>
      </c>
      <c r="L774">
        <v>1</v>
      </c>
      <c r="M774">
        <v>1</v>
      </c>
      <c r="N774">
        <v>1</v>
      </c>
      <c r="O774">
        <v>100</v>
      </c>
      <c r="P774" s="4" t="b">
        <f t="shared" si="12"/>
        <v>0</v>
      </c>
    </row>
    <row r="775" spans="1:16" x14ac:dyDescent="0.2">
      <c r="A775" t="s">
        <v>15</v>
      </c>
      <c r="B775" t="s">
        <v>1016</v>
      </c>
      <c r="C775">
        <v>782</v>
      </c>
      <c r="D775">
        <v>132022</v>
      </c>
      <c r="E775" t="s">
        <v>531</v>
      </c>
      <c r="F775" t="s">
        <v>38</v>
      </c>
      <c r="G775" t="s">
        <v>23</v>
      </c>
      <c r="H775" t="s">
        <v>39</v>
      </c>
      <c r="I775" t="s">
        <v>29</v>
      </c>
      <c r="J775">
        <v>47</v>
      </c>
      <c r="K775">
        <v>0.03</v>
      </c>
      <c r="L775">
        <v>1</v>
      </c>
      <c r="M775">
        <v>1</v>
      </c>
      <c r="N775">
        <v>1</v>
      </c>
      <c r="O775">
        <v>100</v>
      </c>
      <c r="P775" s="4" t="b">
        <f t="shared" si="12"/>
        <v>0</v>
      </c>
    </row>
    <row r="776" spans="1:16" x14ac:dyDescent="0.2">
      <c r="A776" t="s">
        <v>15</v>
      </c>
      <c r="B776" t="s">
        <v>1016</v>
      </c>
      <c r="C776">
        <v>783</v>
      </c>
      <c r="D776">
        <v>129454</v>
      </c>
      <c r="E776" t="s">
        <v>817</v>
      </c>
      <c r="F776" t="s">
        <v>54</v>
      </c>
      <c r="G776" t="s">
        <v>18</v>
      </c>
      <c r="H776" t="s">
        <v>55</v>
      </c>
      <c r="I776" t="s">
        <v>29</v>
      </c>
      <c r="J776">
        <v>57</v>
      </c>
      <c r="K776">
        <v>0.03</v>
      </c>
      <c r="L776">
        <v>1</v>
      </c>
      <c r="M776">
        <v>1</v>
      </c>
      <c r="N776">
        <v>1</v>
      </c>
      <c r="O776">
        <v>100</v>
      </c>
      <c r="P776" s="4" t="b">
        <f t="shared" si="12"/>
        <v>0</v>
      </c>
    </row>
    <row r="777" spans="1:16" x14ac:dyDescent="0.2">
      <c r="A777" t="s">
        <v>15</v>
      </c>
      <c r="B777" t="s">
        <v>1016</v>
      </c>
      <c r="C777">
        <v>784</v>
      </c>
      <c r="D777">
        <v>130853</v>
      </c>
      <c r="E777" t="s">
        <v>682</v>
      </c>
      <c r="F777" t="s">
        <v>44</v>
      </c>
      <c r="G777" t="s">
        <v>18</v>
      </c>
      <c r="H777" t="s">
        <v>39</v>
      </c>
      <c r="I777" t="s">
        <v>29</v>
      </c>
      <c r="J777">
        <v>58</v>
      </c>
      <c r="K777">
        <v>0.03</v>
      </c>
      <c r="L777">
        <v>1</v>
      </c>
      <c r="M777">
        <v>1</v>
      </c>
      <c r="N777">
        <v>1</v>
      </c>
      <c r="O777">
        <v>100</v>
      </c>
      <c r="P777" s="4" t="b">
        <f t="shared" si="12"/>
        <v>0</v>
      </c>
    </row>
    <row r="778" spans="1:16" x14ac:dyDescent="0.2">
      <c r="A778" t="s">
        <v>15</v>
      </c>
      <c r="B778" t="s">
        <v>1016</v>
      </c>
      <c r="C778">
        <v>785</v>
      </c>
      <c r="D778">
        <v>136530</v>
      </c>
      <c r="E778" t="s">
        <v>710</v>
      </c>
      <c r="F778" t="s">
        <v>58</v>
      </c>
      <c r="G778" t="s">
        <v>23</v>
      </c>
      <c r="H778" t="s">
        <v>28</v>
      </c>
      <c r="I778" t="s">
        <v>29</v>
      </c>
      <c r="J778">
        <v>59</v>
      </c>
      <c r="K778">
        <v>0.03</v>
      </c>
      <c r="L778">
        <v>1</v>
      </c>
      <c r="M778">
        <v>1</v>
      </c>
      <c r="N778">
        <v>1</v>
      </c>
      <c r="O778">
        <v>100</v>
      </c>
      <c r="P778" s="4" t="b">
        <f t="shared" si="12"/>
        <v>0</v>
      </c>
    </row>
    <row r="779" spans="1:16" x14ac:dyDescent="0.2">
      <c r="A779" t="s">
        <v>15</v>
      </c>
      <c r="B779" t="s">
        <v>1016</v>
      </c>
      <c r="C779">
        <v>786</v>
      </c>
      <c r="D779">
        <v>130174</v>
      </c>
      <c r="E779" t="s">
        <v>859</v>
      </c>
      <c r="F779" t="s">
        <v>73</v>
      </c>
      <c r="G779" t="s">
        <v>18</v>
      </c>
      <c r="H779" t="s">
        <v>28</v>
      </c>
      <c r="I779" t="s">
        <v>29</v>
      </c>
      <c r="J779">
        <v>59</v>
      </c>
      <c r="K779">
        <v>0.03</v>
      </c>
      <c r="L779">
        <v>1</v>
      </c>
      <c r="M779">
        <v>1</v>
      </c>
      <c r="N779">
        <v>1</v>
      </c>
      <c r="O779">
        <v>100</v>
      </c>
      <c r="P779" s="4" t="b">
        <f t="shared" si="12"/>
        <v>0</v>
      </c>
    </row>
    <row r="780" spans="1:16" x14ac:dyDescent="0.2">
      <c r="A780" t="s">
        <v>15</v>
      </c>
      <c r="B780" t="s">
        <v>1016</v>
      </c>
      <c r="C780">
        <v>787</v>
      </c>
      <c r="D780">
        <v>130807</v>
      </c>
      <c r="E780" t="s">
        <v>1008</v>
      </c>
      <c r="F780" t="s">
        <v>238</v>
      </c>
      <c r="G780" t="s">
        <v>18</v>
      </c>
      <c r="H780" t="s">
        <v>28</v>
      </c>
      <c r="I780" t="s">
        <v>29</v>
      </c>
      <c r="J780">
        <v>57</v>
      </c>
      <c r="K780">
        <v>0.03</v>
      </c>
      <c r="L780">
        <v>1</v>
      </c>
      <c r="M780">
        <v>1</v>
      </c>
      <c r="N780">
        <v>1</v>
      </c>
      <c r="O780">
        <v>100</v>
      </c>
      <c r="P780" s="4" t="b">
        <f t="shared" si="12"/>
        <v>0</v>
      </c>
    </row>
    <row r="781" spans="1:16" x14ac:dyDescent="0.2">
      <c r="A781" t="s">
        <v>15</v>
      </c>
      <c r="B781" t="s">
        <v>1016</v>
      </c>
      <c r="C781">
        <v>788</v>
      </c>
      <c r="D781">
        <v>48157</v>
      </c>
      <c r="E781" t="s">
        <v>537</v>
      </c>
      <c r="F781" t="s">
        <v>38</v>
      </c>
      <c r="G781" t="s">
        <v>23</v>
      </c>
      <c r="H781" t="s">
        <v>39</v>
      </c>
      <c r="I781" t="s">
        <v>29</v>
      </c>
      <c r="J781">
        <v>48</v>
      </c>
      <c r="K781">
        <v>0.03</v>
      </c>
      <c r="L781">
        <v>1</v>
      </c>
      <c r="M781">
        <v>1</v>
      </c>
      <c r="N781">
        <v>1</v>
      </c>
      <c r="O781">
        <v>100</v>
      </c>
      <c r="P781" s="4" t="b">
        <f t="shared" si="12"/>
        <v>0</v>
      </c>
    </row>
    <row r="782" spans="1:16" x14ac:dyDescent="0.2">
      <c r="A782" t="s">
        <v>15</v>
      </c>
      <c r="B782" t="s">
        <v>1016</v>
      </c>
      <c r="C782">
        <v>789</v>
      </c>
      <c r="D782">
        <v>129458</v>
      </c>
      <c r="E782" t="s">
        <v>821</v>
      </c>
      <c r="F782" t="s">
        <v>54</v>
      </c>
      <c r="G782" t="s">
        <v>18</v>
      </c>
      <c r="H782" t="s">
        <v>55</v>
      </c>
      <c r="I782" t="s">
        <v>29</v>
      </c>
      <c r="J782">
        <v>58</v>
      </c>
      <c r="K782">
        <v>0.03</v>
      </c>
      <c r="L782">
        <v>1</v>
      </c>
      <c r="M782">
        <v>1</v>
      </c>
      <c r="N782">
        <v>1</v>
      </c>
      <c r="O782">
        <v>100</v>
      </c>
      <c r="P782" s="4" t="b">
        <f t="shared" si="12"/>
        <v>0</v>
      </c>
    </row>
    <row r="783" spans="1:16" x14ac:dyDescent="0.2">
      <c r="A783" t="s">
        <v>15</v>
      </c>
      <c r="B783" t="s">
        <v>1016</v>
      </c>
      <c r="C783">
        <v>790</v>
      </c>
      <c r="D783">
        <v>130967</v>
      </c>
      <c r="E783" t="s">
        <v>691</v>
      </c>
      <c r="F783" t="s">
        <v>44</v>
      </c>
      <c r="G783" t="s">
        <v>18</v>
      </c>
      <c r="H783" t="s">
        <v>39</v>
      </c>
      <c r="I783" t="s">
        <v>29</v>
      </c>
      <c r="J783">
        <v>59</v>
      </c>
      <c r="K783">
        <v>0.03</v>
      </c>
      <c r="L783">
        <v>1</v>
      </c>
      <c r="M783">
        <v>1</v>
      </c>
      <c r="N783">
        <v>1</v>
      </c>
      <c r="O783">
        <v>100</v>
      </c>
      <c r="P783" s="4" t="b">
        <f t="shared" si="12"/>
        <v>0</v>
      </c>
    </row>
    <row r="784" spans="1:16" x14ac:dyDescent="0.2">
      <c r="A784" t="s">
        <v>15</v>
      </c>
      <c r="B784" t="s">
        <v>1016</v>
      </c>
      <c r="C784">
        <v>791</v>
      </c>
      <c r="D784">
        <v>111671</v>
      </c>
      <c r="E784" t="s">
        <v>716</v>
      </c>
      <c r="F784" t="s">
        <v>58</v>
      </c>
      <c r="G784" t="s">
        <v>23</v>
      </c>
      <c r="H784" t="s">
        <v>28</v>
      </c>
      <c r="I784" t="s">
        <v>29</v>
      </c>
      <c r="J784">
        <v>60</v>
      </c>
      <c r="K784">
        <v>0.03</v>
      </c>
      <c r="L784">
        <v>1</v>
      </c>
      <c r="M784">
        <v>1</v>
      </c>
      <c r="N784">
        <v>1</v>
      </c>
      <c r="O784">
        <v>100</v>
      </c>
      <c r="P784" s="4" t="b">
        <f t="shared" si="12"/>
        <v>0</v>
      </c>
    </row>
    <row r="785" spans="1:16" x14ac:dyDescent="0.2">
      <c r="A785" t="s">
        <v>15</v>
      </c>
      <c r="B785" t="s">
        <v>1016</v>
      </c>
      <c r="C785">
        <v>792</v>
      </c>
      <c r="D785">
        <v>130101</v>
      </c>
      <c r="E785" t="s">
        <v>860</v>
      </c>
      <c r="F785" t="s">
        <v>73</v>
      </c>
      <c r="G785" t="s">
        <v>18</v>
      </c>
      <c r="H785" t="s">
        <v>28</v>
      </c>
      <c r="I785" t="s">
        <v>29</v>
      </c>
      <c r="J785">
        <v>60</v>
      </c>
      <c r="K785">
        <v>0.03</v>
      </c>
      <c r="L785">
        <v>1</v>
      </c>
      <c r="M785">
        <v>1</v>
      </c>
      <c r="N785">
        <v>1</v>
      </c>
      <c r="O785">
        <v>100</v>
      </c>
      <c r="P785" s="4" t="b">
        <f t="shared" si="12"/>
        <v>0</v>
      </c>
    </row>
    <row r="786" spans="1:16" x14ac:dyDescent="0.2">
      <c r="A786" t="s">
        <v>15</v>
      </c>
      <c r="B786" t="s">
        <v>1016</v>
      </c>
      <c r="C786">
        <v>793</v>
      </c>
      <c r="D786">
        <v>136234</v>
      </c>
      <c r="E786" t="s">
        <v>1009</v>
      </c>
      <c r="F786" t="s">
        <v>238</v>
      </c>
      <c r="G786" t="s">
        <v>18</v>
      </c>
      <c r="H786" t="s">
        <v>28</v>
      </c>
      <c r="I786" t="s">
        <v>20</v>
      </c>
      <c r="J786">
        <v>58</v>
      </c>
      <c r="K786">
        <v>0.03</v>
      </c>
      <c r="L786">
        <v>1</v>
      </c>
      <c r="M786">
        <v>1</v>
      </c>
      <c r="N786">
        <v>1</v>
      </c>
      <c r="O786">
        <v>100</v>
      </c>
      <c r="P786" s="4" t="b">
        <f t="shared" si="12"/>
        <v>0</v>
      </c>
    </row>
    <row r="787" spans="1:16" x14ac:dyDescent="0.2">
      <c r="A787" t="s">
        <v>15</v>
      </c>
      <c r="B787" t="s">
        <v>1016</v>
      </c>
      <c r="C787">
        <v>794</v>
      </c>
      <c r="D787">
        <v>131991</v>
      </c>
      <c r="E787" t="s">
        <v>553</v>
      </c>
      <c r="F787" t="s">
        <v>38</v>
      </c>
      <c r="G787" t="s">
        <v>23</v>
      </c>
      <c r="H787" t="s">
        <v>39</v>
      </c>
      <c r="I787" t="s">
        <v>29</v>
      </c>
      <c r="J787">
        <v>49</v>
      </c>
      <c r="K787">
        <v>0.03</v>
      </c>
      <c r="L787">
        <v>1</v>
      </c>
      <c r="M787">
        <v>1</v>
      </c>
      <c r="N787">
        <v>1</v>
      </c>
      <c r="O787">
        <v>100</v>
      </c>
      <c r="P787" s="4" t="b">
        <f t="shared" si="12"/>
        <v>0</v>
      </c>
    </row>
    <row r="788" spans="1:16" x14ac:dyDescent="0.2">
      <c r="A788" t="s">
        <v>15</v>
      </c>
      <c r="B788" t="s">
        <v>1016</v>
      </c>
      <c r="C788">
        <v>795</v>
      </c>
      <c r="D788">
        <v>129486</v>
      </c>
      <c r="E788" t="s">
        <v>824</v>
      </c>
      <c r="F788" t="s">
        <v>54</v>
      </c>
      <c r="G788" t="s">
        <v>18</v>
      </c>
      <c r="H788" t="s">
        <v>55</v>
      </c>
      <c r="I788" t="s">
        <v>29</v>
      </c>
      <c r="J788">
        <v>59</v>
      </c>
      <c r="K788">
        <v>0.03</v>
      </c>
      <c r="L788">
        <v>1</v>
      </c>
      <c r="M788">
        <v>1</v>
      </c>
      <c r="N788">
        <v>1</v>
      </c>
      <c r="O788">
        <v>100</v>
      </c>
      <c r="P788" s="4" t="b">
        <f t="shared" si="12"/>
        <v>0</v>
      </c>
    </row>
    <row r="789" spans="1:16" x14ac:dyDescent="0.2">
      <c r="A789" t="s">
        <v>15</v>
      </c>
      <c r="B789" t="s">
        <v>1016</v>
      </c>
      <c r="C789">
        <v>796</v>
      </c>
      <c r="D789">
        <v>136531</v>
      </c>
      <c r="E789" t="s">
        <v>718</v>
      </c>
      <c r="F789" t="s">
        <v>58</v>
      </c>
      <c r="G789" t="s">
        <v>23</v>
      </c>
      <c r="H789" t="s">
        <v>28</v>
      </c>
      <c r="I789" t="s">
        <v>29</v>
      </c>
      <c r="J789">
        <v>61</v>
      </c>
      <c r="K789">
        <v>0.03</v>
      </c>
      <c r="L789">
        <v>1</v>
      </c>
      <c r="M789">
        <v>1</v>
      </c>
      <c r="N789">
        <v>1</v>
      </c>
      <c r="O789">
        <v>100</v>
      </c>
      <c r="P789" s="4" t="b">
        <f t="shared" si="12"/>
        <v>0</v>
      </c>
    </row>
    <row r="790" spans="1:16" x14ac:dyDescent="0.2">
      <c r="A790" t="s">
        <v>15</v>
      </c>
      <c r="B790" t="s">
        <v>1016</v>
      </c>
      <c r="C790">
        <v>797</v>
      </c>
      <c r="D790">
        <v>130730</v>
      </c>
      <c r="E790" t="s">
        <v>696</v>
      </c>
      <c r="F790" t="s">
        <v>44</v>
      </c>
      <c r="G790" t="s">
        <v>18</v>
      </c>
      <c r="H790" t="s">
        <v>39</v>
      </c>
      <c r="I790" t="s">
        <v>29</v>
      </c>
      <c r="J790">
        <v>60</v>
      </c>
      <c r="K790">
        <v>0.03</v>
      </c>
      <c r="L790">
        <v>1</v>
      </c>
      <c r="M790">
        <v>1</v>
      </c>
      <c r="N790">
        <v>1</v>
      </c>
      <c r="O790">
        <v>100</v>
      </c>
      <c r="P790" s="4" t="b">
        <f t="shared" si="12"/>
        <v>0</v>
      </c>
    </row>
    <row r="791" spans="1:16" x14ac:dyDescent="0.2">
      <c r="A791" t="s">
        <v>15</v>
      </c>
      <c r="B791" t="s">
        <v>1016</v>
      </c>
      <c r="C791">
        <v>798</v>
      </c>
      <c r="D791">
        <v>130284</v>
      </c>
      <c r="E791" t="s">
        <v>862</v>
      </c>
      <c r="F791" t="s">
        <v>73</v>
      </c>
      <c r="G791" t="s">
        <v>18</v>
      </c>
      <c r="H791" t="s">
        <v>28</v>
      </c>
      <c r="I791" t="s">
        <v>29</v>
      </c>
      <c r="J791">
        <v>61</v>
      </c>
      <c r="K791">
        <v>0.03</v>
      </c>
      <c r="L791">
        <v>1</v>
      </c>
      <c r="M791">
        <v>1</v>
      </c>
      <c r="N791">
        <v>1</v>
      </c>
      <c r="O791">
        <v>100</v>
      </c>
      <c r="P791" s="4" t="b">
        <f t="shared" si="12"/>
        <v>0</v>
      </c>
    </row>
    <row r="792" spans="1:16" x14ac:dyDescent="0.2">
      <c r="A792" t="s">
        <v>15</v>
      </c>
      <c r="B792" t="s">
        <v>1016</v>
      </c>
      <c r="C792">
        <v>799</v>
      </c>
      <c r="D792">
        <v>180676</v>
      </c>
      <c r="E792" t="s">
        <v>561</v>
      </c>
      <c r="F792" t="s">
        <v>38</v>
      </c>
      <c r="G792" t="s">
        <v>23</v>
      </c>
      <c r="H792" t="s">
        <v>39</v>
      </c>
      <c r="I792" t="s">
        <v>29</v>
      </c>
      <c r="J792">
        <v>50</v>
      </c>
      <c r="K792">
        <v>0.03</v>
      </c>
      <c r="L792">
        <v>1</v>
      </c>
      <c r="M792">
        <v>1</v>
      </c>
      <c r="N792">
        <v>1</v>
      </c>
      <c r="O792">
        <v>100</v>
      </c>
      <c r="P792" s="4" t="b">
        <f t="shared" si="12"/>
        <v>0</v>
      </c>
    </row>
    <row r="793" spans="1:16" x14ac:dyDescent="0.2">
      <c r="A793" t="s">
        <v>15</v>
      </c>
      <c r="B793" t="s">
        <v>1016</v>
      </c>
      <c r="C793">
        <v>800</v>
      </c>
      <c r="D793">
        <v>136179</v>
      </c>
      <c r="E793" t="s">
        <v>1010</v>
      </c>
      <c r="F793" t="s">
        <v>238</v>
      </c>
      <c r="G793" t="s">
        <v>18</v>
      </c>
      <c r="H793" t="s">
        <v>28</v>
      </c>
      <c r="I793" t="s">
        <v>20</v>
      </c>
      <c r="J793">
        <v>59</v>
      </c>
      <c r="K793">
        <v>0.03</v>
      </c>
      <c r="L793">
        <v>1</v>
      </c>
      <c r="M793">
        <v>1</v>
      </c>
      <c r="N793">
        <v>1</v>
      </c>
      <c r="O793">
        <v>100</v>
      </c>
      <c r="P793" s="4" t="b">
        <f t="shared" si="12"/>
        <v>0</v>
      </c>
    </row>
    <row r="794" spans="1:16" x14ac:dyDescent="0.2">
      <c r="A794" t="s">
        <v>15</v>
      </c>
      <c r="B794" t="s">
        <v>1016</v>
      </c>
      <c r="C794">
        <v>801</v>
      </c>
      <c r="D794">
        <v>130069</v>
      </c>
      <c r="E794" t="s">
        <v>827</v>
      </c>
      <c r="F794" t="s">
        <v>54</v>
      </c>
      <c r="G794" t="s">
        <v>18</v>
      </c>
      <c r="H794" t="s">
        <v>55</v>
      </c>
      <c r="I794" t="s">
        <v>29</v>
      </c>
      <c r="J794">
        <v>60</v>
      </c>
      <c r="K794">
        <v>0.03</v>
      </c>
      <c r="L794">
        <v>1</v>
      </c>
      <c r="M794">
        <v>1</v>
      </c>
      <c r="N794">
        <v>1</v>
      </c>
      <c r="O794">
        <v>100</v>
      </c>
      <c r="P794" s="4" t="b">
        <f t="shared" si="12"/>
        <v>0</v>
      </c>
    </row>
    <row r="795" spans="1:16" x14ac:dyDescent="0.2">
      <c r="A795" t="s">
        <v>15</v>
      </c>
      <c r="B795" t="s">
        <v>1016</v>
      </c>
      <c r="C795">
        <v>802</v>
      </c>
      <c r="D795">
        <v>159929</v>
      </c>
      <c r="E795" t="s">
        <v>721</v>
      </c>
      <c r="F795" t="s">
        <v>58</v>
      </c>
      <c r="G795" t="s">
        <v>23</v>
      </c>
      <c r="H795" t="s">
        <v>28</v>
      </c>
      <c r="I795" t="s">
        <v>29</v>
      </c>
      <c r="J795">
        <v>62</v>
      </c>
      <c r="K795">
        <v>0.03</v>
      </c>
      <c r="L795">
        <v>1</v>
      </c>
      <c r="M795">
        <v>1</v>
      </c>
      <c r="N795">
        <v>1</v>
      </c>
      <c r="O795">
        <v>100</v>
      </c>
      <c r="P795" s="4" t="b">
        <f t="shared" si="12"/>
        <v>0</v>
      </c>
    </row>
    <row r="796" spans="1:16" x14ac:dyDescent="0.2">
      <c r="A796" t="s">
        <v>15</v>
      </c>
      <c r="B796" t="s">
        <v>1016</v>
      </c>
      <c r="C796">
        <v>803</v>
      </c>
      <c r="D796">
        <v>130793</v>
      </c>
      <c r="E796" t="s">
        <v>711</v>
      </c>
      <c r="F796" t="s">
        <v>44</v>
      </c>
      <c r="G796" t="s">
        <v>18</v>
      </c>
      <c r="H796" t="s">
        <v>39</v>
      </c>
      <c r="I796" t="s">
        <v>29</v>
      </c>
      <c r="J796">
        <v>61</v>
      </c>
      <c r="K796">
        <v>0.03</v>
      </c>
      <c r="L796">
        <v>1</v>
      </c>
      <c r="M796">
        <v>1</v>
      </c>
      <c r="N796">
        <v>1</v>
      </c>
      <c r="O796">
        <v>100</v>
      </c>
      <c r="P796" s="4" t="b">
        <f t="shared" si="12"/>
        <v>0</v>
      </c>
    </row>
    <row r="797" spans="1:16" x14ac:dyDescent="0.2">
      <c r="A797" t="s">
        <v>15</v>
      </c>
      <c r="B797" t="s">
        <v>1016</v>
      </c>
      <c r="C797">
        <v>804</v>
      </c>
      <c r="D797">
        <v>130253</v>
      </c>
      <c r="E797" t="s">
        <v>863</v>
      </c>
      <c r="F797" t="s">
        <v>73</v>
      </c>
      <c r="G797" t="s">
        <v>18</v>
      </c>
      <c r="H797" t="s">
        <v>28</v>
      </c>
      <c r="I797" t="s">
        <v>29</v>
      </c>
      <c r="J797">
        <v>62</v>
      </c>
      <c r="K797">
        <v>0.03</v>
      </c>
      <c r="L797">
        <v>1</v>
      </c>
      <c r="M797">
        <v>1</v>
      </c>
      <c r="N797">
        <v>1</v>
      </c>
      <c r="O797">
        <v>100</v>
      </c>
      <c r="P797" s="4" t="b">
        <f t="shared" si="12"/>
        <v>0</v>
      </c>
    </row>
    <row r="798" spans="1:16" x14ac:dyDescent="0.2">
      <c r="A798" t="s">
        <v>15</v>
      </c>
      <c r="B798" t="s">
        <v>1016</v>
      </c>
      <c r="C798">
        <v>805</v>
      </c>
      <c r="D798">
        <v>132058</v>
      </c>
      <c r="E798" t="s">
        <v>563</v>
      </c>
      <c r="F798" t="s">
        <v>38</v>
      </c>
      <c r="G798" t="s">
        <v>23</v>
      </c>
      <c r="H798" t="s">
        <v>39</v>
      </c>
      <c r="I798" t="s">
        <v>29</v>
      </c>
      <c r="J798">
        <v>51</v>
      </c>
      <c r="K798">
        <v>4</v>
      </c>
      <c r="L798">
        <v>2</v>
      </c>
      <c r="M798">
        <v>1</v>
      </c>
      <c r="N798">
        <v>1</v>
      </c>
      <c r="O798">
        <v>1</v>
      </c>
      <c r="P798" s="4" t="b">
        <f t="shared" si="12"/>
        <v>0</v>
      </c>
    </row>
    <row r="799" spans="1:16" x14ac:dyDescent="0.2">
      <c r="A799" t="s">
        <v>15</v>
      </c>
      <c r="B799" t="s">
        <v>1016</v>
      </c>
      <c r="C799">
        <v>806</v>
      </c>
      <c r="D799">
        <v>136177</v>
      </c>
      <c r="E799" t="s">
        <v>1011</v>
      </c>
      <c r="F799" t="s">
        <v>238</v>
      </c>
      <c r="G799" t="s">
        <v>18</v>
      </c>
      <c r="H799" t="s">
        <v>28</v>
      </c>
      <c r="I799" t="s">
        <v>20</v>
      </c>
      <c r="J799">
        <v>60</v>
      </c>
      <c r="K799">
        <v>0.03</v>
      </c>
      <c r="L799">
        <v>1</v>
      </c>
      <c r="M799">
        <v>1</v>
      </c>
      <c r="N799">
        <v>1</v>
      </c>
      <c r="O799">
        <v>100</v>
      </c>
      <c r="P799" s="4" t="b">
        <f t="shared" si="12"/>
        <v>0</v>
      </c>
    </row>
    <row r="800" spans="1:16" x14ac:dyDescent="0.2">
      <c r="A800" t="s">
        <v>15</v>
      </c>
      <c r="B800" t="s">
        <v>1016</v>
      </c>
      <c r="C800">
        <v>807</v>
      </c>
      <c r="D800">
        <v>130306</v>
      </c>
      <c r="E800" t="s">
        <v>829</v>
      </c>
      <c r="F800" t="s">
        <v>54</v>
      </c>
      <c r="G800" t="s">
        <v>18</v>
      </c>
      <c r="H800" t="s">
        <v>55</v>
      </c>
      <c r="I800" t="s">
        <v>29</v>
      </c>
      <c r="J800">
        <v>61</v>
      </c>
      <c r="K800">
        <v>0.03</v>
      </c>
      <c r="L800">
        <v>1</v>
      </c>
      <c r="M800">
        <v>1</v>
      </c>
      <c r="N800">
        <v>1</v>
      </c>
      <c r="O800">
        <v>100</v>
      </c>
      <c r="P800" s="4" t="b">
        <f t="shared" si="12"/>
        <v>0</v>
      </c>
    </row>
    <row r="801" spans="1:16" x14ac:dyDescent="0.2">
      <c r="A801" t="s">
        <v>15</v>
      </c>
      <c r="B801" t="s">
        <v>1016</v>
      </c>
      <c r="C801">
        <v>808</v>
      </c>
      <c r="D801">
        <v>135091</v>
      </c>
      <c r="E801" t="s">
        <v>723</v>
      </c>
      <c r="F801" t="s">
        <v>58</v>
      </c>
      <c r="G801" t="s">
        <v>23</v>
      </c>
      <c r="H801" t="s">
        <v>28</v>
      </c>
      <c r="I801" t="s">
        <v>29</v>
      </c>
      <c r="J801">
        <v>65</v>
      </c>
      <c r="K801">
        <v>0.03</v>
      </c>
      <c r="L801">
        <v>1</v>
      </c>
      <c r="M801">
        <v>1</v>
      </c>
      <c r="N801">
        <v>1</v>
      </c>
      <c r="O801">
        <v>100</v>
      </c>
      <c r="P801" s="4" t="b">
        <f t="shared" si="12"/>
        <v>0</v>
      </c>
    </row>
    <row r="802" spans="1:16" x14ac:dyDescent="0.2">
      <c r="A802" t="s">
        <v>15</v>
      </c>
      <c r="B802" t="s">
        <v>1016</v>
      </c>
      <c r="C802">
        <v>809</v>
      </c>
      <c r="D802">
        <v>130796</v>
      </c>
      <c r="E802" t="s">
        <v>715</v>
      </c>
      <c r="F802" t="s">
        <v>44</v>
      </c>
      <c r="G802" t="s">
        <v>18</v>
      </c>
      <c r="H802" t="s">
        <v>39</v>
      </c>
      <c r="I802" t="s">
        <v>29</v>
      </c>
      <c r="J802">
        <v>62</v>
      </c>
      <c r="K802">
        <v>0.03</v>
      </c>
      <c r="L802">
        <v>1</v>
      </c>
      <c r="M802">
        <v>1</v>
      </c>
      <c r="N802">
        <v>1</v>
      </c>
      <c r="O802">
        <v>100</v>
      </c>
      <c r="P802" s="4" t="b">
        <f t="shared" si="12"/>
        <v>0</v>
      </c>
    </row>
    <row r="803" spans="1:16" x14ac:dyDescent="0.2">
      <c r="A803" t="s">
        <v>15</v>
      </c>
      <c r="B803" t="s">
        <v>1016</v>
      </c>
      <c r="C803">
        <v>810</v>
      </c>
      <c r="D803">
        <v>129979</v>
      </c>
      <c r="E803" t="s">
        <v>865</v>
      </c>
      <c r="F803" t="s">
        <v>73</v>
      </c>
      <c r="G803" t="s">
        <v>18</v>
      </c>
      <c r="H803" t="s">
        <v>28</v>
      </c>
      <c r="I803" t="s">
        <v>29</v>
      </c>
      <c r="J803">
        <v>63</v>
      </c>
      <c r="K803">
        <v>0.03</v>
      </c>
      <c r="L803">
        <v>1</v>
      </c>
      <c r="M803">
        <v>1</v>
      </c>
      <c r="N803">
        <v>1</v>
      </c>
      <c r="O803">
        <v>100</v>
      </c>
      <c r="P803" s="4" t="b">
        <f t="shared" si="12"/>
        <v>0</v>
      </c>
    </row>
    <row r="804" spans="1:16" x14ac:dyDescent="0.2">
      <c r="A804" t="s">
        <v>15</v>
      </c>
      <c r="B804" t="s">
        <v>1016</v>
      </c>
      <c r="C804">
        <v>811</v>
      </c>
      <c r="D804">
        <v>106746</v>
      </c>
      <c r="E804" t="s">
        <v>568</v>
      </c>
      <c r="F804" t="s">
        <v>38</v>
      </c>
      <c r="G804" t="s">
        <v>23</v>
      </c>
      <c r="H804" t="s">
        <v>39</v>
      </c>
      <c r="I804" t="s">
        <v>29</v>
      </c>
      <c r="J804">
        <v>52</v>
      </c>
      <c r="K804">
        <v>0.03</v>
      </c>
      <c r="L804">
        <v>1</v>
      </c>
      <c r="M804">
        <v>1</v>
      </c>
      <c r="N804">
        <v>1</v>
      </c>
      <c r="O804">
        <v>100</v>
      </c>
      <c r="P804" s="4" t="b">
        <f t="shared" si="12"/>
        <v>0</v>
      </c>
    </row>
    <row r="805" spans="1:16" x14ac:dyDescent="0.2">
      <c r="A805" t="s">
        <v>15</v>
      </c>
      <c r="B805" t="s">
        <v>1016</v>
      </c>
      <c r="C805">
        <v>812</v>
      </c>
      <c r="D805">
        <v>136173</v>
      </c>
      <c r="E805" t="s">
        <v>1012</v>
      </c>
      <c r="F805" t="s">
        <v>238</v>
      </c>
      <c r="G805" t="s">
        <v>18</v>
      </c>
      <c r="H805" t="s">
        <v>28</v>
      </c>
      <c r="I805" t="s">
        <v>20</v>
      </c>
      <c r="J805">
        <v>61</v>
      </c>
      <c r="K805">
        <v>0.03</v>
      </c>
      <c r="L805">
        <v>1</v>
      </c>
      <c r="M805">
        <v>1</v>
      </c>
      <c r="N805">
        <v>1</v>
      </c>
      <c r="O805">
        <v>100</v>
      </c>
      <c r="P805" s="4" t="b">
        <f t="shared" si="12"/>
        <v>0</v>
      </c>
    </row>
    <row r="806" spans="1:16" x14ac:dyDescent="0.2">
      <c r="A806" t="s">
        <v>15</v>
      </c>
      <c r="B806" t="s">
        <v>1016</v>
      </c>
      <c r="C806">
        <v>813</v>
      </c>
      <c r="D806">
        <v>191866</v>
      </c>
      <c r="E806" t="s">
        <v>727</v>
      </c>
      <c r="F806" t="s">
        <v>58</v>
      </c>
      <c r="G806" t="s">
        <v>23</v>
      </c>
      <c r="H806" t="s">
        <v>28</v>
      </c>
      <c r="I806" t="s">
        <v>29</v>
      </c>
      <c r="J806">
        <v>66</v>
      </c>
      <c r="K806">
        <v>0.03</v>
      </c>
      <c r="L806">
        <v>1</v>
      </c>
      <c r="M806">
        <v>1</v>
      </c>
      <c r="N806">
        <v>1</v>
      </c>
      <c r="O806">
        <v>100</v>
      </c>
      <c r="P806" s="4" t="b">
        <f t="shared" si="12"/>
        <v>0</v>
      </c>
    </row>
    <row r="807" spans="1:16" x14ac:dyDescent="0.2">
      <c r="A807" t="s">
        <v>15</v>
      </c>
      <c r="B807" t="s">
        <v>1016</v>
      </c>
      <c r="C807">
        <v>814</v>
      </c>
      <c r="D807">
        <v>130071</v>
      </c>
      <c r="E807" t="s">
        <v>832</v>
      </c>
      <c r="F807" t="s">
        <v>54</v>
      </c>
      <c r="G807" t="s">
        <v>18</v>
      </c>
      <c r="H807" t="s">
        <v>55</v>
      </c>
      <c r="I807" t="s">
        <v>29</v>
      </c>
      <c r="J807">
        <v>62</v>
      </c>
      <c r="K807">
        <v>0.03</v>
      </c>
      <c r="L807">
        <v>1</v>
      </c>
      <c r="M807">
        <v>1</v>
      </c>
      <c r="N807">
        <v>1</v>
      </c>
      <c r="O807">
        <v>100</v>
      </c>
      <c r="P807" s="4" t="b">
        <f t="shared" si="12"/>
        <v>0</v>
      </c>
    </row>
    <row r="808" spans="1:16" x14ac:dyDescent="0.2">
      <c r="A808" t="s">
        <v>15</v>
      </c>
      <c r="B808" t="s">
        <v>1016</v>
      </c>
      <c r="C808">
        <v>815</v>
      </c>
      <c r="D808">
        <v>130815</v>
      </c>
      <c r="E808" t="s">
        <v>724</v>
      </c>
      <c r="F808" t="s">
        <v>44</v>
      </c>
      <c r="G808" t="s">
        <v>18</v>
      </c>
      <c r="H808" t="s">
        <v>39</v>
      </c>
      <c r="I808" t="s">
        <v>29</v>
      </c>
      <c r="J808">
        <v>63</v>
      </c>
      <c r="K808">
        <v>0.03</v>
      </c>
      <c r="L808">
        <v>1</v>
      </c>
      <c r="M808">
        <v>1</v>
      </c>
      <c r="N808">
        <v>1</v>
      </c>
      <c r="O808">
        <v>100</v>
      </c>
      <c r="P808" s="4" t="b">
        <f t="shared" si="12"/>
        <v>0</v>
      </c>
    </row>
    <row r="809" spans="1:16" x14ac:dyDescent="0.2">
      <c r="A809" t="s">
        <v>15</v>
      </c>
      <c r="B809" t="s">
        <v>1016</v>
      </c>
      <c r="C809">
        <v>816</v>
      </c>
      <c r="D809">
        <v>50641</v>
      </c>
      <c r="E809" t="s">
        <v>574</v>
      </c>
      <c r="F809" t="s">
        <v>38</v>
      </c>
      <c r="G809" t="s">
        <v>23</v>
      </c>
      <c r="H809" t="s">
        <v>39</v>
      </c>
      <c r="I809" t="s">
        <v>29</v>
      </c>
      <c r="J809">
        <v>53</v>
      </c>
      <c r="K809">
        <v>0.03</v>
      </c>
      <c r="L809">
        <v>1</v>
      </c>
      <c r="M809">
        <v>1</v>
      </c>
      <c r="N809">
        <v>1</v>
      </c>
      <c r="O809">
        <v>100</v>
      </c>
      <c r="P809" s="4" t="b">
        <f t="shared" si="12"/>
        <v>0</v>
      </c>
    </row>
    <row r="810" spans="1:16" x14ac:dyDescent="0.2">
      <c r="A810" t="s">
        <v>15</v>
      </c>
      <c r="B810" t="s">
        <v>1016</v>
      </c>
      <c r="C810">
        <v>817</v>
      </c>
      <c r="D810">
        <v>130318</v>
      </c>
      <c r="E810" t="s">
        <v>866</v>
      </c>
      <c r="F810" t="s">
        <v>73</v>
      </c>
      <c r="G810" t="s">
        <v>18</v>
      </c>
      <c r="H810" t="s">
        <v>28</v>
      </c>
      <c r="I810" t="s">
        <v>29</v>
      </c>
      <c r="J810">
        <v>64</v>
      </c>
      <c r="K810">
        <v>0.03</v>
      </c>
      <c r="L810">
        <v>1</v>
      </c>
      <c r="M810">
        <v>1</v>
      </c>
      <c r="N810">
        <v>1</v>
      </c>
      <c r="O810">
        <v>100</v>
      </c>
      <c r="P810" s="4" t="b">
        <f t="shared" si="12"/>
        <v>0</v>
      </c>
    </row>
    <row r="811" spans="1:16" x14ac:dyDescent="0.2">
      <c r="A811" t="s">
        <v>15</v>
      </c>
      <c r="B811" t="s">
        <v>1016</v>
      </c>
      <c r="C811">
        <v>818</v>
      </c>
      <c r="D811">
        <v>135956</v>
      </c>
      <c r="E811" t="s">
        <v>1013</v>
      </c>
      <c r="F811" t="s">
        <v>238</v>
      </c>
      <c r="G811" t="s">
        <v>18</v>
      </c>
      <c r="H811" t="s">
        <v>28</v>
      </c>
      <c r="I811" t="s">
        <v>20</v>
      </c>
      <c r="J811">
        <v>62</v>
      </c>
      <c r="K811">
        <v>0.03</v>
      </c>
      <c r="L811">
        <v>1</v>
      </c>
      <c r="M811">
        <v>1</v>
      </c>
      <c r="N811">
        <v>1</v>
      </c>
      <c r="O811">
        <v>100</v>
      </c>
      <c r="P811" s="4" t="b">
        <f t="shared" si="12"/>
        <v>0</v>
      </c>
    </row>
    <row r="812" spans="1:16" x14ac:dyDescent="0.2">
      <c r="A812" t="s">
        <v>15</v>
      </c>
      <c r="B812" t="s">
        <v>1016</v>
      </c>
      <c r="C812">
        <v>819</v>
      </c>
      <c r="D812">
        <v>96334</v>
      </c>
      <c r="E812" t="s">
        <v>577</v>
      </c>
      <c r="F812" t="s">
        <v>38</v>
      </c>
      <c r="G812" t="s">
        <v>23</v>
      </c>
      <c r="H812" t="s">
        <v>39</v>
      </c>
      <c r="I812" t="s">
        <v>29</v>
      </c>
      <c r="J812">
        <v>54</v>
      </c>
      <c r="K812">
        <v>0.03</v>
      </c>
      <c r="L812">
        <v>1</v>
      </c>
      <c r="M812">
        <v>1</v>
      </c>
      <c r="N812">
        <v>1</v>
      </c>
      <c r="O812">
        <v>100</v>
      </c>
      <c r="P812" s="4" t="b">
        <f t="shared" si="12"/>
        <v>0</v>
      </c>
    </row>
    <row r="813" spans="1:16" x14ac:dyDescent="0.2">
      <c r="A813" t="s">
        <v>15</v>
      </c>
      <c r="B813" t="s">
        <v>1016</v>
      </c>
      <c r="C813">
        <v>820</v>
      </c>
      <c r="D813">
        <v>130072</v>
      </c>
      <c r="E813" t="s">
        <v>835</v>
      </c>
      <c r="F813" t="s">
        <v>54</v>
      </c>
      <c r="G813" t="s">
        <v>18</v>
      </c>
      <c r="H813" t="s">
        <v>55</v>
      </c>
      <c r="I813" t="s">
        <v>29</v>
      </c>
      <c r="J813">
        <v>63</v>
      </c>
      <c r="K813">
        <v>0.03</v>
      </c>
      <c r="L813">
        <v>1</v>
      </c>
      <c r="M813">
        <v>1</v>
      </c>
      <c r="N813">
        <v>1</v>
      </c>
      <c r="O813">
        <v>100</v>
      </c>
      <c r="P813" s="4" t="b">
        <f t="shared" si="12"/>
        <v>0</v>
      </c>
    </row>
    <row r="814" spans="1:16" x14ac:dyDescent="0.2">
      <c r="A814" t="s">
        <v>15</v>
      </c>
      <c r="B814" t="s">
        <v>1016</v>
      </c>
      <c r="C814">
        <v>821</v>
      </c>
      <c r="D814">
        <v>130829</v>
      </c>
      <c r="E814" t="s">
        <v>733</v>
      </c>
      <c r="F814" t="s">
        <v>44</v>
      </c>
      <c r="G814" t="s">
        <v>18</v>
      </c>
      <c r="H814" t="s">
        <v>39</v>
      </c>
      <c r="I814" t="s">
        <v>29</v>
      </c>
      <c r="J814">
        <v>64</v>
      </c>
      <c r="K814">
        <v>0.03</v>
      </c>
      <c r="L814">
        <v>1</v>
      </c>
      <c r="M814">
        <v>1</v>
      </c>
      <c r="N814">
        <v>1</v>
      </c>
      <c r="O814">
        <v>100</v>
      </c>
      <c r="P814" s="4" t="b">
        <f t="shared" si="12"/>
        <v>0</v>
      </c>
    </row>
    <row r="815" spans="1:16" x14ac:dyDescent="0.2">
      <c r="A815" t="s">
        <v>15</v>
      </c>
      <c r="B815" t="s">
        <v>1016</v>
      </c>
      <c r="C815">
        <v>822</v>
      </c>
      <c r="D815">
        <v>131990</v>
      </c>
      <c r="E815" t="s">
        <v>581</v>
      </c>
      <c r="F815" t="s">
        <v>38</v>
      </c>
      <c r="G815" t="s">
        <v>23</v>
      </c>
      <c r="H815" t="s">
        <v>39</v>
      </c>
      <c r="I815" t="s">
        <v>29</v>
      </c>
      <c r="J815">
        <v>55</v>
      </c>
      <c r="K815">
        <v>0.03</v>
      </c>
      <c r="L815">
        <v>1</v>
      </c>
      <c r="M815">
        <v>1</v>
      </c>
      <c r="N815">
        <v>1</v>
      </c>
      <c r="O815">
        <v>100</v>
      </c>
      <c r="P815" s="4" t="b">
        <f t="shared" si="12"/>
        <v>0</v>
      </c>
    </row>
    <row r="816" spans="1:16" x14ac:dyDescent="0.2">
      <c r="A816" t="s">
        <v>15</v>
      </c>
      <c r="B816" t="s">
        <v>1016</v>
      </c>
      <c r="C816">
        <v>823</v>
      </c>
      <c r="D816">
        <v>130329</v>
      </c>
      <c r="E816" t="s">
        <v>868</v>
      </c>
      <c r="F816" t="s">
        <v>73</v>
      </c>
      <c r="G816" t="s">
        <v>18</v>
      </c>
      <c r="H816" t="s">
        <v>28</v>
      </c>
      <c r="I816" t="s">
        <v>29</v>
      </c>
      <c r="J816">
        <v>65</v>
      </c>
      <c r="K816">
        <v>0.03</v>
      </c>
      <c r="L816">
        <v>1</v>
      </c>
      <c r="M816">
        <v>1</v>
      </c>
      <c r="N816">
        <v>1</v>
      </c>
      <c r="O816">
        <v>100</v>
      </c>
      <c r="P816" s="4" t="b">
        <f t="shared" si="12"/>
        <v>0</v>
      </c>
    </row>
    <row r="817" spans="1:16" x14ac:dyDescent="0.2">
      <c r="A817" t="s">
        <v>15</v>
      </c>
      <c r="B817" t="s">
        <v>1016</v>
      </c>
      <c r="C817">
        <v>824</v>
      </c>
      <c r="D817">
        <v>132736</v>
      </c>
      <c r="E817" t="s">
        <v>1014</v>
      </c>
      <c r="F817" t="s">
        <v>238</v>
      </c>
      <c r="G817" t="s">
        <v>18</v>
      </c>
      <c r="H817" t="s">
        <v>28</v>
      </c>
      <c r="I817" t="s">
        <v>29</v>
      </c>
      <c r="J817">
        <v>63</v>
      </c>
      <c r="K817">
        <v>0.03</v>
      </c>
      <c r="L817">
        <v>1</v>
      </c>
      <c r="M817">
        <v>1</v>
      </c>
      <c r="N817">
        <v>1</v>
      </c>
      <c r="O817">
        <v>100</v>
      </c>
      <c r="P817" s="4" t="b">
        <f t="shared" si="12"/>
        <v>0</v>
      </c>
    </row>
    <row r="818" spans="1:16" x14ac:dyDescent="0.2">
      <c r="A818" t="s">
        <v>15</v>
      </c>
      <c r="B818" t="s">
        <v>1016</v>
      </c>
      <c r="C818">
        <v>825</v>
      </c>
      <c r="D818">
        <v>131995</v>
      </c>
      <c r="E818" t="s">
        <v>583</v>
      </c>
      <c r="F818" t="s">
        <v>38</v>
      </c>
      <c r="G818" t="s">
        <v>23</v>
      </c>
      <c r="H818" t="s">
        <v>39</v>
      </c>
      <c r="I818" t="s">
        <v>29</v>
      </c>
      <c r="J818">
        <v>56</v>
      </c>
      <c r="K818">
        <v>0.03</v>
      </c>
      <c r="L818">
        <v>1</v>
      </c>
      <c r="M818">
        <v>1</v>
      </c>
      <c r="N818">
        <v>1</v>
      </c>
      <c r="O818">
        <v>100</v>
      </c>
      <c r="P818" s="4" t="b">
        <f t="shared" si="12"/>
        <v>0</v>
      </c>
    </row>
    <row r="819" spans="1:16" x14ac:dyDescent="0.2">
      <c r="A819" t="s">
        <v>15</v>
      </c>
      <c r="B819" t="s">
        <v>1016</v>
      </c>
      <c r="C819">
        <v>826</v>
      </c>
      <c r="D819">
        <v>130073</v>
      </c>
      <c r="E819" t="s">
        <v>839</v>
      </c>
      <c r="F819" t="s">
        <v>54</v>
      </c>
      <c r="G819" t="s">
        <v>18</v>
      </c>
      <c r="H819" t="s">
        <v>55</v>
      </c>
      <c r="I819" t="s">
        <v>29</v>
      </c>
      <c r="J819">
        <v>64</v>
      </c>
      <c r="K819">
        <v>0.03</v>
      </c>
      <c r="L819">
        <v>1</v>
      </c>
      <c r="M819">
        <v>1</v>
      </c>
      <c r="N819">
        <v>1</v>
      </c>
      <c r="O819">
        <v>100</v>
      </c>
      <c r="P819" s="4" t="b">
        <f t="shared" si="12"/>
        <v>0</v>
      </c>
    </row>
    <row r="820" spans="1:16" x14ac:dyDescent="0.2">
      <c r="A820" t="s">
        <v>15</v>
      </c>
      <c r="B820" t="s">
        <v>1016</v>
      </c>
      <c r="C820">
        <v>827</v>
      </c>
      <c r="D820">
        <v>132222</v>
      </c>
      <c r="E820" t="s">
        <v>587</v>
      </c>
      <c r="F820" t="s">
        <v>38</v>
      </c>
      <c r="G820" t="s">
        <v>23</v>
      </c>
      <c r="H820" t="s">
        <v>39</v>
      </c>
      <c r="I820" t="s">
        <v>29</v>
      </c>
      <c r="J820">
        <v>57</v>
      </c>
      <c r="K820">
        <v>0.03</v>
      </c>
      <c r="L820">
        <v>1</v>
      </c>
      <c r="M820">
        <v>1</v>
      </c>
      <c r="N820">
        <v>1</v>
      </c>
      <c r="O820">
        <v>100</v>
      </c>
      <c r="P820" s="4" t="b">
        <f t="shared" si="12"/>
        <v>0</v>
      </c>
    </row>
    <row r="821" spans="1:16" x14ac:dyDescent="0.2">
      <c r="A821" t="s">
        <v>15</v>
      </c>
      <c r="B821" t="s">
        <v>1016</v>
      </c>
      <c r="C821">
        <v>828</v>
      </c>
      <c r="D821">
        <v>130871</v>
      </c>
      <c r="E821" t="s">
        <v>741</v>
      </c>
      <c r="F821" t="s">
        <v>44</v>
      </c>
      <c r="G821" t="s">
        <v>18</v>
      </c>
      <c r="H821" t="s">
        <v>39</v>
      </c>
      <c r="I821" t="s">
        <v>20</v>
      </c>
      <c r="J821">
        <v>65</v>
      </c>
      <c r="K821">
        <v>0.03</v>
      </c>
      <c r="L821">
        <v>1</v>
      </c>
      <c r="M821">
        <v>1</v>
      </c>
      <c r="N821">
        <v>1</v>
      </c>
      <c r="O821">
        <v>100</v>
      </c>
      <c r="P821" s="4" t="b">
        <f t="shared" si="12"/>
        <v>0</v>
      </c>
    </row>
    <row r="822" spans="1:16" x14ac:dyDescent="0.2">
      <c r="A822" t="s">
        <v>15</v>
      </c>
      <c r="B822" t="s">
        <v>1016</v>
      </c>
      <c r="C822">
        <v>829</v>
      </c>
      <c r="D822">
        <v>130399</v>
      </c>
      <c r="E822" t="s">
        <v>869</v>
      </c>
      <c r="F822" t="s">
        <v>73</v>
      </c>
      <c r="G822" t="s">
        <v>18</v>
      </c>
      <c r="H822" t="s">
        <v>28</v>
      </c>
      <c r="I822" t="s">
        <v>29</v>
      </c>
      <c r="J822">
        <v>66</v>
      </c>
      <c r="K822">
        <v>0.03</v>
      </c>
      <c r="L822">
        <v>1</v>
      </c>
      <c r="M822">
        <v>1</v>
      </c>
      <c r="N822">
        <v>1</v>
      </c>
      <c r="O822">
        <v>100</v>
      </c>
      <c r="P822" s="4" t="b">
        <f t="shared" si="12"/>
        <v>0</v>
      </c>
    </row>
    <row r="823" spans="1:16" x14ac:dyDescent="0.2">
      <c r="A823" t="s">
        <v>15</v>
      </c>
      <c r="B823" t="s">
        <v>1016</v>
      </c>
      <c r="C823">
        <v>830</v>
      </c>
      <c r="D823">
        <v>132023</v>
      </c>
      <c r="E823" t="s">
        <v>592</v>
      </c>
      <c r="F823" t="s">
        <v>38</v>
      </c>
      <c r="G823" t="s">
        <v>23</v>
      </c>
      <c r="H823" t="s">
        <v>39</v>
      </c>
      <c r="I823" t="s">
        <v>29</v>
      </c>
      <c r="J823">
        <v>59</v>
      </c>
      <c r="K823">
        <v>0.03</v>
      </c>
      <c r="L823">
        <v>1</v>
      </c>
      <c r="M823">
        <v>1</v>
      </c>
      <c r="N823">
        <v>1</v>
      </c>
      <c r="O823">
        <v>100</v>
      </c>
      <c r="P823" s="4" t="b">
        <f t="shared" si="12"/>
        <v>0</v>
      </c>
    </row>
    <row r="824" spans="1:16" x14ac:dyDescent="0.2">
      <c r="A824" t="s">
        <v>15</v>
      </c>
      <c r="B824" t="s">
        <v>1016</v>
      </c>
      <c r="C824">
        <v>831</v>
      </c>
      <c r="D824">
        <v>130074</v>
      </c>
      <c r="E824" t="s">
        <v>842</v>
      </c>
      <c r="F824" t="s">
        <v>54</v>
      </c>
      <c r="G824" t="s">
        <v>18</v>
      </c>
      <c r="H824" t="s">
        <v>55</v>
      </c>
      <c r="I824" t="s">
        <v>29</v>
      </c>
      <c r="J824">
        <v>65</v>
      </c>
      <c r="K824">
        <v>0.03</v>
      </c>
      <c r="L824">
        <v>1</v>
      </c>
      <c r="M824">
        <v>1</v>
      </c>
      <c r="N824">
        <v>1</v>
      </c>
      <c r="O824">
        <v>100</v>
      </c>
      <c r="P824" s="4" t="b">
        <f t="shared" si="12"/>
        <v>0</v>
      </c>
    </row>
    <row r="825" spans="1:16" x14ac:dyDescent="0.2">
      <c r="A825" t="s">
        <v>15</v>
      </c>
      <c r="B825" t="s">
        <v>1016</v>
      </c>
      <c r="C825">
        <v>832</v>
      </c>
      <c r="D825">
        <v>130700</v>
      </c>
      <c r="E825" t="s">
        <v>746</v>
      </c>
      <c r="F825" t="s">
        <v>44</v>
      </c>
      <c r="G825" t="s">
        <v>18</v>
      </c>
      <c r="H825" t="s">
        <v>39</v>
      </c>
      <c r="I825" t="s">
        <v>29</v>
      </c>
      <c r="J825">
        <v>66</v>
      </c>
      <c r="K825">
        <v>0.03</v>
      </c>
      <c r="L825">
        <v>1</v>
      </c>
      <c r="M825">
        <v>1</v>
      </c>
      <c r="N825">
        <v>1</v>
      </c>
      <c r="O825">
        <v>100</v>
      </c>
      <c r="P825" s="4" t="b">
        <f t="shared" si="12"/>
        <v>0</v>
      </c>
    </row>
    <row r="826" spans="1:16" x14ac:dyDescent="0.2">
      <c r="A826" t="s">
        <v>15</v>
      </c>
      <c r="B826" t="s">
        <v>1016</v>
      </c>
      <c r="C826">
        <v>833</v>
      </c>
      <c r="D826">
        <v>131993</v>
      </c>
      <c r="E826" t="s">
        <v>601</v>
      </c>
      <c r="F826" t="s">
        <v>38</v>
      </c>
      <c r="G826" t="s">
        <v>23</v>
      </c>
      <c r="H826" t="s">
        <v>39</v>
      </c>
      <c r="I826" t="s">
        <v>29</v>
      </c>
      <c r="J826">
        <v>60</v>
      </c>
      <c r="K826">
        <v>0.03</v>
      </c>
      <c r="L826">
        <v>1</v>
      </c>
      <c r="M826">
        <v>1</v>
      </c>
      <c r="N826">
        <v>1</v>
      </c>
      <c r="O826">
        <v>100</v>
      </c>
      <c r="P826" s="4" t="b">
        <f t="shared" si="12"/>
        <v>0</v>
      </c>
    </row>
    <row r="827" spans="1:16" x14ac:dyDescent="0.2">
      <c r="A827" t="s">
        <v>15</v>
      </c>
      <c r="B827" t="s">
        <v>1016</v>
      </c>
      <c r="C827">
        <v>834</v>
      </c>
      <c r="D827">
        <v>130247</v>
      </c>
      <c r="E827" t="s">
        <v>870</v>
      </c>
      <c r="F827" t="s">
        <v>73</v>
      </c>
      <c r="G827" t="s">
        <v>18</v>
      </c>
      <c r="H827" t="s">
        <v>28</v>
      </c>
      <c r="I827" t="s">
        <v>29</v>
      </c>
      <c r="J827">
        <v>67</v>
      </c>
      <c r="K827">
        <v>0.03</v>
      </c>
      <c r="L827">
        <v>1</v>
      </c>
      <c r="M827">
        <v>1</v>
      </c>
      <c r="N827">
        <v>1</v>
      </c>
      <c r="O827">
        <v>100</v>
      </c>
      <c r="P827" s="4" t="b">
        <f t="shared" si="12"/>
        <v>0</v>
      </c>
    </row>
    <row r="828" spans="1:16" x14ac:dyDescent="0.2">
      <c r="A828" t="s">
        <v>15</v>
      </c>
      <c r="B828" t="s">
        <v>1016</v>
      </c>
      <c r="C828">
        <v>835</v>
      </c>
      <c r="D828">
        <v>130653</v>
      </c>
      <c r="E828" t="s">
        <v>844</v>
      </c>
      <c r="F828" t="s">
        <v>54</v>
      </c>
      <c r="G828" t="s">
        <v>18</v>
      </c>
      <c r="H828" t="s">
        <v>55</v>
      </c>
      <c r="I828" t="s">
        <v>29</v>
      </c>
      <c r="J828">
        <v>66</v>
      </c>
      <c r="K828">
        <v>0.03</v>
      </c>
      <c r="L828">
        <v>1</v>
      </c>
      <c r="M828">
        <v>1</v>
      </c>
      <c r="N828">
        <v>1</v>
      </c>
      <c r="O828">
        <v>100</v>
      </c>
      <c r="P828" s="4" t="b">
        <f t="shared" si="12"/>
        <v>0</v>
      </c>
    </row>
    <row r="829" spans="1:16" x14ac:dyDescent="0.2">
      <c r="A829" t="s">
        <v>15</v>
      </c>
      <c r="B829" t="s">
        <v>1016</v>
      </c>
      <c r="C829">
        <v>836</v>
      </c>
      <c r="D829">
        <v>50994</v>
      </c>
      <c r="E829" t="s">
        <v>603</v>
      </c>
      <c r="F829" t="s">
        <v>38</v>
      </c>
      <c r="G829" t="s">
        <v>23</v>
      </c>
      <c r="H829" t="s">
        <v>39</v>
      </c>
      <c r="I829" t="s">
        <v>29</v>
      </c>
      <c r="J829">
        <v>61</v>
      </c>
      <c r="K829">
        <v>0.03</v>
      </c>
      <c r="L829">
        <v>1</v>
      </c>
      <c r="M829">
        <v>1</v>
      </c>
      <c r="N829">
        <v>1</v>
      </c>
      <c r="O829">
        <v>100</v>
      </c>
      <c r="P829" s="4" t="b">
        <f t="shared" si="12"/>
        <v>0</v>
      </c>
    </row>
    <row r="830" spans="1:16" x14ac:dyDescent="0.2">
      <c r="A830" t="s">
        <v>15</v>
      </c>
      <c r="B830" t="s">
        <v>1016</v>
      </c>
      <c r="C830">
        <v>837</v>
      </c>
      <c r="D830">
        <v>130709</v>
      </c>
      <c r="E830" t="s">
        <v>757</v>
      </c>
      <c r="F830" t="s">
        <v>44</v>
      </c>
      <c r="G830" t="s">
        <v>18</v>
      </c>
      <c r="H830" t="s">
        <v>39</v>
      </c>
      <c r="I830" t="s">
        <v>20</v>
      </c>
      <c r="J830">
        <v>67</v>
      </c>
      <c r="K830">
        <v>0.03</v>
      </c>
      <c r="L830">
        <v>1</v>
      </c>
      <c r="M830">
        <v>1</v>
      </c>
      <c r="N830">
        <v>1</v>
      </c>
      <c r="O830">
        <v>100</v>
      </c>
      <c r="P830" s="4" t="b">
        <f t="shared" si="12"/>
        <v>0</v>
      </c>
    </row>
    <row r="831" spans="1:16" x14ac:dyDescent="0.2">
      <c r="A831" t="s">
        <v>15</v>
      </c>
      <c r="B831" t="s">
        <v>1016</v>
      </c>
      <c r="C831">
        <v>838</v>
      </c>
      <c r="D831">
        <v>129941</v>
      </c>
      <c r="E831" t="s">
        <v>872</v>
      </c>
      <c r="F831" t="s">
        <v>73</v>
      </c>
      <c r="G831" t="s">
        <v>18</v>
      </c>
      <c r="H831" t="s">
        <v>28</v>
      </c>
      <c r="I831" t="s">
        <v>29</v>
      </c>
      <c r="J831">
        <v>68</v>
      </c>
      <c r="K831">
        <v>0.03</v>
      </c>
      <c r="L831">
        <v>1</v>
      </c>
      <c r="M831">
        <v>1</v>
      </c>
      <c r="N831">
        <v>1</v>
      </c>
      <c r="O831">
        <v>100</v>
      </c>
      <c r="P831" s="4" t="b">
        <f t="shared" si="12"/>
        <v>0</v>
      </c>
    </row>
    <row r="832" spans="1:16" x14ac:dyDescent="0.2">
      <c r="A832" t="s">
        <v>15</v>
      </c>
      <c r="B832" t="s">
        <v>1016</v>
      </c>
      <c r="C832">
        <v>839</v>
      </c>
      <c r="D832">
        <v>132220</v>
      </c>
      <c r="E832" t="s">
        <v>614</v>
      </c>
      <c r="F832" t="s">
        <v>38</v>
      </c>
      <c r="G832" t="s">
        <v>23</v>
      </c>
      <c r="H832" t="s">
        <v>39</v>
      </c>
      <c r="I832" t="s">
        <v>29</v>
      </c>
      <c r="J832">
        <v>62</v>
      </c>
      <c r="K832">
        <v>0.03</v>
      </c>
      <c r="L832">
        <v>1</v>
      </c>
      <c r="M832">
        <v>1</v>
      </c>
      <c r="N832">
        <v>1</v>
      </c>
      <c r="O832">
        <v>100</v>
      </c>
      <c r="P832" s="4" t="b">
        <f t="shared" si="12"/>
        <v>0</v>
      </c>
    </row>
    <row r="833" spans="1:16" x14ac:dyDescent="0.2">
      <c r="A833" t="s">
        <v>15</v>
      </c>
      <c r="B833" t="s">
        <v>1016</v>
      </c>
      <c r="C833">
        <v>840</v>
      </c>
      <c r="D833">
        <v>130742</v>
      </c>
      <c r="E833" t="s">
        <v>847</v>
      </c>
      <c r="F833" t="s">
        <v>54</v>
      </c>
      <c r="G833" t="s">
        <v>18</v>
      </c>
      <c r="H833" t="s">
        <v>55</v>
      </c>
      <c r="I833" t="s">
        <v>29</v>
      </c>
      <c r="J833">
        <v>67</v>
      </c>
      <c r="K833">
        <v>0.03</v>
      </c>
      <c r="L833">
        <v>1</v>
      </c>
      <c r="M833">
        <v>1</v>
      </c>
      <c r="N833">
        <v>1</v>
      </c>
      <c r="O833">
        <v>100</v>
      </c>
      <c r="P833" s="4" t="b">
        <f t="shared" si="12"/>
        <v>0</v>
      </c>
    </row>
    <row r="834" spans="1:16" x14ac:dyDescent="0.2">
      <c r="A834" t="s">
        <v>15</v>
      </c>
      <c r="B834" t="s">
        <v>1016</v>
      </c>
      <c r="C834">
        <v>841</v>
      </c>
      <c r="D834">
        <v>130675</v>
      </c>
      <c r="E834" t="s">
        <v>761</v>
      </c>
      <c r="F834" t="s">
        <v>44</v>
      </c>
      <c r="G834" t="s">
        <v>18</v>
      </c>
      <c r="H834" t="s">
        <v>39</v>
      </c>
      <c r="I834" t="s">
        <v>29</v>
      </c>
      <c r="J834">
        <v>68</v>
      </c>
      <c r="K834">
        <v>0.03</v>
      </c>
      <c r="L834">
        <v>1</v>
      </c>
      <c r="M834">
        <v>1</v>
      </c>
      <c r="N834">
        <v>1</v>
      </c>
      <c r="O834">
        <v>100</v>
      </c>
      <c r="P834" s="4" t="b">
        <f t="shared" si="12"/>
        <v>0</v>
      </c>
    </row>
    <row r="835" spans="1:16" x14ac:dyDescent="0.2">
      <c r="A835" t="s">
        <v>15</v>
      </c>
      <c r="B835" t="s">
        <v>1016</v>
      </c>
      <c r="C835">
        <v>842</v>
      </c>
      <c r="D835">
        <v>49513</v>
      </c>
      <c r="E835" t="s">
        <v>616</v>
      </c>
      <c r="F835" t="s">
        <v>38</v>
      </c>
      <c r="G835" t="s">
        <v>23</v>
      </c>
      <c r="H835" t="s">
        <v>39</v>
      </c>
      <c r="I835" t="s">
        <v>29</v>
      </c>
      <c r="J835">
        <v>63</v>
      </c>
      <c r="K835">
        <v>0.03</v>
      </c>
      <c r="L835">
        <v>1</v>
      </c>
      <c r="M835">
        <v>1</v>
      </c>
      <c r="N835">
        <v>1</v>
      </c>
      <c r="O835">
        <v>100</v>
      </c>
      <c r="P835" s="4" t="b">
        <f t="shared" ref="P835:P898" si="13">C835&lt;($Q$1+1)</f>
        <v>0</v>
      </c>
    </row>
    <row r="836" spans="1:16" x14ac:dyDescent="0.2">
      <c r="A836" t="s">
        <v>15</v>
      </c>
      <c r="B836" t="s">
        <v>1016</v>
      </c>
      <c r="C836">
        <v>843</v>
      </c>
      <c r="D836">
        <v>130472</v>
      </c>
      <c r="E836" t="s">
        <v>874</v>
      </c>
      <c r="F836" t="s">
        <v>73</v>
      </c>
      <c r="G836" t="s">
        <v>18</v>
      </c>
      <c r="H836" t="s">
        <v>28</v>
      </c>
      <c r="I836" t="s">
        <v>29</v>
      </c>
      <c r="J836">
        <v>69</v>
      </c>
      <c r="K836">
        <v>0.03</v>
      </c>
      <c r="L836">
        <v>1</v>
      </c>
      <c r="M836">
        <v>1</v>
      </c>
      <c r="N836">
        <v>1</v>
      </c>
      <c r="O836">
        <v>100</v>
      </c>
      <c r="P836" s="4" t="b">
        <f t="shared" si="13"/>
        <v>0</v>
      </c>
    </row>
    <row r="837" spans="1:16" x14ac:dyDescent="0.2">
      <c r="A837" t="s">
        <v>15</v>
      </c>
      <c r="B837" t="s">
        <v>1016</v>
      </c>
      <c r="C837">
        <v>844</v>
      </c>
      <c r="D837">
        <v>132218</v>
      </c>
      <c r="E837" t="s">
        <v>622</v>
      </c>
      <c r="F837" t="s">
        <v>38</v>
      </c>
      <c r="G837" t="s">
        <v>23</v>
      </c>
      <c r="H837" t="s">
        <v>39</v>
      </c>
      <c r="I837" t="s">
        <v>29</v>
      </c>
      <c r="J837">
        <v>64</v>
      </c>
      <c r="K837">
        <v>6</v>
      </c>
      <c r="L837">
        <v>3</v>
      </c>
      <c r="M837">
        <v>2</v>
      </c>
      <c r="N837">
        <v>1</v>
      </c>
      <c r="O837">
        <v>1</v>
      </c>
      <c r="P837" s="4" t="b">
        <f t="shared" si="13"/>
        <v>0</v>
      </c>
    </row>
    <row r="838" spans="1:16" x14ac:dyDescent="0.2">
      <c r="A838" t="s">
        <v>15</v>
      </c>
      <c r="B838" t="s">
        <v>1016</v>
      </c>
      <c r="C838">
        <v>845</v>
      </c>
      <c r="D838">
        <v>131143</v>
      </c>
      <c r="E838" t="s">
        <v>850</v>
      </c>
      <c r="F838" t="s">
        <v>54</v>
      </c>
      <c r="G838" t="s">
        <v>18</v>
      </c>
      <c r="H838" t="s">
        <v>55</v>
      </c>
      <c r="I838" t="s">
        <v>29</v>
      </c>
      <c r="J838">
        <v>68</v>
      </c>
      <c r="K838">
        <v>0.03</v>
      </c>
      <c r="L838">
        <v>1</v>
      </c>
      <c r="M838">
        <v>1</v>
      </c>
      <c r="N838">
        <v>1</v>
      </c>
      <c r="O838">
        <v>100</v>
      </c>
      <c r="P838" s="4" t="b">
        <f t="shared" si="13"/>
        <v>0</v>
      </c>
    </row>
    <row r="839" spans="1:16" x14ac:dyDescent="0.2">
      <c r="A839" t="s">
        <v>15</v>
      </c>
      <c r="B839" t="s">
        <v>1016</v>
      </c>
      <c r="C839">
        <v>846</v>
      </c>
      <c r="D839">
        <v>130219</v>
      </c>
      <c r="E839" t="s">
        <v>769</v>
      </c>
      <c r="F839" t="s">
        <v>44</v>
      </c>
      <c r="G839" t="s">
        <v>18</v>
      </c>
      <c r="H839" t="s">
        <v>39</v>
      </c>
      <c r="I839" t="s">
        <v>29</v>
      </c>
      <c r="J839">
        <v>69</v>
      </c>
      <c r="K839">
        <v>0.03</v>
      </c>
      <c r="L839">
        <v>1</v>
      </c>
      <c r="M839">
        <v>1</v>
      </c>
      <c r="N839">
        <v>1</v>
      </c>
      <c r="O839">
        <v>100</v>
      </c>
      <c r="P839" s="4" t="b">
        <f t="shared" si="13"/>
        <v>0</v>
      </c>
    </row>
    <row r="840" spans="1:16" x14ac:dyDescent="0.2">
      <c r="A840" t="s">
        <v>15</v>
      </c>
      <c r="B840" t="s">
        <v>1016</v>
      </c>
      <c r="C840">
        <v>847</v>
      </c>
      <c r="D840">
        <v>158454</v>
      </c>
      <c r="E840" t="s">
        <v>625</v>
      </c>
      <c r="F840" t="s">
        <v>38</v>
      </c>
      <c r="G840" t="s">
        <v>23</v>
      </c>
      <c r="H840" t="s">
        <v>39</v>
      </c>
      <c r="I840" t="s">
        <v>29</v>
      </c>
      <c r="J840">
        <v>65</v>
      </c>
      <c r="K840">
        <v>0.03</v>
      </c>
      <c r="L840">
        <v>1</v>
      </c>
      <c r="M840">
        <v>1</v>
      </c>
      <c r="N840">
        <v>1</v>
      </c>
      <c r="O840">
        <v>100</v>
      </c>
      <c r="P840" s="4" t="b">
        <f t="shared" si="13"/>
        <v>0</v>
      </c>
    </row>
    <row r="841" spans="1:16" x14ac:dyDescent="0.2">
      <c r="A841" t="s">
        <v>15</v>
      </c>
      <c r="B841" t="s">
        <v>1016</v>
      </c>
      <c r="C841">
        <v>848</v>
      </c>
      <c r="D841">
        <v>129668</v>
      </c>
      <c r="E841" t="s">
        <v>875</v>
      </c>
      <c r="F841" t="s">
        <v>73</v>
      </c>
      <c r="G841" t="s">
        <v>18</v>
      </c>
      <c r="H841" t="s">
        <v>28</v>
      </c>
      <c r="I841" t="s">
        <v>29</v>
      </c>
      <c r="J841">
        <v>70</v>
      </c>
      <c r="K841">
        <v>0.03</v>
      </c>
      <c r="L841">
        <v>1</v>
      </c>
      <c r="M841">
        <v>1</v>
      </c>
      <c r="N841">
        <v>1</v>
      </c>
      <c r="O841">
        <v>100</v>
      </c>
      <c r="P841" s="4" t="b">
        <f t="shared" si="13"/>
        <v>0</v>
      </c>
    </row>
    <row r="842" spans="1:16" x14ac:dyDescent="0.2">
      <c r="A842" t="s">
        <v>15</v>
      </c>
      <c r="B842" t="s">
        <v>1016</v>
      </c>
      <c r="C842">
        <v>849</v>
      </c>
      <c r="D842">
        <v>130858</v>
      </c>
      <c r="E842" t="s">
        <v>852</v>
      </c>
      <c r="F842" t="s">
        <v>54</v>
      </c>
      <c r="G842" t="s">
        <v>18</v>
      </c>
      <c r="H842" t="s">
        <v>55</v>
      </c>
      <c r="I842" t="s">
        <v>20</v>
      </c>
      <c r="J842">
        <v>69</v>
      </c>
      <c r="K842">
        <v>0.03</v>
      </c>
      <c r="L842">
        <v>1</v>
      </c>
      <c r="M842">
        <v>1</v>
      </c>
      <c r="N842">
        <v>1</v>
      </c>
      <c r="O842">
        <v>100</v>
      </c>
      <c r="P842" s="4" t="b">
        <f t="shared" si="13"/>
        <v>0</v>
      </c>
    </row>
    <row r="843" spans="1:16" x14ac:dyDescent="0.2">
      <c r="A843" t="s">
        <v>15</v>
      </c>
      <c r="B843" t="s">
        <v>1016</v>
      </c>
      <c r="C843">
        <v>850</v>
      </c>
      <c r="D843">
        <v>132021</v>
      </c>
      <c r="E843" t="s">
        <v>629</v>
      </c>
      <c r="F843" t="s">
        <v>38</v>
      </c>
      <c r="G843" t="s">
        <v>23</v>
      </c>
      <c r="H843" t="s">
        <v>39</v>
      </c>
      <c r="I843" t="s">
        <v>29</v>
      </c>
      <c r="J843">
        <v>66</v>
      </c>
      <c r="K843">
        <v>0.03</v>
      </c>
      <c r="L843">
        <v>1</v>
      </c>
      <c r="M843">
        <v>1</v>
      </c>
      <c r="N843">
        <v>1</v>
      </c>
      <c r="O843">
        <v>100</v>
      </c>
      <c r="P843" s="4" t="b">
        <f t="shared" si="13"/>
        <v>0</v>
      </c>
    </row>
    <row r="844" spans="1:16" x14ac:dyDescent="0.2">
      <c r="A844" t="s">
        <v>15</v>
      </c>
      <c r="B844" t="s">
        <v>1016</v>
      </c>
      <c r="C844">
        <v>851</v>
      </c>
      <c r="D844">
        <v>131059</v>
      </c>
      <c r="E844" t="s">
        <v>771</v>
      </c>
      <c r="F844" t="s">
        <v>44</v>
      </c>
      <c r="G844" t="s">
        <v>18</v>
      </c>
      <c r="H844" t="s">
        <v>39</v>
      </c>
      <c r="I844" t="s">
        <v>20</v>
      </c>
      <c r="J844">
        <v>70</v>
      </c>
      <c r="K844">
        <v>0.03</v>
      </c>
      <c r="L844">
        <v>1</v>
      </c>
      <c r="M844">
        <v>1</v>
      </c>
      <c r="N844">
        <v>1</v>
      </c>
      <c r="O844">
        <v>100</v>
      </c>
      <c r="P844" s="4" t="b">
        <f t="shared" si="13"/>
        <v>0</v>
      </c>
    </row>
    <row r="845" spans="1:16" x14ac:dyDescent="0.2">
      <c r="A845" t="s">
        <v>15</v>
      </c>
      <c r="B845" t="s">
        <v>1016</v>
      </c>
      <c r="C845">
        <v>852</v>
      </c>
      <c r="D845">
        <v>130602</v>
      </c>
      <c r="E845" t="s">
        <v>876</v>
      </c>
      <c r="F845" t="s">
        <v>73</v>
      </c>
      <c r="G845" t="s">
        <v>18</v>
      </c>
      <c r="H845" t="s">
        <v>28</v>
      </c>
      <c r="I845" t="s">
        <v>29</v>
      </c>
      <c r="J845">
        <v>71</v>
      </c>
      <c r="K845">
        <v>0.03</v>
      </c>
      <c r="L845">
        <v>1</v>
      </c>
      <c r="M845">
        <v>1</v>
      </c>
      <c r="N845">
        <v>1</v>
      </c>
      <c r="O845">
        <v>100</v>
      </c>
      <c r="P845" s="4" t="b">
        <f t="shared" si="13"/>
        <v>0</v>
      </c>
    </row>
    <row r="846" spans="1:16" x14ac:dyDescent="0.2">
      <c r="A846" t="s">
        <v>15</v>
      </c>
      <c r="B846" t="s">
        <v>1016</v>
      </c>
      <c r="C846">
        <v>853</v>
      </c>
      <c r="D846">
        <v>48156</v>
      </c>
      <c r="E846" t="s">
        <v>631</v>
      </c>
      <c r="F846" t="s">
        <v>38</v>
      </c>
      <c r="G846" t="s">
        <v>23</v>
      </c>
      <c r="H846" t="s">
        <v>39</v>
      </c>
      <c r="I846" t="s">
        <v>29</v>
      </c>
      <c r="J846">
        <v>67</v>
      </c>
      <c r="K846">
        <v>0.03</v>
      </c>
      <c r="L846">
        <v>1</v>
      </c>
      <c r="M846">
        <v>1</v>
      </c>
      <c r="N846">
        <v>1</v>
      </c>
      <c r="O846">
        <v>100</v>
      </c>
      <c r="P846" s="4" t="b">
        <f t="shared" si="13"/>
        <v>0</v>
      </c>
    </row>
    <row r="847" spans="1:16" x14ac:dyDescent="0.2">
      <c r="A847" t="s">
        <v>15</v>
      </c>
      <c r="B847" t="s">
        <v>1016</v>
      </c>
      <c r="C847">
        <v>854</v>
      </c>
      <c r="D847">
        <v>130336</v>
      </c>
      <c r="E847" t="s">
        <v>854</v>
      </c>
      <c r="F847" t="s">
        <v>54</v>
      </c>
      <c r="G847" t="s">
        <v>18</v>
      </c>
      <c r="H847" t="s">
        <v>55</v>
      </c>
      <c r="I847" t="s">
        <v>56</v>
      </c>
      <c r="J847">
        <v>70</v>
      </c>
      <c r="K847">
        <v>0.03</v>
      </c>
      <c r="L847">
        <v>1</v>
      </c>
      <c r="M847">
        <v>1</v>
      </c>
      <c r="N847">
        <v>1</v>
      </c>
      <c r="O847">
        <v>100</v>
      </c>
      <c r="P847" s="4" t="b">
        <f t="shared" si="13"/>
        <v>0</v>
      </c>
    </row>
    <row r="848" spans="1:16" x14ac:dyDescent="0.2">
      <c r="A848" t="s">
        <v>15</v>
      </c>
      <c r="B848" t="s">
        <v>1016</v>
      </c>
      <c r="C848">
        <v>855</v>
      </c>
      <c r="D848">
        <v>131070</v>
      </c>
      <c r="E848" t="s">
        <v>776</v>
      </c>
      <c r="F848" t="s">
        <v>44</v>
      </c>
      <c r="G848" t="s">
        <v>18</v>
      </c>
      <c r="H848" t="s">
        <v>39</v>
      </c>
      <c r="I848" t="s">
        <v>20</v>
      </c>
      <c r="J848">
        <v>71</v>
      </c>
      <c r="K848">
        <v>0.03</v>
      </c>
      <c r="L848">
        <v>1</v>
      </c>
      <c r="M848">
        <v>1</v>
      </c>
      <c r="N848">
        <v>1</v>
      </c>
      <c r="O848">
        <v>100</v>
      </c>
      <c r="P848" s="4" t="b">
        <f t="shared" si="13"/>
        <v>0</v>
      </c>
    </row>
    <row r="849" spans="1:16" x14ac:dyDescent="0.2">
      <c r="A849" t="s">
        <v>15</v>
      </c>
      <c r="B849" t="s">
        <v>1016</v>
      </c>
      <c r="C849">
        <v>856</v>
      </c>
      <c r="D849">
        <v>69351</v>
      </c>
      <c r="E849" t="s">
        <v>635</v>
      </c>
      <c r="F849" t="s">
        <v>38</v>
      </c>
      <c r="G849" t="s">
        <v>23</v>
      </c>
      <c r="H849" t="s">
        <v>39</v>
      </c>
      <c r="I849" t="s">
        <v>20</v>
      </c>
      <c r="J849">
        <v>68</v>
      </c>
      <c r="K849">
        <v>0.03</v>
      </c>
      <c r="L849">
        <v>1</v>
      </c>
      <c r="M849">
        <v>1</v>
      </c>
      <c r="N849">
        <v>1</v>
      </c>
      <c r="O849">
        <v>100</v>
      </c>
      <c r="P849" s="4" t="b">
        <f t="shared" si="13"/>
        <v>0</v>
      </c>
    </row>
    <row r="850" spans="1:16" x14ac:dyDescent="0.2">
      <c r="A850" t="s">
        <v>15</v>
      </c>
      <c r="B850" t="s">
        <v>1016</v>
      </c>
      <c r="C850">
        <v>857</v>
      </c>
      <c r="D850">
        <v>130452</v>
      </c>
      <c r="E850" t="s">
        <v>877</v>
      </c>
      <c r="F850" t="s">
        <v>73</v>
      </c>
      <c r="G850" t="s">
        <v>18</v>
      </c>
      <c r="H850" t="s">
        <v>28</v>
      </c>
      <c r="I850" t="s">
        <v>29</v>
      </c>
      <c r="J850">
        <v>72</v>
      </c>
      <c r="K850">
        <v>0.03</v>
      </c>
      <c r="L850">
        <v>1</v>
      </c>
      <c r="M850">
        <v>1</v>
      </c>
      <c r="N850">
        <v>1</v>
      </c>
      <c r="O850">
        <v>100</v>
      </c>
      <c r="P850" s="4" t="b">
        <f t="shared" si="13"/>
        <v>0</v>
      </c>
    </row>
    <row r="851" spans="1:16" x14ac:dyDescent="0.2">
      <c r="A851" t="s">
        <v>15</v>
      </c>
      <c r="B851" t="s">
        <v>1016</v>
      </c>
      <c r="C851">
        <v>858</v>
      </c>
      <c r="D851">
        <v>65266</v>
      </c>
      <c r="E851" t="s">
        <v>640</v>
      </c>
      <c r="F851" t="s">
        <v>38</v>
      </c>
      <c r="G851" t="s">
        <v>23</v>
      </c>
      <c r="H851" t="s">
        <v>39</v>
      </c>
      <c r="I851" t="s">
        <v>29</v>
      </c>
      <c r="J851">
        <v>69</v>
      </c>
      <c r="K851">
        <v>0.03</v>
      </c>
      <c r="L851">
        <v>1</v>
      </c>
      <c r="M851">
        <v>1</v>
      </c>
      <c r="N851">
        <v>1</v>
      </c>
      <c r="O851">
        <v>100</v>
      </c>
      <c r="P851" s="4" t="b">
        <f t="shared" si="13"/>
        <v>0</v>
      </c>
    </row>
    <row r="852" spans="1:16" x14ac:dyDescent="0.2">
      <c r="A852" t="s">
        <v>15</v>
      </c>
      <c r="B852" t="s">
        <v>1016</v>
      </c>
      <c r="C852">
        <v>859</v>
      </c>
      <c r="D852">
        <v>129592</v>
      </c>
      <c r="E852" t="s">
        <v>857</v>
      </c>
      <c r="F852" t="s">
        <v>54</v>
      </c>
      <c r="G852" t="s">
        <v>18</v>
      </c>
      <c r="H852" t="s">
        <v>55</v>
      </c>
      <c r="I852" t="s">
        <v>20</v>
      </c>
      <c r="J852">
        <v>71</v>
      </c>
      <c r="K852">
        <v>0.03</v>
      </c>
      <c r="L852">
        <v>1</v>
      </c>
      <c r="M852">
        <v>1</v>
      </c>
      <c r="N852">
        <v>1</v>
      </c>
      <c r="O852">
        <v>100</v>
      </c>
      <c r="P852" s="4" t="b">
        <f t="shared" si="13"/>
        <v>0</v>
      </c>
    </row>
    <row r="853" spans="1:16" x14ac:dyDescent="0.2">
      <c r="A853" t="s">
        <v>15</v>
      </c>
      <c r="B853" t="s">
        <v>1016</v>
      </c>
      <c r="C853">
        <v>860</v>
      </c>
      <c r="D853">
        <v>129663</v>
      </c>
      <c r="E853" t="s">
        <v>780</v>
      </c>
      <c r="F853" t="s">
        <v>44</v>
      </c>
      <c r="G853" t="s">
        <v>18</v>
      </c>
      <c r="H853" t="s">
        <v>39</v>
      </c>
      <c r="I853" t="s">
        <v>29</v>
      </c>
      <c r="J853">
        <v>72</v>
      </c>
      <c r="K853">
        <v>0.03</v>
      </c>
      <c r="L853">
        <v>1</v>
      </c>
      <c r="M853">
        <v>1</v>
      </c>
      <c r="N853">
        <v>1</v>
      </c>
      <c r="O853">
        <v>100</v>
      </c>
      <c r="P853" s="4" t="b">
        <f t="shared" si="13"/>
        <v>0</v>
      </c>
    </row>
    <row r="854" spans="1:16" x14ac:dyDescent="0.2">
      <c r="A854" t="s">
        <v>15</v>
      </c>
      <c r="B854" t="s">
        <v>1016</v>
      </c>
      <c r="C854">
        <v>861</v>
      </c>
      <c r="D854">
        <v>132024</v>
      </c>
      <c r="E854" t="s">
        <v>649</v>
      </c>
      <c r="F854" t="s">
        <v>38</v>
      </c>
      <c r="G854" t="s">
        <v>23</v>
      </c>
      <c r="H854" t="s">
        <v>39</v>
      </c>
      <c r="I854" t="s">
        <v>29</v>
      </c>
      <c r="J854">
        <v>70</v>
      </c>
      <c r="K854">
        <v>0.03</v>
      </c>
      <c r="L854">
        <v>1</v>
      </c>
      <c r="M854">
        <v>1</v>
      </c>
      <c r="N854">
        <v>1</v>
      </c>
      <c r="O854">
        <v>100</v>
      </c>
      <c r="P854" s="4" t="b">
        <f t="shared" si="13"/>
        <v>0</v>
      </c>
    </row>
    <row r="855" spans="1:16" x14ac:dyDescent="0.2">
      <c r="A855" t="s">
        <v>15</v>
      </c>
      <c r="B855" t="s">
        <v>1016</v>
      </c>
      <c r="C855">
        <v>862</v>
      </c>
      <c r="D855">
        <v>130420</v>
      </c>
      <c r="E855" t="s">
        <v>880</v>
      </c>
      <c r="F855" t="s">
        <v>73</v>
      </c>
      <c r="G855" t="s">
        <v>18</v>
      </c>
      <c r="H855" t="s">
        <v>28</v>
      </c>
      <c r="I855" t="s">
        <v>20</v>
      </c>
      <c r="J855">
        <v>73</v>
      </c>
      <c r="K855">
        <v>0.03</v>
      </c>
      <c r="L855">
        <v>1</v>
      </c>
      <c r="M855">
        <v>1</v>
      </c>
      <c r="N855">
        <v>1</v>
      </c>
      <c r="O855">
        <v>100</v>
      </c>
      <c r="P855" s="4" t="b">
        <f t="shared" si="13"/>
        <v>0</v>
      </c>
    </row>
    <row r="856" spans="1:16" x14ac:dyDescent="0.2">
      <c r="A856" t="s">
        <v>15</v>
      </c>
      <c r="B856" t="s">
        <v>1016</v>
      </c>
      <c r="C856">
        <v>863</v>
      </c>
      <c r="D856">
        <v>130161</v>
      </c>
      <c r="E856" t="s">
        <v>783</v>
      </c>
      <c r="F856" t="s">
        <v>44</v>
      </c>
      <c r="G856" t="s">
        <v>18</v>
      </c>
      <c r="H856" t="s">
        <v>39</v>
      </c>
      <c r="I856" t="s">
        <v>29</v>
      </c>
      <c r="J856">
        <v>73</v>
      </c>
      <c r="K856">
        <v>0.03</v>
      </c>
      <c r="L856">
        <v>1</v>
      </c>
      <c r="M856">
        <v>1</v>
      </c>
      <c r="N856">
        <v>1</v>
      </c>
      <c r="O856">
        <v>100</v>
      </c>
      <c r="P856" s="4" t="b">
        <f t="shared" si="13"/>
        <v>0</v>
      </c>
    </row>
    <row r="857" spans="1:16" x14ac:dyDescent="0.2">
      <c r="A857" t="s">
        <v>15</v>
      </c>
      <c r="B857" t="s">
        <v>1016</v>
      </c>
      <c r="C857">
        <v>864</v>
      </c>
      <c r="D857">
        <v>177129</v>
      </c>
      <c r="E857" t="s">
        <v>653</v>
      </c>
      <c r="F857" t="s">
        <v>38</v>
      </c>
      <c r="G857" t="s">
        <v>23</v>
      </c>
      <c r="H857" t="s">
        <v>39</v>
      </c>
      <c r="I857" t="s">
        <v>29</v>
      </c>
      <c r="J857">
        <v>71</v>
      </c>
      <c r="K857">
        <v>0.03</v>
      </c>
      <c r="L857">
        <v>1</v>
      </c>
      <c r="M857">
        <v>1</v>
      </c>
      <c r="N857">
        <v>1</v>
      </c>
      <c r="O857">
        <v>100</v>
      </c>
      <c r="P857" s="4" t="b">
        <f t="shared" si="13"/>
        <v>0</v>
      </c>
    </row>
    <row r="858" spans="1:16" x14ac:dyDescent="0.2">
      <c r="A858" t="s">
        <v>15</v>
      </c>
      <c r="B858" t="s">
        <v>1016</v>
      </c>
      <c r="C858">
        <v>865</v>
      </c>
      <c r="D858">
        <v>130454</v>
      </c>
      <c r="E858" t="s">
        <v>881</v>
      </c>
      <c r="F858" t="s">
        <v>73</v>
      </c>
      <c r="G858" t="s">
        <v>18</v>
      </c>
      <c r="H858" t="s">
        <v>28</v>
      </c>
      <c r="I858" t="s">
        <v>20</v>
      </c>
      <c r="J858">
        <v>74</v>
      </c>
      <c r="K858">
        <v>0.03</v>
      </c>
      <c r="L858">
        <v>1</v>
      </c>
      <c r="M858">
        <v>1</v>
      </c>
      <c r="N858">
        <v>1</v>
      </c>
      <c r="O858">
        <v>100</v>
      </c>
      <c r="P858" s="4" t="b">
        <f t="shared" si="13"/>
        <v>0</v>
      </c>
    </row>
    <row r="859" spans="1:16" x14ac:dyDescent="0.2">
      <c r="A859" t="s">
        <v>15</v>
      </c>
      <c r="B859" t="s">
        <v>1016</v>
      </c>
      <c r="C859">
        <v>866</v>
      </c>
      <c r="D859">
        <v>130366</v>
      </c>
      <c r="E859" t="s">
        <v>785</v>
      </c>
      <c r="F859" t="s">
        <v>44</v>
      </c>
      <c r="G859" t="s">
        <v>18</v>
      </c>
      <c r="H859" t="s">
        <v>39</v>
      </c>
      <c r="I859" t="s">
        <v>29</v>
      </c>
      <c r="J859">
        <v>74</v>
      </c>
      <c r="K859">
        <v>0.03</v>
      </c>
      <c r="L859">
        <v>1</v>
      </c>
      <c r="M859">
        <v>1</v>
      </c>
      <c r="N859">
        <v>1</v>
      </c>
      <c r="O859">
        <v>100</v>
      </c>
      <c r="P859" s="4" t="b">
        <f t="shared" si="13"/>
        <v>0</v>
      </c>
    </row>
    <row r="860" spans="1:16" x14ac:dyDescent="0.2">
      <c r="A860" t="s">
        <v>15</v>
      </c>
      <c r="B860" t="s">
        <v>1016</v>
      </c>
      <c r="C860">
        <v>867</v>
      </c>
      <c r="D860">
        <v>177125</v>
      </c>
      <c r="E860" t="s">
        <v>655</v>
      </c>
      <c r="F860" t="s">
        <v>38</v>
      </c>
      <c r="G860" t="s">
        <v>23</v>
      </c>
      <c r="H860" t="s">
        <v>39</v>
      </c>
      <c r="I860" t="s">
        <v>29</v>
      </c>
      <c r="J860">
        <v>72</v>
      </c>
      <c r="K860">
        <v>0.03</v>
      </c>
      <c r="L860">
        <v>1</v>
      </c>
      <c r="M860">
        <v>1</v>
      </c>
      <c r="N860">
        <v>1</v>
      </c>
      <c r="O860">
        <v>100</v>
      </c>
      <c r="P860" s="4" t="b">
        <f t="shared" si="13"/>
        <v>0</v>
      </c>
    </row>
    <row r="861" spans="1:16" x14ac:dyDescent="0.2">
      <c r="A861" t="s">
        <v>15</v>
      </c>
      <c r="B861" t="s">
        <v>1016</v>
      </c>
      <c r="C861">
        <v>868</v>
      </c>
      <c r="D861">
        <v>130453</v>
      </c>
      <c r="E861" t="s">
        <v>882</v>
      </c>
      <c r="F861" t="s">
        <v>73</v>
      </c>
      <c r="G861" t="s">
        <v>18</v>
      </c>
      <c r="H861" t="s">
        <v>28</v>
      </c>
      <c r="I861" t="s">
        <v>29</v>
      </c>
      <c r="J861">
        <v>75</v>
      </c>
      <c r="K861">
        <v>0.03</v>
      </c>
      <c r="L861">
        <v>1</v>
      </c>
      <c r="M861">
        <v>1</v>
      </c>
      <c r="N861">
        <v>1</v>
      </c>
      <c r="O861">
        <v>100</v>
      </c>
      <c r="P861" s="4" t="b">
        <f t="shared" si="13"/>
        <v>0</v>
      </c>
    </row>
    <row r="862" spans="1:16" x14ac:dyDescent="0.2">
      <c r="A862" t="s">
        <v>15</v>
      </c>
      <c r="B862" t="s">
        <v>1016</v>
      </c>
      <c r="C862">
        <v>869</v>
      </c>
      <c r="D862">
        <v>132845</v>
      </c>
      <c r="E862" t="s">
        <v>789</v>
      </c>
      <c r="F862" t="s">
        <v>44</v>
      </c>
      <c r="G862" t="s">
        <v>18</v>
      </c>
      <c r="H862" t="s">
        <v>39</v>
      </c>
      <c r="I862" t="s">
        <v>29</v>
      </c>
      <c r="J862">
        <v>75</v>
      </c>
      <c r="K862">
        <v>0.03</v>
      </c>
      <c r="L862">
        <v>1</v>
      </c>
      <c r="M862">
        <v>1</v>
      </c>
      <c r="N862">
        <v>1</v>
      </c>
      <c r="O862">
        <v>100</v>
      </c>
      <c r="P862" s="4" t="b">
        <f t="shared" si="13"/>
        <v>0</v>
      </c>
    </row>
    <row r="863" spans="1:16" x14ac:dyDescent="0.2">
      <c r="A863" t="s">
        <v>15</v>
      </c>
      <c r="B863" t="s">
        <v>1016</v>
      </c>
      <c r="C863">
        <v>870</v>
      </c>
      <c r="D863">
        <v>177128</v>
      </c>
      <c r="E863" t="s">
        <v>659</v>
      </c>
      <c r="F863" t="s">
        <v>38</v>
      </c>
      <c r="G863" t="s">
        <v>23</v>
      </c>
      <c r="H863" t="s">
        <v>39</v>
      </c>
      <c r="I863" t="s">
        <v>29</v>
      </c>
      <c r="J863">
        <v>73</v>
      </c>
      <c r="K863">
        <v>0.03</v>
      </c>
      <c r="L863">
        <v>1</v>
      </c>
      <c r="M863">
        <v>1</v>
      </c>
      <c r="N863">
        <v>1</v>
      </c>
      <c r="O863">
        <v>100</v>
      </c>
      <c r="P863" s="4" t="b">
        <f t="shared" si="13"/>
        <v>0</v>
      </c>
    </row>
    <row r="864" spans="1:16" x14ac:dyDescent="0.2">
      <c r="A864" t="s">
        <v>15</v>
      </c>
      <c r="B864" t="s">
        <v>1016</v>
      </c>
      <c r="C864">
        <v>871</v>
      </c>
      <c r="D864">
        <v>130285</v>
      </c>
      <c r="E864" t="s">
        <v>883</v>
      </c>
      <c r="F864" t="s">
        <v>73</v>
      </c>
      <c r="G864" t="s">
        <v>18</v>
      </c>
      <c r="H864" t="s">
        <v>28</v>
      </c>
      <c r="I864" t="s">
        <v>29</v>
      </c>
      <c r="J864">
        <v>76</v>
      </c>
      <c r="K864">
        <v>0.03</v>
      </c>
      <c r="L864">
        <v>1</v>
      </c>
      <c r="M864">
        <v>1</v>
      </c>
      <c r="N864">
        <v>1</v>
      </c>
      <c r="O864">
        <v>100</v>
      </c>
      <c r="P864" s="4" t="b">
        <f t="shared" si="13"/>
        <v>0</v>
      </c>
    </row>
    <row r="865" spans="1:16" x14ac:dyDescent="0.2">
      <c r="A865" t="s">
        <v>15</v>
      </c>
      <c r="B865" t="s">
        <v>1016</v>
      </c>
      <c r="C865">
        <v>872</v>
      </c>
      <c r="D865">
        <v>130290</v>
      </c>
      <c r="E865" t="s">
        <v>885</v>
      </c>
      <c r="F865" t="s">
        <v>73</v>
      </c>
      <c r="G865" t="s">
        <v>18</v>
      </c>
      <c r="H865" t="s">
        <v>28</v>
      </c>
      <c r="I865" t="s">
        <v>29</v>
      </c>
      <c r="J865">
        <v>77</v>
      </c>
      <c r="K865">
        <v>0.03</v>
      </c>
      <c r="L865">
        <v>1</v>
      </c>
      <c r="M865">
        <v>1</v>
      </c>
      <c r="N865">
        <v>1</v>
      </c>
      <c r="O865">
        <v>100</v>
      </c>
      <c r="P865" s="4" t="b">
        <f t="shared" si="13"/>
        <v>0</v>
      </c>
    </row>
    <row r="866" spans="1:16" x14ac:dyDescent="0.2">
      <c r="A866" t="s">
        <v>15</v>
      </c>
      <c r="B866" t="s">
        <v>1016</v>
      </c>
      <c r="C866">
        <v>873</v>
      </c>
      <c r="D866">
        <v>35914</v>
      </c>
      <c r="E866" t="s">
        <v>670</v>
      </c>
      <c r="F866" t="s">
        <v>38</v>
      </c>
      <c r="G866" t="s">
        <v>23</v>
      </c>
      <c r="H866" t="s">
        <v>39</v>
      </c>
      <c r="I866" t="s">
        <v>29</v>
      </c>
      <c r="J866">
        <v>74</v>
      </c>
      <c r="K866">
        <v>0.03</v>
      </c>
      <c r="L866">
        <v>1</v>
      </c>
      <c r="M866">
        <v>1</v>
      </c>
      <c r="N866">
        <v>1</v>
      </c>
      <c r="O866">
        <v>100</v>
      </c>
      <c r="P866" s="4" t="b">
        <f t="shared" si="13"/>
        <v>0</v>
      </c>
    </row>
    <row r="867" spans="1:16" x14ac:dyDescent="0.2">
      <c r="A867" t="s">
        <v>15</v>
      </c>
      <c r="B867" t="s">
        <v>1016</v>
      </c>
      <c r="C867">
        <v>874</v>
      </c>
      <c r="D867">
        <v>130142</v>
      </c>
      <c r="E867" t="s">
        <v>887</v>
      </c>
      <c r="F867" t="s">
        <v>73</v>
      </c>
      <c r="G867" t="s">
        <v>18</v>
      </c>
      <c r="H867" t="s">
        <v>28</v>
      </c>
      <c r="I867" t="s">
        <v>20</v>
      </c>
      <c r="J867">
        <v>78</v>
      </c>
      <c r="K867">
        <v>0.03</v>
      </c>
      <c r="L867">
        <v>1</v>
      </c>
      <c r="M867">
        <v>1</v>
      </c>
      <c r="N867">
        <v>1</v>
      </c>
      <c r="O867">
        <v>100</v>
      </c>
      <c r="P867" s="4" t="b">
        <f t="shared" si="13"/>
        <v>0</v>
      </c>
    </row>
    <row r="868" spans="1:16" x14ac:dyDescent="0.2">
      <c r="A868" t="s">
        <v>15</v>
      </c>
      <c r="B868" t="s">
        <v>1016</v>
      </c>
      <c r="C868">
        <v>875</v>
      </c>
      <c r="D868">
        <v>48158</v>
      </c>
      <c r="E868" t="s">
        <v>675</v>
      </c>
      <c r="F868" t="s">
        <v>38</v>
      </c>
      <c r="G868" t="s">
        <v>23</v>
      </c>
      <c r="H868" t="s">
        <v>39</v>
      </c>
      <c r="I868" t="s">
        <v>29</v>
      </c>
      <c r="J868">
        <v>75</v>
      </c>
      <c r="K868">
        <v>0.03</v>
      </c>
      <c r="L868">
        <v>1</v>
      </c>
      <c r="M868">
        <v>1</v>
      </c>
      <c r="N868">
        <v>1</v>
      </c>
      <c r="O868">
        <v>100</v>
      </c>
      <c r="P868" s="4" t="b">
        <f t="shared" si="13"/>
        <v>0</v>
      </c>
    </row>
    <row r="869" spans="1:16" x14ac:dyDescent="0.2">
      <c r="A869" t="s">
        <v>15</v>
      </c>
      <c r="B869" t="s">
        <v>1016</v>
      </c>
      <c r="C869">
        <v>876</v>
      </c>
      <c r="D869">
        <v>130342</v>
      </c>
      <c r="E869" t="s">
        <v>888</v>
      </c>
      <c r="F869" t="s">
        <v>73</v>
      </c>
      <c r="G869" t="s">
        <v>18</v>
      </c>
      <c r="H869" t="s">
        <v>28</v>
      </c>
      <c r="I869" t="s">
        <v>29</v>
      </c>
      <c r="J869">
        <v>79</v>
      </c>
      <c r="K869">
        <v>0.03</v>
      </c>
      <c r="L869">
        <v>1</v>
      </c>
      <c r="M869">
        <v>1</v>
      </c>
      <c r="N869">
        <v>1</v>
      </c>
      <c r="O869">
        <v>100</v>
      </c>
      <c r="P869" s="4" t="b">
        <f t="shared" si="13"/>
        <v>0</v>
      </c>
    </row>
    <row r="870" spans="1:16" x14ac:dyDescent="0.2">
      <c r="A870" t="s">
        <v>15</v>
      </c>
      <c r="B870" t="s">
        <v>1016</v>
      </c>
      <c r="C870">
        <v>877</v>
      </c>
      <c r="D870">
        <v>130347</v>
      </c>
      <c r="E870" t="s">
        <v>889</v>
      </c>
      <c r="F870" t="s">
        <v>73</v>
      </c>
      <c r="G870" t="s">
        <v>18</v>
      </c>
      <c r="H870" t="s">
        <v>28</v>
      </c>
      <c r="I870" t="s">
        <v>29</v>
      </c>
      <c r="J870">
        <v>80</v>
      </c>
      <c r="K870">
        <v>0.03</v>
      </c>
      <c r="L870">
        <v>1</v>
      </c>
      <c r="M870">
        <v>1</v>
      </c>
      <c r="N870">
        <v>1</v>
      </c>
      <c r="O870">
        <v>100</v>
      </c>
      <c r="P870" s="4" t="b">
        <f t="shared" si="13"/>
        <v>0</v>
      </c>
    </row>
    <row r="871" spans="1:16" x14ac:dyDescent="0.2">
      <c r="A871" t="s">
        <v>15</v>
      </c>
      <c r="B871" t="s">
        <v>1016</v>
      </c>
      <c r="C871">
        <v>878</v>
      </c>
      <c r="D871">
        <v>192033</v>
      </c>
      <c r="E871" t="s">
        <v>677</v>
      </c>
      <c r="F871" t="s">
        <v>38</v>
      </c>
      <c r="G871" t="s">
        <v>23</v>
      </c>
      <c r="H871" t="s">
        <v>39</v>
      </c>
      <c r="I871" t="s">
        <v>29</v>
      </c>
      <c r="J871">
        <v>76</v>
      </c>
      <c r="K871">
        <v>0.03</v>
      </c>
      <c r="L871">
        <v>1</v>
      </c>
      <c r="M871">
        <v>1</v>
      </c>
      <c r="N871">
        <v>1</v>
      </c>
      <c r="O871">
        <v>100</v>
      </c>
      <c r="P871" s="4" t="b">
        <f t="shared" si="13"/>
        <v>0</v>
      </c>
    </row>
    <row r="872" spans="1:16" x14ac:dyDescent="0.2">
      <c r="A872" t="s">
        <v>15</v>
      </c>
      <c r="B872" t="s">
        <v>1016</v>
      </c>
      <c r="C872">
        <v>879</v>
      </c>
      <c r="D872">
        <v>130305</v>
      </c>
      <c r="E872" t="s">
        <v>891</v>
      </c>
      <c r="F872" t="s">
        <v>73</v>
      </c>
      <c r="G872" t="s">
        <v>18</v>
      </c>
      <c r="H872" t="s">
        <v>28</v>
      </c>
      <c r="I872" t="s">
        <v>29</v>
      </c>
      <c r="J872">
        <v>81</v>
      </c>
      <c r="K872">
        <v>0.03</v>
      </c>
      <c r="L872">
        <v>1</v>
      </c>
      <c r="M872">
        <v>1</v>
      </c>
      <c r="N872">
        <v>1</v>
      </c>
      <c r="O872">
        <v>100</v>
      </c>
      <c r="P872" s="4" t="b">
        <f t="shared" si="13"/>
        <v>0</v>
      </c>
    </row>
    <row r="873" spans="1:16" x14ac:dyDescent="0.2">
      <c r="A873" t="s">
        <v>15</v>
      </c>
      <c r="B873" t="s">
        <v>1016</v>
      </c>
      <c r="C873">
        <v>880</v>
      </c>
      <c r="D873">
        <v>129667</v>
      </c>
      <c r="E873" t="s">
        <v>892</v>
      </c>
      <c r="F873" t="s">
        <v>73</v>
      </c>
      <c r="G873" t="s">
        <v>18</v>
      </c>
      <c r="H873" t="s">
        <v>28</v>
      </c>
      <c r="I873" t="s">
        <v>29</v>
      </c>
      <c r="J873">
        <v>82</v>
      </c>
      <c r="K873">
        <v>0.03</v>
      </c>
      <c r="L873">
        <v>1</v>
      </c>
      <c r="M873">
        <v>1</v>
      </c>
      <c r="N873">
        <v>1</v>
      </c>
      <c r="O873">
        <v>100</v>
      </c>
      <c r="P873" s="4" t="b">
        <f t="shared" si="13"/>
        <v>0</v>
      </c>
    </row>
    <row r="874" spans="1:16" x14ac:dyDescent="0.2">
      <c r="A874" t="s">
        <v>15</v>
      </c>
      <c r="B874" t="s">
        <v>1016</v>
      </c>
      <c r="C874">
        <v>881</v>
      </c>
      <c r="D874">
        <v>192032</v>
      </c>
      <c r="E874" t="s">
        <v>681</v>
      </c>
      <c r="F874" t="s">
        <v>38</v>
      </c>
      <c r="G874" t="s">
        <v>23</v>
      </c>
      <c r="H874" t="s">
        <v>39</v>
      </c>
      <c r="I874" t="s">
        <v>29</v>
      </c>
      <c r="J874">
        <v>77</v>
      </c>
      <c r="K874">
        <v>0.03</v>
      </c>
      <c r="L874">
        <v>1</v>
      </c>
      <c r="M874">
        <v>1</v>
      </c>
      <c r="N874">
        <v>1</v>
      </c>
      <c r="O874">
        <v>100</v>
      </c>
      <c r="P874" s="4" t="b">
        <f t="shared" si="13"/>
        <v>0</v>
      </c>
    </row>
    <row r="875" spans="1:16" x14ac:dyDescent="0.2">
      <c r="A875" t="s">
        <v>15</v>
      </c>
      <c r="B875" t="s">
        <v>1016</v>
      </c>
      <c r="C875">
        <v>882</v>
      </c>
      <c r="D875">
        <v>130465</v>
      </c>
      <c r="E875" t="s">
        <v>894</v>
      </c>
      <c r="F875" t="s">
        <v>73</v>
      </c>
      <c r="G875" t="s">
        <v>18</v>
      </c>
      <c r="H875" t="s">
        <v>28</v>
      </c>
      <c r="I875" t="s">
        <v>29</v>
      </c>
      <c r="J875">
        <v>83</v>
      </c>
      <c r="K875">
        <v>0.03</v>
      </c>
      <c r="L875">
        <v>1</v>
      </c>
      <c r="M875">
        <v>1</v>
      </c>
      <c r="N875">
        <v>1</v>
      </c>
      <c r="O875">
        <v>100</v>
      </c>
      <c r="P875" s="4" t="b">
        <f t="shared" si="13"/>
        <v>0</v>
      </c>
    </row>
    <row r="876" spans="1:16" x14ac:dyDescent="0.2">
      <c r="A876" t="s">
        <v>15</v>
      </c>
      <c r="B876" t="s">
        <v>1016</v>
      </c>
      <c r="C876">
        <v>883</v>
      </c>
      <c r="D876">
        <v>130456</v>
      </c>
      <c r="E876" t="s">
        <v>895</v>
      </c>
      <c r="F876" t="s">
        <v>73</v>
      </c>
      <c r="G876" t="s">
        <v>18</v>
      </c>
      <c r="H876" t="s">
        <v>28</v>
      </c>
      <c r="I876" t="s">
        <v>29</v>
      </c>
      <c r="J876">
        <v>84</v>
      </c>
      <c r="K876">
        <v>0.03</v>
      </c>
      <c r="L876">
        <v>1</v>
      </c>
      <c r="M876">
        <v>1</v>
      </c>
      <c r="N876">
        <v>1</v>
      </c>
      <c r="O876">
        <v>100</v>
      </c>
      <c r="P876" s="4" t="b">
        <f t="shared" si="13"/>
        <v>0</v>
      </c>
    </row>
    <row r="877" spans="1:16" x14ac:dyDescent="0.2">
      <c r="A877" t="s">
        <v>15</v>
      </c>
      <c r="B877" t="s">
        <v>1016</v>
      </c>
      <c r="C877">
        <v>884</v>
      </c>
      <c r="D877">
        <v>69196</v>
      </c>
      <c r="E877" t="s">
        <v>683</v>
      </c>
      <c r="F877" t="s">
        <v>38</v>
      </c>
      <c r="G877" t="s">
        <v>23</v>
      </c>
      <c r="H877" t="s">
        <v>39</v>
      </c>
      <c r="I877" t="s">
        <v>29</v>
      </c>
      <c r="J877">
        <v>78</v>
      </c>
      <c r="K877">
        <v>0.03</v>
      </c>
      <c r="L877">
        <v>1</v>
      </c>
      <c r="M877">
        <v>1</v>
      </c>
      <c r="N877">
        <v>1</v>
      </c>
      <c r="O877">
        <v>100</v>
      </c>
      <c r="P877" s="4" t="b">
        <f t="shared" si="13"/>
        <v>0</v>
      </c>
    </row>
    <row r="878" spans="1:16" x14ac:dyDescent="0.2">
      <c r="A878" t="s">
        <v>15</v>
      </c>
      <c r="B878" t="s">
        <v>1016</v>
      </c>
      <c r="C878">
        <v>885</v>
      </c>
      <c r="D878">
        <v>130476</v>
      </c>
      <c r="E878" t="s">
        <v>897</v>
      </c>
      <c r="F878" t="s">
        <v>73</v>
      </c>
      <c r="G878" t="s">
        <v>18</v>
      </c>
      <c r="H878" t="s">
        <v>28</v>
      </c>
      <c r="I878" t="s">
        <v>29</v>
      </c>
      <c r="J878">
        <v>85</v>
      </c>
      <c r="K878">
        <v>0.03</v>
      </c>
      <c r="L878">
        <v>1</v>
      </c>
      <c r="M878">
        <v>1</v>
      </c>
      <c r="N878">
        <v>1</v>
      </c>
      <c r="O878">
        <v>100</v>
      </c>
      <c r="P878" s="4" t="b">
        <f t="shared" si="13"/>
        <v>0</v>
      </c>
    </row>
    <row r="879" spans="1:16" x14ac:dyDescent="0.2">
      <c r="A879" t="s">
        <v>15</v>
      </c>
      <c r="B879" t="s">
        <v>1016</v>
      </c>
      <c r="C879">
        <v>886</v>
      </c>
      <c r="D879">
        <v>130509</v>
      </c>
      <c r="E879" t="s">
        <v>898</v>
      </c>
      <c r="F879" t="s">
        <v>73</v>
      </c>
      <c r="G879" t="s">
        <v>18</v>
      </c>
      <c r="H879" t="s">
        <v>28</v>
      </c>
      <c r="I879" t="s">
        <v>29</v>
      </c>
      <c r="J879">
        <v>86</v>
      </c>
      <c r="K879">
        <v>0.03</v>
      </c>
      <c r="L879">
        <v>1</v>
      </c>
      <c r="M879">
        <v>1</v>
      </c>
      <c r="N879">
        <v>1</v>
      </c>
      <c r="O879">
        <v>100</v>
      </c>
      <c r="P879" s="4" t="b">
        <f t="shared" si="13"/>
        <v>0</v>
      </c>
    </row>
    <row r="880" spans="1:16" x14ac:dyDescent="0.2">
      <c r="A880" t="s">
        <v>15</v>
      </c>
      <c r="B880" t="s">
        <v>1016</v>
      </c>
      <c r="C880">
        <v>887</v>
      </c>
      <c r="D880">
        <v>74950</v>
      </c>
      <c r="E880" t="s">
        <v>692</v>
      </c>
      <c r="F880" t="s">
        <v>38</v>
      </c>
      <c r="G880" t="s">
        <v>23</v>
      </c>
      <c r="H880" t="s">
        <v>39</v>
      </c>
      <c r="I880" t="s">
        <v>29</v>
      </c>
      <c r="J880">
        <v>79</v>
      </c>
      <c r="K880">
        <v>0.03</v>
      </c>
      <c r="L880">
        <v>1</v>
      </c>
      <c r="M880">
        <v>1</v>
      </c>
      <c r="N880">
        <v>1</v>
      </c>
      <c r="O880">
        <v>100</v>
      </c>
      <c r="P880" s="4" t="b">
        <f t="shared" si="13"/>
        <v>0</v>
      </c>
    </row>
    <row r="881" spans="1:16" x14ac:dyDescent="0.2">
      <c r="A881" t="s">
        <v>15</v>
      </c>
      <c r="B881" t="s">
        <v>1016</v>
      </c>
      <c r="C881">
        <v>888</v>
      </c>
      <c r="D881">
        <v>130518</v>
      </c>
      <c r="E881" t="s">
        <v>899</v>
      </c>
      <c r="F881" t="s">
        <v>73</v>
      </c>
      <c r="G881" t="s">
        <v>18</v>
      </c>
      <c r="H881" t="s">
        <v>28</v>
      </c>
      <c r="I881" t="s">
        <v>29</v>
      </c>
      <c r="J881">
        <v>87</v>
      </c>
      <c r="K881">
        <v>0.03</v>
      </c>
      <c r="L881">
        <v>1</v>
      </c>
      <c r="M881">
        <v>1</v>
      </c>
      <c r="N881">
        <v>1</v>
      </c>
      <c r="O881">
        <v>100</v>
      </c>
      <c r="P881" s="4" t="b">
        <f t="shared" si="13"/>
        <v>0</v>
      </c>
    </row>
    <row r="882" spans="1:16" x14ac:dyDescent="0.2">
      <c r="A882" t="s">
        <v>15</v>
      </c>
      <c r="B882" t="s">
        <v>1016</v>
      </c>
      <c r="C882">
        <v>889</v>
      </c>
      <c r="D882">
        <v>177126</v>
      </c>
      <c r="E882" t="s">
        <v>694</v>
      </c>
      <c r="F882" t="s">
        <v>38</v>
      </c>
      <c r="G882" t="s">
        <v>23</v>
      </c>
      <c r="H882" t="s">
        <v>39</v>
      </c>
      <c r="I882" t="s">
        <v>29</v>
      </c>
      <c r="J882">
        <v>80</v>
      </c>
      <c r="K882">
        <v>0.03</v>
      </c>
      <c r="L882">
        <v>1</v>
      </c>
      <c r="M882">
        <v>1</v>
      </c>
      <c r="N882">
        <v>1</v>
      </c>
      <c r="O882">
        <v>100</v>
      </c>
      <c r="P882" s="4" t="b">
        <f t="shared" si="13"/>
        <v>0</v>
      </c>
    </row>
    <row r="883" spans="1:16" x14ac:dyDescent="0.2">
      <c r="A883" t="s">
        <v>15</v>
      </c>
      <c r="B883" t="s">
        <v>1016</v>
      </c>
      <c r="C883">
        <v>890</v>
      </c>
      <c r="D883">
        <v>130546</v>
      </c>
      <c r="E883" t="s">
        <v>901</v>
      </c>
      <c r="F883" t="s">
        <v>73</v>
      </c>
      <c r="G883" t="s">
        <v>18</v>
      </c>
      <c r="H883" t="s">
        <v>28</v>
      </c>
      <c r="I883" t="s">
        <v>29</v>
      </c>
      <c r="J883">
        <v>88</v>
      </c>
      <c r="K883">
        <v>0.03</v>
      </c>
      <c r="L883">
        <v>1</v>
      </c>
      <c r="M883">
        <v>1</v>
      </c>
      <c r="N883">
        <v>1</v>
      </c>
      <c r="O883">
        <v>100</v>
      </c>
      <c r="P883" s="4" t="b">
        <f t="shared" si="13"/>
        <v>0</v>
      </c>
    </row>
    <row r="884" spans="1:16" x14ac:dyDescent="0.2">
      <c r="A884" t="s">
        <v>15</v>
      </c>
      <c r="B884" t="s">
        <v>1016</v>
      </c>
      <c r="C884">
        <v>891</v>
      </c>
      <c r="D884">
        <v>130547</v>
      </c>
      <c r="E884" t="s">
        <v>903</v>
      </c>
      <c r="F884" t="s">
        <v>73</v>
      </c>
      <c r="G884" t="s">
        <v>18</v>
      </c>
      <c r="H884" t="s">
        <v>28</v>
      </c>
      <c r="I884" t="s">
        <v>29</v>
      </c>
      <c r="J884">
        <v>89</v>
      </c>
      <c r="K884">
        <v>0.03</v>
      </c>
      <c r="L884">
        <v>1</v>
      </c>
      <c r="M884">
        <v>1</v>
      </c>
      <c r="N884">
        <v>1</v>
      </c>
      <c r="O884">
        <v>100</v>
      </c>
      <c r="P884" s="4" t="b">
        <f t="shared" si="13"/>
        <v>0</v>
      </c>
    </row>
    <row r="885" spans="1:16" x14ac:dyDescent="0.2">
      <c r="A885" t="s">
        <v>15</v>
      </c>
      <c r="B885" t="s">
        <v>1016</v>
      </c>
      <c r="C885">
        <v>892</v>
      </c>
      <c r="D885">
        <v>180673</v>
      </c>
      <c r="E885" t="s">
        <v>699</v>
      </c>
      <c r="F885" t="s">
        <v>38</v>
      </c>
      <c r="G885" t="s">
        <v>23</v>
      </c>
      <c r="H885" t="s">
        <v>39</v>
      </c>
      <c r="I885" t="s">
        <v>29</v>
      </c>
      <c r="J885">
        <v>81</v>
      </c>
      <c r="K885">
        <v>0.03</v>
      </c>
      <c r="L885">
        <v>1</v>
      </c>
      <c r="M885">
        <v>1</v>
      </c>
      <c r="N885">
        <v>1</v>
      </c>
      <c r="O885">
        <v>100</v>
      </c>
      <c r="P885" s="4" t="b">
        <f t="shared" si="13"/>
        <v>0</v>
      </c>
    </row>
    <row r="886" spans="1:16" x14ac:dyDescent="0.2">
      <c r="A886" t="s">
        <v>15</v>
      </c>
      <c r="B886" t="s">
        <v>1016</v>
      </c>
      <c r="C886">
        <v>893</v>
      </c>
      <c r="D886">
        <v>130576</v>
      </c>
      <c r="E886" t="s">
        <v>904</v>
      </c>
      <c r="F886" t="s">
        <v>73</v>
      </c>
      <c r="G886" t="s">
        <v>18</v>
      </c>
      <c r="H886" t="s">
        <v>28</v>
      </c>
      <c r="I886" t="s">
        <v>29</v>
      </c>
      <c r="J886">
        <v>90</v>
      </c>
      <c r="K886">
        <v>0.03</v>
      </c>
      <c r="L886">
        <v>1</v>
      </c>
      <c r="M886">
        <v>1</v>
      </c>
      <c r="N886">
        <v>1</v>
      </c>
      <c r="O886">
        <v>100</v>
      </c>
      <c r="P886" s="4" t="b">
        <f t="shared" si="13"/>
        <v>0</v>
      </c>
    </row>
    <row r="887" spans="1:16" x14ac:dyDescent="0.2">
      <c r="A887" t="s">
        <v>15</v>
      </c>
      <c r="B887" t="s">
        <v>1016</v>
      </c>
      <c r="C887">
        <v>894</v>
      </c>
      <c r="D887">
        <v>130572</v>
      </c>
      <c r="E887" t="s">
        <v>905</v>
      </c>
      <c r="F887" t="s">
        <v>73</v>
      </c>
      <c r="G887" t="s">
        <v>18</v>
      </c>
      <c r="H887" t="s">
        <v>28</v>
      </c>
      <c r="I887" t="s">
        <v>29</v>
      </c>
      <c r="J887">
        <v>91</v>
      </c>
      <c r="K887">
        <v>0.03</v>
      </c>
      <c r="L887">
        <v>1</v>
      </c>
      <c r="M887">
        <v>1</v>
      </c>
      <c r="N887">
        <v>1</v>
      </c>
      <c r="O887">
        <v>100</v>
      </c>
      <c r="P887" s="4" t="b">
        <f t="shared" si="13"/>
        <v>0</v>
      </c>
    </row>
    <row r="888" spans="1:16" x14ac:dyDescent="0.2">
      <c r="A888" t="s">
        <v>15</v>
      </c>
      <c r="B888" t="s">
        <v>1016</v>
      </c>
      <c r="C888">
        <v>895</v>
      </c>
      <c r="D888">
        <v>130488</v>
      </c>
      <c r="E888" t="s">
        <v>906</v>
      </c>
      <c r="F888" t="s">
        <v>73</v>
      </c>
      <c r="G888" t="s">
        <v>18</v>
      </c>
      <c r="H888" t="s">
        <v>28</v>
      </c>
      <c r="I888" t="s">
        <v>29</v>
      </c>
      <c r="J888">
        <v>92</v>
      </c>
      <c r="K888">
        <v>0.03</v>
      </c>
      <c r="L888">
        <v>1</v>
      </c>
      <c r="M888">
        <v>1</v>
      </c>
      <c r="N888">
        <v>1</v>
      </c>
      <c r="O888">
        <v>100</v>
      </c>
      <c r="P888" s="4" t="b">
        <f t="shared" si="13"/>
        <v>0</v>
      </c>
    </row>
    <row r="889" spans="1:16" x14ac:dyDescent="0.2">
      <c r="A889" t="s">
        <v>15</v>
      </c>
      <c r="B889" t="s">
        <v>1016</v>
      </c>
      <c r="C889">
        <v>896</v>
      </c>
      <c r="D889">
        <v>130599</v>
      </c>
      <c r="E889" t="s">
        <v>909</v>
      </c>
      <c r="F889" t="s">
        <v>73</v>
      </c>
      <c r="G889" t="s">
        <v>18</v>
      </c>
      <c r="H889" t="s">
        <v>28</v>
      </c>
      <c r="I889" t="s">
        <v>29</v>
      </c>
      <c r="J889">
        <v>93</v>
      </c>
      <c r="K889">
        <v>0.03</v>
      </c>
      <c r="L889">
        <v>1</v>
      </c>
      <c r="M889">
        <v>1</v>
      </c>
      <c r="N889">
        <v>1</v>
      </c>
      <c r="O889">
        <v>100</v>
      </c>
      <c r="P889" s="4" t="b">
        <f t="shared" si="13"/>
        <v>0</v>
      </c>
    </row>
    <row r="890" spans="1:16" x14ac:dyDescent="0.2">
      <c r="A890" t="s">
        <v>15</v>
      </c>
      <c r="B890" t="s">
        <v>1016</v>
      </c>
      <c r="C890">
        <v>897</v>
      </c>
      <c r="D890">
        <v>130635</v>
      </c>
      <c r="E890" t="s">
        <v>910</v>
      </c>
      <c r="F890" t="s">
        <v>73</v>
      </c>
      <c r="G890" t="s">
        <v>18</v>
      </c>
      <c r="H890" t="s">
        <v>28</v>
      </c>
      <c r="I890" t="s">
        <v>20</v>
      </c>
      <c r="J890">
        <v>94</v>
      </c>
      <c r="K890">
        <v>0.03</v>
      </c>
      <c r="L890">
        <v>1</v>
      </c>
      <c r="M890">
        <v>1</v>
      </c>
      <c r="N890">
        <v>1</v>
      </c>
      <c r="O890">
        <v>100</v>
      </c>
      <c r="P890" s="4" t="b">
        <f t="shared" si="13"/>
        <v>0</v>
      </c>
    </row>
    <row r="891" spans="1:16" x14ac:dyDescent="0.2">
      <c r="A891" t="s">
        <v>15</v>
      </c>
      <c r="B891" t="s">
        <v>1016</v>
      </c>
      <c r="C891">
        <v>898</v>
      </c>
      <c r="D891">
        <v>130997</v>
      </c>
      <c r="E891" t="s">
        <v>911</v>
      </c>
      <c r="F891" t="s">
        <v>73</v>
      </c>
      <c r="G891" t="s">
        <v>18</v>
      </c>
      <c r="H891" t="s">
        <v>28</v>
      </c>
      <c r="I891" t="s">
        <v>29</v>
      </c>
      <c r="J891">
        <v>95</v>
      </c>
      <c r="K891">
        <v>0.03</v>
      </c>
      <c r="L891">
        <v>1</v>
      </c>
      <c r="M891">
        <v>1</v>
      </c>
      <c r="N891">
        <v>1</v>
      </c>
      <c r="O891">
        <v>100</v>
      </c>
      <c r="P891" s="4" t="b">
        <f t="shared" si="13"/>
        <v>0</v>
      </c>
    </row>
    <row r="892" spans="1:16" x14ac:dyDescent="0.2">
      <c r="A892" t="s">
        <v>15</v>
      </c>
      <c r="B892" t="s">
        <v>1016</v>
      </c>
      <c r="C892">
        <v>899</v>
      </c>
      <c r="D892">
        <v>130870</v>
      </c>
      <c r="E892" t="s">
        <v>912</v>
      </c>
      <c r="F892" t="s">
        <v>73</v>
      </c>
      <c r="G892" t="s">
        <v>18</v>
      </c>
      <c r="H892" t="s">
        <v>28</v>
      </c>
      <c r="I892" t="s">
        <v>29</v>
      </c>
      <c r="J892">
        <v>96</v>
      </c>
      <c r="K892">
        <v>0.03</v>
      </c>
      <c r="L892">
        <v>1</v>
      </c>
      <c r="M892">
        <v>1</v>
      </c>
      <c r="N892">
        <v>1</v>
      </c>
      <c r="O892">
        <v>100</v>
      </c>
      <c r="P892" s="4" t="b">
        <f t="shared" si="13"/>
        <v>0</v>
      </c>
    </row>
    <row r="893" spans="1:16" x14ac:dyDescent="0.2">
      <c r="A893" t="s">
        <v>15</v>
      </c>
      <c r="B893" t="s">
        <v>1016</v>
      </c>
      <c r="C893">
        <v>900</v>
      </c>
      <c r="D893">
        <v>130447</v>
      </c>
      <c r="E893" t="s">
        <v>914</v>
      </c>
      <c r="F893" t="s">
        <v>73</v>
      </c>
      <c r="G893" t="s">
        <v>18</v>
      </c>
      <c r="H893" t="s">
        <v>28</v>
      </c>
      <c r="I893" t="s">
        <v>29</v>
      </c>
      <c r="J893">
        <v>97</v>
      </c>
      <c r="K893">
        <v>0.03</v>
      </c>
      <c r="L893">
        <v>1</v>
      </c>
      <c r="M893">
        <v>1</v>
      </c>
      <c r="N893">
        <v>1</v>
      </c>
      <c r="O893">
        <v>100</v>
      </c>
      <c r="P893" s="4" t="b">
        <f t="shared" si="13"/>
        <v>0</v>
      </c>
    </row>
    <row r="894" spans="1:16" x14ac:dyDescent="0.2">
      <c r="A894" t="s">
        <v>15</v>
      </c>
      <c r="B894" t="s">
        <v>1016</v>
      </c>
      <c r="C894">
        <v>901</v>
      </c>
      <c r="D894">
        <v>130907</v>
      </c>
      <c r="E894" t="s">
        <v>916</v>
      </c>
      <c r="F894" t="s">
        <v>73</v>
      </c>
      <c r="G894" t="s">
        <v>18</v>
      </c>
      <c r="H894" t="s">
        <v>28</v>
      </c>
      <c r="I894" t="s">
        <v>20</v>
      </c>
      <c r="J894">
        <v>98</v>
      </c>
      <c r="K894">
        <v>0.03</v>
      </c>
      <c r="L894">
        <v>1</v>
      </c>
      <c r="M894">
        <v>1</v>
      </c>
      <c r="N894">
        <v>1</v>
      </c>
      <c r="O894">
        <v>100</v>
      </c>
      <c r="P894" s="4" t="b">
        <f t="shared" si="13"/>
        <v>0</v>
      </c>
    </row>
    <row r="895" spans="1:16" x14ac:dyDescent="0.2">
      <c r="A895" t="s">
        <v>15</v>
      </c>
      <c r="B895" t="s">
        <v>1016</v>
      </c>
      <c r="C895">
        <v>902</v>
      </c>
      <c r="D895">
        <v>130916</v>
      </c>
      <c r="E895" t="s">
        <v>917</v>
      </c>
      <c r="F895" t="s">
        <v>73</v>
      </c>
      <c r="G895" t="s">
        <v>18</v>
      </c>
      <c r="H895" t="s">
        <v>28</v>
      </c>
      <c r="I895" t="s">
        <v>29</v>
      </c>
      <c r="J895">
        <v>99</v>
      </c>
      <c r="K895">
        <v>0.03</v>
      </c>
      <c r="L895">
        <v>1</v>
      </c>
      <c r="M895">
        <v>1</v>
      </c>
      <c r="N895">
        <v>1</v>
      </c>
      <c r="O895">
        <v>100</v>
      </c>
      <c r="P895" s="4" t="b">
        <f t="shared" si="13"/>
        <v>0</v>
      </c>
    </row>
    <row r="896" spans="1:16" x14ac:dyDescent="0.2">
      <c r="A896" t="s">
        <v>15</v>
      </c>
      <c r="B896" t="s">
        <v>1016</v>
      </c>
      <c r="C896">
        <v>903</v>
      </c>
      <c r="D896">
        <v>130935</v>
      </c>
      <c r="E896" t="s">
        <v>918</v>
      </c>
      <c r="F896" t="s">
        <v>73</v>
      </c>
      <c r="G896" t="s">
        <v>18</v>
      </c>
      <c r="H896" t="s">
        <v>28</v>
      </c>
      <c r="I896" t="s">
        <v>29</v>
      </c>
      <c r="J896">
        <v>100</v>
      </c>
      <c r="K896">
        <v>0.03</v>
      </c>
      <c r="L896">
        <v>1</v>
      </c>
      <c r="M896">
        <v>1</v>
      </c>
      <c r="N896">
        <v>1</v>
      </c>
      <c r="O896">
        <v>100</v>
      </c>
      <c r="P896" s="4" t="b">
        <f t="shared" si="13"/>
        <v>0</v>
      </c>
    </row>
    <row r="897" spans="1:16" x14ac:dyDescent="0.2">
      <c r="A897" t="s">
        <v>15</v>
      </c>
      <c r="B897" t="s">
        <v>1016</v>
      </c>
      <c r="C897">
        <v>904</v>
      </c>
      <c r="D897">
        <v>130944</v>
      </c>
      <c r="E897" t="s">
        <v>920</v>
      </c>
      <c r="F897" t="s">
        <v>73</v>
      </c>
      <c r="G897" t="s">
        <v>18</v>
      </c>
      <c r="H897" t="s">
        <v>28</v>
      </c>
      <c r="I897" t="s">
        <v>29</v>
      </c>
      <c r="J897">
        <v>101</v>
      </c>
      <c r="K897">
        <v>0.03</v>
      </c>
      <c r="L897">
        <v>1</v>
      </c>
      <c r="M897">
        <v>1</v>
      </c>
      <c r="N897">
        <v>1</v>
      </c>
      <c r="O897">
        <v>100</v>
      </c>
      <c r="P897" s="4" t="b">
        <f t="shared" si="13"/>
        <v>0</v>
      </c>
    </row>
    <row r="898" spans="1:16" x14ac:dyDescent="0.2">
      <c r="A898" t="s">
        <v>15</v>
      </c>
      <c r="B898" t="s">
        <v>1016</v>
      </c>
      <c r="C898">
        <v>905</v>
      </c>
      <c r="D898">
        <v>130976</v>
      </c>
      <c r="E898" t="s">
        <v>921</v>
      </c>
      <c r="F898" t="s">
        <v>73</v>
      </c>
      <c r="G898" t="s">
        <v>18</v>
      </c>
      <c r="H898" t="s">
        <v>28</v>
      </c>
      <c r="I898" t="s">
        <v>29</v>
      </c>
      <c r="J898">
        <v>102</v>
      </c>
      <c r="K898">
        <v>0.03</v>
      </c>
      <c r="L898">
        <v>1</v>
      </c>
      <c r="M898">
        <v>1</v>
      </c>
      <c r="N898">
        <v>1</v>
      </c>
      <c r="O898">
        <v>100</v>
      </c>
      <c r="P898" s="4" t="b">
        <f t="shared" si="13"/>
        <v>0</v>
      </c>
    </row>
    <row r="899" spans="1:16" x14ac:dyDescent="0.2">
      <c r="A899" t="s">
        <v>15</v>
      </c>
      <c r="B899" t="s">
        <v>1016</v>
      </c>
      <c r="C899">
        <v>906</v>
      </c>
      <c r="D899">
        <v>130844</v>
      </c>
      <c r="E899" t="s">
        <v>923</v>
      </c>
      <c r="F899" t="s">
        <v>73</v>
      </c>
      <c r="G899" t="s">
        <v>18</v>
      </c>
      <c r="H899" t="s">
        <v>28</v>
      </c>
      <c r="I899" t="s">
        <v>56</v>
      </c>
      <c r="J899">
        <v>103</v>
      </c>
      <c r="K899">
        <v>0.03</v>
      </c>
      <c r="L899">
        <v>1</v>
      </c>
      <c r="M899">
        <v>1</v>
      </c>
      <c r="N899">
        <v>1</v>
      </c>
      <c r="O899">
        <v>100</v>
      </c>
      <c r="P899" s="4" t="b">
        <f t="shared" ref="P899:P953" si="14">C899&lt;($Q$1+1)</f>
        <v>0</v>
      </c>
    </row>
    <row r="900" spans="1:16" x14ac:dyDescent="0.2">
      <c r="A900" t="s">
        <v>15</v>
      </c>
      <c r="B900" t="s">
        <v>1016</v>
      </c>
      <c r="C900">
        <v>907</v>
      </c>
      <c r="D900">
        <v>130477</v>
      </c>
      <c r="E900" t="s">
        <v>924</v>
      </c>
      <c r="F900" t="s">
        <v>73</v>
      </c>
      <c r="G900" t="s">
        <v>18</v>
      </c>
      <c r="H900" t="s">
        <v>28</v>
      </c>
      <c r="I900" t="s">
        <v>20</v>
      </c>
      <c r="J900">
        <v>104</v>
      </c>
      <c r="K900">
        <v>0.03</v>
      </c>
      <c r="L900">
        <v>1</v>
      </c>
      <c r="M900">
        <v>1</v>
      </c>
      <c r="N900">
        <v>1</v>
      </c>
      <c r="O900">
        <v>100</v>
      </c>
      <c r="P900" s="4" t="b">
        <f t="shared" si="14"/>
        <v>0</v>
      </c>
    </row>
    <row r="901" spans="1:16" x14ac:dyDescent="0.2">
      <c r="A901" t="s">
        <v>15</v>
      </c>
      <c r="B901" t="s">
        <v>1016</v>
      </c>
      <c r="C901">
        <v>908</v>
      </c>
      <c r="D901">
        <v>130813</v>
      </c>
      <c r="E901" t="s">
        <v>926</v>
      </c>
      <c r="F901" t="s">
        <v>73</v>
      </c>
      <c r="G901" t="s">
        <v>18</v>
      </c>
      <c r="H901" t="s">
        <v>28</v>
      </c>
      <c r="I901" t="s">
        <v>56</v>
      </c>
      <c r="J901">
        <v>105</v>
      </c>
      <c r="K901">
        <v>0.03</v>
      </c>
      <c r="L901">
        <v>1</v>
      </c>
      <c r="M901">
        <v>1</v>
      </c>
      <c r="N901">
        <v>1</v>
      </c>
      <c r="O901">
        <v>100</v>
      </c>
      <c r="P901" s="4" t="b">
        <f t="shared" si="14"/>
        <v>0</v>
      </c>
    </row>
    <row r="902" spans="1:16" x14ac:dyDescent="0.2">
      <c r="A902" t="s">
        <v>15</v>
      </c>
      <c r="B902" t="s">
        <v>1016</v>
      </c>
      <c r="C902">
        <v>909</v>
      </c>
      <c r="D902">
        <v>131060</v>
      </c>
      <c r="E902" t="s">
        <v>927</v>
      </c>
      <c r="F902" t="s">
        <v>73</v>
      </c>
      <c r="G902" t="s">
        <v>18</v>
      </c>
      <c r="H902" t="s">
        <v>28</v>
      </c>
      <c r="I902" t="s">
        <v>29</v>
      </c>
      <c r="J902">
        <v>107</v>
      </c>
      <c r="K902">
        <v>0.03</v>
      </c>
      <c r="L902">
        <v>1</v>
      </c>
      <c r="M902">
        <v>1</v>
      </c>
      <c r="N902">
        <v>1</v>
      </c>
      <c r="O902">
        <v>100</v>
      </c>
      <c r="P902" s="4" t="b">
        <f t="shared" si="14"/>
        <v>0</v>
      </c>
    </row>
    <row r="903" spans="1:16" x14ac:dyDescent="0.2">
      <c r="A903" t="s">
        <v>15</v>
      </c>
      <c r="B903" t="s">
        <v>1016</v>
      </c>
      <c r="C903">
        <v>910</v>
      </c>
      <c r="D903">
        <v>131108</v>
      </c>
      <c r="E903" t="s">
        <v>928</v>
      </c>
      <c r="F903" t="s">
        <v>73</v>
      </c>
      <c r="G903" t="s">
        <v>18</v>
      </c>
      <c r="H903" t="s">
        <v>28</v>
      </c>
      <c r="I903" t="s">
        <v>20</v>
      </c>
      <c r="J903">
        <v>108</v>
      </c>
      <c r="K903">
        <v>0.03</v>
      </c>
      <c r="L903">
        <v>1</v>
      </c>
      <c r="M903">
        <v>1</v>
      </c>
      <c r="N903">
        <v>1</v>
      </c>
      <c r="O903">
        <v>100</v>
      </c>
      <c r="P903" s="4" t="b">
        <f t="shared" si="14"/>
        <v>0</v>
      </c>
    </row>
    <row r="904" spans="1:16" x14ac:dyDescent="0.2">
      <c r="A904" t="s">
        <v>15</v>
      </c>
      <c r="B904" t="s">
        <v>1016</v>
      </c>
      <c r="C904">
        <v>911</v>
      </c>
      <c r="D904">
        <v>137068</v>
      </c>
      <c r="E904" t="s">
        <v>930</v>
      </c>
      <c r="F904" t="s">
        <v>73</v>
      </c>
      <c r="G904" t="s">
        <v>18</v>
      </c>
      <c r="H904" t="s">
        <v>28</v>
      </c>
      <c r="I904" t="s">
        <v>29</v>
      </c>
      <c r="J904">
        <v>109</v>
      </c>
      <c r="K904">
        <v>0.03</v>
      </c>
      <c r="L904">
        <v>1</v>
      </c>
      <c r="M904">
        <v>1</v>
      </c>
      <c r="N904">
        <v>1</v>
      </c>
      <c r="O904">
        <v>100</v>
      </c>
      <c r="P904" s="4" t="b">
        <f t="shared" si="14"/>
        <v>0</v>
      </c>
    </row>
    <row r="905" spans="1:16" x14ac:dyDescent="0.2">
      <c r="A905" t="s">
        <v>15</v>
      </c>
      <c r="B905" t="s">
        <v>1016</v>
      </c>
      <c r="C905">
        <v>912</v>
      </c>
      <c r="D905">
        <v>136610</v>
      </c>
      <c r="E905" t="s">
        <v>932</v>
      </c>
      <c r="F905" t="s">
        <v>73</v>
      </c>
      <c r="G905" t="s">
        <v>18</v>
      </c>
      <c r="H905" t="s">
        <v>28</v>
      </c>
      <c r="I905" t="s">
        <v>20</v>
      </c>
      <c r="J905">
        <v>110</v>
      </c>
      <c r="K905">
        <v>0.03</v>
      </c>
      <c r="L905">
        <v>1</v>
      </c>
      <c r="M905">
        <v>1</v>
      </c>
      <c r="N905">
        <v>1</v>
      </c>
      <c r="O905">
        <v>100</v>
      </c>
      <c r="P905" s="4" t="b">
        <f t="shared" si="14"/>
        <v>0</v>
      </c>
    </row>
    <row r="906" spans="1:16" x14ac:dyDescent="0.2">
      <c r="A906" t="s">
        <v>15</v>
      </c>
      <c r="B906" t="s">
        <v>1016</v>
      </c>
      <c r="C906">
        <v>913</v>
      </c>
      <c r="D906">
        <v>136479</v>
      </c>
      <c r="E906" t="s">
        <v>933</v>
      </c>
      <c r="F906" t="s">
        <v>73</v>
      </c>
      <c r="G906" t="s">
        <v>18</v>
      </c>
      <c r="H906" t="s">
        <v>28</v>
      </c>
      <c r="I906" t="s">
        <v>29</v>
      </c>
      <c r="J906">
        <v>111</v>
      </c>
      <c r="K906">
        <v>0.03</v>
      </c>
      <c r="L906">
        <v>1</v>
      </c>
      <c r="M906">
        <v>1</v>
      </c>
      <c r="N906">
        <v>1</v>
      </c>
      <c r="O906">
        <v>100</v>
      </c>
      <c r="P906" s="4" t="b">
        <f t="shared" si="14"/>
        <v>0</v>
      </c>
    </row>
    <row r="907" spans="1:16" x14ac:dyDescent="0.2">
      <c r="A907" t="s">
        <v>15</v>
      </c>
      <c r="B907" t="s">
        <v>1016</v>
      </c>
      <c r="C907">
        <v>914</v>
      </c>
      <c r="D907">
        <v>136346</v>
      </c>
      <c r="E907" t="s">
        <v>934</v>
      </c>
      <c r="F907" t="s">
        <v>73</v>
      </c>
      <c r="G907" t="s">
        <v>18</v>
      </c>
      <c r="H907" t="s">
        <v>28</v>
      </c>
      <c r="I907" t="s">
        <v>29</v>
      </c>
      <c r="J907">
        <v>112</v>
      </c>
      <c r="K907">
        <v>0.03</v>
      </c>
      <c r="L907">
        <v>1</v>
      </c>
      <c r="M907">
        <v>1</v>
      </c>
      <c r="N907">
        <v>1</v>
      </c>
      <c r="O907">
        <v>100</v>
      </c>
      <c r="P907" s="4" t="b">
        <f t="shared" si="14"/>
        <v>0</v>
      </c>
    </row>
    <row r="908" spans="1:16" x14ac:dyDescent="0.2">
      <c r="A908" t="s">
        <v>15</v>
      </c>
      <c r="B908" t="s">
        <v>1016</v>
      </c>
      <c r="C908">
        <v>915</v>
      </c>
      <c r="D908">
        <v>135524</v>
      </c>
      <c r="E908" t="s">
        <v>935</v>
      </c>
      <c r="F908" t="s">
        <v>73</v>
      </c>
      <c r="G908" t="s">
        <v>18</v>
      </c>
      <c r="H908" t="s">
        <v>28</v>
      </c>
      <c r="I908" t="s">
        <v>29</v>
      </c>
      <c r="J908">
        <v>113</v>
      </c>
      <c r="K908">
        <v>0.03</v>
      </c>
      <c r="L908">
        <v>1</v>
      </c>
      <c r="M908">
        <v>1</v>
      </c>
      <c r="N908">
        <v>1</v>
      </c>
      <c r="O908">
        <v>100</v>
      </c>
      <c r="P908" s="4" t="b">
        <f t="shared" si="14"/>
        <v>0</v>
      </c>
    </row>
    <row r="909" spans="1:16" x14ac:dyDescent="0.2">
      <c r="A909" t="s">
        <v>15</v>
      </c>
      <c r="B909" t="s">
        <v>1016</v>
      </c>
      <c r="C909">
        <v>916</v>
      </c>
      <c r="D909">
        <v>135345</v>
      </c>
      <c r="E909" t="s">
        <v>937</v>
      </c>
      <c r="F909" t="s">
        <v>73</v>
      </c>
      <c r="G909" t="s">
        <v>18</v>
      </c>
      <c r="H909" t="s">
        <v>28</v>
      </c>
      <c r="I909" t="s">
        <v>29</v>
      </c>
      <c r="J909">
        <v>114</v>
      </c>
      <c r="K909">
        <v>0.03</v>
      </c>
      <c r="L909">
        <v>1</v>
      </c>
      <c r="M909">
        <v>1</v>
      </c>
      <c r="N909">
        <v>1</v>
      </c>
      <c r="O909">
        <v>100</v>
      </c>
      <c r="P909" s="4" t="b">
        <f t="shared" si="14"/>
        <v>0</v>
      </c>
    </row>
    <row r="910" spans="1:16" x14ac:dyDescent="0.2">
      <c r="A910" t="s">
        <v>15</v>
      </c>
      <c r="B910" t="s">
        <v>1016</v>
      </c>
      <c r="C910">
        <v>917</v>
      </c>
      <c r="D910">
        <v>135097</v>
      </c>
      <c r="E910" t="s">
        <v>938</v>
      </c>
      <c r="F910" t="s">
        <v>73</v>
      </c>
      <c r="G910" t="s">
        <v>18</v>
      </c>
      <c r="H910" t="s">
        <v>28</v>
      </c>
      <c r="I910" t="s">
        <v>29</v>
      </c>
      <c r="J910">
        <v>115</v>
      </c>
      <c r="K910">
        <v>0.03</v>
      </c>
      <c r="L910">
        <v>1</v>
      </c>
      <c r="M910">
        <v>1</v>
      </c>
      <c r="N910">
        <v>1</v>
      </c>
      <c r="O910">
        <v>100</v>
      </c>
      <c r="P910" s="4" t="b">
        <f t="shared" si="14"/>
        <v>0</v>
      </c>
    </row>
    <row r="911" spans="1:16" x14ac:dyDescent="0.2">
      <c r="A911" t="s">
        <v>15</v>
      </c>
      <c r="B911" t="s">
        <v>1016</v>
      </c>
      <c r="C911">
        <v>918</v>
      </c>
      <c r="D911">
        <v>134746</v>
      </c>
      <c r="E911" t="s">
        <v>939</v>
      </c>
      <c r="F911" t="s">
        <v>73</v>
      </c>
      <c r="G911" t="s">
        <v>18</v>
      </c>
      <c r="H911" t="s">
        <v>28</v>
      </c>
      <c r="I911" t="s">
        <v>29</v>
      </c>
      <c r="J911">
        <v>116</v>
      </c>
      <c r="K911">
        <v>0.03</v>
      </c>
      <c r="L911">
        <v>1</v>
      </c>
      <c r="M911">
        <v>1</v>
      </c>
      <c r="N911">
        <v>1</v>
      </c>
      <c r="O911">
        <v>100</v>
      </c>
      <c r="P911" s="4" t="b">
        <f t="shared" si="14"/>
        <v>0</v>
      </c>
    </row>
    <row r="912" spans="1:16" x14ac:dyDescent="0.2">
      <c r="A912" t="s">
        <v>15</v>
      </c>
      <c r="B912" t="s">
        <v>1016</v>
      </c>
      <c r="C912">
        <v>919</v>
      </c>
      <c r="D912">
        <v>134614</v>
      </c>
      <c r="E912" t="s">
        <v>940</v>
      </c>
      <c r="F912" t="s">
        <v>73</v>
      </c>
      <c r="G912" t="s">
        <v>18</v>
      </c>
      <c r="H912" t="s">
        <v>28</v>
      </c>
      <c r="I912" t="s">
        <v>29</v>
      </c>
      <c r="J912">
        <v>117</v>
      </c>
      <c r="K912">
        <v>0.03</v>
      </c>
      <c r="L912">
        <v>1</v>
      </c>
      <c r="M912">
        <v>1</v>
      </c>
      <c r="N912">
        <v>1</v>
      </c>
      <c r="O912">
        <v>100</v>
      </c>
      <c r="P912" s="4" t="b">
        <f t="shared" si="14"/>
        <v>0</v>
      </c>
    </row>
    <row r="913" spans="1:16" x14ac:dyDescent="0.2">
      <c r="A913" t="s">
        <v>15</v>
      </c>
      <c r="B913" t="s">
        <v>1016</v>
      </c>
      <c r="C913">
        <v>920</v>
      </c>
      <c r="D913">
        <v>134613</v>
      </c>
      <c r="E913" t="s">
        <v>941</v>
      </c>
      <c r="F913" t="s">
        <v>73</v>
      </c>
      <c r="G913" t="s">
        <v>18</v>
      </c>
      <c r="H913" t="s">
        <v>28</v>
      </c>
      <c r="I913" t="s">
        <v>29</v>
      </c>
      <c r="J913">
        <v>118</v>
      </c>
      <c r="K913">
        <v>0.03</v>
      </c>
      <c r="L913">
        <v>1</v>
      </c>
      <c r="M913">
        <v>1</v>
      </c>
      <c r="N913">
        <v>1</v>
      </c>
      <c r="O913">
        <v>100</v>
      </c>
      <c r="P913" s="4" t="b">
        <f t="shared" si="14"/>
        <v>0</v>
      </c>
    </row>
    <row r="914" spans="1:16" x14ac:dyDescent="0.2">
      <c r="A914" t="s">
        <v>15</v>
      </c>
      <c r="B914" t="s">
        <v>1016</v>
      </c>
      <c r="C914">
        <v>921</v>
      </c>
      <c r="D914">
        <v>134602</v>
      </c>
      <c r="E914" t="s">
        <v>943</v>
      </c>
      <c r="F914" t="s">
        <v>73</v>
      </c>
      <c r="G914" t="s">
        <v>18</v>
      </c>
      <c r="H914" t="s">
        <v>28</v>
      </c>
      <c r="I914" t="s">
        <v>29</v>
      </c>
      <c r="J914">
        <v>119</v>
      </c>
      <c r="K914">
        <v>0.03</v>
      </c>
      <c r="L914">
        <v>1</v>
      </c>
      <c r="M914">
        <v>1</v>
      </c>
      <c r="N914">
        <v>1</v>
      </c>
      <c r="O914">
        <v>100</v>
      </c>
      <c r="P914" s="4" t="b">
        <f t="shared" si="14"/>
        <v>0</v>
      </c>
    </row>
    <row r="915" spans="1:16" x14ac:dyDescent="0.2">
      <c r="A915" t="s">
        <v>15</v>
      </c>
      <c r="B915" t="s">
        <v>1016</v>
      </c>
      <c r="C915">
        <v>922</v>
      </c>
      <c r="D915">
        <v>133992</v>
      </c>
      <c r="E915" t="s">
        <v>944</v>
      </c>
      <c r="F915" t="s">
        <v>73</v>
      </c>
      <c r="G915" t="s">
        <v>18</v>
      </c>
      <c r="H915" t="s">
        <v>28</v>
      </c>
      <c r="I915" t="s">
        <v>29</v>
      </c>
      <c r="J915">
        <v>120</v>
      </c>
      <c r="K915">
        <v>0.03</v>
      </c>
      <c r="L915">
        <v>1</v>
      </c>
      <c r="M915">
        <v>1</v>
      </c>
      <c r="N915">
        <v>1</v>
      </c>
      <c r="O915">
        <v>100</v>
      </c>
      <c r="P915" s="4" t="b">
        <f t="shared" si="14"/>
        <v>0</v>
      </c>
    </row>
    <row r="916" spans="1:16" x14ac:dyDescent="0.2">
      <c r="A916" t="s">
        <v>15</v>
      </c>
      <c r="B916" t="s">
        <v>1016</v>
      </c>
      <c r="C916">
        <v>923</v>
      </c>
      <c r="D916">
        <v>133988</v>
      </c>
      <c r="E916" t="s">
        <v>945</v>
      </c>
      <c r="F916" t="s">
        <v>73</v>
      </c>
      <c r="G916" t="s">
        <v>18</v>
      </c>
      <c r="H916" t="s">
        <v>28</v>
      </c>
      <c r="I916" t="s">
        <v>29</v>
      </c>
      <c r="J916">
        <v>121</v>
      </c>
      <c r="K916">
        <v>0.03</v>
      </c>
      <c r="L916">
        <v>1</v>
      </c>
      <c r="M916">
        <v>1</v>
      </c>
      <c r="N916">
        <v>1</v>
      </c>
      <c r="O916">
        <v>100</v>
      </c>
      <c r="P916" s="4" t="b">
        <f t="shared" si="14"/>
        <v>0</v>
      </c>
    </row>
    <row r="917" spans="1:16" x14ac:dyDescent="0.2">
      <c r="A917" t="s">
        <v>15</v>
      </c>
      <c r="B917" t="s">
        <v>1016</v>
      </c>
      <c r="C917">
        <v>924</v>
      </c>
      <c r="D917">
        <v>133842</v>
      </c>
      <c r="E917" t="s">
        <v>946</v>
      </c>
      <c r="F917" t="s">
        <v>73</v>
      </c>
      <c r="G917" t="s">
        <v>18</v>
      </c>
      <c r="H917" t="s">
        <v>28</v>
      </c>
      <c r="I917" t="s">
        <v>29</v>
      </c>
      <c r="J917">
        <v>122</v>
      </c>
      <c r="K917">
        <v>0.03</v>
      </c>
      <c r="L917">
        <v>1</v>
      </c>
      <c r="M917">
        <v>1</v>
      </c>
      <c r="N917">
        <v>1</v>
      </c>
      <c r="O917">
        <v>100</v>
      </c>
      <c r="P917" s="4" t="b">
        <f t="shared" si="14"/>
        <v>0</v>
      </c>
    </row>
    <row r="918" spans="1:16" x14ac:dyDescent="0.2">
      <c r="A918" t="s">
        <v>15</v>
      </c>
      <c r="B918" t="s">
        <v>1016</v>
      </c>
      <c r="C918">
        <v>925</v>
      </c>
      <c r="D918">
        <v>133834</v>
      </c>
      <c r="E918" t="s">
        <v>947</v>
      </c>
      <c r="F918" t="s">
        <v>73</v>
      </c>
      <c r="G918" t="s">
        <v>18</v>
      </c>
      <c r="H918" t="s">
        <v>28</v>
      </c>
      <c r="I918" t="s">
        <v>29</v>
      </c>
      <c r="J918">
        <v>123</v>
      </c>
      <c r="K918">
        <v>0.03</v>
      </c>
      <c r="L918">
        <v>1</v>
      </c>
      <c r="M918">
        <v>1</v>
      </c>
      <c r="N918">
        <v>1</v>
      </c>
      <c r="O918">
        <v>100</v>
      </c>
      <c r="P918" s="4" t="b">
        <f t="shared" si="14"/>
        <v>0</v>
      </c>
    </row>
    <row r="919" spans="1:16" x14ac:dyDescent="0.2">
      <c r="A919" t="s">
        <v>15</v>
      </c>
      <c r="B919" t="s">
        <v>1016</v>
      </c>
      <c r="C919">
        <v>926</v>
      </c>
      <c r="D919">
        <v>131162</v>
      </c>
      <c r="E919" t="s">
        <v>949</v>
      </c>
      <c r="F919" t="s">
        <v>73</v>
      </c>
      <c r="G919" t="s">
        <v>18</v>
      </c>
      <c r="H919" t="s">
        <v>28</v>
      </c>
      <c r="I919" t="s">
        <v>29</v>
      </c>
      <c r="J919">
        <v>124</v>
      </c>
      <c r="K919">
        <v>0.03</v>
      </c>
      <c r="L919">
        <v>1</v>
      </c>
      <c r="M919">
        <v>1</v>
      </c>
      <c r="N919">
        <v>1</v>
      </c>
      <c r="O919">
        <v>100</v>
      </c>
      <c r="P919" s="4" t="b">
        <f t="shared" si="14"/>
        <v>0</v>
      </c>
    </row>
    <row r="920" spans="1:16" x14ac:dyDescent="0.2">
      <c r="A920" t="s">
        <v>15</v>
      </c>
      <c r="B920" t="s">
        <v>1016</v>
      </c>
      <c r="C920">
        <v>927</v>
      </c>
      <c r="D920">
        <v>131157</v>
      </c>
      <c r="E920" t="s">
        <v>950</v>
      </c>
      <c r="F920" t="s">
        <v>73</v>
      </c>
      <c r="G920" t="s">
        <v>18</v>
      </c>
      <c r="H920" t="s">
        <v>28</v>
      </c>
      <c r="I920" t="s">
        <v>29</v>
      </c>
      <c r="J920">
        <v>125</v>
      </c>
      <c r="K920">
        <v>0.03</v>
      </c>
      <c r="L920">
        <v>1</v>
      </c>
      <c r="M920">
        <v>1</v>
      </c>
      <c r="N920">
        <v>1</v>
      </c>
      <c r="O920">
        <v>100</v>
      </c>
      <c r="P920" s="4" t="b">
        <f t="shared" si="14"/>
        <v>0</v>
      </c>
    </row>
    <row r="921" spans="1:16" x14ac:dyDescent="0.2">
      <c r="A921" t="s">
        <v>15</v>
      </c>
      <c r="B921" t="s">
        <v>1016</v>
      </c>
      <c r="C921">
        <v>928</v>
      </c>
      <c r="D921">
        <v>131132</v>
      </c>
      <c r="E921" t="s">
        <v>951</v>
      </c>
      <c r="F921" t="s">
        <v>73</v>
      </c>
      <c r="G921" t="s">
        <v>18</v>
      </c>
      <c r="H921" t="s">
        <v>28</v>
      </c>
      <c r="I921" t="s">
        <v>29</v>
      </c>
      <c r="J921">
        <v>126</v>
      </c>
      <c r="K921">
        <v>0.03</v>
      </c>
      <c r="L921">
        <v>1</v>
      </c>
      <c r="M921">
        <v>1</v>
      </c>
      <c r="N921">
        <v>1</v>
      </c>
      <c r="O921">
        <v>100</v>
      </c>
      <c r="P921" s="4" t="b">
        <f t="shared" si="14"/>
        <v>0</v>
      </c>
    </row>
    <row r="922" spans="1:16" x14ac:dyDescent="0.2">
      <c r="A922" t="s">
        <v>15</v>
      </c>
      <c r="B922" t="s">
        <v>1016</v>
      </c>
      <c r="C922">
        <v>929</v>
      </c>
      <c r="D922">
        <v>131130</v>
      </c>
      <c r="E922" t="s">
        <v>952</v>
      </c>
      <c r="F922" t="s">
        <v>73</v>
      </c>
      <c r="G922" t="s">
        <v>18</v>
      </c>
      <c r="H922" t="s">
        <v>28</v>
      </c>
      <c r="I922" t="s">
        <v>29</v>
      </c>
      <c r="J922">
        <v>127</v>
      </c>
      <c r="K922">
        <v>0.03</v>
      </c>
      <c r="L922">
        <v>1</v>
      </c>
      <c r="M922">
        <v>1</v>
      </c>
      <c r="N922">
        <v>1</v>
      </c>
      <c r="O922">
        <v>100</v>
      </c>
      <c r="P922" s="4" t="b">
        <f t="shared" si="14"/>
        <v>0</v>
      </c>
    </row>
    <row r="923" spans="1:16" x14ac:dyDescent="0.2">
      <c r="A923" t="s">
        <v>15</v>
      </c>
      <c r="B923" t="s">
        <v>1016</v>
      </c>
      <c r="C923">
        <v>930</v>
      </c>
      <c r="D923">
        <v>131128</v>
      </c>
      <c r="E923" t="s">
        <v>953</v>
      </c>
      <c r="F923" t="s">
        <v>73</v>
      </c>
      <c r="G923" t="s">
        <v>18</v>
      </c>
      <c r="H923" t="s">
        <v>28</v>
      </c>
      <c r="I923" t="s">
        <v>29</v>
      </c>
      <c r="J923">
        <v>128</v>
      </c>
      <c r="K923">
        <v>0.03</v>
      </c>
      <c r="L923">
        <v>1</v>
      </c>
      <c r="M923">
        <v>1</v>
      </c>
      <c r="N923">
        <v>1</v>
      </c>
      <c r="O923">
        <v>100</v>
      </c>
      <c r="P923" s="4" t="b">
        <f t="shared" si="14"/>
        <v>0</v>
      </c>
    </row>
    <row r="924" spans="1:16" x14ac:dyDescent="0.2">
      <c r="A924" t="s">
        <v>15</v>
      </c>
      <c r="B924" t="s">
        <v>1016</v>
      </c>
      <c r="C924">
        <v>931</v>
      </c>
      <c r="D924">
        <v>131126</v>
      </c>
      <c r="E924" t="s">
        <v>955</v>
      </c>
      <c r="F924" t="s">
        <v>73</v>
      </c>
      <c r="G924" t="s">
        <v>18</v>
      </c>
      <c r="H924" t="s">
        <v>28</v>
      </c>
      <c r="I924" t="s">
        <v>29</v>
      </c>
      <c r="J924">
        <v>129</v>
      </c>
      <c r="K924">
        <v>0.03</v>
      </c>
      <c r="L924">
        <v>1</v>
      </c>
      <c r="M924">
        <v>1</v>
      </c>
      <c r="N924">
        <v>1</v>
      </c>
      <c r="O924">
        <v>100</v>
      </c>
      <c r="P924" s="4" t="b">
        <f t="shared" si="14"/>
        <v>0</v>
      </c>
    </row>
    <row r="925" spans="1:16" x14ac:dyDescent="0.2">
      <c r="A925" t="s">
        <v>15</v>
      </c>
      <c r="B925" t="s">
        <v>1016</v>
      </c>
      <c r="C925">
        <v>932</v>
      </c>
      <c r="D925">
        <v>131124</v>
      </c>
      <c r="E925" t="s">
        <v>956</v>
      </c>
      <c r="F925" t="s">
        <v>73</v>
      </c>
      <c r="G925" t="s">
        <v>18</v>
      </c>
      <c r="H925" t="s">
        <v>28</v>
      </c>
      <c r="I925" t="s">
        <v>29</v>
      </c>
      <c r="J925">
        <v>130</v>
      </c>
      <c r="K925">
        <v>0.03</v>
      </c>
      <c r="L925">
        <v>1</v>
      </c>
      <c r="M925">
        <v>1</v>
      </c>
      <c r="N925">
        <v>1</v>
      </c>
      <c r="O925">
        <v>100</v>
      </c>
      <c r="P925" s="4" t="b">
        <f t="shared" si="14"/>
        <v>0</v>
      </c>
    </row>
    <row r="926" spans="1:16" x14ac:dyDescent="0.2">
      <c r="A926" t="s">
        <v>15</v>
      </c>
      <c r="B926" t="s">
        <v>1016</v>
      </c>
      <c r="C926">
        <v>933</v>
      </c>
      <c r="D926">
        <v>131122</v>
      </c>
      <c r="E926" t="s">
        <v>957</v>
      </c>
      <c r="F926" t="s">
        <v>73</v>
      </c>
      <c r="G926" t="s">
        <v>18</v>
      </c>
      <c r="H926" t="s">
        <v>28</v>
      </c>
      <c r="I926" t="s">
        <v>29</v>
      </c>
      <c r="J926">
        <v>131</v>
      </c>
      <c r="K926">
        <v>0.03</v>
      </c>
      <c r="L926">
        <v>1</v>
      </c>
      <c r="M926">
        <v>1</v>
      </c>
      <c r="N926">
        <v>1</v>
      </c>
      <c r="O926">
        <v>100</v>
      </c>
      <c r="P926" s="4" t="b">
        <f t="shared" si="14"/>
        <v>0</v>
      </c>
    </row>
    <row r="927" spans="1:16" x14ac:dyDescent="0.2">
      <c r="A927" t="s">
        <v>15</v>
      </c>
      <c r="B927" t="s">
        <v>1016</v>
      </c>
      <c r="C927">
        <v>934</v>
      </c>
      <c r="D927">
        <v>131115</v>
      </c>
      <c r="E927" t="s">
        <v>958</v>
      </c>
      <c r="F927" t="s">
        <v>73</v>
      </c>
      <c r="G927" t="s">
        <v>18</v>
      </c>
      <c r="H927" t="s">
        <v>28</v>
      </c>
      <c r="I927" t="s">
        <v>29</v>
      </c>
      <c r="J927">
        <v>132</v>
      </c>
      <c r="K927">
        <v>0.03</v>
      </c>
      <c r="L927">
        <v>1</v>
      </c>
      <c r="M927">
        <v>1</v>
      </c>
      <c r="N927">
        <v>1</v>
      </c>
      <c r="O927">
        <v>100</v>
      </c>
      <c r="P927" s="4" t="b">
        <f t="shared" si="14"/>
        <v>0</v>
      </c>
    </row>
    <row r="928" spans="1:16" x14ac:dyDescent="0.2">
      <c r="A928" t="s">
        <v>15</v>
      </c>
      <c r="B928" t="s">
        <v>1016</v>
      </c>
      <c r="C928">
        <v>935</v>
      </c>
      <c r="D928">
        <v>131105</v>
      </c>
      <c r="E928" t="s">
        <v>959</v>
      </c>
      <c r="F928" t="s">
        <v>73</v>
      </c>
      <c r="G928" t="s">
        <v>18</v>
      </c>
      <c r="H928" t="s">
        <v>28</v>
      </c>
      <c r="I928" t="s">
        <v>29</v>
      </c>
      <c r="J928">
        <v>133</v>
      </c>
      <c r="K928">
        <v>0.03</v>
      </c>
      <c r="L928">
        <v>1</v>
      </c>
      <c r="M928">
        <v>1</v>
      </c>
      <c r="N928">
        <v>1</v>
      </c>
      <c r="O928">
        <v>100</v>
      </c>
      <c r="P928" s="4" t="b">
        <f t="shared" si="14"/>
        <v>0</v>
      </c>
    </row>
    <row r="929" spans="1:16" x14ac:dyDescent="0.2">
      <c r="A929" t="s">
        <v>15</v>
      </c>
      <c r="B929" t="s">
        <v>1016</v>
      </c>
      <c r="C929">
        <v>936</v>
      </c>
      <c r="D929">
        <v>131082</v>
      </c>
      <c r="E929" t="s">
        <v>961</v>
      </c>
      <c r="F929" t="s">
        <v>73</v>
      </c>
      <c r="G929" t="s">
        <v>18</v>
      </c>
      <c r="H929" t="s">
        <v>28</v>
      </c>
      <c r="I929" t="s">
        <v>29</v>
      </c>
      <c r="J929">
        <v>134</v>
      </c>
      <c r="K929">
        <v>0.03</v>
      </c>
      <c r="L929">
        <v>1</v>
      </c>
      <c r="M929">
        <v>1</v>
      </c>
      <c r="N929">
        <v>1</v>
      </c>
      <c r="O929">
        <v>100</v>
      </c>
      <c r="P929" s="4" t="b">
        <f t="shared" si="14"/>
        <v>0</v>
      </c>
    </row>
    <row r="930" spans="1:16" x14ac:dyDescent="0.2">
      <c r="A930" t="s">
        <v>15</v>
      </c>
      <c r="B930" t="s">
        <v>1016</v>
      </c>
      <c r="C930">
        <v>937</v>
      </c>
      <c r="D930">
        <v>131080</v>
      </c>
      <c r="E930" t="s">
        <v>962</v>
      </c>
      <c r="F930" t="s">
        <v>73</v>
      </c>
      <c r="G930" t="s">
        <v>18</v>
      </c>
      <c r="H930" t="s">
        <v>28</v>
      </c>
      <c r="I930" t="s">
        <v>29</v>
      </c>
      <c r="J930">
        <v>135</v>
      </c>
      <c r="K930">
        <v>0.03</v>
      </c>
      <c r="L930">
        <v>1</v>
      </c>
      <c r="M930">
        <v>1</v>
      </c>
      <c r="N930">
        <v>1</v>
      </c>
      <c r="O930">
        <v>100</v>
      </c>
      <c r="P930" s="4" t="b">
        <f t="shared" si="14"/>
        <v>0</v>
      </c>
    </row>
    <row r="931" spans="1:16" x14ac:dyDescent="0.2">
      <c r="A931" t="s">
        <v>15</v>
      </c>
      <c r="B931" t="s">
        <v>1016</v>
      </c>
      <c r="C931">
        <v>938</v>
      </c>
      <c r="D931">
        <v>131079</v>
      </c>
      <c r="E931" t="s">
        <v>963</v>
      </c>
      <c r="F931" t="s">
        <v>73</v>
      </c>
      <c r="G931" t="s">
        <v>18</v>
      </c>
      <c r="H931" t="s">
        <v>28</v>
      </c>
      <c r="I931" t="s">
        <v>29</v>
      </c>
      <c r="J931">
        <v>136</v>
      </c>
      <c r="K931">
        <v>0.03</v>
      </c>
      <c r="L931">
        <v>1</v>
      </c>
      <c r="M931">
        <v>1</v>
      </c>
      <c r="N931">
        <v>1</v>
      </c>
      <c r="O931">
        <v>100</v>
      </c>
      <c r="P931" s="4" t="b">
        <f t="shared" si="14"/>
        <v>0</v>
      </c>
    </row>
    <row r="932" spans="1:16" x14ac:dyDescent="0.2">
      <c r="A932" t="s">
        <v>15</v>
      </c>
      <c r="B932" t="s">
        <v>1016</v>
      </c>
      <c r="C932">
        <v>939</v>
      </c>
      <c r="D932">
        <v>131069</v>
      </c>
      <c r="E932" t="s">
        <v>964</v>
      </c>
      <c r="F932" t="s">
        <v>73</v>
      </c>
      <c r="G932" t="s">
        <v>18</v>
      </c>
      <c r="H932" t="s">
        <v>28</v>
      </c>
      <c r="I932" t="s">
        <v>29</v>
      </c>
      <c r="J932">
        <v>137</v>
      </c>
      <c r="K932">
        <v>0.03</v>
      </c>
      <c r="L932">
        <v>1</v>
      </c>
      <c r="M932">
        <v>1</v>
      </c>
      <c r="N932">
        <v>1</v>
      </c>
      <c r="O932">
        <v>100</v>
      </c>
      <c r="P932" s="4" t="b">
        <f t="shared" si="14"/>
        <v>0</v>
      </c>
    </row>
    <row r="933" spans="1:16" x14ac:dyDescent="0.2">
      <c r="A933" t="s">
        <v>15</v>
      </c>
      <c r="B933" t="s">
        <v>1016</v>
      </c>
      <c r="C933">
        <v>940</v>
      </c>
      <c r="D933">
        <v>131018</v>
      </c>
      <c r="E933" t="s">
        <v>965</v>
      </c>
      <c r="F933" t="s">
        <v>73</v>
      </c>
      <c r="G933" t="s">
        <v>18</v>
      </c>
      <c r="H933" t="s">
        <v>28</v>
      </c>
      <c r="I933" t="s">
        <v>29</v>
      </c>
      <c r="J933">
        <v>138</v>
      </c>
      <c r="K933">
        <v>0.03</v>
      </c>
      <c r="L933">
        <v>1</v>
      </c>
      <c r="M933">
        <v>1</v>
      </c>
      <c r="N933">
        <v>1</v>
      </c>
      <c r="O933">
        <v>100</v>
      </c>
      <c r="P933" s="4" t="b">
        <f t="shared" si="14"/>
        <v>0</v>
      </c>
    </row>
    <row r="934" spans="1:16" x14ac:dyDescent="0.2">
      <c r="A934" t="s">
        <v>15</v>
      </c>
      <c r="B934" t="s">
        <v>1016</v>
      </c>
      <c r="C934">
        <v>941</v>
      </c>
      <c r="D934">
        <v>131008</v>
      </c>
      <c r="E934" t="s">
        <v>967</v>
      </c>
      <c r="F934" t="s">
        <v>73</v>
      </c>
      <c r="G934" t="s">
        <v>18</v>
      </c>
      <c r="H934" t="s">
        <v>28</v>
      </c>
      <c r="I934" t="s">
        <v>29</v>
      </c>
      <c r="J934">
        <v>139</v>
      </c>
      <c r="K934">
        <v>0.03</v>
      </c>
      <c r="L934">
        <v>1</v>
      </c>
      <c r="M934">
        <v>1</v>
      </c>
      <c r="N934">
        <v>1</v>
      </c>
      <c r="O934">
        <v>100</v>
      </c>
      <c r="P934" s="4" t="b">
        <f t="shared" si="14"/>
        <v>0</v>
      </c>
    </row>
    <row r="935" spans="1:16" x14ac:dyDescent="0.2">
      <c r="A935" t="s">
        <v>15</v>
      </c>
      <c r="B935" t="s">
        <v>1016</v>
      </c>
      <c r="C935">
        <v>942</v>
      </c>
      <c r="D935">
        <v>130924</v>
      </c>
      <c r="E935" t="s">
        <v>968</v>
      </c>
      <c r="F935" t="s">
        <v>73</v>
      </c>
      <c r="G935" t="s">
        <v>18</v>
      </c>
      <c r="H935" t="s">
        <v>28</v>
      </c>
      <c r="I935" t="s">
        <v>29</v>
      </c>
      <c r="J935">
        <v>140</v>
      </c>
      <c r="K935">
        <v>0.03</v>
      </c>
      <c r="L935">
        <v>1</v>
      </c>
      <c r="M935">
        <v>1</v>
      </c>
      <c r="N935">
        <v>1</v>
      </c>
      <c r="O935">
        <v>100</v>
      </c>
      <c r="P935" s="4" t="b">
        <f t="shared" si="14"/>
        <v>0</v>
      </c>
    </row>
    <row r="936" spans="1:16" x14ac:dyDescent="0.2">
      <c r="A936" t="s">
        <v>15</v>
      </c>
      <c r="B936" t="s">
        <v>1016</v>
      </c>
      <c r="C936">
        <v>943</v>
      </c>
      <c r="D936">
        <v>130817</v>
      </c>
      <c r="E936" t="s">
        <v>969</v>
      </c>
      <c r="F936" t="s">
        <v>73</v>
      </c>
      <c r="G936" t="s">
        <v>18</v>
      </c>
      <c r="H936" t="s">
        <v>28</v>
      </c>
      <c r="I936" t="s">
        <v>20</v>
      </c>
      <c r="J936">
        <v>141</v>
      </c>
      <c r="K936">
        <v>0.03</v>
      </c>
      <c r="L936">
        <v>1</v>
      </c>
      <c r="M936">
        <v>1</v>
      </c>
      <c r="N936">
        <v>1</v>
      </c>
      <c r="O936">
        <v>100</v>
      </c>
      <c r="P936" s="4" t="b">
        <f t="shared" si="14"/>
        <v>0</v>
      </c>
    </row>
    <row r="937" spans="1:16" x14ac:dyDescent="0.2">
      <c r="A937" t="s">
        <v>15</v>
      </c>
      <c r="B937" t="s">
        <v>1016</v>
      </c>
      <c r="C937">
        <v>944</v>
      </c>
      <c r="D937">
        <v>130639</v>
      </c>
      <c r="E937" t="s">
        <v>970</v>
      </c>
      <c r="F937" t="s">
        <v>73</v>
      </c>
      <c r="G937" t="s">
        <v>18</v>
      </c>
      <c r="H937" t="s">
        <v>28</v>
      </c>
      <c r="I937" t="s">
        <v>56</v>
      </c>
      <c r="J937">
        <v>142</v>
      </c>
      <c r="K937">
        <v>0.03</v>
      </c>
      <c r="L937">
        <v>1</v>
      </c>
      <c r="M937">
        <v>1</v>
      </c>
      <c r="N937">
        <v>1</v>
      </c>
      <c r="O937">
        <v>100</v>
      </c>
      <c r="P937" s="4" t="b">
        <f t="shared" si="14"/>
        <v>0</v>
      </c>
    </row>
    <row r="938" spans="1:16" x14ac:dyDescent="0.2">
      <c r="A938" t="s">
        <v>15</v>
      </c>
      <c r="B938" t="s">
        <v>1016</v>
      </c>
      <c r="C938">
        <v>945</v>
      </c>
      <c r="D938">
        <v>129938</v>
      </c>
      <c r="E938" t="s">
        <v>971</v>
      </c>
      <c r="F938" t="s">
        <v>73</v>
      </c>
      <c r="G938" t="s">
        <v>18</v>
      </c>
      <c r="H938" t="s">
        <v>28</v>
      </c>
      <c r="I938" t="s">
        <v>29</v>
      </c>
      <c r="J938">
        <v>143</v>
      </c>
      <c r="K938">
        <v>0.03</v>
      </c>
      <c r="L938">
        <v>1</v>
      </c>
      <c r="M938">
        <v>1</v>
      </c>
      <c r="N938">
        <v>1</v>
      </c>
      <c r="O938">
        <v>100</v>
      </c>
      <c r="P938" s="4" t="b">
        <f t="shared" si="14"/>
        <v>0</v>
      </c>
    </row>
    <row r="939" spans="1:16" x14ac:dyDescent="0.2">
      <c r="A939" t="s">
        <v>15</v>
      </c>
      <c r="B939" t="s">
        <v>1016</v>
      </c>
      <c r="C939">
        <v>946</v>
      </c>
      <c r="D939">
        <v>129934</v>
      </c>
      <c r="E939" t="s">
        <v>973</v>
      </c>
      <c r="F939" t="s">
        <v>73</v>
      </c>
      <c r="G939" t="s">
        <v>18</v>
      </c>
      <c r="H939" t="s">
        <v>28</v>
      </c>
      <c r="I939" t="s">
        <v>29</v>
      </c>
      <c r="J939">
        <v>144</v>
      </c>
      <c r="K939">
        <v>0.03</v>
      </c>
      <c r="L939">
        <v>1</v>
      </c>
      <c r="M939">
        <v>1</v>
      </c>
      <c r="N939">
        <v>1</v>
      </c>
      <c r="O939">
        <v>100</v>
      </c>
      <c r="P939" s="4" t="b">
        <f t="shared" si="14"/>
        <v>0</v>
      </c>
    </row>
    <row r="940" spans="1:16" x14ac:dyDescent="0.2">
      <c r="A940" t="s">
        <v>15</v>
      </c>
      <c r="B940" t="s">
        <v>1016</v>
      </c>
      <c r="C940">
        <v>947</v>
      </c>
      <c r="D940">
        <v>129848</v>
      </c>
      <c r="E940" t="s">
        <v>974</v>
      </c>
      <c r="F940" t="s">
        <v>73</v>
      </c>
      <c r="G940" t="s">
        <v>18</v>
      </c>
      <c r="H940" t="s">
        <v>28</v>
      </c>
      <c r="I940" t="s">
        <v>29</v>
      </c>
      <c r="J940">
        <v>145</v>
      </c>
      <c r="K940">
        <v>0.03</v>
      </c>
      <c r="L940">
        <v>1</v>
      </c>
      <c r="M940">
        <v>1</v>
      </c>
      <c r="N940">
        <v>1</v>
      </c>
      <c r="O940">
        <v>100</v>
      </c>
      <c r="P940" s="4" t="b">
        <f t="shared" si="14"/>
        <v>0</v>
      </c>
    </row>
    <row r="941" spans="1:16" x14ac:dyDescent="0.2">
      <c r="A941" t="s">
        <v>15</v>
      </c>
      <c r="B941" t="s">
        <v>1016</v>
      </c>
      <c r="C941">
        <v>948</v>
      </c>
      <c r="D941">
        <v>129726</v>
      </c>
      <c r="E941" t="s">
        <v>975</v>
      </c>
      <c r="F941" t="s">
        <v>73</v>
      </c>
      <c r="G941" t="s">
        <v>18</v>
      </c>
      <c r="H941" t="s">
        <v>28</v>
      </c>
      <c r="I941" t="s">
        <v>24</v>
      </c>
      <c r="J941">
        <v>146</v>
      </c>
      <c r="K941">
        <v>0.03</v>
      </c>
      <c r="L941">
        <v>1</v>
      </c>
      <c r="M941">
        <v>1</v>
      </c>
      <c r="N941">
        <v>1</v>
      </c>
      <c r="O941">
        <v>100</v>
      </c>
      <c r="P941" s="4" t="b">
        <f t="shared" si="14"/>
        <v>0</v>
      </c>
    </row>
    <row r="942" spans="1:16" x14ac:dyDescent="0.2">
      <c r="A942" t="s">
        <v>15</v>
      </c>
      <c r="B942" t="s">
        <v>1016</v>
      </c>
      <c r="C942">
        <v>949</v>
      </c>
      <c r="D942">
        <v>129671</v>
      </c>
      <c r="E942" t="s">
        <v>976</v>
      </c>
      <c r="F942" t="s">
        <v>73</v>
      </c>
      <c r="G942" t="s">
        <v>18</v>
      </c>
      <c r="H942" t="s">
        <v>28</v>
      </c>
      <c r="I942" t="s">
        <v>20</v>
      </c>
      <c r="J942">
        <v>147</v>
      </c>
      <c r="K942">
        <v>0.03</v>
      </c>
      <c r="L942">
        <v>1</v>
      </c>
      <c r="M942">
        <v>1</v>
      </c>
      <c r="N942">
        <v>1</v>
      </c>
      <c r="O942">
        <v>100</v>
      </c>
      <c r="P942" s="4" t="b">
        <f t="shared" si="14"/>
        <v>0</v>
      </c>
    </row>
    <row r="943" spans="1:16" x14ac:dyDescent="0.2">
      <c r="A943" t="s">
        <v>15</v>
      </c>
      <c r="B943" t="s">
        <v>1016</v>
      </c>
      <c r="C943">
        <v>950</v>
      </c>
      <c r="D943">
        <v>129649</v>
      </c>
      <c r="E943" t="s">
        <v>977</v>
      </c>
      <c r="F943" t="s">
        <v>73</v>
      </c>
      <c r="G943" t="s">
        <v>18</v>
      </c>
      <c r="H943" t="s">
        <v>28</v>
      </c>
      <c r="I943" t="s">
        <v>29</v>
      </c>
      <c r="J943">
        <v>148</v>
      </c>
      <c r="K943">
        <v>0.03</v>
      </c>
      <c r="L943">
        <v>1</v>
      </c>
      <c r="M943">
        <v>1</v>
      </c>
      <c r="N943">
        <v>1</v>
      </c>
      <c r="O943">
        <v>100</v>
      </c>
      <c r="P943" s="4" t="b">
        <f t="shared" si="14"/>
        <v>0</v>
      </c>
    </row>
    <row r="944" spans="1:16" x14ac:dyDescent="0.2">
      <c r="A944" t="s">
        <v>15</v>
      </c>
      <c r="B944" t="s">
        <v>1016</v>
      </c>
      <c r="C944">
        <v>951</v>
      </c>
      <c r="D944">
        <v>129648</v>
      </c>
      <c r="E944" t="s">
        <v>979</v>
      </c>
      <c r="F944" t="s">
        <v>73</v>
      </c>
      <c r="G944" t="s">
        <v>18</v>
      </c>
      <c r="H944" t="s">
        <v>28</v>
      </c>
      <c r="I944" t="s">
        <v>29</v>
      </c>
      <c r="J944">
        <v>149</v>
      </c>
      <c r="K944">
        <v>0.03</v>
      </c>
      <c r="L944">
        <v>1</v>
      </c>
      <c r="M944">
        <v>1</v>
      </c>
      <c r="N944">
        <v>1</v>
      </c>
      <c r="O944">
        <v>100</v>
      </c>
      <c r="P944" s="4" t="b">
        <f t="shared" si="14"/>
        <v>0</v>
      </c>
    </row>
    <row r="945" spans="1:16" x14ac:dyDescent="0.2">
      <c r="A945" t="s">
        <v>15</v>
      </c>
      <c r="B945" t="s">
        <v>1016</v>
      </c>
      <c r="C945">
        <v>952</v>
      </c>
      <c r="D945">
        <v>129593</v>
      </c>
      <c r="E945" t="s">
        <v>980</v>
      </c>
      <c r="F945" t="s">
        <v>73</v>
      </c>
      <c r="G945" t="s">
        <v>18</v>
      </c>
      <c r="H945" t="s">
        <v>28</v>
      </c>
      <c r="I945" t="s">
        <v>20</v>
      </c>
      <c r="J945">
        <v>150</v>
      </c>
      <c r="K945">
        <v>0.03</v>
      </c>
      <c r="L945">
        <v>1</v>
      </c>
      <c r="M945">
        <v>1</v>
      </c>
      <c r="N945">
        <v>1</v>
      </c>
      <c r="O945">
        <v>100</v>
      </c>
      <c r="P945" s="4" t="b">
        <f t="shared" si="14"/>
        <v>0</v>
      </c>
    </row>
    <row r="946" spans="1:16" x14ac:dyDescent="0.2">
      <c r="A946" t="s">
        <v>1015</v>
      </c>
      <c r="B946" t="s">
        <v>1032</v>
      </c>
      <c r="C946">
        <v>1</v>
      </c>
      <c r="D946">
        <v>120240</v>
      </c>
      <c r="E946" t="s">
        <v>1019</v>
      </c>
      <c r="F946" t="s">
        <v>38</v>
      </c>
      <c r="G946" t="s">
        <v>23</v>
      </c>
      <c r="H946" t="s">
        <v>39</v>
      </c>
      <c r="I946" t="s">
        <v>1018</v>
      </c>
      <c r="J946">
        <v>33</v>
      </c>
      <c r="K946">
        <v>2.6669999999999998</v>
      </c>
      <c r="L946">
        <v>4</v>
      </c>
      <c r="M946">
        <v>2</v>
      </c>
      <c r="N946">
        <v>2</v>
      </c>
      <c r="O946">
        <v>3</v>
      </c>
      <c r="P946" s="4" t="b">
        <f t="shared" si="14"/>
        <v>1</v>
      </c>
    </row>
    <row r="947" spans="1:16" x14ac:dyDescent="0.2">
      <c r="A947" t="s">
        <v>1015</v>
      </c>
      <c r="B947" t="s">
        <v>1032</v>
      </c>
      <c r="C947">
        <v>2</v>
      </c>
      <c r="D947">
        <v>129833</v>
      </c>
      <c r="E947" t="s">
        <v>1017</v>
      </c>
      <c r="F947" t="s">
        <v>17</v>
      </c>
      <c r="G947" t="s">
        <v>18</v>
      </c>
      <c r="H947" t="s">
        <v>19</v>
      </c>
      <c r="I947" t="s">
        <v>1018</v>
      </c>
      <c r="J947">
        <v>1</v>
      </c>
      <c r="K947">
        <v>0.03</v>
      </c>
      <c r="L947">
        <v>1</v>
      </c>
      <c r="M947">
        <v>1</v>
      </c>
      <c r="N947">
        <v>1</v>
      </c>
      <c r="O947">
        <v>100</v>
      </c>
      <c r="P947" s="4" t="b">
        <f t="shared" si="14"/>
        <v>1</v>
      </c>
    </row>
    <row r="948" spans="1:16" x14ac:dyDescent="0.2">
      <c r="A948" t="s">
        <v>1015</v>
      </c>
      <c r="B948" t="s">
        <v>1032</v>
      </c>
      <c r="C948">
        <v>3</v>
      </c>
      <c r="D948">
        <v>130928</v>
      </c>
      <c r="E948" t="s">
        <v>1020</v>
      </c>
      <c r="F948" t="s">
        <v>44</v>
      </c>
      <c r="G948" t="s">
        <v>18</v>
      </c>
      <c r="H948" t="s">
        <v>39</v>
      </c>
      <c r="I948" t="s">
        <v>1018</v>
      </c>
      <c r="J948">
        <v>7</v>
      </c>
      <c r="K948">
        <v>0.03</v>
      </c>
      <c r="L948">
        <v>1</v>
      </c>
      <c r="M948">
        <v>1</v>
      </c>
      <c r="N948">
        <v>1</v>
      </c>
      <c r="O948">
        <v>100</v>
      </c>
      <c r="P948" s="4" t="b">
        <f t="shared" si="14"/>
        <v>1</v>
      </c>
    </row>
    <row r="949" spans="1:16" x14ac:dyDescent="0.2">
      <c r="A949" t="s">
        <v>1015</v>
      </c>
      <c r="B949" t="s">
        <v>1032</v>
      </c>
      <c r="C949">
        <v>4</v>
      </c>
      <c r="D949">
        <v>129755</v>
      </c>
      <c r="E949" t="s">
        <v>1022</v>
      </c>
      <c r="F949" t="s">
        <v>73</v>
      </c>
      <c r="G949" t="s">
        <v>18</v>
      </c>
      <c r="H949" t="s">
        <v>28</v>
      </c>
      <c r="I949" t="s">
        <v>1018</v>
      </c>
      <c r="J949">
        <v>3</v>
      </c>
      <c r="K949">
        <v>0.03</v>
      </c>
      <c r="L949">
        <v>1</v>
      </c>
      <c r="M949">
        <v>1</v>
      </c>
      <c r="N949">
        <v>1</v>
      </c>
      <c r="O949">
        <v>100</v>
      </c>
      <c r="P949" s="4" t="b">
        <f t="shared" si="14"/>
        <v>1</v>
      </c>
    </row>
    <row r="950" spans="1:16" x14ac:dyDescent="0.2">
      <c r="A950" t="s">
        <v>1015</v>
      </c>
      <c r="B950" t="s">
        <v>1032</v>
      </c>
      <c r="C950">
        <v>5</v>
      </c>
      <c r="D950">
        <v>130543</v>
      </c>
      <c r="E950" t="s">
        <v>1024</v>
      </c>
      <c r="F950" t="s">
        <v>73</v>
      </c>
      <c r="G950" t="s">
        <v>18</v>
      </c>
      <c r="H950" t="s">
        <v>28</v>
      </c>
      <c r="I950" t="s">
        <v>1018</v>
      </c>
      <c r="J950">
        <v>17</v>
      </c>
      <c r="K950">
        <v>0.03</v>
      </c>
      <c r="L950">
        <v>1</v>
      </c>
      <c r="M950">
        <v>1</v>
      </c>
      <c r="N950">
        <v>1</v>
      </c>
      <c r="O950">
        <v>100</v>
      </c>
      <c r="P950" s="4" t="b">
        <f t="shared" si="14"/>
        <v>1</v>
      </c>
    </row>
    <row r="951" spans="1:16" x14ac:dyDescent="0.2">
      <c r="A951" t="s">
        <v>1015</v>
      </c>
      <c r="B951" t="s">
        <v>1032</v>
      </c>
      <c r="C951">
        <v>6</v>
      </c>
      <c r="D951">
        <v>131049</v>
      </c>
      <c r="E951" t="s">
        <v>1025</v>
      </c>
      <c r="F951" t="s">
        <v>73</v>
      </c>
      <c r="G951" t="s">
        <v>18</v>
      </c>
      <c r="H951" t="s">
        <v>28</v>
      </c>
      <c r="I951" t="s">
        <v>1018</v>
      </c>
      <c r="J951">
        <v>106</v>
      </c>
      <c r="K951">
        <v>0.03</v>
      </c>
      <c r="L951">
        <v>1</v>
      </c>
      <c r="M951">
        <v>1</v>
      </c>
      <c r="N951">
        <v>1</v>
      </c>
      <c r="O951">
        <v>100</v>
      </c>
      <c r="P951" s="4" t="b">
        <f t="shared" si="14"/>
        <v>1</v>
      </c>
    </row>
    <row r="952" spans="1:16" x14ac:dyDescent="0.2">
      <c r="A952" t="s">
        <v>1015</v>
      </c>
      <c r="B952" t="s">
        <v>1032</v>
      </c>
      <c r="C952">
        <v>7</v>
      </c>
      <c r="D952">
        <v>98651</v>
      </c>
      <c r="E952" t="s">
        <v>1021</v>
      </c>
      <c r="F952" t="s">
        <v>261</v>
      </c>
      <c r="G952" t="s">
        <v>23</v>
      </c>
      <c r="H952" t="s">
        <v>55</v>
      </c>
      <c r="I952" t="s">
        <v>1018</v>
      </c>
      <c r="J952">
        <v>1</v>
      </c>
      <c r="K952">
        <v>0.03</v>
      </c>
      <c r="L952">
        <v>1</v>
      </c>
      <c r="M952">
        <v>1</v>
      </c>
      <c r="N952">
        <v>1</v>
      </c>
      <c r="O952">
        <v>100</v>
      </c>
      <c r="P952" s="4" t="b">
        <f t="shared" si="14"/>
        <v>1</v>
      </c>
    </row>
    <row r="953" spans="1:16" x14ac:dyDescent="0.2">
      <c r="A953" t="s">
        <v>1015</v>
      </c>
      <c r="B953" t="s">
        <v>1032</v>
      </c>
      <c r="C953">
        <v>8</v>
      </c>
      <c r="D953">
        <v>99510</v>
      </c>
      <c r="E953" t="s">
        <v>1023</v>
      </c>
      <c r="F953" t="s">
        <v>261</v>
      </c>
      <c r="G953" t="s">
        <v>23</v>
      </c>
      <c r="H953" t="s">
        <v>55</v>
      </c>
      <c r="I953" t="s">
        <v>1018</v>
      </c>
      <c r="J953">
        <v>2</v>
      </c>
      <c r="K953">
        <v>0.03</v>
      </c>
      <c r="L953">
        <v>1</v>
      </c>
      <c r="M953">
        <v>1</v>
      </c>
      <c r="N953">
        <v>1</v>
      </c>
      <c r="O953">
        <v>100</v>
      </c>
      <c r="P953" s="4" t="b">
        <f t="shared" si="14"/>
        <v>1</v>
      </c>
    </row>
  </sheetData>
  <autoFilter ref="A1:O1" xr:uid="{35100C1C-C428-0E4A-882A-8A1DAC6CD16F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B608-C07B-E243-8782-20DE959EBFC8}">
  <dimension ref="A1:W204"/>
  <sheetViews>
    <sheetView workbookViewId="0">
      <pane ySplit="2" topLeftCell="A3" activePane="bottomLeft" state="frozen"/>
      <selection pane="bottomLeft" activeCell="A4" sqref="A4"/>
    </sheetView>
  </sheetViews>
  <sheetFormatPr baseColWidth="10" defaultRowHeight="16" x14ac:dyDescent="0.2"/>
  <cols>
    <col min="1" max="1" width="3" customWidth="1"/>
    <col min="2" max="2" width="14.33203125" bestFit="1" customWidth="1"/>
    <col min="3" max="3" width="19.83203125" bestFit="1" customWidth="1"/>
    <col min="4" max="4" width="15.5" bestFit="1" customWidth="1"/>
    <col min="5" max="5" width="12.1640625" bestFit="1" customWidth="1"/>
    <col min="6" max="6" width="13.33203125" bestFit="1" customWidth="1"/>
    <col min="7" max="7" width="11.83203125" bestFit="1" customWidth="1"/>
    <col min="8" max="8" width="5.33203125" customWidth="1"/>
    <col min="9" max="9" width="16.33203125" bestFit="1" customWidth="1"/>
    <col min="10" max="10" width="15.1640625" customWidth="1"/>
    <col min="11" max="11" width="7" bestFit="1" customWidth="1"/>
    <col min="12" max="12" width="6.5" bestFit="1" customWidth="1"/>
    <col min="13" max="13" width="4" customWidth="1"/>
    <col min="14" max="14" width="23.33203125" bestFit="1" customWidth="1"/>
    <col min="15" max="15" width="11.83203125" bestFit="1" customWidth="1"/>
    <col min="16" max="16" width="7.1640625" customWidth="1"/>
    <col min="17" max="17" width="2.83203125" customWidth="1"/>
    <col min="18" max="18" width="14.33203125" bestFit="1" customWidth="1"/>
    <col min="19" max="19" width="15.5" bestFit="1" customWidth="1"/>
    <col min="20" max="20" width="8.83203125"/>
    <col min="21" max="21" width="28" bestFit="1" customWidth="1"/>
    <col min="22" max="22" width="20.1640625" bestFit="1" customWidth="1"/>
    <col min="23" max="23" width="21" bestFit="1" customWidth="1"/>
  </cols>
  <sheetData>
    <row r="1" spans="1:23" x14ac:dyDescent="0.2">
      <c r="B1" s="8" t="s">
        <v>1033</v>
      </c>
      <c r="C1" s="9" t="s">
        <v>1034</v>
      </c>
      <c r="D1" s="9"/>
      <c r="E1" s="9"/>
      <c r="G1" s="7" t="s">
        <v>1060</v>
      </c>
      <c r="I1" s="18" t="s">
        <v>1047</v>
      </c>
      <c r="J1" s="19"/>
      <c r="K1" s="19"/>
      <c r="L1" s="19"/>
      <c r="M1" s="5"/>
      <c r="N1" s="8" t="s">
        <v>1033</v>
      </c>
      <c r="O1" s="9" t="s">
        <v>1035</v>
      </c>
      <c r="R1" s="18" t="s">
        <v>1047</v>
      </c>
      <c r="S1" s="19"/>
      <c r="U1" s="18" t="s">
        <v>1047</v>
      </c>
      <c r="V1" s="19"/>
      <c r="W1" s="19"/>
    </row>
    <row r="2" spans="1:23" x14ac:dyDescent="0.2">
      <c r="A2" s="5"/>
      <c r="B2" s="10" t="s">
        <v>5</v>
      </c>
      <c r="C2" s="10" t="s">
        <v>6</v>
      </c>
      <c r="D2" s="10" t="s">
        <v>7</v>
      </c>
      <c r="E2" s="10" t="s">
        <v>1036</v>
      </c>
      <c r="F2" s="11" t="s">
        <v>1037</v>
      </c>
      <c r="G2" s="11" t="s">
        <v>1038</v>
      </c>
      <c r="I2" s="12" t="s">
        <v>6</v>
      </c>
      <c r="J2" s="12" t="s">
        <v>7</v>
      </c>
      <c r="K2" s="12" t="s">
        <v>1036</v>
      </c>
      <c r="L2" s="12" t="s">
        <v>1039</v>
      </c>
      <c r="M2" s="5"/>
      <c r="N2" s="12" t="s">
        <v>6</v>
      </c>
      <c r="O2" s="12" t="s">
        <v>1036</v>
      </c>
      <c r="P2" s="12" t="s">
        <v>1039</v>
      </c>
      <c r="Q2" s="5"/>
      <c r="R2" s="12" t="s">
        <v>5</v>
      </c>
      <c r="S2" s="12" t="s">
        <v>7</v>
      </c>
      <c r="T2" s="5"/>
      <c r="U2" s="12" t="s">
        <v>1048</v>
      </c>
      <c r="V2" s="12" t="s">
        <v>1049</v>
      </c>
      <c r="W2" s="12" t="s">
        <v>1050</v>
      </c>
    </row>
    <row r="3" spans="1:23" x14ac:dyDescent="0.2">
      <c r="B3" t="s">
        <v>22</v>
      </c>
      <c r="C3" t="s">
        <v>27</v>
      </c>
      <c r="D3" s="4" t="str">
        <f t="shared" ref="D3:D34" si="0">VLOOKUP($B3,$R:$S,2,FALSE)</f>
        <v>CISO</v>
      </c>
      <c r="E3" s="4">
        <f t="shared" ref="E3:E66" si="1">G3*SUMIFS($K:$K,$I:$I,C3,$J:$J,D3)/F3</f>
        <v>5</v>
      </c>
      <c r="F3" s="4">
        <f t="shared" ref="F3:F66" si="2">SUMIFS($G$2:$G$1000,$D$2:$D$1000,D3,$C$2:$C$1000,C3)</f>
        <v>20</v>
      </c>
      <c r="G3" s="3">
        <v>20</v>
      </c>
      <c r="I3" t="s">
        <v>18</v>
      </c>
      <c r="J3" t="s">
        <v>22</v>
      </c>
      <c r="K3">
        <v>5</v>
      </c>
      <c r="L3" s="9">
        <f>SUMIF($I:$I,I3,$K:$K)</f>
        <v>100</v>
      </c>
      <c r="N3" s="13" t="s">
        <v>18</v>
      </c>
      <c r="O3" s="20">
        <v>26</v>
      </c>
      <c r="P3" s="9">
        <f>SUM(O3:O18)</f>
        <v>100</v>
      </c>
      <c r="R3" t="s">
        <v>22</v>
      </c>
      <c r="S3" t="s">
        <v>22</v>
      </c>
      <c r="U3" s="17" t="s">
        <v>1051</v>
      </c>
      <c r="V3" t="str" cm="1">
        <f t="array" ref="V3:W3">_xlfn.TEXTSPLIT(U3,"&gt;",)</f>
        <v xml:space="preserve"> IDEA </v>
      </c>
      <c r="W3" t="str">
        <v xml:space="preserve"> Backlog</v>
      </c>
    </row>
    <row r="4" spans="1:23" x14ac:dyDescent="0.2">
      <c r="B4" t="s">
        <v>215</v>
      </c>
      <c r="C4" t="s">
        <v>27</v>
      </c>
      <c r="D4" s="4" t="str">
        <f t="shared" si="0"/>
        <v>Commercial</v>
      </c>
      <c r="E4" s="4">
        <f t="shared" si="1"/>
        <v>4</v>
      </c>
      <c r="F4" s="4">
        <f t="shared" si="2"/>
        <v>100</v>
      </c>
      <c r="G4" s="3">
        <v>10</v>
      </c>
      <c r="I4" t="s">
        <v>18</v>
      </c>
      <c r="J4" t="s">
        <v>28</v>
      </c>
      <c r="K4">
        <v>25</v>
      </c>
      <c r="L4" s="9">
        <f t="shared" ref="L4:L38" si="3">SUMIF($I:$I,I4,$K:$K)</f>
        <v>100</v>
      </c>
      <c r="N4" s="13" t="s">
        <v>23</v>
      </c>
      <c r="O4" s="20">
        <v>22</v>
      </c>
      <c r="R4" t="s">
        <v>68</v>
      </c>
      <c r="S4" t="s">
        <v>28</v>
      </c>
      <c r="U4" s="17" t="s">
        <v>1052</v>
      </c>
      <c r="V4" t="str" cm="1">
        <f t="array" ref="V4:W4">_xlfn.TEXTSPLIT(U4,"&gt;",)</f>
        <v xml:space="preserve"> IDEA </v>
      </c>
      <c r="W4" t="str">
        <v xml:space="preserve"> Pitch</v>
      </c>
    </row>
    <row r="5" spans="1:23" x14ac:dyDescent="0.2">
      <c r="B5" t="s">
        <v>1040</v>
      </c>
      <c r="C5" t="s">
        <v>27</v>
      </c>
      <c r="D5" s="4" t="str">
        <f t="shared" si="0"/>
        <v>Commercial</v>
      </c>
      <c r="E5" s="4">
        <f t="shared" si="1"/>
        <v>4</v>
      </c>
      <c r="F5" s="4">
        <f t="shared" si="2"/>
        <v>100</v>
      </c>
      <c r="G5" s="3">
        <v>10</v>
      </c>
      <c r="I5" t="s">
        <v>18</v>
      </c>
      <c r="J5" t="s">
        <v>55</v>
      </c>
      <c r="K5">
        <v>20</v>
      </c>
      <c r="L5" s="9">
        <f t="shared" si="3"/>
        <v>100</v>
      </c>
      <c r="N5" s="13" t="s">
        <v>27</v>
      </c>
      <c r="O5" s="20">
        <v>16</v>
      </c>
      <c r="R5" t="s">
        <v>73</v>
      </c>
      <c r="S5" t="s">
        <v>28</v>
      </c>
      <c r="U5" s="17" t="s">
        <v>1053</v>
      </c>
      <c r="V5" t="str" cm="1">
        <f t="array" ref="V5:W5">_xlfn.TEXTSPLIT(U5,"&gt;",)</f>
        <v xml:space="preserve"> IDEA </v>
      </c>
      <c r="W5" t="str">
        <v xml:space="preserve"> In Definition</v>
      </c>
    </row>
    <row r="6" spans="1:23" x14ac:dyDescent="0.2">
      <c r="B6" t="s">
        <v>219</v>
      </c>
      <c r="C6" t="s">
        <v>27</v>
      </c>
      <c r="D6" s="4" t="str">
        <f t="shared" si="0"/>
        <v>Commercial</v>
      </c>
      <c r="E6" s="4">
        <f t="shared" si="1"/>
        <v>4</v>
      </c>
      <c r="F6" s="4">
        <f t="shared" si="2"/>
        <v>100</v>
      </c>
      <c r="G6" s="3">
        <v>10</v>
      </c>
      <c r="I6" t="s">
        <v>18</v>
      </c>
      <c r="J6" t="s">
        <v>19</v>
      </c>
      <c r="K6">
        <v>25</v>
      </c>
      <c r="L6" s="9">
        <f t="shared" si="3"/>
        <v>100</v>
      </c>
      <c r="N6" s="13" t="s">
        <v>42</v>
      </c>
      <c r="O6" s="20">
        <v>14</v>
      </c>
      <c r="R6" t="s">
        <v>215</v>
      </c>
      <c r="S6" t="s">
        <v>28</v>
      </c>
      <c r="U6" s="17" t="s">
        <v>1054</v>
      </c>
      <c r="V6" t="str" cm="1">
        <f t="array" ref="V6:W6">_xlfn.TEXTSPLIT(U6,"&gt;",)</f>
        <v xml:space="preserve"> SOLUTION </v>
      </c>
      <c r="W6" t="str">
        <v xml:space="preserve"> In Approval</v>
      </c>
    </row>
    <row r="7" spans="1:23" x14ac:dyDescent="0.2">
      <c r="B7" t="s">
        <v>1041</v>
      </c>
      <c r="C7" t="s">
        <v>27</v>
      </c>
      <c r="D7" s="4" t="str">
        <f t="shared" si="0"/>
        <v>Commercial</v>
      </c>
      <c r="E7" s="4">
        <f t="shared" si="1"/>
        <v>4</v>
      </c>
      <c r="F7" s="4">
        <f t="shared" si="2"/>
        <v>100</v>
      </c>
      <c r="G7" s="3">
        <v>10</v>
      </c>
      <c r="I7" t="s">
        <v>18</v>
      </c>
      <c r="J7" t="s">
        <v>39</v>
      </c>
      <c r="K7">
        <v>15</v>
      </c>
      <c r="L7" s="9">
        <f t="shared" si="3"/>
        <v>100</v>
      </c>
      <c r="N7" s="13" t="s">
        <v>36</v>
      </c>
      <c r="O7" s="20">
        <v>12</v>
      </c>
      <c r="R7" t="s">
        <v>1040</v>
      </c>
      <c r="S7" t="s">
        <v>28</v>
      </c>
      <c r="U7" s="17" t="s">
        <v>1055</v>
      </c>
      <c r="V7" t="str" cm="1">
        <f t="array" ref="V7:W7">_xlfn.TEXTSPLIT(U7,"&gt;",)</f>
        <v xml:space="preserve"> SOLUTION </v>
      </c>
      <c r="W7" t="str">
        <v xml:space="preserve"> Ready for Approval</v>
      </c>
    </row>
    <row r="8" spans="1:23" x14ac:dyDescent="0.2">
      <c r="B8" t="s">
        <v>26</v>
      </c>
      <c r="C8" t="s">
        <v>27</v>
      </c>
      <c r="D8" s="4" t="str">
        <f t="shared" si="0"/>
        <v>Commercial</v>
      </c>
      <c r="E8" s="4">
        <f t="shared" si="1"/>
        <v>8</v>
      </c>
      <c r="F8" s="4">
        <f t="shared" si="2"/>
        <v>100</v>
      </c>
      <c r="G8" s="3">
        <v>20</v>
      </c>
      <c r="I8" s="14" t="s">
        <v>18</v>
      </c>
      <c r="J8" s="14" t="s">
        <v>1042</v>
      </c>
      <c r="K8" s="14">
        <v>10</v>
      </c>
      <c r="L8" s="9">
        <f t="shared" si="3"/>
        <v>100</v>
      </c>
      <c r="N8" s="13" t="s">
        <v>32</v>
      </c>
      <c r="O8" s="20">
        <v>10</v>
      </c>
      <c r="R8" t="s">
        <v>219</v>
      </c>
      <c r="S8" t="s">
        <v>28</v>
      </c>
      <c r="U8" s="17" t="s">
        <v>1056</v>
      </c>
      <c r="V8" t="str" cm="1">
        <f t="array" ref="V8:W8">_xlfn.TEXTSPLIT(U8,"&gt;",)</f>
        <v xml:space="preserve"> IDEA </v>
      </c>
      <c r="W8" t="str">
        <v xml:space="preserve"> Ready for Solution</v>
      </c>
    </row>
    <row r="9" spans="1:23" x14ac:dyDescent="0.2">
      <c r="B9" t="s">
        <v>41</v>
      </c>
      <c r="C9" t="s">
        <v>27</v>
      </c>
      <c r="D9" s="4" t="str">
        <f t="shared" si="0"/>
        <v>Commercial</v>
      </c>
      <c r="E9" s="4">
        <f t="shared" si="1"/>
        <v>4</v>
      </c>
      <c r="F9" s="4">
        <f t="shared" si="2"/>
        <v>100</v>
      </c>
      <c r="G9" s="3">
        <v>10</v>
      </c>
      <c r="I9" t="s">
        <v>23</v>
      </c>
      <c r="J9" t="s">
        <v>22</v>
      </c>
      <c r="K9">
        <v>5</v>
      </c>
      <c r="L9" s="9">
        <f t="shared" si="3"/>
        <v>100</v>
      </c>
      <c r="N9" s="15" t="s">
        <v>1043</v>
      </c>
      <c r="O9" s="20">
        <v>0</v>
      </c>
      <c r="R9" t="s">
        <v>1041</v>
      </c>
      <c r="S9" t="s">
        <v>28</v>
      </c>
      <c r="U9" s="17" t="s">
        <v>1057</v>
      </c>
      <c r="V9" t="str" cm="1">
        <f t="array" ref="V9:W9">_xlfn.TEXTSPLIT(U9,"&gt;",)</f>
        <v xml:space="preserve"> SOLUTION </v>
      </c>
      <c r="W9" t="str">
        <v xml:space="preserve"> High Level Design</v>
      </c>
    </row>
    <row r="10" spans="1:23" x14ac:dyDescent="0.2">
      <c r="B10" t="s">
        <v>78</v>
      </c>
      <c r="C10" t="s">
        <v>27</v>
      </c>
      <c r="D10" s="4" t="str">
        <f t="shared" si="0"/>
        <v>Commercial</v>
      </c>
      <c r="E10" s="4">
        <f t="shared" si="1"/>
        <v>4</v>
      </c>
      <c r="F10" s="4">
        <f t="shared" si="2"/>
        <v>100</v>
      </c>
      <c r="G10" s="3">
        <v>10</v>
      </c>
      <c r="I10" t="s">
        <v>23</v>
      </c>
      <c r="J10" t="s">
        <v>28</v>
      </c>
      <c r="K10">
        <v>30</v>
      </c>
      <c r="L10" s="9">
        <f t="shared" si="3"/>
        <v>100</v>
      </c>
      <c r="R10" t="s">
        <v>26</v>
      </c>
      <c r="S10" t="s">
        <v>28</v>
      </c>
      <c r="U10" s="17" t="s">
        <v>1058</v>
      </c>
      <c r="V10" t="str" cm="1">
        <f t="array" ref="V10:W10">_xlfn.TEXTSPLIT(U10,"&gt;",)</f>
        <v xml:space="preserve"> SOLUTION </v>
      </c>
      <c r="W10" t="str">
        <v xml:space="preserve"> Ready for Development</v>
      </c>
    </row>
    <row r="11" spans="1:23" x14ac:dyDescent="0.2">
      <c r="B11" t="s">
        <v>35</v>
      </c>
      <c r="C11" t="s">
        <v>27</v>
      </c>
      <c r="D11" s="4" t="str">
        <f t="shared" si="0"/>
        <v>Commercial</v>
      </c>
      <c r="E11" s="4">
        <f t="shared" si="1"/>
        <v>4</v>
      </c>
      <c r="F11" s="4">
        <f t="shared" si="2"/>
        <v>100</v>
      </c>
      <c r="G11" s="3">
        <v>10</v>
      </c>
      <c r="I11" t="s">
        <v>23</v>
      </c>
      <c r="J11" t="s">
        <v>55</v>
      </c>
      <c r="K11">
        <v>20</v>
      </c>
      <c r="L11" s="9">
        <f t="shared" si="3"/>
        <v>100</v>
      </c>
      <c r="R11" t="s">
        <v>41</v>
      </c>
      <c r="S11" t="s">
        <v>28</v>
      </c>
      <c r="U11" s="17" t="s">
        <v>1059</v>
      </c>
      <c r="V11" t="str" cm="1">
        <f t="array" ref="V11:W11">_xlfn.TEXTSPLIT(U11,"&gt;",)</f>
        <v xml:space="preserve"> SOLUTION </v>
      </c>
      <c r="W11" t="str">
        <v xml:space="preserve"> In Definition</v>
      </c>
    </row>
    <row r="12" spans="1:23" x14ac:dyDescent="0.2">
      <c r="B12" t="s">
        <v>58</v>
      </c>
      <c r="C12" t="s">
        <v>27</v>
      </c>
      <c r="D12" s="4" t="str">
        <f t="shared" si="0"/>
        <v>Commercial</v>
      </c>
      <c r="E12" s="4">
        <f t="shared" si="1"/>
        <v>4</v>
      </c>
      <c r="F12" s="4">
        <f t="shared" si="2"/>
        <v>100</v>
      </c>
      <c r="G12" s="3">
        <v>10</v>
      </c>
      <c r="I12" t="s">
        <v>23</v>
      </c>
      <c r="J12" t="s">
        <v>19</v>
      </c>
      <c r="K12">
        <v>20</v>
      </c>
      <c r="L12" s="9">
        <f t="shared" si="3"/>
        <v>100</v>
      </c>
      <c r="R12" t="s">
        <v>78</v>
      </c>
      <c r="S12" t="s">
        <v>28</v>
      </c>
    </row>
    <row r="13" spans="1:23" x14ac:dyDescent="0.2">
      <c r="B13" t="s">
        <v>242</v>
      </c>
      <c r="C13" t="s">
        <v>27</v>
      </c>
      <c r="D13" s="4" t="str">
        <f t="shared" si="0"/>
        <v>Corporate</v>
      </c>
      <c r="E13" s="4">
        <f t="shared" si="1"/>
        <v>1.4285714285714286</v>
      </c>
      <c r="F13" s="4">
        <f t="shared" si="2"/>
        <v>140</v>
      </c>
      <c r="G13" s="3">
        <v>10</v>
      </c>
      <c r="I13" t="s">
        <v>23</v>
      </c>
      <c r="J13" t="s">
        <v>39</v>
      </c>
      <c r="K13">
        <v>20</v>
      </c>
      <c r="L13" s="9">
        <f t="shared" si="3"/>
        <v>100</v>
      </c>
      <c r="R13" t="s">
        <v>35</v>
      </c>
      <c r="S13" t="s">
        <v>28</v>
      </c>
    </row>
    <row r="14" spans="1:23" x14ac:dyDescent="0.2">
      <c r="B14" t="s">
        <v>193</v>
      </c>
      <c r="C14" t="s">
        <v>27</v>
      </c>
      <c r="D14" s="4" t="str">
        <f t="shared" si="0"/>
        <v>Corporate</v>
      </c>
      <c r="E14" s="4">
        <f t="shared" si="1"/>
        <v>1.4285714285714286</v>
      </c>
      <c r="F14" s="4">
        <f t="shared" si="2"/>
        <v>140</v>
      </c>
      <c r="G14" s="3">
        <v>10</v>
      </c>
      <c r="I14" s="14" t="s">
        <v>23</v>
      </c>
      <c r="J14" s="14" t="s">
        <v>1042</v>
      </c>
      <c r="K14" s="14">
        <v>5</v>
      </c>
      <c r="L14" s="9">
        <f t="shared" si="3"/>
        <v>100</v>
      </c>
      <c r="R14" t="s">
        <v>58</v>
      </c>
      <c r="S14" t="s">
        <v>28</v>
      </c>
    </row>
    <row r="15" spans="1:23" x14ac:dyDescent="0.2">
      <c r="B15" t="s">
        <v>90</v>
      </c>
      <c r="C15" t="s">
        <v>27</v>
      </c>
      <c r="D15" s="4" t="str">
        <f t="shared" si="0"/>
        <v>Corporate</v>
      </c>
      <c r="E15" s="4">
        <f t="shared" si="1"/>
        <v>2.8571428571428572</v>
      </c>
      <c r="F15" s="4">
        <f t="shared" si="2"/>
        <v>140</v>
      </c>
      <c r="G15" s="3">
        <v>20</v>
      </c>
      <c r="I15" s="16" t="s">
        <v>27</v>
      </c>
      <c r="J15" s="16" t="s">
        <v>22</v>
      </c>
      <c r="K15" s="16">
        <v>5</v>
      </c>
      <c r="L15" s="9">
        <f t="shared" si="3"/>
        <v>100</v>
      </c>
      <c r="R15" t="s">
        <v>238</v>
      </c>
      <c r="S15" t="s">
        <v>28</v>
      </c>
    </row>
    <row r="16" spans="1:23" x14ac:dyDescent="0.2">
      <c r="B16" t="s">
        <v>248</v>
      </c>
      <c r="C16" t="s">
        <v>27</v>
      </c>
      <c r="D16" s="4" t="str">
        <f t="shared" si="0"/>
        <v>Corporate</v>
      </c>
      <c r="E16" s="4">
        <f t="shared" si="1"/>
        <v>1.4285714285714286</v>
      </c>
      <c r="F16" s="4">
        <f t="shared" si="2"/>
        <v>140</v>
      </c>
      <c r="G16" s="3">
        <v>10</v>
      </c>
      <c r="I16" t="s">
        <v>27</v>
      </c>
      <c r="J16" t="s">
        <v>28</v>
      </c>
      <c r="K16">
        <v>40</v>
      </c>
      <c r="L16" s="9">
        <f t="shared" si="3"/>
        <v>100</v>
      </c>
      <c r="R16" t="s">
        <v>242</v>
      </c>
      <c r="S16" t="s">
        <v>55</v>
      </c>
    </row>
    <row r="17" spans="2:19" x14ac:dyDescent="0.2">
      <c r="B17" t="s">
        <v>251</v>
      </c>
      <c r="C17" t="s">
        <v>27</v>
      </c>
      <c r="D17" s="4" t="str">
        <f t="shared" si="0"/>
        <v>Corporate</v>
      </c>
      <c r="E17" s="4">
        <f t="shared" si="1"/>
        <v>1.4285714285714286</v>
      </c>
      <c r="F17" s="4">
        <f t="shared" si="2"/>
        <v>140</v>
      </c>
      <c r="G17" s="3">
        <v>10</v>
      </c>
      <c r="I17" t="s">
        <v>27</v>
      </c>
      <c r="J17" t="s">
        <v>55</v>
      </c>
      <c r="K17">
        <v>20</v>
      </c>
      <c r="L17" s="9">
        <f t="shared" si="3"/>
        <v>100</v>
      </c>
      <c r="R17" t="s">
        <v>190</v>
      </c>
      <c r="S17" t="s">
        <v>55</v>
      </c>
    </row>
    <row r="18" spans="2:19" x14ac:dyDescent="0.2">
      <c r="B18" t="s">
        <v>254</v>
      </c>
      <c r="C18" t="s">
        <v>27</v>
      </c>
      <c r="D18" s="4" t="str">
        <f t="shared" si="0"/>
        <v>Corporate</v>
      </c>
      <c r="E18" s="4">
        <f t="shared" si="1"/>
        <v>1.4285714285714286</v>
      </c>
      <c r="F18" s="4">
        <f t="shared" si="2"/>
        <v>140</v>
      </c>
      <c r="G18" s="3">
        <v>10</v>
      </c>
      <c r="I18" t="s">
        <v>27</v>
      </c>
      <c r="J18" t="s">
        <v>19</v>
      </c>
      <c r="K18">
        <v>10</v>
      </c>
      <c r="L18" s="9">
        <f t="shared" si="3"/>
        <v>100</v>
      </c>
      <c r="R18" t="s">
        <v>193</v>
      </c>
      <c r="S18" t="s">
        <v>55</v>
      </c>
    </row>
    <row r="19" spans="2:19" x14ac:dyDescent="0.2">
      <c r="B19" t="s">
        <v>257</v>
      </c>
      <c r="C19" t="s">
        <v>27</v>
      </c>
      <c r="D19" s="4" t="str">
        <f t="shared" si="0"/>
        <v>Corporate</v>
      </c>
      <c r="E19" s="4">
        <f t="shared" si="1"/>
        <v>1.4285714285714286</v>
      </c>
      <c r="F19" s="4">
        <f t="shared" si="2"/>
        <v>140</v>
      </c>
      <c r="G19" s="3">
        <v>10</v>
      </c>
      <c r="I19" t="s">
        <v>27</v>
      </c>
      <c r="J19" t="s">
        <v>39</v>
      </c>
      <c r="K19">
        <v>20</v>
      </c>
      <c r="L19" s="9">
        <f t="shared" si="3"/>
        <v>100</v>
      </c>
      <c r="R19" t="s">
        <v>90</v>
      </c>
      <c r="S19" t="s">
        <v>55</v>
      </c>
    </row>
    <row r="20" spans="2:19" x14ac:dyDescent="0.2">
      <c r="B20" t="s">
        <v>261</v>
      </c>
      <c r="C20" t="s">
        <v>27</v>
      </c>
      <c r="D20" s="4" t="str">
        <f t="shared" si="0"/>
        <v>Corporate</v>
      </c>
      <c r="E20" s="4">
        <f t="shared" si="1"/>
        <v>1.4285714285714286</v>
      </c>
      <c r="F20" s="4">
        <f t="shared" si="2"/>
        <v>140</v>
      </c>
      <c r="G20" s="3">
        <v>10</v>
      </c>
      <c r="I20" s="14" t="s">
        <v>27</v>
      </c>
      <c r="J20" s="14" t="s">
        <v>1042</v>
      </c>
      <c r="K20" s="14">
        <v>5</v>
      </c>
      <c r="L20" s="9">
        <f t="shared" si="3"/>
        <v>100</v>
      </c>
      <c r="R20" t="s">
        <v>54</v>
      </c>
      <c r="S20" t="s">
        <v>55</v>
      </c>
    </row>
    <row r="21" spans="2:19" x14ac:dyDescent="0.2">
      <c r="B21" t="s">
        <v>264</v>
      </c>
      <c r="C21" t="s">
        <v>27</v>
      </c>
      <c r="D21" s="4" t="str">
        <f t="shared" si="0"/>
        <v>Corporate</v>
      </c>
      <c r="E21" s="4">
        <f t="shared" si="1"/>
        <v>1.4285714285714286</v>
      </c>
      <c r="F21" s="4">
        <f t="shared" si="2"/>
        <v>140</v>
      </c>
      <c r="G21" s="3">
        <v>10</v>
      </c>
      <c r="I21" s="16" t="s">
        <v>42</v>
      </c>
      <c r="J21" s="16" t="s">
        <v>22</v>
      </c>
      <c r="K21" s="16">
        <v>5</v>
      </c>
      <c r="L21" s="9">
        <f t="shared" si="3"/>
        <v>100</v>
      </c>
      <c r="R21" t="s">
        <v>1045</v>
      </c>
      <c r="S21" t="s">
        <v>55</v>
      </c>
    </row>
    <row r="22" spans="2:19" x14ac:dyDescent="0.2">
      <c r="B22" t="s">
        <v>96</v>
      </c>
      <c r="C22" t="s">
        <v>27</v>
      </c>
      <c r="D22" s="4" t="str">
        <f t="shared" si="0"/>
        <v>Corporate</v>
      </c>
      <c r="E22" s="4">
        <f t="shared" si="1"/>
        <v>1.4285714285714286</v>
      </c>
      <c r="F22" s="4">
        <f t="shared" si="2"/>
        <v>140</v>
      </c>
      <c r="G22" s="3">
        <v>10</v>
      </c>
      <c r="I22" t="s">
        <v>42</v>
      </c>
      <c r="J22" t="s">
        <v>28</v>
      </c>
      <c r="K22">
        <v>30</v>
      </c>
      <c r="L22" s="9">
        <f t="shared" si="3"/>
        <v>100</v>
      </c>
      <c r="R22" t="s">
        <v>248</v>
      </c>
      <c r="S22" t="s">
        <v>55</v>
      </c>
    </row>
    <row r="23" spans="2:19" x14ac:dyDescent="0.2">
      <c r="B23" t="s">
        <v>267</v>
      </c>
      <c r="C23" t="s">
        <v>27</v>
      </c>
      <c r="D23" s="4" t="str">
        <f t="shared" si="0"/>
        <v>Corporate</v>
      </c>
      <c r="E23" s="4">
        <f t="shared" si="1"/>
        <v>1.4285714285714286</v>
      </c>
      <c r="F23" s="4">
        <f t="shared" si="2"/>
        <v>140</v>
      </c>
      <c r="G23" s="3">
        <v>10</v>
      </c>
      <c r="I23" t="s">
        <v>42</v>
      </c>
      <c r="J23" t="s">
        <v>55</v>
      </c>
      <c r="K23">
        <v>30</v>
      </c>
      <c r="L23" s="9">
        <f t="shared" si="3"/>
        <v>100</v>
      </c>
      <c r="R23" t="s">
        <v>251</v>
      </c>
      <c r="S23" t="s">
        <v>55</v>
      </c>
    </row>
    <row r="24" spans="2:19" x14ac:dyDescent="0.2">
      <c r="B24" t="s">
        <v>270</v>
      </c>
      <c r="C24" t="s">
        <v>27</v>
      </c>
      <c r="D24" s="4" t="str">
        <f t="shared" si="0"/>
        <v>Corporate</v>
      </c>
      <c r="E24" s="4">
        <f t="shared" si="1"/>
        <v>1.4285714285714286</v>
      </c>
      <c r="F24" s="4">
        <f t="shared" si="2"/>
        <v>140</v>
      </c>
      <c r="G24" s="3">
        <v>10</v>
      </c>
      <c r="I24" t="s">
        <v>42</v>
      </c>
      <c r="J24" t="s">
        <v>19</v>
      </c>
      <c r="K24">
        <v>10</v>
      </c>
      <c r="L24" s="9">
        <f t="shared" si="3"/>
        <v>100</v>
      </c>
      <c r="R24" t="s">
        <v>196</v>
      </c>
      <c r="S24" t="s">
        <v>55</v>
      </c>
    </row>
    <row r="25" spans="2:19" x14ac:dyDescent="0.2">
      <c r="B25" t="s">
        <v>273</v>
      </c>
      <c r="C25" t="s">
        <v>27</v>
      </c>
      <c r="D25" s="4" t="str">
        <f t="shared" si="0"/>
        <v>Corporate</v>
      </c>
      <c r="E25" s="4">
        <f t="shared" si="1"/>
        <v>1.4285714285714286</v>
      </c>
      <c r="F25" s="4">
        <f t="shared" si="2"/>
        <v>140</v>
      </c>
      <c r="G25" s="3">
        <v>10</v>
      </c>
      <c r="I25" t="s">
        <v>42</v>
      </c>
      <c r="J25" t="s">
        <v>39</v>
      </c>
      <c r="K25">
        <v>20</v>
      </c>
      <c r="L25" s="9">
        <f t="shared" si="3"/>
        <v>100</v>
      </c>
      <c r="R25" t="s">
        <v>254</v>
      </c>
      <c r="S25" t="s">
        <v>55</v>
      </c>
    </row>
    <row r="26" spans="2:19" x14ac:dyDescent="0.2">
      <c r="B26" t="s">
        <v>31</v>
      </c>
      <c r="C26" t="s">
        <v>27</v>
      </c>
      <c r="D26" s="4" t="str">
        <f t="shared" si="0"/>
        <v>Operations</v>
      </c>
      <c r="E26" s="4">
        <f t="shared" si="1"/>
        <v>3.3333333333333335</v>
      </c>
      <c r="F26" s="4">
        <f t="shared" si="2"/>
        <v>30</v>
      </c>
      <c r="G26" s="3">
        <v>10</v>
      </c>
      <c r="I26" s="14" t="s">
        <v>42</v>
      </c>
      <c r="J26" s="14" t="s">
        <v>1042</v>
      </c>
      <c r="K26" s="14">
        <v>5</v>
      </c>
      <c r="L26" s="9">
        <f t="shared" si="3"/>
        <v>100</v>
      </c>
      <c r="R26" t="s">
        <v>257</v>
      </c>
      <c r="S26" t="s">
        <v>55</v>
      </c>
    </row>
    <row r="27" spans="2:19" x14ac:dyDescent="0.2">
      <c r="B27" t="s">
        <v>139</v>
      </c>
      <c r="C27" t="s">
        <v>27</v>
      </c>
      <c r="D27" s="4" t="str">
        <f t="shared" si="0"/>
        <v>Operations</v>
      </c>
      <c r="E27" s="4">
        <f t="shared" si="1"/>
        <v>3.3333333333333335</v>
      </c>
      <c r="F27" s="4">
        <f t="shared" si="2"/>
        <v>30</v>
      </c>
      <c r="G27" s="3">
        <v>10</v>
      </c>
      <c r="I27" s="16" t="s">
        <v>36</v>
      </c>
      <c r="J27" s="16" t="s">
        <v>22</v>
      </c>
      <c r="K27" s="16">
        <v>5</v>
      </c>
      <c r="L27" s="9">
        <f t="shared" si="3"/>
        <v>100</v>
      </c>
      <c r="R27" t="s">
        <v>261</v>
      </c>
      <c r="S27" t="s">
        <v>55</v>
      </c>
    </row>
    <row r="28" spans="2:19" x14ac:dyDescent="0.2">
      <c r="B28" t="s">
        <v>48</v>
      </c>
      <c r="C28" t="s">
        <v>27</v>
      </c>
      <c r="D28" s="4" t="str">
        <f t="shared" si="0"/>
        <v>Operations</v>
      </c>
      <c r="E28" s="4">
        <f t="shared" si="1"/>
        <v>3.3333333333333335</v>
      </c>
      <c r="F28" s="4">
        <f t="shared" si="2"/>
        <v>30</v>
      </c>
      <c r="G28" s="3">
        <v>10</v>
      </c>
      <c r="I28" t="s">
        <v>36</v>
      </c>
      <c r="J28" t="s">
        <v>28</v>
      </c>
      <c r="K28">
        <v>30</v>
      </c>
      <c r="L28" s="9">
        <f t="shared" si="3"/>
        <v>100</v>
      </c>
      <c r="R28" t="s">
        <v>264</v>
      </c>
      <c r="S28" t="s">
        <v>55</v>
      </c>
    </row>
    <row r="29" spans="2:19" x14ac:dyDescent="0.2">
      <c r="B29" t="s">
        <v>165</v>
      </c>
      <c r="C29" t="s">
        <v>27</v>
      </c>
      <c r="D29" s="4" t="str">
        <f t="shared" si="0"/>
        <v>Technology</v>
      </c>
      <c r="E29" s="4">
        <f t="shared" si="1"/>
        <v>4</v>
      </c>
      <c r="F29" s="4">
        <f t="shared" si="2"/>
        <v>50</v>
      </c>
      <c r="G29" s="3">
        <v>10</v>
      </c>
      <c r="I29" t="s">
        <v>36</v>
      </c>
      <c r="J29" t="s">
        <v>55</v>
      </c>
      <c r="K29">
        <v>25</v>
      </c>
      <c r="L29" s="9">
        <f t="shared" si="3"/>
        <v>100</v>
      </c>
      <c r="R29" t="s">
        <v>96</v>
      </c>
      <c r="S29" t="s">
        <v>55</v>
      </c>
    </row>
    <row r="30" spans="2:19" x14ac:dyDescent="0.2">
      <c r="B30" t="s">
        <v>38</v>
      </c>
      <c r="C30" t="s">
        <v>27</v>
      </c>
      <c r="D30" s="4" t="str">
        <f t="shared" si="0"/>
        <v>Technology</v>
      </c>
      <c r="E30" s="4">
        <f t="shared" si="1"/>
        <v>4</v>
      </c>
      <c r="F30" s="4">
        <f t="shared" si="2"/>
        <v>50</v>
      </c>
      <c r="G30" s="3">
        <v>10</v>
      </c>
      <c r="I30" t="s">
        <v>36</v>
      </c>
      <c r="J30" t="s">
        <v>19</v>
      </c>
      <c r="K30">
        <v>10</v>
      </c>
      <c r="L30" s="9">
        <f t="shared" si="3"/>
        <v>100</v>
      </c>
      <c r="R30" t="s">
        <v>202</v>
      </c>
      <c r="S30" t="s">
        <v>55</v>
      </c>
    </row>
    <row r="31" spans="2:19" x14ac:dyDescent="0.2">
      <c r="B31" t="s">
        <v>1044</v>
      </c>
      <c r="C31" t="s">
        <v>27</v>
      </c>
      <c r="D31" s="4" t="str">
        <f t="shared" si="0"/>
        <v>Technology</v>
      </c>
      <c r="E31" s="4">
        <f t="shared" si="1"/>
        <v>4</v>
      </c>
      <c r="F31" s="4">
        <f t="shared" si="2"/>
        <v>50</v>
      </c>
      <c r="G31" s="3">
        <v>10</v>
      </c>
      <c r="I31" t="s">
        <v>36</v>
      </c>
      <c r="J31" t="s">
        <v>39</v>
      </c>
      <c r="K31">
        <v>25</v>
      </c>
      <c r="L31" s="9">
        <f t="shared" si="3"/>
        <v>100</v>
      </c>
      <c r="R31" t="s">
        <v>267</v>
      </c>
      <c r="S31" t="s">
        <v>55</v>
      </c>
    </row>
    <row r="32" spans="2:19" x14ac:dyDescent="0.2">
      <c r="B32" t="s">
        <v>148</v>
      </c>
      <c r="C32" t="s">
        <v>27</v>
      </c>
      <c r="D32" s="4" t="str">
        <f t="shared" si="0"/>
        <v>Technology</v>
      </c>
      <c r="E32" s="4">
        <f t="shared" si="1"/>
        <v>4</v>
      </c>
      <c r="F32" s="4">
        <f t="shared" si="2"/>
        <v>50</v>
      </c>
      <c r="G32" s="3">
        <v>10</v>
      </c>
      <c r="I32" s="14" t="s">
        <v>36</v>
      </c>
      <c r="J32" s="14" t="s">
        <v>1042</v>
      </c>
      <c r="K32" s="14">
        <v>5</v>
      </c>
      <c r="L32" s="9">
        <f t="shared" si="3"/>
        <v>100</v>
      </c>
      <c r="R32" t="s">
        <v>270</v>
      </c>
      <c r="S32" t="s">
        <v>55</v>
      </c>
    </row>
    <row r="33" spans="2:19" x14ac:dyDescent="0.2">
      <c r="B33" t="s">
        <v>62</v>
      </c>
      <c r="C33" t="s">
        <v>27</v>
      </c>
      <c r="D33" s="4" t="str">
        <f t="shared" si="0"/>
        <v>Technology</v>
      </c>
      <c r="E33" s="4">
        <f t="shared" si="1"/>
        <v>4</v>
      </c>
      <c r="F33" s="4">
        <f t="shared" si="2"/>
        <v>50</v>
      </c>
      <c r="G33" s="3">
        <v>10</v>
      </c>
      <c r="I33" s="16" t="s">
        <v>32</v>
      </c>
      <c r="J33" s="16" t="s">
        <v>22</v>
      </c>
      <c r="K33" s="16">
        <v>5</v>
      </c>
      <c r="L33" s="9">
        <f t="shared" si="3"/>
        <v>100</v>
      </c>
      <c r="R33" t="s">
        <v>273</v>
      </c>
      <c r="S33" t="s">
        <v>55</v>
      </c>
    </row>
    <row r="34" spans="2:19" x14ac:dyDescent="0.2">
      <c r="B34" t="s">
        <v>22</v>
      </c>
      <c r="C34" t="s">
        <v>18</v>
      </c>
      <c r="D34" s="4" t="str">
        <f t="shared" si="0"/>
        <v>CISO</v>
      </c>
      <c r="E34" s="4">
        <f t="shared" si="1"/>
        <v>5</v>
      </c>
      <c r="F34" s="4">
        <f t="shared" si="2"/>
        <v>10</v>
      </c>
      <c r="G34" s="3">
        <v>10</v>
      </c>
      <c r="I34" t="s">
        <v>32</v>
      </c>
      <c r="J34" t="s">
        <v>28</v>
      </c>
      <c r="K34">
        <v>30</v>
      </c>
      <c r="L34" s="9">
        <f t="shared" si="3"/>
        <v>100</v>
      </c>
      <c r="R34" t="s">
        <v>17</v>
      </c>
      <c r="S34" t="s">
        <v>19</v>
      </c>
    </row>
    <row r="35" spans="2:19" x14ac:dyDescent="0.2">
      <c r="B35" t="s">
        <v>68</v>
      </c>
      <c r="C35" t="s">
        <v>18</v>
      </c>
      <c r="D35" s="4" t="str">
        <f t="shared" ref="D35:D66" si="4">VLOOKUP($B35,$R:$S,2,FALSE)</f>
        <v>Commercial</v>
      </c>
      <c r="E35" s="4">
        <f t="shared" si="1"/>
        <v>2.9411764705882355</v>
      </c>
      <c r="F35" s="4">
        <f t="shared" si="2"/>
        <v>170</v>
      </c>
      <c r="G35" s="3">
        <v>20</v>
      </c>
      <c r="I35" t="s">
        <v>32</v>
      </c>
      <c r="J35" t="s">
        <v>55</v>
      </c>
      <c r="K35">
        <v>20</v>
      </c>
      <c r="L35" s="9">
        <f t="shared" si="3"/>
        <v>100</v>
      </c>
      <c r="R35" t="s">
        <v>31</v>
      </c>
      <c r="S35" t="s">
        <v>19</v>
      </c>
    </row>
    <row r="36" spans="2:19" x14ac:dyDescent="0.2">
      <c r="B36" t="s">
        <v>73</v>
      </c>
      <c r="C36" t="s">
        <v>18</v>
      </c>
      <c r="D36" s="4" t="str">
        <f t="shared" si="4"/>
        <v>Commercial</v>
      </c>
      <c r="E36" s="4">
        <f t="shared" si="1"/>
        <v>2.9411764705882355</v>
      </c>
      <c r="F36" s="4">
        <f t="shared" si="2"/>
        <v>170</v>
      </c>
      <c r="G36" s="3">
        <v>20</v>
      </c>
      <c r="I36" t="s">
        <v>32</v>
      </c>
      <c r="J36" t="s">
        <v>19</v>
      </c>
      <c r="K36">
        <v>30</v>
      </c>
      <c r="L36" s="9">
        <f t="shared" si="3"/>
        <v>100</v>
      </c>
      <c r="R36" t="s">
        <v>139</v>
      </c>
      <c r="S36" t="s">
        <v>19</v>
      </c>
    </row>
    <row r="37" spans="2:19" x14ac:dyDescent="0.2">
      <c r="B37" t="s">
        <v>215</v>
      </c>
      <c r="C37" t="s">
        <v>18</v>
      </c>
      <c r="D37" s="4" t="str">
        <f t="shared" si="4"/>
        <v>Commercial</v>
      </c>
      <c r="E37" s="4">
        <f t="shared" si="1"/>
        <v>1.4705882352941178</v>
      </c>
      <c r="F37" s="4">
        <f t="shared" si="2"/>
        <v>170</v>
      </c>
      <c r="G37" s="3">
        <v>10</v>
      </c>
      <c r="I37" t="s">
        <v>32</v>
      </c>
      <c r="J37" t="s">
        <v>39</v>
      </c>
      <c r="K37">
        <v>10</v>
      </c>
      <c r="L37" s="9">
        <f t="shared" si="3"/>
        <v>100</v>
      </c>
      <c r="R37" t="s">
        <v>139</v>
      </c>
      <c r="S37" t="s">
        <v>19</v>
      </c>
    </row>
    <row r="38" spans="2:19" x14ac:dyDescent="0.2">
      <c r="B38" t="s">
        <v>1040</v>
      </c>
      <c r="C38" t="s">
        <v>18</v>
      </c>
      <c r="D38" s="4" t="str">
        <f t="shared" si="4"/>
        <v>Commercial</v>
      </c>
      <c r="E38" s="4">
        <f t="shared" si="1"/>
        <v>1.4705882352941178</v>
      </c>
      <c r="F38" s="4">
        <f t="shared" si="2"/>
        <v>170</v>
      </c>
      <c r="G38" s="3">
        <v>10</v>
      </c>
      <c r="I38" s="14" t="s">
        <v>32</v>
      </c>
      <c r="J38" s="14" t="s">
        <v>1042</v>
      </c>
      <c r="K38" s="14">
        <v>5</v>
      </c>
      <c r="L38" s="9">
        <f t="shared" si="3"/>
        <v>100</v>
      </c>
      <c r="R38" t="s">
        <v>48</v>
      </c>
      <c r="S38" t="s">
        <v>19</v>
      </c>
    </row>
    <row r="39" spans="2:19" x14ac:dyDescent="0.2">
      <c r="B39" t="s">
        <v>219</v>
      </c>
      <c r="C39" t="s">
        <v>18</v>
      </c>
      <c r="D39" s="4" t="str">
        <f t="shared" si="4"/>
        <v>Commercial</v>
      </c>
      <c r="E39" s="4">
        <f t="shared" si="1"/>
        <v>1.4705882352941178</v>
      </c>
      <c r="F39" s="4">
        <f t="shared" si="2"/>
        <v>170</v>
      </c>
      <c r="G39" s="3">
        <v>10</v>
      </c>
      <c r="R39" t="s">
        <v>165</v>
      </c>
      <c r="S39" t="s">
        <v>39</v>
      </c>
    </row>
    <row r="40" spans="2:19" x14ac:dyDescent="0.2">
      <c r="B40" t="s">
        <v>1041</v>
      </c>
      <c r="C40" t="s">
        <v>18</v>
      </c>
      <c r="D40" s="4" t="str">
        <f t="shared" si="4"/>
        <v>Commercial</v>
      </c>
      <c r="E40" s="4">
        <f t="shared" si="1"/>
        <v>1.4705882352941178</v>
      </c>
      <c r="F40" s="4">
        <f t="shared" si="2"/>
        <v>170</v>
      </c>
      <c r="G40" s="3">
        <v>10</v>
      </c>
      <c r="R40" t="s">
        <v>44</v>
      </c>
      <c r="S40" t="s">
        <v>39</v>
      </c>
    </row>
    <row r="41" spans="2:19" x14ac:dyDescent="0.2">
      <c r="B41" t="s">
        <v>26</v>
      </c>
      <c r="C41" t="s">
        <v>18</v>
      </c>
      <c r="D41" s="4" t="str">
        <f t="shared" si="4"/>
        <v>Commercial</v>
      </c>
      <c r="E41" s="4">
        <f t="shared" si="1"/>
        <v>1.4705882352941178</v>
      </c>
      <c r="F41" s="4">
        <f t="shared" si="2"/>
        <v>170</v>
      </c>
      <c r="G41" s="3">
        <v>10</v>
      </c>
      <c r="R41" t="s">
        <v>38</v>
      </c>
      <c r="S41" t="s">
        <v>39</v>
      </c>
    </row>
    <row r="42" spans="2:19" x14ac:dyDescent="0.2">
      <c r="B42" t="s">
        <v>41</v>
      </c>
      <c r="C42" t="s">
        <v>18</v>
      </c>
      <c r="D42" s="4" t="str">
        <f t="shared" si="4"/>
        <v>Commercial</v>
      </c>
      <c r="E42" s="4">
        <f t="shared" si="1"/>
        <v>1.4705882352941178</v>
      </c>
      <c r="F42" s="4">
        <f t="shared" si="2"/>
        <v>170</v>
      </c>
      <c r="G42" s="3">
        <v>10</v>
      </c>
      <c r="R42" t="s">
        <v>1044</v>
      </c>
      <c r="S42" t="s">
        <v>39</v>
      </c>
    </row>
    <row r="43" spans="2:19" x14ac:dyDescent="0.2">
      <c r="B43" t="s">
        <v>78</v>
      </c>
      <c r="C43" t="s">
        <v>18</v>
      </c>
      <c r="D43" s="4" t="str">
        <f t="shared" si="4"/>
        <v>Commercial</v>
      </c>
      <c r="E43" s="4">
        <f t="shared" si="1"/>
        <v>2.9411764705882355</v>
      </c>
      <c r="F43" s="4">
        <f t="shared" si="2"/>
        <v>170</v>
      </c>
      <c r="G43" s="3">
        <v>20</v>
      </c>
      <c r="R43" t="s">
        <v>148</v>
      </c>
      <c r="S43" t="s">
        <v>39</v>
      </c>
    </row>
    <row r="44" spans="2:19" x14ac:dyDescent="0.2">
      <c r="B44" t="s">
        <v>35</v>
      </c>
      <c r="C44" t="s">
        <v>18</v>
      </c>
      <c r="D44" s="4" t="str">
        <f t="shared" si="4"/>
        <v>Commercial</v>
      </c>
      <c r="E44" s="4">
        <f t="shared" si="1"/>
        <v>1.4705882352941178</v>
      </c>
      <c r="F44" s="4">
        <f t="shared" si="2"/>
        <v>170</v>
      </c>
      <c r="G44" s="3">
        <v>10</v>
      </c>
      <c r="R44" t="s">
        <v>62</v>
      </c>
      <c r="S44" t="s">
        <v>39</v>
      </c>
    </row>
    <row r="45" spans="2:19" x14ac:dyDescent="0.2">
      <c r="B45" t="s">
        <v>58</v>
      </c>
      <c r="C45" t="s">
        <v>18</v>
      </c>
      <c r="D45" s="4" t="str">
        <f t="shared" si="4"/>
        <v>Commercial</v>
      </c>
      <c r="E45" s="4">
        <f t="shared" si="1"/>
        <v>2.9411764705882355</v>
      </c>
      <c r="F45" s="4">
        <f t="shared" si="2"/>
        <v>170</v>
      </c>
      <c r="G45" s="3">
        <v>20</v>
      </c>
      <c r="R45" t="s">
        <v>1046</v>
      </c>
      <c r="S45" t="s">
        <v>1042</v>
      </c>
    </row>
    <row r="46" spans="2:19" x14ac:dyDescent="0.2">
      <c r="B46" t="s">
        <v>238</v>
      </c>
      <c r="C46" t="s">
        <v>18</v>
      </c>
      <c r="D46" s="4" t="str">
        <f t="shared" si="4"/>
        <v>Commercial</v>
      </c>
      <c r="E46" s="4">
        <f t="shared" si="1"/>
        <v>2.9411764705882355</v>
      </c>
      <c r="F46" s="4">
        <f t="shared" si="2"/>
        <v>170</v>
      </c>
      <c r="G46" s="3">
        <v>20</v>
      </c>
    </row>
    <row r="47" spans="2:19" x14ac:dyDescent="0.2">
      <c r="B47" t="s">
        <v>242</v>
      </c>
      <c r="C47" t="s">
        <v>18</v>
      </c>
      <c r="D47" s="4" t="str">
        <f t="shared" si="4"/>
        <v>Corporate</v>
      </c>
      <c r="E47" s="4">
        <f t="shared" si="1"/>
        <v>0.90909090909090906</v>
      </c>
      <c r="F47" s="4">
        <f t="shared" si="2"/>
        <v>220</v>
      </c>
      <c r="G47" s="3">
        <v>10</v>
      </c>
    </row>
    <row r="48" spans="2:19" x14ac:dyDescent="0.2">
      <c r="B48" t="s">
        <v>190</v>
      </c>
      <c r="C48" t="s">
        <v>18</v>
      </c>
      <c r="D48" s="4" t="str">
        <f t="shared" si="4"/>
        <v>Corporate</v>
      </c>
      <c r="E48" s="4">
        <f t="shared" si="1"/>
        <v>1.8181818181818181</v>
      </c>
      <c r="F48" s="4">
        <f t="shared" si="2"/>
        <v>220</v>
      </c>
      <c r="G48" s="3">
        <v>20</v>
      </c>
    </row>
    <row r="49" spans="2:7" x14ac:dyDescent="0.2">
      <c r="B49" t="s">
        <v>193</v>
      </c>
      <c r="C49" t="s">
        <v>18</v>
      </c>
      <c r="D49" s="4" t="str">
        <f t="shared" si="4"/>
        <v>Corporate</v>
      </c>
      <c r="E49" s="4">
        <f t="shared" si="1"/>
        <v>0.90909090909090906</v>
      </c>
      <c r="F49" s="4">
        <f t="shared" si="2"/>
        <v>220</v>
      </c>
      <c r="G49" s="3">
        <v>10</v>
      </c>
    </row>
    <row r="50" spans="2:7" x14ac:dyDescent="0.2">
      <c r="B50" t="s">
        <v>90</v>
      </c>
      <c r="C50" t="s">
        <v>18</v>
      </c>
      <c r="D50" s="4" t="str">
        <f t="shared" si="4"/>
        <v>Corporate</v>
      </c>
      <c r="E50" s="4">
        <f t="shared" si="1"/>
        <v>1.8181818181818181</v>
      </c>
      <c r="F50" s="4">
        <f t="shared" si="2"/>
        <v>220</v>
      </c>
      <c r="G50" s="3">
        <v>20</v>
      </c>
    </row>
    <row r="51" spans="2:7" x14ac:dyDescent="0.2">
      <c r="B51" t="s">
        <v>54</v>
      </c>
      <c r="C51" t="s">
        <v>18</v>
      </c>
      <c r="D51" s="4" t="str">
        <f t="shared" si="4"/>
        <v>Corporate</v>
      </c>
      <c r="E51" s="4">
        <f t="shared" si="1"/>
        <v>1.8181818181818181</v>
      </c>
      <c r="F51" s="4">
        <f t="shared" si="2"/>
        <v>220</v>
      </c>
      <c r="G51" s="3">
        <v>20</v>
      </c>
    </row>
    <row r="52" spans="2:7" x14ac:dyDescent="0.2">
      <c r="B52" t="s">
        <v>1045</v>
      </c>
      <c r="C52" t="s">
        <v>18</v>
      </c>
      <c r="D52" s="4" t="str">
        <f t="shared" si="4"/>
        <v>Corporate</v>
      </c>
      <c r="E52" s="4">
        <f t="shared" si="1"/>
        <v>0.90909090909090906</v>
      </c>
      <c r="F52" s="4">
        <f t="shared" si="2"/>
        <v>220</v>
      </c>
      <c r="G52" s="3">
        <v>10</v>
      </c>
    </row>
    <row r="53" spans="2:7" x14ac:dyDescent="0.2">
      <c r="B53" t="s">
        <v>248</v>
      </c>
      <c r="C53" t="s">
        <v>18</v>
      </c>
      <c r="D53" s="4" t="str">
        <f t="shared" si="4"/>
        <v>Corporate</v>
      </c>
      <c r="E53" s="4">
        <f t="shared" si="1"/>
        <v>0.90909090909090906</v>
      </c>
      <c r="F53" s="4">
        <f t="shared" si="2"/>
        <v>220</v>
      </c>
      <c r="G53" s="3">
        <v>10</v>
      </c>
    </row>
    <row r="54" spans="2:7" x14ac:dyDescent="0.2">
      <c r="B54" t="s">
        <v>251</v>
      </c>
      <c r="C54" t="s">
        <v>18</v>
      </c>
      <c r="D54" s="4" t="str">
        <f t="shared" si="4"/>
        <v>Corporate</v>
      </c>
      <c r="E54" s="4">
        <f t="shared" si="1"/>
        <v>0.90909090909090906</v>
      </c>
      <c r="F54" s="4">
        <f t="shared" si="2"/>
        <v>220</v>
      </c>
      <c r="G54" s="3">
        <v>10</v>
      </c>
    </row>
    <row r="55" spans="2:7" x14ac:dyDescent="0.2">
      <c r="B55" t="s">
        <v>196</v>
      </c>
      <c r="C55" t="s">
        <v>18</v>
      </c>
      <c r="D55" s="4" t="str">
        <f t="shared" si="4"/>
        <v>Corporate</v>
      </c>
      <c r="E55" s="4">
        <f t="shared" si="1"/>
        <v>0.90909090909090906</v>
      </c>
      <c r="F55" s="4">
        <f t="shared" si="2"/>
        <v>220</v>
      </c>
      <c r="G55" s="3">
        <v>10</v>
      </c>
    </row>
    <row r="56" spans="2:7" x14ac:dyDescent="0.2">
      <c r="B56" t="s">
        <v>254</v>
      </c>
      <c r="C56" t="s">
        <v>18</v>
      </c>
      <c r="D56" s="4" t="str">
        <f t="shared" si="4"/>
        <v>Corporate</v>
      </c>
      <c r="E56" s="4">
        <f t="shared" si="1"/>
        <v>0.90909090909090906</v>
      </c>
      <c r="F56" s="4">
        <f t="shared" si="2"/>
        <v>220</v>
      </c>
      <c r="G56" s="3">
        <v>10</v>
      </c>
    </row>
    <row r="57" spans="2:7" x14ac:dyDescent="0.2">
      <c r="B57" t="s">
        <v>257</v>
      </c>
      <c r="C57" t="s">
        <v>18</v>
      </c>
      <c r="D57" s="4" t="str">
        <f t="shared" si="4"/>
        <v>Corporate</v>
      </c>
      <c r="E57" s="4">
        <f t="shared" si="1"/>
        <v>0.90909090909090906</v>
      </c>
      <c r="F57" s="4">
        <f t="shared" si="2"/>
        <v>220</v>
      </c>
      <c r="G57" s="3">
        <v>10</v>
      </c>
    </row>
    <row r="58" spans="2:7" x14ac:dyDescent="0.2">
      <c r="B58" t="s">
        <v>261</v>
      </c>
      <c r="C58" t="s">
        <v>18</v>
      </c>
      <c r="D58" s="4" t="str">
        <f t="shared" si="4"/>
        <v>Corporate</v>
      </c>
      <c r="E58" s="4">
        <f t="shared" si="1"/>
        <v>0.90909090909090906</v>
      </c>
      <c r="F58" s="4">
        <f t="shared" si="2"/>
        <v>220</v>
      </c>
      <c r="G58" s="3">
        <v>10</v>
      </c>
    </row>
    <row r="59" spans="2:7" x14ac:dyDescent="0.2">
      <c r="B59" t="s">
        <v>264</v>
      </c>
      <c r="C59" t="s">
        <v>18</v>
      </c>
      <c r="D59" s="4" t="str">
        <f t="shared" si="4"/>
        <v>Corporate</v>
      </c>
      <c r="E59" s="4">
        <f t="shared" si="1"/>
        <v>0.90909090909090906</v>
      </c>
      <c r="F59" s="4">
        <f t="shared" si="2"/>
        <v>220</v>
      </c>
      <c r="G59" s="3">
        <v>10</v>
      </c>
    </row>
    <row r="60" spans="2:7" x14ac:dyDescent="0.2">
      <c r="B60" t="s">
        <v>96</v>
      </c>
      <c r="C60" t="s">
        <v>18</v>
      </c>
      <c r="D60" s="4" t="str">
        <f t="shared" si="4"/>
        <v>Corporate</v>
      </c>
      <c r="E60" s="4">
        <f t="shared" si="1"/>
        <v>1.8181818181818181</v>
      </c>
      <c r="F60" s="4">
        <f t="shared" si="2"/>
        <v>220</v>
      </c>
      <c r="G60" s="3">
        <v>20</v>
      </c>
    </row>
    <row r="61" spans="2:7" x14ac:dyDescent="0.2">
      <c r="B61" t="s">
        <v>202</v>
      </c>
      <c r="C61" t="s">
        <v>18</v>
      </c>
      <c r="D61" s="4" t="str">
        <f t="shared" si="4"/>
        <v>Corporate</v>
      </c>
      <c r="E61" s="4">
        <f t="shared" si="1"/>
        <v>0.90909090909090906</v>
      </c>
      <c r="F61" s="4">
        <f t="shared" si="2"/>
        <v>220</v>
      </c>
      <c r="G61" s="3">
        <v>10</v>
      </c>
    </row>
    <row r="62" spans="2:7" x14ac:dyDescent="0.2">
      <c r="B62" t="s">
        <v>267</v>
      </c>
      <c r="C62" t="s">
        <v>18</v>
      </c>
      <c r="D62" s="4" t="str">
        <f t="shared" si="4"/>
        <v>Corporate</v>
      </c>
      <c r="E62" s="4">
        <f t="shared" si="1"/>
        <v>0.90909090909090906</v>
      </c>
      <c r="F62" s="4">
        <f t="shared" si="2"/>
        <v>220</v>
      </c>
      <c r="G62" s="3">
        <v>10</v>
      </c>
    </row>
    <row r="63" spans="2:7" x14ac:dyDescent="0.2">
      <c r="B63" t="s">
        <v>270</v>
      </c>
      <c r="C63" t="s">
        <v>18</v>
      </c>
      <c r="D63" s="4" t="str">
        <f t="shared" si="4"/>
        <v>Corporate</v>
      </c>
      <c r="E63" s="4">
        <f t="shared" si="1"/>
        <v>0.90909090909090906</v>
      </c>
      <c r="F63" s="4">
        <f t="shared" si="2"/>
        <v>220</v>
      </c>
      <c r="G63" s="3">
        <v>10</v>
      </c>
    </row>
    <row r="64" spans="2:7" x14ac:dyDescent="0.2">
      <c r="B64" t="s">
        <v>273</v>
      </c>
      <c r="C64" t="s">
        <v>18</v>
      </c>
      <c r="D64" s="4" t="str">
        <f t="shared" si="4"/>
        <v>Corporate</v>
      </c>
      <c r="E64" s="4">
        <f t="shared" si="1"/>
        <v>0.90909090909090906</v>
      </c>
      <c r="F64" s="4">
        <f t="shared" si="2"/>
        <v>220</v>
      </c>
      <c r="G64" s="3">
        <v>10</v>
      </c>
    </row>
    <row r="65" spans="2:7" x14ac:dyDescent="0.2">
      <c r="B65" t="s">
        <v>17</v>
      </c>
      <c r="C65" t="s">
        <v>18</v>
      </c>
      <c r="D65" s="4" t="str">
        <f t="shared" si="4"/>
        <v>Operations</v>
      </c>
      <c r="E65" s="4">
        <f t="shared" si="1"/>
        <v>8.3333333333333339</v>
      </c>
      <c r="F65" s="4">
        <f t="shared" si="2"/>
        <v>60</v>
      </c>
      <c r="G65" s="3">
        <v>20</v>
      </c>
    </row>
    <row r="66" spans="2:7" x14ac:dyDescent="0.2">
      <c r="B66" t="s">
        <v>31</v>
      </c>
      <c r="C66" t="s">
        <v>18</v>
      </c>
      <c r="D66" s="4" t="str">
        <f t="shared" si="4"/>
        <v>Operations</v>
      </c>
      <c r="E66" s="4">
        <f t="shared" si="1"/>
        <v>8.3333333333333339</v>
      </c>
      <c r="F66" s="4">
        <f t="shared" si="2"/>
        <v>60</v>
      </c>
      <c r="G66" s="3">
        <v>20</v>
      </c>
    </row>
    <row r="67" spans="2:7" x14ac:dyDescent="0.2">
      <c r="B67" t="s">
        <v>139</v>
      </c>
      <c r="C67" t="s">
        <v>18</v>
      </c>
      <c r="D67" s="4" t="str">
        <f t="shared" ref="D67:D98" si="5">VLOOKUP($B67,$R:$S,2,FALSE)</f>
        <v>Operations</v>
      </c>
      <c r="E67" s="4">
        <f t="shared" ref="E67:E130" si="6">G67*SUMIFS($K:$K,$I:$I,C67,$J:$J,D67)/F67</f>
        <v>4.166666666666667</v>
      </c>
      <c r="F67" s="4">
        <f t="shared" ref="F67:F130" si="7">SUMIFS($G$2:$G$1000,$D$2:$D$1000,D67,$C$2:$C$1000,C67)</f>
        <v>60</v>
      </c>
      <c r="G67" s="3">
        <v>10</v>
      </c>
    </row>
    <row r="68" spans="2:7" x14ac:dyDescent="0.2">
      <c r="B68" t="s">
        <v>48</v>
      </c>
      <c r="C68" t="s">
        <v>18</v>
      </c>
      <c r="D68" s="4" t="str">
        <f t="shared" si="5"/>
        <v>Operations</v>
      </c>
      <c r="E68" s="4">
        <f t="shared" si="6"/>
        <v>4.166666666666667</v>
      </c>
      <c r="F68" s="4">
        <f t="shared" si="7"/>
        <v>60</v>
      </c>
      <c r="G68" s="3">
        <v>10</v>
      </c>
    </row>
    <row r="69" spans="2:7" x14ac:dyDescent="0.2">
      <c r="B69" t="s">
        <v>165</v>
      </c>
      <c r="C69" t="s">
        <v>18</v>
      </c>
      <c r="D69" s="4" t="str">
        <f t="shared" si="5"/>
        <v>Technology</v>
      </c>
      <c r="E69" s="4">
        <f t="shared" si="6"/>
        <v>1.875</v>
      </c>
      <c r="F69" s="4">
        <f t="shared" si="7"/>
        <v>80</v>
      </c>
      <c r="G69" s="3">
        <v>10</v>
      </c>
    </row>
    <row r="70" spans="2:7" x14ac:dyDescent="0.2">
      <c r="B70" t="s">
        <v>44</v>
      </c>
      <c r="C70" t="s">
        <v>18</v>
      </c>
      <c r="D70" s="4" t="str">
        <f t="shared" si="5"/>
        <v>Technology</v>
      </c>
      <c r="E70" s="4">
        <f t="shared" si="6"/>
        <v>3.75</v>
      </c>
      <c r="F70" s="4">
        <f t="shared" si="7"/>
        <v>80</v>
      </c>
      <c r="G70" s="3">
        <v>20</v>
      </c>
    </row>
    <row r="71" spans="2:7" x14ac:dyDescent="0.2">
      <c r="B71" t="s">
        <v>38</v>
      </c>
      <c r="C71" t="s">
        <v>18</v>
      </c>
      <c r="D71" s="4" t="str">
        <f t="shared" si="5"/>
        <v>Technology</v>
      </c>
      <c r="E71" s="4">
        <f t="shared" si="6"/>
        <v>3.75</v>
      </c>
      <c r="F71" s="4">
        <f t="shared" si="7"/>
        <v>80</v>
      </c>
      <c r="G71" s="3">
        <v>20</v>
      </c>
    </row>
    <row r="72" spans="2:7" x14ac:dyDescent="0.2">
      <c r="B72" t="s">
        <v>1044</v>
      </c>
      <c r="C72" t="s">
        <v>18</v>
      </c>
      <c r="D72" s="4" t="str">
        <f t="shared" si="5"/>
        <v>Technology</v>
      </c>
      <c r="E72" s="4">
        <f t="shared" si="6"/>
        <v>1.875</v>
      </c>
      <c r="F72" s="4">
        <f t="shared" si="7"/>
        <v>80</v>
      </c>
      <c r="G72" s="3">
        <v>10</v>
      </c>
    </row>
    <row r="73" spans="2:7" x14ac:dyDescent="0.2">
      <c r="B73" t="s">
        <v>148</v>
      </c>
      <c r="C73" t="s">
        <v>18</v>
      </c>
      <c r="D73" s="4" t="str">
        <f t="shared" si="5"/>
        <v>Technology</v>
      </c>
      <c r="E73" s="4">
        <f t="shared" si="6"/>
        <v>1.875</v>
      </c>
      <c r="F73" s="4">
        <f t="shared" si="7"/>
        <v>80</v>
      </c>
      <c r="G73" s="3">
        <v>10</v>
      </c>
    </row>
    <row r="74" spans="2:7" x14ac:dyDescent="0.2">
      <c r="B74" t="s">
        <v>62</v>
      </c>
      <c r="C74" t="s">
        <v>18</v>
      </c>
      <c r="D74" s="4" t="str">
        <f t="shared" si="5"/>
        <v>Technology</v>
      </c>
      <c r="E74" s="4">
        <f t="shared" si="6"/>
        <v>1.875</v>
      </c>
      <c r="F74" s="4">
        <f t="shared" si="7"/>
        <v>80</v>
      </c>
      <c r="G74" s="3">
        <v>10</v>
      </c>
    </row>
    <row r="75" spans="2:7" x14ac:dyDescent="0.2">
      <c r="B75" t="s">
        <v>22</v>
      </c>
      <c r="C75" t="s">
        <v>32</v>
      </c>
      <c r="D75" s="4" t="str">
        <f t="shared" si="5"/>
        <v>CISO</v>
      </c>
      <c r="E75" s="4">
        <f t="shared" si="6"/>
        <v>5</v>
      </c>
      <c r="F75" s="4">
        <f t="shared" si="7"/>
        <v>20</v>
      </c>
      <c r="G75" s="3">
        <v>20</v>
      </c>
    </row>
    <row r="76" spans="2:7" x14ac:dyDescent="0.2">
      <c r="B76" t="s">
        <v>215</v>
      </c>
      <c r="C76" t="s">
        <v>32</v>
      </c>
      <c r="D76" s="4" t="str">
        <f t="shared" si="5"/>
        <v>Commercial</v>
      </c>
      <c r="E76" s="4">
        <f t="shared" si="6"/>
        <v>3</v>
      </c>
      <c r="F76" s="4">
        <f t="shared" si="7"/>
        <v>100</v>
      </c>
      <c r="G76" s="3">
        <v>10</v>
      </c>
    </row>
    <row r="77" spans="2:7" x14ac:dyDescent="0.2">
      <c r="B77" t="s">
        <v>1040</v>
      </c>
      <c r="C77" t="s">
        <v>32</v>
      </c>
      <c r="D77" s="4" t="str">
        <f t="shared" si="5"/>
        <v>Commercial</v>
      </c>
      <c r="E77" s="4">
        <f t="shared" si="6"/>
        <v>3</v>
      </c>
      <c r="F77" s="4">
        <f t="shared" si="7"/>
        <v>100</v>
      </c>
      <c r="G77" s="3">
        <v>10</v>
      </c>
    </row>
    <row r="78" spans="2:7" x14ac:dyDescent="0.2">
      <c r="B78" t="s">
        <v>219</v>
      </c>
      <c r="C78" t="s">
        <v>32</v>
      </c>
      <c r="D78" s="4" t="str">
        <f t="shared" si="5"/>
        <v>Commercial</v>
      </c>
      <c r="E78" s="4">
        <f t="shared" si="6"/>
        <v>3</v>
      </c>
      <c r="F78" s="4">
        <f t="shared" si="7"/>
        <v>100</v>
      </c>
      <c r="G78" s="3">
        <v>10</v>
      </c>
    </row>
    <row r="79" spans="2:7" x14ac:dyDescent="0.2">
      <c r="B79" t="s">
        <v>1041</v>
      </c>
      <c r="C79" t="s">
        <v>32</v>
      </c>
      <c r="D79" s="4" t="str">
        <f t="shared" si="5"/>
        <v>Commercial</v>
      </c>
      <c r="E79" s="4">
        <f t="shared" si="6"/>
        <v>3</v>
      </c>
      <c r="F79" s="4">
        <f t="shared" si="7"/>
        <v>100</v>
      </c>
      <c r="G79" s="3">
        <v>10</v>
      </c>
    </row>
    <row r="80" spans="2:7" x14ac:dyDescent="0.2">
      <c r="B80" t="s">
        <v>26</v>
      </c>
      <c r="C80" t="s">
        <v>32</v>
      </c>
      <c r="D80" s="4" t="str">
        <f t="shared" si="5"/>
        <v>Commercial</v>
      </c>
      <c r="E80" s="4">
        <f t="shared" si="6"/>
        <v>3</v>
      </c>
      <c r="F80" s="4">
        <f t="shared" si="7"/>
        <v>100</v>
      </c>
      <c r="G80" s="3">
        <v>10</v>
      </c>
    </row>
    <row r="81" spans="2:7" x14ac:dyDescent="0.2">
      <c r="B81" t="s">
        <v>41</v>
      </c>
      <c r="C81" t="s">
        <v>32</v>
      </c>
      <c r="D81" s="4" t="str">
        <f t="shared" si="5"/>
        <v>Commercial</v>
      </c>
      <c r="E81" s="4">
        <f t="shared" si="6"/>
        <v>3</v>
      </c>
      <c r="F81" s="4">
        <f t="shared" si="7"/>
        <v>100</v>
      </c>
      <c r="G81" s="3">
        <v>10</v>
      </c>
    </row>
    <row r="82" spans="2:7" x14ac:dyDescent="0.2">
      <c r="B82" t="s">
        <v>78</v>
      </c>
      <c r="C82" t="s">
        <v>32</v>
      </c>
      <c r="D82" s="4" t="str">
        <f t="shared" si="5"/>
        <v>Commercial</v>
      </c>
      <c r="E82" s="4">
        <f t="shared" si="6"/>
        <v>6</v>
      </c>
      <c r="F82" s="4">
        <f t="shared" si="7"/>
        <v>100</v>
      </c>
      <c r="G82" s="3">
        <v>20</v>
      </c>
    </row>
    <row r="83" spans="2:7" x14ac:dyDescent="0.2">
      <c r="B83" t="s">
        <v>35</v>
      </c>
      <c r="C83" t="s">
        <v>32</v>
      </c>
      <c r="D83" s="4" t="str">
        <f t="shared" si="5"/>
        <v>Commercial</v>
      </c>
      <c r="E83" s="4">
        <f t="shared" si="6"/>
        <v>3</v>
      </c>
      <c r="F83" s="4">
        <f t="shared" si="7"/>
        <v>100</v>
      </c>
      <c r="G83" s="3">
        <v>10</v>
      </c>
    </row>
    <row r="84" spans="2:7" x14ac:dyDescent="0.2">
      <c r="B84" t="s">
        <v>58</v>
      </c>
      <c r="C84" t="s">
        <v>32</v>
      </c>
      <c r="D84" s="4" t="str">
        <f t="shared" si="5"/>
        <v>Commercial</v>
      </c>
      <c r="E84" s="4">
        <f t="shared" si="6"/>
        <v>3</v>
      </c>
      <c r="F84" s="4">
        <f t="shared" si="7"/>
        <v>100</v>
      </c>
      <c r="G84" s="3">
        <v>10</v>
      </c>
    </row>
    <row r="85" spans="2:7" x14ac:dyDescent="0.2">
      <c r="B85" t="s">
        <v>242</v>
      </c>
      <c r="C85" t="s">
        <v>32</v>
      </c>
      <c r="D85" s="4" t="str">
        <f t="shared" si="5"/>
        <v>Corporate</v>
      </c>
      <c r="E85" s="4">
        <f t="shared" si="6"/>
        <v>1.4285714285714286</v>
      </c>
      <c r="F85" s="4">
        <f t="shared" si="7"/>
        <v>140</v>
      </c>
      <c r="G85" s="3">
        <v>10</v>
      </c>
    </row>
    <row r="86" spans="2:7" x14ac:dyDescent="0.2">
      <c r="B86" t="s">
        <v>193</v>
      </c>
      <c r="C86" t="s">
        <v>32</v>
      </c>
      <c r="D86" s="4" t="str">
        <f t="shared" si="5"/>
        <v>Corporate</v>
      </c>
      <c r="E86" s="4">
        <f t="shared" si="6"/>
        <v>1.4285714285714286</v>
      </c>
      <c r="F86" s="4">
        <f t="shared" si="7"/>
        <v>140</v>
      </c>
      <c r="G86" s="3">
        <v>10</v>
      </c>
    </row>
    <row r="87" spans="2:7" x14ac:dyDescent="0.2">
      <c r="B87" t="s">
        <v>90</v>
      </c>
      <c r="C87" t="s">
        <v>32</v>
      </c>
      <c r="D87" s="4" t="str">
        <f t="shared" si="5"/>
        <v>Corporate</v>
      </c>
      <c r="E87" s="4">
        <f t="shared" si="6"/>
        <v>2.8571428571428572</v>
      </c>
      <c r="F87" s="4">
        <f t="shared" si="7"/>
        <v>140</v>
      </c>
      <c r="G87" s="3">
        <v>20</v>
      </c>
    </row>
    <row r="88" spans="2:7" x14ac:dyDescent="0.2">
      <c r="B88" t="s">
        <v>248</v>
      </c>
      <c r="C88" t="s">
        <v>32</v>
      </c>
      <c r="D88" s="4" t="str">
        <f t="shared" si="5"/>
        <v>Corporate</v>
      </c>
      <c r="E88" s="4">
        <f t="shared" si="6"/>
        <v>1.4285714285714286</v>
      </c>
      <c r="F88" s="4">
        <f t="shared" si="7"/>
        <v>140</v>
      </c>
      <c r="G88" s="3">
        <v>10</v>
      </c>
    </row>
    <row r="89" spans="2:7" x14ac:dyDescent="0.2">
      <c r="B89" t="s">
        <v>251</v>
      </c>
      <c r="C89" t="s">
        <v>32</v>
      </c>
      <c r="D89" s="4" t="str">
        <f t="shared" si="5"/>
        <v>Corporate</v>
      </c>
      <c r="E89" s="4">
        <f t="shared" si="6"/>
        <v>1.4285714285714286</v>
      </c>
      <c r="F89" s="4">
        <f t="shared" si="7"/>
        <v>140</v>
      </c>
      <c r="G89" s="3">
        <v>10</v>
      </c>
    </row>
    <row r="90" spans="2:7" x14ac:dyDescent="0.2">
      <c r="B90" t="s">
        <v>254</v>
      </c>
      <c r="C90" t="s">
        <v>32</v>
      </c>
      <c r="D90" s="4" t="str">
        <f t="shared" si="5"/>
        <v>Corporate</v>
      </c>
      <c r="E90" s="4">
        <f t="shared" si="6"/>
        <v>1.4285714285714286</v>
      </c>
      <c r="F90" s="4">
        <f t="shared" si="7"/>
        <v>140</v>
      </c>
      <c r="G90" s="3">
        <v>10</v>
      </c>
    </row>
    <row r="91" spans="2:7" x14ac:dyDescent="0.2">
      <c r="B91" t="s">
        <v>257</v>
      </c>
      <c r="C91" t="s">
        <v>32</v>
      </c>
      <c r="D91" s="4" t="str">
        <f t="shared" si="5"/>
        <v>Corporate</v>
      </c>
      <c r="E91" s="4">
        <f t="shared" si="6"/>
        <v>1.4285714285714286</v>
      </c>
      <c r="F91" s="4">
        <f t="shared" si="7"/>
        <v>140</v>
      </c>
      <c r="G91" s="3">
        <v>10</v>
      </c>
    </row>
    <row r="92" spans="2:7" x14ac:dyDescent="0.2">
      <c r="B92" t="s">
        <v>261</v>
      </c>
      <c r="C92" t="s">
        <v>32</v>
      </c>
      <c r="D92" s="4" t="str">
        <f t="shared" si="5"/>
        <v>Corporate</v>
      </c>
      <c r="E92" s="4">
        <f t="shared" si="6"/>
        <v>1.4285714285714286</v>
      </c>
      <c r="F92" s="4">
        <f t="shared" si="7"/>
        <v>140</v>
      </c>
      <c r="G92" s="3">
        <v>10</v>
      </c>
    </row>
    <row r="93" spans="2:7" x14ac:dyDescent="0.2">
      <c r="B93" t="s">
        <v>264</v>
      </c>
      <c r="C93" t="s">
        <v>32</v>
      </c>
      <c r="D93" s="4" t="str">
        <f t="shared" si="5"/>
        <v>Corporate</v>
      </c>
      <c r="E93" s="4">
        <f t="shared" si="6"/>
        <v>1.4285714285714286</v>
      </c>
      <c r="F93" s="4">
        <f t="shared" si="7"/>
        <v>140</v>
      </c>
      <c r="G93" s="3">
        <v>10</v>
      </c>
    </row>
    <row r="94" spans="2:7" x14ac:dyDescent="0.2">
      <c r="B94" t="s">
        <v>96</v>
      </c>
      <c r="C94" t="s">
        <v>32</v>
      </c>
      <c r="D94" s="4" t="str">
        <f t="shared" si="5"/>
        <v>Corporate</v>
      </c>
      <c r="E94" s="4">
        <f t="shared" si="6"/>
        <v>1.4285714285714286</v>
      </c>
      <c r="F94" s="4">
        <f t="shared" si="7"/>
        <v>140</v>
      </c>
      <c r="G94" s="3">
        <v>10</v>
      </c>
    </row>
    <row r="95" spans="2:7" x14ac:dyDescent="0.2">
      <c r="B95" t="s">
        <v>267</v>
      </c>
      <c r="C95" t="s">
        <v>32</v>
      </c>
      <c r="D95" s="4" t="str">
        <f t="shared" si="5"/>
        <v>Corporate</v>
      </c>
      <c r="E95" s="4">
        <f t="shared" si="6"/>
        <v>1.4285714285714286</v>
      </c>
      <c r="F95" s="4">
        <f t="shared" si="7"/>
        <v>140</v>
      </c>
      <c r="G95" s="3">
        <v>10</v>
      </c>
    </row>
    <row r="96" spans="2:7" x14ac:dyDescent="0.2">
      <c r="B96" t="s">
        <v>270</v>
      </c>
      <c r="C96" t="s">
        <v>32</v>
      </c>
      <c r="D96" s="4" t="str">
        <f t="shared" si="5"/>
        <v>Corporate</v>
      </c>
      <c r="E96" s="4">
        <f t="shared" si="6"/>
        <v>1.4285714285714286</v>
      </c>
      <c r="F96" s="4">
        <f t="shared" si="7"/>
        <v>140</v>
      </c>
      <c r="G96" s="3">
        <v>10</v>
      </c>
    </row>
    <row r="97" spans="2:7" x14ac:dyDescent="0.2">
      <c r="B97" t="s">
        <v>273</v>
      </c>
      <c r="C97" t="s">
        <v>32</v>
      </c>
      <c r="D97" s="4" t="str">
        <f t="shared" si="5"/>
        <v>Corporate</v>
      </c>
      <c r="E97" s="4">
        <f t="shared" si="6"/>
        <v>1.4285714285714286</v>
      </c>
      <c r="F97" s="4">
        <f t="shared" si="7"/>
        <v>140</v>
      </c>
      <c r="G97" s="3">
        <v>10</v>
      </c>
    </row>
    <row r="98" spans="2:7" x14ac:dyDescent="0.2">
      <c r="B98" t="s">
        <v>31</v>
      </c>
      <c r="C98" t="s">
        <v>32</v>
      </c>
      <c r="D98" s="4" t="str">
        <f t="shared" si="5"/>
        <v>Operations</v>
      </c>
      <c r="E98" s="4">
        <f t="shared" si="6"/>
        <v>10</v>
      </c>
      <c r="F98" s="4">
        <f t="shared" si="7"/>
        <v>30</v>
      </c>
      <c r="G98" s="3">
        <v>10</v>
      </c>
    </row>
    <row r="99" spans="2:7" x14ac:dyDescent="0.2">
      <c r="B99" t="s">
        <v>139</v>
      </c>
      <c r="C99" t="s">
        <v>32</v>
      </c>
      <c r="D99" s="4" t="str">
        <f t="shared" ref="D99:D130" si="8">VLOOKUP($B99,$R:$S,2,FALSE)</f>
        <v>Operations</v>
      </c>
      <c r="E99" s="4">
        <f t="shared" si="6"/>
        <v>10</v>
      </c>
      <c r="F99" s="4">
        <f t="shared" si="7"/>
        <v>30</v>
      </c>
      <c r="G99" s="3">
        <v>10</v>
      </c>
    </row>
    <row r="100" spans="2:7" x14ac:dyDescent="0.2">
      <c r="B100" t="s">
        <v>48</v>
      </c>
      <c r="C100" t="s">
        <v>32</v>
      </c>
      <c r="D100" s="4" t="str">
        <f t="shared" si="8"/>
        <v>Operations</v>
      </c>
      <c r="E100" s="4">
        <f t="shared" si="6"/>
        <v>10</v>
      </c>
      <c r="F100" s="4">
        <f t="shared" si="7"/>
        <v>30</v>
      </c>
      <c r="G100" s="3">
        <v>10</v>
      </c>
    </row>
    <row r="101" spans="2:7" x14ac:dyDescent="0.2">
      <c r="B101" t="s">
        <v>165</v>
      </c>
      <c r="C101" t="s">
        <v>32</v>
      </c>
      <c r="D101" s="4" t="str">
        <f t="shared" si="8"/>
        <v>Technology</v>
      </c>
      <c r="E101" s="4">
        <f t="shared" si="6"/>
        <v>1.6666666666666667</v>
      </c>
      <c r="F101" s="4">
        <f t="shared" si="7"/>
        <v>60</v>
      </c>
      <c r="G101" s="3">
        <v>10</v>
      </c>
    </row>
    <row r="102" spans="2:7" x14ac:dyDescent="0.2">
      <c r="B102" t="s">
        <v>38</v>
      </c>
      <c r="C102" t="s">
        <v>32</v>
      </c>
      <c r="D102" s="4" t="str">
        <f t="shared" si="8"/>
        <v>Technology</v>
      </c>
      <c r="E102" s="4">
        <f t="shared" si="6"/>
        <v>3.3333333333333335</v>
      </c>
      <c r="F102" s="4">
        <f t="shared" si="7"/>
        <v>60</v>
      </c>
      <c r="G102" s="3">
        <v>20</v>
      </c>
    </row>
    <row r="103" spans="2:7" x14ac:dyDescent="0.2">
      <c r="B103" t="s">
        <v>1044</v>
      </c>
      <c r="C103" t="s">
        <v>32</v>
      </c>
      <c r="D103" s="4" t="str">
        <f t="shared" si="8"/>
        <v>Technology</v>
      </c>
      <c r="E103" s="4">
        <f t="shared" si="6"/>
        <v>1.6666666666666667</v>
      </c>
      <c r="F103" s="4">
        <f t="shared" si="7"/>
        <v>60</v>
      </c>
      <c r="G103" s="3">
        <v>10</v>
      </c>
    </row>
    <row r="104" spans="2:7" x14ac:dyDescent="0.2">
      <c r="B104" t="s">
        <v>148</v>
      </c>
      <c r="C104" t="s">
        <v>32</v>
      </c>
      <c r="D104" s="4" t="str">
        <f t="shared" si="8"/>
        <v>Technology</v>
      </c>
      <c r="E104" s="4">
        <f t="shared" si="6"/>
        <v>1.6666666666666667</v>
      </c>
      <c r="F104" s="4">
        <f t="shared" si="7"/>
        <v>60</v>
      </c>
      <c r="G104" s="3">
        <v>10</v>
      </c>
    </row>
    <row r="105" spans="2:7" x14ac:dyDescent="0.2">
      <c r="B105" t="s">
        <v>62</v>
      </c>
      <c r="C105" t="s">
        <v>32</v>
      </c>
      <c r="D105" s="4" t="str">
        <f t="shared" si="8"/>
        <v>Technology</v>
      </c>
      <c r="E105" s="4">
        <f t="shared" si="6"/>
        <v>1.6666666666666667</v>
      </c>
      <c r="F105" s="4">
        <f t="shared" si="7"/>
        <v>60</v>
      </c>
      <c r="G105" s="3">
        <v>10</v>
      </c>
    </row>
    <row r="106" spans="2:7" x14ac:dyDescent="0.2">
      <c r="B106" t="s">
        <v>22</v>
      </c>
      <c r="C106" t="s">
        <v>23</v>
      </c>
      <c r="D106" s="4" t="str">
        <f t="shared" si="8"/>
        <v>CISO</v>
      </c>
      <c r="E106" s="4">
        <f t="shared" si="6"/>
        <v>5</v>
      </c>
      <c r="F106" s="4">
        <f t="shared" si="7"/>
        <v>20</v>
      </c>
      <c r="G106" s="3">
        <v>20</v>
      </c>
    </row>
    <row r="107" spans="2:7" x14ac:dyDescent="0.2">
      <c r="B107" t="s">
        <v>215</v>
      </c>
      <c r="C107" t="s">
        <v>23</v>
      </c>
      <c r="D107" s="4" t="str">
        <f t="shared" si="8"/>
        <v>Commercial</v>
      </c>
      <c r="E107" s="4">
        <f t="shared" si="6"/>
        <v>2.7272727272727271</v>
      </c>
      <c r="F107" s="4">
        <f t="shared" si="7"/>
        <v>110</v>
      </c>
      <c r="G107" s="3">
        <v>10</v>
      </c>
    </row>
    <row r="108" spans="2:7" x14ac:dyDescent="0.2">
      <c r="B108" t="s">
        <v>1040</v>
      </c>
      <c r="C108" t="s">
        <v>23</v>
      </c>
      <c r="D108" s="4" t="str">
        <f t="shared" si="8"/>
        <v>Commercial</v>
      </c>
      <c r="E108" s="4">
        <f t="shared" si="6"/>
        <v>2.7272727272727271</v>
      </c>
      <c r="F108" s="4">
        <f t="shared" si="7"/>
        <v>110</v>
      </c>
      <c r="G108" s="3">
        <v>10</v>
      </c>
    </row>
    <row r="109" spans="2:7" x14ac:dyDescent="0.2">
      <c r="B109" t="s">
        <v>219</v>
      </c>
      <c r="C109" t="s">
        <v>23</v>
      </c>
      <c r="D109" s="4" t="str">
        <f t="shared" si="8"/>
        <v>Commercial</v>
      </c>
      <c r="E109" s="4">
        <f t="shared" si="6"/>
        <v>2.7272727272727271</v>
      </c>
      <c r="F109" s="4">
        <f t="shared" si="7"/>
        <v>110</v>
      </c>
      <c r="G109" s="3">
        <v>10</v>
      </c>
    </row>
    <row r="110" spans="2:7" x14ac:dyDescent="0.2">
      <c r="B110" t="s">
        <v>1041</v>
      </c>
      <c r="C110" t="s">
        <v>23</v>
      </c>
      <c r="D110" s="4" t="str">
        <f t="shared" si="8"/>
        <v>Commercial</v>
      </c>
      <c r="E110" s="4">
        <f t="shared" si="6"/>
        <v>2.7272727272727271</v>
      </c>
      <c r="F110" s="4">
        <f t="shared" si="7"/>
        <v>110</v>
      </c>
      <c r="G110" s="3">
        <v>10</v>
      </c>
    </row>
    <row r="111" spans="2:7" x14ac:dyDescent="0.2">
      <c r="B111" t="s">
        <v>26</v>
      </c>
      <c r="C111" t="s">
        <v>23</v>
      </c>
      <c r="D111" s="4" t="str">
        <f t="shared" si="8"/>
        <v>Commercial</v>
      </c>
      <c r="E111" s="4">
        <f t="shared" si="6"/>
        <v>5.4545454545454541</v>
      </c>
      <c r="F111" s="4">
        <f t="shared" si="7"/>
        <v>110</v>
      </c>
      <c r="G111" s="3">
        <v>20</v>
      </c>
    </row>
    <row r="112" spans="2:7" x14ac:dyDescent="0.2">
      <c r="B112" t="s">
        <v>41</v>
      </c>
      <c r="C112" t="s">
        <v>23</v>
      </c>
      <c r="D112" s="4" t="str">
        <f t="shared" si="8"/>
        <v>Commercial</v>
      </c>
      <c r="E112" s="4">
        <f t="shared" si="6"/>
        <v>2.7272727272727271</v>
      </c>
      <c r="F112" s="4">
        <f t="shared" si="7"/>
        <v>110</v>
      </c>
      <c r="G112" s="3">
        <v>10</v>
      </c>
    </row>
    <row r="113" spans="2:7" x14ac:dyDescent="0.2">
      <c r="B113" t="s">
        <v>78</v>
      </c>
      <c r="C113" t="s">
        <v>23</v>
      </c>
      <c r="D113" s="4" t="str">
        <f t="shared" si="8"/>
        <v>Commercial</v>
      </c>
      <c r="E113" s="4">
        <f t="shared" si="6"/>
        <v>2.7272727272727271</v>
      </c>
      <c r="F113" s="4">
        <f t="shared" si="7"/>
        <v>110</v>
      </c>
      <c r="G113" s="3">
        <v>10</v>
      </c>
    </row>
    <row r="114" spans="2:7" x14ac:dyDescent="0.2">
      <c r="B114" t="s">
        <v>35</v>
      </c>
      <c r="C114" t="s">
        <v>23</v>
      </c>
      <c r="D114" s="4" t="str">
        <f t="shared" si="8"/>
        <v>Commercial</v>
      </c>
      <c r="E114" s="4">
        <f t="shared" si="6"/>
        <v>2.7272727272727271</v>
      </c>
      <c r="F114" s="4">
        <f t="shared" si="7"/>
        <v>110</v>
      </c>
      <c r="G114" s="3">
        <v>10</v>
      </c>
    </row>
    <row r="115" spans="2:7" x14ac:dyDescent="0.2">
      <c r="B115" t="s">
        <v>58</v>
      </c>
      <c r="C115" t="s">
        <v>23</v>
      </c>
      <c r="D115" s="4" t="str">
        <f t="shared" si="8"/>
        <v>Commercial</v>
      </c>
      <c r="E115" s="4">
        <f t="shared" si="6"/>
        <v>5.4545454545454541</v>
      </c>
      <c r="F115" s="4">
        <f t="shared" si="7"/>
        <v>110</v>
      </c>
      <c r="G115" s="3">
        <v>20</v>
      </c>
    </row>
    <row r="116" spans="2:7" x14ac:dyDescent="0.2">
      <c r="B116" t="s">
        <v>242</v>
      </c>
      <c r="C116" t="s">
        <v>23</v>
      </c>
      <c r="D116" s="4" t="str">
        <f t="shared" si="8"/>
        <v>Corporate</v>
      </c>
      <c r="E116" s="4">
        <f t="shared" si="6"/>
        <v>1.4285714285714286</v>
      </c>
      <c r="F116" s="4">
        <f t="shared" si="7"/>
        <v>140</v>
      </c>
      <c r="G116" s="3">
        <v>10</v>
      </c>
    </row>
    <row r="117" spans="2:7" x14ac:dyDescent="0.2">
      <c r="B117" t="s">
        <v>193</v>
      </c>
      <c r="C117" t="s">
        <v>23</v>
      </c>
      <c r="D117" s="4" t="str">
        <f t="shared" si="8"/>
        <v>Corporate</v>
      </c>
      <c r="E117" s="4">
        <f t="shared" si="6"/>
        <v>1.4285714285714286</v>
      </c>
      <c r="F117" s="4">
        <f t="shared" si="7"/>
        <v>140</v>
      </c>
      <c r="G117" s="3">
        <v>10</v>
      </c>
    </row>
    <row r="118" spans="2:7" x14ac:dyDescent="0.2">
      <c r="B118" t="s">
        <v>90</v>
      </c>
      <c r="C118" t="s">
        <v>23</v>
      </c>
      <c r="D118" s="4" t="str">
        <f t="shared" si="8"/>
        <v>Corporate</v>
      </c>
      <c r="E118" s="4">
        <f t="shared" si="6"/>
        <v>2.8571428571428572</v>
      </c>
      <c r="F118" s="4">
        <f t="shared" si="7"/>
        <v>140</v>
      </c>
      <c r="G118" s="3">
        <v>20</v>
      </c>
    </row>
    <row r="119" spans="2:7" x14ac:dyDescent="0.2">
      <c r="B119" t="s">
        <v>248</v>
      </c>
      <c r="C119" t="s">
        <v>23</v>
      </c>
      <c r="D119" s="4" t="str">
        <f t="shared" si="8"/>
        <v>Corporate</v>
      </c>
      <c r="E119" s="4">
        <f t="shared" si="6"/>
        <v>1.4285714285714286</v>
      </c>
      <c r="F119" s="4">
        <f t="shared" si="7"/>
        <v>140</v>
      </c>
      <c r="G119" s="3">
        <v>10</v>
      </c>
    </row>
    <row r="120" spans="2:7" x14ac:dyDescent="0.2">
      <c r="B120" t="s">
        <v>251</v>
      </c>
      <c r="C120" t="s">
        <v>23</v>
      </c>
      <c r="D120" s="4" t="str">
        <f t="shared" si="8"/>
        <v>Corporate</v>
      </c>
      <c r="E120" s="4">
        <f t="shared" si="6"/>
        <v>1.4285714285714286</v>
      </c>
      <c r="F120" s="4">
        <f t="shared" si="7"/>
        <v>140</v>
      </c>
      <c r="G120" s="3">
        <v>10</v>
      </c>
    </row>
    <row r="121" spans="2:7" x14ac:dyDescent="0.2">
      <c r="B121" t="s">
        <v>254</v>
      </c>
      <c r="C121" t="s">
        <v>23</v>
      </c>
      <c r="D121" s="4" t="str">
        <f t="shared" si="8"/>
        <v>Corporate</v>
      </c>
      <c r="E121" s="4">
        <f t="shared" si="6"/>
        <v>1.4285714285714286</v>
      </c>
      <c r="F121" s="4">
        <f t="shared" si="7"/>
        <v>140</v>
      </c>
      <c r="G121" s="3">
        <v>10</v>
      </c>
    </row>
    <row r="122" spans="2:7" x14ac:dyDescent="0.2">
      <c r="B122" t="s">
        <v>257</v>
      </c>
      <c r="C122" t="s">
        <v>23</v>
      </c>
      <c r="D122" s="4" t="str">
        <f t="shared" si="8"/>
        <v>Corporate</v>
      </c>
      <c r="E122" s="4">
        <f t="shared" si="6"/>
        <v>1.4285714285714286</v>
      </c>
      <c r="F122" s="4">
        <f t="shared" si="7"/>
        <v>140</v>
      </c>
      <c r="G122" s="3">
        <v>10</v>
      </c>
    </row>
    <row r="123" spans="2:7" x14ac:dyDescent="0.2">
      <c r="B123" t="s">
        <v>261</v>
      </c>
      <c r="C123" t="s">
        <v>23</v>
      </c>
      <c r="D123" s="4" t="str">
        <f t="shared" si="8"/>
        <v>Corporate</v>
      </c>
      <c r="E123" s="4">
        <f t="shared" si="6"/>
        <v>1.4285714285714286</v>
      </c>
      <c r="F123" s="4">
        <f t="shared" si="7"/>
        <v>140</v>
      </c>
      <c r="G123" s="3">
        <v>10</v>
      </c>
    </row>
    <row r="124" spans="2:7" x14ac:dyDescent="0.2">
      <c r="B124" t="s">
        <v>264</v>
      </c>
      <c r="C124" t="s">
        <v>23</v>
      </c>
      <c r="D124" s="4" t="str">
        <f t="shared" si="8"/>
        <v>Corporate</v>
      </c>
      <c r="E124" s="4">
        <f t="shared" si="6"/>
        <v>1.4285714285714286</v>
      </c>
      <c r="F124" s="4">
        <f t="shared" si="7"/>
        <v>140</v>
      </c>
      <c r="G124" s="3">
        <v>10</v>
      </c>
    </row>
    <row r="125" spans="2:7" x14ac:dyDescent="0.2">
      <c r="B125" t="s">
        <v>96</v>
      </c>
      <c r="C125" t="s">
        <v>23</v>
      </c>
      <c r="D125" s="4" t="str">
        <f t="shared" si="8"/>
        <v>Corporate</v>
      </c>
      <c r="E125" s="4">
        <f t="shared" si="6"/>
        <v>1.4285714285714286</v>
      </c>
      <c r="F125" s="4">
        <f t="shared" si="7"/>
        <v>140</v>
      </c>
      <c r="G125" s="3">
        <v>10</v>
      </c>
    </row>
    <row r="126" spans="2:7" x14ac:dyDescent="0.2">
      <c r="B126" t="s">
        <v>267</v>
      </c>
      <c r="C126" t="s">
        <v>23</v>
      </c>
      <c r="D126" s="4" t="str">
        <f t="shared" si="8"/>
        <v>Corporate</v>
      </c>
      <c r="E126" s="4">
        <f t="shared" si="6"/>
        <v>1.4285714285714286</v>
      </c>
      <c r="F126" s="4">
        <f t="shared" si="7"/>
        <v>140</v>
      </c>
      <c r="G126" s="3">
        <v>10</v>
      </c>
    </row>
    <row r="127" spans="2:7" x14ac:dyDescent="0.2">
      <c r="B127" t="s">
        <v>270</v>
      </c>
      <c r="C127" t="s">
        <v>23</v>
      </c>
      <c r="D127" s="4" t="str">
        <f t="shared" si="8"/>
        <v>Corporate</v>
      </c>
      <c r="E127" s="4">
        <f t="shared" si="6"/>
        <v>1.4285714285714286</v>
      </c>
      <c r="F127" s="4">
        <f t="shared" si="7"/>
        <v>140</v>
      </c>
      <c r="G127" s="3">
        <v>10</v>
      </c>
    </row>
    <row r="128" spans="2:7" x14ac:dyDescent="0.2">
      <c r="B128" t="s">
        <v>273</v>
      </c>
      <c r="C128" t="s">
        <v>23</v>
      </c>
      <c r="D128" s="4" t="str">
        <f t="shared" si="8"/>
        <v>Corporate</v>
      </c>
      <c r="E128" s="4">
        <f t="shared" si="6"/>
        <v>1.4285714285714286</v>
      </c>
      <c r="F128" s="4">
        <f t="shared" si="7"/>
        <v>140</v>
      </c>
      <c r="G128" s="3">
        <v>10</v>
      </c>
    </row>
    <row r="129" spans="2:7" x14ac:dyDescent="0.2">
      <c r="B129" t="s">
        <v>31</v>
      </c>
      <c r="C129" t="s">
        <v>23</v>
      </c>
      <c r="D129" s="4" t="str">
        <f t="shared" si="8"/>
        <v>Operations</v>
      </c>
      <c r="E129" s="4">
        <f t="shared" si="6"/>
        <v>8</v>
      </c>
      <c r="F129" s="4">
        <f t="shared" si="7"/>
        <v>50</v>
      </c>
      <c r="G129" s="3">
        <v>20</v>
      </c>
    </row>
    <row r="130" spans="2:7" x14ac:dyDescent="0.2">
      <c r="B130" t="s">
        <v>139</v>
      </c>
      <c r="C130" t="s">
        <v>23</v>
      </c>
      <c r="D130" s="4" t="str">
        <f t="shared" si="8"/>
        <v>Operations</v>
      </c>
      <c r="E130" s="4">
        <f t="shared" si="6"/>
        <v>4</v>
      </c>
      <c r="F130" s="4">
        <f t="shared" si="7"/>
        <v>50</v>
      </c>
      <c r="G130" s="3">
        <v>10</v>
      </c>
    </row>
    <row r="131" spans="2:7" x14ac:dyDescent="0.2">
      <c r="B131" t="s">
        <v>48</v>
      </c>
      <c r="C131" t="s">
        <v>23</v>
      </c>
      <c r="D131" s="4" t="str">
        <f t="shared" ref="D131:D162" si="9">VLOOKUP($B131,$R:$S,2,FALSE)</f>
        <v>Operations</v>
      </c>
      <c r="E131" s="4">
        <f t="shared" ref="E131:E194" si="10">G131*SUMIFS($K:$K,$I:$I,C131,$J:$J,D131)/F131</f>
        <v>8</v>
      </c>
      <c r="F131" s="4">
        <f t="shared" ref="F131:F194" si="11">SUMIFS($G$2:$G$1000,$D$2:$D$1000,D131,$C$2:$C$1000,C131)</f>
        <v>50</v>
      </c>
      <c r="G131" s="3">
        <v>20</v>
      </c>
    </row>
    <row r="132" spans="2:7" x14ac:dyDescent="0.2">
      <c r="B132" t="s">
        <v>165</v>
      </c>
      <c r="C132" t="s">
        <v>23</v>
      </c>
      <c r="D132" s="4" t="str">
        <f t="shared" si="9"/>
        <v>Technology</v>
      </c>
      <c r="E132" s="4">
        <f t="shared" si="10"/>
        <v>3.3333333333333335</v>
      </c>
      <c r="F132" s="4">
        <f t="shared" si="11"/>
        <v>60</v>
      </c>
      <c r="G132" s="3">
        <v>10</v>
      </c>
    </row>
    <row r="133" spans="2:7" x14ac:dyDescent="0.2">
      <c r="B133" t="s">
        <v>38</v>
      </c>
      <c r="C133" t="s">
        <v>23</v>
      </c>
      <c r="D133" s="4" t="str">
        <f t="shared" si="9"/>
        <v>Technology</v>
      </c>
      <c r="E133" s="4">
        <f t="shared" si="10"/>
        <v>6.666666666666667</v>
      </c>
      <c r="F133" s="4">
        <f t="shared" si="11"/>
        <v>60</v>
      </c>
      <c r="G133" s="3">
        <v>20</v>
      </c>
    </row>
    <row r="134" spans="2:7" x14ac:dyDescent="0.2">
      <c r="B134" t="s">
        <v>1044</v>
      </c>
      <c r="C134" t="s">
        <v>23</v>
      </c>
      <c r="D134" s="4" t="str">
        <f t="shared" si="9"/>
        <v>Technology</v>
      </c>
      <c r="E134" s="4">
        <f t="shared" si="10"/>
        <v>3.3333333333333335</v>
      </c>
      <c r="F134" s="4">
        <f t="shared" si="11"/>
        <v>60</v>
      </c>
      <c r="G134" s="3">
        <v>10</v>
      </c>
    </row>
    <row r="135" spans="2:7" x14ac:dyDescent="0.2">
      <c r="B135" t="s">
        <v>148</v>
      </c>
      <c r="C135" t="s">
        <v>23</v>
      </c>
      <c r="D135" s="4" t="str">
        <f t="shared" si="9"/>
        <v>Technology</v>
      </c>
      <c r="E135" s="4">
        <f t="shared" si="10"/>
        <v>3.3333333333333335</v>
      </c>
      <c r="F135" s="4">
        <f t="shared" si="11"/>
        <v>60</v>
      </c>
      <c r="G135" s="3">
        <v>10</v>
      </c>
    </row>
    <row r="136" spans="2:7" x14ac:dyDescent="0.2">
      <c r="B136" t="s">
        <v>62</v>
      </c>
      <c r="C136" t="s">
        <v>23</v>
      </c>
      <c r="D136" s="4" t="str">
        <f t="shared" si="9"/>
        <v>Technology</v>
      </c>
      <c r="E136" s="4">
        <f t="shared" si="10"/>
        <v>3.3333333333333335</v>
      </c>
      <c r="F136" s="4">
        <f t="shared" si="11"/>
        <v>60</v>
      </c>
      <c r="G136" s="3">
        <v>10</v>
      </c>
    </row>
    <row r="137" spans="2:7" x14ac:dyDescent="0.2">
      <c r="B137" t="s">
        <v>22</v>
      </c>
      <c r="C137" t="s">
        <v>36</v>
      </c>
      <c r="D137" s="4" t="str">
        <f t="shared" si="9"/>
        <v>CISO</v>
      </c>
      <c r="E137" s="4">
        <f t="shared" si="10"/>
        <v>5</v>
      </c>
      <c r="F137" s="4">
        <f t="shared" si="11"/>
        <v>20</v>
      </c>
      <c r="G137" s="3">
        <v>20</v>
      </c>
    </row>
    <row r="138" spans="2:7" x14ac:dyDescent="0.2">
      <c r="B138" t="s">
        <v>215</v>
      </c>
      <c r="C138" t="s">
        <v>36</v>
      </c>
      <c r="D138" s="4" t="str">
        <f t="shared" si="9"/>
        <v>Commercial</v>
      </c>
      <c r="E138" s="4">
        <f t="shared" si="10"/>
        <v>2.7272727272727271</v>
      </c>
      <c r="F138" s="4">
        <f t="shared" si="11"/>
        <v>110</v>
      </c>
      <c r="G138" s="3">
        <v>10</v>
      </c>
    </row>
    <row r="139" spans="2:7" x14ac:dyDescent="0.2">
      <c r="B139" t="s">
        <v>1040</v>
      </c>
      <c r="C139" t="s">
        <v>36</v>
      </c>
      <c r="D139" s="4" t="str">
        <f t="shared" si="9"/>
        <v>Commercial</v>
      </c>
      <c r="E139" s="4">
        <f t="shared" si="10"/>
        <v>2.7272727272727271</v>
      </c>
      <c r="F139" s="4">
        <f t="shared" si="11"/>
        <v>110</v>
      </c>
      <c r="G139" s="3">
        <v>10</v>
      </c>
    </row>
    <row r="140" spans="2:7" x14ac:dyDescent="0.2">
      <c r="B140" t="s">
        <v>219</v>
      </c>
      <c r="C140" t="s">
        <v>36</v>
      </c>
      <c r="D140" s="4" t="str">
        <f t="shared" si="9"/>
        <v>Commercial</v>
      </c>
      <c r="E140" s="4">
        <f t="shared" si="10"/>
        <v>2.7272727272727271</v>
      </c>
      <c r="F140" s="4">
        <f t="shared" si="11"/>
        <v>110</v>
      </c>
      <c r="G140" s="3">
        <v>10</v>
      </c>
    </row>
    <row r="141" spans="2:7" x14ac:dyDescent="0.2">
      <c r="B141" t="s">
        <v>1041</v>
      </c>
      <c r="C141" t="s">
        <v>36</v>
      </c>
      <c r="D141" s="4" t="str">
        <f t="shared" si="9"/>
        <v>Commercial</v>
      </c>
      <c r="E141" s="4">
        <f t="shared" si="10"/>
        <v>2.7272727272727271</v>
      </c>
      <c r="F141" s="4">
        <f t="shared" si="11"/>
        <v>110</v>
      </c>
      <c r="G141" s="3">
        <v>10</v>
      </c>
    </row>
    <row r="142" spans="2:7" x14ac:dyDescent="0.2">
      <c r="B142" t="s">
        <v>26</v>
      </c>
      <c r="C142" t="s">
        <v>36</v>
      </c>
      <c r="D142" s="4" t="str">
        <f t="shared" si="9"/>
        <v>Commercial</v>
      </c>
      <c r="E142" s="4">
        <f t="shared" si="10"/>
        <v>2.7272727272727271</v>
      </c>
      <c r="F142" s="4">
        <f t="shared" si="11"/>
        <v>110</v>
      </c>
      <c r="G142" s="3">
        <v>10</v>
      </c>
    </row>
    <row r="143" spans="2:7" x14ac:dyDescent="0.2">
      <c r="B143" t="s">
        <v>41</v>
      </c>
      <c r="C143" t="s">
        <v>36</v>
      </c>
      <c r="D143" s="4" t="str">
        <f t="shared" si="9"/>
        <v>Commercial</v>
      </c>
      <c r="E143" s="4">
        <f t="shared" si="10"/>
        <v>2.7272727272727271</v>
      </c>
      <c r="F143" s="4">
        <f t="shared" si="11"/>
        <v>110</v>
      </c>
      <c r="G143" s="3">
        <v>10</v>
      </c>
    </row>
    <row r="144" spans="2:7" x14ac:dyDescent="0.2">
      <c r="B144" t="s">
        <v>78</v>
      </c>
      <c r="C144" t="s">
        <v>36</v>
      </c>
      <c r="D144" s="4" t="str">
        <f t="shared" si="9"/>
        <v>Commercial</v>
      </c>
      <c r="E144" s="4">
        <f t="shared" si="10"/>
        <v>2.7272727272727271</v>
      </c>
      <c r="F144" s="4">
        <f t="shared" si="11"/>
        <v>110</v>
      </c>
      <c r="G144" s="3">
        <v>10</v>
      </c>
    </row>
    <row r="145" spans="2:7" x14ac:dyDescent="0.2">
      <c r="B145" t="s">
        <v>35</v>
      </c>
      <c r="C145" t="s">
        <v>36</v>
      </c>
      <c r="D145" s="4" t="str">
        <f t="shared" si="9"/>
        <v>Commercial</v>
      </c>
      <c r="E145" s="4">
        <f t="shared" si="10"/>
        <v>5.4545454545454541</v>
      </c>
      <c r="F145" s="4">
        <f t="shared" si="11"/>
        <v>110</v>
      </c>
      <c r="G145" s="3">
        <v>20</v>
      </c>
    </row>
    <row r="146" spans="2:7" x14ac:dyDescent="0.2">
      <c r="B146" t="s">
        <v>58</v>
      </c>
      <c r="C146" t="s">
        <v>36</v>
      </c>
      <c r="D146" s="4" t="str">
        <f t="shared" si="9"/>
        <v>Commercial</v>
      </c>
      <c r="E146" s="4">
        <f t="shared" si="10"/>
        <v>5.4545454545454541</v>
      </c>
      <c r="F146" s="4">
        <f t="shared" si="11"/>
        <v>110</v>
      </c>
      <c r="G146" s="3">
        <v>20</v>
      </c>
    </row>
    <row r="147" spans="2:7" x14ac:dyDescent="0.2">
      <c r="B147" t="s">
        <v>242</v>
      </c>
      <c r="C147" t="s">
        <v>36</v>
      </c>
      <c r="D147" s="4" t="str">
        <f t="shared" si="9"/>
        <v>Corporate</v>
      </c>
      <c r="E147" s="4">
        <f t="shared" si="10"/>
        <v>1.7857142857142858</v>
      </c>
      <c r="F147" s="4">
        <f t="shared" si="11"/>
        <v>140</v>
      </c>
      <c r="G147" s="3">
        <v>10</v>
      </c>
    </row>
    <row r="148" spans="2:7" x14ac:dyDescent="0.2">
      <c r="B148" t="s">
        <v>193</v>
      </c>
      <c r="C148" t="s">
        <v>36</v>
      </c>
      <c r="D148" s="4" t="str">
        <f t="shared" si="9"/>
        <v>Corporate</v>
      </c>
      <c r="E148" s="4">
        <f t="shared" si="10"/>
        <v>1.7857142857142858</v>
      </c>
      <c r="F148" s="4">
        <f t="shared" si="11"/>
        <v>140</v>
      </c>
      <c r="G148" s="3">
        <v>10</v>
      </c>
    </row>
    <row r="149" spans="2:7" x14ac:dyDescent="0.2">
      <c r="B149" t="s">
        <v>90</v>
      </c>
      <c r="C149" t="s">
        <v>36</v>
      </c>
      <c r="D149" s="4" t="str">
        <f t="shared" si="9"/>
        <v>Corporate</v>
      </c>
      <c r="E149" s="4">
        <f t="shared" si="10"/>
        <v>3.5714285714285716</v>
      </c>
      <c r="F149" s="4">
        <f t="shared" si="11"/>
        <v>140</v>
      </c>
      <c r="G149" s="3">
        <v>20</v>
      </c>
    </row>
    <row r="150" spans="2:7" x14ac:dyDescent="0.2">
      <c r="B150" t="s">
        <v>248</v>
      </c>
      <c r="C150" t="s">
        <v>36</v>
      </c>
      <c r="D150" s="4" t="str">
        <f t="shared" si="9"/>
        <v>Corporate</v>
      </c>
      <c r="E150" s="4">
        <f t="shared" si="10"/>
        <v>1.7857142857142858</v>
      </c>
      <c r="F150" s="4">
        <f t="shared" si="11"/>
        <v>140</v>
      </c>
      <c r="G150" s="3">
        <v>10</v>
      </c>
    </row>
    <row r="151" spans="2:7" x14ac:dyDescent="0.2">
      <c r="B151" t="s">
        <v>251</v>
      </c>
      <c r="C151" t="s">
        <v>36</v>
      </c>
      <c r="D151" s="4" t="str">
        <f t="shared" si="9"/>
        <v>Corporate</v>
      </c>
      <c r="E151" s="4">
        <f t="shared" si="10"/>
        <v>1.7857142857142858</v>
      </c>
      <c r="F151" s="4">
        <f t="shared" si="11"/>
        <v>140</v>
      </c>
      <c r="G151" s="3">
        <v>10</v>
      </c>
    </row>
    <row r="152" spans="2:7" x14ac:dyDescent="0.2">
      <c r="B152" t="s">
        <v>254</v>
      </c>
      <c r="C152" t="s">
        <v>36</v>
      </c>
      <c r="D152" s="4" t="str">
        <f t="shared" si="9"/>
        <v>Corporate</v>
      </c>
      <c r="E152" s="4">
        <f t="shared" si="10"/>
        <v>1.7857142857142858</v>
      </c>
      <c r="F152" s="4">
        <f t="shared" si="11"/>
        <v>140</v>
      </c>
      <c r="G152" s="3">
        <v>10</v>
      </c>
    </row>
    <row r="153" spans="2:7" x14ac:dyDescent="0.2">
      <c r="B153" t="s">
        <v>257</v>
      </c>
      <c r="C153" t="s">
        <v>36</v>
      </c>
      <c r="D153" s="4" t="str">
        <f t="shared" si="9"/>
        <v>Corporate</v>
      </c>
      <c r="E153" s="4">
        <f t="shared" si="10"/>
        <v>1.7857142857142858</v>
      </c>
      <c r="F153" s="4">
        <f t="shared" si="11"/>
        <v>140</v>
      </c>
      <c r="G153" s="3">
        <v>10</v>
      </c>
    </row>
    <row r="154" spans="2:7" x14ac:dyDescent="0.2">
      <c r="B154" t="s">
        <v>261</v>
      </c>
      <c r="C154" t="s">
        <v>36</v>
      </c>
      <c r="D154" s="4" t="str">
        <f t="shared" si="9"/>
        <v>Corporate</v>
      </c>
      <c r="E154" s="4">
        <f t="shared" si="10"/>
        <v>1.7857142857142858</v>
      </c>
      <c r="F154" s="4">
        <f t="shared" si="11"/>
        <v>140</v>
      </c>
      <c r="G154" s="3">
        <v>10</v>
      </c>
    </row>
    <row r="155" spans="2:7" x14ac:dyDescent="0.2">
      <c r="B155" t="s">
        <v>264</v>
      </c>
      <c r="C155" t="s">
        <v>36</v>
      </c>
      <c r="D155" s="4" t="str">
        <f t="shared" si="9"/>
        <v>Corporate</v>
      </c>
      <c r="E155" s="4">
        <f t="shared" si="10"/>
        <v>1.7857142857142858</v>
      </c>
      <c r="F155" s="4">
        <f t="shared" si="11"/>
        <v>140</v>
      </c>
      <c r="G155" s="3">
        <v>10</v>
      </c>
    </row>
    <row r="156" spans="2:7" x14ac:dyDescent="0.2">
      <c r="B156" t="s">
        <v>96</v>
      </c>
      <c r="C156" t="s">
        <v>36</v>
      </c>
      <c r="D156" s="4" t="str">
        <f t="shared" si="9"/>
        <v>Corporate</v>
      </c>
      <c r="E156" s="4">
        <f t="shared" si="10"/>
        <v>1.7857142857142858</v>
      </c>
      <c r="F156" s="4">
        <f t="shared" si="11"/>
        <v>140</v>
      </c>
      <c r="G156" s="3">
        <v>10</v>
      </c>
    </row>
    <row r="157" spans="2:7" x14ac:dyDescent="0.2">
      <c r="B157" t="s">
        <v>267</v>
      </c>
      <c r="C157" t="s">
        <v>36</v>
      </c>
      <c r="D157" s="4" t="str">
        <f t="shared" si="9"/>
        <v>Corporate</v>
      </c>
      <c r="E157" s="4">
        <f t="shared" si="10"/>
        <v>1.7857142857142858</v>
      </c>
      <c r="F157" s="4">
        <f t="shared" si="11"/>
        <v>140</v>
      </c>
      <c r="G157" s="3">
        <v>10</v>
      </c>
    </row>
    <row r="158" spans="2:7" x14ac:dyDescent="0.2">
      <c r="B158" t="s">
        <v>270</v>
      </c>
      <c r="C158" t="s">
        <v>36</v>
      </c>
      <c r="D158" s="4" t="str">
        <f t="shared" si="9"/>
        <v>Corporate</v>
      </c>
      <c r="E158" s="4">
        <f t="shared" si="10"/>
        <v>1.7857142857142858</v>
      </c>
      <c r="F158" s="4">
        <f t="shared" si="11"/>
        <v>140</v>
      </c>
      <c r="G158" s="3">
        <v>10</v>
      </c>
    </row>
    <row r="159" spans="2:7" x14ac:dyDescent="0.2">
      <c r="B159" t="s">
        <v>273</v>
      </c>
      <c r="C159" t="s">
        <v>36</v>
      </c>
      <c r="D159" s="4" t="str">
        <f t="shared" si="9"/>
        <v>Corporate</v>
      </c>
      <c r="E159" s="4">
        <f t="shared" si="10"/>
        <v>1.7857142857142858</v>
      </c>
      <c r="F159" s="4">
        <f t="shared" si="11"/>
        <v>140</v>
      </c>
      <c r="G159" s="3">
        <v>10</v>
      </c>
    </row>
    <row r="160" spans="2:7" x14ac:dyDescent="0.2">
      <c r="B160" t="s">
        <v>31</v>
      </c>
      <c r="C160" t="s">
        <v>36</v>
      </c>
      <c r="D160" s="4" t="str">
        <f t="shared" si="9"/>
        <v>Operations</v>
      </c>
      <c r="E160" s="4">
        <f t="shared" si="10"/>
        <v>3.3333333333333335</v>
      </c>
      <c r="F160" s="4">
        <f t="shared" si="11"/>
        <v>30</v>
      </c>
      <c r="G160" s="3">
        <v>10</v>
      </c>
    </row>
    <row r="161" spans="2:7" x14ac:dyDescent="0.2">
      <c r="B161" t="s">
        <v>139</v>
      </c>
      <c r="C161" t="s">
        <v>36</v>
      </c>
      <c r="D161" s="4" t="str">
        <f t="shared" si="9"/>
        <v>Operations</v>
      </c>
      <c r="E161" s="4">
        <f t="shared" si="10"/>
        <v>3.3333333333333335</v>
      </c>
      <c r="F161" s="4">
        <f t="shared" si="11"/>
        <v>30</v>
      </c>
      <c r="G161" s="3">
        <v>10</v>
      </c>
    </row>
    <row r="162" spans="2:7" x14ac:dyDescent="0.2">
      <c r="B162" t="s">
        <v>48</v>
      </c>
      <c r="C162" t="s">
        <v>36</v>
      </c>
      <c r="D162" s="4" t="str">
        <f t="shared" si="9"/>
        <v>Operations</v>
      </c>
      <c r="E162" s="4">
        <f t="shared" si="10"/>
        <v>3.3333333333333335</v>
      </c>
      <c r="F162" s="4">
        <f t="shared" si="11"/>
        <v>30</v>
      </c>
      <c r="G162" s="3">
        <v>10</v>
      </c>
    </row>
    <row r="163" spans="2:7" x14ac:dyDescent="0.2">
      <c r="B163" t="s">
        <v>165</v>
      </c>
      <c r="C163" t="s">
        <v>36</v>
      </c>
      <c r="D163" s="4" t="str">
        <f t="shared" ref="D163:D198" si="12">VLOOKUP($B163,$R:$S,2,FALSE)</f>
        <v>Technology</v>
      </c>
      <c r="E163" s="4">
        <f t="shared" si="10"/>
        <v>4.166666666666667</v>
      </c>
      <c r="F163" s="4">
        <f t="shared" si="11"/>
        <v>60</v>
      </c>
      <c r="G163" s="3">
        <v>10</v>
      </c>
    </row>
    <row r="164" spans="2:7" x14ac:dyDescent="0.2">
      <c r="B164" t="s">
        <v>38</v>
      </c>
      <c r="C164" t="s">
        <v>36</v>
      </c>
      <c r="D164" s="4" t="str">
        <f t="shared" si="12"/>
        <v>Technology</v>
      </c>
      <c r="E164" s="4">
        <f t="shared" si="10"/>
        <v>8.3333333333333339</v>
      </c>
      <c r="F164" s="4">
        <f t="shared" si="11"/>
        <v>60</v>
      </c>
      <c r="G164" s="3">
        <v>20</v>
      </c>
    </row>
    <row r="165" spans="2:7" x14ac:dyDescent="0.2">
      <c r="B165" t="s">
        <v>1044</v>
      </c>
      <c r="C165" t="s">
        <v>36</v>
      </c>
      <c r="D165" s="4" t="str">
        <f t="shared" si="12"/>
        <v>Technology</v>
      </c>
      <c r="E165" s="4">
        <f t="shared" si="10"/>
        <v>4.166666666666667</v>
      </c>
      <c r="F165" s="4">
        <f t="shared" si="11"/>
        <v>60</v>
      </c>
      <c r="G165" s="3">
        <v>10</v>
      </c>
    </row>
    <row r="166" spans="2:7" x14ac:dyDescent="0.2">
      <c r="B166" t="s">
        <v>148</v>
      </c>
      <c r="C166" t="s">
        <v>36</v>
      </c>
      <c r="D166" s="4" t="str">
        <f t="shared" si="12"/>
        <v>Technology</v>
      </c>
      <c r="E166" s="4">
        <f t="shared" si="10"/>
        <v>4.166666666666667</v>
      </c>
      <c r="F166" s="4">
        <f t="shared" si="11"/>
        <v>60</v>
      </c>
      <c r="G166" s="3">
        <v>10</v>
      </c>
    </row>
    <row r="167" spans="2:7" x14ac:dyDescent="0.2">
      <c r="B167" t="s">
        <v>62</v>
      </c>
      <c r="C167" t="s">
        <v>36</v>
      </c>
      <c r="D167" s="4" t="str">
        <f t="shared" si="12"/>
        <v>Technology</v>
      </c>
      <c r="E167" s="4">
        <f t="shared" si="10"/>
        <v>4.166666666666667</v>
      </c>
      <c r="F167" s="4">
        <f t="shared" si="11"/>
        <v>60</v>
      </c>
      <c r="G167" s="3">
        <v>10</v>
      </c>
    </row>
    <row r="168" spans="2:7" x14ac:dyDescent="0.2">
      <c r="B168" t="s">
        <v>22</v>
      </c>
      <c r="C168" t="s">
        <v>42</v>
      </c>
      <c r="D168" s="4" t="str">
        <f t="shared" si="12"/>
        <v>CISO</v>
      </c>
      <c r="E168" s="4">
        <f t="shared" si="10"/>
        <v>5</v>
      </c>
      <c r="F168" s="4">
        <f t="shared" si="11"/>
        <v>20</v>
      </c>
      <c r="G168" s="3">
        <v>20</v>
      </c>
    </row>
    <row r="169" spans="2:7" x14ac:dyDescent="0.2">
      <c r="B169" t="s">
        <v>215</v>
      </c>
      <c r="C169" t="s">
        <v>42</v>
      </c>
      <c r="D169" s="4" t="str">
        <f t="shared" si="12"/>
        <v>Commercial</v>
      </c>
      <c r="E169" s="4">
        <f t="shared" si="10"/>
        <v>2.7272727272727271</v>
      </c>
      <c r="F169" s="4">
        <f t="shared" si="11"/>
        <v>110</v>
      </c>
      <c r="G169" s="3">
        <v>10</v>
      </c>
    </row>
    <row r="170" spans="2:7" x14ac:dyDescent="0.2">
      <c r="B170" t="s">
        <v>1040</v>
      </c>
      <c r="C170" t="s">
        <v>42</v>
      </c>
      <c r="D170" s="4" t="str">
        <f t="shared" si="12"/>
        <v>Commercial</v>
      </c>
      <c r="E170" s="4">
        <f t="shared" si="10"/>
        <v>2.7272727272727271</v>
      </c>
      <c r="F170" s="4">
        <f t="shared" si="11"/>
        <v>110</v>
      </c>
      <c r="G170" s="3">
        <v>10</v>
      </c>
    </row>
    <row r="171" spans="2:7" x14ac:dyDescent="0.2">
      <c r="B171" t="s">
        <v>219</v>
      </c>
      <c r="C171" t="s">
        <v>42</v>
      </c>
      <c r="D171" s="4" t="str">
        <f t="shared" si="12"/>
        <v>Commercial</v>
      </c>
      <c r="E171" s="4">
        <f t="shared" si="10"/>
        <v>2.7272727272727271</v>
      </c>
      <c r="F171" s="4">
        <f t="shared" si="11"/>
        <v>110</v>
      </c>
      <c r="G171" s="3">
        <v>10</v>
      </c>
    </row>
    <row r="172" spans="2:7" x14ac:dyDescent="0.2">
      <c r="B172" t="s">
        <v>1041</v>
      </c>
      <c r="C172" t="s">
        <v>42</v>
      </c>
      <c r="D172" s="4" t="str">
        <f t="shared" si="12"/>
        <v>Commercial</v>
      </c>
      <c r="E172" s="4">
        <f t="shared" si="10"/>
        <v>2.7272727272727271</v>
      </c>
      <c r="F172" s="4">
        <f t="shared" si="11"/>
        <v>110</v>
      </c>
      <c r="G172" s="3">
        <v>10</v>
      </c>
    </row>
    <row r="173" spans="2:7" x14ac:dyDescent="0.2">
      <c r="B173" t="s">
        <v>26</v>
      </c>
      <c r="C173" t="s">
        <v>42</v>
      </c>
      <c r="D173" s="4" t="str">
        <f t="shared" si="12"/>
        <v>Commercial</v>
      </c>
      <c r="E173" s="4">
        <f t="shared" si="10"/>
        <v>2.7272727272727271</v>
      </c>
      <c r="F173" s="4">
        <f t="shared" si="11"/>
        <v>110</v>
      </c>
      <c r="G173" s="3">
        <v>10</v>
      </c>
    </row>
    <row r="174" spans="2:7" x14ac:dyDescent="0.2">
      <c r="B174" t="s">
        <v>41</v>
      </c>
      <c r="C174" t="s">
        <v>42</v>
      </c>
      <c r="D174" s="4" t="str">
        <f t="shared" si="12"/>
        <v>Commercial</v>
      </c>
      <c r="E174" s="4">
        <f t="shared" si="10"/>
        <v>5.4545454545454541</v>
      </c>
      <c r="F174" s="4">
        <f t="shared" si="11"/>
        <v>110</v>
      </c>
      <c r="G174" s="3">
        <v>20</v>
      </c>
    </row>
    <row r="175" spans="2:7" x14ac:dyDescent="0.2">
      <c r="B175" t="s">
        <v>78</v>
      </c>
      <c r="C175" t="s">
        <v>42</v>
      </c>
      <c r="D175" s="4" t="str">
        <f t="shared" si="12"/>
        <v>Commercial</v>
      </c>
      <c r="E175" s="4">
        <f t="shared" si="10"/>
        <v>2.7272727272727271</v>
      </c>
      <c r="F175" s="4">
        <f t="shared" si="11"/>
        <v>110</v>
      </c>
      <c r="G175" s="3">
        <v>10</v>
      </c>
    </row>
    <row r="176" spans="2:7" x14ac:dyDescent="0.2">
      <c r="B176" t="s">
        <v>35</v>
      </c>
      <c r="C176" t="s">
        <v>42</v>
      </c>
      <c r="D176" s="4" t="str">
        <f t="shared" si="12"/>
        <v>Commercial</v>
      </c>
      <c r="E176" s="4">
        <f t="shared" si="10"/>
        <v>2.7272727272727271</v>
      </c>
      <c r="F176" s="4">
        <f t="shared" si="11"/>
        <v>110</v>
      </c>
      <c r="G176" s="3">
        <v>10</v>
      </c>
    </row>
    <row r="177" spans="2:7" x14ac:dyDescent="0.2">
      <c r="B177" t="s">
        <v>58</v>
      </c>
      <c r="C177" t="s">
        <v>42</v>
      </c>
      <c r="D177" s="4" t="str">
        <f t="shared" si="12"/>
        <v>Commercial</v>
      </c>
      <c r="E177" s="4">
        <f t="shared" si="10"/>
        <v>5.4545454545454541</v>
      </c>
      <c r="F177" s="4">
        <f t="shared" si="11"/>
        <v>110</v>
      </c>
      <c r="G177" s="3">
        <v>20</v>
      </c>
    </row>
    <row r="178" spans="2:7" x14ac:dyDescent="0.2">
      <c r="B178" t="s">
        <v>242</v>
      </c>
      <c r="C178" t="s">
        <v>42</v>
      </c>
      <c r="D178" s="4" t="str">
        <f t="shared" si="12"/>
        <v>Corporate</v>
      </c>
      <c r="E178" s="4">
        <f t="shared" si="10"/>
        <v>2.1428571428571428</v>
      </c>
      <c r="F178" s="4">
        <f t="shared" si="11"/>
        <v>140</v>
      </c>
      <c r="G178" s="3">
        <v>10</v>
      </c>
    </row>
    <row r="179" spans="2:7" x14ac:dyDescent="0.2">
      <c r="B179" t="s">
        <v>193</v>
      </c>
      <c r="C179" t="s">
        <v>42</v>
      </c>
      <c r="D179" s="4" t="str">
        <f t="shared" si="12"/>
        <v>Corporate</v>
      </c>
      <c r="E179" s="4">
        <f t="shared" si="10"/>
        <v>2.1428571428571428</v>
      </c>
      <c r="F179" s="4">
        <f t="shared" si="11"/>
        <v>140</v>
      </c>
      <c r="G179" s="3">
        <v>10</v>
      </c>
    </row>
    <row r="180" spans="2:7" x14ac:dyDescent="0.2">
      <c r="B180" t="s">
        <v>90</v>
      </c>
      <c r="C180" t="s">
        <v>42</v>
      </c>
      <c r="D180" s="4" t="str">
        <f t="shared" si="12"/>
        <v>Corporate</v>
      </c>
      <c r="E180" s="4">
        <f t="shared" si="10"/>
        <v>4.2857142857142856</v>
      </c>
      <c r="F180" s="4">
        <f t="shared" si="11"/>
        <v>140</v>
      </c>
      <c r="G180" s="3">
        <v>20</v>
      </c>
    </row>
    <row r="181" spans="2:7" x14ac:dyDescent="0.2">
      <c r="B181" t="s">
        <v>248</v>
      </c>
      <c r="C181" t="s">
        <v>42</v>
      </c>
      <c r="D181" s="4" t="str">
        <f t="shared" si="12"/>
        <v>Corporate</v>
      </c>
      <c r="E181" s="4">
        <f t="shared" si="10"/>
        <v>2.1428571428571428</v>
      </c>
      <c r="F181" s="4">
        <f t="shared" si="11"/>
        <v>140</v>
      </c>
      <c r="G181" s="3">
        <v>10</v>
      </c>
    </row>
    <row r="182" spans="2:7" x14ac:dyDescent="0.2">
      <c r="B182" t="s">
        <v>251</v>
      </c>
      <c r="C182" t="s">
        <v>42</v>
      </c>
      <c r="D182" s="4" t="str">
        <f t="shared" si="12"/>
        <v>Corporate</v>
      </c>
      <c r="E182" s="4">
        <f t="shared" si="10"/>
        <v>2.1428571428571428</v>
      </c>
      <c r="F182" s="4">
        <f t="shared" si="11"/>
        <v>140</v>
      </c>
      <c r="G182" s="3">
        <v>10</v>
      </c>
    </row>
    <row r="183" spans="2:7" x14ac:dyDescent="0.2">
      <c r="B183" t="s">
        <v>254</v>
      </c>
      <c r="C183" t="s">
        <v>42</v>
      </c>
      <c r="D183" s="4" t="str">
        <f t="shared" si="12"/>
        <v>Corporate</v>
      </c>
      <c r="E183" s="4">
        <f t="shared" si="10"/>
        <v>2.1428571428571428</v>
      </c>
      <c r="F183" s="4">
        <f t="shared" si="11"/>
        <v>140</v>
      </c>
      <c r="G183" s="3">
        <v>10</v>
      </c>
    </row>
    <row r="184" spans="2:7" x14ac:dyDescent="0.2">
      <c r="B184" t="s">
        <v>257</v>
      </c>
      <c r="C184" t="s">
        <v>42</v>
      </c>
      <c r="D184" s="4" t="str">
        <f t="shared" si="12"/>
        <v>Corporate</v>
      </c>
      <c r="E184" s="4">
        <f t="shared" si="10"/>
        <v>2.1428571428571428</v>
      </c>
      <c r="F184" s="4">
        <f t="shared" si="11"/>
        <v>140</v>
      </c>
      <c r="G184" s="3">
        <v>10</v>
      </c>
    </row>
    <row r="185" spans="2:7" x14ac:dyDescent="0.2">
      <c r="B185" t="s">
        <v>261</v>
      </c>
      <c r="C185" t="s">
        <v>42</v>
      </c>
      <c r="D185" s="4" t="str">
        <f t="shared" si="12"/>
        <v>Corporate</v>
      </c>
      <c r="E185" s="4">
        <f t="shared" si="10"/>
        <v>2.1428571428571428</v>
      </c>
      <c r="F185" s="4">
        <f t="shared" si="11"/>
        <v>140</v>
      </c>
      <c r="G185" s="3">
        <v>10</v>
      </c>
    </row>
    <row r="186" spans="2:7" x14ac:dyDescent="0.2">
      <c r="B186" t="s">
        <v>264</v>
      </c>
      <c r="C186" t="s">
        <v>42</v>
      </c>
      <c r="D186" s="4" t="str">
        <f t="shared" si="12"/>
        <v>Corporate</v>
      </c>
      <c r="E186" s="4">
        <f t="shared" si="10"/>
        <v>2.1428571428571428</v>
      </c>
      <c r="F186" s="4">
        <f t="shared" si="11"/>
        <v>140</v>
      </c>
      <c r="G186" s="3">
        <v>10</v>
      </c>
    </row>
    <row r="187" spans="2:7" x14ac:dyDescent="0.2">
      <c r="B187" t="s">
        <v>96</v>
      </c>
      <c r="C187" t="s">
        <v>42</v>
      </c>
      <c r="D187" s="4" t="str">
        <f t="shared" si="12"/>
        <v>Corporate</v>
      </c>
      <c r="E187" s="4">
        <f t="shared" si="10"/>
        <v>2.1428571428571428</v>
      </c>
      <c r="F187" s="4">
        <f t="shared" si="11"/>
        <v>140</v>
      </c>
      <c r="G187" s="3">
        <v>10</v>
      </c>
    </row>
    <row r="188" spans="2:7" x14ac:dyDescent="0.2">
      <c r="B188" t="s">
        <v>267</v>
      </c>
      <c r="C188" t="s">
        <v>42</v>
      </c>
      <c r="D188" s="4" t="str">
        <f t="shared" si="12"/>
        <v>Corporate</v>
      </c>
      <c r="E188" s="4">
        <f t="shared" si="10"/>
        <v>2.1428571428571428</v>
      </c>
      <c r="F188" s="4">
        <f t="shared" si="11"/>
        <v>140</v>
      </c>
      <c r="G188" s="3">
        <v>10</v>
      </c>
    </row>
    <row r="189" spans="2:7" x14ac:dyDescent="0.2">
      <c r="B189" t="s">
        <v>270</v>
      </c>
      <c r="C189" t="s">
        <v>42</v>
      </c>
      <c r="D189" s="4" t="str">
        <f t="shared" si="12"/>
        <v>Corporate</v>
      </c>
      <c r="E189" s="4">
        <f t="shared" si="10"/>
        <v>2.1428571428571428</v>
      </c>
      <c r="F189" s="4">
        <f t="shared" si="11"/>
        <v>140</v>
      </c>
      <c r="G189" s="3">
        <v>10</v>
      </c>
    </row>
    <row r="190" spans="2:7" x14ac:dyDescent="0.2">
      <c r="B190" t="s">
        <v>273</v>
      </c>
      <c r="C190" t="s">
        <v>42</v>
      </c>
      <c r="D190" s="4" t="str">
        <f t="shared" si="12"/>
        <v>Corporate</v>
      </c>
      <c r="E190" s="4">
        <f t="shared" si="10"/>
        <v>2.1428571428571428</v>
      </c>
      <c r="F190" s="4">
        <f t="shared" si="11"/>
        <v>140</v>
      </c>
      <c r="G190" s="3">
        <v>10</v>
      </c>
    </row>
    <row r="191" spans="2:7" x14ac:dyDescent="0.2">
      <c r="B191" t="s">
        <v>31</v>
      </c>
      <c r="C191" t="s">
        <v>42</v>
      </c>
      <c r="D191" s="4" t="str">
        <f t="shared" si="12"/>
        <v>Operations</v>
      </c>
      <c r="E191" s="4">
        <f t="shared" si="10"/>
        <v>3.3333333333333335</v>
      </c>
      <c r="F191" s="4">
        <f t="shared" si="11"/>
        <v>30</v>
      </c>
      <c r="G191" s="3">
        <v>10</v>
      </c>
    </row>
    <row r="192" spans="2:7" x14ac:dyDescent="0.2">
      <c r="B192" t="s">
        <v>139</v>
      </c>
      <c r="C192" t="s">
        <v>42</v>
      </c>
      <c r="D192" s="4" t="str">
        <f t="shared" si="12"/>
        <v>Operations</v>
      </c>
      <c r="E192" s="4">
        <f t="shared" si="10"/>
        <v>3.3333333333333335</v>
      </c>
      <c r="F192" s="4">
        <f t="shared" si="11"/>
        <v>30</v>
      </c>
      <c r="G192" s="3">
        <v>10</v>
      </c>
    </row>
    <row r="193" spans="2:7" x14ac:dyDescent="0.2">
      <c r="B193" t="s">
        <v>48</v>
      </c>
      <c r="C193" t="s">
        <v>42</v>
      </c>
      <c r="D193" s="4" t="str">
        <f t="shared" si="12"/>
        <v>Operations</v>
      </c>
      <c r="E193" s="4">
        <f t="shared" si="10"/>
        <v>3.3333333333333335</v>
      </c>
      <c r="F193" s="4">
        <f t="shared" si="11"/>
        <v>30</v>
      </c>
      <c r="G193" s="3">
        <v>10</v>
      </c>
    </row>
    <row r="194" spans="2:7" x14ac:dyDescent="0.2">
      <c r="B194" t="s">
        <v>165</v>
      </c>
      <c r="C194" t="s">
        <v>42</v>
      </c>
      <c r="D194" s="4" t="str">
        <f t="shared" si="12"/>
        <v>Technology</v>
      </c>
      <c r="E194" s="4">
        <f t="shared" si="10"/>
        <v>3.3333333333333335</v>
      </c>
      <c r="F194" s="4">
        <f t="shared" si="11"/>
        <v>60</v>
      </c>
      <c r="G194" s="3">
        <v>10</v>
      </c>
    </row>
    <row r="195" spans="2:7" x14ac:dyDescent="0.2">
      <c r="B195" t="s">
        <v>38</v>
      </c>
      <c r="C195" t="s">
        <v>42</v>
      </c>
      <c r="D195" s="4" t="str">
        <f t="shared" si="12"/>
        <v>Technology</v>
      </c>
      <c r="E195" s="4">
        <f t="shared" ref="E195:E204" si="13">G195*SUMIFS($K:$K,$I:$I,C195,$J:$J,D195)/F195</f>
        <v>6.666666666666667</v>
      </c>
      <c r="F195" s="4">
        <f t="shared" ref="F195:F204" si="14">SUMIFS($G$2:$G$1000,$D$2:$D$1000,D195,$C$2:$C$1000,C195)</f>
        <v>60</v>
      </c>
      <c r="G195" s="3">
        <v>20</v>
      </c>
    </row>
    <row r="196" spans="2:7" x14ac:dyDescent="0.2">
      <c r="B196" t="s">
        <v>1044</v>
      </c>
      <c r="C196" t="s">
        <v>42</v>
      </c>
      <c r="D196" s="4" t="str">
        <f t="shared" si="12"/>
        <v>Technology</v>
      </c>
      <c r="E196" s="4">
        <f t="shared" si="13"/>
        <v>3.3333333333333335</v>
      </c>
      <c r="F196" s="4">
        <f t="shared" si="14"/>
        <v>60</v>
      </c>
      <c r="G196" s="3">
        <v>10</v>
      </c>
    </row>
    <row r="197" spans="2:7" x14ac:dyDescent="0.2">
      <c r="B197" t="s">
        <v>148</v>
      </c>
      <c r="C197" t="s">
        <v>42</v>
      </c>
      <c r="D197" s="4" t="str">
        <f t="shared" si="12"/>
        <v>Technology</v>
      </c>
      <c r="E197" s="4">
        <f t="shared" si="13"/>
        <v>3.3333333333333335</v>
      </c>
      <c r="F197" s="4">
        <f t="shared" si="14"/>
        <v>60</v>
      </c>
      <c r="G197" s="3">
        <v>10</v>
      </c>
    </row>
    <row r="198" spans="2:7" x14ac:dyDescent="0.2">
      <c r="B198" t="s">
        <v>62</v>
      </c>
      <c r="C198" t="s">
        <v>42</v>
      </c>
      <c r="D198" s="4" t="str">
        <f t="shared" si="12"/>
        <v>Technology</v>
      </c>
      <c r="E198" s="4">
        <f t="shared" si="13"/>
        <v>3.3333333333333335</v>
      </c>
      <c r="F198" s="4">
        <f t="shared" si="14"/>
        <v>60</v>
      </c>
      <c r="G198" s="3">
        <v>10</v>
      </c>
    </row>
    <row r="199" spans="2:7" x14ac:dyDescent="0.2">
      <c r="B199" t="s">
        <v>1046</v>
      </c>
      <c r="C199" t="s">
        <v>27</v>
      </c>
      <c r="D199" s="4" t="s">
        <v>1042</v>
      </c>
      <c r="E199" s="4">
        <f t="shared" si="13"/>
        <v>5</v>
      </c>
      <c r="F199" s="4">
        <f t="shared" si="14"/>
        <v>20</v>
      </c>
      <c r="G199" s="3">
        <v>20</v>
      </c>
    </row>
    <row r="200" spans="2:7" x14ac:dyDescent="0.2">
      <c r="B200" t="s">
        <v>1046</v>
      </c>
      <c r="C200" t="s">
        <v>18</v>
      </c>
      <c r="D200" s="4" t="s">
        <v>1042</v>
      </c>
      <c r="E200" s="4">
        <f t="shared" si="13"/>
        <v>10</v>
      </c>
      <c r="F200" s="4">
        <f t="shared" si="14"/>
        <v>20</v>
      </c>
      <c r="G200" s="3">
        <v>20</v>
      </c>
    </row>
    <row r="201" spans="2:7" x14ac:dyDescent="0.2">
      <c r="B201" t="s">
        <v>1046</v>
      </c>
      <c r="C201" t="s">
        <v>32</v>
      </c>
      <c r="D201" s="4" t="s">
        <v>1042</v>
      </c>
      <c r="E201" s="4">
        <f t="shared" si="13"/>
        <v>5</v>
      </c>
      <c r="F201" s="4">
        <f t="shared" si="14"/>
        <v>20</v>
      </c>
      <c r="G201" s="3">
        <v>20</v>
      </c>
    </row>
    <row r="202" spans="2:7" x14ac:dyDescent="0.2">
      <c r="B202" t="s">
        <v>1046</v>
      </c>
      <c r="C202" t="s">
        <v>23</v>
      </c>
      <c r="D202" s="4" t="s">
        <v>1042</v>
      </c>
      <c r="E202" s="4">
        <f t="shared" si="13"/>
        <v>5</v>
      </c>
      <c r="F202" s="4">
        <f t="shared" si="14"/>
        <v>20</v>
      </c>
      <c r="G202" s="3">
        <v>20</v>
      </c>
    </row>
    <row r="203" spans="2:7" x14ac:dyDescent="0.2">
      <c r="B203" t="s">
        <v>1046</v>
      </c>
      <c r="C203" t="s">
        <v>36</v>
      </c>
      <c r="D203" s="4" t="s">
        <v>1042</v>
      </c>
      <c r="E203" s="4">
        <f t="shared" si="13"/>
        <v>5</v>
      </c>
      <c r="F203" s="4">
        <f t="shared" si="14"/>
        <v>20</v>
      </c>
      <c r="G203" s="3">
        <v>20</v>
      </c>
    </row>
    <row r="204" spans="2:7" x14ac:dyDescent="0.2">
      <c r="B204" t="s">
        <v>1046</v>
      </c>
      <c r="C204" t="s">
        <v>42</v>
      </c>
      <c r="D204" s="4" t="s">
        <v>1042</v>
      </c>
      <c r="E204" s="4">
        <f t="shared" si="13"/>
        <v>5</v>
      </c>
      <c r="F204" s="4">
        <f t="shared" si="14"/>
        <v>20</v>
      </c>
      <c r="G204" s="3">
        <v>20</v>
      </c>
    </row>
  </sheetData>
  <autoFilter ref="A2:W2" xr:uid="{C18CB608-C07B-E243-8782-20DE959EBFC8}"/>
  <conditionalFormatting sqref="G2:G1048576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8">
    <cfRule type="colorScale" priority="3">
      <colorScale>
        <cfvo type="min"/>
        <cfvo type="max"/>
        <color rgb="FFFFEF9C"/>
        <color rgb="FF63BE7B"/>
      </colorScale>
    </cfRule>
  </conditionalFormatting>
  <conditionalFormatting sqref="L3:L38">
    <cfRule type="notContainsText" dxfId="9" priority="1" operator="notContains" text="100">
      <formula>ISERROR(SEARCH("100",L3))</formula>
    </cfRule>
  </conditionalFormatting>
  <conditionalFormatting sqref="P3">
    <cfRule type="notContainsText" dxfId="8" priority="2" operator="notContains" text="100">
      <formula>ISERROR(SEARCH("100",P3))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8948-BA04-0C42-9DCD-3B3BBD287FAA}">
  <dimension ref="A1:AF88"/>
  <sheetViews>
    <sheetView workbookViewId="0">
      <selection activeCell="B1" sqref="B1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10" bestFit="1" customWidth="1"/>
    <col min="24" max="24" width="11.1640625" bestFit="1" customWidth="1"/>
    <col min="25" max="25" width="9.1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2" x14ac:dyDescent="0.2">
      <c r="A1" s="21" t="s">
        <v>1061</v>
      </c>
    </row>
    <row r="2" spans="1:32" s="5" customFormat="1" x14ac:dyDescent="0.2">
      <c r="A2" s="22" t="s">
        <v>1062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 t="s">
        <v>1063</v>
      </c>
      <c r="X2" s="22"/>
      <c r="Y2" s="22"/>
      <c r="Z2" s="22"/>
      <c r="AA2" s="22"/>
      <c r="AB2" s="22"/>
      <c r="AC2" s="22"/>
      <c r="AD2" s="22"/>
      <c r="AE2" s="22"/>
      <c r="AF2" s="22"/>
    </row>
    <row r="3" spans="1:32" s="5" customFormat="1" x14ac:dyDescent="0.2">
      <c r="A3" s="22" t="s">
        <v>1064</v>
      </c>
      <c r="B3" s="22">
        <v>0.38</v>
      </c>
      <c r="C3" s="22"/>
      <c r="D3" s="22"/>
      <c r="E3" s="22" t="s">
        <v>1065</v>
      </c>
      <c r="F3" s="22">
        <v>0.19</v>
      </c>
      <c r="G3" s="22"/>
      <c r="H3" s="22"/>
      <c r="I3" s="22" t="s">
        <v>1066</v>
      </c>
      <c r="J3" s="22">
        <v>0.19</v>
      </c>
      <c r="K3" s="22"/>
      <c r="L3" s="22"/>
      <c r="M3" s="22" t="s">
        <v>1067</v>
      </c>
      <c r="N3" s="22">
        <v>0.19</v>
      </c>
      <c r="O3" s="22"/>
      <c r="P3" s="22"/>
      <c r="Q3" s="22" t="s">
        <v>1068</v>
      </c>
      <c r="R3" s="22">
        <v>0.05</v>
      </c>
      <c r="S3" s="22"/>
      <c r="T3" s="22"/>
      <c r="U3" s="22"/>
      <c r="V3" s="22"/>
      <c r="W3" s="22" t="s">
        <v>1069</v>
      </c>
      <c r="X3" s="22" t="s">
        <v>1070</v>
      </c>
      <c r="Y3" s="22" t="s">
        <v>1071</v>
      </c>
      <c r="Z3" s="22" t="s">
        <v>1070</v>
      </c>
      <c r="AA3" s="22" t="s">
        <v>1070</v>
      </c>
      <c r="AB3" s="22" t="s">
        <v>1071</v>
      </c>
      <c r="AC3" s="22" t="s">
        <v>1072</v>
      </c>
      <c r="AD3" s="22" t="s">
        <v>1071</v>
      </c>
      <c r="AE3" s="22" t="s">
        <v>1071</v>
      </c>
      <c r="AF3" s="22" t="s">
        <v>1071</v>
      </c>
    </row>
    <row r="4" spans="1:32" x14ac:dyDescent="0.2">
      <c r="A4" s="23" t="s">
        <v>78</v>
      </c>
      <c r="B4" s="23">
        <v>0.16</v>
      </c>
      <c r="C4" s="23"/>
      <c r="D4" s="23"/>
      <c r="E4" s="23" t="s">
        <v>31</v>
      </c>
      <c r="F4" s="23">
        <v>0.35</v>
      </c>
      <c r="G4" s="23"/>
      <c r="H4" s="23"/>
      <c r="I4" s="23" t="s">
        <v>242</v>
      </c>
      <c r="J4" s="24">
        <v>6.6666666666666666E-2</v>
      </c>
      <c r="K4" s="23"/>
      <c r="L4" s="23"/>
      <c r="M4" s="23" t="s">
        <v>38</v>
      </c>
      <c r="N4" s="23">
        <v>0.3</v>
      </c>
      <c r="O4" s="23"/>
      <c r="P4" s="23"/>
      <c r="Q4" s="23"/>
      <c r="R4" s="23"/>
      <c r="S4" s="23"/>
      <c r="T4" s="23"/>
      <c r="U4" s="23"/>
      <c r="V4" s="23"/>
      <c r="W4" s="23" t="s">
        <v>17</v>
      </c>
      <c r="X4" s="23" t="s">
        <v>73</v>
      </c>
      <c r="Y4" s="23" t="s">
        <v>190</v>
      </c>
      <c r="Z4" s="23" t="s">
        <v>68</v>
      </c>
      <c r="AA4" s="23" t="s">
        <v>238</v>
      </c>
      <c r="AB4" s="23" t="s">
        <v>54</v>
      </c>
      <c r="AC4" s="23" t="s">
        <v>44</v>
      </c>
      <c r="AD4" s="23" t="s">
        <v>202</v>
      </c>
      <c r="AE4" s="23" t="s">
        <v>1045</v>
      </c>
      <c r="AF4" s="23" t="s">
        <v>196</v>
      </c>
    </row>
    <row r="5" spans="1:32" x14ac:dyDescent="0.2">
      <c r="A5" s="23" t="s">
        <v>26</v>
      </c>
      <c r="B5" s="23">
        <v>0.16</v>
      </c>
      <c r="C5" s="23"/>
      <c r="D5" s="23"/>
      <c r="E5" s="23" t="s">
        <v>48</v>
      </c>
      <c r="F5" s="23">
        <v>0.35</v>
      </c>
      <c r="G5" s="23"/>
      <c r="H5" s="23"/>
      <c r="I5" s="23" t="s">
        <v>90</v>
      </c>
      <c r="J5" s="24">
        <v>6.6666666666666666E-2</v>
      </c>
      <c r="K5" s="23"/>
      <c r="L5" s="23"/>
      <c r="M5" s="23" t="s">
        <v>22</v>
      </c>
      <c r="N5" s="23">
        <v>0.2</v>
      </c>
      <c r="O5" s="23"/>
      <c r="P5" s="23"/>
      <c r="Q5" s="23"/>
      <c r="R5" s="23"/>
      <c r="S5" s="23"/>
      <c r="T5" s="23"/>
      <c r="U5" s="23"/>
      <c r="V5" s="23"/>
      <c r="W5" s="25">
        <v>0.2</v>
      </c>
      <c r="X5" s="25">
        <v>0.12</v>
      </c>
      <c r="Y5" s="25">
        <v>0.12</v>
      </c>
      <c r="Z5" s="25">
        <v>0.08</v>
      </c>
      <c r="AA5" s="25">
        <v>0.08</v>
      </c>
      <c r="AB5" s="25">
        <v>0.12</v>
      </c>
      <c r="AC5" s="25">
        <v>0.15</v>
      </c>
      <c r="AD5" s="25">
        <v>7.0000000000000007E-2</v>
      </c>
      <c r="AE5" s="25">
        <v>0.03</v>
      </c>
      <c r="AF5" s="25">
        <v>0.03</v>
      </c>
    </row>
    <row r="6" spans="1:32" x14ac:dyDescent="0.2">
      <c r="A6" s="23" t="s">
        <v>219</v>
      </c>
      <c r="B6" s="23">
        <v>0.16</v>
      </c>
      <c r="C6" s="23"/>
      <c r="D6" s="23"/>
      <c r="E6" s="23" t="s">
        <v>139</v>
      </c>
      <c r="F6" s="23">
        <v>0.3</v>
      </c>
      <c r="G6" s="23"/>
      <c r="H6" s="23"/>
      <c r="I6" s="23" t="s">
        <v>267</v>
      </c>
      <c r="J6" s="24">
        <v>6.6666666666666666E-2</v>
      </c>
      <c r="K6" s="23"/>
      <c r="L6" s="23"/>
      <c r="M6" s="23" t="s">
        <v>165</v>
      </c>
      <c r="N6" s="23">
        <v>0.2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">
      <c r="A7" s="23" t="s">
        <v>58</v>
      </c>
      <c r="B7" s="23">
        <v>0.12</v>
      </c>
      <c r="C7" s="23"/>
      <c r="D7" s="23"/>
      <c r="E7" s="23"/>
      <c r="F7" s="23"/>
      <c r="G7" s="23"/>
      <c r="H7" s="23"/>
      <c r="I7" s="23" t="s">
        <v>193</v>
      </c>
      <c r="J7" s="24">
        <v>6.6666666666666666E-2</v>
      </c>
      <c r="K7" s="23"/>
      <c r="L7" s="23"/>
      <c r="M7" s="23" t="s">
        <v>62</v>
      </c>
      <c r="N7" s="23">
        <v>0.1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">
      <c r="A8" s="23" t="s">
        <v>215</v>
      </c>
      <c r="B8" s="23">
        <v>0.1</v>
      </c>
      <c r="C8" s="23"/>
      <c r="D8" s="23"/>
      <c r="E8" s="23"/>
      <c r="F8" s="23"/>
      <c r="G8" s="23"/>
      <c r="H8" s="23"/>
      <c r="I8" s="23" t="s">
        <v>261</v>
      </c>
      <c r="J8" s="24">
        <v>6.6666666666666666E-2</v>
      </c>
      <c r="K8" s="23"/>
      <c r="L8" s="23"/>
      <c r="M8" s="23" t="s">
        <v>148</v>
      </c>
      <c r="N8" s="23">
        <v>0.1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x14ac:dyDescent="0.2">
      <c r="A9" s="23" t="s">
        <v>41</v>
      </c>
      <c r="B9" s="23">
        <v>0.09</v>
      </c>
      <c r="C9" s="23"/>
      <c r="D9" s="23"/>
      <c r="E9" s="23"/>
      <c r="F9" s="23"/>
      <c r="G9" s="23"/>
      <c r="H9" s="23"/>
      <c r="I9" s="23" t="s">
        <v>264</v>
      </c>
      <c r="J9" s="24">
        <v>6.6666666666666666E-2</v>
      </c>
      <c r="K9" s="23"/>
      <c r="L9" s="23"/>
      <c r="M9" s="23" t="s">
        <v>1044</v>
      </c>
      <c r="N9" s="23">
        <v>0.1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x14ac:dyDescent="0.2">
      <c r="A10" s="23" t="s">
        <v>1040</v>
      </c>
      <c r="B10" s="23">
        <v>0.09</v>
      </c>
      <c r="C10" s="23"/>
      <c r="D10" s="23"/>
      <c r="E10" s="23"/>
      <c r="F10" s="23"/>
      <c r="G10" s="23"/>
      <c r="H10" s="23"/>
      <c r="I10" s="23" t="s">
        <v>248</v>
      </c>
      <c r="J10" s="24">
        <v>6.6666666666666666E-2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">
      <c r="A11" s="23" t="s">
        <v>35</v>
      </c>
      <c r="B11" s="23">
        <v>0.09</v>
      </c>
      <c r="C11" s="23"/>
      <c r="D11" s="23"/>
      <c r="E11" s="23"/>
      <c r="F11" s="23"/>
      <c r="G11" s="23"/>
      <c r="H11" s="23"/>
      <c r="I11" s="23" t="s">
        <v>1073</v>
      </c>
      <c r="J11" s="24">
        <v>6.6666666666666666E-2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 x14ac:dyDescent="0.2">
      <c r="A12" s="23" t="s">
        <v>1041</v>
      </c>
      <c r="B12" s="23">
        <v>0.03</v>
      </c>
      <c r="C12" s="23"/>
      <c r="D12" s="23"/>
      <c r="E12" s="23"/>
      <c r="F12" s="23"/>
      <c r="G12" s="23"/>
      <c r="H12" s="23"/>
      <c r="I12" s="23" t="s">
        <v>251</v>
      </c>
      <c r="J12" s="24">
        <v>6.6666666666666666E-2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x14ac:dyDescent="0.2">
      <c r="A13" s="23"/>
      <c r="B13" s="23"/>
      <c r="C13" s="23"/>
      <c r="D13" s="23"/>
      <c r="E13" s="23"/>
      <c r="F13" s="23"/>
      <c r="G13" s="23"/>
      <c r="H13" s="23"/>
      <c r="I13" s="23" t="s">
        <v>270</v>
      </c>
      <c r="J13" s="24">
        <v>6.6666666666666666E-2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x14ac:dyDescent="0.2">
      <c r="A14" s="23"/>
      <c r="B14" s="23"/>
      <c r="C14" s="23"/>
      <c r="D14" s="23"/>
      <c r="E14" s="23"/>
      <c r="F14" s="23"/>
      <c r="G14" s="23"/>
      <c r="H14" s="23"/>
      <c r="I14" s="23" t="s">
        <v>1074</v>
      </c>
      <c r="J14" s="24">
        <v>6.6666666666666666E-2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x14ac:dyDescent="0.2">
      <c r="A15" s="23"/>
      <c r="B15" s="23"/>
      <c r="C15" s="23"/>
      <c r="D15" s="23"/>
      <c r="E15" s="23"/>
      <c r="F15" s="23"/>
      <c r="G15" s="23"/>
      <c r="H15" s="23"/>
      <c r="I15" s="23" t="s">
        <v>273</v>
      </c>
      <c r="J15" s="24">
        <v>6.6666666666666666E-2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">
      <c r="A16" s="23"/>
      <c r="B16" s="23"/>
      <c r="C16" s="23"/>
      <c r="D16" s="23"/>
      <c r="E16" s="23"/>
      <c r="F16" s="23"/>
      <c r="G16" s="23"/>
      <c r="H16" s="23"/>
      <c r="I16" s="23" t="s">
        <v>254</v>
      </c>
      <c r="J16" s="24">
        <v>6.6666666666666666E-2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">
      <c r="A17" s="23"/>
      <c r="B17" s="23"/>
      <c r="C17" s="23"/>
      <c r="D17" s="23"/>
      <c r="E17" s="23"/>
      <c r="F17" s="23"/>
      <c r="G17" s="23"/>
      <c r="H17" s="23"/>
      <c r="I17" s="23" t="s">
        <v>1075</v>
      </c>
      <c r="J17" s="24">
        <v>6.6666666666666666E-2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">
      <c r="A18" s="23"/>
      <c r="B18" s="23"/>
      <c r="C18" s="23"/>
      <c r="D18" s="23"/>
      <c r="E18" s="23"/>
      <c r="F18" s="23"/>
      <c r="G18" s="23"/>
      <c r="H18" s="23"/>
      <c r="I18" s="23" t="s">
        <v>257</v>
      </c>
      <c r="J18" s="24">
        <v>6.6666666666666666E-2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20" spans="1:32" x14ac:dyDescent="0.2">
      <c r="A20" s="21" t="s">
        <v>1076</v>
      </c>
    </row>
    <row r="21" spans="1:32" x14ac:dyDescent="0.2">
      <c r="A21" s="5" t="s">
        <v>1077</v>
      </c>
      <c r="B21" s="26">
        <f>VLOOKUP(A21,refData!$N:$O,2,FALSE)</f>
        <v>26</v>
      </c>
      <c r="C21" s="12" t="b">
        <f>(B23+F23+J23+N23+R23+V23)=100</f>
        <v>1</v>
      </c>
    </row>
    <row r="22" spans="1:32" x14ac:dyDescent="0.2">
      <c r="A22" s="3" t="s">
        <v>1078</v>
      </c>
      <c r="B22" s="12" t="b">
        <f>B23=SUM(B24:B32)</f>
        <v>1</v>
      </c>
      <c r="E22" s="3" t="s">
        <v>1078</v>
      </c>
      <c r="F22" s="12" t="b">
        <f>F23=SUM(F24:F32)</f>
        <v>1</v>
      </c>
      <c r="I22" s="3" t="s">
        <v>1078</v>
      </c>
      <c r="J22" s="12" t="b">
        <f>J23=SUM(J24:J32)</f>
        <v>1</v>
      </c>
      <c r="M22" s="3" t="s">
        <v>1078</v>
      </c>
      <c r="N22" s="12" t="b">
        <f>N23=SUM(N24:N32)</f>
        <v>1</v>
      </c>
      <c r="Q22" s="3" t="s">
        <v>1078</v>
      </c>
      <c r="R22" s="12" t="b">
        <f>R23=SUM(R24:R32)</f>
        <v>1</v>
      </c>
      <c r="U22" s="3" t="s">
        <v>1078</v>
      </c>
      <c r="V22" s="12" t="b">
        <f>V23=SUM(V24:V32)</f>
        <v>1</v>
      </c>
    </row>
    <row r="23" spans="1:32" s="5" customFormat="1" x14ac:dyDescent="0.2">
      <c r="A23" s="5" t="s">
        <v>28</v>
      </c>
      <c r="B23" s="22">
        <v>25</v>
      </c>
      <c r="C23" s="5">
        <f>B23*($B$21/100)</f>
        <v>6.5</v>
      </c>
      <c r="E23" s="5" t="s">
        <v>19</v>
      </c>
      <c r="F23" s="22">
        <v>25</v>
      </c>
      <c r="G23" s="5">
        <f>F23*($B$21/100)</f>
        <v>6.5</v>
      </c>
      <c r="I23" s="5" t="s">
        <v>55</v>
      </c>
      <c r="J23" s="22">
        <v>20</v>
      </c>
      <c r="K23" s="5">
        <f>J23*($B$21/100)</f>
        <v>5.2</v>
      </c>
      <c r="M23" s="5" t="s">
        <v>39</v>
      </c>
      <c r="N23" s="22">
        <v>20</v>
      </c>
      <c r="O23" s="5">
        <f>N23*($B$21/100)</f>
        <v>5.2</v>
      </c>
      <c r="Q23" s="5" t="s">
        <v>1042</v>
      </c>
      <c r="R23" s="22">
        <v>5</v>
      </c>
      <c r="S23" s="5">
        <f>R23*($B$21/100)</f>
        <v>1.3</v>
      </c>
      <c r="U23" s="5" t="s">
        <v>22</v>
      </c>
      <c r="V23" s="22">
        <v>5</v>
      </c>
      <c r="W23" s="5">
        <f>V23*($B$21/100)</f>
        <v>1.3</v>
      </c>
      <c r="X23">
        <v>25</v>
      </c>
      <c r="Y23"/>
      <c r="Z23"/>
      <c r="AA23"/>
    </row>
    <row r="24" spans="1:32" x14ac:dyDescent="0.2">
      <c r="A24" t="s">
        <v>73</v>
      </c>
      <c r="B24" s="23">
        <v>4</v>
      </c>
      <c r="C24" s="5">
        <f t="shared" ref="C24:C31" si="0">B24*($B$21/100)</f>
        <v>1.04</v>
      </c>
      <c r="E24" s="9" t="s">
        <v>17</v>
      </c>
      <c r="F24" s="23">
        <v>8</v>
      </c>
      <c r="G24" s="5">
        <f t="shared" ref="G24:G31" si="1">F24*($B$21/100)</f>
        <v>2.08</v>
      </c>
      <c r="I24" s="9" t="s">
        <v>190</v>
      </c>
      <c r="J24" s="23">
        <v>8</v>
      </c>
      <c r="K24" s="5">
        <f t="shared" ref="K24:K31" si="2">J24*($B$21/100)</f>
        <v>2.08</v>
      </c>
      <c r="M24" s="9" t="s">
        <v>44</v>
      </c>
      <c r="N24" s="23">
        <v>20</v>
      </c>
      <c r="O24" s="5">
        <f t="shared" ref="O24:O31" si="3">N24*($B$21/100)</f>
        <v>5.2</v>
      </c>
      <c r="Q24" s="9" t="s">
        <v>1079</v>
      </c>
      <c r="R24" s="23">
        <v>5</v>
      </c>
      <c r="S24" s="5">
        <f t="shared" ref="S24:S31" si="4">R24*($B$21/100)</f>
        <v>1.3</v>
      </c>
      <c r="U24" s="9" t="s">
        <v>22</v>
      </c>
      <c r="V24" s="23">
        <v>5</v>
      </c>
      <c r="W24" s="5">
        <f t="shared" ref="W24:W31" si="5">V24*($B$21/100)</f>
        <v>1.3</v>
      </c>
      <c r="X24">
        <v>25</v>
      </c>
    </row>
    <row r="25" spans="1:32" x14ac:dyDescent="0.2">
      <c r="A25" t="s">
        <v>68</v>
      </c>
      <c r="B25" s="23">
        <v>4</v>
      </c>
      <c r="C25" s="5">
        <f t="shared" si="0"/>
        <v>1.04</v>
      </c>
      <c r="E25" s="9" t="s">
        <v>31</v>
      </c>
      <c r="F25" s="23">
        <v>8</v>
      </c>
      <c r="G25" s="5">
        <f t="shared" si="1"/>
        <v>2.08</v>
      </c>
      <c r="I25" s="9" t="s">
        <v>54</v>
      </c>
      <c r="J25" s="23">
        <v>8</v>
      </c>
      <c r="K25" s="5">
        <f t="shared" si="2"/>
        <v>2.08</v>
      </c>
      <c r="N25" s="23"/>
      <c r="O25" s="5">
        <f t="shared" si="3"/>
        <v>0</v>
      </c>
      <c r="R25" s="23"/>
      <c r="S25" s="5">
        <f t="shared" si="4"/>
        <v>0</v>
      </c>
      <c r="V25" s="23"/>
      <c r="W25" s="5">
        <f t="shared" si="5"/>
        <v>0</v>
      </c>
      <c r="X25">
        <v>20</v>
      </c>
    </row>
    <row r="26" spans="1:32" x14ac:dyDescent="0.2">
      <c r="A26" t="s">
        <v>238</v>
      </c>
      <c r="B26" s="23">
        <v>4</v>
      </c>
      <c r="C26" s="5">
        <f t="shared" si="0"/>
        <v>1.04</v>
      </c>
      <c r="E26" t="s">
        <v>48</v>
      </c>
      <c r="F26" s="23">
        <v>8</v>
      </c>
      <c r="G26" s="5">
        <f t="shared" si="1"/>
        <v>2.08</v>
      </c>
      <c r="I26" s="9" t="s">
        <v>202</v>
      </c>
      <c r="J26" s="23">
        <v>2</v>
      </c>
      <c r="K26" s="5">
        <f t="shared" si="2"/>
        <v>0.52</v>
      </c>
      <c r="N26" s="23"/>
      <c r="O26" s="5">
        <f t="shared" si="3"/>
        <v>0</v>
      </c>
      <c r="R26" s="23"/>
      <c r="S26" s="5">
        <f t="shared" si="4"/>
        <v>0</v>
      </c>
      <c r="V26" s="23"/>
      <c r="W26" s="5">
        <f t="shared" si="5"/>
        <v>0</v>
      </c>
      <c r="X26">
        <v>20</v>
      </c>
    </row>
    <row r="27" spans="1:32" x14ac:dyDescent="0.2">
      <c r="A27" t="s">
        <v>78</v>
      </c>
      <c r="B27" s="23">
        <v>5</v>
      </c>
      <c r="C27" s="5">
        <f t="shared" si="0"/>
        <v>1.3</v>
      </c>
      <c r="E27" t="s">
        <v>139</v>
      </c>
      <c r="F27" s="23">
        <v>1</v>
      </c>
      <c r="G27" s="5">
        <f t="shared" si="1"/>
        <v>0.26</v>
      </c>
      <c r="I27" s="9" t="s">
        <v>1045</v>
      </c>
      <c r="J27" s="23">
        <v>1</v>
      </c>
      <c r="K27" s="5">
        <f t="shared" si="2"/>
        <v>0.26</v>
      </c>
      <c r="N27" s="23"/>
      <c r="O27" s="5">
        <f t="shared" si="3"/>
        <v>0</v>
      </c>
      <c r="R27" s="23"/>
      <c r="S27" s="5">
        <f t="shared" si="4"/>
        <v>0</v>
      </c>
      <c r="V27" s="23"/>
      <c r="W27" s="5">
        <f t="shared" si="5"/>
        <v>0</v>
      </c>
      <c r="X27">
        <v>5</v>
      </c>
    </row>
    <row r="28" spans="1:32" x14ac:dyDescent="0.2">
      <c r="A28" t="s">
        <v>219</v>
      </c>
      <c r="B28" s="23">
        <v>2</v>
      </c>
      <c r="C28" s="5">
        <f t="shared" si="0"/>
        <v>0.52</v>
      </c>
      <c r="F28" s="23"/>
      <c r="G28" s="5">
        <f t="shared" si="1"/>
        <v>0</v>
      </c>
      <c r="I28" s="9" t="s">
        <v>196</v>
      </c>
      <c r="J28" s="23">
        <v>1</v>
      </c>
      <c r="K28" s="5">
        <f t="shared" si="2"/>
        <v>0.26</v>
      </c>
      <c r="N28" s="23"/>
      <c r="O28" s="5">
        <f t="shared" si="3"/>
        <v>0</v>
      </c>
      <c r="R28" s="23"/>
      <c r="S28" s="5">
        <f t="shared" si="4"/>
        <v>0</v>
      </c>
      <c r="V28" s="23"/>
      <c r="W28" s="5">
        <f t="shared" si="5"/>
        <v>0</v>
      </c>
      <c r="X28">
        <v>5</v>
      </c>
    </row>
    <row r="29" spans="1:32" x14ac:dyDescent="0.2">
      <c r="A29" s="9" t="s">
        <v>58</v>
      </c>
      <c r="B29" s="23">
        <v>2</v>
      </c>
      <c r="C29" s="5">
        <f t="shared" si="0"/>
        <v>0.52</v>
      </c>
      <c r="F29" s="23"/>
      <c r="G29" s="5">
        <f t="shared" si="1"/>
        <v>0</v>
      </c>
      <c r="J29" s="23"/>
      <c r="K29" s="5">
        <f t="shared" si="2"/>
        <v>0</v>
      </c>
      <c r="N29" s="23"/>
      <c r="O29" s="5">
        <f t="shared" si="3"/>
        <v>0</v>
      </c>
      <c r="R29" s="23"/>
      <c r="S29" s="5">
        <f t="shared" si="4"/>
        <v>0</v>
      </c>
      <c r="V29" s="23"/>
      <c r="W29" s="5">
        <f t="shared" si="5"/>
        <v>0</v>
      </c>
    </row>
    <row r="30" spans="1:32" x14ac:dyDescent="0.2">
      <c r="A30" t="s">
        <v>215</v>
      </c>
      <c r="B30" s="23">
        <v>2</v>
      </c>
      <c r="C30" s="5">
        <f t="shared" si="0"/>
        <v>0.52</v>
      </c>
      <c r="F30" s="23"/>
      <c r="G30" s="5">
        <f t="shared" si="1"/>
        <v>0</v>
      </c>
      <c r="J30" s="23"/>
      <c r="K30" s="5">
        <f t="shared" si="2"/>
        <v>0</v>
      </c>
      <c r="N30" s="23"/>
      <c r="O30" s="5">
        <f t="shared" si="3"/>
        <v>0</v>
      </c>
      <c r="R30" s="23"/>
      <c r="S30" s="5">
        <f t="shared" si="4"/>
        <v>0</v>
      </c>
      <c r="V30" s="23"/>
      <c r="W30" s="5">
        <f t="shared" si="5"/>
        <v>0</v>
      </c>
    </row>
    <row r="31" spans="1:32" x14ac:dyDescent="0.2">
      <c r="A31" t="s">
        <v>41</v>
      </c>
      <c r="B31" s="23">
        <v>2</v>
      </c>
      <c r="C31" s="5">
        <f t="shared" si="0"/>
        <v>0.52</v>
      </c>
      <c r="F31" s="23"/>
      <c r="G31" s="5">
        <f t="shared" si="1"/>
        <v>0</v>
      </c>
      <c r="J31" s="23"/>
      <c r="K31" s="5">
        <f t="shared" si="2"/>
        <v>0</v>
      </c>
      <c r="N31" s="23"/>
      <c r="O31" s="5">
        <f t="shared" si="3"/>
        <v>0</v>
      </c>
      <c r="R31" s="23"/>
      <c r="S31" s="5">
        <f t="shared" si="4"/>
        <v>0</v>
      </c>
      <c r="V31" s="23"/>
      <c r="W31" s="5">
        <f t="shared" si="5"/>
        <v>0</v>
      </c>
    </row>
    <row r="32" spans="1:32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4" spans="1:24" x14ac:dyDescent="0.2">
      <c r="A34" s="5" t="s">
        <v>1080</v>
      </c>
      <c r="B34" s="26">
        <f>VLOOKUP(A34,refData!$N:$O,2,FALSE)</f>
        <v>22</v>
      </c>
      <c r="C34" s="12" t="b">
        <f>(B36+F36+J36+N36+R36+V36)=100</f>
        <v>1</v>
      </c>
    </row>
    <row r="35" spans="1:24" x14ac:dyDescent="0.2">
      <c r="A35" s="3" t="s">
        <v>1078</v>
      </c>
      <c r="B35" s="12" t="b">
        <f>B36=SUM(B37:B52)</f>
        <v>1</v>
      </c>
      <c r="E35" s="3" t="s">
        <v>1078</v>
      </c>
      <c r="F35" s="12" t="b">
        <f>F36=SUM(F37:F52)</f>
        <v>1</v>
      </c>
      <c r="I35" s="3" t="s">
        <v>1078</v>
      </c>
      <c r="J35" s="12" t="b">
        <f>J36=SUM(J37:J52)</f>
        <v>1</v>
      </c>
      <c r="M35" s="3" t="s">
        <v>1078</v>
      </c>
      <c r="N35" s="12" t="b">
        <f>N36=SUM(N37:N52)</f>
        <v>1</v>
      </c>
      <c r="Q35" s="3" t="s">
        <v>1078</v>
      </c>
      <c r="R35" s="12" t="b">
        <f>R36=SUM(R37:R52)</f>
        <v>1</v>
      </c>
      <c r="U35" s="3" t="s">
        <v>1078</v>
      </c>
      <c r="V35" s="12" t="b">
        <f>V36=SUM(V37:V52)</f>
        <v>1</v>
      </c>
    </row>
    <row r="36" spans="1:24" s="5" customFormat="1" x14ac:dyDescent="0.2">
      <c r="A36" s="5" t="s">
        <v>28</v>
      </c>
      <c r="B36" s="5">
        <v>25</v>
      </c>
      <c r="C36" s="5">
        <f>B36*($B$34/100)</f>
        <v>5.5</v>
      </c>
      <c r="E36" s="5" t="s">
        <v>19</v>
      </c>
      <c r="F36" s="5">
        <v>25</v>
      </c>
      <c r="G36" s="5">
        <f>F36*($B$34/100)</f>
        <v>5.5</v>
      </c>
      <c r="I36" s="5" t="s">
        <v>55</v>
      </c>
      <c r="J36" s="5">
        <v>20</v>
      </c>
      <c r="K36" s="5">
        <f>J36*($B$34/100)</f>
        <v>4.4000000000000004</v>
      </c>
      <c r="M36" s="5" t="s">
        <v>39</v>
      </c>
      <c r="N36" s="5">
        <v>20</v>
      </c>
      <c r="O36" s="5">
        <f>N36*($B$34/100)</f>
        <v>4.4000000000000004</v>
      </c>
      <c r="Q36" s="5" t="s">
        <v>1042</v>
      </c>
      <c r="R36" s="5">
        <v>5</v>
      </c>
      <c r="S36" s="5">
        <f>R36*($B$34/100)</f>
        <v>1.1000000000000001</v>
      </c>
      <c r="U36" s="5" t="s">
        <v>22</v>
      </c>
      <c r="V36" s="5">
        <v>5</v>
      </c>
      <c r="W36" s="5">
        <f>V36*($B$34/100)</f>
        <v>1.1000000000000001</v>
      </c>
      <c r="X36" s="5">
        <v>25</v>
      </c>
    </row>
    <row r="37" spans="1:24" x14ac:dyDescent="0.2">
      <c r="A37" s="9" t="s">
        <v>26</v>
      </c>
      <c r="B37">
        <v>5</v>
      </c>
      <c r="C37" s="5">
        <f t="shared" ref="C37:C51" si="6">B37*($B$34/100)</f>
        <v>1.1000000000000001</v>
      </c>
      <c r="E37" s="9" t="s">
        <v>31</v>
      </c>
      <c r="F37">
        <v>10</v>
      </c>
      <c r="G37" s="5">
        <f t="shared" ref="G37:G51" si="7">F37*($B$34/100)</f>
        <v>2.2000000000000002</v>
      </c>
      <c r="I37" s="9" t="s">
        <v>242</v>
      </c>
      <c r="J37">
        <v>2</v>
      </c>
      <c r="K37" s="5">
        <f t="shared" ref="K37:K51" si="8">J37*($B$34/100)</f>
        <v>0.44</v>
      </c>
      <c r="M37" s="9" t="s">
        <v>38</v>
      </c>
      <c r="N37">
        <v>10</v>
      </c>
      <c r="O37" s="5">
        <f t="shared" ref="O37:O51" si="9">N37*($B$34/100)</f>
        <v>2.2000000000000002</v>
      </c>
      <c r="Q37" s="9" t="s">
        <v>1079</v>
      </c>
      <c r="R37">
        <v>5</v>
      </c>
      <c r="S37" s="5">
        <f t="shared" ref="S37:S51" si="10">R37*($B$34/100)</f>
        <v>1.1000000000000001</v>
      </c>
      <c r="U37" s="9" t="s">
        <v>22</v>
      </c>
      <c r="V37">
        <v>5</v>
      </c>
      <c r="W37" s="5">
        <f t="shared" ref="W37:W51" si="11">V37*($B$34/100)</f>
        <v>1.1000000000000001</v>
      </c>
      <c r="X37">
        <v>25</v>
      </c>
    </row>
    <row r="38" spans="1:24" x14ac:dyDescent="0.2">
      <c r="A38" t="s">
        <v>219</v>
      </c>
      <c r="B38">
        <v>5</v>
      </c>
      <c r="C38" s="5">
        <f t="shared" si="6"/>
        <v>1.1000000000000001</v>
      </c>
      <c r="E38" s="9" t="s">
        <v>48</v>
      </c>
      <c r="F38">
        <v>10</v>
      </c>
      <c r="G38" s="5">
        <f t="shared" si="7"/>
        <v>2.2000000000000002</v>
      </c>
      <c r="I38" t="s">
        <v>90</v>
      </c>
      <c r="J38">
        <v>2</v>
      </c>
      <c r="K38" s="5">
        <f t="shared" si="8"/>
        <v>0.44</v>
      </c>
      <c r="M38" s="9" t="s">
        <v>165</v>
      </c>
      <c r="N38">
        <v>10</v>
      </c>
      <c r="O38" s="5">
        <f t="shared" si="9"/>
        <v>2.2000000000000002</v>
      </c>
      <c r="S38" s="5">
        <f t="shared" si="10"/>
        <v>0</v>
      </c>
      <c r="W38" s="5">
        <f t="shared" si="11"/>
        <v>0</v>
      </c>
    </row>
    <row r="39" spans="1:24" x14ac:dyDescent="0.2">
      <c r="A39" s="9" t="s">
        <v>58</v>
      </c>
      <c r="B39">
        <v>5</v>
      </c>
      <c r="C39" s="5">
        <f t="shared" si="6"/>
        <v>1.1000000000000001</v>
      </c>
      <c r="E39" t="s">
        <v>139</v>
      </c>
      <c r="F39">
        <v>5</v>
      </c>
      <c r="G39" s="5">
        <f t="shared" si="7"/>
        <v>1.1000000000000001</v>
      </c>
      <c r="I39" t="s">
        <v>267</v>
      </c>
      <c r="J39">
        <v>1</v>
      </c>
      <c r="K39" s="5">
        <f t="shared" si="8"/>
        <v>0.22</v>
      </c>
      <c r="O39" s="5">
        <f t="shared" si="9"/>
        <v>0</v>
      </c>
      <c r="S39" s="5">
        <f t="shared" si="10"/>
        <v>0</v>
      </c>
      <c r="W39" s="5">
        <f t="shared" si="11"/>
        <v>0</v>
      </c>
    </row>
    <row r="40" spans="1:24" x14ac:dyDescent="0.2">
      <c r="A40" t="s">
        <v>215</v>
      </c>
      <c r="B40">
        <v>5</v>
      </c>
      <c r="C40" s="5">
        <f t="shared" si="6"/>
        <v>1.1000000000000001</v>
      </c>
      <c r="G40" s="5">
        <f t="shared" si="7"/>
        <v>0</v>
      </c>
      <c r="I40" s="9" t="s">
        <v>193</v>
      </c>
      <c r="J40">
        <v>2</v>
      </c>
      <c r="K40" s="5">
        <f t="shared" si="8"/>
        <v>0.44</v>
      </c>
      <c r="O40" s="5">
        <f t="shared" si="9"/>
        <v>0</v>
      </c>
      <c r="S40" s="5">
        <f t="shared" si="10"/>
        <v>0</v>
      </c>
      <c r="W40" s="5">
        <f t="shared" si="11"/>
        <v>0</v>
      </c>
    </row>
    <row r="41" spans="1:24" x14ac:dyDescent="0.2">
      <c r="A41" t="s">
        <v>41</v>
      </c>
      <c r="B41">
        <v>5</v>
      </c>
      <c r="C41" s="5">
        <f t="shared" si="6"/>
        <v>1.1000000000000001</v>
      </c>
      <c r="G41" s="5">
        <f t="shared" si="7"/>
        <v>0</v>
      </c>
      <c r="I41" s="9" t="s">
        <v>261</v>
      </c>
      <c r="J41">
        <v>2</v>
      </c>
      <c r="K41" s="5">
        <f t="shared" si="8"/>
        <v>0.44</v>
      </c>
      <c r="O41" s="5">
        <f t="shared" si="9"/>
        <v>0</v>
      </c>
      <c r="S41" s="5">
        <f t="shared" si="10"/>
        <v>0</v>
      </c>
      <c r="W41" s="5">
        <f t="shared" si="11"/>
        <v>0</v>
      </c>
    </row>
    <row r="42" spans="1:24" x14ac:dyDescent="0.2">
      <c r="C42" s="5">
        <f t="shared" si="6"/>
        <v>0</v>
      </c>
      <c r="G42" s="5">
        <f t="shared" si="7"/>
        <v>0</v>
      </c>
      <c r="I42" s="9" t="s">
        <v>264</v>
      </c>
      <c r="J42">
        <v>2</v>
      </c>
      <c r="K42" s="5">
        <f t="shared" si="8"/>
        <v>0.44</v>
      </c>
      <c r="O42" s="5">
        <f t="shared" si="9"/>
        <v>0</v>
      </c>
      <c r="S42" s="5">
        <f t="shared" si="10"/>
        <v>0</v>
      </c>
      <c r="W42" s="5">
        <f t="shared" si="11"/>
        <v>0</v>
      </c>
    </row>
    <row r="43" spans="1:24" x14ac:dyDescent="0.2">
      <c r="C43" s="5">
        <f t="shared" si="6"/>
        <v>0</v>
      </c>
      <c r="G43" s="5">
        <f t="shared" si="7"/>
        <v>0</v>
      </c>
      <c r="I43" t="s">
        <v>248</v>
      </c>
      <c r="J43">
        <v>1</v>
      </c>
      <c r="K43" s="5">
        <f t="shared" si="8"/>
        <v>0.22</v>
      </c>
      <c r="O43" s="5">
        <f t="shared" si="9"/>
        <v>0</v>
      </c>
      <c r="S43" s="5">
        <f t="shared" si="10"/>
        <v>0</v>
      </c>
      <c r="W43" s="5">
        <f t="shared" si="11"/>
        <v>0</v>
      </c>
    </row>
    <row r="44" spans="1:24" x14ac:dyDescent="0.2">
      <c r="C44" s="5">
        <f t="shared" si="6"/>
        <v>0</v>
      </c>
      <c r="G44" s="5">
        <f t="shared" si="7"/>
        <v>0</v>
      </c>
      <c r="I44" t="s">
        <v>1073</v>
      </c>
      <c r="J44">
        <v>1</v>
      </c>
      <c r="K44" s="5">
        <f t="shared" si="8"/>
        <v>0.22</v>
      </c>
      <c r="O44" s="5">
        <f t="shared" si="9"/>
        <v>0</v>
      </c>
      <c r="S44" s="5">
        <f t="shared" si="10"/>
        <v>0</v>
      </c>
      <c r="W44" s="5">
        <f t="shared" si="11"/>
        <v>0</v>
      </c>
    </row>
    <row r="45" spans="1:24" x14ac:dyDescent="0.2">
      <c r="C45" s="5">
        <f t="shared" si="6"/>
        <v>0</v>
      </c>
      <c r="G45" s="5">
        <f t="shared" si="7"/>
        <v>0</v>
      </c>
      <c r="I45" t="s">
        <v>251</v>
      </c>
      <c r="J45">
        <v>1</v>
      </c>
      <c r="K45" s="5">
        <f t="shared" si="8"/>
        <v>0.22</v>
      </c>
      <c r="O45" s="5">
        <f t="shared" si="9"/>
        <v>0</v>
      </c>
      <c r="S45" s="5">
        <f t="shared" si="10"/>
        <v>0</v>
      </c>
      <c r="W45" s="5">
        <f t="shared" si="11"/>
        <v>0</v>
      </c>
    </row>
    <row r="46" spans="1:24" x14ac:dyDescent="0.2">
      <c r="C46" s="5">
        <f t="shared" si="6"/>
        <v>0</v>
      </c>
      <c r="G46" s="5">
        <f t="shared" si="7"/>
        <v>0</v>
      </c>
      <c r="I46" t="s">
        <v>270</v>
      </c>
      <c r="J46">
        <v>1</v>
      </c>
      <c r="K46" s="5">
        <f t="shared" si="8"/>
        <v>0.22</v>
      </c>
      <c r="O46" s="5">
        <f t="shared" si="9"/>
        <v>0</v>
      </c>
      <c r="S46" s="5">
        <f t="shared" si="10"/>
        <v>0</v>
      </c>
      <c r="W46" s="5">
        <f t="shared" si="11"/>
        <v>0</v>
      </c>
    </row>
    <row r="47" spans="1:24" x14ac:dyDescent="0.2">
      <c r="C47" s="5">
        <f t="shared" si="6"/>
        <v>0</v>
      </c>
      <c r="G47" s="5">
        <f t="shared" si="7"/>
        <v>0</v>
      </c>
      <c r="I47" t="s">
        <v>1074</v>
      </c>
      <c r="J47">
        <v>1</v>
      </c>
      <c r="K47" s="5">
        <f t="shared" si="8"/>
        <v>0.22</v>
      </c>
      <c r="O47" s="5">
        <f t="shared" si="9"/>
        <v>0</v>
      </c>
      <c r="S47" s="5">
        <f t="shared" si="10"/>
        <v>0</v>
      </c>
      <c r="W47" s="5">
        <f t="shared" si="11"/>
        <v>0</v>
      </c>
    </row>
    <row r="48" spans="1:24" x14ac:dyDescent="0.2">
      <c r="C48" s="5">
        <f t="shared" si="6"/>
        <v>0</v>
      </c>
      <c r="G48" s="5">
        <f t="shared" si="7"/>
        <v>0</v>
      </c>
      <c r="I48" s="9" t="s">
        <v>273</v>
      </c>
      <c r="J48">
        <v>1</v>
      </c>
      <c r="K48" s="5">
        <f t="shared" si="8"/>
        <v>0.22</v>
      </c>
      <c r="O48" s="5">
        <f t="shared" si="9"/>
        <v>0</v>
      </c>
      <c r="S48" s="5">
        <f t="shared" si="10"/>
        <v>0</v>
      </c>
      <c r="W48" s="5">
        <f t="shared" si="11"/>
        <v>0</v>
      </c>
    </row>
    <row r="49" spans="1:23" x14ac:dyDescent="0.2">
      <c r="C49" s="5">
        <f t="shared" si="6"/>
        <v>0</v>
      </c>
      <c r="G49" s="5">
        <f t="shared" si="7"/>
        <v>0</v>
      </c>
      <c r="I49" t="s">
        <v>254</v>
      </c>
      <c r="J49">
        <v>1</v>
      </c>
      <c r="K49" s="5">
        <f t="shared" si="8"/>
        <v>0.22</v>
      </c>
      <c r="O49" s="5">
        <f t="shared" si="9"/>
        <v>0</v>
      </c>
      <c r="S49" s="5">
        <f t="shared" si="10"/>
        <v>0</v>
      </c>
      <c r="W49" s="5">
        <f t="shared" si="11"/>
        <v>0</v>
      </c>
    </row>
    <row r="50" spans="1:23" x14ac:dyDescent="0.2">
      <c r="C50" s="5">
        <f t="shared" si="6"/>
        <v>0</v>
      </c>
      <c r="G50" s="5">
        <f t="shared" si="7"/>
        <v>0</v>
      </c>
      <c r="I50" t="s">
        <v>1075</v>
      </c>
      <c r="J50">
        <v>1</v>
      </c>
      <c r="K50" s="5">
        <f t="shared" si="8"/>
        <v>0.22</v>
      </c>
      <c r="O50" s="5">
        <f t="shared" si="9"/>
        <v>0</v>
      </c>
      <c r="S50" s="5">
        <f t="shared" si="10"/>
        <v>0</v>
      </c>
      <c r="W50" s="5">
        <f t="shared" si="11"/>
        <v>0</v>
      </c>
    </row>
    <row r="51" spans="1:23" x14ac:dyDescent="0.2">
      <c r="C51" s="5">
        <f t="shared" si="6"/>
        <v>0</v>
      </c>
      <c r="G51" s="5">
        <f t="shared" si="7"/>
        <v>0</v>
      </c>
      <c r="I51" s="9" t="s">
        <v>96</v>
      </c>
      <c r="J51">
        <v>1</v>
      </c>
      <c r="K51" s="5">
        <f t="shared" si="8"/>
        <v>0.22</v>
      </c>
      <c r="O51" s="5">
        <f t="shared" si="9"/>
        <v>0</v>
      </c>
      <c r="S51" s="5">
        <f t="shared" si="10"/>
        <v>0</v>
      </c>
      <c r="W51" s="5">
        <f t="shared" si="11"/>
        <v>0</v>
      </c>
    </row>
    <row r="52" spans="1:23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4" spans="1:23" x14ac:dyDescent="0.2">
      <c r="A54" s="5" t="s">
        <v>1081</v>
      </c>
      <c r="B54" s="26">
        <f>VLOOKUP(A54,refData!$N:$O,2,FALSE)</f>
        <v>16</v>
      </c>
      <c r="C54" s="12" t="b">
        <f>(B56+F56+J56+N56+R56+V56)=100</f>
        <v>1</v>
      </c>
    </row>
    <row r="55" spans="1:23" x14ac:dyDescent="0.2">
      <c r="A55" s="3" t="s">
        <v>1078</v>
      </c>
      <c r="B55" s="12" t="b">
        <f>B56=SUM(B57:B61)</f>
        <v>1</v>
      </c>
      <c r="E55" s="3" t="s">
        <v>1078</v>
      </c>
      <c r="F55" s="12" t="b">
        <f>F56=SUM(F57:F61)</f>
        <v>1</v>
      </c>
      <c r="I55" s="3" t="s">
        <v>1078</v>
      </c>
      <c r="J55" s="12" t="b">
        <f>J56=SUM(J57:J61)</f>
        <v>1</v>
      </c>
      <c r="M55" s="3" t="s">
        <v>1078</v>
      </c>
      <c r="N55" s="12" t="b">
        <f>N56=SUM(N57:N61)</f>
        <v>1</v>
      </c>
      <c r="Q55" s="3" t="s">
        <v>1078</v>
      </c>
      <c r="R55" s="12" t="b">
        <f>R56=SUM(R57:R61)</f>
        <v>1</v>
      </c>
      <c r="U55" s="3" t="s">
        <v>1078</v>
      </c>
      <c r="V55" s="12" t="b">
        <f>V56=SUM(V57:V61)</f>
        <v>1</v>
      </c>
    </row>
    <row r="56" spans="1:23" s="5" customFormat="1" x14ac:dyDescent="0.2">
      <c r="A56" s="5" t="s">
        <v>28</v>
      </c>
      <c r="B56" s="5">
        <v>80</v>
      </c>
      <c r="C56" s="5">
        <f>B56*($B$72/100)</f>
        <v>9.6</v>
      </c>
      <c r="E56" s="5" t="s">
        <v>19</v>
      </c>
      <c r="F56" s="5">
        <v>0</v>
      </c>
      <c r="G56" s="5">
        <f>F56*($B$72/100)</f>
        <v>0</v>
      </c>
      <c r="I56" s="5" t="s">
        <v>55</v>
      </c>
      <c r="J56" s="5">
        <v>0</v>
      </c>
      <c r="K56" s="5">
        <f>J56*($B$72/100)</f>
        <v>0</v>
      </c>
      <c r="M56" s="5" t="s">
        <v>39</v>
      </c>
      <c r="N56" s="5">
        <v>10</v>
      </c>
      <c r="O56" s="5">
        <f>N56*($B$72/100)</f>
        <v>1.2</v>
      </c>
      <c r="Q56" s="5" t="s">
        <v>1042</v>
      </c>
      <c r="R56" s="5">
        <v>5</v>
      </c>
      <c r="S56" s="5">
        <f>R56*($B$72/100)</f>
        <v>0.6</v>
      </c>
      <c r="U56" s="5" t="s">
        <v>22</v>
      </c>
      <c r="V56" s="5">
        <v>5</v>
      </c>
      <c r="W56" s="5">
        <f>V56*($B$72/100)</f>
        <v>0.6</v>
      </c>
    </row>
    <row r="57" spans="1:23" x14ac:dyDescent="0.2">
      <c r="A57" s="9" t="s">
        <v>26</v>
      </c>
      <c r="B57">
        <v>80</v>
      </c>
      <c r="C57" s="5">
        <f t="shared" ref="C57" si="12">B57*($B$72/100)</f>
        <v>9.6</v>
      </c>
      <c r="G57" s="5">
        <f t="shared" ref="G57" si="13">F57*($B$72/100)</f>
        <v>0</v>
      </c>
      <c r="J57">
        <v>0</v>
      </c>
      <c r="K57" s="5">
        <f t="shared" ref="K57" si="14">J57*($B$72/100)</f>
        <v>0</v>
      </c>
      <c r="M57" t="s">
        <v>38</v>
      </c>
      <c r="N57">
        <v>10</v>
      </c>
      <c r="O57" s="5">
        <f t="shared" ref="O57" si="15">N57*($B$72/100)</f>
        <v>1.2</v>
      </c>
      <c r="Q57" t="s">
        <v>1079</v>
      </c>
      <c r="R57">
        <v>5</v>
      </c>
      <c r="S57" s="5">
        <f t="shared" ref="S57" si="16">R57*($B$72/100)</f>
        <v>0.6</v>
      </c>
      <c r="U57" t="s">
        <v>22</v>
      </c>
      <c r="V57">
        <v>5</v>
      </c>
      <c r="W57" s="5">
        <f t="shared" ref="W57" si="17">V57*($B$72/100)</f>
        <v>0.6</v>
      </c>
    </row>
    <row r="58" spans="1:23" x14ac:dyDescent="0.2">
      <c r="C58" s="5">
        <f t="shared" ref="C58:C60" si="18">B58*($B$54/100)</f>
        <v>0</v>
      </c>
      <c r="G58" s="5">
        <f t="shared" ref="G58:G60" si="19">F58*($B$54/100)</f>
        <v>0</v>
      </c>
      <c r="K58" s="5">
        <f t="shared" ref="K58:K60" si="20">J58*($B$54/100)</f>
        <v>0</v>
      </c>
      <c r="O58" s="5">
        <f t="shared" ref="O58:O60" si="21">N58*($B$54/100)</f>
        <v>0</v>
      </c>
      <c r="S58" s="5">
        <f t="shared" ref="S58:S60" si="22">R58*($B$54/100)</f>
        <v>0</v>
      </c>
      <c r="W58" s="5">
        <f t="shared" ref="W58:W60" si="23">V58*($B$54/100)</f>
        <v>0</v>
      </c>
    </row>
    <row r="59" spans="1:23" x14ac:dyDescent="0.2">
      <c r="C59" s="5">
        <f t="shared" si="18"/>
        <v>0</v>
      </c>
      <c r="G59" s="5">
        <f t="shared" si="19"/>
        <v>0</v>
      </c>
      <c r="K59" s="5">
        <f t="shared" si="20"/>
        <v>0</v>
      </c>
      <c r="O59" s="5">
        <f t="shared" si="21"/>
        <v>0</v>
      </c>
      <c r="S59" s="5">
        <f t="shared" si="22"/>
        <v>0</v>
      </c>
      <c r="W59" s="5">
        <f t="shared" si="23"/>
        <v>0</v>
      </c>
    </row>
    <row r="60" spans="1:23" x14ac:dyDescent="0.2">
      <c r="C60" s="5">
        <f t="shared" si="18"/>
        <v>0</v>
      </c>
      <c r="G60" s="5">
        <f t="shared" si="19"/>
        <v>0</v>
      </c>
      <c r="K60" s="5">
        <f t="shared" si="20"/>
        <v>0</v>
      </c>
      <c r="O60" s="5">
        <f t="shared" si="21"/>
        <v>0</v>
      </c>
      <c r="S60" s="5">
        <f t="shared" si="22"/>
        <v>0</v>
      </c>
      <c r="W60" s="5">
        <f t="shared" si="23"/>
        <v>0</v>
      </c>
    </row>
    <row r="61" spans="1:23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3" spans="1:23" x14ac:dyDescent="0.2">
      <c r="A63" s="5" t="s">
        <v>1082</v>
      </c>
      <c r="B63" s="26">
        <f>VLOOKUP(A63,refData!$N:$O,2,FALSE)</f>
        <v>10</v>
      </c>
      <c r="C63" s="12" t="b">
        <f>(B65+F65+J65+N65+R65+V65)=100</f>
        <v>1</v>
      </c>
    </row>
    <row r="64" spans="1:23" x14ac:dyDescent="0.2">
      <c r="A64" s="3" t="s">
        <v>1078</v>
      </c>
      <c r="B64" s="12" t="b">
        <f>B65=SUM(B66:B70)</f>
        <v>1</v>
      </c>
      <c r="E64" s="3" t="s">
        <v>1078</v>
      </c>
      <c r="F64" s="12" t="b">
        <f>F65=SUM(F66:F70)</f>
        <v>1</v>
      </c>
      <c r="I64" s="3" t="s">
        <v>1078</v>
      </c>
      <c r="J64" s="12" t="b">
        <f>J65=SUM(J66:J70)</f>
        <v>1</v>
      </c>
      <c r="M64" s="3" t="s">
        <v>1078</v>
      </c>
      <c r="N64" s="12" t="b">
        <f>N65=SUM(N66:N70)</f>
        <v>1</v>
      </c>
      <c r="Q64" s="3" t="s">
        <v>1078</v>
      </c>
      <c r="R64" s="12" t="b">
        <f>R65=SUM(R66:R70)</f>
        <v>1</v>
      </c>
      <c r="U64" s="3" t="s">
        <v>1078</v>
      </c>
      <c r="V64" s="12" t="b">
        <f>V65=SUM(V66:V70)</f>
        <v>1</v>
      </c>
    </row>
    <row r="65" spans="1:23" s="5" customFormat="1" x14ac:dyDescent="0.2">
      <c r="A65" s="5" t="s">
        <v>28</v>
      </c>
      <c r="B65" s="5">
        <v>45</v>
      </c>
      <c r="C65" s="5">
        <f>B65*($B$63/100)</f>
        <v>4.5</v>
      </c>
      <c r="E65" s="5" t="s">
        <v>19</v>
      </c>
      <c r="F65" s="5">
        <v>25</v>
      </c>
      <c r="G65" s="5">
        <f>F65*($B$63/100)</f>
        <v>2.5</v>
      </c>
      <c r="I65" s="5" t="s">
        <v>55</v>
      </c>
      <c r="J65" s="5">
        <v>0</v>
      </c>
      <c r="K65" s="5">
        <f>J65*($B$63/100)</f>
        <v>0</v>
      </c>
      <c r="M65" s="5" t="s">
        <v>39</v>
      </c>
      <c r="N65" s="5">
        <v>20</v>
      </c>
      <c r="O65" s="5">
        <f>N65*($B$63/100)</f>
        <v>2</v>
      </c>
      <c r="Q65" s="5" t="s">
        <v>1042</v>
      </c>
      <c r="R65" s="5">
        <v>5</v>
      </c>
      <c r="S65" s="5">
        <f>R65*($B$63/100)</f>
        <v>0.5</v>
      </c>
      <c r="U65" s="5" t="s">
        <v>22</v>
      </c>
      <c r="V65" s="5">
        <v>5</v>
      </c>
      <c r="W65" s="5">
        <f>V65*($B$63/100)</f>
        <v>0.5</v>
      </c>
    </row>
    <row r="66" spans="1:23" x14ac:dyDescent="0.2">
      <c r="A66" s="9" t="s">
        <v>78</v>
      </c>
      <c r="B66">
        <v>45</v>
      </c>
      <c r="C66" s="5">
        <f t="shared" ref="C66:C69" si="24">B66*($B$63/100)</f>
        <v>4.5</v>
      </c>
      <c r="E66" t="s">
        <v>31</v>
      </c>
      <c r="F66">
        <v>13</v>
      </c>
      <c r="G66" s="5">
        <f t="shared" ref="G66:G69" si="25">F66*($B$63/100)</f>
        <v>1.3</v>
      </c>
      <c r="K66" s="5">
        <f t="shared" ref="K66:K69" si="26">J66*($B$63/100)</f>
        <v>0</v>
      </c>
      <c r="M66" t="s">
        <v>38</v>
      </c>
      <c r="N66">
        <v>20</v>
      </c>
      <c r="O66" s="5">
        <f t="shared" ref="O66:O69" si="27">N66*($B$63/100)</f>
        <v>2</v>
      </c>
      <c r="Q66" t="s">
        <v>1079</v>
      </c>
      <c r="R66">
        <v>5</v>
      </c>
      <c r="S66" s="5">
        <f t="shared" ref="S66:S69" si="28">R66*($B$63/100)</f>
        <v>0.5</v>
      </c>
      <c r="U66" t="s">
        <v>22</v>
      </c>
      <c r="V66">
        <v>5</v>
      </c>
      <c r="W66" s="5">
        <f t="shared" ref="W66:W69" si="29">V66*($B$63/100)</f>
        <v>0.5</v>
      </c>
    </row>
    <row r="67" spans="1:23" x14ac:dyDescent="0.2">
      <c r="C67" s="5">
        <f t="shared" si="24"/>
        <v>0</v>
      </c>
      <c r="E67" t="s">
        <v>48</v>
      </c>
      <c r="F67">
        <v>12</v>
      </c>
      <c r="G67" s="5">
        <f t="shared" si="25"/>
        <v>1.2000000000000002</v>
      </c>
      <c r="K67" s="5">
        <f t="shared" si="26"/>
        <v>0</v>
      </c>
      <c r="O67" s="5">
        <f t="shared" si="27"/>
        <v>0</v>
      </c>
      <c r="S67" s="5">
        <f t="shared" si="28"/>
        <v>0</v>
      </c>
      <c r="W67" s="5">
        <f t="shared" si="29"/>
        <v>0</v>
      </c>
    </row>
    <row r="68" spans="1:23" x14ac:dyDescent="0.2">
      <c r="C68" s="5">
        <f t="shared" si="24"/>
        <v>0</v>
      </c>
      <c r="G68" s="5">
        <f t="shared" si="25"/>
        <v>0</v>
      </c>
      <c r="K68" s="5">
        <f t="shared" si="26"/>
        <v>0</v>
      </c>
      <c r="O68" s="5">
        <f t="shared" si="27"/>
        <v>0</v>
      </c>
      <c r="S68" s="5">
        <f t="shared" si="28"/>
        <v>0</v>
      </c>
      <c r="W68" s="5">
        <f t="shared" si="29"/>
        <v>0</v>
      </c>
    </row>
    <row r="69" spans="1:23" x14ac:dyDescent="0.2">
      <c r="C69" s="5">
        <f t="shared" si="24"/>
        <v>0</v>
      </c>
      <c r="G69" s="5">
        <f t="shared" si="25"/>
        <v>0</v>
      </c>
      <c r="K69" s="5">
        <f t="shared" si="26"/>
        <v>0</v>
      </c>
      <c r="O69" s="5">
        <f t="shared" si="27"/>
        <v>0</v>
      </c>
      <c r="S69" s="5">
        <f t="shared" si="28"/>
        <v>0</v>
      </c>
      <c r="W69" s="5">
        <f t="shared" si="29"/>
        <v>0</v>
      </c>
    </row>
    <row r="70" spans="1:23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2" spans="1:23" x14ac:dyDescent="0.2">
      <c r="A72" s="5" t="s">
        <v>1083</v>
      </c>
      <c r="B72" s="26">
        <f>VLOOKUP(A72,refData!$N:$O,2,FALSE)</f>
        <v>12</v>
      </c>
      <c r="C72" s="12" t="b">
        <f>(B74+F74+J74+N74+R74+V74)=100</f>
        <v>1</v>
      </c>
    </row>
    <row r="73" spans="1:23" x14ac:dyDescent="0.2">
      <c r="A73" s="3" t="s">
        <v>1078</v>
      </c>
      <c r="B73" s="12" t="b">
        <f>B74=SUM(B75:B79)</f>
        <v>1</v>
      </c>
      <c r="E73" s="3" t="s">
        <v>1078</v>
      </c>
      <c r="F73" s="12" t="b">
        <f>F74=SUM(F75:F79)</f>
        <v>1</v>
      </c>
      <c r="I73" s="3" t="s">
        <v>1078</v>
      </c>
      <c r="J73" s="12" t="b">
        <f>J74=SUM(J75:J79)</f>
        <v>1</v>
      </c>
      <c r="M73" s="3" t="s">
        <v>1078</v>
      </c>
      <c r="N73" s="12" t="b">
        <f>N74=SUM(N75:N79)</f>
        <v>1</v>
      </c>
      <c r="Q73" s="3" t="s">
        <v>1078</v>
      </c>
      <c r="R73" s="12" t="b">
        <f>R74=SUM(R75:R79)</f>
        <v>1</v>
      </c>
      <c r="U73" s="3" t="s">
        <v>1078</v>
      </c>
      <c r="V73" s="12" t="b">
        <f>V74=SUM(V75:V79)</f>
        <v>1</v>
      </c>
    </row>
    <row r="74" spans="1:23" s="5" customFormat="1" x14ac:dyDescent="0.2">
      <c r="A74" s="5" t="s">
        <v>28</v>
      </c>
      <c r="B74" s="5">
        <v>80</v>
      </c>
      <c r="C74" s="5">
        <f>B74*($B$72/100)</f>
        <v>9.6</v>
      </c>
      <c r="E74" s="5" t="s">
        <v>19</v>
      </c>
      <c r="F74" s="5">
        <v>0</v>
      </c>
      <c r="G74" s="5">
        <f>F74*($B$72/100)</f>
        <v>0</v>
      </c>
      <c r="I74" s="5" t="s">
        <v>55</v>
      </c>
      <c r="J74" s="5">
        <v>0</v>
      </c>
      <c r="K74" s="5">
        <f>J74*($B$72/100)</f>
        <v>0</v>
      </c>
      <c r="M74" s="5" t="s">
        <v>39</v>
      </c>
      <c r="N74" s="5">
        <v>10</v>
      </c>
      <c r="O74" s="5">
        <f>N74*($B$72/100)</f>
        <v>1.2</v>
      </c>
      <c r="Q74" s="5" t="s">
        <v>1042</v>
      </c>
      <c r="R74" s="5">
        <v>5</v>
      </c>
      <c r="S74" s="5">
        <f>R74*($B$72/100)</f>
        <v>0.6</v>
      </c>
      <c r="U74" s="5" t="s">
        <v>22</v>
      </c>
      <c r="V74" s="5">
        <v>5</v>
      </c>
      <c r="W74" s="5">
        <f>V74*($B$72/100)</f>
        <v>0.6</v>
      </c>
    </row>
    <row r="75" spans="1:23" x14ac:dyDescent="0.2">
      <c r="A75" s="9" t="s">
        <v>35</v>
      </c>
      <c r="B75">
        <v>80</v>
      </c>
      <c r="C75" s="5">
        <f t="shared" ref="C75:C78" si="30">B75*($B$72/100)</f>
        <v>9.6</v>
      </c>
      <c r="G75" s="5">
        <f t="shared" ref="G75:G78" si="31">F75*($B$72/100)</f>
        <v>0</v>
      </c>
      <c r="J75">
        <v>0</v>
      </c>
      <c r="K75" s="5">
        <f t="shared" ref="K75:K78" si="32">J75*($B$72/100)</f>
        <v>0</v>
      </c>
      <c r="M75" t="s">
        <v>38</v>
      </c>
      <c r="N75">
        <v>10</v>
      </c>
      <c r="O75" s="5">
        <f t="shared" ref="O75:O78" si="33">N75*($B$72/100)</f>
        <v>1.2</v>
      </c>
      <c r="Q75" t="s">
        <v>1079</v>
      </c>
      <c r="R75">
        <v>5</v>
      </c>
      <c r="S75" s="5">
        <f t="shared" ref="S75:S78" si="34">R75*($B$72/100)</f>
        <v>0.6</v>
      </c>
      <c r="U75" t="s">
        <v>22</v>
      </c>
      <c r="V75">
        <v>5</v>
      </c>
      <c r="W75" s="5">
        <f t="shared" ref="W75:W78" si="35">V75*($B$72/100)</f>
        <v>0.6</v>
      </c>
    </row>
    <row r="76" spans="1:23" x14ac:dyDescent="0.2">
      <c r="C76" s="5">
        <f t="shared" si="30"/>
        <v>0</v>
      </c>
      <c r="G76" s="5">
        <f t="shared" si="31"/>
        <v>0</v>
      </c>
      <c r="K76" s="5">
        <f t="shared" si="32"/>
        <v>0</v>
      </c>
      <c r="O76" s="5">
        <f t="shared" si="33"/>
        <v>0</v>
      </c>
      <c r="S76" s="5">
        <f t="shared" si="34"/>
        <v>0</v>
      </c>
      <c r="W76" s="5">
        <f t="shared" si="35"/>
        <v>0</v>
      </c>
    </row>
    <row r="77" spans="1:23" x14ac:dyDescent="0.2">
      <c r="C77" s="5">
        <f t="shared" si="30"/>
        <v>0</v>
      </c>
      <c r="G77" s="5">
        <f t="shared" si="31"/>
        <v>0</v>
      </c>
      <c r="K77" s="5">
        <f t="shared" si="32"/>
        <v>0</v>
      </c>
      <c r="O77" s="5">
        <f t="shared" si="33"/>
        <v>0</v>
      </c>
      <c r="S77" s="5">
        <f t="shared" si="34"/>
        <v>0</v>
      </c>
      <c r="W77" s="5">
        <f t="shared" si="35"/>
        <v>0</v>
      </c>
    </row>
    <row r="78" spans="1:23" x14ac:dyDescent="0.2">
      <c r="C78" s="5">
        <f t="shared" si="30"/>
        <v>0</v>
      </c>
      <c r="G78" s="5">
        <f t="shared" si="31"/>
        <v>0</v>
      </c>
      <c r="K78" s="5">
        <f t="shared" si="32"/>
        <v>0</v>
      </c>
      <c r="O78" s="5">
        <f t="shared" si="33"/>
        <v>0</v>
      </c>
      <c r="S78" s="5">
        <f t="shared" si="34"/>
        <v>0</v>
      </c>
      <c r="W78" s="5">
        <f t="shared" si="35"/>
        <v>0</v>
      </c>
    </row>
    <row r="79" spans="1:23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1" spans="1:23" x14ac:dyDescent="0.2">
      <c r="A81" s="5" t="s">
        <v>1084</v>
      </c>
      <c r="B81" s="26">
        <f>VLOOKUP(A81,refData!$N:$O,2,FALSE)</f>
        <v>14</v>
      </c>
      <c r="C81" s="12" t="b">
        <f>(B83+F83+J83+N83+R83+V83)=100</f>
        <v>1</v>
      </c>
    </row>
    <row r="82" spans="1:23" x14ac:dyDescent="0.2">
      <c r="A82" s="3" t="s">
        <v>1078</v>
      </c>
      <c r="B82" s="12" t="b">
        <f>B83=SUM(B84:B88)</f>
        <v>1</v>
      </c>
      <c r="E82" s="3" t="s">
        <v>1078</v>
      </c>
      <c r="F82" s="12" t="b">
        <f>F83=SUM(F84:F88)</f>
        <v>1</v>
      </c>
      <c r="I82" s="3" t="s">
        <v>1078</v>
      </c>
      <c r="J82" s="12" t="b">
        <f>J83=SUM(J84:J88)</f>
        <v>1</v>
      </c>
      <c r="M82" s="3" t="s">
        <v>1078</v>
      </c>
      <c r="N82" s="12" t="b">
        <f>N83=SUM(N84:N88)</f>
        <v>1</v>
      </c>
      <c r="Q82" s="3" t="s">
        <v>1078</v>
      </c>
      <c r="R82" s="12" t="b">
        <f>R83=SUM(R84:R88)</f>
        <v>1</v>
      </c>
      <c r="U82" s="3" t="s">
        <v>1078</v>
      </c>
      <c r="V82" s="12" t="b">
        <f>V83=SUM(V84:V88)</f>
        <v>1</v>
      </c>
    </row>
    <row r="83" spans="1:23" s="5" customFormat="1" x14ac:dyDescent="0.2">
      <c r="A83" s="5" t="s">
        <v>28</v>
      </c>
      <c r="B83" s="5">
        <v>50</v>
      </c>
      <c r="C83" s="5">
        <f>B83*($B$81/100)</f>
        <v>7.0000000000000009</v>
      </c>
      <c r="E83" s="5" t="s">
        <v>19</v>
      </c>
      <c r="F83" s="5">
        <v>0</v>
      </c>
      <c r="G83" s="5">
        <f>F83*($B$81/100)</f>
        <v>0</v>
      </c>
      <c r="I83" s="5" t="s">
        <v>55</v>
      </c>
      <c r="J83" s="5">
        <v>20</v>
      </c>
      <c r="K83" s="5">
        <f>J83*($B$81/100)</f>
        <v>2.8000000000000003</v>
      </c>
      <c r="M83" s="5" t="s">
        <v>39</v>
      </c>
      <c r="N83" s="5">
        <v>20</v>
      </c>
      <c r="O83" s="5">
        <f>N83*($B$81/100)</f>
        <v>2.8000000000000003</v>
      </c>
      <c r="Q83" s="5" t="s">
        <v>1042</v>
      </c>
      <c r="R83" s="5">
        <v>5</v>
      </c>
      <c r="S83" s="5">
        <f>R83*($B$81/100)</f>
        <v>0.70000000000000007</v>
      </c>
      <c r="U83" s="5" t="s">
        <v>22</v>
      </c>
      <c r="V83" s="5">
        <v>5</v>
      </c>
      <c r="W83" s="5">
        <f>V83*($B$81/100)</f>
        <v>0.70000000000000007</v>
      </c>
    </row>
    <row r="84" spans="1:23" x14ac:dyDescent="0.2">
      <c r="A84" s="9" t="s">
        <v>41</v>
      </c>
      <c r="B84">
        <v>25</v>
      </c>
      <c r="C84" s="5">
        <f t="shared" ref="C84:C87" si="36">B84*($B$81/100)</f>
        <v>3.5000000000000004</v>
      </c>
      <c r="G84" s="5">
        <f t="shared" ref="G84:G87" si="37">F84*($B$81/100)</f>
        <v>0</v>
      </c>
      <c r="I84" t="s">
        <v>90</v>
      </c>
      <c r="J84">
        <v>20</v>
      </c>
      <c r="K84" s="5">
        <f t="shared" ref="K84:K87" si="38">J84*($B$81/100)</f>
        <v>2.8000000000000003</v>
      </c>
      <c r="M84" t="s">
        <v>38</v>
      </c>
      <c r="N84">
        <v>20</v>
      </c>
      <c r="O84" s="5">
        <f t="shared" ref="O84:O87" si="39">N84*($B$81/100)</f>
        <v>2.8000000000000003</v>
      </c>
      <c r="Q84" t="s">
        <v>1079</v>
      </c>
      <c r="R84">
        <v>5</v>
      </c>
      <c r="S84" s="5">
        <f t="shared" ref="S84:S87" si="40">R84*($B$81/100)</f>
        <v>0.70000000000000007</v>
      </c>
      <c r="U84" t="s">
        <v>22</v>
      </c>
      <c r="V84">
        <v>5</v>
      </c>
      <c r="W84" s="5">
        <f t="shared" ref="W84:W87" si="41">V84*($B$81/100)</f>
        <v>0.70000000000000007</v>
      </c>
    </row>
    <row r="85" spans="1:23" x14ac:dyDescent="0.2">
      <c r="C85" s="5">
        <f t="shared" si="36"/>
        <v>0</v>
      </c>
      <c r="G85" s="5">
        <f t="shared" si="37"/>
        <v>0</v>
      </c>
      <c r="K85" s="5">
        <f t="shared" si="38"/>
        <v>0</v>
      </c>
      <c r="O85" s="5">
        <f t="shared" si="39"/>
        <v>0</v>
      </c>
      <c r="S85" s="5">
        <f t="shared" si="40"/>
        <v>0</v>
      </c>
      <c r="W85" s="5">
        <f t="shared" si="41"/>
        <v>0</v>
      </c>
    </row>
    <row r="86" spans="1:23" x14ac:dyDescent="0.2">
      <c r="A86" s="9" t="s">
        <v>58</v>
      </c>
      <c r="B86">
        <v>25</v>
      </c>
      <c r="C86" s="5">
        <f t="shared" si="36"/>
        <v>3.5000000000000004</v>
      </c>
      <c r="G86" s="5">
        <f t="shared" si="37"/>
        <v>0</v>
      </c>
      <c r="K86" s="5">
        <f t="shared" si="38"/>
        <v>0</v>
      </c>
      <c r="O86" s="5">
        <f t="shared" si="39"/>
        <v>0</v>
      </c>
      <c r="S86" s="5">
        <f t="shared" si="40"/>
        <v>0</v>
      </c>
      <c r="W86" s="5">
        <f t="shared" si="41"/>
        <v>0</v>
      </c>
    </row>
    <row r="87" spans="1:23" x14ac:dyDescent="0.2">
      <c r="C87" s="5">
        <f t="shared" si="36"/>
        <v>0</v>
      </c>
      <c r="G87" s="5">
        <f t="shared" si="37"/>
        <v>0</v>
      </c>
      <c r="K87" s="5">
        <f t="shared" si="38"/>
        <v>0</v>
      </c>
      <c r="O87" s="5">
        <f t="shared" si="39"/>
        <v>0</v>
      </c>
      <c r="S87" s="5">
        <f t="shared" si="40"/>
        <v>0</v>
      </c>
      <c r="W87" s="5">
        <f t="shared" si="41"/>
        <v>0</v>
      </c>
    </row>
    <row r="88" spans="1:23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</sheetData>
  <conditionalFormatting sqref="B22 F22 J22 N22 R22 V22 B35 F35 J35 N35 R35 V35 B64 F64 J64 N64 R64 V64 B73 F73 J73 N73 R73 V73 B82 F82 J82 N82 R82 V82">
    <cfRule type="cellIs" dxfId="7" priority="8" operator="equal">
      <formula>TRUE</formula>
    </cfRule>
  </conditionalFormatting>
  <conditionalFormatting sqref="B55 F55 J55 N55 R55 V55">
    <cfRule type="cellIs" dxfId="6" priority="2" operator="equal">
      <formula>TRUE</formula>
    </cfRule>
  </conditionalFormatting>
  <conditionalFormatting sqref="C21">
    <cfRule type="cellIs" dxfId="5" priority="7" operator="equal">
      <formula>TRUE</formula>
    </cfRule>
  </conditionalFormatting>
  <conditionalFormatting sqref="C34">
    <cfRule type="cellIs" dxfId="4" priority="6" operator="equal">
      <formula>TRUE</formula>
    </cfRule>
  </conditionalFormatting>
  <conditionalFormatting sqref="C54">
    <cfRule type="cellIs" dxfId="3" priority="1" operator="equal">
      <formula>TRUE</formula>
    </cfRule>
  </conditionalFormatting>
  <conditionalFormatting sqref="C63">
    <cfRule type="cellIs" dxfId="2" priority="3" operator="equal">
      <formula>TRUE</formula>
    </cfRule>
  </conditionalFormatting>
  <conditionalFormatting sqref="C72">
    <cfRule type="cellIs" dxfId="1" priority="5" operator="equal">
      <formula>TRUE</formula>
    </cfRule>
  </conditionalFormatting>
  <conditionalFormatting sqref="C81">
    <cfRule type="cellIs" dxfId="0" priority="4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demand</vt:lpstr>
      <vt:lpstr>refData</vt:lpstr>
      <vt:lpstr>demand_resp&amp;weights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2026-02-14T11:31:24Z</dcterms:created>
  <dcterms:modified xsi:type="dcterms:W3CDTF">2026-02-22T22:11:31Z</dcterms:modified>
</cp:coreProperties>
</file>