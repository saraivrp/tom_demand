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-projects/ctt/tom_demand/data/input/"/>
    </mc:Choice>
  </mc:AlternateContent>
  <xr:revisionPtr revIDLastSave="0" documentId="13_ncr:1_{EB012927-4854-4641-8A0E-A34D496FC141}" xr6:coauthVersionLast="47" xr6:coauthVersionMax="47" xr10:uidLastSave="{00000000-0000-0000-0000-000000000000}"/>
  <bookViews>
    <workbookView xWindow="0" yWindow="700" windowWidth="30240" windowHeight="18560" activeTab="3" xr2:uid="{9D2BC160-0631-EE46-87AB-AABB69ACE5D9}"/>
  </bookViews>
  <sheets>
    <sheet name="DEMAND WEIGHTS" sheetId="4" r:id="rId1"/>
    <sheet name="weights_rs" sheetId="1" r:id="rId2"/>
    <sheet name="weights_ra" sheetId="2" r:id="rId3"/>
    <sheet name="EXPORT-CSV-RA" sheetId="5" r:id="rId4"/>
    <sheet name="ideas" sheetId="3" r:id="rId5"/>
  </sheets>
  <definedNames>
    <definedName name="_xlnm._FilterDatabase" localSheetId="4" hidden="1">ideas!$A$1:$K$21</definedName>
    <definedName name="_xlnm._FilterDatabase" localSheetId="2" hidden="1">weights_ra!$B$2:$G$204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J13" i="2"/>
  <c r="J12" i="2"/>
  <c r="J11" i="2"/>
  <c r="J10" i="2"/>
  <c r="M14" i="2"/>
  <c r="M13" i="2"/>
  <c r="M12" i="2"/>
  <c r="M11" i="2"/>
  <c r="M10" i="2"/>
  <c r="M9" i="2"/>
  <c r="F204" i="2"/>
  <c r="F203" i="2"/>
  <c r="E203" i="2" s="1"/>
  <c r="F202" i="2"/>
  <c r="E202" i="2" s="1"/>
  <c r="F201" i="2"/>
  <c r="E201" i="2" s="1"/>
  <c r="F200" i="2"/>
  <c r="E200" i="2" s="1"/>
  <c r="F199" i="2"/>
  <c r="E199" i="2" s="1"/>
  <c r="F198" i="2"/>
  <c r="E198" i="2" s="1"/>
  <c r="F197" i="2"/>
  <c r="E197" i="2" s="1"/>
  <c r="F196" i="2"/>
  <c r="E196" i="2" s="1"/>
  <c r="F195" i="2"/>
  <c r="E195" i="2" s="1"/>
  <c r="F194" i="2"/>
  <c r="F193" i="2"/>
  <c r="E193" i="2" s="1"/>
  <c r="F192" i="2"/>
  <c r="E192" i="2" s="1"/>
  <c r="F191" i="2"/>
  <c r="E191" i="2" s="1"/>
  <c r="F190" i="2"/>
  <c r="E190" i="2" s="1"/>
  <c r="F189" i="2"/>
  <c r="E189" i="2" s="1"/>
  <c r="F188" i="2"/>
  <c r="E188" i="2" s="1"/>
  <c r="F187" i="2"/>
  <c r="E187" i="2" s="1"/>
  <c r="F186" i="2"/>
  <c r="E186" i="2" s="1"/>
  <c r="F185" i="2"/>
  <c r="E185" i="2" s="1"/>
  <c r="F184" i="2"/>
  <c r="F183" i="2"/>
  <c r="E183" i="2" s="1"/>
  <c r="F182" i="2"/>
  <c r="E182" i="2" s="1"/>
  <c r="F181" i="2"/>
  <c r="E181" i="2" s="1"/>
  <c r="F180" i="2"/>
  <c r="E180" i="2" s="1"/>
  <c r="F179" i="2"/>
  <c r="E179" i="2" s="1"/>
  <c r="F178" i="2"/>
  <c r="E178" i="2" s="1"/>
  <c r="F177" i="2"/>
  <c r="E177" i="2" s="1"/>
  <c r="F176" i="2"/>
  <c r="E176" i="2" s="1"/>
  <c r="F175" i="2"/>
  <c r="E175" i="2" s="1"/>
  <c r="F174" i="2"/>
  <c r="F173" i="2"/>
  <c r="E173" i="2" s="1"/>
  <c r="F172" i="2"/>
  <c r="E172" i="2" s="1"/>
  <c r="F171" i="2"/>
  <c r="E171" i="2" s="1"/>
  <c r="F170" i="2"/>
  <c r="E170" i="2" s="1"/>
  <c r="F169" i="2"/>
  <c r="E169" i="2" s="1"/>
  <c r="F168" i="2"/>
  <c r="E168" i="2" s="1"/>
  <c r="F167" i="2"/>
  <c r="E167" i="2" s="1"/>
  <c r="F166" i="2"/>
  <c r="E166" i="2" s="1"/>
  <c r="F165" i="2"/>
  <c r="E165" i="2" s="1"/>
  <c r="F164" i="2"/>
  <c r="F163" i="2"/>
  <c r="E163" i="2" s="1"/>
  <c r="F162" i="2"/>
  <c r="E162" i="2" s="1"/>
  <c r="F161" i="2"/>
  <c r="E161" i="2" s="1"/>
  <c r="F160" i="2"/>
  <c r="E160" i="2" s="1"/>
  <c r="F159" i="2"/>
  <c r="E159" i="2" s="1"/>
  <c r="F158" i="2"/>
  <c r="E158" i="2" s="1"/>
  <c r="F157" i="2"/>
  <c r="E157" i="2" s="1"/>
  <c r="F156" i="2"/>
  <c r="E156" i="2" s="1"/>
  <c r="F155" i="2"/>
  <c r="E155" i="2" s="1"/>
  <c r="F154" i="2"/>
  <c r="F153" i="2"/>
  <c r="E153" i="2" s="1"/>
  <c r="F152" i="2"/>
  <c r="E152" i="2" s="1"/>
  <c r="F151" i="2"/>
  <c r="E151" i="2" s="1"/>
  <c r="F150" i="2"/>
  <c r="E150" i="2" s="1"/>
  <c r="F149" i="2"/>
  <c r="E149" i="2" s="1"/>
  <c r="F148" i="2"/>
  <c r="E148" i="2" s="1"/>
  <c r="F147" i="2"/>
  <c r="E147" i="2" s="1"/>
  <c r="F146" i="2"/>
  <c r="E146" i="2" s="1"/>
  <c r="F145" i="2"/>
  <c r="E145" i="2" s="1"/>
  <c r="F144" i="2"/>
  <c r="F143" i="2"/>
  <c r="E143" i="2" s="1"/>
  <c r="F142" i="2"/>
  <c r="E142" i="2" s="1"/>
  <c r="F141" i="2"/>
  <c r="E141" i="2" s="1"/>
  <c r="F140" i="2"/>
  <c r="E140" i="2" s="1"/>
  <c r="F139" i="2"/>
  <c r="E139" i="2" s="1"/>
  <c r="F138" i="2"/>
  <c r="E138" i="2" s="1"/>
  <c r="F137" i="2"/>
  <c r="E137" i="2" s="1"/>
  <c r="F136" i="2"/>
  <c r="E136" i="2" s="1"/>
  <c r="F135" i="2"/>
  <c r="E135" i="2" s="1"/>
  <c r="F134" i="2"/>
  <c r="F133" i="2"/>
  <c r="E133" i="2" s="1"/>
  <c r="F132" i="2"/>
  <c r="E132" i="2" s="1"/>
  <c r="F131" i="2"/>
  <c r="E131" i="2" s="1"/>
  <c r="F130" i="2"/>
  <c r="E130" i="2" s="1"/>
  <c r="F129" i="2"/>
  <c r="E129" i="2" s="1"/>
  <c r="F128" i="2"/>
  <c r="E128" i="2" s="1"/>
  <c r="F127" i="2"/>
  <c r="E127" i="2" s="1"/>
  <c r="F126" i="2"/>
  <c r="E126" i="2" s="1"/>
  <c r="F125" i="2"/>
  <c r="E125" i="2" s="1"/>
  <c r="F124" i="2"/>
  <c r="E124" i="2" s="1"/>
  <c r="F123" i="2"/>
  <c r="E123" i="2" s="1"/>
  <c r="F122" i="2"/>
  <c r="E122" i="2" s="1"/>
  <c r="F121" i="2"/>
  <c r="E121" i="2" s="1"/>
  <c r="F120" i="2"/>
  <c r="E120" i="2" s="1"/>
  <c r="F119" i="2"/>
  <c r="E119" i="2" s="1"/>
  <c r="F118" i="2"/>
  <c r="E118" i="2" s="1"/>
  <c r="F117" i="2"/>
  <c r="E117" i="2" s="1"/>
  <c r="F116" i="2"/>
  <c r="E116" i="2" s="1"/>
  <c r="F115" i="2"/>
  <c r="E115" i="2" s="1"/>
  <c r="F114" i="2"/>
  <c r="F113" i="2"/>
  <c r="E113" i="2" s="1"/>
  <c r="F112" i="2"/>
  <c r="E112" i="2" s="1"/>
  <c r="F111" i="2"/>
  <c r="E111" i="2" s="1"/>
  <c r="F110" i="2"/>
  <c r="E110" i="2" s="1"/>
  <c r="F109" i="2"/>
  <c r="E109" i="2" s="1"/>
  <c r="F108" i="2"/>
  <c r="E108" i="2" s="1"/>
  <c r="F107" i="2"/>
  <c r="E107" i="2" s="1"/>
  <c r="F106" i="2"/>
  <c r="E106" i="2" s="1"/>
  <c r="F105" i="2"/>
  <c r="E105" i="2" s="1"/>
  <c r="F104" i="2"/>
  <c r="F103" i="2"/>
  <c r="E103" i="2" s="1"/>
  <c r="F102" i="2"/>
  <c r="E102" i="2" s="1"/>
  <c r="F101" i="2"/>
  <c r="E101" i="2" s="1"/>
  <c r="F100" i="2"/>
  <c r="E100" i="2" s="1"/>
  <c r="F99" i="2"/>
  <c r="E99" i="2" s="1"/>
  <c r="F98" i="2"/>
  <c r="E98" i="2" s="1"/>
  <c r="F97" i="2"/>
  <c r="E97" i="2" s="1"/>
  <c r="F96" i="2"/>
  <c r="E96" i="2" s="1"/>
  <c r="F95" i="2"/>
  <c r="E95" i="2" s="1"/>
  <c r="F94" i="2"/>
  <c r="E94" i="2" s="1"/>
  <c r="F93" i="2"/>
  <c r="E93" i="2" s="1"/>
  <c r="F92" i="2"/>
  <c r="E92" i="2" s="1"/>
  <c r="F91" i="2"/>
  <c r="E91" i="2" s="1"/>
  <c r="F90" i="2"/>
  <c r="E90" i="2" s="1"/>
  <c r="F89" i="2"/>
  <c r="E89" i="2" s="1"/>
  <c r="F88" i="2"/>
  <c r="E88" i="2" s="1"/>
  <c r="F87" i="2"/>
  <c r="E87" i="2" s="1"/>
  <c r="F86" i="2"/>
  <c r="E86" i="2" s="1"/>
  <c r="F85" i="2"/>
  <c r="E85" i="2" s="1"/>
  <c r="F84" i="2"/>
  <c r="E84" i="2" s="1"/>
  <c r="F83" i="2"/>
  <c r="E83" i="2" s="1"/>
  <c r="F82" i="2"/>
  <c r="E82" i="2" s="1"/>
  <c r="F81" i="2"/>
  <c r="E81" i="2" s="1"/>
  <c r="F80" i="2"/>
  <c r="E80" i="2" s="1"/>
  <c r="F79" i="2"/>
  <c r="E79" i="2" s="1"/>
  <c r="F78" i="2"/>
  <c r="E78" i="2" s="1"/>
  <c r="F77" i="2"/>
  <c r="E77" i="2" s="1"/>
  <c r="F76" i="2"/>
  <c r="E76" i="2" s="1"/>
  <c r="F75" i="2"/>
  <c r="E75" i="2" s="1"/>
  <c r="F74" i="2"/>
  <c r="F73" i="2"/>
  <c r="E73" i="2" s="1"/>
  <c r="F72" i="2"/>
  <c r="E72" i="2" s="1"/>
  <c r="F71" i="2"/>
  <c r="E71" i="2" s="1"/>
  <c r="F70" i="2"/>
  <c r="E70" i="2" s="1"/>
  <c r="F69" i="2"/>
  <c r="E69" i="2" s="1"/>
  <c r="F68" i="2"/>
  <c r="E68" i="2" s="1"/>
  <c r="F67" i="2"/>
  <c r="E67" i="2" s="1"/>
  <c r="F66" i="2"/>
  <c r="E66" i="2" s="1"/>
  <c r="F65" i="2"/>
  <c r="E65" i="2" s="1"/>
  <c r="F64" i="2"/>
  <c r="F63" i="2"/>
  <c r="E63" i="2" s="1"/>
  <c r="F62" i="2"/>
  <c r="E62" i="2" s="1"/>
  <c r="F61" i="2"/>
  <c r="E61" i="2" s="1"/>
  <c r="F60" i="2"/>
  <c r="E60" i="2" s="1"/>
  <c r="F59" i="2"/>
  <c r="E59" i="2" s="1"/>
  <c r="F58" i="2"/>
  <c r="E58" i="2" s="1"/>
  <c r="F57" i="2"/>
  <c r="E57" i="2" s="1"/>
  <c r="F56" i="2"/>
  <c r="E56" i="2" s="1"/>
  <c r="F55" i="2"/>
  <c r="E55" i="2" s="1"/>
  <c r="F54" i="2"/>
  <c r="E54" i="2" s="1"/>
  <c r="F53" i="2"/>
  <c r="E53" i="2" s="1"/>
  <c r="F52" i="2"/>
  <c r="E52" i="2" s="1"/>
  <c r="F51" i="2"/>
  <c r="E51" i="2" s="1"/>
  <c r="F50" i="2"/>
  <c r="E50" i="2" s="1"/>
  <c r="F49" i="2"/>
  <c r="E49" i="2" s="1"/>
  <c r="F48" i="2"/>
  <c r="E48" i="2" s="1"/>
  <c r="F47" i="2"/>
  <c r="E47" i="2" s="1"/>
  <c r="F46" i="2"/>
  <c r="E46" i="2" s="1"/>
  <c r="F45" i="2"/>
  <c r="E45" i="2" s="1"/>
  <c r="F44" i="2"/>
  <c r="F43" i="2"/>
  <c r="E43" i="2" s="1"/>
  <c r="F42" i="2"/>
  <c r="E42" i="2" s="1"/>
  <c r="F41" i="2"/>
  <c r="E41" i="2" s="1"/>
  <c r="F40" i="2"/>
  <c r="E40" i="2" s="1"/>
  <c r="F39" i="2"/>
  <c r="E39" i="2" s="1"/>
  <c r="F38" i="2"/>
  <c r="E38" i="2" s="1"/>
  <c r="F37" i="2"/>
  <c r="E37" i="2" s="1"/>
  <c r="F36" i="2"/>
  <c r="E36" i="2" s="1"/>
  <c r="F35" i="2"/>
  <c r="E35" i="2" s="1"/>
  <c r="F34" i="2"/>
  <c r="E34" i="2" s="1"/>
  <c r="F33" i="2"/>
  <c r="E33" i="2" s="1"/>
  <c r="F32" i="2"/>
  <c r="E32" i="2" s="1"/>
  <c r="F31" i="2"/>
  <c r="E31" i="2" s="1"/>
  <c r="F30" i="2"/>
  <c r="E30" i="2" s="1"/>
  <c r="F29" i="2"/>
  <c r="E29" i="2" s="1"/>
  <c r="F28" i="2"/>
  <c r="E28" i="2" s="1"/>
  <c r="F27" i="2"/>
  <c r="E27" i="2" s="1"/>
  <c r="F26" i="2"/>
  <c r="E26" i="2" s="1"/>
  <c r="F25" i="2"/>
  <c r="E25" i="2" s="1"/>
  <c r="F24" i="2"/>
  <c r="F23" i="2"/>
  <c r="E23" i="2" s="1"/>
  <c r="F22" i="2"/>
  <c r="E22" i="2" s="1"/>
  <c r="F21" i="2"/>
  <c r="E21" i="2" s="1"/>
  <c r="F20" i="2"/>
  <c r="E20" i="2" s="1"/>
  <c r="F19" i="2"/>
  <c r="E19" i="2" s="1"/>
  <c r="F18" i="2"/>
  <c r="E18" i="2" s="1"/>
  <c r="F17" i="2"/>
  <c r="E17" i="2" s="1"/>
  <c r="F16" i="2"/>
  <c r="E16" i="2" s="1"/>
  <c r="F15" i="2"/>
  <c r="E15" i="2" s="1"/>
  <c r="F14" i="2"/>
  <c r="E14" i="2" s="1"/>
  <c r="F13" i="2"/>
  <c r="E13" i="2" s="1"/>
  <c r="F12" i="2"/>
  <c r="E12" i="2" s="1"/>
  <c r="F11" i="2"/>
  <c r="E11" i="2" s="1"/>
  <c r="F10" i="2"/>
  <c r="E10" i="2" s="1"/>
  <c r="F9" i="2"/>
  <c r="E9" i="2" s="1"/>
  <c r="F8" i="2"/>
  <c r="E8" i="2" s="1"/>
  <c r="F7" i="2"/>
  <c r="E7" i="2" s="1"/>
  <c r="F6" i="2"/>
  <c r="E6" i="2" s="1"/>
  <c r="F5" i="2"/>
  <c r="E5" i="2" s="1"/>
  <c r="F4" i="2"/>
  <c r="E4" i="2" s="1"/>
  <c r="F3" i="2"/>
  <c r="E3" i="2" s="1"/>
  <c r="E204" i="2"/>
  <c r="E194" i="2"/>
  <c r="E184" i="2"/>
  <c r="E174" i="2"/>
  <c r="E164" i="2"/>
  <c r="E154" i="2"/>
  <c r="E144" i="2"/>
  <c r="E134" i="2"/>
  <c r="E114" i="2"/>
  <c r="E104" i="2"/>
  <c r="E74" i="2"/>
  <c r="E64" i="2"/>
  <c r="E44" i="2"/>
  <c r="E24" i="2"/>
  <c r="O2" i="2" a="1"/>
  <c r="O2" i="2" s="1"/>
  <c r="L2" i="2" a="1"/>
  <c r="L2" i="2" s="1"/>
  <c r="I2" i="2" a="1"/>
  <c r="I2" i="2" s="1"/>
  <c r="R62" i="2"/>
  <c r="R61" i="2"/>
  <c r="R60" i="2"/>
  <c r="R59" i="2"/>
  <c r="R58" i="2"/>
  <c r="R57" i="2"/>
  <c r="R56" i="2"/>
  <c r="R55" i="2"/>
  <c r="R54" i="2"/>
  <c r="R53" i="2"/>
  <c r="R52" i="2"/>
  <c r="R51" i="2"/>
  <c r="R50" i="2"/>
  <c r="R49" i="2"/>
  <c r="R48" i="2"/>
  <c r="R47" i="2"/>
  <c r="R46" i="2"/>
  <c r="R45" i="2"/>
  <c r="R44" i="2"/>
  <c r="R43" i="2"/>
  <c r="R42" i="2"/>
  <c r="R41" i="2"/>
  <c r="R40" i="2"/>
  <c r="R39" i="2"/>
  <c r="R38" i="2"/>
  <c r="R37" i="2"/>
  <c r="R36" i="2"/>
  <c r="R35" i="2"/>
  <c r="R34" i="2"/>
  <c r="R33" i="2"/>
  <c r="R32" i="2"/>
  <c r="R31" i="2"/>
  <c r="R30" i="2"/>
  <c r="R29" i="2"/>
  <c r="R28" i="2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R14" i="2"/>
  <c r="R13" i="2"/>
  <c r="R12" i="2"/>
  <c r="R11" i="2"/>
  <c r="R10" i="2"/>
  <c r="R9" i="2"/>
  <c r="R8" i="2"/>
  <c r="R7" i="2"/>
  <c r="R6" i="2"/>
  <c r="R5" i="2"/>
  <c r="R4" i="2"/>
  <c r="R3" i="2"/>
  <c r="N22" i="3"/>
  <c r="V55" i="4"/>
  <c r="R55" i="4"/>
  <c r="N55" i="4"/>
  <c r="J55" i="4"/>
  <c r="F55" i="4"/>
  <c r="B55" i="4"/>
  <c r="C54" i="4"/>
  <c r="B54" i="4"/>
  <c r="W60" i="4" s="1"/>
  <c r="C63" i="4"/>
  <c r="C81" i="4"/>
  <c r="C72" i="4"/>
  <c r="C34" i="4"/>
  <c r="C21" i="4"/>
  <c r="B81" i="4"/>
  <c r="W87" i="4" s="1"/>
  <c r="B72" i="4"/>
  <c r="W78" i="4" s="1"/>
  <c r="B63" i="4"/>
  <c r="W69" i="4" s="1"/>
  <c r="B34" i="4"/>
  <c r="C36" i="4" s="1"/>
  <c r="B21" i="4"/>
  <c r="W28" i="4" s="1"/>
  <c r="B1" i="1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P11" i="2" l="1"/>
  <c r="P39" i="2"/>
  <c r="P12" i="2"/>
  <c r="P40" i="2"/>
  <c r="P19" i="2"/>
  <c r="P41" i="2"/>
  <c r="J5" i="2"/>
  <c r="P20" i="2"/>
  <c r="P42" i="2"/>
  <c r="J6" i="2"/>
  <c r="P21" i="2"/>
  <c r="M7" i="2"/>
  <c r="J7" i="2"/>
  <c r="P22" i="2"/>
  <c r="M8" i="2"/>
  <c r="P29" i="2"/>
  <c r="P30" i="2"/>
  <c r="P9" i="2"/>
  <c r="P31" i="2"/>
  <c r="P10" i="2"/>
  <c r="P32" i="2"/>
  <c r="P13" i="2"/>
  <c r="P23" i="2"/>
  <c r="P33" i="2"/>
  <c r="P43" i="2"/>
  <c r="J9" i="2"/>
  <c r="P4" i="2"/>
  <c r="P14" i="2"/>
  <c r="P24" i="2"/>
  <c r="P34" i="2"/>
  <c r="P44" i="2"/>
  <c r="P6" i="2"/>
  <c r="P16" i="2"/>
  <c r="P26" i="2"/>
  <c r="P36" i="2"/>
  <c r="M4" i="2"/>
  <c r="J8" i="2"/>
  <c r="P7" i="2"/>
  <c r="P17" i="2"/>
  <c r="P27" i="2"/>
  <c r="P37" i="2"/>
  <c r="M5" i="2"/>
  <c r="J3" i="2"/>
  <c r="P5" i="2"/>
  <c r="P15" i="2"/>
  <c r="P25" i="2"/>
  <c r="P35" i="2"/>
  <c r="M3" i="2"/>
  <c r="P8" i="2"/>
  <c r="P18" i="2"/>
  <c r="P28" i="2"/>
  <c r="P38" i="2"/>
  <c r="M6" i="2"/>
  <c r="J4" i="2"/>
  <c r="P3" i="2"/>
  <c r="C24" i="4"/>
  <c r="G48" i="4"/>
  <c r="S50" i="4"/>
  <c r="K68" i="4"/>
  <c r="K77" i="4"/>
  <c r="K84" i="4"/>
  <c r="K56" i="4"/>
  <c r="G26" i="4"/>
  <c r="G49" i="4"/>
  <c r="S51" i="4"/>
  <c r="S66" i="4"/>
  <c r="K78" i="4"/>
  <c r="K85" i="4"/>
  <c r="O56" i="4"/>
  <c r="K27" i="4"/>
  <c r="K42" i="4"/>
  <c r="W44" i="4"/>
  <c r="S67" i="4"/>
  <c r="S75" i="4"/>
  <c r="K86" i="4"/>
  <c r="S56" i="4"/>
  <c r="C66" i="4"/>
  <c r="G57" i="4"/>
  <c r="C67" i="4"/>
  <c r="C77" i="4"/>
  <c r="C84" i="4"/>
  <c r="S86" i="4"/>
  <c r="K57" i="4"/>
  <c r="O28" i="4"/>
  <c r="K43" i="4"/>
  <c r="W45" i="4"/>
  <c r="S68" i="4"/>
  <c r="S76" i="4"/>
  <c r="K87" i="4"/>
  <c r="W56" i="4"/>
  <c r="O36" i="4"/>
  <c r="S59" i="4"/>
  <c r="C75" i="4"/>
  <c r="S77" i="4"/>
  <c r="S84" i="4"/>
  <c r="C57" i="4"/>
  <c r="W30" i="4"/>
  <c r="S85" i="4"/>
  <c r="O46" i="4"/>
  <c r="C45" i="4"/>
  <c r="O47" i="4"/>
  <c r="C68" i="4"/>
  <c r="C78" i="4"/>
  <c r="C85" i="4"/>
  <c r="O57" i="4"/>
  <c r="S29" i="4"/>
  <c r="S78" i="4"/>
  <c r="C44" i="4"/>
  <c r="G38" i="4"/>
  <c r="S40" i="4"/>
  <c r="K66" i="4"/>
  <c r="K75" i="4"/>
  <c r="C86" i="4"/>
  <c r="C56" i="4"/>
  <c r="S57" i="4"/>
  <c r="O37" i="4"/>
  <c r="C76" i="4"/>
  <c r="G39" i="4"/>
  <c r="S41" i="4"/>
  <c r="K67" i="4"/>
  <c r="K76" i="4"/>
  <c r="C87" i="4"/>
  <c r="G56" i="4"/>
  <c r="W57" i="4"/>
  <c r="O13" i="3"/>
  <c r="O4" i="3"/>
  <c r="C23" i="4"/>
  <c r="G25" i="4"/>
  <c r="K26" i="4"/>
  <c r="O27" i="4"/>
  <c r="S28" i="4"/>
  <c r="W29" i="4"/>
  <c r="C43" i="4"/>
  <c r="G37" i="4"/>
  <c r="G47" i="4"/>
  <c r="K41" i="4"/>
  <c r="K51" i="4"/>
  <c r="O45" i="4"/>
  <c r="S39" i="4"/>
  <c r="S49" i="4"/>
  <c r="W43" i="4"/>
  <c r="C65" i="4"/>
  <c r="K65" i="4"/>
  <c r="S65" i="4"/>
  <c r="C74" i="4"/>
  <c r="K74" i="4"/>
  <c r="S74" i="4"/>
  <c r="C83" i="4"/>
  <c r="K83" i="4"/>
  <c r="S83" i="4"/>
  <c r="S58" i="4"/>
  <c r="G27" i="4"/>
  <c r="S87" i="4"/>
  <c r="O6" i="3"/>
  <c r="C28" i="4"/>
  <c r="G30" i="4"/>
  <c r="K31" i="4"/>
  <c r="S23" i="4"/>
  <c r="W24" i="4"/>
  <c r="C38" i="4"/>
  <c r="C48" i="4"/>
  <c r="G42" i="4"/>
  <c r="K36" i="4"/>
  <c r="K46" i="4"/>
  <c r="O40" i="4"/>
  <c r="O50" i="4"/>
  <c r="S44" i="4"/>
  <c r="W38" i="4"/>
  <c r="W48" i="4"/>
  <c r="G65" i="4"/>
  <c r="O65" i="4"/>
  <c r="W65" i="4"/>
  <c r="G74" i="4"/>
  <c r="O74" i="4"/>
  <c r="W74" i="4"/>
  <c r="G83" i="4"/>
  <c r="O83" i="4"/>
  <c r="W83" i="4"/>
  <c r="W31" i="4"/>
  <c r="C29" i="4"/>
  <c r="G31" i="4"/>
  <c r="O23" i="4"/>
  <c r="S24" i="4"/>
  <c r="W25" i="4"/>
  <c r="C39" i="4"/>
  <c r="C49" i="4"/>
  <c r="G43" i="4"/>
  <c r="K37" i="4"/>
  <c r="K47" i="4"/>
  <c r="O41" i="4"/>
  <c r="O51" i="4"/>
  <c r="S45" i="4"/>
  <c r="W39" i="4"/>
  <c r="W49" i="4"/>
  <c r="G66" i="4"/>
  <c r="O66" i="4"/>
  <c r="W66" i="4"/>
  <c r="G75" i="4"/>
  <c r="O75" i="4"/>
  <c r="W75" i="4"/>
  <c r="G84" i="4"/>
  <c r="O84" i="4"/>
  <c r="W84" i="4"/>
  <c r="C30" i="4"/>
  <c r="K23" i="4"/>
  <c r="O24" i="4"/>
  <c r="S25" i="4"/>
  <c r="W26" i="4"/>
  <c r="C40" i="4"/>
  <c r="C50" i="4"/>
  <c r="G44" i="4"/>
  <c r="K38" i="4"/>
  <c r="K48" i="4"/>
  <c r="O42" i="4"/>
  <c r="S36" i="4"/>
  <c r="S46" i="4"/>
  <c r="W40" i="4"/>
  <c r="W50" i="4"/>
  <c r="G58" i="4"/>
  <c r="O58" i="4"/>
  <c r="W58" i="4"/>
  <c r="G67" i="4"/>
  <c r="O67" i="4"/>
  <c r="W67" i="4"/>
  <c r="G76" i="4"/>
  <c r="O76" i="4"/>
  <c r="W76" i="4"/>
  <c r="G85" i="4"/>
  <c r="O85" i="4"/>
  <c r="W85" i="4"/>
  <c r="C25" i="4"/>
  <c r="O29" i="4"/>
  <c r="S30" i="4"/>
  <c r="K58" i="4"/>
  <c r="C26" i="4"/>
  <c r="G28" i="4"/>
  <c r="K29" i="4"/>
  <c r="O30" i="4"/>
  <c r="S31" i="4"/>
  <c r="G23" i="4"/>
  <c r="C46" i="4"/>
  <c r="G40" i="4"/>
  <c r="G50" i="4"/>
  <c r="K44" i="4"/>
  <c r="O38" i="4"/>
  <c r="O48" i="4"/>
  <c r="S42" i="4"/>
  <c r="W36" i="4"/>
  <c r="W46" i="4"/>
  <c r="C59" i="4"/>
  <c r="K59" i="4"/>
  <c r="C27" i="4"/>
  <c r="G29" i="4"/>
  <c r="K30" i="4"/>
  <c r="O31" i="4"/>
  <c r="W23" i="4"/>
  <c r="C37" i="4"/>
  <c r="C47" i="4"/>
  <c r="G41" i="4"/>
  <c r="K45" i="4"/>
  <c r="O39" i="4"/>
  <c r="O49" i="4"/>
  <c r="S43" i="4"/>
  <c r="W37" i="4"/>
  <c r="W47" i="4"/>
  <c r="C60" i="4"/>
  <c r="S60" i="4"/>
  <c r="C69" i="4"/>
  <c r="K69" i="4"/>
  <c r="S69" i="4"/>
  <c r="O19" i="3"/>
  <c r="O10" i="3"/>
  <c r="C31" i="4"/>
  <c r="K24" i="4"/>
  <c r="O25" i="4"/>
  <c r="S26" i="4"/>
  <c r="W27" i="4"/>
  <c r="C41" i="4"/>
  <c r="C51" i="4"/>
  <c r="G45" i="4"/>
  <c r="K39" i="4"/>
  <c r="K49" i="4"/>
  <c r="O43" i="4"/>
  <c r="S37" i="4"/>
  <c r="S47" i="4"/>
  <c r="W41" i="4"/>
  <c r="W51" i="4"/>
  <c r="G59" i="4"/>
  <c r="O59" i="4"/>
  <c r="W59" i="4"/>
  <c r="G68" i="4"/>
  <c r="O68" i="4"/>
  <c r="W68" i="4"/>
  <c r="G77" i="4"/>
  <c r="O77" i="4"/>
  <c r="W77" i="4"/>
  <c r="G86" i="4"/>
  <c r="O86" i="4"/>
  <c r="W86" i="4"/>
  <c r="O5" i="3"/>
  <c r="K28" i="4"/>
  <c r="C58" i="4"/>
  <c r="G51" i="4"/>
  <c r="K60" i="4"/>
  <c r="O9" i="3"/>
  <c r="O2" i="3"/>
  <c r="O12" i="3"/>
  <c r="G24" i="4"/>
  <c r="K25" i="4"/>
  <c r="O26" i="4"/>
  <c r="S27" i="4"/>
  <c r="C42" i="4"/>
  <c r="G36" i="4"/>
  <c r="G46" i="4"/>
  <c r="K40" i="4"/>
  <c r="K50" i="4"/>
  <c r="O44" i="4"/>
  <c r="S38" i="4"/>
  <c r="S48" i="4"/>
  <c r="W42" i="4"/>
  <c r="G60" i="4"/>
  <c r="O60" i="4"/>
  <c r="G69" i="4"/>
  <c r="O69" i="4"/>
  <c r="G78" i="4"/>
  <c r="O78" i="4"/>
  <c r="G87" i="4"/>
  <c r="O87" i="4"/>
  <c r="O21" i="3"/>
  <c r="O15" i="3"/>
  <c r="O16" i="3"/>
  <c r="O17" i="3"/>
  <c r="O7" i="3"/>
  <c r="O18" i="3"/>
  <c r="O8" i="3"/>
  <c r="O3" i="3"/>
  <c r="O20" i="3"/>
  <c r="O14" i="3"/>
  <c r="O11" i="3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<sst xmlns="http://schemas.openxmlformats.org/spreadsheetml/2006/main" count="1779" uniqueCount="164">
  <si>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</si>
  <si>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</si>
  <si>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</si>
  <si>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</si>
  <si>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</si>
  <si>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</si>
  <si>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</si>
  <si>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</si>
  <si>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</si>
  <si>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</si>
  <si>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</si>
  <si>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</si>
  <si>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</si>
  <si>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</si>
  <si>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</si>
  <si>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</si>
  <si>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</si>
  <si>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</si>
  <si>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</si>
  <si>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</si>
  <si>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</si>
  <si>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</si>
  <si>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</si>
  <si>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</si>
  <si>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</si>
  <si>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</si>
  <si>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</si>
  <si>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</si>
  <si>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</si>
  <si>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</si>
  <si>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</si>
  <si>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</si>
  <si>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</si>
  <si>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</si>
  <si>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</si>
  <si>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</si>
  <si>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</si>
  <si>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</si>
  <si>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</si>
  <si>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</si>
  <si>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</si>
  <si>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</si>
  <si>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</si>
  <si>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</si>
  <si>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</si>
  <si>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</si>
  <si>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</si>
  <si>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</si>
  <si>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</si>
  <si>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</si>
  <si>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</si>
  <si>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</si>
  <si>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</si>
  <si>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</si>
  <si>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</si>
  <si>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</si>
  <si>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</si>
  <si>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</si>
  <si>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</si>
  <si>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</si>
  <si>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</si>
  <si>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</si>
  <si>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</si>
  <si>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</si>
  <si>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</si>
  <si>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</si>
  <si>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</si>
  <si>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</si>
  <si>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</si>
  <si>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</si>
  <si>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</si>
  <si>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</si>
  <si>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</si>
  <si>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</si>
  <si>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</si>
  <si>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</si>
  <si>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</si>
  <si>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</si>
  <si>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</si>
  <si>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</si>
  <si>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</si>
  <si>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</si>
  <si>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</si>
  <si>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</si>
  <si>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</si>
  <si>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</si>
  <si>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</si>
  <si>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</si>
  <si>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</si>
  <si>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</si>
  <si>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</si>
  <si>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</si>
  <si>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</si>
  <si>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</si>
  <si>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</si>
  <si>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</si>
  <si>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</si>
  <si>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</si>
  <si>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</si>
  <si>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</si>
  <si>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</si>
  <si>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</si>
  <si>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</si>
  <si>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</si>
  <si>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</si>
  <si>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</si>
  <si>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</si>
  <si>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</si>
  <si>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</si>
  <si>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</si>
  <si>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</si>
  <si>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</si>
  <si>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</si>
  <si>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</si>
  <si>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</si>
  <si>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</si>
  <si>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</si>
  <si>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</si>
  <si>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</si>
  <si>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</si>
  <si>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</si>
  <si>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</si>
  <si>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</si>
  <si>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</si>
  <si>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</si>
  <si>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</si>
  <si>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</si>
  <si>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</si>
  <si>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</si>
  <si>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</si>
  <si>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</si>
  <si>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</si>
  <si>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</si>
  <si>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</si>
  <si>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Ready for Execution</t>
  </si>
  <si>
    <t>Backlog</t>
  </si>
  <si>
    <t>Ready for Acceptance</t>
  </si>
  <si>
    <t>Pitch</t>
  </si>
  <si>
    <t>In Approval</t>
  </si>
  <si>
    <t>In Rollout</t>
  </si>
  <si>
    <t>In Definition</t>
  </si>
  <si>
    <t>Ready for Approval</t>
  </si>
  <si>
    <t>Ready for Solution</t>
  </si>
  <si>
    <t>IDEA021</t>
  </si>
  <si>
    <t>IDEA022</t>
  </si>
  <si>
    <t>IDEA023</t>
  </si>
  <si>
    <t>IDEA024</t>
  </si>
  <si>
    <t>System 1</t>
  </si>
  <si>
    <t>System 2</t>
  </si>
  <si>
    <t>System 3</t>
  </si>
  <si>
    <t>System 4</t>
  </si>
  <si>
    <t>IDEA025</t>
  </si>
  <si>
    <t>System 5</t>
  </si>
  <si>
    <t>IDEA026</t>
  </si>
  <si>
    <t>System 6</t>
  </si>
  <si>
    <t>IDEA027</t>
  </si>
  <si>
    <t>System 7</t>
  </si>
  <si>
    <t>IDEA028</t>
  </si>
  <si>
    <t>System 8</t>
  </si>
  <si>
    <t>PC</t>
  </si>
  <si>
    <t>FINAL LIST</t>
  </si>
  <si>
    <t>EXPORT CSV</t>
  </si>
  <si>
    <t>Weight-Base</t>
  </si>
  <si>
    <t>Weight-RS+BG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</si>
</sst>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  <font>
      <sz val="8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9" fontId="7" fillId="0" borderId="0" applyFont="0" applyFill="0" applyBorder="0" applyAlignment="0" applyProtection="0"/>
    <xf numFmtId="0" fontId="12" fillId="7" borderId="1" applyNumberFormat="0" applyAlignment="0" applyProtection="0"/>
  </cellStyleXfs>
  <cellXfs count="25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64" fontId="0" fillId="4" borderId="0" xfId="0" applyNumberFormat="1" applyFill="1"/>
    <xf numFmtId="0" fontId="0" fillId="6" borderId="0" xfId="0" applyFill="1"/>
    <xf numFmtId="0" fontId="12" fillId="7" borderId="1" xfId="2"/>
    <xf numFmtId="0" fontId="1" fillId="6" borderId="0" xfId="0" applyFont="1" applyFill="1"/>
    <xf numFmtId="0" fontId="8" fillId="8" borderId="0" xfId="0" applyFont="1" applyFill="1"/>
    <xf numFmtId="0" fontId="0" fillId="0" borderId="0" xfId="0" applyFont="1"/>
    <xf numFmtId="0" fontId="13" fillId="0" borderId="0" xfId="0" applyFont="1"/>
  </cellXfs>
  <cellStyles count="3">
    <cellStyle name="Calculation" xfId="2" builtinId="22"/>
    <cellStyle name="Normal" xfId="0" builtinId="0"/>
    <cellStyle name="Percent 2" xfId="1" xr:uid="{B4B05582-F7D3-F142-B20F-B4C84A0F58E6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91"/>
  <sheetViews>
    <sheetView topLeftCell="A45" zoomScale="132" zoomScaleNormal="130" workbookViewId="0">
      <selection activeCell="X4" sqref="X4:AF4"/>
    </sheetView>
  </sheetViews>
  <sheetFormatPr baseColWidth="10" defaultRowHeight="16" x14ac:dyDescent="0.2"/>
  <cols>
    <col min="1" max="1" width="27" bestFit="1" customWidth="1"/>
    <col min="2" max="2" width="6.33203125" bestFit="1" customWidth="1"/>
    <col min="3" max="3" width="5.33203125" bestFit="1" customWidth="1"/>
    <col min="4" max="4" width="3.83203125" customWidth="1"/>
    <col min="5" max="5" width="12" bestFit="1" customWidth="1"/>
    <col min="6" max="6" width="5.33203125" bestFit="1" customWidth="1"/>
    <col min="7" max="7" width="5.1640625" bestFit="1" customWidth="1"/>
    <col min="8" max="8" width="3.83203125" customWidth="1"/>
    <col min="9" max="9" width="11.6640625" bestFit="1" customWidth="1"/>
    <col min="10" max="10" width="6.6640625" bestFit="1" customWidth="1"/>
    <col min="11" max="11" width="5.1640625" bestFit="1" customWidth="1"/>
    <col min="12" max="12" width="3.83203125" customWidth="1"/>
    <col min="13" max="13" width="13" bestFit="1" customWidth="1"/>
    <col min="14" max="14" width="5.33203125" bestFit="1" customWidth="1"/>
    <col min="15" max="15" width="5.1640625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4.1640625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13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>
        <f>VLOOKUP(A21,weights_rs!$A:$B,2,FALSE)</f>
        <v>50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>
        <f>B23*($B$21/100)</f>
        <v>12.5</v>
      </c>
      <c r="E23" s="1" t="s">
        <v>7</v>
      </c>
      <c r="F23" s="13">
        <v>25</v>
      </c>
      <c r="G23" s="1">
        <f>F23*($B$21/100)</f>
        <v>12.5</v>
      </c>
      <c r="I23" s="1" t="s">
        <v>13</v>
      </c>
      <c r="J23" s="13">
        <v>20</v>
      </c>
      <c r="K23" s="1">
        <f>J23*($B$21/100)</f>
        <v>10</v>
      </c>
      <c r="M23" s="1" t="s">
        <v>9</v>
      </c>
      <c r="N23" s="13">
        <v>20</v>
      </c>
      <c r="O23" s="1">
        <f>N23*($B$21/100)</f>
        <v>10</v>
      </c>
      <c r="Q23" s="1" t="s">
        <v>117</v>
      </c>
      <c r="R23" s="13">
        <v>5</v>
      </c>
      <c r="S23" s="1">
        <f>R23*($B$21/100)</f>
        <v>2.5</v>
      </c>
      <c r="U23" s="1" t="s">
        <v>12</v>
      </c>
      <c r="V23" s="13">
        <v>5</v>
      </c>
      <c r="W23" s="1">
        <f>V23*($B$21/100)</f>
        <v>2.5</v>
      </c>
      <c r="X23"/>
      <c r="Y23"/>
      <c r="Z23"/>
      <c r="AA23"/>
    </row>
    <row r="24" spans="1:32" x14ac:dyDescent="0.2">
      <c r="A24" t="s">
        <v>108</v>
      </c>
      <c r="B24" s="12">
        <v>4</v>
      </c>
      <c r="C24" s="1">
        <f t="shared" ref="C24:C31" si="0">B24*($B$21/100)</f>
        <v>2</v>
      </c>
      <c r="E24" s="19" t="s">
        <v>107</v>
      </c>
      <c r="F24" s="12">
        <v>8</v>
      </c>
      <c r="G24" s="1">
        <f t="shared" ref="G24:G31" si="1">F24*($B$21/100)</f>
        <v>4</v>
      </c>
      <c r="I24" s="19" t="s">
        <v>110</v>
      </c>
      <c r="J24" s="12">
        <v>8</v>
      </c>
      <c r="K24" s="1">
        <f t="shared" ref="K24:K31" si="2">J24*($B$21/100)</f>
        <v>4</v>
      </c>
      <c r="M24" s="19" t="s">
        <v>113</v>
      </c>
      <c r="N24" s="12">
        <v>20</v>
      </c>
      <c r="O24" s="1">
        <f t="shared" ref="O24:O31" si="3">N24*($B$21/100)</f>
        <v>10</v>
      </c>
      <c r="Q24" s="19" t="s">
        <v>14</v>
      </c>
      <c r="R24" s="12">
        <v>5</v>
      </c>
      <c r="S24" s="1">
        <f t="shared" ref="S24:S31" si="4">R24*($B$21/100)</f>
        <v>2.5</v>
      </c>
      <c r="U24" s="19" t="s">
        <v>12</v>
      </c>
      <c r="V24" s="12">
        <v>5</v>
      </c>
      <c r="W24" s="1">
        <f t="shared" ref="W24:W31" si="5">V24*($B$21/100)</f>
        <v>2.5</v>
      </c>
    </row>
    <row r="25" spans="1:32" x14ac:dyDescent="0.2">
      <c r="A25" t="s">
        <v>109</v>
      </c>
      <c r="B25" s="12">
        <v>4</v>
      </c>
      <c r="C25" s="1">
        <f t="shared" si="0"/>
        <v>2</v>
      </c>
      <c r="E25" s="19" t="s">
        <v>8</v>
      </c>
      <c r="F25" s="12">
        <v>8</v>
      </c>
      <c r="G25" s="1">
        <f t="shared" si="1"/>
        <v>4</v>
      </c>
      <c r="I25" s="19" t="s">
        <v>112</v>
      </c>
      <c r="J25" s="12">
        <v>8</v>
      </c>
      <c r="K25" s="1">
        <f t="shared" si="2"/>
        <v>4</v>
      </c>
      <c r="N25" s="12"/>
      <c r="O25" s="1">
        <f t="shared" si="3"/>
        <v>0</v>
      </c>
      <c r="R25" s="12"/>
      <c r="S25" s="1">
        <f t="shared" si="4"/>
        <v>0</v>
      </c>
      <c r="V25" s="12"/>
      <c r="W25" s="1">
        <f t="shared" si="5"/>
        <v>0</v>
      </c>
    </row>
    <row r="26" spans="1:32" x14ac:dyDescent="0.2">
      <c r="A26" t="s">
        <v>111</v>
      </c>
      <c r="B26" s="12">
        <v>4</v>
      </c>
      <c r="C26" s="1">
        <f t="shared" si="0"/>
        <v>2</v>
      </c>
      <c r="E26" t="s">
        <v>27</v>
      </c>
      <c r="F26" s="12">
        <v>8</v>
      </c>
      <c r="G26" s="1">
        <f t="shared" si="1"/>
        <v>4</v>
      </c>
      <c r="I26" s="19" t="s">
        <v>114</v>
      </c>
      <c r="J26" s="12">
        <v>2</v>
      </c>
      <c r="K26" s="1">
        <f t="shared" si="2"/>
        <v>1</v>
      </c>
      <c r="N26" s="12"/>
      <c r="O26" s="1">
        <f t="shared" si="3"/>
        <v>0</v>
      </c>
      <c r="R26" s="12"/>
      <c r="S26" s="1">
        <f t="shared" si="4"/>
        <v>0</v>
      </c>
      <c r="V26" s="12"/>
      <c r="W26" s="1">
        <f t="shared" si="5"/>
        <v>0</v>
      </c>
    </row>
    <row r="27" spans="1:32" x14ac:dyDescent="0.2">
      <c r="A27" t="s">
        <v>24</v>
      </c>
      <c r="B27" s="12">
        <v>5</v>
      </c>
      <c r="C27" s="1">
        <f t="shared" si="0"/>
        <v>2.5</v>
      </c>
      <c r="E27" t="s">
        <v>85</v>
      </c>
      <c r="F27" s="12">
        <v>1</v>
      </c>
      <c r="G27" s="1">
        <f t="shared" si="1"/>
        <v>0.5</v>
      </c>
      <c r="I27" s="19" t="s">
        <v>115</v>
      </c>
      <c r="J27" s="12">
        <v>1</v>
      </c>
      <c r="K27" s="1">
        <f t="shared" si="2"/>
        <v>0.5</v>
      </c>
      <c r="N27" s="12"/>
      <c r="O27" s="1">
        <f t="shared" si="3"/>
        <v>0</v>
      </c>
      <c r="R27" s="12"/>
      <c r="S27" s="1">
        <f t="shared" si="4"/>
        <v>0</v>
      </c>
      <c r="V27" s="12"/>
      <c r="W27" s="1">
        <f t="shared" si="5"/>
        <v>0</v>
      </c>
    </row>
    <row r="28" spans="1:32" x14ac:dyDescent="0.2">
      <c r="A28" t="s">
        <v>79</v>
      </c>
      <c r="B28" s="12">
        <v>2</v>
      </c>
      <c r="C28" s="1">
        <f t="shared" si="0"/>
        <v>1</v>
      </c>
      <c r="F28" s="12"/>
      <c r="G28" s="1">
        <f t="shared" si="1"/>
        <v>0</v>
      </c>
      <c r="I28" s="19" t="s">
        <v>116</v>
      </c>
      <c r="J28" s="12">
        <v>1</v>
      </c>
      <c r="K28" s="1">
        <f t="shared" si="2"/>
        <v>0.5</v>
      </c>
      <c r="N28" s="12"/>
      <c r="O28" s="1">
        <f t="shared" si="3"/>
        <v>0</v>
      </c>
      <c r="R28" s="12"/>
      <c r="S28" s="1">
        <f t="shared" si="4"/>
        <v>0</v>
      </c>
      <c r="V28" s="12"/>
      <c r="W28" s="1">
        <f t="shared" si="5"/>
        <v>0</v>
      </c>
    </row>
    <row r="29" spans="1:32" x14ac:dyDescent="0.2">
      <c r="A29" s="19" t="s">
        <v>80</v>
      </c>
      <c r="B29" s="12">
        <v>2</v>
      </c>
      <c r="C29" s="1">
        <f t="shared" si="0"/>
        <v>1</v>
      </c>
      <c r="F29" s="12"/>
      <c r="G29" s="1">
        <f t="shared" si="1"/>
        <v>0</v>
      </c>
      <c r="J29" s="12"/>
      <c r="K29" s="1">
        <f t="shared" si="2"/>
        <v>0</v>
      </c>
      <c r="N29" s="12"/>
      <c r="O29" s="1">
        <f t="shared" si="3"/>
        <v>0</v>
      </c>
      <c r="R29" s="12"/>
      <c r="S29" s="1">
        <f t="shared" si="4"/>
        <v>0</v>
      </c>
      <c r="V29" s="12"/>
      <c r="W29" s="1">
        <f t="shared" si="5"/>
        <v>0</v>
      </c>
    </row>
    <row r="30" spans="1:32" x14ac:dyDescent="0.2">
      <c r="A30" t="s">
        <v>81</v>
      </c>
      <c r="B30" s="12">
        <v>2</v>
      </c>
      <c r="C30" s="1">
        <f t="shared" si="0"/>
        <v>1</v>
      </c>
      <c r="F30" s="12"/>
      <c r="G30" s="1">
        <f t="shared" si="1"/>
        <v>0</v>
      </c>
      <c r="J30" s="12"/>
      <c r="K30" s="1">
        <f t="shared" si="2"/>
        <v>0</v>
      </c>
      <c r="N30" s="12"/>
      <c r="O30" s="1">
        <f t="shared" si="3"/>
        <v>0</v>
      </c>
      <c r="R30" s="12"/>
      <c r="S30" s="1">
        <f t="shared" si="4"/>
        <v>0</v>
      </c>
      <c r="V30" s="12"/>
      <c r="W30" s="1">
        <f t="shared" si="5"/>
        <v>0</v>
      </c>
    </row>
    <row r="31" spans="1:32" x14ac:dyDescent="0.2">
      <c r="A31" t="s">
        <v>26</v>
      </c>
      <c r="B31" s="12">
        <v>2</v>
      </c>
      <c r="C31" s="1">
        <f t="shared" si="0"/>
        <v>1</v>
      </c>
      <c r="F31" s="12"/>
      <c r="G31" s="1">
        <f t="shared" si="1"/>
        <v>0</v>
      </c>
      <c r="J31" s="12"/>
      <c r="K31" s="1">
        <f t="shared" si="2"/>
        <v>0</v>
      </c>
      <c r="N31" s="12"/>
      <c r="O31" s="1">
        <f t="shared" si="3"/>
        <v>0</v>
      </c>
      <c r="R31" s="12"/>
      <c r="S31" s="1">
        <f t="shared" si="4"/>
        <v>0</v>
      </c>
      <c r="V31" s="12"/>
      <c r="W31" s="1">
        <f t="shared" si="5"/>
        <v>0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3" x14ac:dyDescent="0.2">
      <c r="A34" s="1" t="s">
        <v>126</v>
      </c>
      <c r="B34" s="17">
        <f>VLOOKUP(A34,weights_rs!$A:$B,2,FALSE)</f>
        <v>25</v>
      </c>
      <c r="C34" s="7" t="b">
        <f>(B36+F36+J36+N36+R36+V36)=100</f>
        <v>1</v>
      </c>
    </row>
    <row r="35" spans="1:23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3" s="1" customFormat="1" x14ac:dyDescent="0.2">
      <c r="A36" s="1" t="s">
        <v>5</v>
      </c>
      <c r="B36" s="1">
        <v>25</v>
      </c>
      <c r="C36" s="1">
        <f>B36*($B$34/100)</f>
        <v>6.25</v>
      </c>
      <c r="E36" s="1" t="s">
        <v>7</v>
      </c>
      <c r="F36" s="1">
        <v>25</v>
      </c>
      <c r="G36" s="1">
        <f>F36*($B$34/100)</f>
        <v>6.25</v>
      </c>
      <c r="I36" s="1" t="s">
        <v>13</v>
      </c>
      <c r="J36" s="1">
        <v>20</v>
      </c>
      <c r="K36" s="1">
        <f>J36*($B$34/100)</f>
        <v>5</v>
      </c>
      <c r="M36" s="1" t="s">
        <v>9</v>
      </c>
      <c r="N36" s="1">
        <v>20</v>
      </c>
      <c r="O36" s="1">
        <f>N36*($B$34/100)</f>
        <v>5</v>
      </c>
      <c r="Q36" s="1" t="s">
        <v>117</v>
      </c>
      <c r="R36" s="1">
        <v>5</v>
      </c>
      <c r="S36" s="1">
        <f>R36*($B$34/100)</f>
        <v>1.25</v>
      </c>
      <c r="U36" s="1" t="s">
        <v>12</v>
      </c>
      <c r="V36" s="1">
        <v>5</v>
      </c>
      <c r="W36" s="1">
        <f>V36*($B$34/100)</f>
        <v>1.25</v>
      </c>
    </row>
    <row r="37" spans="1:23" x14ac:dyDescent="0.2">
      <c r="A37" s="19" t="s">
        <v>22</v>
      </c>
      <c r="B37">
        <v>5</v>
      </c>
      <c r="C37" s="1">
        <f t="shared" ref="C37:C51" si="6">B37*($B$34/100)</f>
        <v>1.25</v>
      </c>
      <c r="E37" s="19" t="s">
        <v>8</v>
      </c>
      <c r="F37">
        <v>10</v>
      </c>
      <c r="G37" s="1">
        <f t="shared" ref="G37:G51" si="7">F37*($B$34/100)</f>
        <v>2.5</v>
      </c>
      <c r="I37" s="19" t="s">
        <v>87</v>
      </c>
      <c r="J37">
        <v>2</v>
      </c>
      <c r="K37" s="1">
        <f t="shared" ref="K37:K51" si="8">J37*($B$34/100)</f>
        <v>0.5</v>
      </c>
      <c r="M37" s="19" t="s">
        <v>10</v>
      </c>
      <c r="N37">
        <v>10</v>
      </c>
      <c r="O37" s="1">
        <f t="shared" ref="O37:O51" si="9">N37*($B$34/100)</f>
        <v>2.5</v>
      </c>
      <c r="Q37" s="19" t="s">
        <v>14</v>
      </c>
      <c r="R37">
        <v>5</v>
      </c>
      <c r="S37" s="1">
        <f t="shared" ref="S37:S51" si="10">R37*($B$34/100)</f>
        <v>1.25</v>
      </c>
      <c r="U37" s="19" t="s">
        <v>12</v>
      </c>
      <c r="V37">
        <v>5</v>
      </c>
      <c r="W37" s="1">
        <f t="shared" ref="W37:W51" si="11">V37*($B$34/100)</f>
        <v>1.25</v>
      </c>
    </row>
    <row r="38" spans="1:23" x14ac:dyDescent="0.2">
      <c r="A38" t="s">
        <v>79</v>
      </c>
      <c r="B38">
        <v>5</v>
      </c>
      <c r="C38" s="1">
        <f t="shared" si="6"/>
        <v>1.25</v>
      </c>
      <c r="E38" s="19" t="s">
        <v>27</v>
      </c>
      <c r="F38">
        <v>10</v>
      </c>
      <c r="G38" s="1">
        <f t="shared" si="7"/>
        <v>2.5</v>
      </c>
      <c r="I38" t="s">
        <v>23</v>
      </c>
      <c r="J38">
        <v>2</v>
      </c>
      <c r="K38" s="1">
        <f t="shared" si="8"/>
        <v>0.5</v>
      </c>
      <c r="M38" s="19" t="s">
        <v>75</v>
      </c>
      <c r="N38">
        <v>10</v>
      </c>
      <c r="O38" s="1">
        <f t="shared" si="9"/>
        <v>2.5</v>
      </c>
      <c r="S38" s="1">
        <f t="shared" si="10"/>
        <v>0</v>
      </c>
      <c r="W38" s="1">
        <f t="shared" si="11"/>
        <v>0</v>
      </c>
    </row>
    <row r="39" spans="1:23" x14ac:dyDescent="0.2">
      <c r="A39" s="19" t="s">
        <v>80</v>
      </c>
      <c r="B39">
        <v>5</v>
      </c>
      <c r="C39" s="1">
        <f t="shared" si="6"/>
        <v>1.25</v>
      </c>
      <c r="E39" t="s">
        <v>85</v>
      </c>
      <c r="F39">
        <v>5</v>
      </c>
      <c r="G39" s="1">
        <f t="shared" si="7"/>
        <v>1.25</v>
      </c>
      <c r="I39" t="s">
        <v>88</v>
      </c>
      <c r="J39">
        <v>1</v>
      </c>
      <c r="K39" s="1">
        <f t="shared" si="8"/>
        <v>0.25</v>
      </c>
      <c r="O39" s="1">
        <f t="shared" si="9"/>
        <v>0</v>
      </c>
      <c r="S39" s="1">
        <f t="shared" si="10"/>
        <v>0</v>
      </c>
      <c r="W39" s="1">
        <f t="shared" si="11"/>
        <v>0</v>
      </c>
    </row>
    <row r="40" spans="1:23" x14ac:dyDescent="0.2">
      <c r="A40" t="s">
        <v>81</v>
      </c>
      <c r="B40">
        <v>5</v>
      </c>
      <c r="C40" s="1">
        <f t="shared" si="6"/>
        <v>1.25</v>
      </c>
      <c r="G40" s="1">
        <f t="shared" si="7"/>
        <v>0</v>
      </c>
      <c r="I40" s="19" t="s">
        <v>89</v>
      </c>
      <c r="J40">
        <v>2</v>
      </c>
      <c r="K40" s="1">
        <f t="shared" si="8"/>
        <v>0.5</v>
      </c>
      <c r="O40" s="1">
        <f t="shared" si="9"/>
        <v>0</v>
      </c>
      <c r="S40" s="1">
        <f t="shared" si="10"/>
        <v>0</v>
      </c>
      <c r="W40" s="1">
        <f t="shared" si="11"/>
        <v>0</v>
      </c>
    </row>
    <row r="41" spans="1:23" x14ac:dyDescent="0.2">
      <c r="A41" t="s">
        <v>26</v>
      </c>
      <c r="B41">
        <v>5</v>
      </c>
      <c r="C41" s="1">
        <f t="shared" si="6"/>
        <v>1.25</v>
      </c>
      <c r="G41" s="1">
        <f t="shared" si="7"/>
        <v>0</v>
      </c>
      <c r="I41" s="19" t="s">
        <v>76</v>
      </c>
      <c r="J41">
        <v>2</v>
      </c>
      <c r="K41" s="1">
        <f t="shared" si="8"/>
        <v>0.5</v>
      </c>
      <c r="O41" s="1">
        <f t="shared" si="9"/>
        <v>0</v>
      </c>
      <c r="S41" s="1">
        <f t="shared" si="10"/>
        <v>0</v>
      </c>
      <c r="W41" s="1">
        <f t="shared" si="11"/>
        <v>0</v>
      </c>
    </row>
    <row r="42" spans="1:23" x14ac:dyDescent="0.2">
      <c r="C42" s="1">
        <f t="shared" si="6"/>
        <v>0</v>
      </c>
      <c r="G42" s="1">
        <f t="shared" si="7"/>
        <v>0</v>
      </c>
      <c r="I42" s="19" t="s">
        <v>90</v>
      </c>
      <c r="J42">
        <v>2</v>
      </c>
      <c r="K42" s="1">
        <f t="shared" si="8"/>
        <v>0.5</v>
      </c>
      <c r="O42" s="1">
        <f t="shared" si="9"/>
        <v>0</v>
      </c>
      <c r="S42" s="1">
        <f t="shared" si="10"/>
        <v>0</v>
      </c>
      <c r="W42" s="1">
        <f t="shared" si="11"/>
        <v>0</v>
      </c>
    </row>
    <row r="43" spans="1:23" x14ac:dyDescent="0.2">
      <c r="C43" s="1">
        <f t="shared" si="6"/>
        <v>0</v>
      </c>
      <c r="G43" s="1">
        <f t="shared" si="7"/>
        <v>0</v>
      </c>
      <c r="I43" t="s">
        <v>91</v>
      </c>
      <c r="J43">
        <v>1</v>
      </c>
      <c r="K43" s="1">
        <f t="shared" si="8"/>
        <v>0.25</v>
      </c>
      <c r="O43" s="1">
        <f t="shared" si="9"/>
        <v>0</v>
      </c>
      <c r="S43" s="1">
        <f t="shared" si="10"/>
        <v>0</v>
      </c>
      <c r="W43" s="1">
        <f t="shared" si="11"/>
        <v>0</v>
      </c>
    </row>
    <row r="44" spans="1:23" x14ac:dyDescent="0.2">
      <c r="C44" s="1">
        <f t="shared" si="6"/>
        <v>0</v>
      </c>
      <c r="G44" s="1">
        <f t="shared" si="7"/>
        <v>0</v>
      </c>
      <c r="I44" t="s">
        <v>92</v>
      </c>
      <c r="J44">
        <v>1</v>
      </c>
      <c r="K44" s="1">
        <f t="shared" si="8"/>
        <v>0.25</v>
      </c>
      <c r="O44" s="1">
        <f t="shared" si="9"/>
        <v>0</v>
      </c>
      <c r="S44" s="1">
        <f t="shared" si="10"/>
        <v>0</v>
      </c>
      <c r="W44" s="1">
        <f t="shared" si="11"/>
        <v>0</v>
      </c>
    </row>
    <row r="45" spans="1:23" x14ac:dyDescent="0.2">
      <c r="C45" s="1">
        <f t="shared" si="6"/>
        <v>0</v>
      </c>
      <c r="G45" s="1">
        <f t="shared" si="7"/>
        <v>0</v>
      </c>
      <c r="I45" t="s">
        <v>93</v>
      </c>
      <c r="J45">
        <v>1</v>
      </c>
      <c r="K45" s="1">
        <f t="shared" si="8"/>
        <v>0.25</v>
      </c>
      <c r="O45" s="1">
        <f t="shared" si="9"/>
        <v>0</v>
      </c>
      <c r="S45" s="1">
        <f t="shared" si="10"/>
        <v>0</v>
      </c>
      <c r="W45" s="1">
        <f t="shared" si="11"/>
        <v>0</v>
      </c>
    </row>
    <row r="46" spans="1:23" x14ac:dyDescent="0.2">
      <c r="C46" s="1">
        <f t="shared" si="6"/>
        <v>0</v>
      </c>
      <c r="G46" s="1">
        <f t="shared" si="7"/>
        <v>0</v>
      </c>
      <c r="I46" t="s">
        <v>94</v>
      </c>
      <c r="J46">
        <v>1</v>
      </c>
      <c r="K46" s="1">
        <f t="shared" si="8"/>
        <v>0.25</v>
      </c>
      <c r="O46" s="1">
        <f t="shared" si="9"/>
        <v>0</v>
      </c>
      <c r="S46" s="1">
        <f t="shared" si="10"/>
        <v>0</v>
      </c>
      <c r="W46" s="1">
        <f t="shared" si="11"/>
        <v>0</v>
      </c>
    </row>
    <row r="47" spans="1:23" x14ac:dyDescent="0.2">
      <c r="C47" s="1">
        <f t="shared" si="6"/>
        <v>0</v>
      </c>
      <c r="G47" s="1">
        <f t="shared" si="7"/>
        <v>0</v>
      </c>
      <c r="I47" t="s">
        <v>95</v>
      </c>
      <c r="J47">
        <v>1</v>
      </c>
      <c r="K47" s="1">
        <f t="shared" si="8"/>
        <v>0.25</v>
      </c>
      <c r="O47" s="1">
        <f t="shared" si="9"/>
        <v>0</v>
      </c>
      <c r="S47" s="1">
        <f t="shared" si="10"/>
        <v>0</v>
      </c>
      <c r="W47" s="1">
        <f t="shared" si="11"/>
        <v>0</v>
      </c>
    </row>
    <row r="48" spans="1:23" x14ac:dyDescent="0.2">
      <c r="C48" s="1">
        <f t="shared" si="6"/>
        <v>0</v>
      </c>
      <c r="G48" s="1">
        <f t="shared" si="7"/>
        <v>0</v>
      </c>
      <c r="I48" s="19" t="s">
        <v>96</v>
      </c>
      <c r="J48">
        <v>1</v>
      </c>
      <c r="K48" s="1">
        <f t="shared" si="8"/>
        <v>0.25</v>
      </c>
      <c r="O48" s="1">
        <f t="shared" si="9"/>
        <v>0</v>
      </c>
      <c r="S48" s="1">
        <f t="shared" si="10"/>
        <v>0</v>
      </c>
      <c r="W48" s="1">
        <f t="shared" si="11"/>
        <v>0</v>
      </c>
    </row>
    <row r="49" spans="1:23" x14ac:dyDescent="0.2">
      <c r="C49" s="1">
        <f t="shared" si="6"/>
        <v>0</v>
      </c>
      <c r="G49" s="1">
        <f t="shared" si="7"/>
        <v>0</v>
      </c>
      <c r="I49" t="s">
        <v>97</v>
      </c>
      <c r="J49">
        <v>1</v>
      </c>
      <c r="K49" s="1">
        <f t="shared" si="8"/>
        <v>0.25</v>
      </c>
      <c r="O49" s="1">
        <f t="shared" si="9"/>
        <v>0</v>
      </c>
      <c r="S49" s="1">
        <f t="shared" si="10"/>
        <v>0</v>
      </c>
      <c r="W49" s="1">
        <f t="shared" si="11"/>
        <v>0</v>
      </c>
    </row>
    <row r="50" spans="1:23" x14ac:dyDescent="0.2">
      <c r="C50" s="1">
        <f t="shared" si="6"/>
        <v>0</v>
      </c>
      <c r="G50" s="1">
        <f t="shared" si="7"/>
        <v>0</v>
      </c>
      <c r="I50" t="s">
        <v>98</v>
      </c>
      <c r="J50">
        <v>1</v>
      </c>
      <c r="K50" s="1">
        <f t="shared" si="8"/>
        <v>0.25</v>
      </c>
      <c r="O50" s="1">
        <f t="shared" si="9"/>
        <v>0</v>
      </c>
      <c r="S50" s="1">
        <f t="shared" si="10"/>
        <v>0</v>
      </c>
      <c r="W50" s="1">
        <f t="shared" si="11"/>
        <v>0</v>
      </c>
    </row>
    <row r="51" spans="1:23" x14ac:dyDescent="0.2">
      <c r="C51" s="1">
        <f t="shared" si="6"/>
        <v>0</v>
      </c>
      <c r="G51" s="1">
        <f t="shared" si="7"/>
        <v>0</v>
      </c>
      <c r="I51" s="19" t="s">
        <v>159</v>
      </c>
      <c r="J51">
        <v>1</v>
      </c>
      <c r="K51" s="1">
        <f t="shared" si="8"/>
        <v>0.25</v>
      </c>
      <c r="O51" s="1">
        <f t="shared" si="9"/>
        <v>0</v>
      </c>
      <c r="S51" s="1">
        <f t="shared" si="10"/>
        <v>0</v>
      </c>
      <c r="W51" s="1">
        <f t="shared" si="11"/>
        <v>0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>
        <f>VLOOKUP(A54,weights_rs!$A:$B,2,FALSE)</f>
        <v>10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80</v>
      </c>
      <c r="C56" s="1">
        <f>B56*($B$72/100)</f>
        <v>4</v>
      </c>
      <c r="E56" s="1" t="s">
        <v>7</v>
      </c>
      <c r="F56" s="1">
        <v>0</v>
      </c>
      <c r="G56" s="1">
        <f>F56*($B$72/100)</f>
        <v>0</v>
      </c>
      <c r="I56" s="1" t="s">
        <v>13</v>
      </c>
      <c r="J56" s="1">
        <v>0</v>
      </c>
      <c r="K56" s="1">
        <f>J56*($B$72/100)</f>
        <v>0</v>
      </c>
      <c r="M56" s="1" t="s">
        <v>9</v>
      </c>
      <c r="N56" s="1">
        <v>10</v>
      </c>
      <c r="O56" s="1">
        <f>N56*($B$72/100)</f>
        <v>0.5</v>
      </c>
      <c r="Q56" s="1" t="s">
        <v>117</v>
      </c>
      <c r="R56" s="1">
        <v>5</v>
      </c>
      <c r="S56" s="1">
        <f>R56*($B$72/100)</f>
        <v>0.25</v>
      </c>
      <c r="U56" s="1" t="s">
        <v>12</v>
      </c>
      <c r="V56" s="1">
        <v>5</v>
      </c>
      <c r="W56" s="1">
        <f>V56*($B$72/100)</f>
        <v>0.25</v>
      </c>
    </row>
    <row r="57" spans="1:23" x14ac:dyDescent="0.2">
      <c r="A57" s="19" t="s">
        <v>22</v>
      </c>
      <c r="B57">
        <v>80</v>
      </c>
      <c r="C57" s="1">
        <f t="shared" ref="C57" si="12">B57*($B$72/100)</f>
        <v>4</v>
      </c>
      <c r="G57" s="1">
        <f t="shared" ref="G57" si="13">F57*($B$72/100)</f>
        <v>0</v>
      </c>
      <c r="J57">
        <v>0</v>
      </c>
      <c r="K57" s="1">
        <f t="shared" ref="K57" si="14">J57*($B$72/100)</f>
        <v>0</v>
      </c>
      <c r="M57" t="s">
        <v>10</v>
      </c>
      <c r="N57">
        <v>10</v>
      </c>
      <c r="O57" s="1">
        <f t="shared" ref="O57" si="15">N57*($B$72/100)</f>
        <v>0.5</v>
      </c>
      <c r="Q57" t="s">
        <v>14</v>
      </c>
      <c r="R57">
        <v>5</v>
      </c>
      <c r="S57" s="1">
        <f t="shared" ref="S57" si="16">R57*($B$72/100)</f>
        <v>0.25</v>
      </c>
      <c r="U57" t="s">
        <v>12</v>
      </c>
      <c r="V57">
        <v>5</v>
      </c>
      <c r="W57" s="1">
        <f t="shared" ref="W57" si="17">V57*($B$72/100)</f>
        <v>0.25</v>
      </c>
    </row>
    <row r="58" spans="1:23" x14ac:dyDescent="0.2">
      <c r="C58" s="1">
        <f t="shared" ref="C58:C60" si="18">B58*($B$54/100)</f>
        <v>0</v>
      </c>
      <c r="G58" s="1">
        <f t="shared" ref="G58:G60" si="19">F58*($B$54/100)</f>
        <v>0</v>
      </c>
      <c r="K58" s="1">
        <f t="shared" ref="K58:K60" si="20">J58*($B$54/100)</f>
        <v>0</v>
      </c>
      <c r="O58" s="1">
        <f t="shared" ref="O58:O60" si="21">N58*($B$54/100)</f>
        <v>0</v>
      </c>
      <c r="S58" s="1">
        <f t="shared" ref="S58:S60" si="22">R58*($B$54/100)</f>
        <v>0</v>
      </c>
      <c r="W58" s="1">
        <f t="shared" ref="W58:W60" si="23">V58*($B$54/100)</f>
        <v>0</v>
      </c>
    </row>
    <row r="59" spans="1:23" x14ac:dyDescent="0.2">
      <c r="C59" s="1">
        <f t="shared" si="18"/>
        <v>0</v>
      </c>
      <c r="G59" s="1">
        <f t="shared" si="19"/>
        <v>0</v>
      </c>
      <c r="K59" s="1">
        <f t="shared" si="20"/>
        <v>0</v>
      </c>
      <c r="O59" s="1">
        <f t="shared" si="21"/>
        <v>0</v>
      </c>
      <c r="S59" s="1">
        <f t="shared" si="22"/>
        <v>0</v>
      </c>
      <c r="W59" s="1">
        <f t="shared" si="23"/>
        <v>0</v>
      </c>
    </row>
    <row r="60" spans="1:23" x14ac:dyDescent="0.2">
      <c r="C60" s="1">
        <f t="shared" si="18"/>
        <v>0</v>
      </c>
      <c r="G60" s="1">
        <f t="shared" si="19"/>
        <v>0</v>
      </c>
      <c r="K60" s="1">
        <f t="shared" si="20"/>
        <v>0</v>
      </c>
      <c r="O60" s="1">
        <f t="shared" si="21"/>
        <v>0</v>
      </c>
      <c r="S60" s="1">
        <f t="shared" si="22"/>
        <v>0</v>
      </c>
      <c r="W60" s="1">
        <f t="shared" si="23"/>
        <v>0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>
        <f>VLOOKUP(A63,weights_rs!$A:$B,2,FALSE)</f>
        <v>5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45</v>
      </c>
      <c r="C65" s="1">
        <f>B65*($B$63/100)</f>
        <v>2.25</v>
      </c>
      <c r="E65" s="1" t="s">
        <v>7</v>
      </c>
      <c r="F65" s="1">
        <v>25</v>
      </c>
      <c r="G65" s="1">
        <f>F65*($B$63/100)</f>
        <v>1.25</v>
      </c>
      <c r="I65" s="1" t="s">
        <v>13</v>
      </c>
      <c r="J65" s="1">
        <v>0</v>
      </c>
      <c r="K65" s="1">
        <f>J65*($B$63/100)</f>
        <v>0</v>
      </c>
      <c r="M65" s="1" t="s">
        <v>9</v>
      </c>
      <c r="N65" s="1">
        <v>20</v>
      </c>
      <c r="O65" s="1">
        <f>N65*($B$63/100)</f>
        <v>1</v>
      </c>
      <c r="Q65" s="1" t="s">
        <v>117</v>
      </c>
      <c r="R65" s="1">
        <v>5</v>
      </c>
      <c r="S65" s="1">
        <f>R65*($B$63/100)</f>
        <v>0.25</v>
      </c>
      <c r="U65" s="1" t="s">
        <v>12</v>
      </c>
      <c r="V65" s="1">
        <v>5</v>
      </c>
      <c r="W65" s="1">
        <f>V65*($B$63/100)</f>
        <v>0.25</v>
      </c>
    </row>
    <row r="66" spans="1:23" x14ac:dyDescent="0.2">
      <c r="A66" s="19" t="s">
        <v>24</v>
      </c>
      <c r="B66">
        <v>45</v>
      </c>
      <c r="C66" s="1">
        <f t="shared" ref="C66:C69" si="24">B66*($B$63/100)</f>
        <v>2.25</v>
      </c>
      <c r="E66" t="s">
        <v>8</v>
      </c>
      <c r="F66">
        <v>13</v>
      </c>
      <c r="G66" s="1">
        <f t="shared" ref="G66:G69" si="25">F66*($B$63/100)</f>
        <v>0.65</v>
      </c>
      <c r="K66" s="1">
        <f t="shared" ref="K66:K69" si="26">J66*($B$63/100)</f>
        <v>0</v>
      </c>
      <c r="M66" t="s">
        <v>10</v>
      </c>
      <c r="N66">
        <v>20</v>
      </c>
      <c r="O66" s="1">
        <f t="shared" ref="O66:O69" si="27">N66*($B$63/100)</f>
        <v>1</v>
      </c>
      <c r="Q66" t="s">
        <v>14</v>
      </c>
      <c r="R66">
        <v>5</v>
      </c>
      <c r="S66" s="1">
        <f t="shared" ref="S66:S69" si="28">R66*($B$63/100)</f>
        <v>0.25</v>
      </c>
      <c r="U66" t="s">
        <v>12</v>
      </c>
      <c r="V66">
        <v>5</v>
      </c>
      <c r="W66" s="1">
        <f t="shared" ref="W66:W69" si="29">V66*($B$63/100)</f>
        <v>0.25</v>
      </c>
    </row>
    <row r="67" spans="1:23" x14ac:dyDescent="0.2">
      <c r="C67" s="1">
        <f t="shared" si="24"/>
        <v>0</v>
      </c>
      <c r="E67" t="s">
        <v>27</v>
      </c>
      <c r="F67">
        <v>12</v>
      </c>
      <c r="G67" s="1">
        <f t="shared" si="25"/>
        <v>0.60000000000000009</v>
      </c>
      <c r="K67" s="1">
        <f t="shared" si="26"/>
        <v>0</v>
      </c>
      <c r="O67" s="1">
        <f t="shared" si="27"/>
        <v>0</v>
      </c>
      <c r="S67" s="1">
        <f t="shared" si="28"/>
        <v>0</v>
      </c>
      <c r="W67" s="1">
        <f t="shared" si="29"/>
        <v>0</v>
      </c>
    </row>
    <row r="68" spans="1:23" x14ac:dyDescent="0.2">
      <c r="C68" s="1">
        <f t="shared" si="24"/>
        <v>0</v>
      </c>
      <c r="G68" s="1">
        <f t="shared" si="25"/>
        <v>0</v>
      </c>
      <c r="K68" s="1">
        <f t="shared" si="26"/>
        <v>0</v>
      </c>
      <c r="O68" s="1">
        <f t="shared" si="27"/>
        <v>0</v>
      </c>
      <c r="S68" s="1">
        <f t="shared" si="28"/>
        <v>0</v>
      </c>
      <c r="W68" s="1">
        <f t="shared" si="29"/>
        <v>0</v>
      </c>
    </row>
    <row r="69" spans="1:23" x14ac:dyDescent="0.2">
      <c r="C69" s="1">
        <f t="shared" si="24"/>
        <v>0</v>
      </c>
      <c r="G69" s="1">
        <f t="shared" si="25"/>
        <v>0</v>
      </c>
      <c r="K69" s="1">
        <f t="shared" si="26"/>
        <v>0</v>
      </c>
      <c r="O69" s="1">
        <f t="shared" si="27"/>
        <v>0</v>
      </c>
      <c r="S69" s="1">
        <f t="shared" si="28"/>
        <v>0</v>
      </c>
      <c r="W69" s="1">
        <f t="shared" si="29"/>
        <v>0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>
        <f>VLOOKUP(A72,weights_rs!$A:$B,2,FALSE)</f>
        <v>5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80</v>
      </c>
      <c r="C74" s="1">
        <f>B74*($B$72/100)</f>
        <v>4</v>
      </c>
      <c r="E74" s="1" t="s">
        <v>7</v>
      </c>
      <c r="F74" s="1">
        <v>0</v>
      </c>
      <c r="G74" s="1">
        <f>F74*($B$72/100)</f>
        <v>0</v>
      </c>
      <c r="I74" s="1" t="s">
        <v>13</v>
      </c>
      <c r="J74" s="1">
        <v>0</v>
      </c>
      <c r="K74" s="1">
        <f>J74*($B$72/100)</f>
        <v>0</v>
      </c>
      <c r="M74" s="1" t="s">
        <v>9</v>
      </c>
      <c r="N74" s="1">
        <v>10</v>
      </c>
      <c r="O74" s="1">
        <f>N74*($B$72/100)</f>
        <v>0.5</v>
      </c>
      <c r="Q74" s="1" t="s">
        <v>117</v>
      </c>
      <c r="R74" s="1">
        <v>5</v>
      </c>
      <c r="S74" s="1">
        <f>R74*($B$72/100)</f>
        <v>0.25</v>
      </c>
      <c r="U74" s="1" t="s">
        <v>12</v>
      </c>
      <c r="V74" s="1">
        <v>5</v>
      </c>
      <c r="W74" s="1">
        <f>V74*($B$72/100)</f>
        <v>0.25</v>
      </c>
    </row>
    <row r="75" spans="1:23" x14ac:dyDescent="0.2">
      <c r="A75" s="19" t="s">
        <v>25</v>
      </c>
      <c r="B75">
        <v>80</v>
      </c>
      <c r="C75" s="1">
        <f t="shared" ref="C75:C78" si="30">B75*($B$72/100)</f>
        <v>4</v>
      </c>
      <c r="G75" s="1">
        <f t="shared" ref="G75:G78" si="31">F75*($B$72/100)</f>
        <v>0</v>
      </c>
      <c r="J75">
        <v>0</v>
      </c>
      <c r="K75" s="1">
        <f t="shared" ref="K75:K78" si="32">J75*($B$72/100)</f>
        <v>0</v>
      </c>
      <c r="M75" t="s">
        <v>10</v>
      </c>
      <c r="N75">
        <v>10</v>
      </c>
      <c r="O75" s="1">
        <f t="shared" ref="O75:O78" si="33">N75*($B$72/100)</f>
        <v>0.5</v>
      </c>
      <c r="Q75" t="s">
        <v>14</v>
      </c>
      <c r="R75">
        <v>5</v>
      </c>
      <c r="S75" s="1">
        <f t="shared" ref="S75:S78" si="34">R75*($B$72/100)</f>
        <v>0.25</v>
      </c>
      <c r="U75" t="s">
        <v>12</v>
      </c>
      <c r="V75">
        <v>5</v>
      </c>
      <c r="W75" s="1">
        <f t="shared" ref="W75:W78" si="35">V75*($B$72/100)</f>
        <v>0.25</v>
      </c>
    </row>
    <row r="76" spans="1:23" x14ac:dyDescent="0.2">
      <c r="C76" s="1">
        <f t="shared" si="30"/>
        <v>0</v>
      </c>
      <c r="G76" s="1">
        <f t="shared" si="31"/>
        <v>0</v>
      </c>
      <c r="K76" s="1">
        <f t="shared" si="32"/>
        <v>0</v>
      </c>
      <c r="O76" s="1">
        <f t="shared" si="33"/>
        <v>0</v>
      </c>
      <c r="S76" s="1">
        <f t="shared" si="34"/>
        <v>0</v>
      </c>
      <c r="W76" s="1">
        <f t="shared" si="35"/>
        <v>0</v>
      </c>
    </row>
    <row r="77" spans="1:23" x14ac:dyDescent="0.2">
      <c r="C77" s="1">
        <f t="shared" si="30"/>
        <v>0</v>
      </c>
      <c r="G77" s="1">
        <f t="shared" si="31"/>
        <v>0</v>
      </c>
      <c r="K77" s="1">
        <f t="shared" si="32"/>
        <v>0</v>
      </c>
      <c r="O77" s="1">
        <f t="shared" si="33"/>
        <v>0</v>
      </c>
      <c r="S77" s="1">
        <f t="shared" si="34"/>
        <v>0</v>
      </c>
      <c r="W77" s="1">
        <f t="shared" si="35"/>
        <v>0</v>
      </c>
    </row>
    <row r="78" spans="1:23" x14ac:dyDescent="0.2">
      <c r="C78" s="1">
        <f t="shared" si="30"/>
        <v>0</v>
      </c>
      <c r="G78" s="1">
        <f t="shared" si="31"/>
        <v>0</v>
      </c>
      <c r="K78" s="1">
        <f t="shared" si="32"/>
        <v>0</v>
      </c>
      <c r="O78" s="1">
        <f t="shared" si="33"/>
        <v>0</v>
      </c>
      <c r="S78" s="1">
        <f t="shared" si="34"/>
        <v>0</v>
      </c>
      <c r="W78" s="1">
        <f t="shared" si="35"/>
        <v>0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>
        <f>VLOOKUP(A81,weights_rs!$A:$B,2,FALSE)</f>
        <v>5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50</v>
      </c>
      <c r="C83" s="1">
        <f>B83*($B$81/100)</f>
        <v>2.5</v>
      </c>
      <c r="E83" s="1" t="s">
        <v>7</v>
      </c>
      <c r="F83" s="1">
        <v>0</v>
      </c>
      <c r="G83" s="1">
        <f>F83*($B$81/100)</f>
        <v>0</v>
      </c>
      <c r="I83" s="1" t="s">
        <v>13</v>
      </c>
      <c r="J83" s="1">
        <v>20</v>
      </c>
      <c r="K83" s="1">
        <f>J83*($B$81/100)</f>
        <v>1</v>
      </c>
      <c r="M83" s="1" t="s">
        <v>9</v>
      </c>
      <c r="N83" s="1">
        <v>20</v>
      </c>
      <c r="O83" s="1">
        <f>N83*($B$81/100)</f>
        <v>1</v>
      </c>
      <c r="Q83" s="1" t="s">
        <v>117</v>
      </c>
      <c r="R83" s="1">
        <v>5</v>
      </c>
      <c r="S83" s="1">
        <f>R83*($B$81/100)</f>
        <v>0.25</v>
      </c>
      <c r="U83" s="1" t="s">
        <v>12</v>
      </c>
      <c r="V83" s="1">
        <v>5</v>
      </c>
      <c r="W83" s="1">
        <f>V83*($B$81/100)</f>
        <v>0.25</v>
      </c>
    </row>
    <row r="84" spans="1:23" x14ac:dyDescent="0.2">
      <c r="A84" s="19" t="s">
        <v>26</v>
      </c>
      <c r="B84">
        <v>25</v>
      </c>
      <c r="C84" s="1">
        <f t="shared" ref="C84:C87" si="36">B84*($B$81/100)</f>
        <v>1.25</v>
      </c>
      <c r="G84" s="1">
        <f t="shared" ref="G84:G87" si="37">F84*($B$81/100)</f>
        <v>0</v>
      </c>
      <c r="I84" t="s">
        <v>23</v>
      </c>
      <c r="J84">
        <v>20</v>
      </c>
      <c r="K84" s="1">
        <f t="shared" ref="K84:K87" si="38">J84*($B$81/100)</f>
        <v>1</v>
      </c>
      <c r="M84" t="s">
        <v>10</v>
      </c>
      <c r="N84">
        <v>20</v>
      </c>
      <c r="O84" s="1">
        <f t="shared" ref="O84:O87" si="39">N84*($B$81/100)</f>
        <v>1</v>
      </c>
      <c r="Q84" t="s">
        <v>14</v>
      </c>
      <c r="R84">
        <v>5</v>
      </c>
      <c r="S84" s="1">
        <f t="shared" ref="S84:S87" si="40">R84*($B$81/100)</f>
        <v>0.25</v>
      </c>
      <c r="U84" t="s">
        <v>12</v>
      </c>
      <c r="V84">
        <v>5</v>
      </c>
      <c r="W84" s="1">
        <f t="shared" ref="W84:W87" si="41">V84*($B$81/100)</f>
        <v>0.25</v>
      </c>
    </row>
    <row r="85" spans="1:23" x14ac:dyDescent="0.2">
      <c r="C85" s="1">
        <f t="shared" si="36"/>
        <v>0</v>
      </c>
      <c r="G85" s="1">
        <f t="shared" si="37"/>
        <v>0</v>
      </c>
      <c r="K85" s="1">
        <f t="shared" si="38"/>
        <v>0</v>
      </c>
      <c r="O85" s="1">
        <f t="shared" si="39"/>
        <v>0</v>
      </c>
      <c r="S85" s="1">
        <f t="shared" si="40"/>
        <v>0</v>
      </c>
      <c r="W85" s="1">
        <f t="shared" si="41"/>
        <v>0</v>
      </c>
    </row>
    <row r="86" spans="1:23" x14ac:dyDescent="0.2">
      <c r="A86" s="19" t="s">
        <v>80</v>
      </c>
      <c r="B86">
        <v>25</v>
      </c>
      <c r="C86" s="1">
        <f t="shared" si="36"/>
        <v>1.25</v>
      </c>
      <c r="G86" s="1">
        <f t="shared" si="37"/>
        <v>0</v>
      </c>
      <c r="K86" s="1">
        <f t="shared" si="38"/>
        <v>0</v>
      </c>
      <c r="O86" s="1">
        <f t="shared" si="39"/>
        <v>0</v>
      </c>
      <c r="S86" s="1">
        <f t="shared" si="40"/>
        <v>0</v>
      </c>
      <c r="W86" s="1">
        <f t="shared" si="41"/>
        <v>0</v>
      </c>
    </row>
    <row r="87" spans="1:23" x14ac:dyDescent="0.2">
      <c r="C87" s="1">
        <f t="shared" si="36"/>
        <v>0</v>
      </c>
      <c r="G87" s="1">
        <f t="shared" si="37"/>
        <v>0</v>
      </c>
      <c r="K87" s="1">
        <f t="shared" si="38"/>
        <v>0</v>
      </c>
      <c r="O87" s="1">
        <f t="shared" si="39"/>
        <v>0</v>
      </c>
      <c r="S87" s="1">
        <f t="shared" si="40"/>
        <v>0</v>
      </c>
      <c r="W87" s="1">
        <f t="shared" si="41"/>
        <v>0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  <row r="91" spans="1:23" x14ac:dyDescent="0.2">
      <c r="A91" t="s">
        <v>160</v>
      </c>
    </row>
  </sheetData>
  <conditionalFormatting sqref="B22 F22 J22 N22 R22 V22 B35 F35 J35 N35 R35 V35 B64 F64 J64 N64 R64 V64 B73 F73 J73 N73 R73 V73 B82 F82 J82 N82 R82 V82">
    <cfRule type="cellIs" dxfId="13" priority="9" operator="equal">
      <formula>TRUE</formula>
    </cfRule>
  </conditionalFormatting>
  <conditionalFormatting sqref="B55 F55 J55 N55 R55 V55">
    <cfRule type="cellIs" dxfId="12" priority="2" operator="equal">
      <formula>TRUE</formula>
    </cfRule>
  </conditionalFormatting>
  <conditionalFormatting sqref="C21">
    <cfRule type="cellIs" dxfId="11" priority="8" operator="equal">
      <formula>TRUE</formula>
    </cfRule>
  </conditionalFormatting>
  <conditionalFormatting sqref="C34">
    <cfRule type="cellIs" dxfId="10" priority="7" operator="equal">
      <formula>TRUE</formula>
    </cfRule>
  </conditionalFormatting>
  <conditionalFormatting sqref="C54">
    <cfRule type="cellIs" dxfId="9" priority="1" operator="equal">
      <formula>TRUE</formula>
    </cfRule>
  </conditionalFormatting>
  <conditionalFormatting sqref="C63">
    <cfRule type="cellIs" dxfId="8" priority="3" operator="equal">
      <formula>TRUE</formula>
    </cfRule>
  </conditionalFormatting>
  <conditionalFormatting sqref="C72">
    <cfRule type="cellIs" dxfId="7" priority="5" operator="equal">
      <formula>TRUE</formula>
    </cfRule>
  </conditionalFormatting>
  <conditionalFormatting sqref="C81">
    <cfRule type="cellIs" dxfId="6" priority="4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EC55-B648-3A4C-A439-D742FEF9A099}">
  <dimension ref="A1:C10"/>
  <sheetViews>
    <sheetView zoomScale="150" workbookViewId="0">
      <pane ySplit="2" topLeftCell="A3" activePane="bottomLeft" state="frozen"/>
      <selection pane="bottomLeft" activeCell="B23" sqref="B23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4.33203125" customWidth="1"/>
    <col min="4" max="4" width="24.83203125" customWidth="1"/>
  </cols>
  <sheetData>
    <row r="1" spans="1:3" x14ac:dyDescent="0.2">
      <c r="A1" s="7" t="s">
        <v>20</v>
      </c>
      <c r="B1" s="4">
        <f>SUM(B3:B20)</f>
        <v>100</v>
      </c>
    </row>
    <row r="2" spans="1:3" s="1" customFormat="1" x14ac:dyDescent="0.2">
      <c r="A2" s="5" t="s">
        <v>0</v>
      </c>
      <c r="B2" s="5" t="s">
        <v>3</v>
      </c>
    </row>
    <row r="3" spans="1:3" x14ac:dyDescent="0.2">
      <c r="A3" s="2" t="s">
        <v>11</v>
      </c>
      <c r="B3" s="3">
        <v>50</v>
      </c>
      <c r="C3" s="16">
        <v>45</v>
      </c>
    </row>
    <row r="4" spans="1:3" x14ac:dyDescent="0.2">
      <c r="A4" s="2" t="s">
        <v>16</v>
      </c>
      <c r="B4" s="3">
        <v>25</v>
      </c>
      <c r="C4" s="16">
        <v>20</v>
      </c>
    </row>
    <row r="5" spans="1:3" x14ac:dyDescent="0.2">
      <c r="A5" s="2" t="s">
        <v>15</v>
      </c>
      <c r="B5" s="3">
        <v>5</v>
      </c>
      <c r="C5" s="16">
        <v>5</v>
      </c>
    </row>
    <row r="6" spans="1:3" x14ac:dyDescent="0.2">
      <c r="A6" s="2" t="s">
        <v>4</v>
      </c>
      <c r="B6" s="3">
        <v>10</v>
      </c>
      <c r="C6" s="16">
        <v>10</v>
      </c>
    </row>
    <row r="7" spans="1:3" x14ac:dyDescent="0.2">
      <c r="A7" s="2" t="s">
        <v>17</v>
      </c>
      <c r="B7" s="3">
        <v>5</v>
      </c>
      <c r="C7" s="16">
        <v>5</v>
      </c>
    </row>
    <row r="8" spans="1:3" x14ac:dyDescent="0.2">
      <c r="A8" s="2" t="s">
        <v>18</v>
      </c>
      <c r="B8" s="3">
        <v>5</v>
      </c>
      <c r="C8" s="16">
        <v>5</v>
      </c>
    </row>
    <row r="9" spans="1:3" x14ac:dyDescent="0.2">
      <c r="A9" s="15" t="s">
        <v>19</v>
      </c>
      <c r="B9" s="16"/>
      <c r="C9" s="16">
        <v>10</v>
      </c>
    </row>
    <row r="10" spans="1:3" x14ac:dyDescent="0.2">
      <c r="B10" s="3"/>
    </row>
  </sheetData>
  <conditionalFormatting sqref="B1">
    <cfRule type="cellIs" dxfId="5" priority="1" operator="equal">
      <formula>100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B1:Y204"/>
  <sheetViews>
    <sheetView zoomScale="141" workbookViewId="0">
      <pane ySplit="2" topLeftCell="A3" activePane="bottomLeft" state="frozen"/>
      <selection pane="bottomLeft" activeCell="I11" sqref="I11"/>
    </sheetView>
  </sheetViews>
  <sheetFormatPr baseColWidth="10" defaultRowHeight="16" x14ac:dyDescent="0.2"/>
  <cols>
    <col min="1" max="1" width="4" customWidth="1"/>
    <col min="2" max="2" width="16.83203125" bestFit="1" customWidth="1"/>
    <col min="3" max="3" width="12" bestFit="1" customWidth="1"/>
    <col min="4" max="4" width="16.33203125" bestFit="1" customWidth="1"/>
    <col min="5" max="5" width="12.83203125" bestFit="1" customWidth="1"/>
    <col min="6" max="6" width="13" bestFit="1" customWidth="1"/>
    <col min="7" max="7" width="12.1640625" customWidth="1"/>
    <col min="8" max="8" width="4.6640625" customWidth="1"/>
    <col min="9" max="9" width="22.83203125" bestFit="1" customWidth="1"/>
    <col min="10" max="10" width="6.5" style="8" bestFit="1" customWidth="1"/>
    <col min="11" max="11" width="3.6640625" customWidth="1"/>
    <col min="12" max="12" width="12" bestFit="1" customWidth="1"/>
    <col min="13" max="13" width="6.5" style="8" bestFit="1" customWidth="1"/>
    <col min="14" max="14" width="3.5" customWidth="1"/>
    <col min="15" max="15" width="14.33203125" bestFit="1" customWidth="1"/>
    <col min="16" max="16" width="6.5" style="8" bestFit="1" customWidth="1"/>
    <col min="18" max="18" width="29.83203125" bestFit="1" customWidth="1"/>
    <col min="22" max="22" width="22.83203125" bestFit="1" customWidth="1"/>
    <col min="23" max="23" width="14.5" bestFit="1" customWidth="1"/>
    <col min="24" max="24" width="16.83203125" bestFit="1" customWidth="1"/>
    <col min="25" max="25" width="9.5" bestFit="1" customWidth="1"/>
  </cols>
  <sheetData>
    <row r="1" spans="2:25" x14ac:dyDescent="0.2">
      <c r="B1" s="21" t="s">
        <v>161</v>
      </c>
      <c r="C1" s="19"/>
      <c r="D1" s="19"/>
      <c r="E1" s="19"/>
      <c r="I1" s="1" t="s">
        <v>0</v>
      </c>
    </row>
    <row r="2" spans="2:25" s="1" customFormat="1" x14ac:dyDescent="0.2">
      <c r="B2" s="6" t="s">
        <v>2</v>
      </c>
      <c r="C2" s="6" t="s">
        <v>1</v>
      </c>
      <c r="D2" s="6" t="s">
        <v>0</v>
      </c>
      <c r="E2" s="6" t="s">
        <v>3</v>
      </c>
      <c r="F2" s="22" t="s">
        <v>163</v>
      </c>
      <c r="G2" s="22" t="s">
        <v>162</v>
      </c>
      <c r="I2" s="7" t="str" cm="1">
        <f t="array" ref="I2:I9">_xlfn.UNIQUE(D2:D1000)</f>
        <v>RevenueStream</v>
      </c>
      <c r="J2" s="7" t="s">
        <v>21</v>
      </c>
      <c r="L2" s="7" t="str" cm="1">
        <f t="array" ref="L2:L8">_xlfn.UNIQUE(C2:C1000)</f>
        <v>BudgetGroup</v>
      </c>
      <c r="M2" s="7" t="s">
        <v>21</v>
      </c>
      <c r="O2" s="7" t="str" cm="1">
        <f t="array" ref="O2:O44">_xlfn.UNIQUE(B2:B1000)</f>
        <v>RequestingArea</v>
      </c>
      <c r="P2" s="7" t="s">
        <v>21</v>
      </c>
      <c r="R2" s="7" t="s">
        <v>77</v>
      </c>
      <c r="V2" s="6" t="s">
        <v>0</v>
      </c>
      <c r="W2" s="6" t="s">
        <v>1</v>
      </c>
      <c r="X2" s="6" t="s">
        <v>2</v>
      </c>
      <c r="Y2" s="6" t="s">
        <v>3</v>
      </c>
    </row>
    <row r="3" spans="2:25" x14ac:dyDescent="0.2">
      <c r="B3" t="s">
        <v>12</v>
      </c>
      <c r="C3" t="s">
        <v>12</v>
      </c>
      <c r="D3" t="s">
        <v>4</v>
      </c>
      <c r="E3" s="20">
        <f>G3*100/F3</f>
        <v>100</v>
      </c>
      <c r="F3" s="20">
        <f>SUMIFS($G$2:$G$1000,$C$2:$C$1000,C3,$D$2:$D$1000,D3)</f>
        <v>100</v>
      </c>
      <c r="G3">
        <v>100</v>
      </c>
      <c r="I3" t="str">
        <v>Business Solutions</v>
      </c>
      <c r="J3" s="7">
        <f>SUMIF($D:$D,I3,$G:$G)</f>
        <v>610</v>
      </c>
      <c r="L3" t="str">
        <v>CISO</v>
      </c>
      <c r="M3" s="4">
        <f>SUMIF($C:$C,L3,$G:$G)</f>
        <v>600</v>
      </c>
      <c r="O3" t="str">
        <v>CISO</v>
      </c>
      <c r="P3" s="4">
        <f>SUMIF($B:$B,O3,$G:$G)</f>
        <v>600</v>
      </c>
      <c r="R3" t="str">
        <f>D3&amp;"-"&amp;B3</f>
        <v>Business Solutions-CISO</v>
      </c>
      <c r="U3" t="s">
        <v>87</v>
      </c>
      <c r="V3" t="s">
        <v>4</v>
      </c>
      <c r="W3" t="s">
        <v>5</v>
      </c>
      <c r="X3" t="s">
        <v>22</v>
      </c>
      <c r="Y3">
        <v>40</v>
      </c>
    </row>
    <row r="4" spans="2:25" x14ac:dyDescent="0.2">
      <c r="B4" t="s">
        <v>81</v>
      </c>
      <c r="C4" t="s">
        <v>5</v>
      </c>
      <c r="D4" t="s">
        <v>4</v>
      </c>
      <c r="E4" s="20">
        <f>G4*100/F4</f>
        <v>5.882352941176471</v>
      </c>
      <c r="F4" s="20">
        <f>SUMIFS($G$2:$G$1000,$C$2:$C$1000,C4,$D$2:$D$1000,D4)</f>
        <v>170</v>
      </c>
      <c r="G4">
        <v>10</v>
      </c>
      <c r="I4" t="str">
        <v>Mail</v>
      </c>
      <c r="J4" s="7">
        <f>SUMIF($D:$D,I4,$G:$G)</f>
        <v>610</v>
      </c>
      <c r="L4" t="str">
        <v>Commercial</v>
      </c>
      <c r="M4" s="4">
        <f>SUMIF($C:$C,L4,$G:$G)</f>
        <v>1170</v>
      </c>
      <c r="O4" t="str">
        <v>CSI</v>
      </c>
      <c r="P4" s="4">
        <f>SUMIF($B:$B,O4,$G:$G)</f>
        <v>60</v>
      </c>
      <c r="R4" t="str">
        <f t="shared" ref="R4:R62" si="0">D4&amp;"-"&amp;B4</f>
        <v>Business Solutions-CSI</v>
      </c>
      <c r="U4" t="s">
        <v>89</v>
      </c>
      <c r="V4" t="s">
        <v>4</v>
      </c>
      <c r="W4" t="s">
        <v>6</v>
      </c>
      <c r="X4" t="s">
        <v>14</v>
      </c>
      <c r="Y4">
        <v>9</v>
      </c>
    </row>
    <row r="5" spans="2:25" x14ac:dyDescent="0.2">
      <c r="B5" t="s">
        <v>82</v>
      </c>
      <c r="C5" t="s">
        <v>5</v>
      </c>
      <c r="D5" t="s">
        <v>4</v>
      </c>
      <c r="E5" s="20">
        <f>G5*100/F5</f>
        <v>5.882352941176471</v>
      </c>
      <c r="F5" s="20">
        <f>SUMIFS($G$2:$G$1000,$C$2:$C$1000,C5,$D$2:$D$1000,D5)</f>
        <v>170</v>
      </c>
      <c r="G5">
        <v>10</v>
      </c>
      <c r="I5" t="str">
        <v>eCommerce</v>
      </c>
      <c r="J5" s="7">
        <f>SUMIF($D:$D,I5,$G:$G)</f>
        <v>950</v>
      </c>
      <c r="L5" t="str">
        <v>Corporate</v>
      </c>
      <c r="M5" s="4">
        <f>SUMIF($C:$C,L5,$G:$G)</f>
        <v>910</v>
      </c>
      <c r="O5" t="str">
        <v>CTTE</v>
      </c>
      <c r="P5" s="4">
        <f>SUMIF($B:$B,O5,$G:$G)</f>
        <v>60</v>
      </c>
      <c r="R5" t="str">
        <f t="shared" si="0"/>
        <v>Business Solutions-CTTE</v>
      </c>
      <c r="U5" t="s">
        <v>75</v>
      </c>
      <c r="V5" t="s">
        <v>4</v>
      </c>
      <c r="W5" t="s">
        <v>7</v>
      </c>
      <c r="X5" t="s">
        <v>8</v>
      </c>
      <c r="Y5">
        <v>1</v>
      </c>
    </row>
    <row r="6" spans="2:25" x14ac:dyDescent="0.2">
      <c r="B6" t="s">
        <v>79</v>
      </c>
      <c r="C6" t="s">
        <v>5</v>
      </c>
      <c r="D6" t="s">
        <v>4</v>
      </c>
      <c r="E6" s="20">
        <f>G6*100/F6</f>
        <v>5.882352941176471</v>
      </c>
      <c r="F6" s="20">
        <f>SUMIFS($G$2:$G$1000,$C$2:$C$1000,C6,$D$2:$D$1000,D6)</f>
        <v>170</v>
      </c>
      <c r="G6">
        <v>10</v>
      </c>
      <c r="I6" t="str">
        <v>Payments</v>
      </c>
      <c r="J6" s="7">
        <f>SUMIF($D:$D,I6,$G:$G)</f>
        <v>610</v>
      </c>
      <c r="L6" t="str">
        <v>Operations</v>
      </c>
      <c r="M6" s="4">
        <f>SUMIF($C:$C,L6,$G:$G)</f>
        <v>730</v>
      </c>
      <c r="O6" t="str">
        <v>DNI</v>
      </c>
      <c r="P6" s="4">
        <f>SUMIF($B:$B,O6,$G:$G)</f>
        <v>60</v>
      </c>
      <c r="R6" t="str">
        <f t="shared" si="0"/>
        <v>Business Solutions-DNI</v>
      </c>
      <c r="U6" t="s">
        <v>23</v>
      </c>
      <c r="V6" t="s">
        <v>4</v>
      </c>
      <c r="W6" t="s">
        <v>9</v>
      </c>
      <c r="X6" t="s">
        <v>10</v>
      </c>
      <c r="Y6">
        <v>20</v>
      </c>
    </row>
    <row r="7" spans="2:25" x14ac:dyDescent="0.2">
      <c r="B7" t="s">
        <v>83</v>
      </c>
      <c r="C7" t="s">
        <v>5</v>
      </c>
      <c r="D7" t="s">
        <v>4</v>
      </c>
      <c r="E7" s="20">
        <f>G7*100/F7</f>
        <v>5.882352941176471</v>
      </c>
      <c r="F7" s="20">
        <f>SUMIFS($G$2:$G$1000,$C$2:$C$1000,C7,$D$2:$D$1000,D7)</f>
        <v>170</v>
      </c>
      <c r="G7">
        <v>10</v>
      </c>
      <c r="I7" t="str">
        <v>Retail &amp; Financial Services</v>
      </c>
      <c r="J7" s="7">
        <f>SUMIF($D:$D,I7,$G:$G)</f>
        <v>610</v>
      </c>
      <c r="L7" t="str">
        <v>Technology</v>
      </c>
      <c r="M7" s="4">
        <f>SUMIF($C:$C,L7,$G:$G)</f>
        <v>590</v>
      </c>
      <c r="O7" t="str">
        <v>ECM</v>
      </c>
      <c r="P7" s="4">
        <f>SUMIF($B:$B,O7,$G:$G)</f>
        <v>60</v>
      </c>
      <c r="R7" t="str">
        <f t="shared" si="0"/>
        <v>Business Solutions-ECM</v>
      </c>
      <c r="U7" t="s">
        <v>12</v>
      </c>
      <c r="V7" t="s">
        <v>4</v>
      </c>
      <c r="W7" t="s">
        <v>12</v>
      </c>
      <c r="X7" t="s">
        <v>12</v>
      </c>
      <c r="Y7">
        <v>10</v>
      </c>
    </row>
    <row r="8" spans="2:25" x14ac:dyDescent="0.2">
      <c r="B8" t="s">
        <v>22</v>
      </c>
      <c r="C8" t="s">
        <v>5</v>
      </c>
      <c r="D8" t="s">
        <v>4</v>
      </c>
      <c r="E8" s="20">
        <f>G8*100/F8</f>
        <v>29.411764705882351</v>
      </c>
      <c r="F8" s="20">
        <f>SUMIFS($G$2:$G$1000,$C$2:$C$1000,C8,$D$2:$D$1000,D8)</f>
        <v>170</v>
      </c>
      <c r="G8">
        <v>50</v>
      </c>
      <c r="I8" t="str">
        <v>Fulfilment</v>
      </c>
      <c r="J8" s="7">
        <f>SUMIF($D:$D,I8,$G:$G)</f>
        <v>610</v>
      </c>
      <c r="L8">
        <v>0</v>
      </c>
      <c r="M8" s="4">
        <f>SUMIF($C:$C,L8,$G:$G)</f>
        <v>0</v>
      </c>
      <c r="O8" t="str">
        <v>GP B2B</v>
      </c>
      <c r="P8" s="4">
        <f>SUMIF($B:$B,O8,$G:$G)</f>
        <v>140</v>
      </c>
      <c r="R8" t="str">
        <f t="shared" si="0"/>
        <v>Business Solutions-GP B2B</v>
      </c>
      <c r="U8" t="s">
        <v>91</v>
      </c>
      <c r="V8" t="s">
        <v>4</v>
      </c>
      <c r="W8" t="s">
        <v>13</v>
      </c>
      <c r="X8" t="s">
        <v>23</v>
      </c>
      <c r="Y8">
        <v>20</v>
      </c>
    </row>
    <row r="9" spans="2:25" x14ac:dyDescent="0.2">
      <c r="B9" t="s">
        <v>26</v>
      </c>
      <c r="C9" t="s">
        <v>5</v>
      </c>
      <c r="D9" t="s">
        <v>4</v>
      </c>
      <c r="E9" s="20">
        <f>G9*100/F9</f>
        <v>5.882352941176471</v>
      </c>
      <c r="F9" s="20">
        <f>SUMIFS($G$2:$G$1000,$C$2:$C$1000,C9,$D$2:$D$1000,D9)</f>
        <v>170</v>
      </c>
      <c r="G9">
        <v>10</v>
      </c>
      <c r="I9">
        <v>0</v>
      </c>
      <c r="J9" s="7">
        <f>SUMIF($D:$D,I9,$G:$G)</f>
        <v>0</v>
      </c>
      <c r="M9" s="4">
        <f>SUMIF($C:$C,L9,$G:$G)</f>
        <v>0</v>
      </c>
      <c r="O9" t="str">
        <v>GP B2C</v>
      </c>
      <c r="P9" s="4">
        <f>SUMIF($B:$B,O9,$G:$G)</f>
        <v>100</v>
      </c>
      <c r="R9" t="str">
        <f t="shared" si="0"/>
        <v>Business Solutions-GP B2C</v>
      </c>
      <c r="U9" t="s">
        <v>93</v>
      </c>
      <c r="V9" t="s">
        <v>11</v>
      </c>
      <c r="W9" t="s">
        <v>5</v>
      </c>
      <c r="X9" t="s">
        <v>24</v>
      </c>
      <c r="Y9">
        <v>35</v>
      </c>
    </row>
    <row r="10" spans="2:25" x14ac:dyDescent="0.2">
      <c r="B10" t="s">
        <v>24</v>
      </c>
      <c r="C10" t="s">
        <v>5</v>
      </c>
      <c r="D10" t="s">
        <v>4</v>
      </c>
      <c r="E10" s="20">
        <f>G10*100/F10</f>
        <v>5.882352941176471</v>
      </c>
      <c r="F10" s="20">
        <f>SUMIFS($G$2:$G$1000,$C$2:$C$1000,C10,$D$2:$D$1000,D10)</f>
        <v>170</v>
      </c>
      <c r="G10">
        <v>10</v>
      </c>
      <c r="J10" s="7">
        <f>SUMIF($D:$D,I10,$G:$G)</f>
        <v>0</v>
      </c>
      <c r="M10" s="4">
        <f>SUMIF($C:$C,L10,$G:$G)</f>
        <v>0</v>
      </c>
      <c r="O10" t="str">
        <v>GP ECL</v>
      </c>
      <c r="P10" s="4">
        <f>SUMIF($B:$B,O10,$G:$G)</f>
        <v>140</v>
      </c>
      <c r="R10" t="str">
        <f t="shared" si="0"/>
        <v>Business Solutions-GP ECL</v>
      </c>
      <c r="U10" t="s">
        <v>81</v>
      </c>
      <c r="V10" t="s">
        <v>11</v>
      </c>
      <c r="W10" t="s">
        <v>6</v>
      </c>
      <c r="X10" t="s">
        <v>14</v>
      </c>
      <c r="Y10">
        <v>10</v>
      </c>
    </row>
    <row r="11" spans="2:25" x14ac:dyDescent="0.2">
      <c r="B11" t="s">
        <v>25</v>
      </c>
      <c r="C11" t="s">
        <v>5</v>
      </c>
      <c r="D11" t="s">
        <v>4</v>
      </c>
      <c r="E11" s="20">
        <f>G11*100/F11</f>
        <v>5.882352941176471</v>
      </c>
      <c r="F11" s="20">
        <f>SUMIFS($G$2:$G$1000,$C$2:$C$1000,C11,$D$2:$D$1000,D11)</f>
        <v>170</v>
      </c>
      <c r="G11">
        <v>10</v>
      </c>
      <c r="J11" s="7">
        <f>SUMIF($D:$D,I11,$G:$G)</f>
        <v>0</v>
      </c>
      <c r="M11" s="4">
        <f>SUMIF($C:$C,L11,$G:$G)</f>
        <v>0</v>
      </c>
      <c r="O11" t="str">
        <v>GPG</v>
      </c>
      <c r="P11" s="4">
        <f>SUMIF($B:$B,O11,$G:$G)</f>
        <v>100</v>
      </c>
      <c r="R11" t="str">
        <f t="shared" si="0"/>
        <v>Business Solutions-GPG</v>
      </c>
      <c r="U11" t="s">
        <v>82</v>
      </c>
      <c r="V11" t="s">
        <v>11</v>
      </c>
      <c r="W11" t="s">
        <v>7</v>
      </c>
      <c r="X11" t="s">
        <v>8</v>
      </c>
      <c r="Y11">
        <v>20</v>
      </c>
    </row>
    <row r="12" spans="2:25" x14ac:dyDescent="0.2">
      <c r="B12" t="s">
        <v>80</v>
      </c>
      <c r="C12" t="s">
        <v>5</v>
      </c>
      <c r="D12" t="s">
        <v>4</v>
      </c>
      <c r="E12" s="20">
        <f>G12*100/F12</f>
        <v>29.411764705882351</v>
      </c>
      <c r="F12" s="20">
        <f>SUMIFS($G$2:$G$1000,$C$2:$C$1000,C12,$D$2:$D$1000,D12)</f>
        <v>170</v>
      </c>
      <c r="G12">
        <v>50</v>
      </c>
      <c r="J12" s="7">
        <f>SUMIF($D:$D,I12,$G:$G)</f>
        <v>0</v>
      </c>
      <c r="M12" s="4">
        <f>SUMIF($C:$C,L12,$G:$G)</f>
        <v>0</v>
      </c>
      <c r="O12" t="str">
        <v>GS</v>
      </c>
      <c r="P12" s="4">
        <f>SUMIF($B:$B,O12,$G:$G)</f>
        <v>300</v>
      </c>
      <c r="R12" t="str">
        <f t="shared" si="0"/>
        <v>Business Solutions-GS</v>
      </c>
      <c r="U12" t="s">
        <v>79</v>
      </c>
      <c r="V12" t="s">
        <v>11</v>
      </c>
      <c r="W12" t="s">
        <v>9</v>
      </c>
      <c r="X12" t="s">
        <v>10</v>
      </c>
      <c r="Y12">
        <v>20</v>
      </c>
    </row>
    <row r="13" spans="2:25" x14ac:dyDescent="0.2">
      <c r="B13" t="s">
        <v>87</v>
      </c>
      <c r="C13" t="s">
        <v>13</v>
      </c>
      <c r="D13" t="s">
        <v>4</v>
      </c>
      <c r="E13" s="20">
        <f>G13*100/F13</f>
        <v>7.6923076923076925</v>
      </c>
      <c r="F13" s="20">
        <f>SUMIFS($G$2:$G$1000,$C$2:$C$1000,C13,$D$2:$D$1000,D13)</f>
        <v>130</v>
      </c>
      <c r="G13">
        <v>10</v>
      </c>
      <c r="J13" s="7">
        <f>SUMIF($D:$D,I13,$G:$G)</f>
        <v>0</v>
      </c>
      <c r="M13" s="4">
        <f>SUMIF($C:$C,L13,$G:$G)</f>
        <v>0</v>
      </c>
      <c r="O13" t="str">
        <v>ACR</v>
      </c>
      <c r="P13" s="4">
        <f>SUMIF($B:$B,O13,$G:$G)</f>
        <v>60</v>
      </c>
      <c r="R13" t="str">
        <f t="shared" si="0"/>
        <v>Business Solutions-ACR</v>
      </c>
      <c r="U13" t="s">
        <v>97</v>
      </c>
      <c r="V13" t="s">
        <v>11</v>
      </c>
      <c r="W13" t="s">
        <v>12</v>
      </c>
      <c r="X13" t="s">
        <v>12</v>
      </c>
      <c r="Y13">
        <v>5</v>
      </c>
    </row>
    <row r="14" spans="2:25" x14ac:dyDescent="0.2">
      <c r="B14" t="s">
        <v>89</v>
      </c>
      <c r="C14" t="s">
        <v>13</v>
      </c>
      <c r="D14" t="s">
        <v>4</v>
      </c>
      <c r="E14" s="20">
        <f>G14*100/F14</f>
        <v>7.6923076923076925</v>
      </c>
      <c r="F14" s="20">
        <f>SUMIFS($G$2:$G$1000,$C$2:$C$1000,C14,$D$2:$D$1000,D14)</f>
        <v>130</v>
      </c>
      <c r="G14">
        <v>10</v>
      </c>
      <c r="J14" s="7">
        <f>SUMIF($D:$D,I14,$G:$G)</f>
        <v>0</v>
      </c>
      <c r="M14" s="4">
        <f>SUMIF($C:$C,L14,$G:$G)</f>
        <v>0</v>
      </c>
      <c r="O14" t="str">
        <v>AVC</v>
      </c>
      <c r="P14" s="4">
        <f>SUMIF($B:$B,O14,$G:$G)</f>
        <v>60</v>
      </c>
      <c r="R14" t="str">
        <f t="shared" si="0"/>
        <v>Business Solutions-AVC</v>
      </c>
      <c r="U14" t="s">
        <v>83</v>
      </c>
      <c r="V14" t="s">
        <v>11</v>
      </c>
      <c r="W14" t="s">
        <v>13</v>
      </c>
      <c r="X14" t="s">
        <v>23</v>
      </c>
      <c r="Y14">
        <v>10</v>
      </c>
    </row>
    <row r="15" spans="2:25" x14ac:dyDescent="0.2">
      <c r="B15" t="s">
        <v>23</v>
      </c>
      <c r="C15" t="s">
        <v>13</v>
      </c>
      <c r="D15" t="s">
        <v>4</v>
      </c>
      <c r="E15" s="20">
        <f>G15*100/F15</f>
        <v>7.6923076923076925</v>
      </c>
      <c r="F15" s="20">
        <f>SUMIFS($G$2:$G$1000,$C$2:$C$1000,C15,$D$2:$D$1000,D15)</f>
        <v>130</v>
      </c>
      <c r="G15">
        <v>10</v>
      </c>
      <c r="O15" t="str">
        <v>CF</v>
      </c>
      <c r="P15" s="4">
        <f>SUMIF($B:$B,O15,$G:$G)</f>
        <v>60</v>
      </c>
      <c r="R15" t="str">
        <f t="shared" si="0"/>
        <v>Business Solutions-CF</v>
      </c>
      <c r="U15" t="s">
        <v>8</v>
      </c>
      <c r="V15" t="s">
        <v>15</v>
      </c>
      <c r="W15" t="s">
        <v>5</v>
      </c>
      <c r="X15" t="s">
        <v>24</v>
      </c>
      <c r="Y15">
        <v>35</v>
      </c>
    </row>
    <row r="16" spans="2:25" x14ac:dyDescent="0.2">
      <c r="B16" t="s">
        <v>91</v>
      </c>
      <c r="C16" t="s">
        <v>13</v>
      </c>
      <c r="D16" t="s">
        <v>4</v>
      </c>
      <c r="E16" s="20">
        <f>G16*100/F16</f>
        <v>7.6923076923076925</v>
      </c>
      <c r="F16" s="20">
        <f>SUMIFS($G$2:$G$1000,$C$2:$C$1000,C16,$D$2:$D$1000,D16)</f>
        <v>130</v>
      </c>
      <c r="G16">
        <v>10</v>
      </c>
      <c r="O16" t="str">
        <v>CL</v>
      </c>
      <c r="P16" s="4">
        <f>SUMIF($B:$B,O16,$G:$G)</f>
        <v>60</v>
      </c>
      <c r="R16" t="str">
        <f t="shared" si="0"/>
        <v>Business Solutions-CL</v>
      </c>
      <c r="U16" t="s">
        <v>85</v>
      </c>
      <c r="V16" t="s">
        <v>15</v>
      </c>
      <c r="W16" t="s">
        <v>6</v>
      </c>
      <c r="X16" t="s">
        <v>14</v>
      </c>
      <c r="Y16">
        <v>10</v>
      </c>
    </row>
    <row r="17" spans="2:25" x14ac:dyDescent="0.2">
      <c r="B17" t="s">
        <v>93</v>
      </c>
      <c r="C17" t="s">
        <v>13</v>
      </c>
      <c r="D17" t="s">
        <v>4</v>
      </c>
      <c r="E17" s="20">
        <f>G17*100/F17</f>
        <v>7.6923076923076925</v>
      </c>
      <c r="F17" s="20">
        <f>SUMIFS($G$2:$G$1000,$C$2:$C$1000,C17,$D$2:$D$1000,D17)</f>
        <v>130</v>
      </c>
      <c r="G17">
        <v>10</v>
      </c>
      <c r="O17" t="str">
        <v>CMP</v>
      </c>
      <c r="P17" s="4">
        <f>SUMIF($B:$B,O17,$G:$G)</f>
        <v>60</v>
      </c>
      <c r="R17" t="str">
        <f t="shared" si="0"/>
        <v>Business Solutions-CMP</v>
      </c>
      <c r="U17" t="s">
        <v>99</v>
      </c>
      <c r="V17" t="s">
        <v>15</v>
      </c>
      <c r="W17" t="s">
        <v>7</v>
      </c>
      <c r="X17" t="s">
        <v>8</v>
      </c>
      <c r="Y17">
        <v>20</v>
      </c>
    </row>
    <row r="18" spans="2:25" x14ac:dyDescent="0.2">
      <c r="B18" t="s">
        <v>97</v>
      </c>
      <c r="C18" t="s">
        <v>13</v>
      </c>
      <c r="D18" t="s">
        <v>4</v>
      </c>
      <c r="E18" s="20">
        <f>G18*100/F18</f>
        <v>7.6923076923076925</v>
      </c>
      <c r="F18" s="20">
        <f>SUMIFS($G$2:$G$1000,$C$2:$C$1000,C18,$D$2:$D$1000,D18)</f>
        <v>130</v>
      </c>
      <c r="G18">
        <v>10</v>
      </c>
      <c r="O18" t="str">
        <v>DPO</v>
      </c>
      <c r="P18" s="4">
        <f>SUMIF($B:$B,O18,$G:$G)</f>
        <v>60</v>
      </c>
      <c r="R18" t="str">
        <f t="shared" si="0"/>
        <v>Business Solutions-DPO</v>
      </c>
      <c r="U18" t="s">
        <v>22</v>
      </c>
      <c r="V18" t="s">
        <v>15</v>
      </c>
      <c r="W18" t="s">
        <v>9</v>
      </c>
      <c r="X18" t="s">
        <v>10</v>
      </c>
      <c r="Y18">
        <v>20</v>
      </c>
    </row>
    <row r="19" spans="2:25" x14ac:dyDescent="0.2">
      <c r="B19" t="s">
        <v>99</v>
      </c>
      <c r="C19" t="s">
        <v>13</v>
      </c>
      <c r="D19" t="s">
        <v>4</v>
      </c>
      <c r="E19" s="20">
        <f>G19*100/F19</f>
        <v>7.6923076923076925</v>
      </c>
      <c r="F19" s="20">
        <f>SUMIFS($G$2:$G$1000,$C$2:$C$1000,C19,$D$2:$D$1000,D19)</f>
        <v>130</v>
      </c>
      <c r="G19">
        <v>10</v>
      </c>
      <c r="O19" t="str">
        <v>FL</v>
      </c>
      <c r="P19" s="4">
        <f>SUMIF($B:$B,O19,$G:$G)</f>
        <v>60</v>
      </c>
      <c r="R19" t="str">
        <f t="shared" si="0"/>
        <v>Business Solutions-FL</v>
      </c>
      <c r="U19" t="s">
        <v>26</v>
      </c>
      <c r="V19" t="s">
        <v>15</v>
      </c>
      <c r="W19" t="s">
        <v>12</v>
      </c>
      <c r="X19" t="s">
        <v>12</v>
      </c>
      <c r="Y19">
        <v>5</v>
      </c>
    </row>
    <row r="20" spans="2:25" x14ac:dyDescent="0.2">
      <c r="B20" t="s">
        <v>76</v>
      </c>
      <c r="C20" t="s">
        <v>13</v>
      </c>
      <c r="D20" t="s">
        <v>4</v>
      </c>
      <c r="E20" s="20">
        <f>G20*100/F20</f>
        <v>7.6923076923076925</v>
      </c>
      <c r="F20" s="20">
        <f>SUMIFS($G$2:$G$1000,$C$2:$C$1000,C20,$D$2:$D$1000,D20)</f>
        <v>130</v>
      </c>
      <c r="G20">
        <v>10</v>
      </c>
      <c r="O20" t="str">
        <v>GRH</v>
      </c>
      <c r="P20" s="4">
        <f>SUMIF($B:$B,O20,$G:$G)</f>
        <v>60</v>
      </c>
      <c r="R20" t="str">
        <f t="shared" si="0"/>
        <v>Business Solutions-GRH</v>
      </c>
      <c r="U20" t="s">
        <v>24</v>
      </c>
      <c r="V20" t="s">
        <v>15</v>
      </c>
      <c r="W20" t="s">
        <v>13</v>
      </c>
      <c r="X20" t="s">
        <v>23</v>
      </c>
      <c r="Y20">
        <v>10</v>
      </c>
    </row>
    <row r="21" spans="2:25" x14ac:dyDescent="0.2">
      <c r="B21" t="s">
        <v>90</v>
      </c>
      <c r="C21" t="s">
        <v>13</v>
      </c>
      <c r="D21" t="s">
        <v>4</v>
      </c>
      <c r="E21" s="20">
        <f>G21*100/F21</f>
        <v>7.6923076923076925</v>
      </c>
      <c r="F21" s="20">
        <f>SUMIFS($G$2:$G$1000,$C$2:$C$1000,C21,$D$2:$D$1000,D21)</f>
        <v>130</v>
      </c>
      <c r="G21">
        <v>10</v>
      </c>
      <c r="O21" t="str">
        <v>GT</v>
      </c>
      <c r="P21" s="4">
        <f>SUMIF($B:$B,O21,$G:$G)</f>
        <v>60</v>
      </c>
      <c r="R21" t="str">
        <f t="shared" si="0"/>
        <v>Business Solutions-GT</v>
      </c>
      <c r="U21" t="s">
        <v>25</v>
      </c>
      <c r="V21" t="s">
        <v>16</v>
      </c>
      <c r="W21" t="s">
        <v>5</v>
      </c>
      <c r="X21" t="s">
        <v>22</v>
      </c>
      <c r="Y21">
        <v>35</v>
      </c>
    </row>
    <row r="22" spans="2:25" x14ac:dyDescent="0.2">
      <c r="B22" t="s">
        <v>159</v>
      </c>
      <c r="C22" t="s">
        <v>13</v>
      </c>
      <c r="D22" t="s">
        <v>4</v>
      </c>
      <c r="E22" s="20">
        <f>G22*100/F22</f>
        <v>7.6923076923076925</v>
      </c>
      <c r="F22" s="20">
        <f>SUMIFS($G$2:$G$1000,$C$2:$C$1000,C22,$D$2:$D$1000,D22)</f>
        <v>130</v>
      </c>
      <c r="G22">
        <v>10</v>
      </c>
      <c r="O22" t="str">
        <v>PC</v>
      </c>
      <c r="P22" s="4">
        <f>SUMIF($B:$B,O22,$G:$G)</f>
        <v>60</v>
      </c>
      <c r="R22" t="str">
        <f t="shared" si="0"/>
        <v>Business Solutions-PC</v>
      </c>
      <c r="U22" t="s">
        <v>76</v>
      </c>
      <c r="V22" t="s">
        <v>16</v>
      </c>
      <c r="W22" t="s">
        <v>6</v>
      </c>
      <c r="X22" t="s">
        <v>14</v>
      </c>
      <c r="Y22">
        <v>10</v>
      </c>
    </row>
    <row r="23" spans="2:25" x14ac:dyDescent="0.2">
      <c r="B23" t="s">
        <v>88</v>
      </c>
      <c r="C23" t="s">
        <v>13</v>
      </c>
      <c r="D23" t="s">
        <v>4</v>
      </c>
      <c r="E23" s="20">
        <f>G23*100/F23</f>
        <v>7.6923076923076925</v>
      </c>
      <c r="F23" s="20">
        <f>SUMIFS($G$2:$G$1000,$C$2:$C$1000,C23,$D$2:$D$1000,D23)</f>
        <v>130</v>
      </c>
      <c r="G23">
        <v>10</v>
      </c>
      <c r="O23" t="str">
        <v>RS</v>
      </c>
      <c r="P23" s="4">
        <f>SUMIF($B:$B,O23,$G:$G)</f>
        <v>60</v>
      </c>
      <c r="R23" t="str">
        <f t="shared" si="0"/>
        <v>Business Solutions-RS</v>
      </c>
      <c r="U23" t="s">
        <v>80</v>
      </c>
      <c r="V23" t="s">
        <v>16</v>
      </c>
      <c r="W23" t="s">
        <v>7</v>
      </c>
      <c r="X23" t="s">
        <v>8</v>
      </c>
      <c r="Y23">
        <v>10</v>
      </c>
    </row>
    <row r="24" spans="2:25" x14ac:dyDescent="0.2">
      <c r="B24" t="s">
        <v>94</v>
      </c>
      <c r="C24" t="s">
        <v>13</v>
      </c>
      <c r="D24" t="s">
        <v>4</v>
      </c>
      <c r="E24" s="20">
        <f>G24*100/F24</f>
        <v>7.6923076923076925</v>
      </c>
      <c r="F24" s="20">
        <f>SUMIFS($G$2:$G$1000,$C$2:$C$1000,C24,$D$2:$D$1000,D24)</f>
        <v>130</v>
      </c>
      <c r="G24">
        <v>10</v>
      </c>
      <c r="O24" t="str">
        <v>ST</v>
      </c>
      <c r="P24" s="4">
        <f>SUMIF($B:$B,O24,$G:$G)</f>
        <v>60</v>
      </c>
      <c r="R24" t="str">
        <f t="shared" si="0"/>
        <v>Business Solutions-ST</v>
      </c>
      <c r="U24" t="s">
        <v>90</v>
      </c>
      <c r="V24" t="s">
        <v>16</v>
      </c>
      <c r="W24" t="s">
        <v>7</v>
      </c>
      <c r="X24" t="s">
        <v>27</v>
      </c>
      <c r="Y24">
        <v>10</v>
      </c>
    </row>
    <row r="25" spans="2:25" x14ac:dyDescent="0.2">
      <c r="B25" t="s">
        <v>96</v>
      </c>
      <c r="C25" t="s">
        <v>13</v>
      </c>
      <c r="D25" t="s">
        <v>4</v>
      </c>
      <c r="E25" s="20">
        <f>G25*100/F25</f>
        <v>7.6923076923076925</v>
      </c>
      <c r="F25" s="20">
        <f>SUMIFS($G$2:$G$1000,$C$2:$C$1000,C25,$D$2:$D$1000,D25)</f>
        <v>130</v>
      </c>
      <c r="G25">
        <v>10</v>
      </c>
      <c r="O25" t="str">
        <v>TF</v>
      </c>
      <c r="P25" s="4">
        <f>SUMIF($B:$B,O25,$G:$G)</f>
        <v>60</v>
      </c>
      <c r="R25" t="str">
        <f t="shared" si="0"/>
        <v>Business Solutions-TF</v>
      </c>
      <c r="U25" t="s">
        <v>159</v>
      </c>
      <c r="V25" t="s">
        <v>16</v>
      </c>
      <c r="W25" t="s">
        <v>9</v>
      </c>
      <c r="X25" t="s">
        <v>10</v>
      </c>
      <c r="Y25">
        <v>20</v>
      </c>
    </row>
    <row r="26" spans="2:25" x14ac:dyDescent="0.2">
      <c r="B26" t="s">
        <v>8</v>
      </c>
      <c r="C26" t="s">
        <v>7</v>
      </c>
      <c r="D26" t="s">
        <v>4</v>
      </c>
      <c r="E26" s="20">
        <f>G26*100/F26</f>
        <v>41.666666666666664</v>
      </c>
      <c r="F26" s="20">
        <f>SUMIFS($G$2:$G$1000,$C$2:$C$1000,C26,$D$2:$D$1000,D26)</f>
        <v>120</v>
      </c>
      <c r="G26">
        <v>50</v>
      </c>
      <c r="O26" t="str">
        <v>EDO</v>
      </c>
      <c r="P26" s="4">
        <f>SUMIF($B:$B,O26,$G:$G)</f>
        <v>300</v>
      </c>
      <c r="R26" t="str">
        <f t="shared" si="0"/>
        <v>Business Solutions-EDO</v>
      </c>
      <c r="U26" t="s">
        <v>88</v>
      </c>
      <c r="V26" t="s">
        <v>16</v>
      </c>
      <c r="W26" t="s">
        <v>12</v>
      </c>
      <c r="X26" t="s">
        <v>12</v>
      </c>
      <c r="Y26">
        <v>5</v>
      </c>
    </row>
    <row r="27" spans="2:25" x14ac:dyDescent="0.2">
      <c r="B27" t="s">
        <v>85</v>
      </c>
      <c r="C27" t="s">
        <v>7</v>
      </c>
      <c r="D27" t="s">
        <v>4</v>
      </c>
      <c r="E27" s="20">
        <f>G27*100/F27</f>
        <v>8.3333333333333339</v>
      </c>
      <c r="F27" s="20">
        <f>SUMIFS($G$2:$G$1000,$C$2:$C$1000,C27,$D$2:$D$1000,D27)</f>
        <v>120</v>
      </c>
      <c r="G27">
        <v>10</v>
      </c>
      <c r="O27" t="str">
        <v>EM</v>
      </c>
      <c r="P27" s="4">
        <f>SUMIF($B:$B,O27,$G:$G)</f>
        <v>120</v>
      </c>
      <c r="R27" t="str">
        <f t="shared" si="0"/>
        <v>Business Solutions-EM</v>
      </c>
      <c r="U27" t="s">
        <v>27</v>
      </c>
      <c r="V27" t="s">
        <v>16</v>
      </c>
      <c r="W27" t="s">
        <v>13</v>
      </c>
      <c r="X27" t="s">
        <v>23</v>
      </c>
      <c r="Y27">
        <v>8</v>
      </c>
    </row>
    <row r="28" spans="2:25" x14ac:dyDescent="0.2">
      <c r="B28" t="s">
        <v>27</v>
      </c>
      <c r="C28" t="s">
        <v>7</v>
      </c>
      <c r="D28" t="s">
        <v>4</v>
      </c>
      <c r="E28" s="20">
        <f>G28*100/F28</f>
        <v>41.666666666666664</v>
      </c>
      <c r="F28" s="20">
        <f>SUMIFS($G$2:$G$1000,$C$2:$C$1000,C28,$D$2:$D$1000,D28)</f>
        <v>120</v>
      </c>
      <c r="G28">
        <v>50</v>
      </c>
      <c r="O28" t="str">
        <v>SEO</v>
      </c>
      <c r="P28" s="4">
        <f>SUMIF($B:$B,O28,$G:$G)</f>
        <v>260</v>
      </c>
      <c r="R28" t="str">
        <f t="shared" si="0"/>
        <v>Business Solutions-SEO</v>
      </c>
      <c r="U28" t="s">
        <v>10</v>
      </c>
      <c r="V28" t="s">
        <v>16</v>
      </c>
      <c r="W28" t="s">
        <v>13</v>
      </c>
      <c r="X28" t="s">
        <v>75</v>
      </c>
      <c r="Y28">
        <v>1</v>
      </c>
    </row>
    <row r="29" spans="2:25" x14ac:dyDescent="0.2">
      <c r="B29" t="s">
        <v>85</v>
      </c>
      <c r="C29" t="s">
        <v>7</v>
      </c>
      <c r="D29" t="s">
        <v>4</v>
      </c>
      <c r="E29" s="20">
        <f>G29*100/F29</f>
        <v>8.3333333333333339</v>
      </c>
      <c r="F29" s="20">
        <f>SUMIFS($G$2:$G$1000,$C$2:$C$1000,C29,$D$2:$D$1000,D29)</f>
        <v>120</v>
      </c>
      <c r="G29">
        <v>10</v>
      </c>
      <c r="O29" t="str">
        <v>BCTT</v>
      </c>
      <c r="P29" s="4">
        <f>SUMIF($B:$B,O29,$G:$G)</f>
        <v>60</v>
      </c>
      <c r="R29" t="str">
        <f t="shared" si="0"/>
        <v>Business Solutions-EM</v>
      </c>
      <c r="U29" t="s">
        <v>103</v>
      </c>
      <c r="V29" t="s">
        <v>16</v>
      </c>
      <c r="W29" t="s">
        <v>13</v>
      </c>
      <c r="X29" t="s">
        <v>76</v>
      </c>
      <c r="Y29">
        <v>1</v>
      </c>
    </row>
    <row r="30" spans="2:25" x14ac:dyDescent="0.2">
      <c r="B30" t="s">
        <v>75</v>
      </c>
      <c r="C30" t="s">
        <v>9</v>
      </c>
      <c r="D30" t="s">
        <v>4</v>
      </c>
      <c r="E30" s="20">
        <f>G30*100/F30</f>
        <v>11.111111111111111</v>
      </c>
      <c r="F30" s="20">
        <f>SUMIFS($G$2:$G$1000,$C$2:$C$1000,C30,$D$2:$D$1000,D30)</f>
        <v>90</v>
      </c>
      <c r="G30">
        <v>10</v>
      </c>
      <c r="O30" t="str">
        <v>SI</v>
      </c>
      <c r="P30" s="4">
        <f>SUMIF($B:$B,O30,$G:$G)</f>
        <v>300</v>
      </c>
      <c r="R30" t="str">
        <f t="shared" si="0"/>
        <v>Business Solutions-BCTT</v>
      </c>
      <c r="U30" t="s">
        <v>102</v>
      </c>
      <c r="V30" t="s">
        <v>17</v>
      </c>
      <c r="W30" t="s">
        <v>5</v>
      </c>
      <c r="X30" t="s">
        <v>25</v>
      </c>
      <c r="Y30">
        <v>35</v>
      </c>
    </row>
    <row r="31" spans="2:25" x14ac:dyDescent="0.2">
      <c r="B31" t="s">
        <v>10</v>
      </c>
      <c r="C31" t="s">
        <v>9</v>
      </c>
      <c r="D31" t="s">
        <v>4</v>
      </c>
      <c r="E31" s="20">
        <f>G31*100/F31</f>
        <v>55.555555555555557</v>
      </c>
      <c r="F31" s="20">
        <f>SUMIFS($G$2:$G$1000,$C$2:$C$1000,C31,$D$2:$D$1000,D31)</f>
        <v>90</v>
      </c>
      <c r="G31">
        <v>50</v>
      </c>
      <c r="O31" t="str">
        <v>SI-CRP</v>
      </c>
      <c r="P31" s="4">
        <f>SUMIF($B:$B,O31,$G:$G)</f>
        <v>60</v>
      </c>
      <c r="R31" t="str">
        <f t="shared" si="0"/>
        <v>Business Solutions-SI</v>
      </c>
      <c r="U31" t="s">
        <v>101</v>
      </c>
      <c r="V31" t="s">
        <v>17</v>
      </c>
      <c r="W31" t="s">
        <v>6</v>
      </c>
      <c r="X31" t="s">
        <v>14</v>
      </c>
      <c r="Y31">
        <v>10</v>
      </c>
    </row>
    <row r="32" spans="2:25" x14ac:dyDescent="0.2">
      <c r="B32" t="s">
        <v>103</v>
      </c>
      <c r="C32" t="s">
        <v>9</v>
      </c>
      <c r="D32" t="s">
        <v>4</v>
      </c>
      <c r="E32" s="20">
        <f>G32*100/F32</f>
        <v>11.111111111111111</v>
      </c>
      <c r="F32" s="20">
        <f>SUMIFS($G$2:$G$1000,$C$2:$C$1000,C32,$D$2:$D$1000,D32)</f>
        <v>90</v>
      </c>
      <c r="G32">
        <v>10</v>
      </c>
      <c r="O32" t="str">
        <v>SI-OPS</v>
      </c>
      <c r="P32" s="4">
        <f>SUMIF($B:$B,O32,$G:$G)</f>
        <v>60</v>
      </c>
      <c r="R32" t="str">
        <f t="shared" si="0"/>
        <v>Business Solutions-SI-CRP</v>
      </c>
      <c r="U32" t="s">
        <v>94</v>
      </c>
      <c r="V32" t="s">
        <v>17</v>
      </c>
      <c r="W32" t="s">
        <v>7</v>
      </c>
      <c r="X32" t="s">
        <v>8</v>
      </c>
      <c r="Y32">
        <v>20</v>
      </c>
    </row>
    <row r="33" spans="2:25" x14ac:dyDescent="0.2">
      <c r="B33" t="s">
        <v>102</v>
      </c>
      <c r="C33" t="s">
        <v>9</v>
      </c>
      <c r="D33" t="s">
        <v>4</v>
      </c>
      <c r="E33" s="20">
        <f>G33*100/F33</f>
        <v>11.111111111111111</v>
      </c>
      <c r="F33" s="20">
        <f>SUMIFS($G$2:$G$1000,$C$2:$C$1000,C33,$D$2:$D$1000,D33)</f>
        <v>90</v>
      </c>
      <c r="G33">
        <v>10</v>
      </c>
      <c r="O33" t="str">
        <v>SI-PRD</v>
      </c>
      <c r="P33" s="4">
        <f>SUMIF($B:$B,O33,$G:$G)</f>
        <v>60</v>
      </c>
      <c r="R33" t="str">
        <f t="shared" si="0"/>
        <v>Business Solutions-SI-OPS</v>
      </c>
      <c r="U33" t="s">
        <v>96</v>
      </c>
      <c r="V33" t="s">
        <v>17</v>
      </c>
      <c r="W33" t="s">
        <v>9</v>
      </c>
      <c r="X33" t="s">
        <v>10</v>
      </c>
      <c r="Y33">
        <v>20</v>
      </c>
    </row>
    <row r="34" spans="2:25" x14ac:dyDescent="0.2">
      <c r="B34" t="s">
        <v>101</v>
      </c>
      <c r="C34" t="s">
        <v>9</v>
      </c>
      <c r="D34" t="s">
        <v>4</v>
      </c>
      <c r="E34" s="20">
        <f>G34*100/F34</f>
        <v>11.111111111111111</v>
      </c>
      <c r="F34" s="20">
        <f>SUMIFS($G$2:$G$1000,$C$2:$C$1000,C34,$D$2:$D$1000,D34)</f>
        <v>90</v>
      </c>
      <c r="G34">
        <v>10</v>
      </c>
      <c r="O34" t="str">
        <v>COO</v>
      </c>
      <c r="P34" s="4">
        <f>SUMIF($B:$B,O34,$G:$G)</f>
        <v>50</v>
      </c>
      <c r="R34" t="str">
        <f t="shared" si="0"/>
        <v>Business Solutions-SI-PRD</v>
      </c>
      <c r="V34" t="s">
        <v>17</v>
      </c>
      <c r="W34" t="s">
        <v>12</v>
      </c>
      <c r="X34" t="s">
        <v>12</v>
      </c>
      <c r="Y34">
        <v>5</v>
      </c>
    </row>
    <row r="35" spans="2:25" x14ac:dyDescent="0.2">
      <c r="B35" t="s">
        <v>12</v>
      </c>
      <c r="C35" t="s">
        <v>12</v>
      </c>
      <c r="D35" t="s">
        <v>16</v>
      </c>
      <c r="E35" s="20">
        <f>G35*100/F35</f>
        <v>100</v>
      </c>
      <c r="F35" s="20">
        <f>SUMIFS($G$2:$G$1000,$C$2:$C$1000,C35,$D$2:$D$1000,D35)</f>
        <v>100</v>
      </c>
      <c r="G35">
        <v>100</v>
      </c>
      <c r="O35" t="str">
        <v>CMO</v>
      </c>
      <c r="P35" s="4">
        <f>SUMIF($B:$B,O35,$G:$G)</f>
        <v>50</v>
      </c>
      <c r="R35" t="str">
        <f t="shared" si="0"/>
        <v>Mail-CISO</v>
      </c>
      <c r="V35" t="s">
        <v>17</v>
      </c>
      <c r="W35" t="s">
        <v>13</v>
      </c>
      <c r="X35" t="s">
        <v>23</v>
      </c>
      <c r="Y35">
        <v>10</v>
      </c>
    </row>
    <row r="36" spans="2:25" x14ac:dyDescent="0.2">
      <c r="B36" t="s">
        <v>81</v>
      </c>
      <c r="C36" t="s">
        <v>5</v>
      </c>
      <c r="D36" t="s">
        <v>16</v>
      </c>
      <c r="E36" s="20">
        <f>G36*100/F36</f>
        <v>5.882352941176471</v>
      </c>
      <c r="F36" s="20">
        <f>SUMIFS($G$2:$G$1000,$C$2:$C$1000,C36,$D$2:$D$1000,D36)</f>
        <v>170</v>
      </c>
      <c r="G36">
        <v>10</v>
      </c>
      <c r="O36" t="str">
        <v>ATC</v>
      </c>
      <c r="P36" s="4">
        <f>SUMIF($B:$B,O36,$G:$G)</f>
        <v>50</v>
      </c>
      <c r="R36" t="str">
        <f t="shared" si="0"/>
        <v>Mail-CSI</v>
      </c>
      <c r="V36" t="s">
        <v>18</v>
      </c>
      <c r="W36" t="s">
        <v>5</v>
      </c>
      <c r="X36" t="s">
        <v>26</v>
      </c>
      <c r="Y36">
        <v>35</v>
      </c>
    </row>
    <row r="37" spans="2:25" x14ac:dyDescent="0.2">
      <c r="B37" t="s">
        <v>82</v>
      </c>
      <c r="C37" t="s">
        <v>5</v>
      </c>
      <c r="D37" t="s">
        <v>16</v>
      </c>
      <c r="E37" s="20">
        <f>G37*100/F37</f>
        <v>5.882352941176471</v>
      </c>
      <c r="F37" s="20">
        <f>SUMIFS($G$2:$G$1000,$C$2:$C$1000,C37,$D$2:$D$1000,D37)</f>
        <v>170</v>
      </c>
      <c r="G37">
        <v>10</v>
      </c>
      <c r="O37" t="str">
        <v>CCO</v>
      </c>
      <c r="P37" s="4">
        <f>SUMIF($B:$B,O37,$G:$G)</f>
        <v>50</v>
      </c>
      <c r="R37" t="str">
        <f t="shared" si="0"/>
        <v>Mail-CTTE</v>
      </c>
      <c r="V37" t="s">
        <v>18</v>
      </c>
      <c r="W37" t="s">
        <v>6</v>
      </c>
      <c r="X37" t="s">
        <v>14</v>
      </c>
      <c r="Y37">
        <v>10</v>
      </c>
    </row>
    <row r="38" spans="2:25" x14ac:dyDescent="0.2">
      <c r="B38" t="s">
        <v>79</v>
      </c>
      <c r="C38" t="s">
        <v>5</v>
      </c>
      <c r="D38" t="s">
        <v>16</v>
      </c>
      <c r="E38" s="20">
        <f>G38*100/F38</f>
        <v>5.882352941176471</v>
      </c>
      <c r="F38" s="20">
        <f>SUMIFS($G$2:$G$1000,$C$2:$C$1000,C38,$D$2:$D$1000,D38)</f>
        <v>170</v>
      </c>
      <c r="G38">
        <v>10</v>
      </c>
      <c r="O38" t="str">
        <v>IDC</v>
      </c>
      <c r="P38" s="4">
        <f>SUMIF($B:$B,O38,$G:$G)</f>
        <v>50</v>
      </c>
      <c r="R38" t="str">
        <f t="shared" si="0"/>
        <v>Mail-DNI</v>
      </c>
      <c r="V38" t="s">
        <v>18</v>
      </c>
      <c r="W38" t="s">
        <v>7</v>
      </c>
      <c r="X38" t="s">
        <v>8</v>
      </c>
      <c r="Y38">
        <v>20</v>
      </c>
    </row>
    <row r="39" spans="2:25" x14ac:dyDescent="0.2">
      <c r="B39" t="s">
        <v>83</v>
      </c>
      <c r="C39" t="s">
        <v>5</v>
      </c>
      <c r="D39" t="s">
        <v>16</v>
      </c>
      <c r="E39" s="20">
        <f>G39*100/F39</f>
        <v>5.882352941176471</v>
      </c>
      <c r="F39" s="20">
        <f>SUMIFS($G$2:$G$1000,$C$2:$C$1000,C39,$D$2:$D$1000,D39)</f>
        <v>170</v>
      </c>
      <c r="G39">
        <v>10</v>
      </c>
      <c r="O39" t="str">
        <v>CFO</v>
      </c>
      <c r="P39" s="4">
        <f>SUMIF($B:$B,O39,$G:$G)</f>
        <v>50</v>
      </c>
      <c r="R39" t="str">
        <f t="shared" si="0"/>
        <v>Mail-ECM</v>
      </c>
      <c r="V39" t="s">
        <v>18</v>
      </c>
      <c r="W39" t="s">
        <v>9</v>
      </c>
      <c r="X39" t="s">
        <v>10</v>
      </c>
      <c r="Y39">
        <v>20</v>
      </c>
    </row>
    <row r="40" spans="2:25" x14ac:dyDescent="0.2">
      <c r="B40" t="s">
        <v>22</v>
      </c>
      <c r="C40" t="s">
        <v>5</v>
      </c>
      <c r="D40" t="s">
        <v>16</v>
      </c>
      <c r="E40" s="20">
        <f>G40*100/F40</f>
        <v>29.411764705882351</v>
      </c>
      <c r="F40" s="20">
        <f>SUMIFS($G$2:$G$1000,$C$2:$C$1000,C40,$D$2:$D$1000,D40)</f>
        <v>170</v>
      </c>
      <c r="G40">
        <v>50</v>
      </c>
      <c r="O40" t="str">
        <v>CIO</v>
      </c>
      <c r="P40" s="4">
        <f>SUMIF($B:$B,O40,$G:$G)</f>
        <v>50</v>
      </c>
      <c r="R40" t="str">
        <f t="shared" si="0"/>
        <v>Mail-GP B2B</v>
      </c>
      <c r="V40" t="s">
        <v>18</v>
      </c>
      <c r="W40" t="s">
        <v>12</v>
      </c>
      <c r="X40" t="s">
        <v>12</v>
      </c>
      <c r="Y40">
        <v>5</v>
      </c>
    </row>
    <row r="41" spans="2:25" x14ac:dyDescent="0.2">
      <c r="B41" t="s">
        <v>26</v>
      </c>
      <c r="C41" t="s">
        <v>5</v>
      </c>
      <c r="D41" t="s">
        <v>16</v>
      </c>
      <c r="E41" s="20">
        <f>G41*100/F41</f>
        <v>5.882352941176471</v>
      </c>
      <c r="F41" s="20">
        <f>SUMIFS($G$2:$G$1000,$C$2:$C$1000,C41,$D$2:$D$1000,D41)</f>
        <v>170</v>
      </c>
      <c r="G41">
        <v>10</v>
      </c>
      <c r="O41" t="str">
        <v>PRO</v>
      </c>
      <c r="P41" s="4">
        <f>SUMIF($B:$B,O41,$G:$G)</f>
        <v>10</v>
      </c>
      <c r="R41" t="str">
        <f t="shared" si="0"/>
        <v>Mail-GP B2C</v>
      </c>
      <c r="V41" t="s">
        <v>18</v>
      </c>
      <c r="W41" t="s">
        <v>13</v>
      </c>
      <c r="X41" t="s">
        <v>23</v>
      </c>
      <c r="Y41">
        <v>10</v>
      </c>
    </row>
    <row r="42" spans="2:25" x14ac:dyDescent="0.2">
      <c r="B42" t="s">
        <v>24</v>
      </c>
      <c r="C42" t="s">
        <v>5</v>
      </c>
      <c r="D42" t="s">
        <v>16</v>
      </c>
      <c r="E42" s="20">
        <f>G42*100/F42</f>
        <v>5.882352941176471</v>
      </c>
      <c r="F42" s="20">
        <f>SUMIFS($G$2:$G$1000,$C$2:$C$1000,C42,$D$2:$D$1000,D42)</f>
        <v>170</v>
      </c>
      <c r="G42">
        <v>10</v>
      </c>
      <c r="O42" t="str">
        <v>CHR</v>
      </c>
      <c r="P42" s="4">
        <f>SUMIF($B:$B,O42,$G:$G)</f>
        <v>10</v>
      </c>
      <c r="R42" t="str">
        <f t="shared" si="0"/>
        <v>Mail-GP ECL</v>
      </c>
    </row>
    <row r="43" spans="2:25" x14ac:dyDescent="0.2">
      <c r="B43" t="s">
        <v>25</v>
      </c>
      <c r="C43" t="s">
        <v>5</v>
      </c>
      <c r="D43" t="s">
        <v>16</v>
      </c>
      <c r="E43" s="20">
        <f>G43*100/F43</f>
        <v>5.882352941176471</v>
      </c>
      <c r="F43" s="20">
        <f>SUMIFS($G$2:$G$1000,$C$2:$C$1000,C43,$D$2:$D$1000,D43)</f>
        <v>170</v>
      </c>
      <c r="G43">
        <v>10</v>
      </c>
      <c r="O43" t="str">
        <v>COM</v>
      </c>
      <c r="P43" s="4">
        <f>SUMIF($B:$B,O43,$G:$G)</f>
        <v>10</v>
      </c>
      <c r="R43" t="str">
        <f t="shared" si="0"/>
        <v>Mail-GPG</v>
      </c>
    </row>
    <row r="44" spans="2:25" x14ac:dyDescent="0.2">
      <c r="B44" t="s">
        <v>80</v>
      </c>
      <c r="C44" t="s">
        <v>5</v>
      </c>
      <c r="D44" t="s">
        <v>16</v>
      </c>
      <c r="E44" s="20">
        <f>G44*100/F44</f>
        <v>29.411764705882351</v>
      </c>
      <c r="F44" s="20">
        <f>SUMIFS($G$2:$G$1000,$C$2:$C$1000,C44,$D$2:$D$1000,D44)</f>
        <v>170</v>
      </c>
      <c r="G44">
        <v>50</v>
      </c>
      <c r="O44">
        <v>0</v>
      </c>
      <c r="P44" s="4">
        <f>SUMIF($B:$B,O44,$G:$G)</f>
        <v>0</v>
      </c>
      <c r="R44" t="str">
        <f t="shared" si="0"/>
        <v>Mail-GS</v>
      </c>
    </row>
    <row r="45" spans="2:25" x14ac:dyDescent="0.2">
      <c r="B45" t="s">
        <v>87</v>
      </c>
      <c r="C45" t="s">
        <v>13</v>
      </c>
      <c r="D45" t="s">
        <v>16</v>
      </c>
      <c r="E45" s="20">
        <f>G45*100/F45</f>
        <v>7.6923076923076925</v>
      </c>
      <c r="F45" s="20">
        <f>SUMIFS($G$2:$G$1000,$C$2:$C$1000,C45,$D$2:$D$1000,D45)</f>
        <v>130</v>
      </c>
      <c r="G45">
        <v>10</v>
      </c>
      <c r="R45" t="str">
        <f t="shared" si="0"/>
        <v>Mail-ACR</v>
      </c>
    </row>
    <row r="46" spans="2:25" x14ac:dyDescent="0.2">
      <c r="B46" t="s">
        <v>89</v>
      </c>
      <c r="C46" t="s">
        <v>13</v>
      </c>
      <c r="D46" t="s">
        <v>16</v>
      </c>
      <c r="E46" s="20">
        <f>G46*100/F46</f>
        <v>7.6923076923076925</v>
      </c>
      <c r="F46" s="20">
        <f>SUMIFS($G$2:$G$1000,$C$2:$C$1000,C46,$D$2:$D$1000,D46)</f>
        <v>130</v>
      </c>
      <c r="G46">
        <v>10</v>
      </c>
      <c r="R46" t="str">
        <f t="shared" si="0"/>
        <v>Mail-AVC</v>
      </c>
    </row>
    <row r="47" spans="2:25" x14ac:dyDescent="0.2">
      <c r="B47" t="s">
        <v>23</v>
      </c>
      <c r="C47" t="s">
        <v>13</v>
      </c>
      <c r="D47" t="s">
        <v>16</v>
      </c>
      <c r="E47" s="20">
        <f>G47*100/F47</f>
        <v>7.6923076923076925</v>
      </c>
      <c r="F47" s="20">
        <f>SUMIFS($G$2:$G$1000,$C$2:$C$1000,C47,$D$2:$D$1000,D47)</f>
        <v>130</v>
      </c>
      <c r="G47">
        <v>10</v>
      </c>
      <c r="R47" t="str">
        <f t="shared" si="0"/>
        <v>Mail-CF</v>
      </c>
    </row>
    <row r="48" spans="2:25" x14ac:dyDescent="0.2">
      <c r="B48" t="s">
        <v>91</v>
      </c>
      <c r="C48" t="s">
        <v>13</v>
      </c>
      <c r="D48" t="s">
        <v>16</v>
      </c>
      <c r="E48" s="20">
        <f>G48*100/F48</f>
        <v>7.6923076923076925</v>
      </c>
      <c r="F48" s="20">
        <f>SUMIFS($G$2:$G$1000,$C$2:$C$1000,C48,$D$2:$D$1000,D48)</f>
        <v>130</v>
      </c>
      <c r="G48">
        <v>10</v>
      </c>
      <c r="R48" t="str">
        <f t="shared" si="0"/>
        <v>Mail-CL</v>
      </c>
    </row>
    <row r="49" spans="2:18" x14ac:dyDescent="0.2">
      <c r="B49" t="s">
        <v>93</v>
      </c>
      <c r="C49" t="s">
        <v>13</v>
      </c>
      <c r="D49" t="s">
        <v>16</v>
      </c>
      <c r="E49" s="20">
        <f>G49*100/F49</f>
        <v>7.6923076923076925</v>
      </c>
      <c r="F49" s="20">
        <f>SUMIFS($G$2:$G$1000,$C$2:$C$1000,C49,$D$2:$D$1000,D49)</f>
        <v>130</v>
      </c>
      <c r="G49">
        <v>10</v>
      </c>
      <c r="R49" t="str">
        <f t="shared" si="0"/>
        <v>Mail-CMP</v>
      </c>
    </row>
    <row r="50" spans="2:18" x14ac:dyDescent="0.2">
      <c r="B50" t="s">
        <v>97</v>
      </c>
      <c r="C50" t="s">
        <v>13</v>
      </c>
      <c r="D50" t="s">
        <v>16</v>
      </c>
      <c r="E50" s="20">
        <f>G50*100/F50</f>
        <v>7.6923076923076925</v>
      </c>
      <c r="F50" s="20">
        <f>SUMIFS($G$2:$G$1000,$C$2:$C$1000,C50,$D$2:$D$1000,D50)</f>
        <v>130</v>
      </c>
      <c r="G50">
        <v>10</v>
      </c>
      <c r="R50" t="str">
        <f t="shared" si="0"/>
        <v>Mail-DPO</v>
      </c>
    </row>
    <row r="51" spans="2:18" x14ac:dyDescent="0.2">
      <c r="B51" t="s">
        <v>99</v>
      </c>
      <c r="C51" t="s">
        <v>13</v>
      </c>
      <c r="D51" t="s">
        <v>16</v>
      </c>
      <c r="E51" s="20">
        <f>G51*100/F51</f>
        <v>7.6923076923076925</v>
      </c>
      <c r="F51" s="20">
        <f>SUMIFS($G$2:$G$1000,$C$2:$C$1000,C51,$D$2:$D$1000,D51)</f>
        <v>130</v>
      </c>
      <c r="G51">
        <v>10</v>
      </c>
      <c r="R51" t="str">
        <f t="shared" si="0"/>
        <v>Mail-FL</v>
      </c>
    </row>
    <row r="52" spans="2:18" x14ac:dyDescent="0.2">
      <c r="B52" t="s">
        <v>76</v>
      </c>
      <c r="C52" t="s">
        <v>13</v>
      </c>
      <c r="D52" t="s">
        <v>16</v>
      </c>
      <c r="E52" s="20">
        <f>G52*100/F52</f>
        <v>7.6923076923076925</v>
      </c>
      <c r="F52" s="20">
        <f>SUMIFS($G$2:$G$1000,$C$2:$C$1000,C52,$D$2:$D$1000,D52)</f>
        <v>130</v>
      </c>
      <c r="G52">
        <v>10</v>
      </c>
      <c r="R52" t="str">
        <f t="shared" si="0"/>
        <v>Mail-GRH</v>
      </c>
    </row>
    <row r="53" spans="2:18" x14ac:dyDescent="0.2">
      <c r="B53" t="s">
        <v>90</v>
      </c>
      <c r="C53" t="s">
        <v>13</v>
      </c>
      <c r="D53" t="s">
        <v>16</v>
      </c>
      <c r="E53" s="20">
        <f>G53*100/F53</f>
        <v>7.6923076923076925</v>
      </c>
      <c r="F53" s="20">
        <f>SUMIFS($G$2:$G$1000,$C$2:$C$1000,C53,$D$2:$D$1000,D53)</f>
        <v>130</v>
      </c>
      <c r="G53">
        <v>10</v>
      </c>
      <c r="R53" t="str">
        <f t="shared" si="0"/>
        <v>Mail-GT</v>
      </c>
    </row>
    <row r="54" spans="2:18" x14ac:dyDescent="0.2">
      <c r="B54" t="s">
        <v>159</v>
      </c>
      <c r="C54" t="s">
        <v>13</v>
      </c>
      <c r="D54" t="s">
        <v>16</v>
      </c>
      <c r="E54" s="20">
        <f>G54*100/F54</f>
        <v>7.6923076923076925</v>
      </c>
      <c r="F54" s="20">
        <f>SUMIFS($G$2:$G$1000,$C$2:$C$1000,C54,$D$2:$D$1000,D54)</f>
        <v>130</v>
      </c>
      <c r="G54">
        <v>10</v>
      </c>
      <c r="R54" t="str">
        <f t="shared" si="0"/>
        <v>Mail-PC</v>
      </c>
    </row>
    <row r="55" spans="2:18" x14ac:dyDescent="0.2">
      <c r="B55" t="s">
        <v>88</v>
      </c>
      <c r="C55" t="s">
        <v>13</v>
      </c>
      <c r="D55" t="s">
        <v>16</v>
      </c>
      <c r="E55" s="20">
        <f>G55*100/F55</f>
        <v>7.6923076923076925</v>
      </c>
      <c r="F55" s="20">
        <f>SUMIFS($G$2:$G$1000,$C$2:$C$1000,C55,$D$2:$D$1000,D55)</f>
        <v>130</v>
      </c>
      <c r="G55">
        <v>10</v>
      </c>
      <c r="R55" t="str">
        <f t="shared" si="0"/>
        <v>Mail-RS</v>
      </c>
    </row>
    <row r="56" spans="2:18" x14ac:dyDescent="0.2">
      <c r="B56" t="s">
        <v>94</v>
      </c>
      <c r="C56" t="s">
        <v>13</v>
      </c>
      <c r="D56" t="s">
        <v>16</v>
      </c>
      <c r="E56" s="20">
        <f>G56*100/F56</f>
        <v>7.6923076923076925</v>
      </c>
      <c r="F56" s="20">
        <f>SUMIFS($G$2:$G$1000,$C$2:$C$1000,C56,$D$2:$D$1000,D56)</f>
        <v>130</v>
      </c>
      <c r="G56">
        <v>10</v>
      </c>
      <c r="R56" t="str">
        <f t="shared" si="0"/>
        <v>Mail-ST</v>
      </c>
    </row>
    <row r="57" spans="2:18" x14ac:dyDescent="0.2">
      <c r="B57" t="s">
        <v>96</v>
      </c>
      <c r="C57" t="s">
        <v>13</v>
      </c>
      <c r="D57" t="s">
        <v>16</v>
      </c>
      <c r="E57" s="20">
        <f>G57*100/F57</f>
        <v>7.6923076923076925</v>
      </c>
      <c r="F57" s="20">
        <f>SUMIFS($G$2:$G$1000,$C$2:$C$1000,C57,$D$2:$D$1000,D57)</f>
        <v>130</v>
      </c>
      <c r="G57">
        <v>10</v>
      </c>
      <c r="R57" t="str">
        <f t="shared" si="0"/>
        <v>Mail-TF</v>
      </c>
    </row>
    <row r="58" spans="2:18" x14ac:dyDescent="0.2">
      <c r="B58" t="s">
        <v>8</v>
      </c>
      <c r="C58" t="s">
        <v>7</v>
      </c>
      <c r="D58" t="s">
        <v>16</v>
      </c>
      <c r="E58" s="20">
        <f>G58*100/F58</f>
        <v>41.666666666666664</v>
      </c>
      <c r="F58" s="20">
        <f>SUMIFS($G$2:$G$1000,$C$2:$C$1000,C58,$D$2:$D$1000,D58)</f>
        <v>120</v>
      </c>
      <c r="G58">
        <v>50</v>
      </c>
      <c r="R58" t="str">
        <f t="shared" si="0"/>
        <v>Mail-EDO</v>
      </c>
    </row>
    <row r="59" spans="2:18" x14ac:dyDescent="0.2">
      <c r="B59" t="s">
        <v>85</v>
      </c>
      <c r="C59" t="s">
        <v>7</v>
      </c>
      <c r="D59" t="s">
        <v>16</v>
      </c>
      <c r="E59" s="20">
        <f>G59*100/F59</f>
        <v>8.3333333333333339</v>
      </c>
      <c r="F59" s="20">
        <f>SUMIFS($G$2:$G$1000,$C$2:$C$1000,C59,$D$2:$D$1000,D59)</f>
        <v>120</v>
      </c>
      <c r="G59">
        <v>10</v>
      </c>
      <c r="R59" t="str">
        <f t="shared" si="0"/>
        <v>Mail-EM</v>
      </c>
    </row>
    <row r="60" spans="2:18" x14ac:dyDescent="0.2">
      <c r="B60" t="s">
        <v>27</v>
      </c>
      <c r="C60" t="s">
        <v>7</v>
      </c>
      <c r="D60" t="s">
        <v>16</v>
      </c>
      <c r="E60" s="20">
        <f>G60*100/F60</f>
        <v>41.666666666666664</v>
      </c>
      <c r="F60" s="20">
        <f>SUMIFS($G$2:$G$1000,$C$2:$C$1000,C60,$D$2:$D$1000,D60)</f>
        <v>120</v>
      </c>
      <c r="G60">
        <v>50</v>
      </c>
      <c r="R60" t="str">
        <f t="shared" si="0"/>
        <v>Mail-SEO</v>
      </c>
    </row>
    <row r="61" spans="2:18" x14ac:dyDescent="0.2">
      <c r="B61" t="s">
        <v>85</v>
      </c>
      <c r="C61" t="s">
        <v>7</v>
      </c>
      <c r="D61" t="s">
        <v>16</v>
      </c>
      <c r="E61" s="20">
        <f>G61*100/F61</f>
        <v>8.3333333333333339</v>
      </c>
      <c r="F61" s="20">
        <f>SUMIFS($G$2:$G$1000,$C$2:$C$1000,C61,$D$2:$D$1000,D61)</f>
        <v>120</v>
      </c>
      <c r="G61">
        <v>10</v>
      </c>
      <c r="R61" t="str">
        <f t="shared" si="0"/>
        <v>Mail-EM</v>
      </c>
    </row>
    <row r="62" spans="2:18" x14ac:dyDescent="0.2">
      <c r="B62" t="s">
        <v>75</v>
      </c>
      <c r="C62" t="s">
        <v>9</v>
      </c>
      <c r="D62" t="s">
        <v>16</v>
      </c>
      <c r="E62" s="20">
        <f>G62*100/F62</f>
        <v>11.111111111111111</v>
      </c>
      <c r="F62" s="20">
        <f>SUMIFS($G$2:$G$1000,$C$2:$C$1000,C62,$D$2:$D$1000,D62)</f>
        <v>90</v>
      </c>
      <c r="G62">
        <v>10</v>
      </c>
      <c r="R62" t="str">
        <f t="shared" si="0"/>
        <v>Mail-BCTT</v>
      </c>
    </row>
    <row r="63" spans="2:18" x14ac:dyDescent="0.2">
      <c r="B63" t="s">
        <v>10</v>
      </c>
      <c r="C63" t="s">
        <v>9</v>
      </c>
      <c r="D63" t="s">
        <v>16</v>
      </c>
      <c r="E63" s="20">
        <f>G63*100/F63</f>
        <v>55.555555555555557</v>
      </c>
      <c r="F63" s="20">
        <f>SUMIFS($G$2:$G$1000,$C$2:$C$1000,C63,$D$2:$D$1000,D63)</f>
        <v>90</v>
      </c>
      <c r="G63">
        <v>50</v>
      </c>
    </row>
    <row r="64" spans="2:18" x14ac:dyDescent="0.2">
      <c r="B64" t="s">
        <v>103</v>
      </c>
      <c r="C64" t="s">
        <v>9</v>
      </c>
      <c r="D64" t="s">
        <v>16</v>
      </c>
      <c r="E64" s="20">
        <f>G64*100/F64</f>
        <v>11.111111111111111</v>
      </c>
      <c r="F64" s="20">
        <f>SUMIFS($G$2:$G$1000,$C$2:$C$1000,C64,$D$2:$D$1000,D64)</f>
        <v>90</v>
      </c>
      <c r="G64">
        <v>10</v>
      </c>
    </row>
    <row r="65" spans="2:7" x14ac:dyDescent="0.2">
      <c r="B65" t="s">
        <v>102</v>
      </c>
      <c r="C65" t="s">
        <v>9</v>
      </c>
      <c r="D65" t="s">
        <v>16</v>
      </c>
      <c r="E65" s="20">
        <f>G65*100/F65</f>
        <v>11.111111111111111</v>
      </c>
      <c r="F65" s="20">
        <f>SUMIFS($G$2:$G$1000,$C$2:$C$1000,C65,$D$2:$D$1000,D65)</f>
        <v>90</v>
      </c>
      <c r="G65">
        <v>10</v>
      </c>
    </row>
    <row r="66" spans="2:7" x14ac:dyDescent="0.2">
      <c r="B66" t="s">
        <v>101</v>
      </c>
      <c r="C66" t="s">
        <v>9</v>
      </c>
      <c r="D66" t="s">
        <v>16</v>
      </c>
      <c r="E66" s="20">
        <f>G66*100/F66</f>
        <v>11.111111111111111</v>
      </c>
      <c r="F66" s="20">
        <f>SUMIFS($G$2:$G$1000,$C$2:$C$1000,C66,$D$2:$D$1000,D66)</f>
        <v>90</v>
      </c>
      <c r="G66">
        <v>10</v>
      </c>
    </row>
    <row r="67" spans="2:7" x14ac:dyDescent="0.2">
      <c r="B67" t="s">
        <v>12</v>
      </c>
      <c r="C67" t="s">
        <v>12</v>
      </c>
      <c r="D67" t="s">
        <v>11</v>
      </c>
      <c r="E67" s="20">
        <f>G67*100/F67</f>
        <v>100</v>
      </c>
      <c r="F67" s="20">
        <f>SUMIFS($G$2:$G$1000,$C$2:$C$1000,C67,$D$2:$D$1000,D67)</f>
        <v>100</v>
      </c>
      <c r="G67">
        <v>100</v>
      </c>
    </row>
    <row r="68" spans="2:7" x14ac:dyDescent="0.2">
      <c r="B68" t="s">
        <v>81</v>
      </c>
      <c r="C68" t="s">
        <v>5</v>
      </c>
      <c r="D68" t="s">
        <v>11</v>
      </c>
      <c r="E68" s="20">
        <f>G68*100/F68</f>
        <v>3.125</v>
      </c>
      <c r="F68" s="20">
        <f>SUMIFS($G$2:$G$1000,$C$2:$C$1000,C68,$D$2:$D$1000,D68)</f>
        <v>320</v>
      </c>
      <c r="G68">
        <v>10</v>
      </c>
    </row>
    <row r="69" spans="2:7" x14ac:dyDescent="0.2">
      <c r="B69" t="s">
        <v>82</v>
      </c>
      <c r="C69" t="s">
        <v>5</v>
      </c>
      <c r="D69" t="s">
        <v>11</v>
      </c>
      <c r="E69" s="20">
        <f>G69*100/F69</f>
        <v>3.125</v>
      </c>
      <c r="F69" s="20">
        <f>SUMIFS($G$2:$G$1000,$C$2:$C$1000,C69,$D$2:$D$1000,D69)</f>
        <v>320</v>
      </c>
      <c r="G69">
        <v>10</v>
      </c>
    </row>
    <row r="70" spans="2:7" x14ac:dyDescent="0.2">
      <c r="B70" t="s">
        <v>79</v>
      </c>
      <c r="C70" t="s">
        <v>5</v>
      </c>
      <c r="D70" t="s">
        <v>11</v>
      </c>
      <c r="E70" s="20">
        <f>G70*100/F70</f>
        <v>3.125</v>
      </c>
      <c r="F70" s="20">
        <f>SUMIFS($G$2:$G$1000,$C$2:$C$1000,C70,$D$2:$D$1000,D70)</f>
        <v>320</v>
      </c>
      <c r="G70">
        <v>10</v>
      </c>
    </row>
    <row r="71" spans="2:7" x14ac:dyDescent="0.2">
      <c r="B71" t="s">
        <v>83</v>
      </c>
      <c r="C71" t="s">
        <v>5</v>
      </c>
      <c r="D71" t="s">
        <v>11</v>
      </c>
      <c r="E71" s="20">
        <f>G71*100/F71</f>
        <v>3.125</v>
      </c>
      <c r="F71" s="20">
        <f>SUMIFS($G$2:$G$1000,$C$2:$C$1000,C71,$D$2:$D$1000,D71)</f>
        <v>320</v>
      </c>
      <c r="G71">
        <v>10</v>
      </c>
    </row>
    <row r="72" spans="2:7" x14ac:dyDescent="0.2">
      <c r="B72" t="s">
        <v>22</v>
      </c>
      <c r="C72" t="s">
        <v>5</v>
      </c>
      <c r="D72" t="s">
        <v>11</v>
      </c>
      <c r="E72" s="20">
        <f>G72*100/F72</f>
        <v>3.125</v>
      </c>
      <c r="F72" s="20">
        <f>SUMIFS($G$2:$G$1000,$C$2:$C$1000,C72,$D$2:$D$1000,D72)</f>
        <v>320</v>
      </c>
      <c r="G72">
        <v>10</v>
      </c>
    </row>
    <row r="73" spans="2:7" x14ac:dyDescent="0.2">
      <c r="B73" t="s">
        <v>26</v>
      </c>
      <c r="C73" t="s">
        <v>5</v>
      </c>
      <c r="D73" t="s">
        <v>11</v>
      </c>
      <c r="E73" s="20">
        <f>G73*100/F73</f>
        <v>3.125</v>
      </c>
      <c r="F73" s="20">
        <f>SUMIFS($G$2:$G$1000,$C$2:$C$1000,C73,$D$2:$D$1000,D73)</f>
        <v>320</v>
      </c>
      <c r="G73">
        <v>10</v>
      </c>
    </row>
    <row r="74" spans="2:7" x14ac:dyDescent="0.2">
      <c r="B74" t="s">
        <v>24</v>
      </c>
      <c r="C74" t="s">
        <v>5</v>
      </c>
      <c r="D74" t="s">
        <v>11</v>
      </c>
      <c r="E74" s="20">
        <f>G74*100/F74</f>
        <v>15.625</v>
      </c>
      <c r="F74" s="20">
        <f>SUMIFS($G$2:$G$1000,$C$2:$C$1000,C74,$D$2:$D$1000,D74)</f>
        <v>320</v>
      </c>
      <c r="G74">
        <v>50</v>
      </c>
    </row>
    <row r="75" spans="2:7" x14ac:dyDescent="0.2">
      <c r="B75" t="s">
        <v>25</v>
      </c>
      <c r="C75" t="s">
        <v>5</v>
      </c>
      <c r="D75" t="s">
        <v>11</v>
      </c>
      <c r="E75" s="20">
        <f>G75*100/F75</f>
        <v>3.125</v>
      </c>
      <c r="F75" s="20">
        <f>SUMIFS($G$2:$G$1000,$C$2:$C$1000,C75,$D$2:$D$1000,D75)</f>
        <v>320</v>
      </c>
      <c r="G75">
        <v>10</v>
      </c>
    </row>
    <row r="76" spans="2:7" x14ac:dyDescent="0.2">
      <c r="B76" t="s">
        <v>80</v>
      </c>
      <c r="C76" t="s">
        <v>5</v>
      </c>
      <c r="D76" t="s">
        <v>11</v>
      </c>
      <c r="E76" s="20">
        <f>G76*100/F76</f>
        <v>15.625</v>
      </c>
      <c r="F76" s="20">
        <f>SUMIFS($G$2:$G$1000,$C$2:$C$1000,C76,$D$2:$D$1000,D76)</f>
        <v>320</v>
      </c>
      <c r="G76">
        <v>50</v>
      </c>
    </row>
    <row r="77" spans="2:7" x14ac:dyDescent="0.2">
      <c r="B77" t="s">
        <v>87</v>
      </c>
      <c r="C77" t="s">
        <v>13</v>
      </c>
      <c r="D77" t="s">
        <v>11</v>
      </c>
      <c r="E77" s="20">
        <f>G77*100/F77</f>
        <v>3.8461538461538463</v>
      </c>
      <c r="F77" s="20">
        <f>SUMIFS($G$2:$G$1000,$C$2:$C$1000,C77,$D$2:$D$1000,D77)</f>
        <v>260</v>
      </c>
      <c r="G77">
        <v>10</v>
      </c>
    </row>
    <row r="78" spans="2:7" x14ac:dyDescent="0.2">
      <c r="B78" t="s">
        <v>89</v>
      </c>
      <c r="C78" t="s">
        <v>13</v>
      </c>
      <c r="D78" t="s">
        <v>11</v>
      </c>
      <c r="E78" s="20">
        <f>G78*100/F78</f>
        <v>3.8461538461538463</v>
      </c>
      <c r="F78" s="20">
        <f>SUMIFS($G$2:$G$1000,$C$2:$C$1000,C78,$D$2:$D$1000,D78)</f>
        <v>260</v>
      </c>
      <c r="G78">
        <v>10</v>
      </c>
    </row>
    <row r="79" spans="2:7" x14ac:dyDescent="0.2">
      <c r="B79" t="s">
        <v>23</v>
      </c>
      <c r="C79" t="s">
        <v>13</v>
      </c>
      <c r="D79" t="s">
        <v>11</v>
      </c>
      <c r="E79" s="20">
        <f>G79*100/F79</f>
        <v>3.8461538461538463</v>
      </c>
      <c r="F79" s="20">
        <f>SUMIFS($G$2:$G$1000,$C$2:$C$1000,C79,$D$2:$D$1000,D79)</f>
        <v>260</v>
      </c>
      <c r="G79">
        <v>10</v>
      </c>
    </row>
    <row r="80" spans="2:7" x14ac:dyDescent="0.2">
      <c r="B80" t="s">
        <v>91</v>
      </c>
      <c r="C80" t="s">
        <v>13</v>
      </c>
      <c r="D80" t="s">
        <v>11</v>
      </c>
      <c r="E80" s="20">
        <f>G80*100/F80</f>
        <v>3.8461538461538463</v>
      </c>
      <c r="F80" s="20">
        <f>SUMIFS($G$2:$G$1000,$C$2:$C$1000,C80,$D$2:$D$1000,D80)</f>
        <v>260</v>
      </c>
      <c r="G80">
        <v>10</v>
      </c>
    </row>
    <row r="81" spans="2:7" x14ac:dyDescent="0.2">
      <c r="B81" t="s">
        <v>93</v>
      </c>
      <c r="C81" t="s">
        <v>13</v>
      </c>
      <c r="D81" t="s">
        <v>11</v>
      </c>
      <c r="E81" s="20">
        <f>G81*100/F81</f>
        <v>3.8461538461538463</v>
      </c>
      <c r="F81" s="20">
        <f>SUMIFS($G$2:$G$1000,$C$2:$C$1000,C81,$D$2:$D$1000,D81)</f>
        <v>260</v>
      </c>
      <c r="G81">
        <v>10</v>
      </c>
    </row>
    <row r="82" spans="2:7" x14ac:dyDescent="0.2">
      <c r="B82" t="s">
        <v>97</v>
      </c>
      <c r="C82" t="s">
        <v>13</v>
      </c>
      <c r="D82" t="s">
        <v>11</v>
      </c>
      <c r="E82" s="20">
        <f>G82*100/F82</f>
        <v>3.8461538461538463</v>
      </c>
      <c r="F82" s="20">
        <f>SUMIFS($G$2:$G$1000,$C$2:$C$1000,C82,$D$2:$D$1000,D82)</f>
        <v>260</v>
      </c>
      <c r="G82">
        <v>10</v>
      </c>
    </row>
    <row r="83" spans="2:7" x14ac:dyDescent="0.2">
      <c r="B83" t="s">
        <v>99</v>
      </c>
      <c r="C83" t="s">
        <v>13</v>
      </c>
      <c r="D83" t="s">
        <v>11</v>
      </c>
      <c r="E83" s="20">
        <f>G83*100/F83</f>
        <v>3.8461538461538463</v>
      </c>
      <c r="F83" s="20">
        <f>SUMIFS($G$2:$G$1000,$C$2:$C$1000,C83,$D$2:$D$1000,D83)</f>
        <v>260</v>
      </c>
      <c r="G83">
        <v>10</v>
      </c>
    </row>
    <row r="84" spans="2:7" x14ac:dyDescent="0.2">
      <c r="B84" t="s">
        <v>76</v>
      </c>
      <c r="C84" t="s">
        <v>13</v>
      </c>
      <c r="D84" t="s">
        <v>11</v>
      </c>
      <c r="E84" s="20">
        <f>G84*100/F84</f>
        <v>3.8461538461538463</v>
      </c>
      <c r="F84" s="20">
        <f>SUMIFS($G$2:$G$1000,$C$2:$C$1000,C84,$D$2:$D$1000,D84)</f>
        <v>260</v>
      </c>
      <c r="G84">
        <v>10</v>
      </c>
    </row>
    <row r="85" spans="2:7" x14ac:dyDescent="0.2">
      <c r="B85" t="s">
        <v>90</v>
      </c>
      <c r="C85" t="s">
        <v>13</v>
      </c>
      <c r="D85" t="s">
        <v>11</v>
      </c>
      <c r="E85" s="20">
        <f>G85*100/F85</f>
        <v>3.8461538461538463</v>
      </c>
      <c r="F85" s="20">
        <f>SUMIFS($G$2:$G$1000,$C$2:$C$1000,C85,$D$2:$D$1000,D85)</f>
        <v>260</v>
      </c>
      <c r="G85">
        <v>10</v>
      </c>
    </row>
    <row r="86" spans="2:7" x14ac:dyDescent="0.2">
      <c r="B86" t="s">
        <v>159</v>
      </c>
      <c r="C86" t="s">
        <v>13</v>
      </c>
      <c r="D86" t="s">
        <v>11</v>
      </c>
      <c r="E86" s="20">
        <f>G86*100/F86</f>
        <v>3.8461538461538463</v>
      </c>
      <c r="F86" s="20">
        <f>SUMIFS($G$2:$G$1000,$C$2:$C$1000,C86,$D$2:$D$1000,D86)</f>
        <v>260</v>
      </c>
      <c r="G86">
        <v>10</v>
      </c>
    </row>
    <row r="87" spans="2:7" x14ac:dyDescent="0.2">
      <c r="B87" t="s">
        <v>88</v>
      </c>
      <c r="C87" t="s">
        <v>13</v>
      </c>
      <c r="D87" t="s">
        <v>11</v>
      </c>
      <c r="E87" s="20">
        <f>G87*100/F87</f>
        <v>3.8461538461538463</v>
      </c>
      <c r="F87" s="20">
        <f>SUMIFS($G$2:$G$1000,$C$2:$C$1000,C87,$D$2:$D$1000,D87)</f>
        <v>260</v>
      </c>
      <c r="G87">
        <v>10</v>
      </c>
    </row>
    <row r="88" spans="2:7" x14ac:dyDescent="0.2">
      <c r="B88" t="s">
        <v>94</v>
      </c>
      <c r="C88" t="s">
        <v>13</v>
      </c>
      <c r="D88" t="s">
        <v>11</v>
      </c>
      <c r="E88" s="20">
        <f>G88*100/F88</f>
        <v>3.8461538461538463</v>
      </c>
      <c r="F88" s="20">
        <f>SUMIFS($G$2:$G$1000,$C$2:$C$1000,C88,$D$2:$D$1000,D88)</f>
        <v>260</v>
      </c>
      <c r="G88">
        <v>10</v>
      </c>
    </row>
    <row r="89" spans="2:7" x14ac:dyDescent="0.2">
      <c r="B89" t="s">
        <v>96</v>
      </c>
      <c r="C89" t="s">
        <v>13</v>
      </c>
      <c r="D89" t="s">
        <v>11</v>
      </c>
      <c r="E89" s="20">
        <f>G89*100/F89</f>
        <v>3.8461538461538463</v>
      </c>
      <c r="F89" s="20">
        <f>SUMIFS($G$2:$G$1000,$C$2:$C$1000,C89,$D$2:$D$1000,D89)</f>
        <v>260</v>
      </c>
      <c r="G89">
        <v>10</v>
      </c>
    </row>
    <row r="90" spans="2:7" x14ac:dyDescent="0.2">
      <c r="B90" t="s">
        <v>8</v>
      </c>
      <c r="C90" t="s">
        <v>7</v>
      </c>
      <c r="D90" t="s">
        <v>11</v>
      </c>
      <c r="E90" s="20">
        <f>G90*100/F90</f>
        <v>38.46153846153846</v>
      </c>
      <c r="F90" s="20">
        <f>SUMIFS($G$2:$G$1000,$C$2:$C$1000,C90,$D$2:$D$1000,D90)</f>
        <v>130</v>
      </c>
      <c r="G90">
        <v>50</v>
      </c>
    </row>
    <row r="91" spans="2:7" x14ac:dyDescent="0.2">
      <c r="B91" t="s">
        <v>85</v>
      </c>
      <c r="C91" t="s">
        <v>7</v>
      </c>
      <c r="D91" t="s">
        <v>11</v>
      </c>
      <c r="E91" s="20">
        <f>G91*100/F91</f>
        <v>7.6923076923076925</v>
      </c>
      <c r="F91" s="20">
        <f>SUMIFS($G$2:$G$1000,$C$2:$C$1000,C91,$D$2:$D$1000,D91)</f>
        <v>130</v>
      </c>
      <c r="G91">
        <v>10</v>
      </c>
    </row>
    <row r="92" spans="2:7" x14ac:dyDescent="0.2">
      <c r="B92" t="s">
        <v>27</v>
      </c>
      <c r="C92" t="s">
        <v>7</v>
      </c>
      <c r="D92" t="s">
        <v>11</v>
      </c>
      <c r="E92" s="20">
        <f>G92*100/F92</f>
        <v>7.6923076923076925</v>
      </c>
      <c r="F92" s="20">
        <f>SUMIFS($G$2:$G$1000,$C$2:$C$1000,C92,$D$2:$D$1000,D92)</f>
        <v>130</v>
      </c>
      <c r="G92">
        <v>10</v>
      </c>
    </row>
    <row r="93" spans="2:7" x14ac:dyDescent="0.2">
      <c r="B93" t="s">
        <v>85</v>
      </c>
      <c r="C93" t="s">
        <v>7</v>
      </c>
      <c r="D93" t="s">
        <v>11</v>
      </c>
      <c r="E93" s="20">
        <f>G93*100/F93</f>
        <v>7.6923076923076925</v>
      </c>
      <c r="F93" s="20">
        <f>SUMIFS($G$2:$G$1000,$C$2:$C$1000,C93,$D$2:$D$1000,D93)</f>
        <v>130</v>
      </c>
      <c r="G93">
        <v>10</v>
      </c>
    </row>
    <row r="94" spans="2:7" x14ac:dyDescent="0.2">
      <c r="B94" t="s">
        <v>75</v>
      </c>
      <c r="C94" t="s">
        <v>9</v>
      </c>
      <c r="D94" t="s">
        <v>11</v>
      </c>
      <c r="E94" s="20">
        <f>G94*100/F94</f>
        <v>7.1428571428571432</v>
      </c>
      <c r="F94" s="20">
        <f>SUMIFS($G$2:$G$1000,$C$2:$C$1000,C94,$D$2:$D$1000,D94)</f>
        <v>140</v>
      </c>
      <c r="G94">
        <v>10</v>
      </c>
    </row>
    <row r="95" spans="2:7" x14ac:dyDescent="0.2">
      <c r="B95" t="s">
        <v>10</v>
      </c>
      <c r="C95" t="s">
        <v>9</v>
      </c>
      <c r="D95" t="s">
        <v>11</v>
      </c>
      <c r="E95" s="20">
        <f>G95*100/F95</f>
        <v>35.714285714285715</v>
      </c>
      <c r="F95" s="20">
        <f>SUMIFS($G$2:$G$1000,$C$2:$C$1000,C95,$D$2:$D$1000,D95)</f>
        <v>140</v>
      </c>
      <c r="G95">
        <v>50</v>
      </c>
    </row>
    <row r="96" spans="2:7" x14ac:dyDescent="0.2">
      <c r="B96" t="s">
        <v>103</v>
      </c>
      <c r="C96" t="s">
        <v>9</v>
      </c>
      <c r="D96" t="s">
        <v>11</v>
      </c>
      <c r="E96" s="20">
        <f>G96*100/F96</f>
        <v>7.1428571428571432</v>
      </c>
      <c r="F96" s="20">
        <f>SUMIFS($G$2:$G$1000,$C$2:$C$1000,C96,$D$2:$D$1000,D96)</f>
        <v>140</v>
      </c>
      <c r="G96">
        <v>10</v>
      </c>
    </row>
    <row r="97" spans="2:7" x14ac:dyDescent="0.2">
      <c r="B97" t="s">
        <v>102</v>
      </c>
      <c r="C97" t="s">
        <v>9</v>
      </c>
      <c r="D97" t="s">
        <v>11</v>
      </c>
      <c r="E97" s="20">
        <f>G97*100/F97</f>
        <v>7.1428571428571432</v>
      </c>
      <c r="F97" s="20">
        <f>SUMIFS($G$2:$G$1000,$C$2:$C$1000,C97,$D$2:$D$1000,D97)</f>
        <v>140</v>
      </c>
      <c r="G97">
        <v>10</v>
      </c>
    </row>
    <row r="98" spans="2:7" x14ac:dyDescent="0.2">
      <c r="B98" t="s">
        <v>101</v>
      </c>
      <c r="C98" t="s">
        <v>9</v>
      </c>
      <c r="D98" t="s">
        <v>11</v>
      </c>
      <c r="E98" s="20">
        <f>G98*100/F98</f>
        <v>7.1428571428571432</v>
      </c>
      <c r="F98" s="20">
        <f>SUMIFS($G$2:$G$1000,$C$2:$C$1000,C98,$D$2:$D$1000,D98)</f>
        <v>140</v>
      </c>
      <c r="G98">
        <v>10</v>
      </c>
    </row>
    <row r="99" spans="2:7" x14ac:dyDescent="0.2">
      <c r="B99" t="s">
        <v>12</v>
      </c>
      <c r="C99" t="s">
        <v>12</v>
      </c>
      <c r="D99" t="s">
        <v>17</v>
      </c>
      <c r="E99" s="20">
        <f>G99*100/F99</f>
        <v>100</v>
      </c>
      <c r="F99" s="20">
        <f>SUMIFS($G$2:$G$1000,$C$2:$C$1000,C99,$D$2:$D$1000,D99)</f>
        <v>100</v>
      </c>
      <c r="G99">
        <v>100</v>
      </c>
    </row>
    <row r="100" spans="2:7" x14ac:dyDescent="0.2">
      <c r="B100" t="s">
        <v>81</v>
      </c>
      <c r="C100" t="s">
        <v>5</v>
      </c>
      <c r="D100" t="s">
        <v>17</v>
      </c>
      <c r="E100" s="20">
        <f>G100*100/F100</f>
        <v>5.882352941176471</v>
      </c>
      <c r="F100" s="20">
        <f>SUMIFS($G$2:$G$1000,$C$2:$C$1000,C100,$D$2:$D$1000,D100)</f>
        <v>170</v>
      </c>
      <c r="G100">
        <v>10</v>
      </c>
    </row>
    <row r="101" spans="2:7" x14ac:dyDescent="0.2">
      <c r="B101" t="s">
        <v>82</v>
      </c>
      <c r="C101" t="s">
        <v>5</v>
      </c>
      <c r="D101" t="s">
        <v>17</v>
      </c>
      <c r="E101" s="20">
        <f>G101*100/F101</f>
        <v>5.882352941176471</v>
      </c>
      <c r="F101" s="20">
        <f>SUMIFS($G$2:$G$1000,$C$2:$C$1000,C101,$D$2:$D$1000,D101)</f>
        <v>170</v>
      </c>
      <c r="G101">
        <v>10</v>
      </c>
    </row>
    <row r="102" spans="2:7" x14ac:dyDescent="0.2">
      <c r="B102" t="s">
        <v>79</v>
      </c>
      <c r="C102" t="s">
        <v>5</v>
      </c>
      <c r="D102" t="s">
        <v>17</v>
      </c>
      <c r="E102" s="20">
        <f>G102*100/F102</f>
        <v>5.882352941176471</v>
      </c>
      <c r="F102" s="20">
        <f>SUMIFS($G$2:$G$1000,$C$2:$C$1000,C102,$D$2:$D$1000,D102)</f>
        <v>170</v>
      </c>
      <c r="G102">
        <v>10</v>
      </c>
    </row>
    <row r="103" spans="2:7" x14ac:dyDescent="0.2">
      <c r="B103" t="s">
        <v>83</v>
      </c>
      <c r="C103" t="s">
        <v>5</v>
      </c>
      <c r="D103" t="s">
        <v>17</v>
      </c>
      <c r="E103" s="20">
        <f>G103*100/F103</f>
        <v>5.882352941176471</v>
      </c>
      <c r="F103" s="20">
        <f>SUMIFS($G$2:$G$1000,$C$2:$C$1000,C103,$D$2:$D$1000,D103)</f>
        <v>170</v>
      </c>
      <c r="G103">
        <v>10</v>
      </c>
    </row>
    <row r="104" spans="2:7" x14ac:dyDescent="0.2">
      <c r="B104" t="s">
        <v>22</v>
      </c>
      <c r="C104" t="s">
        <v>5</v>
      </c>
      <c r="D104" t="s">
        <v>17</v>
      </c>
      <c r="E104" s="20">
        <f>G104*100/F104</f>
        <v>5.882352941176471</v>
      </c>
      <c r="F104" s="20">
        <f>SUMIFS($G$2:$G$1000,$C$2:$C$1000,C104,$D$2:$D$1000,D104)</f>
        <v>170</v>
      </c>
      <c r="G104">
        <v>10</v>
      </c>
    </row>
    <row r="105" spans="2:7" x14ac:dyDescent="0.2">
      <c r="B105" t="s">
        <v>26</v>
      </c>
      <c r="C105" t="s">
        <v>5</v>
      </c>
      <c r="D105" t="s">
        <v>17</v>
      </c>
      <c r="E105" s="20">
        <f>G105*100/F105</f>
        <v>5.882352941176471</v>
      </c>
      <c r="F105" s="20">
        <f>SUMIFS($G$2:$G$1000,$C$2:$C$1000,C105,$D$2:$D$1000,D105)</f>
        <v>170</v>
      </c>
      <c r="G105">
        <v>10</v>
      </c>
    </row>
    <row r="106" spans="2:7" x14ac:dyDescent="0.2">
      <c r="B106" t="s">
        <v>24</v>
      </c>
      <c r="C106" t="s">
        <v>5</v>
      </c>
      <c r="D106" t="s">
        <v>17</v>
      </c>
      <c r="E106" s="20">
        <f>G106*100/F106</f>
        <v>5.882352941176471</v>
      </c>
      <c r="F106" s="20">
        <f>SUMIFS($G$2:$G$1000,$C$2:$C$1000,C106,$D$2:$D$1000,D106)</f>
        <v>170</v>
      </c>
      <c r="G106">
        <v>10</v>
      </c>
    </row>
    <row r="107" spans="2:7" x14ac:dyDescent="0.2">
      <c r="B107" t="s">
        <v>25</v>
      </c>
      <c r="C107" t="s">
        <v>5</v>
      </c>
      <c r="D107" t="s">
        <v>17</v>
      </c>
      <c r="E107" s="20">
        <f>G107*100/F107</f>
        <v>29.411764705882351</v>
      </c>
      <c r="F107" s="20">
        <f>SUMIFS($G$2:$G$1000,$C$2:$C$1000,C107,$D$2:$D$1000,D107)</f>
        <v>170</v>
      </c>
      <c r="G107">
        <v>50</v>
      </c>
    </row>
    <row r="108" spans="2:7" x14ac:dyDescent="0.2">
      <c r="B108" t="s">
        <v>80</v>
      </c>
      <c r="C108" t="s">
        <v>5</v>
      </c>
      <c r="D108" t="s">
        <v>17</v>
      </c>
      <c r="E108" s="20">
        <f>G108*100/F108</f>
        <v>29.411764705882351</v>
      </c>
      <c r="F108" s="20">
        <f>SUMIFS($G$2:$G$1000,$C$2:$C$1000,C108,$D$2:$D$1000,D108)</f>
        <v>170</v>
      </c>
      <c r="G108">
        <v>50</v>
      </c>
    </row>
    <row r="109" spans="2:7" x14ac:dyDescent="0.2">
      <c r="B109" t="s">
        <v>87</v>
      </c>
      <c r="C109" t="s">
        <v>13</v>
      </c>
      <c r="D109" t="s">
        <v>17</v>
      </c>
      <c r="E109" s="20">
        <f>G109*100/F109</f>
        <v>7.6923076923076925</v>
      </c>
      <c r="F109" s="20">
        <f>SUMIFS($G$2:$G$1000,$C$2:$C$1000,C109,$D$2:$D$1000,D109)</f>
        <v>130</v>
      </c>
      <c r="G109">
        <v>10</v>
      </c>
    </row>
    <row r="110" spans="2:7" x14ac:dyDescent="0.2">
      <c r="B110" t="s">
        <v>89</v>
      </c>
      <c r="C110" t="s">
        <v>13</v>
      </c>
      <c r="D110" t="s">
        <v>17</v>
      </c>
      <c r="E110" s="20">
        <f>G110*100/F110</f>
        <v>7.6923076923076925</v>
      </c>
      <c r="F110" s="20">
        <f>SUMIFS($G$2:$G$1000,$C$2:$C$1000,C110,$D$2:$D$1000,D110)</f>
        <v>130</v>
      </c>
      <c r="G110">
        <v>10</v>
      </c>
    </row>
    <row r="111" spans="2:7" x14ac:dyDescent="0.2">
      <c r="B111" t="s">
        <v>23</v>
      </c>
      <c r="C111" t="s">
        <v>13</v>
      </c>
      <c r="D111" t="s">
        <v>17</v>
      </c>
      <c r="E111" s="20">
        <f>G111*100/F111</f>
        <v>7.6923076923076925</v>
      </c>
      <c r="F111" s="20">
        <f>SUMIFS($G$2:$G$1000,$C$2:$C$1000,C111,$D$2:$D$1000,D111)</f>
        <v>130</v>
      </c>
      <c r="G111">
        <v>10</v>
      </c>
    </row>
    <row r="112" spans="2:7" x14ac:dyDescent="0.2">
      <c r="B112" t="s">
        <v>91</v>
      </c>
      <c r="C112" t="s">
        <v>13</v>
      </c>
      <c r="D112" t="s">
        <v>17</v>
      </c>
      <c r="E112" s="20">
        <f>G112*100/F112</f>
        <v>7.6923076923076925</v>
      </c>
      <c r="F112" s="20">
        <f>SUMIFS($G$2:$G$1000,$C$2:$C$1000,C112,$D$2:$D$1000,D112)</f>
        <v>130</v>
      </c>
      <c r="G112">
        <v>10</v>
      </c>
    </row>
    <row r="113" spans="2:7" x14ac:dyDescent="0.2">
      <c r="B113" t="s">
        <v>93</v>
      </c>
      <c r="C113" t="s">
        <v>13</v>
      </c>
      <c r="D113" t="s">
        <v>17</v>
      </c>
      <c r="E113" s="20">
        <f>G113*100/F113</f>
        <v>7.6923076923076925</v>
      </c>
      <c r="F113" s="20">
        <f>SUMIFS($G$2:$G$1000,$C$2:$C$1000,C113,$D$2:$D$1000,D113)</f>
        <v>130</v>
      </c>
      <c r="G113">
        <v>10</v>
      </c>
    </row>
    <row r="114" spans="2:7" x14ac:dyDescent="0.2">
      <c r="B114" t="s">
        <v>97</v>
      </c>
      <c r="C114" t="s">
        <v>13</v>
      </c>
      <c r="D114" t="s">
        <v>17</v>
      </c>
      <c r="E114" s="20">
        <f>G114*100/F114</f>
        <v>7.6923076923076925</v>
      </c>
      <c r="F114" s="20">
        <f>SUMIFS($G$2:$G$1000,$C$2:$C$1000,C114,$D$2:$D$1000,D114)</f>
        <v>130</v>
      </c>
      <c r="G114">
        <v>10</v>
      </c>
    </row>
    <row r="115" spans="2:7" x14ac:dyDescent="0.2">
      <c r="B115" t="s">
        <v>99</v>
      </c>
      <c r="C115" t="s">
        <v>13</v>
      </c>
      <c r="D115" t="s">
        <v>17</v>
      </c>
      <c r="E115" s="20">
        <f>G115*100/F115</f>
        <v>7.6923076923076925</v>
      </c>
      <c r="F115" s="20">
        <f>SUMIFS($G$2:$G$1000,$C$2:$C$1000,C115,$D$2:$D$1000,D115)</f>
        <v>130</v>
      </c>
      <c r="G115">
        <v>10</v>
      </c>
    </row>
    <row r="116" spans="2:7" x14ac:dyDescent="0.2">
      <c r="B116" t="s">
        <v>76</v>
      </c>
      <c r="C116" t="s">
        <v>13</v>
      </c>
      <c r="D116" t="s">
        <v>17</v>
      </c>
      <c r="E116" s="20">
        <f>G116*100/F116</f>
        <v>7.6923076923076925</v>
      </c>
      <c r="F116" s="20">
        <f>SUMIFS($G$2:$G$1000,$C$2:$C$1000,C116,$D$2:$D$1000,D116)</f>
        <v>130</v>
      </c>
      <c r="G116">
        <v>10</v>
      </c>
    </row>
    <row r="117" spans="2:7" x14ac:dyDescent="0.2">
      <c r="B117" t="s">
        <v>90</v>
      </c>
      <c r="C117" t="s">
        <v>13</v>
      </c>
      <c r="D117" t="s">
        <v>17</v>
      </c>
      <c r="E117" s="20">
        <f>G117*100/F117</f>
        <v>7.6923076923076925</v>
      </c>
      <c r="F117" s="20">
        <f>SUMIFS($G$2:$G$1000,$C$2:$C$1000,C117,$D$2:$D$1000,D117)</f>
        <v>130</v>
      </c>
      <c r="G117">
        <v>10</v>
      </c>
    </row>
    <row r="118" spans="2:7" x14ac:dyDescent="0.2">
      <c r="B118" t="s">
        <v>159</v>
      </c>
      <c r="C118" t="s">
        <v>13</v>
      </c>
      <c r="D118" t="s">
        <v>17</v>
      </c>
      <c r="E118" s="20">
        <f>G118*100/F118</f>
        <v>7.6923076923076925</v>
      </c>
      <c r="F118" s="20">
        <f>SUMIFS($G$2:$G$1000,$C$2:$C$1000,C118,$D$2:$D$1000,D118)</f>
        <v>130</v>
      </c>
      <c r="G118">
        <v>10</v>
      </c>
    </row>
    <row r="119" spans="2:7" x14ac:dyDescent="0.2">
      <c r="B119" t="s">
        <v>88</v>
      </c>
      <c r="C119" t="s">
        <v>13</v>
      </c>
      <c r="D119" t="s">
        <v>17</v>
      </c>
      <c r="E119" s="20">
        <f>G119*100/F119</f>
        <v>7.6923076923076925</v>
      </c>
      <c r="F119" s="20">
        <f>SUMIFS($G$2:$G$1000,$C$2:$C$1000,C119,$D$2:$D$1000,D119)</f>
        <v>130</v>
      </c>
      <c r="G119">
        <v>10</v>
      </c>
    </row>
    <row r="120" spans="2:7" x14ac:dyDescent="0.2">
      <c r="B120" t="s">
        <v>94</v>
      </c>
      <c r="C120" t="s">
        <v>13</v>
      </c>
      <c r="D120" t="s">
        <v>17</v>
      </c>
      <c r="E120" s="20">
        <f>G120*100/F120</f>
        <v>7.6923076923076925</v>
      </c>
      <c r="F120" s="20">
        <f>SUMIFS($G$2:$G$1000,$C$2:$C$1000,C120,$D$2:$D$1000,D120)</f>
        <v>130</v>
      </c>
      <c r="G120">
        <v>10</v>
      </c>
    </row>
    <row r="121" spans="2:7" x14ac:dyDescent="0.2">
      <c r="B121" t="s">
        <v>96</v>
      </c>
      <c r="C121" t="s">
        <v>13</v>
      </c>
      <c r="D121" t="s">
        <v>17</v>
      </c>
      <c r="E121" s="20">
        <f>G121*100/F121</f>
        <v>7.6923076923076925</v>
      </c>
      <c r="F121" s="20">
        <f>SUMIFS($G$2:$G$1000,$C$2:$C$1000,C121,$D$2:$D$1000,D121)</f>
        <v>130</v>
      </c>
      <c r="G121">
        <v>10</v>
      </c>
    </row>
    <row r="122" spans="2:7" x14ac:dyDescent="0.2">
      <c r="B122" t="s">
        <v>8</v>
      </c>
      <c r="C122" t="s">
        <v>7</v>
      </c>
      <c r="D122" t="s">
        <v>17</v>
      </c>
      <c r="E122" s="20">
        <f>G122*100/F122</f>
        <v>41.666666666666664</v>
      </c>
      <c r="F122" s="20">
        <f>SUMIFS($G$2:$G$1000,$C$2:$C$1000,C122,$D$2:$D$1000,D122)</f>
        <v>120</v>
      </c>
      <c r="G122">
        <v>50</v>
      </c>
    </row>
    <row r="123" spans="2:7" x14ac:dyDescent="0.2">
      <c r="B123" t="s">
        <v>85</v>
      </c>
      <c r="C123" t="s">
        <v>7</v>
      </c>
      <c r="D123" t="s">
        <v>17</v>
      </c>
      <c r="E123" s="20">
        <f>G123*100/F123</f>
        <v>8.3333333333333339</v>
      </c>
      <c r="F123" s="20">
        <f>SUMIFS($G$2:$G$1000,$C$2:$C$1000,C123,$D$2:$D$1000,D123)</f>
        <v>120</v>
      </c>
      <c r="G123">
        <v>10</v>
      </c>
    </row>
    <row r="124" spans="2:7" x14ac:dyDescent="0.2">
      <c r="B124" t="s">
        <v>27</v>
      </c>
      <c r="C124" t="s">
        <v>7</v>
      </c>
      <c r="D124" t="s">
        <v>17</v>
      </c>
      <c r="E124" s="20">
        <f>G124*100/F124</f>
        <v>41.666666666666664</v>
      </c>
      <c r="F124" s="20">
        <f>SUMIFS($G$2:$G$1000,$C$2:$C$1000,C124,$D$2:$D$1000,D124)</f>
        <v>120</v>
      </c>
      <c r="G124">
        <v>50</v>
      </c>
    </row>
    <row r="125" spans="2:7" x14ac:dyDescent="0.2">
      <c r="B125" t="s">
        <v>85</v>
      </c>
      <c r="C125" t="s">
        <v>7</v>
      </c>
      <c r="D125" t="s">
        <v>17</v>
      </c>
      <c r="E125" s="20">
        <f>G125*100/F125</f>
        <v>8.3333333333333339</v>
      </c>
      <c r="F125" s="20">
        <f>SUMIFS($G$2:$G$1000,$C$2:$C$1000,C125,$D$2:$D$1000,D125)</f>
        <v>120</v>
      </c>
      <c r="G125">
        <v>10</v>
      </c>
    </row>
    <row r="126" spans="2:7" x14ac:dyDescent="0.2">
      <c r="B126" t="s">
        <v>75</v>
      </c>
      <c r="C126" t="s">
        <v>9</v>
      </c>
      <c r="D126" t="s">
        <v>17</v>
      </c>
      <c r="E126" s="20">
        <f>G126*100/F126</f>
        <v>11.111111111111111</v>
      </c>
      <c r="F126" s="20">
        <f>SUMIFS($G$2:$G$1000,$C$2:$C$1000,C126,$D$2:$D$1000,D126)</f>
        <v>90</v>
      </c>
      <c r="G126">
        <v>10</v>
      </c>
    </row>
    <row r="127" spans="2:7" x14ac:dyDescent="0.2">
      <c r="B127" t="s">
        <v>10</v>
      </c>
      <c r="C127" t="s">
        <v>9</v>
      </c>
      <c r="D127" t="s">
        <v>17</v>
      </c>
      <c r="E127" s="20">
        <f>G127*100/F127</f>
        <v>55.555555555555557</v>
      </c>
      <c r="F127" s="20">
        <f>SUMIFS($G$2:$G$1000,$C$2:$C$1000,C127,$D$2:$D$1000,D127)</f>
        <v>90</v>
      </c>
      <c r="G127">
        <v>50</v>
      </c>
    </row>
    <row r="128" spans="2:7" x14ac:dyDescent="0.2">
      <c r="B128" t="s">
        <v>103</v>
      </c>
      <c r="C128" t="s">
        <v>9</v>
      </c>
      <c r="D128" t="s">
        <v>17</v>
      </c>
      <c r="E128" s="20">
        <f>G128*100/F128</f>
        <v>11.111111111111111</v>
      </c>
      <c r="F128" s="20">
        <f>SUMIFS($G$2:$G$1000,$C$2:$C$1000,C128,$D$2:$D$1000,D128)</f>
        <v>90</v>
      </c>
      <c r="G128">
        <v>10</v>
      </c>
    </row>
    <row r="129" spans="2:7" x14ac:dyDescent="0.2">
      <c r="B129" t="s">
        <v>102</v>
      </c>
      <c r="C129" t="s">
        <v>9</v>
      </c>
      <c r="D129" t="s">
        <v>17</v>
      </c>
      <c r="E129" s="20">
        <f>G129*100/F129</f>
        <v>11.111111111111111</v>
      </c>
      <c r="F129" s="20">
        <f>SUMIFS($G$2:$G$1000,$C$2:$C$1000,C129,$D$2:$D$1000,D129)</f>
        <v>90</v>
      </c>
      <c r="G129">
        <v>10</v>
      </c>
    </row>
    <row r="130" spans="2:7" x14ac:dyDescent="0.2">
      <c r="B130" t="s">
        <v>101</v>
      </c>
      <c r="C130" t="s">
        <v>9</v>
      </c>
      <c r="D130" t="s">
        <v>17</v>
      </c>
      <c r="E130" s="20">
        <f>G130*100/F130</f>
        <v>11.111111111111111</v>
      </c>
      <c r="F130" s="20">
        <f>SUMIFS($G$2:$G$1000,$C$2:$C$1000,C130,$D$2:$D$1000,D130)</f>
        <v>90</v>
      </c>
      <c r="G130">
        <v>10</v>
      </c>
    </row>
    <row r="131" spans="2:7" x14ac:dyDescent="0.2">
      <c r="B131" t="s">
        <v>12</v>
      </c>
      <c r="C131" t="s">
        <v>12</v>
      </c>
      <c r="D131" t="s">
        <v>18</v>
      </c>
      <c r="E131" s="20">
        <f>G131*100/F131</f>
        <v>100</v>
      </c>
      <c r="F131" s="20">
        <f>SUMIFS($G$2:$G$1000,$C$2:$C$1000,C131,$D$2:$D$1000,D131)</f>
        <v>100</v>
      </c>
      <c r="G131">
        <v>100</v>
      </c>
    </row>
    <row r="132" spans="2:7" x14ac:dyDescent="0.2">
      <c r="B132" t="s">
        <v>81</v>
      </c>
      <c r="C132" t="s">
        <v>5</v>
      </c>
      <c r="D132" t="s">
        <v>18</v>
      </c>
      <c r="E132" s="20">
        <f>G132*100/F132</f>
        <v>5.882352941176471</v>
      </c>
      <c r="F132" s="20">
        <f>SUMIFS($G$2:$G$1000,$C$2:$C$1000,C132,$D$2:$D$1000,D132)</f>
        <v>170</v>
      </c>
      <c r="G132">
        <v>10</v>
      </c>
    </row>
    <row r="133" spans="2:7" x14ac:dyDescent="0.2">
      <c r="B133" t="s">
        <v>82</v>
      </c>
      <c r="C133" t="s">
        <v>5</v>
      </c>
      <c r="D133" t="s">
        <v>18</v>
      </c>
      <c r="E133" s="20">
        <f>G133*100/F133</f>
        <v>5.882352941176471</v>
      </c>
      <c r="F133" s="20">
        <f>SUMIFS($G$2:$G$1000,$C$2:$C$1000,C133,$D$2:$D$1000,D133)</f>
        <v>170</v>
      </c>
      <c r="G133">
        <v>10</v>
      </c>
    </row>
    <row r="134" spans="2:7" x14ac:dyDescent="0.2">
      <c r="B134" t="s">
        <v>79</v>
      </c>
      <c r="C134" t="s">
        <v>5</v>
      </c>
      <c r="D134" t="s">
        <v>18</v>
      </c>
      <c r="E134" s="20">
        <f>G134*100/F134</f>
        <v>5.882352941176471</v>
      </c>
      <c r="F134" s="20">
        <f>SUMIFS($G$2:$G$1000,$C$2:$C$1000,C134,$D$2:$D$1000,D134)</f>
        <v>170</v>
      </c>
      <c r="G134">
        <v>10</v>
      </c>
    </row>
    <row r="135" spans="2:7" x14ac:dyDescent="0.2">
      <c r="B135" t="s">
        <v>83</v>
      </c>
      <c r="C135" t="s">
        <v>5</v>
      </c>
      <c r="D135" t="s">
        <v>18</v>
      </c>
      <c r="E135" s="20">
        <f>G135*100/F135</f>
        <v>5.882352941176471</v>
      </c>
      <c r="F135" s="20">
        <f>SUMIFS($G$2:$G$1000,$C$2:$C$1000,C135,$D$2:$D$1000,D135)</f>
        <v>170</v>
      </c>
      <c r="G135">
        <v>10</v>
      </c>
    </row>
    <row r="136" spans="2:7" x14ac:dyDescent="0.2">
      <c r="B136" t="s">
        <v>22</v>
      </c>
      <c r="C136" t="s">
        <v>5</v>
      </c>
      <c r="D136" t="s">
        <v>18</v>
      </c>
      <c r="E136" s="20">
        <f>G136*100/F136</f>
        <v>5.882352941176471</v>
      </c>
      <c r="F136" s="20">
        <f>SUMIFS($G$2:$G$1000,$C$2:$C$1000,C136,$D$2:$D$1000,D136)</f>
        <v>170</v>
      </c>
      <c r="G136">
        <v>10</v>
      </c>
    </row>
    <row r="137" spans="2:7" x14ac:dyDescent="0.2">
      <c r="B137" t="s">
        <v>26</v>
      </c>
      <c r="C137" t="s">
        <v>5</v>
      </c>
      <c r="D137" t="s">
        <v>18</v>
      </c>
      <c r="E137" s="20">
        <f>G137*100/F137</f>
        <v>29.411764705882351</v>
      </c>
      <c r="F137" s="20">
        <f>SUMIFS($G$2:$G$1000,$C$2:$C$1000,C137,$D$2:$D$1000,D137)</f>
        <v>170</v>
      </c>
      <c r="G137">
        <v>50</v>
      </c>
    </row>
    <row r="138" spans="2:7" x14ac:dyDescent="0.2">
      <c r="B138" t="s">
        <v>24</v>
      </c>
      <c r="C138" t="s">
        <v>5</v>
      </c>
      <c r="D138" t="s">
        <v>18</v>
      </c>
      <c r="E138" s="20">
        <f>G138*100/F138</f>
        <v>5.882352941176471</v>
      </c>
      <c r="F138" s="20">
        <f>SUMIFS($G$2:$G$1000,$C$2:$C$1000,C138,$D$2:$D$1000,D138)</f>
        <v>170</v>
      </c>
      <c r="G138">
        <v>10</v>
      </c>
    </row>
    <row r="139" spans="2:7" x14ac:dyDescent="0.2">
      <c r="B139" t="s">
        <v>25</v>
      </c>
      <c r="C139" t="s">
        <v>5</v>
      </c>
      <c r="D139" t="s">
        <v>18</v>
      </c>
      <c r="E139" s="20">
        <f>G139*100/F139</f>
        <v>5.882352941176471</v>
      </c>
      <c r="F139" s="20">
        <f>SUMIFS($G$2:$G$1000,$C$2:$C$1000,C139,$D$2:$D$1000,D139)</f>
        <v>170</v>
      </c>
      <c r="G139">
        <v>10</v>
      </c>
    </row>
    <row r="140" spans="2:7" x14ac:dyDescent="0.2">
      <c r="B140" t="s">
        <v>80</v>
      </c>
      <c r="C140" t="s">
        <v>5</v>
      </c>
      <c r="D140" t="s">
        <v>18</v>
      </c>
      <c r="E140" s="20">
        <f>G140*100/F140</f>
        <v>29.411764705882351</v>
      </c>
      <c r="F140" s="20">
        <f>SUMIFS($G$2:$G$1000,$C$2:$C$1000,C140,$D$2:$D$1000,D140)</f>
        <v>170</v>
      </c>
      <c r="G140">
        <v>50</v>
      </c>
    </row>
    <row r="141" spans="2:7" x14ac:dyDescent="0.2">
      <c r="B141" t="s">
        <v>87</v>
      </c>
      <c r="C141" t="s">
        <v>13</v>
      </c>
      <c r="D141" t="s">
        <v>18</v>
      </c>
      <c r="E141" s="20">
        <f>G141*100/F141</f>
        <v>7.6923076923076925</v>
      </c>
      <c r="F141" s="20">
        <f>SUMIFS($G$2:$G$1000,$C$2:$C$1000,C141,$D$2:$D$1000,D141)</f>
        <v>130</v>
      </c>
      <c r="G141">
        <v>10</v>
      </c>
    </row>
    <row r="142" spans="2:7" x14ac:dyDescent="0.2">
      <c r="B142" t="s">
        <v>89</v>
      </c>
      <c r="C142" t="s">
        <v>13</v>
      </c>
      <c r="D142" t="s">
        <v>18</v>
      </c>
      <c r="E142" s="20">
        <f>G142*100/F142</f>
        <v>7.6923076923076925</v>
      </c>
      <c r="F142" s="20">
        <f>SUMIFS($G$2:$G$1000,$C$2:$C$1000,C142,$D$2:$D$1000,D142)</f>
        <v>130</v>
      </c>
      <c r="G142">
        <v>10</v>
      </c>
    </row>
    <row r="143" spans="2:7" x14ac:dyDescent="0.2">
      <c r="B143" t="s">
        <v>23</v>
      </c>
      <c r="C143" t="s">
        <v>13</v>
      </c>
      <c r="D143" t="s">
        <v>18</v>
      </c>
      <c r="E143" s="20">
        <f>G143*100/F143</f>
        <v>7.6923076923076925</v>
      </c>
      <c r="F143" s="20">
        <f>SUMIFS($G$2:$G$1000,$C$2:$C$1000,C143,$D$2:$D$1000,D143)</f>
        <v>130</v>
      </c>
      <c r="G143">
        <v>10</v>
      </c>
    </row>
    <row r="144" spans="2:7" x14ac:dyDescent="0.2">
      <c r="B144" t="s">
        <v>91</v>
      </c>
      <c r="C144" t="s">
        <v>13</v>
      </c>
      <c r="D144" t="s">
        <v>18</v>
      </c>
      <c r="E144" s="20">
        <f>G144*100/F144</f>
        <v>7.6923076923076925</v>
      </c>
      <c r="F144" s="20">
        <f>SUMIFS($G$2:$G$1000,$C$2:$C$1000,C144,$D$2:$D$1000,D144)</f>
        <v>130</v>
      </c>
      <c r="G144">
        <v>10</v>
      </c>
    </row>
    <row r="145" spans="2:7" x14ac:dyDescent="0.2">
      <c r="B145" t="s">
        <v>93</v>
      </c>
      <c r="C145" t="s">
        <v>13</v>
      </c>
      <c r="D145" t="s">
        <v>18</v>
      </c>
      <c r="E145" s="20">
        <f>G145*100/F145</f>
        <v>7.6923076923076925</v>
      </c>
      <c r="F145" s="20">
        <f>SUMIFS($G$2:$G$1000,$C$2:$C$1000,C145,$D$2:$D$1000,D145)</f>
        <v>130</v>
      </c>
      <c r="G145">
        <v>10</v>
      </c>
    </row>
    <row r="146" spans="2:7" x14ac:dyDescent="0.2">
      <c r="B146" t="s">
        <v>97</v>
      </c>
      <c r="C146" t="s">
        <v>13</v>
      </c>
      <c r="D146" t="s">
        <v>18</v>
      </c>
      <c r="E146" s="20">
        <f>G146*100/F146</f>
        <v>7.6923076923076925</v>
      </c>
      <c r="F146" s="20">
        <f>SUMIFS($G$2:$G$1000,$C$2:$C$1000,C146,$D$2:$D$1000,D146)</f>
        <v>130</v>
      </c>
      <c r="G146">
        <v>10</v>
      </c>
    </row>
    <row r="147" spans="2:7" x14ac:dyDescent="0.2">
      <c r="B147" t="s">
        <v>99</v>
      </c>
      <c r="C147" t="s">
        <v>13</v>
      </c>
      <c r="D147" t="s">
        <v>18</v>
      </c>
      <c r="E147" s="20">
        <f>G147*100/F147</f>
        <v>7.6923076923076925</v>
      </c>
      <c r="F147" s="20">
        <f>SUMIFS($G$2:$G$1000,$C$2:$C$1000,C147,$D$2:$D$1000,D147)</f>
        <v>130</v>
      </c>
      <c r="G147">
        <v>10</v>
      </c>
    </row>
    <row r="148" spans="2:7" x14ac:dyDescent="0.2">
      <c r="B148" t="s">
        <v>76</v>
      </c>
      <c r="C148" t="s">
        <v>13</v>
      </c>
      <c r="D148" t="s">
        <v>18</v>
      </c>
      <c r="E148" s="20">
        <f>G148*100/F148</f>
        <v>7.6923076923076925</v>
      </c>
      <c r="F148" s="20">
        <f>SUMIFS($G$2:$G$1000,$C$2:$C$1000,C148,$D$2:$D$1000,D148)</f>
        <v>130</v>
      </c>
      <c r="G148">
        <v>10</v>
      </c>
    </row>
    <row r="149" spans="2:7" x14ac:dyDescent="0.2">
      <c r="B149" t="s">
        <v>90</v>
      </c>
      <c r="C149" t="s">
        <v>13</v>
      </c>
      <c r="D149" t="s">
        <v>18</v>
      </c>
      <c r="E149" s="20">
        <f>G149*100/F149</f>
        <v>7.6923076923076925</v>
      </c>
      <c r="F149" s="20">
        <f>SUMIFS($G$2:$G$1000,$C$2:$C$1000,C149,$D$2:$D$1000,D149)</f>
        <v>130</v>
      </c>
      <c r="G149">
        <v>10</v>
      </c>
    </row>
    <row r="150" spans="2:7" x14ac:dyDescent="0.2">
      <c r="B150" t="s">
        <v>159</v>
      </c>
      <c r="C150" t="s">
        <v>13</v>
      </c>
      <c r="D150" t="s">
        <v>18</v>
      </c>
      <c r="E150" s="20">
        <f>G150*100/F150</f>
        <v>7.6923076923076925</v>
      </c>
      <c r="F150" s="20">
        <f>SUMIFS($G$2:$G$1000,$C$2:$C$1000,C150,$D$2:$D$1000,D150)</f>
        <v>130</v>
      </c>
      <c r="G150">
        <v>10</v>
      </c>
    </row>
    <row r="151" spans="2:7" x14ac:dyDescent="0.2">
      <c r="B151" t="s">
        <v>88</v>
      </c>
      <c r="C151" t="s">
        <v>13</v>
      </c>
      <c r="D151" t="s">
        <v>18</v>
      </c>
      <c r="E151" s="20">
        <f>G151*100/F151</f>
        <v>7.6923076923076925</v>
      </c>
      <c r="F151" s="20">
        <f>SUMIFS($G$2:$G$1000,$C$2:$C$1000,C151,$D$2:$D$1000,D151)</f>
        <v>130</v>
      </c>
      <c r="G151">
        <v>10</v>
      </c>
    </row>
    <row r="152" spans="2:7" x14ac:dyDescent="0.2">
      <c r="B152" t="s">
        <v>94</v>
      </c>
      <c r="C152" t="s">
        <v>13</v>
      </c>
      <c r="D152" t="s">
        <v>18</v>
      </c>
      <c r="E152" s="20">
        <f>G152*100/F152</f>
        <v>7.6923076923076925</v>
      </c>
      <c r="F152" s="20">
        <f>SUMIFS($G$2:$G$1000,$C$2:$C$1000,C152,$D$2:$D$1000,D152)</f>
        <v>130</v>
      </c>
      <c r="G152">
        <v>10</v>
      </c>
    </row>
    <row r="153" spans="2:7" x14ac:dyDescent="0.2">
      <c r="B153" t="s">
        <v>96</v>
      </c>
      <c r="C153" t="s">
        <v>13</v>
      </c>
      <c r="D153" t="s">
        <v>18</v>
      </c>
      <c r="E153" s="20">
        <f>G153*100/F153</f>
        <v>7.6923076923076925</v>
      </c>
      <c r="F153" s="20">
        <f>SUMIFS($G$2:$G$1000,$C$2:$C$1000,C153,$D$2:$D$1000,D153)</f>
        <v>130</v>
      </c>
      <c r="G153">
        <v>10</v>
      </c>
    </row>
    <row r="154" spans="2:7" x14ac:dyDescent="0.2">
      <c r="B154" t="s">
        <v>8</v>
      </c>
      <c r="C154" t="s">
        <v>7</v>
      </c>
      <c r="D154" t="s">
        <v>18</v>
      </c>
      <c r="E154" s="20">
        <f>G154*100/F154</f>
        <v>41.666666666666664</v>
      </c>
      <c r="F154" s="20">
        <f>SUMIFS($G$2:$G$1000,$C$2:$C$1000,C154,$D$2:$D$1000,D154)</f>
        <v>120</v>
      </c>
      <c r="G154">
        <v>50</v>
      </c>
    </row>
    <row r="155" spans="2:7" x14ac:dyDescent="0.2">
      <c r="B155" t="s">
        <v>85</v>
      </c>
      <c r="C155" t="s">
        <v>7</v>
      </c>
      <c r="D155" t="s">
        <v>18</v>
      </c>
      <c r="E155" s="20">
        <f>G155*100/F155</f>
        <v>8.3333333333333339</v>
      </c>
      <c r="F155" s="20">
        <f>SUMIFS($G$2:$G$1000,$C$2:$C$1000,C155,$D$2:$D$1000,D155)</f>
        <v>120</v>
      </c>
      <c r="G155">
        <v>10</v>
      </c>
    </row>
    <row r="156" spans="2:7" x14ac:dyDescent="0.2">
      <c r="B156" t="s">
        <v>27</v>
      </c>
      <c r="C156" t="s">
        <v>7</v>
      </c>
      <c r="D156" t="s">
        <v>18</v>
      </c>
      <c r="E156" s="20">
        <f>G156*100/F156</f>
        <v>41.666666666666664</v>
      </c>
      <c r="F156" s="20">
        <f>SUMIFS($G$2:$G$1000,$C$2:$C$1000,C156,$D$2:$D$1000,D156)</f>
        <v>120</v>
      </c>
      <c r="G156">
        <v>50</v>
      </c>
    </row>
    <row r="157" spans="2:7" x14ac:dyDescent="0.2">
      <c r="B157" t="s">
        <v>85</v>
      </c>
      <c r="C157" t="s">
        <v>7</v>
      </c>
      <c r="D157" t="s">
        <v>18</v>
      </c>
      <c r="E157" s="20">
        <f>G157*100/F157</f>
        <v>8.3333333333333339</v>
      </c>
      <c r="F157" s="20">
        <f>SUMIFS($G$2:$G$1000,$C$2:$C$1000,C157,$D$2:$D$1000,D157)</f>
        <v>120</v>
      </c>
      <c r="G157">
        <v>10</v>
      </c>
    </row>
    <row r="158" spans="2:7" x14ac:dyDescent="0.2">
      <c r="B158" t="s">
        <v>75</v>
      </c>
      <c r="C158" t="s">
        <v>9</v>
      </c>
      <c r="D158" t="s">
        <v>18</v>
      </c>
      <c r="E158" s="20">
        <f>G158*100/F158</f>
        <v>11.111111111111111</v>
      </c>
      <c r="F158" s="20">
        <f>SUMIFS($G$2:$G$1000,$C$2:$C$1000,C158,$D$2:$D$1000,D158)</f>
        <v>90</v>
      </c>
      <c r="G158">
        <v>10</v>
      </c>
    </row>
    <row r="159" spans="2:7" x14ac:dyDescent="0.2">
      <c r="B159" t="s">
        <v>10</v>
      </c>
      <c r="C159" t="s">
        <v>9</v>
      </c>
      <c r="D159" t="s">
        <v>18</v>
      </c>
      <c r="E159" s="20">
        <f>G159*100/F159</f>
        <v>55.555555555555557</v>
      </c>
      <c r="F159" s="20">
        <f>SUMIFS($G$2:$G$1000,$C$2:$C$1000,C159,$D$2:$D$1000,D159)</f>
        <v>90</v>
      </c>
      <c r="G159">
        <v>50</v>
      </c>
    </row>
    <row r="160" spans="2:7" x14ac:dyDescent="0.2">
      <c r="B160" t="s">
        <v>103</v>
      </c>
      <c r="C160" t="s">
        <v>9</v>
      </c>
      <c r="D160" t="s">
        <v>18</v>
      </c>
      <c r="E160" s="20">
        <f>G160*100/F160</f>
        <v>11.111111111111111</v>
      </c>
      <c r="F160" s="20">
        <f>SUMIFS($G$2:$G$1000,$C$2:$C$1000,C160,$D$2:$D$1000,D160)</f>
        <v>90</v>
      </c>
      <c r="G160">
        <v>10</v>
      </c>
    </row>
    <row r="161" spans="2:7" x14ac:dyDescent="0.2">
      <c r="B161" t="s">
        <v>102</v>
      </c>
      <c r="C161" t="s">
        <v>9</v>
      </c>
      <c r="D161" t="s">
        <v>18</v>
      </c>
      <c r="E161" s="20">
        <f>G161*100/F161</f>
        <v>11.111111111111111</v>
      </c>
      <c r="F161" s="20">
        <f>SUMIFS($G$2:$G$1000,$C$2:$C$1000,C161,$D$2:$D$1000,D161)</f>
        <v>90</v>
      </c>
      <c r="G161">
        <v>10</v>
      </c>
    </row>
    <row r="162" spans="2:7" x14ac:dyDescent="0.2">
      <c r="B162" t="s">
        <v>101</v>
      </c>
      <c r="C162" t="s">
        <v>9</v>
      </c>
      <c r="D162" t="s">
        <v>18</v>
      </c>
      <c r="E162" s="20">
        <f>G162*100/F162</f>
        <v>11.111111111111111</v>
      </c>
      <c r="F162" s="20">
        <f>SUMIFS($G$2:$G$1000,$C$2:$C$1000,C162,$D$2:$D$1000,D162)</f>
        <v>90</v>
      </c>
      <c r="G162">
        <v>10</v>
      </c>
    </row>
    <row r="163" spans="2:7" x14ac:dyDescent="0.2">
      <c r="B163" t="s">
        <v>12</v>
      </c>
      <c r="C163" t="s">
        <v>12</v>
      </c>
      <c r="D163" t="s">
        <v>15</v>
      </c>
      <c r="E163" s="20">
        <f>G163*100/F163</f>
        <v>100</v>
      </c>
      <c r="F163" s="20">
        <f>SUMIFS($G$2:$G$1000,$C$2:$C$1000,C163,$D$2:$D$1000,D163)</f>
        <v>100</v>
      </c>
      <c r="G163">
        <v>100</v>
      </c>
    </row>
    <row r="164" spans="2:7" x14ac:dyDescent="0.2">
      <c r="B164" t="s">
        <v>81</v>
      </c>
      <c r="C164" t="s">
        <v>5</v>
      </c>
      <c r="D164" t="s">
        <v>15</v>
      </c>
      <c r="E164" s="20">
        <f>G164*100/F164</f>
        <v>5.882352941176471</v>
      </c>
      <c r="F164" s="20">
        <f>SUMIFS($G$2:$G$1000,$C$2:$C$1000,C164,$D$2:$D$1000,D164)</f>
        <v>170</v>
      </c>
      <c r="G164">
        <v>10</v>
      </c>
    </row>
    <row r="165" spans="2:7" x14ac:dyDescent="0.2">
      <c r="B165" t="s">
        <v>82</v>
      </c>
      <c r="C165" t="s">
        <v>5</v>
      </c>
      <c r="D165" t="s">
        <v>15</v>
      </c>
      <c r="E165" s="20">
        <f>G165*100/F165</f>
        <v>5.882352941176471</v>
      </c>
      <c r="F165" s="20">
        <f>SUMIFS($G$2:$G$1000,$C$2:$C$1000,C165,$D$2:$D$1000,D165)</f>
        <v>170</v>
      </c>
      <c r="G165">
        <v>10</v>
      </c>
    </row>
    <row r="166" spans="2:7" x14ac:dyDescent="0.2">
      <c r="B166" t="s">
        <v>79</v>
      </c>
      <c r="C166" t="s">
        <v>5</v>
      </c>
      <c r="D166" t="s">
        <v>15</v>
      </c>
      <c r="E166" s="20">
        <f>G166*100/F166</f>
        <v>5.882352941176471</v>
      </c>
      <c r="F166" s="20">
        <f>SUMIFS($G$2:$G$1000,$C$2:$C$1000,C166,$D$2:$D$1000,D166)</f>
        <v>170</v>
      </c>
      <c r="G166">
        <v>10</v>
      </c>
    </row>
    <row r="167" spans="2:7" x14ac:dyDescent="0.2">
      <c r="B167" t="s">
        <v>83</v>
      </c>
      <c r="C167" t="s">
        <v>5</v>
      </c>
      <c r="D167" t="s">
        <v>15</v>
      </c>
      <c r="E167" s="20">
        <f>G167*100/F167</f>
        <v>5.882352941176471</v>
      </c>
      <c r="F167" s="20">
        <f>SUMIFS($G$2:$G$1000,$C$2:$C$1000,C167,$D$2:$D$1000,D167)</f>
        <v>170</v>
      </c>
      <c r="G167">
        <v>10</v>
      </c>
    </row>
    <row r="168" spans="2:7" x14ac:dyDescent="0.2">
      <c r="B168" t="s">
        <v>22</v>
      </c>
      <c r="C168" t="s">
        <v>5</v>
      </c>
      <c r="D168" t="s">
        <v>15</v>
      </c>
      <c r="E168" s="20">
        <f>G168*100/F168</f>
        <v>5.882352941176471</v>
      </c>
      <c r="F168" s="20">
        <f>SUMIFS($G$2:$G$1000,$C$2:$C$1000,C168,$D$2:$D$1000,D168)</f>
        <v>170</v>
      </c>
      <c r="G168">
        <v>10</v>
      </c>
    </row>
    <row r="169" spans="2:7" x14ac:dyDescent="0.2">
      <c r="B169" t="s">
        <v>26</v>
      </c>
      <c r="C169" t="s">
        <v>5</v>
      </c>
      <c r="D169" t="s">
        <v>15</v>
      </c>
      <c r="E169" s="20">
        <f>G169*100/F169</f>
        <v>5.882352941176471</v>
      </c>
      <c r="F169" s="20">
        <f>SUMIFS($G$2:$G$1000,$C$2:$C$1000,C169,$D$2:$D$1000,D169)</f>
        <v>170</v>
      </c>
      <c r="G169">
        <v>10</v>
      </c>
    </row>
    <row r="170" spans="2:7" x14ac:dyDescent="0.2">
      <c r="B170" t="s">
        <v>24</v>
      </c>
      <c r="C170" t="s">
        <v>5</v>
      </c>
      <c r="D170" t="s">
        <v>15</v>
      </c>
      <c r="E170" s="20">
        <f>G170*100/F170</f>
        <v>29.411764705882351</v>
      </c>
      <c r="F170" s="20">
        <f>SUMIFS($G$2:$G$1000,$C$2:$C$1000,C170,$D$2:$D$1000,D170)</f>
        <v>170</v>
      </c>
      <c r="G170">
        <v>50</v>
      </c>
    </row>
    <row r="171" spans="2:7" x14ac:dyDescent="0.2">
      <c r="B171" t="s">
        <v>25</v>
      </c>
      <c r="C171" t="s">
        <v>5</v>
      </c>
      <c r="D171" t="s">
        <v>15</v>
      </c>
      <c r="E171" s="20">
        <f>G171*100/F171</f>
        <v>5.882352941176471</v>
      </c>
      <c r="F171" s="20">
        <f>SUMIFS($G$2:$G$1000,$C$2:$C$1000,C171,$D$2:$D$1000,D171)</f>
        <v>170</v>
      </c>
      <c r="G171">
        <v>10</v>
      </c>
    </row>
    <row r="172" spans="2:7" x14ac:dyDescent="0.2">
      <c r="B172" t="s">
        <v>80</v>
      </c>
      <c r="C172" t="s">
        <v>5</v>
      </c>
      <c r="D172" t="s">
        <v>15</v>
      </c>
      <c r="E172" s="20">
        <f>G172*100/F172</f>
        <v>29.411764705882351</v>
      </c>
      <c r="F172" s="20">
        <f>SUMIFS($G$2:$G$1000,$C$2:$C$1000,C172,$D$2:$D$1000,D172)</f>
        <v>170</v>
      </c>
      <c r="G172">
        <v>50</v>
      </c>
    </row>
    <row r="173" spans="2:7" x14ac:dyDescent="0.2">
      <c r="B173" t="s">
        <v>87</v>
      </c>
      <c r="C173" t="s">
        <v>13</v>
      </c>
      <c r="D173" t="s">
        <v>15</v>
      </c>
      <c r="E173" s="20">
        <f>G173*100/F173</f>
        <v>7.6923076923076925</v>
      </c>
      <c r="F173" s="20">
        <f>SUMIFS($G$2:$G$1000,$C$2:$C$1000,C173,$D$2:$D$1000,D173)</f>
        <v>130</v>
      </c>
      <c r="G173">
        <v>10</v>
      </c>
    </row>
    <row r="174" spans="2:7" x14ac:dyDescent="0.2">
      <c r="B174" t="s">
        <v>89</v>
      </c>
      <c r="C174" t="s">
        <v>13</v>
      </c>
      <c r="D174" t="s">
        <v>15</v>
      </c>
      <c r="E174" s="20">
        <f>G174*100/F174</f>
        <v>7.6923076923076925</v>
      </c>
      <c r="F174" s="20">
        <f>SUMIFS($G$2:$G$1000,$C$2:$C$1000,C174,$D$2:$D$1000,D174)</f>
        <v>130</v>
      </c>
      <c r="G174">
        <v>10</v>
      </c>
    </row>
    <row r="175" spans="2:7" x14ac:dyDescent="0.2">
      <c r="B175" t="s">
        <v>23</v>
      </c>
      <c r="C175" t="s">
        <v>13</v>
      </c>
      <c r="D175" t="s">
        <v>15</v>
      </c>
      <c r="E175" s="20">
        <f>G175*100/F175</f>
        <v>7.6923076923076925</v>
      </c>
      <c r="F175" s="20">
        <f>SUMIFS($G$2:$G$1000,$C$2:$C$1000,C175,$D$2:$D$1000,D175)</f>
        <v>130</v>
      </c>
      <c r="G175">
        <v>10</v>
      </c>
    </row>
    <row r="176" spans="2:7" x14ac:dyDescent="0.2">
      <c r="B176" t="s">
        <v>91</v>
      </c>
      <c r="C176" t="s">
        <v>13</v>
      </c>
      <c r="D176" t="s">
        <v>15</v>
      </c>
      <c r="E176" s="20">
        <f>G176*100/F176</f>
        <v>7.6923076923076925</v>
      </c>
      <c r="F176" s="20">
        <f>SUMIFS($G$2:$G$1000,$C$2:$C$1000,C176,$D$2:$D$1000,D176)</f>
        <v>130</v>
      </c>
      <c r="G176">
        <v>10</v>
      </c>
    </row>
    <row r="177" spans="2:7" x14ac:dyDescent="0.2">
      <c r="B177" t="s">
        <v>93</v>
      </c>
      <c r="C177" t="s">
        <v>13</v>
      </c>
      <c r="D177" t="s">
        <v>15</v>
      </c>
      <c r="E177" s="20">
        <f>G177*100/F177</f>
        <v>7.6923076923076925</v>
      </c>
      <c r="F177" s="20">
        <f>SUMIFS($G$2:$G$1000,$C$2:$C$1000,C177,$D$2:$D$1000,D177)</f>
        <v>130</v>
      </c>
      <c r="G177">
        <v>10</v>
      </c>
    </row>
    <row r="178" spans="2:7" x14ac:dyDescent="0.2">
      <c r="B178" t="s">
        <v>97</v>
      </c>
      <c r="C178" t="s">
        <v>13</v>
      </c>
      <c r="D178" t="s">
        <v>15</v>
      </c>
      <c r="E178" s="20">
        <f>G178*100/F178</f>
        <v>7.6923076923076925</v>
      </c>
      <c r="F178" s="20">
        <f>SUMIFS($G$2:$G$1000,$C$2:$C$1000,C178,$D$2:$D$1000,D178)</f>
        <v>130</v>
      </c>
      <c r="G178">
        <v>10</v>
      </c>
    </row>
    <row r="179" spans="2:7" x14ac:dyDescent="0.2">
      <c r="B179" t="s">
        <v>99</v>
      </c>
      <c r="C179" t="s">
        <v>13</v>
      </c>
      <c r="D179" t="s">
        <v>15</v>
      </c>
      <c r="E179" s="20">
        <f>G179*100/F179</f>
        <v>7.6923076923076925</v>
      </c>
      <c r="F179" s="20">
        <f>SUMIFS($G$2:$G$1000,$C$2:$C$1000,C179,$D$2:$D$1000,D179)</f>
        <v>130</v>
      </c>
      <c r="G179">
        <v>10</v>
      </c>
    </row>
    <row r="180" spans="2:7" x14ac:dyDescent="0.2">
      <c r="B180" t="s">
        <v>76</v>
      </c>
      <c r="C180" t="s">
        <v>13</v>
      </c>
      <c r="D180" t="s">
        <v>15</v>
      </c>
      <c r="E180" s="20">
        <f>G180*100/F180</f>
        <v>7.6923076923076925</v>
      </c>
      <c r="F180" s="20">
        <f>SUMIFS($G$2:$G$1000,$C$2:$C$1000,C180,$D$2:$D$1000,D180)</f>
        <v>130</v>
      </c>
      <c r="G180">
        <v>10</v>
      </c>
    </row>
    <row r="181" spans="2:7" x14ac:dyDescent="0.2">
      <c r="B181" t="s">
        <v>90</v>
      </c>
      <c r="C181" t="s">
        <v>13</v>
      </c>
      <c r="D181" t="s">
        <v>15</v>
      </c>
      <c r="E181" s="20">
        <f>G181*100/F181</f>
        <v>7.6923076923076925</v>
      </c>
      <c r="F181" s="20">
        <f>SUMIFS($G$2:$G$1000,$C$2:$C$1000,C181,$D$2:$D$1000,D181)</f>
        <v>130</v>
      </c>
      <c r="G181">
        <v>10</v>
      </c>
    </row>
    <row r="182" spans="2:7" x14ac:dyDescent="0.2">
      <c r="B182" t="s">
        <v>159</v>
      </c>
      <c r="C182" t="s">
        <v>13</v>
      </c>
      <c r="D182" t="s">
        <v>15</v>
      </c>
      <c r="E182" s="20">
        <f>G182*100/F182</f>
        <v>7.6923076923076925</v>
      </c>
      <c r="F182" s="20">
        <f>SUMIFS($G$2:$G$1000,$C$2:$C$1000,C182,$D$2:$D$1000,D182)</f>
        <v>130</v>
      </c>
      <c r="G182">
        <v>10</v>
      </c>
    </row>
    <row r="183" spans="2:7" x14ac:dyDescent="0.2">
      <c r="B183" t="s">
        <v>88</v>
      </c>
      <c r="C183" t="s">
        <v>13</v>
      </c>
      <c r="D183" t="s">
        <v>15</v>
      </c>
      <c r="E183" s="20">
        <f>G183*100/F183</f>
        <v>7.6923076923076925</v>
      </c>
      <c r="F183" s="20">
        <f>SUMIFS($G$2:$G$1000,$C$2:$C$1000,C183,$D$2:$D$1000,D183)</f>
        <v>130</v>
      </c>
      <c r="G183">
        <v>10</v>
      </c>
    </row>
    <row r="184" spans="2:7" x14ac:dyDescent="0.2">
      <c r="B184" t="s">
        <v>94</v>
      </c>
      <c r="C184" t="s">
        <v>13</v>
      </c>
      <c r="D184" t="s">
        <v>15</v>
      </c>
      <c r="E184" s="20">
        <f>G184*100/F184</f>
        <v>7.6923076923076925</v>
      </c>
      <c r="F184" s="20">
        <f>SUMIFS($G$2:$G$1000,$C$2:$C$1000,C184,$D$2:$D$1000,D184)</f>
        <v>130</v>
      </c>
      <c r="G184">
        <v>10</v>
      </c>
    </row>
    <row r="185" spans="2:7" x14ac:dyDescent="0.2">
      <c r="B185" t="s">
        <v>96</v>
      </c>
      <c r="C185" t="s">
        <v>13</v>
      </c>
      <c r="D185" t="s">
        <v>15</v>
      </c>
      <c r="E185" s="20">
        <f>G185*100/F185</f>
        <v>7.6923076923076925</v>
      </c>
      <c r="F185" s="20">
        <f>SUMIFS($G$2:$G$1000,$C$2:$C$1000,C185,$D$2:$D$1000,D185)</f>
        <v>130</v>
      </c>
      <c r="G185">
        <v>10</v>
      </c>
    </row>
    <row r="186" spans="2:7" x14ac:dyDescent="0.2">
      <c r="B186" t="s">
        <v>8</v>
      </c>
      <c r="C186" t="s">
        <v>7</v>
      </c>
      <c r="D186" t="s">
        <v>15</v>
      </c>
      <c r="E186" s="20">
        <f>G186*100/F186</f>
        <v>41.666666666666664</v>
      </c>
      <c r="F186" s="20">
        <f>SUMIFS($G$2:$G$1000,$C$2:$C$1000,C186,$D$2:$D$1000,D186)</f>
        <v>120</v>
      </c>
      <c r="G186">
        <v>50</v>
      </c>
    </row>
    <row r="187" spans="2:7" x14ac:dyDescent="0.2">
      <c r="B187" t="s">
        <v>85</v>
      </c>
      <c r="C187" t="s">
        <v>7</v>
      </c>
      <c r="D187" t="s">
        <v>15</v>
      </c>
      <c r="E187" s="20">
        <f>G187*100/F187</f>
        <v>8.3333333333333339</v>
      </c>
      <c r="F187" s="20">
        <f>SUMIFS($G$2:$G$1000,$C$2:$C$1000,C187,$D$2:$D$1000,D187)</f>
        <v>120</v>
      </c>
      <c r="G187">
        <v>10</v>
      </c>
    </row>
    <row r="188" spans="2:7" x14ac:dyDescent="0.2">
      <c r="B188" t="s">
        <v>27</v>
      </c>
      <c r="C188" t="s">
        <v>7</v>
      </c>
      <c r="D188" t="s">
        <v>15</v>
      </c>
      <c r="E188" s="20">
        <f>G188*100/F188</f>
        <v>41.666666666666664</v>
      </c>
      <c r="F188" s="20">
        <f>SUMIFS($G$2:$G$1000,$C$2:$C$1000,C188,$D$2:$D$1000,D188)</f>
        <v>120</v>
      </c>
      <c r="G188">
        <v>50</v>
      </c>
    </row>
    <row r="189" spans="2:7" x14ac:dyDescent="0.2">
      <c r="B189" t="s">
        <v>85</v>
      </c>
      <c r="C189" t="s">
        <v>7</v>
      </c>
      <c r="D189" t="s">
        <v>15</v>
      </c>
      <c r="E189" s="20">
        <f>G189*100/F189</f>
        <v>8.3333333333333339</v>
      </c>
      <c r="F189" s="20">
        <f>SUMIFS($G$2:$G$1000,$C$2:$C$1000,C189,$D$2:$D$1000,D189)</f>
        <v>120</v>
      </c>
      <c r="G189">
        <v>10</v>
      </c>
    </row>
    <row r="190" spans="2:7" x14ac:dyDescent="0.2">
      <c r="B190" t="s">
        <v>75</v>
      </c>
      <c r="C190" t="s">
        <v>9</v>
      </c>
      <c r="D190" t="s">
        <v>15</v>
      </c>
      <c r="E190" s="20">
        <f>G190*100/F190</f>
        <v>11.111111111111111</v>
      </c>
      <c r="F190" s="20">
        <f>SUMIFS($G$2:$G$1000,$C$2:$C$1000,C190,$D$2:$D$1000,D190)</f>
        <v>90</v>
      </c>
      <c r="G190">
        <v>10</v>
      </c>
    </row>
    <row r="191" spans="2:7" x14ac:dyDescent="0.2">
      <c r="B191" t="s">
        <v>10</v>
      </c>
      <c r="C191" t="s">
        <v>9</v>
      </c>
      <c r="D191" t="s">
        <v>15</v>
      </c>
      <c r="E191" s="20">
        <f>G191*100/F191</f>
        <v>55.555555555555557</v>
      </c>
      <c r="F191" s="20">
        <f>SUMIFS($G$2:$G$1000,$C$2:$C$1000,C191,$D$2:$D$1000,D191)</f>
        <v>90</v>
      </c>
      <c r="G191">
        <v>50</v>
      </c>
    </row>
    <row r="192" spans="2:7" x14ac:dyDescent="0.2">
      <c r="B192" t="s">
        <v>103</v>
      </c>
      <c r="C192" t="s">
        <v>9</v>
      </c>
      <c r="D192" t="s">
        <v>15</v>
      </c>
      <c r="E192" s="20">
        <f>G192*100/F192</f>
        <v>11.111111111111111</v>
      </c>
      <c r="F192" s="20">
        <f>SUMIFS($G$2:$G$1000,$C$2:$C$1000,C192,$D$2:$D$1000,D192)</f>
        <v>90</v>
      </c>
      <c r="G192">
        <v>10</v>
      </c>
    </row>
    <row r="193" spans="2:7" x14ac:dyDescent="0.2">
      <c r="B193" t="s">
        <v>102</v>
      </c>
      <c r="C193" t="s">
        <v>9</v>
      </c>
      <c r="D193" t="s">
        <v>15</v>
      </c>
      <c r="E193" s="20">
        <f>G193*100/F193</f>
        <v>11.111111111111111</v>
      </c>
      <c r="F193" s="20">
        <f>SUMIFS($G$2:$G$1000,$C$2:$C$1000,C193,$D$2:$D$1000,D193)</f>
        <v>90</v>
      </c>
      <c r="G193">
        <v>10</v>
      </c>
    </row>
    <row r="194" spans="2:7" x14ac:dyDescent="0.2">
      <c r="B194" t="s">
        <v>101</v>
      </c>
      <c r="C194" t="s">
        <v>9</v>
      </c>
      <c r="D194" t="s">
        <v>15</v>
      </c>
      <c r="E194" s="20">
        <f>G194*100/F194</f>
        <v>11.111111111111111</v>
      </c>
      <c r="F194" s="20">
        <f>SUMIFS($G$2:$G$1000,$C$2:$C$1000,C194,$D$2:$D$1000,D194)</f>
        <v>90</v>
      </c>
      <c r="G194">
        <v>10</v>
      </c>
    </row>
    <row r="195" spans="2:7" x14ac:dyDescent="0.2">
      <c r="B195" t="s">
        <v>107</v>
      </c>
      <c r="C195" t="s">
        <v>7</v>
      </c>
      <c r="D195" t="s">
        <v>11</v>
      </c>
      <c r="E195" s="20">
        <f>G195*100/F195</f>
        <v>38.46153846153846</v>
      </c>
      <c r="F195" s="20">
        <f>SUMIFS($G$2:$G$1000,$C$2:$C$1000,C195,$D$2:$D$1000,D195)</f>
        <v>130</v>
      </c>
      <c r="G195">
        <v>50</v>
      </c>
    </row>
    <row r="196" spans="2:7" x14ac:dyDescent="0.2">
      <c r="B196" t="s">
        <v>108</v>
      </c>
      <c r="C196" t="s">
        <v>5</v>
      </c>
      <c r="D196" t="s">
        <v>11</v>
      </c>
      <c r="E196" s="20">
        <f>G196*100/F196</f>
        <v>15.625</v>
      </c>
      <c r="F196" s="20">
        <f>SUMIFS($G$2:$G$1000,$C$2:$C$1000,C196,$D$2:$D$1000,D196)</f>
        <v>320</v>
      </c>
      <c r="G196">
        <v>50</v>
      </c>
    </row>
    <row r="197" spans="2:7" x14ac:dyDescent="0.2">
      <c r="B197" t="s">
        <v>110</v>
      </c>
      <c r="C197" t="s">
        <v>13</v>
      </c>
      <c r="D197" t="s">
        <v>11</v>
      </c>
      <c r="E197" s="20">
        <f>G197*100/F197</f>
        <v>19.23076923076923</v>
      </c>
      <c r="F197" s="20">
        <f>SUMIFS($G$2:$G$1000,$C$2:$C$1000,C197,$D$2:$D$1000,D197)</f>
        <v>260</v>
      </c>
      <c r="G197">
        <v>50</v>
      </c>
    </row>
    <row r="198" spans="2:7" x14ac:dyDescent="0.2">
      <c r="B198" t="s">
        <v>109</v>
      </c>
      <c r="C198" t="s">
        <v>5</v>
      </c>
      <c r="D198" t="s">
        <v>11</v>
      </c>
      <c r="E198" s="20">
        <f>G198*100/F198</f>
        <v>15.625</v>
      </c>
      <c r="F198" s="20">
        <f>SUMIFS($G$2:$G$1000,$C$2:$C$1000,C198,$D$2:$D$1000,D198)</f>
        <v>320</v>
      </c>
      <c r="G198">
        <v>50</v>
      </c>
    </row>
    <row r="199" spans="2:7" x14ac:dyDescent="0.2">
      <c r="B199" t="s">
        <v>111</v>
      </c>
      <c r="C199" t="s">
        <v>5</v>
      </c>
      <c r="D199" t="s">
        <v>11</v>
      </c>
      <c r="E199" s="20">
        <f>G199*100/F199</f>
        <v>15.625</v>
      </c>
      <c r="F199" s="20">
        <f>SUMIFS($G$2:$G$1000,$C$2:$C$1000,C199,$D$2:$D$1000,D199)</f>
        <v>320</v>
      </c>
      <c r="G199">
        <v>50</v>
      </c>
    </row>
    <row r="200" spans="2:7" x14ac:dyDescent="0.2">
      <c r="B200" t="s">
        <v>112</v>
      </c>
      <c r="C200" t="s">
        <v>13</v>
      </c>
      <c r="D200" t="s">
        <v>11</v>
      </c>
      <c r="E200" s="20">
        <f>G200*100/F200</f>
        <v>19.23076923076923</v>
      </c>
      <c r="F200" s="20">
        <f>SUMIFS($G$2:$G$1000,$C$2:$C$1000,C200,$D$2:$D$1000,D200)</f>
        <v>260</v>
      </c>
      <c r="G200">
        <v>50</v>
      </c>
    </row>
    <row r="201" spans="2:7" x14ac:dyDescent="0.2">
      <c r="B201" t="s">
        <v>113</v>
      </c>
      <c r="C201" t="s">
        <v>9</v>
      </c>
      <c r="D201" t="s">
        <v>11</v>
      </c>
      <c r="E201" s="20">
        <f>G201*100/F201</f>
        <v>35.714285714285715</v>
      </c>
      <c r="F201" s="20">
        <f>SUMIFS($G$2:$G$1000,$C$2:$C$1000,C201,$D$2:$D$1000,D201)</f>
        <v>140</v>
      </c>
      <c r="G201">
        <v>50</v>
      </c>
    </row>
    <row r="202" spans="2:7" x14ac:dyDescent="0.2">
      <c r="B202" t="s">
        <v>114</v>
      </c>
      <c r="C202" t="s">
        <v>13</v>
      </c>
      <c r="D202" t="s">
        <v>11</v>
      </c>
      <c r="E202" s="20">
        <f>G202*100/F202</f>
        <v>3.8461538461538463</v>
      </c>
      <c r="F202" s="20">
        <f>SUMIFS($G$2:$G$1000,$C$2:$C$1000,C202,$D$2:$D$1000,D202)</f>
        <v>260</v>
      </c>
      <c r="G202">
        <v>10</v>
      </c>
    </row>
    <row r="203" spans="2:7" x14ac:dyDescent="0.2">
      <c r="B203" t="s">
        <v>115</v>
      </c>
      <c r="C203" t="s">
        <v>13</v>
      </c>
      <c r="D203" t="s">
        <v>11</v>
      </c>
      <c r="E203" s="20">
        <f>G203*100/F203</f>
        <v>3.8461538461538463</v>
      </c>
      <c r="F203" s="20">
        <f>SUMIFS($G$2:$G$1000,$C$2:$C$1000,C203,$D$2:$D$1000,D203)</f>
        <v>260</v>
      </c>
      <c r="G203">
        <v>10</v>
      </c>
    </row>
    <row r="204" spans="2:7" x14ac:dyDescent="0.2">
      <c r="B204" t="s">
        <v>116</v>
      </c>
      <c r="C204" t="s">
        <v>13</v>
      </c>
      <c r="D204" t="s">
        <v>11</v>
      </c>
      <c r="E204" s="20">
        <f>G204*100/F204</f>
        <v>3.8461538461538463</v>
      </c>
      <c r="F204" s="20">
        <f>SUMIFS($G$2:$G$1000,$C$2:$C$1000,C204,$D$2:$D$1000,D204)</f>
        <v>260</v>
      </c>
      <c r="G204">
        <v>10</v>
      </c>
    </row>
  </sheetData>
  <autoFilter ref="B2:D204" xr:uid="{D521F980-2E5F-EC49-B62F-4F6A4A27A40F}">
    <sortState xmlns:xlrd2="http://schemas.microsoft.com/office/spreadsheetml/2017/richdata2" ref="B3:D62">
      <sortCondition ref="C2:C62"/>
    </sortState>
  </autoFilter>
  <conditionalFormatting sqref="J3:J14">
    <cfRule type="cellIs" dxfId="4" priority="6" operator="equal">
      <formula>100</formula>
    </cfRule>
  </conditionalFormatting>
  <conditionalFormatting sqref="M3:M14">
    <cfRule type="colorScale" priority="2">
      <colorScale>
        <cfvo type="min"/>
        <cfvo type="max"/>
        <color rgb="FFFFEF9C"/>
        <color rgb="FF63BE7B"/>
      </colorScale>
    </cfRule>
    <cfRule type="cellIs" dxfId="3" priority="4" operator="equal">
      <formula>100</formula>
    </cfRule>
  </conditionalFormatting>
  <conditionalFormatting sqref="P3:P44">
    <cfRule type="colorScale" priority="1">
      <colorScale>
        <cfvo type="min"/>
        <cfvo type="max"/>
        <color rgb="FFFFEF9C"/>
        <color rgb="FF63BE7B"/>
      </colorScale>
    </cfRule>
    <cfRule type="cellIs" dxfId="2" priority="3" operator="equal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734D-6554-DB44-A74D-05EFBCFFD763}">
  <dimension ref="A1:D203"/>
  <sheetViews>
    <sheetView tabSelected="1" workbookViewId="0">
      <selection sqref="A1:D203"/>
    </sheetView>
  </sheetViews>
  <sheetFormatPr baseColWidth="10" defaultRowHeight="16" x14ac:dyDescent="0.2"/>
  <cols>
    <col min="1" max="1" width="14.1640625" bestFit="1" customWidth="1"/>
    <col min="2" max="2" width="12" bestFit="1" customWidth="1"/>
    <col min="3" max="3" width="22.83203125" bestFit="1" customWidth="1"/>
    <col min="4" max="4" width="12.1640625" bestFit="1" customWidth="1"/>
  </cols>
  <sheetData>
    <row r="1" spans="1:4" s="24" customFormat="1" x14ac:dyDescent="0.2">
      <c r="A1" s="2" t="s">
        <v>2</v>
      </c>
      <c r="B1" s="2" t="s">
        <v>1</v>
      </c>
      <c r="C1" s="2" t="s">
        <v>0</v>
      </c>
      <c r="D1" s="2" t="s">
        <v>3</v>
      </c>
    </row>
    <row r="2" spans="1:4" x14ac:dyDescent="0.2">
      <c r="A2" s="3" t="s">
        <v>12</v>
      </c>
      <c r="B2" s="23" t="s">
        <v>12</v>
      </c>
      <c r="C2" s="23" t="s">
        <v>4</v>
      </c>
      <c r="D2" s="23">
        <v>100</v>
      </c>
    </row>
    <row r="3" spans="1:4" x14ac:dyDescent="0.2">
      <c r="A3" s="3" t="s">
        <v>81</v>
      </c>
      <c r="B3" s="23" t="s">
        <v>5</v>
      </c>
      <c r="C3" s="23" t="s">
        <v>4</v>
      </c>
      <c r="D3" s="23">
        <v>5.882352941176471</v>
      </c>
    </row>
    <row r="4" spans="1:4" x14ac:dyDescent="0.2">
      <c r="A4" s="3" t="s">
        <v>82</v>
      </c>
      <c r="B4" s="23" t="s">
        <v>5</v>
      </c>
      <c r="C4" s="23" t="s">
        <v>4</v>
      </c>
      <c r="D4" s="23">
        <v>5.882352941176471</v>
      </c>
    </row>
    <row r="5" spans="1:4" x14ac:dyDescent="0.2">
      <c r="A5" s="3" t="s">
        <v>79</v>
      </c>
      <c r="B5" s="23" t="s">
        <v>5</v>
      </c>
      <c r="C5" s="23" t="s">
        <v>4</v>
      </c>
      <c r="D5" s="23">
        <v>5.882352941176471</v>
      </c>
    </row>
    <row r="6" spans="1:4" x14ac:dyDescent="0.2">
      <c r="A6" s="3" t="s">
        <v>83</v>
      </c>
      <c r="B6" s="23" t="s">
        <v>5</v>
      </c>
      <c r="C6" s="23" t="s">
        <v>4</v>
      </c>
      <c r="D6" s="23">
        <v>5.882352941176471</v>
      </c>
    </row>
    <row r="7" spans="1:4" x14ac:dyDescent="0.2">
      <c r="A7" s="3" t="s">
        <v>22</v>
      </c>
      <c r="B7" s="23" t="s">
        <v>5</v>
      </c>
      <c r="C7" s="23" t="s">
        <v>4</v>
      </c>
      <c r="D7" s="23">
        <v>29.411764705882351</v>
      </c>
    </row>
    <row r="8" spans="1:4" x14ac:dyDescent="0.2">
      <c r="A8" s="23" t="s">
        <v>26</v>
      </c>
      <c r="B8" s="23" t="s">
        <v>5</v>
      </c>
      <c r="C8" s="23" t="s">
        <v>4</v>
      </c>
      <c r="D8" s="23">
        <v>5.882352941176471</v>
      </c>
    </row>
    <row r="9" spans="1:4" x14ac:dyDescent="0.2">
      <c r="A9" s="23" t="s">
        <v>24</v>
      </c>
      <c r="B9" s="23" t="s">
        <v>5</v>
      </c>
      <c r="C9" s="23" t="s">
        <v>4</v>
      </c>
      <c r="D9" s="23">
        <v>5.882352941176471</v>
      </c>
    </row>
    <row r="10" spans="1:4" x14ac:dyDescent="0.2">
      <c r="A10" s="23" t="s">
        <v>25</v>
      </c>
      <c r="B10" s="23" t="s">
        <v>5</v>
      </c>
      <c r="C10" s="23" t="s">
        <v>4</v>
      </c>
      <c r="D10" s="23">
        <v>5.882352941176471</v>
      </c>
    </row>
    <row r="11" spans="1:4" x14ac:dyDescent="0.2">
      <c r="A11" s="23" t="s">
        <v>80</v>
      </c>
      <c r="B11" s="23" t="s">
        <v>5</v>
      </c>
      <c r="C11" s="23" t="s">
        <v>4</v>
      </c>
      <c r="D11" s="23">
        <v>29.411764705882351</v>
      </c>
    </row>
    <row r="12" spans="1:4" x14ac:dyDescent="0.2">
      <c r="A12" s="23" t="s">
        <v>87</v>
      </c>
      <c r="B12" s="23" t="s">
        <v>13</v>
      </c>
      <c r="C12" s="23" t="s">
        <v>4</v>
      </c>
      <c r="D12" s="23">
        <v>7.6923076923076925</v>
      </c>
    </row>
    <row r="13" spans="1:4" x14ac:dyDescent="0.2">
      <c r="A13" s="23" t="s">
        <v>89</v>
      </c>
      <c r="B13" s="23" t="s">
        <v>13</v>
      </c>
      <c r="C13" s="23" t="s">
        <v>4</v>
      </c>
      <c r="D13" s="23">
        <v>7.6923076923076925</v>
      </c>
    </row>
    <row r="14" spans="1:4" x14ac:dyDescent="0.2">
      <c r="A14" s="23" t="s">
        <v>23</v>
      </c>
      <c r="B14" s="23" t="s">
        <v>13</v>
      </c>
      <c r="C14" s="23" t="s">
        <v>4</v>
      </c>
      <c r="D14" s="23">
        <v>7.6923076923076925</v>
      </c>
    </row>
    <row r="15" spans="1:4" x14ac:dyDescent="0.2">
      <c r="A15" s="23" t="s">
        <v>91</v>
      </c>
      <c r="B15" s="23" t="s">
        <v>13</v>
      </c>
      <c r="C15" s="23" t="s">
        <v>4</v>
      </c>
      <c r="D15" s="23">
        <v>7.6923076923076925</v>
      </c>
    </row>
    <row r="16" spans="1:4" x14ac:dyDescent="0.2">
      <c r="A16" s="23" t="s">
        <v>93</v>
      </c>
      <c r="B16" s="23" t="s">
        <v>13</v>
      </c>
      <c r="C16" s="23" t="s">
        <v>4</v>
      </c>
      <c r="D16" s="23">
        <v>7.6923076923076925</v>
      </c>
    </row>
    <row r="17" spans="1:4" x14ac:dyDescent="0.2">
      <c r="A17" s="23" t="s">
        <v>97</v>
      </c>
      <c r="B17" s="23" t="s">
        <v>13</v>
      </c>
      <c r="C17" s="23" t="s">
        <v>4</v>
      </c>
      <c r="D17" s="23">
        <v>7.6923076923076925</v>
      </c>
    </row>
    <row r="18" spans="1:4" x14ac:dyDescent="0.2">
      <c r="A18" s="23" t="s">
        <v>99</v>
      </c>
      <c r="B18" s="23" t="s">
        <v>13</v>
      </c>
      <c r="C18" s="23" t="s">
        <v>4</v>
      </c>
      <c r="D18" s="23">
        <v>7.6923076923076925</v>
      </c>
    </row>
    <row r="19" spans="1:4" x14ac:dyDescent="0.2">
      <c r="A19" s="23" t="s">
        <v>76</v>
      </c>
      <c r="B19" s="23" t="s">
        <v>13</v>
      </c>
      <c r="C19" s="23" t="s">
        <v>4</v>
      </c>
      <c r="D19" s="23">
        <v>7.6923076923076925</v>
      </c>
    </row>
    <row r="20" spans="1:4" x14ac:dyDescent="0.2">
      <c r="A20" s="23" t="s">
        <v>90</v>
      </c>
      <c r="B20" s="23" t="s">
        <v>13</v>
      </c>
      <c r="C20" s="23" t="s">
        <v>4</v>
      </c>
      <c r="D20" s="23">
        <v>7.6923076923076925</v>
      </c>
    </row>
    <row r="21" spans="1:4" x14ac:dyDescent="0.2">
      <c r="A21" s="23" t="s">
        <v>159</v>
      </c>
      <c r="B21" s="23" t="s">
        <v>13</v>
      </c>
      <c r="C21" s="23" t="s">
        <v>4</v>
      </c>
      <c r="D21" s="23">
        <v>7.6923076923076925</v>
      </c>
    </row>
    <row r="22" spans="1:4" x14ac:dyDescent="0.2">
      <c r="A22" s="23" t="s">
        <v>88</v>
      </c>
      <c r="B22" s="23" t="s">
        <v>13</v>
      </c>
      <c r="C22" s="23" t="s">
        <v>4</v>
      </c>
      <c r="D22" s="23">
        <v>7.6923076923076925</v>
      </c>
    </row>
    <row r="23" spans="1:4" x14ac:dyDescent="0.2">
      <c r="A23" s="23" t="s">
        <v>94</v>
      </c>
      <c r="B23" s="23" t="s">
        <v>13</v>
      </c>
      <c r="C23" s="23" t="s">
        <v>4</v>
      </c>
      <c r="D23" s="23">
        <v>7.6923076923076925</v>
      </c>
    </row>
    <row r="24" spans="1:4" x14ac:dyDescent="0.2">
      <c r="A24" s="23" t="s">
        <v>96</v>
      </c>
      <c r="B24" s="23" t="s">
        <v>13</v>
      </c>
      <c r="C24" s="23" t="s">
        <v>4</v>
      </c>
      <c r="D24" s="23">
        <v>7.6923076923076925</v>
      </c>
    </row>
    <row r="25" spans="1:4" x14ac:dyDescent="0.2">
      <c r="A25" s="23" t="s">
        <v>8</v>
      </c>
      <c r="B25" s="23" t="s">
        <v>7</v>
      </c>
      <c r="C25" s="23" t="s">
        <v>4</v>
      </c>
      <c r="D25" s="23">
        <v>41.666666666666664</v>
      </c>
    </row>
    <row r="26" spans="1:4" x14ac:dyDescent="0.2">
      <c r="A26" s="23" t="s">
        <v>85</v>
      </c>
      <c r="B26" s="23" t="s">
        <v>7</v>
      </c>
      <c r="C26" s="23" t="s">
        <v>4</v>
      </c>
      <c r="D26" s="23">
        <v>8.3333333333333339</v>
      </c>
    </row>
    <row r="27" spans="1:4" x14ac:dyDescent="0.2">
      <c r="A27" s="23" t="s">
        <v>27</v>
      </c>
      <c r="B27" s="23" t="s">
        <v>7</v>
      </c>
      <c r="C27" s="23" t="s">
        <v>4</v>
      </c>
      <c r="D27" s="23">
        <v>41.666666666666664</v>
      </c>
    </row>
    <row r="28" spans="1:4" x14ac:dyDescent="0.2">
      <c r="A28" s="23" t="s">
        <v>85</v>
      </c>
      <c r="B28" s="23" t="s">
        <v>7</v>
      </c>
      <c r="C28" s="23" t="s">
        <v>4</v>
      </c>
      <c r="D28" s="23">
        <v>8.3333333333333339</v>
      </c>
    </row>
    <row r="29" spans="1:4" x14ac:dyDescent="0.2">
      <c r="A29" s="23" t="s">
        <v>75</v>
      </c>
      <c r="B29" s="23" t="s">
        <v>9</v>
      </c>
      <c r="C29" s="23" t="s">
        <v>4</v>
      </c>
      <c r="D29" s="23">
        <v>11.111111111111111</v>
      </c>
    </row>
    <row r="30" spans="1:4" x14ac:dyDescent="0.2">
      <c r="A30" s="23" t="s">
        <v>10</v>
      </c>
      <c r="B30" s="23" t="s">
        <v>9</v>
      </c>
      <c r="C30" s="23" t="s">
        <v>4</v>
      </c>
      <c r="D30" s="23">
        <v>55.555555555555557</v>
      </c>
    </row>
    <row r="31" spans="1:4" x14ac:dyDescent="0.2">
      <c r="A31" s="23" t="s">
        <v>103</v>
      </c>
      <c r="B31" s="23" t="s">
        <v>9</v>
      </c>
      <c r="C31" s="23" t="s">
        <v>4</v>
      </c>
      <c r="D31" s="23">
        <v>11.111111111111111</v>
      </c>
    </row>
    <row r="32" spans="1:4" x14ac:dyDescent="0.2">
      <c r="A32" s="23" t="s">
        <v>102</v>
      </c>
      <c r="B32" s="23" t="s">
        <v>9</v>
      </c>
      <c r="C32" s="23" t="s">
        <v>4</v>
      </c>
      <c r="D32" s="23">
        <v>11.111111111111111</v>
      </c>
    </row>
    <row r="33" spans="1:4" x14ac:dyDescent="0.2">
      <c r="A33" s="23" t="s">
        <v>101</v>
      </c>
      <c r="B33" s="23" t="s">
        <v>9</v>
      </c>
      <c r="C33" s="23" t="s">
        <v>4</v>
      </c>
      <c r="D33" s="23">
        <v>11.111111111111111</v>
      </c>
    </row>
    <row r="34" spans="1:4" x14ac:dyDescent="0.2">
      <c r="A34" s="23" t="s">
        <v>12</v>
      </c>
      <c r="B34" s="23" t="s">
        <v>12</v>
      </c>
      <c r="C34" s="23" t="s">
        <v>16</v>
      </c>
      <c r="D34" s="23">
        <v>100</v>
      </c>
    </row>
    <row r="35" spans="1:4" x14ac:dyDescent="0.2">
      <c r="A35" s="23" t="s">
        <v>81</v>
      </c>
      <c r="B35" s="23" t="s">
        <v>5</v>
      </c>
      <c r="C35" s="23" t="s">
        <v>16</v>
      </c>
      <c r="D35" s="23">
        <v>5.882352941176471</v>
      </c>
    </row>
    <row r="36" spans="1:4" x14ac:dyDescent="0.2">
      <c r="A36" s="23" t="s">
        <v>82</v>
      </c>
      <c r="B36" s="23" t="s">
        <v>5</v>
      </c>
      <c r="C36" s="23" t="s">
        <v>16</v>
      </c>
      <c r="D36" s="23">
        <v>5.882352941176471</v>
      </c>
    </row>
    <row r="37" spans="1:4" x14ac:dyDescent="0.2">
      <c r="A37" s="23" t="s">
        <v>79</v>
      </c>
      <c r="B37" s="23" t="s">
        <v>5</v>
      </c>
      <c r="C37" s="23" t="s">
        <v>16</v>
      </c>
      <c r="D37" s="23">
        <v>5.882352941176471</v>
      </c>
    </row>
    <row r="38" spans="1:4" x14ac:dyDescent="0.2">
      <c r="A38" s="23" t="s">
        <v>83</v>
      </c>
      <c r="B38" s="23" t="s">
        <v>5</v>
      </c>
      <c r="C38" s="23" t="s">
        <v>16</v>
      </c>
      <c r="D38" s="23">
        <v>5.882352941176471</v>
      </c>
    </row>
    <row r="39" spans="1:4" x14ac:dyDescent="0.2">
      <c r="A39" s="23" t="s">
        <v>22</v>
      </c>
      <c r="B39" s="23" t="s">
        <v>5</v>
      </c>
      <c r="C39" s="23" t="s">
        <v>16</v>
      </c>
      <c r="D39" s="23">
        <v>29.411764705882351</v>
      </c>
    </row>
    <row r="40" spans="1:4" x14ac:dyDescent="0.2">
      <c r="A40" s="23" t="s">
        <v>26</v>
      </c>
      <c r="B40" s="23" t="s">
        <v>5</v>
      </c>
      <c r="C40" s="23" t="s">
        <v>16</v>
      </c>
      <c r="D40" s="23">
        <v>5.882352941176471</v>
      </c>
    </row>
    <row r="41" spans="1:4" x14ac:dyDescent="0.2">
      <c r="A41" s="23" t="s">
        <v>24</v>
      </c>
      <c r="B41" s="23" t="s">
        <v>5</v>
      </c>
      <c r="C41" s="23" t="s">
        <v>16</v>
      </c>
      <c r="D41" s="23">
        <v>5.882352941176471</v>
      </c>
    </row>
    <row r="42" spans="1:4" x14ac:dyDescent="0.2">
      <c r="A42" s="23" t="s">
        <v>25</v>
      </c>
      <c r="B42" s="23" t="s">
        <v>5</v>
      </c>
      <c r="C42" s="23" t="s">
        <v>16</v>
      </c>
      <c r="D42" s="23">
        <v>5.882352941176471</v>
      </c>
    </row>
    <row r="43" spans="1:4" x14ac:dyDescent="0.2">
      <c r="A43" s="23" t="s">
        <v>80</v>
      </c>
      <c r="B43" s="23" t="s">
        <v>5</v>
      </c>
      <c r="C43" s="23" t="s">
        <v>16</v>
      </c>
      <c r="D43" s="23">
        <v>29.411764705882351</v>
      </c>
    </row>
    <row r="44" spans="1:4" x14ac:dyDescent="0.2">
      <c r="A44" s="23" t="s">
        <v>87</v>
      </c>
      <c r="B44" s="23" t="s">
        <v>13</v>
      </c>
      <c r="C44" s="23" t="s">
        <v>16</v>
      </c>
      <c r="D44" s="23">
        <v>7.6923076923076925</v>
      </c>
    </row>
    <row r="45" spans="1:4" x14ac:dyDescent="0.2">
      <c r="A45" s="23" t="s">
        <v>89</v>
      </c>
      <c r="B45" s="23" t="s">
        <v>13</v>
      </c>
      <c r="C45" s="23" t="s">
        <v>16</v>
      </c>
      <c r="D45" s="23">
        <v>7.6923076923076925</v>
      </c>
    </row>
    <row r="46" spans="1:4" x14ac:dyDescent="0.2">
      <c r="A46" s="23" t="s">
        <v>23</v>
      </c>
      <c r="B46" s="23" t="s">
        <v>13</v>
      </c>
      <c r="C46" s="23" t="s">
        <v>16</v>
      </c>
      <c r="D46" s="23">
        <v>7.6923076923076925</v>
      </c>
    </row>
    <row r="47" spans="1:4" x14ac:dyDescent="0.2">
      <c r="A47" s="23" t="s">
        <v>91</v>
      </c>
      <c r="B47" s="23" t="s">
        <v>13</v>
      </c>
      <c r="C47" s="23" t="s">
        <v>16</v>
      </c>
      <c r="D47" s="23">
        <v>7.6923076923076925</v>
      </c>
    </row>
    <row r="48" spans="1:4" x14ac:dyDescent="0.2">
      <c r="A48" s="23" t="s">
        <v>93</v>
      </c>
      <c r="B48" s="23" t="s">
        <v>13</v>
      </c>
      <c r="C48" s="23" t="s">
        <v>16</v>
      </c>
      <c r="D48" s="23">
        <v>7.6923076923076925</v>
      </c>
    </row>
    <row r="49" spans="1:4" x14ac:dyDescent="0.2">
      <c r="A49" s="23" t="s">
        <v>97</v>
      </c>
      <c r="B49" s="23" t="s">
        <v>13</v>
      </c>
      <c r="C49" s="23" t="s">
        <v>16</v>
      </c>
      <c r="D49" s="23">
        <v>7.6923076923076925</v>
      </c>
    </row>
    <row r="50" spans="1:4" x14ac:dyDescent="0.2">
      <c r="A50" s="23" t="s">
        <v>99</v>
      </c>
      <c r="B50" s="23" t="s">
        <v>13</v>
      </c>
      <c r="C50" s="23" t="s">
        <v>16</v>
      </c>
      <c r="D50" s="23">
        <v>7.6923076923076925</v>
      </c>
    </row>
    <row r="51" spans="1:4" x14ac:dyDescent="0.2">
      <c r="A51" s="23" t="s">
        <v>76</v>
      </c>
      <c r="B51" s="23" t="s">
        <v>13</v>
      </c>
      <c r="C51" s="23" t="s">
        <v>16</v>
      </c>
      <c r="D51" s="23">
        <v>7.6923076923076925</v>
      </c>
    </row>
    <row r="52" spans="1:4" x14ac:dyDescent="0.2">
      <c r="A52" s="23" t="s">
        <v>90</v>
      </c>
      <c r="B52" s="23" t="s">
        <v>13</v>
      </c>
      <c r="C52" s="23" t="s">
        <v>16</v>
      </c>
      <c r="D52" s="23">
        <v>7.6923076923076925</v>
      </c>
    </row>
    <row r="53" spans="1:4" x14ac:dyDescent="0.2">
      <c r="A53" s="23" t="s">
        <v>159</v>
      </c>
      <c r="B53" s="23" t="s">
        <v>13</v>
      </c>
      <c r="C53" s="23" t="s">
        <v>16</v>
      </c>
      <c r="D53" s="23">
        <v>7.6923076923076925</v>
      </c>
    </row>
    <row r="54" spans="1:4" x14ac:dyDescent="0.2">
      <c r="A54" s="23" t="s">
        <v>88</v>
      </c>
      <c r="B54" s="23" t="s">
        <v>13</v>
      </c>
      <c r="C54" s="23" t="s">
        <v>16</v>
      </c>
      <c r="D54" s="23">
        <v>7.6923076923076925</v>
      </c>
    </row>
    <row r="55" spans="1:4" x14ac:dyDescent="0.2">
      <c r="A55" s="23" t="s">
        <v>94</v>
      </c>
      <c r="B55" s="23" t="s">
        <v>13</v>
      </c>
      <c r="C55" s="23" t="s">
        <v>16</v>
      </c>
      <c r="D55" s="23">
        <v>7.6923076923076925</v>
      </c>
    </row>
    <row r="56" spans="1:4" x14ac:dyDescent="0.2">
      <c r="A56" s="23" t="s">
        <v>96</v>
      </c>
      <c r="B56" s="23" t="s">
        <v>13</v>
      </c>
      <c r="C56" s="23" t="s">
        <v>16</v>
      </c>
      <c r="D56" s="23">
        <v>7.6923076923076925</v>
      </c>
    </row>
    <row r="57" spans="1:4" x14ac:dyDescent="0.2">
      <c r="A57" s="23" t="s">
        <v>8</v>
      </c>
      <c r="B57" s="23" t="s">
        <v>7</v>
      </c>
      <c r="C57" s="23" t="s">
        <v>16</v>
      </c>
      <c r="D57" s="23">
        <v>41.666666666666664</v>
      </c>
    </row>
    <row r="58" spans="1:4" x14ac:dyDescent="0.2">
      <c r="A58" s="23" t="s">
        <v>85</v>
      </c>
      <c r="B58" s="23" t="s">
        <v>7</v>
      </c>
      <c r="C58" s="23" t="s">
        <v>16</v>
      </c>
      <c r="D58" s="23">
        <v>8.3333333333333339</v>
      </c>
    </row>
    <row r="59" spans="1:4" x14ac:dyDescent="0.2">
      <c r="A59" s="23" t="s">
        <v>27</v>
      </c>
      <c r="B59" s="23" t="s">
        <v>7</v>
      </c>
      <c r="C59" s="23" t="s">
        <v>16</v>
      </c>
      <c r="D59" s="23">
        <v>41.666666666666664</v>
      </c>
    </row>
    <row r="60" spans="1:4" x14ac:dyDescent="0.2">
      <c r="A60" s="23" t="s">
        <v>85</v>
      </c>
      <c r="B60" s="23" t="s">
        <v>7</v>
      </c>
      <c r="C60" s="23" t="s">
        <v>16</v>
      </c>
      <c r="D60" s="23">
        <v>8.3333333333333339</v>
      </c>
    </row>
    <row r="61" spans="1:4" x14ac:dyDescent="0.2">
      <c r="A61" s="23" t="s">
        <v>75</v>
      </c>
      <c r="B61" s="23" t="s">
        <v>9</v>
      </c>
      <c r="C61" s="23" t="s">
        <v>16</v>
      </c>
      <c r="D61" s="23">
        <v>11.111111111111111</v>
      </c>
    </row>
    <row r="62" spans="1:4" x14ac:dyDescent="0.2">
      <c r="A62" s="23" t="s">
        <v>10</v>
      </c>
      <c r="B62" s="23" t="s">
        <v>9</v>
      </c>
      <c r="C62" s="23" t="s">
        <v>16</v>
      </c>
      <c r="D62" s="23">
        <v>55.555555555555557</v>
      </c>
    </row>
    <row r="63" spans="1:4" x14ac:dyDescent="0.2">
      <c r="A63" s="23" t="s">
        <v>103</v>
      </c>
      <c r="B63" s="23" t="s">
        <v>9</v>
      </c>
      <c r="C63" s="23" t="s">
        <v>16</v>
      </c>
      <c r="D63" s="23">
        <v>11.111111111111111</v>
      </c>
    </row>
    <row r="64" spans="1:4" x14ac:dyDescent="0.2">
      <c r="A64" s="23" t="s">
        <v>102</v>
      </c>
      <c r="B64" s="23" t="s">
        <v>9</v>
      </c>
      <c r="C64" s="23" t="s">
        <v>16</v>
      </c>
      <c r="D64" s="23">
        <v>11.111111111111111</v>
      </c>
    </row>
    <row r="65" spans="1:4" x14ac:dyDescent="0.2">
      <c r="A65" s="23" t="s">
        <v>101</v>
      </c>
      <c r="B65" s="23" t="s">
        <v>9</v>
      </c>
      <c r="C65" s="23" t="s">
        <v>16</v>
      </c>
      <c r="D65" s="23">
        <v>11.111111111111111</v>
      </c>
    </row>
    <row r="66" spans="1:4" x14ac:dyDescent="0.2">
      <c r="A66" s="23" t="s">
        <v>12</v>
      </c>
      <c r="B66" s="23" t="s">
        <v>12</v>
      </c>
      <c r="C66" s="23" t="s">
        <v>11</v>
      </c>
      <c r="D66" s="23">
        <v>100</v>
      </c>
    </row>
    <row r="67" spans="1:4" x14ac:dyDescent="0.2">
      <c r="A67" s="23" t="s">
        <v>81</v>
      </c>
      <c r="B67" s="23" t="s">
        <v>5</v>
      </c>
      <c r="C67" s="23" t="s">
        <v>11</v>
      </c>
      <c r="D67" s="23">
        <v>3.125</v>
      </c>
    </row>
    <row r="68" spans="1:4" x14ac:dyDescent="0.2">
      <c r="A68" s="23" t="s">
        <v>82</v>
      </c>
      <c r="B68" s="23" t="s">
        <v>5</v>
      </c>
      <c r="C68" s="23" t="s">
        <v>11</v>
      </c>
      <c r="D68" s="23">
        <v>3.125</v>
      </c>
    </row>
    <row r="69" spans="1:4" x14ac:dyDescent="0.2">
      <c r="A69" s="23" t="s">
        <v>79</v>
      </c>
      <c r="B69" s="23" t="s">
        <v>5</v>
      </c>
      <c r="C69" s="23" t="s">
        <v>11</v>
      </c>
      <c r="D69" s="23">
        <v>3.125</v>
      </c>
    </row>
    <row r="70" spans="1:4" x14ac:dyDescent="0.2">
      <c r="A70" s="23" t="s">
        <v>83</v>
      </c>
      <c r="B70" s="23" t="s">
        <v>5</v>
      </c>
      <c r="C70" s="23" t="s">
        <v>11</v>
      </c>
      <c r="D70" s="23">
        <v>3.125</v>
      </c>
    </row>
    <row r="71" spans="1:4" x14ac:dyDescent="0.2">
      <c r="A71" s="23" t="s">
        <v>22</v>
      </c>
      <c r="B71" s="23" t="s">
        <v>5</v>
      </c>
      <c r="C71" s="23" t="s">
        <v>11</v>
      </c>
      <c r="D71" s="23">
        <v>3.125</v>
      </c>
    </row>
    <row r="72" spans="1:4" x14ac:dyDescent="0.2">
      <c r="A72" s="23" t="s">
        <v>26</v>
      </c>
      <c r="B72" s="23" t="s">
        <v>5</v>
      </c>
      <c r="C72" s="23" t="s">
        <v>11</v>
      </c>
      <c r="D72" s="23">
        <v>3.125</v>
      </c>
    </row>
    <row r="73" spans="1:4" x14ac:dyDescent="0.2">
      <c r="A73" s="23" t="s">
        <v>24</v>
      </c>
      <c r="B73" s="23" t="s">
        <v>5</v>
      </c>
      <c r="C73" s="23" t="s">
        <v>11</v>
      </c>
      <c r="D73" s="23">
        <v>15.625</v>
      </c>
    </row>
    <row r="74" spans="1:4" x14ac:dyDescent="0.2">
      <c r="A74" s="23" t="s">
        <v>25</v>
      </c>
      <c r="B74" s="23" t="s">
        <v>5</v>
      </c>
      <c r="C74" s="23" t="s">
        <v>11</v>
      </c>
      <c r="D74" s="23">
        <v>3.125</v>
      </c>
    </row>
    <row r="75" spans="1:4" x14ac:dyDescent="0.2">
      <c r="A75" s="23" t="s">
        <v>80</v>
      </c>
      <c r="B75" s="23" t="s">
        <v>5</v>
      </c>
      <c r="C75" s="23" t="s">
        <v>11</v>
      </c>
      <c r="D75" s="23">
        <v>15.625</v>
      </c>
    </row>
    <row r="76" spans="1:4" x14ac:dyDescent="0.2">
      <c r="A76" s="23" t="s">
        <v>87</v>
      </c>
      <c r="B76" s="23" t="s">
        <v>13</v>
      </c>
      <c r="C76" s="23" t="s">
        <v>11</v>
      </c>
      <c r="D76" s="23">
        <v>3.8461538461538463</v>
      </c>
    </row>
    <row r="77" spans="1:4" x14ac:dyDescent="0.2">
      <c r="A77" s="23" t="s">
        <v>89</v>
      </c>
      <c r="B77" s="23" t="s">
        <v>13</v>
      </c>
      <c r="C77" s="23" t="s">
        <v>11</v>
      </c>
      <c r="D77" s="23">
        <v>3.8461538461538463</v>
      </c>
    </row>
    <row r="78" spans="1:4" x14ac:dyDescent="0.2">
      <c r="A78" s="23" t="s">
        <v>23</v>
      </c>
      <c r="B78" s="23" t="s">
        <v>13</v>
      </c>
      <c r="C78" s="23" t="s">
        <v>11</v>
      </c>
      <c r="D78" s="23">
        <v>3.8461538461538463</v>
      </c>
    </row>
    <row r="79" spans="1:4" x14ac:dyDescent="0.2">
      <c r="A79" s="23" t="s">
        <v>91</v>
      </c>
      <c r="B79" s="23" t="s">
        <v>13</v>
      </c>
      <c r="C79" s="23" t="s">
        <v>11</v>
      </c>
      <c r="D79" s="23">
        <v>3.8461538461538463</v>
      </c>
    </row>
    <row r="80" spans="1:4" x14ac:dyDescent="0.2">
      <c r="A80" s="23" t="s">
        <v>93</v>
      </c>
      <c r="B80" s="23" t="s">
        <v>13</v>
      </c>
      <c r="C80" s="23" t="s">
        <v>11</v>
      </c>
      <c r="D80" s="23">
        <v>3.8461538461538463</v>
      </c>
    </row>
    <row r="81" spans="1:4" x14ac:dyDescent="0.2">
      <c r="A81" s="23" t="s">
        <v>97</v>
      </c>
      <c r="B81" s="23" t="s">
        <v>13</v>
      </c>
      <c r="C81" s="23" t="s">
        <v>11</v>
      </c>
      <c r="D81" s="23">
        <v>3.8461538461538463</v>
      </c>
    </row>
    <row r="82" spans="1:4" x14ac:dyDescent="0.2">
      <c r="A82" s="23" t="s">
        <v>99</v>
      </c>
      <c r="B82" s="23" t="s">
        <v>13</v>
      </c>
      <c r="C82" s="23" t="s">
        <v>11</v>
      </c>
      <c r="D82" s="23">
        <v>3.8461538461538463</v>
      </c>
    </row>
    <row r="83" spans="1:4" x14ac:dyDescent="0.2">
      <c r="A83" s="23" t="s">
        <v>76</v>
      </c>
      <c r="B83" s="23" t="s">
        <v>13</v>
      </c>
      <c r="C83" s="23" t="s">
        <v>11</v>
      </c>
      <c r="D83" s="23">
        <v>3.8461538461538463</v>
      </c>
    </row>
    <row r="84" spans="1:4" x14ac:dyDescent="0.2">
      <c r="A84" s="23" t="s">
        <v>90</v>
      </c>
      <c r="B84" s="23" t="s">
        <v>13</v>
      </c>
      <c r="C84" s="23" t="s">
        <v>11</v>
      </c>
      <c r="D84" s="23">
        <v>3.8461538461538463</v>
      </c>
    </row>
    <row r="85" spans="1:4" x14ac:dyDescent="0.2">
      <c r="A85" s="23" t="s">
        <v>159</v>
      </c>
      <c r="B85" s="23" t="s">
        <v>13</v>
      </c>
      <c r="C85" s="23" t="s">
        <v>11</v>
      </c>
      <c r="D85" s="23">
        <v>3.8461538461538463</v>
      </c>
    </row>
    <row r="86" spans="1:4" x14ac:dyDescent="0.2">
      <c r="A86" s="23" t="s">
        <v>88</v>
      </c>
      <c r="B86" s="23" t="s">
        <v>13</v>
      </c>
      <c r="C86" s="23" t="s">
        <v>11</v>
      </c>
      <c r="D86" s="23">
        <v>3.8461538461538463</v>
      </c>
    </row>
    <row r="87" spans="1:4" x14ac:dyDescent="0.2">
      <c r="A87" s="23" t="s">
        <v>94</v>
      </c>
      <c r="B87" s="23" t="s">
        <v>13</v>
      </c>
      <c r="C87" s="23" t="s">
        <v>11</v>
      </c>
      <c r="D87" s="23">
        <v>3.8461538461538463</v>
      </c>
    </row>
    <row r="88" spans="1:4" x14ac:dyDescent="0.2">
      <c r="A88" s="23" t="s">
        <v>96</v>
      </c>
      <c r="B88" s="23" t="s">
        <v>13</v>
      </c>
      <c r="C88" s="23" t="s">
        <v>11</v>
      </c>
      <c r="D88" s="23">
        <v>3.8461538461538463</v>
      </c>
    </row>
    <row r="89" spans="1:4" x14ac:dyDescent="0.2">
      <c r="A89" s="23" t="s">
        <v>8</v>
      </c>
      <c r="B89" s="23" t="s">
        <v>7</v>
      </c>
      <c r="C89" s="23" t="s">
        <v>11</v>
      </c>
      <c r="D89" s="23">
        <v>38.46153846153846</v>
      </c>
    </row>
    <row r="90" spans="1:4" x14ac:dyDescent="0.2">
      <c r="A90" s="23" t="s">
        <v>85</v>
      </c>
      <c r="B90" s="23" t="s">
        <v>7</v>
      </c>
      <c r="C90" s="23" t="s">
        <v>11</v>
      </c>
      <c r="D90" s="23">
        <v>7.6923076923076925</v>
      </c>
    </row>
    <row r="91" spans="1:4" x14ac:dyDescent="0.2">
      <c r="A91" s="23" t="s">
        <v>27</v>
      </c>
      <c r="B91" s="23" t="s">
        <v>7</v>
      </c>
      <c r="C91" s="23" t="s">
        <v>11</v>
      </c>
      <c r="D91" s="23">
        <v>7.6923076923076925</v>
      </c>
    </row>
    <row r="92" spans="1:4" x14ac:dyDescent="0.2">
      <c r="A92" s="23" t="s">
        <v>85</v>
      </c>
      <c r="B92" s="23" t="s">
        <v>7</v>
      </c>
      <c r="C92" s="23" t="s">
        <v>11</v>
      </c>
      <c r="D92" s="23">
        <v>7.6923076923076925</v>
      </c>
    </row>
    <row r="93" spans="1:4" x14ac:dyDescent="0.2">
      <c r="A93" s="23" t="s">
        <v>75</v>
      </c>
      <c r="B93" s="23" t="s">
        <v>9</v>
      </c>
      <c r="C93" s="23" t="s">
        <v>11</v>
      </c>
      <c r="D93" s="23">
        <v>7.1428571428571432</v>
      </c>
    </row>
    <row r="94" spans="1:4" x14ac:dyDescent="0.2">
      <c r="A94" s="23" t="s">
        <v>10</v>
      </c>
      <c r="B94" s="23" t="s">
        <v>9</v>
      </c>
      <c r="C94" s="23" t="s">
        <v>11</v>
      </c>
      <c r="D94" s="23">
        <v>35.714285714285715</v>
      </c>
    </row>
    <row r="95" spans="1:4" x14ac:dyDescent="0.2">
      <c r="A95" s="23" t="s">
        <v>103</v>
      </c>
      <c r="B95" s="23" t="s">
        <v>9</v>
      </c>
      <c r="C95" s="23" t="s">
        <v>11</v>
      </c>
      <c r="D95" s="23">
        <v>7.1428571428571432</v>
      </c>
    </row>
    <row r="96" spans="1:4" x14ac:dyDescent="0.2">
      <c r="A96" s="23" t="s">
        <v>102</v>
      </c>
      <c r="B96" s="23" t="s">
        <v>9</v>
      </c>
      <c r="C96" s="23" t="s">
        <v>11</v>
      </c>
      <c r="D96" s="23">
        <v>7.1428571428571432</v>
      </c>
    </row>
    <row r="97" spans="1:4" x14ac:dyDescent="0.2">
      <c r="A97" s="23" t="s">
        <v>101</v>
      </c>
      <c r="B97" s="23" t="s">
        <v>9</v>
      </c>
      <c r="C97" s="23" t="s">
        <v>11</v>
      </c>
      <c r="D97" s="23">
        <v>7.1428571428571432</v>
      </c>
    </row>
    <row r="98" spans="1:4" x14ac:dyDescent="0.2">
      <c r="A98" s="23" t="s">
        <v>12</v>
      </c>
      <c r="B98" s="23" t="s">
        <v>12</v>
      </c>
      <c r="C98" s="23" t="s">
        <v>17</v>
      </c>
      <c r="D98" s="23">
        <v>100</v>
      </c>
    </row>
    <row r="99" spans="1:4" x14ac:dyDescent="0.2">
      <c r="A99" s="23" t="s">
        <v>81</v>
      </c>
      <c r="B99" s="23" t="s">
        <v>5</v>
      </c>
      <c r="C99" s="23" t="s">
        <v>17</v>
      </c>
      <c r="D99" s="23">
        <v>5.882352941176471</v>
      </c>
    </row>
    <row r="100" spans="1:4" x14ac:dyDescent="0.2">
      <c r="A100" s="23" t="s">
        <v>82</v>
      </c>
      <c r="B100" s="23" t="s">
        <v>5</v>
      </c>
      <c r="C100" s="23" t="s">
        <v>17</v>
      </c>
      <c r="D100" s="23">
        <v>5.882352941176471</v>
      </c>
    </row>
    <row r="101" spans="1:4" x14ac:dyDescent="0.2">
      <c r="A101" s="23" t="s">
        <v>79</v>
      </c>
      <c r="B101" s="23" t="s">
        <v>5</v>
      </c>
      <c r="C101" s="23" t="s">
        <v>17</v>
      </c>
      <c r="D101" s="23">
        <v>5.882352941176471</v>
      </c>
    </row>
    <row r="102" spans="1:4" x14ac:dyDescent="0.2">
      <c r="A102" s="23" t="s">
        <v>83</v>
      </c>
      <c r="B102" s="23" t="s">
        <v>5</v>
      </c>
      <c r="C102" s="23" t="s">
        <v>17</v>
      </c>
      <c r="D102" s="23">
        <v>5.882352941176471</v>
      </c>
    </row>
    <row r="103" spans="1:4" x14ac:dyDescent="0.2">
      <c r="A103" s="23" t="s">
        <v>22</v>
      </c>
      <c r="B103" s="23" t="s">
        <v>5</v>
      </c>
      <c r="C103" s="23" t="s">
        <v>17</v>
      </c>
      <c r="D103" s="23">
        <v>5.882352941176471</v>
      </c>
    </row>
    <row r="104" spans="1:4" x14ac:dyDescent="0.2">
      <c r="A104" s="23" t="s">
        <v>26</v>
      </c>
      <c r="B104" s="23" t="s">
        <v>5</v>
      </c>
      <c r="C104" s="23" t="s">
        <v>17</v>
      </c>
      <c r="D104" s="23">
        <v>5.882352941176471</v>
      </c>
    </row>
    <row r="105" spans="1:4" x14ac:dyDescent="0.2">
      <c r="A105" s="23" t="s">
        <v>24</v>
      </c>
      <c r="B105" s="23" t="s">
        <v>5</v>
      </c>
      <c r="C105" s="23" t="s">
        <v>17</v>
      </c>
      <c r="D105" s="23">
        <v>5.882352941176471</v>
      </c>
    </row>
    <row r="106" spans="1:4" x14ac:dyDescent="0.2">
      <c r="A106" s="23" t="s">
        <v>25</v>
      </c>
      <c r="B106" s="23" t="s">
        <v>5</v>
      </c>
      <c r="C106" s="23" t="s">
        <v>17</v>
      </c>
      <c r="D106" s="23">
        <v>29.411764705882351</v>
      </c>
    </row>
    <row r="107" spans="1:4" x14ac:dyDescent="0.2">
      <c r="A107" s="23" t="s">
        <v>80</v>
      </c>
      <c r="B107" s="23" t="s">
        <v>5</v>
      </c>
      <c r="C107" s="23" t="s">
        <v>17</v>
      </c>
      <c r="D107" s="23">
        <v>29.411764705882351</v>
      </c>
    </row>
    <row r="108" spans="1:4" x14ac:dyDescent="0.2">
      <c r="A108" s="23" t="s">
        <v>87</v>
      </c>
      <c r="B108" s="23" t="s">
        <v>13</v>
      </c>
      <c r="C108" s="23" t="s">
        <v>17</v>
      </c>
      <c r="D108" s="23">
        <v>7.6923076923076925</v>
      </c>
    </row>
    <row r="109" spans="1:4" x14ac:dyDescent="0.2">
      <c r="A109" s="23" t="s">
        <v>89</v>
      </c>
      <c r="B109" s="23" t="s">
        <v>13</v>
      </c>
      <c r="C109" s="23" t="s">
        <v>17</v>
      </c>
      <c r="D109" s="23">
        <v>7.6923076923076925</v>
      </c>
    </row>
    <row r="110" spans="1:4" x14ac:dyDescent="0.2">
      <c r="A110" s="23" t="s">
        <v>23</v>
      </c>
      <c r="B110" s="23" t="s">
        <v>13</v>
      </c>
      <c r="C110" s="23" t="s">
        <v>17</v>
      </c>
      <c r="D110" s="23">
        <v>7.6923076923076925</v>
      </c>
    </row>
    <row r="111" spans="1:4" x14ac:dyDescent="0.2">
      <c r="A111" s="23" t="s">
        <v>91</v>
      </c>
      <c r="B111" s="23" t="s">
        <v>13</v>
      </c>
      <c r="C111" s="23" t="s">
        <v>17</v>
      </c>
      <c r="D111" s="23">
        <v>7.6923076923076925</v>
      </c>
    </row>
    <row r="112" spans="1:4" x14ac:dyDescent="0.2">
      <c r="A112" s="23" t="s">
        <v>93</v>
      </c>
      <c r="B112" s="23" t="s">
        <v>13</v>
      </c>
      <c r="C112" s="23" t="s">
        <v>17</v>
      </c>
      <c r="D112" s="23">
        <v>7.6923076923076925</v>
      </c>
    </row>
    <row r="113" spans="1:4" x14ac:dyDescent="0.2">
      <c r="A113" s="23" t="s">
        <v>97</v>
      </c>
      <c r="B113" s="23" t="s">
        <v>13</v>
      </c>
      <c r="C113" s="23" t="s">
        <v>17</v>
      </c>
      <c r="D113" s="23">
        <v>7.6923076923076925</v>
      </c>
    </row>
    <row r="114" spans="1:4" x14ac:dyDescent="0.2">
      <c r="A114" s="23" t="s">
        <v>99</v>
      </c>
      <c r="B114" s="23" t="s">
        <v>13</v>
      </c>
      <c r="C114" s="23" t="s">
        <v>17</v>
      </c>
      <c r="D114" s="23">
        <v>7.6923076923076925</v>
      </c>
    </row>
    <row r="115" spans="1:4" x14ac:dyDescent="0.2">
      <c r="A115" s="23" t="s">
        <v>76</v>
      </c>
      <c r="B115" s="23" t="s">
        <v>13</v>
      </c>
      <c r="C115" s="23" t="s">
        <v>17</v>
      </c>
      <c r="D115" s="23">
        <v>7.6923076923076925</v>
      </c>
    </row>
    <row r="116" spans="1:4" x14ac:dyDescent="0.2">
      <c r="A116" s="23" t="s">
        <v>90</v>
      </c>
      <c r="B116" s="23" t="s">
        <v>13</v>
      </c>
      <c r="C116" s="23" t="s">
        <v>17</v>
      </c>
      <c r="D116" s="23">
        <v>7.6923076923076925</v>
      </c>
    </row>
    <row r="117" spans="1:4" x14ac:dyDescent="0.2">
      <c r="A117" s="23" t="s">
        <v>159</v>
      </c>
      <c r="B117" s="23" t="s">
        <v>13</v>
      </c>
      <c r="C117" s="23" t="s">
        <v>17</v>
      </c>
      <c r="D117" s="23">
        <v>7.6923076923076925</v>
      </c>
    </row>
    <row r="118" spans="1:4" x14ac:dyDescent="0.2">
      <c r="A118" s="23" t="s">
        <v>88</v>
      </c>
      <c r="B118" s="23" t="s">
        <v>13</v>
      </c>
      <c r="C118" s="23" t="s">
        <v>17</v>
      </c>
      <c r="D118" s="23">
        <v>7.6923076923076925</v>
      </c>
    </row>
    <row r="119" spans="1:4" x14ac:dyDescent="0.2">
      <c r="A119" s="23" t="s">
        <v>94</v>
      </c>
      <c r="B119" s="23" t="s">
        <v>13</v>
      </c>
      <c r="C119" s="23" t="s">
        <v>17</v>
      </c>
      <c r="D119" s="23">
        <v>7.6923076923076925</v>
      </c>
    </row>
    <row r="120" spans="1:4" x14ac:dyDescent="0.2">
      <c r="A120" s="23" t="s">
        <v>96</v>
      </c>
      <c r="B120" s="23" t="s">
        <v>13</v>
      </c>
      <c r="C120" s="23" t="s">
        <v>17</v>
      </c>
      <c r="D120" s="23">
        <v>7.6923076923076925</v>
      </c>
    </row>
    <row r="121" spans="1:4" x14ac:dyDescent="0.2">
      <c r="A121" s="23" t="s">
        <v>8</v>
      </c>
      <c r="B121" s="23" t="s">
        <v>7</v>
      </c>
      <c r="C121" s="23" t="s">
        <v>17</v>
      </c>
      <c r="D121" s="23">
        <v>41.666666666666664</v>
      </c>
    </row>
    <row r="122" spans="1:4" x14ac:dyDescent="0.2">
      <c r="A122" s="23" t="s">
        <v>85</v>
      </c>
      <c r="B122" s="23" t="s">
        <v>7</v>
      </c>
      <c r="C122" s="23" t="s">
        <v>17</v>
      </c>
      <c r="D122" s="23">
        <v>8.3333333333333339</v>
      </c>
    </row>
    <row r="123" spans="1:4" x14ac:dyDescent="0.2">
      <c r="A123" s="23" t="s">
        <v>27</v>
      </c>
      <c r="B123" s="23" t="s">
        <v>7</v>
      </c>
      <c r="C123" s="23" t="s">
        <v>17</v>
      </c>
      <c r="D123" s="23">
        <v>41.666666666666664</v>
      </c>
    </row>
    <row r="124" spans="1:4" x14ac:dyDescent="0.2">
      <c r="A124" s="23" t="s">
        <v>85</v>
      </c>
      <c r="B124" s="23" t="s">
        <v>7</v>
      </c>
      <c r="C124" s="23" t="s">
        <v>17</v>
      </c>
      <c r="D124" s="23">
        <v>8.3333333333333339</v>
      </c>
    </row>
    <row r="125" spans="1:4" x14ac:dyDescent="0.2">
      <c r="A125" s="23" t="s">
        <v>75</v>
      </c>
      <c r="B125" s="23" t="s">
        <v>9</v>
      </c>
      <c r="C125" s="23" t="s">
        <v>17</v>
      </c>
      <c r="D125" s="23">
        <v>11.111111111111111</v>
      </c>
    </row>
    <row r="126" spans="1:4" x14ac:dyDescent="0.2">
      <c r="A126" s="23" t="s">
        <v>10</v>
      </c>
      <c r="B126" s="23" t="s">
        <v>9</v>
      </c>
      <c r="C126" s="23" t="s">
        <v>17</v>
      </c>
      <c r="D126" s="23">
        <v>55.555555555555557</v>
      </c>
    </row>
    <row r="127" spans="1:4" x14ac:dyDescent="0.2">
      <c r="A127" s="23" t="s">
        <v>103</v>
      </c>
      <c r="B127" s="23" t="s">
        <v>9</v>
      </c>
      <c r="C127" s="23" t="s">
        <v>17</v>
      </c>
      <c r="D127" s="23">
        <v>11.111111111111111</v>
      </c>
    </row>
    <row r="128" spans="1:4" x14ac:dyDescent="0.2">
      <c r="A128" s="23" t="s">
        <v>102</v>
      </c>
      <c r="B128" s="23" t="s">
        <v>9</v>
      </c>
      <c r="C128" s="23" t="s">
        <v>17</v>
      </c>
      <c r="D128" s="23">
        <v>11.111111111111111</v>
      </c>
    </row>
    <row r="129" spans="1:4" x14ac:dyDescent="0.2">
      <c r="A129" s="23" t="s">
        <v>101</v>
      </c>
      <c r="B129" s="23" t="s">
        <v>9</v>
      </c>
      <c r="C129" s="23" t="s">
        <v>17</v>
      </c>
      <c r="D129" s="23">
        <v>11.111111111111111</v>
      </c>
    </row>
    <row r="130" spans="1:4" x14ac:dyDescent="0.2">
      <c r="A130" s="23" t="s">
        <v>12</v>
      </c>
      <c r="B130" s="23" t="s">
        <v>12</v>
      </c>
      <c r="C130" s="23" t="s">
        <v>18</v>
      </c>
      <c r="D130" s="23">
        <v>100</v>
      </c>
    </row>
    <row r="131" spans="1:4" x14ac:dyDescent="0.2">
      <c r="A131" s="23" t="s">
        <v>81</v>
      </c>
      <c r="B131" s="23" t="s">
        <v>5</v>
      </c>
      <c r="C131" s="23" t="s">
        <v>18</v>
      </c>
      <c r="D131" s="23">
        <v>5.882352941176471</v>
      </c>
    </row>
    <row r="132" spans="1:4" x14ac:dyDescent="0.2">
      <c r="A132" s="23" t="s">
        <v>82</v>
      </c>
      <c r="B132" s="23" t="s">
        <v>5</v>
      </c>
      <c r="C132" s="23" t="s">
        <v>18</v>
      </c>
      <c r="D132" s="23">
        <v>5.882352941176471</v>
      </c>
    </row>
    <row r="133" spans="1:4" x14ac:dyDescent="0.2">
      <c r="A133" s="23" t="s">
        <v>79</v>
      </c>
      <c r="B133" s="23" t="s">
        <v>5</v>
      </c>
      <c r="C133" s="23" t="s">
        <v>18</v>
      </c>
      <c r="D133" s="23">
        <v>5.882352941176471</v>
      </c>
    </row>
    <row r="134" spans="1:4" x14ac:dyDescent="0.2">
      <c r="A134" s="23" t="s">
        <v>83</v>
      </c>
      <c r="B134" s="23" t="s">
        <v>5</v>
      </c>
      <c r="C134" s="23" t="s">
        <v>18</v>
      </c>
      <c r="D134" s="23">
        <v>5.882352941176471</v>
      </c>
    </row>
    <row r="135" spans="1:4" x14ac:dyDescent="0.2">
      <c r="A135" s="23" t="s">
        <v>22</v>
      </c>
      <c r="B135" s="23" t="s">
        <v>5</v>
      </c>
      <c r="C135" s="23" t="s">
        <v>18</v>
      </c>
      <c r="D135" s="23">
        <v>5.882352941176471</v>
      </c>
    </row>
    <row r="136" spans="1:4" x14ac:dyDescent="0.2">
      <c r="A136" s="23" t="s">
        <v>26</v>
      </c>
      <c r="B136" s="23" t="s">
        <v>5</v>
      </c>
      <c r="C136" s="23" t="s">
        <v>18</v>
      </c>
      <c r="D136" s="23">
        <v>29.411764705882351</v>
      </c>
    </row>
    <row r="137" spans="1:4" x14ac:dyDescent="0.2">
      <c r="A137" s="23" t="s">
        <v>24</v>
      </c>
      <c r="B137" s="23" t="s">
        <v>5</v>
      </c>
      <c r="C137" s="23" t="s">
        <v>18</v>
      </c>
      <c r="D137" s="23">
        <v>5.882352941176471</v>
      </c>
    </row>
    <row r="138" spans="1:4" x14ac:dyDescent="0.2">
      <c r="A138" s="23" t="s">
        <v>25</v>
      </c>
      <c r="B138" s="23" t="s">
        <v>5</v>
      </c>
      <c r="C138" s="23" t="s">
        <v>18</v>
      </c>
      <c r="D138" s="23">
        <v>5.882352941176471</v>
      </c>
    </row>
    <row r="139" spans="1:4" x14ac:dyDescent="0.2">
      <c r="A139" s="23" t="s">
        <v>80</v>
      </c>
      <c r="B139" s="23" t="s">
        <v>5</v>
      </c>
      <c r="C139" s="23" t="s">
        <v>18</v>
      </c>
      <c r="D139" s="23">
        <v>29.411764705882351</v>
      </c>
    </row>
    <row r="140" spans="1:4" x14ac:dyDescent="0.2">
      <c r="A140" s="23" t="s">
        <v>87</v>
      </c>
      <c r="B140" s="23" t="s">
        <v>13</v>
      </c>
      <c r="C140" s="23" t="s">
        <v>18</v>
      </c>
      <c r="D140" s="23">
        <v>7.6923076923076925</v>
      </c>
    </row>
    <row r="141" spans="1:4" x14ac:dyDescent="0.2">
      <c r="A141" s="23" t="s">
        <v>89</v>
      </c>
      <c r="B141" s="23" t="s">
        <v>13</v>
      </c>
      <c r="C141" s="23" t="s">
        <v>18</v>
      </c>
      <c r="D141" s="23">
        <v>7.6923076923076925</v>
      </c>
    </row>
    <row r="142" spans="1:4" x14ac:dyDescent="0.2">
      <c r="A142" s="23" t="s">
        <v>23</v>
      </c>
      <c r="B142" s="23" t="s">
        <v>13</v>
      </c>
      <c r="C142" s="23" t="s">
        <v>18</v>
      </c>
      <c r="D142" s="23">
        <v>7.6923076923076925</v>
      </c>
    </row>
    <row r="143" spans="1:4" x14ac:dyDescent="0.2">
      <c r="A143" s="23" t="s">
        <v>91</v>
      </c>
      <c r="B143" s="23" t="s">
        <v>13</v>
      </c>
      <c r="C143" s="23" t="s">
        <v>18</v>
      </c>
      <c r="D143" s="23">
        <v>7.6923076923076925</v>
      </c>
    </row>
    <row r="144" spans="1:4" x14ac:dyDescent="0.2">
      <c r="A144" s="23" t="s">
        <v>93</v>
      </c>
      <c r="B144" s="23" t="s">
        <v>13</v>
      </c>
      <c r="C144" s="23" t="s">
        <v>18</v>
      </c>
      <c r="D144" s="23">
        <v>7.6923076923076925</v>
      </c>
    </row>
    <row r="145" spans="1:4" x14ac:dyDescent="0.2">
      <c r="A145" s="23" t="s">
        <v>97</v>
      </c>
      <c r="B145" s="23" t="s">
        <v>13</v>
      </c>
      <c r="C145" s="23" t="s">
        <v>18</v>
      </c>
      <c r="D145" s="23">
        <v>7.6923076923076925</v>
      </c>
    </row>
    <row r="146" spans="1:4" x14ac:dyDescent="0.2">
      <c r="A146" s="23" t="s">
        <v>99</v>
      </c>
      <c r="B146" s="23" t="s">
        <v>13</v>
      </c>
      <c r="C146" s="23" t="s">
        <v>18</v>
      </c>
      <c r="D146" s="23">
        <v>7.6923076923076925</v>
      </c>
    </row>
    <row r="147" spans="1:4" x14ac:dyDescent="0.2">
      <c r="A147" s="23" t="s">
        <v>76</v>
      </c>
      <c r="B147" s="23" t="s">
        <v>13</v>
      </c>
      <c r="C147" s="23" t="s">
        <v>18</v>
      </c>
      <c r="D147" s="23">
        <v>7.6923076923076925</v>
      </c>
    </row>
    <row r="148" spans="1:4" x14ac:dyDescent="0.2">
      <c r="A148" s="23" t="s">
        <v>90</v>
      </c>
      <c r="B148" s="23" t="s">
        <v>13</v>
      </c>
      <c r="C148" s="23" t="s">
        <v>18</v>
      </c>
      <c r="D148" s="23">
        <v>7.6923076923076925</v>
      </c>
    </row>
    <row r="149" spans="1:4" x14ac:dyDescent="0.2">
      <c r="A149" s="23" t="s">
        <v>159</v>
      </c>
      <c r="B149" s="23" t="s">
        <v>13</v>
      </c>
      <c r="C149" s="23" t="s">
        <v>18</v>
      </c>
      <c r="D149" s="23">
        <v>7.6923076923076925</v>
      </c>
    </row>
    <row r="150" spans="1:4" x14ac:dyDescent="0.2">
      <c r="A150" s="23" t="s">
        <v>88</v>
      </c>
      <c r="B150" s="23" t="s">
        <v>13</v>
      </c>
      <c r="C150" s="23" t="s">
        <v>18</v>
      </c>
      <c r="D150" s="23">
        <v>7.6923076923076925</v>
      </c>
    </row>
    <row r="151" spans="1:4" x14ac:dyDescent="0.2">
      <c r="A151" s="23" t="s">
        <v>94</v>
      </c>
      <c r="B151" s="23" t="s">
        <v>13</v>
      </c>
      <c r="C151" s="23" t="s">
        <v>18</v>
      </c>
      <c r="D151" s="23">
        <v>7.6923076923076925</v>
      </c>
    </row>
    <row r="152" spans="1:4" x14ac:dyDescent="0.2">
      <c r="A152" s="23" t="s">
        <v>96</v>
      </c>
      <c r="B152" s="23" t="s">
        <v>13</v>
      </c>
      <c r="C152" s="23" t="s">
        <v>18</v>
      </c>
      <c r="D152" s="23">
        <v>7.6923076923076925</v>
      </c>
    </row>
    <row r="153" spans="1:4" x14ac:dyDescent="0.2">
      <c r="A153" s="23" t="s">
        <v>8</v>
      </c>
      <c r="B153" s="23" t="s">
        <v>7</v>
      </c>
      <c r="C153" s="23" t="s">
        <v>18</v>
      </c>
      <c r="D153" s="23">
        <v>41.666666666666664</v>
      </c>
    </row>
    <row r="154" spans="1:4" x14ac:dyDescent="0.2">
      <c r="A154" s="23" t="s">
        <v>85</v>
      </c>
      <c r="B154" s="23" t="s">
        <v>7</v>
      </c>
      <c r="C154" s="23" t="s">
        <v>18</v>
      </c>
      <c r="D154" s="23">
        <v>8.3333333333333339</v>
      </c>
    </row>
    <row r="155" spans="1:4" x14ac:dyDescent="0.2">
      <c r="A155" s="23" t="s">
        <v>27</v>
      </c>
      <c r="B155" s="23" t="s">
        <v>7</v>
      </c>
      <c r="C155" s="23" t="s">
        <v>18</v>
      </c>
      <c r="D155" s="23">
        <v>41.666666666666664</v>
      </c>
    </row>
    <row r="156" spans="1:4" x14ac:dyDescent="0.2">
      <c r="A156" s="23" t="s">
        <v>85</v>
      </c>
      <c r="B156" s="23" t="s">
        <v>7</v>
      </c>
      <c r="C156" s="23" t="s">
        <v>18</v>
      </c>
      <c r="D156" s="23">
        <v>8.3333333333333339</v>
      </c>
    </row>
    <row r="157" spans="1:4" x14ac:dyDescent="0.2">
      <c r="A157" s="23" t="s">
        <v>75</v>
      </c>
      <c r="B157" s="23" t="s">
        <v>9</v>
      </c>
      <c r="C157" s="23" t="s">
        <v>18</v>
      </c>
      <c r="D157" s="23">
        <v>11.111111111111111</v>
      </c>
    </row>
    <row r="158" spans="1:4" x14ac:dyDescent="0.2">
      <c r="A158" s="23" t="s">
        <v>10</v>
      </c>
      <c r="B158" s="23" t="s">
        <v>9</v>
      </c>
      <c r="C158" s="23" t="s">
        <v>18</v>
      </c>
      <c r="D158" s="23">
        <v>55.555555555555557</v>
      </c>
    </row>
    <row r="159" spans="1:4" x14ac:dyDescent="0.2">
      <c r="A159" s="23" t="s">
        <v>103</v>
      </c>
      <c r="B159" s="23" t="s">
        <v>9</v>
      </c>
      <c r="C159" s="23" t="s">
        <v>18</v>
      </c>
      <c r="D159" s="23">
        <v>11.111111111111111</v>
      </c>
    </row>
    <row r="160" spans="1:4" x14ac:dyDescent="0.2">
      <c r="A160" s="23" t="s">
        <v>102</v>
      </c>
      <c r="B160" s="23" t="s">
        <v>9</v>
      </c>
      <c r="C160" s="23" t="s">
        <v>18</v>
      </c>
      <c r="D160" s="23">
        <v>11.111111111111111</v>
      </c>
    </row>
    <row r="161" spans="1:4" x14ac:dyDescent="0.2">
      <c r="A161" s="23" t="s">
        <v>101</v>
      </c>
      <c r="B161" s="23" t="s">
        <v>9</v>
      </c>
      <c r="C161" s="23" t="s">
        <v>18</v>
      </c>
      <c r="D161" s="23">
        <v>11.111111111111111</v>
      </c>
    </row>
    <row r="162" spans="1:4" x14ac:dyDescent="0.2">
      <c r="A162" s="23" t="s">
        <v>12</v>
      </c>
      <c r="B162" s="23" t="s">
        <v>12</v>
      </c>
      <c r="C162" s="23" t="s">
        <v>15</v>
      </c>
      <c r="D162" s="23">
        <v>100</v>
      </c>
    </row>
    <row r="163" spans="1:4" x14ac:dyDescent="0.2">
      <c r="A163" s="23" t="s">
        <v>81</v>
      </c>
      <c r="B163" s="23" t="s">
        <v>5</v>
      </c>
      <c r="C163" s="23" t="s">
        <v>15</v>
      </c>
      <c r="D163" s="23">
        <v>5.882352941176471</v>
      </c>
    </row>
    <row r="164" spans="1:4" x14ac:dyDescent="0.2">
      <c r="A164" s="23" t="s">
        <v>82</v>
      </c>
      <c r="B164" s="23" t="s">
        <v>5</v>
      </c>
      <c r="C164" s="23" t="s">
        <v>15</v>
      </c>
      <c r="D164" s="23">
        <v>5.882352941176471</v>
      </c>
    </row>
    <row r="165" spans="1:4" x14ac:dyDescent="0.2">
      <c r="A165" s="23" t="s">
        <v>79</v>
      </c>
      <c r="B165" s="23" t="s">
        <v>5</v>
      </c>
      <c r="C165" s="23" t="s">
        <v>15</v>
      </c>
      <c r="D165" s="23">
        <v>5.882352941176471</v>
      </c>
    </row>
    <row r="166" spans="1:4" x14ac:dyDescent="0.2">
      <c r="A166" s="23" t="s">
        <v>83</v>
      </c>
      <c r="B166" s="23" t="s">
        <v>5</v>
      </c>
      <c r="C166" s="23" t="s">
        <v>15</v>
      </c>
      <c r="D166" s="23">
        <v>5.882352941176471</v>
      </c>
    </row>
    <row r="167" spans="1:4" x14ac:dyDescent="0.2">
      <c r="A167" s="23" t="s">
        <v>22</v>
      </c>
      <c r="B167" s="23" t="s">
        <v>5</v>
      </c>
      <c r="C167" s="23" t="s">
        <v>15</v>
      </c>
      <c r="D167" s="23">
        <v>5.882352941176471</v>
      </c>
    </row>
    <row r="168" spans="1:4" x14ac:dyDescent="0.2">
      <c r="A168" s="23" t="s">
        <v>26</v>
      </c>
      <c r="B168" s="23" t="s">
        <v>5</v>
      </c>
      <c r="C168" s="23" t="s">
        <v>15</v>
      </c>
      <c r="D168" s="23">
        <v>5.882352941176471</v>
      </c>
    </row>
    <row r="169" spans="1:4" x14ac:dyDescent="0.2">
      <c r="A169" s="23" t="s">
        <v>24</v>
      </c>
      <c r="B169" s="23" t="s">
        <v>5</v>
      </c>
      <c r="C169" s="23" t="s">
        <v>15</v>
      </c>
      <c r="D169" s="23">
        <v>29.411764705882351</v>
      </c>
    </row>
    <row r="170" spans="1:4" x14ac:dyDescent="0.2">
      <c r="A170" s="23" t="s">
        <v>25</v>
      </c>
      <c r="B170" s="23" t="s">
        <v>5</v>
      </c>
      <c r="C170" s="23" t="s">
        <v>15</v>
      </c>
      <c r="D170" s="23">
        <v>5.882352941176471</v>
      </c>
    </row>
    <row r="171" spans="1:4" x14ac:dyDescent="0.2">
      <c r="A171" s="23" t="s">
        <v>80</v>
      </c>
      <c r="B171" s="23" t="s">
        <v>5</v>
      </c>
      <c r="C171" s="23" t="s">
        <v>15</v>
      </c>
      <c r="D171" s="23">
        <v>29.411764705882351</v>
      </c>
    </row>
    <row r="172" spans="1:4" x14ac:dyDescent="0.2">
      <c r="A172" s="23" t="s">
        <v>87</v>
      </c>
      <c r="B172" s="23" t="s">
        <v>13</v>
      </c>
      <c r="C172" s="23" t="s">
        <v>15</v>
      </c>
      <c r="D172" s="23">
        <v>7.6923076923076925</v>
      </c>
    </row>
    <row r="173" spans="1:4" x14ac:dyDescent="0.2">
      <c r="A173" s="23" t="s">
        <v>89</v>
      </c>
      <c r="B173" s="23" t="s">
        <v>13</v>
      </c>
      <c r="C173" s="23" t="s">
        <v>15</v>
      </c>
      <c r="D173" s="23">
        <v>7.6923076923076925</v>
      </c>
    </row>
    <row r="174" spans="1:4" x14ac:dyDescent="0.2">
      <c r="A174" s="23" t="s">
        <v>23</v>
      </c>
      <c r="B174" s="23" t="s">
        <v>13</v>
      </c>
      <c r="C174" s="23" t="s">
        <v>15</v>
      </c>
      <c r="D174" s="23">
        <v>7.6923076923076925</v>
      </c>
    </row>
    <row r="175" spans="1:4" x14ac:dyDescent="0.2">
      <c r="A175" s="23" t="s">
        <v>91</v>
      </c>
      <c r="B175" s="23" t="s">
        <v>13</v>
      </c>
      <c r="C175" s="23" t="s">
        <v>15</v>
      </c>
      <c r="D175" s="23">
        <v>7.6923076923076925</v>
      </c>
    </row>
    <row r="176" spans="1:4" x14ac:dyDescent="0.2">
      <c r="A176" s="23" t="s">
        <v>93</v>
      </c>
      <c r="B176" s="23" t="s">
        <v>13</v>
      </c>
      <c r="C176" s="23" t="s">
        <v>15</v>
      </c>
      <c r="D176" s="23">
        <v>7.6923076923076925</v>
      </c>
    </row>
    <row r="177" spans="1:4" x14ac:dyDescent="0.2">
      <c r="A177" s="23" t="s">
        <v>97</v>
      </c>
      <c r="B177" s="23" t="s">
        <v>13</v>
      </c>
      <c r="C177" s="23" t="s">
        <v>15</v>
      </c>
      <c r="D177" s="23">
        <v>7.6923076923076925</v>
      </c>
    </row>
    <row r="178" spans="1:4" x14ac:dyDescent="0.2">
      <c r="A178" s="23" t="s">
        <v>99</v>
      </c>
      <c r="B178" s="23" t="s">
        <v>13</v>
      </c>
      <c r="C178" s="23" t="s">
        <v>15</v>
      </c>
      <c r="D178" s="23">
        <v>7.6923076923076925</v>
      </c>
    </row>
    <row r="179" spans="1:4" x14ac:dyDescent="0.2">
      <c r="A179" s="23" t="s">
        <v>76</v>
      </c>
      <c r="B179" s="23" t="s">
        <v>13</v>
      </c>
      <c r="C179" s="23" t="s">
        <v>15</v>
      </c>
      <c r="D179" s="23">
        <v>7.6923076923076925</v>
      </c>
    </row>
    <row r="180" spans="1:4" x14ac:dyDescent="0.2">
      <c r="A180" s="23" t="s">
        <v>90</v>
      </c>
      <c r="B180" s="23" t="s">
        <v>13</v>
      </c>
      <c r="C180" s="23" t="s">
        <v>15</v>
      </c>
      <c r="D180" s="23">
        <v>7.6923076923076925</v>
      </c>
    </row>
    <row r="181" spans="1:4" x14ac:dyDescent="0.2">
      <c r="A181" s="23" t="s">
        <v>159</v>
      </c>
      <c r="B181" s="23" t="s">
        <v>13</v>
      </c>
      <c r="C181" s="23" t="s">
        <v>15</v>
      </c>
      <c r="D181" s="23">
        <v>7.6923076923076925</v>
      </c>
    </row>
    <row r="182" spans="1:4" x14ac:dyDescent="0.2">
      <c r="A182" s="23" t="s">
        <v>88</v>
      </c>
      <c r="B182" s="23" t="s">
        <v>13</v>
      </c>
      <c r="C182" s="23" t="s">
        <v>15</v>
      </c>
      <c r="D182" s="23">
        <v>7.6923076923076925</v>
      </c>
    </row>
    <row r="183" spans="1:4" x14ac:dyDescent="0.2">
      <c r="A183" s="23" t="s">
        <v>94</v>
      </c>
      <c r="B183" s="23" t="s">
        <v>13</v>
      </c>
      <c r="C183" s="23" t="s">
        <v>15</v>
      </c>
      <c r="D183" s="23">
        <v>7.6923076923076925</v>
      </c>
    </row>
    <row r="184" spans="1:4" x14ac:dyDescent="0.2">
      <c r="A184" s="23" t="s">
        <v>96</v>
      </c>
      <c r="B184" s="23" t="s">
        <v>13</v>
      </c>
      <c r="C184" s="23" t="s">
        <v>15</v>
      </c>
      <c r="D184" s="23">
        <v>7.6923076923076925</v>
      </c>
    </row>
    <row r="185" spans="1:4" x14ac:dyDescent="0.2">
      <c r="A185" s="23" t="s">
        <v>8</v>
      </c>
      <c r="B185" s="23" t="s">
        <v>7</v>
      </c>
      <c r="C185" s="23" t="s">
        <v>15</v>
      </c>
      <c r="D185" s="23">
        <v>41.666666666666664</v>
      </c>
    </row>
    <row r="186" spans="1:4" x14ac:dyDescent="0.2">
      <c r="A186" s="23" t="s">
        <v>85</v>
      </c>
      <c r="B186" s="23" t="s">
        <v>7</v>
      </c>
      <c r="C186" s="23" t="s">
        <v>15</v>
      </c>
      <c r="D186" s="23">
        <v>8.3333333333333339</v>
      </c>
    </row>
    <row r="187" spans="1:4" x14ac:dyDescent="0.2">
      <c r="A187" s="23" t="s">
        <v>27</v>
      </c>
      <c r="B187" s="23" t="s">
        <v>7</v>
      </c>
      <c r="C187" s="23" t="s">
        <v>15</v>
      </c>
      <c r="D187" s="23">
        <v>41.666666666666664</v>
      </c>
    </row>
    <row r="188" spans="1:4" x14ac:dyDescent="0.2">
      <c r="A188" s="23" t="s">
        <v>85</v>
      </c>
      <c r="B188" s="23" t="s">
        <v>7</v>
      </c>
      <c r="C188" s="23" t="s">
        <v>15</v>
      </c>
      <c r="D188" s="23">
        <v>8.3333333333333339</v>
      </c>
    </row>
    <row r="189" spans="1:4" x14ac:dyDescent="0.2">
      <c r="A189" s="23" t="s">
        <v>75</v>
      </c>
      <c r="B189" s="23" t="s">
        <v>9</v>
      </c>
      <c r="C189" s="23" t="s">
        <v>15</v>
      </c>
      <c r="D189" s="23">
        <v>11.111111111111111</v>
      </c>
    </row>
    <row r="190" spans="1:4" x14ac:dyDescent="0.2">
      <c r="A190" s="23" t="s">
        <v>10</v>
      </c>
      <c r="B190" s="23" t="s">
        <v>9</v>
      </c>
      <c r="C190" s="23" t="s">
        <v>15</v>
      </c>
      <c r="D190" s="23">
        <v>55.555555555555557</v>
      </c>
    </row>
    <row r="191" spans="1:4" x14ac:dyDescent="0.2">
      <c r="A191" s="23" t="s">
        <v>103</v>
      </c>
      <c r="B191" s="23" t="s">
        <v>9</v>
      </c>
      <c r="C191" s="23" t="s">
        <v>15</v>
      </c>
      <c r="D191" s="23">
        <v>11.111111111111111</v>
      </c>
    </row>
    <row r="192" spans="1:4" x14ac:dyDescent="0.2">
      <c r="A192" s="23" t="s">
        <v>102</v>
      </c>
      <c r="B192" s="23" t="s">
        <v>9</v>
      </c>
      <c r="C192" s="23" t="s">
        <v>15</v>
      </c>
      <c r="D192" s="23">
        <v>11.111111111111111</v>
      </c>
    </row>
    <row r="193" spans="1:4" x14ac:dyDescent="0.2">
      <c r="A193" s="23" t="s">
        <v>101</v>
      </c>
      <c r="B193" s="23" t="s">
        <v>9</v>
      </c>
      <c r="C193" s="23" t="s">
        <v>15</v>
      </c>
      <c r="D193" s="23">
        <v>11.111111111111111</v>
      </c>
    </row>
    <row r="194" spans="1:4" x14ac:dyDescent="0.2">
      <c r="A194" s="23" t="s">
        <v>107</v>
      </c>
      <c r="B194" s="23" t="s">
        <v>7</v>
      </c>
      <c r="C194" s="23" t="s">
        <v>11</v>
      </c>
      <c r="D194" s="23">
        <v>38.46153846153846</v>
      </c>
    </row>
    <row r="195" spans="1:4" x14ac:dyDescent="0.2">
      <c r="A195" s="23" t="s">
        <v>108</v>
      </c>
      <c r="B195" s="23" t="s">
        <v>5</v>
      </c>
      <c r="C195" s="23" t="s">
        <v>11</v>
      </c>
      <c r="D195" s="23">
        <v>15.625</v>
      </c>
    </row>
    <row r="196" spans="1:4" x14ac:dyDescent="0.2">
      <c r="A196" s="23" t="s">
        <v>110</v>
      </c>
      <c r="B196" s="23" t="s">
        <v>13</v>
      </c>
      <c r="C196" s="23" t="s">
        <v>11</v>
      </c>
      <c r="D196" s="23">
        <v>19.23076923076923</v>
      </c>
    </row>
    <row r="197" spans="1:4" x14ac:dyDescent="0.2">
      <c r="A197" s="23" t="s">
        <v>109</v>
      </c>
      <c r="B197" s="23" t="s">
        <v>5</v>
      </c>
      <c r="C197" s="23" t="s">
        <v>11</v>
      </c>
      <c r="D197" s="23">
        <v>15.625</v>
      </c>
    </row>
    <row r="198" spans="1:4" x14ac:dyDescent="0.2">
      <c r="A198" s="23" t="s">
        <v>111</v>
      </c>
      <c r="B198" s="23" t="s">
        <v>5</v>
      </c>
      <c r="C198" s="23" t="s">
        <v>11</v>
      </c>
      <c r="D198" s="23">
        <v>15.625</v>
      </c>
    </row>
    <row r="199" spans="1:4" x14ac:dyDescent="0.2">
      <c r="A199" s="23" t="s">
        <v>112</v>
      </c>
      <c r="B199" s="23" t="s">
        <v>13</v>
      </c>
      <c r="C199" s="23" t="s">
        <v>11</v>
      </c>
      <c r="D199" s="23">
        <v>19.23076923076923</v>
      </c>
    </row>
    <row r="200" spans="1:4" x14ac:dyDescent="0.2">
      <c r="A200" s="23" t="s">
        <v>113</v>
      </c>
      <c r="B200" s="23" t="s">
        <v>9</v>
      </c>
      <c r="C200" s="23" t="s">
        <v>11</v>
      </c>
      <c r="D200" s="23">
        <v>35.714285714285715</v>
      </c>
    </row>
    <row r="201" spans="1:4" x14ac:dyDescent="0.2">
      <c r="A201" s="23" t="s">
        <v>114</v>
      </c>
      <c r="B201" s="23" t="s">
        <v>13</v>
      </c>
      <c r="C201" s="23" t="s">
        <v>11</v>
      </c>
      <c r="D201" s="23">
        <v>3.8461538461538463</v>
      </c>
    </row>
    <row r="202" spans="1:4" x14ac:dyDescent="0.2">
      <c r="A202" s="23" t="s">
        <v>115</v>
      </c>
      <c r="B202" s="23" t="s">
        <v>13</v>
      </c>
      <c r="C202" s="23" t="s">
        <v>11</v>
      </c>
      <c r="D202" s="23">
        <v>3.8461538461538463</v>
      </c>
    </row>
    <row r="203" spans="1:4" x14ac:dyDescent="0.2">
      <c r="A203" s="23" t="s">
        <v>116</v>
      </c>
      <c r="B203" s="23" t="s">
        <v>13</v>
      </c>
      <c r="C203" s="23" t="s">
        <v>11</v>
      </c>
      <c r="D203" s="23">
        <v>3.8461538461538463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O29"/>
  <sheetViews>
    <sheetView zoomScale="130" zoomScaleNormal="130" workbookViewId="0">
      <pane ySplit="1" topLeftCell="A2" activePane="bottomLeft" state="frozen"/>
      <selection pane="bottomLeft" activeCell="H31" sqref="H31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18.6640625" bestFit="1" customWidth="1"/>
    <col min="7" max="7" width="12" bestFit="1" customWidth="1"/>
    <col min="8" max="8" width="8.1640625" bestFit="1" customWidth="1"/>
    <col min="9" max="9" width="10.33203125" bestFit="1" customWidth="1"/>
    <col min="10" max="10" width="7.1640625" bestFit="1" customWidth="1"/>
    <col min="11" max="11" width="7" bestFit="1" customWidth="1"/>
    <col min="12" max="12" width="4.5" customWidth="1"/>
    <col min="14" max="14" width="30" bestFit="1" customWidth="1"/>
    <col min="15" max="15" width="6" bestFit="1" customWidth="1"/>
  </cols>
  <sheetData>
    <row r="1" spans="1:15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s="2" t="s">
        <v>131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/>
      <c r="N1" s="7" t="s">
        <v>77</v>
      </c>
      <c r="O1" s="7" t="s">
        <v>78</v>
      </c>
    </row>
    <row r="2" spans="1:15" x14ac:dyDescent="0.2">
      <c r="A2" s="2" t="s">
        <v>49</v>
      </c>
      <c r="B2" s="3" t="s">
        <v>50</v>
      </c>
      <c r="C2" s="3" t="s">
        <v>24</v>
      </c>
      <c r="D2" s="3" t="s">
        <v>11</v>
      </c>
      <c r="E2" s="3" t="s">
        <v>5</v>
      </c>
      <c r="F2" s="3" t="s">
        <v>135</v>
      </c>
      <c r="G2" s="3">
        <v>4</v>
      </c>
      <c r="H2" s="9"/>
      <c r="I2" s="9"/>
      <c r="J2" s="9"/>
      <c r="K2" s="9"/>
      <c r="L2" s="9"/>
      <c r="N2" t="str">
        <f>D2&amp;"-"&amp;C2</f>
        <v>eCommerce-GP ECL</v>
      </c>
      <c r="O2" t="str">
        <f>IF(ISNA(VLOOKUP(N2,weights_ra!R:R,1,FALSE)),"ALERT","Ok")</f>
        <v>ALERT</v>
      </c>
    </row>
    <row r="3" spans="1:15" x14ac:dyDescent="0.2">
      <c r="A3" s="2" t="s">
        <v>51</v>
      </c>
      <c r="B3" s="3" t="s">
        <v>52</v>
      </c>
      <c r="C3" s="3" t="s">
        <v>22</v>
      </c>
      <c r="D3" s="3" t="s">
        <v>16</v>
      </c>
      <c r="E3" s="3" t="s">
        <v>5</v>
      </c>
      <c r="F3" s="3" t="s">
        <v>132</v>
      </c>
      <c r="G3" s="3">
        <v>1</v>
      </c>
      <c r="H3" s="9"/>
      <c r="I3" s="9"/>
      <c r="J3" s="9"/>
      <c r="K3" s="9"/>
      <c r="L3" s="9"/>
      <c r="N3" t="str">
        <f t="shared" ref="N3:N22" si="0">D3&amp;"-"&amp;C3</f>
        <v>Mail-GP B2B</v>
      </c>
      <c r="O3" t="str">
        <f>IF(ISNA(VLOOKUP(N3,weights_ra!R:R,1,FALSE)),"ALERT","Ok")</f>
        <v>Ok</v>
      </c>
    </row>
    <row r="4" spans="1:15" x14ac:dyDescent="0.2">
      <c r="A4" s="2" t="s">
        <v>61</v>
      </c>
      <c r="B4" s="3" t="s">
        <v>62</v>
      </c>
      <c r="C4" s="3" t="s">
        <v>8</v>
      </c>
      <c r="D4" s="3" t="s">
        <v>16</v>
      </c>
      <c r="E4" s="3" t="s">
        <v>7</v>
      </c>
      <c r="F4" s="3" t="s">
        <v>133</v>
      </c>
      <c r="G4" s="3">
        <v>1</v>
      </c>
      <c r="H4" s="9"/>
      <c r="I4" s="9"/>
      <c r="J4" s="9"/>
      <c r="K4" s="9"/>
      <c r="L4" s="9"/>
      <c r="N4" t="str">
        <f t="shared" si="0"/>
        <v>Mail-EDO</v>
      </c>
      <c r="O4" t="str">
        <f>IF(ISNA(VLOOKUP(N4,weights_ra!R:R,1,FALSE)),"ALERT","Ok")</f>
        <v>Ok</v>
      </c>
    </row>
    <row r="5" spans="1:15" x14ac:dyDescent="0.2">
      <c r="A5" s="2" t="s">
        <v>47</v>
      </c>
      <c r="B5" s="3" t="s">
        <v>48</v>
      </c>
      <c r="C5" s="3" t="s">
        <v>14</v>
      </c>
      <c r="D5" s="3" t="s">
        <v>11</v>
      </c>
      <c r="E5" s="3" t="s">
        <v>6</v>
      </c>
      <c r="F5" s="3" t="s">
        <v>134</v>
      </c>
      <c r="G5" s="3">
        <v>1</v>
      </c>
      <c r="H5" s="9"/>
      <c r="I5" s="9"/>
      <c r="J5" s="9"/>
      <c r="K5" s="9"/>
      <c r="L5" s="9"/>
      <c r="N5" t="str">
        <f t="shared" si="0"/>
        <v>eCommerce-DAI</v>
      </c>
      <c r="O5" t="str">
        <f>IF(ISNA(VLOOKUP(N5,weights_ra!R:R,1,FALSE)),"ALERT","Ok")</f>
        <v>ALERT</v>
      </c>
    </row>
    <row r="6" spans="1:15" x14ac:dyDescent="0.2">
      <c r="A6" s="2" t="s">
        <v>67</v>
      </c>
      <c r="B6" s="3" t="s">
        <v>68</v>
      </c>
      <c r="C6" s="3" t="s">
        <v>25</v>
      </c>
      <c r="D6" s="3" t="s">
        <v>17</v>
      </c>
      <c r="E6" s="3" t="s">
        <v>5</v>
      </c>
      <c r="F6" s="3" t="s">
        <v>132</v>
      </c>
      <c r="G6" s="3">
        <v>1</v>
      </c>
      <c r="H6" s="9"/>
      <c r="I6" s="9"/>
      <c r="J6" s="9"/>
      <c r="K6" s="9"/>
      <c r="L6" s="9"/>
      <c r="N6" t="str">
        <f t="shared" si="0"/>
        <v>Payments-GPG</v>
      </c>
      <c r="O6" t="str">
        <f>IF(ISNA(VLOOKUP(N6,weights_ra!R:R,1,FALSE)),"ALERT","Ok")</f>
        <v>ALERT</v>
      </c>
    </row>
    <row r="7" spans="1:15" x14ac:dyDescent="0.2">
      <c r="A7" s="2" t="s">
        <v>53</v>
      </c>
      <c r="B7" s="3" t="s">
        <v>54</v>
      </c>
      <c r="C7" s="3" t="s">
        <v>24</v>
      </c>
      <c r="D7" s="3" t="s">
        <v>11</v>
      </c>
      <c r="E7" s="3" t="s">
        <v>5</v>
      </c>
      <c r="F7" s="3" t="s">
        <v>135</v>
      </c>
      <c r="G7" s="3">
        <v>3</v>
      </c>
      <c r="H7" s="9"/>
      <c r="I7" s="9"/>
      <c r="J7" s="9"/>
      <c r="K7" s="9"/>
      <c r="L7" s="9"/>
      <c r="N7" t="str">
        <f t="shared" si="0"/>
        <v>eCommerce-GP ECL</v>
      </c>
      <c r="O7" t="str">
        <f>IF(ISNA(VLOOKUP(N7,weights_ra!R:R,1,FALSE)),"ALERT","Ok")</f>
        <v>ALERT</v>
      </c>
    </row>
    <row r="8" spans="1:15" x14ac:dyDescent="0.2">
      <c r="A8" s="2" t="s">
        <v>57</v>
      </c>
      <c r="B8" s="3" t="s">
        <v>58</v>
      </c>
      <c r="C8" s="3" t="s">
        <v>24</v>
      </c>
      <c r="D8" s="3" t="s">
        <v>15</v>
      </c>
      <c r="E8" s="3" t="s">
        <v>7</v>
      </c>
      <c r="F8" s="3" t="s">
        <v>136</v>
      </c>
      <c r="G8" s="3">
        <v>1</v>
      </c>
      <c r="H8" s="9"/>
      <c r="I8" s="9"/>
      <c r="J8" s="9"/>
      <c r="K8" s="9"/>
      <c r="L8" s="9"/>
      <c r="N8" t="str">
        <f t="shared" si="0"/>
        <v>Fulfilment-GP ECL</v>
      </c>
      <c r="O8" t="str">
        <f>IF(ISNA(VLOOKUP(N8,weights_ra!R:R,1,FALSE)),"ALERT","Ok")</f>
        <v>ALERT</v>
      </c>
    </row>
    <row r="9" spans="1:15" x14ac:dyDescent="0.2">
      <c r="A9" s="2" t="s">
        <v>45</v>
      </c>
      <c r="B9" s="3" t="s">
        <v>46</v>
      </c>
      <c r="C9" s="3" t="s">
        <v>14</v>
      </c>
      <c r="D9" s="3" t="s">
        <v>4</v>
      </c>
      <c r="E9" s="3" t="s">
        <v>6</v>
      </c>
      <c r="F9" s="3" t="s">
        <v>137</v>
      </c>
      <c r="G9" s="3">
        <v>2</v>
      </c>
      <c r="H9" s="9"/>
      <c r="I9" s="9"/>
      <c r="J9" s="9"/>
      <c r="K9" s="9"/>
      <c r="L9" s="9"/>
      <c r="N9" t="str">
        <f t="shared" si="0"/>
        <v>Business Solutions-DAI</v>
      </c>
      <c r="O9" t="str">
        <f>IF(ISNA(VLOOKUP(N9,weights_ra!R:R,1,FALSE)),"ALERT","Ok")</f>
        <v>ALERT</v>
      </c>
    </row>
    <row r="10" spans="1:15" x14ac:dyDescent="0.2">
      <c r="A10" s="2" t="s">
        <v>65</v>
      </c>
      <c r="B10" s="3" t="s">
        <v>66</v>
      </c>
      <c r="C10" s="3" t="s">
        <v>10</v>
      </c>
      <c r="D10" s="3" t="s">
        <v>16</v>
      </c>
      <c r="E10" s="3" t="s">
        <v>9</v>
      </c>
      <c r="F10" s="3" t="s">
        <v>134</v>
      </c>
      <c r="G10" s="3">
        <v>2</v>
      </c>
      <c r="H10" s="9"/>
      <c r="I10" s="9"/>
      <c r="J10" s="9"/>
      <c r="K10" s="9"/>
      <c r="L10" s="9"/>
      <c r="N10" t="str">
        <f t="shared" si="0"/>
        <v>Mail-SI</v>
      </c>
      <c r="O10" t="str">
        <f>IF(ISNA(VLOOKUP(N10,weights_ra!R:R,1,FALSE)),"ALERT","Ok")</f>
        <v>ALERT</v>
      </c>
    </row>
    <row r="11" spans="1:15" x14ac:dyDescent="0.2">
      <c r="A11" s="2" t="s">
        <v>73</v>
      </c>
      <c r="B11" s="3" t="s">
        <v>74</v>
      </c>
      <c r="C11" s="3" t="s">
        <v>26</v>
      </c>
      <c r="D11" s="3" t="s">
        <v>18</v>
      </c>
      <c r="E11" s="3" t="s">
        <v>5</v>
      </c>
      <c r="F11" s="3" t="s">
        <v>138</v>
      </c>
      <c r="G11" s="3">
        <v>1</v>
      </c>
      <c r="H11" s="9"/>
      <c r="I11" s="9"/>
      <c r="J11" s="9"/>
      <c r="K11" s="9"/>
      <c r="L11" s="9"/>
      <c r="N11" t="str">
        <f t="shared" si="0"/>
        <v>Retail &amp; Financial Services-GP B2C</v>
      </c>
      <c r="O11" t="str">
        <f>IF(ISNA(VLOOKUP(N11,weights_ra!R:R,1,FALSE)),"ALERT","Ok")</f>
        <v>ALERT</v>
      </c>
    </row>
    <row r="12" spans="1:15" x14ac:dyDescent="0.2">
      <c r="A12" s="2" t="s">
        <v>39</v>
      </c>
      <c r="B12" s="3" t="s">
        <v>40</v>
      </c>
      <c r="C12" s="3" t="s">
        <v>12</v>
      </c>
      <c r="D12" s="3" t="s">
        <v>11</v>
      </c>
      <c r="E12" s="3" t="s">
        <v>12</v>
      </c>
      <c r="F12" s="3" t="s">
        <v>134</v>
      </c>
      <c r="G12" s="3">
        <v>1</v>
      </c>
      <c r="H12" s="9"/>
      <c r="I12" s="9"/>
      <c r="J12" s="9"/>
      <c r="K12" s="9"/>
      <c r="L12" s="9"/>
      <c r="N12" t="str">
        <f t="shared" si="0"/>
        <v>eCommerce-CISO</v>
      </c>
      <c r="O12" t="str">
        <f>IF(ISNA(VLOOKUP(N12,weights_ra!R:R,1,FALSE)),"ALERT","Ok")</f>
        <v>ALERT</v>
      </c>
    </row>
    <row r="13" spans="1:15" x14ac:dyDescent="0.2">
      <c r="A13" s="2" t="s">
        <v>35</v>
      </c>
      <c r="B13" s="3" t="s">
        <v>36</v>
      </c>
      <c r="C13" s="3" t="s">
        <v>75</v>
      </c>
      <c r="D13" s="3" t="s">
        <v>16</v>
      </c>
      <c r="E13" s="3" t="s">
        <v>13</v>
      </c>
      <c r="F13" s="3" t="s">
        <v>139</v>
      </c>
      <c r="G13" s="3">
        <v>1</v>
      </c>
      <c r="H13" s="9"/>
      <c r="I13" s="9"/>
      <c r="J13" s="9"/>
      <c r="K13" s="9"/>
      <c r="L13" s="9"/>
      <c r="N13" t="str">
        <f t="shared" si="0"/>
        <v>Mail-BCTT</v>
      </c>
      <c r="O13" t="str">
        <f>IF(ISNA(VLOOKUP(N13,weights_ra!R:R,1,FALSE)),"ALERT","Ok")</f>
        <v>Ok</v>
      </c>
    </row>
    <row r="14" spans="1:15" x14ac:dyDescent="0.2">
      <c r="A14" s="2" t="s">
        <v>43</v>
      </c>
      <c r="B14" s="3" t="s">
        <v>44</v>
      </c>
      <c r="C14" s="3" t="s">
        <v>76</v>
      </c>
      <c r="D14" s="3" t="s">
        <v>16</v>
      </c>
      <c r="E14" s="3" t="s">
        <v>13</v>
      </c>
      <c r="F14" s="3" t="s">
        <v>135</v>
      </c>
      <c r="G14" s="3">
        <v>1</v>
      </c>
      <c r="H14" s="9"/>
      <c r="I14" s="9"/>
      <c r="J14" s="9"/>
      <c r="K14" s="9"/>
      <c r="L14" s="9"/>
      <c r="N14" t="str">
        <f t="shared" si="0"/>
        <v>Mail-GRH</v>
      </c>
      <c r="O14" t="str">
        <f>IF(ISNA(VLOOKUP(N14,weights_ra!R:R,1,FALSE)),"ALERT","Ok")</f>
        <v>Ok</v>
      </c>
    </row>
    <row r="15" spans="1:15" x14ac:dyDescent="0.2">
      <c r="A15" s="2" t="s">
        <v>69</v>
      </c>
      <c r="B15" s="3" t="s">
        <v>70</v>
      </c>
      <c r="C15" s="3" t="s">
        <v>25</v>
      </c>
      <c r="D15" s="3" t="s">
        <v>17</v>
      </c>
      <c r="E15" s="3" t="s">
        <v>5</v>
      </c>
      <c r="F15" s="3" t="s">
        <v>140</v>
      </c>
      <c r="G15" s="3">
        <v>2</v>
      </c>
      <c r="H15" s="9"/>
      <c r="I15" s="9"/>
      <c r="J15" s="9"/>
      <c r="K15" s="9"/>
      <c r="L15" s="9"/>
      <c r="N15" t="str">
        <f t="shared" si="0"/>
        <v>Payments-GPG</v>
      </c>
      <c r="O15" t="str">
        <f>IF(ISNA(VLOOKUP(N15,weights_ra!R:R,1,FALSE)),"ALERT","Ok")</f>
        <v>ALERT</v>
      </c>
    </row>
    <row r="16" spans="1:15" x14ac:dyDescent="0.2">
      <c r="A16" s="2" t="s">
        <v>55</v>
      </c>
      <c r="B16" s="3" t="s">
        <v>56</v>
      </c>
      <c r="C16" s="3" t="s">
        <v>10</v>
      </c>
      <c r="D16" s="3" t="s">
        <v>11</v>
      </c>
      <c r="E16" s="3" t="s">
        <v>9</v>
      </c>
      <c r="F16" s="3" t="s">
        <v>141</v>
      </c>
      <c r="G16" s="3">
        <v>1</v>
      </c>
      <c r="H16" s="9"/>
      <c r="I16" s="9"/>
      <c r="J16" s="9"/>
      <c r="K16" s="9"/>
      <c r="L16" s="9"/>
      <c r="N16" t="str">
        <f t="shared" si="0"/>
        <v>eCommerce-SI</v>
      </c>
      <c r="O16" t="str">
        <f>IF(ISNA(VLOOKUP(N16,weights_ra!R:R,1,FALSE)),"ALERT","Ok")</f>
        <v>ALERT</v>
      </c>
    </row>
    <row r="17" spans="1:15" x14ac:dyDescent="0.2">
      <c r="A17" s="2" t="s">
        <v>63</v>
      </c>
      <c r="B17" s="3" t="s">
        <v>64</v>
      </c>
      <c r="C17" s="3" t="s">
        <v>8</v>
      </c>
      <c r="D17" s="3" t="s">
        <v>16</v>
      </c>
      <c r="E17" s="3" t="s">
        <v>7</v>
      </c>
      <c r="F17" s="3" t="s">
        <v>132</v>
      </c>
      <c r="G17" s="3">
        <v>2</v>
      </c>
      <c r="H17" s="9"/>
      <c r="I17" s="9"/>
      <c r="J17" s="9"/>
      <c r="K17" s="9"/>
      <c r="L17" s="9"/>
      <c r="N17" t="str">
        <f t="shared" si="0"/>
        <v>Mail-EDO</v>
      </c>
      <c r="O17" t="str">
        <f>IF(ISNA(VLOOKUP(N17,weights_ra!R:R,1,FALSE)),"ALERT","Ok")</f>
        <v>Ok</v>
      </c>
    </row>
    <row r="18" spans="1:15" x14ac:dyDescent="0.2">
      <c r="A18" s="2" t="s">
        <v>59</v>
      </c>
      <c r="B18" s="3" t="s">
        <v>60</v>
      </c>
      <c r="C18" s="3" t="s">
        <v>24</v>
      </c>
      <c r="D18" s="3" t="s">
        <v>15</v>
      </c>
      <c r="E18" s="3" t="s">
        <v>7</v>
      </c>
      <c r="F18" s="3" t="s">
        <v>142</v>
      </c>
      <c r="G18" s="3">
        <v>2</v>
      </c>
      <c r="H18" s="9"/>
      <c r="I18" s="9"/>
      <c r="J18" s="9"/>
      <c r="K18" s="9"/>
      <c r="L18" s="9"/>
      <c r="N18" t="str">
        <f t="shared" si="0"/>
        <v>Fulfilment-GP ECL</v>
      </c>
      <c r="O18" t="str">
        <f>IF(ISNA(VLOOKUP(N18,weights_ra!R:R,1,FALSE)),"ALERT","Ok")</f>
        <v>ALERT</v>
      </c>
    </row>
    <row r="19" spans="1:15" x14ac:dyDescent="0.2">
      <c r="A19" s="2" t="s">
        <v>37</v>
      </c>
      <c r="B19" s="3" t="s">
        <v>38</v>
      </c>
      <c r="C19" s="3" t="s">
        <v>22</v>
      </c>
      <c r="D19" s="3" t="s">
        <v>4</v>
      </c>
      <c r="E19" s="3" t="s">
        <v>5</v>
      </c>
      <c r="F19" s="3" t="s">
        <v>133</v>
      </c>
      <c r="G19" s="3">
        <v>2</v>
      </c>
      <c r="H19" s="9"/>
      <c r="I19" s="9"/>
      <c r="J19" s="9"/>
      <c r="K19" s="9"/>
      <c r="L19" s="9"/>
      <c r="N19" t="str">
        <f t="shared" si="0"/>
        <v>Business Solutions-GP B2B</v>
      </c>
      <c r="O19" t="str">
        <f>IF(ISNA(VLOOKUP(N19,weights_ra!R:R,1,FALSE)),"ALERT","Ok")</f>
        <v>Ok</v>
      </c>
    </row>
    <row r="20" spans="1:15" x14ac:dyDescent="0.2">
      <c r="A20" s="2" t="s">
        <v>71</v>
      </c>
      <c r="B20" s="3" t="s">
        <v>72</v>
      </c>
      <c r="C20" s="3" t="s">
        <v>10</v>
      </c>
      <c r="D20" s="3" t="s">
        <v>18</v>
      </c>
      <c r="E20" s="3" t="s">
        <v>9</v>
      </c>
      <c r="F20" s="3" t="s">
        <v>137</v>
      </c>
      <c r="G20" s="3">
        <v>3</v>
      </c>
      <c r="H20" s="9"/>
      <c r="I20" s="9"/>
      <c r="J20" s="9"/>
      <c r="K20" s="9"/>
      <c r="L20" s="9"/>
      <c r="N20" t="str">
        <f t="shared" si="0"/>
        <v>Retail &amp; Financial Services-SI</v>
      </c>
      <c r="O20" t="str">
        <f>IF(ISNA(VLOOKUP(N20,weights_ra!R:R,1,FALSE)),"ALERT","Ok")</f>
        <v>ALERT</v>
      </c>
    </row>
    <row r="21" spans="1:15" x14ac:dyDescent="0.2">
      <c r="A21" s="2" t="s">
        <v>41</v>
      </c>
      <c r="B21" s="3" t="s">
        <v>42</v>
      </c>
      <c r="C21" s="3" t="s">
        <v>12</v>
      </c>
      <c r="D21" s="3" t="s">
        <v>19</v>
      </c>
      <c r="E21" s="3" t="s">
        <v>12</v>
      </c>
      <c r="F21" s="3" t="s">
        <v>132</v>
      </c>
      <c r="G21" s="3">
        <v>2</v>
      </c>
      <c r="H21" s="9"/>
      <c r="I21" s="9"/>
      <c r="J21" s="9"/>
      <c r="K21" s="9"/>
      <c r="L21" s="9"/>
      <c r="N21" t="str">
        <f t="shared" si="0"/>
        <v>Banco CTT-CISO</v>
      </c>
      <c r="O21" t="str">
        <f>IF(ISNA(VLOOKUP(N21,weights_ra!R:R,1,FALSE)),"ALERT","Ok")</f>
        <v>ALERT</v>
      </c>
    </row>
    <row r="22" spans="1:15" x14ac:dyDescent="0.2">
      <c r="A22" s="2" t="s">
        <v>143</v>
      </c>
      <c r="B22" s="3" t="s">
        <v>147</v>
      </c>
      <c r="C22" s="3" t="s">
        <v>10</v>
      </c>
      <c r="D22" s="3" t="s">
        <v>16</v>
      </c>
      <c r="E22" s="3" t="s">
        <v>9</v>
      </c>
      <c r="F22" s="3" t="s">
        <v>134</v>
      </c>
      <c r="G22" s="3">
        <v>4</v>
      </c>
      <c r="H22">
        <v>2</v>
      </c>
      <c r="N22" t="str">
        <f t="shared" si="0"/>
        <v>Mail-SI</v>
      </c>
    </row>
    <row r="23" spans="1:15" x14ac:dyDescent="0.2">
      <c r="A23" s="2" t="s">
        <v>144</v>
      </c>
      <c r="B23" s="3" t="s">
        <v>148</v>
      </c>
      <c r="C23" s="3" t="s">
        <v>10</v>
      </c>
      <c r="D23" s="3" t="s">
        <v>16</v>
      </c>
      <c r="E23" s="3" t="s">
        <v>9</v>
      </c>
      <c r="F23" s="3" t="s">
        <v>134</v>
      </c>
      <c r="G23" s="3">
        <v>5</v>
      </c>
      <c r="H23">
        <v>3</v>
      </c>
    </row>
    <row r="24" spans="1:15" x14ac:dyDescent="0.2">
      <c r="A24" s="2" t="s">
        <v>145</v>
      </c>
      <c r="B24" s="3" t="s">
        <v>149</v>
      </c>
      <c r="C24" s="3" t="s">
        <v>10</v>
      </c>
      <c r="D24" s="3" t="s">
        <v>16</v>
      </c>
      <c r="E24" s="3" t="s">
        <v>9</v>
      </c>
      <c r="F24" s="3" t="s">
        <v>134</v>
      </c>
      <c r="G24" s="3">
        <v>6</v>
      </c>
      <c r="H24">
        <v>4</v>
      </c>
    </row>
    <row r="25" spans="1:15" x14ac:dyDescent="0.2">
      <c r="A25" s="2" t="s">
        <v>146</v>
      </c>
      <c r="B25" s="3" t="s">
        <v>150</v>
      </c>
      <c r="C25" s="3" t="s">
        <v>10</v>
      </c>
      <c r="D25" s="3" t="s">
        <v>16</v>
      </c>
      <c r="E25" s="3" t="s">
        <v>9</v>
      </c>
      <c r="F25" s="3" t="s">
        <v>134</v>
      </c>
      <c r="G25" s="3">
        <v>7</v>
      </c>
      <c r="H25">
        <v>5</v>
      </c>
    </row>
    <row r="26" spans="1:15" x14ac:dyDescent="0.2">
      <c r="A26" s="2" t="s">
        <v>151</v>
      </c>
      <c r="B26" s="3" t="s">
        <v>152</v>
      </c>
      <c r="C26" s="3" t="s">
        <v>10</v>
      </c>
      <c r="D26" s="3" t="s">
        <v>11</v>
      </c>
      <c r="E26" s="3" t="s">
        <v>9</v>
      </c>
      <c r="F26" s="3" t="s">
        <v>134</v>
      </c>
      <c r="G26" s="3">
        <v>8</v>
      </c>
      <c r="H26">
        <v>6</v>
      </c>
    </row>
    <row r="27" spans="1:15" x14ac:dyDescent="0.2">
      <c r="A27" s="2" t="s">
        <v>153</v>
      </c>
      <c r="B27" s="3" t="s">
        <v>154</v>
      </c>
      <c r="C27" s="3" t="s">
        <v>10</v>
      </c>
      <c r="D27" s="3" t="s">
        <v>11</v>
      </c>
      <c r="E27" s="3" t="s">
        <v>9</v>
      </c>
      <c r="F27" s="3" t="s">
        <v>134</v>
      </c>
      <c r="G27" s="3">
        <v>9</v>
      </c>
      <c r="H27">
        <v>7</v>
      </c>
    </row>
    <row r="28" spans="1:15" x14ac:dyDescent="0.2">
      <c r="A28" s="2" t="s">
        <v>155</v>
      </c>
      <c r="B28" s="3" t="s">
        <v>156</v>
      </c>
      <c r="C28" s="3" t="s">
        <v>10</v>
      </c>
      <c r="D28" s="3" t="s">
        <v>11</v>
      </c>
      <c r="E28" s="3" t="s">
        <v>9</v>
      </c>
      <c r="F28" s="3" t="s">
        <v>134</v>
      </c>
      <c r="G28" s="3">
        <v>10</v>
      </c>
      <c r="H28">
        <v>8</v>
      </c>
    </row>
    <row r="29" spans="1:15" x14ac:dyDescent="0.2">
      <c r="A29" s="2" t="s">
        <v>157</v>
      </c>
      <c r="B29" s="3" t="s">
        <v>158</v>
      </c>
      <c r="C29" s="3" t="s">
        <v>10</v>
      </c>
      <c r="D29" s="3" t="s">
        <v>11</v>
      </c>
      <c r="E29" s="3" t="s">
        <v>9</v>
      </c>
      <c r="F29" s="3" t="s">
        <v>134</v>
      </c>
      <c r="G29" s="3">
        <v>11</v>
      </c>
      <c r="H29">
        <v>9</v>
      </c>
    </row>
  </sheetData>
  <autoFilter ref="A1:K21" xr:uid="{25D437AB-C2CB-8D43-BD8D-11D3278E662B}">
    <sortState xmlns:xlrd2="http://schemas.microsoft.com/office/spreadsheetml/2017/richdata2" ref="A2:K21">
      <sortCondition ref="A1:A21"/>
    </sortState>
  </autoFilter>
  <phoneticPr fontId="11" type="noConversion"/>
  <conditionalFormatting sqref="N1">
    <cfRule type="cellIs" dxfId="1" priority="1" operator="equal">
      <formula>"ALERT"</formula>
    </cfRule>
  </conditionalFormatting>
  <conditionalFormatting sqref="O1:O1048576">
    <cfRule type="cellIs" dxfId="0" priority="2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DEMAND WEIGHTS</vt:lpstr>
      <vt:lpstr>weights_rs</vt:lpstr>
      <vt:lpstr>weights_ra</vt:lpstr>
      <vt:lpstr>EXPORT-CSV-RA</vt:lpstr>
      <vt:lpstr>ideas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2026-02-08T10:57:53Z</dcterms:modified>
</cp:coreProperties>
</file>