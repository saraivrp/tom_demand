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E26E36CD-D9A2-3249-9C97-92A6F7624178}" xr6:coauthVersionLast="47" xr6:coauthVersionMax="47" xr10:uidLastSave="{00000000-0000-0000-0000-000000000000}"/>
  <bookViews>
    <workbookView xWindow="5160" yWindow="680" windowWidth="25080" windowHeight="18960" activeTab="1" xr2:uid="{9D2BC160-0631-EE46-87AB-AABB69ACE5D9}"/>
  </bookViews>
  <sheets>
    <sheet name="DEMAND WEIGHTS" sheetId="4" r:id="rId1"/>
    <sheet name="weights_rs" sheetId="1" r:id="rId2"/>
    <sheet name="weights_ra" sheetId="2" r:id="rId3"/>
    <sheet name="EXPORT-CSV-RA" sheetId="5" r:id="rId4"/>
    <sheet name="ideas-test" sheetId="3" r:id="rId5"/>
  </sheets>
  <definedNames>
    <definedName name="_xlnm._FilterDatabase" localSheetId="4" hidden="1">'ideas-test'!$A$1:$K$21</definedName>
    <definedName name="_xlnm._FilterDatabase" localSheetId="2" hidden="1">weights_ra!$B$2:$D$204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4" i="2" l="1"/>
  <c r="C203" i="2"/>
  <c r="C202" i="2"/>
  <c r="C201" i="2"/>
  <c r="C200" i="2"/>
  <c r="C199" i="2"/>
  <c r="F199" i="2" s="1"/>
  <c r="C198" i="2"/>
  <c r="F198" i="2" s="1"/>
  <c r="C197" i="2"/>
  <c r="F197" i="2" s="1"/>
  <c r="C196" i="2"/>
  <c r="F196" i="2" s="1"/>
  <c r="E196" i="2" s="1"/>
  <c r="C195" i="2"/>
  <c r="F195" i="2" s="1"/>
  <c r="C194" i="2"/>
  <c r="C193" i="2"/>
  <c r="C192" i="2"/>
  <c r="C191" i="2"/>
  <c r="C190" i="2"/>
  <c r="C189" i="2"/>
  <c r="F189" i="2" s="1"/>
  <c r="C188" i="2"/>
  <c r="F188" i="2" s="1"/>
  <c r="C187" i="2"/>
  <c r="F187" i="2" s="1"/>
  <c r="C186" i="2"/>
  <c r="F186" i="2" s="1"/>
  <c r="E186" i="2" s="1"/>
  <c r="C185" i="2"/>
  <c r="F185" i="2" s="1"/>
  <c r="C184" i="2"/>
  <c r="C183" i="2"/>
  <c r="C182" i="2"/>
  <c r="C181" i="2"/>
  <c r="C180" i="2"/>
  <c r="C179" i="2"/>
  <c r="F179" i="2" s="1"/>
  <c r="C178" i="2"/>
  <c r="F178" i="2" s="1"/>
  <c r="C177" i="2"/>
  <c r="F177" i="2" s="1"/>
  <c r="C176" i="2"/>
  <c r="F176" i="2" s="1"/>
  <c r="E176" i="2" s="1"/>
  <c r="C175" i="2"/>
  <c r="F175" i="2" s="1"/>
  <c r="C174" i="2"/>
  <c r="C173" i="2"/>
  <c r="C172" i="2"/>
  <c r="C171" i="2"/>
  <c r="C170" i="2"/>
  <c r="C169" i="2"/>
  <c r="F169" i="2" s="1"/>
  <c r="C168" i="2"/>
  <c r="F168" i="2" s="1"/>
  <c r="C167" i="2"/>
  <c r="F167" i="2" s="1"/>
  <c r="C166" i="2"/>
  <c r="F166" i="2" s="1"/>
  <c r="C165" i="2"/>
  <c r="F165" i="2" s="1"/>
  <c r="C164" i="2"/>
  <c r="C163" i="2"/>
  <c r="C162" i="2"/>
  <c r="C161" i="2"/>
  <c r="C160" i="2"/>
  <c r="C159" i="2"/>
  <c r="F159" i="2" s="1"/>
  <c r="C158" i="2"/>
  <c r="F158" i="2" s="1"/>
  <c r="C157" i="2"/>
  <c r="F157" i="2" s="1"/>
  <c r="E198" i="2" s="1"/>
  <c r="C156" i="2"/>
  <c r="F156" i="2" s="1"/>
  <c r="C155" i="2"/>
  <c r="F155" i="2" s="1"/>
  <c r="C154" i="2"/>
  <c r="C153" i="2"/>
  <c r="C152" i="2"/>
  <c r="C151" i="2"/>
  <c r="C150" i="2"/>
  <c r="C149" i="2"/>
  <c r="F149" i="2" s="1"/>
  <c r="C148" i="2"/>
  <c r="F148" i="2" s="1"/>
  <c r="C147" i="2"/>
  <c r="F147" i="2" s="1"/>
  <c r="E189" i="2" s="1"/>
  <c r="C146" i="2"/>
  <c r="F146" i="2" s="1"/>
  <c r="C145" i="2"/>
  <c r="F145" i="2" s="1"/>
  <c r="C144" i="2"/>
  <c r="C143" i="2"/>
  <c r="C142" i="2"/>
  <c r="C141" i="2"/>
  <c r="C140" i="2"/>
  <c r="C139" i="2"/>
  <c r="F139" i="2" s="1"/>
  <c r="C138" i="2"/>
  <c r="F138" i="2" s="1"/>
  <c r="E138" i="2" s="1"/>
  <c r="C137" i="2"/>
  <c r="F137" i="2" s="1"/>
  <c r="E179" i="2" s="1"/>
  <c r="C136" i="2"/>
  <c r="F136" i="2" s="1"/>
  <c r="C135" i="2"/>
  <c r="F135" i="2" s="1"/>
  <c r="C134" i="2"/>
  <c r="C133" i="2"/>
  <c r="C132" i="2"/>
  <c r="C131" i="2"/>
  <c r="C130" i="2"/>
  <c r="C129" i="2"/>
  <c r="F129" i="2" s="1"/>
  <c r="C128" i="2"/>
  <c r="F128" i="2" s="1"/>
  <c r="C127" i="2"/>
  <c r="F127" i="2" s="1"/>
  <c r="E169" i="2" s="1"/>
  <c r="C126" i="2"/>
  <c r="F126" i="2" s="1"/>
  <c r="C125" i="2"/>
  <c r="F125" i="2" s="1"/>
  <c r="C124" i="2"/>
  <c r="C123" i="2"/>
  <c r="C122" i="2"/>
  <c r="C121" i="2"/>
  <c r="C120" i="2"/>
  <c r="C119" i="2"/>
  <c r="F119" i="2" s="1"/>
  <c r="C118" i="2"/>
  <c r="F118" i="2" s="1"/>
  <c r="E118" i="2" s="1"/>
  <c r="C117" i="2"/>
  <c r="F117" i="2" s="1"/>
  <c r="E159" i="2" s="1"/>
  <c r="C116" i="2"/>
  <c r="F116" i="2" s="1"/>
  <c r="C115" i="2"/>
  <c r="F115" i="2" s="1"/>
  <c r="C114" i="2"/>
  <c r="C113" i="2"/>
  <c r="C112" i="2"/>
  <c r="C111" i="2"/>
  <c r="C110" i="2"/>
  <c r="C109" i="2"/>
  <c r="F109" i="2" s="1"/>
  <c r="C108" i="2"/>
  <c r="F108" i="2" s="1"/>
  <c r="E108" i="2" s="1"/>
  <c r="C107" i="2"/>
  <c r="F107" i="2" s="1"/>
  <c r="E149" i="2" s="1"/>
  <c r="C106" i="2"/>
  <c r="F106" i="2" s="1"/>
  <c r="C105" i="2"/>
  <c r="F105" i="2" s="1"/>
  <c r="C104" i="2"/>
  <c r="C103" i="2"/>
  <c r="C102" i="2"/>
  <c r="C101" i="2"/>
  <c r="C100" i="2"/>
  <c r="C99" i="2"/>
  <c r="F99" i="2" s="1"/>
  <c r="C98" i="2"/>
  <c r="F98" i="2" s="1"/>
  <c r="E98" i="2" s="1"/>
  <c r="C97" i="2"/>
  <c r="F97" i="2" s="1"/>
  <c r="C96" i="2"/>
  <c r="F96" i="2" s="1"/>
  <c r="C95" i="2"/>
  <c r="F95" i="2" s="1"/>
  <c r="C94" i="2"/>
  <c r="C93" i="2"/>
  <c r="C92" i="2"/>
  <c r="C91" i="2"/>
  <c r="C90" i="2"/>
  <c r="C89" i="2"/>
  <c r="F89" i="2" s="1"/>
  <c r="C88" i="2"/>
  <c r="F88" i="2" s="1"/>
  <c r="E88" i="2" s="1"/>
  <c r="C87" i="2"/>
  <c r="F87" i="2" s="1"/>
  <c r="C86" i="2"/>
  <c r="F86" i="2" s="1"/>
  <c r="C85" i="2"/>
  <c r="F85" i="2" s="1"/>
  <c r="C84" i="2"/>
  <c r="C83" i="2"/>
  <c r="C82" i="2"/>
  <c r="C81" i="2"/>
  <c r="C80" i="2"/>
  <c r="C79" i="2"/>
  <c r="F79" i="2" s="1"/>
  <c r="C78" i="2"/>
  <c r="F78" i="2" s="1"/>
  <c r="E78" i="2" s="1"/>
  <c r="C77" i="2"/>
  <c r="F77" i="2" s="1"/>
  <c r="C76" i="2"/>
  <c r="F76" i="2" s="1"/>
  <c r="C75" i="2"/>
  <c r="F75" i="2" s="1"/>
  <c r="C74" i="2"/>
  <c r="C73" i="2"/>
  <c r="C72" i="2"/>
  <c r="C71" i="2"/>
  <c r="C70" i="2"/>
  <c r="C69" i="2"/>
  <c r="F69" i="2" s="1"/>
  <c r="C68" i="2"/>
  <c r="F68" i="2" s="1"/>
  <c r="C67" i="2"/>
  <c r="F67" i="2" s="1"/>
  <c r="C66" i="2"/>
  <c r="F66" i="2" s="1"/>
  <c r="C65" i="2"/>
  <c r="F65" i="2" s="1"/>
  <c r="C64" i="2"/>
  <c r="C63" i="2"/>
  <c r="C62" i="2"/>
  <c r="C61" i="2"/>
  <c r="C60" i="2"/>
  <c r="C59" i="2"/>
  <c r="F59" i="2" s="1"/>
  <c r="C58" i="2"/>
  <c r="F58" i="2" s="1"/>
  <c r="C57" i="2"/>
  <c r="F57" i="2" s="1"/>
  <c r="C56" i="2"/>
  <c r="F56" i="2" s="1"/>
  <c r="E56" i="2" s="1"/>
  <c r="C55" i="2"/>
  <c r="F55" i="2" s="1"/>
  <c r="C54" i="2"/>
  <c r="C53" i="2"/>
  <c r="C52" i="2"/>
  <c r="C51" i="2"/>
  <c r="C50" i="2"/>
  <c r="C49" i="2"/>
  <c r="F49" i="2" s="1"/>
  <c r="C48" i="2"/>
  <c r="F48" i="2" s="1"/>
  <c r="C47" i="2"/>
  <c r="F47" i="2" s="1"/>
  <c r="C46" i="2"/>
  <c r="F46" i="2" s="1"/>
  <c r="C45" i="2"/>
  <c r="F45" i="2" s="1"/>
  <c r="C44" i="2"/>
  <c r="C43" i="2"/>
  <c r="C42" i="2"/>
  <c r="C41" i="2"/>
  <c r="C40" i="2"/>
  <c r="C39" i="2"/>
  <c r="F39" i="2" s="1"/>
  <c r="C38" i="2"/>
  <c r="F38" i="2" s="1"/>
  <c r="C37" i="2"/>
  <c r="F37" i="2" s="1"/>
  <c r="C36" i="2"/>
  <c r="F36" i="2" s="1"/>
  <c r="C35" i="2"/>
  <c r="F35" i="2" s="1"/>
  <c r="C34" i="2"/>
  <c r="C33" i="2"/>
  <c r="C32" i="2"/>
  <c r="C31" i="2"/>
  <c r="C30" i="2"/>
  <c r="C29" i="2"/>
  <c r="F29" i="2" s="1"/>
  <c r="C28" i="2"/>
  <c r="F28" i="2" s="1"/>
  <c r="C27" i="2"/>
  <c r="F27" i="2" s="1"/>
  <c r="E27" i="2" s="1"/>
  <c r="C26" i="2"/>
  <c r="F26" i="2" s="1"/>
  <c r="E26" i="2" s="1"/>
  <c r="C25" i="2"/>
  <c r="F25" i="2" s="1"/>
  <c r="E25" i="2" s="1"/>
  <c r="C24" i="2"/>
  <c r="C23" i="2"/>
  <c r="C22" i="2"/>
  <c r="C21" i="2"/>
  <c r="C20" i="2"/>
  <c r="C19" i="2"/>
  <c r="F19" i="2" s="1"/>
  <c r="E19" i="2" s="1"/>
  <c r="C18" i="2"/>
  <c r="F18" i="2" s="1"/>
  <c r="E18" i="2" s="1"/>
  <c r="C17" i="2"/>
  <c r="F17" i="2" s="1"/>
  <c r="E17" i="2" s="1"/>
  <c r="C16" i="2"/>
  <c r="F16" i="2" s="1"/>
  <c r="E16" i="2" s="1"/>
  <c r="C15" i="2"/>
  <c r="F15" i="2" s="1"/>
  <c r="E15" i="2" s="1"/>
  <c r="C14" i="2"/>
  <c r="C13" i="2"/>
  <c r="C12" i="2"/>
  <c r="C11" i="2"/>
  <c r="C10" i="2"/>
  <c r="C9" i="2"/>
  <c r="F9" i="2" s="1"/>
  <c r="E9" i="2" s="1"/>
  <c r="C8" i="2"/>
  <c r="F8" i="2" s="1"/>
  <c r="E8" i="2" s="1"/>
  <c r="C7" i="2"/>
  <c r="F7" i="2" s="1"/>
  <c r="E7" i="2" s="1"/>
  <c r="C6" i="2"/>
  <c r="F6" i="2" s="1"/>
  <c r="E6" i="2" s="1"/>
  <c r="C5" i="2"/>
  <c r="M13" i="2" s="1"/>
  <c r="C4" i="2"/>
  <c r="C3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J14" i="2"/>
  <c r="J13" i="2"/>
  <c r="J12" i="2"/>
  <c r="J11" i="2"/>
  <c r="J10" i="2"/>
  <c r="F180" i="2"/>
  <c r="F170" i="2"/>
  <c r="F160" i="2"/>
  <c r="F150" i="2"/>
  <c r="F140" i="2"/>
  <c r="F130" i="2"/>
  <c r="F120" i="2"/>
  <c r="F110" i="2"/>
  <c r="F100" i="2"/>
  <c r="F90" i="2"/>
  <c r="F80" i="2"/>
  <c r="F70" i="2"/>
  <c r="F60" i="2"/>
  <c r="F50" i="2"/>
  <c r="F40" i="2"/>
  <c r="F30" i="2"/>
  <c r="E30" i="2" s="1"/>
  <c r="F20" i="2"/>
  <c r="E20" i="2" s="1"/>
  <c r="F10" i="2"/>
  <c r="E10" i="2" s="1"/>
  <c r="O2" i="2" a="1"/>
  <c r="O2" i="2" s="1"/>
  <c r="I2" i="2" a="1"/>
  <c r="I2" i="2" s="1"/>
  <c r="N22" i="3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F181" i="2" l="1"/>
  <c r="F32" i="2"/>
  <c r="E32" i="2" s="1"/>
  <c r="F62" i="2"/>
  <c r="F112" i="2"/>
  <c r="E112" i="2" s="1"/>
  <c r="F152" i="2"/>
  <c r="E194" i="2" s="1"/>
  <c r="F192" i="2"/>
  <c r="F33" i="2"/>
  <c r="E33" i="2" s="1"/>
  <c r="F83" i="2"/>
  <c r="F133" i="2"/>
  <c r="E133" i="2" s="1"/>
  <c r="F183" i="2"/>
  <c r="F4" i="2"/>
  <c r="E4" i="2" s="1"/>
  <c r="F54" i="2"/>
  <c r="F104" i="2"/>
  <c r="F154" i="2"/>
  <c r="F164" i="2"/>
  <c r="E164" i="2" s="1"/>
  <c r="F5" i="2"/>
  <c r="E5" i="2" s="1"/>
  <c r="M9" i="2"/>
  <c r="F190" i="2"/>
  <c r="F200" i="2"/>
  <c r="M14" i="2"/>
  <c r="F11" i="2"/>
  <c r="E11" i="2" s="1"/>
  <c r="F31" i="2"/>
  <c r="E31" i="2" s="1"/>
  <c r="F61" i="2"/>
  <c r="E61" i="2" s="1"/>
  <c r="F91" i="2"/>
  <c r="E91" i="2" s="1"/>
  <c r="F121" i="2"/>
  <c r="E163" i="2" s="1"/>
  <c r="F141" i="2"/>
  <c r="E183" i="2" s="1"/>
  <c r="F171" i="2"/>
  <c r="F191" i="2"/>
  <c r="F12" i="2"/>
  <c r="E12" i="2" s="1"/>
  <c r="F52" i="2"/>
  <c r="F92" i="2"/>
  <c r="F132" i="2"/>
  <c r="F172" i="2"/>
  <c r="F3" i="2"/>
  <c r="E3" i="2" s="1"/>
  <c r="F53" i="2"/>
  <c r="E53" i="2" s="1"/>
  <c r="F103" i="2"/>
  <c r="E103" i="2" s="1"/>
  <c r="F143" i="2"/>
  <c r="F193" i="2"/>
  <c r="F44" i="2"/>
  <c r="E44" i="2" s="1"/>
  <c r="F94" i="2"/>
  <c r="F134" i="2"/>
  <c r="F184" i="2"/>
  <c r="M10" i="2"/>
  <c r="F23" i="2"/>
  <c r="E23" i="2" s="1"/>
  <c r="F73" i="2"/>
  <c r="E73" i="2" s="1"/>
  <c r="F123" i="2"/>
  <c r="E123" i="2" s="1"/>
  <c r="F163" i="2"/>
  <c r="F24" i="2"/>
  <c r="E24" i="2" s="1"/>
  <c r="F84" i="2"/>
  <c r="F124" i="2"/>
  <c r="E124" i="2" s="1"/>
  <c r="F194" i="2"/>
  <c r="M11" i="2"/>
  <c r="E114" i="2"/>
  <c r="F51" i="2"/>
  <c r="F81" i="2"/>
  <c r="E81" i="2" s="1"/>
  <c r="F111" i="2"/>
  <c r="E153" i="2" s="1"/>
  <c r="F131" i="2"/>
  <c r="F151" i="2"/>
  <c r="E193" i="2" s="1"/>
  <c r="F201" i="2"/>
  <c r="E201" i="2" s="1"/>
  <c r="F42" i="2"/>
  <c r="F82" i="2"/>
  <c r="F122" i="2"/>
  <c r="E122" i="2" s="1"/>
  <c r="F162" i="2"/>
  <c r="E204" i="2" s="1"/>
  <c r="F202" i="2"/>
  <c r="F43" i="2"/>
  <c r="F93" i="2"/>
  <c r="E93" i="2" s="1"/>
  <c r="F153" i="2"/>
  <c r="F203" i="2"/>
  <c r="F14" i="2"/>
  <c r="E14" i="2" s="1"/>
  <c r="F64" i="2"/>
  <c r="F144" i="2"/>
  <c r="F204" i="2"/>
  <c r="M12" i="2"/>
  <c r="L2" i="2" a="1"/>
  <c r="L2" i="2" s="1"/>
  <c r="F21" i="2"/>
  <c r="E21" i="2" s="1"/>
  <c r="F41" i="2"/>
  <c r="E41" i="2" s="1"/>
  <c r="F71" i="2"/>
  <c r="F101" i="2"/>
  <c r="E143" i="2" s="1"/>
  <c r="F161" i="2"/>
  <c r="E203" i="2" s="1"/>
  <c r="F22" i="2"/>
  <c r="E22" i="2" s="1"/>
  <c r="F72" i="2"/>
  <c r="F102" i="2"/>
  <c r="E102" i="2" s="1"/>
  <c r="F142" i="2"/>
  <c r="E184" i="2" s="1"/>
  <c r="F182" i="2"/>
  <c r="E182" i="2" s="1"/>
  <c r="F13" i="2"/>
  <c r="E13" i="2" s="1"/>
  <c r="F63" i="2"/>
  <c r="E63" i="2" s="1"/>
  <c r="F113" i="2"/>
  <c r="E113" i="2" s="1"/>
  <c r="F173" i="2"/>
  <c r="F34" i="2"/>
  <c r="E34" i="2" s="1"/>
  <c r="F74" i="2"/>
  <c r="E74" i="2" s="1"/>
  <c r="F114" i="2"/>
  <c r="F174" i="2"/>
  <c r="E174" i="2" s="1"/>
  <c r="E151" i="2"/>
  <c r="E134" i="2"/>
  <c r="E144" i="2"/>
  <c r="E154" i="2"/>
  <c r="E148" i="2"/>
  <c r="E158" i="2"/>
  <c r="E168" i="2"/>
  <c r="E178" i="2"/>
  <c r="E188" i="2"/>
  <c r="E199" i="2"/>
  <c r="E60" i="2"/>
  <c r="E54" i="2"/>
  <c r="E67" i="2"/>
  <c r="E84" i="2"/>
  <c r="E94" i="2"/>
  <c r="E104" i="2"/>
  <c r="E68" i="2"/>
  <c r="E72" i="2"/>
  <c r="E28" i="2"/>
  <c r="E116" i="2"/>
  <c r="E126" i="2"/>
  <c r="E136" i="2"/>
  <c r="E57" i="2"/>
  <c r="E70" i="2"/>
  <c r="E86" i="2"/>
  <c r="E96" i="2"/>
  <c r="E106" i="2"/>
  <c r="E146" i="2"/>
  <c r="E117" i="2"/>
  <c r="E127" i="2"/>
  <c r="E137" i="2"/>
  <c r="E156" i="2"/>
  <c r="E128" i="2"/>
  <c r="E167" i="2"/>
  <c r="E119" i="2"/>
  <c r="E129" i="2"/>
  <c r="E139" i="2"/>
  <c r="E147" i="2"/>
  <c r="E157" i="2"/>
  <c r="E166" i="2"/>
  <c r="E177" i="2"/>
  <c r="E187" i="2"/>
  <c r="E197" i="2"/>
  <c r="E79" i="2"/>
  <c r="E89" i="2"/>
  <c r="E99" i="2"/>
  <c r="E66" i="2"/>
  <c r="E110" i="2"/>
  <c r="E120" i="2"/>
  <c r="E130" i="2"/>
  <c r="E140" i="2"/>
  <c r="E46" i="2"/>
  <c r="E80" i="2"/>
  <c r="E90" i="2"/>
  <c r="E100" i="2"/>
  <c r="E37" i="2"/>
  <c r="E109" i="2"/>
  <c r="E121" i="2"/>
  <c r="E131" i="2"/>
  <c r="E35" i="2"/>
  <c r="E48" i="2"/>
  <c r="E75" i="2"/>
  <c r="E101" i="2"/>
  <c r="E49" i="2"/>
  <c r="E29" i="2"/>
  <c r="E132" i="2"/>
  <c r="E38" i="2"/>
  <c r="E50" i="2"/>
  <c r="E64" i="2"/>
  <c r="E76" i="2"/>
  <c r="E150" i="2"/>
  <c r="E160" i="2"/>
  <c r="E170" i="2"/>
  <c r="E180" i="2"/>
  <c r="E190" i="2"/>
  <c r="E200" i="2"/>
  <c r="E82" i="2"/>
  <c r="E92" i="2"/>
  <c r="E36" i="2"/>
  <c r="E161" i="2"/>
  <c r="E171" i="2"/>
  <c r="E181" i="2"/>
  <c r="E191" i="2"/>
  <c r="E83" i="2"/>
  <c r="E47" i="2"/>
  <c r="E45" i="2"/>
  <c r="E39" i="2"/>
  <c r="E51" i="2"/>
  <c r="E65" i="2"/>
  <c r="E135" i="2"/>
  <c r="E40" i="2"/>
  <c r="E172" i="2"/>
  <c r="E192" i="2"/>
  <c r="E202" i="2"/>
  <c r="E52" i="2"/>
  <c r="E125" i="2"/>
  <c r="E85" i="2"/>
  <c r="E42" i="2"/>
  <c r="E62" i="2"/>
  <c r="E115" i="2"/>
  <c r="E95" i="2"/>
  <c r="E43" i="2"/>
  <c r="E58" i="2"/>
  <c r="E69" i="2"/>
  <c r="E145" i="2"/>
  <c r="E155" i="2"/>
  <c r="E165" i="2"/>
  <c r="E175" i="2"/>
  <c r="E185" i="2"/>
  <c r="E195" i="2"/>
  <c r="E77" i="2"/>
  <c r="E87" i="2"/>
  <c r="E97" i="2"/>
  <c r="E107" i="2"/>
  <c r="E55" i="2"/>
  <c r="E105" i="2"/>
  <c r="E59" i="2"/>
  <c r="E71" i="2"/>
  <c r="P11" i="2"/>
  <c r="P39" i="2"/>
  <c r="P12" i="2"/>
  <c r="P40" i="2"/>
  <c r="P19" i="2"/>
  <c r="P41" i="2"/>
  <c r="J5" i="2"/>
  <c r="P20" i="2"/>
  <c r="P42" i="2"/>
  <c r="J6" i="2"/>
  <c r="P21" i="2"/>
  <c r="J7" i="2"/>
  <c r="P22" i="2"/>
  <c r="P29" i="2"/>
  <c r="P30" i="2"/>
  <c r="P9" i="2"/>
  <c r="P31" i="2"/>
  <c r="P10" i="2"/>
  <c r="P32" i="2"/>
  <c r="P13" i="2"/>
  <c r="P23" i="2"/>
  <c r="P33" i="2"/>
  <c r="P43" i="2"/>
  <c r="J9" i="2"/>
  <c r="P4" i="2"/>
  <c r="P14" i="2"/>
  <c r="P24" i="2"/>
  <c r="P34" i="2"/>
  <c r="P44" i="2"/>
  <c r="P6" i="2"/>
  <c r="P16" i="2"/>
  <c r="P26" i="2"/>
  <c r="P36" i="2"/>
  <c r="J8" i="2"/>
  <c r="P7" i="2"/>
  <c r="P17" i="2"/>
  <c r="P27" i="2"/>
  <c r="P37" i="2"/>
  <c r="J3" i="2"/>
  <c r="P5" i="2"/>
  <c r="P15" i="2"/>
  <c r="P25" i="2"/>
  <c r="P35" i="2"/>
  <c r="P8" i="2"/>
  <c r="P18" i="2"/>
  <c r="P28" i="2"/>
  <c r="P38" i="2"/>
  <c r="J4" i="2"/>
  <c r="P3" i="2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M5" i="2" l="1"/>
  <c r="M7" i="2"/>
  <c r="E162" i="2"/>
  <c r="M6" i="2"/>
  <c r="E111" i="2"/>
  <c r="E152" i="2"/>
  <c r="E142" i="2"/>
  <c r="M3" i="2"/>
  <c r="M4" i="2"/>
  <c r="M8" i="2"/>
  <c r="E141" i="2"/>
  <c r="E17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<sst xmlns="http://schemas.openxmlformats.org/spreadsheetml/2006/main" count="1518" uniqueCount="166">
  <si>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</si>
  <si>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</si>
  <si>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</si>
  <si>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</si>
  <si>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</si>
  <si>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</si>
  <si>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</si>
  <si>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</si>
  <si>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</si>
  <si>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</si>
  <si>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</si>
  <si>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</si>
  <si>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</si>
  <si>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</si>
  <si>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</si>
  <si>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</si>
  <si>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</si>
  <si>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</si>
  <si>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</si>
  <si>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</si>
  <si>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</si>
  <si>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</si>
  <si>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</si>
  <si>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</si>
  <si>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</si>
  <si>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</si>
  <si>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</si>
  <si>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</si>
  <si>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</si>
  <si>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</si>
  <si>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</si>
  <si>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</si>
  <si>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</si>
  <si>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</si>
  <si>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</si>
  <si>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</si>
  <si>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</si>
  <si>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</si>
  <si>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</si>
  <si>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</si>
  <si>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</si>
  <si>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</si>
  <si>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</si>
  <si>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</si>
  <si>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</si>
  <si>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</si>
  <si>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</si>
  <si>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</si>
  <si>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</si>
  <si>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</si>
  <si>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</si>
  <si>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</si>
  <si>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</si>
  <si>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</si>
  <si>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</si>
  <si>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</si>
  <si>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</si>
  <si>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</si>
  <si>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</si>
  <si>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</si>
  <si>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</si>
  <si>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</si>
  <si>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</si>
  <si>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</si>
  <si>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</si>
  <si>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</si>
  <si>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</si>
  <si>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</si>
  <si>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</si>
  <si>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</si>
  <si>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</si>
  <si>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</si>
  <si>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</si>
  <si>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</si>
  <si>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</si>
  <si>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</si>
  <si>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</si>
  <si>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</si>
  <si>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</si>
  <si>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</si>
  <si>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</si>
  <si>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</si>
  <si>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</si>
  <si>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</si>
  <si>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</si>
  <si>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</si>
  <si>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</si>
  <si>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</si>
  <si>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</si>
  <si>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</si>
  <si>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</si>
  <si>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</si>
  <si>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</si>
  <si>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</si>
  <si>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</si>
  <si>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</si>
  <si>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</si>
  <si>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</si>
  <si>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</si>
  <si>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</si>
  <si>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</si>
  <si>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</si>
  <si>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</si>
  <si>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</si>
  <si>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</si>
  <si>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</si>
  <si>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</si>
  <si>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</si>
  <si>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</si>
  <si>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</si>
  <si>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</si>
  <si>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</si>
  <si>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</si>
  <si>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</si>
  <si>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</si>
  <si>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</si>
  <si>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</si>
  <si>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</si>
  <si>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</si>
  <si>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</si>
  <si>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</si>
  <si>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</si>
  <si>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</si>
  <si>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</si>
  <si>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</si>
  <si>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</si>
  <si>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</si>
  <si>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</si>
  <si>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</si>
  <si>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</si>
  <si>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</si>
  <si>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</si>
  <si>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</si>
  <si>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</si>
  <si>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</si>
  <si>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</si>
  <si>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</si>
  <si>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</si>
  <si>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</si>
  <si>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</si>
  <si>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</si>
  <si>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</si>
  <si>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</si>
  <si>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</si>
  <si>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</si>
  <si>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</si>
  <si>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</si>
  <si>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</si>
  <si>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</si>
  <si>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</si>
  <si>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</si>
  <si>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</si>
  <si>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</si>
  <si>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</si>
  <si>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</si>
  <si>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</si>
  <si>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</si>
  <si>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</si>
  <si>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</si>
  <si>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</si>
  <si>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</si>
  <si>
    <t>EXPORT CSV</t>
  </si>
  <si>
    <t>Weight-Base</t>
  </si>
  <si>
    <t>Weight-RS+BG</t>
  </si>
  <si>
    <t>REF DATA</t>
  </si>
  <si>
    <t>hasBG?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</si>
</sst>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2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13" fillId="0" borderId="0" xfId="0" applyFont="1"/>
    <xf numFmtId="0" fontId="14" fillId="3" borderId="0" xfId="0" applyFont="1" applyFill="1"/>
    <xf numFmtId="0" fontId="15" fillId="3" borderId="0" xfId="0" applyFont="1" applyFill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opLeftCell="A45" zoomScale="132" zoomScaleNormal="130" workbookViewId="0">
      <selection activeCell="X4" sqref="X4:AF4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26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6.5</v>
      </c>
      <c r="E23" s="1" t="s">
        <v>7</v>
      </c>
      <c r="F23" s="13">
        <v>25</v>
      </c>
      <c r="G23" s="1">
        <f>F23*($B$21/100)</f>
        <v>6.5</v>
      </c>
      <c r="I23" s="1" t="s">
        <v>13</v>
      </c>
      <c r="J23" s="13">
        <v>20</v>
      </c>
      <c r="K23" s="1">
        <f>J23*($B$21/100)</f>
        <v>5.2</v>
      </c>
      <c r="M23" s="1" t="s">
        <v>9</v>
      </c>
      <c r="N23" s="13">
        <v>20</v>
      </c>
      <c r="O23" s="1">
        <f>N23*($B$21/100)</f>
        <v>5.2</v>
      </c>
      <c r="Q23" s="1" t="s">
        <v>117</v>
      </c>
      <c r="R23" s="13">
        <v>5</v>
      </c>
      <c r="S23" s="1">
        <f>R23*($B$21/100)</f>
        <v>1.3</v>
      </c>
      <c r="U23" s="1" t="s">
        <v>12</v>
      </c>
      <c r="V23" s="13">
        <v>5</v>
      </c>
      <c r="W23" s="1">
        <f>V23*($B$21/100)</f>
        <v>1.3</v>
      </c>
      <c r="X23"/>
      <c r="Y23"/>
      <c r="Z23"/>
      <c r="AA23"/>
    </row>
    <row r="24" spans="1:32" x14ac:dyDescent="0.2">
      <c r="A24" t="s">
        <v>108</v>
      </c>
      <c r="B24" s="12">
        <v>4</v>
      </c>
      <c r="C24" s="1">
        <f t="shared" ref="C24:C31" si="0">B24*($B$21/100)</f>
        <v>1.04</v>
      </c>
      <c r="E24" s="19" t="s">
        <v>107</v>
      </c>
      <c r="F24" s="12">
        <v>8</v>
      </c>
      <c r="G24" s="1">
        <f t="shared" ref="G24:G31" si="1">F24*($B$21/100)</f>
        <v>2.08</v>
      </c>
      <c r="I24" s="19" t="s">
        <v>110</v>
      </c>
      <c r="J24" s="12">
        <v>8</v>
      </c>
      <c r="K24" s="1">
        <f t="shared" ref="K24:K31" si="2">J24*($B$21/100)</f>
        <v>2.08</v>
      </c>
      <c r="M24" s="19" t="s">
        <v>113</v>
      </c>
      <c r="N24" s="12">
        <v>20</v>
      </c>
      <c r="O24" s="1">
        <f t="shared" ref="O24:O31" si="3">N24*($B$21/100)</f>
        <v>5.2</v>
      </c>
      <c r="Q24" s="19" t="s">
        <v>14</v>
      </c>
      <c r="R24" s="12">
        <v>5</v>
      </c>
      <c r="S24" s="1">
        <f t="shared" ref="S24:S31" si="4">R24*($B$21/100)</f>
        <v>1.3</v>
      </c>
      <c r="U24" s="19" t="s">
        <v>12</v>
      </c>
      <c r="V24" s="12">
        <v>5</v>
      </c>
      <c r="W24" s="1">
        <f t="shared" ref="W24:W31" si="5">V24*($B$21/100)</f>
        <v>1.3</v>
      </c>
    </row>
    <row r="25" spans="1:32" x14ac:dyDescent="0.2">
      <c r="A25" t="s">
        <v>109</v>
      </c>
      <c r="B25" s="12">
        <v>4</v>
      </c>
      <c r="C25" s="1">
        <f t="shared" si="0"/>
        <v>1.04</v>
      </c>
      <c r="E25" s="19" t="s">
        <v>8</v>
      </c>
      <c r="F25" s="12">
        <v>8</v>
      </c>
      <c r="G25" s="1">
        <f t="shared" si="1"/>
        <v>2.08</v>
      </c>
      <c r="I25" s="19" t="s">
        <v>112</v>
      </c>
      <c r="J25" s="12">
        <v>8</v>
      </c>
      <c r="K25" s="1">
        <f t="shared" si="2"/>
        <v>2.08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1.04</v>
      </c>
      <c r="E26" t="s">
        <v>27</v>
      </c>
      <c r="F26" s="12">
        <v>8</v>
      </c>
      <c r="G26" s="1">
        <f t="shared" si="1"/>
        <v>2.08</v>
      </c>
      <c r="I26" s="19" t="s">
        <v>114</v>
      </c>
      <c r="J26" s="12">
        <v>2</v>
      </c>
      <c r="K26" s="1">
        <f t="shared" si="2"/>
        <v>0.52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1.3</v>
      </c>
      <c r="E27" t="s">
        <v>85</v>
      </c>
      <c r="F27" s="12">
        <v>1</v>
      </c>
      <c r="G27" s="1">
        <f t="shared" si="1"/>
        <v>0.26</v>
      </c>
      <c r="I27" s="19" t="s">
        <v>115</v>
      </c>
      <c r="J27" s="12">
        <v>1</v>
      </c>
      <c r="K27" s="1">
        <f t="shared" si="2"/>
        <v>0.26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0.52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0.26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s="19" t="s">
        <v>80</v>
      </c>
      <c r="B29" s="12">
        <v>2</v>
      </c>
      <c r="C29" s="1">
        <f t="shared" si="0"/>
        <v>0.52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0.52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0.52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22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5.5</v>
      </c>
      <c r="E36" s="1" t="s">
        <v>7</v>
      </c>
      <c r="F36" s="1">
        <v>25</v>
      </c>
      <c r="G36" s="1">
        <f>F36*($B$34/100)</f>
        <v>5.5</v>
      </c>
      <c r="I36" s="1" t="s">
        <v>13</v>
      </c>
      <c r="J36" s="1">
        <v>20</v>
      </c>
      <c r="K36" s="1">
        <f>J36*($B$34/100)</f>
        <v>4.4000000000000004</v>
      </c>
      <c r="M36" s="1" t="s">
        <v>9</v>
      </c>
      <c r="N36" s="1">
        <v>20</v>
      </c>
      <c r="O36" s="1">
        <f>N36*($B$34/100)</f>
        <v>4.4000000000000004</v>
      </c>
      <c r="Q36" s="1" t="s">
        <v>117</v>
      </c>
      <c r="R36" s="1">
        <v>5</v>
      </c>
      <c r="S36" s="1">
        <f>R36*($B$34/100)</f>
        <v>1.1000000000000001</v>
      </c>
      <c r="U36" s="1" t="s">
        <v>12</v>
      </c>
      <c r="V36" s="1">
        <v>5</v>
      </c>
      <c r="W36" s="1">
        <f>V36*($B$34/100)</f>
        <v>1.1000000000000001</v>
      </c>
    </row>
    <row r="37" spans="1:23" x14ac:dyDescent="0.2">
      <c r="A37" s="19" t="s">
        <v>22</v>
      </c>
      <c r="B37">
        <v>5</v>
      </c>
      <c r="C37" s="1">
        <f t="shared" ref="C37:C51" si="6">B37*($B$34/100)</f>
        <v>1.1000000000000001</v>
      </c>
      <c r="E37" s="19" t="s">
        <v>8</v>
      </c>
      <c r="F37">
        <v>10</v>
      </c>
      <c r="G37" s="1">
        <f t="shared" ref="G37:G51" si="7">F37*($B$34/100)</f>
        <v>2.2000000000000002</v>
      </c>
      <c r="I37" s="19" t="s">
        <v>87</v>
      </c>
      <c r="J37">
        <v>2</v>
      </c>
      <c r="K37" s="1">
        <f t="shared" ref="K37:K51" si="8">J37*($B$34/100)</f>
        <v>0.44</v>
      </c>
      <c r="M37" s="19" t="s">
        <v>10</v>
      </c>
      <c r="N37">
        <v>10</v>
      </c>
      <c r="O37" s="1">
        <f t="shared" ref="O37:O51" si="9">N37*($B$34/100)</f>
        <v>2.2000000000000002</v>
      </c>
      <c r="Q37" s="19" t="s">
        <v>14</v>
      </c>
      <c r="R37">
        <v>5</v>
      </c>
      <c r="S37" s="1">
        <f t="shared" ref="S37:S51" si="10">R37*($B$34/100)</f>
        <v>1.1000000000000001</v>
      </c>
      <c r="U37" s="19" t="s">
        <v>12</v>
      </c>
      <c r="V37">
        <v>5</v>
      </c>
      <c r="W37" s="1">
        <f t="shared" ref="W37:W51" si="11">V37*($B$34/100)</f>
        <v>1.1000000000000001</v>
      </c>
    </row>
    <row r="38" spans="1:23" x14ac:dyDescent="0.2">
      <c r="A38" t="s">
        <v>79</v>
      </c>
      <c r="B38">
        <v>5</v>
      </c>
      <c r="C38" s="1">
        <f t="shared" si="6"/>
        <v>1.1000000000000001</v>
      </c>
      <c r="E38" s="19" t="s">
        <v>27</v>
      </c>
      <c r="F38">
        <v>10</v>
      </c>
      <c r="G38" s="1">
        <f t="shared" si="7"/>
        <v>2.2000000000000002</v>
      </c>
      <c r="I38" t="s">
        <v>23</v>
      </c>
      <c r="J38">
        <v>2</v>
      </c>
      <c r="K38" s="1">
        <f t="shared" si="8"/>
        <v>0.44</v>
      </c>
      <c r="M38" s="19" t="s">
        <v>75</v>
      </c>
      <c r="N38">
        <v>10</v>
      </c>
      <c r="O38" s="1">
        <f t="shared" si="9"/>
        <v>2.2000000000000002</v>
      </c>
      <c r="S38" s="1">
        <f t="shared" si="10"/>
        <v>0</v>
      </c>
      <c r="W38" s="1">
        <f t="shared" si="11"/>
        <v>0</v>
      </c>
    </row>
    <row r="39" spans="1:23" x14ac:dyDescent="0.2">
      <c r="A39" s="19" t="s">
        <v>80</v>
      </c>
      <c r="B39">
        <v>5</v>
      </c>
      <c r="C39" s="1">
        <f t="shared" si="6"/>
        <v>1.1000000000000001</v>
      </c>
      <c r="E39" t="s">
        <v>85</v>
      </c>
      <c r="F39">
        <v>5</v>
      </c>
      <c r="G39" s="1">
        <f t="shared" si="7"/>
        <v>1.1000000000000001</v>
      </c>
      <c r="I39" t="s">
        <v>88</v>
      </c>
      <c r="J39">
        <v>1</v>
      </c>
      <c r="K39" s="1">
        <f t="shared" si="8"/>
        <v>0.22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1.1000000000000001</v>
      </c>
      <c r="G40" s="1">
        <f t="shared" si="7"/>
        <v>0</v>
      </c>
      <c r="I40" s="19" t="s">
        <v>89</v>
      </c>
      <c r="J40">
        <v>2</v>
      </c>
      <c r="K40" s="1">
        <f t="shared" si="8"/>
        <v>0.44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1.1000000000000001</v>
      </c>
      <c r="G41" s="1">
        <f t="shared" si="7"/>
        <v>0</v>
      </c>
      <c r="I41" s="19" t="s">
        <v>76</v>
      </c>
      <c r="J41">
        <v>2</v>
      </c>
      <c r="K41" s="1">
        <f t="shared" si="8"/>
        <v>0.44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0.44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0.22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0.22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0.22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0.22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0.22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0.22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0.22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0.22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0.22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16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9.6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1.2</v>
      </c>
      <c r="Q56" s="1" t="s">
        <v>117</v>
      </c>
      <c r="R56" s="1">
        <v>5</v>
      </c>
      <c r="S56" s="1">
        <f>R56*($B$72/100)</f>
        <v>0.6</v>
      </c>
      <c r="U56" s="1" t="s">
        <v>12</v>
      </c>
      <c r="V56" s="1">
        <v>5</v>
      </c>
      <c r="W56" s="1">
        <f>V56*($B$72/100)</f>
        <v>0.6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9.6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1.2</v>
      </c>
      <c r="Q57" t="s">
        <v>14</v>
      </c>
      <c r="R57">
        <v>5</v>
      </c>
      <c r="S57" s="1">
        <f t="shared" ref="S57" si="16">R57*($B$72/100)</f>
        <v>0.6</v>
      </c>
      <c r="U57" t="s">
        <v>12</v>
      </c>
      <c r="V57">
        <v>5</v>
      </c>
      <c r="W57" s="1">
        <f t="shared" ref="W57" si="17">V57*($B$72/100)</f>
        <v>0.6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14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6.3000000000000007</v>
      </c>
      <c r="E65" s="1" t="s">
        <v>7</v>
      </c>
      <c r="F65" s="1">
        <v>25</v>
      </c>
      <c r="G65" s="1">
        <f>F65*($B$63/100)</f>
        <v>3.5000000000000004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2.8000000000000003</v>
      </c>
      <c r="Q65" s="1" t="s">
        <v>117</v>
      </c>
      <c r="R65" s="1">
        <v>5</v>
      </c>
      <c r="S65" s="1">
        <f>R65*($B$63/100)</f>
        <v>0.70000000000000007</v>
      </c>
      <c r="U65" s="1" t="s">
        <v>12</v>
      </c>
      <c r="V65" s="1">
        <v>5</v>
      </c>
      <c r="W65" s="1">
        <f>V65*($B$63/100)</f>
        <v>0.70000000000000007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6.3000000000000007</v>
      </c>
      <c r="E66" t="s">
        <v>8</v>
      </c>
      <c r="F66">
        <v>13</v>
      </c>
      <c r="G66" s="1">
        <f t="shared" ref="G66:G69" si="25">F66*($B$63/100)</f>
        <v>1.8200000000000003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2.8000000000000003</v>
      </c>
      <c r="Q66" t="s">
        <v>14</v>
      </c>
      <c r="R66">
        <v>5</v>
      </c>
      <c r="S66" s="1">
        <f t="shared" ref="S66:S69" si="28">R66*($B$63/100)</f>
        <v>0.70000000000000007</v>
      </c>
      <c r="U66" t="s">
        <v>12</v>
      </c>
      <c r="V66">
        <v>5</v>
      </c>
      <c r="W66" s="1">
        <f t="shared" ref="W66:W69" si="29">V66*($B$63/100)</f>
        <v>0.70000000000000007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1.6800000000000002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12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9.6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1.2</v>
      </c>
      <c r="Q74" s="1" t="s">
        <v>117</v>
      </c>
      <c r="R74" s="1">
        <v>5</v>
      </c>
      <c r="S74" s="1">
        <f>R74*($B$72/100)</f>
        <v>0.6</v>
      </c>
      <c r="U74" s="1" t="s">
        <v>12</v>
      </c>
      <c r="V74" s="1">
        <v>5</v>
      </c>
      <c r="W74" s="1">
        <f>V74*($B$72/100)</f>
        <v>0.6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9.6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1.2</v>
      </c>
      <c r="Q75" t="s">
        <v>14</v>
      </c>
      <c r="R75">
        <v>5</v>
      </c>
      <c r="S75" s="1">
        <f t="shared" ref="S75:S78" si="34">R75*($B$72/100)</f>
        <v>0.6</v>
      </c>
      <c r="U75" t="s">
        <v>12</v>
      </c>
      <c r="V75">
        <v>5</v>
      </c>
      <c r="W75" s="1">
        <f t="shared" ref="W75:W78" si="35">V75*($B$72/100)</f>
        <v>0.6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10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5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2</v>
      </c>
      <c r="M83" s="1" t="s">
        <v>9</v>
      </c>
      <c r="N83" s="1">
        <v>20</v>
      </c>
      <c r="O83" s="1">
        <f>N83*($B$81/100)</f>
        <v>2</v>
      </c>
      <c r="Q83" s="1" t="s">
        <v>117</v>
      </c>
      <c r="R83" s="1">
        <v>5</v>
      </c>
      <c r="S83" s="1">
        <f>R83*($B$81/100)</f>
        <v>0.5</v>
      </c>
      <c r="U83" s="1" t="s">
        <v>12</v>
      </c>
      <c r="V83" s="1">
        <v>5</v>
      </c>
      <c r="W83" s="1">
        <f>V83*($B$81/100)</f>
        <v>0.5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2.5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2</v>
      </c>
      <c r="M84" t="s">
        <v>10</v>
      </c>
      <c r="N84">
        <v>20</v>
      </c>
      <c r="O84" s="1">
        <f t="shared" ref="O84:O87" si="39">N84*($B$81/100)</f>
        <v>2</v>
      </c>
      <c r="Q84" t="s">
        <v>14</v>
      </c>
      <c r="R84">
        <v>5</v>
      </c>
      <c r="S84" s="1">
        <f t="shared" ref="S84:S87" si="40">R84*($B$81/100)</f>
        <v>0.5</v>
      </c>
      <c r="U84" t="s">
        <v>12</v>
      </c>
      <c r="V84">
        <v>5</v>
      </c>
      <c r="W84" s="1">
        <f t="shared" ref="W84:W87" si="41">V84*($B$81/100)</f>
        <v>0.5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2.5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F10"/>
  <sheetViews>
    <sheetView tabSelected="1" zoomScale="150" workbookViewId="0">
      <pane ySplit="2" topLeftCell="A3" activePane="bottomLeft" state="frozen"/>
      <selection activeCell="T200" sqref="T200"/>
      <selection pane="bottomLeft" activeCell="D11" sqref="D11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6" x14ac:dyDescent="0.2">
      <c r="A1" s="7" t="s">
        <v>20</v>
      </c>
      <c r="B1" s="4">
        <f>SUM(B3:B20)</f>
        <v>100</v>
      </c>
    </row>
    <row r="2" spans="1:6" s="1" customFormat="1" x14ac:dyDescent="0.2">
      <c r="A2" s="5" t="s">
        <v>0</v>
      </c>
      <c r="B2" s="5" t="s">
        <v>3</v>
      </c>
    </row>
    <row r="3" spans="1:6" x14ac:dyDescent="0.2">
      <c r="A3" s="2" t="s">
        <v>11</v>
      </c>
      <c r="B3">
        <v>26</v>
      </c>
      <c r="C3" s="3">
        <v>50</v>
      </c>
      <c r="D3" s="16">
        <v>45</v>
      </c>
      <c r="E3" t="s">
        <v>11</v>
      </c>
      <c r="F3">
        <v>26</v>
      </c>
    </row>
    <row r="4" spans="1:6" x14ac:dyDescent="0.2">
      <c r="A4" s="2" t="s">
        <v>16</v>
      </c>
      <c r="B4">
        <v>22</v>
      </c>
      <c r="C4" s="3">
        <v>25</v>
      </c>
      <c r="D4" s="16">
        <v>20</v>
      </c>
      <c r="E4" t="s">
        <v>16</v>
      </c>
      <c r="F4">
        <v>22</v>
      </c>
    </row>
    <row r="5" spans="1:6" x14ac:dyDescent="0.2">
      <c r="A5" s="2" t="s">
        <v>4</v>
      </c>
      <c r="B5">
        <v>16</v>
      </c>
      <c r="C5" s="3">
        <v>10</v>
      </c>
      <c r="D5" s="16">
        <v>10</v>
      </c>
      <c r="E5" t="s">
        <v>4</v>
      </c>
      <c r="F5">
        <v>16</v>
      </c>
    </row>
    <row r="6" spans="1:6" x14ac:dyDescent="0.2">
      <c r="A6" s="2" t="s">
        <v>15</v>
      </c>
      <c r="B6">
        <v>14</v>
      </c>
      <c r="C6" s="3">
        <v>5</v>
      </c>
      <c r="D6" s="16">
        <v>5</v>
      </c>
      <c r="E6" t="s">
        <v>18</v>
      </c>
      <c r="F6">
        <v>14</v>
      </c>
    </row>
    <row r="7" spans="1:6" x14ac:dyDescent="0.2">
      <c r="A7" s="2" t="s">
        <v>17</v>
      </c>
      <c r="B7">
        <v>12</v>
      </c>
      <c r="C7" s="3">
        <v>5</v>
      </c>
      <c r="D7" s="16">
        <v>5</v>
      </c>
      <c r="E7" t="s">
        <v>15</v>
      </c>
      <c r="F7">
        <v>12</v>
      </c>
    </row>
    <row r="8" spans="1:6" x14ac:dyDescent="0.2">
      <c r="A8" s="2" t="s">
        <v>18</v>
      </c>
      <c r="B8">
        <v>10</v>
      </c>
      <c r="C8" s="3">
        <v>5</v>
      </c>
      <c r="D8" s="16">
        <v>5</v>
      </c>
      <c r="E8" t="s">
        <v>17</v>
      </c>
      <c r="F8">
        <v>10</v>
      </c>
    </row>
    <row r="9" spans="1:6" x14ac:dyDescent="0.2">
      <c r="A9" s="15" t="s">
        <v>19</v>
      </c>
      <c r="B9" s="16"/>
      <c r="C9" s="16"/>
      <c r="D9" s="16">
        <v>10</v>
      </c>
    </row>
    <row r="10" spans="1:6" x14ac:dyDescent="0.2">
      <c r="B10" s="3"/>
    </row>
  </sheetData>
  <sortState xmlns:xlrd2="http://schemas.microsoft.com/office/spreadsheetml/2017/richdata2" ref="A3:C9">
    <sortCondition descending="1" ref="B3:B9"/>
  </sortState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B1:Z204"/>
  <sheetViews>
    <sheetView zoomScale="141" workbookViewId="0">
      <pane ySplit="2" topLeftCell="A143" activePane="bottomLeft" state="frozen"/>
      <selection pane="bottomLeft" activeCell="W204" sqref="A1:W204"/>
    </sheetView>
  </sheetViews>
  <sheetFormatPr baseColWidth="10" defaultRowHeight="16" x14ac:dyDescent="0.2"/>
  <cols>
    <col min="1" max="1" width="4" customWidth="1"/>
    <col min="2" max="2" width="16.83203125" bestFit="1" customWidth="1"/>
    <col min="3" max="3" width="12" bestFit="1" customWidth="1"/>
    <col min="4" max="4" width="22.83203125" bestFit="1" customWidth="1"/>
    <col min="5" max="5" width="12.83203125" bestFit="1" customWidth="1"/>
    <col min="6" max="6" width="13" bestFit="1" customWidth="1"/>
    <col min="7" max="7" width="12.1640625" customWidth="1"/>
    <col min="8" max="8" width="4.6640625" customWidth="1"/>
    <col min="9" max="9" width="22.83203125" bestFit="1" customWidth="1"/>
    <col min="10" max="10" width="6.5" style="8" bestFit="1" customWidth="1"/>
    <col min="11" max="11" width="3.6640625" customWidth="1"/>
    <col min="12" max="12" width="12" bestFit="1" customWidth="1"/>
    <col min="13" max="13" width="6.5" style="8" bestFit="1" customWidth="1"/>
    <col min="14" max="14" width="3.5" customWidth="1"/>
    <col min="15" max="15" width="14.33203125" bestFit="1" customWidth="1"/>
    <col min="16" max="16" width="6.5" style="8" bestFit="1" customWidth="1"/>
    <col min="19" max="19" width="14.33203125" bestFit="1" customWidth="1"/>
    <col min="20" max="20" width="12.1640625" bestFit="1" customWidth="1"/>
    <col min="23" max="23" width="22.83203125" bestFit="1" customWidth="1"/>
    <col min="24" max="24" width="14.5" bestFit="1" customWidth="1"/>
    <col min="25" max="25" width="16.83203125" bestFit="1" customWidth="1"/>
    <col min="26" max="26" width="9.5" bestFit="1" customWidth="1"/>
  </cols>
  <sheetData>
    <row r="1" spans="2:26" x14ac:dyDescent="0.2">
      <c r="B1" s="21" t="s">
        <v>161</v>
      </c>
      <c r="C1" s="19"/>
      <c r="D1" s="19"/>
      <c r="E1" s="19"/>
      <c r="I1" s="1" t="s">
        <v>0</v>
      </c>
      <c r="S1" s="25" t="s">
        <v>164</v>
      </c>
      <c r="T1" s="24"/>
    </row>
    <row r="2" spans="2:26" s="1" customFormat="1" x14ac:dyDescent="0.2">
      <c r="B2" s="6" t="s">
        <v>2</v>
      </c>
      <c r="C2" s="6" t="s">
        <v>1</v>
      </c>
      <c r="D2" s="6" t="s">
        <v>0</v>
      </c>
      <c r="E2" s="6" t="s">
        <v>3</v>
      </c>
      <c r="F2" s="22" t="s">
        <v>163</v>
      </c>
      <c r="G2" s="22" t="s">
        <v>162</v>
      </c>
      <c r="I2" s="7" t="str" cm="1">
        <f t="array" ref="I2:I9">_xlfn.UNIQUE(D2:D1000)</f>
        <v>RevenueStream</v>
      </c>
      <c r="J2" s="7" t="s">
        <v>21</v>
      </c>
      <c r="L2" s="7" t="str" cm="1">
        <f t="array" ref="L2:L8">_xlfn.UNIQUE(C2:C1000)</f>
        <v>BudgetGroup</v>
      </c>
      <c r="M2" s="7" t="s">
        <v>21</v>
      </c>
      <c r="O2" s="7" t="str" cm="1">
        <f t="array" ref="O2:O44">_xlfn.UNIQUE(B2:B1000)</f>
        <v>RequestingArea</v>
      </c>
      <c r="P2" s="7" t="s">
        <v>21</v>
      </c>
      <c r="Q2" s="1" t="s">
        <v>165</v>
      </c>
      <c r="S2" s="7" t="s">
        <v>2</v>
      </c>
      <c r="T2" s="7" t="s">
        <v>1</v>
      </c>
      <c r="W2" s="6"/>
      <c r="X2" s="6"/>
      <c r="Y2" s="6"/>
      <c r="Z2" s="6"/>
    </row>
    <row r="3" spans="2:26" x14ac:dyDescent="0.2">
      <c r="B3" t="s">
        <v>12</v>
      </c>
      <c r="C3" t="str">
        <f>VLOOKUP($B3,$S:$T,2,FALSE)</f>
        <v>CISO</v>
      </c>
      <c r="D3" t="s">
        <v>4</v>
      </c>
      <c r="E3" s="20">
        <f t="shared" ref="E3:E66" si="0">G3*100/F3</f>
        <v>100</v>
      </c>
      <c r="F3" s="20">
        <f t="shared" ref="F3:F66" si="1">SUMIFS($G$2:$G$1000,$C$2:$C$1000,C3,$D$2:$D$1000,D3)</f>
        <v>100</v>
      </c>
      <c r="G3">
        <v>100</v>
      </c>
      <c r="I3" t="str">
        <v>Business Solutions</v>
      </c>
      <c r="J3" s="7">
        <f t="shared" ref="J3:J14" si="2">SUMIF($D:$D,I3,$G:$G)</f>
        <v>610</v>
      </c>
      <c r="L3" t="str">
        <v>CISO</v>
      </c>
      <c r="M3" s="4">
        <f t="shared" ref="M3:M14" si="3">SUMIF($C:$C,L3,$G:$G)</f>
        <v>240</v>
      </c>
      <c r="O3" t="str">
        <v>CISO</v>
      </c>
      <c r="P3" s="4">
        <f t="shared" ref="P3:P44" si="4">SUMIF($B:$B,O3,$G:$G)</f>
        <v>240</v>
      </c>
      <c r="Q3" t="str">
        <f>VLOOKUP(O3,$S:$T,2,FALSE)</f>
        <v>CISO</v>
      </c>
      <c r="S3" t="s">
        <v>12</v>
      </c>
      <c r="T3" t="s">
        <v>12</v>
      </c>
    </row>
    <row r="4" spans="2:26" x14ac:dyDescent="0.2">
      <c r="B4" t="s">
        <v>81</v>
      </c>
      <c r="C4" t="str">
        <f t="shared" ref="C4:C67" si="5">VLOOKUP($B4,$S:$T,2,FALSE)</f>
        <v>Commercial</v>
      </c>
      <c r="D4" t="s">
        <v>4</v>
      </c>
      <c r="E4" s="20">
        <f t="shared" si="0"/>
        <v>5.882352941176471</v>
      </c>
      <c r="F4" s="20">
        <f t="shared" si="1"/>
        <v>170</v>
      </c>
      <c r="G4">
        <v>10</v>
      </c>
      <c r="I4" t="str">
        <v>eCommerce</v>
      </c>
      <c r="J4" s="7">
        <f t="shared" si="2"/>
        <v>880</v>
      </c>
      <c r="L4" t="str">
        <v>Commercial</v>
      </c>
      <c r="M4" s="4">
        <f t="shared" si="3"/>
        <v>730</v>
      </c>
      <c r="O4" t="str">
        <v>CSI</v>
      </c>
      <c r="P4" s="4">
        <f t="shared" si="4"/>
        <v>60</v>
      </c>
      <c r="Q4" t="str">
        <f t="shared" ref="Q4:Q44" si="6">VLOOKUP(O4,$S:$T,2,FALSE)</f>
        <v>Commercial</v>
      </c>
      <c r="S4" t="s">
        <v>109</v>
      </c>
      <c r="T4" t="s">
        <v>5</v>
      </c>
    </row>
    <row r="5" spans="2:26" x14ac:dyDescent="0.2">
      <c r="B5" t="s">
        <v>82</v>
      </c>
      <c r="C5" t="str">
        <f t="shared" si="5"/>
        <v>Commercial</v>
      </c>
      <c r="D5" t="s">
        <v>4</v>
      </c>
      <c r="E5" s="20">
        <f t="shared" si="0"/>
        <v>5.882352941176471</v>
      </c>
      <c r="F5" s="20">
        <f t="shared" si="1"/>
        <v>170</v>
      </c>
      <c r="G5">
        <v>10</v>
      </c>
      <c r="I5" t="str">
        <v>Fulfilment</v>
      </c>
      <c r="J5" s="7">
        <f t="shared" si="2"/>
        <v>570</v>
      </c>
      <c r="L5" t="str">
        <v>Corporate</v>
      </c>
      <c r="M5" s="4">
        <f t="shared" si="3"/>
        <v>1700</v>
      </c>
      <c r="O5" t="str">
        <v>CTTE</v>
      </c>
      <c r="P5" s="4">
        <f t="shared" si="4"/>
        <v>60</v>
      </c>
      <c r="Q5" t="str">
        <f t="shared" si="6"/>
        <v>Commercial</v>
      </c>
      <c r="S5" t="s">
        <v>108</v>
      </c>
      <c r="T5" t="s">
        <v>5</v>
      </c>
    </row>
    <row r="6" spans="2:26" x14ac:dyDescent="0.2">
      <c r="B6" t="s">
        <v>79</v>
      </c>
      <c r="C6" t="str">
        <f t="shared" si="5"/>
        <v>Commercial</v>
      </c>
      <c r="D6" t="s">
        <v>4</v>
      </c>
      <c r="E6" s="20">
        <f t="shared" si="0"/>
        <v>5.882352941176471</v>
      </c>
      <c r="F6" s="20">
        <f t="shared" si="1"/>
        <v>170</v>
      </c>
      <c r="G6">
        <v>10</v>
      </c>
      <c r="I6" t="str">
        <v>Mail</v>
      </c>
      <c r="J6" s="7">
        <f t="shared" si="2"/>
        <v>610</v>
      </c>
      <c r="L6" t="str">
        <v>Operations</v>
      </c>
      <c r="M6" s="4">
        <f t="shared" si="3"/>
        <v>580</v>
      </c>
      <c r="O6" t="str">
        <v>DNI</v>
      </c>
      <c r="P6" s="4">
        <f t="shared" si="4"/>
        <v>100</v>
      </c>
      <c r="Q6" t="str">
        <f t="shared" si="6"/>
        <v>Commercial</v>
      </c>
      <c r="S6" t="s">
        <v>81</v>
      </c>
      <c r="T6" t="s">
        <v>5</v>
      </c>
    </row>
    <row r="7" spans="2:26" x14ac:dyDescent="0.2">
      <c r="B7" t="s">
        <v>83</v>
      </c>
      <c r="C7" t="str">
        <f t="shared" si="5"/>
        <v>Commercial</v>
      </c>
      <c r="D7" t="s">
        <v>4</v>
      </c>
      <c r="E7" s="20">
        <f t="shared" si="0"/>
        <v>5.882352941176471</v>
      </c>
      <c r="F7" s="20">
        <f t="shared" si="1"/>
        <v>170</v>
      </c>
      <c r="G7">
        <v>10</v>
      </c>
      <c r="I7" t="str">
        <v>Payments</v>
      </c>
      <c r="J7" s="7">
        <f t="shared" si="2"/>
        <v>610</v>
      </c>
      <c r="L7" t="str">
        <v>Technology</v>
      </c>
      <c r="M7" s="4">
        <f t="shared" si="3"/>
        <v>750</v>
      </c>
      <c r="O7" t="str">
        <v>ECM</v>
      </c>
      <c r="P7" s="4">
        <f t="shared" si="4"/>
        <v>60</v>
      </c>
      <c r="Q7" t="str">
        <f t="shared" si="6"/>
        <v>Commercial</v>
      </c>
      <c r="S7" t="s">
        <v>82</v>
      </c>
      <c r="T7" t="s">
        <v>5</v>
      </c>
    </row>
    <row r="8" spans="2:26" x14ac:dyDescent="0.2">
      <c r="B8" t="s">
        <v>22</v>
      </c>
      <c r="C8" t="str">
        <f t="shared" si="5"/>
        <v>Commercial</v>
      </c>
      <c r="D8" t="s">
        <v>4</v>
      </c>
      <c r="E8" s="20">
        <f t="shared" si="0"/>
        <v>29.411764705882351</v>
      </c>
      <c r="F8" s="20">
        <f t="shared" si="1"/>
        <v>170</v>
      </c>
      <c r="G8">
        <v>50</v>
      </c>
      <c r="I8" t="str">
        <v>Retail &amp; Financial Services</v>
      </c>
      <c r="J8" s="7">
        <f t="shared" si="2"/>
        <v>720</v>
      </c>
      <c r="L8">
        <v>0</v>
      </c>
      <c r="M8" s="4">
        <f t="shared" si="3"/>
        <v>0</v>
      </c>
      <c r="O8" t="str">
        <v>GP B2B</v>
      </c>
      <c r="P8" s="4">
        <f t="shared" si="4"/>
        <v>100</v>
      </c>
      <c r="Q8" t="str">
        <f t="shared" si="6"/>
        <v>Commercial</v>
      </c>
      <c r="S8" t="s">
        <v>79</v>
      </c>
      <c r="T8" t="s">
        <v>5</v>
      </c>
    </row>
    <row r="9" spans="2:26" x14ac:dyDescent="0.2">
      <c r="B9" t="s">
        <v>26</v>
      </c>
      <c r="C9" t="str">
        <f t="shared" si="5"/>
        <v>Commercial</v>
      </c>
      <c r="D9" t="s">
        <v>4</v>
      </c>
      <c r="E9" s="20">
        <f t="shared" si="0"/>
        <v>5.882352941176471</v>
      </c>
      <c r="F9" s="20">
        <f t="shared" si="1"/>
        <v>170</v>
      </c>
      <c r="G9">
        <v>10</v>
      </c>
      <c r="I9">
        <v>0</v>
      </c>
      <c r="J9" s="7">
        <f t="shared" si="2"/>
        <v>0</v>
      </c>
      <c r="M9" s="4">
        <f t="shared" si="3"/>
        <v>0</v>
      </c>
      <c r="O9" t="str">
        <v>GP B2C</v>
      </c>
      <c r="P9" s="4">
        <f t="shared" si="4"/>
        <v>60</v>
      </c>
      <c r="Q9" t="str">
        <f t="shared" si="6"/>
        <v>Commercial</v>
      </c>
      <c r="S9" t="s">
        <v>83</v>
      </c>
      <c r="T9" t="s">
        <v>5</v>
      </c>
    </row>
    <row r="10" spans="2:26" x14ac:dyDescent="0.2">
      <c r="B10" t="s">
        <v>24</v>
      </c>
      <c r="C10" t="str">
        <f t="shared" si="5"/>
        <v>Commercial</v>
      </c>
      <c r="D10" t="s">
        <v>4</v>
      </c>
      <c r="E10" s="20">
        <f t="shared" si="0"/>
        <v>5.882352941176471</v>
      </c>
      <c r="F10" s="20">
        <f t="shared" si="1"/>
        <v>170</v>
      </c>
      <c r="G10">
        <v>10</v>
      </c>
      <c r="J10" s="7">
        <f t="shared" si="2"/>
        <v>0</v>
      </c>
      <c r="M10" s="4">
        <f t="shared" si="3"/>
        <v>0</v>
      </c>
      <c r="O10" t="str">
        <v>GP ECL</v>
      </c>
      <c r="P10" s="4">
        <f t="shared" si="4"/>
        <v>100</v>
      </c>
      <c r="Q10" t="str">
        <f t="shared" si="6"/>
        <v>Commercial</v>
      </c>
      <c r="S10" t="s">
        <v>22</v>
      </c>
      <c r="T10" t="s">
        <v>5</v>
      </c>
    </row>
    <row r="11" spans="2:26" x14ac:dyDescent="0.2">
      <c r="B11" t="s">
        <v>25</v>
      </c>
      <c r="C11" t="str">
        <f t="shared" si="5"/>
        <v>Commercial</v>
      </c>
      <c r="D11" t="s">
        <v>4</v>
      </c>
      <c r="E11" s="20">
        <f t="shared" si="0"/>
        <v>5.882352941176471</v>
      </c>
      <c r="F11" s="20">
        <f t="shared" si="1"/>
        <v>170</v>
      </c>
      <c r="G11">
        <v>10</v>
      </c>
      <c r="J11" s="7">
        <f t="shared" si="2"/>
        <v>0</v>
      </c>
      <c r="M11" s="4">
        <f t="shared" si="3"/>
        <v>0</v>
      </c>
      <c r="O11" t="str">
        <v>GPG</v>
      </c>
      <c r="P11" s="4">
        <f t="shared" si="4"/>
        <v>60</v>
      </c>
      <c r="Q11" t="str">
        <f t="shared" si="6"/>
        <v>Commercial</v>
      </c>
      <c r="S11" t="s">
        <v>26</v>
      </c>
      <c r="T11" t="s">
        <v>5</v>
      </c>
    </row>
    <row r="12" spans="2:26" x14ac:dyDescent="0.2">
      <c r="B12" t="s">
        <v>80</v>
      </c>
      <c r="C12" t="str">
        <f t="shared" si="5"/>
        <v>Commercial</v>
      </c>
      <c r="D12" t="s">
        <v>4</v>
      </c>
      <c r="E12" s="20">
        <f t="shared" si="0"/>
        <v>29.411764705882351</v>
      </c>
      <c r="F12" s="20">
        <f t="shared" si="1"/>
        <v>170</v>
      </c>
      <c r="G12">
        <v>50</v>
      </c>
      <c r="J12" s="7">
        <f t="shared" si="2"/>
        <v>0</v>
      </c>
      <c r="M12" s="4">
        <f t="shared" si="3"/>
        <v>0</v>
      </c>
      <c r="O12" t="str">
        <v>GS</v>
      </c>
      <c r="P12" s="4">
        <f t="shared" si="4"/>
        <v>100</v>
      </c>
      <c r="Q12" t="str">
        <f t="shared" si="6"/>
        <v>Commercial</v>
      </c>
      <c r="S12" t="s">
        <v>24</v>
      </c>
      <c r="T12" t="s">
        <v>5</v>
      </c>
    </row>
    <row r="13" spans="2:26" x14ac:dyDescent="0.2">
      <c r="B13" t="s">
        <v>87</v>
      </c>
      <c r="C13" t="str">
        <f t="shared" si="5"/>
        <v>Corporate</v>
      </c>
      <c r="D13" t="s">
        <v>4</v>
      </c>
      <c r="E13" s="20">
        <f t="shared" si="0"/>
        <v>7.6923076923076925</v>
      </c>
      <c r="F13" s="20">
        <f t="shared" si="1"/>
        <v>130</v>
      </c>
      <c r="G13">
        <v>10</v>
      </c>
      <c r="J13" s="7">
        <f t="shared" si="2"/>
        <v>0</v>
      </c>
      <c r="M13" s="4">
        <f t="shared" si="3"/>
        <v>0</v>
      </c>
      <c r="O13" t="str">
        <v>ACR</v>
      </c>
      <c r="P13" s="4">
        <f t="shared" si="4"/>
        <v>60</v>
      </c>
      <c r="Q13" t="str">
        <f t="shared" si="6"/>
        <v>Corporate</v>
      </c>
      <c r="S13" t="s">
        <v>25</v>
      </c>
      <c r="T13" t="s">
        <v>5</v>
      </c>
    </row>
    <row r="14" spans="2:26" x14ac:dyDescent="0.2">
      <c r="B14" t="s">
        <v>89</v>
      </c>
      <c r="C14" t="str">
        <f t="shared" si="5"/>
        <v>Corporate</v>
      </c>
      <c r="D14" t="s">
        <v>4</v>
      </c>
      <c r="E14" s="20">
        <f t="shared" si="0"/>
        <v>7.6923076923076925</v>
      </c>
      <c r="F14" s="20">
        <f t="shared" si="1"/>
        <v>130</v>
      </c>
      <c r="G14">
        <v>10</v>
      </c>
      <c r="J14" s="7">
        <f t="shared" si="2"/>
        <v>0</v>
      </c>
      <c r="M14" s="4">
        <f t="shared" si="3"/>
        <v>0</v>
      </c>
      <c r="O14" t="str">
        <v>AVC</v>
      </c>
      <c r="P14" s="4">
        <f t="shared" si="4"/>
        <v>60</v>
      </c>
      <c r="Q14" t="str">
        <f t="shared" si="6"/>
        <v>Corporate</v>
      </c>
      <c r="S14" t="s">
        <v>80</v>
      </c>
      <c r="T14" t="s">
        <v>5</v>
      </c>
    </row>
    <row r="15" spans="2:26" x14ac:dyDescent="0.2">
      <c r="B15" t="s">
        <v>23</v>
      </c>
      <c r="C15" t="str">
        <f t="shared" si="5"/>
        <v>Corporate</v>
      </c>
      <c r="D15" t="s">
        <v>4</v>
      </c>
      <c r="E15" s="20">
        <f t="shared" si="0"/>
        <v>7.6923076923076925</v>
      </c>
      <c r="F15" s="20">
        <f t="shared" si="1"/>
        <v>130</v>
      </c>
      <c r="G15">
        <v>10</v>
      </c>
      <c r="O15" t="str">
        <v>CF</v>
      </c>
      <c r="P15" s="4">
        <f t="shared" si="4"/>
        <v>60</v>
      </c>
      <c r="Q15" t="str">
        <f t="shared" si="6"/>
        <v>Corporate</v>
      </c>
      <c r="S15" t="s">
        <v>111</v>
      </c>
      <c r="T15" t="s">
        <v>5</v>
      </c>
    </row>
    <row r="16" spans="2:26" x14ac:dyDescent="0.2">
      <c r="B16" t="s">
        <v>91</v>
      </c>
      <c r="C16" t="str">
        <f t="shared" si="5"/>
        <v>Corporate</v>
      </c>
      <c r="D16" t="s">
        <v>4</v>
      </c>
      <c r="E16" s="20">
        <f t="shared" si="0"/>
        <v>7.6923076923076925</v>
      </c>
      <c r="F16" s="20">
        <f t="shared" si="1"/>
        <v>130</v>
      </c>
      <c r="G16">
        <v>10</v>
      </c>
      <c r="O16" t="str">
        <v>CL</v>
      </c>
      <c r="P16" s="4">
        <f t="shared" si="4"/>
        <v>220</v>
      </c>
      <c r="Q16" t="str">
        <f t="shared" si="6"/>
        <v>Corporate</v>
      </c>
      <c r="S16" t="s">
        <v>87</v>
      </c>
      <c r="T16" t="s">
        <v>13</v>
      </c>
    </row>
    <row r="17" spans="2:20" x14ac:dyDescent="0.2">
      <c r="B17" t="s">
        <v>93</v>
      </c>
      <c r="C17" t="str">
        <f t="shared" si="5"/>
        <v>Corporate</v>
      </c>
      <c r="D17" t="s">
        <v>4</v>
      </c>
      <c r="E17" s="20">
        <f t="shared" si="0"/>
        <v>7.6923076923076925</v>
      </c>
      <c r="F17" s="20">
        <f t="shared" si="1"/>
        <v>130</v>
      </c>
      <c r="G17">
        <v>10</v>
      </c>
      <c r="O17" t="str">
        <v>CMP</v>
      </c>
      <c r="P17" s="4">
        <f t="shared" si="4"/>
        <v>60</v>
      </c>
      <c r="Q17" t="str">
        <f t="shared" si="6"/>
        <v>Corporate</v>
      </c>
      <c r="S17" t="s">
        <v>110</v>
      </c>
      <c r="T17" t="s">
        <v>13</v>
      </c>
    </row>
    <row r="18" spans="2:20" x14ac:dyDescent="0.2">
      <c r="B18" t="s">
        <v>97</v>
      </c>
      <c r="C18" t="str">
        <f t="shared" si="5"/>
        <v>Corporate</v>
      </c>
      <c r="D18" t="s">
        <v>4</v>
      </c>
      <c r="E18" s="20">
        <f t="shared" si="0"/>
        <v>7.6923076923076925</v>
      </c>
      <c r="F18" s="20">
        <f t="shared" si="1"/>
        <v>130</v>
      </c>
      <c r="G18">
        <v>10</v>
      </c>
      <c r="O18" t="str">
        <v>DPO</v>
      </c>
      <c r="P18" s="4">
        <f t="shared" si="4"/>
        <v>180</v>
      </c>
      <c r="Q18" t="str">
        <f t="shared" si="6"/>
        <v>Corporate</v>
      </c>
      <c r="S18" t="s">
        <v>89</v>
      </c>
      <c r="T18" t="s">
        <v>13</v>
      </c>
    </row>
    <row r="19" spans="2:20" x14ac:dyDescent="0.2">
      <c r="B19" t="s">
        <v>99</v>
      </c>
      <c r="C19" t="str">
        <f t="shared" si="5"/>
        <v>Corporate</v>
      </c>
      <c r="D19" t="s">
        <v>4</v>
      </c>
      <c r="E19" s="20">
        <f t="shared" si="0"/>
        <v>7.6923076923076925</v>
      </c>
      <c r="F19" s="20">
        <f t="shared" si="1"/>
        <v>130</v>
      </c>
      <c r="G19">
        <v>10</v>
      </c>
      <c r="O19" t="str">
        <v>FL</v>
      </c>
      <c r="P19" s="4">
        <f t="shared" si="4"/>
        <v>100</v>
      </c>
      <c r="Q19" t="str">
        <f t="shared" si="6"/>
        <v>Corporate</v>
      </c>
      <c r="S19" t="s">
        <v>23</v>
      </c>
      <c r="T19" t="s">
        <v>13</v>
      </c>
    </row>
    <row r="20" spans="2:20" x14ac:dyDescent="0.2">
      <c r="B20" t="s">
        <v>76</v>
      </c>
      <c r="C20" t="str">
        <f t="shared" si="5"/>
        <v>Corporate</v>
      </c>
      <c r="D20" t="s">
        <v>4</v>
      </c>
      <c r="E20" s="20">
        <f t="shared" si="0"/>
        <v>7.6923076923076925</v>
      </c>
      <c r="F20" s="20">
        <f t="shared" si="1"/>
        <v>130</v>
      </c>
      <c r="G20">
        <v>10</v>
      </c>
      <c r="O20" t="str">
        <v>GRH</v>
      </c>
      <c r="P20" s="4">
        <f t="shared" si="4"/>
        <v>60</v>
      </c>
      <c r="Q20" t="str">
        <f t="shared" si="6"/>
        <v>Corporate</v>
      </c>
      <c r="S20" t="s">
        <v>112</v>
      </c>
      <c r="T20" t="s">
        <v>13</v>
      </c>
    </row>
    <row r="21" spans="2:20" x14ac:dyDescent="0.2">
      <c r="B21" t="s">
        <v>90</v>
      </c>
      <c r="C21" t="str">
        <f t="shared" si="5"/>
        <v>Corporate</v>
      </c>
      <c r="D21" t="s">
        <v>4</v>
      </c>
      <c r="E21" s="20">
        <f t="shared" si="0"/>
        <v>7.6923076923076925</v>
      </c>
      <c r="F21" s="20">
        <f t="shared" si="1"/>
        <v>130</v>
      </c>
      <c r="G21">
        <v>10</v>
      </c>
      <c r="O21" t="str">
        <v>GT</v>
      </c>
      <c r="P21" s="4">
        <f t="shared" si="4"/>
        <v>260</v>
      </c>
      <c r="Q21" t="str">
        <f t="shared" si="6"/>
        <v>Corporate</v>
      </c>
      <c r="S21" t="s">
        <v>115</v>
      </c>
      <c r="T21" t="s">
        <v>13</v>
      </c>
    </row>
    <row r="22" spans="2:20" x14ac:dyDescent="0.2">
      <c r="B22" t="s">
        <v>159</v>
      </c>
      <c r="C22" t="str">
        <f t="shared" si="5"/>
        <v>Corporate</v>
      </c>
      <c r="D22" t="s">
        <v>4</v>
      </c>
      <c r="E22" s="20">
        <f t="shared" si="0"/>
        <v>7.6923076923076925</v>
      </c>
      <c r="F22" s="20">
        <f t="shared" si="1"/>
        <v>130</v>
      </c>
      <c r="G22">
        <v>10</v>
      </c>
      <c r="O22" t="str">
        <v>PC</v>
      </c>
      <c r="P22" s="4">
        <f t="shared" si="4"/>
        <v>60</v>
      </c>
      <c r="Q22" t="str">
        <f t="shared" si="6"/>
        <v>Corporate</v>
      </c>
      <c r="S22" t="s">
        <v>91</v>
      </c>
      <c r="T22" t="s">
        <v>13</v>
      </c>
    </row>
    <row r="23" spans="2:20" x14ac:dyDescent="0.2">
      <c r="B23" t="s">
        <v>88</v>
      </c>
      <c r="C23" t="str">
        <f t="shared" si="5"/>
        <v>Corporate</v>
      </c>
      <c r="D23" t="s">
        <v>4</v>
      </c>
      <c r="E23" s="20">
        <f t="shared" si="0"/>
        <v>7.6923076923076925</v>
      </c>
      <c r="F23" s="20">
        <f t="shared" si="1"/>
        <v>130</v>
      </c>
      <c r="G23">
        <v>10</v>
      </c>
      <c r="O23" t="str">
        <v>RS</v>
      </c>
      <c r="P23" s="4">
        <f t="shared" si="4"/>
        <v>100</v>
      </c>
      <c r="Q23" t="str">
        <f t="shared" si="6"/>
        <v>Corporate</v>
      </c>
      <c r="S23" t="s">
        <v>93</v>
      </c>
      <c r="T23" t="s">
        <v>13</v>
      </c>
    </row>
    <row r="24" spans="2:20" x14ac:dyDescent="0.2">
      <c r="B24" t="s">
        <v>94</v>
      </c>
      <c r="C24" t="str">
        <f t="shared" si="5"/>
        <v>Corporate</v>
      </c>
      <c r="D24" t="s">
        <v>4</v>
      </c>
      <c r="E24" s="20">
        <f t="shared" si="0"/>
        <v>7.6923076923076925</v>
      </c>
      <c r="F24" s="20">
        <f t="shared" si="1"/>
        <v>130</v>
      </c>
      <c r="G24">
        <v>10</v>
      </c>
      <c r="O24" t="str">
        <v>ST</v>
      </c>
      <c r="P24" s="4">
        <f t="shared" si="4"/>
        <v>60</v>
      </c>
      <c r="Q24" t="str">
        <f t="shared" si="6"/>
        <v>Corporate</v>
      </c>
      <c r="S24" t="s">
        <v>116</v>
      </c>
      <c r="T24" t="s">
        <v>13</v>
      </c>
    </row>
    <row r="25" spans="2:20" x14ac:dyDescent="0.2">
      <c r="B25" t="s">
        <v>96</v>
      </c>
      <c r="C25" t="str">
        <f t="shared" si="5"/>
        <v>Corporate</v>
      </c>
      <c r="D25" t="s">
        <v>4</v>
      </c>
      <c r="E25" s="20">
        <f t="shared" si="0"/>
        <v>7.6923076923076925</v>
      </c>
      <c r="F25" s="20">
        <f t="shared" si="1"/>
        <v>130</v>
      </c>
      <c r="G25">
        <v>10</v>
      </c>
      <c r="O25" t="str">
        <v>TF</v>
      </c>
      <c r="P25" s="4">
        <f t="shared" si="4"/>
        <v>370</v>
      </c>
      <c r="Q25" t="str">
        <f t="shared" si="6"/>
        <v>Corporate</v>
      </c>
      <c r="S25" t="s">
        <v>97</v>
      </c>
      <c r="T25" t="s">
        <v>13</v>
      </c>
    </row>
    <row r="26" spans="2:20" x14ac:dyDescent="0.2">
      <c r="B26" t="s">
        <v>8</v>
      </c>
      <c r="C26" t="str">
        <f t="shared" si="5"/>
        <v>Operations</v>
      </c>
      <c r="D26" t="s">
        <v>4</v>
      </c>
      <c r="E26" s="20">
        <f t="shared" si="0"/>
        <v>41.666666666666664</v>
      </c>
      <c r="F26" s="20">
        <f t="shared" si="1"/>
        <v>120</v>
      </c>
      <c r="G26">
        <v>50</v>
      </c>
      <c r="O26" t="str">
        <v>EDO</v>
      </c>
      <c r="P26" s="4">
        <f t="shared" si="4"/>
        <v>230</v>
      </c>
      <c r="Q26" t="str">
        <f t="shared" si="6"/>
        <v>Operations</v>
      </c>
      <c r="S26" t="s">
        <v>99</v>
      </c>
      <c r="T26" t="s">
        <v>13</v>
      </c>
    </row>
    <row r="27" spans="2:20" x14ac:dyDescent="0.2">
      <c r="B27" t="s">
        <v>85</v>
      </c>
      <c r="C27" t="str">
        <f t="shared" si="5"/>
        <v>Operations</v>
      </c>
      <c r="D27" t="s">
        <v>4</v>
      </c>
      <c r="E27" s="20">
        <f t="shared" si="0"/>
        <v>8.3333333333333339</v>
      </c>
      <c r="F27" s="20">
        <f t="shared" si="1"/>
        <v>120</v>
      </c>
      <c r="G27">
        <v>10</v>
      </c>
      <c r="O27" t="str">
        <v>EM</v>
      </c>
      <c r="P27" s="4">
        <f t="shared" si="4"/>
        <v>240</v>
      </c>
      <c r="Q27" t="str">
        <f t="shared" si="6"/>
        <v>Operations</v>
      </c>
      <c r="S27" t="s">
        <v>76</v>
      </c>
      <c r="T27" t="s">
        <v>13</v>
      </c>
    </row>
    <row r="28" spans="2:20" x14ac:dyDescent="0.2">
      <c r="B28" t="s">
        <v>85</v>
      </c>
      <c r="C28" t="str">
        <f t="shared" si="5"/>
        <v>Operations</v>
      </c>
      <c r="D28" t="s">
        <v>4</v>
      </c>
      <c r="E28" s="20">
        <f t="shared" si="0"/>
        <v>41.666666666666664</v>
      </c>
      <c r="F28" s="20">
        <f t="shared" si="1"/>
        <v>120</v>
      </c>
      <c r="G28">
        <v>50</v>
      </c>
      <c r="O28" t="str">
        <v>SEO</v>
      </c>
      <c r="P28" s="4">
        <f t="shared" si="4"/>
        <v>100</v>
      </c>
      <c r="Q28" t="str">
        <f t="shared" si="6"/>
        <v>Operations</v>
      </c>
      <c r="S28" t="s">
        <v>90</v>
      </c>
      <c r="T28" t="s">
        <v>13</v>
      </c>
    </row>
    <row r="29" spans="2:20" x14ac:dyDescent="0.2">
      <c r="B29" t="s">
        <v>27</v>
      </c>
      <c r="C29" t="str">
        <f t="shared" si="5"/>
        <v>Operations</v>
      </c>
      <c r="D29" t="s">
        <v>4</v>
      </c>
      <c r="E29" s="20">
        <f t="shared" si="0"/>
        <v>8.3333333333333339</v>
      </c>
      <c r="F29" s="20">
        <f t="shared" si="1"/>
        <v>120</v>
      </c>
      <c r="G29">
        <v>10</v>
      </c>
      <c r="O29" t="str">
        <v>BCTT</v>
      </c>
      <c r="P29" s="4">
        <f t="shared" si="4"/>
        <v>100</v>
      </c>
      <c r="Q29" t="str">
        <f t="shared" si="6"/>
        <v>Technology</v>
      </c>
      <c r="S29" t="s">
        <v>159</v>
      </c>
      <c r="T29" t="s">
        <v>13</v>
      </c>
    </row>
    <row r="30" spans="2:20" x14ac:dyDescent="0.2">
      <c r="B30" t="s">
        <v>75</v>
      </c>
      <c r="C30" t="str">
        <f t="shared" si="5"/>
        <v>Technology</v>
      </c>
      <c r="D30" t="s">
        <v>4</v>
      </c>
      <c r="E30" s="20">
        <f t="shared" si="0"/>
        <v>11.111111111111111</v>
      </c>
      <c r="F30" s="20">
        <f t="shared" si="1"/>
        <v>90</v>
      </c>
      <c r="G30">
        <v>10</v>
      </c>
      <c r="O30" t="str">
        <v>SI</v>
      </c>
      <c r="P30" s="4">
        <f t="shared" si="4"/>
        <v>180</v>
      </c>
      <c r="Q30" t="str">
        <f t="shared" si="6"/>
        <v>Technology</v>
      </c>
      <c r="S30" t="s">
        <v>114</v>
      </c>
      <c r="T30" t="s">
        <v>13</v>
      </c>
    </row>
    <row r="31" spans="2:20" x14ac:dyDescent="0.2">
      <c r="B31" t="s">
        <v>10</v>
      </c>
      <c r="C31" t="str">
        <f t="shared" si="5"/>
        <v>Technology</v>
      </c>
      <c r="D31" t="s">
        <v>4</v>
      </c>
      <c r="E31" s="20">
        <f t="shared" si="0"/>
        <v>55.555555555555557</v>
      </c>
      <c r="F31" s="20">
        <f t="shared" si="1"/>
        <v>90</v>
      </c>
      <c r="G31">
        <v>50</v>
      </c>
      <c r="O31" t="str">
        <v>SI-CRP</v>
      </c>
      <c r="P31" s="4">
        <f t="shared" si="4"/>
        <v>140</v>
      </c>
      <c r="Q31" t="str">
        <f t="shared" si="6"/>
        <v>Technology</v>
      </c>
      <c r="S31" t="s">
        <v>88</v>
      </c>
      <c r="T31" t="s">
        <v>13</v>
      </c>
    </row>
    <row r="32" spans="2:20" x14ac:dyDescent="0.2">
      <c r="B32" t="s">
        <v>103</v>
      </c>
      <c r="C32" t="str">
        <f t="shared" si="5"/>
        <v>Technology</v>
      </c>
      <c r="D32" t="s">
        <v>4</v>
      </c>
      <c r="E32" s="20">
        <f t="shared" si="0"/>
        <v>11.111111111111111</v>
      </c>
      <c r="F32" s="20">
        <f t="shared" si="1"/>
        <v>90</v>
      </c>
      <c r="G32">
        <v>10</v>
      </c>
      <c r="O32" t="str">
        <v>SI-OPS</v>
      </c>
      <c r="P32" s="4">
        <f t="shared" si="4"/>
        <v>100</v>
      </c>
      <c r="Q32" t="str">
        <f t="shared" si="6"/>
        <v>Technology</v>
      </c>
      <c r="S32" t="s">
        <v>94</v>
      </c>
      <c r="T32" t="s">
        <v>13</v>
      </c>
    </row>
    <row r="33" spans="2:20" x14ac:dyDescent="0.2">
      <c r="B33" t="s">
        <v>102</v>
      </c>
      <c r="C33" t="str">
        <f t="shared" si="5"/>
        <v>Technology</v>
      </c>
      <c r="D33" t="s">
        <v>4</v>
      </c>
      <c r="E33" s="20">
        <f t="shared" si="0"/>
        <v>11.111111111111111</v>
      </c>
      <c r="F33" s="20">
        <f t="shared" si="1"/>
        <v>90</v>
      </c>
      <c r="G33">
        <v>10</v>
      </c>
      <c r="O33" t="str">
        <v>SI-PRD</v>
      </c>
      <c r="P33" s="4">
        <f t="shared" si="4"/>
        <v>220</v>
      </c>
      <c r="Q33" t="str">
        <f t="shared" si="6"/>
        <v>Technology</v>
      </c>
      <c r="S33" t="s">
        <v>96</v>
      </c>
      <c r="T33" t="s">
        <v>13</v>
      </c>
    </row>
    <row r="34" spans="2:20" x14ac:dyDescent="0.2">
      <c r="B34" t="s">
        <v>101</v>
      </c>
      <c r="C34" t="str">
        <f t="shared" si="5"/>
        <v>Technology</v>
      </c>
      <c r="D34" t="s">
        <v>4</v>
      </c>
      <c r="E34" s="20">
        <f t="shared" si="0"/>
        <v>11.111111111111111</v>
      </c>
      <c r="F34" s="20">
        <f t="shared" si="1"/>
        <v>90</v>
      </c>
      <c r="G34">
        <v>10</v>
      </c>
      <c r="O34" t="str">
        <v>CCO</v>
      </c>
      <c r="P34" s="4">
        <f t="shared" si="4"/>
        <v>10</v>
      </c>
      <c r="Q34" t="str">
        <f t="shared" si="6"/>
        <v>Commercial</v>
      </c>
      <c r="S34" t="s">
        <v>107</v>
      </c>
      <c r="T34" t="s">
        <v>7</v>
      </c>
    </row>
    <row r="35" spans="2:20" x14ac:dyDescent="0.2">
      <c r="B35" t="s">
        <v>12</v>
      </c>
      <c r="C35" t="str">
        <f t="shared" si="5"/>
        <v>CISO</v>
      </c>
      <c r="D35" t="s">
        <v>11</v>
      </c>
      <c r="E35" s="20">
        <f t="shared" si="0"/>
        <v>100</v>
      </c>
      <c r="F35" s="20">
        <f t="shared" si="1"/>
        <v>100</v>
      </c>
      <c r="G35">
        <v>100</v>
      </c>
      <c r="O35" t="str">
        <v>CMO</v>
      </c>
      <c r="P35" s="4">
        <f t="shared" si="4"/>
        <v>10</v>
      </c>
      <c r="Q35" t="str">
        <f t="shared" si="6"/>
        <v>Commercial</v>
      </c>
      <c r="S35" t="s">
        <v>8</v>
      </c>
      <c r="T35" t="s">
        <v>7</v>
      </c>
    </row>
    <row r="36" spans="2:20" x14ac:dyDescent="0.2">
      <c r="B36" t="s">
        <v>109</v>
      </c>
      <c r="C36" t="str">
        <f t="shared" si="5"/>
        <v>Commercial</v>
      </c>
      <c r="D36" t="s">
        <v>11</v>
      </c>
      <c r="E36" s="20">
        <f t="shared" si="0"/>
        <v>5</v>
      </c>
      <c r="F36" s="20">
        <f t="shared" si="1"/>
        <v>200</v>
      </c>
      <c r="G36">
        <v>10</v>
      </c>
      <c r="O36" t="str">
        <v>IDC</v>
      </c>
      <c r="P36" s="4">
        <f t="shared" si="4"/>
        <v>10</v>
      </c>
      <c r="Q36" t="str">
        <f t="shared" si="6"/>
        <v>Commercial</v>
      </c>
      <c r="S36" t="s">
        <v>85</v>
      </c>
      <c r="T36" t="s">
        <v>7</v>
      </c>
    </row>
    <row r="37" spans="2:20" x14ac:dyDescent="0.2">
      <c r="B37" t="s">
        <v>108</v>
      </c>
      <c r="C37" t="str">
        <f t="shared" si="5"/>
        <v>Commercial</v>
      </c>
      <c r="D37" t="s">
        <v>11</v>
      </c>
      <c r="E37" s="20">
        <f t="shared" si="0"/>
        <v>5</v>
      </c>
      <c r="F37" s="20">
        <f t="shared" si="1"/>
        <v>200</v>
      </c>
      <c r="G37">
        <v>10</v>
      </c>
      <c r="O37" t="str">
        <v>ATC</v>
      </c>
      <c r="P37" s="4">
        <f t="shared" si="4"/>
        <v>10</v>
      </c>
      <c r="Q37" t="str">
        <f t="shared" si="6"/>
        <v>Corporate</v>
      </c>
      <c r="S37" t="s">
        <v>85</v>
      </c>
      <c r="T37" t="s">
        <v>7</v>
      </c>
    </row>
    <row r="38" spans="2:20" x14ac:dyDescent="0.2">
      <c r="B38" t="s">
        <v>81</v>
      </c>
      <c r="C38" t="str">
        <f t="shared" si="5"/>
        <v>Commercial</v>
      </c>
      <c r="D38" t="s">
        <v>11</v>
      </c>
      <c r="E38" s="20">
        <f t="shared" si="0"/>
        <v>5</v>
      </c>
      <c r="F38" s="20">
        <f t="shared" si="1"/>
        <v>200</v>
      </c>
      <c r="G38">
        <v>10</v>
      </c>
      <c r="O38" t="str">
        <v>CFO</v>
      </c>
      <c r="P38" s="4">
        <f t="shared" si="4"/>
        <v>10</v>
      </c>
      <c r="Q38" t="str">
        <f t="shared" si="6"/>
        <v>Corporate</v>
      </c>
      <c r="S38" t="s">
        <v>27</v>
      </c>
      <c r="T38" t="s">
        <v>7</v>
      </c>
    </row>
    <row r="39" spans="2:20" x14ac:dyDescent="0.2">
      <c r="B39" t="s">
        <v>82</v>
      </c>
      <c r="C39" t="str">
        <f t="shared" si="5"/>
        <v>Commercial</v>
      </c>
      <c r="D39" t="s">
        <v>11</v>
      </c>
      <c r="E39" s="20">
        <f t="shared" si="0"/>
        <v>5</v>
      </c>
      <c r="F39" s="20">
        <f t="shared" si="1"/>
        <v>200</v>
      </c>
      <c r="G39">
        <v>10</v>
      </c>
      <c r="O39" t="str">
        <v>CHR</v>
      </c>
      <c r="P39" s="4">
        <f t="shared" si="4"/>
        <v>10</v>
      </c>
      <c r="Q39" t="str">
        <f t="shared" si="6"/>
        <v>Corporate</v>
      </c>
      <c r="S39" t="s">
        <v>75</v>
      </c>
      <c r="T39" t="s">
        <v>9</v>
      </c>
    </row>
    <row r="40" spans="2:20" x14ac:dyDescent="0.2">
      <c r="B40" t="s">
        <v>79</v>
      </c>
      <c r="C40" t="str">
        <f t="shared" si="5"/>
        <v>Commercial</v>
      </c>
      <c r="D40" t="s">
        <v>11</v>
      </c>
      <c r="E40" s="20">
        <f t="shared" si="0"/>
        <v>25</v>
      </c>
      <c r="F40" s="20">
        <f t="shared" si="1"/>
        <v>200</v>
      </c>
      <c r="G40">
        <v>50</v>
      </c>
      <c r="O40" t="str">
        <v>COM</v>
      </c>
      <c r="P40" s="4">
        <f t="shared" si="4"/>
        <v>10</v>
      </c>
      <c r="Q40" t="str">
        <f t="shared" si="6"/>
        <v>Corporate</v>
      </c>
      <c r="S40" t="s">
        <v>113</v>
      </c>
      <c r="T40" t="s">
        <v>9</v>
      </c>
    </row>
    <row r="41" spans="2:20" x14ac:dyDescent="0.2">
      <c r="B41" t="s">
        <v>83</v>
      </c>
      <c r="C41" t="str">
        <f t="shared" si="5"/>
        <v>Commercial</v>
      </c>
      <c r="D41" t="s">
        <v>11</v>
      </c>
      <c r="E41" s="20">
        <f t="shared" si="0"/>
        <v>5</v>
      </c>
      <c r="F41" s="20">
        <f t="shared" si="1"/>
        <v>200</v>
      </c>
      <c r="G41">
        <v>10</v>
      </c>
      <c r="O41" t="str">
        <v>PRO</v>
      </c>
      <c r="P41" s="4">
        <f t="shared" si="4"/>
        <v>10</v>
      </c>
      <c r="Q41" t="str">
        <f t="shared" si="6"/>
        <v>Corporate</v>
      </c>
      <c r="S41" t="s">
        <v>10</v>
      </c>
      <c r="T41" t="s">
        <v>9</v>
      </c>
    </row>
    <row r="42" spans="2:20" x14ac:dyDescent="0.2">
      <c r="B42" t="s">
        <v>22</v>
      </c>
      <c r="C42" t="str">
        <f t="shared" si="5"/>
        <v>Commercial</v>
      </c>
      <c r="D42" t="s">
        <v>11</v>
      </c>
      <c r="E42" s="20">
        <f t="shared" si="0"/>
        <v>5</v>
      </c>
      <c r="F42" s="20">
        <f t="shared" si="1"/>
        <v>200</v>
      </c>
      <c r="G42">
        <v>10</v>
      </c>
      <c r="O42" t="str">
        <v>COO</v>
      </c>
      <c r="P42" s="4">
        <f t="shared" si="4"/>
        <v>10</v>
      </c>
      <c r="Q42" t="str">
        <f t="shared" si="6"/>
        <v>Operations</v>
      </c>
      <c r="S42" t="s">
        <v>103</v>
      </c>
      <c r="T42" t="s">
        <v>9</v>
      </c>
    </row>
    <row r="43" spans="2:20" x14ac:dyDescent="0.2">
      <c r="B43" t="s">
        <v>26</v>
      </c>
      <c r="C43" t="str">
        <f t="shared" si="5"/>
        <v>Commercial</v>
      </c>
      <c r="D43" t="s">
        <v>11</v>
      </c>
      <c r="E43" s="20">
        <f t="shared" si="0"/>
        <v>5</v>
      </c>
      <c r="F43" s="20">
        <f t="shared" si="1"/>
        <v>200</v>
      </c>
      <c r="G43">
        <v>10</v>
      </c>
      <c r="O43" t="str">
        <v>CIO</v>
      </c>
      <c r="P43" s="4">
        <f t="shared" si="4"/>
        <v>10</v>
      </c>
      <c r="Q43" t="str">
        <f t="shared" si="6"/>
        <v>Technology</v>
      </c>
      <c r="S43" t="s">
        <v>102</v>
      </c>
      <c r="T43" t="s">
        <v>9</v>
      </c>
    </row>
    <row r="44" spans="2:20" x14ac:dyDescent="0.2">
      <c r="B44" t="s">
        <v>24</v>
      </c>
      <c r="C44" t="str">
        <f t="shared" si="5"/>
        <v>Commercial</v>
      </c>
      <c r="D44" t="s">
        <v>11</v>
      </c>
      <c r="E44" s="20">
        <f t="shared" si="0"/>
        <v>25</v>
      </c>
      <c r="F44" s="20">
        <f t="shared" si="1"/>
        <v>200</v>
      </c>
      <c r="G44">
        <v>50</v>
      </c>
      <c r="O44">
        <v>0</v>
      </c>
      <c r="P44" s="4">
        <f t="shared" si="4"/>
        <v>0</v>
      </c>
      <c r="Q44" t="e">
        <f t="shared" si="6"/>
        <v>#N/A</v>
      </c>
      <c r="S44" t="s">
        <v>101</v>
      </c>
      <c r="T44" t="s">
        <v>9</v>
      </c>
    </row>
    <row r="45" spans="2:20" x14ac:dyDescent="0.2">
      <c r="B45" t="s">
        <v>25</v>
      </c>
      <c r="C45" t="str">
        <f t="shared" si="5"/>
        <v>Commercial</v>
      </c>
      <c r="D45" t="s">
        <v>11</v>
      </c>
      <c r="E45" s="20">
        <f t="shared" si="0"/>
        <v>5</v>
      </c>
      <c r="F45" s="20">
        <f t="shared" si="1"/>
        <v>200</v>
      </c>
      <c r="G45">
        <v>10</v>
      </c>
    </row>
    <row r="46" spans="2:20" x14ac:dyDescent="0.2">
      <c r="B46" t="s">
        <v>80</v>
      </c>
      <c r="C46" t="str">
        <f t="shared" si="5"/>
        <v>Commercial</v>
      </c>
      <c r="D46" t="s">
        <v>11</v>
      </c>
      <c r="E46" s="20">
        <f t="shared" si="0"/>
        <v>5</v>
      </c>
      <c r="F46" s="20">
        <f t="shared" si="1"/>
        <v>200</v>
      </c>
      <c r="G46">
        <v>10</v>
      </c>
    </row>
    <row r="47" spans="2:20" x14ac:dyDescent="0.2">
      <c r="B47" t="s">
        <v>111</v>
      </c>
      <c r="C47" t="str">
        <f t="shared" si="5"/>
        <v>Commercial</v>
      </c>
      <c r="D47" t="s">
        <v>11</v>
      </c>
      <c r="E47" s="20">
        <f t="shared" si="0"/>
        <v>5</v>
      </c>
      <c r="F47" s="20">
        <f t="shared" si="1"/>
        <v>200</v>
      </c>
      <c r="G47">
        <v>10</v>
      </c>
    </row>
    <row r="48" spans="2:20" x14ac:dyDescent="0.2">
      <c r="B48" t="s">
        <v>87</v>
      </c>
      <c r="C48" t="str">
        <f t="shared" si="5"/>
        <v>Corporate</v>
      </c>
      <c r="D48" t="s">
        <v>11</v>
      </c>
      <c r="E48" s="20">
        <f t="shared" si="0"/>
        <v>3.3333333333333335</v>
      </c>
      <c r="F48" s="20">
        <f t="shared" si="1"/>
        <v>300</v>
      </c>
      <c r="G48">
        <v>10</v>
      </c>
    </row>
    <row r="49" spans="2:7" x14ac:dyDescent="0.2">
      <c r="B49" t="s">
        <v>110</v>
      </c>
      <c r="C49" t="str">
        <f t="shared" si="5"/>
        <v>Corporate</v>
      </c>
      <c r="D49" t="s">
        <v>11</v>
      </c>
      <c r="E49" s="20">
        <f t="shared" si="0"/>
        <v>3.3333333333333335</v>
      </c>
      <c r="F49" s="20">
        <f t="shared" si="1"/>
        <v>300</v>
      </c>
      <c r="G49">
        <v>10</v>
      </c>
    </row>
    <row r="50" spans="2:7" x14ac:dyDescent="0.2">
      <c r="B50" t="s">
        <v>89</v>
      </c>
      <c r="C50" t="str">
        <f t="shared" si="5"/>
        <v>Corporate</v>
      </c>
      <c r="D50" t="s">
        <v>11</v>
      </c>
      <c r="E50" s="20">
        <f t="shared" si="0"/>
        <v>3.3333333333333335</v>
      </c>
      <c r="F50" s="20">
        <f t="shared" si="1"/>
        <v>300</v>
      </c>
      <c r="G50">
        <v>10</v>
      </c>
    </row>
    <row r="51" spans="2:7" x14ac:dyDescent="0.2">
      <c r="B51" t="s">
        <v>23</v>
      </c>
      <c r="C51" t="str">
        <f t="shared" si="5"/>
        <v>Corporate</v>
      </c>
      <c r="D51" t="s">
        <v>11</v>
      </c>
      <c r="E51" s="20">
        <f t="shared" si="0"/>
        <v>3.3333333333333335</v>
      </c>
      <c r="F51" s="20">
        <f t="shared" si="1"/>
        <v>300</v>
      </c>
      <c r="G51">
        <v>10</v>
      </c>
    </row>
    <row r="52" spans="2:7" x14ac:dyDescent="0.2">
      <c r="B52" t="s">
        <v>112</v>
      </c>
      <c r="C52" t="str">
        <f t="shared" si="5"/>
        <v>Corporate</v>
      </c>
      <c r="D52" t="s">
        <v>11</v>
      </c>
      <c r="E52" s="20">
        <f t="shared" si="0"/>
        <v>3.3333333333333335</v>
      </c>
      <c r="F52" s="20">
        <f t="shared" si="1"/>
        <v>300</v>
      </c>
      <c r="G52">
        <v>10</v>
      </c>
    </row>
    <row r="53" spans="2:7" x14ac:dyDescent="0.2">
      <c r="B53" t="s">
        <v>115</v>
      </c>
      <c r="C53" t="str">
        <f t="shared" si="5"/>
        <v>Corporate</v>
      </c>
      <c r="D53" t="s">
        <v>11</v>
      </c>
      <c r="E53" s="20">
        <f t="shared" si="0"/>
        <v>3.3333333333333335</v>
      </c>
      <c r="F53" s="20">
        <f t="shared" si="1"/>
        <v>300</v>
      </c>
      <c r="G53">
        <v>10</v>
      </c>
    </row>
    <row r="54" spans="2:7" x14ac:dyDescent="0.2">
      <c r="B54" t="s">
        <v>91</v>
      </c>
      <c r="C54" t="str">
        <f t="shared" si="5"/>
        <v>Corporate</v>
      </c>
      <c r="D54" t="s">
        <v>11</v>
      </c>
      <c r="E54" s="20">
        <f t="shared" si="0"/>
        <v>3.3333333333333335</v>
      </c>
      <c r="F54" s="20">
        <f t="shared" si="1"/>
        <v>300</v>
      </c>
      <c r="G54">
        <v>10</v>
      </c>
    </row>
    <row r="55" spans="2:7" x14ac:dyDescent="0.2">
      <c r="B55" t="s">
        <v>93</v>
      </c>
      <c r="C55" t="str">
        <f t="shared" si="5"/>
        <v>Corporate</v>
      </c>
      <c r="D55" t="s">
        <v>11</v>
      </c>
      <c r="E55" s="20">
        <f t="shared" si="0"/>
        <v>3.3333333333333335</v>
      </c>
      <c r="F55" s="20">
        <f t="shared" si="1"/>
        <v>300</v>
      </c>
      <c r="G55">
        <v>10</v>
      </c>
    </row>
    <row r="56" spans="2:7" x14ac:dyDescent="0.2">
      <c r="B56" t="s">
        <v>116</v>
      </c>
      <c r="C56" t="str">
        <f t="shared" si="5"/>
        <v>Corporate</v>
      </c>
      <c r="D56" t="s">
        <v>11</v>
      </c>
      <c r="E56" s="20">
        <f t="shared" si="0"/>
        <v>3.3333333333333335</v>
      </c>
      <c r="F56" s="20">
        <f t="shared" si="1"/>
        <v>300</v>
      </c>
      <c r="G56">
        <v>10</v>
      </c>
    </row>
    <row r="57" spans="2:7" x14ac:dyDescent="0.2">
      <c r="B57" t="s">
        <v>97</v>
      </c>
      <c r="C57" t="str">
        <f t="shared" si="5"/>
        <v>Corporate</v>
      </c>
      <c r="D57" t="s">
        <v>11</v>
      </c>
      <c r="E57" s="20">
        <f t="shared" si="0"/>
        <v>3.3333333333333335</v>
      </c>
      <c r="F57" s="20">
        <f t="shared" si="1"/>
        <v>300</v>
      </c>
      <c r="G57">
        <v>10</v>
      </c>
    </row>
    <row r="58" spans="2:7" x14ac:dyDescent="0.2">
      <c r="B58" t="s">
        <v>99</v>
      </c>
      <c r="C58" t="str">
        <f t="shared" si="5"/>
        <v>Corporate</v>
      </c>
      <c r="D58" t="s">
        <v>11</v>
      </c>
      <c r="E58" s="20">
        <f t="shared" si="0"/>
        <v>16.666666666666668</v>
      </c>
      <c r="F58" s="20">
        <f t="shared" si="1"/>
        <v>300</v>
      </c>
      <c r="G58">
        <v>50</v>
      </c>
    </row>
    <row r="59" spans="2:7" x14ac:dyDescent="0.2">
      <c r="B59" t="s">
        <v>76</v>
      </c>
      <c r="C59" t="str">
        <f t="shared" si="5"/>
        <v>Corporate</v>
      </c>
      <c r="D59" t="s">
        <v>11</v>
      </c>
      <c r="E59" s="20">
        <f t="shared" si="0"/>
        <v>3.3333333333333335</v>
      </c>
      <c r="F59" s="20">
        <f t="shared" si="1"/>
        <v>300</v>
      </c>
      <c r="G59">
        <v>10</v>
      </c>
    </row>
    <row r="60" spans="2:7" x14ac:dyDescent="0.2">
      <c r="B60" t="s">
        <v>90</v>
      </c>
      <c r="C60" t="str">
        <f t="shared" si="5"/>
        <v>Corporate</v>
      </c>
      <c r="D60" t="s">
        <v>11</v>
      </c>
      <c r="E60" s="20">
        <f t="shared" si="0"/>
        <v>16.666666666666668</v>
      </c>
      <c r="F60" s="20">
        <f t="shared" si="1"/>
        <v>300</v>
      </c>
      <c r="G60">
        <v>50</v>
      </c>
    </row>
    <row r="61" spans="2:7" x14ac:dyDescent="0.2">
      <c r="B61" t="s">
        <v>159</v>
      </c>
      <c r="C61" t="str">
        <f t="shared" si="5"/>
        <v>Corporate</v>
      </c>
      <c r="D61" t="s">
        <v>11</v>
      </c>
      <c r="E61" s="20">
        <f t="shared" si="0"/>
        <v>3.3333333333333335</v>
      </c>
      <c r="F61" s="20">
        <f t="shared" si="1"/>
        <v>300</v>
      </c>
      <c r="G61">
        <v>10</v>
      </c>
    </row>
    <row r="62" spans="2:7" x14ac:dyDescent="0.2">
      <c r="B62" t="s">
        <v>114</v>
      </c>
      <c r="C62" t="str">
        <f t="shared" si="5"/>
        <v>Corporate</v>
      </c>
      <c r="D62" t="s">
        <v>11</v>
      </c>
      <c r="E62" s="20">
        <f t="shared" si="0"/>
        <v>3.3333333333333335</v>
      </c>
      <c r="F62" s="20">
        <f t="shared" si="1"/>
        <v>300</v>
      </c>
      <c r="G62">
        <v>10</v>
      </c>
    </row>
    <row r="63" spans="2:7" x14ac:dyDescent="0.2">
      <c r="B63" t="s">
        <v>88</v>
      </c>
      <c r="C63" t="str">
        <f t="shared" si="5"/>
        <v>Corporate</v>
      </c>
      <c r="D63" t="s">
        <v>11</v>
      </c>
      <c r="E63" s="20">
        <f t="shared" si="0"/>
        <v>16.666666666666668</v>
      </c>
      <c r="F63" s="20">
        <f t="shared" si="1"/>
        <v>300</v>
      </c>
      <c r="G63">
        <v>50</v>
      </c>
    </row>
    <row r="64" spans="2:7" x14ac:dyDescent="0.2">
      <c r="B64" t="s">
        <v>94</v>
      </c>
      <c r="C64" t="str">
        <f t="shared" si="5"/>
        <v>Corporate</v>
      </c>
      <c r="D64" t="s">
        <v>11</v>
      </c>
      <c r="E64" s="20">
        <f t="shared" si="0"/>
        <v>3.3333333333333335</v>
      </c>
      <c r="F64" s="20">
        <f t="shared" si="1"/>
        <v>300</v>
      </c>
      <c r="G64">
        <v>10</v>
      </c>
    </row>
    <row r="65" spans="2:7" x14ac:dyDescent="0.2">
      <c r="B65" t="s">
        <v>96</v>
      </c>
      <c r="C65" t="str">
        <f t="shared" si="5"/>
        <v>Corporate</v>
      </c>
      <c r="D65" t="s">
        <v>11</v>
      </c>
      <c r="E65" s="20">
        <f t="shared" si="0"/>
        <v>3.3333333333333335</v>
      </c>
      <c r="F65" s="20">
        <f t="shared" si="1"/>
        <v>300</v>
      </c>
      <c r="G65">
        <v>10</v>
      </c>
    </row>
    <row r="66" spans="2:7" x14ac:dyDescent="0.2">
      <c r="B66" t="s">
        <v>107</v>
      </c>
      <c r="C66" t="str">
        <f t="shared" si="5"/>
        <v>Operations</v>
      </c>
      <c r="D66" t="s">
        <v>11</v>
      </c>
      <c r="E66" s="20">
        <f t="shared" si="0"/>
        <v>7.1428571428571432</v>
      </c>
      <c r="F66" s="20">
        <f t="shared" si="1"/>
        <v>140</v>
      </c>
      <c r="G66">
        <v>10</v>
      </c>
    </row>
    <row r="67" spans="2:7" x14ac:dyDescent="0.2">
      <c r="B67" t="s">
        <v>8</v>
      </c>
      <c r="C67" t="str">
        <f t="shared" si="5"/>
        <v>Operations</v>
      </c>
      <c r="D67" t="s">
        <v>11</v>
      </c>
      <c r="E67" s="20">
        <f t="shared" ref="E67:E130" si="7">G67*100/F67</f>
        <v>71.428571428571431</v>
      </c>
      <c r="F67" s="20">
        <f t="shared" ref="F67:F130" si="8">SUMIFS($G$2:$G$1000,$C$2:$C$1000,C67,$D$2:$D$1000,D67)</f>
        <v>140</v>
      </c>
      <c r="G67">
        <v>100</v>
      </c>
    </row>
    <row r="68" spans="2:7" x14ac:dyDescent="0.2">
      <c r="B68" t="s">
        <v>85</v>
      </c>
      <c r="C68" t="str">
        <f t="shared" ref="C68:C131" si="9">VLOOKUP($B68,$S:$T,2,FALSE)</f>
        <v>Operations</v>
      </c>
      <c r="D68" t="s">
        <v>11</v>
      </c>
      <c r="E68" s="20">
        <f t="shared" si="7"/>
        <v>7.1428571428571432</v>
      </c>
      <c r="F68" s="20">
        <f t="shared" si="8"/>
        <v>140</v>
      </c>
      <c r="G68">
        <v>10</v>
      </c>
    </row>
    <row r="69" spans="2:7" x14ac:dyDescent="0.2">
      <c r="B69" t="s">
        <v>85</v>
      </c>
      <c r="C69" t="str">
        <f t="shared" si="9"/>
        <v>Operations</v>
      </c>
      <c r="D69" t="s">
        <v>11</v>
      </c>
      <c r="E69" s="20">
        <f t="shared" si="7"/>
        <v>7.1428571428571432</v>
      </c>
      <c r="F69" s="20">
        <f t="shared" si="8"/>
        <v>140</v>
      </c>
      <c r="G69">
        <v>10</v>
      </c>
    </row>
    <row r="70" spans="2:7" x14ac:dyDescent="0.2">
      <c r="B70" t="s">
        <v>27</v>
      </c>
      <c r="C70" t="str">
        <f t="shared" si="9"/>
        <v>Operations</v>
      </c>
      <c r="D70" t="s">
        <v>11</v>
      </c>
      <c r="E70" s="20">
        <f t="shared" si="7"/>
        <v>7.1428571428571432</v>
      </c>
      <c r="F70" s="20">
        <f t="shared" si="8"/>
        <v>140</v>
      </c>
      <c r="G70">
        <v>10</v>
      </c>
    </row>
    <row r="71" spans="2:7" x14ac:dyDescent="0.2">
      <c r="B71" t="s">
        <v>75</v>
      </c>
      <c r="C71" t="str">
        <f t="shared" si="9"/>
        <v>Technology</v>
      </c>
      <c r="D71" t="s">
        <v>11</v>
      </c>
      <c r="E71" s="20">
        <f t="shared" si="7"/>
        <v>7.1428571428571432</v>
      </c>
      <c r="F71" s="20">
        <f t="shared" si="8"/>
        <v>140</v>
      </c>
      <c r="G71">
        <v>10</v>
      </c>
    </row>
    <row r="72" spans="2:7" x14ac:dyDescent="0.2">
      <c r="B72" t="s">
        <v>113</v>
      </c>
      <c r="C72" t="str">
        <f t="shared" si="9"/>
        <v>Technology</v>
      </c>
      <c r="D72" t="s">
        <v>11</v>
      </c>
      <c r="E72" s="20">
        <f t="shared" si="7"/>
        <v>7.1428571428571432</v>
      </c>
      <c r="F72" s="20">
        <f t="shared" si="8"/>
        <v>140</v>
      </c>
      <c r="G72">
        <v>10</v>
      </c>
    </row>
    <row r="73" spans="2:7" x14ac:dyDescent="0.2">
      <c r="B73" t="s">
        <v>10</v>
      </c>
      <c r="C73" t="str">
        <f t="shared" si="9"/>
        <v>Technology</v>
      </c>
      <c r="D73" t="s">
        <v>11</v>
      </c>
      <c r="E73" s="20">
        <f t="shared" si="7"/>
        <v>7.1428571428571432</v>
      </c>
      <c r="F73" s="20">
        <f t="shared" si="8"/>
        <v>140</v>
      </c>
      <c r="G73">
        <v>10</v>
      </c>
    </row>
    <row r="74" spans="2:7" x14ac:dyDescent="0.2">
      <c r="B74" t="s">
        <v>103</v>
      </c>
      <c r="C74" t="str">
        <f t="shared" si="9"/>
        <v>Technology</v>
      </c>
      <c r="D74" t="s">
        <v>11</v>
      </c>
      <c r="E74" s="20">
        <f t="shared" si="7"/>
        <v>35.714285714285715</v>
      </c>
      <c r="F74" s="20">
        <f t="shared" si="8"/>
        <v>140</v>
      </c>
      <c r="G74">
        <v>50</v>
      </c>
    </row>
    <row r="75" spans="2:7" x14ac:dyDescent="0.2">
      <c r="B75" t="s">
        <v>102</v>
      </c>
      <c r="C75" t="str">
        <f t="shared" si="9"/>
        <v>Technology</v>
      </c>
      <c r="D75" t="s">
        <v>11</v>
      </c>
      <c r="E75" s="20">
        <f t="shared" si="7"/>
        <v>7.1428571428571432</v>
      </c>
      <c r="F75" s="20">
        <f t="shared" si="8"/>
        <v>140</v>
      </c>
      <c r="G75">
        <v>10</v>
      </c>
    </row>
    <row r="76" spans="2:7" x14ac:dyDescent="0.2">
      <c r="B76" t="s">
        <v>101</v>
      </c>
      <c r="C76" t="str">
        <f t="shared" si="9"/>
        <v>Technology</v>
      </c>
      <c r="D76" t="s">
        <v>11</v>
      </c>
      <c r="E76" s="20">
        <f t="shared" si="7"/>
        <v>35.714285714285715</v>
      </c>
      <c r="F76" s="20">
        <f t="shared" si="8"/>
        <v>140</v>
      </c>
      <c r="G76">
        <v>50</v>
      </c>
    </row>
    <row r="77" spans="2:7" x14ac:dyDescent="0.2">
      <c r="B77" t="s">
        <v>12</v>
      </c>
      <c r="C77" t="str">
        <f t="shared" si="9"/>
        <v>CISO</v>
      </c>
      <c r="D77" t="s">
        <v>15</v>
      </c>
      <c r="E77" s="20">
        <f t="shared" si="7"/>
        <v>100</v>
      </c>
      <c r="F77" s="20">
        <f t="shared" si="8"/>
        <v>10</v>
      </c>
      <c r="G77">
        <v>10</v>
      </c>
    </row>
    <row r="78" spans="2:7" x14ac:dyDescent="0.2">
      <c r="B78" t="s">
        <v>81</v>
      </c>
      <c r="C78" t="str">
        <f t="shared" si="9"/>
        <v>Commercial</v>
      </c>
      <c r="D78" t="s">
        <v>15</v>
      </c>
      <c r="E78" s="20">
        <f t="shared" si="7"/>
        <v>11.111111111111111</v>
      </c>
      <c r="F78" s="20">
        <f t="shared" si="8"/>
        <v>90</v>
      </c>
      <c r="G78">
        <v>10</v>
      </c>
    </row>
    <row r="79" spans="2:7" x14ac:dyDescent="0.2">
      <c r="B79" t="s">
        <v>82</v>
      </c>
      <c r="C79" t="str">
        <f t="shared" si="9"/>
        <v>Commercial</v>
      </c>
      <c r="D79" t="s">
        <v>15</v>
      </c>
      <c r="E79" s="20">
        <f t="shared" si="7"/>
        <v>11.111111111111111</v>
      </c>
      <c r="F79" s="20">
        <f t="shared" si="8"/>
        <v>90</v>
      </c>
      <c r="G79">
        <v>10</v>
      </c>
    </row>
    <row r="80" spans="2:7" x14ac:dyDescent="0.2">
      <c r="B80" t="s">
        <v>79</v>
      </c>
      <c r="C80" t="str">
        <f t="shared" si="9"/>
        <v>Commercial</v>
      </c>
      <c r="D80" t="s">
        <v>15</v>
      </c>
      <c r="E80" s="20">
        <f t="shared" si="7"/>
        <v>11.111111111111111</v>
      </c>
      <c r="F80" s="20">
        <f t="shared" si="8"/>
        <v>90</v>
      </c>
      <c r="G80">
        <v>10</v>
      </c>
    </row>
    <row r="81" spans="2:7" x14ac:dyDescent="0.2">
      <c r="B81" t="s">
        <v>83</v>
      </c>
      <c r="C81" t="str">
        <f t="shared" si="9"/>
        <v>Commercial</v>
      </c>
      <c r="D81" t="s">
        <v>15</v>
      </c>
      <c r="E81" s="20">
        <f t="shared" si="7"/>
        <v>11.111111111111111</v>
      </c>
      <c r="F81" s="20">
        <f t="shared" si="8"/>
        <v>90</v>
      </c>
      <c r="G81">
        <v>10</v>
      </c>
    </row>
    <row r="82" spans="2:7" x14ac:dyDescent="0.2">
      <c r="B82" t="s">
        <v>22</v>
      </c>
      <c r="C82" t="str">
        <f t="shared" si="9"/>
        <v>Commercial</v>
      </c>
      <c r="D82" t="s">
        <v>15</v>
      </c>
      <c r="E82" s="20">
        <f t="shared" si="7"/>
        <v>11.111111111111111</v>
      </c>
      <c r="F82" s="20">
        <f t="shared" si="8"/>
        <v>90</v>
      </c>
      <c r="G82">
        <v>10</v>
      </c>
    </row>
    <row r="83" spans="2:7" x14ac:dyDescent="0.2">
      <c r="B83" t="s">
        <v>26</v>
      </c>
      <c r="C83" t="str">
        <f t="shared" si="9"/>
        <v>Commercial</v>
      </c>
      <c r="D83" t="s">
        <v>15</v>
      </c>
      <c r="E83" s="20">
        <f t="shared" si="7"/>
        <v>11.111111111111111</v>
      </c>
      <c r="F83" s="20">
        <f t="shared" si="8"/>
        <v>90</v>
      </c>
      <c r="G83">
        <v>10</v>
      </c>
    </row>
    <row r="84" spans="2:7" x14ac:dyDescent="0.2">
      <c r="B84" t="s">
        <v>24</v>
      </c>
      <c r="C84" t="str">
        <f t="shared" si="9"/>
        <v>Commercial</v>
      </c>
      <c r="D84" t="s">
        <v>15</v>
      </c>
      <c r="E84" s="20">
        <f t="shared" si="7"/>
        <v>11.111111111111111</v>
      </c>
      <c r="F84" s="20">
        <f t="shared" si="8"/>
        <v>90</v>
      </c>
      <c r="G84">
        <v>10</v>
      </c>
    </row>
    <row r="85" spans="2:7" x14ac:dyDescent="0.2">
      <c r="B85" t="s">
        <v>25</v>
      </c>
      <c r="C85" t="str">
        <f t="shared" si="9"/>
        <v>Commercial</v>
      </c>
      <c r="D85" t="s">
        <v>15</v>
      </c>
      <c r="E85" s="20">
        <f t="shared" si="7"/>
        <v>11.111111111111111</v>
      </c>
      <c r="F85" s="20">
        <f t="shared" si="8"/>
        <v>90</v>
      </c>
      <c r="G85">
        <v>10</v>
      </c>
    </row>
    <row r="86" spans="2:7" x14ac:dyDescent="0.2">
      <c r="B86" t="s">
        <v>80</v>
      </c>
      <c r="C86" t="str">
        <f t="shared" si="9"/>
        <v>Commercial</v>
      </c>
      <c r="D86" t="s">
        <v>15</v>
      </c>
      <c r="E86" s="20">
        <f t="shared" si="7"/>
        <v>11.111111111111111</v>
      </c>
      <c r="F86" s="20">
        <f t="shared" si="8"/>
        <v>90</v>
      </c>
      <c r="G86">
        <v>10</v>
      </c>
    </row>
    <row r="87" spans="2:7" x14ac:dyDescent="0.2">
      <c r="B87" t="s">
        <v>87</v>
      </c>
      <c r="C87" t="str">
        <f t="shared" si="9"/>
        <v>Corporate</v>
      </c>
      <c r="D87" t="s">
        <v>15</v>
      </c>
      <c r="E87" s="20">
        <f t="shared" si="7"/>
        <v>3.3333333333333335</v>
      </c>
      <c r="F87" s="20">
        <f t="shared" si="8"/>
        <v>300</v>
      </c>
      <c r="G87">
        <v>10</v>
      </c>
    </row>
    <row r="88" spans="2:7" x14ac:dyDescent="0.2">
      <c r="B88" t="s">
        <v>89</v>
      </c>
      <c r="C88" t="str">
        <f t="shared" si="9"/>
        <v>Corporate</v>
      </c>
      <c r="D88" t="s">
        <v>15</v>
      </c>
      <c r="E88" s="20">
        <f t="shared" si="7"/>
        <v>3.3333333333333335</v>
      </c>
      <c r="F88" s="20">
        <f t="shared" si="8"/>
        <v>300</v>
      </c>
      <c r="G88">
        <v>10</v>
      </c>
    </row>
    <row r="89" spans="2:7" x14ac:dyDescent="0.2">
      <c r="B89" t="s">
        <v>23</v>
      </c>
      <c r="C89" t="str">
        <f t="shared" si="9"/>
        <v>Corporate</v>
      </c>
      <c r="D89" t="s">
        <v>15</v>
      </c>
      <c r="E89" s="20">
        <f t="shared" si="7"/>
        <v>3.3333333333333335</v>
      </c>
      <c r="F89" s="20">
        <f t="shared" si="8"/>
        <v>300</v>
      </c>
      <c r="G89">
        <v>10</v>
      </c>
    </row>
    <row r="90" spans="2:7" x14ac:dyDescent="0.2">
      <c r="B90" t="s">
        <v>91</v>
      </c>
      <c r="C90" t="str">
        <f t="shared" si="9"/>
        <v>Corporate</v>
      </c>
      <c r="D90" t="s">
        <v>15</v>
      </c>
      <c r="E90" s="20">
        <f t="shared" si="7"/>
        <v>16.666666666666668</v>
      </c>
      <c r="F90" s="20">
        <f t="shared" si="8"/>
        <v>300</v>
      </c>
      <c r="G90">
        <v>50</v>
      </c>
    </row>
    <row r="91" spans="2:7" x14ac:dyDescent="0.2">
      <c r="B91" t="s">
        <v>93</v>
      </c>
      <c r="C91" t="str">
        <f t="shared" si="9"/>
        <v>Corporate</v>
      </c>
      <c r="D91" t="s">
        <v>15</v>
      </c>
      <c r="E91" s="20">
        <f t="shared" si="7"/>
        <v>3.3333333333333335</v>
      </c>
      <c r="F91" s="20">
        <f t="shared" si="8"/>
        <v>300</v>
      </c>
      <c r="G91">
        <v>10</v>
      </c>
    </row>
    <row r="92" spans="2:7" x14ac:dyDescent="0.2">
      <c r="B92" t="s">
        <v>97</v>
      </c>
      <c r="C92" t="str">
        <f t="shared" si="9"/>
        <v>Corporate</v>
      </c>
      <c r="D92" t="s">
        <v>15</v>
      </c>
      <c r="E92" s="20">
        <f t="shared" si="7"/>
        <v>3.3333333333333335</v>
      </c>
      <c r="F92" s="20">
        <f t="shared" si="8"/>
        <v>300</v>
      </c>
      <c r="G92">
        <v>10</v>
      </c>
    </row>
    <row r="93" spans="2:7" x14ac:dyDescent="0.2">
      <c r="B93" t="s">
        <v>99</v>
      </c>
      <c r="C93" t="str">
        <f t="shared" si="9"/>
        <v>Corporate</v>
      </c>
      <c r="D93" t="s">
        <v>15</v>
      </c>
      <c r="E93" s="20">
        <f t="shared" si="7"/>
        <v>3.3333333333333335</v>
      </c>
      <c r="F93" s="20">
        <f t="shared" si="8"/>
        <v>300</v>
      </c>
      <c r="G93">
        <v>10</v>
      </c>
    </row>
    <row r="94" spans="2:7" x14ac:dyDescent="0.2">
      <c r="B94" t="s">
        <v>76</v>
      </c>
      <c r="C94" t="str">
        <f t="shared" si="9"/>
        <v>Corporate</v>
      </c>
      <c r="D94" t="s">
        <v>15</v>
      </c>
      <c r="E94" s="20">
        <f t="shared" si="7"/>
        <v>3.3333333333333335</v>
      </c>
      <c r="F94" s="20">
        <f t="shared" si="8"/>
        <v>300</v>
      </c>
      <c r="G94">
        <v>10</v>
      </c>
    </row>
    <row r="95" spans="2:7" x14ac:dyDescent="0.2">
      <c r="B95" t="s">
        <v>90</v>
      </c>
      <c r="C95" t="str">
        <f t="shared" si="9"/>
        <v>Corporate</v>
      </c>
      <c r="D95" t="s">
        <v>15</v>
      </c>
      <c r="E95" s="20">
        <f t="shared" si="7"/>
        <v>16.666666666666668</v>
      </c>
      <c r="F95" s="20">
        <f t="shared" si="8"/>
        <v>300</v>
      </c>
      <c r="G95">
        <v>50</v>
      </c>
    </row>
    <row r="96" spans="2:7" x14ac:dyDescent="0.2">
      <c r="B96" t="s">
        <v>159</v>
      </c>
      <c r="C96" t="str">
        <f t="shared" si="9"/>
        <v>Corporate</v>
      </c>
      <c r="D96" t="s">
        <v>15</v>
      </c>
      <c r="E96" s="20">
        <f t="shared" si="7"/>
        <v>3.3333333333333335</v>
      </c>
      <c r="F96" s="20">
        <f t="shared" si="8"/>
        <v>300</v>
      </c>
      <c r="G96">
        <v>10</v>
      </c>
    </row>
    <row r="97" spans="2:7" x14ac:dyDescent="0.2">
      <c r="B97" t="s">
        <v>88</v>
      </c>
      <c r="C97" t="str">
        <f t="shared" si="9"/>
        <v>Corporate</v>
      </c>
      <c r="D97" t="s">
        <v>15</v>
      </c>
      <c r="E97" s="20">
        <f t="shared" si="7"/>
        <v>3.3333333333333335</v>
      </c>
      <c r="F97" s="20">
        <f t="shared" si="8"/>
        <v>300</v>
      </c>
      <c r="G97">
        <v>10</v>
      </c>
    </row>
    <row r="98" spans="2:7" x14ac:dyDescent="0.2">
      <c r="B98" t="s">
        <v>94</v>
      </c>
      <c r="C98" t="str">
        <f t="shared" si="9"/>
        <v>Corporate</v>
      </c>
      <c r="D98" t="s">
        <v>15</v>
      </c>
      <c r="E98" s="20">
        <f t="shared" si="7"/>
        <v>3.3333333333333335</v>
      </c>
      <c r="F98" s="20">
        <f t="shared" si="8"/>
        <v>300</v>
      </c>
      <c r="G98">
        <v>10</v>
      </c>
    </row>
    <row r="99" spans="2:7" x14ac:dyDescent="0.2">
      <c r="B99" t="s">
        <v>96</v>
      </c>
      <c r="C99" t="str">
        <f t="shared" si="9"/>
        <v>Corporate</v>
      </c>
      <c r="D99" t="s">
        <v>15</v>
      </c>
      <c r="E99" s="20">
        <f t="shared" si="7"/>
        <v>33.333333333333336</v>
      </c>
      <c r="F99" s="20">
        <f t="shared" si="8"/>
        <v>300</v>
      </c>
      <c r="G99">
        <v>100</v>
      </c>
    </row>
    <row r="100" spans="2:7" x14ac:dyDescent="0.2">
      <c r="B100" t="s">
        <v>8</v>
      </c>
      <c r="C100" t="str">
        <f t="shared" si="9"/>
        <v>Operations</v>
      </c>
      <c r="D100" t="s">
        <v>15</v>
      </c>
      <c r="E100" s="20">
        <f t="shared" si="7"/>
        <v>25</v>
      </c>
      <c r="F100" s="20">
        <f t="shared" si="8"/>
        <v>40</v>
      </c>
      <c r="G100">
        <v>10</v>
      </c>
    </row>
    <row r="101" spans="2:7" x14ac:dyDescent="0.2">
      <c r="B101" t="s">
        <v>85</v>
      </c>
      <c r="C101" t="str">
        <f t="shared" si="9"/>
        <v>Operations</v>
      </c>
      <c r="D101" t="s">
        <v>15</v>
      </c>
      <c r="E101" s="20">
        <f t="shared" si="7"/>
        <v>25</v>
      </c>
      <c r="F101" s="20">
        <f t="shared" si="8"/>
        <v>40</v>
      </c>
      <c r="G101">
        <v>10</v>
      </c>
    </row>
    <row r="102" spans="2:7" x14ac:dyDescent="0.2">
      <c r="B102" t="s">
        <v>85</v>
      </c>
      <c r="C102" t="str">
        <f t="shared" si="9"/>
        <v>Operations</v>
      </c>
      <c r="D102" t="s">
        <v>15</v>
      </c>
      <c r="E102" s="20">
        <f t="shared" si="7"/>
        <v>25</v>
      </c>
      <c r="F102" s="20">
        <f t="shared" si="8"/>
        <v>40</v>
      </c>
      <c r="G102">
        <v>10</v>
      </c>
    </row>
    <row r="103" spans="2:7" x14ac:dyDescent="0.2">
      <c r="B103" t="s">
        <v>27</v>
      </c>
      <c r="C103" t="str">
        <f t="shared" si="9"/>
        <v>Operations</v>
      </c>
      <c r="D103" t="s">
        <v>15</v>
      </c>
      <c r="E103" s="20">
        <f t="shared" si="7"/>
        <v>25</v>
      </c>
      <c r="F103" s="20">
        <f t="shared" si="8"/>
        <v>40</v>
      </c>
      <c r="G103">
        <v>10</v>
      </c>
    </row>
    <row r="104" spans="2:7" x14ac:dyDescent="0.2">
      <c r="B104" t="s">
        <v>75</v>
      </c>
      <c r="C104" t="str">
        <f t="shared" si="9"/>
        <v>Technology</v>
      </c>
      <c r="D104" t="s">
        <v>15</v>
      </c>
      <c r="E104" s="20">
        <f t="shared" si="7"/>
        <v>7.6923076923076925</v>
      </c>
      <c r="F104" s="20">
        <f t="shared" si="8"/>
        <v>130</v>
      </c>
      <c r="G104">
        <v>10</v>
      </c>
    </row>
    <row r="105" spans="2:7" x14ac:dyDescent="0.2">
      <c r="B105" t="s">
        <v>10</v>
      </c>
      <c r="C105" t="str">
        <f t="shared" si="9"/>
        <v>Technology</v>
      </c>
      <c r="D105" t="s">
        <v>15</v>
      </c>
      <c r="E105" s="20">
        <f t="shared" si="7"/>
        <v>7.6923076923076925</v>
      </c>
      <c r="F105" s="20">
        <f t="shared" si="8"/>
        <v>130</v>
      </c>
      <c r="G105">
        <v>10</v>
      </c>
    </row>
    <row r="106" spans="2:7" x14ac:dyDescent="0.2">
      <c r="B106" t="s">
        <v>103</v>
      </c>
      <c r="C106" t="str">
        <f t="shared" si="9"/>
        <v>Technology</v>
      </c>
      <c r="D106" t="s">
        <v>15</v>
      </c>
      <c r="E106" s="20">
        <f t="shared" si="7"/>
        <v>7.6923076923076925</v>
      </c>
      <c r="F106" s="20">
        <f t="shared" si="8"/>
        <v>130</v>
      </c>
      <c r="G106">
        <v>10</v>
      </c>
    </row>
    <row r="107" spans="2:7" x14ac:dyDescent="0.2">
      <c r="B107" t="s">
        <v>102</v>
      </c>
      <c r="C107" t="str">
        <f t="shared" si="9"/>
        <v>Technology</v>
      </c>
      <c r="D107" t="s">
        <v>15</v>
      </c>
      <c r="E107" s="20">
        <f t="shared" si="7"/>
        <v>38.46153846153846</v>
      </c>
      <c r="F107" s="20">
        <f t="shared" si="8"/>
        <v>130</v>
      </c>
      <c r="G107">
        <v>50</v>
      </c>
    </row>
    <row r="108" spans="2:7" x14ac:dyDescent="0.2">
      <c r="B108" t="s">
        <v>101</v>
      </c>
      <c r="C108" t="str">
        <f t="shared" si="9"/>
        <v>Technology</v>
      </c>
      <c r="D108" t="s">
        <v>15</v>
      </c>
      <c r="E108" s="20">
        <f t="shared" si="7"/>
        <v>38.46153846153846</v>
      </c>
      <c r="F108" s="20">
        <f t="shared" si="8"/>
        <v>130</v>
      </c>
      <c r="G108">
        <v>50</v>
      </c>
    </row>
    <row r="109" spans="2:7" x14ac:dyDescent="0.2">
      <c r="B109" t="s">
        <v>12</v>
      </c>
      <c r="C109" t="str">
        <f t="shared" si="9"/>
        <v>CISO</v>
      </c>
      <c r="D109" t="s">
        <v>16</v>
      </c>
      <c r="E109" s="20">
        <f t="shared" si="7"/>
        <v>100</v>
      </c>
      <c r="F109" s="20">
        <f t="shared" si="8"/>
        <v>10</v>
      </c>
      <c r="G109">
        <v>10</v>
      </c>
    </row>
    <row r="110" spans="2:7" x14ac:dyDescent="0.2">
      <c r="B110" t="s">
        <v>81</v>
      </c>
      <c r="C110" t="str">
        <f t="shared" si="9"/>
        <v>Commercial</v>
      </c>
      <c r="D110" t="s">
        <v>16</v>
      </c>
      <c r="E110" s="20">
        <f t="shared" si="7"/>
        <v>11.111111111111111</v>
      </c>
      <c r="F110" s="20">
        <f t="shared" si="8"/>
        <v>90</v>
      </c>
      <c r="G110">
        <v>10</v>
      </c>
    </row>
    <row r="111" spans="2:7" x14ac:dyDescent="0.2">
      <c r="B111" t="s">
        <v>82</v>
      </c>
      <c r="C111" t="str">
        <f t="shared" si="9"/>
        <v>Commercial</v>
      </c>
      <c r="D111" t="s">
        <v>16</v>
      </c>
      <c r="E111" s="20">
        <f t="shared" si="7"/>
        <v>11.111111111111111</v>
      </c>
      <c r="F111" s="20">
        <f t="shared" si="8"/>
        <v>90</v>
      </c>
      <c r="G111">
        <v>10</v>
      </c>
    </row>
    <row r="112" spans="2:7" x14ac:dyDescent="0.2">
      <c r="B112" t="s">
        <v>79</v>
      </c>
      <c r="C112" t="str">
        <f t="shared" si="9"/>
        <v>Commercial</v>
      </c>
      <c r="D112" t="s">
        <v>16</v>
      </c>
      <c r="E112" s="20">
        <f t="shared" si="7"/>
        <v>11.111111111111111</v>
      </c>
      <c r="F112" s="20">
        <f t="shared" si="8"/>
        <v>90</v>
      </c>
      <c r="G112">
        <v>10</v>
      </c>
    </row>
    <row r="113" spans="2:7" x14ac:dyDescent="0.2">
      <c r="B113" t="s">
        <v>83</v>
      </c>
      <c r="C113" t="str">
        <f t="shared" si="9"/>
        <v>Commercial</v>
      </c>
      <c r="D113" t="s">
        <v>16</v>
      </c>
      <c r="E113" s="20">
        <f t="shared" si="7"/>
        <v>11.111111111111111</v>
      </c>
      <c r="F113" s="20">
        <f t="shared" si="8"/>
        <v>90</v>
      </c>
      <c r="G113">
        <v>10</v>
      </c>
    </row>
    <row r="114" spans="2:7" x14ac:dyDescent="0.2">
      <c r="B114" t="s">
        <v>22</v>
      </c>
      <c r="C114" t="str">
        <f t="shared" si="9"/>
        <v>Commercial</v>
      </c>
      <c r="D114" t="s">
        <v>16</v>
      </c>
      <c r="E114" s="20">
        <f t="shared" si="7"/>
        <v>11.111111111111111</v>
      </c>
      <c r="F114" s="20">
        <f t="shared" si="8"/>
        <v>90</v>
      </c>
      <c r="G114">
        <v>10</v>
      </c>
    </row>
    <row r="115" spans="2:7" x14ac:dyDescent="0.2">
      <c r="B115" t="s">
        <v>26</v>
      </c>
      <c r="C115" t="str">
        <f t="shared" si="9"/>
        <v>Commercial</v>
      </c>
      <c r="D115" t="s">
        <v>16</v>
      </c>
      <c r="E115" s="20">
        <f t="shared" si="7"/>
        <v>11.111111111111111</v>
      </c>
      <c r="F115" s="20">
        <f t="shared" si="8"/>
        <v>90</v>
      </c>
      <c r="G115">
        <v>10</v>
      </c>
    </row>
    <row r="116" spans="2:7" x14ac:dyDescent="0.2">
      <c r="B116" t="s">
        <v>24</v>
      </c>
      <c r="C116" t="str">
        <f t="shared" si="9"/>
        <v>Commercial</v>
      </c>
      <c r="D116" t="s">
        <v>16</v>
      </c>
      <c r="E116" s="20">
        <f t="shared" si="7"/>
        <v>11.111111111111111</v>
      </c>
      <c r="F116" s="20">
        <f t="shared" si="8"/>
        <v>90</v>
      </c>
      <c r="G116">
        <v>10</v>
      </c>
    </row>
    <row r="117" spans="2:7" x14ac:dyDescent="0.2">
      <c r="B117" t="s">
        <v>25</v>
      </c>
      <c r="C117" t="str">
        <f t="shared" si="9"/>
        <v>Commercial</v>
      </c>
      <c r="D117" t="s">
        <v>16</v>
      </c>
      <c r="E117" s="20">
        <f t="shared" si="7"/>
        <v>11.111111111111111</v>
      </c>
      <c r="F117" s="20">
        <f t="shared" si="8"/>
        <v>90</v>
      </c>
      <c r="G117">
        <v>10</v>
      </c>
    </row>
    <row r="118" spans="2:7" x14ac:dyDescent="0.2">
      <c r="B118" t="s">
        <v>80</v>
      </c>
      <c r="C118" t="str">
        <f t="shared" si="9"/>
        <v>Commercial</v>
      </c>
      <c r="D118" t="s">
        <v>16</v>
      </c>
      <c r="E118" s="20">
        <f t="shared" si="7"/>
        <v>11.111111111111111</v>
      </c>
      <c r="F118" s="20">
        <f t="shared" si="8"/>
        <v>90</v>
      </c>
      <c r="G118">
        <v>10</v>
      </c>
    </row>
    <row r="119" spans="2:7" x14ac:dyDescent="0.2">
      <c r="B119" t="s">
        <v>87</v>
      </c>
      <c r="C119" t="str">
        <f t="shared" si="9"/>
        <v>Corporate</v>
      </c>
      <c r="D119" t="s">
        <v>16</v>
      </c>
      <c r="E119" s="20">
        <f t="shared" si="7"/>
        <v>2.9411764705882355</v>
      </c>
      <c r="F119" s="20">
        <f t="shared" si="8"/>
        <v>340</v>
      </c>
      <c r="G119">
        <v>10</v>
      </c>
    </row>
    <row r="120" spans="2:7" x14ac:dyDescent="0.2">
      <c r="B120" t="s">
        <v>89</v>
      </c>
      <c r="C120" t="str">
        <f t="shared" si="9"/>
        <v>Corporate</v>
      </c>
      <c r="D120" t="s">
        <v>16</v>
      </c>
      <c r="E120" s="20">
        <f t="shared" si="7"/>
        <v>2.9411764705882355</v>
      </c>
      <c r="F120" s="20">
        <f t="shared" si="8"/>
        <v>340</v>
      </c>
      <c r="G120">
        <v>10</v>
      </c>
    </row>
    <row r="121" spans="2:7" x14ac:dyDescent="0.2">
      <c r="B121" t="s">
        <v>23</v>
      </c>
      <c r="C121" t="str">
        <f t="shared" si="9"/>
        <v>Corporate</v>
      </c>
      <c r="D121" t="s">
        <v>16</v>
      </c>
      <c r="E121" s="20">
        <f t="shared" si="7"/>
        <v>2.9411764705882355</v>
      </c>
      <c r="F121" s="20">
        <f t="shared" si="8"/>
        <v>340</v>
      </c>
      <c r="G121">
        <v>10</v>
      </c>
    </row>
    <row r="122" spans="2:7" x14ac:dyDescent="0.2">
      <c r="B122" t="s">
        <v>91</v>
      </c>
      <c r="C122" t="str">
        <f t="shared" si="9"/>
        <v>Corporate</v>
      </c>
      <c r="D122" t="s">
        <v>16</v>
      </c>
      <c r="E122" s="20">
        <f t="shared" si="7"/>
        <v>14.705882352941176</v>
      </c>
      <c r="F122" s="20">
        <f t="shared" si="8"/>
        <v>340</v>
      </c>
      <c r="G122">
        <v>50</v>
      </c>
    </row>
    <row r="123" spans="2:7" x14ac:dyDescent="0.2">
      <c r="B123" t="s">
        <v>93</v>
      </c>
      <c r="C123" t="str">
        <f t="shared" si="9"/>
        <v>Corporate</v>
      </c>
      <c r="D123" t="s">
        <v>16</v>
      </c>
      <c r="E123" s="20">
        <f t="shared" si="7"/>
        <v>2.9411764705882355</v>
      </c>
      <c r="F123" s="20">
        <f t="shared" si="8"/>
        <v>340</v>
      </c>
      <c r="G123">
        <v>10</v>
      </c>
    </row>
    <row r="124" spans="2:7" x14ac:dyDescent="0.2">
      <c r="B124" t="s">
        <v>97</v>
      </c>
      <c r="C124" t="str">
        <f t="shared" si="9"/>
        <v>Corporate</v>
      </c>
      <c r="D124" t="s">
        <v>16</v>
      </c>
      <c r="E124" s="20">
        <f t="shared" si="7"/>
        <v>14.705882352941176</v>
      </c>
      <c r="F124" s="20">
        <f t="shared" si="8"/>
        <v>340</v>
      </c>
      <c r="G124">
        <v>50</v>
      </c>
    </row>
    <row r="125" spans="2:7" x14ac:dyDescent="0.2">
      <c r="B125" t="s">
        <v>99</v>
      </c>
      <c r="C125" t="str">
        <f t="shared" si="9"/>
        <v>Corporate</v>
      </c>
      <c r="D125" t="s">
        <v>16</v>
      </c>
      <c r="E125" s="20">
        <f t="shared" si="7"/>
        <v>2.9411764705882355</v>
      </c>
      <c r="F125" s="20">
        <f t="shared" si="8"/>
        <v>340</v>
      </c>
      <c r="G125">
        <v>10</v>
      </c>
    </row>
    <row r="126" spans="2:7" x14ac:dyDescent="0.2">
      <c r="B126" t="s">
        <v>76</v>
      </c>
      <c r="C126" t="str">
        <f t="shared" si="9"/>
        <v>Corporate</v>
      </c>
      <c r="D126" t="s">
        <v>16</v>
      </c>
      <c r="E126" s="20">
        <f t="shared" si="7"/>
        <v>2.9411764705882355</v>
      </c>
      <c r="F126" s="20">
        <f t="shared" si="8"/>
        <v>340</v>
      </c>
      <c r="G126">
        <v>10</v>
      </c>
    </row>
    <row r="127" spans="2:7" x14ac:dyDescent="0.2">
      <c r="B127" t="s">
        <v>90</v>
      </c>
      <c r="C127" t="str">
        <f t="shared" si="9"/>
        <v>Corporate</v>
      </c>
      <c r="D127" t="s">
        <v>16</v>
      </c>
      <c r="E127" s="20">
        <f t="shared" si="7"/>
        <v>14.705882352941176</v>
      </c>
      <c r="F127" s="20">
        <f t="shared" si="8"/>
        <v>340</v>
      </c>
      <c r="G127">
        <v>50</v>
      </c>
    </row>
    <row r="128" spans="2:7" x14ac:dyDescent="0.2">
      <c r="B128" t="s">
        <v>159</v>
      </c>
      <c r="C128" t="str">
        <f t="shared" si="9"/>
        <v>Corporate</v>
      </c>
      <c r="D128" t="s">
        <v>16</v>
      </c>
      <c r="E128" s="20">
        <f t="shared" si="7"/>
        <v>2.9411764705882355</v>
      </c>
      <c r="F128" s="20">
        <f t="shared" si="8"/>
        <v>340</v>
      </c>
      <c r="G128">
        <v>10</v>
      </c>
    </row>
    <row r="129" spans="2:7" x14ac:dyDescent="0.2">
      <c r="B129" t="s">
        <v>88</v>
      </c>
      <c r="C129" t="str">
        <f t="shared" si="9"/>
        <v>Corporate</v>
      </c>
      <c r="D129" t="s">
        <v>16</v>
      </c>
      <c r="E129" s="20">
        <f t="shared" si="7"/>
        <v>2.9411764705882355</v>
      </c>
      <c r="F129" s="20">
        <f t="shared" si="8"/>
        <v>340</v>
      </c>
      <c r="G129">
        <v>10</v>
      </c>
    </row>
    <row r="130" spans="2:7" x14ac:dyDescent="0.2">
      <c r="B130" t="s">
        <v>94</v>
      </c>
      <c r="C130" t="str">
        <f t="shared" si="9"/>
        <v>Corporate</v>
      </c>
      <c r="D130" t="s">
        <v>16</v>
      </c>
      <c r="E130" s="20">
        <f t="shared" si="7"/>
        <v>2.9411764705882355</v>
      </c>
      <c r="F130" s="20">
        <f t="shared" si="8"/>
        <v>340</v>
      </c>
      <c r="G130">
        <v>10</v>
      </c>
    </row>
    <row r="131" spans="2:7" x14ac:dyDescent="0.2">
      <c r="B131" t="s">
        <v>96</v>
      </c>
      <c r="C131" t="str">
        <f t="shared" si="9"/>
        <v>Corporate</v>
      </c>
      <c r="D131" t="s">
        <v>16</v>
      </c>
      <c r="E131" s="20">
        <f t="shared" ref="E131:E194" si="10">G131*100/F131</f>
        <v>29.411764705882351</v>
      </c>
      <c r="F131" s="20">
        <f t="shared" ref="F131:F194" si="11">SUMIFS($G$2:$G$1000,$C$2:$C$1000,C131,$D$2:$D$1000,D131)</f>
        <v>340</v>
      </c>
      <c r="G131">
        <v>100</v>
      </c>
    </row>
    <row r="132" spans="2:7" x14ac:dyDescent="0.2">
      <c r="B132" t="s">
        <v>8</v>
      </c>
      <c r="C132" t="str">
        <f t="shared" ref="C132:C195" si="12">VLOOKUP($B132,$S:$T,2,FALSE)</f>
        <v>Operations</v>
      </c>
      <c r="D132" t="s">
        <v>16</v>
      </c>
      <c r="E132" s="20">
        <f t="shared" si="10"/>
        <v>25</v>
      </c>
      <c r="F132" s="20">
        <f t="shared" si="11"/>
        <v>40</v>
      </c>
      <c r="G132">
        <v>10</v>
      </c>
    </row>
    <row r="133" spans="2:7" x14ac:dyDescent="0.2">
      <c r="B133" t="s">
        <v>85</v>
      </c>
      <c r="C133" t="str">
        <f t="shared" si="12"/>
        <v>Operations</v>
      </c>
      <c r="D133" t="s">
        <v>16</v>
      </c>
      <c r="E133" s="20">
        <f t="shared" si="10"/>
        <v>25</v>
      </c>
      <c r="F133" s="20">
        <f t="shared" si="11"/>
        <v>40</v>
      </c>
      <c r="G133">
        <v>10</v>
      </c>
    </row>
    <row r="134" spans="2:7" x14ac:dyDescent="0.2">
      <c r="B134" t="s">
        <v>85</v>
      </c>
      <c r="C134" t="str">
        <f t="shared" si="12"/>
        <v>Operations</v>
      </c>
      <c r="D134" t="s">
        <v>16</v>
      </c>
      <c r="E134" s="20">
        <f t="shared" si="10"/>
        <v>25</v>
      </c>
      <c r="F134" s="20">
        <f t="shared" si="11"/>
        <v>40</v>
      </c>
      <c r="G134">
        <v>10</v>
      </c>
    </row>
    <row r="135" spans="2:7" x14ac:dyDescent="0.2">
      <c r="B135" t="s">
        <v>27</v>
      </c>
      <c r="C135" t="str">
        <f t="shared" si="12"/>
        <v>Operations</v>
      </c>
      <c r="D135" t="s">
        <v>16</v>
      </c>
      <c r="E135" s="20">
        <f t="shared" si="10"/>
        <v>25</v>
      </c>
      <c r="F135" s="20">
        <f t="shared" si="11"/>
        <v>40</v>
      </c>
      <c r="G135">
        <v>10</v>
      </c>
    </row>
    <row r="136" spans="2:7" x14ac:dyDescent="0.2">
      <c r="B136" t="s">
        <v>75</v>
      </c>
      <c r="C136" t="str">
        <f t="shared" si="12"/>
        <v>Technology</v>
      </c>
      <c r="D136" t="s">
        <v>16</v>
      </c>
      <c r="E136" s="20">
        <f t="shared" si="10"/>
        <v>7.6923076923076925</v>
      </c>
      <c r="F136" s="20">
        <f t="shared" si="11"/>
        <v>130</v>
      </c>
      <c r="G136">
        <v>10</v>
      </c>
    </row>
    <row r="137" spans="2:7" x14ac:dyDescent="0.2">
      <c r="B137" t="s">
        <v>10</v>
      </c>
      <c r="C137" t="str">
        <f t="shared" si="12"/>
        <v>Technology</v>
      </c>
      <c r="D137" t="s">
        <v>16</v>
      </c>
      <c r="E137" s="20">
        <f t="shared" si="10"/>
        <v>38.46153846153846</v>
      </c>
      <c r="F137" s="20">
        <f t="shared" si="11"/>
        <v>130</v>
      </c>
      <c r="G137">
        <v>50</v>
      </c>
    </row>
    <row r="138" spans="2:7" x14ac:dyDescent="0.2">
      <c r="B138" t="s">
        <v>103</v>
      </c>
      <c r="C138" t="str">
        <f t="shared" si="12"/>
        <v>Technology</v>
      </c>
      <c r="D138" t="s">
        <v>16</v>
      </c>
      <c r="E138" s="20">
        <f t="shared" si="10"/>
        <v>7.6923076923076925</v>
      </c>
      <c r="F138" s="20">
        <f t="shared" si="11"/>
        <v>130</v>
      </c>
      <c r="G138">
        <v>10</v>
      </c>
    </row>
    <row r="139" spans="2:7" x14ac:dyDescent="0.2">
      <c r="B139" t="s">
        <v>102</v>
      </c>
      <c r="C139" t="str">
        <f t="shared" si="12"/>
        <v>Technology</v>
      </c>
      <c r="D139" t="s">
        <v>16</v>
      </c>
      <c r="E139" s="20">
        <f t="shared" si="10"/>
        <v>7.6923076923076925</v>
      </c>
      <c r="F139" s="20">
        <f t="shared" si="11"/>
        <v>130</v>
      </c>
      <c r="G139">
        <v>10</v>
      </c>
    </row>
    <row r="140" spans="2:7" x14ac:dyDescent="0.2">
      <c r="B140" t="s">
        <v>101</v>
      </c>
      <c r="C140" t="str">
        <f t="shared" si="12"/>
        <v>Technology</v>
      </c>
      <c r="D140" t="s">
        <v>16</v>
      </c>
      <c r="E140" s="20">
        <f t="shared" si="10"/>
        <v>38.46153846153846</v>
      </c>
      <c r="F140" s="20">
        <f t="shared" si="11"/>
        <v>130</v>
      </c>
      <c r="G140">
        <v>50</v>
      </c>
    </row>
    <row r="141" spans="2:7" x14ac:dyDescent="0.2">
      <c r="B141" t="s">
        <v>12</v>
      </c>
      <c r="C141" t="str">
        <f t="shared" si="12"/>
        <v>CISO</v>
      </c>
      <c r="D141" t="s">
        <v>17</v>
      </c>
      <c r="E141" s="20">
        <f t="shared" si="10"/>
        <v>100</v>
      </c>
      <c r="F141" s="20">
        <f t="shared" si="11"/>
        <v>10</v>
      </c>
      <c r="G141">
        <v>10</v>
      </c>
    </row>
    <row r="142" spans="2:7" x14ac:dyDescent="0.2">
      <c r="B142" t="s">
        <v>81</v>
      </c>
      <c r="C142" t="str">
        <f t="shared" si="12"/>
        <v>Commercial</v>
      </c>
      <c r="D142" t="s">
        <v>17</v>
      </c>
      <c r="E142" s="20">
        <f t="shared" si="10"/>
        <v>11.111111111111111</v>
      </c>
      <c r="F142" s="20">
        <f t="shared" si="11"/>
        <v>90</v>
      </c>
      <c r="G142">
        <v>10</v>
      </c>
    </row>
    <row r="143" spans="2:7" x14ac:dyDescent="0.2">
      <c r="B143" t="s">
        <v>82</v>
      </c>
      <c r="C143" t="str">
        <f t="shared" si="12"/>
        <v>Commercial</v>
      </c>
      <c r="D143" t="s">
        <v>17</v>
      </c>
      <c r="E143" s="20">
        <f t="shared" si="10"/>
        <v>11.111111111111111</v>
      </c>
      <c r="F143" s="20">
        <f t="shared" si="11"/>
        <v>90</v>
      </c>
      <c r="G143">
        <v>10</v>
      </c>
    </row>
    <row r="144" spans="2:7" x14ac:dyDescent="0.2">
      <c r="B144" t="s">
        <v>79</v>
      </c>
      <c r="C144" t="str">
        <f t="shared" si="12"/>
        <v>Commercial</v>
      </c>
      <c r="D144" t="s">
        <v>17</v>
      </c>
      <c r="E144" s="20">
        <f t="shared" si="10"/>
        <v>11.111111111111111</v>
      </c>
      <c r="F144" s="20">
        <f t="shared" si="11"/>
        <v>90</v>
      </c>
      <c r="G144">
        <v>10</v>
      </c>
    </row>
    <row r="145" spans="2:7" x14ac:dyDescent="0.2">
      <c r="B145" t="s">
        <v>83</v>
      </c>
      <c r="C145" t="str">
        <f t="shared" si="12"/>
        <v>Commercial</v>
      </c>
      <c r="D145" t="s">
        <v>17</v>
      </c>
      <c r="E145" s="20">
        <f t="shared" si="10"/>
        <v>11.111111111111111</v>
      </c>
      <c r="F145" s="20">
        <f t="shared" si="11"/>
        <v>90</v>
      </c>
      <c r="G145">
        <v>10</v>
      </c>
    </row>
    <row r="146" spans="2:7" x14ac:dyDescent="0.2">
      <c r="B146" t="s">
        <v>22</v>
      </c>
      <c r="C146" t="str">
        <f t="shared" si="12"/>
        <v>Commercial</v>
      </c>
      <c r="D146" t="s">
        <v>17</v>
      </c>
      <c r="E146" s="20">
        <f t="shared" si="10"/>
        <v>11.111111111111111</v>
      </c>
      <c r="F146" s="20">
        <f t="shared" si="11"/>
        <v>90</v>
      </c>
      <c r="G146">
        <v>10</v>
      </c>
    </row>
    <row r="147" spans="2:7" x14ac:dyDescent="0.2">
      <c r="B147" t="s">
        <v>26</v>
      </c>
      <c r="C147" t="str">
        <f t="shared" si="12"/>
        <v>Commercial</v>
      </c>
      <c r="D147" t="s">
        <v>17</v>
      </c>
      <c r="E147" s="20">
        <f t="shared" si="10"/>
        <v>11.111111111111111</v>
      </c>
      <c r="F147" s="20">
        <f t="shared" si="11"/>
        <v>90</v>
      </c>
      <c r="G147">
        <v>10</v>
      </c>
    </row>
    <row r="148" spans="2:7" x14ac:dyDescent="0.2">
      <c r="B148" t="s">
        <v>24</v>
      </c>
      <c r="C148" t="str">
        <f t="shared" si="12"/>
        <v>Commercial</v>
      </c>
      <c r="D148" t="s">
        <v>17</v>
      </c>
      <c r="E148" s="20">
        <f t="shared" si="10"/>
        <v>11.111111111111111</v>
      </c>
      <c r="F148" s="20">
        <f t="shared" si="11"/>
        <v>90</v>
      </c>
      <c r="G148">
        <v>10</v>
      </c>
    </row>
    <row r="149" spans="2:7" x14ac:dyDescent="0.2">
      <c r="B149" t="s">
        <v>25</v>
      </c>
      <c r="C149" t="str">
        <f t="shared" si="12"/>
        <v>Commercial</v>
      </c>
      <c r="D149" t="s">
        <v>17</v>
      </c>
      <c r="E149" s="20">
        <f t="shared" si="10"/>
        <v>11.111111111111111</v>
      </c>
      <c r="F149" s="20">
        <f t="shared" si="11"/>
        <v>90</v>
      </c>
      <c r="G149">
        <v>10</v>
      </c>
    </row>
    <row r="150" spans="2:7" x14ac:dyDescent="0.2">
      <c r="B150" t="s">
        <v>80</v>
      </c>
      <c r="C150" t="str">
        <f t="shared" si="12"/>
        <v>Commercial</v>
      </c>
      <c r="D150" t="s">
        <v>17</v>
      </c>
      <c r="E150" s="20">
        <f t="shared" si="10"/>
        <v>11.111111111111111</v>
      </c>
      <c r="F150" s="20">
        <f t="shared" si="11"/>
        <v>90</v>
      </c>
      <c r="G150">
        <v>10</v>
      </c>
    </row>
    <row r="151" spans="2:7" x14ac:dyDescent="0.2">
      <c r="B151" t="s">
        <v>87</v>
      </c>
      <c r="C151" t="str">
        <f t="shared" si="12"/>
        <v>Corporate</v>
      </c>
      <c r="D151" t="s">
        <v>17</v>
      </c>
      <c r="E151" s="20">
        <f t="shared" si="10"/>
        <v>2.9411764705882355</v>
      </c>
      <c r="F151" s="20">
        <f t="shared" si="11"/>
        <v>340</v>
      </c>
      <c r="G151">
        <v>10</v>
      </c>
    </row>
    <row r="152" spans="2:7" x14ac:dyDescent="0.2">
      <c r="B152" t="s">
        <v>89</v>
      </c>
      <c r="C152" t="str">
        <f t="shared" si="12"/>
        <v>Corporate</v>
      </c>
      <c r="D152" t="s">
        <v>17</v>
      </c>
      <c r="E152" s="20">
        <f t="shared" si="10"/>
        <v>2.9411764705882355</v>
      </c>
      <c r="F152" s="20">
        <f t="shared" si="11"/>
        <v>340</v>
      </c>
      <c r="G152">
        <v>10</v>
      </c>
    </row>
    <row r="153" spans="2:7" x14ac:dyDescent="0.2">
      <c r="B153" t="s">
        <v>23</v>
      </c>
      <c r="C153" t="str">
        <f t="shared" si="12"/>
        <v>Corporate</v>
      </c>
      <c r="D153" t="s">
        <v>17</v>
      </c>
      <c r="E153" s="20">
        <f t="shared" si="10"/>
        <v>2.9411764705882355</v>
      </c>
      <c r="F153" s="20">
        <f t="shared" si="11"/>
        <v>340</v>
      </c>
      <c r="G153">
        <v>10</v>
      </c>
    </row>
    <row r="154" spans="2:7" x14ac:dyDescent="0.2">
      <c r="B154" t="s">
        <v>91</v>
      </c>
      <c r="C154" t="str">
        <f t="shared" si="12"/>
        <v>Corporate</v>
      </c>
      <c r="D154" t="s">
        <v>17</v>
      </c>
      <c r="E154" s="20">
        <f t="shared" si="10"/>
        <v>14.705882352941176</v>
      </c>
      <c r="F154" s="20">
        <f t="shared" si="11"/>
        <v>340</v>
      </c>
      <c r="G154">
        <v>50</v>
      </c>
    </row>
    <row r="155" spans="2:7" x14ac:dyDescent="0.2">
      <c r="B155" t="s">
        <v>93</v>
      </c>
      <c r="C155" t="str">
        <f t="shared" si="12"/>
        <v>Corporate</v>
      </c>
      <c r="D155" t="s">
        <v>17</v>
      </c>
      <c r="E155" s="20">
        <f t="shared" si="10"/>
        <v>2.9411764705882355</v>
      </c>
      <c r="F155" s="20">
        <f t="shared" si="11"/>
        <v>340</v>
      </c>
      <c r="G155">
        <v>10</v>
      </c>
    </row>
    <row r="156" spans="2:7" x14ac:dyDescent="0.2">
      <c r="B156" t="s">
        <v>97</v>
      </c>
      <c r="C156" t="str">
        <f t="shared" si="12"/>
        <v>Corporate</v>
      </c>
      <c r="D156" t="s">
        <v>17</v>
      </c>
      <c r="E156" s="20">
        <f t="shared" si="10"/>
        <v>14.705882352941176</v>
      </c>
      <c r="F156" s="20">
        <f t="shared" si="11"/>
        <v>340</v>
      </c>
      <c r="G156">
        <v>50</v>
      </c>
    </row>
    <row r="157" spans="2:7" x14ac:dyDescent="0.2">
      <c r="B157" t="s">
        <v>99</v>
      </c>
      <c r="C157" t="str">
        <f t="shared" si="12"/>
        <v>Corporate</v>
      </c>
      <c r="D157" t="s">
        <v>17</v>
      </c>
      <c r="E157" s="20">
        <f t="shared" si="10"/>
        <v>2.9411764705882355</v>
      </c>
      <c r="F157" s="20">
        <f t="shared" si="11"/>
        <v>340</v>
      </c>
      <c r="G157">
        <v>10</v>
      </c>
    </row>
    <row r="158" spans="2:7" x14ac:dyDescent="0.2">
      <c r="B158" t="s">
        <v>76</v>
      </c>
      <c r="C158" t="str">
        <f t="shared" si="12"/>
        <v>Corporate</v>
      </c>
      <c r="D158" t="s">
        <v>17</v>
      </c>
      <c r="E158" s="20">
        <f t="shared" si="10"/>
        <v>2.9411764705882355</v>
      </c>
      <c r="F158" s="20">
        <f t="shared" si="11"/>
        <v>340</v>
      </c>
      <c r="G158">
        <v>10</v>
      </c>
    </row>
    <row r="159" spans="2:7" x14ac:dyDescent="0.2">
      <c r="B159" t="s">
        <v>90</v>
      </c>
      <c r="C159" t="str">
        <f t="shared" si="12"/>
        <v>Corporate</v>
      </c>
      <c r="D159" t="s">
        <v>17</v>
      </c>
      <c r="E159" s="20">
        <f t="shared" si="10"/>
        <v>14.705882352941176</v>
      </c>
      <c r="F159" s="20">
        <f t="shared" si="11"/>
        <v>340</v>
      </c>
      <c r="G159">
        <v>50</v>
      </c>
    </row>
    <row r="160" spans="2:7" x14ac:dyDescent="0.2">
      <c r="B160" t="s">
        <v>159</v>
      </c>
      <c r="C160" t="str">
        <f t="shared" si="12"/>
        <v>Corporate</v>
      </c>
      <c r="D160" t="s">
        <v>17</v>
      </c>
      <c r="E160" s="20">
        <f t="shared" si="10"/>
        <v>2.9411764705882355</v>
      </c>
      <c r="F160" s="20">
        <f t="shared" si="11"/>
        <v>340</v>
      </c>
      <c r="G160">
        <v>10</v>
      </c>
    </row>
    <row r="161" spans="2:7" x14ac:dyDescent="0.2">
      <c r="B161" t="s">
        <v>88</v>
      </c>
      <c r="C161" t="str">
        <f t="shared" si="12"/>
        <v>Corporate</v>
      </c>
      <c r="D161" t="s">
        <v>17</v>
      </c>
      <c r="E161" s="20">
        <f t="shared" si="10"/>
        <v>2.9411764705882355</v>
      </c>
      <c r="F161" s="20">
        <f t="shared" si="11"/>
        <v>340</v>
      </c>
      <c r="G161">
        <v>10</v>
      </c>
    </row>
    <row r="162" spans="2:7" x14ac:dyDescent="0.2">
      <c r="B162" t="s">
        <v>94</v>
      </c>
      <c r="C162" t="str">
        <f t="shared" si="12"/>
        <v>Corporate</v>
      </c>
      <c r="D162" t="s">
        <v>17</v>
      </c>
      <c r="E162" s="20">
        <f t="shared" si="10"/>
        <v>2.9411764705882355</v>
      </c>
      <c r="F162" s="20">
        <f t="shared" si="11"/>
        <v>340</v>
      </c>
      <c r="G162">
        <v>10</v>
      </c>
    </row>
    <row r="163" spans="2:7" x14ac:dyDescent="0.2">
      <c r="B163" t="s">
        <v>96</v>
      </c>
      <c r="C163" t="str">
        <f t="shared" si="12"/>
        <v>Corporate</v>
      </c>
      <c r="D163" t="s">
        <v>17</v>
      </c>
      <c r="E163" s="20">
        <f t="shared" si="10"/>
        <v>29.411764705882351</v>
      </c>
      <c r="F163" s="20">
        <f t="shared" si="11"/>
        <v>340</v>
      </c>
      <c r="G163">
        <v>100</v>
      </c>
    </row>
    <row r="164" spans="2:7" x14ac:dyDescent="0.2">
      <c r="B164" t="s">
        <v>8</v>
      </c>
      <c r="C164" t="str">
        <f t="shared" si="12"/>
        <v>Operations</v>
      </c>
      <c r="D164" t="s">
        <v>17</v>
      </c>
      <c r="E164" s="20">
        <f t="shared" si="10"/>
        <v>25</v>
      </c>
      <c r="F164" s="20">
        <f t="shared" si="11"/>
        <v>40</v>
      </c>
      <c r="G164">
        <v>10</v>
      </c>
    </row>
    <row r="165" spans="2:7" x14ac:dyDescent="0.2">
      <c r="B165" t="s">
        <v>85</v>
      </c>
      <c r="C165" t="str">
        <f t="shared" si="12"/>
        <v>Operations</v>
      </c>
      <c r="D165" t="s">
        <v>17</v>
      </c>
      <c r="E165" s="20">
        <f t="shared" si="10"/>
        <v>25</v>
      </c>
      <c r="F165" s="20">
        <f t="shared" si="11"/>
        <v>40</v>
      </c>
      <c r="G165">
        <v>10</v>
      </c>
    </row>
    <row r="166" spans="2:7" x14ac:dyDescent="0.2">
      <c r="B166" t="s">
        <v>85</v>
      </c>
      <c r="C166" t="str">
        <f t="shared" si="12"/>
        <v>Operations</v>
      </c>
      <c r="D166" t="s">
        <v>17</v>
      </c>
      <c r="E166" s="20">
        <f t="shared" si="10"/>
        <v>25</v>
      </c>
      <c r="F166" s="20">
        <f t="shared" si="11"/>
        <v>40</v>
      </c>
      <c r="G166">
        <v>10</v>
      </c>
    </row>
    <row r="167" spans="2:7" x14ac:dyDescent="0.2">
      <c r="B167" t="s">
        <v>27</v>
      </c>
      <c r="C167" t="str">
        <f t="shared" si="12"/>
        <v>Operations</v>
      </c>
      <c r="D167" t="s">
        <v>17</v>
      </c>
      <c r="E167" s="20">
        <f t="shared" si="10"/>
        <v>25</v>
      </c>
      <c r="F167" s="20">
        <f t="shared" si="11"/>
        <v>40</v>
      </c>
      <c r="G167">
        <v>10</v>
      </c>
    </row>
    <row r="168" spans="2:7" x14ac:dyDescent="0.2">
      <c r="B168" t="s">
        <v>75</v>
      </c>
      <c r="C168" t="str">
        <f t="shared" si="12"/>
        <v>Technology</v>
      </c>
      <c r="D168" t="s">
        <v>17</v>
      </c>
      <c r="E168" s="20">
        <f t="shared" si="10"/>
        <v>7.6923076923076925</v>
      </c>
      <c r="F168" s="20">
        <f t="shared" si="11"/>
        <v>130</v>
      </c>
      <c r="G168">
        <v>10</v>
      </c>
    </row>
    <row r="169" spans="2:7" x14ac:dyDescent="0.2">
      <c r="B169" t="s">
        <v>10</v>
      </c>
      <c r="C169" t="str">
        <f t="shared" si="12"/>
        <v>Technology</v>
      </c>
      <c r="D169" t="s">
        <v>17</v>
      </c>
      <c r="E169" s="20">
        <f t="shared" si="10"/>
        <v>7.6923076923076925</v>
      </c>
      <c r="F169" s="20">
        <f t="shared" si="11"/>
        <v>130</v>
      </c>
      <c r="G169">
        <v>10</v>
      </c>
    </row>
    <row r="170" spans="2:7" x14ac:dyDescent="0.2">
      <c r="B170" t="s">
        <v>103</v>
      </c>
      <c r="C170" t="str">
        <f t="shared" si="12"/>
        <v>Technology</v>
      </c>
      <c r="D170" t="s">
        <v>17</v>
      </c>
      <c r="E170" s="20">
        <f t="shared" si="10"/>
        <v>38.46153846153846</v>
      </c>
      <c r="F170" s="20">
        <f t="shared" si="11"/>
        <v>130</v>
      </c>
      <c r="G170">
        <v>50</v>
      </c>
    </row>
    <row r="171" spans="2:7" x14ac:dyDescent="0.2">
      <c r="B171" t="s">
        <v>102</v>
      </c>
      <c r="C171" t="str">
        <f t="shared" si="12"/>
        <v>Technology</v>
      </c>
      <c r="D171" t="s">
        <v>17</v>
      </c>
      <c r="E171" s="20">
        <f t="shared" si="10"/>
        <v>7.6923076923076925</v>
      </c>
      <c r="F171" s="20">
        <f t="shared" si="11"/>
        <v>130</v>
      </c>
      <c r="G171">
        <v>10</v>
      </c>
    </row>
    <row r="172" spans="2:7" x14ac:dyDescent="0.2">
      <c r="B172" t="s">
        <v>101</v>
      </c>
      <c r="C172" t="str">
        <f t="shared" si="12"/>
        <v>Technology</v>
      </c>
      <c r="D172" t="s">
        <v>17</v>
      </c>
      <c r="E172" s="20">
        <f t="shared" si="10"/>
        <v>38.46153846153846</v>
      </c>
      <c r="F172" s="20">
        <f t="shared" si="11"/>
        <v>130</v>
      </c>
      <c r="G172">
        <v>50</v>
      </c>
    </row>
    <row r="173" spans="2:7" x14ac:dyDescent="0.2">
      <c r="B173" t="s">
        <v>12</v>
      </c>
      <c r="C173" t="str">
        <f t="shared" si="12"/>
        <v>CISO</v>
      </c>
      <c r="D173" t="s">
        <v>18</v>
      </c>
      <c r="E173" s="20">
        <f t="shared" si="10"/>
        <v>100</v>
      </c>
      <c r="F173" s="20">
        <f t="shared" si="11"/>
        <v>10</v>
      </c>
      <c r="G173">
        <v>10</v>
      </c>
    </row>
    <row r="174" spans="2:7" x14ac:dyDescent="0.2">
      <c r="B174" t="s">
        <v>81</v>
      </c>
      <c r="C174" t="str">
        <f t="shared" si="12"/>
        <v>Commercial</v>
      </c>
      <c r="D174" t="s">
        <v>18</v>
      </c>
      <c r="E174" s="20">
        <f t="shared" si="10"/>
        <v>11.111111111111111</v>
      </c>
      <c r="F174" s="20">
        <f t="shared" si="11"/>
        <v>90</v>
      </c>
      <c r="G174">
        <v>10</v>
      </c>
    </row>
    <row r="175" spans="2:7" x14ac:dyDescent="0.2">
      <c r="B175" t="s">
        <v>82</v>
      </c>
      <c r="C175" t="str">
        <f t="shared" si="12"/>
        <v>Commercial</v>
      </c>
      <c r="D175" t="s">
        <v>18</v>
      </c>
      <c r="E175" s="20">
        <f t="shared" si="10"/>
        <v>11.111111111111111</v>
      </c>
      <c r="F175" s="20">
        <f t="shared" si="11"/>
        <v>90</v>
      </c>
      <c r="G175">
        <v>10</v>
      </c>
    </row>
    <row r="176" spans="2:7" x14ac:dyDescent="0.2">
      <c r="B176" t="s">
        <v>79</v>
      </c>
      <c r="C176" t="str">
        <f t="shared" si="12"/>
        <v>Commercial</v>
      </c>
      <c r="D176" t="s">
        <v>18</v>
      </c>
      <c r="E176" s="20">
        <f t="shared" si="10"/>
        <v>11.111111111111111</v>
      </c>
      <c r="F176" s="20">
        <f t="shared" si="11"/>
        <v>90</v>
      </c>
      <c r="G176">
        <v>10</v>
      </c>
    </row>
    <row r="177" spans="2:7" x14ac:dyDescent="0.2">
      <c r="B177" t="s">
        <v>83</v>
      </c>
      <c r="C177" t="str">
        <f t="shared" si="12"/>
        <v>Commercial</v>
      </c>
      <c r="D177" t="s">
        <v>18</v>
      </c>
      <c r="E177" s="20">
        <f t="shared" si="10"/>
        <v>11.111111111111111</v>
      </c>
      <c r="F177" s="20">
        <f t="shared" si="11"/>
        <v>90</v>
      </c>
      <c r="G177">
        <v>10</v>
      </c>
    </row>
    <row r="178" spans="2:7" x14ac:dyDescent="0.2">
      <c r="B178" t="s">
        <v>22</v>
      </c>
      <c r="C178" t="str">
        <f t="shared" si="12"/>
        <v>Commercial</v>
      </c>
      <c r="D178" t="s">
        <v>18</v>
      </c>
      <c r="E178" s="20">
        <f t="shared" si="10"/>
        <v>11.111111111111111</v>
      </c>
      <c r="F178" s="20">
        <f t="shared" si="11"/>
        <v>90</v>
      </c>
      <c r="G178">
        <v>10</v>
      </c>
    </row>
    <row r="179" spans="2:7" x14ac:dyDescent="0.2">
      <c r="B179" t="s">
        <v>26</v>
      </c>
      <c r="C179" t="str">
        <f t="shared" si="12"/>
        <v>Commercial</v>
      </c>
      <c r="D179" t="s">
        <v>18</v>
      </c>
      <c r="E179" s="20">
        <f t="shared" si="10"/>
        <v>11.111111111111111</v>
      </c>
      <c r="F179" s="20">
        <f t="shared" si="11"/>
        <v>90</v>
      </c>
      <c r="G179">
        <v>10</v>
      </c>
    </row>
    <row r="180" spans="2:7" x14ac:dyDescent="0.2">
      <c r="B180" t="s">
        <v>24</v>
      </c>
      <c r="C180" t="str">
        <f t="shared" si="12"/>
        <v>Commercial</v>
      </c>
      <c r="D180" t="s">
        <v>18</v>
      </c>
      <c r="E180" s="20">
        <f t="shared" si="10"/>
        <v>11.111111111111111</v>
      </c>
      <c r="F180" s="20">
        <f t="shared" si="11"/>
        <v>90</v>
      </c>
      <c r="G180">
        <v>10</v>
      </c>
    </row>
    <row r="181" spans="2:7" x14ac:dyDescent="0.2">
      <c r="B181" t="s">
        <v>25</v>
      </c>
      <c r="C181" t="str">
        <f t="shared" si="12"/>
        <v>Commercial</v>
      </c>
      <c r="D181" t="s">
        <v>18</v>
      </c>
      <c r="E181" s="20">
        <f t="shared" si="10"/>
        <v>11.111111111111111</v>
      </c>
      <c r="F181" s="20">
        <f t="shared" si="11"/>
        <v>90</v>
      </c>
      <c r="G181">
        <v>10</v>
      </c>
    </row>
    <row r="182" spans="2:7" x14ac:dyDescent="0.2">
      <c r="B182" t="s">
        <v>80</v>
      </c>
      <c r="C182" t="str">
        <f t="shared" si="12"/>
        <v>Commercial</v>
      </c>
      <c r="D182" t="s">
        <v>18</v>
      </c>
      <c r="E182" s="20">
        <f t="shared" si="10"/>
        <v>11.111111111111111</v>
      </c>
      <c r="F182" s="20">
        <f t="shared" si="11"/>
        <v>90</v>
      </c>
      <c r="G182">
        <v>10</v>
      </c>
    </row>
    <row r="183" spans="2:7" x14ac:dyDescent="0.2">
      <c r="B183" t="s">
        <v>87</v>
      </c>
      <c r="C183" t="str">
        <f t="shared" si="12"/>
        <v>Corporate</v>
      </c>
      <c r="D183" t="s">
        <v>18</v>
      </c>
      <c r="E183" s="20">
        <f t="shared" si="10"/>
        <v>3.4482758620689653</v>
      </c>
      <c r="F183" s="20">
        <f t="shared" si="11"/>
        <v>290</v>
      </c>
      <c r="G183">
        <v>10</v>
      </c>
    </row>
    <row r="184" spans="2:7" x14ac:dyDescent="0.2">
      <c r="B184" t="s">
        <v>89</v>
      </c>
      <c r="C184" t="str">
        <f t="shared" si="12"/>
        <v>Corporate</v>
      </c>
      <c r="D184" t="s">
        <v>18</v>
      </c>
      <c r="E184" s="20">
        <f t="shared" si="10"/>
        <v>3.4482758620689653</v>
      </c>
      <c r="F184" s="20">
        <f t="shared" si="11"/>
        <v>290</v>
      </c>
      <c r="G184">
        <v>10</v>
      </c>
    </row>
    <row r="185" spans="2:7" x14ac:dyDescent="0.2">
      <c r="B185" t="s">
        <v>23</v>
      </c>
      <c r="C185" t="str">
        <f t="shared" si="12"/>
        <v>Corporate</v>
      </c>
      <c r="D185" t="s">
        <v>18</v>
      </c>
      <c r="E185" s="20">
        <f t="shared" si="10"/>
        <v>3.4482758620689653</v>
      </c>
      <c r="F185" s="20">
        <f t="shared" si="11"/>
        <v>290</v>
      </c>
      <c r="G185">
        <v>10</v>
      </c>
    </row>
    <row r="186" spans="2:7" x14ac:dyDescent="0.2">
      <c r="B186" t="s">
        <v>91</v>
      </c>
      <c r="C186" t="str">
        <f t="shared" si="12"/>
        <v>Corporate</v>
      </c>
      <c r="D186" t="s">
        <v>18</v>
      </c>
      <c r="E186" s="20">
        <f t="shared" si="10"/>
        <v>17.241379310344829</v>
      </c>
      <c r="F186" s="20">
        <f t="shared" si="11"/>
        <v>290</v>
      </c>
      <c r="G186">
        <v>50</v>
      </c>
    </row>
    <row r="187" spans="2:7" x14ac:dyDescent="0.2">
      <c r="B187" t="s">
        <v>93</v>
      </c>
      <c r="C187" t="str">
        <f t="shared" si="12"/>
        <v>Corporate</v>
      </c>
      <c r="D187" t="s">
        <v>18</v>
      </c>
      <c r="E187" s="20">
        <f t="shared" si="10"/>
        <v>3.4482758620689653</v>
      </c>
      <c r="F187" s="20">
        <f t="shared" si="11"/>
        <v>290</v>
      </c>
      <c r="G187">
        <v>10</v>
      </c>
    </row>
    <row r="188" spans="2:7" x14ac:dyDescent="0.2">
      <c r="B188" t="s">
        <v>97</v>
      </c>
      <c r="C188" t="str">
        <f t="shared" si="12"/>
        <v>Corporate</v>
      </c>
      <c r="D188" t="s">
        <v>18</v>
      </c>
      <c r="E188" s="20">
        <f t="shared" si="10"/>
        <v>17.241379310344829</v>
      </c>
      <c r="F188" s="20">
        <f t="shared" si="11"/>
        <v>290</v>
      </c>
      <c r="G188">
        <v>50</v>
      </c>
    </row>
    <row r="189" spans="2:7" x14ac:dyDescent="0.2">
      <c r="B189" t="s">
        <v>99</v>
      </c>
      <c r="C189" t="str">
        <f t="shared" si="12"/>
        <v>Corporate</v>
      </c>
      <c r="D189" t="s">
        <v>18</v>
      </c>
      <c r="E189" s="20">
        <f t="shared" si="10"/>
        <v>3.4482758620689653</v>
      </c>
      <c r="F189" s="20">
        <f t="shared" si="11"/>
        <v>290</v>
      </c>
      <c r="G189">
        <v>10</v>
      </c>
    </row>
    <row r="190" spans="2:7" x14ac:dyDescent="0.2">
      <c r="B190" t="s">
        <v>76</v>
      </c>
      <c r="C190" t="str">
        <f t="shared" si="12"/>
        <v>Corporate</v>
      </c>
      <c r="D190" t="s">
        <v>18</v>
      </c>
      <c r="E190" s="20">
        <f t="shared" si="10"/>
        <v>3.4482758620689653</v>
      </c>
      <c r="F190" s="20">
        <f t="shared" si="11"/>
        <v>290</v>
      </c>
      <c r="G190">
        <v>10</v>
      </c>
    </row>
    <row r="191" spans="2:7" x14ac:dyDescent="0.2">
      <c r="B191" t="s">
        <v>90</v>
      </c>
      <c r="C191" t="str">
        <f t="shared" si="12"/>
        <v>Corporate</v>
      </c>
      <c r="D191" t="s">
        <v>18</v>
      </c>
      <c r="E191" s="20">
        <f t="shared" si="10"/>
        <v>17.241379310344829</v>
      </c>
      <c r="F191" s="20">
        <f t="shared" si="11"/>
        <v>290</v>
      </c>
      <c r="G191">
        <v>50</v>
      </c>
    </row>
    <row r="192" spans="2:7" x14ac:dyDescent="0.2">
      <c r="B192" t="s">
        <v>159</v>
      </c>
      <c r="C192" t="str">
        <f t="shared" si="12"/>
        <v>Corporate</v>
      </c>
      <c r="D192" t="s">
        <v>18</v>
      </c>
      <c r="E192" s="20">
        <f t="shared" si="10"/>
        <v>3.4482758620689653</v>
      </c>
      <c r="F192" s="20">
        <f t="shared" si="11"/>
        <v>290</v>
      </c>
      <c r="G192">
        <v>10</v>
      </c>
    </row>
    <row r="193" spans="2:7" x14ac:dyDescent="0.2">
      <c r="B193" t="s">
        <v>88</v>
      </c>
      <c r="C193" t="str">
        <f t="shared" si="12"/>
        <v>Corporate</v>
      </c>
      <c r="D193" t="s">
        <v>18</v>
      </c>
      <c r="E193" s="20">
        <f t="shared" si="10"/>
        <v>3.4482758620689653</v>
      </c>
      <c r="F193" s="20">
        <f t="shared" si="11"/>
        <v>290</v>
      </c>
      <c r="G193">
        <v>10</v>
      </c>
    </row>
    <row r="194" spans="2:7" x14ac:dyDescent="0.2">
      <c r="B194" t="s">
        <v>94</v>
      </c>
      <c r="C194" t="str">
        <f t="shared" si="12"/>
        <v>Corporate</v>
      </c>
      <c r="D194" t="s">
        <v>18</v>
      </c>
      <c r="E194" s="20">
        <f t="shared" si="10"/>
        <v>3.4482758620689653</v>
      </c>
      <c r="F194" s="20">
        <f t="shared" si="11"/>
        <v>290</v>
      </c>
      <c r="G194">
        <v>10</v>
      </c>
    </row>
    <row r="195" spans="2:7" x14ac:dyDescent="0.2">
      <c r="B195" t="s">
        <v>96</v>
      </c>
      <c r="C195" t="str">
        <f t="shared" si="12"/>
        <v>Corporate</v>
      </c>
      <c r="D195" t="s">
        <v>18</v>
      </c>
      <c r="E195" s="20">
        <f t="shared" ref="E195:E258" si="13">G195*100/F195</f>
        <v>17.241379310344829</v>
      </c>
      <c r="F195" s="20">
        <f t="shared" ref="F195:F204" si="14">SUMIFS($G$2:$G$1000,$C$2:$C$1000,C195,$D$2:$D$1000,D195)</f>
        <v>290</v>
      </c>
      <c r="G195">
        <v>50</v>
      </c>
    </row>
    <row r="196" spans="2:7" x14ac:dyDescent="0.2">
      <c r="B196" t="s">
        <v>8</v>
      </c>
      <c r="C196" t="str">
        <f t="shared" ref="C196:C204" si="15">VLOOKUP($B196,$S:$T,2,FALSE)</f>
        <v>Operations</v>
      </c>
      <c r="D196" t="s">
        <v>18</v>
      </c>
      <c r="E196" s="20">
        <f t="shared" si="13"/>
        <v>25</v>
      </c>
      <c r="F196" s="20">
        <f t="shared" si="14"/>
        <v>200</v>
      </c>
      <c r="G196">
        <v>50</v>
      </c>
    </row>
    <row r="197" spans="2:7" x14ac:dyDescent="0.2">
      <c r="B197" t="s">
        <v>85</v>
      </c>
      <c r="C197" t="str">
        <f t="shared" si="15"/>
        <v>Operations</v>
      </c>
      <c r="D197" t="s">
        <v>18</v>
      </c>
      <c r="E197" s="20">
        <f t="shared" si="13"/>
        <v>25</v>
      </c>
      <c r="F197" s="20">
        <f t="shared" si="14"/>
        <v>200</v>
      </c>
      <c r="G197">
        <v>50</v>
      </c>
    </row>
    <row r="198" spans="2:7" x14ac:dyDescent="0.2">
      <c r="B198" t="s">
        <v>85</v>
      </c>
      <c r="C198" t="str">
        <f t="shared" si="15"/>
        <v>Operations</v>
      </c>
      <c r="D198" t="s">
        <v>18</v>
      </c>
      <c r="E198" s="20">
        <f t="shared" si="13"/>
        <v>25</v>
      </c>
      <c r="F198" s="20">
        <f t="shared" si="14"/>
        <v>200</v>
      </c>
      <c r="G198">
        <v>50</v>
      </c>
    </row>
    <row r="199" spans="2:7" x14ac:dyDescent="0.2">
      <c r="B199" t="s">
        <v>27</v>
      </c>
      <c r="C199" t="str">
        <f t="shared" si="15"/>
        <v>Operations</v>
      </c>
      <c r="D199" t="s">
        <v>18</v>
      </c>
      <c r="E199" s="20">
        <f t="shared" si="13"/>
        <v>25</v>
      </c>
      <c r="F199" s="20">
        <f t="shared" si="14"/>
        <v>200</v>
      </c>
      <c r="G199">
        <v>50</v>
      </c>
    </row>
    <row r="200" spans="2:7" x14ac:dyDescent="0.2">
      <c r="B200" t="s">
        <v>75</v>
      </c>
      <c r="C200" t="str">
        <f t="shared" si="15"/>
        <v>Technology</v>
      </c>
      <c r="D200" t="s">
        <v>18</v>
      </c>
      <c r="E200" s="20">
        <f t="shared" si="13"/>
        <v>38.46153846153846</v>
      </c>
      <c r="F200" s="20">
        <f t="shared" si="14"/>
        <v>130</v>
      </c>
      <c r="G200">
        <v>50</v>
      </c>
    </row>
    <row r="201" spans="2:7" x14ac:dyDescent="0.2">
      <c r="B201" t="s">
        <v>10</v>
      </c>
      <c r="C201" t="str">
        <f t="shared" si="15"/>
        <v>Technology</v>
      </c>
      <c r="D201" t="s">
        <v>18</v>
      </c>
      <c r="E201" s="20">
        <f t="shared" si="13"/>
        <v>38.46153846153846</v>
      </c>
      <c r="F201" s="20">
        <f t="shared" si="14"/>
        <v>130</v>
      </c>
      <c r="G201">
        <v>50</v>
      </c>
    </row>
    <row r="202" spans="2:7" x14ac:dyDescent="0.2">
      <c r="B202" t="s">
        <v>103</v>
      </c>
      <c r="C202" t="str">
        <f t="shared" si="15"/>
        <v>Technology</v>
      </c>
      <c r="D202" t="s">
        <v>18</v>
      </c>
      <c r="E202" s="20">
        <f t="shared" si="13"/>
        <v>7.6923076923076925</v>
      </c>
      <c r="F202" s="20">
        <f t="shared" si="14"/>
        <v>130</v>
      </c>
      <c r="G202">
        <v>10</v>
      </c>
    </row>
    <row r="203" spans="2:7" x14ac:dyDescent="0.2">
      <c r="B203" t="s">
        <v>102</v>
      </c>
      <c r="C203" t="str">
        <f t="shared" si="15"/>
        <v>Technology</v>
      </c>
      <c r="D203" t="s">
        <v>18</v>
      </c>
      <c r="E203" s="20">
        <f t="shared" si="13"/>
        <v>7.6923076923076925</v>
      </c>
      <c r="F203" s="20">
        <f t="shared" si="14"/>
        <v>130</v>
      </c>
      <c r="G203">
        <v>10</v>
      </c>
    </row>
    <row r="204" spans="2:7" x14ac:dyDescent="0.2">
      <c r="B204" t="s">
        <v>101</v>
      </c>
      <c r="C204" t="str">
        <f t="shared" si="15"/>
        <v>Technology</v>
      </c>
      <c r="D204" t="s">
        <v>18</v>
      </c>
      <c r="E204" s="20">
        <f t="shared" si="13"/>
        <v>7.6923076923076925</v>
      </c>
      <c r="F204" s="20">
        <f t="shared" si="14"/>
        <v>130</v>
      </c>
      <c r="G204">
        <v>10</v>
      </c>
    </row>
  </sheetData>
  <autoFilter ref="B2:D204" xr:uid="{D521F980-2E5F-EC49-B62F-4F6A4A27A40F}">
    <sortState xmlns:xlrd2="http://schemas.microsoft.com/office/spreadsheetml/2017/richdata2" ref="B3:D62">
      <sortCondition ref="C2:C62"/>
    </sortState>
  </autoFilter>
  <sortState xmlns:xlrd2="http://schemas.microsoft.com/office/spreadsheetml/2017/richdata2" ref="B3:E204">
    <sortCondition ref="D3:D204"/>
    <sortCondition ref="C3:C204"/>
    <sortCondition ref="B3:B204"/>
  </sortState>
  <conditionalFormatting sqref="J3:J14">
    <cfRule type="cellIs" dxfId="4" priority="6" operator="equal">
      <formula>100</formula>
    </cfRule>
  </conditionalFormatting>
  <conditionalFormatting sqref="M3:M14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P3:P44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734D-6554-DB44-A74D-05EFBCFFD763}">
  <dimension ref="A1:D203"/>
  <sheetViews>
    <sheetView workbookViewId="0">
      <selection activeCell="K42" sqref="K42"/>
    </sheetView>
  </sheetViews>
  <sheetFormatPr baseColWidth="10" defaultRowHeight="16" x14ac:dyDescent="0.2"/>
  <cols>
    <col min="1" max="1" width="14.1640625" bestFit="1" customWidth="1"/>
    <col min="2" max="2" width="12" bestFit="1" customWidth="1"/>
    <col min="3" max="3" width="22.83203125" bestFit="1" customWidth="1"/>
    <col min="4" max="4" width="12.1640625" bestFit="1" customWidth="1"/>
  </cols>
  <sheetData>
    <row r="1" spans="1:4" s="23" customFormat="1" x14ac:dyDescent="0.2">
      <c r="A1" s="2" t="s">
        <v>2</v>
      </c>
      <c r="B1" s="2" t="s">
        <v>1</v>
      </c>
      <c r="C1" s="2" t="s">
        <v>0</v>
      </c>
      <c r="D1" s="2" t="s">
        <v>3</v>
      </c>
    </row>
    <row r="2" spans="1:4" x14ac:dyDescent="0.2">
      <c r="A2" s="3" t="s">
        <v>12</v>
      </c>
      <c r="B2" t="s">
        <v>12</v>
      </c>
      <c r="C2" t="s">
        <v>4</v>
      </c>
      <c r="D2">
        <v>100</v>
      </c>
    </row>
    <row r="3" spans="1:4" x14ac:dyDescent="0.2">
      <c r="A3" s="3" t="s">
        <v>81</v>
      </c>
      <c r="B3" t="s">
        <v>5</v>
      </c>
      <c r="C3" t="s">
        <v>4</v>
      </c>
      <c r="D3">
        <v>5.882352941176471</v>
      </c>
    </row>
    <row r="4" spans="1:4" x14ac:dyDescent="0.2">
      <c r="A4" s="3" t="s">
        <v>82</v>
      </c>
      <c r="B4" t="s">
        <v>5</v>
      </c>
      <c r="C4" t="s">
        <v>4</v>
      </c>
      <c r="D4">
        <v>5.882352941176471</v>
      </c>
    </row>
    <row r="5" spans="1:4" x14ac:dyDescent="0.2">
      <c r="A5" s="3" t="s">
        <v>79</v>
      </c>
      <c r="B5" t="s">
        <v>5</v>
      </c>
      <c r="C5" t="s">
        <v>4</v>
      </c>
      <c r="D5">
        <v>5.882352941176471</v>
      </c>
    </row>
    <row r="6" spans="1:4" x14ac:dyDescent="0.2">
      <c r="A6" s="3" t="s">
        <v>83</v>
      </c>
      <c r="B6" t="s">
        <v>5</v>
      </c>
      <c r="C6" t="s">
        <v>4</v>
      </c>
      <c r="D6">
        <v>5.882352941176471</v>
      </c>
    </row>
    <row r="7" spans="1:4" x14ac:dyDescent="0.2">
      <c r="A7" s="3" t="s">
        <v>22</v>
      </c>
      <c r="B7" t="s">
        <v>5</v>
      </c>
      <c r="C7" t="s">
        <v>4</v>
      </c>
      <c r="D7">
        <v>29.411764705882351</v>
      </c>
    </row>
    <row r="8" spans="1:4" x14ac:dyDescent="0.2">
      <c r="A8" t="s">
        <v>26</v>
      </c>
      <c r="B8" t="s">
        <v>5</v>
      </c>
      <c r="C8" t="s">
        <v>4</v>
      </c>
      <c r="D8">
        <v>5.882352941176471</v>
      </c>
    </row>
    <row r="9" spans="1:4" x14ac:dyDescent="0.2">
      <c r="A9" t="s">
        <v>24</v>
      </c>
      <c r="B9" t="s">
        <v>5</v>
      </c>
      <c r="C9" t="s">
        <v>4</v>
      </c>
      <c r="D9">
        <v>5.882352941176471</v>
      </c>
    </row>
    <row r="10" spans="1:4" x14ac:dyDescent="0.2">
      <c r="A10" t="s">
        <v>25</v>
      </c>
      <c r="B10" t="s">
        <v>5</v>
      </c>
      <c r="C10" t="s">
        <v>4</v>
      </c>
      <c r="D10">
        <v>5.882352941176471</v>
      </c>
    </row>
    <row r="11" spans="1:4" x14ac:dyDescent="0.2">
      <c r="A11" t="s">
        <v>80</v>
      </c>
      <c r="B11" t="s">
        <v>5</v>
      </c>
      <c r="C11" t="s">
        <v>4</v>
      </c>
      <c r="D11">
        <v>29.411764705882351</v>
      </c>
    </row>
    <row r="12" spans="1:4" x14ac:dyDescent="0.2">
      <c r="A12" t="s">
        <v>87</v>
      </c>
      <c r="B12" t="s">
        <v>13</v>
      </c>
      <c r="C12" t="s">
        <v>4</v>
      </c>
      <c r="D12">
        <v>7.6923076923076925</v>
      </c>
    </row>
    <row r="13" spans="1:4" x14ac:dyDescent="0.2">
      <c r="A13" t="s">
        <v>89</v>
      </c>
      <c r="B13" t="s">
        <v>13</v>
      </c>
      <c r="C13" t="s">
        <v>4</v>
      </c>
      <c r="D13">
        <v>7.6923076923076925</v>
      </c>
    </row>
    <row r="14" spans="1:4" x14ac:dyDescent="0.2">
      <c r="A14" t="s">
        <v>23</v>
      </c>
      <c r="B14" t="s">
        <v>13</v>
      </c>
      <c r="C14" t="s">
        <v>4</v>
      </c>
      <c r="D14">
        <v>7.6923076923076925</v>
      </c>
    </row>
    <row r="15" spans="1:4" x14ac:dyDescent="0.2">
      <c r="A15" t="s">
        <v>91</v>
      </c>
      <c r="B15" t="s">
        <v>13</v>
      </c>
      <c r="C15" t="s">
        <v>4</v>
      </c>
      <c r="D15">
        <v>7.6923076923076925</v>
      </c>
    </row>
    <row r="16" spans="1:4" x14ac:dyDescent="0.2">
      <c r="A16" t="s">
        <v>93</v>
      </c>
      <c r="B16" t="s">
        <v>13</v>
      </c>
      <c r="C16" t="s">
        <v>4</v>
      </c>
      <c r="D16">
        <v>7.6923076923076925</v>
      </c>
    </row>
    <row r="17" spans="1:4" x14ac:dyDescent="0.2">
      <c r="A17" t="s">
        <v>97</v>
      </c>
      <c r="B17" t="s">
        <v>13</v>
      </c>
      <c r="C17" t="s">
        <v>4</v>
      </c>
      <c r="D17">
        <v>7.6923076923076925</v>
      </c>
    </row>
    <row r="18" spans="1:4" x14ac:dyDescent="0.2">
      <c r="A18" t="s">
        <v>99</v>
      </c>
      <c r="B18" t="s">
        <v>13</v>
      </c>
      <c r="C18" t="s">
        <v>4</v>
      </c>
      <c r="D18">
        <v>7.6923076923076925</v>
      </c>
    </row>
    <row r="19" spans="1:4" x14ac:dyDescent="0.2">
      <c r="A19" t="s">
        <v>76</v>
      </c>
      <c r="B19" t="s">
        <v>13</v>
      </c>
      <c r="C19" t="s">
        <v>4</v>
      </c>
      <c r="D19">
        <v>7.6923076923076925</v>
      </c>
    </row>
    <row r="20" spans="1:4" x14ac:dyDescent="0.2">
      <c r="A20" t="s">
        <v>90</v>
      </c>
      <c r="B20" t="s">
        <v>13</v>
      </c>
      <c r="C20" t="s">
        <v>4</v>
      </c>
      <c r="D20">
        <v>7.6923076923076925</v>
      </c>
    </row>
    <row r="21" spans="1:4" x14ac:dyDescent="0.2">
      <c r="A21" t="s">
        <v>159</v>
      </c>
      <c r="B21" t="s">
        <v>13</v>
      </c>
      <c r="C21" t="s">
        <v>4</v>
      </c>
      <c r="D21">
        <v>7.6923076923076925</v>
      </c>
    </row>
    <row r="22" spans="1:4" x14ac:dyDescent="0.2">
      <c r="A22" t="s">
        <v>88</v>
      </c>
      <c r="B22" t="s">
        <v>13</v>
      </c>
      <c r="C22" t="s">
        <v>4</v>
      </c>
      <c r="D22">
        <v>7.6923076923076925</v>
      </c>
    </row>
    <row r="23" spans="1:4" x14ac:dyDescent="0.2">
      <c r="A23" t="s">
        <v>94</v>
      </c>
      <c r="B23" t="s">
        <v>13</v>
      </c>
      <c r="C23" t="s">
        <v>4</v>
      </c>
      <c r="D23">
        <v>7.6923076923076925</v>
      </c>
    </row>
    <row r="24" spans="1:4" x14ac:dyDescent="0.2">
      <c r="A24" t="s">
        <v>96</v>
      </c>
      <c r="B24" t="s">
        <v>13</v>
      </c>
      <c r="C24" t="s">
        <v>4</v>
      </c>
      <c r="D24">
        <v>7.6923076923076925</v>
      </c>
    </row>
    <row r="25" spans="1:4" x14ac:dyDescent="0.2">
      <c r="A25" t="s">
        <v>8</v>
      </c>
      <c r="B25" t="s">
        <v>7</v>
      </c>
      <c r="C25" t="s">
        <v>4</v>
      </c>
      <c r="D25">
        <v>41.666666666666664</v>
      </c>
    </row>
    <row r="26" spans="1:4" x14ac:dyDescent="0.2">
      <c r="A26" t="s">
        <v>85</v>
      </c>
      <c r="B26" t="s">
        <v>7</v>
      </c>
      <c r="C26" t="s">
        <v>4</v>
      </c>
      <c r="D26">
        <v>8.3333333333333339</v>
      </c>
    </row>
    <row r="27" spans="1:4" x14ac:dyDescent="0.2">
      <c r="A27" t="s">
        <v>27</v>
      </c>
      <c r="B27" t="s">
        <v>7</v>
      </c>
      <c r="C27" t="s">
        <v>4</v>
      </c>
      <c r="D27">
        <v>41.666666666666664</v>
      </c>
    </row>
    <row r="28" spans="1:4" x14ac:dyDescent="0.2">
      <c r="A28" t="s">
        <v>85</v>
      </c>
      <c r="B28" t="s">
        <v>7</v>
      </c>
      <c r="C28" t="s">
        <v>4</v>
      </c>
      <c r="D28">
        <v>8.3333333333333339</v>
      </c>
    </row>
    <row r="29" spans="1:4" x14ac:dyDescent="0.2">
      <c r="A29" t="s">
        <v>75</v>
      </c>
      <c r="B29" t="s">
        <v>9</v>
      </c>
      <c r="C29" t="s">
        <v>4</v>
      </c>
      <c r="D29">
        <v>11.111111111111111</v>
      </c>
    </row>
    <row r="30" spans="1:4" x14ac:dyDescent="0.2">
      <c r="A30" t="s">
        <v>10</v>
      </c>
      <c r="B30" t="s">
        <v>9</v>
      </c>
      <c r="C30" t="s">
        <v>4</v>
      </c>
      <c r="D30">
        <v>55.555555555555557</v>
      </c>
    </row>
    <row r="31" spans="1:4" x14ac:dyDescent="0.2">
      <c r="A31" t="s">
        <v>103</v>
      </c>
      <c r="B31" t="s">
        <v>9</v>
      </c>
      <c r="C31" t="s">
        <v>4</v>
      </c>
      <c r="D31">
        <v>11.111111111111111</v>
      </c>
    </row>
    <row r="32" spans="1:4" x14ac:dyDescent="0.2">
      <c r="A32" t="s">
        <v>102</v>
      </c>
      <c r="B32" t="s">
        <v>9</v>
      </c>
      <c r="C32" t="s">
        <v>4</v>
      </c>
      <c r="D32">
        <v>11.111111111111111</v>
      </c>
    </row>
    <row r="33" spans="1:4" x14ac:dyDescent="0.2">
      <c r="A33" t="s">
        <v>101</v>
      </c>
      <c r="B33" t="s">
        <v>9</v>
      </c>
      <c r="C33" t="s">
        <v>4</v>
      </c>
      <c r="D33">
        <v>11.111111111111111</v>
      </c>
    </row>
    <row r="34" spans="1:4" x14ac:dyDescent="0.2">
      <c r="A34" t="s">
        <v>12</v>
      </c>
      <c r="B34" t="s">
        <v>12</v>
      </c>
      <c r="C34" t="s">
        <v>16</v>
      </c>
      <c r="D34">
        <v>100</v>
      </c>
    </row>
    <row r="35" spans="1:4" x14ac:dyDescent="0.2">
      <c r="A35" t="s">
        <v>81</v>
      </c>
      <c r="B35" t="s">
        <v>5</v>
      </c>
      <c r="C35" t="s">
        <v>16</v>
      </c>
      <c r="D35">
        <v>5.882352941176471</v>
      </c>
    </row>
    <row r="36" spans="1:4" x14ac:dyDescent="0.2">
      <c r="A36" t="s">
        <v>82</v>
      </c>
      <c r="B36" t="s">
        <v>5</v>
      </c>
      <c r="C36" t="s">
        <v>16</v>
      </c>
      <c r="D36">
        <v>5.882352941176471</v>
      </c>
    </row>
    <row r="37" spans="1:4" x14ac:dyDescent="0.2">
      <c r="A37" t="s">
        <v>79</v>
      </c>
      <c r="B37" t="s">
        <v>5</v>
      </c>
      <c r="C37" t="s">
        <v>16</v>
      </c>
      <c r="D37">
        <v>5.882352941176471</v>
      </c>
    </row>
    <row r="38" spans="1:4" x14ac:dyDescent="0.2">
      <c r="A38" t="s">
        <v>83</v>
      </c>
      <c r="B38" t="s">
        <v>5</v>
      </c>
      <c r="C38" t="s">
        <v>16</v>
      </c>
      <c r="D38">
        <v>5.882352941176471</v>
      </c>
    </row>
    <row r="39" spans="1:4" x14ac:dyDescent="0.2">
      <c r="A39" t="s">
        <v>22</v>
      </c>
      <c r="B39" t="s">
        <v>5</v>
      </c>
      <c r="C39" t="s">
        <v>16</v>
      </c>
      <c r="D39">
        <v>29.411764705882351</v>
      </c>
    </row>
    <row r="40" spans="1:4" x14ac:dyDescent="0.2">
      <c r="A40" t="s">
        <v>26</v>
      </c>
      <c r="B40" t="s">
        <v>5</v>
      </c>
      <c r="C40" t="s">
        <v>16</v>
      </c>
      <c r="D40">
        <v>5.882352941176471</v>
      </c>
    </row>
    <row r="41" spans="1:4" x14ac:dyDescent="0.2">
      <c r="A41" t="s">
        <v>24</v>
      </c>
      <c r="B41" t="s">
        <v>5</v>
      </c>
      <c r="C41" t="s">
        <v>16</v>
      </c>
      <c r="D41">
        <v>5.882352941176471</v>
      </c>
    </row>
    <row r="42" spans="1:4" x14ac:dyDescent="0.2">
      <c r="A42" t="s">
        <v>25</v>
      </c>
      <c r="B42" t="s">
        <v>5</v>
      </c>
      <c r="C42" t="s">
        <v>16</v>
      </c>
      <c r="D42">
        <v>5.882352941176471</v>
      </c>
    </row>
    <row r="43" spans="1:4" x14ac:dyDescent="0.2">
      <c r="A43" t="s">
        <v>80</v>
      </c>
      <c r="B43" t="s">
        <v>5</v>
      </c>
      <c r="C43" t="s">
        <v>16</v>
      </c>
      <c r="D43">
        <v>29.411764705882351</v>
      </c>
    </row>
    <row r="44" spans="1:4" x14ac:dyDescent="0.2">
      <c r="A44" t="s">
        <v>87</v>
      </c>
      <c r="B44" t="s">
        <v>13</v>
      </c>
      <c r="C44" t="s">
        <v>16</v>
      </c>
      <c r="D44">
        <v>7.6923076923076925</v>
      </c>
    </row>
    <row r="45" spans="1:4" x14ac:dyDescent="0.2">
      <c r="A45" t="s">
        <v>89</v>
      </c>
      <c r="B45" t="s">
        <v>13</v>
      </c>
      <c r="C45" t="s">
        <v>16</v>
      </c>
      <c r="D45">
        <v>7.6923076923076925</v>
      </c>
    </row>
    <row r="46" spans="1:4" x14ac:dyDescent="0.2">
      <c r="A46" t="s">
        <v>23</v>
      </c>
      <c r="B46" t="s">
        <v>13</v>
      </c>
      <c r="C46" t="s">
        <v>16</v>
      </c>
      <c r="D46">
        <v>7.6923076923076925</v>
      </c>
    </row>
    <row r="47" spans="1:4" x14ac:dyDescent="0.2">
      <c r="A47" t="s">
        <v>91</v>
      </c>
      <c r="B47" t="s">
        <v>13</v>
      </c>
      <c r="C47" t="s">
        <v>16</v>
      </c>
      <c r="D47">
        <v>7.6923076923076925</v>
      </c>
    </row>
    <row r="48" spans="1:4" x14ac:dyDescent="0.2">
      <c r="A48" t="s">
        <v>93</v>
      </c>
      <c r="B48" t="s">
        <v>13</v>
      </c>
      <c r="C48" t="s">
        <v>16</v>
      </c>
      <c r="D48">
        <v>7.6923076923076925</v>
      </c>
    </row>
    <row r="49" spans="1:4" x14ac:dyDescent="0.2">
      <c r="A49" t="s">
        <v>97</v>
      </c>
      <c r="B49" t="s">
        <v>13</v>
      </c>
      <c r="C49" t="s">
        <v>16</v>
      </c>
      <c r="D49">
        <v>7.6923076923076925</v>
      </c>
    </row>
    <row r="50" spans="1:4" x14ac:dyDescent="0.2">
      <c r="A50" t="s">
        <v>99</v>
      </c>
      <c r="B50" t="s">
        <v>13</v>
      </c>
      <c r="C50" t="s">
        <v>16</v>
      </c>
      <c r="D50">
        <v>7.6923076923076925</v>
      </c>
    </row>
    <row r="51" spans="1:4" x14ac:dyDescent="0.2">
      <c r="A51" t="s">
        <v>76</v>
      </c>
      <c r="B51" t="s">
        <v>13</v>
      </c>
      <c r="C51" t="s">
        <v>16</v>
      </c>
      <c r="D51">
        <v>7.6923076923076925</v>
      </c>
    </row>
    <row r="52" spans="1:4" x14ac:dyDescent="0.2">
      <c r="A52" t="s">
        <v>90</v>
      </c>
      <c r="B52" t="s">
        <v>13</v>
      </c>
      <c r="C52" t="s">
        <v>16</v>
      </c>
      <c r="D52">
        <v>7.6923076923076925</v>
      </c>
    </row>
    <row r="53" spans="1:4" x14ac:dyDescent="0.2">
      <c r="A53" t="s">
        <v>159</v>
      </c>
      <c r="B53" t="s">
        <v>13</v>
      </c>
      <c r="C53" t="s">
        <v>16</v>
      </c>
      <c r="D53">
        <v>7.6923076923076925</v>
      </c>
    </row>
    <row r="54" spans="1:4" x14ac:dyDescent="0.2">
      <c r="A54" t="s">
        <v>88</v>
      </c>
      <c r="B54" t="s">
        <v>13</v>
      </c>
      <c r="C54" t="s">
        <v>16</v>
      </c>
      <c r="D54">
        <v>7.6923076923076925</v>
      </c>
    </row>
    <row r="55" spans="1:4" x14ac:dyDescent="0.2">
      <c r="A55" t="s">
        <v>94</v>
      </c>
      <c r="B55" t="s">
        <v>13</v>
      </c>
      <c r="C55" t="s">
        <v>16</v>
      </c>
      <c r="D55">
        <v>7.6923076923076925</v>
      </c>
    </row>
    <row r="56" spans="1:4" x14ac:dyDescent="0.2">
      <c r="A56" t="s">
        <v>96</v>
      </c>
      <c r="B56" t="s">
        <v>13</v>
      </c>
      <c r="C56" t="s">
        <v>16</v>
      </c>
      <c r="D56">
        <v>7.6923076923076925</v>
      </c>
    </row>
    <row r="57" spans="1:4" x14ac:dyDescent="0.2">
      <c r="A57" t="s">
        <v>8</v>
      </c>
      <c r="B57" t="s">
        <v>7</v>
      </c>
      <c r="C57" t="s">
        <v>16</v>
      </c>
      <c r="D57">
        <v>41.666666666666664</v>
      </c>
    </row>
    <row r="58" spans="1:4" x14ac:dyDescent="0.2">
      <c r="A58" t="s">
        <v>85</v>
      </c>
      <c r="B58" t="s">
        <v>7</v>
      </c>
      <c r="C58" t="s">
        <v>16</v>
      </c>
      <c r="D58">
        <v>8.3333333333333339</v>
      </c>
    </row>
    <row r="59" spans="1:4" x14ac:dyDescent="0.2">
      <c r="A59" t="s">
        <v>27</v>
      </c>
      <c r="B59" t="s">
        <v>7</v>
      </c>
      <c r="C59" t="s">
        <v>16</v>
      </c>
      <c r="D59">
        <v>41.666666666666664</v>
      </c>
    </row>
    <row r="60" spans="1:4" x14ac:dyDescent="0.2">
      <c r="A60" t="s">
        <v>85</v>
      </c>
      <c r="B60" t="s">
        <v>7</v>
      </c>
      <c r="C60" t="s">
        <v>16</v>
      </c>
      <c r="D60">
        <v>8.3333333333333339</v>
      </c>
    </row>
    <row r="61" spans="1:4" x14ac:dyDescent="0.2">
      <c r="A61" t="s">
        <v>75</v>
      </c>
      <c r="B61" t="s">
        <v>9</v>
      </c>
      <c r="C61" t="s">
        <v>16</v>
      </c>
      <c r="D61">
        <v>11.111111111111111</v>
      </c>
    </row>
    <row r="62" spans="1:4" x14ac:dyDescent="0.2">
      <c r="A62" t="s">
        <v>10</v>
      </c>
      <c r="B62" t="s">
        <v>9</v>
      </c>
      <c r="C62" t="s">
        <v>16</v>
      </c>
      <c r="D62">
        <v>55.555555555555557</v>
      </c>
    </row>
    <row r="63" spans="1:4" x14ac:dyDescent="0.2">
      <c r="A63" t="s">
        <v>103</v>
      </c>
      <c r="B63" t="s">
        <v>9</v>
      </c>
      <c r="C63" t="s">
        <v>16</v>
      </c>
      <c r="D63">
        <v>11.111111111111111</v>
      </c>
    </row>
    <row r="64" spans="1:4" x14ac:dyDescent="0.2">
      <c r="A64" t="s">
        <v>102</v>
      </c>
      <c r="B64" t="s">
        <v>9</v>
      </c>
      <c r="C64" t="s">
        <v>16</v>
      </c>
      <c r="D64">
        <v>11.111111111111111</v>
      </c>
    </row>
    <row r="65" spans="1:4" x14ac:dyDescent="0.2">
      <c r="A65" t="s">
        <v>101</v>
      </c>
      <c r="B65" t="s">
        <v>9</v>
      </c>
      <c r="C65" t="s">
        <v>16</v>
      </c>
      <c r="D65">
        <v>11.111111111111111</v>
      </c>
    </row>
    <row r="66" spans="1:4" x14ac:dyDescent="0.2">
      <c r="A66" t="s">
        <v>12</v>
      </c>
      <c r="B66" t="s">
        <v>12</v>
      </c>
      <c r="C66" t="s">
        <v>11</v>
      </c>
      <c r="D66">
        <v>100</v>
      </c>
    </row>
    <row r="67" spans="1:4" x14ac:dyDescent="0.2">
      <c r="A67" t="s">
        <v>81</v>
      </c>
      <c r="B67" t="s">
        <v>5</v>
      </c>
      <c r="C67" t="s">
        <v>11</v>
      </c>
      <c r="D67">
        <v>3.125</v>
      </c>
    </row>
    <row r="68" spans="1:4" x14ac:dyDescent="0.2">
      <c r="A68" t="s">
        <v>82</v>
      </c>
      <c r="B68" t="s">
        <v>5</v>
      </c>
      <c r="C68" t="s">
        <v>11</v>
      </c>
      <c r="D68">
        <v>3.125</v>
      </c>
    </row>
    <row r="69" spans="1:4" x14ac:dyDescent="0.2">
      <c r="A69" t="s">
        <v>79</v>
      </c>
      <c r="B69" t="s">
        <v>5</v>
      </c>
      <c r="C69" t="s">
        <v>11</v>
      </c>
      <c r="D69">
        <v>3.125</v>
      </c>
    </row>
    <row r="70" spans="1:4" x14ac:dyDescent="0.2">
      <c r="A70" t="s">
        <v>83</v>
      </c>
      <c r="B70" t="s">
        <v>5</v>
      </c>
      <c r="C70" t="s">
        <v>11</v>
      </c>
      <c r="D70">
        <v>3.125</v>
      </c>
    </row>
    <row r="71" spans="1:4" x14ac:dyDescent="0.2">
      <c r="A71" t="s">
        <v>22</v>
      </c>
      <c r="B71" t="s">
        <v>5</v>
      </c>
      <c r="C71" t="s">
        <v>11</v>
      </c>
      <c r="D71">
        <v>3.125</v>
      </c>
    </row>
    <row r="72" spans="1:4" x14ac:dyDescent="0.2">
      <c r="A72" t="s">
        <v>26</v>
      </c>
      <c r="B72" t="s">
        <v>5</v>
      </c>
      <c r="C72" t="s">
        <v>11</v>
      </c>
      <c r="D72">
        <v>3.125</v>
      </c>
    </row>
    <row r="73" spans="1:4" x14ac:dyDescent="0.2">
      <c r="A73" t="s">
        <v>24</v>
      </c>
      <c r="B73" t="s">
        <v>5</v>
      </c>
      <c r="C73" t="s">
        <v>11</v>
      </c>
      <c r="D73">
        <v>15.625</v>
      </c>
    </row>
    <row r="74" spans="1:4" x14ac:dyDescent="0.2">
      <c r="A74" t="s">
        <v>25</v>
      </c>
      <c r="B74" t="s">
        <v>5</v>
      </c>
      <c r="C74" t="s">
        <v>11</v>
      </c>
      <c r="D74">
        <v>3.125</v>
      </c>
    </row>
    <row r="75" spans="1:4" x14ac:dyDescent="0.2">
      <c r="A75" t="s">
        <v>80</v>
      </c>
      <c r="B75" t="s">
        <v>5</v>
      </c>
      <c r="C75" t="s">
        <v>11</v>
      </c>
      <c r="D75">
        <v>15.625</v>
      </c>
    </row>
    <row r="76" spans="1:4" x14ac:dyDescent="0.2">
      <c r="A76" t="s">
        <v>87</v>
      </c>
      <c r="B76" t="s">
        <v>13</v>
      </c>
      <c r="C76" t="s">
        <v>11</v>
      </c>
      <c r="D76">
        <v>3.8461538461538463</v>
      </c>
    </row>
    <row r="77" spans="1:4" x14ac:dyDescent="0.2">
      <c r="A77" t="s">
        <v>89</v>
      </c>
      <c r="B77" t="s">
        <v>13</v>
      </c>
      <c r="C77" t="s">
        <v>11</v>
      </c>
      <c r="D77">
        <v>3.8461538461538463</v>
      </c>
    </row>
    <row r="78" spans="1:4" x14ac:dyDescent="0.2">
      <c r="A78" t="s">
        <v>23</v>
      </c>
      <c r="B78" t="s">
        <v>13</v>
      </c>
      <c r="C78" t="s">
        <v>11</v>
      </c>
      <c r="D78">
        <v>3.8461538461538463</v>
      </c>
    </row>
    <row r="79" spans="1:4" x14ac:dyDescent="0.2">
      <c r="A79" t="s">
        <v>91</v>
      </c>
      <c r="B79" t="s">
        <v>13</v>
      </c>
      <c r="C79" t="s">
        <v>11</v>
      </c>
      <c r="D79">
        <v>3.8461538461538463</v>
      </c>
    </row>
    <row r="80" spans="1:4" x14ac:dyDescent="0.2">
      <c r="A80" t="s">
        <v>93</v>
      </c>
      <c r="B80" t="s">
        <v>13</v>
      </c>
      <c r="C80" t="s">
        <v>11</v>
      </c>
      <c r="D80">
        <v>3.8461538461538463</v>
      </c>
    </row>
    <row r="81" spans="1:4" x14ac:dyDescent="0.2">
      <c r="A81" t="s">
        <v>97</v>
      </c>
      <c r="B81" t="s">
        <v>13</v>
      </c>
      <c r="C81" t="s">
        <v>11</v>
      </c>
      <c r="D81">
        <v>3.8461538461538463</v>
      </c>
    </row>
    <row r="82" spans="1:4" x14ac:dyDescent="0.2">
      <c r="A82" t="s">
        <v>99</v>
      </c>
      <c r="B82" t="s">
        <v>13</v>
      </c>
      <c r="C82" t="s">
        <v>11</v>
      </c>
      <c r="D82">
        <v>3.8461538461538463</v>
      </c>
    </row>
    <row r="83" spans="1:4" x14ac:dyDescent="0.2">
      <c r="A83" t="s">
        <v>76</v>
      </c>
      <c r="B83" t="s">
        <v>13</v>
      </c>
      <c r="C83" t="s">
        <v>11</v>
      </c>
      <c r="D83">
        <v>3.8461538461538463</v>
      </c>
    </row>
    <row r="84" spans="1:4" x14ac:dyDescent="0.2">
      <c r="A84" t="s">
        <v>90</v>
      </c>
      <c r="B84" t="s">
        <v>13</v>
      </c>
      <c r="C84" t="s">
        <v>11</v>
      </c>
      <c r="D84">
        <v>3.8461538461538463</v>
      </c>
    </row>
    <row r="85" spans="1:4" x14ac:dyDescent="0.2">
      <c r="A85" t="s">
        <v>159</v>
      </c>
      <c r="B85" t="s">
        <v>13</v>
      </c>
      <c r="C85" t="s">
        <v>11</v>
      </c>
      <c r="D85">
        <v>3.8461538461538463</v>
      </c>
    </row>
    <row r="86" spans="1:4" x14ac:dyDescent="0.2">
      <c r="A86" t="s">
        <v>88</v>
      </c>
      <c r="B86" t="s">
        <v>13</v>
      </c>
      <c r="C86" t="s">
        <v>11</v>
      </c>
      <c r="D86">
        <v>3.8461538461538463</v>
      </c>
    </row>
    <row r="87" spans="1:4" x14ac:dyDescent="0.2">
      <c r="A87" t="s">
        <v>94</v>
      </c>
      <c r="B87" t="s">
        <v>13</v>
      </c>
      <c r="C87" t="s">
        <v>11</v>
      </c>
      <c r="D87">
        <v>3.8461538461538463</v>
      </c>
    </row>
    <row r="88" spans="1:4" x14ac:dyDescent="0.2">
      <c r="A88" t="s">
        <v>96</v>
      </c>
      <c r="B88" t="s">
        <v>13</v>
      </c>
      <c r="C88" t="s">
        <v>11</v>
      </c>
      <c r="D88">
        <v>3.8461538461538463</v>
      </c>
    </row>
    <row r="89" spans="1:4" x14ac:dyDescent="0.2">
      <c r="A89" t="s">
        <v>8</v>
      </c>
      <c r="B89" t="s">
        <v>7</v>
      </c>
      <c r="C89" t="s">
        <v>11</v>
      </c>
      <c r="D89">
        <v>38.46153846153846</v>
      </c>
    </row>
    <row r="90" spans="1:4" x14ac:dyDescent="0.2">
      <c r="A90" t="s">
        <v>85</v>
      </c>
      <c r="B90" t="s">
        <v>7</v>
      </c>
      <c r="C90" t="s">
        <v>11</v>
      </c>
      <c r="D90">
        <v>7.6923076923076925</v>
      </c>
    </row>
    <row r="91" spans="1:4" x14ac:dyDescent="0.2">
      <c r="A91" t="s">
        <v>27</v>
      </c>
      <c r="B91" t="s">
        <v>7</v>
      </c>
      <c r="C91" t="s">
        <v>11</v>
      </c>
      <c r="D91">
        <v>7.6923076923076925</v>
      </c>
    </row>
    <row r="92" spans="1:4" x14ac:dyDescent="0.2">
      <c r="A92" t="s">
        <v>85</v>
      </c>
      <c r="B92" t="s">
        <v>7</v>
      </c>
      <c r="C92" t="s">
        <v>11</v>
      </c>
      <c r="D92">
        <v>7.6923076923076925</v>
      </c>
    </row>
    <row r="93" spans="1:4" x14ac:dyDescent="0.2">
      <c r="A93" t="s">
        <v>75</v>
      </c>
      <c r="B93" t="s">
        <v>9</v>
      </c>
      <c r="C93" t="s">
        <v>11</v>
      </c>
      <c r="D93">
        <v>7.1428571428571432</v>
      </c>
    </row>
    <row r="94" spans="1:4" x14ac:dyDescent="0.2">
      <c r="A94" t="s">
        <v>10</v>
      </c>
      <c r="B94" t="s">
        <v>9</v>
      </c>
      <c r="C94" t="s">
        <v>11</v>
      </c>
      <c r="D94">
        <v>35.714285714285715</v>
      </c>
    </row>
    <row r="95" spans="1:4" x14ac:dyDescent="0.2">
      <c r="A95" t="s">
        <v>103</v>
      </c>
      <c r="B95" t="s">
        <v>9</v>
      </c>
      <c r="C95" t="s">
        <v>11</v>
      </c>
      <c r="D95">
        <v>7.1428571428571432</v>
      </c>
    </row>
    <row r="96" spans="1:4" x14ac:dyDescent="0.2">
      <c r="A96" t="s">
        <v>102</v>
      </c>
      <c r="B96" t="s">
        <v>9</v>
      </c>
      <c r="C96" t="s">
        <v>11</v>
      </c>
      <c r="D96">
        <v>7.1428571428571432</v>
      </c>
    </row>
    <row r="97" spans="1:4" x14ac:dyDescent="0.2">
      <c r="A97" t="s">
        <v>101</v>
      </c>
      <c r="B97" t="s">
        <v>9</v>
      </c>
      <c r="C97" t="s">
        <v>11</v>
      </c>
      <c r="D97">
        <v>7.1428571428571432</v>
      </c>
    </row>
    <row r="98" spans="1:4" x14ac:dyDescent="0.2">
      <c r="A98" t="s">
        <v>12</v>
      </c>
      <c r="B98" t="s">
        <v>12</v>
      </c>
      <c r="C98" t="s">
        <v>17</v>
      </c>
      <c r="D98">
        <v>100</v>
      </c>
    </row>
    <row r="99" spans="1:4" x14ac:dyDescent="0.2">
      <c r="A99" t="s">
        <v>81</v>
      </c>
      <c r="B99" t="s">
        <v>5</v>
      </c>
      <c r="C99" t="s">
        <v>17</v>
      </c>
      <c r="D99">
        <v>5.882352941176471</v>
      </c>
    </row>
    <row r="100" spans="1:4" x14ac:dyDescent="0.2">
      <c r="A100" t="s">
        <v>82</v>
      </c>
      <c r="B100" t="s">
        <v>5</v>
      </c>
      <c r="C100" t="s">
        <v>17</v>
      </c>
      <c r="D100">
        <v>5.882352941176471</v>
      </c>
    </row>
    <row r="101" spans="1:4" x14ac:dyDescent="0.2">
      <c r="A101" t="s">
        <v>79</v>
      </c>
      <c r="B101" t="s">
        <v>5</v>
      </c>
      <c r="C101" t="s">
        <v>17</v>
      </c>
      <c r="D101">
        <v>5.882352941176471</v>
      </c>
    </row>
    <row r="102" spans="1:4" x14ac:dyDescent="0.2">
      <c r="A102" t="s">
        <v>83</v>
      </c>
      <c r="B102" t="s">
        <v>5</v>
      </c>
      <c r="C102" t="s">
        <v>17</v>
      </c>
      <c r="D102">
        <v>5.882352941176471</v>
      </c>
    </row>
    <row r="103" spans="1:4" x14ac:dyDescent="0.2">
      <c r="A103" t="s">
        <v>22</v>
      </c>
      <c r="B103" t="s">
        <v>5</v>
      </c>
      <c r="C103" t="s">
        <v>17</v>
      </c>
      <c r="D103">
        <v>5.882352941176471</v>
      </c>
    </row>
    <row r="104" spans="1:4" x14ac:dyDescent="0.2">
      <c r="A104" t="s">
        <v>26</v>
      </c>
      <c r="B104" t="s">
        <v>5</v>
      </c>
      <c r="C104" t="s">
        <v>17</v>
      </c>
      <c r="D104">
        <v>5.882352941176471</v>
      </c>
    </row>
    <row r="105" spans="1:4" x14ac:dyDescent="0.2">
      <c r="A105" t="s">
        <v>24</v>
      </c>
      <c r="B105" t="s">
        <v>5</v>
      </c>
      <c r="C105" t="s">
        <v>17</v>
      </c>
      <c r="D105">
        <v>5.882352941176471</v>
      </c>
    </row>
    <row r="106" spans="1:4" x14ac:dyDescent="0.2">
      <c r="A106" t="s">
        <v>25</v>
      </c>
      <c r="B106" t="s">
        <v>5</v>
      </c>
      <c r="C106" t="s">
        <v>17</v>
      </c>
      <c r="D106">
        <v>29.411764705882351</v>
      </c>
    </row>
    <row r="107" spans="1:4" x14ac:dyDescent="0.2">
      <c r="A107" t="s">
        <v>80</v>
      </c>
      <c r="B107" t="s">
        <v>5</v>
      </c>
      <c r="C107" t="s">
        <v>17</v>
      </c>
      <c r="D107">
        <v>29.411764705882351</v>
      </c>
    </row>
    <row r="108" spans="1:4" x14ac:dyDescent="0.2">
      <c r="A108" t="s">
        <v>87</v>
      </c>
      <c r="B108" t="s">
        <v>13</v>
      </c>
      <c r="C108" t="s">
        <v>17</v>
      </c>
      <c r="D108">
        <v>7.6923076923076925</v>
      </c>
    </row>
    <row r="109" spans="1:4" x14ac:dyDescent="0.2">
      <c r="A109" t="s">
        <v>89</v>
      </c>
      <c r="B109" t="s">
        <v>13</v>
      </c>
      <c r="C109" t="s">
        <v>17</v>
      </c>
      <c r="D109">
        <v>7.6923076923076925</v>
      </c>
    </row>
    <row r="110" spans="1:4" x14ac:dyDescent="0.2">
      <c r="A110" t="s">
        <v>23</v>
      </c>
      <c r="B110" t="s">
        <v>13</v>
      </c>
      <c r="C110" t="s">
        <v>17</v>
      </c>
      <c r="D110">
        <v>7.6923076923076925</v>
      </c>
    </row>
    <row r="111" spans="1:4" x14ac:dyDescent="0.2">
      <c r="A111" t="s">
        <v>91</v>
      </c>
      <c r="B111" t="s">
        <v>13</v>
      </c>
      <c r="C111" t="s">
        <v>17</v>
      </c>
      <c r="D111">
        <v>7.6923076923076925</v>
      </c>
    </row>
    <row r="112" spans="1:4" x14ac:dyDescent="0.2">
      <c r="A112" t="s">
        <v>93</v>
      </c>
      <c r="B112" t="s">
        <v>13</v>
      </c>
      <c r="C112" t="s">
        <v>17</v>
      </c>
      <c r="D112">
        <v>7.6923076923076925</v>
      </c>
    </row>
    <row r="113" spans="1:4" x14ac:dyDescent="0.2">
      <c r="A113" t="s">
        <v>97</v>
      </c>
      <c r="B113" t="s">
        <v>13</v>
      </c>
      <c r="C113" t="s">
        <v>17</v>
      </c>
      <c r="D113">
        <v>7.6923076923076925</v>
      </c>
    </row>
    <row r="114" spans="1:4" x14ac:dyDescent="0.2">
      <c r="A114" t="s">
        <v>99</v>
      </c>
      <c r="B114" t="s">
        <v>13</v>
      </c>
      <c r="C114" t="s">
        <v>17</v>
      </c>
      <c r="D114">
        <v>7.6923076923076925</v>
      </c>
    </row>
    <row r="115" spans="1:4" x14ac:dyDescent="0.2">
      <c r="A115" t="s">
        <v>76</v>
      </c>
      <c r="B115" t="s">
        <v>13</v>
      </c>
      <c r="C115" t="s">
        <v>17</v>
      </c>
      <c r="D115">
        <v>7.6923076923076925</v>
      </c>
    </row>
    <row r="116" spans="1:4" x14ac:dyDescent="0.2">
      <c r="A116" t="s">
        <v>90</v>
      </c>
      <c r="B116" t="s">
        <v>13</v>
      </c>
      <c r="C116" t="s">
        <v>17</v>
      </c>
      <c r="D116">
        <v>7.6923076923076925</v>
      </c>
    </row>
    <row r="117" spans="1:4" x14ac:dyDescent="0.2">
      <c r="A117" t="s">
        <v>159</v>
      </c>
      <c r="B117" t="s">
        <v>13</v>
      </c>
      <c r="C117" t="s">
        <v>17</v>
      </c>
      <c r="D117">
        <v>7.6923076923076925</v>
      </c>
    </row>
    <row r="118" spans="1:4" x14ac:dyDescent="0.2">
      <c r="A118" t="s">
        <v>88</v>
      </c>
      <c r="B118" t="s">
        <v>13</v>
      </c>
      <c r="C118" t="s">
        <v>17</v>
      </c>
      <c r="D118">
        <v>7.6923076923076925</v>
      </c>
    </row>
    <row r="119" spans="1:4" x14ac:dyDescent="0.2">
      <c r="A119" t="s">
        <v>94</v>
      </c>
      <c r="B119" t="s">
        <v>13</v>
      </c>
      <c r="C119" t="s">
        <v>17</v>
      </c>
      <c r="D119">
        <v>7.6923076923076925</v>
      </c>
    </row>
    <row r="120" spans="1:4" x14ac:dyDescent="0.2">
      <c r="A120" t="s">
        <v>96</v>
      </c>
      <c r="B120" t="s">
        <v>13</v>
      </c>
      <c r="C120" t="s">
        <v>17</v>
      </c>
      <c r="D120">
        <v>7.6923076923076925</v>
      </c>
    </row>
    <row r="121" spans="1:4" x14ac:dyDescent="0.2">
      <c r="A121" t="s">
        <v>8</v>
      </c>
      <c r="B121" t="s">
        <v>7</v>
      </c>
      <c r="C121" t="s">
        <v>17</v>
      </c>
      <c r="D121">
        <v>41.666666666666664</v>
      </c>
    </row>
    <row r="122" spans="1:4" x14ac:dyDescent="0.2">
      <c r="A122" t="s">
        <v>85</v>
      </c>
      <c r="B122" t="s">
        <v>7</v>
      </c>
      <c r="C122" t="s">
        <v>17</v>
      </c>
      <c r="D122">
        <v>8.3333333333333339</v>
      </c>
    </row>
    <row r="123" spans="1:4" x14ac:dyDescent="0.2">
      <c r="A123" t="s">
        <v>27</v>
      </c>
      <c r="B123" t="s">
        <v>7</v>
      </c>
      <c r="C123" t="s">
        <v>17</v>
      </c>
      <c r="D123">
        <v>41.666666666666664</v>
      </c>
    </row>
    <row r="124" spans="1:4" x14ac:dyDescent="0.2">
      <c r="A124" t="s">
        <v>85</v>
      </c>
      <c r="B124" t="s">
        <v>7</v>
      </c>
      <c r="C124" t="s">
        <v>17</v>
      </c>
      <c r="D124">
        <v>8.3333333333333339</v>
      </c>
    </row>
    <row r="125" spans="1:4" x14ac:dyDescent="0.2">
      <c r="A125" t="s">
        <v>75</v>
      </c>
      <c r="B125" t="s">
        <v>9</v>
      </c>
      <c r="C125" t="s">
        <v>17</v>
      </c>
      <c r="D125">
        <v>11.111111111111111</v>
      </c>
    </row>
    <row r="126" spans="1:4" x14ac:dyDescent="0.2">
      <c r="A126" t="s">
        <v>10</v>
      </c>
      <c r="B126" t="s">
        <v>9</v>
      </c>
      <c r="C126" t="s">
        <v>17</v>
      </c>
      <c r="D126">
        <v>55.555555555555557</v>
      </c>
    </row>
    <row r="127" spans="1:4" x14ac:dyDescent="0.2">
      <c r="A127" t="s">
        <v>103</v>
      </c>
      <c r="B127" t="s">
        <v>9</v>
      </c>
      <c r="C127" t="s">
        <v>17</v>
      </c>
      <c r="D127">
        <v>11.111111111111111</v>
      </c>
    </row>
    <row r="128" spans="1:4" x14ac:dyDescent="0.2">
      <c r="A128" t="s">
        <v>102</v>
      </c>
      <c r="B128" t="s">
        <v>9</v>
      </c>
      <c r="C128" t="s">
        <v>17</v>
      </c>
      <c r="D128">
        <v>11.111111111111111</v>
      </c>
    </row>
    <row r="129" spans="1:4" x14ac:dyDescent="0.2">
      <c r="A129" t="s">
        <v>101</v>
      </c>
      <c r="B129" t="s">
        <v>9</v>
      </c>
      <c r="C129" t="s">
        <v>17</v>
      </c>
      <c r="D129">
        <v>11.111111111111111</v>
      </c>
    </row>
    <row r="130" spans="1:4" x14ac:dyDescent="0.2">
      <c r="A130" t="s">
        <v>12</v>
      </c>
      <c r="B130" t="s">
        <v>12</v>
      </c>
      <c r="C130" t="s">
        <v>18</v>
      </c>
      <c r="D130">
        <v>100</v>
      </c>
    </row>
    <row r="131" spans="1:4" x14ac:dyDescent="0.2">
      <c r="A131" t="s">
        <v>81</v>
      </c>
      <c r="B131" t="s">
        <v>5</v>
      </c>
      <c r="C131" t="s">
        <v>18</v>
      </c>
      <c r="D131">
        <v>5.882352941176471</v>
      </c>
    </row>
    <row r="132" spans="1:4" x14ac:dyDescent="0.2">
      <c r="A132" t="s">
        <v>82</v>
      </c>
      <c r="B132" t="s">
        <v>5</v>
      </c>
      <c r="C132" t="s">
        <v>18</v>
      </c>
      <c r="D132">
        <v>5.882352941176471</v>
      </c>
    </row>
    <row r="133" spans="1:4" x14ac:dyDescent="0.2">
      <c r="A133" t="s">
        <v>79</v>
      </c>
      <c r="B133" t="s">
        <v>5</v>
      </c>
      <c r="C133" t="s">
        <v>18</v>
      </c>
      <c r="D133">
        <v>5.882352941176471</v>
      </c>
    </row>
    <row r="134" spans="1:4" x14ac:dyDescent="0.2">
      <c r="A134" t="s">
        <v>83</v>
      </c>
      <c r="B134" t="s">
        <v>5</v>
      </c>
      <c r="C134" t="s">
        <v>18</v>
      </c>
      <c r="D134">
        <v>5.882352941176471</v>
      </c>
    </row>
    <row r="135" spans="1:4" x14ac:dyDescent="0.2">
      <c r="A135" t="s">
        <v>22</v>
      </c>
      <c r="B135" t="s">
        <v>5</v>
      </c>
      <c r="C135" t="s">
        <v>18</v>
      </c>
      <c r="D135">
        <v>5.882352941176471</v>
      </c>
    </row>
    <row r="136" spans="1:4" x14ac:dyDescent="0.2">
      <c r="A136" t="s">
        <v>26</v>
      </c>
      <c r="B136" t="s">
        <v>5</v>
      </c>
      <c r="C136" t="s">
        <v>18</v>
      </c>
      <c r="D136">
        <v>29.411764705882351</v>
      </c>
    </row>
    <row r="137" spans="1:4" x14ac:dyDescent="0.2">
      <c r="A137" t="s">
        <v>24</v>
      </c>
      <c r="B137" t="s">
        <v>5</v>
      </c>
      <c r="C137" t="s">
        <v>18</v>
      </c>
      <c r="D137">
        <v>5.882352941176471</v>
      </c>
    </row>
    <row r="138" spans="1:4" x14ac:dyDescent="0.2">
      <c r="A138" t="s">
        <v>25</v>
      </c>
      <c r="B138" t="s">
        <v>5</v>
      </c>
      <c r="C138" t="s">
        <v>18</v>
      </c>
      <c r="D138">
        <v>5.882352941176471</v>
      </c>
    </row>
    <row r="139" spans="1:4" x14ac:dyDescent="0.2">
      <c r="A139" t="s">
        <v>80</v>
      </c>
      <c r="B139" t="s">
        <v>5</v>
      </c>
      <c r="C139" t="s">
        <v>18</v>
      </c>
      <c r="D139">
        <v>29.411764705882351</v>
      </c>
    </row>
    <row r="140" spans="1:4" x14ac:dyDescent="0.2">
      <c r="A140" t="s">
        <v>87</v>
      </c>
      <c r="B140" t="s">
        <v>13</v>
      </c>
      <c r="C140" t="s">
        <v>18</v>
      </c>
      <c r="D140">
        <v>7.6923076923076925</v>
      </c>
    </row>
    <row r="141" spans="1:4" x14ac:dyDescent="0.2">
      <c r="A141" t="s">
        <v>89</v>
      </c>
      <c r="B141" t="s">
        <v>13</v>
      </c>
      <c r="C141" t="s">
        <v>18</v>
      </c>
      <c r="D141">
        <v>7.6923076923076925</v>
      </c>
    </row>
    <row r="142" spans="1:4" x14ac:dyDescent="0.2">
      <c r="A142" t="s">
        <v>23</v>
      </c>
      <c r="B142" t="s">
        <v>13</v>
      </c>
      <c r="C142" t="s">
        <v>18</v>
      </c>
      <c r="D142">
        <v>7.6923076923076925</v>
      </c>
    </row>
    <row r="143" spans="1:4" x14ac:dyDescent="0.2">
      <c r="A143" t="s">
        <v>91</v>
      </c>
      <c r="B143" t="s">
        <v>13</v>
      </c>
      <c r="C143" t="s">
        <v>18</v>
      </c>
      <c r="D143">
        <v>7.6923076923076925</v>
      </c>
    </row>
    <row r="144" spans="1:4" x14ac:dyDescent="0.2">
      <c r="A144" t="s">
        <v>93</v>
      </c>
      <c r="B144" t="s">
        <v>13</v>
      </c>
      <c r="C144" t="s">
        <v>18</v>
      </c>
      <c r="D144">
        <v>7.6923076923076925</v>
      </c>
    </row>
    <row r="145" spans="1:4" x14ac:dyDescent="0.2">
      <c r="A145" t="s">
        <v>97</v>
      </c>
      <c r="B145" t="s">
        <v>13</v>
      </c>
      <c r="C145" t="s">
        <v>18</v>
      </c>
      <c r="D145">
        <v>7.6923076923076925</v>
      </c>
    </row>
    <row r="146" spans="1:4" x14ac:dyDescent="0.2">
      <c r="A146" t="s">
        <v>99</v>
      </c>
      <c r="B146" t="s">
        <v>13</v>
      </c>
      <c r="C146" t="s">
        <v>18</v>
      </c>
      <c r="D146">
        <v>7.6923076923076925</v>
      </c>
    </row>
    <row r="147" spans="1:4" x14ac:dyDescent="0.2">
      <c r="A147" t="s">
        <v>76</v>
      </c>
      <c r="B147" t="s">
        <v>13</v>
      </c>
      <c r="C147" t="s">
        <v>18</v>
      </c>
      <c r="D147">
        <v>7.6923076923076925</v>
      </c>
    </row>
    <row r="148" spans="1:4" x14ac:dyDescent="0.2">
      <c r="A148" t="s">
        <v>90</v>
      </c>
      <c r="B148" t="s">
        <v>13</v>
      </c>
      <c r="C148" t="s">
        <v>18</v>
      </c>
      <c r="D148">
        <v>7.6923076923076925</v>
      </c>
    </row>
    <row r="149" spans="1:4" x14ac:dyDescent="0.2">
      <c r="A149" t="s">
        <v>159</v>
      </c>
      <c r="B149" t="s">
        <v>13</v>
      </c>
      <c r="C149" t="s">
        <v>18</v>
      </c>
      <c r="D149">
        <v>7.6923076923076925</v>
      </c>
    </row>
    <row r="150" spans="1:4" x14ac:dyDescent="0.2">
      <c r="A150" t="s">
        <v>88</v>
      </c>
      <c r="B150" t="s">
        <v>13</v>
      </c>
      <c r="C150" t="s">
        <v>18</v>
      </c>
      <c r="D150">
        <v>7.6923076923076925</v>
      </c>
    </row>
    <row r="151" spans="1:4" x14ac:dyDescent="0.2">
      <c r="A151" t="s">
        <v>94</v>
      </c>
      <c r="B151" t="s">
        <v>13</v>
      </c>
      <c r="C151" t="s">
        <v>18</v>
      </c>
      <c r="D151">
        <v>7.6923076923076925</v>
      </c>
    </row>
    <row r="152" spans="1:4" x14ac:dyDescent="0.2">
      <c r="A152" t="s">
        <v>96</v>
      </c>
      <c r="B152" t="s">
        <v>13</v>
      </c>
      <c r="C152" t="s">
        <v>18</v>
      </c>
      <c r="D152">
        <v>7.6923076923076925</v>
      </c>
    </row>
    <row r="153" spans="1:4" x14ac:dyDescent="0.2">
      <c r="A153" t="s">
        <v>8</v>
      </c>
      <c r="B153" t="s">
        <v>7</v>
      </c>
      <c r="C153" t="s">
        <v>18</v>
      </c>
      <c r="D153">
        <v>41.666666666666664</v>
      </c>
    </row>
    <row r="154" spans="1:4" x14ac:dyDescent="0.2">
      <c r="A154" t="s">
        <v>85</v>
      </c>
      <c r="B154" t="s">
        <v>7</v>
      </c>
      <c r="C154" t="s">
        <v>18</v>
      </c>
      <c r="D154">
        <v>8.3333333333333339</v>
      </c>
    </row>
    <row r="155" spans="1:4" x14ac:dyDescent="0.2">
      <c r="A155" t="s">
        <v>27</v>
      </c>
      <c r="B155" t="s">
        <v>7</v>
      </c>
      <c r="C155" t="s">
        <v>18</v>
      </c>
      <c r="D155">
        <v>41.666666666666664</v>
      </c>
    </row>
    <row r="156" spans="1:4" x14ac:dyDescent="0.2">
      <c r="A156" t="s">
        <v>85</v>
      </c>
      <c r="B156" t="s">
        <v>7</v>
      </c>
      <c r="C156" t="s">
        <v>18</v>
      </c>
      <c r="D156">
        <v>8.3333333333333339</v>
      </c>
    </row>
    <row r="157" spans="1:4" x14ac:dyDescent="0.2">
      <c r="A157" t="s">
        <v>75</v>
      </c>
      <c r="B157" t="s">
        <v>9</v>
      </c>
      <c r="C157" t="s">
        <v>18</v>
      </c>
      <c r="D157">
        <v>11.111111111111111</v>
      </c>
    </row>
    <row r="158" spans="1:4" x14ac:dyDescent="0.2">
      <c r="A158" t="s">
        <v>10</v>
      </c>
      <c r="B158" t="s">
        <v>9</v>
      </c>
      <c r="C158" t="s">
        <v>18</v>
      </c>
      <c r="D158">
        <v>55.555555555555557</v>
      </c>
    </row>
    <row r="159" spans="1:4" x14ac:dyDescent="0.2">
      <c r="A159" t="s">
        <v>103</v>
      </c>
      <c r="B159" t="s">
        <v>9</v>
      </c>
      <c r="C159" t="s">
        <v>18</v>
      </c>
      <c r="D159">
        <v>11.111111111111111</v>
      </c>
    </row>
    <row r="160" spans="1:4" x14ac:dyDescent="0.2">
      <c r="A160" t="s">
        <v>102</v>
      </c>
      <c r="B160" t="s">
        <v>9</v>
      </c>
      <c r="C160" t="s">
        <v>18</v>
      </c>
      <c r="D160">
        <v>11.111111111111111</v>
      </c>
    </row>
    <row r="161" spans="1:4" x14ac:dyDescent="0.2">
      <c r="A161" t="s">
        <v>101</v>
      </c>
      <c r="B161" t="s">
        <v>9</v>
      </c>
      <c r="C161" t="s">
        <v>18</v>
      </c>
      <c r="D161">
        <v>11.111111111111111</v>
      </c>
    </row>
    <row r="162" spans="1:4" x14ac:dyDescent="0.2">
      <c r="A162" t="s">
        <v>12</v>
      </c>
      <c r="B162" t="s">
        <v>12</v>
      </c>
      <c r="C162" t="s">
        <v>15</v>
      </c>
      <c r="D162">
        <v>100</v>
      </c>
    </row>
    <row r="163" spans="1:4" x14ac:dyDescent="0.2">
      <c r="A163" t="s">
        <v>81</v>
      </c>
      <c r="B163" t="s">
        <v>5</v>
      </c>
      <c r="C163" t="s">
        <v>15</v>
      </c>
      <c r="D163">
        <v>5.882352941176471</v>
      </c>
    </row>
    <row r="164" spans="1:4" x14ac:dyDescent="0.2">
      <c r="A164" t="s">
        <v>82</v>
      </c>
      <c r="B164" t="s">
        <v>5</v>
      </c>
      <c r="C164" t="s">
        <v>15</v>
      </c>
      <c r="D164">
        <v>5.882352941176471</v>
      </c>
    </row>
    <row r="165" spans="1:4" x14ac:dyDescent="0.2">
      <c r="A165" t="s">
        <v>79</v>
      </c>
      <c r="B165" t="s">
        <v>5</v>
      </c>
      <c r="C165" t="s">
        <v>15</v>
      </c>
      <c r="D165">
        <v>5.882352941176471</v>
      </c>
    </row>
    <row r="166" spans="1:4" x14ac:dyDescent="0.2">
      <c r="A166" t="s">
        <v>83</v>
      </c>
      <c r="B166" t="s">
        <v>5</v>
      </c>
      <c r="C166" t="s">
        <v>15</v>
      </c>
      <c r="D166">
        <v>5.882352941176471</v>
      </c>
    </row>
    <row r="167" spans="1:4" x14ac:dyDescent="0.2">
      <c r="A167" t="s">
        <v>22</v>
      </c>
      <c r="B167" t="s">
        <v>5</v>
      </c>
      <c r="C167" t="s">
        <v>15</v>
      </c>
      <c r="D167">
        <v>5.882352941176471</v>
      </c>
    </row>
    <row r="168" spans="1:4" x14ac:dyDescent="0.2">
      <c r="A168" t="s">
        <v>26</v>
      </c>
      <c r="B168" t="s">
        <v>5</v>
      </c>
      <c r="C168" t="s">
        <v>15</v>
      </c>
      <c r="D168">
        <v>5.882352941176471</v>
      </c>
    </row>
    <row r="169" spans="1:4" x14ac:dyDescent="0.2">
      <c r="A169" t="s">
        <v>24</v>
      </c>
      <c r="B169" t="s">
        <v>5</v>
      </c>
      <c r="C169" t="s">
        <v>15</v>
      </c>
      <c r="D169">
        <v>29.411764705882351</v>
      </c>
    </row>
    <row r="170" spans="1:4" x14ac:dyDescent="0.2">
      <c r="A170" t="s">
        <v>25</v>
      </c>
      <c r="B170" t="s">
        <v>5</v>
      </c>
      <c r="C170" t="s">
        <v>15</v>
      </c>
      <c r="D170">
        <v>5.882352941176471</v>
      </c>
    </row>
    <row r="171" spans="1:4" x14ac:dyDescent="0.2">
      <c r="A171" t="s">
        <v>80</v>
      </c>
      <c r="B171" t="s">
        <v>5</v>
      </c>
      <c r="C171" t="s">
        <v>15</v>
      </c>
      <c r="D171">
        <v>29.411764705882351</v>
      </c>
    </row>
    <row r="172" spans="1:4" x14ac:dyDescent="0.2">
      <c r="A172" t="s">
        <v>87</v>
      </c>
      <c r="B172" t="s">
        <v>13</v>
      </c>
      <c r="C172" t="s">
        <v>15</v>
      </c>
      <c r="D172">
        <v>7.6923076923076925</v>
      </c>
    </row>
    <row r="173" spans="1:4" x14ac:dyDescent="0.2">
      <c r="A173" t="s">
        <v>89</v>
      </c>
      <c r="B173" t="s">
        <v>13</v>
      </c>
      <c r="C173" t="s">
        <v>15</v>
      </c>
      <c r="D173">
        <v>7.6923076923076925</v>
      </c>
    </row>
    <row r="174" spans="1:4" x14ac:dyDescent="0.2">
      <c r="A174" t="s">
        <v>23</v>
      </c>
      <c r="B174" t="s">
        <v>13</v>
      </c>
      <c r="C174" t="s">
        <v>15</v>
      </c>
      <c r="D174">
        <v>7.6923076923076925</v>
      </c>
    </row>
    <row r="175" spans="1:4" x14ac:dyDescent="0.2">
      <c r="A175" t="s">
        <v>91</v>
      </c>
      <c r="B175" t="s">
        <v>13</v>
      </c>
      <c r="C175" t="s">
        <v>15</v>
      </c>
      <c r="D175">
        <v>7.6923076923076925</v>
      </c>
    </row>
    <row r="176" spans="1:4" x14ac:dyDescent="0.2">
      <c r="A176" t="s">
        <v>93</v>
      </c>
      <c r="B176" t="s">
        <v>13</v>
      </c>
      <c r="C176" t="s">
        <v>15</v>
      </c>
      <c r="D176">
        <v>7.6923076923076925</v>
      </c>
    </row>
    <row r="177" spans="1:4" x14ac:dyDescent="0.2">
      <c r="A177" t="s">
        <v>97</v>
      </c>
      <c r="B177" t="s">
        <v>13</v>
      </c>
      <c r="C177" t="s">
        <v>15</v>
      </c>
      <c r="D177">
        <v>7.6923076923076925</v>
      </c>
    </row>
    <row r="178" spans="1:4" x14ac:dyDescent="0.2">
      <c r="A178" t="s">
        <v>99</v>
      </c>
      <c r="B178" t="s">
        <v>13</v>
      </c>
      <c r="C178" t="s">
        <v>15</v>
      </c>
      <c r="D178">
        <v>7.6923076923076925</v>
      </c>
    </row>
    <row r="179" spans="1:4" x14ac:dyDescent="0.2">
      <c r="A179" t="s">
        <v>76</v>
      </c>
      <c r="B179" t="s">
        <v>13</v>
      </c>
      <c r="C179" t="s">
        <v>15</v>
      </c>
      <c r="D179">
        <v>7.6923076923076925</v>
      </c>
    </row>
    <row r="180" spans="1:4" x14ac:dyDescent="0.2">
      <c r="A180" t="s">
        <v>90</v>
      </c>
      <c r="B180" t="s">
        <v>13</v>
      </c>
      <c r="C180" t="s">
        <v>15</v>
      </c>
      <c r="D180">
        <v>7.6923076923076925</v>
      </c>
    </row>
    <row r="181" spans="1:4" x14ac:dyDescent="0.2">
      <c r="A181" t="s">
        <v>159</v>
      </c>
      <c r="B181" t="s">
        <v>13</v>
      </c>
      <c r="C181" t="s">
        <v>15</v>
      </c>
      <c r="D181">
        <v>7.6923076923076925</v>
      </c>
    </row>
    <row r="182" spans="1:4" x14ac:dyDescent="0.2">
      <c r="A182" t="s">
        <v>88</v>
      </c>
      <c r="B182" t="s">
        <v>13</v>
      </c>
      <c r="C182" t="s">
        <v>15</v>
      </c>
      <c r="D182">
        <v>7.6923076923076925</v>
      </c>
    </row>
    <row r="183" spans="1:4" x14ac:dyDescent="0.2">
      <c r="A183" t="s">
        <v>94</v>
      </c>
      <c r="B183" t="s">
        <v>13</v>
      </c>
      <c r="C183" t="s">
        <v>15</v>
      </c>
      <c r="D183">
        <v>7.6923076923076925</v>
      </c>
    </row>
    <row r="184" spans="1:4" x14ac:dyDescent="0.2">
      <c r="A184" t="s">
        <v>96</v>
      </c>
      <c r="B184" t="s">
        <v>13</v>
      </c>
      <c r="C184" t="s">
        <v>15</v>
      </c>
      <c r="D184">
        <v>7.6923076923076925</v>
      </c>
    </row>
    <row r="185" spans="1:4" x14ac:dyDescent="0.2">
      <c r="A185" t="s">
        <v>8</v>
      </c>
      <c r="B185" t="s">
        <v>7</v>
      </c>
      <c r="C185" t="s">
        <v>15</v>
      </c>
      <c r="D185">
        <v>41.666666666666664</v>
      </c>
    </row>
    <row r="186" spans="1:4" x14ac:dyDescent="0.2">
      <c r="A186" t="s">
        <v>85</v>
      </c>
      <c r="B186" t="s">
        <v>7</v>
      </c>
      <c r="C186" t="s">
        <v>15</v>
      </c>
      <c r="D186">
        <v>8.3333333333333339</v>
      </c>
    </row>
    <row r="187" spans="1:4" x14ac:dyDescent="0.2">
      <c r="A187" t="s">
        <v>27</v>
      </c>
      <c r="B187" t="s">
        <v>7</v>
      </c>
      <c r="C187" t="s">
        <v>15</v>
      </c>
      <c r="D187">
        <v>41.666666666666664</v>
      </c>
    </row>
    <row r="188" spans="1:4" x14ac:dyDescent="0.2">
      <c r="A188" t="s">
        <v>85</v>
      </c>
      <c r="B188" t="s">
        <v>7</v>
      </c>
      <c r="C188" t="s">
        <v>15</v>
      </c>
      <c r="D188">
        <v>8.3333333333333339</v>
      </c>
    </row>
    <row r="189" spans="1:4" x14ac:dyDescent="0.2">
      <c r="A189" t="s">
        <v>75</v>
      </c>
      <c r="B189" t="s">
        <v>9</v>
      </c>
      <c r="C189" t="s">
        <v>15</v>
      </c>
      <c r="D189">
        <v>11.111111111111111</v>
      </c>
    </row>
    <row r="190" spans="1:4" x14ac:dyDescent="0.2">
      <c r="A190" t="s">
        <v>10</v>
      </c>
      <c r="B190" t="s">
        <v>9</v>
      </c>
      <c r="C190" t="s">
        <v>15</v>
      </c>
      <c r="D190">
        <v>55.555555555555557</v>
      </c>
    </row>
    <row r="191" spans="1:4" x14ac:dyDescent="0.2">
      <c r="A191" t="s">
        <v>103</v>
      </c>
      <c r="B191" t="s">
        <v>9</v>
      </c>
      <c r="C191" t="s">
        <v>15</v>
      </c>
      <c r="D191">
        <v>11.111111111111111</v>
      </c>
    </row>
    <row r="192" spans="1:4" x14ac:dyDescent="0.2">
      <c r="A192" t="s">
        <v>102</v>
      </c>
      <c r="B192" t="s">
        <v>9</v>
      </c>
      <c r="C192" t="s">
        <v>15</v>
      </c>
      <c r="D192">
        <v>11.111111111111111</v>
      </c>
    </row>
    <row r="193" spans="1:4" x14ac:dyDescent="0.2">
      <c r="A193" t="s">
        <v>101</v>
      </c>
      <c r="B193" t="s">
        <v>9</v>
      </c>
      <c r="C193" t="s">
        <v>15</v>
      </c>
      <c r="D193">
        <v>11.111111111111111</v>
      </c>
    </row>
    <row r="194" spans="1:4" x14ac:dyDescent="0.2">
      <c r="A194" t="s">
        <v>107</v>
      </c>
      <c r="B194" t="s">
        <v>7</v>
      </c>
      <c r="C194" t="s">
        <v>11</v>
      </c>
      <c r="D194">
        <v>38.46153846153846</v>
      </c>
    </row>
    <row r="195" spans="1:4" x14ac:dyDescent="0.2">
      <c r="A195" t="s">
        <v>108</v>
      </c>
      <c r="B195" t="s">
        <v>5</v>
      </c>
      <c r="C195" t="s">
        <v>11</v>
      </c>
      <c r="D195">
        <v>15.625</v>
      </c>
    </row>
    <row r="196" spans="1:4" x14ac:dyDescent="0.2">
      <c r="A196" t="s">
        <v>110</v>
      </c>
      <c r="B196" t="s">
        <v>13</v>
      </c>
      <c r="C196" t="s">
        <v>11</v>
      </c>
      <c r="D196">
        <v>19.23076923076923</v>
      </c>
    </row>
    <row r="197" spans="1:4" x14ac:dyDescent="0.2">
      <c r="A197" t="s">
        <v>109</v>
      </c>
      <c r="B197" t="s">
        <v>5</v>
      </c>
      <c r="C197" t="s">
        <v>11</v>
      </c>
      <c r="D197">
        <v>15.625</v>
      </c>
    </row>
    <row r="198" spans="1:4" x14ac:dyDescent="0.2">
      <c r="A198" t="s">
        <v>111</v>
      </c>
      <c r="B198" t="s">
        <v>5</v>
      </c>
      <c r="C198" t="s">
        <v>11</v>
      </c>
      <c r="D198">
        <v>15.625</v>
      </c>
    </row>
    <row r="199" spans="1:4" x14ac:dyDescent="0.2">
      <c r="A199" t="s">
        <v>112</v>
      </c>
      <c r="B199" t="s">
        <v>13</v>
      </c>
      <c r="C199" t="s">
        <v>11</v>
      </c>
      <c r="D199">
        <v>19.23076923076923</v>
      </c>
    </row>
    <row r="200" spans="1:4" x14ac:dyDescent="0.2">
      <c r="A200" t="s">
        <v>113</v>
      </c>
      <c r="B200" t="s">
        <v>9</v>
      </c>
      <c r="C200" t="s">
        <v>11</v>
      </c>
      <c r="D200">
        <v>35.714285714285715</v>
      </c>
    </row>
    <row r="201" spans="1:4" x14ac:dyDescent="0.2">
      <c r="A201" t="s">
        <v>114</v>
      </c>
      <c r="B201" t="s">
        <v>13</v>
      </c>
      <c r="C201" t="s">
        <v>11</v>
      </c>
      <c r="D201">
        <v>3.8461538461538463</v>
      </c>
    </row>
    <row r="202" spans="1:4" x14ac:dyDescent="0.2">
      <c r="A202" t="s">
        <v>115</v>
      </c>
      <c r="B202" t="s">
        <v>13</v>
      </c>
      <c r="C202" t="s">
        <v>11</v>
      </c>
      <c r="D202">
        <v>3.8461538461538463</v>
      </c>
    </row>
    <row r="203" spans="1:4" x14ac:dyDescent="0.2">
      <c r="A203" t="s">
        <v>116</v>
      </c>
      <c r="B203" t="s">
        <v>13</v>
      </c>
      <c r="C203" t="s">
        <v>11</v>
      </c>
      <c r="D203">
        <v>3.8461538461538463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IF(ISNA(VLOOKUP(N2,weights_ra!S:S,1,FALSE)),"ALERT","Ok")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IF(ISNA(VLOOKUP(N3,weights_ra!S:S,1,FALSE)),"ALERT","Ok")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IF(ISNA(VLOOKUP(N4,weights_ra!S:S,1,FALSE)),"ALERT","Ok")</f>
        <v>ALERT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IF(ISNA(VLOOKUP(N5,weights_ra!S:S,1,FALSE)),"ALERT","Ok")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IF(ISNA(VLOOKUP(N6,weights_ra!S:S,1,FALSE)),"ALERT","Ok")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IF(ISNA(VLOOKUP(N7,weights_ra!S:S,1,FALSE)),"ALERT","Ok")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IF(ISNA(VLOOKUP(N8,weights_ra!S:S,1,FALSE)),"ALERT","Ok")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IF(ISNA(VLOOKUP(N9,weights_ra!S:S,1,FALSE)),"ALERT","Ok")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IF(ISNA(VLOOKUP(N10,weights_ra!S:S,1,FALSE)),"ALERT","Ok")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IF(ISNA(VLOOKUP(N11,weights_ra!S:S,1,FALSE)),"ALERT","Ok")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IF(ISNA(VLOOKUP(N12,weights_ra!S:S,1,FALSE)),"ALERT","Ok")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IF(ISNA(VLOOKUP(N13,weights_ra!S:S,1,FALSE)),"ALERT","Ok")</f>
        <v>ALERT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IF(ISNA(VLOOKUP(N14,weights_ra!S:S,1,FALSE)),"ALERT","Ok")</f>
        <v>ALERT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IF(ISNA(VLOOKUP(N15,weights_ra!S:S,1,FALSE)),"ALERT","Ok")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IF(ISNA(VLOOKUP(N16,weights_ra!S:S,1,FALSE)),"ALERT","Ok")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IF(ISNA(VLOOKUP(N17,weights_ra!S:S,1,FALSE)),"ALERT","Ok")</f>
        <v>ALERT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IF(ISNA(VLOOKUP(N18,weights_ra!S:S,1,FALSE)),"ALERT","Ok")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IF(ISNA(VLOOKUP(N19,weights_ra!S:S,1,FALSE)),"ALERT","Ok")</f>
        <v>ALERT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IF(ISNA(VLOOKUP(N20,weights_ra!S:S,1,FALSE)),"ALERT","Ok")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IF(ISNA(VLOOKUP(N21,weights_ra!S:S,1,FALSE)),"ALERT","Ok")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WEIGHTS</vt:lpstr>
      <vt:lpstr>weights_rs</vt:lpstr>
      <vt:lpstr>weights_ra</vt:lpstr>
      <vt:lpstr>EXPORT-CSV-RA</vt:lpstr>
      <vt:lpstr>ideas-test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2026-02-08T16:14:32Z</dcterms:modified>
</cp:coreProperties>
</file>