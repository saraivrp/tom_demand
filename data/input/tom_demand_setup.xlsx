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D2DDE664-79BF-CD4E-97DD-8105813089C2}" xr6:coauthVersionLast="47" xr6:coauthVersionMax="47" xr10:uidLastSave="{00000000-0000-0000-0000-000000000000}"/>
  <bookViews>
    <workbookView xWindow="0" yWindow="680" windowWidth="30240" windowHeight="18960" activeTab="2" xr2:uid="{9D2BC160-0631-EE46-87AB-AABB69ACE5D9}"/>
  </bookViews>
  <sheets>
    <sheet name="weights (base2026.02)" sheetId="5" r:id="rId1"/>
    <sheet name="DEMAND WEIGHTS" sheetId="4" r:id="rId2"/>
    <sheet name="weights" sheetId="2" r:id="rId3"/>
    <sheet name="ideas-test" sheetId="3" r:id="rId4"/>
  </sheets>
  <definedNames>
    <definedName name="_xlnm._FilterDatabase" localSheetId="3" hidden="1">'ideas-test'!$A$1:$K$21</definedName>
    <definedName name="_xlnm._FilterDatabase" localSheetId="2" hidden="1">weights!$A$2:$AE$204</definedName>
    <definedName name="_xlnm._FilterDatabase" localSheetId="0">'weights (base2026.02)'!$B$2:$D$204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2" l="1"/>
  <c r="B63" i="4" s="1"/>
  <c r="W69" i="4" s="1"/>
  <c r="P7" i="2"/>
  <c r="B72" i="4" s="1"/>
  <c r="W78" i="4" s="1"/>
  <c r="P6" i="2"/>
  <c r="B81" i="4" s="1"/>
  <c r="W87" i="4" s="1"/>
  <c r="P5" i="2"/>
  <c r="B54" i="4" s="1"/>
  <c r="W60" i="4" s="1"/>
  <c r="P4" i="2"/>
  <c r="B34" i="4" s="1"/>
  <c r="C36" i="4" s="1"/>
  <c r="P3" i="2"/>
  <c r="B21" i="4" s="1"/>
  <c r="W28" i="4" s="1"/>
  <c r="D198" i="5"/>
  <c r="F198" i="5" s="1"/>
  <c r="D197" i="5"/>
  <c r="F197" i="5" s="1"/>
  <c r="E197" i="5" s="1"/>
  <c r="D196" i="5"/>
  <c r="F196" i="5" s="1"/>
  <c r="D195" i="5"/>
  <c r="F195" i="5" s="1"/>
  <c r="E195" i="5" s="1"/>
  <c r="D194" i="5"/>
  <c r="D193" i="5"/>
  <c r="F193" i="5" s="1"/>
  <c r="D192" i="5"/>
  <c r="D191" i="5"/>
  <c r="F191" i="5" s="1"/>
  <c r="D190" i="5"/>
  <c r="F190" i="5" s="1"/>
  <c r="D189" i="5"/>
  <c r="D188" i="5"/>
  <c r="F188" i="5" s="1"/>
  <c r="D187" i="5"/>
  <c r="D186" i="5"/>
  <c r="F186" i="5" s="1"/>
  <c r="E186" i="5" s="1"/>
  <c r="D185" i="5"/>
  <c r="F185" i="5" s="1"/>
  <c r="E185" i="5" s="1"/>
  <c r="D184" i="5"/>
  <c r="D183" i="5"/>
  <c r="F183" i="5" s="1"/>
  <c r="D182" i="5"/>
  <c r="D181" i="5"/>
  <c r="F181" i="5" s="1"/>
  <c r="D180" i="5"/>
  <c r="F180" i="5" s="1"/>
  <c r="D179" i="5"/>
  <c r="D178" i="5"/>
  <c r="F178" i="5" s="1"/>
  <c r="D177" i="5"/>
  <c r="D176" i="5"/>
  <c r="F176" i="5" s="1"/>
  <c r="E176" i="5" s="1"/>
  <c r="D175" i="5"/>
  <c r="D174" i="5"/>
  <c r="D173" i="5"/>
  <c r="F173" i="5" s="1"/>
  <c r="D172" i="5"/>
  <c r="D171" i="5"/>
  <c r="F171" i="5" s="1"/>
  <c r="D170" i="5"/>
  <c r="F170" i="5" s="1"/>
  <c r="D169" i="5"/>
  <c r="D168" i="5"/>
  <c r="F168" i="5" s="1"/>
  <c r="D167" i="5"/>
  <c r="D166" i="5"/>
  <c r="F166" i="5" s="1"/>
  <c r="E166" i="5" s="1"/>
  <c r="D165" i="5"/>
  <c r="D164" i="5"/>
  <c r="D163" i="5"/>
  <c r="F163" i="5" s="1"/>
  <c r="D162" i="5"/>
  <c r="D161" i="5"/>
  <c r="F161" i="5" s="1"/>
  <c r="D160" i="5"/>
  <c r="F160" i="5" s="1"/>
  <c r="D159" i="5"/>
  <c r="D158" i="5"/>
  <c r="F158" i="5" s="1"/>
  <c r="D157" i="5"/>
  <c r="D156" i="5"/>
  <c r="F156" i="5" s="1"/>
  <c r="D155" i="5"/>
  <c r="D154" i="5"/>
  <c r="D153" i="5"/>
  <c r="F153" i="5" s="1"/>
  <c r="D152" i="5"/>
  <c r="D151" i="5"/>
  <c r="F151" i="5" s="1"/>
  <c r="D150" i="5"/>
  <c r="F150" i="5" s="1"/>
  <c r="D149" i="5"/>
  <c r="D148" i="5"/>
  <c r="F148" i="5" s="1"/>
  <c r="D147" i="5"/>
  <c r="D146" i="5"/>
  <c r="F146" i="5" s="1"/>
  <c r="D145" i="5"/>
  <c r="D144" i="5"/>
  <c r="D143" i="5"/>
  <c r="F143" i="5" s="1"/>
  <c r="D142" i="5"/>
  <c r="D141" i="5"/>
  <c r="F141" i="5" s="1"/>
  <c r="D140" i="5"/>
  <c r="F140" i="5" s="1"/>
  <c r="D139" i="5"/>
  <c r="D138" i="5"/>
  <c r="F138" i="5" s="1"/>
  <c r="D137" i="5"/>
  <c r="D136" i="5"/>
  <c r="F136" i="5" s="1"/>
  <c r="D135" i="5"/>
  <c r="D134" i="5"/>
  <c r="D133" i="5"/>
  <c r="F133" i="5" s="1"/>
  <c r="D132" i="5"/>
  <c r="D131" i="5"/>
  <c r="F131" i="5" s="1"/>
  <c r="D130" i="5"/>
  <c r="F130" i="5" s="1"/>
  <c r="D129" i="5"/>
  <c r="D128" i="5"/>
  <c r="F128" i="5" s="1"/>
  <c r="D127" i="5"/>
  <c r="D126" i="5"/>
  <c r="F126" i="5" s="1"/>
  <c r="D125" i="5"/>
  <c r="D124" i="5"/>
  <c r="D123" i="5"/>
  <c r="F123" i="5" s="1"/>
  <c r="D122" i="5"/>
  <c r="D121" i="5"/>
  <c r="F121" i="5" s="1"/>
  <c r="D120" i="5"/>
  <c r="F120" i="5" s="1"/>
  <c r="D119" i="5"/>
  <c r="D118" i="5"/>
  <c r="F118" i="5" s="1"/>
  <c r="D117" i="5"/>
  <c r="D116" i="5"/>
  <c r="F116" i="5" s="1"/>
  <c r="D115" i="5"/>
  <c r="D114" i="5"/>
  <c r="D113" i="5"/>
  <c r="F113" i="5" s="1"/>
  <c r="D112" i="5"/>
  <c r="D111" i="5"/>
  <c r="F111" i="5" s="1"/>
  <c r="D110" i="5"/>
  <c r="F110" i="5" s="1"/>
  <c r="D109" i="5"/>
  <c r="D108" i="5"/>
  <c r="F108" i="5" s="1"/>
  <c r="D107" i="5"/>
  <c r="D106" i="5"/>
  <c r="F106" i="5" s="1"/>
  <c r="D105" i="5"/>
  <c r="D104" i="5"/>
  <c r="D103" i="5"/>
  <c r="F103" i="5" s="1"/>
  <c r="D102" i="5"/>
  <c r="D101" i="5"/>
  <c r="F101" i="5" s="1"/>
  <c r="D100" i="5"/>
  <c r="F100" i="5" s="1"/>
  <c r="D99" i="5"/>
  <c r="D98" i="5"/>
  <c r="F98" i="5" s="1"/>
  <c r="D97" i="5"/>
  <c r="D96" i="5"/>
  <c r="F96" i="5" s="1"/>
  <c r="D95" i="5"/>
  <c r="D94" i="5"/>
  <c r="D93" i="5"/>
  <c r="F93" i="5" s="1"/>
  <c r="D92" i="5"/>
  <c r="D91" i="5"/>
  <c r="F91" i="5" s="1"/>
  <c r="D90" i="5"/>
  <c r="F90" i="5" s="1"/>
  <c r="D89" i="5"/>
  <c r="D88" i="5"/>
  <c r="F88" i="5" s="1"/>
  <c r="D87" i="5"/>
  <c r="D86" i="5"/>
  <c r="F86" i="5" s="1"/>
  <c r="D85" i="5"/>
  <c r="D84" i="5"/>
  <c r="D83" i="5"/>
  <c r="F83" i="5" s="1"/>
  <c r="D82" i="5"/>
  <c r="D81" i="5"/>
  <c r="F81" i="5" s="1"/>
  <c r="D80" i="5"/>
  <c r="F80" i="5" s="1"/>
  <c r="D79" i="5"/>
  <c r="D78" i="5"/>
  <c r="F78" i="5" s="1"/>
  <c r="D77" i="5"/>
  <c r="D76" i="5"/>
  <c r="F76" i="5" s="1"/>
  <c r="D75" i="5"/>
  <c r="D74" i="5"/>
  <c r="D73" i="5"/>
  <c r="F73" i="5" s="1"/>
  <c r="D72" i="5"/>
  <c r="D71" i="5"/>
  <c r="F71" i="5" s="1"/>
  <c r="D70" i="5"/>
  <c r="F70" i="5" s="1"/>
  <c r="D69" i="5"/>
  <c r="D68" i="5"/>
  <c r="F68" i="5" s="1"/>
  <c r="D67" i="5"/>
  <c r="D66" i="5"/>
  <c r="F66" i="5" s="1"/>
  <c r="D65" i="5"/>
  <c r="D64" i="5"/>
  <c r="D63" i="5"/>
  <c r="F63" i="5" s="1"/>
  <c r="D62" i="5"/>
  <c r="D61" i="5"/>
  <c r="F61" i="5" s="1"/>
  <c r="D60" i="5"/>
  <c r="F60" i="5" s="1"/>
  <c r="D59" i="5"/>
  <c r="D58" i="5"/>
  <c r="F58" i="5" s="1"/>
  <c r="D57" i="5"/>
  <c r="D56" i="5"/>
  <c r="F56" i="5" s="1"/>
  <c r="D55" i="5"/>
  <c r="D54" i="5"/>
  <c r="D53" i="5"/>
  <c r="F53" i="5" s="1"/>
  <c r="D52" i="5"/>
  <c r="D51" i="5"/>
  <c r="F51" i="5" s="1"/>
  <c r="D50" i="5"/>
  <c r="F50" i="5" s="1"/>
  <c r="D49" i="5"/>
  <c r="D48" i="5"/>
  <c r="F48" i="5" s="1"/>
  <c r="D47" i="5"/>
  <c r="D46" i="5"/>
  <c r="F46" i="5" s="1"/>
  <c r="D45" i="5"/>
  <c r="D44" i="5"/>
  <c r="F44" i="5" s="1"/>
  <c r="D43" i="5"/>
  <c r="D42" i="5"/>
  <c r="F42" i="5" s="1"/>
  <c r="D41" i="5"/>
  <c r="D40" i="5"/>
  <c r="F40" i="5" s="1"/>
  <c r="D39" i="5"/>
  <c r="L38" i="5"/>
  <c r="D38" i="5"/>
  <c r="F38" i="5" s="1"/>
  <c r="L37" i="5"/>
  <c r="D37" i="5"/>
  <c r="F37" i="5" s="1"/>
  <c r="L36" i="5"/>
  <c r="D36" i="5"/>
  <c r="L35" i="5"/>
  <c r="D35" i="5"/>
  <c r="L34" i="5"/>
  <c r="D34" i="5"/>
  <c r="L33" i="5"/>
  <c r="D33" i="5"/>
  <c r="F33" i="5" s="1"/>
  <c r="L32" i="5"/>
  <c r="D32" i="5"/>
  <c r="F32" i="5" s="1"/>
  <c r="L31" i="5"/>
  <c r="D31" i="5"/>
  <c r="L30" i="5"/>
  <c r="D30" i="5"/>
  <c r="L29" i="5"/>
  <c r="D29" i="5"/>
  <c r="L28" i="5"/>
  <c r="D28" i="5"/>
  <c r="F28" i="5" s="1"/>
  <c r="L27" i="5"/>
  <c r="D27" i="5"/>
  <c r="F27" i="5" s="1"/>
  <c r="L26" i="5"/>
  <c r="D26" i="5"/>
  <c r="L25" i="5"/>
  <c r="D25" i="5"/>
  <c r="L24" i="5"/>
  <c r="D24" i="5"/>
  <c r="L23" i="5"/>
  <c r="D23" i="5"/>
  <c r="F23" i="5" s="1"/>
  <c r="L22" i="5"/>
  <c r="D22" i="5"/>
  <c r="F22" i="5" s="1"/>
  <c r="L21" i="5"/>
  <c r="D21" i="5"/>
  <c r="L20" i="5"/>
  <c r="D20" i="5"/>
  <c r="L19" i="5"/>
  <c r="D19" i="5"/>
  <c r="L18" i="5"/>
  <c r="D18" i="5"/>
  <c r="F18" i="5" s="1"/>
  <c r="L17" i="5"/>
  <c r="D17" i="5"/>
  <c r="F17" i="5" s="1"/>
  <c r="L16" i="5"/>
  <c r="D16" i="5"/>
  <c r="L15" i="5"/>
  <c r="D15" i="5"/>
  <c r="L14" i="5"/>
  <c r="D14" i="5"/>
  <c r="F14" i="5" s="1"/>
  <c r="L13" i="5"/>
  <c r="D13" i="5"/>
  <c r="L12" i="5"/>
  <c r="D12" i="5"/>
  <c r="F12" i="5" s="1"/>
  <c r="AC11" i="5" a="1"/>
  <c r="AC11" i="5" s="1"/>
  <c r="L11" i="5"/>
  <c r="D11" i="5"/>
  <c r="AC10" i="5" a="1"/>
  <c r="AC10" i="5" s="1"/>
  <c r="L10" i="5"/>
  <c r="D10" i="5"/>
  <c r="AC9" i="5" a="1"/>
  <c r="AC9" i="5" s="1"/>
  <c r="L9" i="5"/>
  <c r="D9" i="5"/>
  <c r="F47" i="5" s="1"/>
  <c r="AC8" i="5" a="1"/>
  <c r="AC8" i="5" s="1"/>
  <c r="L8" i="5"/>
  <c r="D8" i="5"/>
  <c r="F8" i="5" s="1"/>
  <c r="AC7" i="5" a="1"/>
  <c r="AC7" i="5" s="1"/>
  <c r="L7" i="5"/>
  <c r="D7" i="5"/>
  <c r="F7" i="5" s="1"/>
  <c r="AC6" i="5" a="1"/>
  <c r="AC6" i="5" s="1"/>
  <c r="L6" i="5"/>
  <c r="D6" i="5"/>
  <c r="AC5" i="5" a="1"/>
  <c r="AC5" i="5" s="1"/>
  <c r="L5" i="5"/>
  <c r="D5" i="5"/>
  <c r="AC4" i="5" a="1"/>
  <c r="AC4" i="5" s="1"/>
  <c r="L4" i="5"/>
  <c r="D4" i="5"/>
  <c r="AC3" i="5" a="1"/>
  <c r="AC3" i="5" s="1"/>
  <c r="P3" i="5"/>
  <c r="L3" i="5"/>
  <c r="D3" i="5"/>
  <c r="F204" i="5" s="1"/>
  <c r="E204" i="5" s="1"/>
  <c r="U2" i="5" a="1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G35" i="2" s="1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D11" i="2" a="1"/>
  <c r="AD11" i="2" s="1"/>
  <c r="E11" i="2"/>
  <c r="AD10" i="2" a="1"/>
  <c r="AD10" i="2" s="1"/>
  <c r="E10" i="2"/>
  <c r="AD9" i="2" a="1"/>
  <c r="AD9" i="2" s="1"/>
  <c r="E9" i="2"/>
  <c r="AD8" i="2" a="1"/>
  <c r="AD8" i="2" s="1"/>
  <c r="E8" i="2"/>
  <c r="AD7" i="2" a="1"/>
  <c r="AD7" i="2" s="1"/>
  <c r="E7" i="2"/>
  <c r="AD6" i="2" a="1"/>
  <c r="AD6" i="2" s="1"/>
  <c r="E6" i="2"/>
  <c r="AD5" i="2" a="1"/>
  <c r="AD5" i="2" s="1"/>
  <c r="E5" i="2"/>
  <c r="AD4" i="2" a="1"/>
  <c r="AD4" i="2" s="1"/>
  <c r="E4" i="2"/>
  <c r="AD3" i="2" a="1"/>
  <c r="AD3" i="2" s="1"/>
  <c r="E3" i="2"/>
  <c r="V2" i="2" a="1"/>
  <c r="N22" i="3"/>
  <c r="V55" i="4"/>
  <c r="R55" i="4"/>
  <c r="N55" i="4"/>
  <c r="J55" i="4"/>
  <c r="F55" i="4"/>
  <c r="B55" i="4"/>
  <c r="C54" i="4"/>
  <c r="C63" i="4"/>
  <c r="C81" i="4"/>
  <c r="C72" i="4"/>
  <c r="C34" i="4"/>
  <c r="C21" i="4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L34" i="2" l="1"/>
  <c r="L30" i="2"/>
  <c r="L16" i="2"/>
  <c r="L35" i="2"/>
  <c r="L4" i="2"/>
  <c r="L15" i="2"/>
  <c r="L5" i="2"/>
  <c r="L26" i="2"/>
  <c r="L36" i="2"/>
  <c r="L25" i="2"/>
  <c r="L6" i="2"/>
  <c r="L17" i="2"/>
  <c r="L27" i="2"/>
  <c r="L37" i="2"/>
  <c r="L7" i="2"/>
  <c r="L18" i="2"/>
  <c r="L28" i="2"/>
  <c r="L38" i="2"/>
  <c r="L8" i="2"/>
  <c r="L19" i="2"/>
  <c r="L29" i="2"/>
  <c r="L9" i="2"/>
  <c r="L20" i="2"/>
  <c r="L10" i="2"/>
  <c r="L21" i="2"/>
  <c r="L11" i="2"/>
  <c r="L22" i="2"/>
  <c r="L32" i="2"/>
  <c r="L31" i="2"/>
  <c r="L14" i="2"/>
  <c r="L12" i="2"/>
  <c r="L23" i="2"/>
  <c r="L33" i="2"/>
  <c r="L3" i="2"/>
  <c r="L13" i="2"/>
  <c r="L24" i="2"/>
  <c r="Q3" i="2"/>
  <c r="E47" i="5"/>
  <c r="E107" i="5"/>
  <c r="W13" i="5"/>
  <c r="F5" i="5"/>
  <c r="E5" i="5" s="1"/>
  <c r="W9" i="5"/>
  <c r="F13" i="5"/>
  <c r="E13" i="5" s="1"/>
  <c r="F16" i="5"/>
  <c r="E16" i="5" s="1"/>
  <c r="F21" i="5"/>
  <c r="E21" i="5" s="1"/>
  <c r="V21" i="5" s="1"/>
  <c r="F26" i="5"/>
  <c r="E26" i="5" s="1"/>
  <c r="F31" i="5"/>
  <c r="E31" i="5" s="1"/>
  <c r="F36" i="5"/>
  <c r="E36" i="5" s="1"/>
  <c r="W39" i="5"/>
  <c r="W41" i="5"/>
  <c r="W43" i="5"/>
  <c r="E46" i="5"/>
  <c r="V36" i="5" s="1"/>
  <c r="F49" i="5"/>
  <c r="E49" i="5" s="1"/>
  <c r="E56" i="5"/>
  <c r="F59" i="5"/>
  <c r="E59" i="5" s="1"/>
  <c r="E66" i="5"/>
  <c r="F69" i="5"/>
  <c r="E69" i="5" s="1"/>
  <c r="E76" i="5"/>
  <c r="F79" i="5"/>
  <c r="E79" i="5" s="1"/>
  <c r="E86" i="5"/>
  <c r="F89" i="5"/>
  <c r="E89" i="5" s="1"/>
  <c r="E96" i="5"/>
  <c r="F99" i="5"/>
  <c r="E99" i="5" s="1"/>
  <c r="E106" i="5"/>
  <c r="F109" i="5"/>
  <c r="E109" i="5" s="1"/>
  <c r="E116" i="5"/>
  <c r="F119" i="5"/>
  <c r="E119" i="5" s="1"/>
  <c r="E126" i="5"/>
  <c r="F129" i="5"/>
  <c r="E129" i="5" s="1"/>
  <c r="E136" i="5"/>
  <c r="F139" i="5"/>
  <c r="E139" i="5" s="1"/>
  <c r="E146" i="5"/>
  <c r="F149" i="5"/>
  <c r="E149" i="5" s="1"/>
  <c r="E156" i="5"/>
  <c r="F159" i="5"/>
  <c r="E159" i="5" s="1"/>
  <c r="F169" i="5"/>
  <c r="E169" i="5" s="1"/>
  <c r="F179" i="5"/>
  <c r="E179" i="5" s="1"/>
  <c r="F189" i="5"/>
  <c r="E189" i="5" s="1"/>
  <c r="E196" i="5"/>
  <c r="W14" i="5"/>
  <c r="E18" i="5"/>
  <c r="W19" i="5"/>
  <c r="E23" i="5"/>
  <c r="W24" i="5"/>
  <c r="E28" i="5"/>
  <c r="W29" i="5"/>
  <c r="E33" i="5"/>
  <c r="W34" i="5"/>
  <c r="E38" i="5"/>
  <c r="E53" i="5"/>
  <c r="E63" i="5"/>
  <c r="E73" i="5"/>
  <c r="E83" i="5"/>
  <c r="E93" i="5"/>
  <c r="E103" i="5"/>
  <c r="E113" i="5"/>
  <c r="E123" i="5"/>
  <c r="E133" i="5"/>
  <c r="E143" i="5"/>
  <c r="E153" i="5"/>
  <c r="E163" i="5"/>
  <c r="E173" i="5"/>
  <c r="E183" i="5"/>
  <c r="E193" i="5"/>
  <c r="F200" i="5"/>
  <c r="E200" i="5" s="1"/>
  <c r="W6" i="5"/>
  <c r="W5" i="5"/>
  <c r="F20" i="5"/>
  <c r="E20" i="5" s="1"/>
  <c r="F3" i="5"/>
  <c r="E3" i="5" s="1"/>
  <c r="V3" i="5" s="1"/>
  <c r="F4" i="5"/>
  <c r="E4" i="5" s="1"/>
  <c r="V4" i="5" s="1"/>
  <c r="W8" i="5"/>
  <c r="W7" i="5"/>
  <c r="E12" i="5"/>
  <c r="S13" i="5"/>
  <c r="E40" i="5"/>
  <c r="E42" i="5"/>
  <c r="E44" i="5"/>
  <c r="E50" i="5"/>
  <c r="E60" i="5"/>
  <c r="E70" i="5"/>
  <c r="V43" i="5" s="1"/>
  <c r="E80" i="5"/>
  <c r="E90" i="5"/>
  <c r="E100" i="5"/>
  <c r="E110" i="5"/>
  <c r="E120" i="5"/>
  <c r="E130" i="5"/>
  <c r="E140" i="5"/>
  <c r="E150" i="5"/>
  <c r="E160" i="5"/>
  <c r="E170" i="5"/>
  <c r="E180" i="5"/>
  <c r="E190" i="5"/>
  <c r="W16" i="5"/>
  <c r="W21" i="5"/>
  <c r="W26" i="5"/>
  <c r="W31" i="5"/>
  <c r="W36" i="5"/>
  <c r="F201" i="5"/>
  <c r="E201" i="5" s="1"/>
  <c r="F11" i="5"/>
  <c r="E11" i="5" s="1"/>
  <c r="V11" i="5" s="1"/>
  <c r="F30" i="5"/>
  <c r="E30" i="5" s="1"/>
  <c r="V30" i="5" s="1"/>
  <c r="F67" i="5"/>
  <c r="E67" i="5" s="1"/>
  <c r="F77" i="5"/>
  <c r="E77" i="5" s="1"/>
  <c r="F87" i="5"/>
  <c r="E87" i="5" s="1"/>
  <c r="F97" i="5"/>
  <c r="E97" i="5" s="1"/>
  <c r="F107" i="5"/>
  <c r="F117" i="5"/>
  <c r="E117" i="5" s="1"/>
  <c r="F127" i="5"/>
  <c r="E127" i="5" s="1"/>
  <c r="F137" i="5"/>
  <c r="E137" i="5" s="1"/>
  <c r="F147" i="5"/>
  <c r="E147" i="5" s="1"/>
  <c r="F157" i="5"/>
  <c r="E157" i="5" s="1"/>
  <c r="F167" i="5"/>
  <c r="E167" i="5" s="1"/>
  <c r="V33" i="5" s="1"/>
  <c r="F177" i="5"/>
  <c r="E177" i="5" s="1"/>
  <c r="F187" i="5"/>
  <c r="E187" i="5" s="1"/>
  <c r="R2" i="5" a="1"/>
  <c r="W4" i="5"/>
  <c r="F10" i="5"/>
  <c r="E10" i="5" s="1"/>
  <c r="S12" i="5"/>
  <c r="E17" i="5"/>
  <c r="W18" i="5"/>
  <c r="E22" i="5"/>
  <c r="V22" i="5" s="1"/>
  <c r="W23" i="5"/>
  <c r="E27" i="5"/>
  <c r="W28" i="5"/>
  <c r="E32" i="5"/>
  <c r="V32" i="5" s="1"/>
  <c r="W33" i="5"/>
  <c r="E37" i="5"/>
  <c r="W38" i="5"/>
  <c r="W40" i="5"/>
  <c r="W42" i="5"/>
  <c r="W44" i="5"/>
  <c r="E51" i="5"/>
  <c r="F54" i="5"/>
  <c r="E54" i="5" s="1"/>
  <c r="E61" i="5"/>
  <c r="F64" i="5"/>
  <c r="E64" i="5" s="1"/>
  <c r="E71" i="5"/>
  <c r="F74" i="5"/>
  <c r="E74" i="5" s="1"/>
  <c r="E81" i="5"/>
  <c r="F84" i="5"/>
  <c r="E84" i="5" s="1"/>
  <c r="E91" i="5"/>
  <c r="F94" i="5"/>
  <c r="E94" i="5" s="1"/>
  <c r="E101" i="5"/>
  <c r="F104" i="5"/>
  <c r="E104" i="5" s="1"/>
  <c r="E111" i="5"/>
  <c r="F114" i="5"/>
  <c r="E114" i="5" s="1"/>
  <c r="E121" i="5"/>
  <c r="F124" i="5"/>
  <c r="E124" i="5" s="1"/>
  <c r="E131" i="5"/>
  <c r="F134" i="5"/>
  <c r="E134" i="5" s="1"/>
  <c r="E141" i="5"/>
  <c r="F144" i="5"/>
  <c r="E144" i="5" s="1"/>
  <c r="E151" i="5"/>
  <c r="F154" i="5"/>
  <c r="E154" i="5" s="1"/>
  <c r="E161" i="5"/>
  <c r="F164" i="5"/>
  <c r="E164" i="5" s="1"/>
  <c r="E171" i="5"/>
  <c r="F174" i="5"/>
  <c r="E174" i="5" s="1"/>
  <c r="E181" i="5"/>
  <c r="F184" i="5"/>
  <c r="E184" i="5" s="1"/>
  <c r="E191" i="5"/>
  <c r="F194" i="5"/>
  <c r="E194" i="5" s="1"/>
  <c r="F202" i="5"/>
  <c r="E202" i="5" s="1"/>
  <c r="F15" i="5"/>
  <c r="E15" i="5" s="1"/>
  <c r="V15" i="5" s="1"/>
  <c r="F57" i="5"/>
  <c r="E57" i="5" s="1"/>
  <c r="W3" i="5"/>
  <c r="E8" i="5"/>
  <c r="V8" i="5" s="1"/>
  <c r="F9" i="5"/>
  <c r="E9" i="5" s="1"/>
  <c r="V9" i="5" s="1"/>
  <c r="S11" i="5"/>
  <c r="E14" i="5"/>
  <c r="V35" i="5"/>
  <c r="E48" i="5"/>
  <c r="V37" i="5" s="1"/>
  <c r="E58" i="5"/>
  <c r="V20" i="5" s="1"/>
  <c r="E68" i="5"/>
  <c r="E78" i="5"/>
  <c r="E88" i="5"/>
  <c r="V16" i="5" s="1"/>
  <c r="E98" i="5"/>
  <c r="V26" i="5" s="1"/>
  <c r="E108" i="5"/>
  <c r="E118" i="5"/>
  <c r="E128" i="5"/>
  <c r="E138" i="5"/>
  <c r="E148" i="5"/>
  <c r="E158" i="5"/>
  <c r="E168" i="5"/>
  <c r="E178" i="5"/>
  <c r="E188" i="5"/>
  <c r="E198" i="5"/>
  <c r="E7" i="5"/>
  <c r="V7" i="5" s="1"/>
  <c r="S10" i="5"/>
  <c r="W12" i="5"/>
  <c r="W15" i="5"/>
  <c r="W20" i="5"/>
  <c r="W25" i="5"/>
  <c r="W30" i="5"/>
  <c r="W35" i="5"/>
  <c r="F203" i="5"/>
  <c r="E203" i="5" s="1"/>
  <c r="F25" i="5"/>
  <c r="E25" i="5" s="1"/>
  <c r="V25" i="5" s="1"/>
  <c r="F35" i="5"/>
  <c r="E35" i="5" s="1"/>
  <c r="V34" i="5" s="1"/>
  <c r="U2" i="5"/>
  <c r="W11" i="5"/>
  <c r="F19" i="5"/>
  <c r="E19" i="5" s="1"/>
  <c r="V19" i="5" s="1"/>
  <c r="F24" i="5"/>
  <c r="E24" i="5" s="1"/>
  <c r="V24" i="5" s="1"/>
  <c r="F29" i="5"/>
  <c r="E29" i="5" s="1"/>
  <c r="F34" i="5"/>
  <c r="E34" i="5" s="1"/>
  <c r="F39" i="5"/>
  <c r="E39" i="5" s="1"/>
  <c r="F41" i="5"/>
  <c r="E41" i="5" s="1"/>
  <c r="F43" i="5"/>
  <c r="E43" i="5" s="1"/>
  <c r="V10" i="5" s="1"/>
  <c r="F45" i="5"/>
  <c r="E45" i="5" s="1"/>
  <c r="V12" i="5" s="1"/>
  <c r="F55" i="5"/>
  <c r="E55" i="5" s="1"/>
  <c r="V40" i="5" s="1"/>
  <c r="F65" i="5"/>
  <c r="E65" i="5" s="1"/>
  <c r="F75" i="5"/>
  <c r="E75" i="5" s="1"/>
  <c r="F85" i="5"/>
  <c r="E85" i="5" s="1"/>
  <c r="V13" i="5" s="1"/>
  <c r="F95" i="5"/>
  <c r="E95" i="5" s="1"/>
  <c r="F105" i="5"/>
  <c r="E105" i="5" s="1"/>
  <c r="F115" i="5"/>
  <c r="E115" i="5" s="1"/>
  <c r="F125" i="5"/>
  <c r="E125" i="5" s="1"/>
  <c r="F135" i="5"/>
  <c r="E135" i="5" s="1"/>
  <c r="F145" i="5"/>
  <c r="E145" i="5" s="1"/>
  <c r="F155" i="5"/>
  <c r="E155" i="5" s="1"/>
  <c r="F165" i="5"/>
  <c r="E165" i="5" s="1"/>
  <c r="F175" i="5"/>
  <c r="E175" i="5" s="1"/>
  <c r="V38" i="5"/>
  <c r="V42" i="5"/>
  <c r="F6" i="5"/>
  <c r="E6" i="5" s="1"/>
  <c r="V6" i="5" s="1"/>
  <c r="W10" i="5"/>
  <c r="S14" i="5"/>
  <c r="W17" i="5"/>
  <c r="W22" i="5"/>
  <c r="W27" i="5"/>
  <c r="W32" i="5"/>
  <c r="W37" i="5"/>
  <c r="V39" i="5"/>
  <c r="V41" i="5"/>
  <c r="F52" i="5"/>
  <c r="E52" i="5" s="1"/>
  <c r="F62" i="5"/>
  <c r="E62" i="5" s="1"/>
  <c r="V23" i="5" s="1"/>
  <c r="F72" i="5"/>
  <c r="E72" i="5" s="1"/>
  <c r="V31" i="5" s="1"/>
  <c r="F82" i="5"/>
  <c r="E82" i="5" s="1"/>
  <c r="F92" i="5"/>
  <c r="E92" i="5" s="1"/>
  <c r="F102" i="5"/>
  <c r="E102" i="5" s="1"/>
  <c r="F112" i="5"/>
  <c r="E112" i="5" s="1"/>
  <c r="F122" i="5"/>
  <c r="E122" i="5" s="1"/>
  <c r="F132" i="5"/>
  <c r="E132" i="5" s="1"/>
  <c r="F142" i="5"/>
  <c r="E142" i="5" s="1"/>
  <c r="F152" i="5"/>
  <c r="E152" i="5" s="1"/>
  <c r="F162" i="5"/>
  <c r="E162" i="5" s="1"/>
  <c r="F172" i="5"/>
  <c r="E172" i="5" s="1"/>
  <c r="F182" i="5"/>
  <c r="E182" i="5" s="1"/>
  <c r="F192" i="5"/>
  <c r="E192" i="5" s="1"/>
  <c r="F199" i="5"/>
  <c r="E199" i="5" s="1"/>
  <c r="V44" i="5" s="1"/>
  <c r="G3" i="2"/>
  <c r="F3" i="2" s="1"/>
  <c r="T11" i="2"/>
  <c r="T12" i="2"/>
  <c r="T13" i="2"/>
  <c r="T14" i="2"/>
  <c r="G4" i="2"/>
  <c r="F4" i="2" s="1"/>
  <c r="G6" i="2"/>
  <c r="G192" i="2"/>
  <c r="G29" i="2"/>
  <c r="G39" i="2"/>
  <c r="G7" i="2"/>
  <c r="G11" i="2"/>
  <c r="F11" i="2" s="1"/>
  <c r="G21" i="2"/>
  <c r="F21" i="2" s="1"/>
  <c r="G31" i="2"/>
  <c r="G41" i="2"/>
  <c r="F41" i="2" s="1"/>
  <c r="G14" i="2"/>
  <c r="G72" i="2"/>
  <c r="F72" i="2" s="1"/>
  <c r="G102" i="2"/>
  <c r="F102" i="2" s="1"/>
  <c r="G132" i="2"/>
  <c r="G162" i="2"/>
  <c r="G204" i="2"/>
  <c r="F204" i="2" s="1"/>
  <c r="G23" i="2"/>
  <c r="F23" i="2" s="1"/>
  <c r="G33" i="2"/>
  <c r="G43" i="2"/>
  <c r="F43" i="2" s="1"/>
  <c r="G53" i="2"/>
  <c r="F53" i="2" s="1"/>
  <c r="G63" i="2"/>
  <c r="F63" i="2" s="1"/>
  <c r="G73" i="2"/>
  <c r="F73" i="2" s="1"/>
  <c r="G83" i="2"/>
  <c r="F83" i="2" s="1"/>
  <c r="G93" i="2"/>
  <c r="F93" i="2" s="1"/>
  <c r="G103" i="2"/>
  <c r="F103" i="2" s="1"/>
  <c r="G113" i="2"/>
  <c r="G123" i="2"/>
  <c r="G133" i="2"/>
  <c r="G143" i="2"/>
  <c r="G153" i="2"/>
  <c r="G163" i="2"/>
  <c r="G173" i="2"/>
  <c r="G183" i="2"/>
  <c r="G193" i="2"/>
  <c r="G19" i="2"/>
  <c r="G62" i="2"/>
  <c r="F62" i="2" s="1"/>
  <c r="G82" i="2"/>
  <c r="F82" i="2" s="1"/>
  <c r="G112" i="2"/>
  <c r="G142" i="2"/>
  <c r="G172" i="2"/>
  <c r="G54" i="2"/>
  <c r="F54" i="2" s="1"/>
  <c r="G64" i="2"/>
  <c r="F64" i="2" s="1"/>
  <c r="G74" i="2"/>
  <c r="F74" i="2" s="1"/>
  <c r="G84" i="2"/>
  <c r="F84" i="2" s="1"/>
  <c r="G94" i="2"/>
  <c r="F94" i="2" s="1"/>
  <c r="G104" i="2"/>
  <c r="F104" i="2" s="1"/>
  <c r="G114" i="2"/>
  <c r="G124" i="2"/>
  <c r="G134" i="2"/>
  <c r="G144" i="2"/>
  <c r="G154" i="2"/>
  <c r="G164" i="2"/>
  <c r="G174" i="2"/>
  <c r="G184" i="2"/>
  <c r="G194" i="2"/>
  <c r="G52" i="2"/>
  <c r="G92" i="2"/>
  <c r="F92" i="2" s="1"/>
  <c r="G122" i="2"/>
  <c r="G152" i="2"/>
  <c r="G182" i="2"/>
  <c r="G8" i="2"/>
  <c r="F8" i="2" s="1"/>
  <c r="G9" i="2"/>
  <c r="F9" i="2" s="1"/>
  <c r="F35" i="2"/>
  <c r="G65" i="2"/>
  <c r="F65" i="2" s="1"/>
  <c r="G85" i="2"/>
  <c r="F85" i="2" s="1"/>
  <c r="G95" i="2"/>
  <c r="F95" i="2" s="1"/>
  <c r="G105" i="2"/>
  <c r="F105" i="2" s="1"/>
  <c r="G115" i="2"/>
  <c r="G125" i="2"/>
  <c r="G135" i="2"/>
  <c r="G145" i="2"/>
  <c r="G155" i="2"/>
  <c r="G165" i="2"/>
  <c r="G175" i="2"/>
  <c r="G185" i="2"/>
  <c r="G195" i="2"/>
  <c r="G12" i="2"/>
  <c r="G55" i="2"/>
  <c r="F55" i="2" s="1"/>
  <c r="G46" i="2"/>
  <c r="F46" i="2" s="1"/>
  <c r="G56" i="2"/>
  <c r="F56" i="2" s="1"/>
  <c r="G66" i="2"/>
  <c r="F66" i="2" s="1"/>
  <c r="G76" i="2"/>
  <c r="F76" i="2" s="1"/>
  <c r="G86" i="2"/>
  <c r="F86" i="2" s="1"/>
  <c r="G96" i="2"/>
  <c r="F96" i="2" s="1"/>
  <c r="G106" i="2"/>
  <c r="G116" i="2"/>
  <c r="G126" i="2"/>
  <c r="G136" i="2"/>
  <c r="G146" i="2"/>
  <c r="G156" i="2"/>
  <c r="G166" i="2"/>
  <c r="G176" i="2"/>
  <c r="G186" i="2"/>
  <c r="G196" i="2"/>
  <c r="G25" i="2"/>
  <c r="F25" i="2" s="1"/>
  <c r="G75" i="2"/>
  <c r="G5" i="2"/>
  <c r="F5" i="2" s="1"/>
  <c r="G10" i="2"/>
  <c r="F10" i="2" s="1"/>
  <c r="G17" i="2"/>
  <c r="G27" i="2"/>
  <c r="F27" i="2" s="1"/>
  <c r="G37" i="2"/>
  <c r="F37" i="2" s="1"/>
  <c r="G47" i="2"/>
  <c r="F47" i="2" s="1"/>
  <c r="G57" i="2"/>
  <c r="F57" i="2" s="1"/>
  <c r="G67" i="2"/>
  <c r="F67" i="2" s="1"/>
  <c r="G77" i="2"/>
  <c r="F77" i="2" s="1"/>
  <c r="G87" i="2"/>
  <c r="F87" i="2" s="1"/>
  <c r="G97" i="2"/>
  <c r="F97" i="2" s="1"/>
  <c r="G107" i="2"/>
  <c r="G117" i="2"/>
  <c r="G127" i="2"/>
  <c r="G137" i="2"/>
  <c r="G147" i="2"/>
  <c r="G157" i="2"/>
  <c r="G167" i="2"/>
  <c r="G177" i="2"/>
  <c r="G187" i="2"/>
  <c r="G197" i="2"/>
  <c r="G15" i="2"/>
  <c r="F15" i="2" s="1"/>
  <c r="G45" i="2"/>
  <c r="F45" i="2" s="1"/>
  <c r="G13" i="2"/>
  <c r="G48" i="2"/>
  <c r="G58" i="2"/>
  <c r="G68" i="2"/>
  <c r="F68" i="2" s="1"/>
  <c r="G78" i="2"/>
  <c r="F78" i="2" s="1"/>
  <c r="G88" i="2"/>
  <c r="F88" i="2" s="1"/>
  <c r="G98" i="2"/>
  <c r="F98" i="2" s="1"/>
  <c r="G108" i="2"/>
  <c r="G118" i="2"/>
  <c r="G128" i="2"/>
  <c r="G138" i="2"/>
  <c r="G148" i="2"/>
  <c r="G158" i="2"/>
  <c r="G168" i="2"/>
  <c r="G178" i="2"/>
  <c r="G188" i="2"/>
  <c r="G198" i="2"/>
  <c r="X15" i="2"/>
  <c r="X17" i="2"/>
  <c r="X19" i="2"/>
  <c r="X25" i="2"/>
  <c r="X29" i="2"/>
  <c r="X33" i="2"/>
  <c r="G59" i="2"/>
  <c r="F59" i="2" s="1"/>
  <c r="G69" i="2"/>
  <c r="F69" i="2" s="1"/>
  <c r="G79" i="2"/>
  <c r="F79" i="2" s="1"/>
  <c r="G89" i="2"/>
  <c r="F89" i="2" s="1"/>
  <c r="G99" i="2"/>
  <c r="F99" i="2" s="1"/>
  <c r="G109" i="2"/>
  <c r="G129" i="2"/>
  <c r="G149" i="2"/>
  <c r="X27" i="2"/>
  <c r="X35" i="2"/>
  <c r="X37" i="2"/>
  <c r="X41" i="2"/>
  <c r="G49" i="2"/>
  <c r="F49" i="2" s="1"/>
  <c r="G119" i="2"/>
  <c r="G139" i="2"/>
  <c r="G159" i="2"/>
  <c r="G169" i="2"/>
  <c r="G179" i="2"/>
  <c r="G189" i="2"/>
  <c r="V2" i="2"/>
  <c r="G200" i="2"/>
  <c r="X21" i="2"/>
  <c r="X31" i="2"/>
  <c r="X43" i="2"/>
  <c r="G16" i="2"/>
  <c r="G18" i="2"/>
  <c r="F18" i="2" s="1"/>
  <c r="G20" i="2"/>
  <c r="G22" i="2"/>
  <c r="G24" i="2"/>
  <c r="G26" i="2"/>
  <c r="F26" i="2" s="1"/>
  <c r="G28" i="2"/>
  <c r="F28" i="2" s="1"/>
  <c r="G30" i="2"/>
  <c r="G32" i="2"/>
  <c r="G34" i="2"/>
  <c r="G36" i="2"/>
  <c r="F36" i="2" s="1"/>
  <c r="G38" i="2"/>
  <c r="G40" i="2"/>
  <c r="F40" i="2" s="1"/>
  <c r="G42" i="2"/>
  <c r="F42" i="2" s="1"/>
  <c r="G44" i="2"/>
  <c r="G50" i="2"/>
  <c r="G60" i="2"/>
  <c r="F60" i="2" s="1"/>
  <c r="G70" i="2"/>
  <c r="F70" i="2" s="1"/>
  <c r="G80" i="2"/>
  <c r="G90" i="2"/>
  <c r="F90" i="2" s="1"/>
  <c r="G100" i="2"/>
  <c r="F100" i="2" s="1"/>
  <c r="G110" i="2"/>
  <c r="G120" i="2"/>
  <c r="G130" i="2"/>
  <c r="G140" i="2"/>
  <c r="G150" i="2"/>
  <c r="G160" i="2"/>
  <c r="G170" i="2"/>
  <c r="G180" i="2"/>
  <c r="G190" i="2"/>
  <c r="G201" i="2"/>
  <c r="X23" i="2"/>
  <c r="X39" i="2"/>
  <c r="X14" i="2"/>
  <c r="X16" i="2"/>
  <c r="X18" i="2"/>
  <c r="X20" i="2"/>
  <c r="X22" i="2"/>
  <c r="X24" i="2"/>
  <c r="X26" i="2"/>
  <c r="X28" i="2"/>
  <c r="X30" i="2"/>
  <c r="X32" i="2"/>
  <c r="X34" i="2"/>
  <c r="X36" i="2"/>
  <c r="X38" i="2"/>
  <c r="X40" i="2"/>
  <c r="X42" i="2"/>
  <c r="X44" i="2"/>
  <c r="G202" i="2"/>
  <c r="G51" i="2"/>
  <c r="F51" i="2" s="1"/>
  <c r="G71" i="2"/>
  <c r="F71" i="2" s="1"/>
  <c r="G91" i="2"/>
  <c r="F91" i="2" s="1"/>
  <c r="G141" i="2"/>
  <c r="G151" i="2"/>
  <c r="G161" i="2"/>
  <c r="F161" i="2" s="1"/>
  <c r="G171" i="2"/>
  <c r="G181" i="2"/>
  <c r="X13" i="2"/>
  <c r="G203" i="2"/>
  <c r="S2" i="2" a="1"/>
  <c r="T10" i="2" s="1"/>
  <c r="G61" i="2"/>
  <c r="F61" i="2" s="1"/>
  <c r="G81" i="2"/>
  <c r="G101" i="2"/>
  <c r="F101" i="2" s="1"/>
  <c r="G111" i="2"/>
  <c r="G121" i="2"/>
  <c r="G131" i="2"/>
  <c r="G191" i="2"/>
  <c r="X3" i="2"/>
  <c r="X4" i="2"/>
  <c r="X5" i="2"/>
  <c r="X6" i="2"/>
  <c r="X7" i="2"/>
  <c r="X8" i="2"/>
  <c r="X9" i="2"/>
  <c r="X10" i="2"/>
  <c r="X11" i="2"/>
  <c r="X12" i="2"/>
  <c r="G199" i="2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  <c r="F50" i="2" l="1"/>
  <c r="F58" i="2"/>
  <c r="F44" i="2"/>
  <c r="F48" i="2"/>
  <c r="F137" i="2"/>
  <c r="F16" i="2"/>
  <c r="F12" i="2"/>
  <c r="F52" i="2"/>
  <c r="W43" i="2"/>
  <c r="W42" i="2"/>
  <c r="F6" i="2"/>
  <c r="F160" i="2"/>
  <c r="F198" i="2"/>
  <c r="F81" i="2"/>
  <c r="F194" i="2"/>
  <c r="F162" i="2"/>
  <c r="F39" i="2"/>
  <c r="F196" i="2"/>
  <c r="F38" i="2"/>
  <c r="W37" i="2" s="1"/>
  <c r="F195" i="2"/>
  <c r="W39" i="2"/>
  <c r="F7" i="2"/>
  <c r="F197" i="2"/>
  <c r="F80" i="2"/>
  <c r="F157" i="2"/>
  <c r="F147" i="2"/>
  <c r="F150" i="2"/>
  <c r="F158" i="2"/>
  <c r="F155" i="2"/>
  <c r="F168" i="2"/>
  <c r="F109" i="2"/>
  <c r="F107" i="2"/>
  <c r="F115" i="2"/>
  <c r="F112" i="2"/>
  <c r="F110" i="2"/>
  <c r="F108" i="2"/>
  <c r="W38" i="2"/>
  <c r="W41" i="2"/>
  <c r="W40" i="2"/>
  <c r="F149" i="2"/>
  <c r="F156" i="2"/>
  <c r="F153" i="2"/>
  <c r="F152" i="2"/>
  <c r="W36" i="2"/>
  <c r="W35" i="2"/>
  <c r="F159" i="2"/>
  <c r="F151" i="2"/>
  <c r="F148" i="2"/>
  <c r="F154" i="2"/>
  <c r="M4" i="2"/>
  <c r="F201" i="2"/>
  <c r="F146" i="2"/>
  <c r="F139" i="2"/>
  <c r="F142" i="2"/>
  <c r="F143" i="2"/>
  <c r="F141" i="2"/>
  <c r="F138" i="2"/>
  <c r="F144" i="2"/>
  <c r="F32" i="2"/>
  <c r="F33" i="2"/>
  <c r="F30" i="2"/>
  <c r="F29" i="2"/>
  <c r="F200" i="2"/>
  <c r="F140" i="2"/>
  <c r="F145" i="2"/>
  <c r="F114" i="2"/>
  <c r="F113" i="2"/>
  <c r="F164" i="2"/>
  <c r="F165" i="2"/>
  <c r="F118" i="2"/>
  <c r="F203" i="2"/>
  <c r="F119" i="2"/>
  <c r="F116" i="2"/>
  <c r="F199" i="2"/>
  <c r="T9" i="2" s="1"/>
  <c r="F167" i="2"/>
  <c r="F122" i="2"/>
  <c r="F124" i="2"/>
  <c r="F170" i="2"/>
  <c r="F169" i="2"/>
  <c r="F126" i="2"/>
  <c r="F123" i="2"/>
  <c r="F173" i="2"/>
  <c r="F175" i="2"/>
  <c r="F177" i="2"/>
  <c r="F171" i="2"/>
  <c r="F174" i="2"/>
  <c r="F176" i="2"/>
  <c r="M9" i="2"/>
  <c r="M17" i="2"/>
  <c r="M6" i="2"/>
  <c r="F202" i="2"/>
  <c r="F75" i="2"/>
  <c r="M5" i="2"/>
  <c r="F180" i="2"/>
  <c r="F106" i="2"/>
  <c r="F133" i="2"/>
  <c r="F136" i="2"/>
  <c r="M7" i="2"/>
  <c r="F190" i="2"/>
  <c r="F34" i="2"/>
  <c r="F187" i="2"/>
  <c r="F188" i="2"/>
  <c r="F185" i="2"/>
  <c r="F19" i="2"/>
  <c r="M3" i="2"/>
  <c r="F191" i="2"/>
  <c r="F181" i="2"/>
  <c r="F178" i="2"/>
  <c r="F184" i="2"/>
  <c r="F193" i="2"/>
  <c r="F132" i="2"/>
  <c r="M10" i="2"/>
  <c r="M15" i="2"/>
  <c r="F111" i="2"/>
  <c r="F24" i="2"/>
  <c r="F189" i="2"/>
  <c r="F166" i="2"/>
  <c r="F163" i="2"/>
  <c r="F14" i="2"/>
  <c r="M11" i="2"/>
  <c r="M16" i="2"/>
  <c r="F130" i="2"/>
  <c r="F22" i="2"/>
  <c r="F179" i="2"/>
  <c r="F13" i="2"/>
  <c r="F127" i="2"/>
  <c r="F135" i="2"/>
  <c r="F182" i="2"/>
  <c r="F172" i="2"/>
  <c r="M13" i="2"/>
  <c r="M8" i="2"/>
  <c r="F131" i="2"/>
  <c r="F186" i="2"/>
  <c r="F183" i="2"/>
  <c r="F192" i="2"/>
  <c r="M14" i="2"/>
  <c r="M18" i="2"/>
  <c r="F121" i="2"/>
  <c r="M12" i="2"/>
  <c r="F120" i="2"/>
  <c r="F20" i="2"/>
  <c r="F129" i="2"/>
  <c r="F128" i="2"/>
  <c r="F117" i="2"/>
  <c r="F17" i="2"/>
  <c r="F125" i="2"/>
  <c r="F134" i="2"/>
  <c r="F31" i="2"/>
  <c r="M20" i="2"/>
  <c r="M24" i="2"/>
  <c r="M23" i="2"/>
  <c r="M22" i="2"/>
  <c r="M21" i="2"/>
  <c r="M25" i="2"/>
  <c r="M26" i="2"/>
  <c r="M19" i="2"/>
  <c r="M35" i="2"/>
  <c r="M34" i="2"/>
  <c r="M33" i="2"/>
  <c r="M38" i="2"/>
  <c r="M36" i="2"/>
  <c r="M37" i="2"/>
  <c r="M32" i="2"/>
  <c r="M31" i="2"/>
  <c r="M30" i="2"/>
  <c r="M29" i="2"/>
  <c r="M28" i="2"/>
  <c r="M27" i="2"/>
  <c r="V17" i="5"/>
  <c r="V28" i="5"/>
  <c r="V29" i="5"/>
  <c r="V27" i="5"/>
  <c r="V18" i="5"/>
  <c r="V5" i="5"/>
  <c r="V14" i="5"/>
  <c r="S8" i="5"/>
  <c r="S4" i="5"/>
  <c r="S9" i="5"/>
  <c r="R2" i="5"/>
  <c r="S3" i="5"/>
  <c r="S5" i="5"/>
  <c r="S6" i="5"/>
  <c r="S7" i="5"/>
  <c r="S2" i="2"/>
  <c r="W34" i="2" l="1"/>
  <c r="T8" i="2"/>
  <c r="W32" i="2"/>
  <c r="W8" i="2"/>
  <c r="W6" i="2"/>
  <c r="W9" i="2"/>
  <c r="W12" i="2"/>
  <c r="W5" i="2"/>
  <c r="W7" i="2"/>
  <c r="W4" i="2"/>
  <c r="W16" i="2"/>
  <c r="W30" i="2"/>
  <c r="W11" i="2"/>
  <c r="W20" i="2"/>
  <c r="W18" i="2"/>
  <c r="W21" i="2"/>
  <c r="W10" i="2"/>
  <c r="W28" i="2"/>
  <c r="W23" i="2"/>
  <c r="W29" i="2"/>
  <c r="W3" i="2"/>
  <c r="W22" i="2"/>
  <c r="W26" i="2"/>
  <c r="W44" i="2"/>
  <c r="W15" i="2"/>
  <c r="W17" i="2"/>
  <c r="W13" i="2"/>
  <c r="T3" i="2"/>
  <c r="W24" i="2"/>
  <c r="W27" i="2"/>
  <c r="W33" i="2"/>
  <c r="W19" i="2"/>
  <c r="T7" i="2"/>
  <c r="W31" i="2"/>
  <c r="T6" i="2"/>
  <c r="W14" i="2"/>
  <c r="W25" i="2"/>
  <c r="T5" i="2"/>
  <c r="T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<sst xmlns="http://schemas.openxmlformats.org/spreadsheetml/2006/main" count="1613" uniqueCount="182">
  <si>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</si>
  <si>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</si>
  <si>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</si>
  <si>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</si>
  <si>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</si>
  <si>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</si>
  <si>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</si>
  <si>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</si>
  <si>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</si>
  <si>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</si>
  <si>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</si>
  <si>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</si>
  <si>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</si>
  <si>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</si>
  <si>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</si>
  <si>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</si>
  <si>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</si>
  <si>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</si>
  <si>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</si>
  <si>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</si>
  <si>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</si>
  <si>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</si>
  <si>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</si>
  <si>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</si>
  <si>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</si>
  <si>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</si>
  <si>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</si>
  <si>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</si>
  <si>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</si>
  <si>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</si>
  <si>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</si>
  <si>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</si>
  <si>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</si>
  <si>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</si>
  <si>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</si>
  <si>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</si>
  <si>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</si>
  <si>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</si>
  <si>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</si>
  <si>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</si>
  <si>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</si>
  <si>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</si>
  <si>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</si>
  <si>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</si>
  <si>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</si>
  <si>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</si>
  <si>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</si>
  <si>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</si>
  <si>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</si>
  <si>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</si>
  <si>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</si>
  <si>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</si>
  <si>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</si>
  <si>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</si>
  <si>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</si>
  <si>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</si>
  <si>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</si>
  <si>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</si>
  <si>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</si>
  <si>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</si>
  <si>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</si>
  <si>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</si>
  <si>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</si>
  <si>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</si>
  <si>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</si>
  <si>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</si>
  <si>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</si>
  <si>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</si>
  <si>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</si>
  <si>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</si>
  <si>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</si>
  <si>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</si>
  <si>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</si>
  <si>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</si>
  <si>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</si>
  <si>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</si>
  <si>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</si>
  <si>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</si>
  <si>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</si>
  <si>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</si>
  <si>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</si>
  <si>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</si>
  <si>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</si>
  <si>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</si>
  <si>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</si>
  <si>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</si>
  <si>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</si>
  <si>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</si>
  <si>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</si>
  <si>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</si>
  <si>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</si>
  <si>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</si>
  <si>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</si>
  <si>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</si>
  <si>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</si>
  <si>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</si>
  <si>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</si>
  <si>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</si>
  <si>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</si>
  <si>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</si>
  <si>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</si>
  <si>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</si>
  <si>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</si>
  <si>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</si>
  <si>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</si>
  <si>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</si>
  <si>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</si>
  <si>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</si>
  <si>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</si>
  <si>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</si>
  <si>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</si>
  <si>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</si>
  <si>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</si>
  <si>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</si>
  <si>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</si>
  <si>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</si>
  <si>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</si>
  <si>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</si>
  <si>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</si>
  <si>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</si>
  <si>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</si>
  <si>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</si>
  <si>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</si>
  <si>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</si>
  <si>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</si>
  <si>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</si>
  <si>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</si>
  <si>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</si>
  <si>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</si>
  <si>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</si>
  <si>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</si>
  <si>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</si>
  <si>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</si>
  <si>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</si>
  <si>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</si>
  <si>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</si>
  <si>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</si>
  <si>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</si>
  <si>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</si>
  <si>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</si>
  <si>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</si>
  <si>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</si>
  <si>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</si>
  <si>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</si>
  <si>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</si>
  <si>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</si>
  <si>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</si>
  <si>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</si>
  <si>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</si>
  <si>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</si>
  <si>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</si>
  <si>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</si>
  <si>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</si>
  <si>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</si>
  <si>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</si>
  <si>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</si>
  <si>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</si>
  <si>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</si>
  <si>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</si>
  <si>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</si>
  <si>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EXPORT CSV</t>
  </si>
  <si>
    <t>Weight-Base</t>
  </si>
  <si>
    <t>Weight-RS+BG</t>
  </si>
  <si>
    <t>REF DATA</t>
  </si>
  <si>
    <t>hasBG?</t>
  </si>
  <si>
    <t>MicroPhase bmap</t>
  </si>
  <si>
    <t>MicroPhase Macro</t>
  </si>
  <si>
    <t>MicroPhase Demand</t>
  </si>
  <si>
    <t xml:space="preserve"> IDEA &gt; Backlog</t>
  </si>
  <si>
    <t xml:space="preserve"> IDEA &gt; Pitch</t>
  </si>
  <si>
    <t xml:space="preserve"> IDEA &gt; In Definition</t>
  </si>
  <si>
    <t xml:space="preserve"> SOLUTION &gt; In Approval</t>
  </si>
  <si>
    <t xml:space="preserve"> SOLUTION &gt; Ready for Approval</t>
  </si>
  <si>
    <t xml:space="preserve"> IDEA &gt; Ready for Solution</t>
  </si>
  <si>
    <t xml:space="preserve"> SOLUTION &gt; High Level Design</t>
  </si>
  <si>
    <t xml:space="preserve"> SOLUTION &gt; Ready for Development</t>
  </si>
  <si>
    <t xml:space="preserve"> SOLUTION &gt; In Definition</t>
  </si>
  <si>
    <t>IAD</t>
  </si>
  <si>
    <t>Peso BG por RS</t>
  </si>
  <si>
    <t>WEIGHTS_RA</t>
  </si>
  <si>
    <t>WEIGHTS_RS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</si>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</sst>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2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13" fillId="3" borderId="0" xfId="0" applyFont="1" applyFill="1"/>
    <xf numFmtId="0" fontId="14" fillId="3" borderId="0" xfId="0" applyFont="1" applyFill="1"/>
    <xf numFmtId="0" fontId="15" fillId="0" borderId="0" xfId="0" applyFont="1"/>
    <xf numFmtId="0" fontId="0" fillId="0" borderId="2" xfId="0" applyBorder="1"/>
    <xf numFmtId="0" fontId="0" fillId="0" borderId="3" xfId="0" applyBorder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2580-9999-2F4B-A555-53976565DB12}">
  <dimension ref="A1:AD204"/>
  <sheetViews>
    <sheetView topLeftCell="B1" zoomScale="120" zoomScaleNormal="120" workbookViewId="0">
      <pane ySplit="2" topLeftCell="A15" activePane="bottomLeft" state="frozen"/>
      <selection pane="bottomLeft" activeCell="N21" sqref="F21:N48"/>
    </sheetView>
  </sheetViews>
  <sheetFormatPr baseColWidth="10" defaultColWidth="8.83203125" defaultRowHeight="16" x14ac:dyDescent="0.2"/>
  <cols>
    <col min="1" max="1" width="3" customWidth="1"/>
    <col min="2" max="2" width="14.33203125" bestFit="1" customWidth="1"/>
    <col min="3" max="3" width="19.83203125" bestFit="1" customWidth="1"/>
    <col min="4" max="4" width="15.5" bestFit="1" customWidth="1"/>
    <col min="5" max="5" width="12.1640625" bestFit="1" customWidth="1"/>
    <col min="6" max="6" width="13.33203125" bestFit="1" customWidth="1"/>
    <col min="7" max="7" width="11.83203125" bestFit="1" customWidth="1"/>
    <col min="8" max="8" width="5.33203125" customWidth="1"/>
    <col min="9" max="9" width="16.33203125" bestFit="1" customWidth="1"/>
    <col min="10" max="10" width="15.1640625" customWidth="1"/>
    <col min="11" max="11" width="7" bestFit="1" customWidth="1"/>
    <col min="12" max="12" width="6.5" bestFit="1" customWidth="1"/>
    <col min="13" max="13" width="4" customWidth="1"/>
    <col min="14" max="14" width="23.33203125" bestFit="1" customWidth="1"/>
    <col min="15" max="15" width="11.83203125" bestFit="1" customWidth="1"/>
    <col min="16" max="16" width="7.1640625" customWidth="1"/>
    <col min="17" max="17" width="2.83203125" customWidth="1"/>
    <col min="18" max="18" width="12" bestFit="1" customWidth="1"/>
    <col min="19" max="19" width="6.5" bestFit="1" customWidth="1"/>
    <col min="20" max="20" width="3" customWidth="1"/>
    <col min="21" max="21" width="14.33203125" bestFit="1" customWidth="1"/>
    <col min="22" max="22" width="6.5" bestFit="1" customWidth="1"/>
    <col min="23" max="23" width="12.5" bestFit="1" customWidth="1"/>
    <col min="24" max="24" width="2.33203125" customWidth="1"/>
    <col min="25" max="25" width="14.33203125" bestFit="1" customWidth="1"/>
    <col min="26" max="26" width="15.5" bestFit="1" customWidth="1"/>
    <col min="28" max="28" width="28" bestFit="1" customWidth="1"/>
    <col min="29" max="29" width="20.1640625" bestFit="1" customWidth="1"/>
    <col min="30" max="30" width="21" bestFit="1" customWidth="1"/>
  </cols>
  <sheetData>
    <row r="1" spans="1:30" x14ac:dyDescent="0.2">
      <c r="B1" s="21" t="s">
        <v>160</v>
      </c>
      <c r="C1" s="19" t="s">
        <v>179</v>
      </c>
      <c r="D1" s="19"/>
      <c r="E1" s="19"/>
      <c r="I1" s="1" t="s">
        <v>178</v>
      </c>
      <c r="L1" s="1"/>
      <c r="M1" s="1"/>
      <c r="N1" s="21" t="s">
        <v>160</v>
      </c>
      <c r="O1" s="19" t="s">
        <v>180</v>
      </c>
      <c r="S1" s="8"/>
      <c r="V1" s="8"/>
      <c r="Y1" s="24" t="s">
        <v>163</v>
      </c>
      <c r="Z1" s="23"/>
      <c r="AB1" s="24" t="s">
        <v>163</v>
      </c>
      <c r="AC1" s="23"/>
      <c r="AD1" s="23"/>
    </row>
    <row r="2" spans="1:30" x14ac:dyDescent="0.2">
      <c r="A2" s="1"/>
      <c r="B2" s="6" t="s">
        <v>2</v>
      </c>
      <c r="C2" s="6" t="s">
        <v>0</v>
      </c>
      <c r="D2" s="6" t="s">
        <v>1</v>
      </c>
      <c r="E2" s="6" t="s">
        <v>3</v>
      </c>
      <c r="F2" s="22" t="s">
        <v>162</v>
      </c>
      <c r="G2" s="22" t="s">
        <v>161</v>
      </c>
      <c r="I2" s="7" t="s">
        <v>0</v>
      </c>
      <c r="J2" s="7" t="s">
        <v>1</v>
      </c>
      <c r="K2" s="7" t="s">
        <v>3</v>
      </c>
      <c r="L2" s="7" t="s">
        <v>21</v>
      </c>
      <c r="M2" s="1"/>
      <c r="N2" s="5" t="s">
        <v>0</v>
      </c>
      <c r="O2" s="5" t="s">
        <v>3</v>
      </c>
      <c r="P2" s="7" t="s">
        <v>21</v>
      </c>
      <c r="Q2" s="1"/>
      <c r="R2" s="7" t="str" cm="1">
        <f t="array" ref="R2:R9">_xlfn.UNIQUE(D2:D1000)</f>
        <v>BudgetGroup</v>
      </c>
      <c r="S2" s="7" t="s">
        <v>21</v>
      </c>
      <c r="T2" s="1"/>
      <c r="U2" s="7" t="str" cm="1">
        <f t="array" ref="U2:U45">_xlfn.UNIQUE(B2:B1000)</f>
        <v>RequestingArea</v>
      </c>
      <c r="V2" s="7" t="s">
        <v>21</v>
      </c>
      <c r="W2" s="1" t="s">
        <v>164</v>
      </c>
      <c r="X2" s="1"/>
      <c r="Y2" s="7" t="s">
        <v>2</v>
      </c>
      <c r="Z2" s="7" t="s">
        <v>1</v>
      </c>
      <c r="AA2" s="1"/>
      <c r="AB2" s="7" t="s">
        <v>165</v>
      </c>
      <c r="AC2" s="7" t="s">
        <v>166</v>
      </c>
      <c r="AD2" s="7" t="s">
        <v>167</v>
      </c>
    </row>
    <row r="3" spans="1:30" x14ac:dyDescent="0.2">
      <c r="B3" t="s">
        <v>12</v>
      </c>
      <c r="C3" t="s">
        <v>4</v>
      </c>
      <c r="D3" s="20" t="str">
        <f t="shared" ref="D3:D66" si="0">VLOOKUP($B3,$Y:$Z,2,FALSE)</f>
        <v>CISO</v>
      </c>
      <c r="E3" s="20">
        <f t="shared" ref="E3:E66" si="1">G3*SUMIFS($K:$K,$I:$I,C3,$J:$J,D3)/F3</f>
        <v>5</v>
      </c>
      <c r="F3" s="20">
        <f t="shared" ref="F3:F66" si="2">SUMIFS($G$2:$G$1000,$D$2:$D$1000,D3,$C$2:$C$1000,C3)</f>
        <v>20</v>
      </c>
      <c r="G3" s="10">
        <v>20</v>
      </c>
      <c r="I3" t="s">
        <v>11</v>
      </c>
      <c r="J3" t="s">
        <v>12</v>
      </c>
      <c r="K3">
        <v>5</v>
      </c>
      <c r="L3" s="19">
        <f>SUMIF($I:$I,I3,$K:$K)</f>
        <v>100</v>
      </c>
      <c r="N3" s="2" t="s">
        <v>11</v>
      </c>
      <c r="O3">
        <v>26</v>
      </c>
      <c r="P3" s="19">
        <f>SUM(O3:O18)</f>
        <v>100</v>
      </c>
      <c r="R3" s="20" t="str">
        <v>CISO</v>
      </c>
      <c r="S3" s="4">
        <f t="shared" ref="S3:S14" si="3">SUMIF($D:$D,R3,$E:$E)</f>
        <v>30</v>
      </c>
      <c r="U3" s="20" t="str">
        <v>CISO</v>
      </c>
      <c r="V3" s="4">
        <f t="shared" ref="V3:V44" si="4">SUMIF($B:$B,U3,$E:$E)</f>
        <v>30</v>
      </c>
      <c r="W3" s="20" t="str">
        <f>VLOOKUP(U3,$Y:$Z,2,FALSE)</f>
        <v>CISO</v>
      </c>
      <c r="Y3" t="s">
        <v>12</v>
      </c>
      <c r="Z3" t="s">
        <v>12</v>
      </c>
      <c r="AB3" s="25" t="s">
        <v>168</v>
      </c>
      <c r="AC3" t="str" cm="1">
        <f t="array" ref="AC3:AD3">_xlfn.TEXTSPLIT(AB3,"&gt;",)</f>
        <v xml:space="preserve"> IDEA </v>
      </c>
      <c r="AD3" t="str">
        <v xml:space="preserve"> Backlog</v>
      </c>
    </row>
    <row r="4" spans="1:30" x14ac:dyDescent="0.2">
      <c r="B4" t="s">
        <v>81</v>
      </c>
      <c r="C4" t="s">
        <v>4</v>
      </c>
      <c r="D4" s="20" t="str">
        <f t="shared" si="0"/>
        <v>Commercial</v>
      </c>
      <c r="E4" s="20">
        <f t="shared" si="1"/>
        <v>4</v>
      </c>
      <c r="F4" s="20">
        <f t="shared" si="2"/>
        <v>100</v>
      </c>
      <c r="G4" s="10">
        <v>10</v>
      </c>
      <c r="I4" t="s">
        <v>11</v>
      </c>
      <c r="J4" t="s">
        <v>5</v>
      </c>
      <c r="K4">
        <v>25</v>
      </c>
      <c r="L4" s="19">
        <f t="shared" ref="L4:L38" si="5">SUMIF($I:$I,I4,$K:$K)</f>
        <v>100</v>
      </c>
      <c r="N4" s="2" t="s">
        <v>16</v>
      </c>
      <c r="O4">
        <v>22</v>
      </c>
      <c r="R4" s="20" t="str">
        <v>Commercial</v>
      </c>
      <c r="S4" s="4">
        <f t="shared" si="3"/>
        <v>184.99999999999997</v>
      </c>
      <c r="U4" s="20" t="str">
        <v>CSI</v>
      </c>
      <c r="V4" s="4">
        <f t="shared" si="4"/>
        <v>16.652406417112299</v>
      </c>
      <c r="W4" s="20" t="str">
        <f t="shared" ref="W4:W44" si="6">VLOOKUP(U4,$Y:$Z,2,FALSE)</f>
        <v>Commercial</v>
      </c>
      <c r="Y4" t="s">
        <v>109</v>
      </c>
      <c r="Z4" t="s">
        <v>5</v>
      </c>
      <c r="AB4" s="25" t="s">
        <v>169</v>
      </c>
      <c r="AC4" t="str" cm="1">
        <f t="array" ref="AC4:AD4">_xlfn.TEXTSPLIT(AB4,"&gt;",)</f>
        <v xml:space="preserve"> IDEA </v>
      </c>
      <c r="AD4" t="str">
        <v xml:space="preserve"> Pitch</v>
      </c>
    </row>
    <row r="5" spans="1:30" x14ac:dyDescent="0.2">
      <c r="B5" t="s">
        <v>82</v>
      </c>
      <c r="C5" t="s">
        <v>4</v>
      </c>
      <c r="D5" s="20" t="str">
        <f t="shared" si="0"/>
        <v>Commercial</v>
      </c>
      <c r="E5" s="20">
        <f t="shared" si="1"/>
        <v>4</v>
      </c>
      <c r="F5" s="20">
        <f t="shared" si="2"/>
        <v>100</v>
      </c>
      <c r="G5" s="10">
        <v>10</v>
      </c>
      <c r="I5" t="s">
        <v>11</v>
      </c>
      <c r="J5" t="s">
        <v>13</v>
      </c>
      <c r="K5">
        <v>20</v>
      </c>
      <c r="L5" s="19">
        <f t="shared" si="5"/>
        <v>100</v>
      </c>
      <c r="N5" s="2" t="s">
        <v>4</v>
      </c>
      <c r="O5">
        <v>16</v>
      </c>
      <c r="R5" s="20" t="str">
        <v>Corporate</v>
      </c>
      <c r="S5" s="4">
        <f t="shared" si="3"/>
        <v>135.00000000000006</v>
      </c>
      <c r="U5" s="20" t="str">
        <v>CTTE</v>
      </c>
      <c r="V5" s="4">
        <f t="shared" si="4"/>
        <v>16.652406417112299</v>
      </c>
      <c r="W5" s="20" t="str">
        <f t="shared" si="6"/>
        <v>Commercial</v>
      </c>
      <c r="Y5" t="s">
        <v>108</v>
      </c>
      <c r="Z5" t="s">
        <v>5</v>
      </c>
      <c r="AB5" s="25" t="s">
        <v>170</v>
      </c>
      <c r="AC5" t="str" cm="1">
        <f t="array" ref="AC5:AD5">_xlfn.TEXTSPLIT(AB5,"&gt;",)</f>
        <v xml:space="preserve"> IDEA </v>
      </c>
      <c r="AD5" t="str">
        <v xml:space="preserve"> In Definition</v>
      </c>
    </row>
    <row r="6" spans="1:30" x14ac:dyDescent="0.2">
      <c r="B6" t="s">
        <v>79</v>
      </c>
      <c r="C6" t="s">
        <v>4</v>
      </c>
      <c r="D6" s="20" t="str">
        <f t="shared" si="0"/>
        <v>Commercial</v>
      </c>
      <c r="E6" s="20">
        <f t="shared" si="1"/>
        <v>4</v>
      </c>
      <c r="F6" s="20">
        <f t="shared" si="2"/>
        <v>100</v>
      </c>
      <c r="G6" s="10">
        <v>10</v>
      </c>
      <c r="I6" t="s">
        <v>11</v>
      </c>
      <c r="J6" t="s">
        <v>7</v>
      </c>
      <c r="K6">
        <v>25</v>
      </c>
      <c r="L6" s="19">
        <f t="shared" si="5"/>
        <v>100</v>
      </c>
      <c r="N6" s="2" t="s">
        <v>18</v>
      </c>
      <c r="O6">
        <v>14</v>
      </c>
      <c r="R6" s="20" t="str">
        <v>Operations</v>
      </c>
      <c r="S6" s="4">
        <f t="shared" si="3"/>
        <v>104.99999999999997</v>
      </c>
      <c r="U6" s="20" t="str">
        <v>DNI</v>
      </c>
      <c r="V6" s="4">
        <f t="shared" si="4"/>
        <v>16.652406417112299</v>
      </c>
      <c r="W6" s="20" t="str">
        <f t="shared" si="6"/>
        <v>Commercial</v>
      </c>
      <c r="Y6" t="s">
        <v>81</v>
      </c>
      <c r="Z6" t="s">
        <v>5</v>
      </c>
      <c r="AB6" s="25" t="s">
        <v>171</v>
      </c>
      <c r="AC6" t="str" cm="1">
        <f t="array" ref="AC6:AD6">_xlfn.TEXTSPLIT(AB6,"&gt;",)</f>
        <v xml:space="preserve"> SOLUTION </v>
      </c>
      <c r="AD6" t="str">
        <v xml:space="preserve"> In Approval</v>
      </c>
    </row>
    <row r="7" spans="1:30" x14ac:dyDescent="0.2">
      <c r="B7" t="s">
        <v>83</v>
      </c>
      <c r="C7" t="s">
        <v>4</v>
      </c>
      <c r="D7" s="20" t="str">
        <f t="shared" si="0"/>
        <v>Commercial</v>
      </c>
      <c r="E7" s="20">
        <f t="shared" si="1"/>
        <v>4</v>
      </c>
      <c r="F7" s="20">
        <f t="shared" si="2"/>
        <v>100</v>
      </c>
      <c r="G7" s="10">
        <v>10</v>
      </c>
      <c r="I7" t="s">
        <v>11</v>
      </c>
      <c r="J7" t="s">
        <v>9</v>
      </c>
      <c r="K7">
        <v>15</v>
      </c>
      <c r="L7" s="19">
        <f t="shared" si="5"/>
        <v>100</v>
      </c>
      <c r="N7" s="2" t="s">
        <v>17</v>
      </c>
      <c r="O7">
        <v>12</v>
      </c>
      <c r="R7" s="20" t="str">
        <v>Technology</v>
      </c>
      <c r="S7" s="4">
        <f t="shared" si="3"/>
        <v>110</v>
      </c>
      <c r="U7" s="20" t="str">
        <v>ECM</v>
      </c>
      <c r="V7" s="4">
        <f t="shared" si="4"/>
        <v>16.652406417112299</v>
      </c>
      <c r="W7" s="20" t="str">
        <f t="shared" si="6"/>
        <v>Commercial</v>
      </c>
      <c r="Y7" t="s">
        <v>82</v>
      </c>
      <c r="Z7" t="s">
        <v>5</v>
      </c>
      <c r="AB7" s="25" t="s">
        <v>172</v>
      </c>
      <c r="AC7" t="str" cm="1">
        <f t="array" ref="AC7:AD7">_xlfn.TEXTSPLIT(AB7,"&gt;",)</f>
        <v xml:space="preserve"> SOLUTION </v>
      </c>
      <c r="AD7" t="str">
        <v xml:space="preserve"> Ready for Approval</v>
      </c>
    </row>
    <row r="8" spans="1:30" x14ac:dyDescent="0.2">
      <c r="B8" t="s">
        <v>22</v>
      </c>
      <c r="C8" t="s">
        <v>4</v>
      </c>
      <c r="D8" s="20" t="str">
        <f t="shared" si="0"/>
        <v>Commercial</v>
      </c>
      <c r="E8" s="20">
        <f t="shared" si="1"/>
        <v>8</v>
      </c>
      <c r="F8" s="20">
        <f t="shared" si="2"/>
        <v>100</v>
      </c>
      <c r="G8" s="10">
        <v>20</v>
      </c>
      <c r="I8" s="26" t="s">
        <v>11</v>
      </c>
      <c r="J8" s="26" t="s">
        <v>117</v>
      </c>
      <c r="K8" s="26">
        <v>10</v>
      </c>
      <c r="L8" s="19">
        <f t="shared" si="5"/>
        <v>100</v>
      </c>
      <c r="N8" s="2" t="s">
        <v>15</v>
      </c>
      <c r="O8">
        <v>10</v>
      </c>
      <c r="R8" s="20" t="str">
        <v>Data &amp; AI</v>
      </c>
      <c r="S8" s="4">
        <f t="shared" si="3"/>
        <v>35</v>
      </c>
      <c r="U8" s="20" t="str">
        <v>GP B2B</v>
      </c>
      <c r="V8" s="4">
        <f t="shared" si="4"/>
        <v>23.379679144385026</v>
      </c>
      <c r="W8" s="20" t="str">
        <f t="shared" si="6"/>
        <v>Commercial</v>
      </c>
      <c r="Y8" t="s">
        <v>79</v>
      </c>
      <c r="Z8" t="s">
        <v>5</v>
      </c>
      <c r="AB8" s="25" t="s">
        <v>173</v>
      </c>
      <c r="AC8" t="str" cm="1">
        <f t="array" ref="AC8:AD8">_xlfn.TEXTSPLIT(AB8,"&gt;",)</f>
        <v xml:space="preserve"> IDEA </v>
      </c>
      <c r="AD8" t="str">
        <v xml:space="preserve"> Ready for Solution</v>
      </c>
    </row>
    <row r="9" spans="1:30" x14ac:dyDescent="0.2">
      <c r="B9" t="s">
        <v>26</v>
      </c>
      <c r="C9" t="s">
        <v>4</v>
      </c>
      <c r="D9" s="20" t="str">
        <f t="shared" si="0"/>
        <v>Commercial</v>
      </c>
      <c r="E9" s="20">
        <f t="shared" si="1"/>
        <v>4</v>
      </c>
      <c r="F9" s="20">
        <f t="shared" si="2"/>
        <v>100</v>
      </c>
      <c r="G9" s="10">
        <v>10</v>
      </c>
      <c r="I9" t="s">
        <v>16</v>
      </c>
      <c r="J9" t="s">
        <v>12</v>
      </c>
      <c r="K9">
        <v>5</v>
      </c>
      <c r="L9" s="19">
        <f t="shared" si="5"/>
        <v>100</v>
      </c>
      <c r="N9" s="15" t="s">
        <v>19</v>
      </c>
      <c r="O9" s="16">
        <v>0</v>
      </c>
      <c r="R9">
        <v>0</v>
      </c>
      <c r="S9" s="4">
        <f t="shared" si="3"/>
        <v>0</v>
      </c>
      <c r="U9" s="20" t="str">
        <v>GP B2C</v>
      </c>
      <c r="V9" s="4">
        <f t="shared" si="4"/>
        <v>19.379679144385026</v>
      </c>
      <c r="W9" s="20" t="str">
        <f t="shared" si="6"/>
        <v>Commercial</v>
      </c>
      <c r="Y9" t="s">
        <v>83</v>
      </c>
      <c r="Z9" t="s">
        <v>5</v>
      </c>
      <c r="AB9" s="25" t="s">
        <v>174</v>
      </c>
      <c r="AC9" t="str" cm="1">
        <f t="array" ref="AC9:AD9">_xlfn.TEXTSPLIT(AB9,"&gt;",)</f>
        <v xml:space="preserve"> SOLUTION </v>
      </c>
      <c r="AD9" t="str">
        <v xml:space="preserve"> High Level Design</v>
      </c>
    </row>
    <row r="10" spans="1:30" x14ac:dyDescent="0.2">
      <c r="B10" t="s">
        <v>24</v>
      </c>
      <c r="C10" t="s">
        <v>4</v>
      </c>
      <c r="D10" s="20" t="str">
        <f t="shared" si="0"/>
        <v>Commercial</v>
      </c>
      <c r="E10" s="20">
        <f t="shared" si="1"/>
        <v>4</v>
      </c>
      <c r="F10" s="20">
        <f t="shared" si="2"/>
        <v>100</v>
      </c>
      <c r="G10" s="10">
        <v>10</v>
      </c>
      <c r="I10" t="s">
        <v>16</v>
      </c>
      <c r="J10" t="s">
        <v>5</v>
      </c>
      <c r="K10">
        <v>30</v>
      </c>
      <c r="L10" s="19">
        <f t="shared" si="5"/>
        <v>100</v>
      </c>
      <c r="S10" s="4">
        <f t="shared" si="3"/>
        <v>0</v>
      </c>
      <c r="U10" s="20" t="str">
        <v>GP ECL</v>
      </c>
      <c r="V10" s="4">
        <f t="shared" si="4"/>
        <v>21.122994652406415</v>
      </c>
      <c r="W10" s="20" t="str">
        <f t="shared" si="6"/>
        <v>Commercial</v>
      </c>
      <c r="Y10" t="s">
        <v>22</v>
      </c>
      <c r="Z10" t="s">
        <v>5</v>
      </c>
      <c r="AB10" s="25" t="s">
        <v>175</v>
      </c>
      <c r="AC10" t="str" cm="1">
        <f t="array" ref="AC10:AD10">_xlfn.TEXTSPLIT(AB10,"&gt;",)</f>
        <v xml:space="preserve"> SOLUTION </v>
      </c>
      <c r="AD10" t="str">
        <v xml:space="preserve"> Ready for Development</v>
      </c>
    </row>
    <row r="11" spans="1:30" x14ac:dyDescent="0.2">
      <c r="B11" t="s">
        <v>25</v>
      </c>
      <c r="C11" t="s">
        <v>4</v>
      </c>
      <c r="D11" s="20" t="str">
        <f t="shared" si="0"/>
        <v>Commercial</v>
      </c>
      <c r="E11" s="20">
        <f t="shared" si="1"/>
        <v>4</v>
      </c>
      <c r="F11" s="20">
        <f t="shared" si="2"/>
        <v>100</v>
      </c>
      <c r="G11" s="10">
        <v>10</v>
      </c>
      <c r="I11" t="s">
        <v>16</v>
      </c>
      <c r="J11" t="s">
        <v>13</v>
      </c>
      <c r="K11">
        <v>20</v>
      </c>
      <c r="L11" s="19">
        <f t="shared" si="5"/>
        <v>100</v>
      </c>
      <c r="S11" s="4">
        <f t="shared" si="3"/>
        <v>0</v>
      </c>
      <c r="U11" s="20" t="str">
        <v>GPG</v>
      </c>
      <c r="V11" s="4">
        <f t="shared" si="4"/>
        <v>19.379679144385026</v>
      </c>
      <c r="W11" s="20" t="str">
        <f t="shared" si="6"/>
        <v>Commercial</v>
      </c>
      <c r="Y11" t="s">
        <v>26</v>
      </c>
      <c r="Z11" t="s">
        <v>5</v>
      </c>
      <c r="AB11" s="25" t="s">
        <v>176</v>
      </c>
      <c r="AC11" t="str" cm="1">
        <f t="array" ref="AC11:AD11">_xlfn.TEXTSPLIT(AB11,"&gt;",)</f>
        <v xml:space="preserve"> SOLUTION </v>
      </c>
      <c r="AD11" t="str">
        <v xml:space="preserve"> In Definition</v>
      </c>
    </row>
    <row r="12" spans="1:30" x14ac:dyDescent="0.2">
      <c r="B12" t="s">
        <v>80</v>
      </c>
      <c r="C12" t="s">
        <v>4</v>
      </c>
      <c r="D12" s="20" t="str">
        <f t="shared" si="0"/>
        <v>Commercial</v>
      </c>
      <c r="E12" s="20">
        <f t="shared" si="1"/>
        <v>4</v>
      </c>
      <c r="F12" s="20">
        <f t="shared" si="2"/>
        <v>100</v>
      </c>
      <c r="G12" s="10">
        <v>10</v>
      </c>
      <c r="I12" t="s">
        <v>16</v>
      </c>
      <c r="J12" t="s">
        <v>7</v>
      </c>
      <c r="K12">
        <v>20</v>
      </c>
      <c r="L12" s="19">
        <f t="shared" si="5"/>
        <v>100</v>
      </c>
      <c r="S12" s="4">
        <f t="shared" si="3"/>
        <v>0</v>
      </c>
      <c r="U12" s="20" t="str">
        <v>GS</v>
      </c>
      <c r="V12" s="4">
        <f t="shared" si="4"/>
        <v>26.304812834224595</v>
      </c>
      <c r="W12" s="20" t="str">
        <f t="shared" si="6"/>
        <v>Commercial</v>
      </c>
      <c r="Y12" t="s">
        <v>24</v>
      </c>
      <c r="Z12" t="s">
        <v>5</v>
      </c>
    </row>
    <row r="13" spans="1:30" x14ac:dyDescent="0.2">
      <c r="B13" t="s">
        <v>87</v>
      </c>
      <c r="C13" t="s">
        <v>4</v>
      </c>
      <c r="D13" s="20" t="str">
        <f t="shared" si="0"/>
        <v>Corporate</v>
      </c>
      <c r="E13" s="20">
        <f t="shared" si="1"/>
        <v>1.4285714285714286</v>
      </c>
      <c r="F13" s="20">
        <f t="shared" si="2"/>
        <v>140</v>
      </c>
      <c r="G13" s="10">
        <v>10</v>
      </c>
      <c r="I13" t="s">
        <v>16</v>
      </c>
      <c r="J13" t="s">
        <v>9</v>
      </c>
      <c r="K13">
        <v>20</v>
      </c>
      <c r="L13" s="19">
        <f t="shared" si="5"/>
        <v>100</v>
      </c>
      <c r="S13" s="4">
        <f t="shared" si="3"/>
        <v>0</v>
      </c>
      <c r="U13" s="20" t="str">
        <v>ACR</v>
      </c>
      <c r="V13" s="4">
        <f t="shared" si="4"/>
        <v>9.1233766233766236</v>
      </c>
      <c r="W13" s="20" t="str">
        <f t="shared" si="6"/>
        <v>Corporate</v>
      </c>
      <c r="Y13" t="s">
        <v>25</v>
      </c>
      <c r="Z13" t="s">
        <v>5</v>
      </c>
    </row>
    <row r="14" spans="1:30" x14ac:dyDescent="0.2">
      <c r="B14" t="s">
        <v>89</v>
      </c>
      <c r="C14" t="s">
        <v>4</v>
      </c>
      <c r="D14" s="20" t="str">
        <f t="shared" si="0"/>
        <v>Corporate</v>
      </c>
      <c r="E14" s="20">
        <f t="shared" si="1"/>
        <v>1.4285714285714286</v>
      </c>
      <c r="F14" s="20">
        <f t="shared" si="2"/>
        <v>140</v>
      </c>
      <c r="G14" s="10">
        <v>10</v>
      </c>
      <c r="I14" s="26" t="s">
        <v>16</v>
      </c>
      <c r="J14" s="26" t="s">
        <v>117</v>
      </c>
      <c r="K14" s="26">
        <v>5</v>
      </c>
      <c r="L14" s="19">
        <f t="shared" si="5"/>
        <v>100</v>
      </c>
      <c r="S14" s="4">
        <f t="shared" si="3"/>
        <v>0</v>
      </c>
      <c r="U14" s="20" t="str">
        <v>AVC</v>
      </c>
      <c r="V14" s="4">
        <f t="shared" si="4"/>
        <v>9.1233766233766236</v>
      </c>
      <c r="W14" s="20" t="str">
        <f t="shared" si="6"/>
        <v>Corporate</v>
      </c>
      <c r="Y14" t="s">
        <v>80</v>
      </c>
      <c r="Z14" t="s">
        <v>5</v>
      </c>
    </row>
    <row r="15" spans="1:30" x14ac:dyDescent="0.2">
      <c r="B15" t="s">
        <v>23</v>
      </c>
      <c r="C15" t="s">
        <v>4</v>
      </c>
      <c r="D15" s="20" t="str">
        <f t="shared" si="0"/>
        <v>Corporate</v>
      </c>
      <c r="E15" s="20">
        <f t="shared" si="1"/>
        <v>2.8571428571428572</v>
      </c>
      <c r="F15" s="20">
        <f t="shared" si="2"/>
        <v>140</v>
      </c>
      <c r="G15" s="10">
        <v>20</v>
      </c>
      <c r="I15" s="27" t="s">
        <v>4</v>
      </c>
      <c r="J15" s="27" t="s">
        <v>12</v>
      </c>
      <c r="K15" s="27">
        <v>5</v>
      </c>
      <c r="L15" s="19">
        <f t="shared" si="5"/>
        <v>100</v>
      </c>
      <c r="S15" s="8"/>
      <c r="U15" s="20" t="str">
        <v>CF</v>
      </c>
      <c r="V15" s="4">
        <f t="shared" si="4"/>
        <v>18.246753246753247</v>
      </c>
      <c r="W15" s="20" t="str">
        <f t="shared" si="6"/>
        <v>Corporate</v>
      </c>
      <c r="Y15" t="s">
        <v>111</v>
      </c>
      <c r="Z15" t="s">
        <v>5</v>
      </c>
    </row>
    <row r="16" spans="1:30" x14ac:dyDescent="0.2">
      <c r="B16" t="s">
        <v>91</v>
      </c>
      <c r="C16" t="s">
        <v>4</v>
      </c>
      <c r="D16" s="20" t="str">
        <f t="shared" si="0"/>
        <v>Corporate</v>
      </c>
      <c r="E16" s="20">
        <f t="shared" si="1"/>
        <v>1.4285714285714286</v>
      </c>
      <c r="F16" s="20">
        <f t="shared" si="2"/>
        <v>140</v>
      </c>
      <c r="G16" s="10">
        <v>10</v>
      </c>
      <c r="I16" t="s">
        <v>4</v>
      </c>
      <c r="J16" t="s">
        <v>5</v>
      </c>
      <c r="K16">
        <v>40</v>
      </c>
      <c r="L16" s="19">
        <f t="shared" si="5"/>
        <v>100</v>
      </c>
      <c r="S16" s="8"/>
      <c r="U16" s="20" t="str">
        <v>CL</v>
      </c>
      <c r="V16" s="4">
        <f t="shared" si="4"/>
        <v>9.1233766233766236</v>
      </c>
      <c r="W16" s="20" t="str">
        <f t="shared" si="6"/>
        <v>Corporate</v>
      </c>
      <c r="Y16" t="s">
        <v>87</v>
      </c>
      <c r="Z16" t="s">
        <v>13</v>
      </c>
    </row>
    <row r="17" spans="2:26" x14ac:dyDescent="0.2">
      <c r="B17" t="s">
        <v>93</v>
      </c>
      <c r="C17" t="s">
        <v>4</v>
      </c>
      <c r="D17" s="20" t="str">
        <f t="shared" si="0"/>
        <v>Corporate</v>
      </c>
      <c r="E17" s="20">
        <f t="shared" si="1"/>
        <v>1.4285714285714286</v>
      </c>
      <c r="F17" s="20">
        <f t="shared" si="2"/>
        <v>140</v>
      </c>
      <c r="G17" s="10">
        <v>10</v>
      </c>
      <c r="I17" t="s">
        <v>4</v>
      </c>
      <c r="J17" t="s">
        <v>13</v>
      </c>
      <c r="K17">
        <v>20</v>
      </c>
      <c r="L17" s="19">
        <f t="shared" si="5"/>
        <v>100</v>
      </c>
      <c r="S17" s="8"/>
      <c r="U17" s="20" t="str">
        <v>CMP</v>
      </c>
      <c r="V17" s="4">
        <f t="shared" si="4"/>
        <v>9.1233766233766236</v>
      </c>
      <c r="W17" s="20" t="str">
        <f t="shared" si="6"/>
        <v>Corporate</v>
      </c>
      <c r="Y17" t="s">
        <v>110</v>
      </c>
      <c r="Z17" t="s">
        <v>13</v>
      </c>
    </row>
    <row r="18" spans="2:26" x14ac:dyDescent="0.2">
      <c r="B18" t="s">
        <v>97</v>
      </c>
      <c r="C18" t="s">
        <v>4</v>
      </c>
      <c r="D18" s="20" t="str">
        <f t="shared" si="0"/>
        <v>Corporate</v>
      </c>
      <c r="E18" s="20">
        <f t="shared" si="1"/>
        <v>1.4285714285714286</v>
      </c>
      <c r="F18" s="20">
        <f t="shared" si="2"/>
        <v>140</v>
      </c>
      <c r="G18" s="10">
        <v>10</v>
      </c>
      <c r="I18" t="s">
        <v>4</v>
      </c>
      <c r="J18" t="s">
        <v>7</v>
      </c>
      <c r="K18">
        <v>10</v>
      </c>
      <c r="L18" s="19">
        <f t="shared" si="5"/>
        <v>100</v>
      </c>
      <c r="S18" s="8"/>
      <c r="U18" s="20" t="str">
        <v>DPO</v>
      </c>
      <c r="V18" s="4">
        <f t="shared" si="4"/>
        <v>9.1233766233766236</v>
      </c>
      <c r="W18" s="20" t="str">
        <f t="shared" si="6"/>
        <v>Corporate</v>
      </c>
      <c r="Y18" t="s">
        <v>89</v>
      </c>
      <c r="Z18" t="s">
        <v>13</v>
      </c>
    </row>
    <row r="19" spans="2:26" x14ac:dyDescent="0.2">
      <c r="B19" t="s">
        <v>99</v>
      </c>
      <c r="C19" t="s">
        <v>4</v>
      </c>
      <c r="D19" s="20" t="str">
        <f t="shared" si="0"/>
        <v>Corporate</v>
      </c>
      <c r="E19" s="20">
        <f t="shared" si="1"/>
        <v>1.4285714285714286</v>
      </c>
      <c r="F19" s="20">
        <f t="shared" si="2"/>
        <v>140</v>
      </c>
      <c r="G19" s="10">
        <v>10</v>
      </c>
      <c r="I19" t="s">
        <v>4</v>
      </c>
      <c r="J19" t="s">
        <v>9</v>
      </c>
      <c r="K19">
        <v>20</v>
      </c>
      <c r="L19" s="19">
        <f t="shared" si="5"/>
        <v>100</v>
      </c>
      <c r="S19" s="8"/>
      <c r="U19" s="20" t="str">
        <v>FL</v>
      </c>
      <c r="V19" s="4">
        <f t="shared" si="4"/>
        <v>9.1233766233766236</v>
      </c>
      <c r="W19" s="20" t="str">
        <f t="shared" si="6"/>
        <v>Corporate</v>
      </c>
      <c r="Y19" t="s">
        <v>23</v>
      </c>
      <c r="Z19" t="s">
        <v>13</v>
      </c>
    </row>
    <row r="20" spans="2:26" x14ac:dyDescent="0.2">
      <c r="B20" t="s">
        <v>76</v>
      </c>
      <c r="C20" t="s">
        <v>4</v>
      </c>
      <c r="D20" s="20" t="str">
        <f t="shared" si="0"/>
        <v>Corporate</v>
      </c>
      <c r="E20" s="20">
        <f t="shared" si="1"/>
        <v>1.4285714285714286</v>
      </c>
      <c r="F20" s="20">
        <f t="shared" si="2"/>
        <v>140</v>
      </c>
      <c r="G20" s="10">
        <v>10</v>
      </c>
      <c r="I20" s="26" t="s">
        <v>4</v>
      </c>
      <c r="J20" s="26" t="s">
        <v>117</v>
      </c>
      <c r="K20" s="26">
        <v>5</v>
      </c>
      <c r="L20" s="19">
        <f t="shared" si="5"/>
        <v>100</v>
      </c>
      <c r="S20" s="8"/>
      <c r="U20" s="20" t="str">
        <v>GRH</v>
      </c>
      <c r="V20" s="4">
        <f t="shared" si="4"/>
        <v>9.1233766233766236</v>
      </c>
      <c r="W20" s="20" t="str">
        <f t="shared" si="6"/>
        <v>Corporate</v>
      </c>
      <c r="Y20" t="s">
        <v>112</v>
      </c>
      <c r="Z20" t="s">
        <v>13</v>
      </c>
    </row>
    <row r="21" spans="2:26" x14ac:dyDescent="0.2">
      <c r="B21" t="s">
        <v>90</v>
      </c>
      <c r="C21" t="s">
        <v>4</v>
      </c>
      <c r="D21" s="20" t="str">
        <f t="shared" si="0"/>
        <v>Corporate</v>
      </c>
      <c r="E21" s="20">
        <f t="shared" si="1"/>
        <v>1.4285714285714286</v>
      </c>
      <c r="F21" s="20">
        <f t="shared" si="2"/>
        <v>140</v>
      </c>
      <c r="G21" s="10">
        <v>10</v>
      </c>
      <c r="I21" s="27" t="s">
        <v>18</v>
      </c>
      <c r="J21" s="27" t="s">
        <v>12</v>
      </c>
      <c r="K21" s="27">
        <v>5</v>
      </c>
      <c r="L21" s="19">
        <f t="shared" si="5"/>
        <v>100</v>
      </c>
      <c r="S21" s="8"/>
      <c r="U21" s="20" t="str">
        <v>GT</v>
      </c>
      <c r="V21" s="4">
        <f t="shared" si="4"/>
        <v>9.1233766233766236</v>
      </c>
      <c r="W21" s="20" t="str">
        <f t="shared" si="6"/>
        <v>Corporate</v>
      </c>
      <c r="Y21" t="s">
        <v>115</v>
      </c>
      <c r="Z21" t="s">
        <v>13</v>
      </c>
    </row>
    <row r="22" spans="2:26" x14ac:dyDescent="0.2">
      <c r="B22" t="s">
        <v>159</v>
      </c>
      <c r="C22" t="s">
        <v>4</v>
      </c>
      <c r="D22" s="20" t="str">
        <f t="shared" si="0"/>
        <v>Corporate</v>
      </c>
      <c r="E22" s="20">
        <f t="shared" si="1"/>
        <v>1.4285714285714286</v>
      </c>
      <c r="F22" s="20">
        <f t="shared" si="2"/>
        <v>140</v>
      </c>
      <c r="G22" s="10">
        <v>10</v>
      </c>
      <c r="I22" t="s">
        <v>18</v>
      </c>
      <c r="J22" t="s">
        <v>5</v>
      </c>
      <c r="K22">
        <v>30</v>
      </c>
      <c r="L22" s="19">
        <f t="shared" si="5"/>
        <v>100</v>
      </c>
      <c r="S22" s="8"/>
      <c r="U22" s="20" t="str">
        <v>PC</v>
      </c>
      <c r="V22" s="4">
        <f t="shared" si="4"/>
        <v>10.032467532467532</v>
      </c>
      <c r="W22" s="20" t="str">
        <f t="shared" si="6"/>
        <v>Corporate</v>
      </c>
      <c r="Y22" t="s">
        <v>91</v>
      </c>
      <c r="Z22" t="s">
        <v>13</v>
      </c>
    </row>
    <row r="23" spans="2:26" x14ac:dyDescent="0.2">
      <c r="B23" t="s">
        <v>88</v>
      </c>
      <c r="C23" t="s">
        <v>4</v>
      </c>
      <c r="D23" s="20" t="str">
        <f t="shared" si="0"/>
        <v>Corporate</v>
      </c>
      <c r="E23" s="20">
        <f t="shared" si="1"/>
        <v>1.4285714285714286</v>
      </c>
      <c r="F23" s="20">
        <f t="shared" si="2"/>
        <v>140</v>
      </c>
      <c r="G23" s="10">
        <v>10</v>
      </c>
      <c r="I23" t="s">
        <v>18</v>
      </c>
      <c r="J23" t="s">
        <v>13</v>
      </c>
      <c r="K23">
        <v>30</v>
      </c>
      <c r="L23" s="19">
        <f t="shared" si="5"/>
        <v>100</v>
      </c>
      <c r="S23" s="8"/>
      <c r="U23" s="20" t="str">
        <v>RS</v>
      </c>
      <c r="V23" s="4">
        <f t="shared" si="4"/>
        <v>9.1233766233766236</v>
      </c>
      <c r="W23" s="20" t="str">
        <f t="shared" si="6"/>
        <v>Corporate</v>
      </c>
      <c r="Y23" t="s">
        <v>93</v>
      </c>
      <c r="Z23" t="s">
        <v>13</v>
      </c>
    </row>
    <row r="24" spans="2:26" x14ac:dyDescent="0.2">
      <c r="B24" t="s">
        <v>94</v>
      </c>
      <c r="C24" t="s">
        <v>4</v>
      </c>
      <c r="D24" s="20" t="str">
        <f t="shared" si="0"/>
        <v>Corporate</v>
      </c>
      <c r="E24" s="20">
        <f t="shared" si="1"/>
        <v>1.4285714285714286</v>
      </c>
      <c r="F24" s="20">
        <f t="shared" si="2"/>
        <v>140</v>
      </c>
      <c r="G24" s="10">
        <v>10</v>
      </c>
      <c r="I24" t="s">
        <v>18</v>
      </c>
      <c r="J24" t="s">
        <v>7</v>
      </c>
      <c r="K24">
        <v>10</v>
      </c>
      <c r="L24" s="19">
        <f t="shared" si="5"/>
        <v>100</v>
      </c>
      <c r="S24" s="8"/>
      <c r="U24" s="20" t="str">
        <v>ST</v>
      </c>
      <c r="V24" s="4">
        <f t="shared" si="4"/>
        <v>9.1233766233766236</v>
      </c>
      <c r="W24" s="20" t="str">
        <f t="shared" si="6"/>
        <v>Corporate</v>
      </c>
      <c r="Y24" t="s">
        <v>116</v>
      </c>
      <c r="Z24" t="s">
        <v>13</v>
      </c>
    </row>
    <row r="25" spans="2:26" x14ac:dyDescent="0.2">
      <c r="B25" t="s">
        <v>96</v>
      </c>
      <c r="C25" t="s">
        <v>4</v>
      </c>
      <c r="D25" s="20" t="str">
        <f t="shared" si="0"/>
        <v>Corporate</v>
      </c>
      <c r="E25" s="20">
        <f t="shared" si="1"/>
        <v>1.4285714285714286</v>
      </c>
      <c r="F25" s="20">
        <f t="shared" si="2"/>
        <v>140</v>
      </c>
      <c r="G25" s="10">
        <v>10</v>
      </c>
      <c r="I25" t="s">
        <v>18</v>
      </c>
      <c r="J25" t="s">
        <v>9</v>
      </c>
      <c r="K25">
        <v>20</v>
      </c>
      <c r="L25" s="19">
        <f t="shared" si="5"/>
        <v>100</v>
      </c>
      <c r="S25" s="8"/>
      <c r="U25" s="20" t="str">
        <v>TF</v>
      </c>
      <c r="V25" s="4">
        <f t="shared" si="4"/>
        <v>9.1233766233766236</v>
      </c>
      <c r="W25" s="20" t="str">
        <f t="shared" si="6"/>
        <v>Corporate</v>
      </c>
      <c r="Y25" t="s">
        <v>97</v>
      </c>
      <c r="Z25" t="s">
        <v>13</v>
      </c>
    </row>
    <row r="26" spans="2:26" x14ac:dyDescent="0.2">
      <c r="B26" t="s">
        <v>8</v>
      </c>
      <c r="C26" t="s">
        <v>4</v>
      </c>
      <c r="D26" s="20" t="str">
        <f t="shared" si="0"/>
        <v>Operations</v>
      </c>
      <c r="E26" s="20">
        <f t="shared" si="1"/>
        <v>3.3333333333333335</v>
      </c>
      <c r="F26" s="20">
        <f t="shared" si="2"/>
        <v>30</v>
      </c>
      <c r="G26" s="10">
        <v>10</v>
      </c>
      <c r="I26" s="26" t="s">
        <v>18</v>
      </c>
      <c r="J26" s="26" t="s">
        <v>117</v>
      </c>
      <c r="K26" s="26">
        <v>5</v>
      </c>
      <c r="L26" s="19">
        <f t="shared" si="5"/>
        <v>100</v>
      </c>
      <c r="S26" s="8"/>
      <c r="U26" s="20" t="str">
        <v>EDO</v>
      </c>
      <c r="V26" s="4">
        <f t="shared" si="4"/>
        <v>36.333333333333336</v>
      </c>
      <c r="W26" s="20" t="str">
        <f t="shared" si="6"/>
        <v>Operations</v>
      </c>
      <c r="Y26" t="s">
        <v>99</v>
      </c>
      <c r="Z26" t="s">
        <v>13</v>
      </c>
    </row>
    <row r="27" spans="2:26" x14ac:dyDescent="0.2">
      <c r="B27" t="s">
        <v>85</v>
      </c>
      <c r="C27" t="s">
        <v>4</v>
      </c>
      <c r="D27" s="20" t="str">
        <f t="shared" si="0"/>
        <v>Operations</v>
      </c>
      <c r="E27" s="20">
        <f t="shared" si="1"/>
        <v>3.3333333333333335</v>
      </c>
      <c r="F27" s="20">
        <f t="shared" si="2"/>
        <v>30</v>
      </c>
      <c r="G27" s="10">
        <v>10</v>
      </c>
      <c r="I27" s="27" t="s">
        <v>17</v>
      </c>
      <c r="J27" s="27" t="s">
        <v>12</v>
      </c>
      <c r="K27" s="27">
        <v>5</v>
      </c>
      <c r="L27" s="19">
        <f t="shared" si="5"/>
        <v>100</v>
      </c>
      <c r="S27" s="8"/>
      <c r="U27" s="20" t="str">
        <v>EM</v>
      </c>
      <c r="V27" s="4">
        <f t="shared" si="4"/>
        <v>28.166666666666664</v>
      </c>
      <c r="W27" s="20" t="str">
        <f t="shared" si="6"/>
        <v>Operations</v>
      </c>
      <c r="Y27" t="s">
        <v>76</v>
      </c>
      <c r="Z27" t="s">
        <v>13</v>
      </c>
    </row>
    <row r="28" spans="2:26" x14ac:dyDescent="0.2">
      <c r="B28" t="s">
        <v>27</v>
      </c>
      <c r="C28" t="s">
        <v>4</v>
      </c>
      <c r="D28" s="20" t="str">
        <f t="shared" si="0"/>
        <v>Operations</v>
      </c>
      <c r="E28" s="20">
        <f t="shared" si="1"/>
        <v>3.3333333333333335</v>
      </c>
      <c r="F28" s="20">
        <f t="shared" si="2"/>
        <v>30</v>
      </c>
      <c r="G28" s="10">
        <v>10</v>
      </c>
      <c r="I28" t="s">
        <v>17</v>
      </c>
      <c r="J28" t="s">
        <v>5</v>
      </c>
      <c r="K28">
        <v>30</v>
      </c>
      <c r="L28" s="19">
        <f t="shared" si="5"/>
        <v>100</v>
      </c>
      <c r="S28" s="8"/>
      <c r="U28" s="20" t="str">
        <v>SEO</v>
      </c>
      <c r="V28" s="4">
        <f t="shared" si="4"/>
        <v>32.166666666666664</v>
      </c>
      <c r="W28" s="20" t="str">
        <f t="shared" si="6"/>
        <v>Operations</v>
      </c>
      <c r="Y28" t="s">
        <v>90</v>
      </c>
      <c r="Z28" t="s">
        <v>13</v>
      </c>
    </row>
    <row r="29" spans="2:26" x14ac:dyDescent="0.2">
      <c r="B29" t="s">
        <v>75</v>
      </c>
      <c r="C29" t="s">
        <v>4</v>
      </c>
      <c r="D29" s="20" t="str">
        <f t="shared" si="0"/>
        <v>Technology</v>
      </c>
      <c r="E29" s="20">
        <f t="shared" si="1"/>
        <v>4</v>
      </c>
      <c r="F29" s="20">
        <f t="shared" si="2"/>
        <v>50</v>
      </c>
      <c r="G29" s="10">
        <v>10</v>
      </c>
      <c r="I29" t="s">
        <v>17</v>
      </c>
      <c r="J29" t="s">
        <v>13</v>
      </c>
      <c r="K29">
        <v>25</v>
      </c>
      <c r="L29" s="19">
        <f t="shared" si="5"/>
        <v>100</v>
      </c>
      <c r="S29" s="8"/>
      <c r="U29" s="20" t="str">
        <v>BCTT</v>
      </c>
      <c r="V29" s="4">
        <f t="shared" si="4"/>
        <v>18.375</v>
      </c>
      <c r="W29" s="20" t="str">
        <f t="shared" si="6"/>
        <v>Technology</v>
      </c>
      <c r="Y29" t="s">
        <v>159</v>
      </c>
      <c r="Z29" t="s">
        <v>13</v>
      </c>
    </row>
    <row r="30" spans="2:26" x14ac:dyDescent="0.2">
      <c r="B30" t="s">
        <v>10</v>
      </c>
      <c r="C30" t="s">
        <v>4</v>
      </c>
      <c r="D30" s="20" t="str">
        <f t="shared" si="0"/>
        <v>Technology</v>
      </c>
      <c r="E30" s="20">
        <f t="shared" si="1"/>
        <v>4</v>
      </c>
      <c r="F30" s="20">
        <f t="shared" si="2"/>
        <v>50</v>
      </c>
      <c r="G30" s="10">
        <v>10</v>
      </c>
      <c r="I30" t="s">
        <v>17</v>
      </c>
      <c r="J30" t="s">
        <v>7</v>
      </c>
      <c r="K30">
        <v>10</v>
      </c>
      <c r="L30" s="19">
        <f t="shared" si="5"/>
        <v>100</v>
      </c>
      <c r="S30" s="8"/>
      <c r="U30" s="20" t="str">
        <v>SI</v>
      </c>
      <c r="V30" s="4">
        <f t="shared" si="4"/>
        <v>32.75</v>
      </c>
      <c r="W30" s="20" t="str">
        <f t="shared" si="6"/>
        <v>Technology</v>
      </c>
      <c r="Y30" t="s">
        <v>114</v>
      </c>
      <c r="Z30" t="s">
        <v>13</v>
      </c>
    </row>
    <row r="31" spans="2:26" x14ac:dyDescent="0.2">
      <c r="B31" t="s">
        <v>103</v>
      </c>
      <c r="C31" t="s">
        <v>4</v>
      </c>
      <c r="D31" s="20" t="str">
        <f t="shared" si="0"/>
        <v>Technology</v>
      </c>
      <c r="E31" s="20">
        <f t="shared" si="1"/>
        <v>4</v>
      </c>
      <c r="F31" s="20">
        <f t="shared" si="2"/>
        <v>50</v>
      </c>
      <c r="G31" s="10">
        <v>10</v>
      </c>
      <c r="I31" t="s">
        <v>17</v>
      </c>
      <c r="J31" t="s">
        <v>9</v>
      </c>
      <c r="K31">
        <v>25</v>
      </c>
      <c r="L31" s="19">
        <f t="shared" si="5"/>
        <v>100</v>
      </c>
      <c r="S31" s="8"/>
      <c r="U31" s="20" t="str">
        <v>SI-CRP</v>
      </c>
      <c r="V31" s="4">
        <f t="shared" si="4"/>
        <v>18.375</v>
      </c>
      <c r="W31" s="20" t="str">
        <f t="shared" si="6"/>
        <v>Technology</v>
      </c>
      <c r="Y31" t="s">
        <v>88</v>
      </c>
      <c r="Z31" t="s">
        <v>13</v>
      </c>
    </row>
    <row r="32" spans="2:26" x14ac:dyDescent="0.2">
      <c r="B32" t="s">
        <v>102</v>
      </c>
      <c r="C32" t="s">
        <v>4</v>
      </c>
      <c r="D32" s="20" t="str">
        <f t="shared" si="0"/>
        <v>Technology</v>
      </c>
      <c r="E32" s="20">
        <f t="shared" si="1"/>
        <v>4</v>
      </c>
      <c r="F32" s="20">
        <f t="shared" si="2"/>
        <v>50</v>
      </c>
      <c r="G32" s="10">
        <v>10</v>
      </c>
      <c r="I32" s="26" t="s">
        <v>17</v>
      </c>
      <c r="J32" s="26" t="s">
        <v>117</v>
      </c>
      <c r="K32" s="26">
        <v>5</v>
      </c>
      <c r="L32" s="19">
        <f t="shared" si="5"/>
        <v>100</v>
      </c>
      <c r="S32" s="8"/>
      <c r="U32" s="20" t="str">
        <v>SI-OPS</v>
      </c>
      <c r="V32" s="4">
        <f t="shared" si="4"/>
        <v>18.375</v>
      </c>
      <c r="W32" s="20" t="str">
        <f t="shared" si="6"/>
        <v>Technology</v>
      </c>
      <c r="Y32" t="s">
        <v>94</v>
      </c>
      <c r="Z32" t="s">
        <v>13</v>
      </c>
    </row>
    <row r="33" spans="2:26" x14ac:dyDescent="0.2">
      <c r="B33" t="s">
        <v>101</v>
      </c>
      <c r="C33" t="s">
        <v>4</v>
      </c>
      <c r="D33" s="20" t="str">
        <f t="shared" si="0"/>
        <v>Technology</v>
      </c>
      <c r="E33" s="20">
        <f t="shared" si="1"/>
        <v>4</v>
      </c>
      <c r="F33" s="20">
        <f t="shared" si="2"/>
        <v>50</v>
      </c>
      <c r="G33" s="10">
        <v>10</v>
      </c>
      <c r="I33" s="27" t="s">
        <v>15</v>
      </c>
      <c r="J33" s="27" t="s">
        <v>12</v>
      </c>
      <c r="K33" s="27">
        <v>5</v>
      </c>
      <c r="L33" s="19">
        <f t="shared" si="5"/>
        <v>100</v>
      </c>
      <c r="S33" s="8"/>
      <c r="U33" s="20" t="str">
        <v>SI-PRD</v>
      </c>
      <c r="V33" s="4">
        <f t="shared" si="4"/>
        <v>18.375</v>
      </c>
      <c r="W33" s="20" t="str">
        <f t="shared" si="6"/>
        <v>Technology</v>
      </c>
      <c r="Y33" t="s">
        <v>96</v>
      </c>
      <c r="Z33" t="s">
        <v>13</v>
      </c>
    </row>
    <row r="34" spans="2:26" x14ac:dyDescent="0.2">
      <c r="B34" t="s">
        <v>12</v>
      </c>
      <c r="C34" t="s">
        <v>11</v>
      </c>
      <c r="D34" s="20" t="str">
        <f t="shared" si="0"/>
        <v>CISO</v>
      </c>
      <c r="E34" s="20">
        <f t="shared" si="1"/>
        <v>5</v>
      </c>
      <c r="F34" s="20">
        <f t="shared" si="2"/>
        <v>10</v>
      </c>
      <c r="G34" s="10">
        <v>10</v>
      </c>
      <c r="I34" t="s">
        <v>15</v>
      </c>
      <c r="J34" t="s">
        <v>5</v>
      </c>
      <c r="K34">
        <v>30</v>
      </c>
      <c r="L34" s="19">
        <f t="shared" si="5"/>
        <v>100</v>
      </c>
      <c r="S34" s="8"/>
      <c r="U34" s="20" t="str">
        <v>CCO</v>
      </c>
      <c r="V34" s="4">
        <f t="shared" si="4"/>
        <v>2.9411764705882355</v>
      </c>
      <c r="W34" s="20" t="str">
        <f t="shared" si="6"/>
        <v>Commercial</v>
      </c>
      <c r="Y34" t="s">
        <v>107</v>
      </c>
      <c r="Z34" t="s">
        <v>7</v>
      </c>
    </row>
    <row r="35" spans="2:26" x14ac:dyDescent="0.2">
      <c r="B35" t="s">
        <v>109</v>
      </c>
      <c r="C35" t="s">
        <v>11</v>
      </c>
      <c r="D35" s="20" t="str">
        <f t="shared" si="0"/>
        <v>Commercial</v>
      </c>
      <c r="E35" s="20">
        <f t="shared" si="1"/>
        <v>2.9411764705882355</v>
      </c>
      <c r="F35" s="20">
        <f t="shared" si="2"/>
        <v>170</v>
      </c>
      <c r="G35" s="10">
        <v>20</v>
      </c>
      <c r="I35" t="s">
        <v>15</v>
      </c>
      <c r="J35" t="s">
        <v>13</v>
      </c>
      <c r="K35">
        <v>20</v>
      </c>
      <c r="L35" s="19">
        <f t="shared" si="5"/>
        <v>100</v>
      </c>
      <c r="S35" s="8"/>
      <c r="U35" s="20" t="str">
        <v>CMO</v>
      </c>
      <c r="V35" s="4">
        <f t="shared" si="4"/>
        <v>2.9411764705882355</v>
      </c>
      <c r="W35" s="20" t="str">
        <f t="shared" si="6"/>
        <v>Commercial</v>
      </c>
      <c r="Y35" t="s">
        <v>8</v>
      </c>
      <c r="Z35" t="s">
        <v>7</v>
      </c>
    </row>
    <row r="36" spans="2:26" x14ac:dyDescent="0.2">
      <c r="B36" t="s">
        <v>108</v>
      </c>
      <c r="C36" t="s">
        <v>11</v>
      </c>
      <c r="D36" s="20" t="str">
        <f t="shared" si="0"/>
        <v>Commercial</v>
      </c>
      <c r="E36" s="20">
        <f t="shared" si="1"/>
        <v>2.9411764705882355</v>
      </c>
      <c r="F36" s="20">
        <f t="shared" si="2"/>
        <v>170</v>
      </c>
      <c r="G36" s="10">
        <v>20</v>
      </c>
      <c r="I36" t="s">
        <v>15</v>
      </c>
      <c r="J36" t="s">
        <v>7</v>
      </c>
      <c r="K36">
        <v>30</v>
      </c>
      <c r="L36" s="19">
        <f t="shared" si="5"/>
        <v>100</v>
      </c>
      <c r="S36" s="8"/>
      <c r="U36" s="20" t="str">
        <v>IDC</v>
      </c>
      <c r="V36" s="4">
        <f t="shared" si="4"/>
        <v>2.9411764705882355</v>
      </c>
      <c r="W36" s="20" t="str">
        <f t="shared" si="6"/>
        <v>Commercial</v>
      </c>
      <c r="Y36" t="s">
        <v>85</v>
      </c>
      <c r="Z36" t="s">
        <v>7</v>
      </c>
    </row>
    <row r="37" spans="2:26" x14ac:dyDescent="0.2">
      <c r="B37" t="s">
        <v>81</v>
      </c>
      <c r="C37" t="s">
        <v>11</v>
      </c>
      <c r="D37" s="20" t="str">
        <f t="shared" si="0"/>
        <v>Commercial</v>
      </c>
      <c r="E37" s="20">
        <f t="shared" si="1"/>
        <v>1.4705882352941178</v>
      </c>
      <c r="F37" s="20">
        <f t="shared" si="2"/>
        <v>170</v>
      </c>
      <c r="G37" s="10">
        <v>10</v>
      </c>
      <c r="I37" t="s">
        <v>15</v>
      </c>
      <c r="J37" t="s">
        <v>9</v>
      </c>
      <c r="K37">
        <v>10</v>
      </c>
      <c r="L37" s="19">
        <f t="shared" si="5"/>
        <v>100</v>
      </c>
      <c r="S37" s="8"/>
      <c r="U37" s="20" t="str">
        <v>ATC</v>
      </c>
      <c r="V37" s="4">
        <f t="shared" si="4"/>
        <v>1.8181818181818181</v>
      </c>
      <c r="W37" s="20" t="str">
        <f t="shared" si="6"/>
        <v>Corporate</v>
      </c>
      <c r="Y37" t="s">
        <v>85</v>
      </c>
      <c r="Z37" t="s">
        <v>7</v>
      </c>
    </row>
    <row r="38" spans="2:26" x14ac:dyDescent="0.2">
      <c r="B38" t="s">
        <v>82</v>
      </c>
      <c r="C38" t="s">
        <v>11</v>
      </c>
      <c r="D38" s="20" t="str">
        <f t="shared" si="0"/>
        <v>Commercial</v>
      </c>
      <c r="E38" s="20">
        <f t="shared" si="1"/>
        <v>1.4705882352941178</v>
      </c>
      <c r="F38" s="20">
        <f t="shared" si="2"/>
        <v>170</v>
      </c>
      <c r="G38" s="10">
        <v>10</v>
      </c>
      <c r="I38" s="26" t="s">
        <v>15</v>
      </c>
      <c r="J38" s="26" t="s">
        <v>117</v>
      </c>
      <c r="K38" s="26">
        <v>5</v>
      </c>
      <c r="L38" s="19">
        <f t="shared" si="5"/>
        <v>100</v>
      </c>
      <c r="S38" s="8"/>
      <c r="U38" s="20" t="str">
        <v>CFO</v>
      </c>
      <c r="V38" s="4">
        <f t="shared" si="4"/>
        <v>1.8181818181818181</v>
      </c>
      <c r="W38" s="20" t="str">
        <f t="shared" si="6"/>
        <v>Corporate</v>
      </c>
      <c r="Y38" t="s">
        <v>27</v>
      </c>
      <c r="Z38" t="s">
        <v>7</v>
      </c>
    </row>
    <row r="39" spans="2:26" x14ac:dyDescent="0.2">
      <c r="B39" t="s">
        <v>79</v>
      </c>
      <c r="C39" t="s">
        <v>11</v>
      </c>
      <c r="D39" s="20" t="str">
        <f t="shared" si="0"/>
        <v>Commercial</v>
      </c>
      <c r="E39" s="20">
        <f t="shared" si="1"/>
        <v>1.4705882352941178</v>
      </c>
      <c r="F39" s="20">
        <f t="shared" si="2"/>
        <v>170</v>
      </c>
      <c r="G39" s="10">
        <v>10</v>
      </c>
      <c r="S39" s="8"/>
      <c r="U39" s="20" t="str">
        <v>CHR</v>
      </c>
      <c r="V39" s="4">
        <f t="shared" si="4"/>
        <v>0.90909090909090906</v>
      </c>
      <c r="W39" s="20" t="str">
        <f t="shared" si="6"/>
        <v>Corporate</v>
      </c>
      <c r="Y39" t="s">
        <v>75</v>
      </c>
      <c r="Z39" t="s">
        <v>9</v>
      </c>
    </row>
    <row r="40" spans="2:26" x14ac:dyDescent="0.2">
      <c r="B40" t="s">
        <v>83</v>
      </c>
      <c r="C40" t="s">
        <v>11</v>
      </c>
      <c r="D40" s="20" t="str">
        <f t="shared" si="0"/>
        <v>Commercial</v>
      </c>
      <c r="E40" s="20">
        <f t="shared" si="1"/>
        <v>1.4705882352941178</v>
      </c>
      <c r="F40" s="20">
        <f t="shared" si="2"/>
        <v>170</v>
      </c>
      <c r="G40" s="10">
        <v>10</v>
      </c>
      <c r="S40" s="8"/>
      <c r="U40" s="20" t="str">
        <v>COM</v>
      </c>
      <c r="V40" s="4">
        <f t="shared" si="4"/>
        <v>0.90909090909090906</v>
      </c>
      <c r="W40" s="20" t="str">
        <f t="shared" si="6"/>
        <v>Corporate</v>
      </c>
      <c r="Y40" t="s">
        <v>113</v>
      </c>
      <c r="Z40" t="s">
        <v>9</v>
      </c>
    </row>
    <row r="41" spans="2:26" x14ac:dyDescent="0.2">
      <c r="B41" t="s">
        <v>22</v>
      </c>
      <c r="C41" t="s">
        <v>11</v>
      </c>
      <c r="D41" s="20" t="str">
        <f t="shared" si="0"/>
        <v>Commercial</v>
      </c>
      <c r="E41" s="20">
        <f t="shared" si="1"/>
        <v>1.4705882352941178</v>
      </c>
      <c r="F41" s="20">
        <f t="shared" si="2"/>
        <v>170</v>
      </c>
      <c r="G41" s="10">
        <v>10</v>
      </c>
      <c r="S41" s="8"/>
      <c r="U41" s="20" t="str">
        <v>PRO</v>
      </c>
      <c r="V41" s="4">
        <f t="shared" si="4"/>
        <v>0.90909090909090906</v>
      </c>
      <c r="W41" s="20" t="str">
        <f t="shared" si="6"/>
        <v>Corporate</v>
      </c>
      <c r="Y41" t="s">
        <v>10</v>
      </c>
      <c r="Z41" t="s">
        <v>9</v>
      </c>
    </row>
    <row r="42" spans="2:26" x14ac:dyDescent="0.2">
      <c r="B42" t="s">
        <v>26</v>
      </c>
      <c r="C42" t="s">
        <v>11</v>
      </c>
      <c r="D42" s="20" t="str">
        <f t="shared" si="0"/>
        <v>Commercial</v>
      </c>
      <c r="E42" s="20">
        <f t="shared" si="1"/>
        <v>1.4705882352941178</v>
      </c>
      <c r="F42" s="20">
        <f t="shared" si="2"/>
        <v>170</v>
      </c>
      <c r="G42" s="10">
        <v>10</v>
      </c>
      <c r="S42" s="8"/>
      <c r="U42" s="20" t="str">
        <v>COO</v>
      </c>
      <c r="V42" s="4">
        <f t="shared" si="4"/>
        <v>8.3333333333333339</v>
      </c>
      <c r="W42" s="20" t="str">
        <f t="shared" si="6"/>
        <v>Operations</v>
      </c>
      <c r="Y42" t="s">
        <v>103</v>
      </c>
      <c r="Z42" t="s">
        <v>9</v>
      </c>
    </row>
    <row r="43" spans="2:26" x14ac:dyDescent="0.2">
      <c r="B43" t="s">
        <v>24</v>
      </c>
      <c r="C43" t="s">
        <v>11</v>
      </c>
      <c r="D43" s="20" t="str">
        <f t="shared" si="0"/>
        <v>Commercial</v>
      </c>
      <c r="E43" s="20">
        <f t="shared" si="1"/>
        <v>2.9411764705882355</v>
      </c>
      <c r="F43" s="20">
        <f t="shared" si="2"/>
        <v>170</v>
      </c>
      <c r="G43" s="10">
        <v>20</v>
      </c>
      <c r="S43" s="8"/>
      <c r="U43" s="20" t="str">
        <v>CIO</v>
      </c>
      <c r="V43" s="4">
        <f t="shared" si="4"/>
        <v>3.75</v>
      </c>
      <c r="W43" s="20" t="str">
        <f t="shared" si="6"/>
        <v>Technology</v>
      </c>
      <c r="Y43" t="s">
        <v>102</v>
      </c>
      <c r="Z43" t="s">
        <v>9</v>
      </c>
    </row>
    <row r="44" spans="2:26" x14ac:dyDescent="0.2">
      <c r="B44" t="s">
        <v>25</v>
      </c>
      <c r="C44" t="s">
        <v>11</v>
      </c>
      <c r="D44" s="20" t="str">
        <f t="shared" si="0"/>
        <v>Commercial</v>
      </c>
      <c r="E44" s="20">
        <f t="shared" si="1"/>
        <v>1.4705882352941178</v>
      </c>
      <c r="F44" s="20">
        <f t="shared" si="2"/>
        <v>170</v>
      </c>
      <c r="G44" s="10">
        <v>10</v>
      </c>
      <c r="S44" s="8"/>
      <c r="U44" s="20" t="str">
        <v>IAD</v>
      </c>
      <c r="V44" s="4">
        <f t="shared" si="4"/>
        <v>35</v>
      </c>
      <c r="W44" s="20" t="str">
        <f t="shared" si="6"/>
        <v>Data &amp; AI</v>
      </c>
      <c r="Y44" t="s">
        <v>101</v>
      </c>
      <c r="Z44" t="s">
        <v>9</v>
      </c>
    </row>
    <row r="45" spans="2:26" x14ac:dyDescent="0.2">
      <c r="B45" t="s">
        <v>80</v>
      </c>
      <c r="C45" t="s">
        <v>11</v>
      </c>
      <c r="D45" s="20" t="str">
        <f t="shared" si="0"/>
        <v>Commercial</v>
      </c>
      <c r="E45" s="20">
        <f t="shared" si="1"/>
        <v>2.9411764705882355</v>
      </c>
      <c r="F45" s="20">
        <f t="shared" si="2"/>
        <v>170</v>
      </c>
      <c r="G45" s="10">
        <v>20</v>
      </c>
      <c r="S45" s="8"/>
      <c r="U45">
        <v>0</v>
      </c>
      <c r="V45" s="8"/>
      <c r="Y45" t="s">
        <v>177</v>
      </c>
      <c r="Z45" t="s">
        <v>117</v>
      </c>
    </row>
    <row r="46" spans="2:26" x14ac:dyDescent="0.2">
      <c r="B46" t="s">
        <v>111</v>
      </c>
      <c r="C46" t="s">
        <v>11</v>
      </c>
      <c r="D46" s="20" t="str">
        <f t="shared" si="0"/>
        <v>Commercial</v>
      </c>
      <c r="E46" s="20">
        <f t="shared" si="1"/>
        <v>2.9411764705882355</v>
      </c>
      <c r="F46" s="20">
        <f t="shared" si="2"/>
        <v>170</v>
      </c>
      <c r="G46" s="10">
        <v>20</v>
      </c>
      <c r="S46" s="8"/>
      <c r="V46" s="8"/>
    </row>
    <row r="47" spans="2:26" x14ac:dyDescent="0.2">
      <c r="B47" t="s">
        <v>87</v>
      </c>
      <c r="C47" t="s">
        <v>11</v>
      </c>
      <c r="D47" s="20" t="str">
        <f t="shared" si="0"/>
        <v>Corporate</v>
      </c>
      <c r="E47" s="20">
        <f t="shared" si="1"/>
        <v>0.90909090909090906</v>
      </c>
      <c r="F47" s="20">
        <f t="shared" si="2"/>
        <v>220</v>
      </c>
      <c r="G47" s="10">
        <v>10</v>
      </c>
      <c r="S47" s="8"/>
      <c r="V47" s="8"/>
    </row>
    <row r="48" spans="2:26" x14ac:dyDescent="0.2">
      <c r="B48" t="s">
        <v>110</v>
      </c>
      <c r="C48" t="s">
        <v>11</v>
      </c>
      <c r="D48" s="20" t="str">
        <f t="shared" si="0"/>
        <v>Corporate</v>
      </c>
      <c r="E48" s="20">
        <f t="shared" si="1"/>
        <v>1.8181818181818181</v>
      </c>
      <c r="F48" s="20">
        <f t="shared" si="2"/>
        <v>220</v>
      </c>
      <c r="G48" s="10">
        <v>20</v>
      </c>
      <c r="S48" s="8"/>
      <c r="V48" s="8"/>
    </row>
    <row r="49" spans="2:22" x14ac:dyDescent="0.2">
      <c r="B49" t="s">
        <v>89</v>
      </c>
      <c r="C49" t="s">
        <v>11</v>
      </c>
      <c r="D49" s="20" t="str">
        <f t="shared" si="0"/>
        <v>Corporate</v>
      </c>
      <c r="E49" s="20">
        <f t="shared" si="1"/>
        <v>0.90909090909090906</v>
      </c>
      <c r="F49" s="20">
        <f t="shared" si="2"/>
        <v>220</v>
      </c>
      <c r="G49" s="10">
        <v>10</v>
      </c>
      <c r="S49" s="8"/>
      <c r="V49" s="8"/>
    </row>
    <row r="50" spans="2:22" x14ac:dyDescent="0.2">
      <c r="B50" t="s">
        <v>23</v>
      </c>
      <c r="C50" t="s">
        <v>11</v>
      </c>
      <c r="D50" s="20" t="str">
        <f t="shared" si="0"/>
        <v>Corporate</v>
      </c>
      <c r="E50" s="20">
        <f t="shared" si="1"/>
        <v>1.8181818181818181</v>
      </c>
      <c r="F50" s="20">
        <f t="shared" si="2"/>
        <v>220</v>
      </c>
      <c r="G50" s="10">
        <v>20</v>
      </c>
      <c r="S50" s="8"/>
      <c r="V50" s="8"/>
    </row>
    <row r="51" spans="2:22" x14ac:dyDescent="0.2">
      <c r="B51" t="s">
        <v>112</v>
      </c>
      <c r="C51" t="s">
        <v>11</v>
      </c>
      <c r="D51" s="20" t="str">
        <f t="shared" si="0"/>
        <v>Corporate</v>
      </c>
      <c r="E51" s="20">
        <f t="shared" si="1"/>
        <v>1.8181818181818181</v>
      </c>
      <c r="F51" s="20">
        <f t="shared" si="2"/>
        <v>220</v>
      </c>
      <c r="G51" s="10">
        <v>20</v>
      </c>
      <c r="S51" s="8"/>
      <c r="V51" s="8"/>
    </row>
    <row r="52" spans="2:22" x14ac:dyDescent="0.2">
      <c r="B52" t="s">
        <v>115</v>
      </c>
      <c r="C52" t="s">
        <v>11</v>
      </c>
      <c r="D52" s="20" t="str">
        <f t="shared" si="0"/>
        <v>Corporate</v>
      </c>
      <c r="E52" s="20">
        <f t="shared" si="1"/>
        <v>0.90909090909090906</v>
      </c>
      <c r="F52" s="20">
        <f t="shared" si="2"/>
        <v>220</v>
      </c>
      <c r="G52" s="10">
        <v>10</v>
      </c>
      <c r="S52" s="8"/>
      <c r="V52" s="8"/>
    </row>
    <row r="53" spans="2:22" x14ac:dyDescent="0.2">
      <c r="B53" t="s">
        <v>91</v>
      </c>
      <c r="C53" t="s">
        <v>11</v>
      </c>
      <c r="D53" s="20" t="str">
        <f t="shared" si="0"/>
        <v>Corporate</v>
      </c>
      <c r="E53" s="20">
        <f t="shared" si="1"/>
        <v>0.90909090909090906</v>
      </c>
      <c r="F53" s="20">
        <f t="shared" si="2"/>
        <v>220</v>
      </c>
      <c r="G53" s="10">
        <v>10</v>
      </c>
      <c r="S53" s="8"/>
      <c r="V53" s="8"/>
    </row>
    <row r="54" spans="2:22" x14ac:dyDescent="0.2">
      <c r="B54" t="s">
        <v>93</v>
      </c>
      <c r="C54" t="s">
        <v>11</v>
      </c>
      <c r="D54" s="20" t="str">
        <f t="shared" si="0"/>
        <v>Corporate</v>
      </c>
      <c r="E54" s="20">
        <f t="shared" si="1"/>
        <v>0.90909090909090906</v>
      </c>
      <c r="F54" s="20">
        <f t="shared" si="2"/>
        <v>220</v>
      </c>
      <c r="G54" s="10">
        <v>10</v>
      </c>
      <c r="S54" s="8"/>
      <c r="V54" s="8"/>
    </row>
    <row r="55" spans="2:22" x14ac:dyDescent="0.2">
      <c r="B55" t="s">
        <v>116</v>
      </c>
      <c r="C55" t="s">
        <v>11</v>
      </c>
      <c r="D55" s="20" t="str">
        <f t="shared" si="0"/>
        <v>Corporate</v>
      </c>
      <c r="E55" s="20">
        <f t="shared" si="1"/>
        <v>0.90909090909090906</v>
      </c>
      <c r="F55" s="20">
        <f t="shared" si="2"/>
        <v>220</v>
      </c>
      <c r="G55" s="10">
        <v>10</v>
      </c>
      <c r="S55" s="8"/>
      <c r="V55" s="8"/>
    </row>
    <row r="56" spans="2:22" x14ac:dyDescent="0.2">
      <c r="B56" t="s">
        <v>97</v>
      </c>
      <c r="C56" t="s">
        <v>11</v>
      </c>
      <c r="D56" s="20" t="str">
        <f t="shared" si="0"/>
        <v>Corporate</v>
      </c>
      <c r="E56" s="20">
        <f t="shared" si="1"/>
        <v>0.90909090909090906</v>
      </c>
      <c r="F56" s="20">
        <f t="shared" si="2"/>
        <v>220</v>
      </c>
      <c r="G56" s="10">
        <v>10</v>
      </c>
      <c r="S56" s="8"/>
      <c r="V56" s="8"/>
    </row>
    <row r="57" spans="2:22" x14ac:dyDescent="0.2">
      <c r="B57" t="s">
        <v>99</v>
      </c>
      <c r="C57" t="s">
        <v>11</v>
      </c>
      <c r="D57" s="20" t="str">
        <f t="shared" si="0"/>
        <v>Corporate</v>
      </c>
      <c r="E57" s="20">
        <f t="shared" si="1"/>
        <v>0.90909090909090906</v>
      </c>
      <c r="F57" s="20">
        <f t="shared" si="2"/>
        <v>220</v>
      </c>
      <c r="G57" s="10">
        <v>10</v>
      </c>
      <c r="S57" s="8"/>
      <c r="V57" s="8"/>
    </row>
    <row r="58" spans="2:22" x14ac:dyDescent="0.2">
      <c r="B58" t="s">
        <v>76</v>
      </c>
      <c r="C58" t="s">
        <v>11</v>
      </c>
      <c r="D58" s="20" t="str">
        <f t="shared" si="0"/>
        <v>Corporate</v>
      </c>
      <c r="E58" s="20">
        <f t="shared" si="1"/>
        <v>0.90909090909090906</v>
      </c>
      <c r="F58" s="20">
        <f t="shared" si="2"/>
        <v>220</v>
      </c>
      <c r="G58" s="10">
        <v>10</v>
      </c>
      <c r="S58" s="8"/>
      <c r="V58" s="8"/>
    </row>
    <row r="59" spans="2:22" x14ac:dyDescent="0.2">
      <c r="B59" t="s">
        <v>90</v>
      </c>
      <c r="C59" t="s">
        <v>11</v>
      </c>
      <c r="D59" s="20" t="str">
        <f t="shared" si="0"/>
        <v>Corporate</v>
      </c>
      <c r="E59" s="20">
        <f t="shared" si="1"/>
        <v>0.90909090909090906</v>
      </c>
      <c r="F59" s="20">
        <f t="shared" si="2"/>
        <v>220</v>
      </c>
      <c r="G59" s="10">
        <v>10</v>
      </c>
      <c r="S59" s="8"/>
      <c r="V59" s="8"/>
    </row>
    <row r="60" spans="2:22" x14ac:dyDescent="0.2">
      <c r="B60" t="s">
        <v>159</v>
      </c>
      <c r="C60" t="s">
        <v>11</v>
      </c>
      <c r="D60" s="20" t="str">
        <f t="shared" si="0"/>
        <v>Corporate</v>
      </c>
      <c r="E60" s="20">
        <f t="shared" si="1"/>
        <v>1.8181818181818181</v>
      </c>
      <c r="F60" s="20">
        <f t="shared" si="2"/>
        <v>220</v>
      </c>
      <c r="G60" s="10">
        <v>20</v>
      </c>
      <c r="S60" s="8"/>
      <c r="V60" s="8"/>
    </row>
    <row r="61" spans="2:22" x14ac:dyDescent="0.2">
      <c r="B61" t="s">
        <v>114</v>
      </c>
      <c r="C61" t="s">
        <v>11</v>
      </c>
      <c r="D61" s="20" t="str">
        <f t="shared" si="0"/>
        <v>Corporate</v>
      </c>
      <c r="E61" s="20">
        <f t="shared" si="1"/>
        <v>0.90909090909090906</v>
      </c>
      <c r="F61" s="20">
        <f t="shared" si="2"/>
        <v>220</v>
      </c>
      <c r="G61" s="10">
        <v>10</v>
      </c>
      <c r="S61" s="8"/>
      <c r="V61" s="8"/>
    </row>
    <row r="62" spans="2:22" x14ac:dyDescent="0.2">
      <c r="B62" t="s">
        <v>88</v>
      </c>
      <c r="C62" t="s">
        <v>11</v>
      </c>
      <c r="D62" s="20" t="str">
        <f t="shared" si="0"/>
        <v>Corporate</v>
      </c>
      <c r="E62" s="20">
        <f t="shared" si="1"/>
        <v>0.90909090909090906</v>
      </c>
      <c r="F62" s="20">
        <f t="shared" si="2"/>
        <v>220</v>
      </c>
      <c r="G62" s="10">
        <v>10</v>
      </c>
      <c r="S62" s="8"/>
      <c r="V62" s="8"/>
    </row>
    <row r="63" spans="2:22" x14ac:dyDescent="0.2">
      <c r="B63" t="s">
        <v>94</v>
      </c>
      <c r="C63" t="s">
        <v>11</v>
      </c>
      <c r="D63" s="20" t="str">
        <f t="shared" si="0"/>
        <v>Corporate</v>
      </c>
      <c r="E63" s="20">
        <f t="shared" si="1"/>
        <v>0.90909090909090906</v>
      </c>
      <c r="F63" s="20">
        <f t="shared" si="2"/>
        <v>220</v>
      </c>
      <c r="G63" s="10">
        <v>10</v>
      </c>
      <c r="S63" s="8"/>
      <c r="V63" s="8"/>
    </row>
    <row r="64" spans="2:22" x14ac:dyDescent="0.2">
      <c r="B64" t="s">
        <v>96</v>
      </c>
      <c r="C64" t="s">
        <v>11</v>
      </c>
      <c r="D64" s="20" t="str">
        <f t="shared" si="0"/>
        <v>Corporate</v>
      </c>
      <c r="E64" s="20">
        <f t="shared" si="1"/>
        <v>0.90909090909090906</v>
      </c>
      <c r="F64" s="20">
        <f t="shared" si="2"/>
        <v>220</v>
      </c>
      <c r="G64" s="10">
        <v>10</v>
      </c>
      <c r="S64" s="8"/>
      <c r="V64" s="8"/>
    </row>
    <row r="65" spans="2:22" x14ac:dyDescent="0.2">
      <c r="B65" t="s">
        <v>107</v>
      </c>
      <c r="C65" t="s">
        <v>11</v>
      </c>
      <c r="D65" s="20" t="str">
        <f t="shared" si="0"/>
        <v>Operations</v>
      </c>
      <c r="E65" s="20">
        <f t="shared" si="1"/>
        <v>8.3333333333333339</v>
      </c>
      <c r="F65" s="20">
        <f t="shared" si="2"/>
        <v>60</v>
      </c>
      <c r="G65" s="10">
        <v>20</v>
      </c>
      <c r="S65" s="8"/>
      <c r="V65" s="8"/>
    </row>
    <row r="66" spans="2:22" x14ac:dyDescent="0.2">
      <c r="B66" t="s">
        <v>8</v>
      </c>
      <c r="C66" t="s">
        <v>11</v>
      </c>
      <c r="D66" s="20" t="str">
        <f t="shared" si="0"/>
        <v>Operations</v>
      </c>
      <c r="E66" s="20">
        <f t="shared" si="1"/>
        <v>8.3333333333333339</v>
      </c>
      <c r="F66" s="20">
        <f t="shared" si="2"/>
        <v>60</v>
      </c>
      <c r="G66" s="10">
        <v>20</v>
      </c>
      <c r="S66" s="8"/>
      <c r="V66" s="8"/>
    </row>
    <row r="67" spans="2:22" x14ac:dyDescent="0.2">
      <c r="B67" t="s">
        <v>85</v>
      </c>
      <c r="C67" t="s">
        <v>11</v>
      </c>
      <c r="D67" s="20" t="str">
        <f t="shared" ref="D67:D130" si="7">VLOOKUP($B67,$Y:$Z,2,FALSE)</f>
        <v>Operations</v>
      </c>
      <c r="E67" s="20">
        <f t="shared" ref="E67:E130" si="8">G67*SUMIFS($K:$K,$I:$I,C67,$J:$J,D67)/F67</f>
        <v>4.166666666666667</v>
      </c>
      <c r="F67" s="20">
        <f t="shared" ref="F67:F130" si="9">SUMIFS($G$2:$G$1000,$D$2:$D$1000,D67,$C$2:$C$1000,C67)</f>
        <v>60</v>
      </c>
      <c r="G67" s="10">
        <v>10</v>
      </c>
      <c r="S67" s="8"/>
      <c r="V67" s="8"/>
    </row>
    <row r="68" spans="2:22" x14ac:dyDescent="0.2">
      <c r="B68" t="s">
        <v>27</v>
      </c>
      <c r="C68" t="s">
        <v>11</v>
      </c>
      <c r="D68" s="20" t="str">
        <f t="shared" si="7"/>
        <v>Operations</v>
      </c>
      <c r="E68" s="20">
        <f t="shared" si="8"/>
        <v>4.166666666666667</v>
      </c>
      <c r="F68" s="20">
        <f t="shared" si="9"/>
        <v>60</v>
      </c>
      <c r="G68" s="10">
        <v>10</v>
      </c>
      <c r="S68" s="8"/>
      <c r="V68" s="8"/>
    </row>
    <row r="69" spans="2:22" x14ac:dyDescent="0.2">
      <c r="B69" t="s">
        <v>75</v>
      </c>
      <c r="C69" t="s">
        <v>11</v>
      </c>
      <c r="D69" s="20" t="str">
        <f t="shared" si="7"/>
        <v>Technology</v>
      </c>
      <c r="E69" s="20">
        <f t="shared" si="8"/>
        <v>1.875</v>
      </c>
      <c r="F69" s="20">
        <f t="shared" si="9"/>
        <v>80</v>
      </c>
      <c r="G69" s="10">
        <v>10</v>
      </c>
      <c r="S69" s="8"/>
      <c r="V69" s="8"/>
    </row>
    <row r="70" spans="2:22" x14ac:dyDescent="0.2">
      <c r="B70" t="s">
        <v>113</v>
      </c>
      <c r="C70" t="s">
        <v>11</v>
      </c>
      <c r="D70" s="20" t="str">
        <f t="shared" si="7"/>
        <v>Technology</v>
      </c>
      <c r="E70" s="20">
        <f t="shared" si="8"/>
        <v>3.75</v>
      </c>
      <c r="F70" s="20">
        <f t="shared" si="9"/>
        <v>80</v>
      </c>
      <c r="G70" s="10">
        <v>20</v>
      </c>
      <c r="S70" s="8"/>
      <c r="V70" s="8"/>
    </row>
    <row r="71" spans="2:22" x14ac:dyDescent="0.2">
      <c r="B71" t="s">
        <v>10</v>
      </c>
      <c r="C71" t="s">
        <v>11</v>
      </c>
      <c r="D71" s="20" t="str">
        <f t="shared" si="7"/>
        <v>Technology</v>
      </c>
      <c r="E71" s="20">
        <f t="shared" si="8"/>
        <v>3.75</v>
      </c>
      <c r="F71" s="20">
        <f t="shared" si="9"/>
        <v>80</v>
      </c>
      <c r="G71" s="10">
        <v>20</v>
      </c>
      <c r="S71" s="8"/>
      <c r="V71" s="8"/>
    </row>
    <row r="72" spans="2:22" x14ac:dyDescent="0.2">
      <c r="B72" t="s">
        <v>103</v>
      </c>
      <c r="C72" t="s">
        <v>11</v>
      </c>
      <c r="D72" s="20" t="str">
        <f t="shared" si="7"/>
        <v>Technology</v>
      </c>
      <c r="E72" s="20">
        <f t="shared" si="8"/>
        <v>1.875</v>
      </c>
      <c r="F72" s="20">
        <f t="shared" si="9"/>
        <v>80</v>
      </c>
      <c r="G72" s="10">
        <v>10</v>
      </c>
      <c r="S72" s="8"/>
      <c r="V72" s="8"/>
    </row>
    <row r="73" spans="2:22" x14ac:dyDescent="0.2">
      <c r="B73" t="s">
        <v>102</v>
      </c>
      <c r="C73" t="s">
        <v>11</v>
      </c>
      <c r="D73" s="20" t="str">
        <f t="shared" si="7"/>
        <v>Technology</v>
      </c>
      <c r="E73" s="20">
        <f t="shared" si="8"/>
        <v>1.875</v>
      </c>
      <c r="F73" s="20">
        <f t="shared" si="9"/>
        <v>80</v>
      </c>
      <c r="G73" s="10">
        <v>10</v>
      </c>
      <c r="S73" s="8"/>
      <c r="V73" s="8"/>
    </row>
    <row r="74" spans="2:22" x14ac:dyDescent="0.2">
      <c r="B74" t="s">
        <v>101</v>
      </c>
      <c r="C74" t="s">
        <v>11</v>
      </c>
      <c r="D74" s="20" t="str">
        <f t="shared" si="7"/>
        <v>Technology</v>
      </c>
      <c r="E74" s="20">
        <f t="shared" si="8"/>
        <v>1.875</v>
      </c>
      <c r="F74" s="20">
        <f t="shared" si="9"/>
        <v>80</v>
      </c>
      <c r="G74" s="10">
        <v>10</v>
      </c>
      <c r="S74" s="8"/>
      <c r="V74" s="8"/>
    </row>
    <row r="75" spans="2:22" x14ac:dyDescent="0.2">
      <c r="B75" t="s">
        <v>12</v>
      </c>
      <c r="C75" t="s">
        <v>15</v>
      </c>
      <c r="D75" s="20" t="str">
        <f t="shared" si="7"/>
        <v>CISO</v>
      </c>
      <c r="E75" s="20">
        <f t="shared" si="8"/>
        <v>5</v>
      </c>
      <c r="F75" s="20">
        <f t="shared" si="9"/>
        <v>20</v>
      </c>
      <c r="G75" s="10">
        <v>20</v>
      </c>
      <c r="S75" s="8"/>
      <c r="V75" s="8"/>
    </row>
    <row r="76" spans="2:22" x14ac:dyDescent="0.2">
      <c r="B76" t="s">
        <v>81</v>
      </c>
      <c r="C76" t="s">
        <v>15</v>
      </c>
      <c r="D76" s="20" t="str">
        <f t="shared" si="7"/>
        <v>Commercial</v>
      </c>
      <c r="E76" s="20">
        <f t="shared" si="8"/>
        <v>3</v>
      </c>
      <c r="F76" s="20">
        <f t="shared" si="9"/>
        <v>100</v>
      </c>
      <c r="G76" s="10">
        <v>10</v>
      </c>
      <c r="S76" s="8"/>
      <c r="V76" s="8"/>
    </row>
    <row r="77" spans="2:22" x14ac:dyDescent="0.2">
      <c r="B77" t="s">
        <v>82</v>
      </c>
      <c r="C77" t="s">
        <v>15</v>
      </c>
      <c r="D77" s="20" t="str">
        <f t="shared" si="7"/>
        <v>Commercial</v>
      </c>
      <c r="E77" s="20">
        <f t="shared" si="8"/>
        <v>3</v>
      </c>
      <c r="F77" s="20">
        <f t="shared" si="9"/>
        <v>100</v>
      </c>
      <c r="G77" s="10">
        <v>10</v>
      </c>
      <c r="S77" s="8"/>
      <c r="V77" s="8"/>
    </row>
    <row r="78" spans="2:22" x14ac:dyDescent="0.2">
      <c r="B78" t="s">
        <v>79</v>
      </c>
      <c r="C78" t="s">
        <v>15</v>
      </c>
      <c r="D78" s="20" t="str">
        <f t="shared" si="7"/>
        <v>Commercial</v>
      </c>
      <c r="E78" s="20">
        <f t="shared" si="8"/>
        <v>3</v>
      </c>
      <c r="F78" s="20">
        <f t="shared" si="9"/>
        <v>100</v>
      </c>
      <c r="G78" s="10">
        <v>10</v>
      </c>
      <c r="S78" s="8"/>
      <c r="V78" s="8"/>
    </row>
    <row r="79" spans="2:22" x14ac:dyDescent="0.2">
      <c r="B79" t="s">
        <v>83</v>
      </c>
      <c r="C79" t="s">
        <v>15</v>
      </c>
      <c r="D79" s="20" t="str">
        <f t="shared" si="7"/>
        <v>Commercial</v>
      </c>
      <c r="E79" s="20">
        <f t="shared" si="8"/>
        <v>3</v>
      </c>
      <c r="F79" s="20">
        <f t="shared" si="9"/>
        <v>100</v>
      </c>
      <c r="G79" s="10">
        <v>10</v>
      </c>
      <c r="S79" s="8"/>
      <c r="V79" s="8"/>
    </row>
    <row r="80" spans="2:22" x14ac:dyDescent="0.2">
      <c r="B80" t="s">
        <v>22</v>
      </c>
      <c r="C80" t="s">
        <v>15</v>
      </c>
      <c r="D80" s="20" t="str">
        <f t="shared" si="7"/>
        <v>Commercial</v>
      </c>
      <c r="E80" s="20">
        <f t="shared" si="8"/>
        <v>3</v>
      </c>
      <c r="F80" s="20">
        <f t="shared" si="9"/>
        <v>100</v>
      </c>
      <c r="G80" s="10">
        <v>10</v>
      </c>
      <c r="S80" s="8"/>
      <c r="V80" s="8"/>
    </row>
    <row r="81" spans="2:22" x14ac:dyDescent="0.2">
      <c r="B81" t="s">
        <v>26</v>
      </c>
      <c r="C81" t="s">
        <v>15</v>
      </c>
      <c r="D81" s="20" t="str">
        <f t="shared" si="7"/>
        <v>Commercial</v>
      </c>
      <c r="E81" s="20">
        <f t="shared" si="8"/>
        <v>3</v>
      </c>
      <c r="F81" s="20">
        <f t="shared" si="9"/>
        <v>100</v>
      </c>
      <c r="G81" s="10">
        <v>10</v>
      </c>
      <c r="S81" s="8"/>
      <c r="V81" s="8"/>
    </row>
    <row r="82" spans="2:22" x14ac:dyDescent="0.2">
      <c r="B82" t="s">
        <v>24</v>
      </c>
      <c r="C82" t="s">
        <v>15</v>
      </c>
      <c r="D82" s="20" t="str">
        <f t="shared" si="7"/>
        <v>Commercial</v>
      </c>
      <c r="E82" s="20">
        <f t="shared" si="8"/>
        <v>6</v>
      </c>
      <c r="F82" s="20">
        <f t="shared" si="9"/>
        <v>100</v>
      </c>
      <c r="G82" s="10">
        <v>20</v>
      </c>
      <c r="S82" s="8"/>
      <c r="V82" s="8"/>
    </row>
    <row r="83" spans="2:22" x14ac:dyDescent="0.2">
      <c r="B83" t="s">
        <v>25</v>
      </c>
      <c r="C83" t="s">
        <v>15</v>
      </c>
      <c r="D83" s="20" t="str">
        <f t="shared" si="7"/>
        <v>Commercial</v>
      </c>
      <c r="E83" s="20">
        <f t="shared" si="8"/>
        <v>3</v>
      </c>
      <c r="F83" s="20">
        <f t="shared" si="9"/>
        <v>100</v>
      </c>
      <c r="G83" s="10">
        <v>10</v>
      </c>
      <c r="S83" s="8"/>
      <c r="V83" s="8"/>
    </row>
    <row r="84" spans="2:22" x14ac:dyDescent="0.2">
      <c r="B84" t="s">
        <v>80</v>
      </c>
      <c r="C84" t="s">
        <v>15</v>
      </c>
      <c r="D84" s="20" t="str">
        <f t="shared" si="7"/>
        <v>Commercial</v>
      </c>
      <c r="E84" s="20">
        <f t="shared" si="8"/>
        <v>3</v>
      </c>
      <c r="F84" s="20">
        <f t="shared" si="9"/>
        <v>100</v>
      </c>
      <c r="G84" s="10">
        <v>10</v>
      </c>
      <c r="S84" s="8"/>
      <c r="V84" s="8"/>
    </row>
    <row r="85" spans="2:22" x14ac:dyDescent="0.2">
      <c r="B85" t="s">
        <v>87</v>
      </c>
      <c r="C85" t="s">
        <v>15</v>
      </c>
      <c r="D85" s="20" t="str">
        <f t="shared" si="7"/>
        <v>Corporate</v>
      </c>
      <c r="E85" s="20">
        <f t="shared" si="8"/>
        <v>1.4285714285714286</v>
      </c>
      <c r="F85" s="20">
        <f t="shared" si="9"/>
        <v>140</v>
      </c>
      <c r="G85" s="10">
        <v>10</v>
      </c>
      <c r="S85" s="8"/>
      <c r="V85" s="8"/>
    </row>
    <row r="86" spans="2:22" x14ac:dyDescent="0.2">
      <c r="B86" t="s">
        <v>89</v>
      </c>
      <c r="C86" t="s">
        <v>15</v>
      </c>
      <c r="D86" s="20" t="str">
        <f t="shared" si="7"/>
        <v>Corporate</v>
      </c>
      <c r="E86" s="20">
        <f t="shared" si="8"/>
        <v>1.4285714285714286</v>
      </c>
      <c r="F86" s="20">
        <f t="shared" si="9"/>
        <v>140</v>
      </c>
      <c r="G86" s="10">
        <v>10</v>
      </c>
      <c r="S86" s="8"/>
      <c r="V86" s="8"/>
    </row>
    <row r="87" spans="2:22" x14ac:dyDescent="0.2">
      <c r="B87" t="s">
        <v>23</v>
      </c>
      <c r="C87" t="s">
        <v>15</v>
      </c>
      <c r="D87" s="20" t="str">
        <f t="shared" si="7"/>
        <v>Corporate</v>
      </c>
      <c r="E87" s="20">
        <f t="shared" si="8"/>
        <v>2.8571428571428572</v>
      </c>
      <c r="F87" s="20">
        <f t="shared" si="9"/>
        <v>140</v>
      </c>
      <c r="G87" s="10">
        <v>20</v>
      </c>
      <c r="S87" s="8"/>
      <c r="V87" s="8"/>
    </row>
    <row r="88" spans="2:22" x14ac:dyDescent="0.2">
      <c r="B88" t="s">
        <v>91</v>
      </c>
      <c r="C88" t="s">
        <v>15</v>
      </c>
      <c r="D88" s="20" t="str">
        <f t="shared" si="7"/>
        <v>Corporate</v>
      </c>
      <c r="E88" s="20">
        <f t="shared" si="8"/>
        <v>1.4285714285714286</v>
      </c>
      <c r="F88" s="20">
        <f t="shared" si="9"/>
        <v>140</v>
      </c>
      <c r="G88" s="10">
        <v>10</v>
      </c>
      <c r="S88" s="8"/>
      <c r="V88" s="8"/>
    </row>
    <row r="89" spans="2:22" x14ac:dyDescent="0.2">
      <c r="B89" t="s">
        <v>93</v>
      </c>
      <c r="C89" t="s">
        <v>15</v>
      </c>
      <c r="D89" s="20" t="str">
        <f t="shared" si="7"/>
        <v>Corporate</v>
      </c>
      <c r="E89" s="20">
        <f t="shared" si="8"/>
        <v>1.4285714285714286</v>
      </c>
      <c r="F89" s="20">
        <f t="shared" si="9"/>
        <v>140</v>
      </c>
      <c r="G89" s="10">
        <v>10</v>
      </c>
      <c r="S89" s="8"/>
      <c r="V89" s="8"/>
    </row>
    <row r="90" spans="2:22" x14ac:dyDescent="0.2">
      <c r="B90" t="s">
        <v>97</v>
      </c>
      <c r="C90" t="s">
        <v>15</v>
      </c>
      <c r="D90" s="20" t="str">
        <f t="shared" si="7"/>
        <v>Corporate</v>
      </c>
      <c r="E90" s="20">
        <f t="shared" si="8"/>
        <v>1.4285714285714286</v>
      </c>
      <c r="F90" s="20">
        <f t="shared" si="9"/>
        <v>140</v>
      </c>
      <c r="G90" s="10">
        <v>10</v>
      </c>
      <c r="S90" s="8"/>
      <c r="V90" s="8"/>
    </row>
    <row r="91" spans="2:22" x14ac:dyDescent="0.2">
      <c r="B91" t="s">
        <v>99</v>
      </c>
      <c r="C91" t="s">
        <v>15</v>
      </c>
      <c r="D91" s="20" t="str">
        <f t="shared" si="7"/>
        <v>Corporate</v>
      </c>
      <c r="E91" s="20">
        <f t="shared" si="8"/>
        <v>1.4285714285714286</v>
      </c>
      <c r="F91" s="20">
        <f t="shared" si="9"/>
        <v>140</v>
      </c>
      <c r="G91" s="10">
        <v>10</v>
      </c>
      <c r="S91" s="8"/>
      <c r="V91" s="8"/>
    </row>
    <row r="92" spans="2:22" x14ac:dyDescent="0.2">
      <c r="B92" t="s">
        <v>76</v>
      </c>
      <c r="C92" t="s">
        <v>15</v>
      </c>
      <c r="D92" s="20" t="str">
        <f t="shared" si="7"/>
        <v>Corporate</v>
      </c>
      <c r="E92" s="20">
        <f t="shared" si="8"/>
        <v>1.4285714285714286</v>
      </c>
      <c r="F92" s="20">
        <f t="shared" si="9"/>
        <v>140</v>
      </c>
      <c r="G92" s="10">
        <v>10</v>
      </c>
      <c r="S92" s="8"/>
      <c r="V92" s="8"/>
    </row>
    <row r="93" spans="2:22" x14ac:dyDescent="0.2">
      <c r="B93" t="s">
        <v>90</v>
      </c>
      <c r="C93" t="s">
        <v>15</v>
      </c>
      <c r="D93" s="20" t="str">
        <f t="shared" si="7"/>
        <v>Corporate</v>
      </c>
      <c r="E93" s="20">
        <f t="shared" si="8"/>
        <v>1.4285714285714286</v>
      </c>
      <c r="F93" s="20">
        <f t="shared" si="9"/>
        <v>140</v>
      </c>
      <c r="G93" s="10">
        <v>10</v>
      </c>
      <c r="S93" s="8"/>
      <c r="V93" s="8"/>
    </row>
    <row r="94" spans="2:22" x14ac:dyDescent="0.2">
      <c r="B94" t="s">
        <v>159</v>
      </c>
      <c r="C94" t="s">
        <v>15</v>
      </c>
      <c r="D94" s="20" t="str">
        <f t="shared" si="7"/>
        <v>Corporate</v>
      </c>
      <c r="E94" s="20">
        <f t="shared" si="8"/>
        <v>1.4285714285714286</v>
      </c>
      <c r="F94" s="20">
        <f t="shared" si="9"/>
        <v>140</v>
      </c>
      <c r="G94" s="10">
        <v>10</v>
      </c>
      <c r="S94" s="8"/>
      <c r="V94" s="8"/>
    </row>
    <row r="95" spans="2:22" x14ac:dyDescent="0.2">
      <c r="B95" t="s">
        <v>88</v>
      </c>
      <c r="C95" t="s">
        <v>15</v>
      </c>
      <c r="D95" s="20" t="str">
        <f t="shared" si="7"/>
        <v>Corporate</v>
      </c>
      <c r="E95" s="20">
        <f t="shared" si="8"/>
        <v>1.4285714285714286</v>
      </c>
      <c r="F95" s="20">
        <f t="shared" si="9"/>
        <v>140</v>
      </c>
      <c r="G95" s="10">
        <v>10</v>
      </c>
      <c r="S95" s="8"/>
      <c r="V95" s="8"/>
    </row>
    <row r="96" spans="2:22" x14ac:dyDescent="0.2">
      <c r="B96" t="s">
        <v>94</v>
      </c>
      <c r="C96" t="s">
        <v>15</v>
      </c>
      <c r="D96" s="20" t="str">
        <f t="shared" si="7"/>
        <v>Corporate</v>
      </c>
      <c r="E96" s="20">
        <f t="shared" si="8"/>
        <v>1.4285714285714286</v>
      </c>
      <c r="F96" s="20">
        <f t="shared" si="9"/>
        <v>140</v>
      </c>
      <c r="G96" s="10">
        <v>10</v>
      </c>
      <c r="S96" s="8"/>
      <c r="V96" s="8"/>
    </row>
    <row r="97" spans="2:22" x14ac:dyDescent="0.2">
      <c r="B97" t="s">
        <v>96</v>
      </c>
      <c r="C97" t="s">
        <v>15</v>
      </c>
      <c r="D97" s="20" t="str">
        <f t="shared" si="7"/>
        <v>Corporate</v>
      </c>
      <c r="E97" s="20">
        <f t="shared" si="8"/>
        <v>1.4285714285714286</v>
      </c>
      <c r="F97" s="20">
        <f t="shared" si="9"/>
        <v>140</v>
      </c>
      <c r="G97" s="10">
        <v>10</v>
      </c>
      <c r="S97" s="8"/>
      <c r="V97" s="8"/>
    </row>
    <row r="98" spans="2:22" x14ac:dyDescent="0.2">
      <c r="B98" t="s">
        <v>8</v>
      </c>
      <c r="C98" t="s">
        <v>15</v>
      </c>
      <c r="D98" s="20" t="str">
        <f t="shared" si="7"/>
        <v>Operations</v>
      </c>
      <c r="E98" s="20">
        <f t="shared" si="8"/>
        <v>10</v>
      </c>
      <c r="F98" s="20">
        <f t="shared" si="9"/>
        <v>30</v>
      </c>
      <c r="G98" s="10">
        <v>10</v>
      </c>
      <c r="S98" s="8"/>
      <c r="V98" s="8"/>
    </row>
    <row r="99" spans="2:22" x14ac:dyDescent="0.2">
      <c r="B99" t="s">
        <v>85</v>
      </c>
      <c r="C99" t="s">
        <v>15</v>
      </c>
      <c r="D99" s="20" t="str">
        <f t="shared" si="7"/>
        <v>Operations</v>
      </c>
      <c r="E99" s="20">
        <f t="shared" si="8"/>
        <v>10</v>
      </c>
      <c r="F99" s="20">
        <f t="shared" si="9"/>
        <v>30</v>
      </c>
      <c r="G99" s="10">
        <v>10</v>
      </c>
      <c r="S99" s="8"/>
      <c r="V99" s="8"/>
    </row>
    <row r="100" spans="2:22" x14ac:dyDescent="0.2">
      <c r="B100" t="s">
        <v>27</v>
      </c>
      <c r="C100" t="s">
        <v>15</v>
      </c>
      <c r="D100" s="20" t="str">
        <f t="shared" si="7"/>
        <v>Operations</v>
      </c>
      <c r="E100" s="20">
        <f t="shared" si="8"/>
        <v>10</v>
      </c>
      <c r="F100" s="20">
        <f t="shared" si="9"/>
        <v>30</v>
      </c>
      <c r="G100" s="10">
        <v>10</v>
      </c>
      <c r="S100" s="8"/>
      <c r="V100" s="8"/>
    </row>
    <row r="101" spans="2:22" x14ac:dyDescent="0.2">
      <c r="B101" t="s">
        <v>75</v>
      </c>
      <c r="C101" t="s">
        <v>15</v>
      </c>
      <c r="D101" s="20" t="str">
        <f t="shared" si="7"/>
        <v>Technology</v>
      </c>
      <c r="E101" s="20">
        <f t="shared" si="8"/>
        <v>1.6666666666666667</v>
      </c>
      <c r="F101" s="20">
        <f t="shared" si="9"/>
        <v>60</v>
      </c>
      <c r="G101" s="10">
        <v>10</v>
      </c>
      <c r="S101" s="8"/>
      <c r="V101" s="8"/>
    </row>
    <row r="102" spans="2:22" x14ac:dyDescent="0.2">
      <c r="B102" t="s">
        <v>10</v>
      </c>
      <c r="C102" t="s">
        <v>15</v>
      </c>
      <c r="D102" s="20" t="str">
        <f t="shared" si="7"/>
        <v>Technology</v>
      </c>
      <c r="E102" s="20">
        <f t="shared" si="8"/>
        <v>3.3333333333333335</v>
      </c>
      <c r="F102" s="20">
        <f t="shared" si="9"/>
        <v>60</v>
      </c>
      <c r="G102" s="10">
        <v>20</v>
      </c>
      <c r="S102" s="8"/>
      <c r="V102" s="8"/>
    </row>
    <row r="103" spans="2:22" x14ac:dyDescent="0.2">
      <c r="B103" t="s">
        <v>103</v>
      </c>
      <c r="C103" t="s">
        <v>15</v>
      </c>
      <c r="D103" s="20" t="str">
        <f t="shared" si="7"/>
        <v>Technology</v>
      </c>
      <c r="E103" s="20">
        <f t="shared" si="8"/>
        <v>1.6666666666666667</v>
      </c>
      <c r="F103" s="20">
        <f t="shared" si="9"/>
        <v>60</v>
      </c>
      <c r="G103" s="10">
        <v>10</v>
      </c>
      <c r="S103" s="8"/>
      <c r="V103" s="8"/>
    </row>
    <row r="104" spans="2:22" x14ac:dyDescent="0.2">
      <c r="B104" t="s">
        <v>102</v>
      </c>
      <c r="C104" t="s">
        <v>15</v>
      </c>
      <c r="D104" s="20" t="str">
        <f t="shared" si="7"/>
        <v>Technology</v>
      </c>
      <c r="E104" s="20">
        <f t="shared" si="8"/>
        <v>1.6666666666666667</v>
      </c>
      <c r="F104" s="20">
        <f t="shared" si="9"/>
        <v>60</v>
      </c>
      <c r="G104" s="10">
        <v>10</v>
      </c>
      <c r="S104" s="8"/>
      <c r="V104" s="8"/>
    </row>
    <row r="105" spans="2:22" x14ac:dyDescent="0.2">
      <c r="B105" t="s">
        <v>101</v>
      </c>
      <c r="C105" t="s">
        <v>15</v>
      </c>
      <c r="D105" s="20" t="str">
        <f t="shared" si="7"/>
        <v>Technology</v>
      </c>
      <c r="E105" s="20">
        <f t="shared" si="8"/>
        <v>1.6666666666666667</v>
      </c>
      <c r="F105" s="20">
        <f t="shared" si="9"/>
        <v>60</v>
      </c>
      <c r="G105" s="10">
        <v>10</v>
      </c>
      <c r="S105" s="8"/>
      <c r="V105" s="8"/>
    </row>
    <row r="106" spans="2:22" x14ac:dyDescent="0.2">
      <c r="B106" t="s">
        <v>12</v>
      </c>
      <c r="C106" t="s">
        <v>16</v>
      </c>
      <c r="D106" s="20" t="str">
        <f t="shared" si="7"/>
        <v>CISO</v>
      </c>
      <c r="E106" s="20">
        <f t="shared" si="8"/>
        <v>5</v>
      </c>
      <c r="F106" s="20">
        <f t="shared" si="9"/>
        <v>20</v>
      </c>
      <c r="G106" s="10">
        <v>20</v>
      </c>
      <c r="S106" s="8"/>
      <c r="V106" s="8"/>
    </row>
    <row r="107" spans="2:22" x14ac:dyDescent="0.2">
      <c r="B107" t="s">
        <v>81</v>
      </c>
      <c r="C107" t="s">
        <v>16</v>
      </c>
      <c r="D107" s="20" t="str">
        <f t="shared" si="7"/>
        <v>Commercial</v>
      </c>
      <c r="E107" s="20">
        <f t="shared" si="8"/>
        <v>2.7272727272727271</v>
      </c>
      <c r="F107" s="20">
        <f t="shared" si="9"/>
        <v>110</v>
      </c>
      <c r="G107" s="10">
        <v>10</v>
      </c>
      <c r="S107" s="8"/>
      <c r="V107" s="8"/>
    </row>
    <row r="108" spans="2:22" x14ac:dyDescent="0.2">
      <c r="B108" t="s">
        <v>82</v>
      </c>
      <c r="C108" t="s">
        <v>16</v>
      </c>
      <c r="D108" s="20" t="str">
        <f t="shared" si="7"/>
        <v>Commercial</v>
      </c>
      <c r="E108" s="20">
        <f t="shared" si="8"/>
        <v>2.7272727272727271</v>
      </c>
      <c r="F108" s="20">
        <f t="shared" si="9"/>
        <v>110</v>
      </c>
      <c r="G108" s="10">
        <v>10</v>
      </c>
      <c r="S108" s="8"/>
      <c r="V108" s="8"/>
    </row>
    <row r="109" spans="2:22" x14ac:dyDescent="0.2">
      <c r="B109" t="s">
        <v>79</v>
      </c>
      <c r="C109" t="s">
        <v>16</v>
      </c>
      <c r="D109" s="20" t="str">
        <f t="shared" si="7"/>
        <v>Commercial</v>
      </c>
      <c r="E109" s="20">
        <f t="shared" si="8"/>
        <v>2.7272727272727271</v>
      </c>
      <c r="F109" s="20">
        <f t="shared" si="9"/>
        <v>110</v>
      </c>
      <c r="G109" s="10">
        <v>10</v>
      </c>
      <c r="S109" s="8"/>
      <c r="V109" s="8"/>
    </row>
    <row r="110" spans="2:22" x14ac:dyDescent="0.2">
      <c r="B110" t="s">
        <v>83</v>
      </c>
      <c r="C110" t="s">
        <v>16</v>
      </c>
      <c r="D110" s="20" t="str">
        <f t="shared" si="7"/>
        <v>Commercial</v>
      </c>
      <c r="E110" s="20">
        <f t="shared" si="8"/>
        <v>2.7272727272727271</v>
      </c>
      <c r="F110" s="20">
        <f t="shared" si="9"/>
        <v>110</v>
      </c>
      <c r="G110" s="10">
        <v>10</v>
      </c>
      <c r="S110" s="8"/>
      <c r="V110" s="8"/>
    </row>
    <row r="111" spans="2:22" x14ac:dyDescent="0.2">
      <c r="B111" t="s">
        <v>22</v>
      </c>
      <c r="C111" t="s">
        <v>16</v>
      </c>
      <c r="D111" s="20" t="str">
        <f t="shared" si="7"/>
        <v>Commercial</v>
      </c>
      <c r="E111" s="20">
        <f t="shared" si="8"/>
        <v>5.4545454545454541</v>
      </c>
      <c r="F111" s="20">
        <f t="shared" si="9"/>
        <v>110</v>
      </c>
      <c r="G111" s="10">
        <v>20</v>
      </c>
      <c r="S111" s="8"/>
      <c r="V111" s="8"/>
    </row>
    <row r="112" spans="2:22" x14ac:dyDescent="0.2">
      <c r="B112" t="s">
        <v>26</v>
      </c>
      <c r="C112" t="s">
        <v>16</v>
      </c>
      <c r="D112" s="20" t="str">
        <f t="shared" si="7"/>
        <v>Commercial</v>
      </c>
      <c r="E112" s="20">
        <f t="shared" si="8"/>
        <v>2.7272727272727271</v>
      </c>
      <c r="F112" s="20">
        <f t="shared" si="9"/>
        <v>110</v>
      </c>
      <c r="G112" s="10">
        <v>10</v>
      </c>
      <c r="S112" s="8"/>
      <c r="V112" s="8"/>
    </row>
    <row r="113" spans="2:22" x14ac:dyDescent="0.2">
      <c r="B113" t="s">
        <v>24</v>
      </c>
      <c r="C113" t="s">
        <v>16</v>
      </c>
      <c r="D113" s="20" t="str">
        <f t="shared" si="7"/>
        <v>Commercial</v>
      </c>
      <c r="E113" s="20">
        <f t="shared" si="8"/>
        <v>2.7272727272727271</v>
      </c>
      <c r="F113" s="20">
        <f t="shared" si="9"/>
        <v>110</v>
      </c>
      <c r="G113" s="10">
        <v>10</v>
      </c>
      <c r="S113" s="8"/>
      <c r="V113" s="8"/>
    </row>
    <row r="114" spans="2:22" x14ac:dyDescent="0.2">
      <c r="B114" t="s">
        <v>25</v>
      </c>
      <c r="C114" t="s">
        <v>16</v>
      </c>
      <c r="D114" s="20" t="str">
        <f t="shared" si="7"/>
        <v>Commercial</v>
      </c>
      <c r="E114" s="20">
        <f t="shared" si="8"/>
        <v>2.7272727272727271</v>
      </c>
      <c r="F114" s="20">
        <f t="shared" si="9"/>
        <v>110</v>
      </c>
      <c r="G114" s="10">
        <v>10</v>
      </c>
      <c r="S114" s="8"/>
      <c r="V114" s="8"/>
    </row>
    <row r="115" spans="2:22" x14ac:dyDescent="0.2">
      <c r="B115" t="s">
        <v>80</v>
      </c>
      <c r="C115" t="s">
        <v>16</v>
      </c>
      <c r="D115" s="20" t="str">
        <f t="shared" si="7"/>
        <v>Commercial</v>
      </c>
      <c r="E115" s="20">
        <f t="shared" si="8"/>
        <v>5.4545454545454541</v>
      </c>
      <c r="F115" s="20">
        <f t="shared" si="9"/>
        <v>110</v>
      </c>
      <c r="G115" s="10">
        <v>20</v>
      </c>
      <c r="S115" s="8"/>
      <c r="V115" s="8"/>
    </row>
    <row r="116" spans="2:22" x14ac:dyDescent="0.2">
      <c r="B116" t="s">
        <v>87</v>
      </c>
      <c r="C116" t="s">
        <v>16</v>
      </c>
      <c r="D116" s="20" t="str">
        <f t="shared" si="7"/>
        <v>Corporate</v>
      </c>
      <c r="E116" s="20">
        <f t="shared" si="8"/>
        <v>1.4285714285714286</v>
      </c>
      <c r="F116" s="20">
        <f t="shared" si="9"/>
        <v>140</v>
      </c>
      <c r="G116" s="10">
        <v>10</v>
      </c>
      <c r="S116" s="8"/>
      <c r="V116" s="8"/>
    </row>
    <row r="117" spans="2:22" x14ac:dyDescent="0.2">
      <c r="B117" t="s">
        <v>89</v>
      </c>
      <c r="C117" t="s">
        <v>16</v>
      </c>
      <c r="D117" s="20" t="str">
        <f t="shared" si="7"/>
        <v>Corporate</v>
      </c>
      <c r="E117" s="20">
        <f t="shared" si="8"/>
        <v>1.4285714285714286</v>
      </c>
      <c r="F117" s="20">
        <f t="shared" si="9"/>
        <v>140</v>
      </c>
      <c r="G117" s="10">
        <v>10</v>
      </c>
      <c r="S117" s="8"/>
      <c r="V117" s="8"/>
    </row>
    <row r="118" spans="2:22" x14ac:dyDescent="0.2">
      <c r="B118" t="s">
        <v>23</v>
      </c>
      <c r="C118" t="s">
        <v>16</v>
      </c>
      <c r="D118" s="20" t="str">
        <f t="shared" si="7"/>
        <v>Corporate</v>
      </c>
      <c r="E118" s="20">
        <f t="shared" si="8"/>
        <v>2.8571428571428572</v>
      </c>
      <c r="F118" s="20">
        <f t="shared" si="9"/>
        <v>140</v>
      </c>
      <c r="G118" s="10">
        <v>20</v>
      </c>
      <c r="S118" s="8"/>
      <c r="V118" s="8"/>
    </row>
    <row r="119" spans="2:22" x14ac:dyDescent="0.2">
      <c r="B119" t="s">
        <v>91</v>
      </c>
      <c r="C119" t="s">
        <v>16</v>
      </c>
      <c r="D119" s="20" t="str">
        <f t="shared" si="7"/>
        <v>Corporate</v>
      </c>
      <c r="E119" s="20">
        <f t="shared" si="8"/>
        <v>1.4285714285714286</v>
      </c>
      <c r="F119" s="20">
        <f t="shared" si="9"/>
        <v>140</v>
      </c>
      <c r="G119" s="10">
        <v>10</v>
      </c>
      <c r="S119" s="8"/>
      <c r="V119" s="8"/>
    </row>
    <row r="120" spans="2:22" x14ac:dyDescent="0.2">
      <c r="B120" t="s">
        <v>93</v>
      </c>
      <c r="C120" t="s">
        <v>16</v>
      </c>
      <c r="D120" s="20" t="str">
        <f t="shared" si="7"/>
        <v>Corporate</v>
      </c>
      <c r="E120" s="20">
        <f t="shared" si="8"/>
        <v>1.4285714285714286</v>
      </c>
      <c r="F120" s="20">
        <f t="shared" si="9"/>
        <v>140</v>
      </c>
      <c r="G120" s="10">
        <v>10</v>
      </c>
      <c r="S120" s="8"/>
      <c r="V120" s="8"/>
    </row>
    <row r="121" spans="2:22" x14ac:dyDescent="0.2">
      <c r="B121" t="s">
        <v>97</v>
      </c>
      <c r="C121" t="s">
        <v>16</v>
      </c>
      <c r="D121" s="20" t="str">
        <f t="shared" si="7"/>
        <v>Corporate</v>
      </c>
      <c r="E121" s="20">
        <f t="shared" si="8"/>
        <v>1.4285714285714286</v>
      </c>
      <c r="F121" s="20">
        <f t="shared" si="9"/>
        <v>140</v>
      </c>
      <c r="G121" s="10">
        <v>10</v>
      </c>
      <c r="S121" s="8"/>
      <c r="V121" s="8"/>
    </row>
    <row r="122" spans="2:22" x14ac:dyDescent="0.2">
      <c r="B122" t="s">
        <v>99</v>
      </c>
      <c r="C122" t="s">
        <v>16</v>
      </c>
      <c r="D122" s="20" t="str">
        <f t="shared" si="7"/>
        <v>Corporate</v>
      </c>
      <c r="E122" s="20">
        <f t="shared" si="8"/>
        <v>1.4285714285714286</v>
      </c>
      <c r="F122" s="20">
        <f t="shared" si="9"/>
        <v>140</v>
      </c>
      <c r="G122" s="10">
        <v>10</v>
      </c>
      <c r="S122" s="8"/>
      <c r="V122" s="8"/>
    </row>
    <row r="123" spans="2:22" x14ac:dyDescent="0.2">
      <c r="B123" t="s">
        <v>76</v>
      </c>
      <c r="C123" t="s">
        <v>16</v>
      </c>
      <c r="D123" s="20" t="str">
        <f t="shared" si="7"/>
        <v>Corporate</v>
      </c>
      <c r="E123" s="20">
        <f t="shared" si="8"/>
        <v>1.4285714285714286</v>
      </c>
      <c r="F123" s="20">
        <f t="shared" si="9"/>
        <v>140</v>
      </c>
      <c r="G123" s="10">
        <v>10</v>
      </c>
      <c r="S123" s="8"/>
      <c r="V123" s="8"/>
    </row>
    <row r="124" spans="2:22" x14ac:dyDescent="0.2">
      <c r="B124" t="s">
        <v>90</v>
      </c>
      <c r="C124" t="s">
        <v>16</v>
      </c>
      <c r="D124" s="20" t="str">
        <f t="shared" si="7"/>
        <v>Corporate</v>
      </c>
      <c r="E124" s="20">
        <f t="shared" si="8"/>
        <v>1.4285714285714286</v>
      </c>
      <c r="F124" s="20">
        <f t="shared" si="9"/>
        <v>140</v>
      </c>
      <c r="G124" s="10">
        <v>10</v>
      </c>
      <c r="S124" s="8"/>
      <c r="V124" s="8"/>
    </row>
    <row r="125" spans="2:22" x14ac:dyDescent="0.2">
      <c r="B125" t="s">
        <v>159</v>
      </c>
      <c r="C125" t="s">
        <v>16</v>
      </c>
      <c r="D125" s="20" t="str">
        <f t="shared" si="7"/>
        <v>Corporate</v>
      </c>
      <c r="E125" s="20">
        <f t="shared" si="8"/>
        <v>1.4285714285714286</v>
      </c>
      <c r="F125" s="20">
        <f t="shared" si="9"/>
        <v>140</v>
      </c>
      <c r="G125" s="10">
        <v>10</v>
      </c>
      <c r="S125" s="8"/>
      <c r="V125" s="8"/>
    </row>
    <row r="126" spans="2:22" x14ac:dyDescent="0.2">
      <c r="B126" t="s">
        <v>88</v>
      </c>
      <c r="C126" t="s">
        <v>16</v>
      </c>
      <c r="D126" s="20" t="str">
        <f t="shared" si="7"/>
        <v>Corporate</v>
      </c>
      <c r="E126" s="20">
        <f t="shared" si="8"/>
        <v>1.4285714285714286</v>
      </c>
      <c r="F126" s="20">
        <f t="shared" si="9"/>
        <v>140</v>
      </c>
      <c r="G126" s="10">
        <v>10</v>
      </c>
      <c r="S126" s="8"/>
      <c r="V126" s="8"/>
    </row>
    <row r="127" spans="2:22" x14ac:dyDescent="0.2">
      <c r="B127" t="s">
        <v>94</v>
      </c>
      <c r="C127" t="s">
        <v>16</v>
      </c>
      <c r="D127" s="20" t="str">
        <f t="shared" si="7"/>
        <v>Corporate</v>
      </c>
      <c r="E127" s="20">
        <f t="shared" si="8"/>
        <v>1.4285714285714286</v>
      </c>
      <c r="F127" s="20">
        <f t="shared" si="9"/>
        <v>140</v>
      </c>
      <c r="G127" s="10">
        <v>10</v>
      </c>
      <c r="S127" s="8"/>
      <c r="V127" s="8"/>
    </row>
    <row r="128" spans="2:22" x14ac:dyDescent="0.2">
      <c r="B128" t="s">
        <v>96</v>
      </c>
      <c r="C128" t="s">
        <v>16</v>
      </c>
      <c r="D128" s="20" t="str">
        <f t="shared" si="7"/>
        <v>Corporate</v>
      </c>
      <c r="E128" s="20">
        <f t="shared" si="8"/>
        <v>1.4285714285714286</v>
      </c>
      <c r="F128" s="20">
        <f t="shared" si="9"/>
        <v>140</v>
      </c>
      <c r="G128" s="10">
        <v>10</v>
      </c>
      <c r="S128" s="8"/>
      <c r="V128" s="8"/>
    </row>
    <row r="129" spans="2:22" x14ac:dyDescent="0.2">
      <c r="B129" t="s">
        <v>8</v>
      </c>
      <c r="C129" t="s">
        <v>16</v>
      </c>
      <c r="D129" s="20" t="str">
        <f t="shared" si="7"/>
        <v>Operations</v>
      </c>
      <c r="E129" s="20">
        <f t="shared" si="8"/>
        <v>8</v>
      </c>
      <c r="F129" s="20">
        <f t="shared" si="9"/>
        <v>50</v>
      </c>
      <c r="G129" s="10">
        <v>20</v>
      </c>
      <c r="S129" s="8"/>
      <c r="V129" s="8"/>
    </row>
    <row r="130" spans="2:22" x14ac:dyDescent="0.2">
      <c r="B130" t="s">
        <v>85</v>
      </c>
      <c r="C130" t="s">
        <v>16</v>
      </c>
      <c r="D130" s="20" t="str">
        <f t="shared" si="7"/>
        <v>Operations</v>
      </c>
      <c r="E130" s="20">
        <f t="shared" si="8"/>
        <v>4</v>
      </c>
      <c r="F130" s="20">
        <f t="shared" si="9"/>
        <v>50</v>
      </c>
      <c r="G130" s="10">
        <v>10</v>
      </c>
      <c r="S130" s="8"/>
      <c r="V130" s="8"/>
    </row>
    <row r="131" spans="2:22" x14ac:dyDescent="0.2">
      <c r="B131" t="s">
        <v>27</v>
      </c>
      <c r="C131" t="s">
        <v>16</v>
      </c>
      <c r="D131" s="20" t="str">
        <f t="shared" ref="D131:D194" si="10">VLOOKUP($B131,$Y:$Z,2,FALSE)</f>
        <v>Operations</v>
      </c>
      <c r="E131" s="20">
        <f t="shared" ref="E131:E194" si="11">G131*SUMIFS($K:$K,$I:$I,C131,$J:$J,D131)/F131</f>
        <v>8</v>
      </c>
      <c r="F131" s="20">
        <f t="shared" ref="F131:F194" si="12">SUMIFS($G$2:$G$1000,$D$2:$D$1000,D131,$C$2:$C$1000,C131)</f>
        <v>50</v>
      </c>
      <c r="G131" s="10">
        <v>20</v>
      </c>
      <c r="S131" s="8"/>
      <c r="V131" s="8"/>
    </row>
    <row r="132" spans="2:22" x14ac:dyDescent="0.2">
      <c r="B132" t="s">
        <v>75</v>
      </c>
      <c r="C132" t="s">
        <v>16</v>
      </c>
      <c r="D132" s="20" t="str">
        <f t="shared" si="10"/>
        <v>Technology</v>
      </c>
      <c r="E132" s="20">
        <f t="shared" si="11"/>
        <v>3.3333333333333335</v>
      </c>
      <c r="F132" s="20">
        <f t="shared" si="12"/>
        <v>60</v>
      </c>
      <c r="G132" s="10">
        <v>10</v>
      </c>
      <c r="S132" s="8"/>
      <c r="V132" s="8"/>
    </row>
    <row r="133" spans="2:22" x14ac:dyDescent="0.2">
      <c r="B133" t="s">
        <v>10</v>
      </c>
      <c r="C133" t="s">
        <v>16</v>
      </c>
      <c r="D133" s="20" t="str">
        <f t="shared" si="10"/>
        <v>Technology</v>
      </c>
      <c r="E133" s="20">
        <f t="shared" si="11"/>
        <v>6.666666666666667</v>
      </c>
      <c r="F133" s="20">
        <f t="shared" si="12"/>
        <v>60</v>
      </c>
      <c r="G133" s="10">
        <v>20</v>
      </c>
      <c r="S133" s="8"/>
      <c r="V133" s="8"/>
    </row>
    <row r="134" spans="2:22" x14ac:dyDescent="0.2">
      <c r="B134" t="s">
        <v>103</v>
      </c>
      <c r="C134" t="s">
        <v>16</v>
      </c>
      <c r="D134" s="20" t="str">
        <f t="shared" si="10"/>
        <v>Technology</v>
      </c>
      <c r="E134" s="20">
        <f t="shared" si="11"/>
        <v>3.3333333333333335</v>
      </c>
      <c r="F134" s="20">
        <f t="shared" si="12"/>
        <v>60</v>
      </c>
      <c r="G134" s="10">
        <v>10</v>
      </c>
      <c r="S134" s="8"/>
      <c r="V134" s="8"/>
    </row>
    <row r="135" spans="2:22" x14ac:dyDescent="0.2">
      <c r="B135" t="s">
        <v>102</v>
      </c>
      <c r="C135" t="s">
        <v>16</v>
      </c>
      <c r="D135" s="20" t="str">
        <f t="shared" si="10"/>
        <v>Technology</v>
      </c>
      <c r="E135" s="20">
        <f t="shared" si="11"/>
        <v>3.3333333333333335</v>
      </c>
      <c r="F135" s="20">
        <f t="shared" si="12"/>
        <v>60</v>
      </c>
      <c r="G135" s="10">
        <v>10</v>
      </c>
      <c r="S135" s="8"/>
      <c r="V135" s="8"/>
    </row>
    <row r="136" spans="2:22" x14ac:dyDescent="0.2">
      <c r="B136" t="s">
        <v>101</v>
      </c>
      <c r="C136" t="s">
        <v>16</v>
      </c>
      <c r="D136" s="20" t="str">
        <f t="shared" si="10"/>
        <v>Technology</v>
      </c>
      <c r="E136" s="20">
        <f t="shared" si="11"/>
        <v>3.3333333333333335</v>
      </c>
      <c r="F136" s="20">
        <f t="shared" si="12"/>
        <v>60</v>
      </c>
      <c r="G136" s="10">
        <v>10</v>
      </c>
      <c r="S136" s="8"/>
      <c r="V136" s="8"/>
    </row>
    <row r="137" spans="2:22" x14ac:dyDescent="0.2">
      <c r="B137" t="s">
        <v>12</v>
      </c>
      <c r="C137" t="s">
        <v>17</v>
      </c>
      <c r="D137" s="20" t="str">
        <f t="shared" si="10"/>
        <v>CISO</v>
      </c>
      <c r="E137" s="20">
        <f t="shared" si="11"/>
        <v>5</v>
      </c>
      <c r="F137" s="20">
        <f t="shared" si="12"/>
        <v>20</v>
      </c>
      <c r="G137" s="10">
        <v>20</v>
      </c>
      <c r="S137" s="8"/>
      <c r="V137" s="8"/>
    </row>
    <row r="138" spans="2:22" x14ac:dyDescent="0.2">
      <c r="B138" t="s">
        <v>81</v>
      </c>
      <c r="C138" t="s">
        <v>17</v>
      </c>
      <c r="D138" s="20" t="str">
        <f t="shared" si="10"/>
        <v>Commercial</v>
      </c>
      <c r="E138" s="20">
        <f t="shared" si="11"/>
        <v>2.7272727272727271</v>
      </c>
      <c r="F138" s="20">
        <f t="shared" si="12"/>
        <v>110</v>
      </c>
      <c r="G138" s="10">
        <v>10</v>
      </c>
      <c r="S138" s="8"/>
      <c r="V138" s="8"/>
    </row>
    <row r="139" spans="2:22" x14ac:dyDescent="0.2">
      <c r="B139" t="s">
        <v>82</v>
      </c>
      <c r="C139" t="s">
        <v>17</v>
      </c>
      <c r="D139" s="20" t="str">
        <f t="shared" si="10"/>
        <v>Commercial</v>
      </c>
      <c r="E139" s="20">
        <f t="shared" si="11"/>
        <v>2.7272727272727271</v>
      </c>
      <c r="F139" s="20">
        <f t="shared" si="12"/>
        <v>110</v>
      </c>
      <c r="G139" s="10">
        <v>10</v>
      </c>
      <c r="S139" s="8"/>
      <c r="V139" s="8"/>
    </row>
    <row r="140" spans="2:22" x14ac:dyDescent="0.2">
      <c r="B140" t="s">
        <v>79</v>
      </c>
      <c r="C140" t="s">
        <v>17</v>
      </c>
      <c r="D140" s="20" t="str">
        <f t="shared" si="10"/>
        <v>Commercial</v>
      </c>
      <c r="E140" s="20">
        <f t="shared" si="11"/>
        <v>2.7272727272727271</v>
      </c>
      <c r="F140" s="20">
        <f t="shared" si="12"/>
        <v>110</v>
      </c>
      <c r="G140" s="10">
        <v>10</v>
      </c>
      <c r="S140" s="8"/>
      <c r="V140" s="8"/>
    </row>
    <row r="141" spans="2:22" x14ac:dyDescent="0.2">
      <c r="B141" t="s">
        <v>83</v>
      </c>
      <c r="C141" t="s">
        <v>17</v>
      </c>
      <c r="D141" s="20" t="str">
        <f t="shared" si="10"/>
        <v>Commercial</v>
      </c>
      <c r="E141" s="20">
        <f t="shared" si="11"/>
        <v>2.7272727272727271</v>
      </c>
      <c r="F141" s="20">
        <f t="shared" si="12"/>
        <v>110</v>
      </c>
      <c r="G141" s="10">
        <v>10</v>
      </c>
      <c r="S141" s="8"/>
      <c r="V141" s="8"/>
    </row>
    <row r="142" spans="2:22" x14ac:dyDescent="0.2">
      <c r="B142" t="s">
        <v>22</v>
      </c>
      <c r="C142" t="s">
        <v>17</v>
      </c>
      <c r="D142" s="20" t="str">
        <f t="shared" si="10"/>
        <v>Commercial</v>
      </c>
      <c r="E142" s="20">
        <f t="shared" si="11"/>
        <v>2.7272727272727271</v>
      </c>
      <c r="F142" s="20">
        <f t="shared" si="12"/>
        <v>110</v>
      </c>
      <c r="G142" s="10">
        <v>10</v>
      </c>
      <c r="S142" s="8"/>
      <c r="V142" s="8"/>
    </row>
    <row r="143" spans="2:22" x14ac:dyDescent="0.2">
      <c r="B143" t="s">
        <v>26</v>
      </c>
      <c r="C143" t="s">
        <v>17</v>
      </c>
      <c r="D143" s="20" t="str">
        <f t="shared" si="10"/>
        <v>Commercial</v>
      </c>
      <c r="E143" s="20">
        <f t="shared" si="11"/>
        <v>2.7272727272727271</v>
      </c>
      <c r="F143" s="20">
        <f t="shared" si="12"/>
        <v>110</v>
      </c>
      <c r="G143" s="10">
        <v>10</v>
      </c>
      <c r="S143" s="8"/>
      <c r="V143" s="8"/>
    </row>
    <row r="144" spans="2:22" x14ac:dyDescent="0.2">
      <c r="B144" t="s">
        <v>24</v>
      </c>
      <c r="C144" t="s">
        <v>17</v>
      </c>
      <c r="D144" s="20" t="str">
        <f t="shared" si="10"/>
        <v>Commercial</v>
      </c>
      <c r="E144" s="20">
        <f t="shared" si="11"/>
        <v>2.7272727272727271</v>
      </c>
      <c r="F144" s="20">
        <f t="shared" si="12"/>
        <v>110</v>
      </c>
      <c r="G144" s="10">
        <v>10</v>
      </c>
      <c r="S144" s="8"/>
      <c r="V144" s="8"/>
    </row>
    <row r="145" spans="2:22" x14ac:dyDescent="0.2">
      <c r="B145" t="s">
        <v>25</v>
      </c>
      <c r="C145" t="s">
        <v>17</v>
      </c>
      <c r="D145" s="20" t="str">
        <f t="shared" si="10"/>
        <v>Commercial</v>
      </c>
      <c r="E145" s="20">
        <f t="shared" si="11"/>
        <v>5.4545454545454541</v>
      </c>
      <c r="F145" s="20">
        <f t="shared" si="12"/>
        <v>110</v>
      </c>
      <c r="G145" s="10">
        <v>20</v>
      </c>
      <c r="S145" s="8"/>
      <c r="V145" s="8"/>
    </row>
    <row r="146" spans="2:22" x14ac:dyDescent="0.2">
      <c r="B146" t="s">
        <v>80</v>
      </c>
      <c r="C146" t="s">
        <v>17</v>
      </c>
      <c r="D146" s="20" t="str">
        <f t="shared" si="10"/>
        <v>Commercial</v>
      </c>
      <c r="E146" s="20">
        <f t="shared" si="11"/>
        <v>5.4545454545454541</v>
      </c>
      <c r="F146" s="20">
        <f t="shared" si="12"/>
        <v>110</v>
      </c>
      <c r="G146" s="10">
        <v>20</v>
      </c>
      <c r="S146" s="8"/>
      <c r="V146" s="8"/>
    </row>
    <row r="147" spans="2:22" x14ac:dyDescent="0.2">
      <c r="B147" t="s">
        <v>87</v>
      </c>
      <c r="C147" t="s">
        <v>17</v>
      </c>
      <c r="D147" s="20" t="str">
        <f t="shared" si="10"/>
        <v>Corporate</v>
      </c>
      <c r="E147" s="20">
        <f t="shared" si="11"/>
        <v>1.7857142857142858</v>
      </c>
      <c r="F147" s="20">
        <f t="shared" si="12"/>
        <v>140</v>
      </c>
      <c r="G147" s="10">
        <v>10</v>
      </c>
      <c r="S147" s="8"/>
      <c r="V147" s="8"/>
    </row>
    <row r="148" spans="2:22" x14ac:dyDescent="0.2">
      <c r="B148" t="s">
        <v>89</v>
      </c>
      <c r="C148" t="s">
        <v>17</v>
      </c>
      <c r="D148" s="20" t="str">
        <f t="shared" si="10"/>
        <v>Corporate</v>
      </c>
      <c r="E148" s="20">
        <f t="shared" si="11"/>
        <v>1.7857142857142858</v>
      </c>
      <c r="F148" s="20">
        <f t="shared" si="12"/>
        <v>140</v>
      </c>
      <c r="G148" s="10">
        <v>10</v>
      </c>
      <c r="S148" s="8"/>
      <c r="V148" s="8"/>
    </row>
    <row r="149" spans="2:22" x14ac:dyDescent="0.2">
      <c r="B149" t="s">
        <v>23</v>
      </c>
      <c r="C149" t="s">
        <v>17</v>
      </c>
      <c r="D149" s="20" t="str">
        <f t="shared" si="10"/>
        <v>Corporate</v>
      </c>
      <c r="E149" s="20">
        <f t="shared" si="11"/>
        <v>3.5714285714285716</v>
      </c>
      <c r="F149" s="20">
        <f t="shared" si="12"/>
        <v>140</v>
      </c>
      <c r="G149" s="10">
        <v>20</v>
      </c>
      <c r="S149" s="8"/>
      <c r="V149" s="8"/>
    </row>
    <row r="150" spans="2:22" x14ac:dyDescent="0.2">
      <c r="B150" t="s">
        <v>91</v>
      </c>
      <c r="C150" t="s">
        <v>17</v>
      </c>
      <c r="D150" s="20" t="str">
        <f t="shared" si="10"/>
        <v>Corporate</v>
      </c>
      <c r="E150" s="20">
        <f t="shared" si="11"/>
        <v>1.7857142857142858</v>
      </c>
      <c r="F150" s="20">
        <f t="shared" si="12"/>
        <v>140</v>
      </c>
      <c r="G150" s="10">
        <v>10</v>
      </c>
      <c r="S150" s="8"/>
      <c r="V150" s="8"/>
    </row>
    <row r="151" spans="2:22" x14ac:dyDescent="0.2">
      <c r="B151" t="s">
        <v>93</v>
      </c>
      <c r="C151" t="s">
        <v>17</v>
      </c>
      <c r="D151" s="20" t="str">
        <f t="shared" si="10"/>
        <v>Corporate</v>
      </c>
      <c r="E151" s="20">
        <f t="shared" si="11"/>
        <v>1.7857142857142858</v>
      </c>
      <c r="F151" s="20">
        <f t="shared" si="12"/>
        <v>140</v>
      </c>
      <c r="G151" s="10">
        <v>10</v>
      </c>
      <c r="S151" s="8"/>
      <c r="V151" s="8"/>
    </row>
    <row r="152" spans="2:22" x14ac:dyDescent="0.2">
      <c r="B152" t="s">
        <v>97</v>
      </c>
      <c r="C152" t="s">
        <v>17</v>
      </c>
      <c r="D152" s="20" t="str">
        <f t="shared" si="10"/>
        <v>Corporate</v>
      </c>
      <c r="E152" s="20">
        <f t="shared" si="11"/>
        <v>1.7857142857142858</v>
      </c>
      <c r="F152" s="20">
        <f t="shared" si="12"/>
        <v>140</v>
      </c>
      <c r="G152" s="10">
        <v>10</v>
      </c>
      <c r="S152" s="8"/>
      <c r="V152" s="8"/>
    </row>
    <row r="153" spans="2:22" x14ac:dyDescent="0.2">
      <c r="B153" t="s">
        <v>99</v>
      </c>
      <c r="C153" t="s">
        <v>17</v>
      </c>
      <c r="D153" s="20" t="str">
        <f t="shared" si="10"/>
        <v>Corporate</v>
      </c>
      <c r="E153" s="20">
        <f t="shared" si="11"/>
        <v>1.7857142857142858</v>
      </c>
      <c r="F153" s="20">
        <f t="shared" si="12"/>
        <v>140</v>
      </c>
      <c r="G153" s="10">
        <v>10</v>
      </c>
      <c r="S153" s="8"/>
      <c r="V153" s="8"/>
    </row>
    <row r="154" spans="2:22" x14ac:dyDescent="0.2">
      <c r="B154" t="s">
        <v>76</v>
      </c>
      <c r="C154" t="s">
        <v>17</v>
      </c>
      <c r="D154" s="20" t="str">
        <f t="shared" si="10"/>
        <v>Corporate</v>
      </c>
      <c r="E154" s="20">
        <f t="shared" si="11"/>
        <v>1.7857142857142858</v>
      </c>
      <c r="F154" s="20">
        <f t="shared" si="12"/>
        <v>140</v>
      </c>
      <c r="G154" s="10">
        <v>10</v>
      </c>
      <c r="S154" s="8"/>
      <c r="V154" s="8"/>
    </row>
    <row r="155" spans="2:22" x14ac:dyDescent="0.2">
      <c r="B155" t="s">
        <v>90</v>
      </c>
      <c r="C155" t="s">
        <v>17</v>
      </c>
      <c r="D155" s="20" t="str">
        <f t="shared" si="10"/>
        <v>Corporate</v>
      </c>
      <c r="E155" s="20">
        <f t="shared" si="11"/>
        <v>1.7857142857142858</v>
      </c>
      <c r="F155" s="20">
        <f t="shared" si="12"/>
        <v>140</v>
      </c>
      <c r="G155" s="10">
        <v>10</v>
      </c>
      <c r="S155" s="8"/>
      <c r="V155" s="8"/>
    </row>
    <row r="156" spans="2:22" x14ac:dyDescent="0.2">
      <c r="B156" t="s">
        <v>159</v>
      </c>
      <c r="C156" t="s">
        <v>17</v>
      </c>
      <c r="D156" s="20" t="str">
        <f t="shared" si="10"/>
        <v>Corporate</v>
      </c>
      <c r="E156" s="20">
        <f t="shared" si="11"/>
        <v>1.7857142857142858</v>
      </c>
      <c r="F156" s="20">
        <f t="shared" si="12"/>
        <v>140</v>
      </c>
      <c r="G156" s="10">
        <v>10</v>
      </c>
      <c r="S156" s="8"/>
      <c r="V156" s="8"/>
    </row>
    <row r="157" spans="2:22" x14ac:dyDescent="0.2">
      <c r="B157" t="s">
        <v>88</v>
      </c>
      <c r="C157" t="s">
        <v>17</v>
      </c>
      <c r="D157" s="20" t="str">
        <f t="shared" si="10"/>
        <v>Corporate</v>
      </c>
      <c r="E157" s="20">
        <f t="shared" si="11"/>
        <v>1.7857142857142858</v>
      </c>
      <c r="F157" s="20">
        <f t="shared" si="12"/>
        <v>140</v>
      </c>
      <c r="G157" s="10">
        <v>10</v>
      </c>
      <c r="S157" s="8"/>
      <c r="V157" s="8"/>
    </row>
    <row r="158" spans="2:22" x14ac:dyDescent="0.2">
      <c r="B158" t="s">
        <v>94</v>
      </c>
      <c r="C158" t="s">
        <v>17</v>
      </c>
      <c r="D158" s="20" t="str">
        <f t="shared" si="10"/>
        <v>Corporate</v>
      </c>
      <c r="E158" s="20">
        <f t="shared" si="11"/>
        <v>1.7857142857142858</v>
      </c>
      <c r="F158" s="20">
        <f t="shared" si="12"/>
        <v>140</v>
      </c>
      <c r="G158" s="10">
        <v>10</v>
      </c>
      <c r="S158" s="8"/>
      <c r="V158" s="8"/>
    </row>
    <row r="159" spans="2:22" x14ac:dyDescent="0.2">
      <c r="B159" t="s">
        <v>96</v>
      </c>
      <c r="C159" t="s">
        <v>17</v>
      </c>
      <c r="D159" s="20" t="str">
        <f t="shared" si="10"/>
        <v>Corporate</v>
      </c>
      <c r="E159" s="20">
        <f t="shared" si="11"/>
        <v>1.7857142857142858</v>
      </c>
      <c r="F159" s="20">
        <f t="shared" si="12"/>
        <v>140</v>
      </c>
      <c r="G159" s="10">
        <v>10</v>
      </c>
      <c r="S159" s="8"/>
      <c r="V159" s="8"/>
    </row>
    <row r="160" spans="2:22" x14ac:dyDescent="0.2">
      <c r="B160" t="s">
        <v>8</v>
      </c>
      <c r="C160" t="s">
        <v>17</v>
      </c>
      <c r="D160" s="20" t="str">
        <f t="shared" si="10"/>
        <v>Operations</v>
      </c>
      <c r="E160" s="20">
        <f t="shared" si="11"/>
        <v>3.3333333333333335</v>
      </c>
      <c r="F160" s="20">
        <f t="shared" si="12"/>
        <v>30</v>
      </c>
      <c r="G160" s="10">
        <v>10</v>
      </c>
      <c r="S160" s="8"/>
      <c r="V160" s="8"/>
    </row>
    <row r="161" spans="2:22" x14ac:dyDescent="0.2">
      <c r="B161" t="s">
        <v>85</v>
      </c>
      <c r="C161" t="s">
        <v>17</v>
      </c>
      <c r="D161" s="20" t="str">
        <f t="shared" si="10"/>
        <v>Operations</v>
      </c>
      <c r="E161" s="20">
        <f t="shared" si="11"/>
        <v>3.3333333333333335</v>
      </c>
      <c r="F161" s="20">
        <f t="shared" si="12"/>
        <v>30</v>
      </c>
      <c r="G161" s="10">
        <v>10</v>
      </c>
      <c r="S161" s="8"/>
      <c r="V161" s="8"/>
    </row>
    <row r="162" spans="2:22" x14ac:dyDescent="0.2">
      <c r="B162" t="s">
        <v>27</v>
      </c>
      <c r="C162" t="s">
        <v>17</v>
      </c>
      <c r="D162" s="20" t="str">
        <f t="shared" si="10"/>
        <v>Operations</v>
      </c>
      <c r="E162" s="20">
        <f t="shared" si="11"/>
        <v>3.3333333333333335</v>
      </c>
      <c r="F162" s="20">
        <f t="shared" si="12"/>
        <v>30</v>
      </c>
      <c r="G162" s="10">
        <v>10</v>
      </c>
      <c r="S162" s="8"/>
      <c r="V162" s="8"/>
    </row>
    <row r="163" spans="2:22" x14ac:dyDescent="0.2">
      <c r="B163" t="s">
        <v>75</v>
      </c>
      <c r="C163" t="s">
        <v>17</v>
      </c>
      <c r="D163" s="20" t="str">
        <f t="shared" si="10"/>
        <v>Technology</v>
      </c>
      <c r="E163" s="20">
        <f t="shared" si="11"/>
        <v>4.166666666666667</v>
      </c>
      <c r="F163" s="20">
        <f t="shared" si="12"/>
        <v>60</v>
      </c>
      <c r="G163" s="10">
        <v>10</v>
      </c>
      <c r="S163" s="8"/>
      <c r="V163" s="8"/>
    </row>
    <row r="164" spans="2:22" x14ac:dyDescent="0.2">
      <c r="B164" t="s">
        <v>10</v>
      </c>
      <c r="C164" t="s">
        <v>17</v>
      </c>
      <c r="D164" s="20" t="str">
        <f t="shared" si="10"/>
        <v>Technology</v>
      </c>
      <c r="E164" s="20">
        <f t="shared" si="11"/>
        <v>8.3333333333333339</v>
      </c>
      <c r="F164" s="20">
        <f t="shared" si="12"/>
        <v>60</v>
      </c>
      <c r="G164" s="10">
        <v>20</v>
      </c>
      <c r="S164" s="8"/>
      <c r="V164" s="8"/>
    </row>
    <row r="165" spans="2:22" x14ac:dyDescent="0.2">
      <c r="B165" t="s">
        <v>103</v>
      </c>
      <c r="C165" t="s">
        <v>17</v>
      </c>
      <c r="D165" s="20" t="str">
        <f t="shared" si="10"/>
        <v>Technology</v>
      </c>
      <c r="E165" s="20">
        <f t="shared" si="11"/>
        <v>4.166666666666667</v>
      </c>
      <c r="F165" s="20">
        <f t="shared" si="12"/>
        <v>60</v>
      </c>
      <c r="G165" s="10">
        <v>10</v>
      </c>
      <c r="S165" s="8"/>
      <c r="V165" s="8"/>
    </row>
    <row r="166" spans="2:22" x14ac:dyDescent="0.2">
      <c r="B166" t="s">
        <v>102</v>
      </c>
      <c r="C166" t="s">
        <v>17</v>
      </c>
      <c r="D166" s="20" t="str">
        <f t="shared" si="10"/>
        <v>Technology</v>
      </c>
      <c r="E166" s="20">
        <f t="shared" si="11"/>
        <v>4.166666666666667</v>
      </c>
      <c r="F166" s="20">
        <f t="shared" si="12"/>
        <v>60</v>
      </c>
      <c r="G166" s="10">
        <v>10</v>
      </c>
      <c r="S166" s="8"/>
      <c r="V166" s="8"/>
    </row>
    <row r="167" spans="2:22" x14ac:dyDescent="0.2">
      <c r="B167" t="s">
        <v>101</v>
      </c>
      <c r="C167" t="s">
        <v>17</v>
      </c>
      <c r="D167" s="20" t="str">
        <f t="shared" si="10"/>
        <v>Technology</v>
      </c>
      <c r="E167" s="20">
        <f t="shared" si="11"/>
        <v>4.166666666666667</v>
      </c>
      <c r="F167" s="20">
        <f t="shared" si="12"/>
        <v>60</v>
      </c>
      <c r="G167" s="10">
        <v>10</v>
      </c>
      <c r="S167" s="8"/>
      <c r="V167" s="8"/>
    </row>
    <row r="168" spans="2:22" x14ac:dyDescent="0.2">
      <c r="B168" t="s">
        <v>12</v>
      </c>
      <c r="C168" t="s">
        <v>18</v>
      </c>
      <c r="D168" s="20" t="str">
        <f t="shared" si="10"/>
        <v>CISO</v>
      </c>
      <c r="E168" s="20">
        <f t="shared" si="11"/>
        <v>5</v>
      </c>
      <c r="F168" s="20">
        <f t="shared" si="12"/>
        <v>20</v>
      </c>
      <c r="G168" s="10">
        <v>20</v>
      </c>
      <c r="S168" s="8"/>
      <c r="V168" s="8"/>
    </row>
    <row r="169" spans="2:22" x14ac:dyDescent="0.2">
      <c r="B169" t="s">
        <v>81</v>
      </c>
      <c r="C169" t="s">
        <v>18</v>
      </c>
      <c r="D169" s="20" t="str">
        <f t="shared" si="10"/>
        <v>Commercial</v>
      </c>
      <c r="E169" s="20">
        <f t="shared" si="11"/>
        <v>2.7272727272727271</v>
      </c>
      <c r="F169" s="20">
        <f t="shared" si="12"/>
        <v>110</v>
      </c>
      <c r="G169" s="10">
        <v>10</v>
      </c>
      <c r="S169" s="8"/>
      <c r="V169" s="8"/>
    </row>
    <row r="170" spans="2:22" x14ac:dyDescent="0.2">
      <c r="B170" t="s">
        <v>82</v>
      </c>
      <c r="C170" t="s">
        <v>18</v>
      </c>
      <c r="D170" s="20" t="str">
        <f t="shared" si="10"/>
        <v>Commercial</v>
      </c>
      <c r="E170" s="20">
        <f t="shared" si="11"/>
        <v>2.7272727272727271</v>
      </c>
      <c r="F170" s="20">
        <f t="shared" si="12"/>
        <v>110</v>
      </c>
      <c r="G170" s="10">
        <v>10</v>
      </c>
      <c r="S170" s="8"/>
      <c r="V170" s="8"/>
    </row>
    <row r="171" spans="2:22" x14ac:dyDescent="0.2">
      <c r="B171" t="s">
        <v>79</v>
      </c>
      <c r="C171" t="s">
        <v>18</v>
      </c>
      <c r="D171" s="20" t="str">
        <f t="shared" si="10"/>
        <v>Commercial</v>
      </c>
      <c r="E171" s="20">
        <f t="shared" si="11"/>
        <v>2.7272727272727271</v>
      </c>
      <c r="F171" s="20">
        <f t="shared" si="12"/>
        <v>110</v>
      </c>
      <c r="G171" s="10">
        <v>10</v>
      </c>
      <c r="S171" s="8"/>
      <c r="V171" s="8"/>
    </row>
    <row r="172" spans="2:22" x14ac:dyDescent="0.2">
      <c r="B172" t="s">
        <v>83</v>
      </c>
      <c r="C172" t="s">
        <v>18</v>
      </c>
      <c r="D172" s="20" t="str">
        <f t="shared" si="10"/>
        <v>Commercial</v>
      </c>
      <c r="E172" s="20">
        <f t="shared" si="11"/>
        <v>2.7272727272727271</v>
      </c>
      <c r="F172" s="20">
        <f t="shared" si="12"/>
        <v>110</v>
      </c>
      <c r="G172" s="10">
        <v>10</v>
      </c>
      <c r="S172" s="8"/>
      <c r="V172" s="8"/>
    </row>
    <row r="173" spans="2:22" x14ac:dyDescent="0.2">
      <c r="B173" t="s">
        <v>22</v>
      </c>
      <c r="C173" t="s">
        <v>18</v>
      </c>
      <c r="D173" s="20" t="str">
        <f t="shared" si="10"/>
        <v>Commercial</v>
      </c>
      <c r="E173" s="20">
        <f t="shared" si="11"/>
        <v>2.7272727272727271</v>
      </c>
      <c r="F173" s="20">
        <f t="shared" si="12"/>
        <v>110</v>
      </c>
      <c r="G173" s="10">
        <v>10</v>
      </c>
      <c r="S173" s="8"/>
      <c r="V173" s="8"/>
    </row>
    <row r="174" spans="2:22" x14ac:dyDescent="0.2">
      <c r="B174" t="s">
        <v>26</v>
      </c>
      <c r="C174" t="s">
        <v>18</v>
      </c>
      <c r="D174" s="20" t="str">
        <f t="shared" si="10"/>
        <v>Commercial</v>
      </c>
      <c r="E174" s="20">
        <f t="shared" si="11"/>
        <v>5.4545454545454541</v>
      </c>
      <c r="F174" s="20">
        <f t="shared" si="12"/>
        <v>110</v>
      </c>
      <c r="G174" s="10">
        <v>20</v>
      </c>
      <c r="S174" s="8"/>
      <c r="V174" s="8"/>
    </row>
    <row r="175" spans="2:22" x14ac:dyDescent="0.2">
      <c r="B175" t="s">
        <v>24</v>
      </c>
      <c r="C175" t="s">
        <v>18</v>
      </c>
      <c r="D175" s="20" t="str">
        <f t="shared" si="10"/>
        <v>Commercial</v>
      </c>
      <c r="E175" s="20">
        <f t="shared" si="11"/>
        <v>2.7272727272727271</v>
      </c>
      <c r="F175" s="20">
        <f t="shared" si="12"/>
        <v>110</v>
      </c>
      <c r="G175" s="10">
        <v>10</v>
      </c>
      <c r="S175" s="8"/>
      <c r="V175" s="8"/>
    </row>
    <row r="176" spans="2:22" x14ac:dyDescent="0.2">
      <c r="B176" t="s">
        <v>25</v>
      </c>
      <c r="C176" t="s">
        <v>18</v>
      </c>
      <c r="D176" s="20" t="str">
        <f t="shared" si="10"/>
        <v>Commercial</v>
      </c>
      <c r="E176" s="20">
        <f t="shared" si="11"/>
        <v>2.7272727272727271</v>
      </c>
      <c r="F176" s="20">
        <f t="shared" si="12"/>
        <v>110</v>
      </c>
      <c r="G176" s="10">
        <v>10</v>
      </c>
      <c r="S176" s="8"/>
      <c r="V176" s="8"/>
    </row>
    <row r="177" spans="2:22" x14ac:dyDescent="0.2">
      <c r="B177" t="s">
        <v>80</v>
      </c>
      <c r="C177" t="s">
        <v>18</v>
      </c>
      <c r="D177" s="20" t="str">
        <f t="shared" si="10"/>
        <v>Commercial</v>
      </c>
      <c r="E177" s="20">
        <f t="shared" si="11"/>
        <v>5.4545454545454541</v>
      </c>
      <c r="F177" s="20">
        <f t="shared" si="12"/>
        <v>110</v>
      </c>
      <c r="G177" s="10">
        <v>20</v>
      </c>
      <c r="S177" s="8"/>
      <c r="V177" s="8"/>
    </row>
    <row r="178" spans="2:22" x14ac:dyDescent="0.2">
      <c r="B178" t="s">
        <v>87</v>
      </c>
      <c r="C178" t="s">
        <v>18</v>
      </c>
      <c r="D178" s="20" t="str">
        <f t="shared" si="10"/>
        <v>Corporate</v>
      </c>
      <c r="E178" s="20">
        <f t="shared" si="11"/>
        <v>2.1428571428571428</v>
      </c>
      <c r="F178" s="20">
        <f t="shared" si="12"/>
        <v>140</v>
      </c>
      <c r="G178" s="10">
        <v>10</v>
      </c>
      <c r="S178" s="8"/>
      <c r="V178" s="8"/>
    </row>
    <row r="179" spans="2:22" x14ac:dyDescent="0.2">
      <c r="B179" t="s">
        <v>89</v>
      </c>
      <c r="C179" t="s">
        <v>18</v>
      </c>
      <c r="D179" s="20" t="str">
        <f t="shared" si="10"/>
        <v>Corporate</v>
      </c>
      <c r="E179" s="20">
        <f t="shared" si="11"/>
        <v>2.1428571428571428</v>
      </c>
      <c r="F179" s="20">
        <f t="shared" si="12"/>
        <v>140</v>
      </c>
      <c r="G179" s="10">
        <v>10</v>
      </c>
      <c r="S179" s="8"/>
      <c r="V179" s="8"/>
    </row>
    <row r="180" spans="2:22" x14ac:dyDescent="0.2">
      <c r="B180" t="s">
        <v>23</v>
      </c>
      <c r="C180" t="s">
        <v>18</v>
      </c>
      <c r="D180" s="20" t="str">
        <f t="shared" si="10"/>
        <v>Corporate</v>
      </c>
      <c r="E180" s="20">
        <f t="shared" si="11"/>
        <v>4.2857142857142856</v>
      </c>
      <c r="F180" s="20">
        <f t="shared" si="12"/>
        <v>140</v>
      </c>
      <c r="G180" s="10">
        <v>20</v>
      </c>
      <c r="S180" s="8"/>
      <c r="V180" s="8"/>
    </row>
    <row r="181" spans="2:22" x14ac:dyDescent="0.2">
      <c r="B181" t="s">
        <v>91</v>
      </c>
      <c r="C181" t="s">
        <v>18</v>
      </c>
      <c r="D181" s="20" t="str">
        <f t="shared" si="10"/>
        <v>Corporate</v>
      </c>
      <c r="E181" s="20">
        <f t="shared" si="11"/>
        <v>2.1428571428571428</v>
      </c>
      <c r="F181" s="20">
        <f t="shared" si="12"/>
        <v>140</v>
      </c>
      <c r="G181" s="10">
        <v>10</v>
      </c>
      <c r="S181" s="8"/>
      <c r="V181" s="8"/>
    </row>
    <row r="182" spans="2:22" x14ac:dyDescent="0.2">
      <c r="B182" t="s">
        <v>93</v>
      </c>
      <c r="C182" t="s">
        <v>18</v>
      </c>
      <c r="D182" s="20" t="str">
        <f t="shared" si="10"/>
        <v>Corporate</v>
      </c>
      <c r="E182" s="20">
        <f t="shared" si="11"/>
        <v>2.1428571428571428</v>
      </c>
      <c r="F182" s="20">
        <f t="shared" si="12"/>
        <v>140</v>
      </c>
      <c r="G182" s="10">
        <v>10</v>
      </c>
      <c r="S182" s="8"/>
      <c r="V182" s="8"/>
    </row>
    <row r="183" spans="2:22" x14ac:dyDescent="0.2">
      <c r="B183" t="s">
        <v>97</v>
      </c>
      <c r="C183" t="s">
        <v>18</v>
      </c>
      <c r="D183" s="20" t="str">
        <f t="shared" si="10"/>
        <v>Corporate</v>
      </c>
      <c r="E183" s="20">
        <f t="shared" si="11"/>
        <v>2.1428571428571428</v>
      </c>
      <c r="F183" s="20">
        <f t="shared" si="12"/>
        <v>140</v>
      </c>
      <c r="G183" s="10">
        <v>10</v>
      </c>
      <c r="S183" s="8"/>
      <c r="V183" s="8"/>
    </row>
    <row r="184" spans="2:22" x14ac:dyDescent="0.2">
      <c r="B184" t="s">
        <v>99</v>
      </c>
      <c r="C184" t="s">
        <v>18</v>
      </c>
      <c r="D184" s="20" t="str">
        <f t="shared" si="10"/>
        <v>Corporate</v>
      </c>
      <c r="E184" s="20">
        <f t="shared" si="11"/>
        <v>2.1428571428571428</v>
      </c>
      <c r="F184" s="20">
        <f t="shared" si="12"/>
        <v>140</v>
      </c>
      <c r="G184" s="10">
        <v>10</v>
      </c>
      <c r="S184" s="8"/>
      <c r="V184" s="8"/>
    </row>
    <row r="185" spans="2:22" x14ac:dyDescent="0.2">
      <c r="B185" t="s">
        <v>76</v>
      </c>
      <c r="C185" t="s">
        <v>18</v>
      </c>
      <c r="D185" s="20" t="str">
        <f t="shared" si="10"/>
        <v>Corporate</v>
      </c>
      <c r="E185" s="20">
        <f t="shared" si="11"/>
        <v>2.1428571428571428</v>
      </c>
      <c r="F185" s="20">
        <f t="shared" si="12"/>
        <v>140</v>
      </c>
      <c r="G185" s="10">
        <v>10</v>
      </c>
      <c r="S185" s="8"/>
      <c r="V185" s="8"/>
    </row>
    <row r="186" spans="2:22" x14ac:dyDescent="0.2">
      <c r="B186" t="s">
        <v>90</v>
      </c>
      <c r="C186" t="s">
        <v>18</v>
      </c>
      <c r="D186" s="20" t="str">
        <f t="shared" si="10"/>
        <v>Corporate</v>
      </c>
      <c r="E186" s="20">
        <f t="shared" si="11"/>
        <v>2.1428571428571428</v>
      </c>
      <c r="F186" s="20">
        <f t="shared" si="12"/>
        <v>140</v>
      </c>
      <c r="G186" s="10">
        <v>10</v>
      </c>
      <c r="S186" s="8"/>
      <c r="V186" s="8"/>
    </row>
    <row r="187" spans="2:22" x14ac:dyDescent="0.2">
      <c r="B187" t="s">
        <v>159</v>
      </c>
      <c r="C187" t="s">
        <v>18</v>
      </c>
      <c r="D187" s="20" t="str">
        <f t="shared" si="10"/>
        <v>Corporate</v>
      </c>
      <c r="E187" s="20">
        <f t="shared" si="11"/>
        <v>2.1428571428571428</v>
      </c>
      <c r="F187" s="20">
        <f t="shared" si="12"/>
        <v>140</v>
      </c>
      <c r="G187" s="10">
        <v>10</v>
      </c>
      <c r="S187" s="8"/>
      <c r="V187" s="8"/>
    </row>
    <row r="188" spans="2:22" x14ac:dyDescent="0.2">
      <c r="B188" t="s">
        <v>88</v>
      </c>
      <c r="C188" t="s">
        <v>18</v>
      </c>
      <c r="D188" s="20" t="str">
        <f t="shared" si="10"/>
        <v>Corporate</v>
      </c>
      <c r="E188" s="20">
        <f t="shared" si="11"/>
        <v>2.1428571428571428</v>
      </c>
      <c r="F188" s="20">
        <f t="shared" si="12"/>
        <v>140</v>
      </c>
      <c r="G188" s="10">
        <v>10</v>
      </c>
      <c r="S188" s="8"/>
      <c r="V188" s="8"/>
    </row>
    <row r="189" spans="2:22" x14ac:dyDescent="0.2">
      <c r="B189" t="s">
        <v>94</v>
      </c>
      <c r="C189" t="s">
        <v>18</v>
      </c>
      <c r="D189" s="20" t="str">
        <f t="shared" si="10"/>
        <v>Corporate</v>
      </c>
      <c r="E189" s="20">
        <f t="shared" si="11"/>
        <v>2.1428571428571428</v>
      </c>
      <c r="F189" s="20">
        <f t="shared" si="12"/>
        <v>140</v>
      </c>
      <c r="G189" s="10">
        <v>10</v>
      </c>
      <c r="S189" s="8"/>
      <c r="V189" s="8"/>
    </row>
    <row r="190" spans="2:22" x14ac:dyDescent="0.2">
      <c r="B190" t="s">
        <v>96</v>
      </c>
      <c r="C190" t="s">
        <v>18</v>
      </c>
      <c r="D190" s="20" t="str">
        <f t="shared" si="10"/>
        <v>Corporate</v>
      </c>
      <c r="E190" s="20">
        <f t="shared" si="11"/>
        <v>2.1428571428571428</v>
      </c>
      <c r="F190" s="20">
        <f t="shared" si="12"/>
        <v>140</v>
      </c>
      <c r="G190" s="10">
        <v>10</v>
      </c>
      <c r="S190" s="8"/>
      <c r="V190" s="8"/>
    </row>
    <row r="191" spans="2:22" x14ac:dyDescent="0.2">
      <c r="B191" t="s">
        <v>8</v>
      </c>
      <c r="C191" t="s">
        <v>18</v>
      </c>
      <c r="D191" s="20" t="str">
        <f t="shared" si="10"/>
        <v>Operations</v>
      </c>
      <c r="E191" s="20">
        <f t="shared" si="11"/>
        <v>3.3333333333333335</v>
      </c>
      <c r="F191" s="20">
        <f t="shared" si="12"/>
        <v>30</v>
      </c>
      <c r="G191" s="10">
        <v>10</v>
      </c>
      <c r="S191" s="8"/>
      <c r="V191" s="8"/>
    </row>
    <row r="192" spans="2:22" x14ac:dyDescent="0.2">
      <c r="B192" t="s">
        <v>85</v>
      </c>
      <c r="C192" t="s">
        <v>18</v>
      </c>
      <c r="D192" s="20" t="str">
        <f t="shared" si="10"/>
        <v>Operations</v>
      </c>
      <c r="E192" s="20">
        <f t="shared" si="11"/>
        <v>3.3333333333333335</v>
      </c>
      <c r="F192" s="20">
        <f t="shared" si="12"/>
        <v>30</v>
      </c>
      <c r="G192" s="10">
        <v>10</v>
      </c>
      <c r="S192" s="8"/>
      <c r="V192" s="8"/>
    </row>
    <row r="193" spans="2:22" x14ac:dyDescent="0.2">
      <c r="B193" t="s">
        <v>27</v>
      </c>
      <c r="C193" t="s">
        <v>18</v>
      </c>
      <c r="D193" s="20" t="str">
        <f t="shared" si="10"/>
        <v>Operations</v>
      </c>
      <c r="E193" s="20">
        <f t="shared" si="11"/>
        <v>3.3333333333333335</v>
      </c>
      <c r="F193" s="20">
        <f t="shared" si="12"/>
        <v>30</v>
      </c>
      <c r="G193" s="10">
        <v>10</v>
      </c>
      <c r="S193" s="8"/>
      <c r="V193" s="8"/>
    </row>
    <row r="194" spans="2:22" x14ac:dyDescent="0.2">
      <c r="B194" t="s">
        <v>75</v>
      </c>
      <c r="C194" t="s">
        <v>18</v>
      </c>
      <c r="D194" s="20" t="str">
        <f t="shared" si="10"/>
        <v>Technology</v>
      </c>
      <c r="E194" s="20">
        <f t="shared" si="11"/>
        <v>3.3333333333333335</v>
      </c>
      <c r="F194" s="20">
        <f t="shared" si="12"/>
        <v>60</v>
      </c>
      <c r="G194" s="10">
        <v>10</v>
      </c>
      <c r="S194" s="8"/>
      <c r="V194" s="8"/>
    </row>
    <row r="195" spans="2:22" x14ac:dyDescent="0.2">
      <c r="B195" t="s">
        <v>10</v>
      </c>
      <c r="C195" t="s">
        <v>18</v>
      </c>
      <c r="D195" s="20" t="str">
        <f t="shared" ref="D195:D230" si="13">VLOOKUP($B195,$Y:$Z,2,FALSE)</f>
        <v>Technology</v>
      </c>
      <c r="E195" s="20">
        <f t="shared" ref="E195:E204" si="14">G195*SUMIFS($K:$K,$I:$I,C195,$J:$J,D195)/F195</f>
        <v>6.666666666666667</v>
      </c>
      <c r="F195" s="20">
        <f t="shared" ref="F195:F204" si="15">SUMIFS($G$2:$G$1000,$D$2:$D$1000,D195,$C$2:$C$1000,C195)</f>
        <v>60</v>
      </c>
      <c r="G195" s="10">
        <v>20</v>
      </c>
      <c r="S195" s="8"/>
      <c r="V195" s="8"/>
    </row>
    <row r="196" spans="2:22" x14ac:dyDescent="0.2">
      <c r="B196" t="s">
        <v>103</v>
      </c>
      <c r="C196" t="s">
        <v>18</v>
      </c>
      <c r="D196" s="20" t="str">
        <f t="shared" si="13"/>
        <v>Technology</v>
      </c>
      <c r="E196" s="20">
        <f t="shared" si="14"/>
        <v>3.3333333333333335</v>
      </c>
      <c r="F196" s="20">
        <f t="shared" si="15"/>
        <v>60</v>
      </c>
      <c r="G196" s="10">
        <v>10</v>
      </c>
      <c r="S196" s="8"/>
      <c r="V196" s="8"/>
    </row>
    <row r="197" spans="2:22" x14ac:dyDescent="0.2">
      <c r="B197" t="s">
        <v>102</v>
      </c>
      <c r="C197" t="s">
        <v>18</v>
      </c>
      <c r="D197" s="20" t="str">
        <f t="shared" si="13"/>
        <v>Technology</v>
      </c>
      <c r="E197" s="20">
        <f t="shared" si="14"/>
        <v>3.3333333333333335</v>
      </c>
      <c r="F197" s="20">
        <f t="shared" si="15"/>
        <v>60</v>
      </c>
      <c r="G197" s="10">
        <v>10</v>
      </c>
      <c r="S197" s="8"/>
      <c r="V197" s="8"/>
    </row>
    <row r="198" spans="2:22" x14ac:dyDescent="0.2">
      <c r="B198" t="s">
        <v>101</v>
      </c>
      <c r="C198" t="s">
        <v>18</v>
      </c>
      <c r="D198" s="20" t="str">
        <f t="shared" si="13"/>
        <v>Technology</v>
      </c>
      <c r="E198" s="20">
        <f t="shared" si="14"/>
        <v>3.3333333333333335</v>
      </c>
      <c r="F198" s="20">
        <f t="shared" si="15"/>
        <v>60</v>
      </c>
      <c r="G198" s="10">
        <v>10</v>
      </c>
      <c r="S198" s="8"/>
      <c r="V198" s="8"/>
    </row>
    <row r="199" spans="2:22" x14ac:dyDescent="0.2">
      <c r="B199" t="s">
        <v>177</v>
      </c>
      <c r="C199" t="s">
        <v>4</v>
      </c>
      <c r="D199" s="20" t="s">
        <v>117</v>
      </c>
      <c r="E199" s="20">
        <f t="shared" si="14"/>
        <v>5</v>
      </c>
      <c r="F199" s="20">
        <f t="shared" si="15"/>
        <v>20</v>
      </c>
      <c r="G199" s="10">
        <v>20</v>
      </c>
      <c r="S199" s="8"/>
      <c r="V199" s="8"/>
    </row>
    <row r="200" spans="2:22" x14ac:dyDescent="0.2">
      <c r="B200" t="s">
        <v>177</v>
      </c>
      <c r="C200" t="s">
        <v>11</v>
      </c>
      <c r="D200" s="20" t="s">
        <v>117</v>
      </c>
      <c r="E200" s="20">
        <f t="shared" si="14"/>
        <v>10</v>
      </c>
      <c r="F200" s="20">
        <f t="shared" si="15"/>
        <v>20</v>
      </c>
      <c r="G200" s="10">
        <v>20</v>
      </c>
      <c r="S200" s="8"/>
      <c r="V200" s="8"/>
    </row>
    <row r="201" spans="2:22" x14ac:dyDescent="0.2">
      <c r="B201" t="s">
        <v>177</v>
      </c>
      <c r="C201" t="s">
        <v>15</v>
      </c>
      <c r="D201" s="20" t="s">
        <v>117</v>
      </c>
      <c r="E201" s="20">
        <f t="shared" si="14"/>
        <v>5</v>
      </c>
      <c r="F201" s="20">
        <f t="shared" si="15"/>
        <v>20</v>
      </c>
      <c r="G201" s="10">
        <v>20</v>
      </c>
      <c r="S201" s="8"/>
      <c r="V201" s="8"/>
    </row>
    <row r="202" spans="2:22" x14ac:dyDescent="0.2">
      <c r="B202" t="s">
        <v>177</v>
      </c>
      <c r="C202" t="s">
        <v>16</v>
      </c>
      <c r="D202" s="20" t="s">
        <v>117</v>
      </c>
      <c r="E202" s="20">
        <f t="shared" si="14"/>
        <v>5</v>
      </c>
      <c r="F202" s="20">
        <f t="shared" si="15"/>
        <v>20</v>
      </c>
      <c r="G202" s="10">
        <v>20</v>
      </c>
      <c r="S202" s="8"/>
      <c r="V202" s="8"/>
    </row>
    <row r="203" spans="2:22" x14ac:dyDescent="0.2">
      <c r="B203" t="s">
        <v>177</v>
      </c>
      <c r="C203" t="s">
        <v>17</v>
      </c>
      <c r="D203" s="20" t="s">
        <v>117</v>
      </c>
      <c r="E203" s="20">
        <f t="shared" si="14"/>
        <v>5</v>
      </c>
      <c r="F203" s="20">
        <f t="shared" si="15"/>
        <v>20</v>
      </c>
      <c r="G203" s="10">
        <v>20</v>
      </c>
      <c r="S203" s="8"/>
      <c r="V203" s="8"/>
    </row>
    <row r="204" spans="2:22" x14ac:dyDescent="0.2">
      <c r="B204" t="s">
        <v>177</v>
      </c>
      <c r="C204" t="s">
        <v>18</v>
      </c>
      <c r="D204" s="20" t="s">
        <v>117</v>
      </c>
      <c r="E204" s="20">
        <f t="shared" si="14"/>
        <v>5</v>
      </c>
      <c r="F204" s="20">
        <f t="shared" si="15"/>
        <v>20</v>
      </c>
      <c r="G204" s="10">
        <v>20</v>
      </c>
      <c r="S204" s="8"/>
      <c r="V204" s="8"/>
    </row>
  </sheetData>
  <autoFilter ref="B2:D204" xr:uid="{D521F980-2E5F-EC49-B62F-4F6A4A27A40F}">
    <sortState xmlns:xlrd2="http://schemas.microsoft.com/office/spreadsheetml/2017/richdata2" ref="B3:D62">
      <sortCondition ref="D2:D62"/>
    </sortState>
  </autoFilter>
  <conditionalFormatting sqref="G1:G1048576">
    <cfRule type="colorScale" priority="4">
      <colorScale>
        <cfvo type="min"/>
        <cfvo type="max"/>
        <color rgb="FFFFEF9C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8">
    <cfRule type="colorScale" priority="3">
      <colorScale>
        <cfvo type="min"/>
        <cfvo type="max"/>
        <color rgb="FFFFEF9C"/>
        <color rgb="FF63BE7B"/>
      </colorScale>
    </cfRule>
  </conditionalFormatting>
  <conditionalFormatting sqref="L3:L38">
    <cfRule type="notContainsText" dxfId="17" priority="1" operator="notContains" text="100">
      <formula>ISERROR(SEARCH("100",L3))</formula>
    </cfRule>
  </conditionalFormatting>
  <conditionalFormatting sqref="P3">
    <cfRule type="notContainsText" dxfId="16" priority="2" operator="notContains" text="100">
      <formula>ISERROR(SEARCH("100",P3))</formula>
    </cfRule>
  </conditionalFormatting>
  <conditionalFormatting sqref="S3:S14">
    <cfRule type="colorScale" priority="7">
      <colorScale>
        <cfvo type="min"/>
        <cfvo type="max"/>
        <color rgb="FFFFEF9C"/>
        <color rgb="FF63BE7B"/>
      </colorScale>
    </cfRule>
    <cfRule type="cellIs" dxfId="15" priority="9" operator="equal">
      <formula>100</formula>
    </cfRule>
  </conditionalFormatting>
  <conditionalFormatting sqref="V3:V44">
    <cfRule type="colorScale" priority="6">
      <colorScale>
        <cfvo type="min"/>
        <cfvo type="max"/>
        <color rgb="FFFFEF9C"/>
        <color rgb="FF63BE7B"/>
      </colorScale>
    </cfRule>
    <cfRule type="cellIs" dxfId="14" priority="8" operator="equal">
      <formula>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88"/>
  <sheetViews>
    <sheetView topLeftCell="A11" zoomScale="132" zoomScaleNormal="130" workbookViewId="0">
      <selection activeCell="B93" sqref="B93"/>
    </sheetView>
  </sheetViews>
  <sheetFormatPr baseColWidth="10" defaultRowHeight="16" x14ac:dyDescent="0.2"/>
  <cols>
    <col min="1" max="1" width="27" bestFit="1" customWidth="1"/>
    <col min="2" max="3" width="6" bestFit="1" customWidth="1"/>
    <col min="4" max="4" width="3.83203125" customWidth="1"/>
    <col min="5" max="5" width="12" bestFit="1" customWidth="1"/>
    <col min="6" max="6" width="5.33203125" bestFit="1" customWidth="1"/>
    <col min="7" max="7" width="6" bestFit="1" customWidth="1"/>
    <col min="8" max="8" width="3.83203125" customWidth="1"/>
    <col min="9" max="9" width="11.6640625" bestFit="1" customWidth="1"/>
    <col min="10" max="10" width="6.6640625" bestFit="1" customWidth="1"/>
    <col min="11" max="11" width="6" bestFit="1" customWidth="1"/>
    <col min="12" max="12" width="3.83203125" customWidth="1"/>
    <col min="13" max="13" width="13" bestFit="1" customWidth="1"/>
    <col min="14" max="14" width="5.33203125" bestFit="1" customWidth="1"/>
    <col min="15" max="15" width="6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6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VLOOKUP(A21,weights!$O:$P,2,FALSE)</f>
        <v>42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10.5</v>
      </c>
      <c r="E23" s="1" t="s">
        <v>7</v>
      </c>
      <c r="F23" s="13">
        <v>25</v>
      </c>
      <c r="G23" s="1">
        <f>F23*($B$21/100)</f>
        <v>10.5</v>
      </c>
      <c r="I23" s="1" t="s">
        <v>13</v>
      </c>
      <c r="J23" s="13">
        <v>20</v>
      </c>
      <c r="K23" s="1">
        <f>J23*($B$21/100)</f>
        <v>8.4</v>
      </c>
      <c r="M23" s="1" t="s">
        <v>9</v>
      </c>
      <c r="N23" s="13">
        <v>20</v>
      </c>
      <c r="O23" s="1">
        <f>N23*($B$21/100)</f>
        <v>8.4</v>
      </c>
      <c r="Q23" s="1" t="s">
        <v>117</v>
      </c>
      <c r="R23" s="13">
        <v>5</v>
      </c>
      <c r="S23" s="1">
        <f>R23*($B$21/100)</f>
        <v>2.1</v>
      </c>
      <c r="U23" s="1" t="s">
        <v>12</v>
      </c>
      <c r="V23" s="13">
        <v>5</v>
      </c>
      <c r="W23" s="1">
        <f>V23*($B$21/100)</f>
        <v>2.1</v>
      </c>
      <c r="X23">
        <v>25</v>
      </c>
      <c r="Y23"/>
      <c r="Z23"/>
      <c r="AA23"/>
    </row>
    <row r="24" spans="1:32" x14ac:dyDescent="0.2">
      <c r="A24" t="s">
        <v>108</v>
      </c>
      <c r="B24" s="12">
        <v>4</v>
      </c>
      <c r="C24" s="1">
        <f t="shared" ref="C24:C31" si="0">B24*($B$21/100)</f>
        <v>1.68</v>
      </c>
      <c r="E24" s="19" t="s">
        <v>107</v>
      </c>
      <c r="F24" s="12">
        <v>8</v>
      </c>
      <c r="G24" s="1">
        <f t="shared" ref="G24:G31" si="1">F24*($B$21/100)</f>
        <v>3.36</v>
      </c>
      <c r="I24" s="19" t="s">
        <v>110</v>
      </c>
      <c r="J24" s="12">
        <v>8</v>
      </c>
      <c r="K24" s="1">
        <f t="shared" ref="K24:K31" si="2">J24*($B$21/100)</f>
        <v>3.36</v>
      </c>
      <c r="M24" s="19" t="s">
        <v>113</v>
      </c>
      <c r="N24" s="12">
        <v>20</v>
      </c>
      <c r="O24" s="1">
        <f t="shared" ref="O24:O31" si="3">N24*($B$21/100)</f>
        <v>8.4</v>
      </c>
      <c r="Q24" s="19" t="s">
        <v>14</v>
      </c>
      <c r="R24" s="12">
        <v>5</v>
      </c>
      <c r="S24" s="1">
        <f t="shared" ref="S24:S31" si="4">R24*($B$21/100)</f>
        <v>2.1</v>
      </c>
      <c r="U24" s="19" t="s">
        <v>12</v>
      </c>
      <c r="V24" s="12">
        <v>5</v>
      </c>
      <c r="W24" s="1">
        <f t="shared" ref="W24:W31" si="5">V24*($B$21/100)</f>
        <v>2.1</v>
      </c>
      <c r="X24">
        <v>25</v>
      </c>
    </row>
    <row r="25" spans="1:32" x14ac:dyDescent="0.2">
      <c r="A25" t="s">
        <v>109</v>
      </c>
      <c r="B25" s="12">
        <v>4</v>
      </c>
      <c r="C25" s="1">
        <f t="shared" si="0"/>
        <v>1.68</v>
      </c>
      <c r="E25" s="19" t="s">
        <v>8</v>
      </c>
      <c r="F25" s="12">
        <v>8</v>
      </c>
      <c r="G25" s="1">
        <f t="shared" si="1"/>
        <v>3.36</v>
      </c>
      <c r="I25" s="19" t="s">
        <v>112</v>
      </c>
      <c r="J25" s="12">
        <v>8</v>
      </c>
      <c r="K25" s="1">
        <f t="shared" si="2"/>
        <v>3.36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  <c r="X25">
        <v>20</v>
      </c>
    </row>
    <row r="26" spans="1:32" x14ac:dyDescent="0.2">
      <c r="A26" t="s">
        <v>111</v>
      </c>
      <c r="B26" s="12">
        <v>4</v>
      </c>
      <c r="C26" s="1">
        <f t="shared" si="0"/>
        <v>1.68</v>
      </c>
      <c r="E26" t="s">
        <v>27</v>
      </c>
      <c r="F26" s="12">
        <v>8</v>
      </c>
      <c r="G26" s="1">
        <f t="shared" si="1"/>
        <v>3.36</v>
      </c>
      <c r="I26" s="19" t="s">
        <v>114</v>
      </c>
      <c r="J26" s="12">
        <v>2</v>
      </c>
      <c r="K26" s="1">
        <f t="shared" si="2"/>
        <v>0.84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  <c r="X26">
        <v>20</v>
      </c>
    </row>
    <row r="27" spans="1:32" x14ac:dyDescent="0.2">
      <c r="A27" t="s">
        <v>24</v>
      </c>
      <c r="B27" s="12">
        <v>5</v>
      </c>
      <c r="C27" s="1">
        <f t="shared" si="0"/>
        <v>2.1</v>
      </c>
      <c r="E27" t="s">
        <v>85</v>
      </c>
      <c r="F27" s="12">
        <v>1</v>
      </c>
      <c r="G27" s="1">
        <f t="shared" si="1"/>
        <v>0.42</v>
      </c>
      <c r="I27" s="19" t="s">
        <v>115</v>
      </c>
      <c r="J27" s="12">
        <v>1</v>
      </c>
      <c r="K27" s="1">
        <f t="shared" si="2"/>
        <v>0.42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  <c r="X27">
        <v>5</v>
      </c>
    </row>
    <row r="28" spans="1:32" x14ac:dyDescent="0.2">
      <c r="A28" t="s">
        <v>79</v>
      </c>
      <c r="B28" s="12">
        <v>2</v>
      </c>
      <c r="C28" s="1">
        <f t="shared" si="0"/>
        <v>0.84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0.42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  <c r="X28">
        <v>5</v>
      </c>
    </row>
    <row r="29" spans="1:32" x14ac:dyDescent="0.2">
      <c r="A29" s="19" t="s">
        <v>80</v>
      </c>
      <c r="B29" s="12">
        <v>2</v>
      </c>
      <c r="C29" s="1">
        <f t="shared" si="0"/>
        <v>0.84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0.84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0.84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4" x14ac:dyDescent="0.2">
      <c r="A34" s="1" t="s">
        <v>126</v>
      </c>
      <c r="B34" s="17">
        <f>VLOOKUP(A34,weights!$O:$P,2,FALSE)</f>
        <v>32</v>
      </c>
      <c r="C34" s="7" t="b">
        <f>(B36+F36+J36+N36+R36+V36)=100</f>
        <v>1</v>
      </c>
    </row>
    <row r="35" spans="1:24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4" s="1" customFormat="1" x14ac:dyDescent="0.2">
      <c r="A36" s="1" t="s">
        <v>5</v>
      </c>
      <c r="B36" s="1">
        <v>25</v>
      </c>
      <c r="C36" s="1">
        <f>B36*($B$34/100)</f>
        <v>8</v>
      </c>
      <c r="E36" s="1" t="s">
        <v>7</v>
      </c>
      <c r="F36" s="1">
        <v>25</v>
      </c>
      <c r="G36" s="1">
        <f>F36*($B$34/100)</f>
        <v>8</v>
      </c>
      <c r="I36" s="1" t="s">
        <v>13</v>
      </c>
      <c r="J36" s="1">
        <v>20</v>
      </c>
      <c r="K36" s="1">
        <f>J36*($B$34/100)</f>
        <v>6.4</v>
      </c>
      <c r="M36" s="1" t="s">
        <v>9</v>
      </c>
      <c r="N36" s="1">
        <v>20</v>
      </c>
      <c r="O36" s="1">
        <f>N36*($B$34/100)</f>
        <v>6.4</v>
      </c>
      <c r="Q36" s="1" t="s">
        <v>117</v>
      </c>
      <c r="R36" s="1">
        <v>5</v>
      </c>
      <c r="S36" s="1">
        <f>R36*($B$34/100)</f>
        <v>1.6</v>
      </c>
      <c r="U36" s="1" t="s">
        <v>12</v>
      </c>
      <c r="V36" s="1">
        <v>5</v>
      </c>
      <c r="W36" s="1">
        <f>V36*($B$34/100)</f>
        <v>1.6</v>
      </c>
      <c r="X36" s="1">
        <v>25</v>
      </c>
    </row>
    <row r="37" spans="1:24" x14ac:dyDescent="0.2">
      <c r="A37" s="19" t="s">
        <v>22</v>
      </c>
      <c r="B37">
        <v>5</v>
      </c>
      <c r="C37" s="1">
        <f t="shared" ref="C37:C51" si="6">B37*($B$34/100)</f>
        <v>1.6</v>
      </c>
      <c r="E37" s="19" t="s">
        <v>8</v>
      </c>
      <c r="F37">
        <v>10</v>
      </c>
      <c r="G37" s="1">
        <f t="shared" ref="G37:G51" si="7">F37*($B$34/100)</f>
        <v>3.2</v>
      </c>
      <c r="I37" s="19" t="s">
        <v>87</v>
      </c>
      <c r="J37">
        <v>2</v>
      </c>
      <c r="K37" s="1">
        <f t="shared" ref="K37:K51" si="8">J37*($B$34/100)</f>
        <v>0.64</v>
      </c>
      <c r="M37" s="19" t="s">
        <v>10</v>
      </c>
      <c r="N37">
        <v>10</v>
      </c>
      <c r="O37" s="1">
        <f t="shared" ref="O37:O51" si="9">N37*($B$34/100)</f>
        <v>3.2</v>
      </c>
      <c r="Q37" s="19" t="s">
        <v>14</v>
      </c>
      <c r="R37">
        <v>5</v>
      </c>
      <c r="S37" s="1">
        <f t="shared" ref="S37:S51" si="10">R37*($B$34/100)</f>
        <v>1.6</v>
      </c>
      <c r="U37" s="19" t="s">
        <v>12</v>
      </c>
      <c r="V37">
        <v>5</v>
      </c>
      <c r="W37" s="1">
        <f t="shared" ref="W37:W51" si="11">V37*($B$34/100)</f>
        <v>1.6</v>
      </c>
      <c r="X37">
        <v>25</v>
      </c>
    </row>
    <row r="38" spans="1:24" x14ac:dyDescent="0.2">
      <c r="A38" t="s">
        <v>79</v>
      </c>
      <c r="B38">
        <v>5</v>
      </c>
      <c r="C38" s="1">
        <f t="shared" si="6"/>
        <v>1.6</v>
      </c>
      <c r="E38" s="19" t="s">
        <v>27</v>
      </c>
      <c r="F38">
        <v>10</v>
      </c>
      <c r="G38" s="1">
        <f t="shared" si="7"/>
        <v>3.2</v>
      </c>
      <c r="I38" t="s">
        <v>23</v>
      </c>
      <c r="J38">
        <v>2</v>
      </c>
      <c r="K38" s="1">
        <f t="shared" si="8"/>
        <v>0.64</v>
      </c>
      <c r="M38" s="19" t="s">
        <v>75</v>
      </c>
      <c r="N38">
        <v>10</v>
      </c>
      <c r="O38" s="1">
        <f t="shared" si="9"/>
        <v>3.2</v>
      </c>
      <c r="S38" s="1">
        <f t="shared" si="10"/>
        <v>0</v>
      </c>
      <c r="W38" s="1">
        <f t="shared" si="11"/>
        <v>0</v>
      </c>
    </row>
    <row r="39" spans="1:24" x14ac:dyDescent="0.2">
      <c r="A39" s="19" t="s">
        <v>80</v>
      </c>
      <c r="B39">
        <v>5</v>
      </c>
      <c r="C39" s="1">
        <f t="shared" si="6"/>
        <v>1.6</v>
      </c>
      <c r="E39" t="s">
        <v>85</v>
      </c>
      <c r="F39">
        <v>5</v>
      </c>
      <c r="G39" s="1">
        <f t="shared" si="7"/>
        <v>1.6</v>
      </c>
      <c r="I39" t="s">
        <v>88</v>
      </c>
      <c r="J39">
        <v>1</v>
      </c>
      <c r="K39" s="1">
        <f t="shared" si="8"/>
        <v>0.32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4" x14ac:dyDescent="0.2">
      <c r="A40" t="s">
        <v>81</v>
      </c>
      <c r="B40">
        <v>5</v>
      </c>
      <c r="C40" s="1">
        <f t="shared" si="6"/>
        <v>1.6</v>
      </c>
      <c r="G40" s="1">
        <f t="shared" si="7"/>
        <v>0</v>
      </c>
      <c r="I40" s="19" t="s">
        <v>89</v>
      </c>
      <c r="J40">
        <v>2</v>
      </c>
      <c r="K40" s="1">
        <f t="shared" si="8"/>
        <v>0.64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4" x14ac:dyDescent="0.2">
      <c r="A41" t="s">
        <v>26</v>
      </c>
      <c r="B41">
        <v>5</v>
      </c>
      <c r="C41" s="1">
        <f t="shared" si="6"/>
        <v>1.6</v>
      </c>
      <c r="G41" s="1">
        <f t="shared" si="7"/>
        <v>0</v>
      </c>
      <c r="I41" s="19" t="s">
        <v>76</v>
      </c>
      <c r="J41">
        <v>2</v>
      </c>
      <c r="K41" s="1">
        <f t="shared" si="8"/>
        <v>0.64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4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0.64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4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0.32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4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0.32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4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0.32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4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0.32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4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0.32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4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0.32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0.32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0.32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0.32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VLOOKUP(A54,weights!$O:$P,2,FALSE)</f>
        <v>32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25.6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3.2</v>
      </c>
      <c r="Q56" s="1" t="s">
        <v>117</v>
      </c>
      <c r="R56" s="1">
        <v>5</v>
      </c>
      <c r="S56" s="1">
        <f>R56*($B$72/100)</f>
        <v>1.6</v>
      </c>
      <c r="U56" s="1" t="s">
        <v>12</v>
      </c>
      <c r="V56" s="1">
        <v>5</v>
      </c>
      <c r="W56" s="1">
        <f>V56*($B$72/100)</f>
        <v>1.6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25.6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3.2</v>
      </c>
      <c r="Q57" t="s">
        <v>14</v>
      </c>
      <c r="R57">
        <v>5</v>
      </c>
      <c r="S57" s="1">
        <f t="shared" ref="S57" si="16">R57*($B$72/100)</f>
        <v>1.6</v>
      </c>
      <c r="U57" t="s">
        <v>12</v>
      </c>
      <c r="V57">
        <v>5</v>
      </c>
      <c r="W57" s="1">
        <f t="shared" ref="W57" si="17">V57*($B$72/100)</f>
        <v>1.6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VLOOKUP(A63,weights!$O:$P,2,FALSE)</f>
        <v>32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14.4</v>
      </c>
      <c r="E65" s="1" t="s">
        <v>7</v>
      </c>
      <c r="F65" s="1">
        <v>25</v>
      </c>
      <c r="G65" s="1">
        <f>F65*($B$63/100)</f>
        <v>8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6.4</v>
      </c>
      <c r="Q65" s="1" t="s">
        <v>117</v>
      </c>
      <c r="R65" s="1">
        <v>5</v>
      </c>
      <c r="S65" s="1">
        <f>R65*($B$63/100)</f>
        <v>1.6</v>
      </c>
      <c r="U65" s="1" t="s">
        <v>12</v>
      </c>
      <c r="V65" s="1">
        <v>5</v>
      </c>
      <c r="W65" s="1">
        <f>V65*($B$63/100)</f>
        <v>1.6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14.4</v>
      </c>
      <c r="E66" t="s">
        <v>8</v>
      </c>
      <c r="F66">
        <v>13</v>
      </c>
      <c r="G66" s="1">
        <f t="shared" ref="G66:G69" si="25">F66*($B$63/100)</f>
        <v>4.16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6.4</v>
      </c>
      <c r="Q66" t="s">
        <v>14</v>
      </c>
      <c r="R66">
        <v>5</v>
      </c>
      <c r="S66" s="1">
        <f t="shared" ref="S66:S69" si="28">R66*($B$63/100)</f>
        <v>1.6</v>
      </c>
      <c r="U66" t="s">
        <v>12</v>
      </c>
      <c r="V66">
        <v>5</v>
      </c>
      <c r="W66" s="1">
        <f t="shared" ref="W66:W69" si="29">V66*($B$63/100)</f>
        <v>1.6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3.84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VLOOKUP(A72,weights!$O:$P,2,FALSE)</f>
        <v>32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25.6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3.2</v>
      </c>
      <c r="Q74" s="1" t="s">
        <v>117</v>
      </c>
      <c r="R74" s="1">
        <v>5</v>
      </c>
      <c r="S74" s="1">
        <f>R74*($B$72/100)</f>
        <v>1.6</v>
      </c>
      <c r="U74" s="1" t="s">
        <v>12</v>
      </c>
      <c r="V74" s="1">
        <v>5</v>
      </c>
      <c r="W74" s="1">
        <f>V74*($B$72/100)</f>
        <v>1.6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25.6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3.2</v>
      </c>
      <c r="Q75" t="s">
        <v>14</v>
      </c>
      <c r="R75">
        <v>5</v>
      </c>
      <c r="S75" s="1">
        <f t="shared" ref="S75:S78" si="34">R75*($B$72/100)</f>
        <v>1.6</v>
      </c>
      <c r="U75" t="s">
        <v>12</v>
      </c>
      <c r="V75">
        <v>5</v>
      </c>
      <c r="W75" s="1">
        <f t="shared" ref="W75:W78" si="35">V75*($B$72/100)</f>
        <v>1.6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VLOOKUP(A81,weights!$O:$P,2,FALSE)</f>
        <v>32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16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6.4</v>
      </c>
      <c r="M83" s="1" t="s">
        <v>9</v>
      </c>
      <c r="N83" s="1">
        <v>20</v>
      </c>
      <c r="O83" s="1">
        <f>N83*($B$81/100)</f>
        <v>6.4</v>
      </c>
      <c r="Q83" s="1" t="s">
        <v>117</v>
      </c>
      <c r="R83" s="1">
        <v>5</v>
      </c>
      <c r="S83" s="1">
        <f>R83*($B$81/100)</f>
        <v>1.6</v>
      </c>
      <c r="U83" s="1" t="s">
        <v>12</v>
      </c>
      <c r="V83" s="1">
        <v>5</v>
      </c>
      <c r="W83" s="1">
        <f>V83*($B$81/100)</f>
        <v>1.6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8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6.4</v>
      </c>
      <c r="M84" t="s">
        <v>10</v>
      </c>
      <c r="N84">
        <v>20</v>
      </c>
      <c r="O84" s="1">
        <f t="shared" ref="O84:O87" si="39">N84*($B$81/100)</f>
        <v>6.4</v>
      </c>
      <c r="Q84" t="s">
        <v>14</v>
      </c>
      <c r="R84">
        <v>5</v>
      </c>
      <c r="S84" s="1">
        <f t="shared" ref="S84:S87" si="40">R84*($B$81/100)</f>
        <v>1.6</v>
      </c>
      <c r="U84" t="s">
        <v>12</v>
      </c>
      <c r="V84">
        <v>5</v>
      </c>
      <c r="W84" s="1">
        <f t="shared" ref="W84:W87" si="41">V84*($B$81/100)</f>
        <v>1.6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8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AE204"/>
  <sheetViews>
    <sheetView tabSelected="1" zoomScale="120" zoomScaleNormal="120" workbookViewId="0">
      <pane ySplit="2" topLeftCell="A23" activePane="bottomLeft" state="frozen"/>
      <selection pane="bottomLeft" activeCell="K45" sqref="K45"/>
    </sheetView>
  </sheetViews>
  <sheetFormatPr baseColWidth="10" defaultColWidth="8.83203125" defaultRowHeight="16" x14ac:dyDescent="0.2"/>
  <cols>
    <col min="1" max="1" width="3" customWidth="1"/>
    <col min="2" max="2" width="4.6640625" bestFit="1" customWidth="1"/>
    <col min="3" max="3" width="14.33203125" bestFit="1" customWidth="1"/>
    <col min="4" max="4" width="19.83203125" bestFit="1" customWidth="1"/>
    <col min="5" max="5" width="15.5" bestFit="1" customWidth="1"/>
    <col min="6" max="6" width="12.1640625" bestFit="1" customWidth="1"/>
    <col min="7" max="7" width="13.33203125" bestFit="1" customWidth="1"/>
    <col min="8" max="8" width="11.83203125" bestFit="1" customWidth="1"/>
    <col min="9" max="9" width="5.33203125" customWidth="1"/>
    <col min="10" max="10" width="16.33203125" bestFit="1" customWidth="1"/>
    <col min="11" max="11" width="15.1640625" customWidth="1"/>
    <col min="12" max="12" width="7" bestFit="1" customWidth="1"/>
    <col min="13" max="13" width="6.5" bestFit="1" customWidth="1"/>
    <col min="14" max="14" width="4" customWidth="1"/>
    <col min="15" max="15" width="23.33203125" bestFit="1" customWidth="1"/>
    <col min="16" max="16" width="11.83203125" bestFit="1" customWidth="1"/>
    <col min="17" max="17" width="7.1640625" customWidth="1"/>
    <col min="18" max="18" width="2.83203125" customWidth="1"/>
    <col min="19" max="19" width="12" bestFit="1" customWidth="1"/>
    <col min="20" max="20" width="6.5" bestFit="1" customWidth="1"/>
    <col min="21" max="21" width="3" customWidth="1"/>
    <col min="22" max="22" width="14.33203125" bestFit="1" customWidth="1"/>
    <col min="23" max="23" width="6.5" bestFit="1" customWidth="1"/>
    <col min="24" max="24" width="12.5" bestFit="1" customWidth="1"/>
    <col min="25" max="25" width="2.33203125" customWidth="1"/>
    <col min="26" max="26" width="14.33203125" bestFit="1" customWidth="1"/>
    <col min="27" max="27" width="15.5" bestFit="1" customWidth="1"/>
    <col min="29" max="29" width="28" bestFit="1" customWidth="1"/>
    <col min="30" max="30" width="20.1640625" bestFit="1" customWidth="1"/>
    <col min="31" max="31" width="21" bestFit="1" customWidth="1"/>
  </cols>
  <sheetData>
    <row r="1" spans="1:31" x14ac:dyDescent="0.2">
      <c r="C1" s="21" t="s">
        <v>160</v>
      </c>
      <c r="D1" s="19" t="s">
        <v>179</v>
      </c>
      <c r="E1" s="19"/>
      <c r="F1" s="19"/>
      <c r="J1" s="1" t="s">
        <v>178</v>
      </c>
      <c r="M1" s="1"/>
      <c r="N1" s="1"/>
      <c r="O1" s="21" t="s">
        <v>160</v>
      </c>
      <c r="P1" s="19" t="s">
        <v>180</v>
      </c>
      <c r="T1" s="8"/>
      <c r="W1" s="8"/>
      <c r="Z1" s="24" t="s">
        <v>163</v>
      </c>
      <c r="AA1" s="23"/>
      <c r="AC1" s="24" t="s">
        <v>163</v>
      </c>
      <c r="AD1" s="23"/>
      <c r="AE1" s="23"/>
    </row>
    <row r="2" spans="1:31" x14ac:dyDescent="0.2">
      <c r="A2" s="1"/>
      <c r="B2" s="22" t="s">
        <v>181</v>
      </c>
      <c r="C2" s="6" t="s">
        <v>2</v>
      </c>
      <c r="D2" s="6" t="s">
        <v>0</v>
      </c>
      <c r="E2" s="6" t="s">
        <v>1</v>
      </c>
      <c r="F2" s="6" t="s">
        <v>3</v>
      </c>
      <c r="G2" s="22" t="s">
        <v>162</v>
      </c>
      <c r="H2" s="22" t="s">
        <v>161</v>
      </c>
      <c r="J2" s="7" t="s">
        <v>0</v>
      </c>
      <c r="K2" s="7" t="s">
        <v>1</v>
      </c>
      <c r="L2" s="7" t="s">
        <v>3</v>
      </c>
      <c r="M2" s="7" t="s">
        <v>21</v>
      </c>
      <c r="N2" s="1"/>
      <c r="O2" s="5" t="s">
        <v>0</v>
      </c>
      <c r="P2" s="5" t="s">
        <v>3</v>
      </c>
      <c r="Q2" s="7" t="s">
        <v>21</v>
      </c>
      <c r="R2" s="1"/>
      <c r="S2" s="7" t="str" cm="1">
        <f t="array" ref="S2:S9">_xlfn.UNIQUE(E2:E1000)</f>
        <v>BudgetGroup</v>
      </c>
      <c r="T2" s="7" t="s">
        <v>21</v>
      </c>
      <c r="U2" s="1"/>
      <c r="V2" s="7" t="str" cm="1">
        <f t="array" ref="V2:V45">_xlfn.UNIQUE(C2:C1000)</f>
        <v>RequestingArea</v>
      </c>
      <c r="W2" s="7" t="s">
        <v>21</v>
      </c>
      <c r="X2" s="1" t="s">
        <v>164</v>
      </c>
      <c r="Y2" s="1"/>
      <c r="Z2" s="7" t="s">
        <v>2</v>
      </c>
      <c r="AA2" s="7" t="s">
        <v>1</v>
      </c>
      <c r="AB2" s="1"/>
      <c r="AC2" s="7" t="s">
        <v>165</v>
      </c>
      <c r="AD2" s="7" t="s">
        <v>166</v>
      </c>
      <c r="AE2" s="7" t="s">
        <v>167</v>
      </c>
    </row>
    <row r="3" spans="1:31" x14ac:dyDescent="0.2">
      <c r="B3">
        <v>1</v>
      </c>
      <c r="C3" t="s">
        <v>22</v>
      </c>
      <c r="D3" t="s">
        <v>4</v>
      </c>
      <c r="E3" s="20" t="str">
        <f t="shared" ref="E3:E34" si="0">VLOOKUP($C3,$Z:$AA,2,FALSE)</f>
        <v>Commercial</v>
      </c>
      <c r="F3" s="20">
        <f t="shared" ref="F3:F66" si="1">H3*SUMIFS($L:$L,$J:$J,D3,$K:$K,E3)/G3</f>
        <v>1</v>
      </c>
      <c r="G3" s="20">
        <f t="shared" ref="G3:G66" si="2">SUMIFS($H$2:$H$1000,$E$2:$E$1000,E3,$D$2:$D$1000,D3)</f>
        <v>9</v>
      </c>
      <c r="H3" s="10">
        <v>1</v>
      </c>
      <c r="J3" t="s">
        <v>11</v>
      </c>
      <c r="K3" t="s">
        <v>12</v>
      </c>
      <c r="L3">
        <f t="shared" ref="L3:L13" si="3">COUNTIFS(E:E,K3,D:D,J3)</f>
        <v>1</v>
      </c>
      <c r="M3" s="19">
        <f>SUMIF($J:$J,J3,$L:$L)</f>
        <v>42</v>
      </c>
      <c r="O3" s="2" t="s">
        <v>11</v>
      </c>
      <c r="P3">
        <f>COUNTIF(D:D,O3)</f>
        <v>42</v>
      </c>
      <c r="Q3" s="19">
        <f>SUM(P3:P18)</f>
        <v>202</v>
      </c>
      <c r="S3" s="20" t="str">
        <v>Commercial</v>
      </c>
      <c r="T3" s="4">
        <f t="shared" ref="T3:T14" si="4">SUMIF($E:$E,S3,$F:$F)</f>
        <v>56</v>
      </c>
      <c r="V3" s="20" t="str">
        <v>GP B2B</v>
      </c>
      <c r="W3" s="4">
        <f t="shared" ref="W3:W44" si="5">SUMIF($C:$C,V3,$F:$F)</f>
        <v>6</v>
      </c>
      <c r="X3" s="20" t="str">
        <f>VLOOKUP(V3,$Z:$AA,2,FALSE)</f>
        <v>Commercial</v>
      </c>
      <c r="Z3" t="s">
        <v>12</v>
      </c>
      <c r="AA3" t="s">
        <v>12</v>
      </c>
      <c r="AC3" s="25" t="s">
        <v>168</v>
      </c>
      <c r="AD3" t="str" cm="1">
        <f t="array" ref="AD3:AE3">_xlfn.TEXTSPLIT(AC3,"&gt;",)</f>
        <v xml:space="preserve"> IDEA </v>
      </c>
      <c r="AE3" t="str">
        <v xml:space="preserve"> Backlog</v>
      </c>
    </row>
    <row r="4" spans="1:31" x14ac:dyDescent="0.2">
      <c r="B4">
        <v>2</v>
      </c>
      <c r="C4" t="s">
        <v>27</v>
      </c>
      <c r="D4" t="s">
        <v>4</v>
      </c>
      <c r="E4" s="20" t="str">
        <f t="shared" si="0"/>
        <v>Operations</v>
      </c>
      <c r="F4" s="20">
        <f t="shared" si="1"/>
        <v>1</v>
      </c>
      <c r="G4" s="20">
        <f t="shared" si="2"/>
        <v>3</v>
      </c>
      <c r="H4" s="10">
        <v>1</v>
      </c>
      <c r="J4" t="s">
        <v>11</v>
      </c>
      <c r="K4" t="s">
        <v>5</v>
      </c>
      <c r="L4">
        <f t="shared" si="3"/>
        <v>12</v>
      </c>
      <c r="M4" s="19">
        <f t="shared" ref="M4:M38" si="6">SUMIF($J:$J,J4,$L:$L)</f>
        <v>42</v>
      </c>
      <c r="O4" s="2" t="s">
        <v>16</v>
      </c>
      <c r="P4">
        <f>COUNTIF(D:D,O4)</f>
        <v>32</v>
      </c>
      <c r="S4" s="20" t="str">
        <v>Operations</v>
      </c>
      <c r="T4" s="4">
        <f t="shared" si="4"/>
        <v>19</v>
      </c>
      <c r="V4" s="20" t="str">
        <v>SEO</v>
      </c>
      <c r="W4" s="4">
        <f t="shared" si="5"/>
        <v>6</v>
      </c>
      <c r="X4" s="20" t="str">
        <f t="shared" ref="X4:X44" si="7">VLOOKUP(V4,$Z:$AA,2,FALSE)</f>
        <v>Operations</v>
      </c>
      <c r="Z4" t="s">
        <v>109</v>
      </c>
      <c r="AA4" t="s">
        <v>5</v>
      </c>
      <c r="AC4" s="25" t="s">
        <v>169</v>
      </c>
      <c r="AD4" t="str" cm="1">
        <f t="array" ref="AD4:AE4">_xlfn.TEXTSPLIT(AC4,"&gt;",)</f>
        <v xml:space="preserve"> IDEA </v>
      </c>
      <c r="AE4" t="str">
        <v xml:space="preserve"> Pitch</v>
      </c>
    </row>
    <row r="5" spans="1:31" x14ac:dyDescent="0.2">
      <c r="B5">
        <v>3</v>
      </c>
      <c r="C5" t="s">
        <v>23</v>
      </c>
      <c r="D5" t="s">
        <v>4</v>
      </c>
      <c r="E5" s="20" t="str">
        <f t="shared" si="0"/>
        <v>Corporate</v>
      </c>
      <c r="F5" s="20">
        <f t="shared" si="1"/>
        <v>1</v>
      </c>
      <c r="G5" s="20">
        <f t="shared" si="2"/>
        <v>13</v>
      </c>
      <c r="H5" s="10">
        <v>1</v>
      </c>
      <c r="J5" t="s">
        <v>11</v>
      </c>
      <c r="K5" t="s">
        <v>13</v>
      </c>
      <c r="L5">
        <f t="shared" si="3"/>
        <v>18</v>
      </c>
      <c r="M5" s="19">
        <f t="shared" si="6"/>
        <v>42</v>
      </c>
      <c r="O5" s="2" t="s">
        <v>4</v>
      </c>
      <c r="P5">
        <f>COUNTIF(D:D,O5)</f>
        <v>32</v>
      </c>
      <c r="S5" s="20" t="str">
        <v>Corporate</v>
      </c>
      <c r="T5" s="4">
        <f t="shared" si="4"/>
        <v>78</v>
      </c>
      <c r="V5" s="20" t="str">
        <v>CF</v>
      </c>
      <c r="W5" s="4">
        <f t="shared" si="5"/>
        <v>6</v>
      </c>
      <c r="X5" s="20" t="str">
        <f t="shared" si="7"/>
        <v>Corporate</v>
      </c>
      <c r="Z5" t="s">
        <v>108</v>
      </c>
      <c r="AA5" t="s">
        <v>5</v>
      </c>
      <c r="AC5" s="25" t="s">
        <v>170</v>
      </c>
      <c r="AD5" t="str" cm="1">
        <f t="array" ref="AD5:AE5">_xlfn.TEXTSPLIT(AC5,"&gt;",)</f>
        <v xml:space="preserve"> IDEA </v>
      </c>
      <c r="AE5" t="str">
        <v xml:space="preserve"> In Definition</v>
      </c>
    </row>
    <row r="6" spans="1:31" x14ac:dyDescent="0.2">
      <c r="B6">
        <v>4</v>
      </c>
      <c r="C6" t="s">
        <v>10</v>
      </c>
      <c r="D6" t="s">
        <v>4</v>
      </c>
      <c r="E6" s="20" t="str">
        <f t="shared" si="0"/>
        <v>Technology</v>
      </c>
      <c r="F6" s="20">
        <f t="shared" si="1"/>
        <v>1</v>
      </c>
      <c r="G6" s="20">
        <f t="shared" si="2"/>
        <v>5</v>
      </c>
      <c r="H6" s="10">
        <v>1</v>
      </c>
      <c r="J6" t="s">
        <v>11</v>
      </c>
      <c r="K6" t="s">
        <v>7</v>
      </c>
      <c r="L6">
        <f t="shared" si="3"/>
        <v>4</v>
      </c>
      <c r="M6" s="19">
        <f t="shared" si="6"/>
        <v>42</v>
      </c>
      <c r="O6" s="2" t="s">
        <v>18</v>
      </c>
      <c r="P6">
        <f>COUNTIF(D:D,O6)</f>
        <v>32</v>
      </c>
      <c r="S6" s="20" t="str">
        <v>Technology</v>
      </c>
      <c r="T6" s="4">
        <f t="shared" si="4"/>
        <v>31</v>
      </c>
      <c r="V6" s="20" t="str">
        <v>SI</v>
      </c>
      <c r="W6" s="4">
        <f t="shared" si="5"/>
        <v>6</v>
      </c>
      <c r="X6" s="20" t="str">
        <f t="shared" si="7"/>
        <v>Technology</v>
      </c>
      <c r="Z6" t="s">
        <v>81</v>
      </c>
      <c r="AA6" t="s">
        <v>5</v>
      </c>
      <c r="AC6" s="25" t="s">
        <v>171</v>
      </c>
      <c r="AD6" t="str" cm="1">
        <f t="array" ref="AD6:AE6">_xlfn.TEXTSPLIT(AC6,"&gt;",)</f>
        <v xml:space="preserve"> SOLUTION </v>
      </c>
      <c r="AE6" t="str">
        <v xml:space="preserve"> In Approval</v>
      </c>
    </row>
    <row r="7" spans="1:31" x14ac:dyDescent="0.2">
      <c r="B7">
        <v>5</v>
      </c>
      <c r="C7" t="s">
        <v>12</v>
      </c>
      <c r="D7" t="s">
        <v>4</v>
      </c>
      <c r="E7" s="20" t="str">
        <f t="shared" si="0"/>
        <v>CISO</v>
      </c>
      <c r="F7" s="20">
        <f t="shared" si="1"/>
        <v>1</v>
      </c>
      <c r="G7" s="20">
        <f t="shared" si="2"/>
        <v>1</v>
      </c>
      <c r="H7" s="10">
        <v>1</v>
      </c>
      <c r="J7" t="s">
        <v>11</v>
      </c>
      <c r="K7" t="s">
        <v>9</v>
      </c>
      <c r="L7">
        <f t="shared" si="3"/>
        <v>6</v>
      </c>
      <c r="M7" s="19">
        <f t="shared" si="6"/>
        <v>42</v>
      </c>
      <c r="O7" s="2" t="s">
        <v>17</v>
      </c>
      <c r="P7">
        <f>COUNTIF(D:D,O7)</f>
        <v>32</v>
      </c>
      <c r="S7" s="20" t="str">
        <v>CISO</v>
      </c>
      <c r="T7" s="4">
        <f t="shared" si="4"/>
        <v>6</v>
      </c>
      <c r="V7" s="20" t="str">
        <v>CISO</v>
      </c>
      <c r="W7" s="4">
        <f t="shared" si="5"/>
        <v>6</v>
      </c>
      <c r="X7" s="20" t="str">
        <f t="shared" si="7"/>
        <v>CISO</v>
      </c>
      <c r="Z7" t="s">
        <v>82</v>
      </c>
      <c r="AA7" t="s">
        <v>5</v>
      </c>
      <c r="AC7" s="25" t="s">
        <v>172</v>
      </c>
      <c r="AD7" t="str" cm="1">
        <f t="array" ref="AD7:AE7">_xlfn.TEXTSPLIT(AC7,"&gt;",)</f>
        <v xml:space="preserve"> SOLUTION </v>
      </c>
      <c r="AE7" t="str">
        <v xml:space="preserve"> Ready for Approval</v>
      </c>
    </row>
    <row r="8" spans="1:31" x14ac:dyDescent="0.2">
      <c r="B8">
        <v>6</v>
      </c>
      <c r="C8" t="s">
        <v>177</v>
      </c>
      <c r="D8" t="s">
        <v>4</v>
      </c>
      <c r="E8" s="20" t="str">
        <f t="shared" si="0"/>
        <v>Data &amp; AI</v>
      </c>
      <c r="F8" s="20">
        <f t="shared" si="1"/>
        <v>1</v>
      </c>
      <c r="G8" s="20">
        <f t="shared" si="2"/>
        <v>1</v>
      </c>
      <c r="H8" s="10">
        <v>1</v>
      </c>
      <c r="J8" s="26" t="s">
        <v>11</v>
      </c>
      <c r="K8" s="26" t="s">
        <v>117</v>
      </c>
      <c r="L8" s="26">
        <f t="shared" si="3"/>
        <v>1</v>
      </c>
      <c r="M8" s="19">
        <f t="shared" si="6"/>
        <v>42</v>
      </c>
      <c r="O8" s="2" t="s">
        <v>15</v>
      </c>
      <c r="P8">
        <f>COUNTIF(D:D,O8)</f>
        <v>32</v>
      </c>
      <c r="S8" s="20" t="str">
        <v>Data &amp; AI</v>
      </c>
      <c r="T8" s="4">
        <f t="shared" si="4"/>
        <v>12</v>
      </c>
      <c r="V8" s="20" t="str">
        <v>IAD</v>
      </c>
      <c r="W8" s="4">
        <f t="shared" si="5"/>
        <v>6</v>
      </c>
      <c r="X8" s="20" t="str">
        <f t="shared" si="7"/>
        <v>Data &amp; AI</v>
      </c>
      <c r="Z8" t="s">
        <v>79</v>
      </c>
      <c r="AA8" t="s">
        <v>5</v>
      </c>
      <c r="AC8" s="25" t="s">
        <v>173</v>
      </c>
      <c r="AD8" t="str" cm="1">
        <f t="array" ref="AD8:AE8">_xlfn.TEXTSPLIT(AC8,"&gt;",)</f>
        <v xml:space="preserve"> IDEA </v>
      </c>
      <c r="AE8" t="str">
        <v xml:space="preserve"> Ready for Solution</v>
      </c>
    </row>
    <row r="9" spans="1:31" x14ac:dyDescent="0.2">
      <c r="B9">
        <v>7</v>
      </c>
      <c r="C9" t="s">
        <v>80</v>
      </c>
      <c r="D9" t="s">
        <v>4</v>
      </c>
      <c r="E9" s="20" t="str">
        <f t="shared" si="0"/>
        <v>Commercial</v>
      </c>
      <c r="F9" s="20">
        <f t="shared" si="1"/>
        <v>1</v>
      </c>
      <c r="G9" s="20">
        <f t="shared" si="2"/>
        <v>9</v>
      </c>
      <c r="H9" s="10">
        <v>1</v>
      </c>
      <c r="J9" t="s">
        <v>16</v>
      </c>
      <c r="K9" t="s">
        <v>12</v>
      </c>
      <c r="L9">
        <f t="shared" si="3"/>
        <v>1</v>
      </c>
      <c r="M9" s="19">
        <f t="shared" si="6"/>
        <v>32</v>
      </c>
      <c r="O9" s="15" t="s">
        <v>19</v>
      </c>
      <c r="P9" s="16">
        <v>0</v>
      </c>
      <c r="S9">
        <v>0</v>
      </c>
      <c r="T9" s="4">
        <f t="shared" si="4"/>
        <v>0</v>
      </c>
      <c r="V9" s="20" t="str">
        <v>GS</v>
      </c>
      <c r="W9" s="4">
        <f t="shared" si="5"/>
        <v>6</v>
      </c>
      <c r="X9" s="20" t="str">
        <f t="shared" si="7"/>
        <v>Commercial</v>
      </c>
      <c r="Z9" t="s">
        <v>83</v>
      </c>
      <c r="AA9" t="s">
        <v>5</v>
      </c>
      <c r="AC9" s="25" t="s">
        <v>174</v>
      </c>
      <c r="AD9" t="str" cm="1">
        <f t="array" ref="AD9:AE9">_xlfn.TEXTSPLIT(AC9,"&gt;",)</f>
        <v xml:space="preserve"> SOLUTION </v>
      </c>
      <c r="AE9" t="str">
        <v xml:space="preserve"> High Level Design</v>
      </c>
    </row>
    <row r="10" spans="1:31" x14ac:dyDescent="0.2">
      <c r="B10">
        <v>8</v>
      </c>
      <c r="C10" t="s">
        <v>87</v>
      </c>
      <c r="D10" t="s">
        <v>4</v>
      </c>
      <c r="E10" s="20" t="str">
        <f t="shared" si="0"/>
        <v>Corporate</v>
      </c>
      <c r="F10" s="20">
        <f t="shared" si="1"/>
        <v>1</v>
      </c>
      <c r="G10" s="20">
        <f t="shared" si="2"/>
        <v>13</v>
      </c>
      <c r="H10" s="10">
        <v>1</v>
      </c>
      <c r="J10" t="s">
        <v>16</v>
      </c>
      <c r="K10" t="s">
        <v>5</v>
      </c>
      <c r="L10">
        <f t="shared" si="3"/>
        <v>9</v>
      </c>
      <c r="M10" s="19">
        <f t="shared" si="6"/>
        <v>32</v>
      </c>
      <c r="T10" s="4">
        <f t="shared" si="4"/>
        <v>0</v>
      </c>
      <c r="V10" s="20" t="str">
        <v>ACR</v>
      </c>
      <c r="W10" s="4">
        <f t="shared" si="5"/>
        <v>6</v>
      </c>
      <c r="X10" s="20" t="str">
        <f t="shared" si="7"/>
        <v>Corporate</v>
      </c>
      <c r="Z10" t="s">
        <v>22</v>
      </c>
      <c r="AA10" t="s">
        <v>5</v>
      </c>
      <c r="AC10" s="25" t="s">
        <v>175</v>
      </c>
      <c r="AD10" t="str" cm="1">
        <f t="array" ref="AD10:AE10">_xlfn.TEXTSPLIT(AC10,"&gt;",)</f>
        <v xml:space="preserve"> SOLUTION </v>
      </c>
      <c r="AE10" t="str">
        <v xml:space="preserve"> Ready for Development</v>
      </c>
    </row>
    <row r="11" spans="1:31" x14ac:dyDescent="0.2">
      <c r="B11">
        <v>9</v>
      </c>
      <c r="C11" t="s">
        <v>8</v>
      </c>
      <c r="D11" t="s">
        <v>4</v>
      </c>
      <c r="E11" s="20" t="str">
        <f t="shared" si="0"/>
        <v>Operations</v>
      </c>
      <c r="F11" s="20">
        <f t="shared" si="1"/>
        <v>1</v>
      </c>
      <c r="G11" s="20">
        <f t="shared" si="2"/>
        <v>3</v>
      </c>
      <c r="H11" s="10">
        <v>1</v>
      </c>
      <c r="J11" t="s">
        <v>16</v>
      </c>
      <c r="K11" t="s">
        <v>13</v>
      </c>
      <c r="L11">
        <f t="shared" si="3"/>
        <v>13</v>
      </c>
      <c r="M11" s="19">
        <f t="shared" si="6"/>
        <v>32</v>
      </c>
      <c r="T11" s="4">
        <f t="shared" si="4"/>
        <v>0</v>
      </c>
      <c r="V11" s="20" t="str">
        <v>EDO</v>
      </c>
      <c r="W11" s="4">
        <f t="shared" si="5"/>
        <v>6</v>
      </c>
      <c r="X11" s="20" t="str">
        <f t="shared" si="7"/>
        <v>Operations</v>
      </c>
      <c r="Z11" t="s">
        <v>26</v>
      </c>
      <c r="AA11" t="s">
        <v>5</v>
      </c>
      <c r="AC11" s="25" t="s">
        <v>176</v>
      </c>
      <c r="AD11" t="str" cm="1">
        <f t="array" ref="AD11:AE11">_xlfn.TEXTSPLIT(AC11,"&gt;",)</f>
        <v xml:space="preserve"> SOLUTION </v>
      </c>
      <c r="AE11" t="str">
        <v xml:space="preserve"> In Definition</v>
      </c>
    </row>
    <row r="12" spans="1:31" x14ac:dyDescent="0.2">
      <c r="B12">
        <v>10</v>
      </c>
      <c r="C12" t="s">
        <v>102</v>
      </c>
      <c r="D12" t="s">
        <v>4</v>
      </c>
      <c r="E12" s="20" t="str">
        <f t="shared" si="0"/>
        <v>Technology</v>
      </c>
      <c r="F12" s="20">
        <f t="shared" si="1"/>
        <v>1</v>
      </c>
      <c r="G12" s="20">
        <f t="shared" si="2"/>
        <v>5</v>
      </c>
      <c r="H12" s="10">
        <v>1</v>
      </c>
      <c r="J12" t="s">
        <v>16</v>
      </c>
      <c r="K12" t="s">
        <v>7</v>
      </c>
      <c r="L12">
        <f t="shared" si="3"/>
        <v>3</v>
      </c>
      <c r="M12" s="19">
        <f t="shared" si="6"/>
        <v>32</v>
      </c>
      <c r="T12" s="4">
        <f t="shared" si="4"/>
        <v>0</v>
      </c>
      <c r="V12" s="20" t="str">
        <v>SI-OPS</v>
      </c>
      <c r="W12" s="4">
        <f t="shared" si="5"/>
        <v>6</v>
      </c>
      <c r="X12" s="20" t="str">
        <f t="shared" si="7"/>
        <v>Technology</v>
      </c>
      <c r="Z12" t="s">
        <v>24</v>
      </c>
      <c r="AA12" t="s">
        <v>5</v>
      </c>
    </row>
    <row r="13" spans="1:31" x14ac:dyDescent="0.2">
      <c r="B13">
        <v>11</v>
      </c>
      <c r="C13" t="s">
        <v>79</v>
      </c>
      <c r="D13" t="s">
        <v>4</v>
      </c>
      <c r="E13" s="20" t="str">
        <f t="shared" si="0"/>
        <v>Commercial</v>
      </c>
      <c r="F13" s="20">
        <f t="shared" si="1"/>
        <v>1</v>
      </c>
      <c r="G13" s="20">
        <f t="shared" si="2"/>
        <v>9</v>
      </c>
      <c r="H13" s="10">
        <v>1</v>
      </c>
      <c r="J13" t="s">
        <v>16</v>
      </c>
      <c r="K13" t="s">
        <v>9</v>
      </c>
      <c r="L13">
        <f t="shared" si="3"/>
        <v>5</v>
      </c>
      <c r="M13" s="19">
        <f t="shared" si="6"/>
        <v>32</v>
      </c>
      <c r="T13" s="4">
        <f t="shared" si="4"/>
        <v>0</v>
      </c>
      <c r="V13" s="20" t="str">
        <v>DNI</v>
      </c>
      <c r="W13" s="4">
        <f t="shared" si="5"/>
        <v>6</v>
      </c>
      <c r="X13" s="20" t="str">
        <f t="shared" si="7"/>
        <v>Commercial</v>
      </c>
      <c r="Z13" t="s">
        <v>25</v>
      </c>
      <c r="AA13" t="s">
        <v>5</v>
      </c>
    </row>
    <row r="14" spans="1:31" x14ac:dyDescent="0.2">
      <c r="B14">
        <v>12</v>
      </c>
      <c r="C14" t="s">
        <v>89</v>
      </c>
      <c r="D14" t="s">
        <v>4</v>
      </c>
      <c r="E14" s="20" t="str">
        <f t="shared" si="0"/>
        <v>Corporate</v>
      </c>
      <c r="F14" s="20">
        <f t="shared" si="1"/>
        <v>1</v>
      </c>
      <c r="G14" s="20">
        <f t="shared" si="2"/>
        <v>13</v>
      </c>
      <c r="H14" s="10">
        <v>1</v>
      </c>
      <c r="J14" s="26" t="s">
        <v>16</v>
      </c>
      <c r="K14" s="26" t="s">
        <v>117</v>
      </c>
      <c r="L14" s="26">
        <f>COUNTIFS(E:E,K14,D:D,J14)</f>
        <v>1</v>
      </c>
      <c r="M14" s="19">
        <f t="shared" si="6"/>
        <v>32</v>
      </c>
      <c r="T14" s="4">
        <f t="shared" si="4"/>
        <v>0</v>
      </c>
      <c r="V14" s="20" t="str">
        <v>AVC</v>
      </c>
      <c r="W14" s="4">
        <f t="shared" si="5"/>
        <v>6</v>
      </c>
      <c r="X14" s="20" t="str">
        <f t="shared" si="7"/>
        <v>Corporate</v>
      </c>
      <c r="Z14" t="s">
        <v>80</v>
      </c>
      <c r="AA14" t="s">
        <v>5</v>
      </c>
    </row>
    <row r="15" spans="1:31" x14ac:dyDescent="0.2">
      <c r="B15">
        <v>13</v>
      </c>
      <c r="C15" t="s">
        <v>85</v>
      </c>
      <c r="D15" t="s">
        <v>4</v>
      </c>
      <c r="E15" s="20" t="str">
        <f t="shared" si="0"/>
        <v>Operations</v>
      </c>
      <c r="F15" s="20">
        <f t="shared" si="1"/>
        <v>1</v>
      </c>
      <c r="G15" s="20">
        <f t="shared" si="2"/>
        <v>3</v>
      </c>
      <c r="H15" s="10">
        <v>1</v>
      </c>
      <c r="J15" s="27" t="s">
        <v>4</v>
      </c>
      <c r="K15" s="27" t="s">
        <v>12</v>
      </c>
      <c r="L15">
        <f t="shared" ref="L15:L38" si="8">COUNTIFS(E:E,K15,D:D,J15)</f>
        <v>1</v>
      </c>
      <c r="M15" s="19">
        <f t="shared" si="6"/>
        <v>32</v>
      </c>
      <c r="T15" s="8"/>
      <c r="V15" s="20" t="str">
        <v>EM</v>
      </c>
      <c r="W15" s="4">
        <f t="shared" si="5"/>
        <v>6</v>
      </c>
      <c r="X15" s="20" t="str">
        <f t="shared" si="7"/>
        <v>Operations</v>
      </c>
      <c r="Z15" t="s">
        <v>111</v>
      </c>
      <c r="AA15" t="s">
        <v>5</v>
      </c>
    </row>
    <row r="16" spans="1:31" x14ac:dyDescent="0.2">
      <c r="B16">
        <v>14</v>
      </c>
      <c r="C16" t="s">
        <v>101</v>
      </c>
      <c r="D16" t="s">
        <v>4</v>
      </c>
      <c r="E16" s="20" t="str">
        <f t="shared" si="0"/>
        <v>Technology</v>
      </c>
      <c r="F16" s="20">
        <f t="shared" si="1"/>
        <v>1</v>
      </c>
      <c r="G16" s="20">
        <f t="shared" si="2"/>
        <v>5</v>
      </c>
      <c r="H16" s="10">
        <v>1</v>
      </c>
      <c r="J16" t="s">
        <v>4</v>
      </c>
      <c r="K16" t="s">
        <v>5</v>
      </c>
      <c r="L16">
        <f>COUNTIFS(E:E,K16,D:D,J16)</f>
        <v>9</v>
      </c>
      <c r="M16" s="19">
        <f t="shared" si="6"/>
        <v>32</v>
      </c>
      <c r="T16" s="8"/>
      <c r="V16" s="20" t="str">
        <v>SI-PRD</v>
      </c>
      <c r="W16" s="4">
        <f t="shared" si="5"/>
        <v>6</v>
      </c>
      <c r="X16" s="20" t="str">
        <f t="shared" si="7"/>
        <v>Technology</v>
      </c>
      <c r="Z16" t="s">
        <v>87</v>
      </c>
      <c r="AA16" t="s">
        <v>13</v>
      </c>
    </row>
    <row r="17" spans="2:27" x14ac:dyDescent="0.2">
      <c r="B17">
        <v>15</v>
      </c>
      <c r="C17" t="s">
        <v>81</v>
      </c>
      <c r="D17" t="s">
        <v>4</v>
      </c>
      <c r="E17" s="20" t="str">
        <f t="shared" si="0"/>
        <v>Commercial</v>
      </c>
      <c r="F17" s="20">
        <f t="shared" si="1"/>
        <v>1</v>
      </c>
      <c r="G17" s="20">
        <f t="shared" si="2"/>
        <v>9</v>
      </c>
      <c r="H17" s="10">
        <v>1</v>
      </c>
      <c r="J17" t="s">
        <v>4</v>
      </c>
      <c r="K17" t="s">
        <v>13</v>
      </c>
      <c r="L17">
        <f t="shared" si="8"/>
        <v>13</v>
      </c>
      <c r="M17" s="19">
        <f t="shared" si="6"/>
        <v>32</v>
      </c>
      <c r="T17" s="8"/>
      <c r="V17" s="20" t="str">
        <v>CSI</v>
      </c>
      <c r="W17" s="4">
        <f t="shared" si="5"/>
        <v>6</v>
      </c>
      <c r="X17" s="20" t="str">
        <f t="shared" si="7"/>
        <v>Commercial</v>
      </c>
      <c r="Z17" t="s">
        <v>110</v>
      </c>
      <c r="AA17" t="s">
        <v>13</v>
      </c>
    </row>
    <row r="18" spans="2:27" x14ac:dyDescent="0.2">
      <c r="B18">
        <v>16</v>
      </c>
      <c r="C18" t="s">
        <v>90</v>
      </c>
      <c r="D18" t="s">
        <v>4</v>
      </c>
      <c r="E18" s="20" t="str">
        <f t="shared" si="0"/>
        <v>Corporate</v>
      </c>
      <c r="F18" s="20">
        <f t="shared" si="1"/>
        <v>1</v>
      </c>
      <c r="G18" s="20">
        <f t="shared" si="2"/>
        <v>13</v>
      </c>
      <c r="H18" s="10">
        <v>1</v>
      </c>
      <c r="J18" t="s">
        <v>4</v>
      </c>
      <c r="K18" t="s">
        <v>7</v>
      </c>
      <c r="L18">
        <f t="shared" si="8"/>
        <v>3</v>
      </c>
      <c r="M18" s="19">
        <f t="shared" si="6"/>
        <v>32</v>
      </c>
      <c r="T18" s="8"/>
      <c r="V18" s="20" t="str">
        <v>GT</v>
      </c>
      <c r="W18" s="4">
        <f t="shared" si="5"/>
        <v>6</v>
      </c>
      <c r="X18" s="20" t="str">
        <f t="shared" si="7"/>
        <v>Corporate</v>
      </c>
      <c r="Z18" t="s">
        <v>89</v>
      </c>
      <c r="AA18" t="s">
        <v>13</v>
      </c>
    </row>
    <row r="19" spans="2:27" x14ac:dyDescent="0.2">
      <c r="B19">
        <v>17</v>
      </c>
      <c r="C19" t="s">
        <v>75</v>
      </c>
      <c r="D19" t="s">
        <v>4</v>
      </c>
      <c r="E19" s="20" t="str">
        <f t="shared" si="0"/>
        <v>Technology</v>
      </c>
      <c r="F19" s="20">
        <f t="shared" si="1"/>
        <v>1</v>
      </c>
      <c r="G19" s="20">
        <f t="shared" si="2"/>
        <v>5</v>
      </c>
      <c r="H19" s="10">
        <v>1</v>
      </c>
      <c r="J19" t="s">
        <v>4</v>
      </c>
      <c r="K19" t="s">
        <v>9</v>
      </c>
      <c r="L19">
        <f t="shared" si="8"/>
        <v>5</v>
      </c>
      <c r="M19" s="19">
        <f t="shared" si="6"/>
        <v>32</v>
      </c>
      <c r="T19" s="8"/>
      <c r="V19" s="20" t="str">
        <v>BCTT</v>
      </c>
      <c r="W19" s="4">
        <f t="shared" si="5"/>
        <v>6</v>
      </c>
      <c r="X19" s="20" t="str">
        <f t="shared" si="7"/>
        <v>Technology</v>
      </c>
      <c r="Z19" t="s">
        <v>23</v>
      </c>
      <c r="AA19" t="s">
        <v>13</v>
      </c>
    </row>
    <row r="20" spans="2:27" x14ac:dyDescent="0.2">
      <c r="B20">
        <v>18</v>
      </c>
      <c r="C20" t="s">
        <v>26</v>
      </c>
      <c r="D20" t="s">
        <v>4</v>
      </c>
      <c r="E20" s="20" t="str">
        <f t="shared" si="0"/>
        <v>Commercial</v>
      </c>
      <c r="F20" s="20">
        <f t="shared" si="1"/>
        <v>1</v>
      </c>
      <c r="G20" s="20">
        <f t="shared" si="2"/>
        <v>9</v>
      </c>
      <c r="H20" s="10">
        <v>1</v>
      </c>
      <c r="J20" s="26" t="s">
        <v>4</v>
      </c>
      <c r="K20" s="26" t="s">
        <v>117</v>
      </c>
      <c r="L20" s="26">
        <f t="shared" si="8"/>
        <v>1</v>
      </c>
      <c r="M20" s="19">
        <f t="shared" si="6"/>
        <v>32</v>
      </c>
      <c r="T20" s="8"/>
      <c r="V20" s="20" t="str">
        <v>GP B2C</v>
      </c>
      <c r="W20" s="4">
        <f t="shared" si="5"/>
        <v>6</v>
      </c>
      <c r="X20" s="20" t="str">
        <f t="shared" si="7"/>
        <v>Commercial</v>
      </c>
      <c r="Z20" t="s">
        <v>112</v>
      </c>
      <c r="AA20" t="s">
        <v>13</v>
      </c>
    </row>
    <row r="21" spans="2:27" x14ac:dyDescent="0.2">
      <c r="B21">
        <v>19</v>
      </c>
      <c r="C21" t="s">
        <v>76</v>
      </c>
      <c r="D21" t="s">
        <v>4</v>
      </c>
      <c r="E21" s="20" t="str">
        <f t="shared" si="0"/>
        <v>Corporate</v>
      </c>
      <c r="F21" s="20">
        <f t="shared" si="1"/>
        <v>1</v>
      </c>
      <c r="G21" s="20">
        <f t="shared" si="2"/>
        <v>13</v>
      </c>
      <c r="H21" s="10">
        <v>1</v>
      </c>
      <c r="J21" s="27" t="s">
        <v>18</v>
      </c>
      <c r="K21" s="27" t="s">
        <v>12</v>
      </c>
      <c r="L21">
        <f t="shared" si="8"/>
        <v>1</v>
      </c>
      <c r="M21" s="19">
        <f t="shared" si="6"/>
        <v>32</v>
      </c>
      <c r="T21" s="8"/>
      <c r="V21" s="20" t="str">
        <v>GRH</v>
      </c>
      <c r="W21" s="4">
        <f t="shared" si="5"/>
        <v>6</v>
      </c>
      <c r="X21" s="20" t="str">
        <f t="shared" si="7"/>
        <v>Corporate</v>
      </c>
      <c r="Z21" t="s">
        <v>115</v>
      </c>
      <c r="AA21" t="s">
        <v>13</v>
      </c>
    </row>
    <row r="22" spans="2:27" x14ac:dyDescent="0.2">
      <c r="B22">
        <v>20</v>
      </c>
      <c r="C22" t="s">
        <v>103</v>
      </c>
      <c r="D22" t="s">
        <v>4</v>
      </c>
      <c r="E22" s="20" t="str">
        <f t="shared" si="0"/>
        <v>Technology</v>
      </c>
      <c r="F22" s="20">
        <f t="shared" si="1"/>
        <v>1</v>
      </c>
      <c r="G22" s="20">
        <f t="shared" si="2"/>
        <v>5</v>
      </c>
      <c r="H22" s="10">
        <v>1</v>
      </c>
      <c r="J22" t="s">
        <v>18</v>
      </c>
      <c r="K22" t="s">
        <v>5</v>
      </c>
      <c r="L22">
        <f t="shared" si="8"/>
        <v>8</v>
      </c>
      <c r="M22" s="19">
        <f t="shared" si="6"/>
        <v>32</v>
      </c>
      <c r="T22" s="8"/>
      <c r="V22" s="20" t="str">
        <v>SI-CRP</v>
      </c>
      <c r="W22" s="4">
        <f t="shared" si="5"/>
        <v>6</v>
      </c>
      <c r="X22" s="20" t="str">
        <f t="shared" si="7"/>
        <v>Technology</v>
      </c>
      <c r="Z22" t="s">
        <v>91</v>
      </c>
      <c r="AA22" t="s">
        <v>13</v>
      </c>
    </row>
    <row r="23" spans="2:27" x14ac:dyDescent="0.2">
      <c r="B23">
        <v>21</v>
      </c>
      <c r="C23" t="s">
        <v>24</v>
      </c>
      <c r="D23" t="s">
        <v>4</v>
      </c>
      <c r="E23" s="20" t="str">
        <f t="shared" si="0"/>
        <v>Commercial</v>
      </c>
      <c r="F23" s="20">
        <f t="shared" si="1"/>
        <v>1</v>
      </c>
      <c r="G23" s="20">
        <f t="shared" si="2"/>
        <v>9</v>
      </c>
      <c r="H23" s="10">
        <v>1</v>
      </c>
      <c r="J23" t="s">
        <v>18</v>
      </c>
      <c r="K23" t="s">
        <v>13</v>
      </c>
      <c r="L23">
        <f t="shared" si="8"/>
        <v>8</v>
      </c>
      <c r="M23" s="19">
        <f t="shared" si="6"/>
        <v>32</v>
      </c>
      <c r="T23" s="8"/>
      <c r="V23" s="20" t="str">
        <v>GP ECL</v>
      </c>
      <c r="W23" s="4">
        <f t="shared" si="5"/>
        <v>6</v>
      </c>
      <c r="X23" s="20" t="str">
        <f t="shared" si="7"/>
        <v>Commercial</v>
      </c>
      <c r="Z23" t="s">
        <v>93</v>
      </c>
      <c r="AA23" t="s">
        <v>13</v>
      </c>
    </row>
    <row r="24" spans="2:27" x14ac:dyDescent="0.2">
      <c r="B24">
        <v>22</v>
      </c>
      <c r="C24" t="s">
        <v>159</v>
      </c>
      <c r="D24" t="s">
        <v>4</v>
      </c>
      <c r="E24" s="20" t="str">
        <f t="shared" si="0"/>
        <v>Corporate</v>
      </c>
      <c r="F24" s="20">
        <f t="shared" si="1"/>
        <v>1</v>
      </c>
      <c r="G24" s="20">
        <f t="shared" si="2"/>
        <v>13</v>
      </c>
      <c r="H24" s="10">
        <v>1</v>
      </c>
      <c r="J24" t="s">
        <v>18</v>
      </c>
      <c r="K24" t="s">
        <v>7</v>
      </c>
      <c r="L24">
        <f t="shared" si="8"/>
        <v>3</v>
      </c>
      <c r="M24" s="19">
        <f t="shared" si="6"/>
        <v>32</v>
      </c>
      <c r="T24" s="8"/>
      <c r="V24" s="20" t="str">
        <v>PC</v>
      </c>
      <c r="W24" s="4">
        <f t="shared" si="5"/>
        <v>6</v>
      </c>
      <c r="X24" s="20" t="str">
        <f t="shared" si="7"/>
        <v>Corporate</v>
      </c>
      <c r="Z24" t="s">
        <v>116</v>
      </c>
      <c r="AA24" t="s">
        <v>13</v>
      </c>
    </row>
    <row r="25" spans="2:27" x14ac:dyDescent="0.2">
      <c r="B25">
        <v>23</v>
      </c>
      <c r="C25" t="s">
        <v>25</v>
      </c>
      <c r="D25" t="s">
        <v>4</v>
      </c>
      <c r="E25" s="20" t="str">
        <f t="shared" si="0"/>
        <v>Commercial</v>
      </c>
      <c r="F25" s="20">
        <f t="shared" si="1"/>
        <v>1</v>
      </c>
      <c r="G25" s="20">
        <f t="shared" si="2"/>
        <v>9</v>
      </c>
      <c r="H25" s="10">
        <v>1</v>
      </c>
      <c r="J25" t="s">
        <v>18</v>
      </c>
      <c r="K25" t="s">
        <v>9</v>
      </c>
      <c r="L25">
        <f t="shared" si="8"/>
        <v>5</v>
      </c>
      <c r="M25" s="19">
        <f t="shared" si="6"/>
        <v>32</v>
      </c>
      <c r="T25" s="8"/>
      <c r="V25" s="20" t="str">
        <v>GPG</v>
      </c>
      <c r="W25" s="4">
        <f t="shared" si="5"/>
        <v>6</v>
      </c>
      <c r="X25" s="20" t="str">
        <f t="shared" si="7"/>
        <v>Commercial</v>
      </c>
      <c r="Z25" t="s">
        <v>97</v>
      </c>
      <c r="AA25" t="s">
        <v>13</v>
      </c>
    </row>
    <row r="26" spans="2:27" x14ac:dyDescent="0.2">
      <c r="B26">
        <v>24</v>
      </c>
      <c r="C26" t="s">
        <v>88</v>
      </c>
      <c r="D26" t="s">
        <v>4</v>
      </c>
      <c r="E26" s="20" t="str">
        <f t="shared" si="0"/>
        <v>Corporate</v>
      </c>
      <c r="F26" s="20">
        <f t="shared" si="1"/>
        <v>1</v>
      </c>
      <c r="G26" s="20">
        <f t="shared" si="2"/>
        <v>13</v>
      </c>
      <c r="H26" s="10">
        <v>1</v>
      </c>
      <c r="J26" s="26" t="s">
        <v>18</v>
      </c>
      <c r="K26" s="26" t="s">
        <v>117</v>
      </c>
      <c r="L26" s="26">
        <f t="shared" si="8"/>
        <v>7</v>
      </c>
      <c r="M26" s="19">
        <f t="shared" si="6"/>
        <v>32</v>
      </c>
      <c r="T26" s="8"/>
      <c r="V26" s="20" t="str">
        <v>RS</v>
      </c>
      <c r="W26" s="4">
        <f t="shared" si="5"/>
        <v>6</v>
      </c>
      <c r="X26" s="20" t="str">
        <f t="shared" si="7"/>
        <v>Corporate</v>
      </c>
      <c r="Z26" t="s">
        <v>99</v>
      </c>
      <c r="AA26" t="s">
        <v>13</v>
      </c>
    </row>
    <row r="27" spans="2:27" x14ac:dyDescent="0.2">
      <c r="B27">
        <v>25</v>
      </c>
      <c r="C27" t="s">
        <v>83</v>
      </c>
      <c r="D27" t="s">
        <v>4</v>
      </c>
      <c r="E27" s="20" t="str">
        <f t="shared" si="0"/>
        <v>Commercial</v>
      </c>
      <c r="F27" s="20">
        <f t="shared" si="1"/>
        <v>1</v>
      </c>
      <c r="G27" s="20">
        <f t="shared" si="2"/>
        <v>9</v>
      </c>
      <c r="H27" s="10">
        <v>1</v>
      </c>
      <c r="J27" s="27" t="s">
        <v>17</v>
      </c>
      <c r="K27" s="27" t="s">
        <v>12</v>
      </c>
      <c r="L27">
        <f t="shared" si="8"/>
        <v>1</v>
      </c>
      <c r="M27" s="19">
        <f t="shared" si="6"/>
        <v>32</v>
      </c>
      <c r="T27" s="8"/>
      <c r="V27" s="20" t="str">
        <v>ECM</v>
      </c>
      <c r="W27" s="4">
        <f t="shared" si="5"/>
        <v>6</v>
      </c>
      <c r="X27" s="20" t="str">
        <f t="shared" si="7"/>
        <v>Commercial</v>
      </c>
      <c r="Z27" t="s">
        <v>76</v>
      </c>
      <c r="AA27" t="s">
        <v>13</v>
      </c>
    </row>
    <row r="28" spans="2:27" x14ac:dyDescent="0.2">
      <c r="B28">
        <v>26</v>
      </c>
      <c r="C28" t="s">
        <v>91</v>
      </c>
      <c r="D28" t="s">
        <v>4</v>
      </c>
      <c r="E28" s="20" t="str">
        <f t="shared" si="0"/>
        <v>Corporate</v>
      </c>
      <c r="F28" s="20">
        <f t="shared" si="1"/>
        <v>1</v>
      </c>
      <c r="G28" s="20">
        <f t="shared" si="2"/>
        <v>13</v>
      </c>
      <c r="H28" s="10">
        <v>1</v>
      </c>
      <c r="J28" t="s">
        <v>17</v>
      </c>
      <c r="K28" t="s">
        <v>5</v>
      </c>
      <c r="L28">
        <f t="shared" si="8"/>
        <v>9</v>
      </c>
      <c r="M28" s="19">
        <f t="shared" si="6"/>
        <v>32</v>
      </c>
      <c r="T28" s="8"/>
      <c r="V28" s="20" t="str">
        <v>CL</v>
      </c>
      <c r="W28" s="4">
        <f t="shared" si="5"/>
        <v>6</v>
      </c>
      <c r="X28" s="20" t="str">
        <f t="shared" si="7"/>
        <v>Corporate</v>
      </c>
      <c r="Z28" t="s">
        <v>90</v>
      </c>
      <c r="AA28" t="s">
        <v>13</v>
      </c>
    </row>
    <row r="29" spans="2:27" x14ac:dyDescent="0.2">
      <c r="B29">
        <v>27</v>
      </c>
      <c r="C29" t="s">
        <v>82</v>
      </c>
      <c r="D29" t="s">
        <v>4</v>
      </c>
      <c r="E29" s="20" t="str">
        <f t="shared" si="0"/>
        <v>Commercial</v>
      </c>
      <c r="F29" s="20">
        <f t="shared" si="1"/>
        <v>1</v>
      </c>
      <c r="G29" s="20">
        <f t="shared" si="2"/>
        <v>9</v>
      </c>
      <c r="H29" s="10">
        <v>1</v>
      </c>
      <c r="J29" t="s">
        <v>17</v>
      </c>
      <c r="K29" t="s">
        <v>13</v>
      </c>
      <c r="L29">
        <f t="shared" si="8"/>
        <v>13</v>
      </c>
      <c r="M29" s="19">
        <f t="shared" si="6"/>
        <v>32</v>
      </c>
      <c r="T29" s="8"/>
      <c r="V29" s="20" t="str">
        <v>CTTE</v>
      </c>
      <c r="W29" s="4">
        <f t="shared" si="5"/>
        <v>6</v>
      </c>
      <c r="X29" s="20" t="str">
        <f t="shared" si="7"/>
        <v>Commercial</v>
      </c>
      <c r="Z29" t="s">
        <v>159</v>
      </c>
      <c r="AA29" t="s">
        <v>13</v>
      </c>
    </row>
    <row r="30" spans="2:27" x14ac:dyDescent="0.2">
      <c r="B30">
        <v>28</v>
      </c>
      <c r="C30" t="s">
        <v>97</v>
      </c>
      <c r="D30" t="s">
        <v>4</v>
      </c>
      <c r="E30" s="20" t="str">
        <f t="shared" si="0"/>
        <v>Corporate</v>
      </c>
      <c r="F30" s="20">
        <f t="shared" si="1"/>
        <v>1</v>
      </c>
      <c r="G30" s="20">
        <f t="shared" si="2"/>
        <v>13</v>
      </c>
      <c r="H30" s="10">
        <v>1</v>
      </c>
      <c r="J30" t="s">
        <v>17</v>
      </c>
      <c r="K30" t="s">
        <v>7</v>
      </c>
      <c r="L30">
        <f t="shared" si="8"/>
        <v>3</v>
      </c>
      <c r="M30" s="19">
        <f t="shared" si="6"/>
        <v>32</v>
      </c>
      <c r="T30" s="8"/>
      <c r="V30" s="20" t="str">
        <v>DPO</v>
      </c>
      <c r="W30" s="4">
        <f t="shared" si="5"/>
        <v>6</v>
      </c>
      <c r="X30" s="20" t="str">
        <f t="shared" si="7"/>
        <v>Corporate</v>
      </c>
      <c r="Z30" t="s">
        <v>114</v>
      </c>
      <c r="AA30" t="s">
        <v>13</v>
      </c>
    </row>
    <row r="31" spans="2:27" x14ac:dyDescent="0.2">
      <c r="B31">
        <v>29</v>
      </c>
      <c r="C31" t="s">
        <v>93</v>
      </c>
      <c r="D31" t="s">
        <v>4</v>
      </c>
      <c r="E31" s="20" t="str">
        <f t="shared" si="0"/>
        <v>Corporate</v>
      </c>
      <c r="F31" s="20">
        <f t="shared" si="1"/>
        <v>1</v>
      </c>
      <c r="G31" s="20">
        <f t="shared" si="2"/>
        <v>13</v>
      </c>
      <c r="H31" s="10">
        <v>1</v>
      </c>
      <c r="J31" t="s">
        <v>17</v>
      </c>
      <c r="K31" t="s">
        <v>9</v>
      </c>
      <c r="L31">
        <f t="shared" si="8"/>
        <v>5</v>
      </c>
      <c r="M31" s="19">
        <f t="shared" si="6"/>
        <v>32</v>
      </c>
      <c r="T31" s="8"/>
      <c r="V31" s="20" t="str">
        <v>CMP</v>
      </c>
      <c r="W31" s="4">
        <f t="shared" si="5"/>
        <v>6</v>
      </c>
      <c r="X31" s="20" t="str">
        <f t="shared" si="7"/>
        <v>Corporate</v>
      </c>
      <c r="Z31" t="s">
        <v>88</v>
      </c>
      <c r="AA31" t="s">
        <v>13</v>
      </c>
    </row>
    <row r="32" spans="2:27" x14ac:dyDescent="0.2">
      <c r="B32">
        <v>30</v>
      </c>
      <c r="C32" t="s">
        <v>94</v>
      </c>
      <c r="D32" t="s">
        <v>4</v>
      </c>
      <c r="E32" s="20" t="str">
        <f t="shared" si="0"/>
        <v>Corporate</v>
      </c>
      <c r="F32" s="20">
        <f t="shared" si="1"/>
        <v>1</v>
      </c>
      <c r="G32" s="20">
        <f t="shared" si="2"/>
        <v>13</v>
      </c>
      <c r="H32" s="10">
        <v>1</v>
      </c>
      <c r="J32" s="26" t="s">
        <v>17</v>
      </c>
      <c r="K32" s="26" t="s">
        <v>117</v>
      </c>
      <c r="L32" s="26">
        <f t="shared" si="8"/>
        <v>1</v>
      </c>
      <c r="M32" s="19">
        <f t="shared" si="6"/>
        <v>32</v>
      </c>
      <c r="T32" s="8"/>
      <c r="V32" s="20" t="str">
        <v>ST</v>
      </c>
      <c r="W32" s="4">
        <f t="shared" si="5"/>
        <v>6</v>
      </c>
      <c r="X32" s="20" t="str">
        <f t="shared" si="7"/>
        <v>Corporate</v>
      </c>
      <c r="Z32" t="s">
        <v>94</v>
      </c>
      <c r="AA32" t="s">
        <v>13</v>
      </c>
    </row>
    <row r="33" spans="2:27" x14ac:dyDescent="0.2">
      <c r="B33">
        <v>31</v>
      </c>
      <c r="C33" t="s">
        <v>99</v>
      </c>
      <c r="D33" t="s">
        <v>4</v>
      </c>
      <c r="E33" s="20" t="str">
        <f t="shared" si="0"/>
        <v>Corporate</v>
      </c>
      <c r="F33" s="20">
        <f t="shared" si="1"/>
        <v>1</v>
      </c>
      <c r="G33" s="20">
        <f t="shared" si="2"/>
        <v>13</v>
      </c>
      <c r="H33" s="10">
        <v>1</v>
      </c>
      <c r="J33" s="27" t="s">
        <v>15</v>
      </c>
      <c r="K33" s="27" t="s">
        <v>12</v>
      </c>
      <c r="L33">
        <f t="shared" si="8"/>
        <v>1</v>
      </c>
      <c r="M33" s="19">
        <f t="shared" si="6"/>
        <v>32</v>
      </c>
      <c r="T33" s="8"/>
      <c r="V33" s="20" t="str">
        <v>FL</v>
      </c>
      <c r="W33" s="4">
        <f t="shared" si="5"/>
        <v>6</v>
      </c>
      <c r="X33" s="20" t="str">
        <f t="shared" si="7"/>
        <v>Corporate</v>
      </c>
      <c r="Z33" t="s">
        <v>96</v>
      </c>
      <c r="AA33" t="s">
        <v>13</v>
      </c>
    </row>
    <row r="34" spans="2:27" x14ac:dyDescent="0.2">
      <c r="B34">
        <v>32</v>
      </c>
      <c r="C34" t="s">
        <v>96</v>
      </c>
      <c r="D34" t="s">
        <v>4</v>
      </c>
      <c r="E34" s="20" t="str">
        <f t="shared" si="0"/>
        <v>Corporate</v>
      </c>
      <c r="F34" s="20">
        <f t="shared" si="1"/>
        <v>1</v>
      </c>
      <c r="G34" s="20">
        <f t="shared" si="2"/>
        <v>13</v>
      </c>
      <c r="H34" s="10">
        <v>1</v>
      </c>
      <c r="J34" t="s">
        <v>15</v>
      </c>
      <c r="K34" t="s">
        <v>5</v>
      </c>
      <c r="L34">
        <f t="shared" si="8"/>
        <v>9</v>
      </c>
      <c r="M34" s="19">
        <f t="shared" si="6"/>
        <v>32</v>
      </c>
      <c r="T34" s="8"/>
      <c r="V34" s="20" t="str">
        <v>TF</v>
      </c>
      <c r="W34" s="4">
        <f t="shared" si="5"/>
        <v>6</v>
      </c>
      <c r="X34" s="20" t="str">
        <f t="shared" si="7"/>
        <v>Corporate</v>
      </c>
      <c r="Z34" t="s">
        <v>107</v>
      </c>
      <c r="AA34" t="s">
        <v>7</v>
      </c>
    </row>
    <row r="35" spans="2:27" x14ac:dyDescent="0.2">
      <c r="B35">
        <v>1</v>
      </c>
      <c r="C35" t="s">
        <v>107</v>
      </c>
      <c r="D35" t="s">
        <v>11</v>
      </c>
      <c r="E35" s="20" t="str">
        <f t="shared" ref="E35:E66" si="9">VLOOKUP($C35,$Z:$AA,2,FALSE)</f>
        <v>Operations</v>
      </c>
      <c r="F35" s="20">
        <f t="shared" si="1"/>
        <v>1</v>
      </c>
      <c r="G35" s="20">
        <f>SUMIFS($H$2:$H$1000,$E$2:$E$1000,E35,$D$2:$D$1000,D35)</f>
        <v>4</v>
      </c>
      <c r="H35" s="10">
        <v>1</v>
      </c>
      <c r="J35" t="s">
        <v>15</v>
      </c>
      <c r="K35" t="s">
        <v>13</v>
      </c>
      <c r="L35">
        <f t="shared" si="8"/>
        <v>13</v>
      </c>
      <c r="M35" s="19">
        <f t="shared" si="6"/>
        <v>32</v>
      </c>
      <c r="T35" s="8"/>
      <c r="V35" s="20" t="str">
        <v>COO</v>
      </c>
      <c r="W35" s="4">
        <f t="shared" si="5"/>
        <v>1</v>
      </c>
      <c r="X35" s="20" t="str">
        <f t="shared" si="7"/>
        <v>Operations</v>
      </c>
      <c r="Z35" t="s">
        <v>8</v>
      </c>
      <c r="AA35" t="s">
        <v>7</v>
      </c>
    </row>
    <row r="36" spans="2:27" x14ac:dyDescent="0.2">
      <c r="B36">
        <v>2</v>
      </c>
      <c r="C36" t="s">
        <v>24</v>
      </c>
      <c r="D36" t="s">
        <v>11</v>
      </c>
      <c r="E36" s="20" t="str">
        <f t="shared" si="9"/>
        <v>Commercial</v>
      </c>
      <c r="F36" s="20">
        <f t="shared" si="1"/>
        <v>1</v>
      </c>
      <c r="G36" s="20">
        <f t="shared" si="2"/>
        <v>12</v>
      </c>
      <c r="H36" s="10">
        <v>1</v>
      </c>
      <c r="J36" t="s">
        <v>15</v>
      </c>
      <c r="K36" t="s">
        <v>7</v>
      </c>
      <c r="L36">
        <f t="shared" si="8"/>
        <v>3</v>
      </c>
      <c r="M36" s="19">
        <f t="shared" si="6"/>
        <v>32</v>
      </c>
      <c r="T36" s="8"/>
      <c r="V36" s="20" t="str">
        <v>CFO</v>
      </c>
      <c r="W36" s="4">
        <f t="shared" si="5"/>
        <v>1</v>
      </c>
      <c r="X36" s="20" t="str">
        <f t="shared" si="7"/>
        <v>Corporate</v>
      </c>
      <c r="Z36" t="s">
        <v>85</v>
      </c>
      <c r="AA36" t="s">
        <v>7</v>
      </c>
    </row>
    <row r="37" spans="2:27" x14ac:dyDescent="0.2">
      <c r="B37">
        <v>3</v>
      </c>
      <c r="C37" t="s">
        <v>112</v>
      </c>
      <c r="D37" t="s">
        <v>11</v>
      </c>
      <c r="E37" s="20" t="str">
        <f t="shared" si="9"/>
        <v>Corporate</v>
      </c>
      <c r="F37" s="20">
        <f t="shared" si="1"/>
        <v>1</v>
      </c>
      <c r="G37" s="20">
        <f t="shared" si="2"/>
        <v>18</v>
      </c>
      <c r="H37" s="10">
        <v>1</v>
      </c>
      <c r="J37" t="s">
        <v>15</v>
      </c>
      <c r="K37" t="s">
        <v>9</v>
      </c>
      <c r="L37">
        <f t="shared" si="8"/>
        <v>5</v>
      </c>
      <c r="M37" s="19">
        <f t="shared" si="6"/>
        <v>32</v>
      </c>
      <c r="T37" s="8"/>
      <c r="V37" s="20" t="str">
        <v>CIO</v>
      </c>
      <c r="W37" s="4">
        <f t="shared" si="5"/>
        <v>1</v>
      </c>
      <c r="X37" s="20" t="str">
        <f t="shared" si="7"/>
        <v>Technology</v>
      </c>
      <c r="Z37" t="s">
        <v>85</v>
      </c>
      <c r="AA37" t="s">
        <v>7</v>
      </c>
    </row>
    <row r="38" spans="2:27" x14ac:dyDescent="0.2">
      <c r="B38">
        <v>4</v>
      </c>
      <c r="C38" t="s">
        <v>113</v>
      </c>
      <c r="D38" t="s">
        <v>11</v>
      </c>
      <c r="E38" s="20" t="str">
        <f t="shared" si="9"/>
        <v>Technology</v>
      </c>
      <c r="F38" s="20">
        <f t="shared" si="1"/>
        <v>1</v>
      </c>
      <c r="G38" s="20">
        <f t="shared" si="2"/>
        <v>6</v>
      </c>
      <c r="H38" s="10">
        <v>1</v>
      </c>
      <c r="J38" s="26" t="s">
        <v>15</v>
      </c>
      <c r="K38" s="26" t="s">
        <v>117</v>
      </c>
      <c r="L38" s="26">
        <f t="shared" si="8"/>
        <v>1</v>
      </c>
      <c r="M38" s="19">
        <f t="shared" si="6"/>
        <v>32</v>
      </c>
      <c r="T38" s="8"/>
      <c r="V38" s="20" t="str">
        <v>CMO</v>
      </c>
      <c r="W38" s="4">
        <f t="shared" si="5"/>
        <v>1</v>
      </c>
      <c r="X38" s="20" t="str">
        <f t="shared" si="7"/>
        <v>Commercial</v>
      </c>
      <c r="Z38" t="s">
        <v>27</v>
      </c>
      <c r="AA38" t="s">
        <v>7</v>
      </c>
    </row>
    <row r="39" spans="2:27" x14ac:dyDescent="0.2">
      <c r="B39">
        <v>5</v>
      </c>
      <c r="C39" t="s">
        <v>12</v>
      </c>
      <c r="D39" t="s">
        <v>11</v>
      </c>
      <c r="E39" s="20" t="str">
        <f t="shared" si="9"/>
        <v>CISO</v>
      </c>
      <c r="F39" s="20">
        <f t="shared" si="1"/>
        <v>1</v>
      </c>
      <c r="G39" s="20">
        <f t="shared" si="2"/>
        <v>1</v>
      </c>
      <c r="H39" s="10">
        <v>1</v>
      </c>
      <c r="T39" s="8"/>
      <c r="V39" s="20" t="str">
        <v>CCO</v>
      </c>
      <c r="W39" s="4">
        <f t="shared" si="5"/>
        <v>1</v>
      </c>
      <c r="X39" s="20" t="str">
        <f t="shared" si="7"/>
        <v>Commercial</v>
      </c>
      <c r="Z39" t="s">
        <v>75</v>
      </c>
      <c r="AA39" t="s">
        <v>9</v>
      </c>
    </row>
    <row r="40" spans="2:27" x14ac:dyDescent="0.2">
      <c r="B40">
        <v>6</v>
      </c>
      <c r="C40" t="s">
        <v>177</v>
      </c>
      <c r="D40" t="s">
        <v>11</v>
      </c>
      <c r="E40" s="20" t="str">
        <f t="shared" si="9"/>
        <v>Data &amp; AI</v>
      </c>
      <c r="F40" s="20">
        <f t="shared" si="1"/>
        <v>1</v>
      </c>
      <c r="G40" s="20">
        <f t="shared" si="2"/>
        <v>1</v>
      </c>
      <c r="H40" s="10">
        <v>1</v>
      </c>
      <c r="T40" s="8"/>
      <c r="V40" s="20" t="str">
        <v>ATC</v>
      </c>
      <c r="W40" s="4">
        <f t="shared" si="5"/>
        <v>1</v>
      </c>
      <c r="X40" s="20" t="str">
        <f t="shared" si="7"/>
        <v>Corporate</v>
      </c>
      <c r="Z40" t="s">
        <v>113</v>
      </c>
      <c r="AA40" t="s">
        <v>9</v>
      </c>
    </row>
    <row r="41" spans="2:27" x14ac:dyDescent="0.2">
      <c r="B41">
        <v>7</v>
      </c>
      <c r="C41" t="s">
        <v>80</v>
      </c>
      <c r="D41" t="s">
        <v>11</v>
      </c>
      <c r="E41" s="20" t="str">
        <f t="shared" si="9"/>
        <v>Commercial</v>
      </c>
      <c r="F41" s="20">
        <f t="shared" si="1"/>
        <v>1</v>
      </c>
      <c r="G41" s="20">
        <f t="shared" si="2"/>
        <v>12</v>
      </c>
      <c r="H41" s="10">
        <v>1</v>
      </c>
      <c r="T41" s="8"/>
      <c r="V41" s="20" t="str">
        <v>IDC</v>
      </c>
      <c r="W41" s="4">
        <f t="shared" si="5"/>
        <v>1</v>
      </c>
      <c r="X41" s="20" t="str">
        <f t="shared" si="7"/>
        <v>Commercial</v>
      </c>
      <c r="Z41" t="s">
        <v>10</v>
      </c>
      <c r="AA41" t="s">
        <v>9</v>
      </c>
    </row>
    <row r="42" spans="2:27" x14ac:dyDescent="0.2">
      <c r="B42">
        <v>8</v>
      </c>
      <c r="C42" t="s">
        <v>8</v>
      </c>
      <c r="D42" t="s">
        <v>11</v>
      </c>
      <c r="E42" s="20" t="str">
        <f t="shared" si="9"/>
        <v>Operations</v>
      </c>
      <c r="F42" s="20">
        <f t="shared" si="1"/>
        <v>1</v>
      </c>
      <c r="G42" s="20">
        <f t="shared" si="2"/>
        <v>4</v>
      </c>
      <c r="H42" s="10">
        <v>1</v>
      </c>
      <c r="T42" s="8"/>
      <c r="V42" s="20" t="str">
        <v>CHR</v>
      </c>
      <c r="W42" s="4">
        <f t="shared" si="5"/>
        <v>1</v>
      </c>
      <c r="X42" s="20" t="str">
        <f t="shared" si="7"/>
        <v>Corporate</v>
      </c>
      <c r="Z42" t="s">
        <v>103</v>
      </c>
      <c r="AA42" t="s">
        <v>9</v>
      </c>
    </row>
    <row r="43" spans="2:27" x14ac:dyDescent="0.2">
      <c r="B43">
        <v>9</v>
      </c>
      <c r="C43" t="s">
        <v>87</v>
      </c>
      <c r="D43" t="s">
        <v>11</v>
      </c>
      <c r="E43" s="20" t="str">
        <f t="shared" si="9"/>
        <v>Corporate</v>
      </c>
      <c r="F43" s="20">
        <f t="shared" si="1"/>
        <v>1</v>
      </c>
      <c r="G43" s="20">
        <f t="shared" si="2"/>
        <v>18</v>
      </c>
      <c r="H43" s="10">
        <v>1</v>
      </c>
      <c r="T43" s="8"/>
      <c r="V43" s="20" t="str">
        <v>PRO</v>
      </c>
      <c r="W43" s="4">
        <f t="shared" si="5"/>
        <v>1</v>
      </c>
      <c r="X43" s="20" t="str">
        <f t="shared" si="7"/>
        <v>Corporate</v>
      </c>
      <c r="Z43" t="s">
        <v>102</v>
      </c>
      <c r="AA43" t="s">
        <v>9</v>
      </c>
    </row>
    <row r="44" spans="2:27" x14ac:dyDescent="0.2">
      <c r="B44">
        <v>10</v>
      </c>
      <c r="C44" t="s">
        <v>10</v>
      </c>
      <c r="D44" t="s">
        <v>11</v>
      </c>
      <c r="E44" s="20" t="str">
        <f t="shared" si="9"/>
        <v>Technology</v>
      </c>
      <c r="F44" s="20">
        <f t="shared" si="1"/>
        <v>1</v>
      </c>
      <c r="G44" s="20">
        <f t="shared" si="2"/>
        <v>6</v>
      </c>
      <c r="H44" s="10">
        <v>1</v>
      </c>
      <c r="T44" s="8"/>
      <c r="V44" s="20" t="str">
        <v>COM</v>
      </c>
      <c r="W44" s="4">
        <f t="shared" si="5"/>
        <v>1</v>
      </c>
      <c r="X44" s="20" t="str">
        <f t="shared" si="7"/>
        <v>Corporate</v>
      </c>
      <c r="Z44" t="s">
        <v>101</v>
      </c>
      <c r="AA44" t="s">
        <v>9</v>
      </c>
    </row>
    <row r="45" spans="2:27" x14ac:dyDescent="0.2">
      <c r="B45">
        <v>11</v>
      </c>
      <c r="C45" t="s">
        <v>108</v>
      </c>
      <c r="D45" t="s">
        <v>11</v>
      </c>
      <c r="E45" s="20" t="str">
        <f t="shared" si="9"/>
        <v>Commercial</v>
      </c>
      <c r="F45" s="20">
        <f t="shared" si="1"/>
        <v>1</v>
      </c>
      <c r="G45" s="20">
        <f t="shared" si="2"/>
        <v>12</v>
      </c>
      <c r="H45" s="10">
        <v>1</v>
      </c>
      <c r="T45" s="8"/>
      <c r="V45">
        <v>0</v>
      </c>
      <c r="W45" s="8"/>
      <c r="Z45" t="s">
        <v>177</v>
      </c>
      <c r="AA45" t="s">
        <v>117</v>
      </c>
    </row>
    <row r="46" spans="2:27" x14ac:dyDescent="0.2">
      <c r="B46">
        <v>12</v>
      </c>
      <c r="C46" t="s">
        <v>27</v>
      </c>
      <c r="D46" t="s">
        <v>11</v>
      </c>
      <c r="E46" s="20" t="str">
        <f t="shared" si="9"/>
        <v>Operations</v>
      </c>
      <c r="F46" s="20">
        <f t="shared" si="1"/>
        <v>1</v>
      </c>
      <c r="G46" s="20">
        <f t="shared" si="2"/>
        <v>4</v>
      </c>
      <c r="H46" s="10">
        <v>1</v>
      </c>
      <c r="T46" s="8"/>
      <c r="W46" s="8"/>
    </row>
    <row r="47" spans="2:27" x14ac:dyDescent="0.2">
      <c r="B47">
        <v>13</v>
      </c>
      <c r="C47" t="s">
        <v>23</v>
      </c>
      <c r="D47" t="s">
        <v>11</v>
      </c>
      <c r="E47" s="20" t="str">
        <f t="shared" si="9"/>
        <v>Corporate</v>
      </c>
      <c r="F47" s="20">
        <f t="shared" si="1"/>
        <v>1</v>
      </c>
      <c r="G47" s="20">
        <f t="shared" si="2"/>
        <v>18</v>
      </c>
      <c r="H47" s="10">
        <v>1</v>
      </c>
      <c r="T47" s="8"/>
      <c r="W47" s="8"/>
    </row>
    <row r="48" spans="2:27" x14ac:dyDescent="0.2">
      <c r="B48">
        <v>14</v>
      </c>
      <c r="C48" t="s">
        <v>102</v>
      </c>
      <c r="D48" t="s">
        <v>11</v>
      </c>
      <c r="E48" s="20" t="str">
        <f t="shared" si="9"/>
        <v>Technology</v>
      </c>
      <c r="F48" s="20">
        <f t="shared" si="1"/>
        <v>1</v>
      </c>
      <c r="G48" s="20">
        <f t="shared" si="2"/>
        <v>6</v>
      </c>
      <c r="H48" s="10">
        <v>1</v>
      </c>
      <c r="T48" s="8"/>
      <c r="W48" s="8"/>
    </row>
    <row r="49" spans="2:23" x14ac:dyDescent="0.2">
      <c r="B49">
        <v>15</v>
      </c>
      <c r="C49" t="s">
        <v>109</v>
      </c>
      <c r="D49" t="s">
        <v>11</v>
      </c>
      <c r="E49" s="20" t="str">
        <f t="shared" si="9"/>
        <v>Commercial</v>
      </c>
      <c r="F49" s="20">
        <f t="shared" si="1"/>
        <v>1</v>
      </c>
      <c r="G49" s="20">
        <f t="shared" si="2"/>
        <v>12</v>
      </c>
      <c r="H49" s="10">
        <v>1</v>
      </c>
      <c r="T49" s="8"/>
      <c r="W49" s="8"/>
    </row>
    <row r="50" spans="2:23" x14ac:dyDescent="0.2">
      <c r="B50">
        <v>17</v>
      </c>
      <c r="C50" t="s">
        <v>75</v>
      </c>
      <c r="D50" t="s">
        <v>11</v>
      </c>
      <c r="E50" s="20" t="str">
        <f t="shared" si="9"/>
        <v>Technology</v>
      </c>
      <c r="F50" s="20">
        <f t="shared" si="1"/>
        <v>1</v>
      </c>
      <c r="G50" s="20">
        <f t="shared" si="2"/>
        <v>6</v>
      </c>
      <c r="H50" s="10">
        <v>1</v>
      </c>
      <c r="T50" s="8"/>
      <c r="W50" s="8"/>
    </row>
    <row r="51" spans="2:23" x14ac:dyDescent="0.2">
      <c r="B51">
        <v>18</v>
      </c>
      <c r="C51" t="s">
        <v>110</v>
      </c>
      <c r="D51" t="s">
        <v>11</v>
      </c>
      <c r="E51" s="20" t="str">
        <f t="shared" si="9"/>
        <v>Corporate</v>
      </c>
      <c r="F51" s="20">
        <f t="shared" si="1"/>
        <v>1</v>
      </c>
      <c r="G51" s="20">
        <f t="shared" si="2"/>
        <v>18</v>
      </c>
      <c r="H51" s="10">
        <v>1</v>
      </c>
      <c r="T51" s="8"/>
      <c r="W51" s="8"/>
    </row>
    <row r="52" spans="2:23" x14ac:dyDescent="0.2">
      <c r="B52">
        <v>19</v>
      </c>
      <c r="C52" t="s">
        <v>101</v>
      </c>
      <c r="D52" t="s">
        <v>11</v>
      </c>
      <c r="E52" s="20" t="str">
        <f t="shared" si="9"/>
        <v>Technology</v>
      </c>
      <c r="F52" s="20">
        <f t="shared" si="1"/>
        <v>1</v>
      </c>
      <c r="G52" s="20">
        <f t="shared" si="2"/>
        <v>6</v>
      </c>
      <c r="H52" s="10">
        <v>1</v>
      </c>
      <c r="T52" s="8"/>
      <c r="W52" s="8"/>
    </row>
    <row r="53" spans="2:23" x14ac:dyDescent="0.2">
      <c r="B53">
        <v>20</v>
      </c>
      <c r="C53" t="s">
        <v>111</v>
      </c>
      <c r="D53" t="s">
        <v>11</v>
      </c>
      <c r="E53" s="20" t="str">
        <f t="shared" si="9"/>
        <v>Commercial</v>
      </c>
      <c r="F53" s="20">
        <f t="shared" si="1"/>
        <v>1</v>
      </c>
      <c r="G53" s="20">
        <f t="shared" si="2"/>
        <v>12</v>
      </c>
      <c r="H53" s="10">
        <v>1</v>
      </c>
      <c r="T53" s="8"/>
      <c r="W53" s="8"/>
    </row>
    <row r="54" spans="2:23" x14ac:dyDescent="0.2">
      <c r="B54">
        <v>21</v>
      </c>
      <c r="C54" t="s">
        <v>89</v>
      </c>
      <c r="D54" t="s">
        <v>11</v>
      </c>
      <c r="E54" s="20" t="str">
        <f t="shared" si="9"/>
        <v>Corporate</v>
      </c>
      <c r="F54" s="20">
        <f t="shared" si="1"/>
        <v>1</v>
      </c>
      <c r="G54" s="20">
        <f t="shared" si="2"/>
        <v>18</v>
      </c>
      <c r="H54" s="10">
        <v>1</v>
      </c>
      <c r="T54" s="8"/>
      <c r="W54" s="8"/>
    </row>
    <row r="55" spans="2:23" x14ac:dyDescent="0.2">
      <c r="B55">
        <v>22</v>
      </c>
      <c r="C55" t="s">
        <v>85</v>
      </c>
      <c r="D55" t="s">
        <v>11</v>
      </c>
      <c r="E55" s="20" t="str">
        <f t="shared" si="9"/>
        <v>Operations</v>
      </c>
      <c r="F55" s="20">
        <f t="shared" si="1"/>
        <v>1</v>
      </c>
      <c r="G55" s="20">
        <f t="shared" si="2"/>
        <v>4</v>
      </c>
      <c r="H55" s="10">
        <v>1</v>
      </c>
      <c r="T55" s="8"/>
      <c r="W55" s="8"/>
    </row>
    <row r="56" spans="2:23" x14ac:dyDescent="0.2">
      <c r="B56">
        <v>23</v>
      </c>
      <c r="C56" t="s">
        <v>79</v>
      </c>
      <c r="D56" t="s">
        <v>11</v>
      </c>
      <c r="E56" s="20" t="str">
        <f t="shared" si="9"/>
        <v>Commercial</v>
      </c>
      <c r="F56" s="20">
        <f t="shared" si="1"/>
        <v>1</v>
      </c>
      <c r="G56" s="20">
        <f t="shared" si="2"/>
        <v>12</v>
      </c>
      <c r="H56" s="10">
        <v>1</v>
      </c>
      <c r="T56" s="8"/>
      <c r="W56" s="8"/>
    </row>
    <row r="57" spans="2:23" x14ac:dyDescent="0.2">
      <c r="B57">
        <v>24</v>
      </c>
      <c r="C57" t="s">
        <v>115</v>
      </c>
      <c r="D57" t="s">
        <v>11</v>
      </c>
      <c r="E57" s="20" t="str">
        <f t="shared" si="9"/>
        <v>Corporate</v>
      </c>
      <c r="F57" s="20">
        <f t="shared" si="1"/>
        <v>1</v>
      </c>
      <c r="G57" s="20">
        <f t="shared" si="2"/>
        <v>18</v>
      </c>
      <c r="H57" s="10">
        <v>1</v>
      </c>
      <c r="T57" s="8"/>
      <c r="W57" s="8"/>
    </row>
    <row r="58" spans="2:23" x14ac:dyDescent="0.2">
      <c r="B58">
        <v>25</v>
      </c>
      <c r="C58" t="s">
        <v>103</v>
      </c>
      <c r="D58" t="s">
        <v>11</v>
      </c>
      <c r="E58" s="20" t="str">
        <f t="shared" si="9"/>
        <v>Technology</v>
      </c>
      <c r="F58" s="20">
        <f t="shared" si="1"/>
        <v>1</v>
      </c>
      <c r="G58" s="20">
        <f t="shared" si="2"/>
        <v>6</v>
      </c>
      <c r="H58" s="10">
        <v>1</v>
      </c>
      <c r="T58" s="8"/>
      <c r="W58" s="8"/>
    </row>
    <row r="59" spans="2:23" x14ac:dyDescent="0.2">
      <c r="B59">
        <v>26</v>
      </c>
      <c r="C59" t="s">
        <v>81</v>
      </c>
      <c r="D59" t="s">
        <v>11</v>
      </c>
      <c r="E59" s="20" t="str">
        <f t="shared" si="9"/>
        <v>Commercial</v>
      </c>
      <c r="F59" s="20">
        <f t="shared" si="1"/>
        <v>1</v>
      </c>
      <c r="G59" s="20">
        <f t="shared" si="2"/>
        <v>12</v>
      </c>
      <c r="H59" s="10">
        <v>1</v>
      </c>
      <c r="T59" s="8"/>
      <c r="W59" s="8"/>
    </row>
    <row r="60" spans="2:23" x14ac:dyDescent="0.2">
      <c r="B60">
        <v>27</v>
      </c>
      <c r="C60" t="s">
        <v>114</v>
      </c>
      <c r="D60" t="s">
        <v>11</v>
      </c>
      <c r="E60" s="20" t="str">
        <f t="shared" si="9"/>
        <v>Corporate</v>
      </c>
      <c r="F60" s="20">
        <f t="shared" si="1"/>
        <v>1</v>
      </c>
      <c r="G60" s="20">
        <f t="shared" si="2"/>
        <v>18</v>
      </c>
      <c r="H60" s="10">
        <v>1</v>
      </c>
      <c r="T60" s="8"/>
      <c r="W60" s="8"/>
    </row>
    <row r="61" spans="2:23" x14ac:dyDescent="0.2">
      <c r="B61">
        <v>28</v>
      </c>
      <c r="C61" t="s">
        <v>22</v>
      </c>
      <c r="D61" t="s">
        <v>11</v>
      </c>
      <c r="E61" s="20" t="str">
        <f t="shared" si="9"/>
        <v>Commercial</v>
      </c>
      <c r="F61" s="20">
        <f t="shared" si="1"/>
        <v>1</v>
      </c>
      <c r="G61" s="20">
        <f t="shared" si="2"/>
        <v>12</v>
      </c>
      <c r="H61" s="10">
        <v>1</v>
      </c>
      <c r="T61" s="8"/>
      <c r="W61" s="8"/>
    </row>
    <row r="62" spans="2:23" x14ac:dyDescent="0.2">
      <c r="B62">
        <v>29</v>
      </c>
      <c r="C62" t="s">
        <v>97</v>
      </c>
      <c r="D62" t="s">
        <v>11</v>
      </c>
      <c r="E62" s="20" t="str">
        <f t="shared" si="9"/>
        <v>Corporate</v>
      </c>
      <c r="F62" s="20">
        <f t="shared" si="1"/>
        <v>1</v>
      </c>
      <c r="G62" s="20">
        <f t="shared" si="2"/>
        <v>18</v>
      </c>
      <c r="H62" s="10">
        <v>1</v>
      </c>
      <c r="T62" s="8"/>
      <c r="W62" s="8"/>
    </row>
    <row r="63" spans="2:23" x14ac:dyDescent="0.2">
      <c r="B63">
        <v>30</v>
      </c>
      <c r="C63" t="s">
        <v>26</v>
      </c>
      <c r="D63" t="s">
        <v>11</v>
      </c>
      <c r="E63" s="20" t="str">
        <f t="shared" si="9"/>
        <v>Commercial</v>
      </c>
      <c r="F63" s="20">
        <f t="shared" si="1"/>
        <v>1</v>
      </c>
      <c r="G63" s="20">
        <f t="shared" si="2"/>
        <v>12</v>
      </c>
      <c r="H63" s="10">
        <v>1</v>
      </c>
      <c r="T63" s="8"/>
      <c r="W63" s="8"/>
    </row>
    <row r="64" spans="2:23" x14ac:dyDescent="0.2">
      <c r="B64">
        <v>31</v>
      </c>
      <c r="C64" t="s">
        <v>90</v>
      </c>
      <c r="D64" t="s">
        <v>11</v>
      </c>
      <c r="E64" s="20" t="str">
        <f t="shared" si="9"/>
        <v>Corporate</v>
      </c>
      <c r="F64" s="20">
        <f t="shared" si="1"/>
        <v>1</v>
      </c>
      <c r="G64" s="20">
        <f t="shared" si="2"/>
        <v>18</v>
      </c>
      <c r="H64" s="10">
        <v>1</v>
      </c>
      <c r="T64" s="8"/>
      <c r="W64" s="8"/>
    </row>
    <row r="65" spans="2:23" x14ac:dyDescent="0.2">
      <c r="B65">
        <v>32</v>
      </c>
      <c r="C65" t="s">
        <v>25</v>
      </c>
      <c r="D65" t="s">
        <v>11</v>
      </c>
      <c r="E65" s="20" t="str">
        <f t="shared" si="9"/>
        <v>Commercial</v>
      </c>
      <c r="F65" s="20">
        <f t="shared" si="1"/>
        <v>1</v>
      </c>
      <c r="G65" s="20">
        <f t="shared" si="2"/>
        <v>12</v>
      </c>
      <c r="H65" s="10">
        <v>1</v>
      </c>
      <c r="T65" s="8"/>
      <c r="W65" s="8"/>
    </row>
    <row r="66" spans="2:23" x14ac:dyDescent="0.2">
      <c r="B66">
        <v>35</v>
      </c>
      <c r="C66" t="s">
        <v>76</v>
      </c>
      <c r="D66" t="s">
        <v>11</v>
      </c>
      <c r="E66" s="20" t="str">
        <f t="shared" si="9"/>
        <v>Corporate</v>
      </c>
      <c r="F66" s="20">
        <f t="shared" si="1"/>
        <v>1</v>
      </c>
      <c r="G66" s="20">
        <f t="shared" si="2"/>
        <v>18</v>
      </c>
      <c r="H66" s="10">
        <v>1</v>
      </c>
      <c r="T66" s="8"/>
      <c r="W66" s="8"/>
    </row>
    <row r="67" spans="2:23" x14ac:dyDescent="0.2">
      <c r="B67">
        <v>36</v>
      </c>
      <c r="C67" t="s">
        <v>83</v>
      </c>
      <c r="D67" t="s">
        <v>11</v>
      </c>
      <c r="E67" s="20" t="str">
        <f t="shared" ref="E67:E98" si="10">VLOOKUP($C67,$Z:$AA,2,FALSE)</f>
        <v>Commercial</v>
      </c>
      <c r="F67" s="20">
        <f t="shared" ref="F67:F130" si="11">H67*SUMIFS($L:$L,$J:$J,D67,$K:$K,E67)/G67</f>
        <v>1</v>
      </c>
      <c r="G67" s="20">
        <f t="shared" ref="G67:G130" si="12">SUMIFS($H$2:$H$1000,$E$2:$E$1000,E67,$D$2:$D$1000,D67)</f>
        <v>12</v>
      </c>
      <c r="H67" s="10">
        <v>1</v>
      </c>
      <c r="T67" s="8"/>
      <c r="W67" s="8"/>
    </row>
    <row r="68" spans="2:23" x14ac:dyDescent="0.2">
      <c r="B68">
        <v>37</v>
      </c>
      <c r="C68" t="s">
        <v>159</v>
      </c>
      <c r="D68" t="s">
        <v>11</v>
      </c>
      <c r="E68" s="20" t="str">
        <f t="shared" si="10"/>
        <v>Corporate</v>
      </c>
      <c r="F68" s="20">
        <f t="shared" si="11"/>
        <v>1</v>
      </c>
      <c r="G68" s="20">
        <f t="shared" si="12"/>
        <v>18</v>
      </c>
      <c r="H68" s="10">
        <v>1</v>
      </c>
      <c r="T68" s="8"/>
      <c r="W68" s="8"/>
    </row>
    <row r="69" spans="2:23" x14ac:dyDescent="0.2">
      <c r="B69">
        <v>38</v>
      </c>
      <c r="C69" t="s">
        <v>88</v>
      </c>
      <c r="D69" t="s">
        <v>11</v>
      </c>
      <c r="E69" s="20" t="str">
        <f t="shared" si="10"/>
        <v>Corporate</v>
      </c>
      <c r="F69" s="20">
        <f t="shared" si="11"/>
        <v>1</v>
      </c>
      <c r="G69" s="20">
        <f t="shared" si="12"/>
        <v>18</v>
      </c>
      <c r="H69" s="10">
        <v>1</v>
      </c>
      <c r="T69" s="8"/>
      <c r="W69" s="8"/>
    </row>
    <row r="70" spans="2:23" x14ac:dyDescent="0.2">
      <c r="B70">
        <v>39</v>
      </c>
      <c r="C70" t="s">
        <v>94</v>
      </c>
      <c r="D70" t="s">
        <v>11</v>
      </c>
      <c r="E70" s="20" t="str">
        <f t="shared" si="10"/>
        <v>Corporate</v>
      </c>
      <c r="F70" s="20">
        <f t="shared" si="11"/>
        <v>1</v>
      </c>
      <c r="G70" s="20">
        <f t="shared" si="12"/>
        <v>18</v>
      </c>
      <c r="H70" s="10">
        <v>1</v>
      </c>
      <c r="T70" s="8"/>
      <c r="W70" s="8"/>
    </row>
    <row r="71" spans="2:23" x14ac:dyDescent="0.2">
      <c r="B71">
        <v>40</v>
      </c>
      <c r="C71" t="s">
        <v>91</v>
      </c>
      <c r="D71" t="s">
        <v>11</v>
      </c>
      <c r="E71" s="20" t="str">
        <f t="shared" si="10"/>
        <v>Corporate</v>
      </c>
      <c r="F71" s="20">
        <f t="shared" si="11"/>
        <v>1</v>
      </c>
      <c r="G71" s="20">
        <f t="shared" si="12"/>
        <v>18</v>
      </c>
      <c r="H71" s="10">
        <v>1</v>
      </c>
      <c r="T71" s="8"/>
      <c r="W71" s="8"/>
    </row>
    <row r="72" spans="2:23" x14ac:dyDescent="0.2">
      <c r="B72">
        <v>41</v>
      </c>
      <c r="C72" t="s">
        <v>93</v>
      </c>
      <c r="D72" t="s">
        <v>11</v>
      </c>
      <c r="E72" s="20" t="str">
        <f t="shared" si="10"/>
        <v>Corporate</v>
      </c>
      <c r="F72" s="20">
        <f t="shared" si="11"/>
        <v>1</v>
      </c>
      <c r="G72" s="20">
        <f t="shared" si="12"/>
        <v>18</v>
      </c>
      <c r="H72" s="10">
        <v>1</v>
      </c>
      <c r="T72" s="8"/>
      <c r="W72" s="8"/>
    </row>
    <row r="73" spans="2:23" x14ac:dyDescent="0.2">
      <c r="B73">
        <v>42</v>
      </c>
      <c r="C73" t="s">
        <v>116</v>
      </c>
      <c r="D73" t="s">
        <v>11</v>
      </c>
      <c r="E73" s="20" t="str">
        <f t="shared" si="10"/>
        <v>Corporate</v>
      </c>
      <c r="F73" s="20">
        <f t="shared" si="11"/>
        <v>1</v>
      </c>
      <c r="G73" s="20">
        <f t="shared" si="12"/>
        <v>18</v>
      </c>
      <c r="H73" s="10">
        <v>1</v>
      </c>
      <c r="T73" s="8"/>
      <c r="W73" s="8"/>
    </row>
    <row r="74" spans="2:23" x14ac:dyDescent="0.2">
      <c r="B74">
        <v>43</v>
      </c>
      <c r="C74" t="s">
        <v>99</v>
      </c>
      <c r="D74" t="s">
        <v>11</v>
      </c>
      <c r="E74" s="20" t="str">
        <f t="shared" si="10"/>
        <v>Corporate</v>
      </c>
      <c r="F74" s="20">
        <f t="shared" si="11"/>
        <v>1</v>
      </c>
      <c r="G74" s="20">
        <f t="shared" si="12"/>
        <v>18</v>
      </c>
      <c r="H74" s="10">
        <v>1</v>
      </c>
      <c r="T74" s="8"/>
      <c r="W74" s="8"/>
    </row>
    <row r="75" spans="2:23" x14ac:dyDescent="0.2">
      <c r="B75">
        <v>44</v>
      </c>
      <c r="C75" t="s">
        <v>96</v>
      </c>
      <c r="D75" t="s">
        <v>11</v>
      </c>
      <c r="E75" s="20" t="str">
        <f t="shared" si="10"/>
        <v>Corporate</v>
      </c>
      <c r="F75" s="20">
        <f t="shared" si="11"/>
        <v>1</v>
      </c>
      <c r="G75" s="20">
        <f t="shared" si="12"/>
        <v>18</v>
      </c>
      <c r="H75" s="10">
        <v>1</v>
      </c>
      <c r="T75" s="8"/>
      <c r="W75" s="8"/>
    </row>
    <row r="76" spans="2:23" x14ac:dyDescent="0.2">
      <c r="B76">
        <v>45</v>
      </c>
      <c r="C76" t="s">
        <v>82</v>
      </c>
      <c r="D76" t="s">
        <v>11</v>
      </c>
      <c r="E76" s="20" t="str">
        <f t="shared" si="10"/>
        <v>Commercial</v>
      </c>
      <c r="F76" s="20">
        <f t="shared" si="11"/>
        <v>1</v>
      </c>
      <c r="G76" s="20">
        <f t="shared" si="12"/>
        <v>12</v>
      </c>
      <c r="H76" s="10">
        <v>1</v>
      </c>
      <c r="T76" s="8"/>
      <c r="W76" s="8"/>
    </row>
    <row r="77" spans="2:23" x14ac:dyDescent="0.2">
      <c r="B77">
        <v>1</v>
      </c>
      <c r="C77" t="s">
        <v>24</v>
      </c>
      <c r="D77" t="s">
        <v>15</v>
      </c>
      <c r="E77" s="20" t="str">
        <f t="shared" si="10"/>
        <v>Commercial</v>
      </c>
      <c r="F77" s="20">
        <f t="shared" si="11"/>
        <v>1</v>
      </c>
      <c r="G77" s="20">
        <f t="shared" si="12"/>
        <v>9</v>
      </c>
      <c r="H77" s="10">
        <v>1</v>
      </c>
      <c r="T77" s="8"/>
      <c r="W77" s="8"/>
    </row>
    <row r="78" spans="2:23" x14ac:dyDescent="0.2">
      <c r="B78">
        <v>2</v>
      </c>
      <c r="C78" t="s">
        <v>27</v>
      </c>
      <c r="D78" t="s">
        <v>15</v>
      </c>
      <c r="E78" s="20" t="str">
        <f t="shared" si="10"/>
        <v>Operations</v>
      </c>
      <c r="F78" s="20">
        <f t="shared" si="11"/>
        <v>1</v>
      </c>
      <c r="G78" s="20">
        <f t="shared" si="12"/>
        <v>3</v>
      </c>
      <c r="H78" s="10">
        <v>1</v>
      </c>
      <c r="T78" s="8"/>
      <c r="W78" s="8"/>
    </row>
    <row r="79" spans="2:23" x14ac:dyDescent="0.2">
      <c r="B79">
        <v>3</v>
      </c>
      <c r="C79" t="s">
        <v>23</v>
      </c>
      <c r="D79" t="s">
        <v>15</v>
      </c>
      <c r="E79" s="20" t="str">
        <f t="shared" si="10"/>
        <v>Corporate</v>
      </c>
      <c r="F79" s="20">
        <f t="shared" si="11"/>
        <v>1</v>
      </c>
      <c r="G79" s="20">
        <f t="shared" si="12"/>
        <v>13</v>
      </c>
      <c r="H79" s="10">
        <v>1</v>
      </c>
      <c r="T79" s="8"/>
      <c r="W79" s="8"/>
    </row>
    <row r="80" spans="2:23" x14ac:dyDescent="0.2">
      <c r="B80">
        <v>4</v>
      </c>
      <c r="C80" t="s">
        <v>10</v>
      </c>
      <c r="D80" t="s">
        <v>15</v>
      </c>
      <c r="E80" s="20" t="str">
        <f t="shared" si="10"/>
        <v>Technology</v>
      </c>
      <c r="F80" s="20">
        <f t="shared" si="11"/>
        <v>1</v>
      </c>
      <c r="G80" s="20">
        <f t="shared" si="12"/>
        <v>5</v>
      </c>
      <c r="H80" s="10">
        <v>1</v>
      </c>
      <c r="T80" s="8"/>
      <c r="W80" s="8"/>
    </row>
    <row r="81" spans="2:23" x14ac:dyDescent="0.2">
      <c r="B81">
        <v>5</v>
      </c>
      <c r="C81" t="s">
        <v>12</v>
      </c>
      <c r="D81" t="s">
        <v>15</v>
      </c>
      <c r="E81" s="20" t="str">
        <f t="shared" si="10"/>
        <v>CISO</v>
      </c>
      <c r="F81" s="20">
        <f t="shared" si="11"/>
        <v>1</v>
      </c>
      <c r="G81" s="20">
        <f t="shared" si="12"/>
        <v>1</v>
      </c>
      <c r="H81" s="10">
        <v>1</v>
      </c>
      <c r="T81" s="8"/>
      <c r="W81" s="8"/>
    </row>
    <row r="82" spans="2:23" x14ac:dyDescent="0.2">
      <c r="B82">
        <v>6</v>
      </c>
      <c r="C82" t="s">
        <v>177</v>
      </c>
      <c r="D82" t="s">
        <v>15</v>
      </c>
      <c r="E82" s="20" t="str">
        <f t="shared" si="10"/>
        <v>Data &amp; AI</v>
      </c>
      <c r="F82" s="20">
        <f t="shared" si="11"/>
        <v>1</v>
      </c>
      <c r="G82" s="20">
        <f t="shared" si="12"/>
        <v>1</v>
      </c>
      <c r="H82" s="10">
        <v>1</v>
      </c>
      <c r="T82" s="8"/>
      <c r="W82" s="8"/>
    </row>
    <row r="83" spans="2:23" x14ac:dyDescent="0.2">
      <c r="B83">
        <v>7</v>
      </c>
      <c r="C83" t="s">
        <v>80</v>
      </c>
      <c r="D83" t="s">
        <v>15</v>
      </c>
      <c r="E83" s="20" t="str">
        <f t="shared" si="10"/>
        <v>Commercial</v>
      </c>
      <c r="F83" s="20">
        <f t="shared" si="11"/>
        <v>1</v>
      </c>
      <c r="G83" s="20">
        <f t="shared" si="12"/>
        <v>9</v>
      </c>
      <c r="H83" s="10">
        <v>1</v>
      </c>
      <c r="T83" s="8"/>
      <c r="W83" s="8"/>
    </row>
    <row r="84" spans="2:23" x14ac:dyDescent="0.2">
      <c r="B84">
        <v>8</v>
      </c>
      <c r="C84" t="s">
        <v>87</v>
      </c>
      <c r="D84" t="s">
        <v>15</v>
      </c>
      <c r="E84" s="20" t="str">
        <f t="shared" si="10"/>
        <v>Corporate</v>
      </c>
      <c r="F84" s="20">
        <f t="shared" si="11"/>
        <v>1</v>
      </c>
      <c r="G84" s="20">
        <f t="shared" si="12"/>
        <v>13</v>
      </c>
      <c r="H84" s="10">
        <v>1</v>
      </c>
      <c r="T84" s="8"/>
      <c r="W84" s="8"/>
    </row>
    <row r="85" spans="2:23" x14ac:dyDescent="0.2">
      <c r="B85">
        <v>9</v>
      </c>
      <c r="C85" t="s">
        <v>8</v>
      </c>
      <c r="D85" t="s">
        <v>15</v>
      </c>
      <c r="E85" s="20" t="str">
        <f t="shared" si="10"/>
        <v>Operations</v>
      </c>
      <c r="F85" s="20">
        <f t="shared" si="11"/>
        <v>1</v>
      </c>
      <c r="G85" s="20">
        <f t="shared" si="12"/>
        <v>3</v>
      </c>
      <c r="H85" s="10">
        <v>1</v>
      </c>
      <c r="T85" s="8"/>
      <c r="W85" s="8"/>
    </row>
    <row r="86" spans="2:23" x14ac:dyDescent="0.2">
      <c r="B86">
        <v>10</v>
      </c>
      <c r="C86" t="s">
        <v>102</v>
      </c>
      <c r="D86" t="s">
        <v>15</v>
      </c>
      <c r="E86" s="20" t="str">
        <f t="shared" si="10"/>
        <v>Technology</v>
      </c>
      <c r="F86" s="20">
        <f t="shared" si="11"/>
        <v>1</v>
      </c>
      <c r="G86" s="20">
        <f t="shared" si="12"/>
        <v>5</v>
      </c>
      <c r="H86" s="10">
        <v>1</v>
      </c>
      <c r="T86" s="8"/>
      <c r="W86" s="8"/>
    </row>
    <row r="87" spans="2:23" x14ac:dyDescent="0.2">
      <c r="B87">
        <v>11</v>
      </c>
      <c r="C87" t="s">
        <v>79</v>
      </c>
      <c r="D87" t="s">
        <v>15</v>
      </c>
      <c r="E87" s="20" t="str">
        <f t="shared" si="10"/>
        <v>Commercial</v>
      </c>
      <c r="F87" s="20">
        <f t="shared" si="11"/>
        <v>1</v>
      </c>
      <c r="G87" s="20">
        <f t="shared" si="12"/>
        <v>9</v>
      </c>
      <c r="H87" s="10">
        <v>1</v>
      </c>
      <c r="T87" s="8"/>
      <c r="W87" s="8"/>
    </row>
    <row r="88" spans="2:23" x14ac:dyDescent="0.2">
      <c r="B88">
        <v>12</v>
      </c>
      <c r="C88" t="s">
        <v>89</v>
      </c>
      <c r="D88" t="s">
        <v>15</v>
      </c>
      <c r="E88" s="20" t="str">
        <f t="shared" si="10"/>
        <v>Corporate</v>
      </c>
      <c r="F88" s="20">
        <f t="shared" si="11"/>
        <v>1</v>
      </c>
      <c r="G88" s="20">
        <f t="shared" si="12"/>
        <v>13</v>
      </c>
      <c r="H88" s="10">
        <v>1</v>
      </c>
      <c r="T88" s="8"/>
      <c r="W88" s="8"/>
    </row>
    <row r="89" spans="2:23" x14ac:dyDescent="0.2">
      <c r="B89">
        <v>13</v>
      </c>
      <c r="C89" t="s">
        <v>85</v>
      </c>
      <c r="D89" t="s">
        <v>15</v>
      </c>
      <c r="E89" s="20" t="str">
        <f t="shared" si="10"/>
        <v>Operations</v>
      </c>
      <c r="F89" s="20">
        <f t="shared" si="11"/>
        <v>1</v>
      </c>
      <c r="G89" s="20">
        <f t="shared" si="12"/>
        <v>3</v>
      </c>
      <c r="H89" s="10">
        <v>1</v>
      </c>
      <c r="T89" s="8"/>
      <c r="W89" s="8"/>
    </row>
    <row r="90" spans="2:23" x14ac:dyDescent="0.2">
      <c r="B90">
        <v>14</v>
      </c>
      <c r="C90" t="s">
        <v>101</v>
      </c>
      <c r="D90" t="s">
        <v>15</v>
      </c>
      <c r="E90" s="20" t="str">
        <f t="shared" si="10"/>
        <v>Technology</v>
      </c>
      <c r="F90" s="20">
        <f t="shared" si="11"/>
        <v>1</v>
      </c>
      <c r="G90" s="20">
        <f t="shared" si="12"/>
        <v>5</v>
      </c>
      <c r="H90" s="10">
        <v>1</v>
      </c>
      <c r="T90" s="8"/>
      <c r="W90" s="8"/>
    </row>
    <row r="91" spans="2:23" x14ac:dyDescent="0.2">
      <c r="B91">
        <v>15</v>
      </c>
      <c r="C91" t="s">
        <v>81</v>
      </c>
      <c r="D91" t="s">
        <v>15</v>
      </c>
      <c r="E91" s="20" t="str">
        <f t="shared" si="10"/>
        <v>Commercial</v>
      </c>
      <c r="F91" s="20">
        <f t="shared" si="11"/>
        <v>1</v>
      </c>
      <c r="G91" s="20">
        <f t="shared" si="12"/>
        <v>9</v>
      </c>
      <c r="H91" s="10">
        <v>1</v>
      </c>
      <c r="T91" s="8"/>
      <c r="W91" s="8"/>
    </row>
    <row r="92" spans="2:23" x14ac:dyDescent="0.2">
      <c r="B92">
        <v>16</v>
      </c>
      <c r="C92" t="s">
        <v>90</v>
      </c>
      <c r="D92" t="s">
        <v>15</v>
      </c>
      <c r="E92" s="20" t="str">
        <f t="shared" si="10"/>
        <v>Corporate</v>
      </c>
      <c r="F92" s="20">
        <f t="shared" si="11"/>
        <v>1</v>
      </c>
      <c r="G92" s="20">
        <f t="shared" si="12"/>
        <v>13</v>
      </c>
      <c r="H92" s="10">
        <v>1</v>
      </c>
      <c r="T92" s="8"/>
      <c r="W92" s="8"/>
    </row>
    <row r="93" spans="2:23" x14ac:dyDescent="0.2">
      <c r="B93">
        <v>17</v>
      </c>
      <c r="C93" t="s">
        <v>75</v>
      </c>
      <c r="D93" t="s">
        <v>15</v>
      </c>
      <c r="E93" s="20" t="str">
        <f t="shared" si="10"/>
        <v>Technology</v>
      </c>
      <c r="F93" s="20">
        <f t="shared" si="11"/>
        <v>1</v>
      </c>
      <c r="G93" s="20">
        <f t="shared" si="12"/>
        <v>5</v>
      </c>
      <c r="H93" s="10">
        <v>1</v>
      </c>
      <c r="T93" s="8"/>
      <c r="W93" s="8"/>
    </row>
    <row r="94" spans="2:23" x14ac:dyDescent="0.2">
      <c r="B94">
        <v>18</v>
      </c>
      <c r="C94" t="s">
        <v>26</v>
      </c>
      <c r="D94" t="s">
        <v>15</v>
      </c>
      <c r="E94" s="20" t="str">
        <f t="shared" si="10"/>
        <v>Commercial</v>
      </c>
      <c r="F94" s="20">
        <f t="shared" si="11"/>
        <v>1</v>
      </c>
      <c r="G94" s="20">
        <f t="shared" si="12"/>
        <v>9</v>
      </c>
      <c r="H94" s="10">
        <v>1</v>
      </c>
      <c r="T94" s="8"/>
      <c r="W94" s="8"/>
    </row>
    <row r="95" spans="2:23" x14ac:dyDescent="0.2">
      <c r="B95">
        <v>19</v>
      </c>
      <c r="C95" t="s">
        <v>76</v>
      </c>
      <c r="D95" t="s">
        <v>15</v>
      </c>
      <c r="E95" s="20" t="str">
        <f t="shared" si="10"/>
        <v>Corporate</v>
      </c>
      <c r="F95" s="20">
        <f t="shared" si="11"/>
        <v>1</v>
      </c>
      <c r="G95" s="20">
        <f t="shared" si="12"/>
        <v>13</v>
      </c>
      <c r="H95" s="10">
        <v>1</v>
      </c>
      <c r="T95" s="8"/>
      <c r="W95" s="8"/>
    </row>
    <row r="96" spans="2:23" x14ac:dyDescent="0.2">
      <c r="B96">
        <v>20</v>
      </c>
      <c r="C96" t="s">
        <v>103</v>
      </c>
      <c r="D96" t="s">
        <v>15</v>
      </c>
      <c r="E96" s="20" t="str">
        <f t="shared" si="10"/>
        <v>Technology</v>
      </c>
      <c r="F96" s="20">
        <f t="shared" si="11"/>
        <v>1</v>
      </c>
      <c r="G96" s="20">
        <f t="shared" si="12"/>
        <v>5</v>
      </c>
      <c r="H96" s="10">
        <v>1</v>
      </c>
      <c r="T96" s="8"/>
      <c r="W96" s="8"/>
    </row>
    <row r="97" spans="2:23" x14ac:dyDescent="0.2">
      <c r="B97">
        <v>21</v>
      </c>
      <c r="C97" t="s">
        <v>22</v>
      </c>
      <c r="D97" t="s">
        <v>15</v>
      </c>
      <c r="E97" s="20" t="str">
        <f t="shared" si="10"/>
        <v>Commercial</v>
      </c>
      <c r="F97" s="20">
        <f t="shared" si="11"/>
        <v>1</v>
      </c>
      <c r="G97" s="20">
        <f t="shared" si="12"/>
        <v>9</v>
      </c>
      <c r="H97" s="10">
        <v>1</v>
      </c>
      <c r="T97" s="8"/>
      <c r="W97" s="8"/>
    </row>
    <row r="98" spans="2:23" x14ac:dyDescent="0.2">
      <c r="B98">
        <v>22</v>
      </c>
      <c r="C98" t="s">
        <v>159</v>
      </c>
      <c r="D98" t="s">
        <v>15</v>
      </c>
      <c r="E98" s="20" t="str">
        <f t="shared" si="10"/>
        <v>Corporate</v>
      </c>
      <c r="F98" s="20">
        <f t="shared" si="11"/>
        <v>1</v>
      </c>
      <c r="G98" s="20">
        <f t="shared" si="12"/>
        <v>13</v>
      </c>
      <c r="H98" s="10">
        <v>1</v>
      </c>
      <c r="T98" s="8"/>
      <c r="W98" s="8"/>
    </row>
    <row r="99" spans="2:23" x14ac:dyDescent="0.2">
      <c r="B99">
        <v>23</v>
      </c>
      <c r="C99" t="s">
        <v>25</v>
      </c>
      <c r="D99" t="s">
        <v>15</v>
      </c>
      <c r="E99" s="20" t="str">
        <f t="shared" ref="E99:E130" si="13">VLOOKUP($C99,$Z:$AA,2,FALSE)</f>
        <v>Commercial</v>
      </c>
      <c r="F99" s="20">
        <f t="shared" si="11"/>
        <v>1</v>
      </c>
      <c r="G99" s="20">
        <f t="shared" si="12"/>
        <v>9</v>
      </c>
      <c r="H99" s="10">
        <v>1</v>
      </c>
      <c r="T99" s="8"/>
      <c r="W99" s="8"/>
    </row>
    <row r="100" spans="2:23" x14ac:dyDescent="0.2">
      <c r="B100">
        <v>24</v>
      </c>
      <c r="C100" t="s">
        <v>88</v>
      </c>
      <c r="D100" t="s">
        <v>15</v>
      </c>
      <c r="E100" s="20" t="str">
        <f t="shared" si="13"/>
        <v>Corporate</v>
      </c>
      <c r="F100" s="20">
        <f t="shared" si="11"/>
        <v>1</v>
      </c>
      <c r="G100" s="20">
        <f t="shared" si="12"/>
        <v>13</v>
      </c>
      <c r="H100" s="10">
        <v>1</v>
      </c>
      <c r="T100" s="8"/>
      <c r="W100" s="8"/>
    </row>
    <row r="101" spans="2:23" x14ac:dyDescent="0.2">
      <c r="B101">
        <v>25</v>
      </c>
      <c r="C101" t="s">
        <v>83</v>
      </c>
      <c r="D101" t="s">
        <v>15</v>
      </c>
      <c r="E101" s="20" t="str">
        <f t="shared" si="13"/>
        <v>Commercial</v>
      </c>
      <c r="F101" s="20">
        <f t="shared" si="11"/>
        <v>1</v>
      </c>
      <c r="G101" s="20">
        <f t="shared" si="12"/>
        <v>9</v>
      </c>
      <c r="H101" s="10">
        <v>1</v>
      </c>
      <c r="T101" s="8"/>
      <c r="W101" s="8"/>
    </row>
    <row r="102" spans="2:23" x14ac:dyDescent="0.2">
      <c r="B102">
        <v>26</v>
      </c>
      <c r="C102" t="s">
        <v>91</v>
      </c>
      <c r="D102" t="s">
        <v>15</v>
      </c>
      <c r="E102" s="20" t="str">
        <f t="shared" si="13"/>
        <v>Corporate</v>
      </c>
      <c r="F102" s="20">
        <f t="shared" si="11"/>
        <v>1</v>
      </c>
      <c r="G102" s="20">
        <f t="shared" si="12"/>
        <v>13</v>
      </c>
      <c r="H102" s="10">
        <v>1</v>
      </c>
      <c r="T102" s="8"/>
      <c r="W102" s="8"/>
    </row>
    <row r="103" spans="2:23" x14ac:dyDescent="0.2">
      <c r="B103">
        <v>27</v>
      </c>
      <c r="C103" t="s">
        <v>82</v>
      </c>
      <c r="D103" t="s">
        <v>15</v>
      </c>
      <c r="E103" s="20" t="str">
        <f t="shared" si="13"/>
        <v>Commercial</v>
      </c>
      <c r="F103" s="20">
        <f t="shared" si="11"/>
        <v>1</v>
      </c>
      <c r="G103" s="20">
        <f t="shared" si="12"/>
        <v>9</v>
      </c>
      <c r="H103" s="10">
        <v>1</v>
      </c>
      <c r="T103" s="8"/>
      <c r="W103" s="8"/>
    </row>
    <row r="104" spans="2:23" x14ac:dyDescent="0.2">
      <c r="B104">
        <v>28</v>
      </c>
      <c r="C104" t="s">
        <v>97</v>
      </c>
      <c r="D104" t="s">
        <v>15</v>
      </c>
      <c r="E104" s="20" t="str">
        <f t="shared" si="13"/>
        <v>Corporate</v>
      </c>
      <c r="F104" s="20">
        <f t="shared" si="11"/>
        <v>1</v>
      </c>
      <c r="G104" s="20">
        <f t="shared" si="12"/>
        <v>13</v>
      </c>
      <c r="H104" s="10">
        <v>1</v>
      </c>
      <c r="T104" s="8"/>
      <c r="W104" s="8"/>
    </row>
    <row r="105" spans="2:23" x14ac:dyDescent="0.2">
      <c r="B105">
        <v>29</v>
      </c>
      <c r="C105" t="s">
        <v>93</v>
      </c>
      <c r="D105" t="s">
        <v>15</v>
      </c>
      <c r="E105" s="20" t="str">
        <f t="shared" si="13"/>
        <v>Corporate</v>
      </c>
      <c r="F105" s="20">
        <f t="shared" si="11"/>
        <v>1</v>
      </c>
      <c r="G105" s="20">
        <f t="shared" si="12"/>
        <v>13</v>
      </c>
      <c r="H105" s="10">
        <v>1</v>
      </c>
      <c r="T105" s="8"/>
      <c r="W105" s="8"/>
    </row>
    <row r="106" spans="2:23" x14ac:dyDescent="0.2">
      <c r="B106">
        <v>30</v>
      </c>
      <c r="C106" t="s">
        <v>94</v>
      </c>
      <c r="D106" t="s">
        <v>15</v>
      </c>
      <c r="E106" s="20" t="str">
        <f t="shared" si="13"/>
        <v>Corporate</v>
      </c>
      <c r="F106" s="20">
        <f t="shared" si="11"/>
        <v>1</v>
      </c>
      <c r="G106" s="20">
        <f t="shared" si="12"/>
        <v>13</v>
      </c>
      <c r="H106" s="10">
        <v>1</v>
      </c>
      <c r="T106" s="8"/>
      <c r="W106" s="8"/>
    </row>
    <row r="107" spans="2:23" x14ac:dyDescent="0.2">
      <c r="B107">
        <v>31</v>
      </c>
      <c r="C107" t="s">
        <v>99</v>
      </c>
      <c r="D107" t="s">
        <v>15</v>
      </c>
      <c r="E107" s="20" t="str">
        <f t="shared" si="13"/>
        <v>Corporate</v>
      </c>
      <c r="F107" s="20">
        <f t="shared" si="11"/>
        <v>1</v>
      </c>
      <c r="G107" s="20">
        <f t="shared" si="12"/>
        <v>13</v>
      </c>
      <c r="H107" s="10">
        <v>1</v>
      </c>
      <c r="T107" s="8"/>
      <c r="W107" s="8"/>
    </row>
    <row r="108" spans="2:23" x14ac:dyDescent="0.2">
      <c r="B108">
        <v>32</v>
      </c>
      <c r="C108" t="s">
        <v>96</v>
      </c>
      <c r="D108" t="s">
        <v>15</v>
      </c>
      <c r="E108" s="20" t="str">
        <f t="shared" si="13"/>
        <v>Corporate</v>
      </c>
      <c r="F108" s="20">
        <f t="shared" si="11"/>
        <v>1</v>
      </c>
      <c r="G108" s="20">
        <f t="shared" si="12"/>
        <v>13</v>
      </c>
      <c r="H108" s="10">
        <v>1</v>
      </c>
      <c r="T108" s="8"/>
      <c r="W108" s="8"/>
    </row>
    <row r="109" spans="2:23" x14ac:dyDescent="0.2">
      <c r="B109">
        <v>1</v>
      </c>
      <c r="C109" t="s">
        <v>22</v>
      </c>
      <c r="D109" t="s">
        <v>16</v>
      </c>
      <c r="E109" s="20" t="str">
        <f t="shared" si="13"/>
        <v>Commercial</v>
      </c>
      <c r="F109" s="20">
        <f t="shared" si="11"/>
        <v>1</v>
      </c>
      <c r="G109" s="20">
        <f t="shared" si="12"/>
        <v>9</v>
      </c>
      <c r="H109" s="10">
        <v>1</v>
      </c>
      <c r="T109" s="8"/>
      <c r="W109" s="8"/>
    </row>
    <row r="110" spans="2:23" x14ac:dyDescent="0.2">
      <c r="B110">
        <v>2</v>
      </c>
      <c r="C110" t="s">
        <v>27</v>
      </c>
      <c r="D110" t="s">
        <v>16</v>
      </c>
      <c r="E110" s="20" t="str">
        <f t="shared" si="13"/>
        <v>Operations</v>
      </c>
      <c r="F110" s="20">
        <f t="shared" si="11"/>
        <v>1</v>
      </c>
      <c r="G110" s="20">
        <f t="shared" si="12"/>
        <v>3</v>
      </c>
      <c r="H110" s="10">
        <v>1</v>
      </c>
      <c r="T110" s="8"/>
      <c r="W110" s="8"/>
    </row>
    <row r="111" spans="2:23" x14ac:dyDescent="0.2">
      <c r="B111">
        <v>3</v>
      </c>
      <c r="C111" t="s">
        <v>23</v>
      </c>
      <c r="D111" t="s">
        <v>16</v>
      </c>
      <c r="E111" s="20" t="str">
        <f t="shared" si="13"/>
        <v>Corporate</v>
      </c>
      <c r="F111" s="20">
        <f t="shared" si="11"/>
        <v>1</v>
      </c>
      <c r="G111" s="20">
        <f t="shared" si="12"/>
        <v>13</v>
      </c>
      <c r="H111" s="10">
        <v>1</v>
      </c>
      <c r="T111" s="8"/>
      <c r="W111" s="8"/>
    </row>
    <row r="112" spans="2:23" x14ac:dyDescent="0.2">
      <c r="B112">
        <v>4</v>
      </c>
      <c r="C112" t="s">
        <v>10</v>
      </c>
      <c r="D112" t="s">
        <v>16</v>
      </c>
      <c r="E112" s="20" t="str">
        <f t="shared" si="13"/>
        <v>Technology</v>
      </c>
      <c r="F112" s="20">
        <f t="shared" si="11"/>
        <v>1</v>
      </c>
      <c r="G112" s="20">
        <f t="shared" si="12"/>
        <v>5</v>
      </c>
      <c r="H112" s="10">
        <v>1</v>
      </c>
      <c r="T112" s="8"/>
      <c r="W112" s="8"/>
    </row>
    <row r="113" spans="2:23" x14ac:dyDescent="0.2">
      <c r="B113">
        <v>5</v>
      </c>
      <c r="C113" t="s">
        <v>12</v>
      </c>
      <c r="D113" t="s">
        <v>16</v>
      </c>
      <c r="E113" s="20" t="str">
        <f t="shared" si="13"/>
        <v>CISO</v>
      </c>
      <c r="F113" s="20">
        <f t="shared" si="11"/>
        <v>1</v>
      </c>
      <c r="G113" s="20">
        <f t="shared" si="12"/>
        <v>1</v>
      </c>
      <c r="H113" s="10">
        <v>1</v>
      </c>
      <c r="T113" s="8"/>
      <c r="W113" s="8"/>
    </row>
    <row r="114" spans="2:23" x14ac:dyDescent="0.2">
      <c r="B114">
        <v>6</v>
      </c>
      <c r="C114" t="s">
        <v>177</v>
      </c>
      <c r="D114" t="s">
        <v>16</v>
      </c>
      <c r="E114" s="20" t="str">
        <f t="shared" si="13"/>
        <v>Data &amp; AI</v>
      </c>
      <c r="F114" s="20">
        <f t="shared" si="11"/>
        <v>1</v>
      </c>
      <c r="G114" s="20">
        <f t="shared" si="12"/>
        <v>1</v>
      </c>
      <c r="H114" s="10">
        <v>1</v>
      </c>
      <c r="T114" s="8"/>
      <c r="W114" s="8"/>
    </row>
    <row r="115" spans="2:23" x14ac:dyDescent="0.2">
      <c r="B115">
        <v>7</v>
      </c>
      <c r="C115" t="s">
        <v>80</v>
      </c>
      <c r="D115" t="s">
        <v>16</v>
      </c>
      <c r="E115" s="20" t="str">
        <f t="shared" si="13"/>
        <v>Commercial</v>
      </c>
      <c r="F115" s="20">
        <f t="shared" si="11"/>
        <v>1</v>
      </c>
      <c r="G115" s="20">
        <f t="shared" si="12"/>
        <v>9</v>
      </c>
      <c r="H115" s="10">
        <v>1</v>
      </c>
      <c r="T115" s="8"/>
      <c r="W115" s="8"/>
    </row>
    <row r="116" spans="2:23" x14ac:dyDescent="0.2">
      <c r="B116">
        <v>8</v>
      </c>
      <c r="C116" t="s">
        <v>87</v>
      </c>
      <c r="D116" t="s">
        <v>16</v>
      </c>
      <c r="E116" s="20" t="str">
        <f t="shared" si="13"/>
        <v>Corporate</v>
      </c>
      <c r="F116" s="20">
        <f t="shared" si="11"/>
        <v>1</v>
      </c>
      <c r="G116" s="20">
        <f t="shared" si="12"/>
        <v>13</v>
      </c>
      <c r="H116" s="10">
        <v>1</v>
      </c>
      <c r="T116" s="8"/>
      <c r="W116" s="8"/>
    </row>
    <row r="117" spans="2:23" x14ac:dyDescent="0.2">
      <c r="B117">
        <v>9</v>
      </c>
      <c r="C117" t="s">
        <v>8</v>
      </c>
      <c r="D117" t="s">
        <v>16</v>
      </c>
      <c r="E117" s="20" t="str">
        <f t="shared" si="13"/>
        <v>Operations</v>
      </c>
      <c r="F117" s="20">
        <f t="shared" si="11"/>
        <v>1</v>
      </c>
      <c r="G117" s="20">
        <f t="shared" si="12"/>
        <v>3</v>
      </c>
      <c r="H117" s="10">
        <v>1</v>
      </c>
      <c r="T117" s="8"/>
      <c r="W117" s="8"/>
    </row>
    <row r="118" spans="2:23" x14ac:dyDescent="0.2">
      <c r="B118">
        <v>10</v>
      </c>
      <c r="C118" t="s">
        <v>102</v>
      </c>
      <c r="D118" t="s">
        <v>16</v>
      </c>
      <c r="E118" s="20" t="str">
        <f t="shared" si="13"/>
        <v>Technology</v>
      </c>
      <c r="F118" s="20">
        <f t="shared" si="11"/>
        <v>1</v>
      </c>
      <c r="G118" s="20">
        <f t="shared" si="12"/>
        <v>5</v>
      </c>
      <c r="H118" s="10">
        <v>1</v>
      </c>
      <c r="T118" s="8"/>
      <c r="W118" s="8"/>
    </row>
    <row r="119" spans="2:23" x14ac:dyDescent="0.2">
      <c r="B119">
        <v>11</v>
      </c>
      <c r="C119" t="s">
        <v>79</v>
      </c>
      <c r="D119" t="s">
        <v>16</v>
      </c>
      <c r="E119" s="20" t="str">
        <f t="shared" si="13"/>
        <v>Commercial</v>
      </c>
      <c r="F119" s="20">
        <f t="shared" si="11"/>
        <v>1</v>
      </c>
      <c r="G119" s="20">
        <f t="shared" si="12"/>
        <v>9</v>
      </c>
      <c r="H119" s="10">
        <v>1</v>
      </c>
      <c r="T119" s="8"/>
      <c r="W119" s="8"/>
    </row>
    <row r="120" spans="2:23" x14ac:dyDescent="0.2">
      <c r="B120">
        <v>12</v>
      </c>
      <c r="C120" t="s">
        <v>89</v>
      </c>
      <c r="D120" t="s">
        <v>16</v>
      </c>
      <c r="E120" s="20" t="str">
        <f t="shared" si="13"/>
        <v>Corporate</v>
      </c>
      <c r="F120" s="20">
        <f t="shared" si="11"/>
        <v>1</v>
      </c>
      <c r="G120" s="20">
        <f t="shared" si="12"/>
        <v>13</v>
      </c>
      <c r="H120" s="10">
        <v>1</v>
      </c>
      <c r="T120" s="8"/>
      <c r="W120" s="8"/>
    </row>
    <row r="121" spans="2:23" x14ac:dyDescent="0.2">
      <c r="B121">
        <v>13</v>
      </c>
      <c r="C121" t="s">
        <v>85</v>
      </c>
      <c r="D121" t="s">
        <v>16</v>
      </c>
      <c r="E121" s="20" t="str">
        <f t="shared" si="13"/>
        <v>Operations</v>
      </c>
      <c r="F121" s="20">
        <f t="shared" si="11"/>
        <v>1</v>
      </c>
      <c r="G121" s="20">
        <f t="shared" si="12"/>
        <v>3</v>
      </c>
      <c r="H121" s="10">
        <v>1</v>
      </c>
      <c r="T121" s="8"/>
      <c r="W121" s="8"/>
    </row>
    <row r="122" spans="2:23" x14ac:dyDescent="0.2">
      <c r="B122">
        <v>14</v>
      </c>
      <c r="C122" t="s">
        <v>101</v>
      </c>
      <c r="D122" t="s">
        <v>16</v>
      </c>
      <c r="E122" s="20" t="str">
        <f t="shared" si="13"/>
        <v>Technology</v>
      </c>
      <c r="F122" s="20">
        <f t="shared" si="11"/>
        <v>1</v>
      </c>
      <c r="G122" s="20">
        <f t="shared" si="12"/>
        <v>5</v>
      </c>
      <c r="H122" s="10">
        <v>1</v>
      </c>
      <c r="T122" s="8"/>
      <c r="W122" s="8"/>
    </row>
    <row r="123" spans="2:23" x14ac:dyDescent="0.2">
      <c r="B123">
        <v>15</v>
      </c>
      <c r="C123" t="s">
        <v>81</v>
      </c>
      <c r="D123" t="s">
        <v>16</v>
      </c>
      <c r="E123" s="20" t="str">
        <f t="shared" si="13"/>
        <v>Commercial</v>
      </c>
      <c r="F123" s="20">
        <f t="shared" si="11"/>
        <v>1</v>
      </c>
      <c r="G123" s="20">
        <f t="shared" si="12"/>
        <v>9</v>
      </c>
      <c r="H123" s="10">
        <v>1</v>
      </c>
      <c r="T123" s="8"/>
      <c r="W123" s="8"/>
    </row>
    <row r="124" spans="2:23" x14ac:dyDescent="0.2">
      <c r="B124">
        <v>16</v>
      </c>
      <c r="C124" t="s">
        <v>90</v>
      </c>
      <c r="D124" t="s">
        <v>16</v>
      </c>
      <c r="E124" s="20" t="str">
        <f t="shared" si="13"/>
        <v>Corporate</v>
      </c>
      <c r="F124" s="20">
        <f t="shared" si="11"/>
        <v>1</v>
      </c>
      <c r="G124" s="20">
        <f t="shared" si="12"/>
        <v>13</v>
      </c>
      <c r="H124" s="10">
        <v>1</v>
      </c>
      <c r="T124" s="8"/>
      <c r="W124" s="8"/>
    </row>
    <row r="125" spans="2:23" x14ac:dyDescent="0.2">
      <c r="B125">
        <v>17</v>
      </c>
      <c r="C125" t="s">
        <v>75</v>
      </c>
      <c r="D125" t="s">
        <v>16</v>
      </c>
      <c r="E125" s="20" t="str">
        <f t="shared" si="13"/>
        <v>Technology</v>
      </c>
      <c r="F125" s="20">
        <f t="shared" si="11"/>
        <v>1</v>
      </c>
      <c r="G125" s="20">
        <f t="shared" si="12"/>
        <v>5</v>
      </c>
      <c r="H125" s="10">
        <v>1</v>
      </c>
      <c r="T125" s="8"/>
      <c r="W125" s="8"/>
    </row>
    <row r="126" spans="2:23" x14ac:dyDescent="0.2">
      <c r="B126">
        <v>18</v>
      </c>
      <c r="C126" t="s">
        <v>26</v>
      </c>
      <c r="D126" t="s">
        <v>16</v>
      </c>
      <c r="E126" s="20" t="str">
        <f t="shared" si="13"/>
        <v>Commercial</v>
      </c>
      <c r="F126" s="20">
        <f t="shared" si="11"/>
        <v>1</v>
      </c>
      <c r="G126" s="20">
        <f t="shared" si="12"/>
        <v>9</v>
      </c>
      <c r="H126" s="10">
        <v>1</v>
      </c>
      <c r="T126" s="8"/>
      <c r="W126" s="8"/>
    </row>
    <row r="127" spans="2:23" x14ac:dyDescent="0.2">
      <c r="B127">
        <v>19</v>
      </c>
      <c r="C127" t="s">
        <v>76</v>
      </c>
      <c r="D127" t="s">
        <v>16</v>
      </c>
      <c r="E127" s="20" t="str">
        <f t="shared" si="13"/>
        <v>Corporate</v>
      </c>
      <c r="F127" s="20">
        <f t="shared" si="11"/>
        <v>1</v>
      </c>
      <c r="G127" s="20">
        <f t="shared" si="12"/>
        <v>13</v>
      </c>
      <c r="H127" s="10">
        <v>1</v>
      </c>
      <c r="T127" s="8"/>
      <c r="W127" s="8"/>
    </row>
    <row r="128" spans="2:23" x14ac:dyDescent="0.2">
      <c r="B128">
        <v>20</v>
      </c>
      <c r="C128" t="s">
        <v>103</v>
      </c>
      <c r="D128" t="s">
        <v>16</v>
      </c>
      <c r="E128" s="20" t="str">
        <f t="shared" si="13"/>
        <v>Technology</v>
      </c>
      <c r="F128" s="20">
        <f t="shared" si="11"/>
        <v>1</v>
      </c>
      <c r="G128" s="20">
        <f t="shared" si="12"/>
        <v>5</v>
      </c>
      <c r="H128" s="10">
        <v>1</v>
      </c>
      <c r="T128" s="8"/>
      <c r="W128" s="8"/>
    </row>
    <row r="129" spans="2:23" x14ac:dyDescent="0.2">
      <c r="B129">
        <v>21</v>
      </c>
      <c r="C129" t="s">
        <v>24</v>
      </c>
      <c r="D129" t="s">
        <v>16</v>
      </c>
      <c r="E129" s="20" t="str">
        <f t="shared" si="13"/>
        <v>Commercial</v>
      </c>
      <c r="F129" s="20">
        <f t="shared" si="11"/>
        <v>1</v>
      </c>
      <c r="G129" s="20">
        <f t="shared" si="12"/>
        <v>9</v>
      </c>
      <c r="H129" s="10">
        <v>1</v>
      </c>
      <c r="T129" s="8"/>
      <c r="W129" s="8"/>
    </row>
    <row r="130" spans="2:23" x14ac:dyDescent="0.2">
      <c r="B130">
        <v>22</v>
      </c>
      <c r="C130" t="s">
        <v>159</v>
      </c>
      <c r="D130" t="s">
        <v>16</v>
      </c>
      <c r="E130" s="20" t="str">
        <f t="shared" si="13"/>
        <v>Corporate</v>
      </c>
      <c r="F130" s="20">
        <f t="shared" si="11"/>
        <v>1</v>
      </c>
      <c r="G130" s="20">
        <f t="shared" si="12"/>
        <v>13</v>
      </c>
      <c r="H130" s="10">
        <v>1</v>
      </c>
      <c r="T130" s="8"/>
      <c r="W130" s="8"/>
    </row>
    <row r="131" spans="2:23" x14ac:dyDescent="0.2">
      <c r="B131">
        <v>23</v>
      </c>
      <c r="C131" t="s">
        <v>25</v>
      </c>
      <c r="D131" t="s">
        <v>16</v>
      </c>
      <c r="E131" s="20" t="str">
        <f t="shared" ref="E131:E162" si="14">VLOOKUP($C131,$Z:$AA,2,FALSE)</f>
        <v>Commercial</v>
      </c>
      <c r="F131" s="20">
        <f t="shared" ref="F131:F194" si="15">H131*SUMIFS($L:$L,$J:$J,D131,$K:$K,E131)/G131</f>
        <v>1</v>
      </c>
      <c r="G131" s="20">
        <f t="shared" ref="G131:G194" si="16">SUMIFS($H$2:$H$1000,$E$2:$E$1000,E131,$D$2:$D$1000,D131)</f>
        <v>9</v>
      </c>
      <c r="H131" s="10">
        <v>1</v>
      </c>
      <c r="T131" s="8"/>
      <c r="W131" s="8"/>
    </row>
    <row r="132" spans="2:23" x14ac:dyDescent="0.2">
      <c r="B132">
        <v>24</v>
      </c>
      <c r="C132" t="s">
        <v>88</v>
      </c>
      <c r="D132" t="s">
        <v>16</v>
      </c>
      <c r="E132" s="20" t="str">
        <f t="shared" si="14"/>
        <v>Corporate</v>
      </c>
      <c r="F132" s="20">
        <f t="shared" si="15"/>
        <v>1</v>
      </c>
      <c r="G132" s="20">
        <f t="shared" si="16"/>
        <v>13</v>
      </c>
      <c r="H132" s="10">
        <v>1</v>
      </c>
      <c r="T132" s="8"/>
      <c r="W132" s="8"/>
    </row>
    <row r="133" spans="2:23" x14ac:dyDescent="0.2">
      <c r="B133">
        <v>25</v>
      </c>
      <c r="C133" t="s">
        <v>83</v>
      </c>
      <c r="D133" t="s">
        <v>16</v>
      </c>
      <c r="E133" s="20" t="str">
        <f t="shared" si="14"/>
        <v>Commercial</v>
      </c>
      <c r="F133" s="20">
        <f t="shared" si="15"/>
        <v>1</v>
      </c>
      <c r="G133" s="20">
        <f t="shared" si="16"/>
        <v>9</v>
      </c>
      <c r="H133" s="10">
        <v>1</v>
      </c>
      <c r="T133" s="8"/>
      <c r="W133" s="8"/>
    </row>
    <row r="134" spans="2:23" x14ac:dyDescent="0.2">
      <c r="B134">
        <v>26</v>
      </c>
      <c r="C134" t="s">
        <v>91</v>
      </c>
      <c r="D134" t="s">
        <v>16</v>
      </c>
      <c r="E134" s="20" t="str">
        <f t="shared" si="14"/>
        <v>Corporate</v>
      </c>
      <c r="F134" s="20">
        <f t="shared" si="15"/>
        <v>1</v>
      </c>
      <c r="G134" s="20">
        <f t="shared" si="16"/>
        <v>13</v>
      </c>
      <c r="H134" s="10">
        <v>1</v>
      </c>
      <c r="T134" s="8"/>
      <c r="W134" s="8"/>
    </row>
    <row r="135" spans="2:23" x14ac:dyDescent="0.2">
      <c r="B135">
        <v>27</v>
      </c>
      <c r="C135" t="s">
        <v>82</v>
      </c>
      <c r="D135" t="s">
        <v>16</v>
      </c>
      <c r="E135" s="20" t="str">
        <f t="shared" si="14"/>
        <v>Commercial</v>
      </c>
      <c r="F135" s="20">
        <f t="shared" si="15"/>
        <v>1</v>
      </c>
      <c r="G135" s="20">
        <f t="shared" si="16"/>
        <v>9</v>
      </c>
      <c r="H135" s="10">
        <v>1</v>
      </c>
      <c r="T135" s="8"/>
      <c r="W135" s="8"/>
    </row>
    <row r="136" spans="2:23" x14ac:dyDescent="0.2">
      <c r="B136">
        <v>28</v>
      </c>
      <c r="C136" t="s">
        <v>97</v>
      </c>
      <c r="D136" t="s">
        <v>16</v>
      </c>
      <c r="E136" s="20" t="str">
        <f t="shared" si="14"/>
        <v>Corporate</v>
      </c>
      <c r="F136" s="20">
        <f t="shared" si="15"/>
        <v>1</v>
      </c>
      <c r="G136" s="20">
        <f t="shared" si="16"/>
        <v>13</v>
      </c>
      <c r="H136" s="10">
        <v>1</v>
      </c>
      <c r="T136" s="8"/>
      <c r="W136" s="8"/>
    </row>
    <row r="137" spans="2:23" x14ac:dyDescent="0.2">
      <c r="B137">
        <v>29</v>
      </c>
      <c r="C137" t="s">
        <v>93</v>
      </c>
      <c r="D137" t="s">
        <v>16</v>
      </c>
      <c r="E137" s="20" t="str">
        <f t="shared" si="14"/>
        <v>Corporate</v>
      </c>
      <c r="F137" s="20">
        <f t="shared" si="15"/>
        <v>1</v>
      </c>
      <c r="G137" s="20">
        <f t="shared" si="16"/>
        <v>13</v>
      </c>
      <c r="H137" s="10">
        <v>1</v>
      </c>
      <c r="T137" s="8"/>
      <c r="W137" s="8"/>
    </row>
    <row r="138" spans="2:23" x14ac:dyDescent="0.2">
      <c r="B138">
        <v>30</v>
      </c>
      <c r="C138" t="s">
        <v>94</v>
      </c>
      <c r="D138" t="s">
        <v>16</v>
      </c>
      <c r="E138" s="20" t="str">
        <f t="shared" si="14"/>
        <v>Corporate</v>
      </c>
      <c r="F138" s="20">
        <f t="shared" si="15"/>
        <v>1</v>
      </c>
      <c r="G138" s="20">
        <f t="shared" si="16"/>
        <v>13</v>
      </c>
      <c r="H138" s="10">
        <v>1</v>
      </c>
      <c r="T138" s="8"/>
      <c r="W138" s="8"/>
    </row>
    <row r="139" spans="2:23" x14ac:dyDescent="0.2">
      <c r="B139">
        <v>31</v>
      </c>
      <c r="C139" t="s">
        <v>99</v>
      </c>
      <c r="D139" t="s">
        <v>16</v>
      </c>
      <c r="E139" s="20" t="str">
        <f t="shared" si="14"/>
        <v>Corporate</v>
      </c>
      <c r="F139" s="20">
        <f t="shared" si="15"/>
        <v>1</v>
      </c>
      <c r="G139" s="20">
        <f t="shared" si="16"/>
        <v>13</v>
      </c>
      <c r="H139" s="10">
        <v>1</v>
      </c>
      <c r="T139" s="8"/>
      <c r="W139" s="8"/>
    </row>
    <row r="140" spans="2:23" x14ac:dyDescent="0.2">
      <c r="B140">
        <v>32</v>
      </c>
      <c r="C140" t="s">
        <v>96</v>
      </c>
      <c r="D140" t="s">
        <v>16</v>
      </c>
      <c r="E140" s="20" t="str">
        <f t="shared" si="14"/>
        <v>Corporate</v>
      </c>
      <c r="F140" s="20">
        <f t="shared" si="15"/>
        <v>1</v>
      </c>
      <c r="G140" s="20">
        <f t="shared" si="16"/>
        <v>13</v>
      </c>
      <c r="H140" s="10">
        <v>1</v>
      </c>
      <c r="T140" s="8"/>
      <c r="W140" s="8"/>
    </row>
    <row r="141" spans="2:23" x14ac:dyDescent="0.2">
      <c r="B141">
        <v>1</v>
      </c>
      <c r="C141" t="s">
        <v>25</v>
      </c>
      <c r="D141" t="s">
        <v>17</v>
      </c>
      <c r="E141" s="20" t="str">
        <f t="shared" si="14"/>
        <v>Commercial</v>
      </c>
      <c r="F141" s="20">
        <f t="shared" si="15"/>
        <v>1</v>
      </c>
      <c r="G141" s="20">
        <f t="shared" si="16"/>
        <v>9</v>
      </c>
      <c r="H141" s="10">
        <v>1</v>
      </c>
      <c r="T141" s="8"/>
      <c r="W141" s="8"/>
    </row>
    <row r="142" spans="2:23" x14ac:dyDescent="0.2">
      <c r="B142">
        <v>2</v>
      </c>
      <c r="C142" t="s">
        <v>27</v>
      </c>
      <c r="D142" t="s">
        <v>17</v>
      </c>
      <c r="E142" s="20" t="str">
        <f t="shared" si="14"/>
        <v>Operations</v>
      </c>
      <c r="F142" s="20">
        <f t="shared" si="15"/>
        <v>1</v>
      </c>
      <c r="G142" s="20">
        <f t="shared" si="16"/>
        <v>3</v>
      </c>
      <c r="H142" s="10">
        <v>1</v>
      </c>
      <c r="T142" s="8"/>
      <c r="W142" s="8"/>
    </row>
    <row r="143" spans="2:23" x14ac:dyDescent="0.2">
      <c r="B143">
        <v>3</v>
      </c>
      <c r="C143" t="s">
        <v>23</v>
      </c>
      <c r="D143" t="s">
        <v>17</v>
      </c>
      <c r="E143" s="20" t="str">
        <f t="shared" si="14"/>
        <v>Corporate</v>
      </c>
      <c r="F143" s="20">
        <f t="shared" si="15"/>
        <v>1</v>
      </c>
      <c r="G143" s="20">
        <f t="shared" si="16"/>
        <v>13</v>
      </c>
      <c r="H143" s="10">
        <v>1</v>
      </c>
      <c r="T143" s="8"/>
      <c r="W143" s="8"/>
    </row>
    <row r="144" spans="2:23" x14ac:dyDescent="0.2">
      <c r="B144">
        <v>4</v>
      </c>
      <c r="C144" t="s">
        <v>10</v>
      </c>
      <c r="D144" t="s">
        <v>17</v>
      </c>
      <c r="E144" s="20" t="str">
        <f t="shared" si="14"/>
        <v>Technology</v>
      </c>
      <c r="F144" s="20">
        <f t="shared" si="15"/>
        <v>1</v>
      </c>
      <c r="G144" s="20">
        <f t="shared" si="16"/>
        <v>5</v>
      </c>
      <c r="H144" s="10">
        <v>1</v>
      </c>
      <c r="T144" s="8"/>
      <c r="W144" s="8"/>
    </row>
    <row r="145" spans="2:23" x14ac:dyDescent="0.2">
      <c r="B145">
        <v>5</v>
      </c>
      <c r="C145" t="s">
        <v>12</v>
      </c>
      <c r="D145" t="s">
        <v>17</v>
      </c>
      <c r="E145" s="20" t="str">
        <f t="shared" si="14"/>
        <v>CISO</v>
      </c>
      <c r="F145" s="20">
        <f t="shared" si="15"/>
        <v>1</v>
      </c>
      <c r="G145" s="20">
        <f t="shared" si="16"/>
        <v>1</v>
      </c>
      <c r="H145" s="10">
        <v>1</v>
      </c>
      <c r="T145" s="8"/>
      <c r="W145" s="8"/>
    </row>
    <row r="146" spans="2:23" x14ac:dyDescent="0.2">
      <c r="B146">
        <v>6</v>
      </c>
      <c r="C146" t="s">
        <v>177</v>
      </c>
      <c r="D146" t="s">
        <v>17</v>
      </c>
      <c r="E146" s="20" t="str">
        <f t="shared" si="14"/>
        <v>Data &amp; AI</v>
      </c>
      <c r="F146" s="20">
        <f t="shared" si="15"/>
        <v>1</v>
      </c>
      <c r="G146" s="20">
        <f t="shared" si="16"/>
        <v>1</v>
      </c>
      <c r="H146" s="10">
        <v>1</v>
      </c>
      <c r="T146" s="8"/>
      <c r="W146" s="8"/>
    </row>
    <row r="147" spans="2:23" x14ac:dyDescent="0.2">
      <c r="B147">
        <v>7</v>
      </c>
      <c r="C147" t="s">
        <v>80</v>
      </c>
      <c r="D147" t="s">
        <v>17</v>
      </c>
      <c r="E147" s="20" t="str">
        <f t="shared" si="14"/>
        <v>Commercial</v>
      </c>
      <c r="F147" s="20">
        <f t="shared" si="15"/>
        <v>1</v>
      </c>
      <c r="G147" s="20">
        <f t="shared" si="16"/>
        <v>9</v>
      </c>
      <c r="H147" s="10">
        <v>1</v>
      </c>
      <c r="T147" s="8"/>
      <c r="W147" s="8"/>
    </row>
    <row r="148" spans="2:23" x14ac:dyDescent="0.2">
      <c r="B148">
        <v>8</v>
      </c>
      <c r="C148" t="s">
        <v>87</v>
      </c>
      <c r="D148" t="s">
        <v>17</v>
      </c>
      <c r="E148" s="20" t="str">
        <f t="shared" si="14"/>
        <v>Corporate</v>
      </c>
      <c r="F148" s="20">
        <f t="shared" si="15"/>
        <v>1</v>
      </c>
      <c r="G148" s="20">
        <f t="shared" si="16"/>
        <v>13</v>
      </c>
      <c r="H148" s="10">
        <v>1</v>
      </c>
      <c r="T148" s="8"/>
      <c r="W148" s="8"/>
    </row>
    <row r="149" spans="2:23" x14ac:dyDescent="0.2">
      <c r="B149">
        <v>9</v>
      </c>
      <c r="C149" t="s">
        <v>8</v>
      </c>
      <c r="D149" t="s">
        <v>17</v>
      </c>
      <c r="E149" s="20" t="str">
        <f t="shared" si="14"/>
        <v>Operations</v>
      </c>
      <c r="F149" s="20">
        <f t="shared" si="15"/>
        <v>1</v>
      </c>
      <c r="G149" s="20">
        <f t="shared" si="16"/>
        <v>3</v>
      </c>
      <c r="H149" s="10">
        <v>1</v>
      </c>
      <c r="T149" s="8"/>
      <c r="W149" s="8"/>
    </row>
    <row r="150" spans="2:23" x14ac:dyDescent="0.2">
      <c r="B150">
        <v>10</v>
      </c>
      <c r="C150" t="s">
        <v>102</v>
      </c>
      <c r="D150" t="s">
        <v>17</v>
      </c>
      <c r="E150" s="20" t="str">
        <f t="shared" si="14"/>
        <v>Technology</v>
      </c>
      <c r="F150" s="20">
        <f t="shared" si="15"/>
        <v>1</v>
      </c>
      <c r="G150" s="20">
        <f t="shared" si="16"/>
        <v>5</v>
      </c>
      <c r="H150" s="10">
        <v>1</v>
      </c>
      <c r="T150" s="8"/>
      <c r="W150" s="8"/>
    </row>
    <row r="151" spans="2:23" x14ac:dyDescent="0.2">
      <c r="B151">
        <v>11</v>
      </c>
      <c r="C151" t="s">
        <v>79</v>
      </c>
      <c r="D151" t="s">
        <v>17</v>
      </c>
      <c r="E151" s="20" t="str">
        <f t="shared" si="14"/>
        <v>Commercial</v>
      </c>
      <c r="F151" s="20">
        <f t="shared" si="15"/>
        <v>1</v>
      </c>
      <c r="G151" s="20">
        <f t="shared" si="16"/>
        <v>9</v>
      </c>
      <c r="H151" s="10">
        <v>1</v>
      </c>
      <c r="T151" s="8"/>
      <c r="W151" s="8"/>
    </row>
    <row r="152" spans="2:23" x14ac:dyDescent="0.2">
      <c r="B152">
        <v>12</v>
      </c>
      <c r="C152" t="s">
        <v>89</v>
      </c>
      <c r="D152" t="s">
        <v>17</v>
      </c>
      <c r="E152" s="20" t="str">
        <f t="shared" si="14"/>
        <v>Corporate</v>
      </c>
      <c r="F152" s="20">
        <f t="shared" si="15"/>
        <v>1</v>
      </c>
      <c r="G152" s="20">
        <f t="shared" si="16"/>
        <v>13</v>
      </c>
      <c r="H152" s="10">
        <v>1</v>
      </c>
      <c r="T152" s="8"/>
      <c r="W152" s="8"/>
    </row>
    <row r="153" spans="2:23" x14ac:dyDescent="0.2">
      <c r="B153">
        <v>13</v>
      </c>
      <c r="C153" t="s">
        <v>85</v>
      </c>
      <c r="D153" t="s">
        <v>17</v>
      </c>
      <c r="E153" s="20" t="str">
        <f t="shared" si="14"/>
        <v>Operations</v>
      </c>
      <c r="F153" s="20">
        <f t="shared" si="15"/>
        <v>1</v>
      </c>
      <c r="G153" s="20">
        <f t="shared" si="16"/>
        <v>3</v>
      </c>
      <c r="H153" s="10">
        <v>1</v>
      </c>
      <c r="T153" s="8"/>
      <c r="W153" s="8"/>
    </row>
    <row r="154" spans="2:23" x14ac:dyDescent="0.2">
      <c r="B154">
        <v>14</v>
      </c>
      <c r="C154" t="s">
        <v>101</v>
      </c>
      <c r="D154" t="s">
        <v>17</v>
      </c>
      <c r="E154" s="20" t="str">
        <f t="shared" si="14"/>
        <v>Technology</v>
      </c>
      <c r="F154" s="20">
        <f t="shared" si="15"/>
        <v>1</v>
      </c>
      <c r="G154" s="20">
        <f t="shared" si="16"/>
        <v>5</v>
      </c>
      <c r="H154" s="10">
        <v>1</v>
      </c>
      <c r="T154" s="8"/>
      <c r="W154" s="8"/>
    </row>
    <row r="155" spans="2:23" x14ac:dyDescent="0.2">
      <c r="B155">
        <v>15</v>
      </c>
      <c r="C155" t="s">
        <v>81</v>
      </c>
      <c r="D155" t="s">
        <v>17</v>
      </c>
      <c r="E155" s="20" t="str">
        <f t="shared" si="14"/>
        <v>Commercial</v>
      </c>
      <c r="F155" s="20">
        <f t="shared" si="15"/>
        <v>1</v>
      </c>
      <c r="G155" s="20">
        <f t="shared" si="16"/>
        <v>9</v>
      </c>
      <c r="H155" s="10">
        <v>1</v>
      </c>
      <c r="T155" s="8"/>
      <c r="W155" s="8"/>
    </row>
    <row r="156" spans="2:23" x14ac:dyDescent="0.2">
      <c r="B156">
        <v>16</v>
      </c>
      <c r="C156" t="s">
        <v>90</v>
      </c>
      <c r="D156" t="s">
        <v>17</v>
      </c>
      <c r="E156" s="20" t="str">
        <f t="shared" si="14"/>
        <v>Corporate</v>
      </c>
      <c r="F156" s="20">
        <f t="shared" si="15"/>
        <v>1</v>
      </c>
      <c r="G156" s="20">
        <f t="shared" si="16"/>
        <v>13</v>
      </c>
      <c r="H156" s="10">
        <v>1</v>
      </c>
      <c r="T156" s="8"/>
      <c r="W156" s="8"/>
    </row>
    <row r="157" spans="2:23" x14ac:dyDescent="0.2">
      <c r="B157">
        <v>17</v>
      </c>
      <c r="C157" t="s">
        <v>75</v>
      </c>
      <c r="D157" t="s">
        <v>17</v>
      </c>
      <c r="E157" s="20" t="str">
        <f t="shared" si="14"/>
        <v>Technology</v>
      </c>
      <c r="F157" s="20">
        <f t="shared" si="15"/>
        <v>1</v>
      </c>
      <c r="G157" s="20">
        <f t="shared" si="16"/>
        <v>5</v>
      </c>
      <c r="H157" s="10">
        <v>1</v>
      </c>
      <c r="T157" s="8"/>
      <c r="W157" s="8"/>
    </row>
    <row r="158" spans="2:23" x14ac:dyDescent="0.2">
      <c r="B158">
        <v>18</v>
      </c>
      <c r="C158" t="s">
        <v>26</v>
      </c>
      <c r="D158" t="s">
        <v>17</v>
      </c>
      <c r="E158" s="20" t="str">
        <f t="shared" si="14"/>
        <v>Commercial</v>
      </c>
      <c r="F158" s="20">
        <f t="shared" si="15"/>
        <v>1</v>
      </c>
      <c r="G158" s="20">
        <f t="shared" si="16"/>
        <v>9</v>
      </c>
      <c r="H158" s="10">
        <v>1</v>
      </c>
      <c r="T158" s="8"/>
      <c r="W158" s="8"/>
    </row>
    <row r="159" spans="2:23" x14ac:dyDescent="0.2">
      <c r="B159">
        <v>19</v>
      </c>
      <c r="C159" t="s">
        <v>76</v>
      </c>
      <c r="D159" t="s">
        <v>17</v>
      </c>
      <c r="E159" s="20" t="str">
        <f t="shared" si="14"/>
        <v>Corporate</v>
      </c>
      <c r="F159" s="20">
        <f t="shared" si="15"/>
        <v>1</v>
      </c>
      <c r="G159" s="20">
        <f t="shared" si="16"/>
        <v>13</v>
      </c>
      <c r="H159" s="10">
        <v>1</v>
      </c>
      <c r="T159" s="8"/>
      <c r="W159" s="8"/>
    </row>
    <row r="160" spans="2:23" x14ac:dyDescent="0.2">
      <c r="B160">
        <v>20</v>
      </c>
      <c r="C160" t="s">
        <v>103</v>
      </c>
      <c r="D160" t="s">
        <v>17</v>
      </c>
      <c r="E160" s="20" t="str">
        <f t="shared" si="14"/>
        <v>Technology</v>
      </c>
      <c r="F160" s="20">
        <f t="shared" si="15"/>
        <v>1</v>
      </c>
      <c r="G160" s="20">
        <f t="shared" si="16"/>
        <v>5</v>
      </c>
      <c r="H160" s="10">
        <v>1</v>
      </c>
      <c r="T160" s="8"/>
      <c r="W160" s="8"/>
    </row>
    <row r="161" spans="2:23" x14ac:dyDescent="0.2">
      <c r="B161">
        <v>21</v>
      </c>
      <c r="C161" t="s">
        <v>24</v>
      </c>
      <c r="D161" t="s">
        <v>17</v>
      </c>
      <c r="E161" s="20" t="str">
        <f t="shared" si="14"/>
        <v>Commercial</v>
      </c>
      <c r="F161" s="20">
        <f t="shared" si="15"/>
        <v>1</v>
      </c>
      <c r="G161" s="20">
        <f t="shared" si="16"/>
        <v>9</v>
      </c>
      <c r="H161" s="10">
        <v>1</v>
      </c>
      <c r="T161" s="8"/>
      <c r="W161" s="8"/>
    </row>
    <row r="162" spans="2:23" x14ac:dyDescent="0.2">
      <c r="B162">
        <v>22</v>
      </c>
      <c r="C162" t="s">
        <v>159</v>
      </c>
      <c r="D162" t="s">
        <v>17</v>
      </c>
      <c r="E162" s="20" t="str">
        <f t="shared" si="14"/>
        <v>Corporate</v>
      </c>
      <c r="F162" s="20">
        <f t="shared" si="15"/>
        <v>1</v>
      </c>
      <c r="G162" s="20">
        <f t="shared" si="16"/>
        <v>13</v>
      </c>
      <c r="H162" s="10">
        <v>1</v>
      </c>
      <c r="T162" s="8"/>
      <c r="W162" s="8"/>
    </row>
    <row r="163" spans="2:23" x14ac:dyDescent="0.2">
      <c r="B163">
        <v>23</v>
      </c>
      <c r="C163" t="s">
        <v>22</v>
      </c>
      <c r="D163" t="s">
        <v>17</v>
      </c>
      <c r="E163" s="20" t="str">
        <f t="shared" ref="E163:E198" si="17">VLOOKUP($C163,$Z:$AA,2,FALSE)</f>
        <v>Commercial</v>
      </c>
      <c r="F163" s="20">
        <f t="shared" si="15"/>
        <v>1</v>
      </c>
      <c r="G163" s="20">
        <f t="shared" si="16"/>
        <v>9</v>
      </c>
      <c r="H163" s="10">
        <v>1</v>
      </c>
      <c r="T163" s="8"/>
      <c r="W163" s="8"/>
    </row>
    <row r="164" spans="2:23" x14ac:dyDescent="0.2">
      <c r="B164">
        <v>24</v>
      </c>
      <c r="C164" t="s">
        <v>88</v>
      </c>
      <c r="D164" t="s">
        <v>17</v>
      </c>
      <c r="E164" s="20" t="str">
        <f t="shared" si="17"/>
        <v>Corporate</v>
      </c>
      <c r="F164" s="20">
        <f t="shared" si="15"/>
        <v>1</v>
      </c>
      <c r="G164" s="20">
        <f t="shared" si="16"/>
        <v>13</v>
      </c>
      <c r="H164" s="10">
        <v>1</v>
      </c>
      <c r="T164" s="8"/>
      <c r="W164" s="8"/>
    </row>
    <row r="165" spans="2:23" x14ac:dyDescent="0.2">
      <c r="B165">
        <v>25</v>
      </c>
      <c r="C165" t="s">
        <v>83</v>
      </c>
      <c r="D165" t="s">
        <v>17</v>
      </c>
      <c r="E165" s="20" t="str">
        <f t="shared" si="17"/>
        <v>Commercial</v>
      </c>
      <c r="F165" s="20">
        <f t="shared" si="15"/>
        <v>1</v>
      </c>
      <c r="G165" s="20">
        <f t="shared" si="16"/>
        <v>9</v>
      </c>
      <c r="H165" s="10">
        <v>1</v>
      </c>
      <c r="T165" s="8"/>
      <c r="W165" s="8"/>
    </row>
    <row r="166" spans="2:23" x14ac:dyDescent="0.2">
      <c r="B166">
        <v>26</v>
      </c>
      <c r="C166" t="s">
        <v>91</v>
      </c>
      <c r="D166" t="s">
        <v>17</v>
      </c>
      <c r="E166" s="20" t="str">
        <f t="shared" si="17"/>
        <v>Corporate</v>
      </c>
      <c r="F166" s="20">
        <f t="shared" si="15"/>
        <v>1</v>
      </c>
      <c r="G166" s="20">
        <f t="shared" si="16"/>
        <v>13</v>
      </c>
      <c r="H166" s="10">
        <v>1</v>
      </c>
      <c r="T166" s="8"/>
      <c r="W166" s="8"/>
    </row>
    <row r="167" spans="2:23" x14ac:dyDescent="0.2">
      <c r="B167">
        <v>27</v>
      </c>
      <c r="C167" t="s">
        <v>82</v>
      </c>
      <c r="D167" t="s">
        <v>17</v>
      </c>
      <c r="E167" s="20" t="str">
        <f t="shared" si="17"/>
        <v>Commercial</v>
      </c>
      <c r="F167" s="20">
        <f t="shared" si="15"/>
        <v>1</v>
      </c>
      <c r="G167" s="20">
        <f t="shared" si="16"/>
        <v>9</v>
      </c>
      <c r="H167" s="10">
        <v>1</v>
      </c>
      <c r="T167" s="8"/>
      <c r="W167" s="8"/>
    </row>
    <row r="168" spans="2:23" x14ac:dyDescent="0.2">
      <c r="B168">
        <v>28</v>
      </c>
      <c r="C168" t="s">
        <v>97</v>
      </c>
      <c r="D168" t="s">
        <v>17</v>
      </c>
      <c r="E168" s="20" t="str">
        <f t="shared" si="17"/>
        <v>Corporate</v>
      </c>
      <c r="F168" s="20">
        <f t="shared" si="15"/>
        <v>1</v>
      </c>
      <c r="G168" s="20">
        <f t="shared" si="16"/>
        <v>13</v>
      </c>
      <c r="H168" s="10">
        <v>1</v>
      </c>
      <c r="T168" s="8"/>
      <c r="W168" s="8"/>
    </row>
    <row r="169" spans="2:23" x14ac:dyDescent="0.2">
      <c r="B169">
        <v>29</v>
      </c>
      <c r="C169" t="s">
        <v>93</v>
      </c>
      <c r="D169" t="s">
        <v>17</v>
      </c>
      <c r="E169" s="20" t="str">
        <f t="shared" si="17"/>
        <v>Corporate</v>
      </c>
      <c r="F169" s="20">
        <f t="shared" si="15"/>
        <v>1</v>
      </c>
      <c r="G169" s="20">
        <f t="shared" si="16"/>
        <v>13</v>
      </c>
      <c r="H169" s="10">
        <v>1</v>
      </c>
      <c r="T169" s="8"/>
      <c r="W169" s="8"/>
    </row>
    <row r="170" spans="2:23" x14ac:dyDescent="0.2">
      <c r="B170">
        <v>30</v>
      </c>
      <c r="C170" t="s">
        <v>94</v>
      </c>
      <c r="D170" t="s">
        <v>17</v>
      </c>
      <c r="E170" s="20" t="str">
        <f t="shared" si="17"/>
        <v>Corporate</v>
      </c>
      <c r="F170" s="20">
        <f t="shared" si="15"/>
        <v>1</v>
      </c>
      <c r="G170" s="20">
        <f t="shared" si="16"/>
        <v>13</v>
      </c>
      <c r="H170" s="10">
        <v>1</v>
      </c>
      <c r="T170" s="8"/>
      <c r="W170" s="8"/>
    </row>
    <row r="171" spans="2:23" x14ac:dyDescent="0.2">
      <c r="B171">
        <v>31</v>
      </c>
      <c r="C171" t="s">
        <v>99</v>
      </c>
      <c r="D171" t="s">
        <v>17</v>
      </c>
      <c r="E171" s="20" t="str">
        <f t="shared" si="17"/>
        <v>Corporate</v>
      </c>
      <c r="F171" s="20">
        <f t="shared" si="15"/>
        <v>1</v>
      </c>
      <c r="G171" s="20">
        <f t="shared" si="16"/>
        <v>13</v>
      </c>
      <c r="H171" s="10">
        <v>1</v>
      </c>
      <c r="T171" s="8"/>
      <c r="W171" s="8"/>
    </row>
    <row r="172" spans="2:23" x14ac:dyDescent="0.2">
      <c r="B172">
        <v>32</v>
      </c>
      <c r="C172" t="s">
        <v>96</v>
      </c>
      <c r="D172" t="s">
        <v>17</v>
      </c>
      <c r="E172" s="20" t="str">
        <f t="shared" si="17"/>
        <v>Corporate</v>
      </c>
      <c r="F172" s="20">
        <f t="shared" si="15"/>
        <v>1</v>
      </c>
      <c r="G172" s="20">
        <f t="shared" si="16"/>
        <v>13</v>
      </c>
      <c r="H172" s="10">
        <v>1</v>
      </c>
      <c r="T172" s="8"/>
      <c r="W172" s="8"/>
    </row>
    <row r="173" spans="2:23" x14ac:dyDescent="0.2">
      <c r="B173">
        <v>1</v>
      </c>
      <c r="C173" t="s">
        <v>26</v>
      </c>
      <c r="D173" t="s">
        <v>18</v>
      </c>
      <c r="E173" s="20" t="str">
        <f t="shared" si="17"/>
        <v>Commercial</v>
      </c>
      <c r="F173" s="20">
        <f t="shared" si="15"/>
        <v>1</v>
      </c>
      <c r="G173" s="20">
        <f t="shared" si="16"/>
        <v>8</v>
      </c>
      <c r="H173" s="10">
        <v>1</v>
      </c>
      <c r="T173" s="8"/>
      <c r="W173" s="8"/>
    </row>
    <row r="174" spans="2:23" x14ac:dyDescent="0.2">
      <c r="B174">
        <v>2</v>
      </c>
      <c r="C174" t="s">
        <v>27</v>
      </c>
      <c r="D174" t="s">
        <v>18</v>
      </c>
      <c r="E174" s="20" t="str">
        <f t="shared" si="17"/>
        <v>Operations</v>
      </c>
      <c r="F174" s="20">
        <f t="shared" si="15"/>
        <v>1</v>
      </c>
      <c r="G174" s="20">
        <f t="shared" si="16"/>
        <v>3</v>
      </c>
      <c r="H174" s="10">
        <v>1</v>
      </c>
      <c r="T174" s="8"/>
      <c r="W174" s="8"/>
    </row>
    <row r="175" spans="2:23" x14ac:dyDescent="0.2">
      <c r="B175">
        <v>3</v>
      </c>
      <c r="C175" t="s">
        <v>23</v>
      </c>
      <c r="D175" t="s">
        <v>18</v>
      </c>
      <c r="E175" s="20" t="str">
        <f t="shared" si="17"/>
        <v>Corporate</v>
      </c>
      <c r="F175" s="20">
        <f t="shared" si="15"/>
        <v>1</v>
      </c>
      <c r="G175" s="20">
        <f t="shared" si="16"/>
        <v>8</v>
      </c>
      <c r="H175" s="10">
        <v>1</v>
      </c>
      <c r="T175" s="8"/>
      <c r="W175" s="8"/>
    </row>
    <row r="176" spans="2:23" x14ac:dyDescent="0.2">
      <c r="B176">
        <v>4</v>
      </c>
      <c r="C176" t="s">
        <v>10</v>
      </c>
      <c r="D176" t="s">
        <v>18</v>
      </c>
      <c r="E176" s="20" t="str">
        <f t="shared" si="17"/>
        <v>Technology</v>
      </c>
      <c r="F176" s="20">
        <f t="shared" si="15"/>
        <v>1</v>
      </c>
      <c r="G176" s="20">
        <f t="shared" si="16"/>
        <v>5</v>
      </c>
      <c r="H176" s="10">
        <v>1</v>
      </c>
      <c r="T176" s="8"/>
      <c r="W176" s="8"/>
    </row>
    <row r="177" spans="2:23" x14ac:dyDescent="0.2">
      <c r="B177">
        <v>5</v>
      </c>
      <c r="C177" t="s">
        <v>12</v>
      </c>
      <c r="D177" t="s">
        <v>18</v>
      </c>
      <c r="E177" s="20" t="str">
        <f t="shared" si="17"/>
        <v>CISO</v>
      </c>
      <c r="F177" s="20">
        <f t="shared" si="15"/>
        <v>1</v>
      </c>
      <c r="G177" s="20">
        <f t="shared" si="16"/>
        <v>1</v>
      </c>
      <c r="H177" s="10">
        <v>1</v>
      </c>
      <c r="T177" s="8"/>
      <c r="W177" s="8"/>
    </row>
    <row r="178" spans="2:23" x14ac:dyDescent="0.2">
      <c r="B178">
        <v>6</v>
      </c>
      <c r="C178" t="s">
        <v>177</v>
      </c>
      <c r="D178" t="s">
        <v>18</v>
      </c>
      <c r="E178" s="20" t="str">
        <f t="shared" si="17"/>
        <v>Data &amp; AI</v>
      </c>
      <c r="F178" s="20">
        <f t="shared" si="15"/>
        <v>1</v>
      </c>
      <c r="G178" s="20">
        <f t="shared" si="16"/>
        <v>7</v>
      </c>
      <c r="H178" s="10">
        <v>1</v>
      </c>
      <c r="T178" s="8"/>
      <c r="W178" s="8"/>
    </row>
    <row r="179" spans="2:23" x14ac:dyDescent="0.2">
      <c r="B179">
        <v>7</v>
      </c>
      <c r="C179" t="s">
        <v>80</v>
      </c>
      <c r="D179" t="s">
        <v>18</v>
      </c>
      <c r="E179" s="20" t="str">
        <f t="shared" si="17"/>
        <v>Commercial</v>
      </c>
      <c r="F179" s="20">
        <f t="shared" si="15"/>
        <v>1</v>
      </c>
      <c r="G179" s="20">
        <f t="shared" si="16"/>
        <v>8</v>
      </c>
      <c r="H179" s="10">
        <v>1</v>
      </c>
      <c r="T179" s="8"/>
      <c r="W179" s="8"/>
    </row>
    <row r="180" spans="2:23" x14ac:dyDescent="0.2">
      <c r="B180">
        <v>8</v>
      </c>
      <c r="C180" t="s">
        <v>87</v>
      </c>
      <c r="D180" t="s">
        <v>18</v>
      </c>
      <c r="E180" s="20" t="str">
        <f t="shared" si="17"/>
        <v>Corporate</v>
      </c>
      <c r="F180" s="20">
        <f t="shared" si="15"/>
        <v>1</v>
      </c>
      <c r="G180" s="20">
        <f t="shared" si="16"/>
        <v>8</v>
      </c>
      <c r="H180" s="10">
        <v>1</v>
      </c>
      <c r="T180" s="8"/>
      <c r="W180" s="8"/>
    </row>
    <row r="181" spans="2:23" x14ac:dyDescent="0.2">
      <c r="B181">
        <v>9</v>
      </c>
      <c r="C181" t="s">
        <v>8</v>
      </c>
      <c r="D181" t="s">
        <v>18</v>
      </c>
      <c r="E181" s="20" t="str">
        <f t="shared" si="17"/>
        <v>Operations</v>
      </c>
      <c r="F181" s="20">
        <f t="shared" si="15"/>
        <v>1</v>
      </c>
      <c r="G181" s="20">
        <f t="shared" si="16"/>
        <v>3</v>
      </c>
      <c r="H181" s="10">
        <v>1</v>
      </c>
      <c r="T181" s="8"/>
      <c r="W181" s="8"/>
    </row>
    <row r="182" spans="2:23" x14ac:dyDescent="0.2">
      <c r="B182">
        <v>10</v>
      </c>
      <c r="C182" t="s">
        <v>102</v>
      </c>
      <c r="D182" t="s">
        <v>18</v>
      </c>
      <c r="E182" s="20" t="str">
        <f t="shared" si="17"/>
        <v>Technology</v>
      </c>
      <c r="F182" s="20">
        <f t="shared" si="15"/>
        <v>1</v>
      </c>
      <c r="G182" s="20">
        <f t="shared" si="16"/>
        <v>5</v>
      </c>
      <c r="H182" s="10">
        <v>1</v>
      </c>
      <c r="T182" s="8"/>
      <c r="W182" s="8"/>
    </row>
    <row r="183" spans="2:23" x14ac:dyDescent="0.2">
      <c r="B183">
        <v>11</v>
      </c>
      <c r="C183" t="s">
        <v>79</v>
      </c>
      <c r="D183" t="s">
        <v>18</v>
      </c>
      <c r="E183" s="20" t="str">
        <f t="shared" si="17"/>
        <v>Commercial</v>
      </c>
      <c r="F183" s="20">
        <f t="shared" si="15"/>
        <v>1</v>
      </c>
      <c r="G183" s="20">
        <f t="shared" si="16"/>
        <v>8</v>
      </c>
      <c r="H183" s="10">
        <v>1</v>
      </c>
      <c r="T183" s="8"/>
      <c r="W183" s="8"/>
    </row>
    <row r="184" spans="2:23" x14ac:dyDescent="0.2">
      <c r="B184">
        <v>12</v>
      </c>
      <c r="C184" t="s">
        <v>89</v>
      </c>
      <c r="D184" t="s">
        <v>18</v>
      </c>
      <c r="E184" s="20" t="str">
        <f t="shared" si="17"/>
        <v>Corporate</v>
      </c>
      <c r="F184" s="20">
        <f t="shared" si="15"/>
        <v>1</v>
      </c>
      <c r="G184" s="20">
        <f t="shared" si="16"/>
        <v>8</v>
      </c>
      <c r="H184" s="10">
        <v>1</v>
      </c>
      <c r="T184" s="8"/>
      <c r="W184" s="8"/>
    </row>
    <row r="185" spans="2:23" x14ac:dyDescent="0.2">
      <c r="B185">
        <v>13</v>
      </c>
      <c r="C185" t="s">
        <v>85</v>
      </c>
      <c r="D185" t="s">
        <v>18</v>
      </c>
      <c r="E185" s="20" t="str">
        <f t="shared" si="17"/>
        <v>Operations</v>
      </c>
      <c r="F185" s="20">
        <f t="shared" si="15"/>
        <v>1</v>
      </c>
      <c r="G185" s="20">
        <f t="shared" si="16"/>
        <v>3</v>
      </c>
      <c r="H185" s="10">
        <v>1</v>
      </c>
      <c r="T185" s="8"/>
      <c r="W185" s="8"/>
    </row>
    <row r="186" spans="2:23" x14ac:dyDescent="0.2">
      <c r="B186">
        <v>14</v>
      </c>
      <c r="C186" t="s">
        <v>101</v>
      </c>
      <c r="D186" t="s">
        <v>18</v>
      </c>
      <c r="E186" s="20" t="str">
        <f t="shared" si="17"/>
        <v>Technology</v>
      </c>
      <c r="F186" s="20">
        <f t="shared" si="15"/>
        <v>1</v>
      </c>
      <c r="G186" s="20">
        <f t="shared" si="16"/>
        <v>5</v>
      </c>
      <c r="H186" s="10">
        <v>1</v>
      </c>
      <c r="T186" s="8"/>
      <c r="W186" s="8"/>
    </row>
    <row r="187" spans="2:23" x14ac:dyDescent="0.2">
      <c r="B187">
        <v>15</v>
      </c>
      <c r="C187" t="s">
        <v>81</v>
      </c>
      <c r="D187" t="s">
        <v>18</v>
      </c>
      <c r="E187" s="20" t="str">
        <f t="shared" si="17"/>
        <v>Commercial</v>
      </c>
      <c r="F187" s="20">
        <f t="shared" si="15"/>
        <v>1</v>
      </c>
      <c r="G187" s="20">
        <f t="shared" si="16"/>
        <v>8</v>
      </c>
      <c r="H187" s="10">
        <v>1</v>
      </c>
      <c r="T187" s="8"/>
      <c r="W187" s="8"/>
    </row>
    <row r="188" spans="2:23" x14ac:dyDescent="0.2">
      <c r="B188">
        <v>16</v>
      </c>
      <c r="C188" t="s">
        <v>90</v>
      </c>
      <c r="D188" t="s">
        <v>18</v>
      </c>
      <c r="E188" s="20" t="str">
        <f t="shared" si="17"/>
        <v>Corporate</v>
      </c>
      <c r="F188" s="20">
        <f t="shared" si="15"/>
        <v>1</v>
      </c>
      <c r="G188" s="20">
        <f t="shared" si="16"/>
        <v>8</v>
      </c>
      <c r="H188" s="10">
        <v>1</v>
      </c>
      <c r="T188" s="8"/>
      <c r="W188" s="8"/>
    </row>
    <row r="189" spans="2:23" x14ac:dyDescent="0.2">
      <c r="B189">
        <v>17</v>
      </c>
      <c r="C189" t="s">
        <v>75</v>
      </c>
      <c r="D189" t="s">
        <v>18</v>
      </c>
      <c r="E189" s="20" t="str">
        <f t="shared" si="17"/>
        <v>Technology</v>
      </c>
      <c r="F189" s="20">
        <f t="shared" si="15"/>
        <v>1</v>
      </c>
      <c r="G189" s="20">
        <f t="shared" si="16"/>
        <v>5</v>
      </c>
      <c r="H189" s="10">
        <v>1</v>
      </c>
      <c r="T189" s="8"/>
      <c r="W189" s="8"/>
    </row>
    <row r="190" spans="2:23" x14ac:dyDescent="0.2">
      <c r="B190">
        <v>18</v>
      </c>
      <c r="C190" t="s">
        <v>22</v>
      </c>
      <c r="D190" t="s">
        <v>18</v>
      </c>
      <c r="E190" s="20" t="str">
        <f t="shared" si="17"/>
        <v>Commercial</v>
      </c>
      <c r="F190" s="20">
        <f t="shared" si="15"/>
        <v>1</v>
      </c>
      <c r="G190" s="20">
        <f t="shared" si="16"/>
        <v>8</v>
      </c>
      <c r="H190" s="10">
        <v>1</v>
      </c>
      <c r="T190" s="8"/>
      <c r="W190" s="8"/>
    </row>
    <row r="191" spans="2:23" x14ac:dyDescent="0.2">
      <c r="B191">
        <v>19</v>
      </c>
      <c r="C191" t="s">
        <v>76</v>
      </c>
      <c r="D191" t="s">
        <v>18</v>
      </c>
      <c r="E191" s="20" t="str">
        <f t="shared" si="17"/>
        <v>Corporate</v>
      </c>
      <c r="F191" s="20">
        <f t="shared" si="15"/>
        <v>1</v>
      </c>
      <c r="G191" s="20">
        <f t="shared" si="16"/>
        <v>8</v>
      </c>
      <c r="H191" s="10">
        <v>1</v>
      </c>
      <c r="T191" s="8"/>
      <c r="W191" s="8"/>
    </row>
    <row r="192" spans="2:23" x14ac:dyDescent="0.2">
      <c r="B192">
        <v>20</v>
      </c>
      <c r="C192" t="s">
        <v>103</v>
      </c>
      <c r="D192" t="s">
        <v>18</v>
      </c>
      <c r="E192" s="20" t="str">
        <f t="shared" si="17"/>
        <v>Technology</v>
      </c>
      <c r="F192" s="20">
        <f t="shared" si="15"/>
        <v>1</v>
      </c>
      <c r="G192" s="20">
        <f t="shared" si="16"/>
        <v>5</v>
      </c>
      <c r="H192" s="10">
        <v>1</v>
      </c>
      <c r="T192" s="8"/>
      <c r="W192" s="8"/>
    </row>
    <row r="193" spans="2:23" x14ac:dyDescent="0.2">
      <c r="B193">
        <v>21</v>
      </c>
      <c r="C193" t="s">
        <v>24</v>
      </c>
      <c r="D193" t="s">
        <v>18</v>
      </c>
      <c r="E193" s="20" t="str">
        <f t="shared" si="17"/>
        <v>Commercial</v>
      </c>
      <c r="F193" s="20">
        <f t="shared" si="15"/>
        <v>1</v>
      </c>
      <c r="G193" s="20">
        <f t="shared" si="16"/>
        <v>8</v>
      </c>
      <c r="H193" s="10">
        <v>1</v>
      </c>
      <c r="T193" s="8"/>
      <c r="W193" s="8"/>
    </row>
    <row r="194" spans="2:23" x14ac:dyDescent="0.2">
      <c r="B194">
        <v>22</v>
      </c>
      <c r="C194" t="s">
        <v>159</v>
      </c>
      <c r="D194" t="s">
        <v>18</v>
      </c>
      <c r="E194" s="20" t="str">
        <f t="shared" si="17"/>
        <v>Corporate</v>
      </c>
      <c r="F194" s="20">
        <f t="shared" si="15"/>
        <v>1</v>
      </c>
      <c r="G194" s="20">
        <f t="shared" si="16"/>
        <v>8</v>
      </c>
      <c r="H194" s="10">
        <v>1</v>
      </c>
      <c r="T194" s="8"/>
      <c r="W194" s="8"/>
    </row>
    <row r="195" spans="2:23" x14ac:dyDescent="0.2">
      <c r="B195">
        <v>23</v>
      </c>
      <c r="C195" t="s">
        <v>25</v>
      </c>
      <c r="D195" t="s">
        <v>18</v>
      </c>
      <c r="E195" s="20" t="str">
        <f t="shared" si="17"/>
        <v>Commercial</v>
      </c>
      <c r="F195" s="20">
        <f t="shared" ref="F195:F204" si="18">H195*SUMIFS($L:$L,$J:$J,D195,$K:$K,E195)/G195</f>
        <v>1</v>
      </c>
      <c r="G195" s="20">
        <f t="shared" ref="G195:G204" si="19">SUMIFS($H$2:$H$1000,$E$2:$E$1000,E195,$D$2:$D$1000,D195)</f>
        <v>8</v>
      </c>
      <c r="H195" s="10">
        <v>1</v>
      </c>
      <c r="T195" s="8"/>
      <c r="W195" s="8"/>
    </row>
    <row r="196" spans="2:23" x14ac:dyDescent="0.2">
      <c r="B196">
        <v>24</v>
      </c>
      <c r="C196" t="s">
        <v>88</v>
      </c>
      <c r="D196" t="s">
        <v>18</v>
      </c>
      <c r="E196" s="20" t="str">
        <f t="shared" si="17"/>
        <v>Corporate</v>
      </c>
      <c r="F196" s="20">
        <f t="shared" si="18"/>
        <v>1</v>
      </c>
      <c r="G196" s="20">
        <f t="shared" si="19"/>
        <v>8</v>
      </c>
      <c r="H196" s="10">
        <v>1</v>
      </c>
      <c r="T196" s="8"/>
      <c r="W196" s="8"/>
    </row>
    <row r="197" spans="2:23" x14ac:dyDescent="0.2">
      <c r="B197">
        <v>25</v>
      </c>
      <c r="C197" t="s">
        <v>83</v>
      </c>
      <c r="D197" t="s">
        <v>18</v>
      </c>
      <c r="E197" s="20" t="str">
        <f t="shared" si="17"/>
        <v>Commercial</v>
      </c>
      <c r="F197" s="20">
        <f t="shared" si="18"/>
        <v>1</v>
      </c>
      <c r="G197" s="20">
        <f t="shared" si="19"/>
        <v>8</v>
      </c>
      <c r="H197" s="10">
        <v>1</v>
      </c>
      <c r="T197" s="8"/>
      <c r="W197" s="8"/>
    </row>
    <row r="198" spans="2:23" x14ac:dyDescent="0.2">
      <c r="B198">
        <v>26</v>
      </c>
      <c r="C198" t="s">
        <v>91</v>
      </c>
      <c r="D198" t="s">
        <v>18</v>
      </c>
      <c r="E198" s="20" t="str">
        <f t="shared" si="17"/>
        <v>Corporate</v>
      </c>
      <c r="F198" s="20">
        <f t="shared" si="18"/>
        <v>1</v>
      </c>
      <c r="G198" s="20">
        <f t="shared" si="19"/>
        <v>8</v>
      </c>
      <c r="H198" s="10">
        <v>1</v>
      </c>
      <c r="T198" s="8"/>
      <c r="W198" s="8"/>
    </row>
    <row r="199" spans="2:23" x14ac:dyDescent="0.2">
      <c r="B199">
        <v>27</v>
      </c>
      <c r="C199" t="s">
        <v>82</v>
      </c>
      <c r="D199" t="s">
        <v>18</v>
      </c>
      <c r="E199" s="20" t="s">
        <v>117</v>
      </c>
      <c r="F199" s="20">
        <f t="shared" si="18"/>
        <v>1</v>
      </c>
      <c r="G199" s="20">
        <f t="shared" si="19"/>
        <v>7</v>
      </c>
      <c r="H199" s="10">
        <v>1</v>
      </c>
      <c r="T199" s="8"/>
      <c r="W199" s="8"/>
    </row>
    <row r="200" spans="2:23" x14ac:dyDescent="0.2">
      <c r="B200">
        <v>28</v>
      </c>
      <c r="C200" t="s">
        <v>97</v>
      </c>
      <c r="D200" t="s">
        <v>18</v>
      </c>
      <c r="E200" s="20" t="s">
        <v>117</v>
      </c>
      <c r="F200" s="20">
        <f t="shared" si="18"/>
        <v>1</v>
      </c>
      <c r="G200" s="20">
        <f t="shared" si="19"/>
        <v>7</v>
      </c>
      <c r="H200" s="10">
        <v>1</v>
      </c>
      <c r="T200" s="8"/>
      <c r="W200" s="8"/>
    </row>
    <row r="201" spans="2:23" x14ac:dyDescent="0.2">
      <c r="B201">
        <v>29</v>
      </c>
      <c r="C201" t="s">
        <v>93</v>
      </c>
      <c r="D201" t="s">
        <v>18</v>
      </c>
      <c r="E201" s="20" t="s">
        <v>117</v>
      </c>
      <c r="F201" s="20">
        <f t="shared" si="18"/>
        <v>1</v>
      </c>
      <c r="G201" s="20">
        <f t="shared" si="19"/>
        <v>7</v>
      </c>
      <c r="H201" s="10">
        <v>1</v>
      </c>
      <c r="T201" s="8"/>
      <c r="W201" s="8"/>
    </row>
    <row r="202" spans="2:23" x14ac:dyDescent="0.2">
      <c r="B202">
        <v>30</v>
      </c>
      <c r="C202" t="s">
        <v>94</v>
      </c>
      <c r="D202" t="s">
        <v>18</v>
      </c>
      <c r="E202" s="20" t="s">
        <v>117</v>
      </c>
      <c r="F202" s="20">
        <f t="shared" si="18"/>
        <v>1</v>
      </c>
      <c r="G202" s="20">
        <f t="shared" si="19"/>
        <v>7</v>
      </c>
      <c r="H202" s="10">
        <v>1</v>
      </c>
      <c r="T202" s="8"/>
      <c r="W202" s="8"/>
    </row>
    <row r="203" spans="2:23" x14ac:dyDescent="0.2">
      <c r="B203">
        <v>31</v>
      </c>
      <c r="C203" t="s">
        <v>99</v>
      </c>
      <c r="D203" t="s">
        <v>18</v>
      </c>
      <c r="E203" s="20" t="s">
        <v>117</v>
      </c>
      <c r="F203" s="20">
        <f t="shared" si="18"/>
        <v>1</v>
      </c>
      <c r="G203" s="20">
        <f t="shared" si="19"/>
        <v>7</v>
      </c>
      <c r="H203" s="10">
        <v>1</v>
      </c>
      <c r="T203" s="8"/>
      <c r="W203" s="8"/>
    </row>
    <row r="204" spans="2:23" x14ac:dyDescent="0.2">
      <c r="B204">
        <v>32</v>
      </c>
      <c r="C204" t="s">
        <v>96</v>
      </c>
      <c r="D204" t="s">
        <v>18</v>
      </c>
      <c r="E204" s="20" t="s">
        <v>117</v>
      </c>
      <c r="F204" s="20">
        <f t="shared" si="18"/>
        <v>1</v>
      </c>
      <c r="G204" s="20">
        <f t="shared" si="19"/>
        <v>7</v>
      </c>
      <c r="H204" s="10">
        <v>1</v>
      </c>
      <c r="T204" s="8"/>
      <c r="W204" s="8"/>
    </row>
  </sheetData>
  <autoFilter ref="A2:AE204" xr:uid="{D521F980-2E5F-EC49-B62F-4F6A4A27A40F}"/>
  <sortState xmlns:xlrd2="http://schemas.microsoft.com/office/spreadsheetml/2017/richdata2" ref="B3:D204">
    <sortCondition ref="D3:D204"/>
    <sortCondition ref="B3:B204"/>
  </sortState>
  <conditionalFormatting sqref="H1:H1048576">
    <cfRule type="colorScale" priority="11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38">
    <cfRule type="colorScale" priority="5">
      <colorScale>
        <cfvo type="min"/>
        <cfvo type="max"/>
        <color rgb="FFFFEF9C"/>
        <color rgb="FF63BE7B"/>
      </colorScale>
    </cfRule>
  </conditionalFormatting>
  <conditionalFormatting sqref="M3:M38">
    <cfRule type="notContainsText" dxfId="5" priority="2" operator="notContains" text="100">
      <formula>ISERROR(SEARCH("100",M3))</formula>
    </cfRule>
  </conditionalFormatting>
  <conditionalFormatting sqref="Q3">
    <cfRule type="notContainsText" dxfId="4" priority="3" operator="notContains" text="100">
      <formula>ISERROR(SEARCH("100",Q3))</formula>
    </cfRule>
  </conditionalFormatting>
  <conditionalFormatting sqref="T3:T14">
    <cfRule type="colorScale" priority="14">
      <colorScale>
        <cfvo type="min"/>
        <cfvo type="max"/>
        <color rgb="FFFFEF9C"/>
        <color rgb="FF63BE7B"/>
      </colorScale>
    </cfRule>
    <cfRule type="cellIs" dxfId="3" priority="16" operator="equal">
      <formula>100</formula>
    </cfRule>
  </conditionalFormatting>
  <conditionalFormatting sqref="W3:W44">
    <cfRule type="colorScale" priority="13">
      <colorScale>
        <cfvo type="min"/>
        <cfvo type="max"/>
        <color rgb="FFFFEF9C"/>
        <color rgb="FF63BE7B"/>
      </colorScale>
    </cfRule>
    <cfRule type="cellIs" dxfId="2" priority="15" operator="equal">
      <formula>100</formula>
    </cfRule>
  </conditionalFormatting>
  <conditionalFormatting sqref="O35:O4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IF(ISNA(VLOOKUP(N2,weights!Y:Y,1,FALSE)),"ALERT","Ok")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IF(ISNA(VLOOKUP(N3,weights!Y:Y,1,FALSE)),"ALERT","Ok")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IF(ISNA(VLOOKUP(N4,weights!Y:Y,1,FALSE)),"ALERT","Ok")</f>
        <v>ALERT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IF(ISNA(VLOOKUP(N5,weights!Y:Y,1,FALSE)),"ALERT","Ok")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IF(ISNA(VLOOKUP(N6,weights!Y:Y,1,FALSE)),"ALERT","Ok")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IF(ISNA(VLOOKUP(N7,weights!Y:Y,1,FALSE)),"ALERT","Ok")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IF(ISNA(VLOOKUP(N8,weights!Y:Y,1,FALSE)),"ALERT","Ok")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IF(ISNA(VLOOKUP(N9,weights!Y:Y,1,FALSE)),"ALERT","Ok")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IF(ISNA(VLOOKUP(N10,weights!Y:Y,1,FALSE)),"ALERT","Ok")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IF(ISNA(VLOOKUP(N11,weights!Y:Y,1,FALSE)),"ALERT","Ok")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IF(ISNA(VLOOKUP(N12,weights!Y:Y,1,FALSE)),"ALERT","Ok")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IF(ISNA(VLOOKUP(N13,weights!Y:Y,1,FALSE)),"ALERT","Ok")</f>
        <v>ALERT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IF(ISNA(VLOOKUP(N14,weights!Y:Y,1,FALSE)),"ALERT","Ok")</f>
        <v>ALERT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IF(ISNA(VLOOKUP(N15,weights!Y:Y,1,FALSE)),"ALERT","Ok")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IF(ISNA(VLOOKUP(N16,weights!Y:Y,1,FALSE)),"ALERT","Ok")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IF(ISNA(VLOOKUP(N17,weights!Y:Y,1,FALSE)),"ALERT","Ok")</f>
        <v>ALERT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IF(ISNA(VLOOKUP(N18,weights!Y:Y,1,FALSE)),"ALERT","Ok")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IF(ISNA(VLOOKUP(N19,weights!Y:Y,1,FALSE)),"ALERT","Ok")</f>
        <v>ALERT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IF(ISNA(VLOOKUP(N20,weights!Y:Y,1,FALSE)),"ALERT","Ok")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IF(ISNA(VLOOKUP(N21,weights!Y:Y,1,FALSE)),"ALERT","Ok")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weights (base2026.02)</vt:lpstr>
      <vt:lpstr>DEMAND WEIGHTS</vt:lpstr>
      <vt:lpstr>weights</vt:lpstr>
      <vt:lpstr>ideas-test</vt:lpstr>
      <vt:lpstr>'weights (base2026.02)'!_FilterDatabase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2026-02-21T19:27:32Z</dcterms:modified>
</cp:coreProperties>
</file>