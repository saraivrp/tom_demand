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1445618/Library/CloudStorage/GoogleDrive-ruipedrosaraiva@gmail.com/My Drive/dev/python/ctt/tom_demand/data/input/"/>
    </mc:Choice>
  </mc:AlternateContent>
  <xr:revisionPtr revIDLastSave="0" documentId="13_ncr:1_{33F04BA5-2935-7F4D-87E9-23811292BB5C}" xr6:coauthVersionLast="47" xr6:coauthVersionMax="47" xr10:uidLastSave="{00000000-0000-0000-0000-000000000000}"/>
  <bookViews>
    <workbookView xWindow="0" yWindow="660" windowWidth="30240" windowHeight="18980" activeTab="2" xr2:uid="{9D2BC160-0631-EE46-87AB-AABB69ACE5D9}"/>
  </bookViews>
  <sheets>
    <sheet name="weights_ra" sheetId="2" r:id="rId1"/>
    <sheet name="weights_rs" sheetId="1" r:id="rId2"/>
    <sheet name="ideas" sheetId="3" r:id="rId3"/>
  </sheets>
  <definedNames>
    <definedName name="_xlnm._FilterDatabase" localSheetId="2" hidden="1">ideas!$A$1:$J$21</definedName>
    <definedName name="_xlnm._FilterDatabase" localSheetId="0" hidden="1">weights_ra!$A$1:$D$26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3" l="1"/>
  <c r="M13" i="3"/>
  <c r="M12" i="3"/>
  <c r="M9" i="3"/>
  <c r="M6" i="3"/>
  <c r="M5" i="3"/>
  <c r="M4" i="3"/>
  <c r="M2" i="3"/>
  <c r="L21" i="3"/>
  <c r="L20" i="3"/>
  <c r="L19" i="3"/>
  <c r="L18" i="3"/>
  <c r="L17" i="3"/>
  <c r="L16" i="3"/>
  <c r="L15" i="3"/>
  <c r="L14" i="3"/>
  <c r="L13" i="3"/>
  <c r="L12" i="3"/>
  <c r="L11" i="3"/>
  <c r="L10" i="3"/>
  <c r="M10" i="3" s="1"/>
  <c r="L9" i="3"/>
  <c r="L8" i="3"/>
  <c r="L7" i="3"/>
  <c r="L6" i="3"/>
  <c r="L5" i="3"/>
  <c r="L4" i="3"/>
  <c r="L3" i="3"/>
  <c r="L2" i="3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M21" i="3" s="1"/>
  <c r="O13" i="2"/>
  <c r="O12" i="2"/>
  <c r="O11" i="2"/>
  <c r="O10" i="2"/>
  <c r="O9" i="2"/>
  <c r="O8" i="2"/>
  <c r="O7" i="2"/>
  <c r="O6" i="2"/>
  <c r="O5" i="2"/>
  <c r="O4" i="2"/>
  <c r="O3" i="2"/>
  <c r="O2" i="2"/>
  <c r="M15" i="3" l="1"/>
  <c r="M16" i="3"/>
  <c r="M17" i="3"/>
  <c r="M7" i="3"/>
  <c r="M18" i="3"/>
  <c r="M8" i="3"/>
  <c r="M3" i="3"/>
  <c r="M20" i="3"/>
  <c r="M14" i="3"/>
  <c r="M11" i="3"/>
  <c r="L1" i="2" l="1" a="1"/>
  <c r="M11" i="2" s="1"/>
  <c r="I1" i="2" a="1"/>
  <c r="I1" i="2" s="1"/>
  <c r="F1" i="2" a="1"/>
  <c r="F1" i="2" s="1"/>
  <c r="D1" i="1"/>
  <c r="M13" i="2" l="1"/>
  <c r="J9" i="2"/>
  <c r="J10" i="2"/>
  <c r="J11" i="2"/>
  <c r="J13" i="2"/>
  <c r="M12" i="2"/>
  <c r="J12" i="2"/>
  <c r="J2" i="2"/>
  <c r="J3" i="2"/>
  <c r="J7" i="2"/>
  <c r="J6" i="2"/>
  <c r="J8" i="2"/>
  <c r="J4" i="2"/>
  <c r="J5" i="2"/>
  <c r="L1" i="2"/>
  <c r="M10" i="2"/>
  <c r="M4" i="2"/>
  <c r="M2" i="2"/>
  <c r="M5" i="2"/>
  <c r="M6" i="2"/>
  <c r="M7" i="2"/>
  <c r="M3" i="2"/>
  <c r="M8" i="2"/>
  <c r="M9" i="2"/>
  <c r="G2" i="2"/>
  <c r="G3" i="2"/>
  <c r="G4" i="2"/>
  <c r="G8" i="2" s="1"/>
  <c r="G5" i="2"/>
  <c r="G6" i="2"/>
  <c r="G7" i="2"/>
  <c r="G12" i="2" l="1"/>
  <c r="G10" i="2"/>
  <c r="G13" i="2"/>
  <c r="G9" i="2"/>
  <c r="G11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<sst xmlns="http://schemas.openxmlformats.org/spreadsheetml/2006/main" count="247" uniqueCount="79">
  <si>
    <t>RevenueStream</t>
  </si>
  <si>
    <t>BudgetGroup</t>
  </si>
  <si>
    <t>RequestingArea</t>
  </si>
  <si>
    <t>Weight</t>
  </si>
  <si>
    <t>Business Solutions</t>
  </si>
  <si>
    <t>Commercial</t>
  </si>
  <si>
    <t>Data&amp;AI</t>
  </si>
  <si>
    <t>Operations</t>
  </si>
  <si>
    <t>EDO</t>
  </si>
  <si>
    <t>Technology</t>
  </si>
  <si>
    <t>SI</t>
  </si>
  <si>
    <t>eCommerce</t>
  </si>
  <si>
    <t>CISO</t>
  </si>
  <si>
    <t>Corporate</t>
  </si>
  <si>
    <t>DAI</t>
  </si>
  <si>
    <t>Fulfilment</t>
  </si>
  <si>
    <t>Mail</t>
  </si>
  <si>
    <t>Payments</t>
  </si>
  <si>
    <t>Retail &amp; Financial Services</t>
  </si>
  <si>
    <t>Banco CTT</t>
  </si>
  <si>
    <t>check</t>
  </si>
  <si>
    <t>Check</t>
  </si>
  <si>
    <t>GP B2B</t>
  </si>
  <si>
    <t>CF</t>
  </si>
  <si>
    <t>GP ECL</t>
  </si>
  <si>
    <t>GPG</t>
  </si>
  <si>
    <t>GP B2C</t>
  </si>
  <si>
    <t>SEO</t>
  </si>
  <si>
    <t>ID</t>
  </si>
  <si>
    <t>Name</t>
  </si>
  <si>
    <t>PriorityRA</t>
  </si>
  <si>
    <t>Value</t>
  </si>
  <si>
    <t>Urgency</t>
  </si>
  <si>
    <t>Risk</t>
  </si>
  <si>
    <t>Size</t>
  </si>
  <si>
    <t>IDEA012</t>
  </si>
  <si>
    <t>Banco CTT Mobile App</t>
  </si>
  <si>
    <t>IDEA018</t>
  </si>
  <si>
    <t>Business Solutions CRM</t>
  </si>
  <si>
    <t>IDEA011</t>
  </si>
  <si>
    <t>Security Compliance Update</t>
  </si>
  <si>
    <t>IDEA020</t>
  </si>
  <si>
    <t>Banco CTT Security Enhancement</t>
  </si>
  <si>
    <t>IDEA013</t>
  </si>
  <si>
    <t>Corporate HR System</t>
  </si>
  <si>
    <t>IDEA008</t>
  </si>
  <si>
    <t>Business Analytics Dashboard</t>
  </si>
  <si>
    <t>IDEA004</t>
  </si>
  <si>
    <t>ML Recommendations</t>
  </si>
  <si>
    <t>IDEA001</t>
  </si>
  <si>
    <t>New eCommerce Portal</t>
  </si>
  <si>
    <t>IDEA002</t>
  </si>
  <si>
    <t>Checkout Optimization</t>
  </si>
  <si>
    <t>IDEA006</t>
  </si>
  <si>
    <t>Customer Portal Enhancement</t>
  </si>
  <si>
    <t>IDEA015</t>
  </si>
  <si>
    <t>eCommerce Search Enhancement</t>
  </si>
  <si>
    <t>IDEA007</t>
  </si>
  <si>
    <t>Fulfilment Tracking System</t>
  </si>
  <si>
    <t>IDEA017</t>
  </si>
  <si>
    <t>Fulfilment Warehouse Automation</t>
  </si>
  <si>
    <t>IDEA003</t>
  </si>
  <si>
    <t>Mail Sorting Automation</t>
  </si>
  <si>
    <t>IDEA016</t>
  </si>
  <si>
    <t>Mail Delivery Optimization</t>
  </si>
  <si>
    <t>IDEA009</t>
  </si>
  <si>
    <t>Mail API Integration</t>
  </si>
  <si>
    <t>IDEA005</t>
  </si>
  <si>
    <t>Mobile Payment System</t>
  </si>
  <si>
    <t>IDEA014</t>
  </si>
  <si>
    <t>Payment Gateway Update</t>
  </si>
  <si>
    <t>IDEA019</t>
  </si>
  <si>
    <t>Retail Customer Experience</t>
  </si>
  <si>
    <t>IDEA010</t>
  </si>
  <si>
    <t>Retail POS Upgrade</t>
  </si>
  <si>
    <t>BCTT</t>
  </si>
  <si>
    <t>GRH</t>
  </si>
  <si>
    <t>Ideas Check</t>
  </si>
  <si>
    <t>_RA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</si>
</sst>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2"/>
      <color rgb="FFFFFF00"/>
      <name val="Aptos Narrow"/>
      <scheme val="minor"/>
    </font>
    <font>
      <sz val="12"/>
      <color rgb="FFFFFF00"/>
      <name val="Aptos Narrow"/>
      <scheme val="minor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1" fillId="2" borderId="0" xfId="0" applyFont="1" applyFill="1"/>
    <xf numFmtId="0" fontId="3" fillId="3" borderId="0" xfId="0" applyFont="1" applyFill="1"/>
    <xf numFmtId="0" fontId="1" fillId="3" borderId="0" xfId="0" applyFont="1" applyFill="1"/>
    <xf numFmtId="0" fontId="4" fillId="2" borderId="0" xfId="0" applyFont="1" applyFill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1F980-2E5F-EC49-B62F-4F6A4A27A40F}">
  <dimension ref="A1:O61"/>
  <sheetViews>
    <sheetView workbookViewId="0">
      <pane ySplit="1" topLeftCell="A2" activePane="bottomLeft" state="frozen"/>
      <selection pane="bottomLeft" activeCell="C23" sqref="C23"/>
    </sheetView>
  </sheetViews>
  <sheetFormatPr baseColWidth="10" defaultRowHeight="16" x14ac:dyDescent="0.2"/>
  <cols>
    <col min="1" max="1" width="22.83203125" bestFit="1" customWidth="1"/>
    <col min="2" max="2" width="11.83203125" bestFit="1" customWidth="1"/>
    <col min="3" max="3" width="26.1640625" bestFit="1" customWidth="1"/>
    <col min="4" max="4" width="6.83203125" bestFit="1" customWidth="1"/>
    <col min="6" max="6" width="22.83203125" bestFit="1" customWidth="1"/>
    <col min="7" max="7" width="10.83203125" style="8"/>
    <col min="8" max="8" width="3.6640625" customWidth="1"/>
    <col min="9" max="9" width="22.83203125" bestFit="1" customWidth="1"/>
    <col min="10" max="10" width="10.83203125" style="8"/>
    <col min="11" max="11" width="1.83203125" customWidth="1"/>
    <col min="12" max="12" width="14.33203125" bestFit="1" customWidth="1"/>
    <col min="13" max="13" width="10.83203125" style="8"/>
    <col min="15" max="15" width="29.83203125" bestFit="1" customWidth="1"/>
  </cols>
  <sheetData>
    <row r="1" spans="1:15" s="1" customFormat="1" x14ac:dyDescent="0.2">
      <c r="A1" s="6" t="s">
        <v>0</v>
      </c>
      <c r="B1" s="6" t="s">
        <v>1</v>
      </c>
      <c r="C1" s="6" t="s">
        <v>2</v>
      </c>
      <c r="D1" s="6" t="s">
        <v>3</v>
      </c>
      <c r="F1" s="7" t="str" cm="1">
        <f t="array" ref="F1:F8">_xlfn.UNIQUE(A:A)</f>
        <v>RevenueStream</v>
      </c>
      <c r="G1" s="7" t="s">
        <v>21</v>
      </c>
      <c r="I1" s="7" t="str" cm="1">
        <f t="array" ref="I1:I8">_xlfn.UNIQUE(B:B)</f>
        <v>BudgetGroup</v>
      </c>
      <c r="J1" s="7" t="s">
        <v>21</v>
      </c>
      <c r="L1" s="7" t="str" cm="1">
        <f t="array" ref="L1:L14">_xlfn.UNIQUE(C:C)</f>
        <v>RequestingArea</v>
      </c>
      <c r="M1" s="7" t="s">
        <v>21</v>
      </c>
      <c r="O1" s="7" t="s">
        <v>77</v>
      </c>
    </row>
    <row r="2" spans="1:15" x14ac:dyDescent="0.2">
      <c r="A2" t="s">
        <v>4</v>
      </c>
      <c r="B2" t="s">
        <v>5</v>
      </c>
      <c r="C2" t="s">
        <v>22</v>
      </c>
      <c r="D2">
        <v>40</v>
      </c>
      <c r="F2" t="str">
        <v>Business Solutions</v>
      </c>
      <c r="G2" s="7">
        <f ca="1">SUMIF($A:$D,F2,$D:$D)</f>
        <v>100</v>
      </c>
      <c r="I2" t="str">
        <v>Commercial</v>
      </c>
      <c r="J2" s="4">
        <f ca="1">SUMIF($B:$D,I2,$D:$D)</f>
        <v>215</v>
      </c>
      <c r="L2" t="str">
        <v>GP B2B</v>
      </c>
      <c r="M2" s="4">
        <f ca="1">SUMIF($C:$D,L2,$D:$D)</f>
        <v>75</v>
      </c>
      <c r="O2" t="str">
        <f>A2&amp;"-"&amp;C2</f>
        <v>Business Solutions-GP B2B</v>
      </c>
    </row>
    <row r="3" spans="1:15" x14ac:dyDescent="0.2">
      <c r="A3" t="s">
        <v>4</v>
      </c>
      <c r="B3" t="s">
        <v>6</v>
      </c>
      <c r="C3" t="s">
        <v>14</v>
      </c>
      <c r="D3">
        <v>9</v>
      </c>
      <c r="F3" t="str">
        <v>eCommerce</v>
      </c>
      <c r="G3" s="7">
        <f ca="1">SUMIF($A:$D,F3,$D:$D)</f>
        <v>100</v>
      </c>
      <c r="I3" t="str">
        <v>Data&amp;AI</v>
      </c>
      <c r="J3" s="4">
        <f ca="1">SUMIF($B:$D,I3,$D:$D)</f>
        <v>59</v>
      </c>
      <c r="L3" t="str">
        <v>DAI</v>
      </c>
      <c r="M3" s="4">
        <f ca="1">SUMIF($C:$D,L3,$D:$D)</f>
        <v>59</v>
      </c>
      <c r="O3" t="str">
        <f t="shared" ref="O3:O61" si="0">A3&amp;"-"&amp;C3</f>
        <v>Business Solutions-DAI</v>
      </c>
    </row>
    <row r="4" spans="1:15" x14ac:dyDescent="0.2">
      <c r="A4" t="s">
        <v>4</v>
      </c>
      <c r="B4" t="s">
        <v>7</v>
      </c>
      <c r="C4" t="s">
        <v>8</v>
      </c>
      <c r="D4">
        <v>1</v>
      </c>
      <c r="F4" t="str">
        <v>Fulfilment</v>
      </c>
      <c r="G4" s="7">
        <f ca="1">SUMIF($A:$D,F4,$D:$D)</f>
        <v>100</v>
      </c>
      <c r="I4" t="str">
        <v>Operations</v>
      </c>
      <c r="J4" s="4">
        <f ca="1">SUMIF($B:$D,I4,$D:$D)</f>
        <v>101</v>
      </c>
      <c r="L4" t="str">
        <v>EDO</v>
      </c>
      <c r="M4" s="4">
        <f ca="1">SUMIF($C:$D,L4,$D:$D)</f>
        <v>91</v>
      </c>
      <c r="O4" t="str">
        <f t="shared" si="0"/>
        <v>Business Solutions-EDO</v>
      </c>
    </row>
    <row r="5" spans="1:15" x14ac:dyDescent="0.2">
      <c r="A5" t="s">
        <v>4</v>
      </c>
      <c r="B5" t="s">
        <v>9</v>
      </c>
      <c r="C5" t="s">
        <v>10</v>
      </c>
      <c r="D5">
        <v>20</v>
      </c>
      <c r="F5" t="str">
        <v>Mail</v>
      </c>
      <c r="G5" s="7">
        <f ca="1">SUMIF($A:$D,F5,$D:$D)</f>
        <v>100</v>
      </c>
      <c r="I5" t="str">
        <v>Technology</v>
      </c>
      <c r="J5" s="4">
        <f ca="1">SUMIF($B:$D,I5,$D:$D)</f>
        <v>120</v>
      </c>
      <c r="L5" t="str">
        <v>SI</v>
      </c>
      <c r="M5" s="4">
        <f ca="1">SUMIF($C:$D,L5,$D:$D)</f>
        <v>120</v>
      </c>
      <c r="O5" t="str">
        <f t="shared" si="0"/>
        <v>Business Solutions-SI</v>
      </c>
    </row>
    <row r="6" spans="1:15" x14ac:dyDescent="0.2">
      <c r="A6" t="s">
        <v>4</v>
      </c>
      <c r="B6" t="s">
        <v>12</v>
      </c>
      <c r="C6" t="s">
        <v>12</v>
      </c>
      <c r="D6">
        <v>10</v>
      </c>
      <c r="F6" t="str">
        <v>Payments</v>
      </c>
      <c r="G6" s="7">
        <f ca="1">SUMIF($A:$D,F6,$D:$D)</f>
        <v>100</v>
      </c>
      <c r="I6" t="str">
        <v>CISO</v>
      </c>
      <c r="J6" s="4">
        <f ca="1">SUMIF($B:$D,I6,$D:$D)</f>
        <v>35</v>
      </c>
      <c r="L6" t="str">
        <v>CISO</v>
      </c>
      <c r="M6" s="4">
        <f ca="1">SUMIF($C:$D,L6,$D:$D)</f>
        <v>35</v>
      </c>
      <c r="O6" t="str">
        <f t="shared" si="0"/>
        <v>Business Solutions-CISO</v>
      </c>
    </row>
    <row r="7" spans="1:15" x14ac:dyDescent="0.2">
      <c r="A7" t="s">
        <v>4</v>
      </c>
      <c r="B7" t="s">
        <v>13</v>
      </c>
      <c r="C7" t="s">
        <v>23</v>
      </c>
      <c r="D7">
        <v>20</v>
      </c>
      <c r="F7" t="str">
        <v>Retail &amp; Financial Services</v>
      </c>
      <c r="G7" s="7">
        <f ca="1">SUMIF($A:$D,F7,$D:$D)</f>
        <v>100</v>
      </c>
      <c r="I7" t="str">
        <v>Corporate</v>
      </c>
      <c r="J7" s="4">
        <f ca="1">SUMIF($B:$D,I7,$D:$D)</f>
        <v>70</v>
      </c>
      <c r="L7" t="str">
        <v>CF</v>
      </c>
      <c r="M7" s="4">
        <f ca="1">SUMIF($C:$D,L7,$D:$D)</f>
        <v>68</v>
      </c>
      <c r="O7" t="str">
        <f t="shared" si="0"/>
        <v>Business Solutions-CF</v>
      </c>
    </row>
    <row r="8" spans="1:15" x14ac:dyDescent="0.2">
      <c r="A8" t="s">
        <v>11</v>
      </c>
      <c r="B8" t="s">
        <v>5</v>
      </c>
      <c r="C8" t="s">
        <v>24</v>
      </c>
      <c r="D8">
        <v>35</v>
      </c>
      <c r="F8">
        <v>0</v>
      </c>
      <c r="G8" s="7">
        <f ca="1">SUMIF($A:$D,F8,$D:$D)</f>
        <v>0</v>
      </c>
      <c r="I8">
        <v>0</v>
      </c>
      <c r="J8" s="4">
        <f ca="1">SUMIF($B:$D,I8,$D:$D)</f>
        <v>0</v>
      </c>
      <c r="L8" t="str">
        <v>GP ECL</v>
      </c>
      <c r="M8" s="4">
        <f ca="1">SUMIF($C:$D,L8,$D:$D)</f>
        <v>70</v>
      </c>
      <c r="O8" t="str">
        <f t="shared" si="0"/>
        <v>eCommerce-GP ECL</v>
      </c>
    </row>
    <row r="9" spans="1:15" x14ac:dyDescent="0.2">
      <c r="A9" t="s">
        <v>11</v>
      </c>
      <c r="B9" t="s">
        <v>6</v>
      </c>
      <c r="C9" t="s">
        <v>14</v>
      </c>
      <c r="D9">
        <v>10</v>
      </c>
      <c r="G9" s="7">
        <f ca="1">SUMIF($A:$D,F9,$D:$D)</f>
        <v>0</v>
      </c>
      <c r="J9" s="4">
        <f ca="1">SUMIF($B:$D,I9,$D:$D)</f>
        <v>0</v>
      </c>
      <c r="L9" t="str">
        <v>SEO</v>
      </c>
      <c r="M9" s="4">
        <f ca="1">SUMIF($C:$D,L9,$D:$D)</f>
        <v>10</v>
      </c>
      <c r="O9" t="str">
        <f t="shared" si="0"/>
        <v>eCommerce-DAI</v>
      </c>
    </row>
    <row r="10" spans="1:15" x14ac:dyDescent="0.2">
      <c r="A10" t="s">
        <v>11</v>
      </c>
      <c r="B10" t="s">
        <v>7</v>
      </c>
      <c r="C10" t="s">
        <v>8</v>
      </c>
      <c r="D10">
        <v>20</v>
      </c>
      <c r="G10" s="7">
        <f ca="1">SUMIF($A:$D,F10,$D:$D)</f>
        <v>0</v>
      </c>
      <c r="J10" s="4">
        <f ca="1">SUMIF($B:$D,I10,$D:$D)</f>
        <v>0</v>
      </c>
      <c r="L10" t="str">
        <v>BCTT</v>
      </c>
      <c r="M10" s="4">
        <f ca="1">SUMIF($C:$D,L10,$D:$D)</f>
        <v>1</v>
      </c>
      <c r="O10" t="str">
        <f t="shared" si="0"/>
        <v>eCommerce-EDO</v>
      </c>
    </row>
    <row r="11" spans="1:15" x14ac:dyDescent="0.2">
      <c r="A11" t="s">
        <v>11</v>
      </c>
      <c r="B11" t="s">
        <v>9</v>
      </c>
      <c r="C11" t="s">
        <v>10</v>
      </c>
      <c r="D11">
        <v>20</v>
      </c>
      <c r="G11" s="7">
        <f ca="1">SUMIF($A:$D,F11,$D:$D)</f>
        <v>0</v>
      </c>
      <c r="J11" s="4">
        <f ca="1">SUMIF($B:$D,I11,$D:$D)</f>
        <v>0</v>
      </c>
      <c r="L11" t="str">
        <v>GRH</v>
      </c>
      <c r="M11" s="4">
        <f ca="1">SUMIF($C:$D,L11,$D:$D)</f>
        <v>1</v>
      </c>
      <c r="O11" t="str">
        <f t="shared" si="0"/>
        <v>eCommerce-SI</v>
      </c>
    </row>
    <row r="12" spans="1:15" x14ac:dyDescent="0.2">
      <c r="A12" t="s">
        <v>11</v>
      </c>
      <c r="B12" t="s">
        <v>12</v>
      </c>
      <c r="C12" t="s">
        <v>12</v>
      </c>
      <c r="D12">
        <v>5</v>
      </c>
      <c r="G12" s="7">
        <f ca="1">SUMIF($A:$D,F12,$D:$D)</f>
        <v>0</v>
      </c>
      <c r="J12" s="4">
        <f ca="1">SUMIF($B:$D,I12,$D:$D)</f>
        <v>0</v>
      </c>
      <c r="L12" t="str">
        <v>GPG</v>
      </c>
      <c r="M12" s="4">
        <f ca="1">SUMIF($C:$D,L12,$D:$D)</f>
        <v>35</v>
      </c>
      <c r="O12" t="str">
        <f t="shared" si="0"/>
        <v>eCommerce-CISO</v>
      </c>
    </row>
    <row r="13" spans="1:15" x14ac:dyDescent="0.2">
      <c r="A13" t="s">
        <v>11</v>
      </c>
      <c r="B13" t="s">
        <v>13</v>
      </c>
      <c r="C13" t="s">
        <v>23</v>
      </c>
      <c r="D13">
        <v>10</v>
      </c>
      <c r="G13" s="7">
        <f ca="1">SUMIF($A:$D,F13,$D:$D)</f>
        <v>0</v>
      </c>
      <c r="J13" s="4">
        <f ca="1">SUMIF($B:$D,I13,$D:$D)</f>
        <v>0</v>
      </c>
      <c r="L13" t="str">
        <v>GP B2C</v>
      </c>
      <c r="M13" s="4">
        <f ca="1">SUMIF($C:$D,L13,$D:$D)</f>
        <v>35</v>
      </c>
      <c r="O13" t="str">
        <f t="shared" si="0"/>
        <v>eCommerce-CF</v>
      </c>
    </row>
    <row r="14" spans="1:15" x14ac:dyDescent="0.2">
      <c r="A14" t="s">
        <v>15</v>
      </c>
      <c r="B14" t="s">
        <v>5</v>
      </c>
      <c r="C14" t="s">
        <v>24</v>
      </c>
      <c r="D14">
        <v>35</v>
      </c>
      <c r="L14">
        <v>0</v>
      </c>
      <c r="O14" t="str">
        <f t="shared" si="0"/>
        <v>Fulfilment-GP ECL</v>
      </c>
    </row>
    <row r="15" spans="1:15" x14ac:dyDescent="0.2">
      <c r="A15" t="s">
        <v>15</v>
      </c>
      <c r="B15" t="s">
        <v>6</v>
      </c>
      <c r="C15" t="s">
        <v>14</v>
      </c>
      <c r="D15">
        <v>10</v>
      </c>
      <c r="O15" t="str">
        <f t="shared" si="0"/>
        <v>Fulfilment-DAI</v>
      </c>
    </row>
    <row r="16" spans="1:15" x14ac:dyDescent="0.2">
      <c r="A16" t="s">
        <v>15</v>
      </c>
      <c r="B16" t="s">
        <v>7</v>
      </c>
      <c r="C16" t="s">
        <v>8</v>
      </c>
      <c r="D16">
        <v>20</v>
      </c>
      <c r="O16" t="str">
        <f t="shared" si="0"/>
        <v>Fulfilment-EDO</v>
      </c>
    </row>
    <row r="17" spans="1:15" x14ac:dyDescent="0.2">
      <c r="A17" t="s">
        <v>15</v>
      </c>
      <c r="B17" t="s">
        <v>9</v>
      </c>
      <c r="C17" t="s">
        <v>10</v>
      </c>
      <c r="D17">
        <v>20</v>
      </c>
      <c r="O17" t="str">
        <f t="shared" si="0"/>
        <v>Fulfilment-SI</v>
      </c>
    </row>
    <row r="18" spans="1:15" x14ac:dyDescent="0.2">
      <c r="A18" t="s">
        <v>15</v>
      </c>
      <c r="B18" t="s">
        <v>12</v>
      </c>
      <c r="C18" t="s">
        <v>12</v>
      </c>
      <c r="D18">
        <v>5</v>
      </c>
      <c r="O18" t="str">
        <f t="shared" si="0"/>
        <v>Fulfilment-CISO</v>
      </c>
    </row>
    <row r="19" spans="1:15" x14ac:dyDescent="0.2">
      <c r="A19" t="s">
        <v>15</v>
      </c>
      <c r="B19" t="s">
        <v>13</v>
      </c>
      <c r="C19" t="s">
        <v>23</v>
      </c>
      <c r="D19">
        <v>10</v>
      </c>
      <c r="O19" t="str">
        <f t="shared" si="0"/>
        <v>Fulfilment-CF</v>
      </c>
    </row>
    <row r="20" spans="1:15" x14ac:dyDescent="0.2">
      <c r="A20" t="s">
        <v>16</v>
      </c>
      <c r="B20" t="s">
        <v>5</v>
      </c>
      <c r="C20" t="s">
        <v>22</v>
      </c>
      <c r="D20">
        <v>35</v>
      </c>
      <c r="O20" t="str">
        <f t="shared" si="0"/>
        <v>Mail-GP B2B</v>
      </c>
    </row>
    <row r="21" spans="1:15" x14ac:dyDescent="0.2">
      <c r="A21" t="s">
        <v>16</v>
      </c>
      <c r="B21" t="s">
        <v>6</v>
      </c>
      <c r="C21" t="s">
        <v>14</v>
      </c>
      <c r="D21">
        <v>10</v>
      </c>
      <c r="O21" t="str">
        <f t="shared" si="0"/>
        <v>Mail-DAI</v>
      </c>
    </row>
    <row r="22" spans="1:15" x14ac:dyDescent="0.2">
      <c r="A22" t="s">
        <v>16</v>
      </c>
      <c r="B22" t="s">
        <v>7</v>
      </c>
      <c r="C22" t="s">
        <v>8</v>
      </c>
      <c r="D22">
        <v>10</v>
      </c>
      <c r="O22" t="str">
        <f t="shared" si="0"/>
        <v>Mail-EDO</v>
      </c>
    </row>
    <row r="23" spans="1:15" x14ac:dyDescent="0.2">
      <c r="A23" t="s">
        <v>16</v>
      </c>
      <c r="B23" t="s">
        <v>7</v>
      </c>
      <c r="C23" t="s">
        <v>27</v>
      </c>
      <c r="D23">
        <v>10</v>
      </c>
      <c r="O23" t="str">
        <f t="shared" si="0"/>
        <v>Mail-SEO</v>
      </c>
    </row>
    <row r="24" spans="1:15" x14ac:dyDescent="0.2">
      <c r="A24" t="s">
        <v>16</v>
      </c>
      <c r="B24" t="s">
        <v>9</v>
      </c>
      <c r="C24" t="s">
        <v>10</v>
      </c>
      <c r="D24">
        <v>20</v>
      </c>
      <c r="O24" t="str">
        <f t="shared" si="0"/>
        <v>Mail-SI</v>
      </c>
    </row>
    <row r="25" spans="1:15" x14ac:dyDescent="0.2">
      <c r="A25" t="s">
        <v>16</v>
      </c>
      <c r="B25" t="s">
        <v>12</v>
      </c>
      <c r="C25" t="s">
        <v>12</v>
      </c>
      <c r="D25">
        <v>5</v>
      </c>
      <c r="O25" t="str">
        <f t="shared" si="0"/>
        <v>Mail-CISO</v>
      </c>
    </row>
    <row r="26" spans="1:15" x14ac:dyDescent="0.2">
      <c r="A26" t="s">
        <v>16</v>
      </c>
      <c r="B26" t="s">
        <v>13</v>
      </c>
      <c r="C26" t="s">
        <v>23</v>
      </c>
      <c r="D26">
        <v>8</v>
      </c>
      <c r="O26" t="str">
        <f t="shared" si="0"/>
        <v>Mail-CF</v>
      </c>
    </row>
    <row r="27" spans="1:15" x14ac:dyDescent="0.2">
      <c r="A27" t="s">
        <v>16</v>
      </c>
      <c r="B27" t="s">
        <v>13</v>
      </c>
      <c r="C27" t="s">
        <v>75</v>
      </c>
      <c r="D27">
        <v>1</v>
      </c>
      <c r="O27" t="str">
        <f t="shared" si="0"/>
        <v>Mail-BCTT</v>
      </c>
    </row>
    <row r="28" spans="1:15" x14ac:dyDescent="0.2">
      <c r="A28" t="s">
        <v>16</v>
      </c>
      <c r="B28" t="s">
        <v>13</v>
      </c>
      <c r="C28" t="s">
        <v>76</v>
      </c>
      <c r="D28">
        <v>1</v>
      </c>
      <c r="O28" t="str">
        <f t="shared" si="0"/>
        <v>Mail-GRH</v>
      </c>
    </row>
    <row r="29" spans="1:15" x14ac:dyDescent="0.2">
      <c r="A29" t="s">
        <v>17</v>
      </c>
      <c r="B29" t="s">
        <v>5</v>
      </c>
      <c r="C29" t="s">
        <v>25</v>
      </c>
      <c r="D29">
        <v>35</v>
      </c>
      <c r="O29" t="str">
        <f t="shared" si="0"/>
        <v>Payments-GPG</v>
      </c>
    </row>
    <row r="30" spans="1:15" x14ac:dyDescent="0.2">
      <c r="A30" t="s">
        <v>17</v>
      </c>
      <c r="B30" t="s">
        <v>6</v>
      </c>
      <c r="C30" t="s">
        <v>14</v>
      </c>
      <c r="D30">
        <v>10</v>
      </c>
      <c r="O30" t="str">
        <f t="shared" si="0"/>
        <v>Payments-DAI</v>
      </c>
    </row>
    <row r="31" spans="1:15" x14ac:dyDescent="0.2">
      <c r="A31" t="s">
        <v>17</v>
      </c>
      <c r="B31" t="s">
        <v>7</v>
      </c>
      <c r="C31" t="s">
        <v>8</v>
      </c>
      <c r="D31">
        <v>20</v>
      </c>
      <c r="O31" t="str">
        <f t="shared" si="0"/>
        <v>Payments-EDO</v>
      </c>
    </row>
    <row r="32" spans="1:15" x14ac:dyDescent="0.2">
      <c r="A32" t="s">
        <v>17</v>
      </c>
      <c r="B32" t="s">
        <v>9</v>
      </c>
      <c r="C32" t="s">
        <v>10</v>
      </c>
      <c r="D32">
        <v>20</v>
      </c>
      <c r="O32" t="str">
        <f t="shared" si="0"/>
        <v>Payments-SI</v>
      </c>
    </row>
    <row r="33" spans="1:15" x14ac:dyDescent="0.2">
      <c r="A33" t="s">
        <v>17</v>
      </c>
      <c r="B33" t="s">
        <v>12</v>
      </c>
      <c r="C33" t="s">
        <v>12</v>
      </c>
      <c r="D33">
        <v>5</v>
      </c>
      <c r="O33" t="str">
        <f t="shared" si="0"/>
        <v>Payments-CISO</v>
      </c>
    </row>
    <row r="34" spans="1:15" x14ac:dyDescent="0.2">
      <c r="A34" t="s">
        <v>17</v>
      </c>
      <c r="B34" t="s">
        <v>13</v>
      </c>
      <c r="C34" t="s">
        <v>23</v>
      </c>
      <c r="D34">
        <v>10</v>
      </c>
      <c r="O34" t="str">
        <f t="shared" si="0"/>
        <v>Payments-CF</v>
      </c>
    </row>
    <row r="35" spans="1:15" x14ac:dyDescent="0.2">
      <c r="A35" t="s">
        <v>18</v>
      </c>
      <c r="B35" t="s">
        <v>5</v>
      </c>
      <c r="C35" t="s">
        <v>26</v>
      </c>
      <c r="D35">
        <v>35</v>
      </c>
      <c r="O35" t="str">
        <f t="shared" si="0"/>
        <v>Retail &amp; Financial Services-GP B2C</v>
      </c>
    </row>
    <row r="36" spans="1:15" x14ac:dyDescent="0.2">
      <c r="A36" t="s">
        <v>18</v>
      </c>
      <c r="B36" t="s">
        <v>6</v>
      </c>
      <c r="C36" t="s">
        <v>14</v>
      </c>
      <c r="D36">
        <v>10</v>
      </c>
      <c r="O36" t="str">
        <f t="shared" si="0"/>
        <v>Retail &amp; Financial Services-DAI</v>
      </c>
    </row>
    <row r="37" spans="1:15" x14ac:dyDescent="0.2">
      <c r="A37" t="s">
        <v>18</v>
      </c>
      <c r="B37" t="s">
        <v>7</v>
      </c>
      <c r="C37" t="s">
        <v>8</v>
      </c>
      <c r="D37">
        <v>20</v>
      </c>
      <c r="O37" t="str">
        <f t="shared" si="0"/>
        <v>Retail &amp; Financial Services-EDO</v>
      </c>
    </row>
    <row r="38" spans="1:15" x14ac:dyDescent="0.2">
      <c r="A38" t="s">
        <v>18</v>
      </c>
      <c r="B38" t="s">
        <v>9</v>
      </c>
      <c r="C38" t="s">
        <v>10</v>
      </c>
      <c r="D38">
        <v>20</v>
      </c>
      <c r="O38" t="str">
        <f t="shared" si="0"/>
        <v>Retail &amp; Financial Services-SI</v>
      </c>
    </row>
    <row r="39" spans="1:15" x14ac:dyDescent="0.2">
      <c r="A39" t="s">
        <v>18</v>
      </c>
      <c r="B39" t="s">
        <v>12</v>
      </c>
      <c r="C39" t="s">
        <v>12</v>
      </c>
      <c r="D39">
        <v>5</v>
      </c>
      <c r="O39" t="str">
        <f t="shared" si="0"/>
        <v>Retail &amp; Financial Services-CISO</v>
      </c>
    </row>
    <row r="40" spans="1:15" x14ac:dyDescent="0.2">
      <c r="A40" t="s">
        <v>18</v>
      </c>
      <c r="B40" t="s">
        <v>13</v>
      </c>
      <c r="C40" t="s">
        <v>23</v>
      </c>
      <c r="D40">
        <v>10</v>
      </c>
      <c r="O40" t="str">
        <f t="shared" si="0"/>
        <v>Retail &amp; Financial Services-CF</v>
      </c>
    </row>
    <row r="41" spans="1:15" x14ac:dyDescent="0.2">
      <c r="O41" t="str">
        <f t="shared" si="0"/>
        <v>-</v>
      </c>
    </row>
    <row r="42" spans="1:15" x14ac:dyDescent="0.2">
      <c r="O42" t="str">
        <f t="shared" si="0"/>
        <v>-</v>
      </c>
    </row>
    <row r="43" spans="1:15" x14ac:dyDescent="0.2">
      <c r="O43" t="str">
        <f t="shared" si="0"/>
        <v>-</v>
      </c>
    </row>
    <row r="44" spans="1:15" x14ac:dyDescent="0.2">
      <c r="O44" t="str">
        <f t="shared" si="0"/>
        <v>-</v>
      </c>
    </row>
    <row r="45" spans="1:15" x14ac:dyDescent="0.2">
      <c r="O45" t="str">
        <f t="shared" si="0"/>
        <v>-</v>
      </c>
    </row>
    <row r="46" spans="1:15" x14ac:dyDescent="0.2">
      <c r="O46" t="str">
        <f t="shared" si="0"/>
        <v>-</v>
      </c>
    </row>
    <row r="47" spans="1:15" x14ac:dyDescent="0.2">
      <c r="O47" t="str">
        <f t="shared" si="0"/>
        <v>-</v>
      </c>
    </row>
    <row r="48" spans="1:15" x14ac:dyDescent="0.2">
      <c r="O48" t="str">
        <f t="shared" si="0"/>
        <v>-</v>
      </c>
    </row>
    <row r="49" spans="15:15" x14ac:dyDescent="0.2">
      <c r="O49" t="str">
        <f t="shared" si="0"/>
        <v>-</v>
      </c>
    </row>
    <row r="50" spans="15:15" x14ac:dyDescent="0.2">
      <c r="O50" t="str">
        <f t="shared" si="0"/>
        <v>-</v>
      </c>
    </row>
    <row r="51" spans="15:15" x14ac:dyDescent="0.2">
      <c r="O51" t="str">
        <f t="shared" si="0"/>
        <v>-</v>
      </c>
    </row>
    <row r="52" spans="15:15" x14ac:dyDescent="0.2">
      <c r="O52" t="str">
        <f t="shared" si="0"/>
        <v>-</v>
      </c>
    </row>
    <row r="53" spans="15:15" x14ac:dyDescent="0.2">
      <c r="O53" t="str">
        <f t="shared" si="0"/>
        <v>-</v>
      </c>
    </row>
    <row r="54" spans="15:15" x14ac:dyDescent="0.2">
      <c r="O54" t="str">
        <f t="shared" si="0"/>
        <v>-</v>
      </c>
    </row>
    <row r="55" spans="15:15" x14ac:dyDescent="0.2">
      <c r="O55" t="str">
        <f t="shared" si="0"/>
        <v>-</v>
      </c>
    </row>
    <row r="56" spans="15:15" x14ac:dyDescent="0.2">
      <c r="O56" t="str">
        <f t="shared" si="0"/>
        <v>-</v>
      </c>
    </row>
    <row r="57" spans="15:15" x14ac:dyDescent="0.2">
      <c r="O57" t="str">
        <f t="shared" si="0"/>
        <v>-</v>
      </c>
    </row>
    <row r="58" spans="15:15" x14ac:dyDescent="0.2">
      <c r="O58" t="str">
        <f t="shared" si="0"/>
        <v>-</v>
      </c>
    </row>
    <row r="59" spans="15:15" x14ac:dyDescent="0.2">
      <c r="O59" t="str">
        <f t="shared" si="0"/>
        <v>-</v>
      </c>
    </row>
    <row r="60" spans="15:15" x14ac:dyDescent="0.2">
      <c r="O60" t="str">
        <f t="shared" si="0"/>
        <v>-</v>
      </c>
    </row>
    <row r="61" spans="15:15" x14ac:dyDescent="0.2">
      <c r="O61" t="str">
        <f t="shared" si="0"/>
        <v>-</v>
      </c>
    </row>
  </sheetData>
  <autoFilter ref="A1:D26" xr:uid="{D521F980-2E5F-EC49-B62F-4F6A4A27A40F}"/>
  <conditionalFormatting sqref="G2:G13">
    <cfRule type="cellIs" dxfId="5" priority="6" operator="equal">
      <formula>100</formula>
    </cfRule>
  </conditionalFormatting>
  <conditionalFormatting sqref="J2:J13">
    <cfRule type="colorScale" priority="2">
      <colorScale>
        <cfvo type="min"/>
        <cfvo type="max"/>
        <color rgb="FFFFEF9C"/>
        <color rgb="FF63BE7B"/>
      </colorScale>
    </cfRule>
    <cfRule type="cellIs" dxfId="4" priority="4" operator="equal">
      <formula>100</formula>
    </cfRule>
  </conditionalFormatting>
  <conditionalFormatting sqref="M2:M13">
    <cfRule type="colorScale" priority="1">
      <colorScale>
        <cfvo type="min"/>
        <cfvo type="max"/>
        <color rgb="FFFFEF9C"/>
        <color rgb="FF63BE7B"/>
      </colorScale>
    </cfRule>
    <cfRule type="cellIs" dxfId="3" priority="3" operator="equal">
      <formula>100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9EC55-B648-3A4C-A439-D742FEF9A099}">
  <dimension ref="A1:E9"/>
  <sheetViews>
    <sheetView zoomScale="150" workbookViewId="0">
      <pane ySplit="1" topLeftCell="A2" activePane="bottomLeft" state="frozen"/>
      <selection pane="bottomLeft" activeCell="B25" sqref="B25"/>
    </sheetView>
  </sheetViews>
  <sheetFormatPr baseColWidth="10" defaultRowHeight="16" x14ac:dyDescent="0.2"/>
  <cols>
    <col min="1" max="1" width="22.83203125" bestFit="1" customWidth="1"/>
    <col min="2" max="2" width="11.83203125" bestFit="1" customWidth="1"/>
    <col min="3" max="3" width="4.33203125" customWidth="1"/>
    <col min="4" max="4" width="24.83203125" customWidth="1"/>
  </cols>
  <sheetData>
    <row r="1" spans="1:5" s="1" customFormat="1" x14ac:dyDescent="0.2">
      <c r="A1" s="5" t="s">
        <v>0</v>
      </c>
      <c r="B1" s="5" t="s">
        <v>3</v>
      </c>
      <c r="D1" s="4">
        <f>SUM(B:B)</f>
        <v>100</v>
      </c>
      <c r="E1" s="7" t="s">
        <v>20</v>
      </c>
    </row>
    <row r="2" spans="1:5" x14ac:dyDescent="0.2">
      <c r="A2" s="2" t="s">
        <v>11</v>
      </c>
      <c r="B2" s="3">
        <v>45</v>
      </c>
    </row>
    <row r="3" spans="1:5" x14ac:dyDescent="0.2">
      <c r="A3" s="2" t="s">
        <v>16</v>
      </c>
      <c r="B3" s="3">
        <v>20</v>
      </c>
    </row>
    <row r="4" spans="1:5" x14ac:dyDescent="0.2">
      <c r="A4" s="2" t="s">
        <v>15</v>
      </c>
      <c r="B4" s="3">
        <v>5</v>
      </c>
    </row>
    <row r="5" spans="1:5" x14ac:dyDescent="0.2">
      <c r="A5" s="2" t="s">
        <v>4</v>
      </c>
      <c r="B5" s="3">
        <v>10</v>
      </c>
    </row>
    <row r="6" spans="1:5" x14ac:dyDescent="0.2">
      <c r="A6" s="2" t="s">
        <v>17</v>
      </c>
      <c r="B6" s="3">
        <v>5</v>
      </c>
    </row>
    <row r="7" spans="1:5" x14ac:dyDescent="0.2">
      <c r="A7" s="2" t="s">
        <v>18</v>
      </c>
      <c r="B7" s="3">
        <v>5</v>
      </c>
    </row>
    <row r="8" spans="1:5" x14ac:dyDescent="0.2">
      <c r="A8" s="2" t="s">
        <v>19</v>
      </c>
      <c r="B8" s="3">
        <v>10</v>
      </c>
    </row>
    <row r="9" spans="1:5" x14ac:dyDescent="0.2">
      <c r="B9" s="3"/>
    </row>
  </sheetData>
  <conditionalFormatting sqref="D1">
    <cfRule type="cellIs" dxfId="2" priority="1" operator="equal">
      <formula>100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437AB-C2CB-8D43-BD8D-11D3278E662B}">
  <dimension ref="A1:M21"/>
  <sheetViews>
    <sheetView tabSelected="1" zoomScale="130" zoomScaleNormal="130" workbookViewId="0">
      <pane ySplit="1" topLeftCell="A2" activePane="bottomLeft" state="frozen"/>
      <selection pane="bottomLeft" activeCell="D24" sqref="D24"/>
    </sheetView>
  </sheetViews>
  <sheetFormatPr baseColWidth="10" defaultRowHeight="16" x14ac:dyDescent="0.2"/>
  <cols>
    <col min="1" max="1" width="8" bestFit="1" customWidth="1"/>
    <col min="2" max="2" width="27.33203125" bestFit="1" customWidth="1"/>
    <col min="3" max="3" width="23.83203125" bestFit="1" customWidth="1"/>
    <col min="4" max="4" width="20.33203125" bestFit="1" customWidth="1"/>
    <col min="5" max="5" width="12" bestFit="1" customWidth="1"/>
    <col min="6" max="6" width="9.5" bestFit="1" customWidth="1"/>
    <col min="7" max="7" width="5.6640625" bestFit="1" customWidth="1"/>
    <col min="8" max="8" width="7.83203125" bestFit="1" customWidth="1"/>
    <col min="9" max="9" width="4.6640625" bestFit="1" customWidth="1"/>
    <col min="10" max="10" width="4.5" bestFit="1" customWidth="1"/>
    <col min="12" max="12" width="30" bestFit="1" customWidth="1"/>
    <col min="13" max="13" width="6" bestFit="1" customWidth="1"/>
  </cols>
  <sheetData>
    <row r="1" spans="1:13" x14ac:dyDescent="0.2">
      <c r="A1" s="2" t="s">
        <v>28</v>
      </c>
      <c r="B1" s="2" t="s">
        <v>29</v>
      </c>
      <c r="C1" s="2" t="s">
        <v>2</v>
      </c>
      <c r="D1" s="2" t="s">
        <v>0</v>
      </c>
      <c r="E1" s="2" t="s">
        <v>1</v>
      </c>
      <c r="F1" s="2" t="s">
        <v>30</v>
      </c>
      <c r="G1" s="2" t="s">
        <v>31</v>
      </c>
      <c r="H1" s="2" t="s">
        <v>32</v>
      </c>
      <c r="I1" s="2" t="s">
        <v>33</v>
      </c>
      <c r="J1" s="2" t="s">
        <v>34</v>
      </c>
      <c r="L1" s="7" t="s">
        <v>77</v>
      </c>
      <c r="M1" s="7" t="s">
        <v>78</v>
      </c>
    </row>
    <row r="2" spans="1:13" x14ac:dyDescent="0.2">
      <c r="A2" s="2" t="s">
        <v>35</v>
      </c>
      <c r="B2" s="3" t="s">
        <v>36</v>
      </c>
      <c r="C2" s="3" t="s">
        <v>75</v>
      </c>
      <c r="D2" s="3" t="s">
        <v>16</v>
      </c>
      <c r="E2" s="3" t="s">
        <v>13</v>
      </c>
      <c r="F2" s="3">
        <v>1</v>
      </c>
      <c r="G2" s="9"/>
      <c r="H2" s="9"/>
      <c r="I2" s="9"/>
      <c r="J2" s="9"/>
      <c r="L2" t="str">
        <f>D2&amp;"-"&amp;C2</f>
        <v>Mail-BCTT</v>
      </c>
      <c r="M2" t="str">
        <f>IF(ISNA(VLOOKUP(L2,weights_ra!O:O,1,FALSE)),"ALERT","Ok")</f>
        <v>Ok</v>
      </c>
    </row>
    <row r="3" spans="1:13" x14ac:dyDescent="0.2">
      <c r="A3" s="2" t="s">
        <v>41</v>
      </c>
      <c r="B3" s="3" t="s">
        <v>42</v>
      </c>
      <c r="C3" s="3" t="s">
        <v>12</v>
      </c>
      <c r="D3" s="3" t="s">
        <v>19</v>
      </c>
      <c r="E3" s="3" t="s">
        <v>12</v>
      </c>
      <c r="F3" s="3">
        <v>2</v>
      </c>
      <c r="G3" s="9"/>
      <c r="H3" s="9"/>
      <c r="I3" s="9"/>
      <c r="J3" s="9"/>
      <c r="L3" t="str">
        <f t="shared" ref="L3:L21" si="0">D3&amp;"-"&amp;C3</f>
        <v>Banco CTT-CISO</v>
      </c>
      <c r="M3" t="str">
        <f>IF(ISNA(VLOOKUP(L3,weights_ra!O:O,1,FALSE)),"ALERT","Ok")</f>
        <v>ALERT</v>
      </c>
    </row>
    <row r="4" spans="1:13" x14ac:dyDescent="0.2">
      <c r="A4" s="2" t="s">
        <v>39</v>
      </c>
      <c r="B4" s="3" t="s">
        <v>40</v>
      </c>
      <c r="C4" s="3" t="s">
        <v>12</v>
      </c>
      <c r="D4" s="3" t="s">
        <v>11</v>
      </c>
      <c r="E4" s="3" t="s">
        <v>12</v>
      </c>
      <c r="F4" s="3">
        <v>1</v>
      </c>
      <c r="G4" s="9"/>
      <c r="H4" s="9"/>
      <c r="I4" s="9"/>
      <c r="J4" s="9"/>
      <c r="L4" t="str">
        <f t="shared" si="0"/>
        <v>eCommerce-CISO</v>
      </c>
      <c r="M4" t="str">
        <f>IF(ISNA(VLOOKUP(L4,weights_ra!O:O,1,FALSE)),"ALERT","Ok")</f>
        <v>Ok</v>
      </c>
    </row>
    <row r="5" spans="1:13" x14ac:dyDescent="0.2">
      <c r="A5" s="2" t="s">
        <v>45</v>
      </c>
      <c r="B5" s="3" t="s">
        <v>46</v>
      </c>
      <c r="C5" s="3" t="s">
        <v>14</v>
      </c>
      <c r="D5" s="3" t="s">
        <v>4</v>
      </c>
      <c r="E5" s="3" t="s">
        <v>6</v>
      </c>
      <c r="F5" s="3">
        <v>2</v>
      </c>
      <c r="G5" s="9"/>
      <c r="H5" s="9"/>
      <c r="I5" s="9"/>
      <c r="J5" s="9"/>
      <c r="L5" t="str">
        <f t="shared" si="0"/>
        <v>Business Solutions-DAI</v>
      </c>
      <c r="M5" t="str">
        <f>IF(ISNA(VLOOKUP(L5,weights_ra!O:O,1,FALSE)),"ALERT","Ok")</f>
        <v>Ok</v>
      </c>
    </row>
    <row r="6" spans="1:13" x14ac:dyDescent="0.2">
      <c r="A6" s="2" t="s">
        <v>47</v>
      </c>
      <c r="B6" s="3" t="s">
        <v>48</v>
      </c>
      <c r="C6" s="3" t="s">
        <v>14</v>
      </c>
      <c r="D6" s="3" t="s">
        <v>11</v>
      </c>
      <c r="E6" s="3" t="s">
        <v>6</v>
      </c>
      <c r="F6" s="3">
        <v>1</v>
      </c>
      <c r="G6" s="9"/>
      <c r="H6" s="9"/>
      <c r="I6" s="9"/>
      <c r="J6" s="9"/>
      <c r="L6" t="str">
        <f t="shared" si="0"/>
        <v>eCommerce-DAI</v>
      </c>
      <c r="M6" t="str">
        <f>IF(ISNA(VLOOKUP(L6,weights_ra!O:O,1,FALSE)),"ALERT","Ok")</f>
        <v>Ok</v>
      </c>
    </row>
    <row r="7" spans="1:13" x14ac:dyDescent="0.2">
      <c r="A7" s="2" t="s">
        <v>61</v>
      </c>
      <c r="B7" s="3" t="s">
        <v>62</v>
      </c>
      <c r="C7" s="3" t="s">
        <v>8</v>
      </c>
      <c r="D7" s="3" t="s">
        <v>16</v>
      </c>
      <c r="E7" s="3" t="s">
        <v>7</v>
      </c>
      <c r="F7" s="3">
        <v>1</v>
      </c>
      <c r="G7" s="9"/>
      <c r="H7" s="9"/>
      <c r="I7" s="9"/>
      <c r="J7" s="9"/>
      <c r="L7" t="str">
        <f t="shared" si="0"/>
        <v>Mail-EDO</v>
      </c>
      <c r="M7" t="str">
        <f>IF(ISNA(VLOOKUP(L7,weights_ra!O:O,1,FALSE)),"ALERT","Ok")</f>
        <v>Ok</v>
      </c>
    </row>
    <row r="8" spans="1:13" x14ac:dyDescent="0.2">
      <c r="A8" s="2" t="s">
        <v>63</v>
      </c>
      <c r="B8" s="3" t="s">
        <v>64</v>
      </c>
      <c r="C8" s="3" t="s">
        <v>8</v>
      </c>
      <c r="D8" s="3" t="s">
        <v>16</v>
      </c>
      <c r="E8" s="3" t="s">
        <v>7</v>
      </c>
      <c r="F8" s="3">
        <v>2</v>
      </c>
      <c r="G8" s="9"/>
      <c r="H8" s="9"/>
      <c r="I8" s="9"/>
      <c r="J8" s="9"/>
      <c r="L8" t="str">
        <f t="shared" si="0"/>
        <v>Mail-EDO</v>
      </c>
      <c r="M8" t="str">
        <f>IF(ISNA(VLOOKUP(L8,weights_ra!O:O,1,FALSE)),"ALERT","Ok")</f>
        <v>Ok</v>
      </c>
    </row>
    <row r="9" spans="1:13" x14ac:dyDescent="0.2">
      <c r="A9" s="2" t="s">
        <v>37</v>
      </c>
      <c r="B9" s="3" t="s">
        <v>38</v>
      </c>
      <c r="C9" s="3" t="s">
        <v>22</v>
      </c>
      <c r="D9" s="3" t="s">
        <v>4</v>
      </c>
      <c r="E9" s="3" t="s">
        <v>5</v>
      </c>
      <c r="F9" s="3">
        <v>1</v>
      </c>
      <c r="G9" s="9"/>
      <c r="H9" s="9"/>
      <c r="I9" s="9"/>
      <c r="J9" s="9"/>
      <c r="L9" t="str">
        <f t="shared" si="0"/>
        <v>Business Solutions-GP B2B</v>
      </c>
      <c r="M9" t="str">
        <f>IF(ISNA(VLOOKUP(L9,weights_ra!O:O,1,FALSE)),"ALERT","Ok")</f>
        <v>Ok</v>
      </c>
    </row>
    <row r="10" spans="1:13" x14ac:dyDescent="0.2">
      <c r="A10" s="2" t="s">
        <v>49</v>
      </c>
      <c r="B10" s="3" t="s">
        <v>50</v>
      </c>
      <c r="C10" s="3" t="s">
        <v>24</v>
      </c>
      <c r="D10" s="3" t="s">
        <v>11</v>
      </c>
      <c r="E10" s="3" t="s">
        <v>5</v>
      </c>
      <c r="F10" s="3">
        <v>2</v>
      </c>
      <c r="G10" s="9"/>
      <c r="H10" s="9"/>
      <c r="I10" s="9"/>
      <c r="J10" s="9"/>
      <c r="L10" t="str">
        <f t="shared" si="0"/>
        <v>eCommerce-GP ECL</v>
      </c>
      <c r="M10" t="str">
        <f>IF(ISNA(VLOOKUP(L10,weights_ra!O:O,1,FALSE)),"ALERT","Ok")</f>
        <v>Ok</v>
      </c>
    </row>
    <row r="11" spans="1:13" x14ac:dyDescent="0.2">
      <c r="A11" s="2" t="s">
        <v>51</v>
      </c>
      <c r="B11" s="3" t="s">
        <v>52</v>
      </c>
      <c r="C11" s="3" t="s">
        <v>22</v>
      </c>
      <c r="D11" s="3" t="s">
        <v>11</v>
      </c>
      <c r="E11" s="3" t="s">
        <v>5</v>
      </c>
      <c r="F11" s="3">
        <v>3</v>
      </c>
      <c r="G11" s="9"/>
      <c r="H11" s="9"/>
      <c r="I11" s="9"/>
      <c r="J11" s="9"/>
      <c r="L11" t="str">
        <f t="shared" si="0"/>
        <v>eCommerce-GP B2B</v>
      </c>
      <c r="M11" t="str">
        <f>IF(ISNA(VLOOKUP(L11,weights_ra!O:O,1,FALSE)),"ALERT","Ok")</f>
        <v>ALERT</v>
      </c>
    </row>
    <row r="12" spans="1:13" x14ac:dyDescent="0.2">
      <c r="A12" s="2" t="s">
        <v>73</v>
      </c>
      <c r="B12" s="3" t="s">
        <v>74</v>
      </c>
      <c r="C12" s="3" t="s">
        <v>26</v>
      </c>
      <c r="D12" s="3" t="s">
        <v>18</v>
      </c>
      <c r="E12" s="3" t="s">
        <v>5</v>
      </c>
      <c r="F12" s="3">
        <v>1</v>
      </c>
      <c r="G12" s="9"/>
      <c r="H12" s="9"/>
      <c r="I12" s="9"/>
      <c r="J12" s="9"/>
      <c r="L12" t="str">
        <f t="shared" si="0"/>
        <v>Retail &amp; Financial Services-GP B2C</v>
      </c>
      <c r="M12" t="str">
        <f>IF(ISNA(VLOOKUP(L12,weights_ra!O:O,1,FALSE)),"ALERT","Ok")</f>
        <v>Ok</v>
      </c>
    </row>
    <row r="13" spans="1:13" x14ac:dyDescent="0.2">
      <c r="A13" s="2" t="s">
        <v>53</v>
      </c>
      <c r="B13" s="3" t="s">
        <v>54</v>
      </c>
      <c r="C13" s="3" t="s">
        <v>24</v>
      </c>
      <c r="D13" s="3" t="s">
        <v>11</v>
      </c>
      <c r="E13" s="3" t="s">
        <v>5</v>
      </c>
      <c r="F13" s="3">
        <v>3</v>
      </c>
      <c r="G13" s="9"/>
      <c r="H13" s="9"/>
      <c r="I13" s="9"/>
      <c r="J13" s="9"/>
      <c r="L13" t="str">
        <f t="shared" si="0"/>
        <v>eCommerce-GP ECL</v>
      </c>
      <c r="M13" t="str">
        <f>IF(ISNA(VLOOKUP(L13,weights_ra!O:O,1,FALSE)),"ALERT","Ok")</f>
        <v>Ok</v>
      </c>
    </row>
    <row r="14" spans="1:13" x14ac:dyDescent="0.2">
      <c r="A14" s="2" t="s">
        <v>57</v>
      </c>
      <c r="B14" s="3" t="s">
        <v>58</v>
      </c>
      <c r="C14" s="3" t="s">
        <v>24</v>
      </c>
      <c r="D14" s="3" t="s">
        <v>15</v>
      </c>
      <c r="E14" s="3" t="s">
        <v>7</v>
      </c>
      <c r="F14" s="3">
        <v>1</v>
      </c>
      <c r="G14" s="9"/>
      <c r="H14" s="9"/>
      <c r="I14" s="9"/>
      <c r="J14" s="9"/>
      <c r="L14" t="str">
        <f t="shared" si="0"/>
        <v>Fulfilment-GP ECL</v>
      </c>
      <c r="M14" t="str">
        <f>IF(ISNA(VLOOKUP(L14,weights_ra!O:O,1,FALSE)),"ALERT","Ok")</f>
        <v>Ok</v>
      </c>
    </row>
    <row r="15" spans="1:13" x14ac:dyDescent="0.2">
      <c r="A15" s="2" t="s">
        <v>59</v>
      </c>
      <c r="B15" s="3" t="s">
        <v>60</v>
      </c>
      <c r="C15" s="3" t="s">
        <v>24</v>
      </c>
      <c r="D15" s="3" t="s">
        <v>15</v>
      </c>
      <c r="E15" s="3" t="s">
        <v>7</v>
      </c>
      <c r="F15" s="3">
        <v>2</v>
      </c>
      <c r="G15" s="9"/>
      <c r="H15" s="9"/>
      <c r="I15" s="9"/>
      <c r="J15" s="9"/>
      <c r="L15" t="str">
        <f t="shared" si="0"/>
        <v>Fulfilment-GP ECL</v>
      </c>
      <c r="M15" t="str">
        <f>IF(ISNA(VLOOKUP(L15,weights_ra!O:O,1,FALSE)),"ALERT","Ok")</f>
        <v>Ok</v>
      </c>
    </row>
    <row r="16" spans="1:13" x14ac:dyDescent="0.2">
      <c r="A16" s="2" t="s">
        <v>67</v>
      </c>
      <c r="B16" s="3" t="s">
        <v>68</v>
      </c>
      <c r="C16" s="3" t="s">
        <v>25</v>
      </c>
      <c r="D16" s="3" t="s">
        <v>17</v>
      </c>
      <c r="E16" s="3" t="s">
        <v>5</v>
      </c>
      <c r="F16" s="3">
        <v>1</v>
      </c>
      <c r="G16" s="9"/>
      <c r="H16" s="9"/>
      <c r="I16" s="9"/>
      <c r="J16" s="9"/>
      <c r="L16" t="str">
        <f t="shared" si="0"/>
        <v>Payments-GPG</v>
      </c>
      <c r="M16" t="str">
        <f>IF(ISNA(VLOOKUP(L16,weights_ra!O:O,1,FALSE)),"ALERT","Ok")</f>
        <v>Ok</v>
      </c>
    </row>
    <row r="17" spans="1:13" x14ac:dyDescent="0.2">
      <c r="A17" s="2" t="s">
        <v>69</v>
      </c>
      <c r="B17" s="3" t="s">
        <v>70</v>
      </c>
      <c r="C17" s="3" t="s">
        <v>25</v>
      </c>
      <c r="D17" s="3" t="s">
        <v>17</v>
      </c>
      <c r="E17" s="3" t="s">
        <v>5</v>
      </c>
      <c r="F17" s="3">
        <v>2</v>
      </c>
      <c r="G17" s="9"/>
      <c r="H17" s="9"/>
      <c r="I17" s="9"/>
      <c r="J17" s="9"/>
      <c r="L17" t="str">
        <f t="shared" si="0"/>
        <v>Payments-GPG</v>
      </c>
      <c r="M17" t="str">
        <f>IF(ISNA(VLOOKUP(L17,weights_ra!O:O,1,FALSE)),"ALERT","Ok")</f>
        <v>Ok</v>
      </c>
    </row>
    <row r="18" spans="1:13" x14ac:dyDescent="0.2">
      <c r="A18" s="2" t="s">
        <v>43</v>
      </c>
      <c r="B18" s="3" t="s">
        <v>44</v>
      </c>
      <c r="C18" s="3" t="s">
        <v>76</v>
      </c>
      <c r="D18" s="3" t="s">
        <v>16</v>
      </c>
      <c r="E18" s="3" t="s">
        <v>13</v>
      </c>
      <c r="F18" s="3">
        <v>1</v>
      </c>
      <c r="G18" s="9"/>
      <c r="H18" s="9"/>
      <c r="I18" s="9"/>
      <c r="J18" s="9"/>
      <c r="L18" t="str">
        <f t="shared" si="0"/>
        <v>Mail-GRH</v>
      </c>
      <c r="M18" t="str">
        <f>IF(ISNA(VLOOKUP(L18,weights_ra!O:O,1,FALSE)),"ALERT","Ok")</f>
        <v>Ok</v>
      </c>
    </row>
    <row r="19" spans="1:13" x14ac:dyDescent="0.2">
      <c r="A19" s="2" t="s">
        <v>55</v>
      </c>
      <c r="B19" s="3" t="s">
        <v>56</v>
      </c>
      <c r="C19" s="3" t="s">
        <v>10</v>
      </c>
      <c r="D19" s="3" t="s">
        <v>11</v>
      </c>
      <c r="E19" s="3" t="s">
        <v>9</v>
      </c>
      <c r="F19" s="3">
        <v>1</v>
      </c>
      <c r="G19" s="9"/>
      <c r="H19" s="9"/>
      <c r="I19" s="9"/>
      <c r="J19" s="9"/>
      <c r="L19" t="str">
        <f t="shared" si="0"/>
        <v>eCommerce-SI</v>
      </c>
      <c r="M19" t="str">
        <f>IF(ISNA(VLOOKUP(L19,weights_ra!O:O,1,FALSE)),"ALERT","Ok")</f>
        <v>Ok</v>
      </c>
    </row>
    <row r="20" spans="1:13" x14ac:dyDescent="0.2">
      <c r="A20" s="2" t="s">
        <v>65</v>
      </c>
      <c r="B20" s="3" t="s">
        <v>66</v>
      </c>
      <c r="C20" s="3" t="s">
        <v>10</v>
      </c>
      <c r="D20" s="3" t="s">
        <v>16</v>
      </c>
      <c r="E20" s="3" t="s">
        <v>9</v>
      </c>
      <c r="F20" s="3">
        <v>2</v>
      </c>
      <c r="G20" s="9"/>
      <c r="H20" s="9"/>
      <c r="I20" s="9"/>
      <c r="J20" s="9"/>
      <c r="L20" t="str">
        <f t="shared" si="0"/>
        <v>Mail-SI</v>
      </c>
      <c r="M20" t="str">
        <f>IF(ISNA(VLOOKUP(L20,weights_ra!O:O,1,FALSE)),"ALERT","Ok")</f>
        <v>Ok</v>
      </c>
    </row>
    <row r="21" spans="1:13" x14ac:dyDescent="0.2">
      <c r="A21" s="2" t="s">
        <v>71</v>
      </c>
      <c r="B21" s="3" t="s">
        <v>72</v>
      </c>
      <c r="C21" s="3" t="s">
        <v>10</v>
      </c>
      <c r="D21" s="3" t="s">
        <v>18</v>
      </c>
      <c r="E21" s="3" t="s">
        <v>9</v>
      </c>
      <c r="F21" s="3">
        <v>3</v>
      </c>
      <c r="G21" s="9"/>
      <c r="H21" s="9"/>
      <c r="I21" s="9"/>
      <c r="J21" s="9"/>
      <c r="L21" t="str">
        <f t="shared" si="0"/>
        <v>Retail &amp; Financial Services-SI</v>
      </c>
      <c r="M21" t="str">
        <f>IF(ISNA(VLOOKUP(L21,weights_ra!O:O,1,FALSE)),"ALERT","Ok")</f>
        <v>Ok</v>
      </c>
    </row>
  </sheetData>
  <autoFilter ref="A1:J21" xr:uid="{25D437AB-C2CB-8D43-BD8D-11D3278E662B}">
    <sortState xmlns:xlrd2="http://schemas.microsoft.com/office/spreadsheetml/2017/richdata2" ref="A2:J21">
      <sortCondition ref="C1:C21"/>
    </sortState>
  </autoFilter>
  <conditionalFormatting sqref="M1:M1048576">
    <cfRule type="cellIs" dxfId="1" priority="2" operator="equal">
      <formula>"ALERT"</formula>
    </cfRule>
  </conditionalFormatting>
  <conditionalFormatting sqref="L1">
    <cfRule type="cellIs" dxfId="0" priority="1" operator="equal">
      <formula>"ALERT"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weights_ra</vt:lpstr>
      <vt:lpstr>weights_rs</vt:lpstr>
      <vt:lpstr>ideas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Pedro Saraiva</dc:creator>
  <cp:lastModifiedBy>Rui Pedro Saraiva</cp:lastModifiedBy>
  <dcterms:created xsi:type="dcterms:W3CDTF">2026-01-02T17:09:01Z</dcterms:created>
  <dcterms:modified xsi:type="dcterms:W3CDTF">2026-01-02T19:30:19Z</dcterms:modified>
</cp:coreProperties>
</file>