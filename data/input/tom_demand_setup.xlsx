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1445618/Library/CloudStorage/GoogleDrive-ruipedrosaraiva@gmail.com/My Drive/dev/python/ctt/tom_demand/data/input/"/>
    </mc:Choice>
  </mc:AlternateContent>
  <xr:revisionPtr revIDLastSave="0" documentId="13_ncr:1_{AB1923FE-2C35-6643-AEED-54DB84B7EC3C}" xr6:coauthVersionLast="47" xr6:coauthVersionMax="47" xr10:uidLastSave="{00000000-0000-0000-0000-000000000000}"/>
  <bookViews>
    <workbookView xWindow="0" yWindow="660" windowWidth="30240" windowHeight="18980" xr2:uid="{9D2BC160-0631-EE46-87AB-AABB69ACE5D9}"/>
  </bookViews>
  <sheets>
    <sheet name="DEMAND WEIGHTS" sheetId="4" r:id="rId1"/>
    <sheet name="weights_rs" sheetId="1" r:id="rId2"/>
    <sheet name="weights_ra" sheetId="2" r:id="rId3"/>
    <sheet name="ideas" sheetId="3" r:id="rId4"/>
  </sheets>
  <definedNames>
    <definedName name="_xlnm._FilterDatabase" localSheetId="3" hidden="1">ideas!$A$1:$J$21</definedName>
    <definedName name="_xlnm._FilterDatabase" localSheetId="2" hidden="1">weights_ra!$A$1:$D$26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7" i="4" l="1"/>
  <c r="W86" i="4"/>
  <c r="W85" i="4"/>
  <c r="W84" i="4"/>
  <c r="W83" i="4"/>
  <c r="S87" i="4"/>
  <c r="S86" i="4"/>
  <c r="S85" i="4"/>
  <c r="S84" i="4"/>
  <c r="S83" i="4"/>
  <c r="O87" i="4"/>
  <c r="O86" i="4"/>
  <c r="O85" i="4"/>
  <c r="O84" i="4"/>
  <c r="O83" i="4"/>
  <c r="K87" i="4"/>
  <c r="K86" i="4"/>
  <c r="K85" i="4"/>
  <c r="K84" i="4"/>
  <c r="K83" i="4"/>
  <c r="G87" i="4"/>
  <c r="G86" i="4"/>
  <c r="G85" i="4"/>
  <c r="G84" i="4"/>
  <c r="G83" i="4"/>
  <c r="C87" i="4"/>
  <c r="C86" i="4"/>
  <c r="C85" i="4"/>
  <c r="C84" i="4"/>
  <c r="C83" i="4"/>
  <c r="W78" i="4"/>
  <c r="W77" i="4"/>
  <c r="W76" i="4"/>
  <c r="W75" i="4"/>
  <c r="W74" i="4"/>
  <c r="S78" i="4"/>
  <c r="S77" i="4"/>
  <c r="S76" i="4"/>
  <c r="S75" i="4"/>
  <c r="S74" i="4"/>
  <c r="O78" i="4"/>
  <c r="O77" i="4"/>
  <c r="O76" i="4"/>
  <c r="O75" i="4"/>
  <c r="O74" i="4"/>
  <c r="K78" i="4"/>
  <c r="K77" i="4"/>
  <c r="K76" i="4"/>
  <c r="K75" i="4"/>
  <c r="K74" i="4"/>
  <c r="G78" i="4"/>
  <c r="G77" i="4"/>
  <c r="G76" i="4"/>
  <c r="G75" i="4"/>
  <c r="G74" i="4"/>
  <c r="C78" i="4"/>
  <c r="C77" i="4"/>
  <c r="C76" i="4"/>
  <c r="C75" i="4"/>
  <c r="C74" i="4"/>
  <c r="W69" i="4"/>
  <c r="W68" i="4"/>
  <c r="W67" i="4"/>
  <c r="W66" i="4"/>
  <c r="W65" i="4"/>
  <c r="S69" i="4"/>
  <c r="S68" i="4"/>
  <c r="S67" i="4"/>
  <c r="S66" i="4"/>
  <c r="S65" i="4"/>
  <c r="O69" i="4"/>
  <c r="O68" i="4"/>
  <c r="O67" i="4"/>
  <c r="O66" i="4"/>
  <c r="O65" i="4"/>
  <c r="K69" i="4"/>
  <c r="K68" i="4"/>
  <c r="K67" i="4"/>
  <c r="K66" i="4"/>
  <c r="K65" i="4"/>
  <c r="G69" i="4"/>
  <c r="G68" i="4"/>
  <c r="G67" i="4"/>
  <c r="G66" i="4"/>
  <c r="G65" i="4"/>
  <c r="C69" i="4"/>
  <c r="C68" i="4"/>
  <c r="C67" i="4"/>
  <c r="C66" i="4"/>
  <c r="C65" i="4"/>
  <c r="W60" i="4"/>
  <c r="W59" i="4"/>
  <c r="W58" i="4"/>
  <c r="W57" i="4"/>
  <c r="W56" i="4"/>
  <c r="S60" i="4"/>
  <c r="S59" i="4"/>
  <c r="S58" i="4"/>
  <c r="S57" i="4"/>
  <c r="S56" i="4"/>
  <c r="O60" i="4"/>
  <c r="O59" i="4"/>
  <c r="O58" i="4"/>
  <c r="O57" i="4"/>
  <c r="O56" i="4"/>
  <c r="K60" i="4"/>
  <c r="K59" i="4"/>
  <c r="K58" i="4"/>
  <c r="K57" i="4"/>
  <c r="K56" i="4"/>
  <c r="G60" i="4"/>
  <c r="G59" i="4"/>
  <c r="G58" i="4"/>
  <c r="G57" i="4"/>
  <c r="G56" i="4"/>
  <c r="C60" i="4"/>
  <c r="C59" i="4"/>
  <c r="C58" i="4"/>
  <c r="C57" i="4"/>
  <c r="C56" i="4"/>
  <c r="C36" i="4"/>
  <c r="W51" i="4"/>
  <c r="W50" i="4"/>
  <c r="W49" i="4"/>
  <c r="W48" i="4"/>
  <c r="W47" i="4"/>
  <c r="W46" i="4"/>
  <c r="W45" i="4"/>
  <c r="W44" i="4"/>
  <c r="W43" i="4"/>
  <c r="W42" i="4"/>
  <c r="W41" i="4"/>
  <c r="W40" i="4"/>
  <c r="W39" i="4"/>
  <c r="W38" i="4"/>
  <c r="W37" i="4"/>
  <c r="W36" i="4"/>
  <c r="S51" i="4"/>
  <c r="S50" i="4"/>
  <c r="S49" i="4"/>
  <c r="S48" i="4"/>
  <c r="S47" i="4"/>
  <c r="S46" i="4"/>
  <c r="S45" i="4"/>
  <c r="S44" i="4"/>
  <c r="S43" i="4"/>
  <c r="S42" i="4"/>
  <c r="S41" i="4"/>
  <c r="S40" i="4"/>
  <c r="S39" i="4"/>
  <c r="S38" i="4"/>
  <c r="S37" i="4"/>
  <c r="S36" i="4"/>
  <c r="O51" i="4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G23" i="4"/>
  <c r="W31" i="4"/>
  <c r="W30" i="4"/>
  <c r="W29" i="4"/>
  <c r="W28" i="4"/>
  <c r="W27" i="4"/>
  <c r="W26" i="4"/>
  <c r="W25" i="4"/>
  <c r="W24" i="4"/>
  <c r="W23" i="4"/>
  <c r="S31" i="4"/>
  <c r="S30" i="4"/>
  <c r="S29" i="4"/>
  <c r="S28" i="4"/>
  <c r="S27" i="4"/>
  <c r="S26" i="4"/>
  <c r="S25" i="4"/>
  <c r="S24" i="4"/>
  <c r="S23" i="4"/>
  <c r="O31" i="4"/>
  <c r="O30" i="4"/>
  <c r="O29" i="4"/>
  <c r="O28" i="4"/>
  <c r="O27" i="4"/>
  <c r="O26" i="4"/>
  <c r="O25" i="4"/>
  <c r="O24" i="4"/>
  <c r="O23" i="4"/>
  <c r="K31" i="4"/>
  <c r="K30" i="4"/>
  <c r="K29" i="4"/>
  <c r="K28" i="4"/>
  <c r="K27" i="4"/>
  <c r="K26" i="4"/>
  <c r="K25" i="4"/>
  <c r="K24" i="4"/>
  <c r="K23" i="4"/>
  <c r="G31" i="4"/>
  <c r="G30" i="4"/>
  <c r="G29" i="4"/>
  <c r="G28" i="4"/>
  <c r="G27" i="4"/>
  <c r="G26" i="4"/>
  <c r="G25" i="4"/>
  <c r="G24" i="4"/>
  <c r="C31" i="4"/>
  <c r="C30" i="4"/>
  <c r="C29" i="4"/>
  <c r="C28" i="4"/>
  <c r="C27" i="4"/>
  <c r="C26" i="4"/>
  <c r="C25" i="4"/>
  <c r="C24" i="4"/>
  <c r="C23" i="4"/>
  <c r="V55" i="4"/>
  <c r="R55" i="4"/>
  <c r="N55" i="4"/>
  <c r="J55" i="4"/>
  <c r="F55" i="4"/>
  <c r="B55" i="4"/>
  <c r="C54" i="4"/>
  <c r="B54" i="4"/>
  <c r="C63" i="4"/>
  <c r="C81" i="4"/>
  <c r="C72" i="4"/>
  <c r="C34" i="4"/>
  <c r="C21" i="4"/>
  <c r="B81" i="4"/>
  <c r="B72" i="4"/>
  <c r="B63" i="4"/>
  <c r="B34" i="4"/>
  <c r="B21" i="4"/>
  <c r="B1" i="1"/>
  <c r="V82" i="4"/>
  <c r="R82" i="4"/>
  <c r="N82" i="4"/>
  <c r="J82" i="4"/>
  <c r="F82" i="4"/>
  <c r="B82" i="4"/>
  <c r="V73" i="4"/>
  <c r="R73" i="4"/>
  <c r="N73" i="4"/>
  <c r="J73" i="4"/>
  <c r="F73" i="4"/>
  <c r="B73" i="4"/>
  <c r="V64" i="4"/>
  <c r="R64" i="4"/>
  <c r="N64" i="4"/>
  <c r="J64" i="4"/>
  <c r="F64" i="4"/>
  <c r="B64" i="4"/>
  <c r="V35" i="4"/>
  <c r="R35" i="4"/>
  <c r="N35" i="4"/>
  <c r="J35" i="4"/>
  <c r="F35" i="4"/>
  <c r="B35" i="4"/>
  <c r="V22" i="4"/>
  <c r="R22" i="4"/>
  <c r="N22" i="4"/>
  <c r="J22" i="4"/>
  <c r="F22" i="4"/>
  <c r="B22" i="4"/>
  <c r="G2" i="2"/>
  <c r="O17" i="2"/>
  <c r="M19" i="3"/>
  <c r="M13" i="3"/>
  <c r="M12" i="3"/>
  <c r="M9" i="3"/>
  <c r="M6" i="3"/>
  <c r="M5" i="3"/>
  <c r="M4" i="3"/>
  <c r="M2" i="3"/>
  <c r="L21" i="3"/>
  <c r="L20" i="3"/>
  <c r="L19" i="3"/>
  <c r="L18" i="3"/>
  <c r="L17" i="3"/>
  <c r="L16" i="3"/>
  <c r="L15" i="3"/>
  <c r="L14" i="3"/>
  <c r="L13" i="3"/>
  <c r="L12" i="3"/>
  <c r="L11" i="3"/>
  <c r="L10" i="3"/>
  <c r="M10" i="3" s="1"/>
  <c r="L9" i="3"/>
  <c r="L8" i="3"/>
  <c r="L7" i="3"/>
  <c r="L6" i="3"/>
  <c r="L5" i="3"/>
  <c r="L4" i="3"/>
  <c r="L3" i="3"/>
  <c r="L2" i="3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6" i="2"/>
  <c r="O15" i="2"/>
  <c r="O14" i="2"/>
  <c r="M21" i="3" s="1"/>
  <c r="O13" i="2"/>
  <c r="O12" i="2"/>
  <c r="O11" i="2"/>
  <c r="O10" i="2"/>
  <c r="O9" i="2"/>
  <c r="O8" i="2"/>
  <c r="O7" i="2"/>
  <c r="O6" i="2"/>
  <c r="O5" i="2"/>
  <c r="O4" i="2"/>
  <c r="O3" i="2"/>
  <c r="O2" i="2"/>
  <c r="M15" i="3" l="1"/>
  <c r="M16" i="3"/>
  <c r="M17" i="3"/>
  <c r="M7" i="3"/>
  <c r="M18" i="3"/>
  <c r="M8" i="3"/>
  <c r="M3" i="3"/>
  <c r="M20" i="3"/>
  <c r="M14" i="3"/>
  <c r="M11" i="3"/>
  <c r="L1" i="2" l="1" a="1"/>
  <c r="M11" i="2" s="1"/>
  <c r="I1" i="2" a="1"/>
  <c r="I1" i="2" s="1"/>
  <c r="F1" i="2" a="1"/>
  <c r="F1" i="2" s="1"/>
  <c r="M13" i="2" l="1"/>
  <c r="J9" i="2"/>
  <c r="J10" i="2"/>
  <c r="J11" i="2"/>
  <c r="J13" i="2"/>
  <c r="M12" i="2"/>
  <c r="J12" i="2"/>
  <c r="J2" i="2"/>
  <c r="J3" i="2"/>
  <c r="J7" i="2"/>
  <c r="J6" i="2"/>
  <c r="J8" i="2"/>
  <c r="J4" i="2"/>
  <c r="J5" i="2"/>
  <c r="L1" i="2"/>
  <c r="M10" i="2"/>
  <c r="M4" i="2"/>
  <c r="M2" i="2"/>
  <c r="M5" i="2"/>
  <c r="M6" i="2"/>
  <c r="M7" i="2"/>
  <c r="M3" i="2"/>
  <c r="M8" i="2"/>
  <c r="M9" i="2"/>
  <c r="G3" i="2"/>
  <c r="G4" i="2"/>
  <c r="G8" i="2" s="1"/>
  <c r="G5" i="2"/>
  <c r="G6" i="2"/>
  <c r="G7" i="2"/>
  <c r="G12" i="2" l="1"/>
  <c r="G10" i="2"/>
  <c r="G13" i="2"/>
  <c r="G9" i="2"/>
  <c r="G11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<sst xmlns="http://schemas.openxmlformats.org/spreadsheetml/2006/main" count="478" uniqueCount="131">
  <si>
    <t>RevenueStream</t>
  </si>
  <si>
    <t>BudgetGroup</t>
  </si>
  <si>
    <t>RequestingArea</t>
  </si>
  <si>
    <t>Weight</t>
  </si>
  <si>
    <t>Business Solutions</t>
  </si>
  <si>
    <t>Commercial</t>
  </si>
  <si>
    <t>Data&amp;AI</t>
  </si>
  <si>
    <t>Operations</t>
  </si>
  <si>
    <t>EDO</t>
  </si>
  <si>
    <t>Technology</t>
  </si>
  <si>
    <t>SI</t>
  </si>
  <si>
    <t>eCommerce</t>
  </si>
  <si>
    <t>CISO</t>
  </si>
  <si>
    <t>Corporate</t>
  </si>
  <si>
    <t>DAI</t>
  </si>
  <si>
    <t>Fulfilment</t>
  </si>
  <si>
    <t>Mail</t>
  </si>
  <si>
    <t>Payments</t>
  </si>
  <si>
    <t>Retail &amp; Financial Services</t>
  </si>
  <si>
    <t>Banco CTT</t>
  </si>
  <si>
    <t>check</t>
  </si>
  <si>
    <t>Check</t>
  </si>
  <si>
    <t>GP B2B</t>
  </si>
  <si>
    <t>CF</t>
  </si>
  <si>
    <t>GP ECL</t>
  </si>
  <si>
    <t>GPG</t>
  </si>
  <si>
    <t>GP B2C</t>
  </si>
  <si>
    <t>SEO</t>
  </si>
  <si>
    <t>ID</t>
  </si>
  <si>
    <t>Name</t>
  </si>
  <si>
    <t>PriorityRA</t>
  </si>
  <si>
    <t>Value</t>
  </si>
  <si>
    <t>Urgency</t>
  </si>
  <si>
    <t>Risk</t>
  </si>
  <si>
    <t>Size</t>
  </si>
  <si>
    <t>IDEA012</t>
  </si>
  <si>
    <t>Banco CTT Mobile App</t>
  </si>
  <si>
    <t>IDEA018</t>
  </si>
  <si>
    <t>Business Solutions CRM</t>
  </si>
  <si>
    <t>IDEA011</t>
  </si>
  <si>
    <t>Security Compliance Update</t>
  </si>
  <si>
    <t>IDEA020</t>
  </si>
  <si>
    <t>Banco CTT Security Enhancement</t>
  </si>
  <si>
    <t>IDEA013</t>
  </si>
  <si>
    <t>Corporate HR System</t>
  </si>
  <si>
    <t>IDEA008</t>
  </si>
  <si>
    <t>Business Analytics Dashboard</t>
  </si>
  <si>
    <t>IDEA004</t>
  </si>
  <si>
    <t>ML Recommendations</t>
  </si>
  <si>
    <t>IDEA001</t>
  </si>
  <si>
    <t>New eCommerce Portal</t>
  </si>
  <si>
    <t>IDEA002</t>
  </si>
  <si>
    <t>Checkout Optimization</t>
  </si>
  <si>
    <t>IDEA006</t>
  </si>
  <si>
    <t>Customer Portal Enhancement</t>
  </si>
  <si>
    <t>IDEA015</t>
  </si>
  <si>
    <t>eCommerce Search Enhancement</t>
  </si>
  <si>
    <t>IDEA007</t>
  </si>
  <si>
    <t>Fulfilment Tracking System</t>
  </si>
  <si>
    <t>IDEA017</t>
  </si>
  <si>
    <t>Fulfilment Warehouse Automation</t>
  </si>
  <si>
    <t>IDEA003</t>
  </si>
  <si>
    <t>Mail Sorting Automation</t>
  </si>
  <si>
    <t>IDEA016</t>
  </si>
  <si>
    <t>Mail Delivery Optimization</t>
  </si>
  <si>
    <t>IDEA009</t>
  </si>
  <si>
    <t>Mail API Integration</t>
  </si>
  <si>
    <t>IDEA005</t>
  </si>
  <si>
    <t>Mobile Payment System</t>
  </si>
  <si>
    <t>IDEA014</t>
  </si>
  <si>
    <t>Payment Gateway Update</t>
  </si>
  <si>
    <t>IDEA019</t>
  </si>
  <si>
    <t>Retail Customer Experience</t>
  </si>
  <si>
    <t>IDEA010</t>
  </si>
  <si>
    <t>Retail POS Upgrade</t>
  </si>
  <si>
    <t>BCTT</t>
  </si>
  <si>
    <t>GRH</t>
  </si>
  <si>
    <t>Ideas Check</t>
  </si>
  <si>
    <t>_RA</t>
  </si>
  <si>
    <t>DNI</t>
  </si>
  <si>
    <t>GS</t>
  </si>
  <si>
    <t>CSI</t>
  </si>
  <si>
    <t>CTTE</t>
  </si>
  <si>
    <t>ECM</t>
  </si>
  <si>
    <t>PRODUCTS</t>
  </si>
  <si>
    <t>EM</t>
  </si>
  <si>
    <t>OPERATIONS</t>
  </si>
  <si>
    <t>ACR</t>
  </si>
  <si>
    <t>RS</t>
  </si>
  <si>
    <t>AVC</t>
  </si>
  <si>
    <t>GT</t>
  </si>
  <si>
    <t>CL</t>
  </si>
  <si>
    <t>ED</t>
  </si>
  <si>
    <t>CMP</t>
  </si>
  <si>
    <t>ST</t>
  </si>
  <si>
    <t>GFC</t>
  </si>
  <si>
    <t>TF</t>
  </si>
  <si>
    <t>DPO</t>
  </si>
  <si>
    <t>SSJ</t>
  </si>
  <si>
    <t>FL</t>
  </si>
  <si>
    <t>CORPORATE</t>
  </si>
  <si>
    <t>SI-PRD</t>
  </si>
  <si>
    <t>SI-OPS</t>
  </si>
  <si>
    <t>SI-CRP</t>
  </si>
  <si>
    <t>TECHNOLOGY</t>
  </si>
  <si>
    <t>DAT</t>
  </si>
  <si>
    <t>eCOMMERCE</t>
  </si>
  <si>
    <t>COO</t>
  </si>
  <si>
    <t>CMO</t>
  </si>
  <si>
    <t>CCO</t>
  </si>
  <si>
    <t>ATC</t>
  </si>
  <si>
    <t>IDC</t>
  </si>
  <si>
    <t>CFO</t>
  </si>
  <si>
    <t>CIO</t>
  </si>
  <si>
    <t>PRO</t>
  </si>
  <si>
    <t>CHR</t>
  </si>
  <si>
    <t>COM</t>
  </si>
  <si>
    <t>Data &amp; AI</t>
  </si>
  <si>
    <t>commercial</t>
  </si>
  <si>
    <t>operations</t>
  </si>
  <si>
    <t>corporate</t>
  </si>
  <si>
    <t>technology</t>
  </si>
  <si>
    <t>PORTUGAL</t>
  </si>
  <si>
    <t>ESPAÑA</t>
  </si>
  <si>
    <t>DEMAND 2025</t>
  </si>
  <si>
    <t>DEMAND 2026</t>
  </si>
  <si>
    <t>MAIL</t>
  </si>
  <si>
    <t>FULFILMENT</t>
  </si>
  <si>
    <t>PAYMENTS</t>
  </si>
  <si>
    <t>RETAIL &amp; FINANCIAL SERVICES</t>
  </si>
  <si>
    <t>BUSINESS SOLUTIONS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</si>
</sst>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0"/>
  </numFmts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2"/>
      <color rgb="FFFFFF00"/>
      <name val="Aptos Narrow"/>
      <scheme val="minor"/>
    </font>
    <font>
      <sz val="12"/>
      <color rgb="FFFFFF00"/>
      <name val="Aptos Narrow"/>
      <scheme val="minor"/>
    </font>
    <font>
      <sz val="12"/>
      <color theme="1"/>
      <name val="Helvetica"/>
      <family val="2"/>
    </font>
    <font>
      <sz val="10"/>
      <name val="Arial"/>
      <family val="2"/>
    </font>
    <font>
      <b/>
      <sz val="12"/>
      <color theme="0"/>
      <name val="Aptos Narrow"/>
      <scheme val="minor"/>
    </font>
    <font>
      <b/>
      <sz val="10"/>
      <color rgb="FFFF0000"/>
      <name val="Helvetica Neue"/>
      <family val="2"/>
    </font>
    <font>
      <sz val="10"/>
      <color rgb="FFFF0000"/>
      <name val="Helvetica Neue"/>
      <family val="2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1" fillId="2" borderId="0" xfId="0" applyFont="1" applyFill="1"/>
    <xf numFmtId="0" fontId="3" fillId="3" borderId="0" xfId="0" applyFont="1" applyFill="1"/>
    <xf numFmtId="0" fontId="1" fillId="3" borderId="0" xfId="0" applyFont="1" applyFill="1"/>
    <xf numFmtId="0" fontId="4" fillId="2" borderId="0" xfId="0" applyFont="1" applyFill="1"/>
    <xf numFmtId="0" fontId="5" fillId="0" borderId="0" xfId="0" applyFont="1"/>
    <xf numFmtId="0" fontId="6" fillId="0" borderId="0" xfId="0" applyFont="1"/>
    <xf numFmtId="0" fontId="0" fillId="3" borderId="0" xfId="0" applyFill="1"/>
    <xf numFmtId="0" fontId="8" fillId="2" borderId="0" xfId="0" applyFont="1" applyFill="1"/>
    <xf numFmtId="0" fontId="0" fillId="4" borderId="0" xfId="0" applyFill="1"/>
    <xf numFmtId="0" fontId="1" fillId="4" borderId="0" xfId="0" applyFont="1" applyFill="1"/>
    <xf numFmtId="9" fontId="0" fillId="4" borderId="0" xfId="0" applyNumberFormat="1" applyFill="1"/>
    <xf numFmtId="0" fontId="9" fillId="0" borderId="0" xfId="0" applyFont="1"/>
    <xf numFmtId="0" fontId="10" fillId="0" borderId="0" xfId="0" applyFont="1"/>
    <xf numFmtId="0" fontId="1" fillId="5" borderId="0" xfId="0" applyFont="1" applyFill="1"/>
    <xf numFmtId="171" fontId="0" fillId="4" borderId="0" xfId="0" applyNumberFormat="1" applyFill="1"/>
  </cellXfs>
  <cellStyles count="2">
    <cellStyle name="Normal" xfId="0" builtinId="0"/>
    <cellStyle name="Percent 2" xfId="1" xr:uid="{B4B05582-F7D3-F142-B20F-B4C84A0F58E6}"/>
  </cellStyles>
  <dxfs count="1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58DFD-45B9-6B4E-99A1-FC80C2C804E6}">
  <dimension ref="A1:AF88"/>
  <sheetViews>
    <sheetView tabSelected="1" topLeftCell="A2" workbookViewId="0">
      <selection activeCell="AA46" sqref="AA46"/>
    </sheetView>
  </sheetViews>
  <sheetFormatPr baseColWidth="10" defaultRowHeight="16" x14ac:dyDescent="0.2"/>
  <cols>
    <col min="1" max="1" width="27" bestFit="1" customWidth="1"/>
    <col min="2" max="3" width="5.33203125" bestFit="1" customWidth="1"/>
    <col min="4" max="4" width="3.83203125" customWidth="1"/>
    <col min="5" max="5" width="12" bestFit="1" customWidth="1"/>
    <col min="6" max="6" width="5.33203125" bestFit="1" customWidth="1"/>
    <col min="7" max="7" width="5.1640625" bestFit="1" customWidth="1"/>
    <col min="8" max="8" width="3.83203125" customWidth="1"/>
    <col min="9" max="9" width="11.6640625" bestFit="1" customWidth="1"/>
    <col min="10" max="10" width="6.6640625" bestFit="1" customWidth="1"/>
    <col min="11" max="11" width="5.1640625" bestFit="1" customWidth="1"/>
    <col min="12" max="12" width="3.83203125" customWidth="1"/>
    <col min="13" max="13" width="13" bestFit="1" customWidth="1"/>
    <col min="14" max="14" width="5.33203125" bestFit="1" customWidth="1"/>
    <col min="15" max="15" width="5.1640625" bestFit="1" customWidth="1"/>
    <col min="16" max="16" width="3.83203125" customWidth="1"/>
    <col min="17" max="17" width="8.6640625" bestFit="1" customWidth="1"/>
    <col min="18" max="18" width="5.33203125" bestFit="1" customWidth="1"/>
    <col min="19" max="19" width="4.1640625" bestFit="1" customWidth="1"/>
    <col min="20" max="20" width="3.83203125" customWidth="1"/>
    <col min="21" max="21" width="6" bestFit="1" customWidth="1"/>
    <col min="22" max="22" width="5.33203125" bestFit="1" customWidth="1"/>
    <col min="23" max="23" width="10" bestFit="1" customWidth="1"/>
    <col min="24" max="24" width="11.1640625" bestFit="1" customWidth="1"/>
    <col min="25" max="25" width="9.1640625" bestFit="1" customWidth="1"/>
    <col min="26" max="27" width="11.1640625" bestFit="1" customWidth="1"/>
    <col min="28" max="28" width="9.1640625" bestFit="1" customWidth="1"/>
    <col min="29" max="29" width="10.1640625" bestFit="1" customWidth="1"/>
    <col min="30" max="32" width="9.1640625" bestFit="1" customWidth="1"/>
  </cols>
  <sheetData>
    <row r="1" spans="1:32" x14ac:dyDescent="0.2">
      <c r="A1" s="11" t="s">
        <v>124</v>
      </c>
    </row>
    <row r="2" spans="1:32" s="1" customFormat="1" x14ac:dyDescent="0.2">
      <c r="A2" s="13" t="s">
        <v>122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 t="s">
        <v>123</v>
      </c>
      <c r="X2" s="13"/>
      <c r="Y2" s="13"/>
      <c r="Z2" s="13"/>
      <c r="AA2" s="13"/>
      <c r="AB2" s="13"/>
      <c r="AC2" s="13"/>
      <c r="AD2" s="13"/>
      <c r="AE2" s="13"/>
      <c r="AF2" s="13"/>
    </row>
    <row r="3" spans="1:32" s="1" customFormat="1" x14ac:dyDescent="0.2">
      <c r="A3" s="13" t="s">
        <v>84</v>
      </c>
      <c r="B3" s="13">
        <v>0.38</v>
      </c>
      <c r="C3" s="13"/>
      <c r="D3" s="13"/>
      <c r="E3" s="13" t="s">
        <v>86</v>
      </c>
      <c r="F3" s="13">
        <v>0.19</v>
      </c>
      <c r="G3" s="13"/>
      <c r="H3" s="13"/>
      <c r="I3" s="13" t="s">
        <v>100</v>
      </c>
      <c r="J3" s="13">
        <v>0.19</v>
      </c>
      <c r="K3" s="13"/>
      <c r="L3" s="13"/>
      <c r="M3" s="13" t="s">
        <v>104</v>
      </c>
      <c r="N3" s="13">
        <v>0.19</v>
      </c>
      <c r="O3" s="13"/>
      <c r="P3" s="13"/>
      <c r="Q3" s="13" t="s">
        <v>105</v>
      </c>
      <c r="R3" s="13">
        <v>0.05</v>
      </c>
      <c r="S3" s="13"/>
      <c r="T3" s="13"/>
      <c r="U3" s="13"/>
      <c r="V3" s="13"/>
      <c r="W3" s="13" t="s">
        <v>119</v>
      </c>
      <c r="X3" s="13" t="s">
        <v>118</v>
      </c>
      <c r="Y3" s="13" t="s">
        <v>120</v>
      </c>
      <c r="Z3" s="13" t="s">
        <v>118</v>
      </c>
      <c r="AA3" s="13" t="s">
        <v>118</v>
      </c>
      <c r="AB3" s="13" t="s">
        <v>120</v>
      </c>
      <c r="AC3" s="13" t="s">
        <v>121</v>
      </c>
      <c r="AD3" s="13" t="s">
        <v>120</v>
      </c>
      <c r="AE3" s="13" t="s">
        <v>120</v>
      </c>
      <c r="AF3" s="13" t="s">
        <v>120</v>
      </c>
    </row>
    <row r="4" spans="1:32" x14ac:dyDescent="0.2">
      <c r="A4" s="12" t="s">
        <v>24</v>
      </c>
      <c r="B4" s="12">
        <v>0.16</v>
      </c>
      <c r="C4" s="12"/>
      <c r="D4" s="12"/>
      <c r="E4" s="12" t="s">
        <v>8</v>
      </c>
      <c r="F4" s="12">
        <v>0.35</v>
      </c>
      <c r="G4" s="12"/>
      <c r="H4" s="12"/>
      <c r="I4" s="12" t="s">
        <v>87</v>
      </c>
      <c r="J4" s="18">
        <v>6.6666666666666666E-2</v>
      </c>
      <c r="K4" s="12"/>
      <c r="L4" s="12"/>
      <c r="M4" s="12" t="s">
        <v>10</v>
      </c>
      <c r="N4" s="12">
        <v>0.3</v>
      </c>
      <c r="O4" s="12"/>
      <c r="P4" s="12"/>
      <c r="Q4" s="12"/>
      <c r="R4" s="12"/>
      <c r="S4" s="12"/>
      <c r="T4" s="12"/>
      <c r="U4" s="12"/>
      <c r="V4" s="12"/>
      <c r="W4" s="12" t="s">
        <v>107</v>
      </c>
      <c r="X4" s="12" t="s">
        <v>108</v>
      </c>
      <c r="Y4" s="12" t="s">
        <v>110</v>
      </c>
      <c r="Z4" s="12" t="s">
        <v>109</v>
      </c>
      <c r="AA4" s="12" t="s">
        <v>111</v>
      </c>
      <c r="AB4" s="12" t="s">
        <v>112</v>
      </c>
      <c r="AC4" s="12" t="s">
        <v>113</v>
      </c>
      <c r="AD4" s="12" t="s">
        <v>114</v>
      </c>
      <c r="AE4" s="12" t="s">
        <v>115</v>
      </c>
      <c r="AF4" s="12" t="s">
        <v>116</v>
      </c>
    </row>
    <row r="5" spans="1:32" x14ac:dyDescent="0.2">
      <c r="A5" s="12" t="s">
        <v>22</v>
      </c>
      <c r="B5" s="12">
        <v>0.16</v>
      </c>
      <c r="C5" s="12"/>
      <c r="D5" s="12"/>
      <c r="E5" s="12" t="s">
        <v>27</v>
      </c>
      <c r="F5" s="12">
        <v>0.35</v>
      </c>
      <c r="G5" s="12"/>
      <c r="H5" s="12"/>
      <c r="I5" s="12" t="s">
        <v>23</v>
      </c>
      <c r="J5" s="18">
        <v>6.6666666666666666E-2</v>
      </c>
      <c r="K5" s="12"/>
      <c r="L5" s="12"/>
      <c r="M5" s="12" t="s">
        <v>12</v>
      </c>
      <c r="N5" s="12">
        <v>0.2</v>
      </c>
      <c r="O5" s="12"/>
      <c r="P5" s="12"/>
      <c r="Q5" s="12"/>
      <c r="R5" s="12"/>
      <c r="S5" s="12"/>
      <c r="T5" s="12"/>
      <c r="U5" s="12"/>
      <c r="V5" s="12"/>
      <c r="W5" s="14">
        <v>0.2</v>
      </c>
      <c r="X5" s="14">
        <v>0.12</v>
      </c>
      <c r="Y5" s="14">
        <v>0.12</v>
      </c>
      <c r="Z5" s="14">
        <v>0.08</v>
      </c>
      <c r="AA5" s="14">
        <v>0.08</v>
      </c>
      <c r="AB5" s="14">
        <v>0.12</v>
      </c>
      <c r="AC5" s="14">
        <v>0.15</v>
      </c>
      <c r="AD5" s="14">
        <v>7.0000000000000007E-2</v>
      </c>
      <c r="AE5" s="14">
        <v>0.03</v>
      </c>
      <c r="AF5" s="14">
        <v>0.03</v>
      </c>
    </row>
    <row r="6" spans="1:32" x14ac:dyDescent="0.2">
      <c r="A6" s="12" t="s">
        <v>79</v>
      </c>
      <c r="B6" s="12">
        <v>0.16</v>
      </c>
      <c r="C6" s="12"/>
      <c r="D6" s="12"/>
      <c r="E6" s="12" t="s">
        <v>85</v>
      </c>
      <c r="F6" s="12">
        <v>0.3</v>
      </c>
      <c r="G6" s="12"/>
      <c r="H6" s="12"/>
      <c r="I6" s="12" t="s">
        <v>88</v>
      </c>
      <c r="J6" s="18">
        <v>6.6666666666666666E-2</v>
      </c>
      <c r="K6" s="12"/>
      <c r="L6" s="12"/>
      <c r="M6" s="12" t="s">
        <v>75</v>
      </c>
      <c r="N6" s="12">
        <v>0.2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</row>
    <row r="7" spans="1:32" x14ac:dyDescent="0.2">
      <c r="A7" s="12" t="s">
        <v>80</v>
      </c>
      <c r="B7" s="12">
        <v>0.12</v>
      </c>
      <c r="C7" s="12"/>
      <c r="D7" s="12"/>
      <c r="E7" s="12"/>
      <c r="F7" s="12"/>
      <c r="G7" s="12"/>
      <c r="H7" s="12"/>
      <c r="I7" s="12" t="s">
        <v>89</v>
      </c>
      <c r="J7" s="18">
        <v>6.6666666666666666E-2</v>
      </c>
      <c r="K7" s="12"/>
      <c r="L7" s="12"/>
      <c r="M7" s="12" t="s">
        <v>101</v>
      </c>
      <c r="N7" s="12">
        <v>0.1</v>
      </c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</row>
    <row r="8" spans="1:32" x14ac:dyDescent="0.2">
      <c r="A8" s="12" t="s">
        <v>81</v>
      </c>
      <c r="B8" s="12">
        <v>0.1</v>
      </c>
      <c r="C8" s="12"/>
      <c r="D8" s="12"/>
      <c r="E8" s="12"/>
      <c r="F8" s="12"/>
      <c r="G8" s="12"/>
      <c r="H8" s="12"/>
      <c r="I8" s="12" t="s">
        <v>76</v>
      </c>
      <c r="J8" s="18">
        <v>6.6666666666666666E-2</v>
      </c>
      <c r="K8" s="12"/>
      <c r="L8" s="12"/>
      <c r="M8" s="12" t="s">
        <v>102</v>
      </c>
      <c r="N8" s="12">
        <v>0.1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</row>
    <row r="9" spans="1:32" x14ac:dyDescent="0.2">
      <c r="A9" s="12" t="s">
        <v>26</v>
      </c>
      <c r="B9" s="12">
        <v>0.09</v>
      </c>
      <c r="C9" s="12"/>
      <c r="D9" s="12"/>
      <c r="E9" s="12"/>
      <c r="F9" s="12"/>
      <c r="G9" s="12"/>
      <c r="H9" s="12"/>
      <c r="I9" s="12" t="s">
        <v>90</v>
      </c>
      <c r="J9" s="18">
        <v>6.6666666666666666E-2</v>
      </c>
      <c r="K9" s="12"/>
      <c r="L9" s="12"/>
      <c r="M9" s="12" t="s">
        <v>103</v>
      </c>
      <c r="N9" s="12">
        <v>0.1</v>
      </c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</row>
    <row r="10" spans="1:32" x14ac:dyDescent="0.2">
      <c r="A10" s="12" t="s">
        <v>82</v>
      </c>
      <c r="B10" s="12">
        <v>0.09</v>
      </c>
      <c r="C10" s="12"/>
      <c r="D10" s="12"/>
      <c r="E10" s="12"/>
      <c r="F10" s="12"/>
      <c r="G10" s="12"/>
      <c r="H10" s="12"/>
      <c r="I10" s="12" t="s">
        <v>91</v>
      </c>
      <c r="J10" s="18">
        <v>6.6666666666666666E-2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</row>
    <row r="11" spans="1:32" x14ac:dyDescent="0.2">
      <c r="A11" s="12" t="s">
        <v>25</v>
      </c>
      <c r="B11" s="12">
        <v>0.09</v>
      </c>
      <c r="C11" s="12"/>
      <c r="D11" s="12"/>
      <c r="E11" s="12"/>
      <c r="F11" s="12"/>
      <c r="G11" s="12"/>
      <c r="H11" s="12"/>
      <c r="I11" s="12" t="s">
        <v>92</v>
      </c>
      <c r="J11" s="18">
        <v>6.6666666666666666E-2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</row>
    <row r="12" spans="1:32" x14ac:dyDescent="0.2">
      <c r="A12" s="12" t="s">
        <v>83</v>
      </c>
      <c r="B12" s="12">
        <v>0.03</v>
      </c>
      <c r="C12" s="12"/>
      <c r="D12" s="12"/>
      <c r="E12" s="12"/>
      <c r="F12" s="12"/>
      <c r="G12" s="12"/>
      <c r="H12" s="12"/>
      <c r="I12" s="12" t="s">
        <v>93</v>
      </c>
      <c r="J12" s="18">
        <v>6.6666666666666666E-2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</row>
    <row r="13" spans="1:32" x14ac:dyDescent="0.2">
      <c r="A13" s="12"/>
      <c r="B13" s="12"/>
      <c r="C13" s="12"/>
      <c r="D13" s="12"/>
      <c r="E13" s="12"/>
      <c r="F13" s="12"/>
      <c r="G13" s="12"/>
      <c r="H13" s="12"/>
      <c r="I13" s="12" t="s">
        <v>94</v>
      </c>
      <c r="J13" s="18">
        <v>6.6666666666666666E-2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</row>
    <row r="14" spans="1:32" x14ac:dyDescent="0.2">
      <c r="A14" s="12"/>
      <c r="B14" s="12"/>
      <c r="C14" s="12"/>
      <c r="D14" s="12"/>
      <c r="E14" s="12"/>
      <c r="F14" s="12"/>
      <c r="G14" s="12"/>
      <c r="H14" s="12"/>
      <c r="I14" s="12" t="s">
        <v>95</v>
      </c>
      <c r="J14" s="18">
        <v>6.6666666666666666E-2</v>
      </c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</row>
    <row r="15" spans="1:32" x14ac:dyDescent="0.2">
      <c r="A15" s="12"/>
      <c r="B15" s="12"/>
      <c r="C15" s="12"/>
      <c r="D15" s="12"/>
      <c r="E15" s="12"/>
      <c r="F15" s="12"/>
      <c r="G15" s="12"/>
      <c r="H15" s="12"/>
      <c r="I15" s="12" t="s">
        <v>96</v>
      </c>
      <c r="J15" s="18">
        <v>6.6666666666666666E-2</v>
      </c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</row>
    <row r="16" spans="1:32" x14ac:dyDescent="0.2">
      <c r="A16" s="12"/>
      <c r="B16" s="12"/>
      <c r="C16" s="12"/>
      <c r="D16" s="12"/>
      <c r="E16" s="12"/>
      <c r="F16" s="12"/>
      <c r="G16" s="12"/>
      <c r="H16" s="12"/>
      <c r="I16" s="12" t="s">
        <v>97</v>
      </c>
      <c r="J16" s="18">
        <v>6.6666666666666666E-2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</row>
    <row r="17" spans="1:32" x14ac:dyDescent="0.2">
      <c r="A17" s="12"/>
      <c r="B17" s="12"/>
      <c r="C17" s="12"/>
      <c r="D17" s="12"/>
      <c r="E17" s="12"/>
      <c r="F17" s="12"/>
      <c r="G17" s="12"/>
      <c r="H17" s="12"/>
      <c r="I17" s="12" t="s">
        <v>98</v>
      </c>
      <c r="J17" s="18">
        <v>6.6666666666666666E-2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</row>
    <row r="18" spans="1:32" x14ac:dyDescent="0.2">
      <c r="A18" s="12"/>
      <c r="B18" s="12"/>
      <c r="C18" s="12"/>
      <c r="D18" s="12"/>
      <c r="E18" s="12"/>
      <c r="F18" s="12"/>
      <c r="G18" s="12"/>
      <c r="H18" s="12"/>
      <c r="I18" s="12" t="s">
        <v>99</v>
      </c>
      <c r="J18" s="18">
        <v>6.6666666666666666E-2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</row>
    <row r="20" spans="1:32" x14ac:dyDescent="0.2">
      <c r="A20" s="11" t="s">
        <v>125</v>
      </c>
    </row>
    <row r="21" spans="1:32" x14ac:dyDescent="0.2">
      <c r="A21" s="1" t="s">
        <v>106</v>
      </c>
      <c r="B21" s="17">
        <f>VLOOKUP(A21,weights_rs!$A:$B,2,FALSE)</f>
        <v>50</v>
      </c>
      <c r="C21" s="7" t="b">
        <f>(B23+F23+J23+N23+R23+V23)=100</f>
        <v>1</v>
      </c>
    </row>
    <row r="22" spans="1:32" x14ac:dyDescent="0.2">
      <c r="A22" s="10" t="s">
        <v>20</v>
      </c>
      <c r="B22" s="7" t="b">
        <f>B23=SUM(B24:B32)</f>
        <v>1</v>
      </c>
      <c r="E22" s="10" t="s">
        <v>20</v>
      </c>
      <c r="F22" s="7" t="b">
        <f>F23=SUM(F24:F32)</f>
        <v>1</v>
      </c>
      <c r="I22" s="10" t="s">
        <v>20</v>
      </c>
      <c r="J22" s="7" t="b">
        <f>J23=SUM(J24:J32)</f>
        <v>1</v>
      </c>
      <c r="M22" s="10" t="s">
        <v>20</v>
      </c>
      <c r="N22" s="7" t="b">
        <f>N23=SUM(N24:N32)</f>
        <v>1</v>
      </c>
      <c r="Q22" s="10" t="s">
        <v>20</v>
      </c>
      <c r="R22" s="7" t="b">
        <f>R23=SUM(R24:R32)</f>
        <v>1</v>
      </c>
      <c r="U22" s="10" t="s">
        <v>20</v>
      </c>
      <c r="V22" s="7" t="b">
        <f>V23=SUM(V24:V32)</f>
        <v>1</v>
      </c>
    </row>
    <row r="23" spans="1:32" s="1" customFormat="1" x14ac:dyDescent="0.2">
      <c r="A23" s="1" t="s">
        <v>5</v>
      </c>
      <c r="B23" s="13">
        <v>25</v>
      </c>
      <c r="C23" s="1">
        <f>B23*($B$21/100)</f>
        <v>12.5</v>
      </c>
      <c r="E23" s="1" t="s">
        <v>7</v>
      </c>
      <c r="F23" s="13">
        <v>25</v>
      </c>
      <c r="G23" s="1">
        <f>F23*($B$21/100)</f>
        <v>12.5</v>
      </c>
      <c r="I23" s="1" t="s">
        <v>13</v>
      </c>
      <c r="J23" s="13">
        <v>20</v>
      </c>
      <c r="K23" s="1">
        <f>J23*($B$21/100)</f>
        <v>10</v>
      </c>
      <c r="M23" s="1" t="s">
        <v>9</v>
      </c>
      <c r="N23" s="13">
        <v>20</v>
      </c>
      <c r="O23" s="1">
        <f>N23*($B$21/100)</f>
        <v>10</v>
      </c>
      <c r="Q23" s="1" t="s">
        <v>117</v>
      </c>
      <c r="R23" s="13">
        <v>5</v>
      </c>
      <c r="S23" s="1">
        <f>R23*($B$21/100)</f>
        <v>2.5</v>
      </c>
      <c r="U23" s="1" t="s">
        <v>12</v>
      </c>
      <c r="V23" s="13">
        <v>5</v>
      </c>
      <c r="W23" s="1">
        <f>V23*($B$21/100)</f>
        <v>2.5</v>
      </c>
    </row>
    <row r="24" spans="1:32" x14ac:dyDescent="0.2">
      <c r="A24" t="s">
        <v>108</v>
      </c>
      <c r="B24" s="12">
        <v>4</v>
      </c>
      <c r="C24" s="1">
        <f t="shared" ref="C24:C31" si="0">B24*($B$21/100)</f>
        <v>2</v>
      </c>
      <c r="E24" t="s">
        <v>107</v>
      </c>
      <c r="F24" s="12">
        <v>8</v>
      </c>
      <c r="G24" s="1">
        <f t="shared" ref="G24:G31" si="1">F24*($B$21/100)</f>
        <v>4</v>
      </c>
      <c r="I24" t="s">
        <v>110</v>
      </c>
      <c r="J24" s="12">
        <v>8</v>
      </c>
      <c r="K24" s="1">
        <f t="shared" ref="K24:K31" si="2">J24*($B$21/100)</f>
        <v>4</v>
      </c>
      <c r="M24" t="s">
        <v>113</v>
      </c>
      <c r="N24" s="12">
        <v>20</v>
      </c>
      <c r="O24" s="1">
        <f t="shared" ref="O24:O31" si="3">N24*($B$21/100)</f>
        <v>10</v>
      </c>
      <c r="Q24" t="s">
        <v>14</v>
      </c>
      <c r="R24" s="12">
        <v>5</v>
      </c>
      <c r="S24" s="1">
        <f t="shared" ref="S24:S31" si="4">R24*($B$21/100)</f>
        <v>2.5</v>
      </c>
      <c r="U24" t="s">
        <v>12</v>
      </c>
      <c r="V24" s="12">
        <v>5</v>
      </c>
      <c r="W24" s="1">
        <f t="shared" ref="W24:W31" si="5">V24*($B$21/100)</f>
        <v>2.5</v>
      </c>
    </row>
    <row r="25" spans="1:32" x14ac:dyDescent="0.2">
      <c r="A25" t="s">
        <v>109</v>
      </c>
      <c r="B25" s="12">
        <v>4</v>
      </c>
      <c r="C25" s="1">
        <f t="shared" si="0"/>
        <v>2</v>
      </c>
      <c r="E25" t="s">
        <v>8</v>
      </c>
      <c r="F25" s="12">
        <v>8</v>
      </c>
      <c r="G25" s="1">
        <f t="shared" si="1"/>
        <v>4</v>
      </c>
      <c r="I25" t="s">
        <v>112</v>
      </c>
      <c r="J25" s="12">
        <v>8</v>
      </c>
      <c r="K25" s="1">
        <f t="shared" si="2"/>
        <v>4</v>
      </c>
      <c r="N25" s="12"/>
      <c r="O25" s="1">
        <f t="shared" si="3"/>
        <v>0</v>
      </c>
      <c r="R25" s="12"/>
      <c r="S25" s="1">
        <f t="shared" si="4"/>
        <v>0</v>
      </c>
      <c r="V25" s="12"/>
      <c r="W25" s="1">
        <f t="shared" si="5"/>
        <v>0</v>
      </c>
    </row>
    <row r="26" spans="1:32" x14ac:dyDescent="0.2">
      <c r="A26" t="s">
        <v>111</v>
      </c>
      <c r="B26" s="12">
        <v>4</v>
      </c>
      <c r="C26" s="1">
        <f t="shared" si="0"/>
        <v>2</v>
      </c>
      <c r="E26" t="s">
        <v>27</v>
      </c>
      <c r="F26" s="12">
        <v>8</v>
      </c>
      <c r="G26" s="1">
        <f t="shared" si="1"/>
        <v>4</v>
      </c>
      <c r="I26" t="s">
        <v>114</v>
      </c>
      <c r="J26" s="12">
        <v>2</v>
      </c>
      <c r="K26" s="1">
        <f t="shared" si="2"/>
        <v>1</v>
      </c>
      <c r="N26" s="12"/>
      <c r="O26" s="1">
        <f t="shared" si="3"/>
        <v>0</v>
      </c>
      <c r="R26" s="12"/>
      <c r="S26" s="1">
        <f t="shared" si="4"/>
        <v>0</v>
      </c>
      <c r="V26" s="12"/>
      <c r="W26" s="1">
        <f t="shared" si="5"/>
        <v>0</v>
      </c>
    </row>
    <row r="27" spans="1:32" x14ac:dyDescent="0.2">
      <c r="A27" t="s">
        <v>24</v>
      </c>
      <c r="B27" s="12">
        <v>5</v>
      </c>
      <c r="C27" s="1">
        <f t="shared" si="0"/>
        <v>2.5</v>
      </c>
      <c r="E27" t="s">
        <v>85</v>
      </c>
      <c r="F27" s="12">
        <v>1</v>
      </c>
      <c r="G27" s="1">
        <f t="shared" si="1"/>
        <v>0.5</v>
      </c>
      <c r="I27" t="s">
        <v>115</v>
      </c>
      <c r="J27" s="12">
        <v>1</v>
      </c>
      <c r="K27" s="1">
        <f t="shared" si="2"/>
        <v>0.5</v>
      </c>
      <c r="N27" s="12"/>
      <c r="O27" s="1">
        <f t="shared" si="3"/>
        <v>0</v>
      </c>
      <c r="R27" s="12"/>
      <c r="S27" s="1">
        <f t="shared" si="4"/>
        <v>0</v>
      </c>
      <c r="V27" s="12"/>
      <c r="W27" s="1">
        <f t="shared" si="5"/>
        <v>0</v>
      </c>
    </row>
    <row r="28" spans="1:32" x14ac:dyDescent="0.2">
      <c r="A28" t="s">
        <v>79</v>
      </c>
      <c r="B28" s="12">
        <v>2</v>
      </c>
      <c r="C28" s="1">
        <f t="shared" si="0"/>
        <v>1</v>
      </c>
      <c r="F28" s="12"/>
      <c r="G28" s="1">
        <f t="shared" si="1"/>
        <v>0</v>
      </c>
      <c r="I28" t="s">
        <v>116</v>
      </c>
      <c r="J28" s="12">
        <v>1</v>
      </c>
      <c r="K28" s="1">
        <f t="shared" si="2"/>
        <v>0.5</v>
      </c>
      <c r="N28" s="12"/>
      <c r="O28" s="1">
        <f t="shared" si="3"/>
        <v>0</v>
      </c>
      <c r="R28" s="12"/>
      <c r="S28" s="1">
        <f t="shared" si="4"/>
        <v>0</v>
      </c>
      <c r="V28" s="12"/>
      <c r="W28" s="1">
        <f t="shared" si="5"/>
        <v>0</v>
      </c>
    </row>
    <row r="29" spans="1:32" x14ac:dyDescent="0.2">
      <c r="A29" t="s">
        <v>80</v>
      </c>
      <c r="B29" s="12">
        <v>2</v>
      </c>
      <c r="C29" s="1">
        <f t="shared" si="0"/>
        <v>1</v>
      </c>
      <c r="F29" s="12"/>
      <c r="G29" s="1">
        <f t="shared" si="1"/>
        <v>0</v>
      </c>
      <c r="J29" s="12"/>
      <c r="K29" s="1">
        <f t="shared" si="2"/>
        <v>0</v>
      </c>
      <c r="N29" s="12"/>
      <c r="O29" s="1">
        <f t="shared" si="3"/>
        <v>0</v>
      </c>
      <c r="R29" s="12"/>
      <c r="S29" s="1">
        <f t="shared" si="4"/>
        <v>0</v>
      </c>
      <c r="V29" s="12"/>
      <c r="W29" s="1">
        <f t="shared" si="5"/>
        <v>0</v>
      </c>
    </row>
    <row r="30" spans="1:32" x14ac:dyDescent="0.2">
      <c r="A30" t="s">
        <v>81</v>
      </c>
      <c r="B30" s="12">
        <v>2</v>
      </c>
      <c r="C30" s="1">
        <f t="shared" si="0"/>
        <v>1</v>
      </c>
      <c r="F30" s="12"/>
      <c r="G30" s="1">
        <f t="shared" si="1"/>
        <v>0</v>
      </c>
      <c r="J30" s="12"/>
      <c r="K30" s="1">
        <f t="shared" si="2"/>
        <v>0</v>
      </c>
      <c r="N30" s="12"/>
      <c r="O30" s="1">
        <f t="shared" si="3"/>
        <v>0</v>
      </c>
      <c r="R30" s="12"/>
      <c r="S30" s="1">
        <f t="shared" si="4"/>
        <v>0</v>
      </c>
      <c r="V30" s="12"/>
      <c r="W30" s="1">
        <f t="shared" si="5"/>
        <v>0</v>
      </c>
    </row>
    <row r="31" spans="1:32" x14ac:dyDescent="0.2">
      <c r="A31" t="s">
        <v>26</v>
      </c>
      <c r="B31" s="12">
        <v>2</v>
      </c>
      <c r="C31" s="1">
        <f t="shared" si="0"/>
        <v>1</v>
      </c>
      <c r="F31" s="12"/>
      <c r="G31" s="1">
        <f t="shared" si="1"/>
        <v>0</v>
      </c>
      <c r="J31" s="12"/>
      <c r="K31" s="1">
        <f t="shared" si="2"/>
        <v>0</v>
      </c>
      <c r="N31" s="12"/>
      <c r="O31" s="1">
        <f t="shared" si="3"/>
        <v>0</v>
      </c>
      <c r="R31" s="12"/>
      <c r="S31" s="1">
        <f t="shared" si="4"/>
        <v>0</v>
      </c>
      <c r="V31" s="12"/>
      <c r="W31" s="1">
        <f t="shared" si="5"/>
        <v>0</v>
      </c>
    </row>
    <row r="32" spans="1:32" x14ac:dyDescent="0.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</row>
    <row r="34" spans="1:23" x14ac:dyDescent="0.2">
      <c r="A34" s="1" t="s">
        <v>126</v>
      </c>
      <c r="B34" s="17">
        <f>VLOOKUP(A34,weights_rs!$A:$B,2,FALSE)</f>
        <v>25</v>
      </c>
      <c r="C34" s="7" t="b">
        <f>(B36+F36+J36+N36+R36+V36)=100</f>
        <v>1</v>
      </c>
    </row>
    <row r="35" spans="1:23" x14ac:dyDescent="0.2">
      <c r="A35" s="10" t="s">
        <v>20</v>
      </c>
      <c r="B35" s="7" t="b">
        <f>B36=SUM(B37:B52)</f>
        <v>1</v>
      </c>
      <c r="E35" s="10" t="s">
        <v>20</v>
      </c>
      <c r="F35" s="7" t="b">
        <f>F36=SUM(F37:F52)</f>
        <v>1</v>
      </c>
      <c r="I35" s="10" t="s">
        <v>20</v>
      </c>
      <c r="J35" s="7" t="b">
        <f>J36=SUM(J37:J52)</f>
        <v>1</v>
      </c>
      <c r="M35" s="10" t="s">
        <v>20</v>
      </c>
      <c r="N35" s="7" t="b">
        <f>N36=SUM(N37:N52)</f>
        <v>1</v>
      </c>
      <c r="Q35" s="10" t="s">
        <v>20</v>
      </c>
      <c r="R35" s="7" t="b">
        <f>R36=SUM(R37:R52)</f>
        <v>1</v>
      </c>
      <c r="U35" s="10" t="s">
        <v>20</v>
      </c>
      <c r="V35" s="7" t="b">
        <f>V36=SUM(V37:V52)</f>
        <v>1</v>
      </c>
    </row>
    <row r="36" spans="1:23" s="1" customFormat="1" x14ac:dyDescent="0.2">
      <c r="A36" s="1" t="s">
        <v>5</v>
      </c>
      <c r="B36" s="1">
        <v>25</v>
      </c>
      <c r="C36" s="1">
        <f>B36*($B$34/100)</f>
        <v>6.25</v>
      </c>
      <c r="E36" s="1" t="s">
        <v>7</v>
      </c>
      <c r="F36" s="1">
        <v>25</v>
      </c>
      <c r="G36" s="1">
        <f>F36*($B$34/100)</f>
        <v>6.25</v>
      </c>
      <c r="I36" s="1" t="s">
        <v>13</v>
      </c>
      <c r="J36" s="1">
        <v>20</v>
      </c>
      <c r="K36" s="1">
        <f>J36*($B$34/100)</f>
        <v>5</v>
      </c>
      <c r="M36" s="1" t="s">
        <v>9</v>
      </c>
      <c r="N36" s="1">
        <v>20</v>
      </c>
      <c r="O36" s="1">
        <f>N36*($B$34/100)</f>
        <v>5</v>
      </c>
      <c r="Q36" s="1" t="s">
        <v>117</v>
      </c>
      <c r="R36" s="1">
        <v>5</v>
      </c>
      <c r="S36" s="1">
        <f>R36*($B$34/100)</f>
        <v>1.25</v>
      </c>
      <c r="U36" s="1" t="s">
        <v>12</v>
      </c>
      <c r="V36" s="1">
        <v>5</v>
      </c>
      <c r="W36" s="1">
        <f>V36*($B$34/100)</f>
        <v>1.25</v>
      </c>
    </row>
    <row r="37" spans="1:23" x14ac:dyDescent="0.2">
      <c r="A37" t="s">
        <v>22</v>
      </c>
      <c r="B37">
        <v>5</v>
      </c>
      <c r="C37" s="1">
        <f t="shared" ref="C37:C51" si="6">B37*($B$34/100)</f>
        <v>1.25</v>
      </c>
      <c r="E37" t="s">
        <v>8</v>
      </c>
      <c r="F37">
        <v>10</v>
      </c>
      <c r="G37" s="1">
        <f t="shared" ref="G37:G51" si="7">F37*($B$34/100)</f>
        <v>2.5</v>
      </c>
      <c r="I37" t="s">
        <v>87</v>
      </c>
      <c r="J37">
        <v>2</v>
      </c>
      <c r="K37" s="1">
        <f t="shared" ref="K37:K51" si="8">J37*($B$34/100)</f>
        <v>0.5</v>
      </c>
      <c r="M37" t="s">
        <v>10</v>
      </c>
      <c r="N37">
        <v>10</v>
      </c>
      <c r="O37" s="1">
        <f t="shared" ref="O37:O51" si="9">N37*($B$34/100)</f>
        <v>2.5</v>
      </c>
      <c r="Q37" t="s">
        <v>14</v>
      </c>
      <c r="R37">
        <v>5</v>
      </c>
      <c r="S37" s="1">
        <f t="shared" ref="S37:S51" si="10">R37*($B$34/100)</f>
        <v>1.25</v>
      </c>
      <c r="U37" t="s">
        <v>12</v>
      </c>
      <c r="V37">
        <v>5</v>
      </c>
      <c r="W37" s="1">
        <f t="shared" ref="W37:W51" si="11">V37*($B$34/100)</f>
        <v>1.25</v>
      </c>
    </row>
    <row r="38" spans="1:23" x14ac:dyDescent="0.2">
      <c r="A38" t="s">
        <v>79</v>
      </c>
      <c r="B38">
        <v>5</v>
      </c>
      <c r="C38" s="1">
        <f t="shared" si="6"/>
        <v>1.25</v>
      </c>
      <c r="E38" t="s">
        <v>27</v>
      </c>
      <c r="F38">
        <v>10</v>
      </c>
      <c r="G38" s="1">
        <f t="shared" si="7"/>
        <v>2.5</v>
      </c>
      <c r="I38" t="s">
        <v>23</v>
      </c>
      <c r="J38">
        <v>2</v>
      </c>
      <c r="K38" s="1">
        <f t="shared" si="8"/>
        <v>0.5</v>
      </c>
      <c r="M38" t="s">
        <v>75</v>
      </c>
      <c r="N38">
        <v>10</v>
      </c>
      <c r="O38" s="1">
        <f t="shared" si="9"/>
        <v>2.5</v>
      </c>
      <c r="S38" s="1">
        <f t="shared" si="10"/>
        <v>0</v>
      </c>
      <c r="W38" s="1">
        <f t="shared" si="11"/>
        <v>0</v>
      </c>
    </row>
    <row r="39" spans="1:23" x14ac:dyDescent="0.2">
      <c r="A39" t="s">
        <v>80</v>
      </c>
      <c r="B39">
        <v>5</v>
      </c>
      <c r="C39" s="1">
        <f t="shared" si="6"/>
        <v>1.25</v>
      </c>
      <c r="E39" t="s">
        <v>85</v>
      </c>
      <c r="F39">
        <v>5</v>
      </c>
      <c r="G39" s="1">
        <f t="shared" si="7"/>
        <v>1.25</v>
      </c>
      <c r="I39" t="s">
        <v>88</v>
      </c>
      <c r="J39">
        <v>1</v>
      </c>
      <c r="K39" s="1">
        <f t="shared" si="8"/>
        <v>0.25</v>
      </c>
      <c r="O39" s="1">
        <f t="shared" si="9"/>
        <v>0</v>
      </c>
      <c r="S39" s="1">
        <f t="shared" si="10"/>
        <v>0</v>
      </c>
      <c r="W39" s="1">
        <f t="shared" si="11"/>
        <v>0</v>
      </c>
    </row>
    <row r="40" spans="1:23" x14ac:dyDescent="0.2">
      <c r="A40" t="s">
        <v>81</v>
      </c>
      <c r="B40">
        <v>5</v>
      </c>
      <c r="C40" s="1">
        <f t="shared" si="6"/>
        <v>1.25</v>
      </c>
      <c r="G40" s="1">
        <f t="shared" si="7"/>
        <v>0</v>
      </c>
      <c r="I40" t="s">
        <v>89</v>
      </c>
      <c r="J40">
        <v>2</v>
      </c>
      <c r="K40" s="1">
        <f t="shared" si="8"/>
        <v>0.5</v>
      </c>
      <c r="O40" s="1">
        <f t="shared" si="9"/>
        <v>0</v>
      </c>
      <c r="S40" s="1">
        <f t="shared" si="10"/>
        <v>0</v>
      </c>
      <c r="W40" s="1">
        <f t="shared" si="11"/>
        <v>0</v>
      </c>
    </row>
    <row r="41" spans="1:23" x14ac:dyDescent="0.2">
      <c r="A41" t="s">
        <v>26</v>
      </c>
      <c r="B41">
        <v>5</v>
      </c>
      <c r="C41" s="1">
        <f t="shared" si="6"/>
        <v>1.25</v>
      </c>
      <c r="G41" s="1">
        <f t="shared" si="7"/>
        <v>0</v>
      </c>
      <c r="I41" t="s">
        <v>76</v>
      </c>
      <c r="J41">
        <v>2</v>
      </c>
      <c r="K41" s="1">
        <f t="shared" si="8"/>
        <v>0.5</v>
      </c>
      <c r="O41" s="1">
        <f t="shared" si="9"/>
        <v>0</v>
      </c>
      <c r="S41" s="1">
        <f t="shared" si="10"/>
        <v>0</v>
      </c>
      <c r="W41" s="1">
        <f t="shared" si="11"/>
        <v>0</v>
      </c>
    </row>
    <row r="42" spans="1:23" x14ac:dyDescent="0.2">
      <c r="C42" s="1">
        <f t="shared" si="6"/>
        <v>0</v>
      </c>
      <c r="G42" s="1">
        <f t="shared" si="7"/>
        <v>0</v>
      </c>
      <c r="I42" t="s">
        <v>90</v>
      </c>
      <c r="J42">
        <v>2</v>
      </c>
      <c r="K42" s="1">
        <f t="shared" si="8"/>
        <v>0.5</v>
      </c>
      <c r="O42" s="1">
        <f t="shared" si="9"/>
        <v>0</v>
      </c>
      <c r="S42" s="1">
        <f t="shared" si="10"/>
        <v>0</v>
      </c>
      <c r="W42" s="1">
        <f t="shared" si="11"/>
        <v>0</v>
      </c>
    </row>
    <row r="43" spans="1:23" x14ac:dyDescent="0.2">
      <c r="C43" s="1">
        <f t="shared" si="6"/>
        <v>0</v>
      </c>
      <c r="G43" s="1">
        <f t="shared" si="7"/>
        <v>0</v>
      </c>
      <c r="I43" t="s">
        <v>91</v>
      </c>
      <c r="J43">
        <v>1</v>
      </c>
      <c r="K43" s="1">
        <f t="shared" si="8"/>
        <v>0.25</v>
      </c>
      <c r="O43" s="1">
        <f t="shared" si="9"/>
        <v>0</v>
      </c>
      <c r="S43" s="1">
        <f t="shared" si="10"/>
        <v>0</v>
      </c>
      <c r="W43" s="1">
        <f t="shared" si="11"/>
        <v>0</v>
      </c>
    </row>
    <row r="44" spans="1:23" x14ac:dyDescent="0.2">
      <c r="C44" s="1">
        <f t="shared" si="6"/>
        <v>0</v>
      </c>
      <c r="G44" s="1">
        <f t="shared" si="7"/>
        <v>0</v>
      </c>
      <c r="I44" t="s">
        <v>92</v>
      </c>
      <c r="J44">
        <v>1</v>
      </c>
      <c r="K44" s="1">
        <f t="shared" si="8"/>
        <v>0.25</v>
      </c>
      <c r="O44" s="1">
        <f t="shared" si="9"/>
        <v>0</v>
      </c>
      <c r="S44" s="1">
        <f t="shared" si="10"/>
        <v>0</v>
      </c>
      <c r="W44" s="1">
        <f t="shared" si="11"/>
        <v>0</v>
      </c>
    </row>
    <row r="45" spans="1:23" x14ac:dyDescent="0.2">
      <c r="C45" s="1">
        <f t="shared" si="6"/>
        <v>0</v>
      </c>
      <c r="G45" s="1">
        <f t="shared" si="7"/>
        <v>0</v>
      </c>
      <c r="I45" t="s">
        <v>93</v>
      </c>
      <c r="J45">
        <v>1</v>
      </c>
      <c r="K45" s="1">
        <f t="shared" si="8"/>
        <v>0.25</v>
      </c>
      <c r="O45" s="1">
        <f t="shared" si="9"/>
        <v>0</v>
      </c>
      <c r="S45" s="1">
        <f t="shared" si="10"/>
        <v>0</v>
      </c>
      <c r="W45" s="1">
        <f t="shared" si="11"/>
        <v>0</v>
      </c>
    </row>
    <row r="46" spans="1:23" x14ac:dyDescent="0.2">
      <c r="C46" s="1">
        <f t="shared" si="6"/>
        <v>0</v>
      </c>
      <c r="G46" s="1">
        <f t="shared" si="7"/>
        <v>0</v>
      </c>
      <c r="I46" t="s">
        <v>94</v>
      </c>
      <c r="J46">
        <v>1</v>
      </c>
      <c r="K46" s="1">
        <f t="shared" si="8"/>
        <v>0.25</v>
      </c>
      <c r="O46" s="1">
        <f t="shared" si="9"/>
        <v>0</v>
      </c>
      <c r="S46" s="1">
        <f t="shared" si="10"/>
        <v>0</v>
      </c>
      <c r="W46" s="1">
        <f t="shared" si="11"/>
        <v>0</v>
      </c>
    </row>
    <row r="47" spans="1:23" x14ac:dyDescent="0.2">
      <c r="C47" s="1">
        <f t="shared" si="6"/>
        <v>0</v>
      </c>
      <c r="G47" s="1">
        <f t="shared" si="7"/>
        <v>0</v>
      </c>
      <c r="I47" t="s">
        <v>95</v>
      </c>
      <c r="J47">
        <v>1</v>
      </c>
      <c r="K47" s="1">
        <f t="shared" si="8"/>
        <v>0.25</v>
      </c>
      <c r="O47" s="1">
        <f t="shared" si="9"/>
        <v>0</v>
      </c>
      <c r="S47" s="1">
        <f t="shared" si="10"/>
        <v>0</v>
      </c>
      <c r="W47" s="1">
        <f t="shared" si="11"/>
        <v>0</v>
      </c>
    </row>
    <row r="48" spans="1:23" x14ac:dyDescent="0.2">
      <c r="C48" s="1">
        <f t="shared" si="6"/>
        <v>0</v>
      </c>
      <c r="G48" s="1">
        <f t="shared" si="7"/>
        <v>0</v>
      </c>
      <c r="I48" t="s">
        <v>96</v>
      </c>
      <c r="J48">
        <v>1</v>
      </c>
      <c r="K48" s="1">
        <f t="shared" si="8"/>
        <v>0.25</v>
      </c>
      <c r="O48" s="1">
        <f t="shared" si="9"/>
        <v>0</v>
      </c>
      <c r="S48" s="1">
        <f t="shared" si="10"/>
        <v>0</v>
      </c>
      <c r="W48" s="1">
        <f t="shared" si="11"/>
        <v>0</v>
      </c>
    </row>
    <row r="49" spans="1:23" x14ac:dyDescent="0.2">
      <c r="C49" s="1">
        <f t="shared" si="6"/>
        <v>0</v>
      </c>
      <c r="G49" s="1">
        <f t="shared" si="7"/>
        <v>0</v>
      </c>
      <c r="I49" t="s">
        <v>97</v>
      </c>
      <c r="J49">
        <v>1</v>
      </c>
      <c r="K49" s="1">
        <f t="shared" si="8"/>
        <v>0.25</v>
      </c>
      <c r="O49" s="1">
        <f t="shared" si="9"/>
        <v>0</v>
      </c>
      <c r="S49" s="1">
        <f t="shared" si="10"/>
        <v>0</v>
      </c>
      <c r="W49" s="1">
        <f t="shared" si="11"/>
        <v>0</v>
      </c>
    </row>
    <row r="50" spans="1:23" x14ac:dyDescent="0.2">
      <c r="C50" s="1">
        <f t="shared" si="6"/>
        <v>0</v>
      </c>
      <c r="G50" s="1">
        <f t="shared" si="7"/>
        <v>0</v>
      </c>
      <c r="I50" t="s">
        <v>98</v>
      </c>
      <c r="J50">
        <v>1</v>
      </c>
      <c r="K50" s="1">
        <f t="shared" si="8"/>
        <v>0.25</v>
      </c>
      <c r="O50" s="1">
        <f t="shared" si="9"/>
        <v>0</v>
      </c>
      <c r="S50" s="1">
        <f t="shared" si="10"/>
        <v>0</v>
      </c>
      <c r="W50" s="1">
        <f t="shared" si="11"/>
        <v>0</v>
      </c>
    </row>
    <row r="51" spans="1:23" x14ac:dyDescent="0.2">
      <c r="C51" s="1">
        <f t="shared" si="6"/>
        <v>0</v>
      </c>
      <c r="G51" s="1">
        <f t="shared" si="7"/>
        <v>0</v>
      </c>
      <c r="I51" t="s">
        <v>99</v>
      </c>
      <c r="J51">
        <v>1</v>
      </c>
      <c r="K51" s="1">
        <f t="shared" si="8"/>
        <v>0.25</v>
      </c>
      <c r="O51" s="1">
        <f t="shared" si="9"/>
        <v>0</v>
      </c>
      <c r="S51" s="1">
        <f t="shared" si="10"/>
        <v>0</v>
      </c>
      <c r="W51" s="1">
        <f t="shared" si="11"/>
        <v>0</v>
      </c>
    </row>
    <row r="52" spans="1:23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</row>
    <row r="54" spans="1:23" x14ac:dyDescent="0.2">
      <c r="A54" s="1" t="s">
        <v>130</v>
      </c>
      <c r="B54" s="17">
        <f>VLOOKUP(A54,weights_rs!$A:$B,2,FALSE)</f>
        <v>10</v>
      </c>
      <c r="C54" s="7" t="b">
        <f>(B56+F56+J56+N56+R56+V56)=100</f>
        <v>1</v>
      </c>
    </row>
    <row r="55" spans="1:23" x14ac:dyDescent="0.2">
      <c r="A55" s="10" t="s">
        <v>20</v>
      </c>
      <c r="B55" s="7" t="b">
        <f>B56=SUM(B57:B61)</f>
        <v>1</v>
      </c>
      <c r="E55" s="10" t="s">
        <v>20</v>
      </c>
      <c r="F55" s="7" t="b">
        <f>F56=SUM(F57:F61)</f>
        <v>1</v>
      </c>
      <c r="I55" s="10" t="s">
        <v>20</v>
      </c>
      <c r="J55" s="7" t="b">
        <f>J56=SUM(J57:J61)</f>
        <v>1</v>
      </c>
      <c r="M55" s="10" t="s">
        <v>20</v>
      </c>
      <c r="N55" s="7" t="b">
        <f>N56=SUM(N57:N61)</f>
        <v>1</v>
      </c>
      <c r="Q55" s="10" t="s">
        <v>20</v>
      </c>
      <c r="R55" s="7" t="b">
        <f>R56=SUM(R57:R61)</f>
        <v>1</v>
      </c>
      <c r="U55" s="10" t="s">
        <v>20</v>
      </c>
      <c r="V55" s="7" t="b">
        <f>V56=SUM(V57:V61)</f>
        <v>1</v>
      </c>
    </row>
    <row r="56" spans="1:23" s="1" customFormat="1" x14ac:dyDescent="0.2">
      <c r="A56" s="1" t="s">
        <v>5</v>
      </c>
      <c r="B56" s="1">
        <v>25</v>
      </c>
      <c r="C56" s="1">
        <f>B56*($B$54/100)</f>
        <v>2.5</v>
      </c>
      <c r="E56" s="1" t="s">
        <v>7</v>
      </c>
      <c r="F56" s="1">
        <v>25</v>
      </c>
      <c r="G56" s="1">
        <f>F56*($B$54/100)</f>
        <v>2.5</v>
      </c>
      <c r="I56" s="1" t="s">
        <v>13</v>
      </c>
      <c r="J56" s="1">
        <v>20</v>
      </c>
      <c r="K56" s="1">
        <f>J56*($B$54/100)</f>
        <v>2</v>
      </c>
      <c r="M56" s="1" t="s">
        <v>9</v>
      </c>
      <c r="N56" s="1">
        <v>20</v>
      </c>
      <c r="O56" s="1">
        <f>N56*($B$54/100)</f>
        <v>2</v>
      </c>
      <c r="Q56" s="1" t="s">
        <v>117</v>
      </c>
      <c r="R56" s="1">
        <v>5</v>
      </c>
      <c r="S56" s="1">
        <f>R56*($B$54/100)</f>
        <v>0.5</v>
      </c>
      <c r="U56" s="1" t="s">
        <v>12</v>
      </c>
      <c r="V56" s="1">
        <v>5</v>
      </c>
      <c r="W56" s="1">
        <f>V56*($B$54/100)</f>
        <v>0.5</v>
      </c>
    </row>
    <row r="57" spans="1:23" x14ac:dyDescent="0.2">
      <c r="A57" t="s">
        <v>24</v>
      </c>
      <c r="B57">
        <v>19</v>
      </c>
      <c r="C57" s="1">
        <f t="shared" ref="C57:C60" si="12">B57*($B$54/100)</f>
        <v>1.9000000000000001</v>
      </c>
      <c r="E57" t="s">
        <v>8</v>
      </c>
      <c r="F57">
        <v>10</v>
      </c>
      <c r="G57" s="1">
        <f t="shared" ref="G57:G60" si="13">F57*($B$54/100)</f>
        <v>1</v>
      </c>
      <c r="I57" t="s">
        <v>23</v>
      </c>
      <c r="J57">
        <v>20</v>
      </c>
      <c r="K57" s="1">
        <f t="shared" ref="K57:K60" si="14">J57*($B$54/100)</f>
        <v>2</v>
      </c>
      <c r="M57" t="s">
        <v>10</v>
      </c>
      <c r="N57">
        <v>20</v>
      </c>
      <c r="O57" s="1">
        <f t="shared" ref="O57:O60" si="15">N57*($B$54/100)</f>
        <v>2</v>
      </c>
      <c r="Q57" t="s">
        <v>14</v>
      </c>
      <c r="R57">
        <v>5</v>
      </c>
      <c r="S57" s="1">
        <f t="shared" ref="S57:S60" si="16">R57*($B$54/100)</f>
        <v>0.5</v>
      </c>
      <c r="U57" t="s">
        <v>12</v>
      </c>
      <c r="V57">
        <v>5</v>
      </c>
      <c r="W57" s="1">
        <f t="shared" ref="W57:W60" si="17">V57*($B$54/100)</f>
        <v>0.5</v>
      </c>
    </row>
    <row r="58" spans="1:23" x14ac:dyDescent="0.2">
      <c r="A58" t="s">
        <v>79</v>
      </c>
      <c r="B58">
        <v>2</v>
      </c>
      <c r="C58" s="1">
        <f t="shared" si="12"/>
        <v>0.2</v>
      </c>
      <c r="E58" t="s">
        <v>27</v>
      </c>
      <c r="F58">
        <v>10</v>
      </c>
      <c r="G58" s="1">
        <f t="shared" si="13"/>
        <v>1</v>
      </c>
      <c r="K58" s="1">
        <f t="shared" si="14"/>
        <v>0</v>
      </c>
      <c r="O58" s="1">
        <f t="shared" si="15"/>
        <v>0</v>
      </c>
      <c r="S58" s="1">
        <f t="shared" si="16"/>
        <v>0</v>
      </c>
      <c r="W58" s="1">
        <f t="shared" si="17"/>
        <v>0</v>
      </c>
    </row>
    <row r="59" spans="1:23" x14ac:dyDescent="0.2">
      <c r="A59" t="s">
        <v>80</v>
      </c>
      <c r="B59">
        <v>2</v>
      </c>
      <c r="C59" s="1">
        <f t="shared" si="12"/>
        <v>0.2</v>
      </c>
      <c r="E59" t="s">
        <v>85</v>
      </c>
      <c r="F59">
        <v>5</v>
      </c>
      <c r="G59" s="1">
        <f t="shared" si="13"/>
        <v>0.5</v>
      </c>
      <c r="K59" s="1">
        <f t="shared" si="14"/>
        <v>0</v>
      </c>
      <c r="O59" s="1">
        <f t="shared" si="15"/>
        <v>0</v>
      </c>
      <c r="S59" s="1">
        <f t="shared" si="16"/>
        <v>0</v>
      </c>
      <c r="W59" s="1">
        <f t="shared" si="17"/>
        <v>0</v>
      </c>
    </row>
    <row r="60" spans="1:23" x14ac:dyDescent="0.2">
      <c r="A60" t="s">
        <v>81</v>
      </c>
      <c r="B60">
        <v>2</v>
      </c>
      <c r="C60" s="1">
        <f t="shared" si="12"/>
        <v>0.2</v>
      </c>
      <c r="G60" s="1">
        <f t="shared" si="13"/>
        <v>0</v>
      </c>
      <c r="K60" s="1">
        <f t="shared" si="14"/>
        <v>0</v>
      </c>
      <c r="O60" s="1">
        <f t="shared" si="15"/>
        <v>0</v>
      </c>
      <c r="S60" s="1">
        <f t="shared" si="16"/>
        <v>0</v>
      </c>
      <c r="W60" s="1">
        <f t="shared" si="17"/>
        <v>0</v>
      </c>
    </row>
    <row r="61" spans="1:23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</row>
    <row r="63" spans="1:23" x14ac:dyDescent="0.2">
      <c r="A63" s="1" t="s">
        <v>127</v>
      </c>
      <c r="B63" s="17">
        <f>VLOOKUP(A63,weights_rs!$A:$B,2,FALSE)</f>
        <v>5</v>
      </c>
      <c r="C63" s="7" t="b">
        <f>(B65+F65+J65+N65+R65+V65)=100</f>
        <v>1</v>
      </c>
    </row>
    <row r="64" spans="1:23" x14ac:dyDescent="0.2">
      <c r="A64" s="10" t="s">
        <v>20</v>
      </c>
      <c r="B64" s="7" t="b">
        <f>B65=SUM(B66:B70)</f>
        <v>1</v>
      </c>
      <c r="E64" s="10" t="s">
        <v>20</v>
      </c>
      <c r="F64" s="7" t="b">
        <f>F65=SUM(F66:F70)</f>
        <v>1</v>
      </c>
      <c r="I64" s="10" t="s">
        <v>20</v>
      </c>
      <c r="J64" s="7" t="b">
        <f>J65=SUM(J66:J70)</f>
        <v>1</v>
      </c>
      <c r="M64" s="10" t="s">
        <v>20</v>
      </c>
      <c r="N64" s="7" t="b">
        <f>N65=SUM(N66:N70)</f>
        <v>1</v>
      </c>
      <c r="Q64" s="10" t="s">
        <v>20</v>
      </c>
      <c r="R64" s="7" t="b">
        <f>R65=SUM(R66:R70)</f>
        <v>1</v>
      </c>
      <c r="U64" s="10" t="s">
        <v>20</v>
      </c>
      <c r="V64" s="7" t="b">
        <f>V65=SUM(V66:V70)</f>
        <v>1</v>
      </c>
    </row>
    <row r="65" spans="1:23" s="1" customFormat="1" x14ac:dyDescent="0.2">
      <c r="A65" s="1" t="s">
        <v>5</v>
      </c>
      <c r="B65" s="1">
        <v>25</v>
      </c>
      <c r="C65" s="1">
        <f>B65*($B$63/100)</f>
        <v>1.25</v>
      </c>
      <c r="E65" s="1" t="s">
        <v>7</v>
      </c>
      <c r="F65" s="1">
        <v>25</v>
      </c>
      <c r="G65" s="1">
        <f>F65*($B$63/100)</f>
        <v>1.25</v>
      </c>
      <c r="I65" s="1" t="s">
        <v>13</v>
      </c>
      <c r="J65" s="1">
        <v>20</v>
      </c>
      <c r="K65" s="1">
        <f>J65*($B$63/100)</f>
        <v>1</v>
      </c>
      <c r="M65" s="1" t="s">
        <v>9</v>
      </c>
      <c r="N65" s="1">
        <v>20</v>
      </c>
      <c r="O65" s="1">
        <f>N65*($B$63/100)</f>
        <v>1</v>
      </c>
      <c r="Q65" s="1" t="s">
        <v>117</v>
      </c>
      <c r="R65" s="1">
        <v>5</v>
      </c>
      <c r="S65" s="1">
        <f>R65*($B$63/100)</f>
        <v>0.25</v>
      </c>
      <c r="U65" s="1" t="s">
        <v>12</v>
      </c>
      <c r="V65" s="1">
        <v>5</v>
      </c>
      <c r="W65" s="1">
        <f>V65*($B$63/100)</f>
        <v>0.25</v>
      </c>
    </row>
    <row r="66" spans="1:23" x14ac:dyDescent="0.2">
      <c r="A66" t="s">
        <v>24</v>
      </c>
      <c r="B66">
        <v>19</v>
      </c>
      <c r="C66" s="1">
        <f t="shared" ref="C66:C69" si="18">B66*($B$63/100)</f>
        <v>0.95000000000000007</v>
      </c>
      <c r="E66" t="s">
        <v>8</v>
      </c>
      <c r="F66">
        <v>10</v>
      </c>
      <c r="G66" s="1">
        <f t="shared" ref="G66:G69" si="19">F66*($B$63/100)</f>
        <v>0.5</v>
      </c>
      <c r="I66" t="s">
        <v>23</v>
      </c>
      <c r="J66">
        <v>20</v>
      </c>
      <c r="K66" s="1">
        <f t="shared" ref="K66:K69" si="20">J66*($B$63/100)</f>
        <v>1</v>
      </c>
      <c r="M66" t="s">
        <v>10</v>
      </c>
      <c r="N66">
        <v>20</v>
      </c>
      <c r="O66" s="1">
        <f t="shared" ref="O66:O69" si="21">N66*($B$63/100)</f>
        <v>1</v>
      </c>
      <c r="Q66" t="s">
        <v>14</v>
      </c>
      <c r="R66">
        <v>5</v>
      </c>
      <c r="S66" s="1">
        <f t="shared" ref="S66:S69" si="22">R66*($B$63/100)</f>
        <v>0.25</v>
      </c>
      <c r="U66" t="s">
        <v>12</v>
      </c>
      <c r="V66">
        <v>5</v>
      </c>
      <c r="W66" s="1">
        <f t="shared" ref="W66:W69" si="23">V66*($B$63/100)</f>
        <v>0.25</v>
      </c>
    </row>
    <row r="67" spans="1:23" x14ac:dyDescent="0.2">
      <c r="A67" t="s">
        <v>79</v>
      </c>
      <c r="B67">
        <v>2</v>
      </c>
      <c r="C67" s="1">
        <f t="shared" si="18"/>
        <v>0.1</v>
      </c>
      <c r="E67" t="s">
        <v>27</v>
      </c>
      <c r="F67">
        <v>10</v>
      </c>
      <c r="G67" s="1">
        <f t="shared" si="19"/>
        <v>0.5</v>
      </c>
      <c r="K67" s="1">
        <f t="shared" si="20"/>
        <v>0</v>
      </c>
      <c r="O67" s="1">
        <f t="shared" si="21"/>
        <v>0</v>
      </c>
      <c r="S67" s="1">
        <f t="shared" si="22"/>
        <v>0</v>
      </c>
      <c r="W67" s="1">
        <f t="shared" si="23"/>
        <v>0</v>
      </c>
    </row>
    <row r="68" spans="1:23" x14ac:dyDescent="0.2">
      <c r="A68" t="s">
        <v>80</v>
      </c>
      <c r="B68">
        <v>2</v>
      </c>
      <c r="C68" s="1">
        <f t="shared" si="18"/>
        <v>0.1</v>
      </c>
      <c r="E68" t="s">
        <v>85</v>
      </c>
      <c r="F68">
        <v>5</v>
      </c>
      <c r="G68" s="1">
        <f t="shared" si="19"/>
        <v>0.25</v>
      </c>
      <c r="K68" s="1">
        <f t="shared" si="20"/>
        <v>0</v>
      </c>
      <c r="O68" s="1">
        <f t="shared" si="21"/>
        <v>0</v>
      </c>
      <c r="S68" s="1">
        <f t="shared" si="22"/>
        <v>0</v>
      </c>
      <c r="W68" s="1">
        <f t="shared" si="23"/>
        <v>0</v>
      </c>
    </row>
    <row r="69" spans="1:23" x14ac:dyDescent="0.2">
      <c r="A69" t="s">
        <v>81</v>
      </c>
      <c r="B69">
        <v>2</v>
      </c>
      <c r="C69" s="1">
        <f t="shared" si="18"/>
        <v>0.1</v>
      </c>
      <c r="G69" s="1">
        <f t="shared" si="19"/>
        <v>0</v>
      </c>
      <c r="K69" s="1">
        <f t="shared" si="20"/>
        <v>0</v>
      </c>
      <c r="O69" s="1">
        <f t="shared" si="21"/>
        <v>0</v>
      </c>
      <c r="S69" s="1">
        <f t="shared" si="22"/>
        <v>0</v>
      </c>
      <c r="W69" s="1">
        <f t="shared" si="23"/>
        <v>0</v>
      </c>
    </row>
    <row r="70" spans="1:23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</row>
    <row r="72" spans="1:23" x14ac:dyDescent="0.2">
      <c r="A72" s="1" t="s">
        <v>128</v>
      </c>
      <c r="B72" s="17">
        <f>VLOOKUP(A72,weights_rs!$A:$B,2,FALSE)</f>
        <v>5</v>
      </c>
      <c r="C72" s="7" t="b">
        <f>(B74+F74+J74+N74+R74+V74)=100</f>
        <v>1</v>
      </c>
    </row>
    <row r="73" spans="1:23" x14ac:dyDescent="0.2">
      <c r="A73" s="10" t="s">
        <v>20</v>
      </c>
      <c r="B73" s="7" t="b">
        <f>B74=SUM(B75:B79)</f>
        <v>1</v>
      </c>
      <c r="E73" s="10" t="s">
        <v>20</v>
      </c>
      <c r="F73" s="7" t="b">
        <f>F74=SUM(F75:F79)</f>
        <v>1</v>
      </c>
      <c r="I73" s="10" t="s">
        <v>20</v>
      </c>
      <c r="J73" s="7" t="b">
        <f>J74=SUM(J75:J79)</f>
        <v>1</v>
      </c>
      <c r="M73" s="10" t="s">
        <v>20</v>
      </c>
      <c r="N73" s="7" t="b">
        <f>N74=SUM(N75:N79)</f>
        <v>1</v>
      </c>
      <c r="Q73" s="10" t="s">
        <v>20</v>
      </c>
      <c r="R73" s="7" t="b">
        <f>R74=SUM(R75:R79)</f>
        <v>1</v>
      </c>
      <c r="U73" s="10" t="s">
        <v>20</v>
      </c>
      <c r="V73" s="7" t="b">
        <f>V74=SUM(V75:V79)</f>
        <v>1</v>
      </c>
    </row>
    <row r="74" spans="1:23" s="1" customFormat="1" x14ac:dyDescent="0.2">
      <c r="A74" s="1" t="s">
        <v>5</v>
      </c>
      <c r="B74" s="1">
        <v>25</v>
      </c>
      <c r="C74" s="1">
        <f>B74*($B$72/100)</f>
        <v>1.25</v>
      </c>
      <c r="E74" s="1" t="s">
        <v>7</v>
      </c>
      <c r="F74" s="1">
        <v>25</v>
      </c>
      <c r="G74" s="1">
        <f>F74*($B$72/100)</f>
        <v>1.25</v>
      </c>
      <c r="I74" s="1" t="s">
        <v>13</v>
      </c>
      <c r="J74" s="1">
        <v>20</v>
      </c>
      <c r="K74" s="1">
        <f>J74*($B$72/100)</f>
        <v>1</v>
      </c>
      <c r="M74" s="1" t="s">
        <v>9</v>
      </c>
      <c r="N74" s="1">
        <v>20</v>
      </c>
      <c r="O74" s="1">
        <f>N74*($B$72/100)</f>
        <v>1</v>
      </c>
      <c r="Q74" s="1" t="s">
        <v>117</v>
      </c>
      <c r="R74" s="1">
        <v>5</v>
      </c>
      <c r="S74" s="1">
        <f>R74*($B$72/100)</f>
        <v>0.25</v>
      </c>
      <c r="U74" s="1" t="s">
        <v>12</v>
      </c>
      <c r="V74" s="1">
        <v>5</v>
      </c>
      <c r="W74" s="1">
        <f>V74*($B$72/100)</f>
        <v>0.25</v>
      </c>
    </row>
    <row r="75" spans="1:23" x14ac:dyDescent="0.2">
      <c r="A75" t="s">
        <v>25</v>
      </c>
      <c r="B75">
        <v>19</v>
      </c>
      <c r="C75" s="1">
        <f t="shared" ref="C75:C78" si="24">B75*($B$72/100)</f>
        <v>0.95000000000000007</v>
      </c>
      <c r="E75" t="s">
        <v>8</v>
      </c>
      <c r="F75">
        <v>10</v>
      </c>
      <c r="G75" s="1">
        <f t="shared" ref="G75:G78" si="25">F75*($B$72/100)</f>
        <v>0.5</v>
      </c>
      <c r="I75" t="s">
        <v>23</v>
      </c>
      <c r="J75">
        <v>20</v>
      </c>
      <c r="K75" s="1">
        <f t="shared" ref="K75:K78" si="26">J75*($B$72/100)</f>
        <v>1</v>
      </c>
      <c r="M75" t="s">
        <v>10</v>
      </c>
      <c r="N75">
        <v>20</v>
      </c>
      <c r="O75" s="1">
        <f t="shared" ref="O75:O78" si="27">N75*($B$72/100)</f>
        <v>1</v>
      </c>
      <c r="Q75" t="s">
        <v>14</v>
      </c>
      <c r="R75">
        <v>5</v>
      </c>
      <c r="S75" s="1">
        <f t="shared" ref="S75:S78" si="28">R75*($B$72/100)</f>
        <v>0.25</v>
      </c>
      <c r="U75" t="s">
        <v>12</v>
      </c>
      <c r="V75">
        <v>5</v>
      </c>
      <c r="W75" s="1">
        <f t="shared" ref="W75:W78" si="29">V75*($B$72/100)</f>
        <v>0.25</v>
      </c>
    </row>
    <row r="76" spans="1:23" x14ac:dyDescent="0.2">
      <c r="A76" t="s">
        <v>79</v>
      </c>
      <c r="B76">
        <v>2</v>
      </c>
      <c r="C76" s="1">
        <f t="shared" si="24"/>
        <v>0.1</v>
      </c>
      <c r="E76" t="s">
        <v>27</v>
      </c>
      <c r="F76">
        <v>10</v>
      </c>
      <c r="G76" s="1">
        <f t="shared" si="25"/>
        <v>0.5</v>
      </c>
      <c r="K76" s="1">
        <f t="shared" si="26"/>
        <v>0</v>
      </c>
      <c r="O76" s="1">
        <f t="shared" si="27"/>
        <v>0</v>
      </c>
      <c r="S76" s="1">
        <f t="shared" si="28"/>
        <v>0</v>
      </c>
      <c r="W76" s="1">
        <f t="shared" si="29"/>
        <v>0</v>
      </c>
    </row>
    <row r="77" spans="1:23" x14ac:dyDescent="0.2">
      <c r="A77" t="s">
        <v>80</v>
      </c>
      <c r="B77">
        <v>2</v>
      </c>
      <c r="C77" s="1">
        <f t="shared" si="24"/>
        <v>0.1</v>
      </c>
      <c r="E77" t="s">
        <v>85</v>
      </c>
      <c r="F77">
        <v>5</v>
      </c>
      <c r="G77" s="1">
        <f t="shared" si="25"/>
        <v>0.25</v>
      </c>
      <c r="K77" s="1">
        <f t="shared" si="26"/>
        <v>0</v>
      </c>
      <c r="O77" s="1">
        <f t="shared" si="27"/>
        <v>0</v>
      </c>
      <c r="S77" s="1">
        <f t="shared" si="28"/>
        <v>0</v>
      </c>
      <c r="W77" s="1">
        <f t="shared" si="29"/>
        <v>0</v>
      </c>
    </row>
    <row r="78" spans="1:23" x14ac:dyDescent="0.2">
      <c r="A78" t="s">
        <v>81</v>
      </c>
      <c r="B78">
        <v>2</v>
      </c>
      <c r="C78" s="1">
        <f t="shared" si="24"/>
        <v>0.1</v>
      </c>
      <c r="G78" s="1">
        <f t="shared" si="25"/>
        <v>0</v>
      </c>
      <c r="K78" s="1">
        <f t="shared" si="26"/>
        <v>0</v>
      </c>
      <c r="O78" s="1">
        <f t="shared" si="27"/>
        <v>0</v>
      </c>
      <c r="S78" s="1">
        <f t="shared" si="28"/>
        <v>0</v>
      </c>
      <c r="W78" s="1">
        <f t="shared" si="29"/>
        <v>0</v>
      </c>
    </row>
    <row r="79" spans="1:23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</row>
    <row r="81" spans="1:23" x14ac:dyDescent="0.2">
      <c r="A81" s="1" t="s">
        <v>129</v>
      </c>
      <c r="B81" s="17">
        <f>VLOOKUP(A81,weights_rs!$A:$B,2,FALSE)</f>
        <v>5</v>
      </c>
      <c r="C81" s="7" t="b">
        <f>(B83+F83+J83+N83+R83+V83)=100</f>
        <v>1</v>
      </c>
    </row>
    <row r="82" spans="1:23" x14ac:dyDescent="0.2">
      <c r="A82" s="10" t="s">
        <v>20</v>
      </c>
      <c r="B82" s="7" t="b">
        <f>B83=SUM(B84:B88)</f>
        <v>1</v>
      </c>
      <c r="E82" s="10" t="s">
        <v>20</v>
      </c>
      <c r="F82" s="7" t="b">
        <f>F83=SUM(F84:F88)</f>
        <v>1</v>
      </c>
      <c r="I82" s="10" t="s">
        <v>20</v>
      </c>
      <c r="J82" s="7" t="b">
        <f>J83=SUM(J84:J88)</f>
        <v>1</v>
      </c>
      <c r="M82" s="10" t="s">
        <v>20</v>
      </c>
      <c r="N82" s="7" t="b">
        <f>N83=SUM(N84:N88)</f>
        <v>1</v>
      </c>
      <c r="Q82" s="10" t="s">
        <v>20</v>
      </c>
      <c r="R82" s="7" t="b">
        <f>R83=SUM(R84:R88)</f>
        <v>1</v>
      </c>
      <c r="U82" s="10" t="s">
        <v>20</v>
      </c>
      <c r="V82" s="7" t="b">
        <f>V83=SUM(V84:V88)</f>
        <v>1</v>
      </c>
    </row>
    <row r="83" spans="1:23" s="1" customFormat="1" x14ac:dyDescent="0.2">
      <c r="A83" s="1" t="s">
        <v>5</v>
      </c>
      <c r="B83" s="1">
        <v>25</v>
      </c>
      <c r="C83" s="1">
        <f>B83*($B$81/100)</f>
        <v>1.25</v>
      </c>
      <c r="E83" s="1" t="s">
        <v>7</v>
      </c>
      <c r="F83" s="1">
        <v>25</v>
      </c>
      <c r="G83" s="1">
        <f>F83*($B$81/100)</f>
        <v>1.25</v>
      </c>
      <c r="I83" s="1" t="s">
        <v>13</v>
      </c>
      <c r="J83" s="1">
        <v>20</v>
      </c>
      <c r="K83" s="1">
        <f>J83*($B$81/100)</f>
        <v>1</v>
      </c>
      <c r="M83" s="1" t="s">
        <v>9</v>
      </c>
      <c r="N83" s="1">
        <v>20</v>
      </c>
      <c r="O83" s="1">
        <f>N83*($B$81/100)</f>
        <v>1</v>
      </c>
      <c r="Q83" s="1" t="s">
        <v>117</v>
      </c>
      <c r="R83" s="1">
        <v>5</v>
      </c>
      <c r="S83" s="1">
        <f>R83*($B$81/100)</f>
        <v>0.25</v>
      </c>
      <c r="U83" s="1" t="s">
        <v>12</v>
      </c>
      <c r="V83" s="1">
        <v>5</v>
      </c>
      <c r="W83" s="1">
        <f>V83*($B$81/100)</f>
        <v>0.25</v>
      </c>
    </row>
    <row r="84" spans="1:23" x14ac:dyDescent="0.2">
      <c r="A84" t="s">
        <v>26</v>
      </c>
      <c r="B84">
        <v>19</v>
      </c>
      <c r="C84" s="1">
        <f t="shared" ref="C84:C87" si="30">B84*($B$81/100)</f>
        <v>0.95000000000000007</v>
      </c>
      <c r="E84" t="s">
        <v>8</v>
      </c>
      <c r="F84">
        <v>10</v>
      </c>
      <c r="G84" s="1">
        <f t="shared" ref="G84:G87" si="31">F84*($B$81/100)</f>
        <v>0.5</v>
      </c>
      <c r="I84" t="s">
        <v>23</v>
      </c>
      <c r="J84">
        <v>20</v>
      </c>
      <c r="K84" s="1">
        <f t="shared" ref="K84:K87" si="32">J84*($B$81/100)</f>
        <v>1</v>
      </c>
      <c r="M84" t="s">
        <v>10</v>
      </c>
      <c r="N84">
        <v>20</v>
      </c>
      <c r="O84" s="1">
        <f t="shared" ref="O84:O87" si="33">N84*($B$81/100)</f>
        <v>1</v>
      </c>
      <c r="Q84" t="s">
        <v>14</v>
      </c>
      <c r="R84">
        <v>5</v>
      </c>
      <c r="S84" s="1">
        <f t="shared" ref="S84:S87" si="34">R84*($B$81/100)</f>
        <v>0.25</v>
      </c>
      <c r="U84" t="s">
        <v>12</v>
      </c>
      <c r="V84">
        <v>5</v>
      </c>
      <c r="W84" s="1">
        <f t="shared" ref="W84:W87" si="35">V84*($B$81/100)</f>
        <v>0.25</v>
      </c>
    </row>
    <row r="85" spans="1:23" x14ac:dyDescent="0.2">
      <c r="A85" t="s">
        <v>79</v>
      </c>
      <c r="B85">
        <v>2</v>
      </c>
      <c r="C85" s="1">
        <f t="shared" si="30"/>
        <v>0.1</v>
      </c>
      <c r="E85" t="s">
        <v>27</v>
      </c>
      <c r="F85">
        <v>10</v>
      </c>
      <c r="G85" s="1">
        <f t="shared" si="31"/>
        <v>0.5</v>
      </c>
      <c r="K85" s="1">
        <f t="shared" si="32"/>
        <v>0</v>
      </c>
      <c r="O85" s="1">
        <f t="shared" si="33"/>
        <v>0</v>
      </c>
      <c r="S85" s="1">
        <f t="shared" si="34"/>
        <v>0</v>
      </c>
      <c r="W85" s="1">
        <f t="shared" si="35"/>
        <v>0</v>
      </c>
    </row>
    <row r="86" spans="1:23" x14ac:dyDescent="0.2">
      <c r="A86" t="s">
        <v>80</v>
      </c>
      <c r="B86">
        <v>2</v>
      </c>
      <c r="C86" s="1">
        <f t="shared" si="30"/>
        <v>0.1</v>
      </c>
      <c r="E86" t="s">
        <v>85</v>
      </c>
      <c r="F86">
        <v>5</v>
      </c>
      <c r="G86" s="1">
        <f t="shared" si="31"/>
        <v>0.25</v>
      </c>
      <c r="K86" s="1">
        <f t="shared" si="32"/>
        <v>0</v>
      </c>
      <c r="O86" s="1">
        <f t="shared" si="33"/>
        <v>0</v>
      </c>
      <c r="S86" s="1">
        <f t="shared" si="34"/>
        <v>0</v>
      </c>
      <c r="W86" s="1">
        <f t="shared" si="35"/>
        <v>0</v>
      </c>
    </row>
    <row r="87" spans="1:23" x14ac:dyDescent="0.2">
      <c r="A87" t="s">
        <v>81</v>
      </c>
      <c r="B87">
        <v>2</v>
      </c>
      <c r="C87" s="1">
        <f t="shared" si="30"/>
        <v>0.1</v>
      </c>
      <c r="G87" s="1">
        <f t="shared" si="31"/>
        <v>0</v>
      </c>
      <c r="K87" s="1">
        <f t="shared" si="32"/>
        <v>0</v>
      </c>
      <c r="O87" s="1">
        <f t="shared" si="33"/>
        <v>0</v>
      </c>
      <c r="S87" s="1">
        <f t="shared" si="34"/>
        <v>0</v>
      </c>
      <c r="W87" s="1">
        <f t="shared" si="35"/>
        <v>0</v>
      </c>
    </row>
    <row r="88" spans="1:23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</row>
  </sheetData>
  <conditionalFormatting sqref="B22 F22 J22 N22 R22 V22 V35 R35 N35 J35 F35 B35 B64 F64 J64 N64 R64 V64 V73 R73 N73 J73 F73 B73 V82 R82 N82 J82 F82 B82">
    <cfRule type="cellIs" dxfId="14" priority="9" operator="equal">
      <formula>TRUE</formula>
    </cfRule>
  </conditionalFormatting>
  <conditionalFormatting sqref="C21">
    <cfRule type="cellIs" dxfId="13" priority="8" operator="equal">
      <formula>TRUE</formula>
    </cfRule>
  </conditionalFormatting>
  <conditionalFormatting sqref="C34">
    <cfRule type="cellIs" dxfId="12" priority="7" operator="equal">
      <formula>TRUE</formula>
    </cfRule>
  </conditionalFormatting>
  <conditionalFormatting sqref="C72">
    <cfRule type="cellIs" dxfId="10" priority="5" operator="equal">
      <formula>TRUE</formula>
    </cfRule>
  </conditionalFormatting>
  <conditionalFormatting sqref="C81">
    <cfRule type="cellIs" dxfId="9" priority="4" operator="equal">
      <formula>TRUE</formula>
    </cfRule>
  </conditionalFormatting>
  <conditionalFormatting sqref="C63">
    <cfRule type="cellIs" dxfId="8" priority="3" operator="equal">
      <formula>TRUE</formula>
    </cfRule>
  </conditionalFormatting>
  <conditionalFormatting sqref="B55 F55 J55 N55 R55 V55">
    <cfRule type="cellIs" dxfId="1" priority="2" operator="equal">
      <formula>TRUE</formula>
    </cfRule>
  </conditionalFormatting>
  <conditionalFormatting sqref="C54">
    <cfRule type="cellIs" dxfId="0" priority="1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9EC55-B648-3A4C-A439-D742FEF9A099}">
  <dimension ref="A1:C10"/>
  <sheetViews>
    <sheetView zoomScale="150" workbookViewId="0">
      <pane ySplit="2" topLeftCell="A3" activePane="bottomLeft" state="frozen"/>
      <selection pane="bottomLeft" activeCell="B3" sqref="B3:B8"/>
    </sheetView>
  </sheetViews>
  <sheetFormatPr baseColWidth="10" defaultRowHeight="16" x14ac:dyDescent="0.2"/>
  <cols>
    <col min="1" max="1" width="22.83203125" bestFit="1" customWidth="1"/>
    <col min="2" max="2" width="11.83203125" bestFit="1" customWidth="1"/>
    <col min="3" max="3" width="4.33203125" customWidth="1"/>
    <col min="4" max="4" width="24.83203125" customWidth="1"/>
  </cols>
  <sheetData>
    <row r="1" spans="1:3" x14ac:dyDescent="0.2">
      <c r="A1" s="7" t="s">
        <v>20</v>
      </c>
      <c r="B1" s="4">
        <f>SUM(B3:B20)</f>
        <v>100</v>
      </c>
    </row>
    <row r="2" spans="1:3" s="1" customFormat="1" x14ac:dyDescent="0.2">
      <c r="A2" s="5" t="s">
        <v>0</v>
      </c>
      <c r="B2" s="5" t="s">
        <v>3</v>
      </c>
    </row>
    <row r="3" spans="1:3" x14ac:dyDescent="0.2">
      <c r="A3" s="2" t="s">
        <v>11</v>
      </c>
      <c r="B3" s="3">
        <v>50</v>
      </c>
      <c r="C3" s="16">
        <v>45</v>
      </c>
    </row>
    <row r="4" spans="1:3" x14ac:dyDescent="0.2">
      <c r="A4" s="2" t="s">
        <v>16</v>
      </c>
      <c r="B4" s="3">
        <v>25</v>
      </c>
      <c r="C4" s="16">
        <v>20</v>
      </c>
    </row>
    <row r="5" spans="1:3" x14ac:dyDescent="0.2">
      <c r="A5" s="2" t="s">
        <v>15</v>
      </c>
      <c r="B5" s="3">
        <v>5</v>
      </c>
      <c r="C5" s="16">
        <v>5</v>
      </c>
    </row>
    <row r="6" spans="1:3" x14ac:dyDescent="0.2">
      <c r="A6" s="2" t="s">
        <v>4</v>
      </c>
      <c r="B6" s="3">
        <v>10</v>
      </c>
      <c r="C6" s="16">
        <v>10</v>
      </c>
    </row>
    <row r="7" spans="1:3" x14ac:dyDescent="0.2">
      <c r="A7" s="2" t="s">
        <v>17</v>
      </c>
      <c r="B7" s="3">
        <v>5</v>
      </c>
      <c r="C7" s="16">
        <v>5</v>
      </c>
    </row>
    <row r="8" spans="1:3" x14ac:dyDescent="0.2">
      <c r="A8" s="2" t="s">
        <v>18</v>
      </c>
      <c r="B8" s="3">
        <v>5</v>
      </c>
      <c r="C8" s="16">
        <v>5</v>
      </c>
    </row>
    <row r="9" spans="1:3" x14ac:dyDescent="0.2">
      <c r="A9" s="15" t="s">
        <v>19</v>
      </c>
      <c r="B9" s="16"/>
      <c r="C9" s="16">
        <v>10</v>
      </c>
    </row>
    <row r="10" spans="1:3" x14ac:dyDescent="0.2">
      <c r="B10" s="3"/>
    </row>
  </sheetData>
  <conditionalFormatting sqref="B1">
    <cfRule type="cellIs" dxfId="7" priority="1" operator="equal">
      <formula>100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1F980-2E5F-EC49-B62F-4F6A4A27A40F}">
  <dimension ref="A1:O61"/>
  <sheetViews>
    <sheetView workbookViewId="0">
      <pane ySplit="1" topLeftCell="A2" activePane="bottomLeft" state="frozen"/>
      <selection pane="bottomLeft" activeCell="F13" sqref="F13"/>
    </sheetView>
  </sheetViews>
  <sheetFormatPr baseColWidth="10" defaultRowHeight="16" x14ac:dyDescent="0.2"/>
  <cols>
    <col min="1" max="1" width="22.83203125" bestFit="1" customWidth="1"/>
    <col min="2" max="2" width="14.5" bestFit="1" customWidth="1"/>
    <col min="3" max="3" width="16.83203125" bestFit="1" customWidth="1"/>
    <col min="4" max="4" width="9.5" bestFit="1" customWidth="1"/>
    <col min="5" max="5" width="4.6640625" customWidth="1"/>
    <col min="6" max="6" width="22.83203125" bestFit="1" customWidth="1"/>
    <col min="7" max="7" width="6.5" style="8" bestFit="1" customWidth="1"/>
    <col min="8" max="8" width="3.6640625" customWidth="1"/>
    <col min="9" max="9" width="12" bestFit="1" customWidth="1"/>
    <col min="10" max="10" width="6.5" style="8" bestFit="1" customWidth="1"/>
    <col min="11" max="11" width="1.83203125" customWidth="1"/>
    <col min="12" max="12" width="14.33203125" bestFit="1" customWidth="1"/>
    <col min="13" max="13" width="6.5" style="8" bestFit="1" customWidth="1"/>
    <col min="15" max="15" width="29.83203125" bestFit="1" customWidth="1"/>
  </cols>
  <sheetData>
    <row r="1" spans="1:15" s="1" customFormat="1" x14ac:dyDescent="0.2">
      <c r="A1" s="6" t="s">
        <v>0</v>
      </c>
      <c r="B1" s="6" t="s">
        <v>1</v>
      </c>
      <c r="C1" s="6" t="s">
        <v>2</v>
      </c>
      <c r="D1" s="6" t="s">
        <v>3</v>
      </c>
      <c r="F1" s="7" t="str" cm="1">
        <f t="array" ref="F1:F8">_xlfn.UNIQUE(A:A)</f>
        <v>RevenueStream</v>
      </c>
      <c r="G1" s="7" t="s">
        <v>21</v>
      </c>
      <c r="I1" s="7" t="str" cm="1">
        <f t="array" ref="I1:I8">_xlfn.UNIQUE(B:B)</f>
        <v>BudgetGroup</v>
      </c>
      <c r="J1" s="7" t="s">
        <v>21</v>
      </c>
      <c r="L1" s="7" t="str" cm="1">
        <f t="array" ref="L1:L14">_xlfn.UNIQUE(C:C)</f>
        <v>RequestingArea</v>
      </c>
      <c r="M1" s="7" t="s">
        <v>21</v>
      </c>
      <c r="O1" s="7" t="s">
        <v>77</v>
      </c>
    </row>
    <row r="2" spans="1:15" x14ac:dyDescent="0.2">
      <c r="A2" t="s">
        <v>4</v>
      </c>
      <c r="B2" t="s">
        <v>5</v>
      </c>
      <c r="C2" t="s">
        <v>22</v>
      </c>
      <c r="D2">
        <v>40</v>
      </c>
      <c r="F2" t="str">
        <v>Business Solutions</v>
      </c>
      <c r="G2" s="7">
        <f ca="1">SUMIF($A:$D,F2,$D:$D)</f>
        <v>100</v>
      </c>
      <c r="I2" t="str">
        <v>Commercial</v>
      </c>
      <c r="J2" s="4">
        <f ca="1">SUMIF($B:$D,I2,$D:$D)</f>
        <v>215</v>
      </c>
      <c r="L2" t="str">
        <v>GP B2B</v>
      </c>
      <c r="M2" s="4">
        <f ca="1">SUMIF($C:$D,L2,$D:$D)</f>
        <v>75</v>
      </c>
      <c r="O2" t="str">
        <f>A2&amp;"-"&amp;C2</f>
        <v>Business Solutions-GP B2B</v>
      </c>
    </row>
    <row r="3" spans="1:15" x14ac:dyDescent="0.2">
      <c r="A3" t="s">
        <v>4</v>
      </c>
      <c r="B3" t="s">
        <v>6</v>
      </c>
      <c r="C3" t="s">
        <v>14</v>
      </c>
      <c r="D3">
        <v>9</v>
      </c>
      <c r="F3" t="str">
        <v>eCommerce</v>
      </c>
      <c r="G3" s="7">
        <f ca="1">SUMIF($A:$D,F3,$D:$D)</f>
        <v>100</v>
      </c>
      <c r="I3" t="str">
        <v>Data&amp;AI</v>
      </c>
      <c r="J3" s="4">
        <f ca="1">SUMIF($B:$D,I3,$D:$D)</f>
        <v>59</v>
      </c>
      <c r="L3" t="str">
        <v>DAI</v>
      </c>
      <c r="M3" s="4">
        <f ca="1">SUMIF($C:$D,L3,$D:$D)</f>
        <v>59</v>
      </c>
      <c r="O3" t="str">
        <f t="shared" ref="O3:O61" si="0">A3&amp;"-"&amp;C3</f>
        <v>Business Solutions-DAI</v>
      </c>
    </row>
    <row r="4" spans="1:15" x14ac:dyDescent="0.2">
      <c r="A4" t="s">
        <v>4</v>
      </c>
      <c r="B4" t="s">
        <v>7</v>
      </c>
      <c r="C4" t="s">
        <v>8</v>
      </c>
      <c r="D4">
        <v>1</v>
      </c>
      <c r="F4" t="str">
        <v>Fulfilment</v>
      </c>
      <c r="G4" s="7">
        <f ca="1">SUMIF($A:$D,F4,$D:$D)</f>
        <v>100</v>
      </c>
      <c r="I4" t="str">
        <v>Operations</v>
      </c>
      <c r="J4" s="4">
        <f ca="1">SUMIF($B:$D,I4,$D:$D)</f>
        <v>101</v>
      </c>
      <c r="L4" t="str">
        <v>EDO</v>
      </c>
      <c r="M4" s="4">
        <f ca="1">SUMIF($C:$D,L4,$D:$D)</f>
        <v>91</v>
      </c>
      <c r="O4" t="str">
        <f t="shared" si="0"/>
        <v>Business Solutions-EDO</v>
      </c>
    </row>
    <row r="5" spans="1:15" x14ac:dyDescent="0.2">
      <c r="A5" t="s">
        <v>4</v>
      </c>
      <c r="B5" t="s">
        <v>9</v>
      </c>
      <c r="C5" t="s">
        <v>10</v>
      </c>
      <c r="D5">
        <v>20</v>
      </c>
      <c r="F5" t="str">
        <v>Mail</v>
      </c>
      <c r="G5" s="7">
        <f ca="1">SUMIF($A:$D,F5,$D:$D)</f>
        <v>100</v>
      </c>
      <c r="I5" t="str">
        <v>Technology</v>
      </c>
      <c r="J5" s="4">
        <f ca="1">SUMIF($B:$D,I5,$D:$D)</f>
        <v>120</v>
      </c>
      <c r="L5" t="str">
        <v>SI</v>
      </c>
      <c r="M5" s="4">
        <f ca="1">SUMIF($C:$D,L5,$D:$D)</f>
        <v>120</v>
      </c>
      <c r="O5" t="str">
        <f t="shared" si="0"/>
        <v>Business Solutions-SI</v>
      </c>
    </row>
    <row r="6" spans="1:15" x14ac:dyDescent="0.2">
      <c r="A6" t="s">
        <v>4</v>
      </c>
      <c r="B6" t="s">
        <v>12</v>
      </c>
      <c r="C6" t="s">
        <v>12</v>
      </c>
      <c r="D6">
        <v>10</v>
      </c>
      <c r="F6" t="str">
        <v>Payments</v>
      </c>
      <c r="G6" s="7">
        <f ca="1">SUMIF($A:$D,F6,$D:$D)</f>
        <v>100</v>
      </c>
      <c r="I6" t="str">
        <v>CISO</v>
      </c>
      <c r="J6" s="4">
        <f ca="1">SUMIF($B:$D,I6,$D:$D)</f>
        <v>35</v>
      </c>
      <c r="L6" t="str">
        <v>CISO</v>
      </c>
      <c r="M6" s="4">
        <f ca="1">SUMIF($C:$D,L6,$D:$D)</f>
        <v>35</v>
      </c>
      <c r="O6" t="str">
        <f t="shared" si="0"/>
        <v>Business Solutions-CISO</v>
      </c>
    </row>
    <row r="7" spans="1:15" x14ac:dyDescent="0.2">
      <c r="A7" t="s">
        <v>4</v>
      </c>
      <c r="B7" t="s">
        <v>13</v>
      </c>
      <c r="C7" t="s">
        <v>23</v>
      </c>
      <c r="D7">
        <v>20</v>
      </c>
      <c r="F7" t="str">
        <v>Retail &amp; Financial Services</v>
      </c>
      <c r="G7" s="7">
        <f ca="1">SUMIF($A:$D,F7,$D:$D)</f>
        <v>100</v>
      </c>
      <c r="I7" t="str">
        <v>Corporate</v>
      </c>
      <c r="J7" s="4">
        <f ca="1">SUMIF($B:$D,I7,$D:$D)</f>
        <v>70</v>
      </c>
      <c r="L7" t="str">
        <v>CF</v>
      </c>
      <c r="M7" s="4">
        <f ca="1">SUMIF($C:$D,L7,$D:$D)</f>
        <v>68</v>
      </c>
      <c r="O7" t="str">
        <f t="shared" si="0"/>
        <v>Business Solutions-CF</v>
      </c>
    </row>
    <row r="8" spans="1:15" x14ac:dyDescent="0.2">
      <c r="A8" t="s">
        <v>11</v>
      </c>
      <c r="B8" t="s">
        <v>5</v>
      </c>
      <c r="C8" t="s">
        <v>24</v>
      </c>
      <c r="D8">
        <v>35</v>
      </c>
      <c r="F8">
        <v>0</v>
      </c>
      <c r="G8" s="7">
        <f ca="1">SUMIF($A:$D,F8,$D:$D)</f>
        <v>0</v>
      </c>
      <c r="I8">
        <v>0</v>
      </c>
      <c r="J8" s="4">
        <f ca="1">SUMIF($B:$D,I8,$D:$D)</f>
        <v>0</v>
      </c>
      <c r="L8" t="str">
        <v>GP ECL</v>
      </c>
      <c r="M8" s="4">
        <f ca="1">SUMIF($C:$D,L8,$D:$D)</f>
        <v>70</v>
      </c>
      <c r="O8" t="str">
        <f t="shared" si="0"/>
        <v>eCommerce-GP ECL</v>
      </c>
    </row>
    <row r="9" spans="1:15" x14ac:dyDescent="0.2">
      <c r="A9" t="s">
        <v>11</v>
      </c>
      <c r="B9" t="s">
        <v>6</v>
      </c>
      <c r="C9" t="s">
        <v>14</v>
      </c>
      <c r="D9">
        <v>10</v>
      </c>
      <c r="G9" s="7">
        <f ca="1">SUMIF($A:$D,F9,$D:$D)</f>
        <v>0</v>
      </c>
      <c r="J9" s="4">
        <f ca="1">SUMIF($B:$D,I9,$D:$D)</f>
        <v>0</v>
      </c>
      <c r="L9" t="str">
        <v>SEO</v>
      </c>
      <c r="M9" s="4">
        <f ca="1">SUMIF($C:$D,L9,$D:$D)</f>
        <v>10</v>
      </c>
      <c r="O9" t="str">
        <f t="shared" si="0"/>
        <v>eCommerce-DAI</v>
      </c>
    </row>
    <row r="10" spans="1:15" x14ac:dyDescent="0.2">
      <c r="A10" t="s">
        <v>11</v>
      </c>
      <c r="B10" t="s">
        <v>7</v>
      </c>
      <c r="C10" t="s">
        <v>8</v>
      </c>
      <c r="D10">
        <v>20</v>
      </c>
      <c r="G10" s="7">
        <f ca="1">SUMIF($A:$D,F10,$D:$D)</f>
        <v>0</v>
      </c>
      <c r="J10" s="4">
        <f ca="1">SUMIF($B:$D,I10,$D:$D)</f>
        <v>0</v>
      </c>
      <c r="L10" t="str">
        <v>BCTT</v>
      </c>
      <c r="M10" s="4">
        <f ca="1">SUMIF($C:$D,L10,$D:$D)</f>
        <v>1</v>
      </c>
      <c r="O10" t="str">
        <f t="shared" si="0"/>
        <v>eCommerce-EDO</v>
      </c>
    </row>
    <row r="11" spans="1:15" x14ac:dyDescent="0.2">
      <c r="A11" t="s">
        <v>11</v>
      </c>
      <c r="B11" t="s">
        <v>9</v>
      </c>
      <c r="C11" t="s">
        <v>10</v>
      </c>
      <c r="D11">
        <v>20</v>
      </c>
      <c r="G11" s="7">
        <f ca="1">SUMIF($A:$D,F11,$D:$D)</f>
        <v>0</v>
      </c>
      <c r="J11" s="4">
        <f ca="1">SUMIF($B:$D,I11,$D:$D)</f>
        <v>0</v>
      </c>
      <c r="L11" t="str">
        <v>GRH</v>
      </c>
      <c r="M11" s="4">
        <f ca="1">SUMIF($C:$D,L11,$D:$D)</f>
        <v>1</v>
      </c>
      <c r="O11" t="str">
        <f t="shared" si="0"/>
        <v>eCommerce-SI</v>
      </c>
    </row>
    <row r="12" spans="1:15" x14ac:dyDescent="0.2">
      <c r="A12" t="s">
        <v>11</v>
      </c>
      <c r="B12" t="s">
        <v>12</v>
      </c>
      <c r="C12" t="s">
        <v>12</v>
      </c>
      <c r="D12">
        <v>5</v>
      </c>
      <c r="G12" s="7">
        <f ca="1">SUMIF($A:$D,F12,$D:$D)</f>
        <v>0</v>
      </c>
      <c r="J12" s="4">
        <f ca="1">SUMIF($B:$D,I12,$D:$D)</f>
        <v>0</v>
      </c>
      <c r="L12" t="str">
        <v>GPG</v>
      </c>
      <c r="M12" s="4">
        <f ca="1">SUMIF($C:$D,L12,$D:$D)</f>
        <v>35</v>
      </c>
      <c r="O12" t="str">
        <f t="shared" si="0"/>
        <v>eCommerce-CISO</v>
      </c>
    </row>
    <row r="13" spans="1:15" x14ac:dyDescent="0.2">
      <c r="A13" t="s">
        <v>11</v>
      </c>
      <c r="B13" t="s">
        <v>13</v>
      </c>
      <c r="C13" t="s">
        <v>23</v>
      </c>
      <c r="D13">
        <v>10</v>
      </c>
      <c r="G13" s="7">
        <f ca="1">SUMIF($A:$D,F13,$D:$D)</f>
        <v>0</v>
      </c>
      <c r="J13" s="4">
        <f ca="1">SUMIF($B:$D,I13,$D:$D)</f>
        <v>0</v>
      </c>
      <c r="L13" t="str">
        <v>GP B2C</v>
      </c>
      <c r="M13" s="4">
        <f ca="1">SUMIF($C:$D,L13,$D:$D)</f>
        <v>35</v>
      </c>
      <c r="O13" t="str">
        <f t="shared" si="0"/>
        <v>eCommerce-CF</v>
      </c>
    </row>
    <row r="14" spans="1:15" x14ac:dyDescent="0.2">
      <c r="A14" t="s">
        <v>15</v>
      </c>
      <c r="B14" t="s">
        <v>5</v>
      </c>
      <c r="C14" t="s">
        <v>24</v>
      </c>
      <c r="D14">
        <v>35</v>
      </c>
      <c r="L14">
        <v>0</v>
      </c>
      <c r="O14" t="str">
        <f t="shared" si="0"/>
        <v>Fulfilment-GP ECL</v>
      </c>
    </row>
    <row r="15" spans="1:15" x14ac:dyDescent="0.2">
      <c r="A15" t="s">
        <v>15</v>
      </c>
      <c r="B15" t="s">
        <v>6</v>
      </c>
      <c r="C15" t="s">
        <v>14</v>
      </c>
      <c r="D15">
        <v>10</v>
      </c>
      <c r="O15" t="str">
        <f t="shared" si="0"/>
        <v>Fulfilment-DAI</v>
      </c>
    </row>
    <row r="16" spans="1:15" x14ac:dyDescent="0.2">
      <c r="A16" t="s">
        <v>15</v>
      </c>
      <c r="B16" t="s">
        <v>7</v>
      </c>
      <c r="C16" t="s">
        <v>8</v>
      </c>
      <c r="D16">
        <v>20</v>
      </c>
      <c r="O16" t="str">
        <f t="shared" si="0"/>
        <v>Fulfilment-EDO</v>
      </c>
    </row>
    <row r="17" spans="1:15" x14ac:dyDescent="0.2">
      <c r="A17" t="s">
        <v>15</v>
      </c>
      <c r="B17" t="s">
        <v>9</v>
      </c>
      <c r="C17" t="s">
        <v>10</v>
      </c>
      <c r="D17">
        <v>20</v>
      </c>
      <c r="O17" t="str">
        <f t="shared" si="0"/>
        <v>Fulfilment-SI</v>
      </c>
    </row>
    <row r="18" spans="1:15" x14ac:dyDescent="0.2">
      <c r="A18" t="s">
        <v>15</v>
      </c>
      <c r="B18" t="s">
        <v>12</v>
      </c>
      <c r="C18" t="s">
        <v>12</v>
      </c>
      <c r="D18">
        <v>5</v>
      </c>
      <c r="O18" t="str">
        <f t="shared" si="0"/>
        <v>Fulfilment-CISO</v>
      </c>
    </row>
    <row r="19" spans="1:15" x14ac:dyDescent="0.2">
      <c r="A19" t="s">
        <v>15</v>
      </c>
      <c r="B19" t="s">
        <v>13</v>
      </c>
      <c r="C19" t="s">
        <v>23</v>
      </c>
      <c r="D19">
        <v>10</v>
      </c>
      <c r="O19" t="str">
        <f t="shared" si="0"/>
        <v>Fulfilment-CF</v>
      </c>
    </row>
    <row r="20" spans="1:15" x14ac:dyDescent="0.2">
      <c r="A20" t="s">
        <v>16</v>
      </c>
      <c r="B20" t="s">
        <v>5</v>
      </c>
      <c r="C20" t="s">
        <v>22</v>
      </c>
      <c r="D20">
        <v>35</v>
      </c>
      <c r="O20" t="str">
        <f t="shared" si="0"/>
        <v>Mail-GP B2B</v>
      </c>
    </row>
    <row r="21" spans="1:15" x14ac:dyDescent="0.2">
      <c r="A21" t="s">
        <v>16</v>
      </c>
      <c r="B21" t="s">
        <v>6</v>
      </c>
      <c r="C21" t="s">
        <v>14</v>
      </c>
      <c r="D21">
        <v>10</v>
      </c>
      <c r="O21" t="str">
        <f t="shared" si="0"/>
        <v>Mail-DAI</v>
      </c>
    </row>
    <row r="22" spans="1:15" x14ac:dyDescent="0.2">
      <c r="A22" t="s">
        <v>16</v>
      </c>
      <c r="B22" t="s">
        <v>7</v>
      </c>
      <c r="C22" t="s">
        <v>8</v>
      </c>
      <c r="D22">
        <v>10</v>
      </c>
      <c r="O22" t="str">
        <f t="shared" si="0"/>
        <v>Mail-EDO</v>
      </c>
    </row>
    <row r="23" spans="1:15" x14ac:dyDescent="0.2">
      <c r="A23" t="s">
        <v>16</v>
      </c>
      <c r="B23" t="s">
        <v>7</v>
      </c>
      <c r="C23" t="s">
        <v>27</v>
      </c>
      <c r="D23">
        <v>10</v>
      </c>
      <c r="O23" t="str">
        <f t="shared" si="0"/>
        <v>Mail-SEO</v>
      </c>
    </row>
    <row r="24" spans="1:15" x14ac:dyDescent="0.2">
      <c r="A24" t="s">
        <v>16</v>
      </c>
      <c r="B24" t="s">
        <v>9</v>
      </c>
      <c r="C24" t="s">
        <v>10</v>
      </c>
      <c r="D24">
        <v>20</v>
      </c>
      <c r="O24" t="str">
        <f t="shared" si="0"/>
        <v>Mail-SI</v>
      </c>
    </row>
    <row r="25" spans="1:15" x14ac:dyDescent="0.2">
      <c r="A25" t="s">
        <v>16</v>
      </c>
      <c r="B25" t="s">
        <v>12</v>
      </c>
      <c r="C25" t="s">
        <v>12</v>
      </c>
      <c r="D25">
        <v>5</v>
      </c>
      <c r="O25" t="str">
        <f t="shared" si="0"/>
        <v>Mail-CISO</v>
      </c>
    </row>
    <row r="26" spans="1:15" x14ac:dyDescent="0.2">
      <c r="A26" t="s">
        <v>16</v>
      </c>
      <c r="B26" t="s">
        <v>13</v>
      </c>
      <c r="C26" t="s">
        <v>23</v>
      </c>
      <c r="D26">
        <v>8</v>
      </c>
      <c r="O26" t="str">
        <f t="shared" si="0"/>
        <v>Mail-CF</v>
      </c>
    </row>
    <row r="27" spans="1:15" x14ac:dyDescent="0.2">
      <c r="A27" t="s">
        <v>16</v>
      </c>
      <c r="B27" t="s">
        <v>13</v>
      </c>
      <c r="C27" t="s">
        <v>75</v>
      </c>
      <c r="D27">
        <v>1</v>
      </c>
      <c r="O27" t="str">
        <f t="shared" si="0"/>
        <v>Mail-BCTT</v>
      </c>
    </row>
    <row r="28" spans="1:15" x14ac:dyDescent="0.2">
      <c r="A28" t="s">
        <v>16</v>
      </c>
      <c r="B28" t="s">
        <v>13</v>
      </c>
      <c r="C28" t="s">
        <v>76</v>
      </c>
      <c r="D28">
        <v>1</v>
      </c>
      <c r="O28" t="str">
        <f t="shared" si="0"/>
        <v>Mail-GRH</v>
      </c>
    </row>
    <row r="29" spans="1:15" x14ac:dyDescent="0.2">
      <c r="A29" t="s">
        <v>17</v>
      </c>
      <c r="B29" t="s">
        <v>5</v>
      </c>
      <c r="C29" t="s">
        <v>25</v>
      </c>
      <c r="D29">
        <v>35</v>
      </c>
      <c r="O29" t="str">
        <f t="shared" si="0"/>
        <v>Payments-GPG</v>
      </c>
    </row>
    <row r="30" spans="1:15" x14ac:dyDescent="0.2">
      <c r="A30" t="s">
        <v>17</v>
      </c>
      <c r="B30" t="s">
        <v>6</v>
      </c>
      <c r="C30" t="s">
        <v>14</v>
      </c>
      <c r="D30">
        <v>10</v>
      </c>
      <c r="O30" t="str">
        <f t="shared" si="0"/>
        <v>Payments-DAI</v>
      </c>
    </row>
    <row r="31" spans="1:15" x14ac:dyDescent="0.2">
      <c r="A31" t="s">
        <v>17</v>
      </c>
      <c r="B31" t="s">
        <v>7</v>
      </c>
      <c r="C31" t="s">
        <v>8</v>
      </c>
      <c r="D31">
        <v>20</v>
      </c>
      <c r="O31" t="str">
        <f t="shared" si="0"/>
        <v>Payments-EDO</v>
      </c>
    </row>
    <row r="32" spans="1:15" x14ac:dyDescent="0.2">
      <c r="A32" t="s">
        <v>17</v>
      </c>
      <c r="B32" t="s">
        <v>9</v>
      </c>
      <c r="C32" t="s">
        <v>10</v>
      </c>
      <c r="D32">
        <v>20</v>
      </c>
      <c r="O32" t="str">
        <f t="shared" si="0"/>
        <v>Payments-SI</v>
      </c>
    </row>
    <row r="33" spans="1:15" x14ac:dyDescent="0.2">
      <c r="A33" t="s">
        <v>17</v>
      </c>
      <c r="B33" t="s">
        <v>12</v>
      </c>
      <c r="C33" t="s">
        <v>12</v>
      </c>
      <c r="D33">
        <v>5</v>
      </c>
      <c r="O33" t="str">
        <f t="shared" si="0"/>
        <v>Payments-CISO</v>
      </c>
    </row>
    <row r="34" spans="1:15" x14ac:dyDescent="0.2">
      <c r="A34" t="s">
        <v>17</v>
      </c>
      <c r="B34" t="s">
        <v>13</v>
      </c>
      <c r="C34" t="s">
        <v>23</v>
      </c>
      <c r="D34">
        <v>10</v>
      </c>
      <c r="O34" t="str">
        <f t="shared" si="0"/>
        <v>Payments-CF</v>
      </c>
    </row>
    <row r="35" spans="1:15" x14ac:dyDescent="0.2">
      <c r="A35" t="s">
        <v>18</v>
      </c>
      <c r="B35" t="s">
        <v>5</v>
      </c>
      <c r="C35" t="s">
        <v>26</v>
      </c>
      <c r="D35">
        <v>35</v>
      </c>
      <c r="O35" t="str">
        <f t="shared" si="0"/>
        <v>Retail &amp; Financial Services-GP B2C</v>
      </c>
    </row>
    <row r="36" spans="1:15" x14ac:dyDescent="0.2">
      <c r="A36" t="s">
        <v>18</v>
      </c>
      <c r="B36" t="s">
        <v>6</v>
      </c>
      <c r="C36" t="s">
        <v>14</v>
      </c>
      <c r="D36">
        <v>10</v>
      </c>
      <c r="O36" t="str">
        <f t="shared" si="0"/>
        <v>Retail &amp; Financial Services-DAI</v>
      </c>
    </row>
    <row r="37" spans="1:15" x14ac:dyDescent="0.2">
      <c r="A37" t="s">
        <v>18</v>
      </c>
      <c r="B37" t="s">
        <v>7</v>
      </c>
      <c r="C37" t="s">
        <v>8</v>
      </c>
      <c r="D37">
        <v>20</v>
      </c>
      <c r="O37" t="str">
        <f t="shared" si="0"/>
        <v>Retail &amp; Financial Services-EDO</v>
      </c>
    </row>
    <row r="38" spans="1:15" x14ac:dyDescent="0.2">
      <c r="A38" t="s">
        <v>18</v>
      </c>
      <c r="B38" t="s">
        <v>9</v>
      </c>
      <c r="C38" t="s">
        <v>10</v>
      </c>
      <c r="D38">
        <v>20</v>
      </c>
      <c r="O38" t="str">
        <f t="shared" si="0"/>
        <v>Retail &amp; Financial Services-SI</v>
      </c>
    </row>
    <row r="39" spans="1:15" x14ac:dyDescent="0.2">
      <c r="A39" t="s">
        <v>18</v>
      </c>
      <c r="B39" t="s">
        <v>12</v>
      </c>
      <c r="C39" t="s">
        <v>12</v>
      </c>
      <c r="D39">
        <v>5</v>
      </c>
      <c r="O39" t="str">
        <f t="shared" si="0"/>
        <v>Retail &amp; Financial Services-CISO</v>
      </c>
    </row>
    <row r="40" spans="1:15" x14ac:dyDescent="0.2">
      <c r="A40" t="s">
        <v>18</v>
      </c>
      <c r="B40" t="s">
        <v>13</v>
      </c>
      <c r="C40" t="s">
        <v>23</v>
      </c>
      <c r="D40">
        <v>10</v>
      </c>
      <c r="O40" t="str">
        <f t="shared" si="0"/>
        <v>Retail &amp; Financial Services-CF</v>
      </c>
    </row>
    <row r="41" spans="1:15" x14ac:dyDescent="0.2">
      <c r="O41" t="str">
        <f t="shared" si="0"/>
        <v>-</v>
      </c>
    </row>
    <row r="42" spans="1:15" x14ac:dyDescent="0.2">
      <c r="O42" t="str">
        <f t="shared" si="0"/>
        <v>-</v>
      </c>
    </row>
    <row r="43" spans="1:15" x14ac:dyDescent="0.2">
      <c r="O43" t="str">
        <f t="shared" si="0"/>
        <v>-</v>
      </c>
    </row>
    <row r="44" spans="1:15" x14ac:dyDescent="0.2">
      <c r="O44" t="str">
        <f t="shared" si="0"/>
        <v>-</v>
      </c>
    </row>
    <row r="45" spans="1:15" x14ac:dyDescent="0.2">
      <c r="O45" t="str">
        <f t="shared" si="0"/>
        <v>-</v>
      </c>
    </row>
    <row r="46" spans="1:15" x14ac:dyDescent="0.2">
      <c r="O46" t="str">
        <f t="shared" si="0"/>
        <v>-</v>
      </c>
    </row>
    <row r="47" spans="1:15" x14ac:dyDescent="0.2">
      <c r="O47" t="str">
        <f t="shared" si="0"/>
        <v>-</v>
      </c>
    </row>
    <row r="48" spans="1:15" x14ac:dyDescent="0.2">
      <c r="O48" t="str">
        <f t="shared" si="0"/>
        <v>-</v>
      </c>
    </row>
    <row r="49" spans="15:15" x14ac:dyDescent="0.2">
      <c r="O49" t="str">
        <f t="shared" si="0"/>
        <v>-</v>
      </c>
    </row>
    <row r="50" spans="15:15" x14ac:dyDescent="0.2">
      <c r="O50" t="str">
        <f t="shared" si="0"/>
        <v>-</v>
      </c>
    </row>
    <row r="51" spans="15:15" x14ac:dyDescent="0.2">
      <c r="O51" t="str">
        <f t="shared" si="0"/>
        <v>-</v>
      </c>
    </row>
    <row r="52" spans="15:15" x14ac:dyDescent="0.2">
      <c r="O52" t="str">
        <f t="shared" si="0"/>
        <v>-</v>
      </c>
    </row>
    <row r="53" spans="15:15" x14ac:dyDescent="0.2">
      <c r="O53" t="str">
        <f t="shared" si="0"/>
        <v>-</v>
      </c>
    </row>
    <row r="54" spans="15:15" x14ac:dyDescent="0.2">
      <c r="O54" t="str">
        <f t="shared" si="0"/>
        <v>-</v>
      </c>
    </row>
    <row r="55" spans="15:15" x14ac:dyDescent="0.2">
      <c r="O55" t="str">
        <f t="shared" si="0"/>
        <v>-</v>
      </c>
    </row>
    <row r="56" spans="15:15" x14ac:dyDescent="0.2">
      <c r="O56" t="str">
        <f t="shared" si="0"/>
        <v>-</v>
      </c>
    </row>
    <row r="57" spans="15:15" x14ac:dyDescent="0.2">
      <c r="O57" t="str">
        <f t="shared" si="0"/>
        <v>-</v>
      </c>
    </row>
    <row r="58" spans="15:15" x14ac:dyDescent="0.2">
      <c r="O58" t="str">
        <f t="shared" si="0"/>
        <v>-</v>
      </c>
    </row>
    <row r="59" spans="15:15" x14ac:dyDescent="0.2">
      <c r="O59" t="str">
        <f t="shared" si="0"/>
        <v>-</v>
      </c>
    </row>
    <row r="60" spans="15:15" x14ac:dyDescent="0.2">
      <c r="O60" t="str">
        <f t="shared" si="0"/>
        <v>-</v>
      </c>
    </row>
    <row r="61" spans="15:15" x14ac:dyDescent="0.2">
      <c r="O61" t="str">
        <f t="shared" si="0"/>
        <v>-</v>
      </c>
    </row>
  </sheetData>
  <autoFilter ref="A1:D26" xr:uid="{D521F980-2E5F-EC49-B62F-4F6A4A27A40F}"/>
  <conditionalFormatting sqref="G2:G13">
    <cfRule type="cellIs" dxfId="6" priority="6" operator="equal">
      <formula>100</formula>
    </cfRule>
  </conditionalFormatting>
  <conditionalFormatting sqref="J2:J13">
    <cfRule type="colorScale" priority="2">
      <colorScale>
        <cfvo type="min"/>
        <cfvo type="max"/>
        <color rgb="FFFFEF9C"/>
        <color rgb="FF63BE7B"/>
      </colorScale>
    </cfRule>
    <cfRule type="cellIs" dxfId="5" priority="4" operator="equal">
      <formula>100</formula>
    </cfRule>
  </conditionalFormatting>
  <conditionalFormatting sqref="M2:M13">
    <cfRule type="colorScale" priority="1">
      <colorScale>
        <cfvo type="min"/>
        <cfvo type="max"/>
        <color rgb="FFFFEF9C"/>
        <color rgb="FF63BE7B"/>
      </colorScale>
    </cfRule>
    <cfRule type="cellIs" dxfId="4" priority="3" operator="equal">
      <formula>100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437AB-C2CB-8D43-BD8D-11D3278E662B}">
  <dimension ref="A1:M21"/>
  <sheetViews>
    <sheetView zoomScale="130" zoomScaleNormal="130" workbookViewId="0">
      <pane ySplit="1" topLeftCell="A2" activePane="bottomLeft" state="frozen"/>
      <selection pane="bottomLeft" activeCell="C23" sqref="C23"/>
    </sheetView>
  </sheetViews>
  <sheetFormatPr baseColWidth="10" defaultRowHeight="16" x14ac:dyDescent="0.2"/>
  <cols>
    <col min="1" max="1" width="8" bestFit="1" customWidth="1"/>
    <col min="2" max="2" width="27.33203125" bestFit="1" customWidth="1"/>
    <col min="3" max="3" width="23.83203125" bestFit="1" customWidth="1"/>
    <col min="4" max="4" width="20.33203125" bestFit="1" customWidth="1"/>
    <col min="5" max="5" width="12" bestFit="1" customWidth="1"/>
    <col min="6" max="6" width="9.5" bestFit="1" customWidth="1"/>
    <col min="7" max="7" width="5.6640625" bestFit="1" customWidth="1"/>
    <col min="8" max="8" width="7.83203125" bestFit="1" customWidth="1"/>
    <col min="9" max="9" width="4.6640625" bestFit="1" customWidth="1"/>
    <col min="10" max="10" width="4.5" bestFit="1" customWidth="1"/>
    <col min="12" max="12" width="30" bestFit="1" customWidth="1"/>
    <col min="13" max="13" width="6" bestFit="1" customWidth="1"/>
  </cols>
  <sheetData>
    <row r="1" spans="1:13" x14ac:dyDescent="0.2">
      <c r="A1" s="2" t="s">
        <v>28</v>
      </c>
      <c r="B1" s="2" t="s">
        <v>29</v>
      </c>
      <c r="C1" s="2" t="s">
        <v>2</v>
      </c>
      <c r="D1" s="2" t="s">
        <v>0</v>
      </c>
      <c r="E1" s="2" t="s">
        <v>1</v>
      </c>
      <c r="F1" s="2" t="s">
        <v>30</v>
      </c>
      <c r="G1" s="2" t="s">
        <v>31</v>
      </c>
      <c r="H1" s="2" t="s">
        <v>32</v>
      </c>
      <c r="I1" s="2" t="s">
        <v>33</v>
      </c>
      <c r="J1" s="2" t="s">
        <v>34</v>
      </c>
      <c r="L1" s="7" t="s">
        <v>77</v>
      </c>
      <c r="M1" s="7" t="s">
        <v>78</v>
      </c>
    </row>
    <row r="2" spans="1:13" x14ac:dyDescent="0.2">
      <c r="A2" s="2" t="s">
        <v>35</v>
      </c>
      <c r="B2" s="3" t="s">
        <v>36</v>
      </c>
      <c r="C2" s="3" t="s">
        <v>75</v>
      </c>
      <c r="D2" s="3" t="s">
        <v>16</v>
      </c>
      <c r="E2" s="3" t="s">
        <v>13</v>
      </c>
      <c r="F2" s="3">
        <v>1</v>
      </c>
      <c r="G2" s="9"/>
      <c r="H2" s="9"/>
      <c r="I2" s="9"/>
      <c r="J2" s="9"/>
      <c r="L2" t="str">
        <f>D2&amp;"-"&amp;C2</f>
        <v>Mail-BCTT</v>
      </c>
      <c r="M2" t="str">
        <f>IF(ISNA(VLOOKUP(L2,weights_ra!O:O,1,FALSE)),"ALERT","Ok")</f>
        <v>Ok</v>
      </c>
    </row>
    <row r="3" spans="1:13" x14ac:dyDescent="0.2">
      <c r="A3" s="2" t="s">
        <v>41</v>
      </c>
      <c r="B3" s="3" t="s">
        <v>42</v>
      </c>
      <c r="C3" s="3" t="s">
        <v>12</v>
      </c>
      <c r="D3" s="3" t="s">
        <v>19</v>
      </c>
      <c r="E3" s="3" t="s">
        <v>12</v>
      </c>
      <c r="F3" s="3">
        <v>2</v>
      </c>
      <c r="G3" s="9"/>
      <c r="H3" s="9"/>
      <c r="I3" s="9"/>
      <c r="J3" s="9"/>
      <c r="L3" t="str">
        <f t="shared" ref="L3:L21" si="0">D3&amp;"-"&amp;C3</f>
        <v>Banco CTT-CISO</v>
      </c>
      <c r="M3" t="str">
        <f>IF(ISNA(VLOOKUP(L3,weights_ra!O:O,1,FALSE)),"ALERT","Ok")</f>
        <v>ALERT</v>
      </c>
    </row>
    <row r="4" spans="1:13" x14ac:dyDescent="0.2">
      <c r="A4" s="2" t="s">
        <v>39</v>
      </c>
      <c r="B4" s="3" t="s">
        <v>40</v>
      </c>
      <c r="C4" s="3" t="s">
        <v>12</v>
      </c>
      <c r="D4" s="3" t="s">
        <v>11</v>
      </c>
      <c r="E4" s="3" t="s">
        <v>12</v>
      </c>
      <c r="F4" s="3">
        <v>1</v>
      </c>
      <c r="G4" s="9"/>
      <c r="H4" s="9"/>
      <c r="I4" s="9"/>
      <c r="J4" s="9"/>
      <c r="L4" t="str">
        <f t="shared" si="0"/>
        <v>eCommerce-CISO</v>
      </c>
      <c r="M4" t="str">
        <f>IF(ISNA(VLOOKUP(L4,weights_ra!O:O,1,FALSE)),"ALERT","Ok")</f>
        <v>Ok</v>
      </c>
    </row>
    <row r="5" spans="1:13" x14ac:dyDescent="0.2">
      <c r="A5" s="2" t="s">
        <v>45</v>
      </c>
      <c r="B5" s="3" t="s">
        <v>46</v>
      </c>
      <c r="C5" s="3" t="s">
        <v>14</v>
      </c>
      <c r="D5" s="3" t="s">
        <v>4</v>
      </c>
      <c r="E5" s="3" t="s">
        <v>6</v>
      </c>
      <c r="F5" s="3">
        <v>2</v>
      </c>
      <c r="G5" s="9"/>
      <c r="H5" s="9"/>
      <c r="I5" s="9"/>
      <c r="J5" s="9"/>
      <c r="L5" t="str">
        <f t="shared" si="0"/>
        <v>Business Solutions-DAI</v>
      </c>
      <c r="M5" t="str">
        <f>IF(ISNA(VLOOKUP(L5,weights_ra!O:O,1,FALSE)),"ALERT","Ok")</f>
        <v>Ok</v>
      </c>
    </row>
    <row r="6" spans="1:13" x14ac:dyDescent="0.2">
      <c r="A6" s="2" t="s">
        <v>47</v>
      </c>
      <c r="B6" s="3" t="s">
        <v>48</v>
      </c>
      <c r="C6" s="3" t="s">
        <v>14</v>
      </c>
      <c r="D6" s="3" t="s">
        <v>11</v>
      </c>
      <c r="E6" s="3" t="s">
        <v>6</v>
      </c>
      <c r="F6" s="3">
        <v>1</v>
      </c>
      <c r="G6" s="9"/>
      <c r="H6" s="9"/>
      <c r="I6" s="9"/>
      <c r="J6" s="9"/>
      <c r="L6" t="str">
        <f t="shared" si="0"/>
        <v>eCommerce-DAI</v>
      </c>
      <c r="M6" t="str">
        <f>IF(ISNA(VLOOKUP(L6,weights_ra!O:O,1,FALSE)),"ALERT","Ok")</f>
        <v>Ok</v>
      </c>
    </row>
    <row r="7" spans="1:13" x14ac:dyDescent="0.2">
      <c r="A7" s="2" t="s">
        <v>61</v>
      </c>
      <c r="B7" s="3" t="s">
        <v>62</v>
      </c>
      <c r="C7" s="3" t="s">
        <v>8</v>
      </c>
      <c r="D7" s="3" t="s">
        <v>16</v>
      </c>
      <c r="E7" s="3" t="s">
        <v>7</v>
      </c>
      <c r="F7" s="3">
        <v>1</v>
      </c>
      <c r="G7" s="9"/>
      <c r="H7" s="9"/>
      <c r="I7" s="9"/>
      <c r="J7" s="9"/>
      <c r="L7" t="str">
        <f t="shared" si="0"/>
        <v>Mail-EDO</v>
      </c>
      <c r="M7" t="str">
        <f>IF(ISNA(VLOOKUP(L7,weights_ra!O:O,1,FALSE)),"ALERT","Ok")</f>
        <v>Ok</v>
      </c>
    </row>
    <row r="8" spans="1:13" x14ac:dyDescent="0.2">
      <c r="A8" s="2" t="s">
        <v>63</v>
      </c>
      <c r="B8" s="3" t="s">
        <v>64</v>
      </c>
      <c r="C8" s="3" t="s">
        <v>8</v>
      </c>
      <c r="D8" s="3" t="s">
        <v>16</v>
      </c>
      <c r="E8" s="3" t="s">
        <v>7</v>
      </c>
      <c r="F8" s="3">
        <v>2</v>
      </c>
      <c r="G8" s="9"/>
      <c r="H8" s="9"/>
      <c r="I8" s="9"/>
      <c r="J8" s="9"/>
      <c r="L8" t="str">
        <f t="shared" si="0"/>
        <v>Mail-EDO</v>
      </c>
      <c r="M8" t="str">
        <f>IF(ISNA(VLOOKUP(L8,weights_ra!O:O,1,FALSE)),"ALERT","Ok")</f>
        <v>Ok</v>
      </c>
    </row>
    <row r="9" spans="1:13" x14ac:dyDescent="0.2">
      <c r="A9" s="2" t="s">
        <v>37</v>
      </c>
      <c r="B9" s="3" t="s">
        <v>38</v>
      </c>
      <c r="C9" s="3" t="s">
        <v>22</v>
      </c>
      <c r="D9" s="3" t="s">
        <v>4</v>
      </c>
      <c r="E9" s="3" t="s">
        <v>5</v>
      </c>
      <c r="F9" s="3">
        <v>1</v>
      </c>
      <c r="G9" s="9"/>
      <c r="H9" s="9"/>
      <c r="I9" s="9"/>
      <c r="J9" s="9"/>
      <c r="L9" t="str">
        <f t="shared" si="0"/>
        <v>Business Solutions-GP B2B</v>
      </c>
      <c r="M9" t="str">
        <f>IF(ISNA(VLOOKUP(L9,weights_ra!O:O,1,FALSE)),"ALERT","Ok")</f>
        <v>Ok</v>
      </c>
    </row>
    <row r="10" spans="1:13" x14ac:dyDescent="0.2">
      <c r="A10" s="2" t="s">
        <v>49</v>
      </c>
      <c r="B10" s="3" t="s">
        <v>50</v>
      </c>
      <c r="C10" s="3" t="s">
        <v>24</v>
      </c>
      <c r="D10" s="3" t="s">
        <v>11</v>
      </c>
      <c r="E10" s="3" t="s">
        <v>5</v>
      </c>
      <c r="F10" s="3">
        <v>2</v>
      </c>
      <c r="G10" s="9"/>
      <c r="H10" s="9"/>
      <c r="I10" s="9"/>
      <c r="J10" s="9"/>
      <c r="L10" t="str">
        <f t="shared" si="0"/>
        <v>eCommerce-GP ECL</v>
      </c>
      <c r="M10" t="str">
        <f>IF(ISNA(VLOOKUP(L10,weights_ra!O:O,1,FALSE)),"ALERT","Ok")</f>
        <v>Ok</v>
      </c>
    </row>
    <row r="11" spans="1:13" x14ac:dyDescent="0.2">
      <c r="A11" s="2" t="s">
        <v>51</v>
      </c>
      <c r="B11" s="3" t="s">
        <v>52</v>
      </c>
      <c r="C11" s="3" t="s">
        <v>22</v>
      </c>
      <c r="D11" s="3" t="s">
        <v>11</v>
      </c>
      <c r="E11" s="3" t="s">
        <v>5</v>
      </c>
      <c r="F11" s="3">
        <v>3</v>
      </c>
      <c r="G11" s="9"/>
      <c r="H11" s="9"/>
      <c r="I11" s="9"/>
      <c r="J11" s="9"/>
      <c r="L11" t="str">
        <f t="shared" si="0"/>
        <v>eCommerce-GP B2B</v>
      </c>
      <c r="M11" t="str">
        <f>IF(ISNA(VLOOKUP(L11,weights_ra!O:O,1,FALSE)),"ALERT","Ok")</f>
        <v>ALERT</v>
      </c>
    </row>
    <row r="12" spans="1:13" x14ac:dyDescent="0.2">
      <c r="A12" s="2" t="s">
        <v>73</v>
      </c>
      <c r="B12" s="3" t="s">
        <v>74</v>
      </c>
      <c r="C12" s="3" t="s">
        <v>26</v>
      </c>
      <c r="D12" s="3" t="s">
        <v>18</v>
      </c>
      <c r="E12" s="3" t="s">
        <v>5</v>
      </c>
      <c r="F12" s="3">
        <v>1</v>
      </c>
      <c r="G12" s="9"/>
      <c r="H12" s="9"/>
      <c r="I12" s="9"/>
      <c r="J12" s="9"/>
      <c r="L12" t="str">
        <f t="shared" si="0"/>
        <v>Retail &amp; Financial Services-GP B2C</v>
      </c>
      <c r="M12" t="str">
        <f>IF(ISNA(VLOOKUP(L12,weights_ra!O:O,1,FALSE)),"ALERT","Ok")</f>
        <v>Ok</v>
      </c>
    </row>
    <row r="13" spans="1:13" x14ac:dyDescent="0.2">
      <c r="A13" s="2" t="s">
        <v>53</v>
      </c>
      <c r="B13" s="3" t="s">
        <v>54</v>
      </c>
      <c r="C13" s="3" t="s">
        <v>24</v>
      </c>
      <c r="D13" s="3" t="s">
        <v>11</v>
      </c>
      <c r="E13" s="3" t="s">
        <v>5</v>
      </c>
      <c r="F13" s="3">
        <v>3</v>
      </c>
      <c r="G13" s="9"/>
      <c r="H13" s="9"/>
      <c r="I13" s="9"/>
      <c r="J13" s="9"/>
      <c r="L13" t="str">
        <f t="shared" si="0"/>
        <v>eCommerce-GP ECL</v>
      </c>
      <c r="M13" t="str">
        <f>IF(ISNA(VLOOKUP(L13,weights_ra!O:O,1,FALSE)),"ALERT","Ok")</f>
        <v>Ok</v>
      </c>
    </row>
    <row r="14" spans="1:13" x14ac:dyDescent="0.2">
      <c r="A14" s="2" t="s">
        <v>57</v>
      </c>
      <c r="B14" s="3" t="s">
        <v>58</v>
      </c>
      <c r="C14" s="3" t="s">
        <v>24</v>
      </c>
      <c r="D14" s="3" t="s">
        <v>15</v>
      </c>
      <c r="E14" s="3" t="s">
        <v>7</v>
      </c>
      <c r="F14" s="3">
        <v>1</v>
      </c>
      <c r="G14" s="9"/>
      <c r="H14" s="9"/>
      <c r="I14" s="9"/>
      <c r="J14" s="9"/>
      <c r="L14" t="str">
        <f t="shared" si="0"/>
        <v>Fulfilment-GP ECL</v>
      </c>
      <c r="M14" t="str">
        <f>IF(ISNA(VLOOKUP(L14,weights_ra!O:O,1,FALSE)),"ALERT","Ok")</f>
        <v>Ok</v>
      </c>
    </row>
    <row r="15" spans="1:13" x14ac:dyDescent="0.2">
      <c r="A15" s="2" t="s">
        <v>59</v>
      </c>
      <c r="B15" s="3" t="s">
        <v>60</v>
      </c>
      <c r="C15" s="3" t="s">
        <v>24</v>
      </c>
      <c r="D15" s="3" t="s">
        <v>15</v>
      </c>
      <c r="E15" s="3" t="s">
        <v>7</v>
      </c>
      <c r="F15" s="3">
        <v>2</v>
      </c>
      <c r="G15" s="9"/>
      <c r="H15" s="9"/>
      <c r="I15" s="9"/>
      <c r="J15" s="9"/>
      <c r="L15" t="str">
        <f t="shared" si="0"/>
        <v>Fulfilment-GP ECL</v>
      </c>
      <c r="M15" t="str">
        <f>IF(ISNA(VLOOKUP(L15,weights_ra!O:O,1,FALSE)),"ALERT","Ok")</f>
        <v>Ok</v>
      </c>
    </row>
    <row r="16" spans="1:13" x14ac:dyDescent="0.2">
      <c r="A16" s="2" t="s">
        <v>67</v>
      </c>
      <c r="B16" s="3" t="s">
        <v>68</v>
      </c>
      <c r="C16" s="3" t="s">
        <v>25</v>
      </c>
      <c r="D16" s="3" t="s">
        <v>17</v>
      </c>
      <c r="E16" s="3" t="s">
        <v>5</v>
      </c>
      <c r="F16" s="3">
        <v>1</v>
      </c>
      <c r="G16" s="9"/>
      <c r="H16" s="9"/>
      <c r="I16" s="9"/>
      <c r="J16" s="9"/>
      <c r="L16" t="str">
        <f t="shared" si="0"/>
        <v>Payments-GPG</v>
      </c>
      <c r="M16" t="str">
        <f>IF(ISNA(VLOOKUP(L16,weights_ra!O:O,1,FALSE)),"ALERT","Ok")</f>
        <v>Ok</v>
      </c>
    </row>
    <row r="17" spans="1:13" x14ac:dyDescent="0.2">
      <c r="A17" s="2" t="s">
        <v>69</v>
      </c>
      <c r="B17" s="3" t="s">
        <v>70</v>
      </c>
      <c r="C17" s="3" t="s">
        <v>25</v>
      </c>
      <c r="D17" s="3" t="s">
        <v>17</v>
      </c>
      <c r="E17" s="3" t="s">
        <v>5</v>
      </c>
      <c r="F17" s="3">
        <v>2</v>
      </c>
      <c r="G17" s="9"/>
      <c r="H17" s="9"/>
      <c r="I17" s="9"/>
      <c r="J17" s="9"/>
      <c r="L17" t="str">
        <f t="shared" si="0"/>
        <v>Payments-GPG</v>
      </c>
      <c r="M17" t="str">
        <f>IF(ISNA(VLOOKUP(L17,weights_ra!O:O,1,FALSE)),"ALERT","Ok")</f>
        <v>Ok</v>
      </c>
    </row>
    <row r="18" spans="1:13" x14ac:dyDescent="0.2">
      <c r="A18" s="2" t="s">
        <v>43</v>
      </c>
      <c r="B18" s="3" t="s">
        <v>44</v>
      </c>
      <c r="C18" s="3" t="s">
        <v>76</v>
      </c>
      <c r="D18" s="3" t="s">
        <v>16</v>
      </c>
      <c r="E18" s="3" t="s">
        <v>13</v>
      </c>
      <c r="F18" s="3">
        <v>1</v>
      </c>
      <c r="G18" s="9"/>
      <c r="H18" s="9"/>
      <c r="I18" s="9"/>
      <c r="J18" s="9"/>
      <c r="L18" t="str">
        <f t="shared" si="0"/>
        <v>Mail-GRH</v>
      </c>
      <c r="M18" t="str">
        <f>IF(ISNA(VLOOKUP(L18,weights_ra!O:O,1,FALSE)),"ALERT","Ok")</f>
        <v>Ok</v>
      </c>
    </row>
    <row r="19" spans="1:13" x14ac:dyDescent="0.2">
      <c r="A19" s="2" t="s">
        <v>55</v>
      </c>
      <c r="B19" s="3" t="s">
        <v>56</v>
      </c>
      <c r="C19" s="3" t="s">
        <v>10</v>
      </c>
      <c r="D19" s="3" t="s">
        <v>11</v>
      </c>
      <c r="E19" s="3" t="s">
        <v>9</v>
      </c>
      <c r="F19" s="3">
        <v>1</v>
      </c>
      <c r="G19" s="9"/>
      <c r="H19" s="9"/>
      <c r="I19" s="9"/>
      <c r="J19" s="9"/>
      <c r="L19" t="str">
        <f t="shared" si="0"/>
        <v>eCommerce-SI</v>
      </c>
      <c r="M19" t="str">
        <f>IF(ISNA(VLOOKUP(L19,weights_ra!O:O,1,FALSE)),"ALERT","Ok")</f>
        <v>Ok</v>
      </c>
    </row>
    <row r="20" spans="1:13" x14ac:dyDescent="0.2">
      <c r="A20" s="2" t="s">
        <v>65</v>
      </c>
      <c r="B20" s="3" t="s">
        <v>66</v>
      </c>
      <c r="C20" s="3" t="s">
        <v>10</v>
      </c>
      <c r="D20" s="3" t="s">
        <v>16</v>
      </c>
      <c r="E20" s="3" t="s">
        <v>9</v>
      </c>
      <c r="F20" s="3">
        <v>2</v>
      </c>
      <c r="G20" s="9"/>
      <c r="H20" s="9"/>
      <c r="I20" s="9"/>
      <c r="J20" s="9"/>
      <c r="L20" t="str">
        <f t="shared" si="0"/>
        <v>Mail-SI</v>
      </c>
      <c r="M20" t="str">
        <f>IF(ISNA(VLOOKUP(L20,weights_ra!O:O,1,FALSE)),"ALERT","Ok")</f>
        <v>Ok</v>
      </c>
    </row>
    <row r="21" spans="1:13" x14ac:dyDescent="0.2">
      <c r="A21" s="2" t="s">
        <v>71</v>
      </c>
      <c r="B21" s="3" t="s">
        <v>72</v>
      </c>
      <c r="C21" s="3" t="s">
        <v>10</v>
      </c>
      <c r="D21" s="3" t="s">
        <v>18</v>
      </c>
      <c r="E21" s="3" t="s">
        <v>9</v>
      </c>
      <c r="F21" s="3">
        <v>3</v>
      </c>
      <c r="G21" s="9"/>
      <c r="H21" s="9"/>
      <c r="I21" s="9"/>
      <c r="J21" s="9"/>
      <c r="L21" t="str">
        <f t="shared" si="0"/>
        <v>Retail &amp; Financial Services-SI</v>
      </c>
      <c r="M21" t="str">
        <f>IF(ISNA(VLOOKUP(L21,weights_ra!O:O,1,FALSE)),"ALERT","Ok")</f>
        <v>Ok</v>
      </c>
    </row>
  </sheetData>
  <autoFilter ref="A1:J21" xr:uid="{25D437AB-C2CB-8D43-BD8D-11D3278E662B}">
    <sortState xmlns:xlrd2="http://schemas.microsoft.com/office/spreadsheetml/2017/richdata2" ref="A2:J21">
      <sortCondition ref="C1:C21"/>
    </sortState>
  </autoFilter>
  <conditionalFormatting sqref="M1:M1048576">
    <cfRule type="cellIs" dxfId="3" priority="2" operator="equal">
      <formula>"ALERT"</formula>
    </cfRule>
  </conditionalFormatting>
  <conditionalFormatting sqref="L1">
    <cfRule type="cellIs" dxfId="2" priority="1" operator="equal">
      <formula>"ALERT"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 WEIGHTS</vt:lpstr>
      <vt:lpstr>weights_rs</vt:lpstr>
      <vt:lpstr>weights_ra</vt:lpstr>
      <vt:lpstr>ideas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Pedro Saraiva</dc:creator>
  <cp:lastModifiedBy>Rui Pedro Saraiva</cp:lastModifiedBy>
  <dcterms:created xsi:type="dcterms:W3CDTF">2026-01-02T17:09:01Z</dcterms:created>
  <dcterms:modified xsi:type="dcterms:W3CDTF">2026-01-04T18:34:54Z</dcterms:modified>
</cp:coreProperties>
</file>