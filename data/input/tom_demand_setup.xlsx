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/python/ctt/tom_demand/data/input/"/>
    </mc:Choice>
  </mc:AlternateContent>
  <xr:revisionPtr revIDLastSave="0" documentId="13_ncr:1_{659BB6B4-CFE7-CE49-9E73-B36DA9DDB380}" xr6:coauthVersionLast="47" xr6:coauthVersionMax="47" xr10:uidLastSave="{00000000-0000-0000-0000-000000000000}"/>
  <bookViews>
    <workbookView xWindow="0" yWindow="680" windowWidth="30240" windowHeight="18560" xr2:uid="{9D2BC160-0631-EE46-87AB-AABB69ACE5D9}"/>
  </bookViews>
  <sheets>
    <sheet name="DEMAND WEIGHTS" sheetId="4" r:id="rId1"/>
    <sheet name="weights_rs" sheetId="1" r:id="rId2"/>
    <sheet name="weights_ra" sheetId="2" r:id="rId3"/>
    <sheet name="ideas" sheetId="3" r:id="rId4"/>
  </sheets>
  <definedNames>
    <definedName name="_xlnm._FilterDatabase" localSheetId="3" hidden="1">ideas!$A$1:$K$21</definedName>
    <definedName name="_xlnm._FilterDatabase" localSheetId="2" hidden="1">weights_ra!$A$1:$D$40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3" l="1"/>
  <c r="V55" i="4"/>
  <c r="R55" i="4"/>
  <c r="N55" i="4"/>
  <c r="J55" i="4"/>
  <c r="F55" i="4"/>
  <c r="B55" i="4"/>
  <c r="C54" i="4"/>
  <c r="B54" i="4"/>
  <c r="W60" i="4" s="1"/>
  <c r="C63" i="4"/>
  <c r="C81" i="4"/>
  <c r="C72" i="4"/>
  <c r="C34" i="4"/>
  <c r="C21" i="4"/>
  <c r="B81" i="4"/>
  <c r="W87" i="4" s="1"/>
  <c r="B72" i="4"/>
  <c r="W78" i="4" s="1"/>
  <c r="B63" i="4"/>
  <c r="W69" i="4" s="1"/>
  <c r="B34" i="4"/>
  <c r="C36" i="4" s="1"/>
  <c r="B21" i="4"/>
  <c r="W28" i="4" s="1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O17" i="2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C24" i="4" l="1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O13" i="3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  <c r="L1" i="2" l="1" a="1"/>
  <c r="M11" i="2" s="1"/>
  <c r="I1" i="2" a="1"/>
  <c r="I1" i="2" s="1"/>
  <c r="F1" i="2" a="1"/>
  <c r="F1" i="2" l="1"/>
  <c r="G2" i="2"/>
  <c r="M13" i="2"/>
  <c r="J9" i="2"/>
  <c r="J10" i="2"/>
  <c r="J11" i="2"/>
  <c r="J13" i="2"/>
  <c r="M12" i="2"/>
  <c r="J12" i="2"/>
  <c r="J2" i="2"/>
  <c r="J3" i="2"/>
  <c r="J7" i="2"/>
  <c r="J6" i="2"/>
  <c r="J8" i="2"/>
  <c r="J4" i="2"/>
  <c r="J5" i="2"/>
  <c r="L1" i="2"/>
  <c r="M10" i="2"/>
  <c r="M4" i="2"/>
  <c r="M2" i="2"/>
  <c r="M5" i="2"/>
  <c r="M6" i="2"/>
  <c r="M7" i="2"/>
  <c r="M3" i="2"/>
  <c r="M8" i="2"/>
  <c r="M9" i="2"/>
  <c r="G3" i="2"/>
  <c r="G4" i="2"/>
  <c r="G8" i="2" s="1"/>
  <c r="G5" i="2"/>
  <c r="G6" i="2"/>
  <c r="G7" i="2"/>
  <c r="G12" i="2" l="1"/>
  <c r="G10" i="2"/>
  <c r="G13" i="2"/>
  <c r="G9" i="2"/>
  <c r="G1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<sst xmlns="http://schemas.openxmlformats.org/spreadsheetml/2006/main" count="524" uniqueCount="161">
  <si>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</si>
  <si>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</si>
  <si>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</si>
  <si>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</si>
  <si>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</si>
  <si>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</si>
  <si>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</si>
  <si>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</si>
  <si>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</si>
  <si>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</si>
  <si>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</si>
  <si>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</si>
  <si>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</si>
  <si>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</si>
  <si>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</si>
  <si>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</si>
  <si>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</si>
  <si>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</si>
  <si>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</si>
  <si>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</si>
  <si>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</si>
  <si>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</si>
  <si>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</si>
  <si>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</si>
  <si>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</si>
  <si>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</si>
  <si>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</si>
  <si>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</si>
  <si>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</si>
  <si>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</si>
  <si>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</si>
  <si>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</si>
  <si>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</si>
  <si>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</si>
  <si>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</si>
  <si>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</si>
  <si>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</si>
  <si>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</si>
  <si>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</si>
  <si>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</si>
  <si>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</si>
  <si>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</si>
  <si>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</si>
  <si>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</si>
  <si>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</si>
  <si>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</si>
  <si>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</si>
  <si>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</si>
  <si>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</si>
  <si>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</si>
  <si>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</si>
  <si>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</si>
  <si>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</si>
  <si>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</si>
  <si>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</si>
  <si>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</si>
  <si>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</si>
  <si>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</si>
  <si>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</si>
  <si>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</si>
  <si>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</si>
  <si>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</si>
  <si>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</si>
  <si>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</si>
  <si>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</si>
  <si>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</si>
  <si>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</si>
  <si>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</si>
  <si>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</si>
  <si>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</si>
  <si>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</si>
  <si>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</si>
  <si>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</si>
  <si>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</si>
  <si>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</si>
  <si>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</si>
  <si>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</si>
  <si>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</si>
  <si>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</si>
  <si>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</si>
  <si>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</si>
  <si>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</si>
  <si>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</si>
  <si>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</si>
  <si>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</si>
  <si>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</si>
  <si>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</si>
  <si>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</si>
  <si>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</si>
  <si>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</si>
  <si>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</si>
  <si>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</si>
  <si>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</si>
  <si>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</si>
  <si>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</si>
  <si>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</si>
  <si>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</si>
  <si>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</si>
  <si>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</si>
  <si>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</si>
  <si>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</si>
  <si>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</si>
  <si>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</si>
  <si>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</si>
  <si>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</si>
  <si>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</si>
  <si>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</si>
  <si>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</si>
  <si>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</si>
  <si>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</si>
  <si>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</si>
  <si>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</si>
  <si>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</si>
  <si>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</si>
  <si>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</si>
  <si>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</si>
  <si>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</si>
  <si>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</si>
  <si>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</si>
  <si>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</si>
  <si>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</si>
  <si>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</si>
  <si>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</si>
  <si>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</si>
  <si>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</si>
  <si>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</si>
  <si>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</si>
  <si>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</si>
  <si>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</si>
  <si>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</si>
  <si>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</si>
  <si>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</si>
  <si>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</si>
  <si>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</si>
  <si>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</si>
  <si>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</si>
  <si>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</si>
  <si>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</si>
  <si>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</si>
  <si>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</si>
  <si>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</si>
  <si>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</si>
  <si>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</si>
  <si>
    <t>IDEA021</t>
  </si>
  <si>
    <t>IDEA022</t>
  </si>
  <si>
    <t>IDEA023</t>
  </si>
  <si>
    <t>IDEA024</t>
  </si>
  <si>
    <t>System 1</t>
  </si>
  <si>
    <t>System 2</t>
  </si>
  <si>
    <t>System 3</t>
  </si>
  <si>
    <t>System 4</t>
  </si>
  <si>
    <t>IDEA025</t>
  </si>
  <si>
    <t>System 5</t>
  </si>
  <si>
    <t>IDEA026</t>
  </si>
  <si>
    <t>System 6</t>
  </si>
  <si>
    <t>IDEA027</t>
  </si>
  <si>
    <t>System 7</t>
  </si>
  <si>
    <t>IDEA028</t>
  </si>
  <si>
    <t>System 8</t>
  </si>
  <si>
    <t>PC</t>
  </si>
  <si>
    <t>FINAL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</si>
</sst>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  <xf numFmtId="0" fontId="0" fillId="0" borderId="0" xfId="0" applyFill="1"/>
  </cellXfs>
  <cellStyles count="2">
    <cellStyle name="Normal" xfId="0" builtinId="0"/>
    <cellStyle name="Percent 2" xfId="1" xr:uid="{B4B05582-F7D3-F142-B20F-B4C84A0F58E6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91"/>
  <sheetViews>
    <sheetView tabSelected="1" topLeftCell="A11" zoomScale="112" zoomScaleNormal="130" workbookViewId="0">
      <selection activeCell="Y29" sqref="Y29"/>
    </sheetView>
  </sheetViews>
  <sheetFormatPr baseColWidth="10" defaultRowHeight="16" x14ac:dyDescent="0.2"/>
  <cols>
    <col min="1" max="1" width="27" bestFit="1" customWidth="1"/>
    <col min="2" max="2" width="6.33203125" bestFit="1" customWidth="1"/>
    <col min="3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13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50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12.5</v>
      </c>
      <c r="E23" s="1" t="s">
        <v>7</v>
      </c>
      <c r="F23" s="13">
        <v>25</v>
      </c>
      <c r="G23" s="1">
        <f>F23*($B$21/100)</f>
        <v>12.5</v>
      </c>
      <c r="I23" s="1" t="s">
        <v>13</v>
      </c>
      <c r="J23" s="13">
        <v>20</v>
      </c>
      <c r="K23" s="1">
        <f>J23*($B$21/100)</f>
        <v>10</v>
      </c>
      <c r="M23" s="1" t="s">
        <v>9</v>
      </c>
      <c r="N23" s="13">
        <v>20</v>
      </c>
      <c r="O23" s="1">
        <f>N23*($B$21/100)</f>
        <v>10</v>
      </c>
      <c r="Q23" s="1" t="s">
        <v>117</v>
      </c>
      <c r="R23" s="13">
        <v>5</v>
      </c>
      <c r="S23" s="1">
        <f>R23*($B$21/100)</f>
        <v>2.5</v>
      </c>
      <c r="U23" s="1" t="s">
        <v>12</v>
      </c>
      <c r="V23" s="13">
        <v>5</v>
      </c>
      <c r="W23" s="1">
        <f>V23*($B$21/100)</f>
        <v>2.5</v>
      </c>
      <c r="X23"/>
      <c r="Y23"/>
      <c r="Z23"/>
      <c r="AA23"/>
    </row>
    <row r="24" spans="1:32" x14ac:dyDescent="0.2">
      <c r="A24" s="20" t="s">
        <v>108</v>
      </c>
      <c r="B24" s="12">
        <v>4</v>
      </c>
      <c r="C24" s="1">
        <f t="shared" ref="C24:C31" si="0">B24*($B$21/100)</f>
        <v>2</v>
      </c>
      <c r="E24" s="19" t="s">
        <v>107</v>
      </c>
      <c r="F24" s="12">
        <v>8</v>
      </c>
      <c r="G24" s="1">
        <f t="shared" ref="G24:G31" si="1">F24*($B$21/100)</f>
        <v>4</v>
      </c>
      <c r="I24" s="19" t="s">
        <v>110</v>
      </c>
      <c r="J24" s="12">
        <v>8</v>
      </c>
      <c r="K24" s="1">
        <f t="shared" ref="K24:K31" si="2">J24*($B$21/100)</f>
        <v>4</v>
      </c>
      <c r="M24" s="19" t="s">
        <v>113</v>
      </c>
      <c r="N24" s="12">
        <v>20</v>
      </c>
      <c r="O24" s="1">
        <f t="shared" ref="O24:O31" si="3">N24*($B$21/100)</f>
        <v>10</v>
      </c>
      <c r="Q24" s="19" t="s">
        <v>14</v>
      </c>
      <c r="R24" s="12">
        <v>5</v>
      </c>
      <c r="S24" s="1">
        <f t="shared" ref="S24:S31" si="4">R24*($B$21/100)</f>
        <v>2.5</v>
      </c>
      <c r="U24" s="19" t="s">
        <v>12</v>
      </c>
      <c r="V24" s="12">
        <v>5</v>
      </c>
      <c r="W24" s="1">
        <f t="shared" ref="W24:W31" si="5">V24*($B$21/100)</f>
        <v>2.5</v>
      </c>
    </row>
    <row r="25" spans="1:32" x14ac:dyDescent="0.2">
      <c r="A25" s="20" t="s">
        <v>109</v>
      </c>
      <c r="B25" s="12">
        <v>4</v>
      </c>
      <c r="C25" s="1">
        <f t="shared" si="0"/>
        <v>2</v>
      </c>
      <c r="E25" s="19" t="s">
        <v>8</v>
      </c>
      <c r="F25" s="12">
        <v>8</v>
      </c>
      <c r="G25" s="1">
        <f t="shared" si="1"/>
        <v>4</v>
      </c>
      <c r="I25" s="19" t="s">
        <v>112</v>
      </c>
      <c r="J25" s="12">
        <v>8</v>
      </c>
      <c r="K25" s="1">
        <f t="shared" si="2"/>
        <v>4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s="20" t="s">
        <v>111</v>
      </c>
      <c r="B26" s="12">
        <v>4</v>
      </c>
      <c r="C26" s="1">
        <f t="shared" si="0"/>
        <v>2</v>
      </c>
      <c r="E26" t="s">
        <v>27</v>
      </c>
      <c r="F26" s="12">
        <v>8</v>
      </c>
      <c r="G26" s="1">
        <f t="shared" si="1"/>
        <v>4</v>
      </c>
      <c r="I26" s="19" t="s">
        <v>114</v>
      </c>
      <c r="J26" s="12">
        <v>2</v>
      </c>
      <c r="K26" s="1">
        <f t="shared" si="2"/>
        <v>1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s="20" t="s">
        <v>24</v>
      </c>
      <c r="B27" s="12">
        <v>5</v>
      </c>
      <c r="C27" s="1">
        <f t="shared" si="0"/>
        <v>2.5</v>
      </c>
      <c r="E27" t="s">
        <v>85</v>
      </c>
      <c r="F27" s="12">
        <v>1</v>
      </c>
      <c r="G27" s="1">
        <f t="shared" si="1"/>
        <v>0.5</v>
      </c>
      <c r="I27" s="19" t="s">
        <v>115</v>
      </c>
      <c r="J27" s="12">
        <v>1</v>
      </c>
      <c r="K27" s="1">
        <f t="shared" si="2"/>
        <v>0.5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1</v>
      </c>
      <c r="F28" s="12"/>
      <c r="G28" s="1">
        <f t="shared" si="1"/>
        <v>0</v>
      </c>
      <c r="I28" s="19" t="s">
        <v>116</v>
      </c>
      <c r="J28" s="12">
        <v>1</v>
      </c>
      <c r="K28" s="1">
        <f t="shared" si="2"/>
        <v>0.5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s="19" t="s">
        <v>80</v>
      </c>
      <c r="B29" s="12">
        <v>2</v>
      </c>
      <c r="C29" s="1">
        <f t="shared" si="0"/>
        <v>1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1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1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25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6.25</v>
      </c>
      <c r="E36" s="1" t="s">
        <v>7</v>
      </c>
      <c r="F36" s="1">
        <v>25</v>
      </c>
      <c r="G36" s="1">
        <f>F36*($B$34/100)</f>
        <v>6.25</v>
      </c>
      <c r="I36" s="1" t="s">
        <v>13</v>
      </c>
      <c r="J36" s="1">
        <v>20</v>
      </c>
      <c r="K36" s="1">
        <f>J36*($B$34/100)</f>
        <v>5</v>
      </c>
      <c r="M36" s="1" t="s">
        <v>9</v>
      </c>
      <c r="N36" s="1">
        <v>20</v>
      </c>
      <c r="O36" s="1">
        <f>N36*($B$34/100)</f>
        <v>5</v>
      </c>
      <c r="Q36" s="1" t="s">
        <v>117</v>
      </c>
      <c r="R36" s="1">
        <v>5</v>
      </c>
      <c r="S36" s="1">
        <f>R36*($B$34/100)</f>
        <v>1.25</v>
      </c>
      <c r="U36" s="1" t="s">
        <v>12</v>
      </c>
      <c r="V36" s="1">
        <v>5</v>
      </c>
      <c r="W36" s="1">
        <f>V36*($B$34/100)</f>
        <v>1.25</v>
      </c>
    </row>
    <row r="37" spans="1:23" x14ac:dyDescent="0.2">
      <c r="A37" s="19" t="s">
        <v>22</v>
      </c>
      <c r="B37">
        <v>5</v>
      </c>
      <c r="C37" s="1">
        <f t="shared" ref="C37:C51" si="6">B37*($B$34/100)</f>
        <v>1.25</v>
      </c>
      <c r="E37" s="19" t="s">
        <v>8</v>
      </c>
      <c r="F37">
        <v>10</v>
      </c>
      <c r="G37" s="1">
        <f t="shared" ref="G37:G51" si="7">F37*($B$34/100)</f>
        <v>2.5</v>
      </c>
      <c r="I37" s="19" t="s">
        <v>87</v>
      </c>
      <c r="J37">
        <v>2</v>
      </c>
      <c r="K37" s="1">
        <f t="shared" ref="K37:K51" si="8">J37*($B$34/100)</f>
        <v>0.5</v>
      </c>
      <c r="M37" s="19" t="s">
        <v>10</v>
      </c>
      <c r="N37">
        <v>10</v>
      </c>
      <c r="O37" s="1">
        <f t="shared" ref="O37:O51" si="9">N37*($B$34/100)</f>
        <v>2.5</v>
      </c>
      <c r="Q37" s="19" t="s">
        <v>14</v>
      </c>
      <c r="R37">
        <v>5</v>
      </c>
      <c r="S37" s="1">
        <f t="shared" ref="S37:S51" si="10">R37*($B$34/100)</f>
        <v>1.25</v>
      </c>
      <c r="U37" s="19" t="s">
        <v>12</v>
      </c>
      <c r="V37">
        <v>5</v>
      </c>
      <c r="W37" s="1">
        <f t="shared" ref="W37:W51" si="11">V37*($B$34/100)</f>
        <v>1.25</v>
      </c>
    </row>
    <row r="38" spans="1:23" x14ac:dyDescent="0.2">
      <c r="A38" t="s">
        <v>79</v>
      </c>
      <c r="B38">
        <v>5</v>
      </c>
      <c r="C38" s="1">
        <f t="shared" si="6"/>
        <v>1.25</v>
      </c>
      <c r="E38" s="19" t="s">
        <v>27</v>
      </c>
      <c r="F38">
        <v>10</v>
      </c>
      <c r="G38" s="1">
        <f t="shared" si="7"/>
        <v>2.5</v>
      </c>
      <c r="I38" t="s">
        <v>23</v>
      </c>
      <c r="J38">
        <v>2</v>
      </c>
      <c r="K38" s="1">
        <f t="shared" si="8"/>
        <v>0.5</v>
      </c>
      <c r="M38" s="19" t="s">
        <v>75</v>
      </c>
      <c r="N38">
        <v>10</v>
      </c>
      <c r="O38" s="1">
        <f t="shared" si="9"/>
        <v>2.5</v>
      </c>
      <c r="S38" s="1">
        <f t="shared" si="10"/>
        <v>0</v>
      </c>
      <c r="W38" s="1">
        <f t="shared" si="11"/>
        <v>0</v>
      </c>
    </row>
    <row r="39" spans="1:23" x14ac:dyDescent="0.2">
      <c r="A39" s="19" t="s">
        <v>80</v>
      </c>
      <c r="B39">
        <v>5</v>
      </c>
      <c r="C39" s="1">
        <f t="shared" si="6"/>
        <v>1.25</v>
      </c>
      <c r="E39" t="s">
        <v>85</v>
      </c>
      <c r="F39">
        <v>5</v>
      </c>
      <c r="G39" s="1">
        <f t="shared" si="7"/>
        <v>1.25</v>
      </c>
      <c r="I39" t="s">
        <v>88</v>
      </c>
      <c r="J39">
        <v>1</v>
      </c>
      <c r="K39" s="1">
        <f t="shared" si="8"/>
        <v>0.25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1.25</v>
      </c>
      <c r="G40" s="1">
        <f t="shared" si="7"/>
        <v>0</v>
      </c>
      <c r="I40" s="19" t="s">
        <v>89</v>
      </c>
      <c r="J40">
        <v>2</v>
      </c>
      <c r="K40" s="1">
        <f t="shared" si="8"/>
        <v>0.5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1.25</v>
      </c>
      <c r="G41" s="1">
        <f t="shared" si="7"/>
        <v>0</v>
      </c>
      <c r="I41" s="19" t="s">
        <v>76</v>
      </c>
      <c r="J41">
        <v>2</v>
      </c>
      <c r="K41" s="1">
        <f t="shared" si="8"/>
        <v>0.5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s="19" t="s">
        <v>90</v>
      </c>
      <c r="J42">
        <v>2</v>
      </c>
      <c r="K42" s="1">
        <f t="shared" si="8"/>
        <v>0.5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0.25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0.25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0.25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0.25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0.25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s="19" t="s">
        <v>96</v>
      </c>
      <c r="J48">
        <v>1</v>
      </c>
      <c r="K48" s="1">
        <f t="shared" si="8"/>
        <v>0.25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0.25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0.25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s="19" t="s">
        <v>159</v>
      </c>
      <c r="J51">
        <v>1</v>
      </c>
      <c r="K51" s="1">
        <f t="shared" si="8"/>
        <v>0.25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10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80</v>
      </c>
      <c r="C56" s="1">
        <f>B56*($B$72/100)</f>
        <v>4</v>
      </c>
      <c r="E56" s="1" t="s">
        <v>7</v>
      </c>
      <c r="F56" s="1">
        <v>0</v>
      </c>
      <c r="G56" s="1">
        <f>F56*($B$72/100)</f>
        <v>0</v>
      </c>
      <c r="I56" s="1" t="s">
        <v>13</v>
      </c>
      <c r="J56" s="1">
        <v>0</v>
      </c>
      <c r="K56" s="1">
        <f>J56*($B$72/100)</f>
        <v>0</v>
      </c>
      <c r="M56" s="1" t="s">
        <v>9</v>
      </c>
      <c r="N56" s="1">
        <v>10</v>
      </c>
      <c r="O56" s="1">
        <f>N56*($B$72/100)</f>
        <v>0.5</v>
      </c>
      <c r="Q56" s="1" t="s">
        <v>117</v>
      </c>
      <c r="R56" s="1">
        <v>5</v>
      </c>
      <c r="S56" s="1">
        <f>R56*($B$72/100)</f>
        <v>0.25</v>
      </c>
      <c r="U56" s="1" t="s">
        <v>12</v>
      </c>
      <c r="V56" s="1">
        <v>5</v>
      </c>
      <c r="W56" s="1">
        <f>V56*($B$72/100)</f>
        <v>0.25</v>
      </c>
    </row>
    <row r="57" spans="1:23" x14ac:dyDescent="0.2">
      <c r="A57" s="19" t="s">
        <v>22</v>
      </c>
      <c r="B57">
        <v>80</v>
      </c>
      <c r="C57" s="1">
        <f t="shared" ref="C57" si="12">B57*($B$72/100)</f>
        <v>4</v>
      </c>
      <c r="G57" s="1">
        <f t="shared" ref="G57" si="13">F57*($B$72/100)</f>
        <v>0</v>
      </c>
      <c r="J57">
        <v>0</v>
      </c>
      <c r="K57" s="1">
        <f t="shared" ref="K57" si="14">J57*($B$72/100)</f>
        <v>0</v>
      </c>
      <c r="M57" t="s">
        <v>10</v>
      </c>
      <c r="N57">
        <v>10</v>
      </c>
      <c r="O57" s="1">
        <f t="shared" ref="O57" si="15">N57*($B$72/100)</f>
        <v>0.5</v>
      </c>
      <c r="Q57" t="s">
        <v>14</v>
      </c>
      <c r="R57">
        <v>5</v>
      </c>
      <c r="S57" s="1">
        <f t="shared" ref="S57" si="16">R57*($B$72/100)</f>
        <v>0.25</v>
      </c>
      <c r="U57" t="s">
        <v>12</v>
      </c>
      <c r="V57">
        <v>5</v>
      </c>
      <c r="W57" s="1">
        <f t="shared" ref="W57" si="17">V57*($B$72/100)</f>
        <v>0.25</v>
      </c>
    </row>
    <row r="58" spans="1:23" x14ac:dyDescent="0.2">
      <c r="C58" s="1">
        <f t="shared" ref="C58:C60" si="18">B58*($B$54/100)</f>
        <v>0</v>
      </c>
      <c r="G58" s="1">
        <f t="shared" ref="G58:G60" si="19">F58*($B$54/100)</f>
        <v>0</v>
      </c>
      <c r="K58" s="1">
        <f t="shared" ref="K58:K60" si="20">J58*($B$54/100)</f>
        <v>0</v>
      </c>
      <c r="O58" s="1">
        <f t="shared" ref="O58:O60" si="21">N58*($B$54/100)</f>
        <v>0</v>
      </c>
      <c r="S58" s="1">
        <f t="shared" ref="S58:S60" si="22">R58*($B$54/100)</f>
        <v>0</v>
      </c>
      <c r="W58" s="1">
        <f t="shared" ref="W58:W60" si="23">V58*($B$54/100)</f>
        <v>0</v>
      </c>
    </row>
    <row r="59" spans="1:23" x14ac:dyDescent="0.2">
      <c r="C59" s="1">
        <f t="shared" si="18"/>
        <v>0</v>
      </c>
      <c r="G59" s="1">
        <f t="shared" si="19"/>
        <v>0</v>
      </c>
      <c r="K59" s="1">
        <f t="shared" si="20"/>
        <v>0</v>
      </c>
      <c r="O59" s="1">
        <f t="shared" si="21"/>
        <v>0</v>
      </c>
      <c r="S59" s="1">
        <f t="shared" si="22"/>
        <v>0</v>
      </c>
      <c r="W59" s="1">
        <f t="shared" si="23"/>
        <v>0</v>
      </c>
    </row>
    <row r="60" spans="1:23" x14ac:dyDescent="0.2">
      <c r="C60" s="1">
        <f t="shared" si="18"/>
        <v>0</v>
      </c>
      <c r="G60" s="1">
        <f t="shared" si="19"/>
        <v>0</v>
      </c>
      <c r="K60" s="1">
        <f t="shared" si="20"/>
        <v>0</v>
      </c>
      <c r="O60" s="1">
        <f t="shared" si="21"/>
        <v>0</v>
      </c>
      <c r="S60" s="1">
        <f t="shared" si="22"/>
        <v>0</v>
      </c>
      <c r="W60" s="1">
        <f t="shared" si="23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5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>
        <f>B65*($B$63/100)</f>
        <v>2.25</v>
      </c>
      <c r="E65" s="1" t="s">
        <v>7</v>
      </c>
      <c r="F65" s="1">
        <v>25</v>
      </c>
      <c r="G65" s="1">
        <f>F65*($B$63/100)</f>
        <v>1.25</v>
      </c>
      <c r="I65" s="1" t="s">
        <v>13</v>
      </c>
      <c r="J65" s="1">
        <v>0</v>
      </c>
      <c r="K65" s="1">
        <f>J65*($B$63/100)</f>
        <v>0</v>
      </c>
      <c r="M65" s="1" t="s">
        <v>9</v>
      </c>
      <c r="N65" s="1">
        <v>20</v>
      </c>
      <c r="O65" s="1">
        <f>N65*($B$63/100)</f>
        <v>1</v>
      </c>
      <c r="Q65" s="1" t="s">
        <v>117</v>
      </c>
      <c r="R65" s="1">
        <v>5</v>
      </c>
      <c r="S65" s="1">
        <f>R65*($B$63/100)</f>
        <v>0.25</v>
      </c>
      <c r="U65" s="1" t="s">
        <v>12</v>
      </c>
      <c r="V65" s="1">
        <v>5</v>
      </c>
      <c r="W65" s="1">
        <f>V65*($B$63/100)</f>
        <v>0.25</v>
      </c>
    </row>
    <row r="66" spans="1:23" x14ac:dyDescent="0.2">
      <c r="A66" s="19" t="s">
        <v>24</v>
      </c>
      <c r="B66">
        <v>45</v>
      </c>
      <c r="C66" s="1">
        <f t="shared" ref="C66:C69" si="24">B66*($B$63/100)</f>
        <v>2.25</v>
      </c>
      <c r="E66" t="s">
        <v>8</v>
      </c>
      <c r="F66">
        <v>13</v>
      </c>
      <c r="G66" s="1">
        <f t="shared" ref="G66:G69" si="25">F66*($B$63/100)</f>
        <v>0.65</v>
      </c>
      <c r="K66" s="1">
        <f t="shared" ref="K66:K69" si="26">J66*($B$63/100)</f>
        <v>0</v>
      </c>
      <c r="M66" t="s">
        <v>10</v>
      </c>
      <c r="N66">
        <v>20</v>
      </c>
      <c r="O66" s="1">
        <f t="shared" ref="O66:O69" si="27">N66*($B$63/100)</f>
        <v>1</v>
      </c>
      <c r="Q66" t="s">
        <v>14</v>
      </c>
      <c r="R66">
        <v>5</v>
      </c>
      <c r="S66" s="1">
        <f t="shared" ref="S66:S69" si="28">R66*($B$63/100)</f>
        <v>0.25</v>
      </c>
      <c r="U66" t="s">
        <v>12</v>
      </c>
      <c r="V66">
        <v>5</v>
      </c>
      <c r="W66" s="1">
        <f t="shared" ref="W66:W69" si="29">V66*($B$63/100)</f>
        <v>0.25</v>
      </c>
    </row>
    <row r="67" spans="1:23" x14ac:dyDescent="0.2">
      <c r="C67" s="1">
        <f t="shared" si="24"/>
        <v>0</v>
      </c>
      <c r="E67" t="s">
        <v>27</v>
      </c>
      <c r="F67">
        <v>12</v>
      </c>
      <c r="G67" s="1">
        <f t="shared" si="25"/>
        <v>0.60000000000000009</v>
      </c>
      <c r="K67" s="1">
        <f t="shared" si="26"/>
        <v>0</v>
      </c>
      <c r="O67" s="1">
        <f t="shared" si="27"/>
        <v>0</v>
      </c>
      <c r="S67" s="1">
        <f t="shared" si="28"/>
        <v>0</v>
      </c>
      <c r="W67" s="1">
        <f t="shared" si="29"/>
        <v>0</v>
      </c>
    </row>
    <row r="68" spans="1:23" x14ac:dyDescent="0.2">
      <c r="C68" s="1">
        <f t="shared" si="24"/>
        <v>0</v>
      </c>
      <c r="G68" s="1">
        <f t="shared" si="25"/>
        <v>0</v>
      </c>
      <c r="K68" s="1">
        <f t="shared" si="26"/>
        <v>0</v>
      </c>
      <c r="O68" s="1">
        <f t="shared" si="27"/>
        <v>0</v>
      </c>
      <c r="S68" s="1">
        <f t="shared" si="28"/>
        <v>0</v>
      </c>
      <c r="W68" s="1">
        <f t="shared" si="29"/>
        <v>0</v>
      </c>
    </row>
    <row r="69" spans="1:23" x14ac:dyDescent="0.2">
      <c r="C69" s="1">
        <f t="shared" si="24"/>
        <v>0</v>
      </c>
      <c r="G69" s="1">
        <f t="shared" si="25"/>
        <v>0</v>
      </c>
      <c r="K69" s="1">
        <f t="shared" si="26"/>
        <v>0</v>
      </c>
      <c r="O69" s="1">
        <f t="shared" si="27"/>
        <v>0</v>
      </c>
      <c r="S69" s="1">
        <f t="shared" si="28"/>
        <v>0</v>
      </c>
      <c r="W69" s="1">
        <f t="shared" si="29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5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>
        <f>B74*($B$72/100)</f>
        <v>4</v>
      </c>
      <c r="E74" s="1" t="s">
        <v>7</v>
      </c>
      <c r="F74" s="1">
        <v>0</v>
      </c>
      <c r="G74" s="1">
        <f>F74*($B$72/100)</f>
        <v>0</v>
      </c>
      <c r="I74" s="1" t="s">
        <v>13</v>
      </c>
      <c r="J74" s="1">
        <v>0</v>
      </c>
      <c r="K74" s="1">
        <f>J74*($B$72/100)</f>
        <v>0</v>
      </c>
      <c r="M74" s="1" t="s">
        <v>9</v>
      </c>
      <c r="N74" s="1">
        <v>10</v>
      </c>
      <c r="O74" s="1">
        <f>N74*($B$72/100)</f>
        <v>0.5</v>
      </c>
      <c r="Q74" s="1" t="s">
        <v>117</v>
      </c>
      <c r="R74" s="1">
        <v>5</v>
      </c>
      <c r="S74" s="1">
        <f>R74*($B$72/100)</f>
        <v>0.25</v>
      </c>
      <c r="U74" s="1" t="s">
        <v>12</v>
      </c>
      <c r="V74" s="1">
        <v>5</v>
      </c>
      <c r="W74" s="1">
        <f>V74*($B$72/100)</f>
        <v>0.25</v>
      </c>
    </row>
    <row r="75" spans="1:23" x14ac:dyDescent="0.2">
      <c r="A75" s="19" t="s">
        <v>25</v>
      </c>
      <c r="B75">
        <v>80</v>
      </c>
      <c r="C75" s="1">
        <f t="shared" ref="C75:C78" si="30">B75*($B$72/100)</f>
        <v>4</v>
      </c>
      <c r="G75" s="1">
        <f t="shared" ref="G75:G78" si="31">F75*($B$72/100)</f>
        <v>0</v>
      </c>
      <c r="J75">
        <v>0</v>
      </c>
      <c r="K75" s="1">
        <f t="shared" ref="K75:K78" si="32">J75*($B$72/100)</f>
        <v>0</v>
      </c>
      <c r="M75" t="s">
        <v>10</v>
      </c>
      <c r="N75">
        <v>10</v>
      </c>
      <c r="O75" s="1">
        <f t="shared" ref="O75:O78" si="33">N75*($B$72/100)</f>
        <v>0.5</v>
      </c>
      <c r="Q75" t="s">
        <v>14</v>
      </c>
      <c r="R75">
        <v>5</v>
      </c>
      <c r="S75" s="1">
        <f t="shared" ref="S75:S78" si="34">R75*($B$72/100)</f>
        <v>0.25</v>
      </c>
      <c r="U75" t="s">
        <v>12</v>
      </c>
      <c r="V75">
        <v>5</v>
      </c>
      <c r="W75" s="1">
        <f t="shared" ref="W75:W78" si="35">V75*($B$72/100)</f>
        <v>0.25</v>
      </c>
    </row>
    <row r="76" spans="1:23" x14ac:dyDescent="0.2">
      <c r="C76" s="1">
        <f t="shared" si="30"/>
        <v>0</v>
      </c>
      <c r="G76" s="1">
        <f t="shared" si="31"/>
        <v>0</v>
      </c>
      <c r="K76" s="1">
        <f t="shared" si="32"/>
        <v>0</v>
      </c>
      <c r="O76" s="1">
        <f t="shared" si="33"/>
        <v>0</v>
      </c>
      <c r="S76" s="1">
        <f t="shared" si="34"/>
        <v>0</v>
      </c>
      <c r="W76" s="1">
        <f t="shared" si="35"/>
        <v>0</v>
      </c>
    </row>
    <row r="77" spans="1:23" x14ac:dyDescent="0.2">
      <c r="C77" s="1">
        <f t="shared" si="30"/>
        <v>0</v>
      </c>
      <c r="G77" s="1">
        <f t="shared" si="31"/>
        <v>0</v>
      </c>
      <c r="K77" s="1">
        <f t="shared" si="32"/>
        <v>0</v>
      </c>
      <c r="O77" s="1">
        <f t="shared" si="33"/>
        <v>0</v>
      </c>
      <c r="S77" s="1">
        <f t="shared" si="34"/>
        <v>0</v>
      </c>
      <c r="W77" s="1">
        <f t="shared" si="35"/>
        <v>0</v>
      </c>
    </row>
    <row r="78" spans="1:23" x14ac:dyDescent="0.2">
      <c r="C78" s="1">
        <f t="shared" si="30"/>
        <v>0</v>
      </c>
      <c r="G78" s="1">
        <f t="shared" si="31"/>
        <v>0</v>
      </c>
      <c r="K78" s="1">
        <f t="shared" si="32"/>
        <v>0</v>
      </c>
      <c r="O78" s="1">
        <f t="shared" si="33"/>
        <v>0</v>
      </c>
      <c r="S78" s="1">
        <f t="shared" si="34"/>
        <v>0</v>
      </c>
      <c r="W78" s="1">
        <f t="shared" si="35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5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>
        <f>B83*($B$81/100)</f>
        <v>2.5</v>
      </c>
      <c r="E83" s="1" t="s">
        <v>7</v>
      </c>
      <c r="F83" s="1">
        <v>0</v>
      </c>
      <c r="G83" s="1">
        <f>F83*($B$81/100)</f>
        <v>0</v>
      </c>
      <c r="I83" s="1" t="s">
        <v>13</v>
      </c>
      <c r="J83" s="1">
        <v>20</v>
      </c>
      <c r="K83" s="1">
        <f>J83*($B$81/100)</f>
        <v>1</v>
      </c>
      <c r="M83" s="1" t="s">
        <v>9</v>
      </c>
      <c r="N83" s="1">
        <v>20</v>
      </c>
      <c r="O83" s="1">
        <f>N83*($B$81/100)</f>
        <v>1</v>
      </c>
      <c r="Q83" s="1" t="s">
        <v>117</v>
      </c>
      <c r="R83" s="1">
        <v>5</v>
      </c>
      <c r="S83" s="1">
        <f>R83*($B$81/100)</f>
        <v>0.25</v>
      </c>
      <c r="U83" s="1" t="s">
        <v>12</v>
      </c>
      <c r="V83" s="1">
        <v>5</v>
      </c>
      <c r="W83" s="1">
        <f>V83*($B$81/100)</f>
        <v>0.25</v>
      </c>
    </row>
    <row r="84" spans="1:23" x14ac:dyDescent="0.2">
      <c r="A84" s="19" t="s">
        <v>26</v>
      </c>
      <c r="B84">
        <v>25</v>
      </c>
      <c r="C84" s="1">
        <f t="shared" ref="C84:C87" si="36">B84*($B$81/100)</f>
        <v>1.25</v>
      </c>
      <c r="G84" s="1">
        <f t="shared" ref="G84:G87" si="37">F84*($B$81/100)</f>
        <v>0</v>
      </c>
      <c r="I84" t="s">
        <v>23</v>
      </c>
      <c r="J84">
        <v>20</v>
      </c>
      <c r="K84" s="1">
        <f t="shared" ref="K84:K87" si="38">J84*($B$81/100)</f>
        <v>1</v>
      </c>
      <c r="M84" t="s">
        <v>10</v>
      </c>
      <c r="N84">
        <v>20</v>
      </c>
      <c r="O84" s="1">
        <f t="shared" ref="O84:O87" si="39">N84*($B$81/100)</f>
        <v>1</v>
      </c>
      <c r="Q84" t="s">
        <v>14</v>
      </c>
      <c r="R84">
        <v>5</v>
      </c>
      <c r="S84" s="1">
        <f t="shared" ref="S84:S87" si="40">R84*($B$81/100)</f>
        <v>0.25</v>
      </c>
      <c r="U84" t="s">
        <v>12</v>
      </c>
      <c r="V84">
        <v>5</v>
      </c>
      <c r="W84" s="1">
        <f t="shared" ref="W84:W87" si="41">V84*($B$81/100)</f>
        <v>0.25</v>
      </c>
    </row>
    <row r="85" spans="1:23" x14ac:dyDescent="0.2">
      <c r="C85" s="1">
        <f t="shared" si="36"/>
        <v>0</v>
      </c>
      <c r="G85" s="1">
        <f t="shared" si="37"/>
        <v>0</v>
      </c>
      <c r="K85" s="1">
        <f t="shared" si="38"/>
        <v>0</v>
      </c>
      <c r="O85" s="1">
        <f t="shared" si="39"/>
        <v>0</v>
      </c>
      <c r="S85" s="1">
        <f t="shared" si="40"/>
        <v>0</v>
      </c>
      <c r="W85" s="1">
        <f t="shared" si="41"/>
        <v>0</v>
      </c>
    </row>
    <row r="86" spans="1:23" x14ac:dyDescent="0.2">
      <c r="A86" s="19" t="s">
        <v>80</v>
      </c>
      <c r="B86">
        <v>25</v>
      </c>
      <c r="C86" s="1">
        <f t="shared" si="36"/>
        <v>1.25</v>
      </c>
      <c r="G86" s="1">
        <f t="shared" si="37"/>
        <v>0</v>
      </c>
      <c r="K86" s="1">
        <f t="shared" si="38"/>
        <v>0</v>
      </c>
      <c r="O86" s="1">
        <f t="shared" si="39"/>
        <v>0</v>
      </c>
      <c r="S86" s="1">
        <f t="shared" si="40"/>
        <v>0</v>
      </c>
      <c r="W86" s="1">
        <f t="shared" si="41"/>
        <v>0</v>
      </c>
    </row>
    <row r="87" spans="1:23" x14ac:dyDescent="0.2">
      <c r="C87" s="1">
        <f t="shared" si="36"/>
        <v>0</v>
      </c>
      <c r="G87" s="1">
        <f t="shared" si="37"/>
        <v>0</v>
      </c>
      <c r="K87" s="1">
        <f t="shared" si="38"/>
        <v>0</v>
      </c>
      <c r="O87" s="1">
        <f t="shared" si="39"/>
        <v>0</v>
      </c>
      <c r="S87" s="1">
        <f t="shared" si="40"/>
        <v>0</v>
      </c>
      <c r="W87" s="1">
        <f t="shared" si="41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  <row r="91" spans="1:23" x14ac:dyDescent="0.2">
      <c r="A91" t="s">
        <v>160</v>
      </c>
    </row>
  </sheetData>
  <conditionalFormatting sqref="B22 F22 J22 N22 R22 V22 B35 F35 J35 N35 R35 V35 B64 F64 J64 N64 R64 V64 B73 F73 J73 N73 R73 V73 B82 F82 J82 N82 R82 V82">
    <cfRule type="cellIs" dxfId="13" priority="9" operator="equal">
      <formula>TRUE</formula>
    </cfRule>
  </conditionalFormatting>
  <conditionalFormatting sqref="B55 F55 J55 N55 R55 V55">
    <cfRule type="cellIs" dxfId="12" priority="2" operator="equal">
      <formula>TRUE</formula>
    </cfRule>
  </conditionalFormatting>
  <conditionalFormatting sqref="C21">
    <cfRule type="cellIs" dxfId="11" priority="8" operator="equal">
      <formula>TRUE</formula>
    </cfRule>
  </conditionalFormatting>
  <conditionalFormatting sqref="C34">
    <cfRule type="cellIs" dxfId="10" priority="7" operator="equal">
      <formula>TRUE</formula>
    </cfRule>
  </conditionalFormatting>
  <conditionalFormatting sqref="C54">
    <cfRule type="cellIs" dxfId="9" priority="1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C72">
    <cfRule type="cellIs" dxfId="7" priority="5" operator="equal">
      <formula>TRUE</formula>
    </cfRule>
  </conditionalFormatting>
  <conditionalFormatting sqref="C81">
    <cfRule type="cellIs" dxfId="6" priority="4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C10"/>
  <sheetViews>
    <sheetView zoomScale="150" workbookViewId="0">
      <pane ySplit="2" topLeftCell="A3" activePane="bottomLeft" state="frozen"/>
      <selection pane="bottomLeft" activeCell="B3" sqref="B3:B8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3" x14ac:dyDescent="0.2">
      <c r="A1" s="7" t="s">
        <v>20</v>
      </c>
      <c r="B1" s="4">
        <f>SUM(B3:B20)</f>
        <v>100</v>
      </c>
    </row>
    <row r="2" spans="1:3" s="1" customFormat="1" x14ac:dyDescent="0.2">
      <c r="A2" s="5" t="s">
        <v>0</v>
      </c>
      <c r="B2" s="5" t="s">
        <v>3</v>
      </c>
    </row>
    <row r="3" spans="1:3" x14ac:dyDescent="0.2">
      <c r="A3" s="2" t="s">
        <v>11</v>
      </c>
      <c r="B3" s="3">
        <v>50</v>
      </c>
      <c r="C3" s="16">
        <v>45</v>
      </c>
    </row>
    <row r="4" spans="1:3" x14ac:dyDescent="0.2">
      <c r="A4" s="2" t="s">
        <v>16</v>
      </c>
      <c r="B4" s="3">
        <v>25</v>
      </c>
      <c r="C4" s="16">
        <v>20</v>
      </c>
    </row>
    <row r="5" spans="1:3" x14ac:dyDescent="0.2">
      <c r="A5" s="2" t="s">
        <v>15</v>
      </c>
      <c r="B5" s="3">
        <v>5</v>
      </c>
      <c r="C5" s="16">
        <v>5</v>
      </c>
    </row>
    <row r="6" spans="1:3" x14ac:dyDescent="0.2">
      <c r="A6" s="2" t="s">
        <v>4</v>
      </c>
      <c r="B6" s="3">
        <v>10</v>
      </c>
      <c r="C6" s="16">
        <v>10</v>
      </c>
    </row>
    <row r="7" spans="1:3" x14ac:dyDescent="0.2">
      <c r="A7" s="2" t="s">
        <v>17</v>
      </c>
      <c r="B7" s="3">
        <v>5</v>
      </c>
      <c r="C7" s="16">
        <v>5</v>
      </c>
    </row>
    <row r="8" spans="1:3" x14ac:dyDescent="0.2">
      <c r="A8" s="2" t="s">
        <v>18</v>
      </c>
      <c r="B8" s="3">
        <v>5</v>
      </c>
      <c r="C8" s="16">
        <v>5</v>
      </c>
    </row>
    <row r="9" spans="1:3" x14ac:dyDescent="0.2">
      <c r="A9" s="15" t="s">
        <v>19</v>
      </c>
      <c r="B9" s="16"/>
      <c r="C9" s="16">
        <v>10</v>
      </c>
    </row>
    <row r="10" spans="1:3" x14ac:dyDescent="0.2">
      <c r="B10" s="3"/>
    </row>
  </sheetData>
  <conditionalFormatting sqref="B1">
    <cfRule type="cellIs" dxfId="5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O61"/>
  <sheetViews>
    <sheetView workbookViewId="0">
      <pane ySplit="1" topLeftCell="A2" activePane="bottomLeft" state="frozen"/>
      <selection pane="bottomLeft" activeCell="M5" sqref="M5"/>
    </sheetView>
  </sheetViews>
  <sheetFormatPr baseColWidth="10" defaultRowHeight="16" x14ac:dyDescent="0.2"/>
  <cols>
    <col min="1" max="1" width="22.83203125" bestFit="1" customWidth="1"/>
    <col min="2" max="2" width="14.5" bestFit="1" customWidth="1"/>
    <col min="3" max="3" width="16.83203125" bestFit="1" customWidth="1"/>
    <col min="4" max="4" width="9.5" bestFit="1" customWidth="1"/>
    <col min="5" max="5" width="4.6640625" customWidth="1"/>
    <col min="6" max="6" width="22.83203125" bestFit="1" customWidth="1"/>
    <col min="7" max="7" width="6.5" style="8" bestFit="1" customWidth="1"/>
    <col min="8" max="8" width="3.6640625" customWidth="1"/>
    <col min="9" max="9" width="12" bestFit="1" customWidth="1"/>
    <col min="10" max="10" width="6.5" style="8" bestFit="1" customWidth="1"/>
    <col min="11" max="11" width="1.83203125" customWidth="1"/>
    <col min="12" max="12" width="14.33203125" bestFit="1" customWidth="1"/>
    <col min="13" max="13" width="6.5" style="8" bestFit="1" customWidth="1"/>
    <col min="15" max="15" width="29.83203125" bestFit="1" customWidth="1"/>
  </cols>
  <sheetData>
    <row r="1" spans="1:15" s="1" customFormat="1" x14ac:dyDescent="0.2">
      <c r="A1" s="6" t="s">
        <v>0</v>
      </c>
      <c r="B1" s="6" t="s">
        <v>1</v>
      </c>
      <c r="C1" s="6" t="s">
        <v>2</v>
      </c>
      <c r="D1" s="6" t="s">
        <v>3</v>
      </c>
      <c r="F1" s="7" t="str" cm="1">
        <f t="array" ref="F1:F8">_xlfn.UNIQUE(A:A)</f>
        <v>RevenueStream</v>
      </c>
      <c r="G1" s="7" t="s">
        <v>21</v>
      </c>
      <c r="I1" s="7" t="str" cm="1">
        <f t="array" ref="I1:I8">_xlfn.UNIQUE(B:B)</f>
        <v>BudgetGroup</v>
      </c>
      <c r="J1" s="7" t="s">
        <v>21</v>
      </c>
      <c r="L1" s="7" t="str" cm="1">
        <f t="array" ref="L1:L14">_xlfn.UNIQUE(C:C)</f>
        <v>RequestingArea</v>
      </c>
      <c r="M1" s="7" t="s">
        <v>21</v>
      </c>
      <c r="O1" s="7" t="s">
        <v>77</v>
      </c>
    </row>
    <row r="2" spans="1:15" x14ac:dyDescent="0.2">
      <c r="A2" t="s">
        <v>4</v>
      </c>
      <c r="B2" t="s">
        <v>5</v>
      </c>
      <c r="C2" t="s">
        <v>22</v>
      </c>
      <c r="D2">
        <v>40</v>
      </c>
      <c r="F2" t="str">
        <v>Business Solutions</v>
      </c>
      <c r="G2" s="7">
        <f t="shared" ref="G2:G13" ca="1" si="0">SUMIF($A:$D,F2,$D:$D)</f>
        <v>100</v>
      </c>
      <c r="I2" t="str">
        <v>Commercial</v>
      </c>
      <c r="J2" s="4">
        <f t="shared" ref="J2:J13" ca="1" si="1">SUMIF($B:$D,I2,$D:$D)</f>
        <v>215</v>
      </c>
      <c r="L2" t="str">
        <v>GP B2B</v>
      </c>
      <c r="M2" s="4">
        <f t="shared" ref="M2:M13" ca="1" si="2">SUMIF($C:$D,L2,$D:$D)</f>
        <v>75</v>
      </c>
      <c r="O2" t="str">
        <f>A2&amp;"-"&amp;C2</f>
        <v>Business Solutions-GP B2B</v>
      </c>
    </row>
    <row r="3" spans="1:15" x14ac:dyDescent="0.2">
      <c r="A3" t="s">
        <v>4</v>
      </c>
      <c r="B3" t="s">
        <v>6</v>
      </c>
      <c r="C3" t="s">
        <v>14</v>
      </c>
      <c r="D3">
        <v>9</v>
      </c>
      <c r="F3" t="str">
        <v>eCommerce</v>
      </c>
      <c r="G3" s="7">
        <f t="shared" ca="1" si="0"/>
        <v>100</v>
      </c>
      <c r="I3" t="str">
        <v>Data&amp;AI</v>
      </c>
      <c r="J3" s="4">
        <f t="shared" ca="1" si="1"/>
        <v>59</v>
      </c>
      <c r="L3" t="str">
        <v>DAI</v>
      </c>
      <c r="M3" s="4">
        <f t="shared" ca="1" si="2"/>
        <v>59</v>
      </c>
      <c r="O3" t="str">
        <f t="shared" ref="O3:O61" si="3">A3&amp;"-"&amp;C3</f>
        <v>Business Solutions-DAI</v>
      </c>
    </row>
    <row r="4" spans="1:15" x14ac:dyDescent="0.2">
      <c r="A4" t="s">
        <v>4</v>
      </c>
      <c r="B4" t="s">
        <v>7</v>
      </c>
      <c r="C4" t="s">
        <v>8</v>
      </c>
      <c r="D4">
        <v>1</v>
      </c>
      <c r="F4" t="str">
        <v>Fulfilment</v>
      </c>
      <c r="G4" s="7">
        <f t="shared" ca="1" si="0"/>
        <v>100</v>
      </c>
      <c r="I4" t="str">
        <v>Operations</v>
      </c>
      <c r="J4" s="4">
        <f t="shared" ca="1" si="1"/>
        <v>101</v>
      </c>
      <c r="L4" t="str">
        <v>EDO</v>
      </c>
      <c r="M4" s="4">
        <f t="shared" ca="1" si="2"/>
        <v>91</v>
      </c>
      <c r="O4" t="str">
        <f t="shared" si="3"/>
        <v>Business Solutions-EDO</v>
      </c>
    </row>
    <row r="5" spans="1:15" x14ac:dyDescent="0.2">
      <c r="A5" t="s">
        <v>4</v>
      </c>
      <c r="B5" t="s">
        <v>9</v>
      </c>
      <c r="C5" t="s">
        <v>10</v>
      </c>
      <c r="D5">
        <v>20</v>
      </c>
      <c r="F5" t="str">
        <v>Mail</v>
      </c>
      <c r="G5" s="7">
        <f t="shared" ca="1" si="0"/>
        <v>100</v>
      </c>
      <c r="I5" t="str">
        <v>Technology</v>
      </c>
      <c r="J5" s="4">
        <f t="shared" ca="1" si="1"/>
        <v>120</v>
      </c>
      <c r="L5" t="str">
        <v>SI</v>
      </c>
      <c r="M5" s="4">
        <f t="shared" ca="1" si="2"/>
        <v>120</v>
      </c>
      <c r="O5" t="str">
        <f t="shared" si="3"/>
        <v>Business Solutions-SI</v>
      </c>
    </row>
    <row r="6" spans="1:15" x14ac:dyDescent="0.2">
      <c r="A6" t="s">
        <v>4</v>
      </c>
      <c r="B6" t="s">
        <v>12</v>
      </c>
      <c r="C6" t="s">
        <v>12</v>
      </c>
      <c r="D6">
        <v>10</v>
      </c>
      <c r="F6" t="str">
        <v>Payments</v>
      </c>
      <c r="G6" s="7">
        <f t="shared" ca="1" si="0"/>
        <v>100</v>
      </c>
      <c r="I6" t="str">
        <v>CISO</v>
      </c>
      <c r="J6" s="4">
        <f t="shared" ca="1" si="1"/>
        <v>35</v>
      </c>
      <c r="L6" t="str">
        <v>CISO</v>
      </c>
      <c r="M6" s="4">
        <f t="shared" ca="1" si="2"/>
        <v>35</v>
      </c>
      <c r="O6" t="str">
        <f t="shared" si="3"/>
        <v>Business Solutions-CISO</v>
      </c>
    </row>
    <row r="7" spans="1:15" x14ac:dyDescent="0.2">
      <c r="A7" t="s">
        <v>4</v>
      </c>
      <c r="B7" t="s">
        <v>13</v>
      </c>
      <c r="C7" t="s">
        <v>23</v>
      </c>
      <c r="D7">
        <v>20</v>
      </c>
      <c r="F7" t="str">
        <v>Retail &amp; Financial Services</v>
      </c>
      <c r="G7" s="7">
        <f t="shared" ca="1" si="0"/>
        <v>100</v>
      </c>
      <c r="I7" t="str">
        <v>Corporate</v>
      </c>
      <c r="J7" s="4">
        <f t="shared" ca="1" si="1"/>
        <v>70</v>
      </c>
      <c r="L7" t="str">
        <v>CF</v>
      </c>
      <c r="M7" s="4">
        <f t="shared" ca="1" si="2"/>
        <v>68</v>
      </c>
      <c r="O7" t="str">
        <f t="shared" si="3"/>
        <v>Business Solutions-CF</v>
      </c>
    </row>
    <row r="8" spans="1:15" x14ac:dyDescent="0.2">
      <c r="A8" t="s">
        <v>11</v>
      </c>
      <c r="B8" t="s">
        <v>5</v>
      </c>
      <c r="C8" t="s">
        <v>24</v>
      </c>
      <c r="D8">
        <v>35</v>
      </c>
      <c r="F8">
        <v>0</v>
      </c>
      <c r="G8" s="7">
        <f t="shared" ca="1" si="0"/>
        <v>0</v>
      </c>
      <c r="I8">
        <v>0</v>
      </c>
      <c r="J8" s="4">
        <f t="shared" ca="1" si="1"/>
        <v>0</v>
      </c>
      <c r="L8" t="str">
        <v>GP ECL</v>
      </c>
      <c r="M8" s="4">
        <f t="shared" ca="1" si="2"/>
        <v>70</v>
      </c>
      <c r="O8" t="str">
        <f t="shared" si="3"/>
        <v>eCommerce-GP ECL</v>
      </c>
    </row>
    <row r="9" spans="1:15" x14ac:dyDescent="0.2">
      <c r="A9" t="s">
        <v>11</v>
      </c>
      <c r="B9" t="s">
        <v>6</v>
      </c>
      <c r="C9" t="s">
        <v>14</v>
      </c>
      <c r="D9">
        <v>10</v>
      </c>
      <c r="G9" s="7">
        <f t="shared" ca="1" si="0"/>
        <v>0</v>
      </c>
      <c r="J9" s="4">
        <f t="shared" ca="1" si="1"/>
        <v>0</v>
      </c>
      <c r="L9" t="str">
        <v>SEO</v>
      </c>
      <c r="M9" s="4">
        <f t="shared" ca="1" si="2"/>
        <v>10</v>
      </c>
      <c r="O9" t="str">
        <f t="shared" si="3"/>
        <v>eCommerce-DAI</v>
      </c>
    </row>
    <row r="10" spans="1:15" x14ac:dyDescent="0.2">
      <c r="A10" t="s">
        <v>11</v>
      </c>
      <c r="B10" t="s">
        <v>7</v>
      </c>
      <c r="C10" t="s">
        <v>8</v>
      </c>
      <c r="D10">
        <v>20</v>
      </c>
      <c r="G10" s="7">
        <f t="shared" ca="1" si="0"/>
        <v>0</v>
      </c>
      <c r="J10" s="4">
        <f t="shared" ca="1" si="1"/>
        <v>0</v>
      </c>
      <c r="L10" t="str">
        <v>BCTT</v>
      </c>
      <c r="M10" s="4">
        <f t="shared" ca="1" si="2"/>
        <v>1</v>
      </c>
      <c r="O10" t="str">
        <f t="shared" si="3"/>
        <v>eCommerce-EDO</v>
      </c>
    </row>
    <row r="11" spans="1:15" x14ac:dyDescent="0.2">
      <c r="A11" t="s">
        <v>11</v>
      </c>
      <c r="B11" t="s">
        <v>9</v>
      </c>
      <c r="C11" t="s">
        <v>10</v>
      </c>
      <c r="D11">
        <v>20</v>
      </c>
      <c r="G11" s="7">
        <f t="shared" ca="1" si="0"/>
        <v>0</v>
      </c>
      <c r="J11" s="4">
        <f t="shared" ca="1" si="1"/>
        <v>0</v>
      </c>
      <c r="L11" t="str">
        <v>GRH</v>
      </c>
      <c r="M11" s="4">
        <f t="shared" ca="1" si="2"/>
        <v>1</v>
      </c>
      <c r="O11" t="str">
        <f t="shared" si="3"/>
        <v>eCommerce-SI</v>
      </c>
    </row>
    <row r="12" spans="1:15" x14ac:dyDescent="0.2">
      <c r="A12" t="s">
        <v>11</v>
      </c>
      <c r="B12" t="s">
        <v>12</v>
      </c>
      <c r="C12" t="s">
        <v>12</v>
      </c>
      <c r="D12">
        <v>5</v>
      </c>
      <c r="G12" s="7">
        <f t="shared" ca="1" si="0"/>
        <v>0</v>
      </c>
      <c r="J12" s="4">
        <f t="shared" ca="1" si="1"/>
        <v>0</v>
      </c>
      <c r="L12" t="str">
        <v>GPG</v>
      </c>
      <c r="M12" s="4">
        <f t="shared" ca="1" si="2"/>
        <v>35</v>
      </c>
      <c r="O12" t="str">
        <f t="shared" si="3"/>
        <v>eCommerce-CISO</v>
      </c>
    </row>
    <row r="13" spans="1:15" x14ac:dyDescent="0.2">
      <c r="A13" t="s">
        <v>11</v>
      </c>
      <c r="B13" t="s">
        <v>13</v>
      </c>
      <c r="C13" t="s">
        <v>23</v>
      </c>
      <c r="D13">
        <v>10</v>
      </c>
      <c r="G13" s="7">
        <f t="shared" ca="1" si="0"/>
        <v>0</v>
      </c>
      <c r="J13" s="4">
        <f t="shared" ca="1" si="1"/>
        <v>0</v>
      </c>
      <c r="L13" t="str">
        <v>GP B2C</v>
      </c>
      <c r="M13" s="4">
        <f t="shared" ca="1" si="2"/>
        <v>35</v>
      </c>
      <c r="O13" t="str">
        <f t="shared" si="3"/>
        <v>eCommerce-CF</v>
      </c>
    </row>
    <row r="14" spans="1:15" x14ac:dyDescent="0.2">
      <c r="A14" t="s">
        <v>15</v>
      </c>
      <c r="B14" t="s">
        <v>5</v>
      </c>
      <c r="C14" t="s">
        <v>24</v>
      </c>
      <c r="D14">
        <v>35</v>
      </c>
      <c r="L14">
        <v>0</v>
      </c>
      <c r="O14" t="str">
        <f t="shared" si="3"/>
        <v>Fulfilment-GP ECL</v>
      </c>
    </row>
    <row r="15" spans="1:15" x14ac:dyDescent="0.2">
      <c r="A15" t="s">
        <v>15</v>
      </c>
      <c r="B15" t="s">
        <v>6</v>
      </c>
      <c r="C15" t="s">
        <v>14</v>
      </c>
      <c r="D15">
        <v>10</v>
      </c>
      <c r="O15" t="str">
        <f t="shared" si="3"/>
        <v>Fulfilment-DAI</v>
      </c>
    </row>
    <row r="16" spans="1:15" x14ac:dyDescent="0.2">
      <c r="A16" t="s">
        <v>15</v>
      </c>
      <c r="B16" t="s">
        <v>7</v>
      </c>
      <c r="C16" t="s">
        <v>8</v>
      </c>
      <c r="D16">
        <v>20</v>
      </c>
      <c r="O16" t="str">
        <f t="shared" si="3"/>
        <v>Fulfilment-EDO</v>
      </c>
    </row>
    <row r="17" spans="1:15" x14ac:dyDescent="0.2">
      <c r="A17" t="s">
        <v>15</v>
      </c>
      <c r="B17" t="s">
        <v>9</v>
      </c>
      <c r="C17" t="s">
        <v>10</v>
      </c>
      <c r="D17">
        <v>20</v>
      </c>
      <c r="O17" t="str">
        <f t="shared" si="3"/>
        <v>Fulfilment-SI</v>
      </c>
    </row>
    <row r="18" spans="1:15" x14ac:dyDescent="0.2">
      <c r="A18" t="s">
        <v>15</v>
      </c>
      <c r="B18" t="s">
        <v>12</v>
      </c>
      <c r="C18" t="s">
        <v>12</v>
      </c>
      <c r="D18">
        <v>5</v>
      </c>
      <c r="O18" t="str">
        <f t="shared" si="3"/>
        <v>Fulfilment-CISO</v>
      </c>
    </row>
    <row r="19" spans="1:15" x14ac:dyDescent="0.2">
      <c r="A19" t="s">
        <v>15</v>
      </c>
      <c r="B19" t="s">
        <v>13</v>
      </c>
      <c r="C19" t="s">
        <v>23</v>
      </c>
      <c r="D19">
        <v>10</v>
      </c>
      <c r="O19" t="str">
        <f t="shared" si="3"/>
        <v>Fulfilment-CF</v>
      </c>
    </row>
    <row r="20" spans="1:15" x14ac:dyDescent="0.2">
      <c r="A20" t="s">
        <v>16</v>
      </c>
      <c r="B20" t="s">
        <v>5</v>
      </c>
      <c r="C20" t="s">
        <v>22</v>
      </c>
      <c r="D20">
        <v>35</v>
      </c>
      <c r="O20" t="str">
        <f t="shared" si="3"/>
        <v>Mail-GP B2B</v>
      </c>
    </row>
    <row r="21" spans="1:15" x14ac:dyDescent="0.2">
      <c r="A21" t="s">
        <v>16</v>
      </c>
      <c r="B21" t="s">
        <v>6</v>
      </c>
      <c r="C21" t="s">
        <v>14</v>
      </c>
      <c r="D21">
        <v>10</v>
      </c>
      <c r="O21" t="str">
        <f t="shared" si="3"/>
        <v>Mail-DAI</v>
      </c>
    </row>
    <row r="22" spans="1:15" x14ac:dyDescent="0.2">
      <c r="A22" t="s">
        <v>16</v>
      </c>
      <c r="B22" t="s">
        <v>7</v>
      </c>
      <c r="C22" t="s">
        <v>8</v>
      </c>
      <c r="D22">
        <v>10</v>
      </c>
      <c r="O22" t="str">
        <f t="shared" si="3"/>
        <v>Mail-EDO</v>
      </c>
    </row>
    <row r="23" spans="1:15" x14ac:dyDescent="0.2">
      <c r="A23" t="s">
        <v>16</v>
      </c>
      <c r="B23" t="s">
        <v>7</v>
      </c>
      <c r="C23" t="s">
        <v>27</v>
      </c>
      <c r="D23">
        <v>10</v>
      </c>
      <c r="O23" t="str">
        <f t="shared" si="3"/>
        <v>Mail-SEO</v>
      </c>
    </row>
    <row r="24" spans="1:15" x14ac:dyDescent="0.2">
      <c r="A24" t="s">
        <v>16</v>
      </c>
      <c r="B24" t="s">
        <v>9</v>
      </c>
      <c r="C24" t="s">
        <v>10</v>
      </c>
      <c r="D24">
        <v>20</v>
      </c>
      <c r="O24" t="str">
        <f t="shared" si="3"/>
        <v>Mail-SI</v>
      </c>
    </row>
    <row r="25" spans="1:15" x14ac:dyDescent="0.2">
      <c r="A25" t="s">
        <v>16</v>
      </c>
      <c r="B25" t="s">
        <v>12</v>
      </c>
      <c r="C25" t="s">
        <v>12</v>
      </c>
      <c r="D25">
        <v>5</v>
      </c>
      <c r="O25" t="str">
        <f t="shared" si="3"/>
        <v>Mail-CISO</v>
      </c>
    </row>
    <row r="26" spans="1:15" x14ac:dyDescent="0.2">
      <c r="A26" t="s">
        <v>16</v>
      </c>
      <c r="B26" t="s">
        <v>13</v>
      </c>
      <c r="C26" t="s">
        <v>23</v>
      </c>
      <c r="D26">
        <v>8</v>
      </c>
      <c r="O26" t="str">
        <f t="shared" si="3"/>
        <v>Mail-CF</v>
      </c>
    </row>
    <row r="27" spans="1:15" x14ac:dyDescent="0.2">
      <c r="A27" t="s">
        <v>16</v>
      </c>
      <c r="B27" t="s">
        <v>13</v>
      </c>
      <c r="C27" t="s">
        <v>75</v>
      </c>
      <c r="D27">
        <v>1</v>
      </c>
      <c r="O27" t="str">
        <f t="shared" si="3"/>
        <v>Mail-BCTT</v>
      </c>
    </row>
    <row r="28" spans="1:15" x14ac:dyDescent="0.2">
      <c r="A28" t="s">
        <v>16</v>
      </c>
      <c r="B28" t="s">
        <v>13</v>
      </c>
      <c r="C28" t="s">
        <v>76</v>
      </c>
      <c r="D28">
        <v>1</v>
      </c>
      <c r="O28" t="str">
        <f t="shared" si="3"/>
        <v>Mail-GRH</v>
      </c>
    </row>
    <row r="29" spans="1:15" x14ac:dyDescent="0.2">
      <c r="A29" t="s">
        <v>17</v>
      </c>
      <c r="B29" t="s">
        <v>5</v>
      </c>
      <c r="C29" t="s">
        <v>25</v>
      </c>
      <c r="D29">
        <v>35</v>
      </c>
      <c r="O29" t="str">
        <f t="shared" si="3"/>
        <v>Payments-GPG</v>
      </c>
    </row>
    <row r="30" spans="1:15" x14ac:dyDescent="0.2">
      <c r="A30" t="s">
        <v>17</v>
      </c>
      <c r="B30" t="s">
        <v>6</v>
      </c>
      <c r="C30" t="s">
        <v>14</v>
      </c>
      <c r="D30">
        <v>10</v>
      </c>
      <c r="O30" t="str">
        <f t="shared" si="3"/>
        <v>Payments-DAI</v>
      </c>
    </row>
    <row r="31" spans="1:15" x14ac:dyDescent="0.2">
      <c r="A31" t="s">
        <v>17</v>
      </c>
      <c r="B31" t="s">
        <v>7</v>
      </c>
      <c r="C31" t="s">
        <v>8</v>
      </c>
      <c r="D31">
        <v>20</v>
      </c>
      <c r="O31" t="str">
        <f t="shared" si="3"/>
        <v>Payments-EDO</v>
      </c>
    </row>
    <row r="32" spans="1:15" x14ac:dyDescent="0.2">
      <c r="A32" t="s">
        <v>17</v>
      </c>
      <c r="B32" t="s">
        <v>9</v>
      </c>
      <c r="C32" t="s">
        <v>10</v>
      </c>
      <c r="D32">
        <v>20</v>
      </c>
      <c r="O32" t="str">
        <f t="shared" si="3"/>
        <v>Payments-SI</v>
      </c>
    </row>
    <row r="33" spans="1:15" x14ac:dyDescent="0.2">
      <c r="A33" t="s">
        <v>17</v>
      </c>
      <c r="B33" t="s">
        <v>12</v>
      </c>
      <c r="C33" t="s">
        <v>12</v>
      </c>
      <c r="D33">
        <v>5</v>
      </c>
      <c r="O33" t="str">
        <f t="shared" si="3"/>
        <v>Payments-CISO</v>
      </c>
    </row>
    <row r="34" spans="1:15" x14ac:dyDescent="0.2">
      <c r="A34" t="s">
        <v>17</v>
      </c>
      <c r="B34" t="s">
        <v>13</v>
      </c>
      <c r="C34" t="s">
        <v>23</v>
      </c>
      <c r="D34">
        <v>10</v>
      </c>
      <c r="O34" t="str">
        <f t="shared" si="3"/>
        <v>Payments-CF</v>
      </c>
    </row>
    <row r="35" spans="1:15" x14ac:dyDescent="0.2">
      <c r="A35" t="s">
        <v>18</v>
      </c>
      <c r="B35" t="s">
        <v>5</v>
      </c>
      <c r="C35" t="s">
        <v>26</v>
      </c>
      <c r="D35">
        <v>35</v>
      </c>
      <c r="O35" t="str">
        <f t="shared" si="3"/>
        <v>Retail &amp; Financial Services-GP B2C</v>
      </c>
    </row>
    <row r="36" spans="1:15" x14ac:dyDescent="0.2">
      <c r="A36" t="s">
        <v>18</v>
      </c>
      <c r="B36" t="s">
        <v>6</v>
      </c>
      <c r="C36" t="s">
        <v>14</v>
      </c>
      <c r="D36">
        <v>10</v>
      </c>
      <c r="O36" t="str">
        <f t="shared" si="3"/>
        <v>Retail &amp; Financial Services-DAI</v>
      </c>
    </row>
    <row r="37" spans="1:15" x14ac:dyDescent="0.2">
      <c r="A37" t="s">
        <v>18</v>
      </c>
      <c r="B37" t="s">
        <v>7</v>
      </c>
      <c r="C37" t="s">
        <v>8</v>
      </c>
      <c r="D37">
        <v>20</v>
      </c>
      <c r="O37" t="str">
        <f t="shared" si="3"/>
        <v>Retail &amp; Financial Services-EDO</v>
      </c>
    </row>
    <row r="38" spans="1:15" x14ac:dyDescent="0.2">
      <c r="A38" t="s">
        <v>18</v>
      </c>
      <c r="B38" t="s">
        <v>9</v>
      </c>
      <c r="C38" t="s">
        <v>10</v>
      </c>
      <c r="D38">
        <v>20</v>
      </c>
      <c r="O38" t="str">
        <f t="shared" si="3"/>
        <v>Retail &amp; Financial Services-SI</v>
      </c>
    </row>
    <row r="39" spans="1:15" x14ac:dyDescent="0.2">
      <c r="A39" t="s">
        <v>18</v>
      </c>
      <c r="B39" t="s">
        <v>12</v>
      </c>
      <c r="C39" t="s">
        <v>12</v>
      </c>
      <c r="D39">
        <v>5</v>
      </c>
      <c r="O39" t="str">
        <f t="shared" si="3"/>
        <v>Retail &amp; Financial Services-CISO</v>
      </c>
    </row>
    <row r="40" spans="1:15" x14ac:dyDescent="0.2">
      <c r="A40" t="s">
        <v>18</v>
      </c>
      <c r="B40" t="s">
        <v>13</v>
      </c>
      <c r="C40" t="s">
        <v>23</v>
      </c>
      <c r="D40">
        <v>10</v>
      </c>
      <c r="O40" t="str">
        <f t="shared" si="3"/>
        <v>Retail &amp; Financial Services-CF</v>
      </c>
    </row>
    <row r="41" spans="1:15" x14ac:dyDescent="0.2">
      <c r="O41" t="str">
        <f t="shared" si="3"/>
        <v>-</v>
      </c>
    </row>
    <row r="42" spans="1:15" x14ac:dyDescent="0.2">
      <c r="O42" t="str">
        <f t="shared" si="3"/>
        <v>-</v>
      </c>
    </row>
    <row r="43" spans="1:15" x14ac:dyDescent="0.2">
      <c r="O43" t="str">
        <f t="shared" si="3"/>
        <v>-</v>
      </c>
    </row>
    <row r="44" spans="1:15" x14ac:dyDescent="0.2">
      <c r="O44" t="str">
        <f t="shared" si="3"/>
        <v>-</v>
      </c>
    </row>
    <row r="45" spans="1:15" x14ac:dyDescent="0.2">
      <c r="O45" t="str">
        <f t="shared" si="3"/>
        <v>-</v>
      </c>
    </row>
    <row r="46" spans="1:15" x14ac:dyDescent="0.2">
      <c r="O46" t="str">
        <f t="shared" si="3"/>
        <v>-</v>
      </c>
    </row>
    <row r="47" spans="1:15" x14ac:dyDescent="0.2">
      <c r="O47" t="str">
        <f t="shared" si="3"/>
        <v>-</v>
      </c>
    </row>
    <row r="48" spans="1:15" x14ac:dyDescent="0.2">
      <c r="O48" t="str">
        <f t="shared" si="3"/>
        <v>-</v>
      </c>
    </row>
    <row r="49" spans="15:15" x14ac:dyDescent="0.2">
      <c r="O49" t="str">
        <f t="shared" si="3"/>
        <v>-</v>
      </c>
    </row>
    <row r="50" spans="15:15" x14ac:dyDescent="0.2">
      <c r="O50" t="str">
        <f t="shared" si="3"/>
        <v>-</v>
      </c>
    </row>
    <row r="51" spans="15:15" x14ac:dyDescent="0.2">
      <c r="O51" t="str">
        <f t="shared" si="3"/>
        <v>-</v>
      </c>
    </row>
    <row r="52" spans="15:15" x14ac:dyDescent="0.2">
      <c r="O52" t="str">
        <f t="shared" si="3"/>
        <v>-</v>
      </c>
    </row>
    <row r="53" spans="15:15" x14ac:dyDescent="0.2">
      <c r="O53" t="str">
        <f t="shared" si="3"/>
        <v>-</v>
      </c>
    </row>
    <row r="54" spans="15:15" x14ac:dyDescent="0.2">
      <c r="O54" t="str">
        <f t="shared" si="3"/>
        <v>-</v>
      </c>
    </row>
    <row r="55" spans="15:15" x14ac:dyDescent="0.2">
      <c r="O55" t="str">
        <f t="shared" si="3"/>
        <v>-</v>
      </c>
    </row>
    <row r="56" spans="15:15" x14ac:dyDescent="0.2">
      <c r="O56" t="str">
        <f t="shared" si="3"/>
        <v>-</v>
      </c>
    </row>
    <row r="57" spans="15:15" x14ac:dyDescent="0.2">
      <c r="O57" t="str">
        <f t="shared" si="3"/>
        <v>-</v>
      </c>
    </row>
    <row r="58" spans="15:15" x14ac:dyDescent="0.2">
      <c r="O58" t="str">
        <f t="shared" si="3"/>
        <v>-</v>
      </c>
    </row>
    <row r="59" spans="15:15" x14ac:dyDescent="0.2">
      <c r="O59" t="str">
        <f t="shared" si="3"/>
        <v>-</v>
      </c>
    </row>
    <row r="60" spans="15:15" x14ac:dyDescent="0.2">
      <c r="O60" t="str">
        <f t="shared" si="3"/>
        <v>-</v>
      </c>
    </row>
    <row r="61" spans="15:15" x14ac:dyDescent="0.2">
      <c r="O61" t="str">
        <f t="shared" si="3"/>
        <v>-</v>
      </c>
    </row>
  </sheetData>
  <autoFilter ref="A1:D40" xr:uid="{D521F980-2E5F-EC49-B62F-4F6A4A27A40F}"/>
  <conditionalFormatting sqref="G2:G13">
    <cfRule type="cellIs" dxfId="4" priority="6" operator="equal">
      <formula>100</formula>
    </cfRule>
  </conditionalFormatting>
  <conditionalFormatting sqref="J2:J13">
    <cfRule type="colorScale" priority="2">
      <colorScale>
        <cfvo type="min"/>
        <cfvo type="max"/>
        <color rgb="FFFFEF9C"/>
        <color rgb="FF63BE7B"/>
      </colorScale>
    </cfRule>
    <cfRule type="cellIs" dxfId="3" priority="4" operator="equal">
      <formula>100</formula>
    </cfRule>
  </conditionalFormatting>
  <conditionalFormatting sqref="M2:M13">
    <cfRule type="colorScale" priority="1">
      <colorScale>
        <cfvo type="min"/>
        <cfvo type="max"/>
        <color rgb="FFFFEF9C"/>
        <color rgb="FF63BE7B"/>
      </colorScale>
    </cfRule>
    <cfRule type="cellIs" dxfId="2" priority="3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9"/>
  <sheetViews>
    <sheetView zoomScale="130" zoomScaleNormal="130" workbookViewId="0">
      <pane ySplit="1" topLeftCell="A2" activePane="bottomLeft" state="frozen"/>
      <selection pane="bottomLeft" activeCell="H31" sqref="H31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IF(ISNA(VLOOKUP(N2,weights_ra!O:O,1,FALSE)),"ALERT","Ok")</f>
        <v>Ok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2" si="0">D3&amp;"-"&amp;C3</f>
        <v>Mail-GP B2B</v>
      </c>
      <c r="O3" t="str">
        <f>IF(ISNA(VLOOKUP(N3,weights_ra!O:O,1,FALSE)),"ALERT","Ok")</f>
        <v>Ok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IF(ISNA(VLOOKUP(N4,weights_ra!O:O,1,FALSE)),"ALERT","Ok")</f>
        <v>Ok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IF(ISNA(VLOOKUP(N5,weights_ra!O:O,1,FALSE)),"ALERT","Ok")</f>
        <v>Ok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IF(ISNA(VLOOKUP(N6,weights_ra!O:O,1,FALSE)),"ALERT","Ok")</f>
        <v>Ok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IF(ISNA(VLOOKUP(N7,weights_ra!O:O,1,FALSE)),"ALERT","Ok")</f>
        <v>Ok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IF(ISNA(VLOOKUP(N8,weights_ra!O:O,1,FALSE)),"ALERT","Ok")</f>
        <v>Ok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IF(ISNA(VLOOKUP(N9,weights_ra!O:O,1,FALSE)),"ALERT","Ok")</f>
        <v>Ok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IF(ISNA(VLOOKUP(N10,weights_ra!O:O,1,FALSE)),"ALERT","Ok")</f>
        <v>Ok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IF(ISNA(VLOOKUP(N11,weights_ra!O:O,1,FALSE)),"ALERT","Ok")</f>
        <v>Ok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IF(ISNA(VLOOKUP(N12,weights_ra!O:O,1,FALSE)),"ALERT","Ok")</f>
        <v>Ok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IF(ISNA(VLOOKUP(N13,weights_ra!O:O,1,FALSE)),"ALERT","Ok")</f>
        <v>Ok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IF(ISNA(VLOOKUP(N14,weights_ra!O:O,1,FALSE)),"ALERT","Ok")</f>
        <v>Ok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IF(ISNA(VLOOKUP(N15,weights_ra!O:O,1,FALSE)),"ALERT","Ok")</f>
        <v>Ok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IF(ISNA(VLOOKUP(N16,weights_ra!O:O,1,FALSE)),"ALERT","Ok")</f>
        <v>Ok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IF(ISNA(VLOOKUP(N17,weights_ra!O:O,1,FALSE)),"ALERT","Ok")</f>
        <v>Ok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IF(ISNA(VLOOKUP(N18,weights_ra!O:O,1,FALSE)),"ALERT","Ok")</f>
        <v>Ok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IF(ISNA(VLOOKUP(N19,weights_ra!O:O,1,FALSE)),"ALERT","Ok")</f>
        <v>Ok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IF(ISNA(VLOOKUP(N20,weights_ra!O:O,1,FALSE)),"ALERT","Ok")</f>
        <v>Ok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IF(ISNA(VLOOKUP(N21,weights_ra!O:O,1,FALSE)),"ALERT","Ok")</f>
        <v>ALERT</v>
      </c>
    </row>
    <row r="22" spans="1:15" x14ac:dyDescent="0.2">
      <c r="A22" s="2" t="s">
        <v>143</v>
      </c>
      <c r="B22" s="3" t="s">
        <v>147</v>
      </c>
      <c r="C22" s="3" t="s">
        <v>10</v>
      </c>
      <c r="D22" s="3" t="s">
        <v>16</v>
      </c>
      <c r="E22" s="3" t="s">
        <v>9</v>
      </c>
      <c r="F22" s="3" t="s">
        <v>134</v>
      </c>
      <c r="G22" s="3">
        <v>4</v>
      </c>
      <c r="H22">
        <v>2</v>
      </c>
      <c r="N22" t="str">
        <f t="shared" si="0"/>
        <v>Mail-SI</v>
      </c>
    </row>
    <row r="23" spans="1:15" x14ac:dyDescent="0.2">
      <c r="A23" s="2" t="s">
        <v>144</v>
      </c>
      <c r="B23" s="3" t="s">
        <v>148</v>
      </c>
      <c r="C23" s="3" t="s">
        <v>10</v>
      </c>
      <c r="D23" s="3" t="s">
        <v>16</v>
      </c>
      <c r="E23" s="3" t="s">
        <v>9</v>
      </c>
      <c r="F23" s="3" t="s">
        <v>134</v>
      </c>
      <c r="G23" s="3">
        <v>5</v>
      </c>
      <c r="H23">
        <v>3</v>
      </c>
    </row>
    <row r="24" spans="1:15" x14ac:dyDescent="0.2">
      <c r="A24" s="2" t="s">
        <v>145</v>
      </c>
      <c r="B24" s="3" t="s">
        <v>149</v>
      </c>
      <c r="C24" s="3" t="s">
        <v>10</v>
      </c>
      <c r="D24" s="3" t="s">
        <v>16</v>
      </c>
      <c r="E24" s="3" t="s">
        <v>9</v>
      </c>
      <c r="F24" s="3" t="s">
        <v>134</v>
      </c>
      <c r="G24" s="3">
        <v>6</v>
      </c>
      <c r="H24">
        <v>4</v>
      </c>
    </row>
    <row r="25" spans="1:15" x14ac:dyDescent="0.2">
      <c r="A25" s="2" t="s">
        <v>146</v>
      </c>
      <c r="B25" s="3" t="s">
        <v>150</v>
      </c>
      <c r="C25" s="3" t="s">
        <v>10</v>
      </c>
      <c r="D25" s="3" t="s">
        <v>16</v>
      </c>
      <c r="E25" s="3" t="s">
        <v>9</v>
      </c>
      <c r="F25" s="3" t="s">
        <v>134</v>
      </c>
      <c r="G25" s="3">
        <v>7</v>
      </c>
      <c r="H25">
        <v>5</v>
      </c>
    </row>
    <row r="26" spans="1:15" x14ac:dyDescent="0.2">
      <c r="A26" s="2" t="s">
        <v>151</v>
      </c>
      <c r="B26" s="3" t="s">
        <v>152</v>
      </c>
      <c r="C26" s="3" t="s">
        <v>10</v>
      </c>
      <c r="D26" s="3" t="s">
        <v>11</v>
      </c>
      <c r="E26" s="3" t="s">
        <v>9</v>
      </c>
      <c r="F26" s="3" t="s">
        <v>134</v>
      </c>
      <c r="G26" s="3">
        <v>8</v>
      </c>
      <c r="H26">
        <v>6</v>
      </c>
    </row>
    <row r="27" spans="1:15" x14ac:dyDescent="0.2">
      <c r="A27" s="2" t="s">
        <v>153</v>
      </c>
      <c r="B27" s="3" t="s">
        <v>154</v>
      </c>
      <c r="C27" s="3" t="s">
        <v>10</v>
      </c>
      <c r="D27" s="3" t="s">
        <v>11</v>
      </c>
      <c r="E27" s="3" t="s">
        <v>9</v>
      </c>
      <c r="F27" s="3" t="s">
        <v>134</v>
      </c>
      <c r="G27" s="3">
        <v>9</v>
      </c>
      <c r="H27">
        <v>7</v>
      </c>
    </row>
    <row r="28" spans="1:15" x14ac:dyDescent="0.2">
      <c r="A28" s="2" t="s">
        <v>155</v>
      </c>
      <c r="B28" s="3" t="s">
        <v>156</v>
      </c>
      <c r="C28" s="3" t="s">
        <v>10</v>
      </c>
      <c r="D28" s="3" t="s">
        <v>11</v>
      </c>
      <c r="E28" s="3" t="s">
        <v>9</v>
      </c>
      <c r="F28" s="3" t="s">
        <v>134</v>
      </c>
      <c r="G28" s="3">
        <v>10</v>
      </c>
      <c r="H28">
        <v>8</v>
      </c>
    </row>
    <row r="29" spans="1:15" x14ac:dyDescent="0.2">
      <c r="A29" s="2" t="s">
        <v>157</v>
      </c>
      <c r="B29" s="3" t="s">
        <v>158</v>
      </c>
      <c r="C29" s="3" t="s">
        <v>10</v>
      </c>
      <c r="D29" s="3" t="s">
        <v>11</v>
      </c>
      <c r="E29" s="3" t="s">
        <v>9</v>
      </c>
      <c r="F29" s="3" t="s">
        <v>134</v>
      </c>
      <c r="G29" s="3">
        <v>11</v>
      </c>
      <c r="H29">
        <v>9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phoneticPr fontId="11" type="noConversion"/>
  <conditionalFormatting sqref="N1">
    <cfRule type="cellIs" dxfId="1" priority="1" operator="equal">
      <formula>"ALERT"</formula>
    </cfRule>
  </conditionalFormatting>
  <conditionalFormatting sqref="O1:O1048576">
    <cfRule type="cellIs" dxfId="0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WEIGHTS</vt:lpstr>
      <vt:lpstr>weights_rs</vt:lpstr>
      <vt:lpstr>weights_ra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2026-01-08T19:28:29Z</dcterms:modified>
</cp:coreProperties>
</file>