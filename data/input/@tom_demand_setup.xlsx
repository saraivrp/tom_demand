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1445618/Library/CloudStorage/GoogleDrive-ruipedrosaraiva@gmail.com/My Drive/dev-projects/ctt/tom_demand/data/input/"/>
    </mc:Choice>
  </mc:AlternateContent>
  <xr:revisionPtr revIDLastSave="0" documentId="13_ncr:1_{B0E57342-8912-2548-8C28-99B939EB2294}" xr6:coauthVersionLast="47" xr6:coauthVersionMax="47" xr10:uidLastSave="{00000000-0000-0000-0000-000000000000}"/>
  <bookViews>
    <workbookView xWindow="0" yWindow="680" windowWidth="30240" windowHeight="18960" activeTab="1" xr2:uid="{9D2BC160-0631-EE46-87AB-AABB69ACE5D9}"/>
  </bookViews>
  <sheets>
    <sheet name="tom_demand_setup" sheetId="2" r:id="rId1"/>
    <sheet name="tom_demand_setup (25)" sheetId="10" r:id="rId2"/>
    <sheet name="support &gt;&gt;" sheetId="6" r:id="rId3"/>
    <sheet name="ideas-output" sheetId="3" r:id="rId4"/>
    <sheet name="pivot" sheetId="8" r:id="rId5"/>
    <sheet name="backup &gt;&gt; " sheetId="12" r:id="rId6"/>
    <sheet name="weights (base2026.02)" sheetId="5" r:id="rId7"/>
    <sheet name="TOM25-26 DEMAND WEIGHTS" sheetId="4" r:id="rId8"/>
    <sheet name="tom_demand_setup (old)" sheetId="9" r:id="rId9"/>
  </sheets>
  <definedNames>
    <definedName name="_xlnm._FilterDatabase" localSheetId="3" hidden="1">'ideas-output'!$A$1:$K$953</definedName>
    <definedName name="_xlnm._FilterDatabase" localSheetId="0" hidden="1">tom_demand_setup!$A$2:$AI$204</definedName>
    <definedName name="_xlnm._FilterDatabase" localSheetId="1" hidden="1">'tom_demand_setup (25)'!$A$2:$AL$282</definedName>
    <definedName name="_xlnm._FilterDatabase" localSheetId="8" hidden="1">'tom_demand_setup (old)'!$A$2:$AG$204</definedName>
    <definedName name="_xlnm._FilterDatabase" localSheetId="6" hidden="1">'weights (base2026.02)'!$B$2:$D$204</definedName>
  </definedName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3" i="10" l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E232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AI13" i="4"/>
  <c r="AI12" i="4"/>
  <c r="AI11" i="4"/>
  <c r="AI10" i="4"/>
  <c r="AI9" i="4"/>
  <c r="AI8" i="4"/>
  <c r="AI7" i="4"/>
  <c r="AI6" i="4"/>
  <c r="AI5" i="4"/>
  <c r="AI4" i="4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31" i="10"/>
  <c r="E212" i="10"/>
  <c r="E214" i="10"/>
  <c r="E213" i="10"/>
  <c r="E207" i="10"/>
  <c r="E238" i="10"/>
  <c r="E211" i="10"/>
  <c r="E235" i="10"/>
  <c r="E210" i="10"/>
  <c r="E236" i="10"/>
  <c r="E208" i="10"/>
  <c r="E237" i="10"/>
  <c r="E209" i="10"/>
  <c r="E239" i="10"/>
  <c r="E240" i="10"/>
  <c r="E234" i="10"/>
  <c r="E206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AK11" i="10" a="1"/>
  <c r="AK11" i="10" s="1"/>
  <c r="E11" i="10"/>
  <c r="AK10" i="10" a="1"/>
  <c r="AK10" i="10" s="1"/>
  <c r="E10" i="10"/>
  <c r="AK9" i="10" a="1"/>
  <c r="AK9" i="10" s="1"/>
  <c r="E9" i="10"/>
  <c r="AK8" i="10" a="1"/>
  <c r="AK8" i="10" s="1"/>
  <c r="E8" i="10"/>
  <c r="AK7" i="10" a="1"/>
  <c r="AK7" i="10" s="1"/>
  <c r="E7" i="10"/>
  <c r="AK6" i="10" a="1"/>
  <c r="AK6" i="10" s="1"/>
  <c r="E6" i="10"/>
  <c r="AK5" i="10" a="1"/>
  <c r="AK5" i="10" s="1"/>
  <c r="E5" i="10"/>
  <c r="AK4" i="10" a="1"/>
  <c r="AK4" i="10" s="1"/>
  <c r="E4" i="10"/>
  <c r="AK3" i="10" a="1"/>
  <c r="AK3" i="10" s="1"/>
  <c r="W3" i="10"/>
  <c r="E3" i="10"/>
  <c r="AB2" i="10" a="1"/>
  <c r="AD45" i="10" s="1"/>
  <c r="E35" i="2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G35" i="9" s="1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G19" i="9" s="1"/>
  <c r="E18" i="9"/>
  <c r="G17" i="9"/>
  <c r="E17" i="9"/>
  <c r="E16" i="9"/>
  <c r="E15" i="9"/>
  <c r="E14" i="9"/>
  <c r="E13" i="9"/>
  <c r="G13" i="9" s="1"/>
  <c r="E12" i="9"/>
  <c r="AF11" i="9"/>
  <c r="AF11" i="9" a="1"/>
  <c r="E11" i="9"/>
  <c r="AF10" i="9"/>
  <c r="AF10" i="9" a="1"/>
  <c r="E10" i="9"/>
  <c r="AF9" i="9"/>
  <c r="AF9" i="9" a="1"/>
  <c r="E9" i="9"/>
  <c r="G9" i="9" s="1"/>
  <c r="AF8" i="9" a="1"/>
  <c r="AF8" i="9" s="1"/>
  <c r="E8" i="9"/>
  <c r="AF7" i="9"/>
  <c r="AF7" i="9" a="1"/>
  <c r="E7" i="9"/>
  <c r="AF6" i="9" a="1"/>
  <c r="AF6" i="9" s="1"/>
  <c r="G6" i="9"/>
  <c r="E6" i="9"/>
  <c r="AF5" i="9"/>
  <c r="AF5" i="9" a="1"/>
  <c r="E5" i="9"/>
  <c r="AF4" i="9"/>
  <c r="AF4" i="9" a="1"/>
  <c r="E4" i="9"/>
  <c r="AF3" i="9"/>
  <c r="AF3" i="9" a="1"/>
  <c r="S3" i="9"/>
  <c r="E3" i="9"/>
  <c r="G184" i="9" s="1"/>
  <c r="X2" i="9" a="1"/>
  <c r="B63" i="4"/>
  <c r="W69" i="4" s="1"/>
  <c r="B72" i="4"/>
  <c r="W78" i="4" s="1"/>
  <c r="B81" i="4"/>
  <c r="W87" i="4" s="1"/>
  <c r="B54" i="4"/>
  <c r="W60" i="4" s="1"/>
  <c r="B34" i="4"/>
  <c r="C36" i="4" s="1"/>
  <c r="B21" i="4"/>
  <c r="W28" i="4" s="1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L38" i="5"/>
  <c r="D38" i="5"/>
  <c r="L37" i="5"/>
  <c r="D37" i="5"/>
  <c r="L36" i="5"/>
  <c r="D36" i="5"/>
  <c r="L35" i="5"/>
  <c r="D35" i="5"/>
  <c r="L34" i="5"/>
  <c r="D34" i="5"/>
  <c r="L33" i="5"/>
  <c r="D33" i="5"/>
  <c r="L32" i="5"/>
  <c r="D32" i="5"/>
  <c r="L31" i="5"/>
  <c r="D31" i="5"/>
  <c r="L30" i="5"/>
  <c r="D30" i="5"/>
  <c r="L29" i="5"/>
  <c r="D29" i="5"/>
  <c r="L28" i="5"/>
  <c r="D28" i="5"/>
  <c r="L27" i="5"/>
  <c r="D27" i="5"/>
  <c r="L26" i="5"/>
  <c r="D26" i="5"/>
  <c r="L25" i="5"/>
  <c r="D25" i="5"/>
  <c r="L24" i="5"/>
  <c r="D24" i="5"/>
  <c r="L23" i="5"/>
  <c r="D23" i="5"/>
  <c r="L22" i="5"/>
  <c r="D22" i="5"/>
  <c r="L21" i="5"/>
  <c r="D21" i="5"/>
  <c r="L20" i="5"/>
  <c r="D20" i="5"/>
  <c r="L19" i="5"/>
  <c r="D19" i="5"/>
  <c r="L18" i="5"/>
  <c r="D18" i="5"/>
  <c r="L17" i="5"/>
  <c r="D17" i="5"/>
  <c r="L16" i="5"/>
  <c r="D16" i="5"/>
  <c r="L15" i="5"/>
  <c r="D15" i="5"/>
  <c r="L14" i="5"/>
  <c r="D14" i="5"/>
  <c r="L13" i="5"/>
  <c r="D13" i="5"/>
  <c r="L12" i="5"/>
  <c r="D12" i="5"/>
  <c r="AC11" i="5" a="1"/>
  <c r="AC11" i="5" s="1"/>
  <c r="L11" i="5"/>
  <c r="D11" i="5"/>
  <c r="AC10" i="5" a="1"/>
  <c r="AC10" i="5" s="1"/>
  <c r="L10" i="5"/>
  <c r="D10" i="5"/>
  <c r="AC9" i="5" a="1"/>
  <c r="AC9" i="5" s="1"/>
  <c r="L9" i="5"/>
  <c r="D9" i="5"/>
  <c r="AC8" i="5" a="1"/>
  <c r="AC8" i="5" s="1"/>
  <c r="L8" i="5"/>
  <c r="D8" i="5"/>
  <c r="AC7" i="5" a="1"/>
  <c r="AC7" i="5" s="1"/>
  <c r="L7" i="5"/>
  <c r="D7" i="5"/>
  <c r="AC6" i="5" a="1"/>
  <c r="AC6" i="5" s="1"/>
  <c r="L6" i="5"/>
  <c r="D6" i="5"/>
  <c r="AC5" i="5" a="1"/>
  <c r="AC5" i="5" s="1"/>
  <c r="L5" i="5"/>
  <c r="D5" i="5"/>
  <c r="AC4" i="5" a="1"/>
  <c r="AC4" i="5" s="1"/>
  <c r="L4" i="5"/>
  <c r="D4" i="5"/>
  <c r="AC3" i="5" a="1"/>
  <c r="AC3" i="5" s="1"/>
  <c r="P3" i="5"/>
  <c r="L3" i="5"/>
  <c r="D3" i="5"/>
  <c r="U2" i="5" a="1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43" i="2"/>
  <c r="E61" i="2"/>
  <c r="E60" i="2"/>
  <c r="E44" i="2"/>
  <c r="E59" i="2"/>
  <c r="E58" i="2"/>
  <c r="E57" i="2"/>
  <c r="E40" i="2"/>
  <c r="E56" i="2"/>
  <c r="E38" i="2"/>
  <c r="E55" i="2"/>
  <c r="E39" i="2"/>
  <c r="E54" i="2"/>
  <c r="E53" i="2"/>
  <c r="E52" i="2"/>
  <c r="E37" i="2"/>
  <c r="E51" i="2"/>
  <c r="E50" i="2"/>
  <c r="E49" i="2"/>
  <c r="E48" i="2"/>
  <c r="E47" i="2"/>
  <c r="E46" i="2"/>
  <c r="E42" i="2"/>
  <c r="E41" i="2"/>
  <c r="E45" i="2"/>
  <c r="E36" i="2"/>
  <c r="G35" i="2" s="1"/>
  <c r="F35" i="2" s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AH11" i="2" a="1"/>
  <c r="AH11" i="2" s="1"/>
  <c r="E11" i="2"/>
  <c r="AH10" i="2" a="1"/>
  <c r="AH10" i="2" s="1"/>
  <c r="E10" i="2"/>
  <c r="AH9" i="2" a="1"/>
  <c r="AH9" i="2" s="1"/>
  <c r="E9" i="2"/>
  <c r="AH8" i="2" a="1"/>
  <c r="AH8" i="2" s="1"/>
  <c r="E8" i="2"/>
  <c r="AH7" i="2" a="1"/>
  <c r="AH7" i="2" s="1"/>
  <c r="E7" i="2"/>
  <c r="AH6" i="2" a="1"/>
  <c r="AH6" i="2" s="1"/>
  <c r="E6" i="2"/>
  <c r="AH5" i="2" a="1"/>
  <c r="AH5" i="2" s="1"/>
  <c r="E5" i="2"/>
  <c r="AH4" i="2" a="1"/>
  <c r="AH4" i="2" s="1"/>
  <c r="E4" i="2"/>
  <c r="AH3" i="2" a="1"/>
  <c r="AH3" i="2" s="1"/>
  <c r="E3" i="2"/>
  <c r="Z2" i="2" a="1"/>
  <c r="V55" i="4"/>
  <c r="R55" i="4"/>
  <c r="N55" i="4"/>
  <c r="J55" i="4"/>
  <c r="F55" i="4"/>
  <c r="B55" i="4"/>
  <c r="C54" i="4"/>
  <c r="C63" i="4"/>
  <c r="C81" i="4"/>
  <c r="C72" i="4"/>
  <c r="C34" i="4"/>
  <c r="C21" i="4"/>
  <c r="V82" i="4"/>
  <c r="R82" i="4"/>
  <c r="N82" i="4"/>
  <c r="J82" i="4"/>
  <c r="F82" i="4"/>
  <c r="B82" i="4"/>
  <c r="V73" i="4"/>
  <c r="R73" i="4"/>
  <c r="N73" i="4"/>
  <c r="J73" i="4"/>
  <c r="F73" i="4"/>
  <c r="B73" i="4"/>
  <c r="V64" i="4"/>
  <c r="R64" i="4"/>
  <c r="N64" i="4"/>
  <c r="J64" i="4"/>
  <c r="F64" i="4"/>
  <c r="B64" i="4"/>
  <c r="V35" i="4"/>
  <c r="R35" i="4"/>
  <c r="N35" i="4"/>
  <c r="J35" i="4"/>
  <c r="F35" i="4"/>
  <c r="B35" i="4"/>
  <c r="V22" i="4"/>
  <c r="R22" i="4"/>
  <c r="N22" i="4"/>
  <c r="J22" i="4"/>
  <c r="F22" i="4"/>
  <c r="B22" i="4"/>
  <c r="G233" i="10" l="1"/>
  <c r="AC46" i="10"/>
  <c r="AD46" i="10"/>
  <c r="AD47" i="10"/>
  <c r="G232" i="10"/>
  <c r="G227" i="10"/>
  <c r="G223" i="10"/>
  <c r="G228" i="10"/>
  <c r="G218" i="10"/>
  <c r="G215" i="10"/>
  <c r="G216" i="10"/>
  <c r="G224" i="10"/>
  <c r="G225" i="10"/>
  <c r="G226" i="10"/>
  <c r="G217" i="10"/>
  <c r="G219" i="10"/>
  <c r="G220" i="10"/>
  <c r="G221" i="10"/>
  <c r="G229" i="10"/>
  <c r="G222" i="10"/>
  <c r="G230" i="10"/>
  <c r="G212" i="10"/>
  <c r="G263" i="10"/>
  <c r="G273" i="10"/>
  <c r="G280" i="10"/>
  <c r="G246" i="10"/>
  <c r="G266" i="10"/>
  <c r="G267" i="10"/>
  <c r="G252" i="10"/>
  <c r="G261" i="10"/>
  <c r="G278" i="10"/>
  <c r="G275" i="10"/>
  <c r="G241" i="10"/>
  <c r="G268" i="10"/>
  <c r="G244" i="10"/>
  <c r="G262" i="10"/>
  <c r="G270" i="10"/>
  <c r="G245" i="10"/>
  <c r="G254" i="10"/>
  <c r="G271" i="10"/>
  <c r="G242" i="10"/>
  <c r="G255" i="10"/>
  <c r="G272" i="10"/>
  <c r="G250" i="10"/>
  <c r="G264" i="10"/>
  <c r="G281" i="10"/>
  <c r="G274" i="10"/>
  <c r="G251" i="10"/>
  <c r="G256" i="10"/>
  <c r="G265" i="10"/>
  <c r="G282" i="10"/>
  <c r="G249" i="10"/>
  <c r="G259" i="10"/>
  <c r="G269" i="10"/>
  <c r="G279" i="10"/>
  <c r="AC45" i="10" s="1"/>
  <c r="G276" i="10"/>
  <c r="G253" i="10"/>
  <c r="G247" i="10"/>
  <c r="G257" i="10"/>
  <c r="G277" i="10"/>
  <c r="G243" i="10"/>
  <c r="G260" i="10"/>
  <c r="G248" i="10"/>
  <c r="G258" i="10"/>
  <c r="G214" i="10"/>
  <c r="G210" i="10"/>
  <c r="G231" i="10"/>
  <c r="G213" i="10"/>
  <c r="G236" i="10"/>
  <c r="G207" i="10"/>
  <c r="G239" i="10"/>
  <c r="G209" i="10"/>
  <c r="G240" i="10"/>
  <c r="G237" i="10"/>
  <c r="G234" i="10"/>
  <c r="G211" i="10"/>
  <c r="G208" i="10"/>
  <c r="G238" i="10"/>
  <c r="G235" i="10"/>
  <c r="G21" i="10"/>
  <c r="F21" i="10" s="1"/>
  <c r="G31" i="10"/>
  <c r="F31" i="10" s="1"/>
  <c r="G41" i="10"/>
  <c r="G30" i="10"/>
  <c r="F30" i="10" s="1"/>
  <c r="G70" i="10"/>
  <c r="G140" i="10"/>
  <c r="F140" i="10" s="1"/>
  <c r="G205" i="10"/>
  <c r="F205" i="10" s="1"/>
  <c r="G17" i="10"/>
  <c r="F17" i="10" s="1"/>
  <c r="G12" i="10"/>
  <c r="F12" i="10" s="1"/>
  <c r="G22" i="10"/>
  <c r="F22" i="10" s="1"/>
  <c r="G32" i="10"/>
  <c r="F32" i="10" s="1"/>
  <c r="G42" i="10"/>
  <c r="G52" i="10"/>
  <c r="G62" i="10"/>
  <c r="G72" i="10"/>
  <c r="G82" i="10"/>
  <c r="F82" i="10" s="1"/>
  <c r="R38" i="10" s="1"/>
  <c r="G92" i="10"/>
  <c r="F92" i="10" s="1"/>
  <c r="G102" i="10"/>
  <c r="F102" i="10" s="1"/>
  <c r="G112" i="10"/>
  <c r="F112" i="10" s="1"/>
  <c r="G122" i="10"/>
  <c r="F122" i="10" s="1"/>
  <c r="G132" i="10"/>
  <c r="F132" i="10" s="1"/>
  <c r="G142" i="10"/>
  <c r="F142" i="10" s="1"/>
  <c r="G152" i="10"/>
  <c r="F152" i="10" s="1"/>
  <c r="G162" i="10"/>
  <c r="F162" i="10" s="1"/>
  <c r="G172" i="10"/>
  <c r="F172" i="10" s="1"/>
  <c r="G182" i="10"/>
  <c r="F182" i="10" s="1"/>
  <c r="G192" i="10"/>
  <c r="F192" i="10" s="1"/>
  <c r="G60" i="10"/>
  <c r="G100" i="10"/>
  <c r="F100" i="10" s="1"/>
  <c r="G130" i="10"/>
  <c r="F130" i="10" s="1"/>
  <c r="G13" i="10"/>
  <c r="F13" i="10" s="1"/>
  <c r="G23" i="10"/>
  <c r="F23" i="10" s="1"/>
  <c r="G43" i="10"/>
  <c r="G53" i="10"/>
  <c r="G73" i="10"/>
  <c r="G83" i="10"/>
  <c r="F83" i="10" s="1"/>
  <c r="G93" i="10"/>
  <c r="F93" i="10" s="1"/>
  <c r="G103" i="10"/>
  <c r="F103" i="10" s="1"/>
  <c r="G113" i="10"/>
  <c r="F113" i="10" s="1"/>
  <c r="G123" i="10"/>
  <c r="G133" i="10"/>
  <c r="F133" i="10" s="1"/>
  <c r="G143" i="10"/>
  <c r="F143" i="10" s="1"/>
  <c r="G153" i="10"/>
  <c r="F153" i="10" s="1"/>
  <c r="G163" i="10"/>
  <c r="F163" i="10" s="1"/>
  <c r="G173" i="10"/>
  <c r="F173" i="10" s="1"/>
  <c r="G183" i="10"/>
  <c r="F183" i="10" s="1"/>
  <c r="G193" i="10"/>
  <c r="F193" i="10" s="1"/>
  <c r="G20" i="10"/>
  <c r="F20" i="10" s="1"/>
  <c r="G90" i="10"/>
  <c r="F90" i="10" s="1"/>
  <c r="G170" i="10"/>
  <c r="F170" i="10" s="1"/>
  <c r="G33" i="10"/>
  <c r="F33" i="10" s="1"/>
  <c r="G63" i="10"/>
  <c r="G14" i="10"/>
  <c r="F14" i="10" s="1"/>
  <c r="G24" i="10"/>
  <c r="F24" i="10" s="1"/>
  <c r="G34" i="10"/>
  <c r="F34" i="10" s="1"/>
  <c r="G44" i="10"/>
  <c r="G40" i="10"/>
  <c r="G80" i="10"/>
  <c r="F80" i="10" s="1"/>
  <c r="G160" i="10"/>
  <c r="F160" i="10" s="1"/>
  <c r="G45" i="10"/>
  <c r="G75" i="10"/>
  <c r="G85" i="10"/>
  <c r="F85" i="10" s="1"/>
  <c r="G95" i="10"/>
  <c r="F95" i="10" s="1"/>
  <c r="G105" i="10"/>
  <c r="F105" i="10" s="1"/>
  <c r="G115" i="10"/>
  <c r="F115" i="10" s="1"/>
  <c r="G125" i="10"/>
  <c r="F125" i="10" s="1"/>
  <c r="G135" i="10"/>
  <c r="F135" i="10" s="1"/>
  <c r="G145" i="10"/>
  <c r="F145" i="10" s="1"/>
  <c r="G155" i="10"/>
  <c r="F155" i="10" s="1"/>
  <c r="G165" i="10"/>
  <c r="F165" i="10" s="1"/>
  <c r="G175" i="10"/>
  <c r="F175" i="10" s="1"/>
  <c r="G185" i="10"/>
  <c r="F185" i="10" s="1"/>
  <c r="G195" i="10"/>
  <c r="F195" i="10" s="1"/>
  <c r="G50" i="10"/>
  <c r="G110" i="10"/>
  <c r="F110" i="10" s="1"/>
  <c r="G120" i="10"/>
  <c r="F120" i="10" s="1"/>
  <c r="G18" i="10"/>
  <c r="F18" i="10" s="1"/>
  <c r="G4" i="10"/>
  <c r="F4" i="10" s="1"/>
  <c r="G46" i="10"/>
  <c r="G56" i="10"/>
  <c r="G66" i="10"/>
  <c r="G76" i="10"/>
  <c r="G86" i="10"/>
  <c r="F86" i="10" s="1"/>
  <c r="G96" i="10"/>
  <c r="F96" i="10" s="1"/>
  <c r="G106" i="10"/>
  <c r="F106" i="10" s="1"/>
  <c r="G116" i="10"/>
  <c r="F116" i="10" s="1"/>
  <c r="G126" i="10"/>
  <c r="F126" i="10" s="1"/>
  <c r="G136" i="10"/>
  <c r="G146" i="10"/>
  <c r="F146" i="10" s="1"/>
  <c r="R32" i="10" s="1"/>
  <c r="G156" i="10"/>
  <c r="G166" i="10"/>
  <c r="F166" i="10" s="1"/>
  <c r="G176" i="10"/>
  <c r="F176" i="10" s="1"/>
  <c r="G186" i="10"/>
  <c r="F186" i="10" s="1"/>
  <c r="G196" i="10"/>
  <c r="G180" i="10"/>
  <c r="F180" i="10" s="1"/>
  <c r="G65" i="10"/>
  <c r="G197" i="10"/>
  <c r="F197" i="10" s="1"/>
  <c r="G190" i="10"/>
  <c r="F190" i="10" s="1"/>
  <c r="G55" i="10"/>
  <c r="G5" i="10"/>
  <c r="G150" i="10"/>
  <c r="F150" i="10" s="1"/>
  <c r="G19" i="10"/>
  <c r="F19" i="10" s="1"/>
  <c r="G29" i="10"/>
  <c r="F29" i="10" s="1"/>
  <c r="G39" i="10"/>
  <c r="G49" i="10"/>
  <c r="G59" i="10"/>
  <c r="G69" i="10"/>
  <c r="G79" i="10"/>
  <c r="F79" i="10" s="1"/>
  <c r="G89" i="10"/>
  <c r="F89" i="10" s="1"/>
  <c r="G99" i="10"/>
  <c r="F99" i="10" s="1"/>
  <c r="G109" i="10"/>
  <c r="F109" i="10" s="1"/>
  <c r="G119" i="10"/>
  <c r="F119" i="10" s="1"/>
  <c r="G129" i="10"/>
  <c r="F129" i="10" s="1"/>
  <c r="G139" i="10"/>
  <c r="F139" i="10" s="1"/>
  <c r="G149" i="10"/>
  <c r="F149" i="10" s="1"/>
  <c r="G159" i="10"/>
  <c r="F159" i="10" s="1"/>
  <c r="G169" i="10"/>
  <c r="F169" i="10" s="1"/>
  <c r="G179" i="10"/>
  <c r="F179" i="10" s="1"/>
  <c r="G189" i="10"/>
  <c r="F189" i="10" s="1"/>
  <c r="G199" i="10"/>
  <c r="F199" i="10" s="1"/>
  <c r="G8" i="10"/>
  <c r="F8" i="10" s="1"/>
  <c r="R19" i="10" s="1"/>
  <c r="P5" i="10"/>
  <c r="AD6" i="10"/>
  <c r="P10" i="10"/>
  <c r="AD11" i="10"/>
  <c r="P13" i="10"/>
  <c r="AD16" i="10"/>
  <c r="P21" i="10"/>
  <c r="AD26" i="10"/>
  <c r="P31" i="10"/>
  <c r="AD36" i="10"/>
  <c r="G9" i="10"/>
  <c r="F9" i="10" s="1"/>
  <c r="P34" i="10"/>
  <c r="P3" i="10"/>
  <c r="G6" i="10"/>
  <c r="F6" i="10" s="1"/>
  <c r="G11" i="10"/>
  <c r="F11" i="10" s="1"/>
  <c r="G15" i="10"/>
  <c r="F15" i="10" s="1"/>
  <c r="AD17" i="10"/>
  <c r="P22" i="10"/>
  <c r="G25" i="10"/>
  <c r="F25" i="10" s="1"/>
  <c r="AD27" i="10"/>
  <c r="P32" i="10"/>
  <c r="G35" i="10"/>
  <c r="F35" i="10" s="1"/>
  <c r="AC35" i="10" s="1"/>
  <c r="AD37" i="10"/>
  <c r="G47" i="10"/>
  <c r="G57" i="10"/>
  <c r="G67" i="10"/>
  <c r="G77" i="10"/>
  <c r="G87" i="10"/>
  <c r="F87" i="10" s="1"/>
  <c r="G97" i="10"/>
  <c r="F97" i="10" s="1"/>
  <c r="G107" i="10"/>
  <c r="F107" i="10" s="1"/>
  <c r="G117" i="10"/>
  <c r="F117" i="10" s="1"/>
  <c r="G127" i="10"/>
  <c r="F127" i="10" s="1"/>
  <c r="G137" i="10"/>
  <c r="F137" i="10" s="1"/>
  <c r="G147" i="10"/>
  <c r="F147" i="10" s="1"/>
  <c r="R31" i="10" s="1"/>
  <c r="G157" i="10"/>
  <c r="F157" i="10" s="1"/>
  <c r="G167" i="10"/>
  <c r="F167" i="10" s="1"/>
  <c r="G177" i="10"/>
  <c r="F177" i="10" s="1"/>
  <c r="G187" i="10"/>
  <c r="F187" i="10" s="1"/>
  <c r="G201" i="10"/>
  <c r="F201" i="10" s="1"/>
  <c r="Y2" i="10" a="1"/>
  <c r="AD4" i="10"/>
  <c r="P8" i="10"/>
  <c r="AD9" i="10"/>
  <c r="P14" i="10"/>
  <c r="G16" i="10"/>
  <c r="F16" i="10" s="1"/>
  <c r="AD18" i="10"/>
  <c r="P23" i="10"/>
  <c r="G26" i="10"/>
  <c r="F26" i="10" s="1"/>
  <c r="AD28" i="10"/>
  <c r="P33" i="10"/>
  <c r="G36" i="10"/>
  <c r="AD38" i="10"/>
  <c r="AD40" i="10"/>
  <c r="AD42" i="10"/>
  <c r="AD44" i="10"/>
  <c r="G54" i="10"/>
  <c r="G64" i="10"/>
  <c r="G74" i="10"/>
  <c r="G84" i="10"/>
  <c r="F84" i="10" s="1"/>
  <c r="G94" i="10"/>
  <c r="F94" i="10" s="1"/>
  <c r="G104" i="10"/>
  <c r="F104" i="10" s="1"/>
  <c r="G114" i="10"/>
  <c r="F114" i="10" s="1"/>
  <c r="R14" i="10" s="1"/>
  <c r="G124" i="10"/>
  <c r="F124" i="10" s="1"/>
  <c r="G134" i="10"/>
  <c r="F134" i="10" s="1"/>
  <c r="G144" i="10"/>
  <c r="F144" i="10" s="1"/>
  <c r="G154" i="10"/>
  <c r="F154" i="10" s="1"/>
  <c r="G164" i="10"/>
  <c r="F164" i="10" s="1"/>
  <c r="G174" i="10"/>
  <c r="F174" i="10" s="1"/>
  <c r="G184" i="10"/>
  <c r="F184" i="10" s="1"/>
  <c r="G194" i="10"/>
  <c r="F194" i="10" s="1"/>
  <c r="G27" i="10"/>
  <c r="F27" i="10" s="1"/>
  <c r="G37" i="10"/>
  <c r="G51" i="10"/>
  <c r="G61" i="10"/>
  <c r="G71" i="10"/>
  <c r="G81" i="10"/>
  <c r="F81" i="10" s="1"/>
  <c r="G91" i="10"/>
  <c r="F91" i="10" s="1"/>
  <c r="G101" i="10"/>
  <c r="F101" i="10" s="1"/>
  <c r="G111" i="10"/>
  <c r="F111" i="10" s="1"/>
  <c r="G121" i="10"/>
  <c r="F121" i="10" s="1"/>
  <c r="G131" i="10"/>
  <c r="F131" i="10" s="1"/>
  <c r="G141" i="10"/>
  <c r="F141" i="10" s="1"/>
  <c r="G151" i="10"/>
  <c r="F151" i="10" s="1"/>
  <c r="G161" i="10"/>
  <c r="F161" i="10" s="1"/>
  <c r="G171" i="10"/>
  <c r="F171" i="10" s="1"/>
  <c r="G181" i="10"/>
  <c r="F181" i="10" s="1"/>
  <c r="G191" i="10"/>
  <c r="F191" i="10" s="1"/>
  <c r="G202" i="10"/>
  <c r="F202" i="10" s="1"/>
  <c r="P6" i="10"/>
  <c r="AD7" i="10"/>
  <c r="P11" i="10"/>
  <c r="AD12" i="10"/>
  <c r="P15" i="10"/>
  <c r="AD20" i="10"/>
  <c r="P25" i="10"/>
  <c r="G28" i="10"/>
  <c r="F28" i="10" s="1"/>
  <c r="AD30" i="10"/>
  <c r="P35" i="10"/>
  <c r="G38" i="10"/>
  <c r="G48" i="10"/>
  <c r="R7" i="10" s="1"/>
  <c r="G58" i="10"/>
  <c r="G68" i="10"/>
  <c r="G78" i="10"/>
  <c r="F78" i="10" s="1"/>
  <c r="G88" i="10"/>
  <c r="F88" i="10" s="1"/>
  <c r="G98" i="10"/>
  <c r="F98" i="10" s="1"/>
  <c r="G108" i="10"/>
  <c r="F108" i="10" s="1"/>
  <c r="G118" i="10"/>
  <c r="F118" i="10" s="1"/>
  <c r="G128" i="10"/>
  <c r="F128" i="10" s="1"/>
  <c r="G138" i="10"/>
  <c r="F138" i="10" s="1"/>
  <c r="G148" i="10"/>
  <c r="F148" i="10" s="1"/>
  <c r="G158" i="10"/>
  <c r="F158" i="10" s="1"/>
  <c r="G168" i="10"/>
  <c r="F168" i="10" s="1"/>
  <c r="G178" i="10"/>
  <c r="F178" i="10" s="1"/>
  <c r="R26" i="10" s="1"/>
  <c r="G188" i="10"/>
  <c r="F188" i="10" s="1"/>
  <c r="G198" i="10"/>
  <c r="F198" i="10" s="1"/>
  <c r="AD19" i="10"/>
  <c r="P24" i="10"/>
  <c r="AB2" i="10"/>
  <c r="G7" i="10"/>
  <c r="F7" i="10" s="1"/>
  <c r="P16" i="10"/>
  <c r="AD21" i="10"/>
  <c r="P26" i="10"/>
  <c r="AD31" i="10"/>
  <c r="P36" i="10"/>
  <c r="G203" i="10"/>
  <c r="F203" i="10" s="1"/>
  <c r="P4" i="10"/>
  <c r="F5" i="10"/>
  <c r="AD5" i="10"/>
  <c r="P9" i="10"/>
  <c r="AD10" i="10"/>
  <c r="AD13" i="10"/>
  <c r="P17" i="10"/>
  <c r="AD22" i="10"/>
  <c r="P27" i="10"/>
  <c r="AD32" i="10"/>
  <c r="P37" i="10"/>
  <c r="AD29" i="10"/>
  <c r="P18" i="10"/>
  <c r="AD23" i="10"/>
  <c r="P28" i="10"/>
  <c r="AD33" i="10"/>
  <c r="P38" i="10"/>
  <c r="AD39" i="10"/>
  <c r="AD41" i="10"/>
  <c r="AD43" i="10"/>
  <c r="F136" i="10"/>
  <c r="F156" i="10"/>
  <c r="F196" i="10"/>
  <c r="G204" i="10"/>
  <c r="F204" i="10" s="1"/>
  <c r="G10" i="10"/>
  <c r="F10" i="10" s="1"/>
  <c r="G3" i="10"/>
  <c r="F3" i="10" s="1"/>
  <c r="AD3" i="10"/>
  <c r="P7" i="10"/>
  <c r="AD8" i="10"/>
  <c r="P12" i="10"/>
  <c r="AD14" i="10"/>
  <c r="P19" i="10"/>
  <c r="AD24" i="10"/>
  <c r="P29" i="10"/>
  <c r="AD34" i="10"/>
  <c r="F123" i="10"/>
  <c r="AD15" i="10"/>
  <c r="P20" i="10"/>
  <c r="AD25" i="10"/>
  <c r="P30" i="10"/>
  <c r="AD35" i="10"/>
  <c r="G200" i="10"/>
  <c r="F200" i="10" s="1"/>
  <c r="N3" i="2"/>
  <c r="G30" i="9"/>
  <c r="L32" i="9"/>
  <c r="O32" i="9" s="1"/>
  <c r="G38" i="9"/>
  <c r="Z41" i="9"/>
  <c r="G62" i="9"/>
  <c r="F62" i="9" s="1"/>
  <c r="G72" i="9"/>
  <c r="G78" i="9"/>
  <c r="G94" i="9"/>
  <c r="F94" i="9" s="1"/>
  <c r="G104" i="9"/>
  <c r="G110" i="9"/>
  <c r="F110" i="9" s="1"/>
  <c r="G120" i="9"/>
  <c r="G126" i="9"/>
  <c r="F126" i="9" s="1"/>
  <c r="G136" i="9"/>
  <c r="G142" i="9"/>
  <c r="G152" i="9"/>
  <c r="G158" i="9"/>
  <c r="G168" i="9"/>
  <c r="G174" i="9"/>
  <c r="G190" i="9"/>
  <c r="G22" i="9"/>
  <c r="F22" i="9" s="1"/>
  <c r="G34" i="9"/>
  <c r="G51" i="9"/>
  <c r="G83" i="9"/>
  <c r="F83" i="9" s="1"/>
  <c r="G109" i="9"/>
  <c r="G147" i="9"/>
  <c r="G179" i="9"/>
  <c r="F179" i="9" s="1"/>
  <c r="G204" i="9"/>
  <c r="G200" i="9"/>
  <c r="G154" i="9"/>
  <c r="G146" i="9"/>
  <c r="G138" i="9"/>
  <c r="G130" i="9"/>
  <c r="G122" i="9"/>
  <c r="G114" i="9"/>
  <c r="G106" i="9"/>
  <c r="G98" i="9"/>
  <c r="G90" i="9"/>
  <c r="G82" i="9"/>
  <c r="G74" i="9"/>
  <c r="G66" i="9"/>
  <c r="G58" i="9"/>
  <c r="G47" i="9"/>
  <c r="G41" i="9"/>
  <c r="L31" i="9"/>
  <c r="O31" i="9" s="1"/>
  <c r="L23" i="9"/>
  <c r="O23" i="9" s="1"/>
  <c r="L15" i="9"/>
  <c r="V13" i="9"/>
  <c r="G143" i="9"/>
  <c r="G135" i="9"/>
  <c r="G127" i="9"/>
  <c r="G119" i="9"/>
  <c r="G111" i="9"/>
  <c r="G103" i="9"/>
  <c r="G95" i="9"/>
  <c r="G87" i="9"/>
  <c r="G79" i="9"/>
  <c r="G71" i="9"/>
  <c r="G63" i="9"/>
  <c r="G55" i="9"/>
  <c r="G52" i="9"/>
  <c r="G31" i="9"/>
  <c r="L30" i="9"/>
  <c r="O30" i="9" s="1"/>
  <c r="G23" i="9"/>
  <c r="L22" i="9"/>
  <c r="O22" i="9" s="1"/>
  <c r="G15" i="9"/>
  <c r="G203" i="9"/>
  <c r="G199" i="9"/>
  <c r="L38" i="9"/>
  <c r="O38" i="9" s="1"/>
  <c r="L29" i="9"/>
  <c r="O29" i="9" s="1"/>
  <c r="L21" i="9"/>
  <c r="L14" i="9"/>
  <c r="O14" i="9" s="1"/>
  <c r="L37" i="9"/>
  <c r="O37" i="9" s="1"/>
  <c r="L28" i="9"/>
  <c r="O28" i="9" s="1"/>
  <c r="L20" i="9"/>
  <c r="O20" i="9" s="1"/>
  <c r="L3" i="9"/>
  <c r="G202" i="9"/>
  <c r="G42" i="9"/>
  <c r="L36" i="9"/>
  <c r="O36" i="9" s="1"/>
  <c r="L35" i="9"/>
  <c r="O35" i="9" s="1"/>
  <c r="L34" i="9"/>
  <c r="O34" i="9" s="1"/>
  <c r="L26" i="9"/>
  <c r="O26" i="9" s="1"/>
  <c r="L7" i="9"/>
  <c r="O7" i="9" s="1"/>
  <c r="G8" i="9"/>
  <c r="G11" i="9"/>
  <c r="L17" i="9"/>
  <c r="O17" i="9" s="1"/>
  <c r="L25" i="9"/>
  <c r="O25" i="9" s="1"/>
  <c r="G46" i="9"/>
  <c r="G88" i="9"/>
  <c r="F88" i="9" s="1"/>
  <c r="L8" i="9"/>
  <c r="O8" i="9" s="1"/>
  <c r="L9" i="9"/>
  <c r="G10" i="9"/>
  <c r="V14" i="9"/>
  <c r="G16" i="9"/>
  <c r="Z20" i="9"/>
  <c r="G24" i="9"/>
  <c r="Z27" i="9"/>
  <c r="G57" i="9"/>
  <c r="G68" i="9"/>
  <c r="G73" i="9"/>
  <c r="G84" i="9"/>
  <c r="G89" i="9"/>
  <c r="F89" i="9" s="1"/>
  <c r="G100" i="9"/>
  <c r="G105" i="9"/>
  <c r="G116" i="9"/>
  <c r="G121" i="9"/>
  <c r="G132" i="9"/>
  <c r="G137" i="9"/>
  <c r="G148" i="9"/>
  <c r="G153" i="9"/>
  <c r="F153" i="9" s="1"/>
  <c r="G159" i="9"/>
  <c r="F159" i="9" s="1"/>
  <c r="G164" i="9"/>
  <c r="G169" i="9"/>
  <c r="F169" i="9" s="1"/>
  <c r="G175" i="9"/>
  <c r="F175" i="9" s="1"/>
  <c r="G180" i="9"/>
  <c r="G185" i="9"/>
  <c r="G191" i="9"/>
  <c r="G196" i="9"/>
  <c r="F8" i="9"/>
  <c r="G20" i="9"/>
  <c r="F20" i="9" s="1"/>
  <c r="G115" i="9"/>
  <c r="F115" i="9" s="1"/>
  <c r="L27" i="9"/>
  <c r="G56" i="9"/>
  <c r="G3" i="9"/>
  <c r="F3" i="9" s="1"/>
  <c r="N6" i="9"/>
  <c r="L10" i="9"/>
  <c r="O10" i="9" s="1"/>
  <c r="L11" i="9"/>
  <c r="O11" i="9" s="1"/>
  <c r="G12" i="9"/>
  <c r="L13" i="9"/>
  <c r="O13" i="9" s="1"/>
  <c r="L16" i="9"/>
  <c r="O16" i="9" s="1"/>
  <c r="G21" i="9"/>
  <c r="L24" i="9"/>
  <c r="O24" i="9" s="1"/>
  <c r="G28" i="9"/>
  <c r="G36" i="9"/>
  <c r="G48" i="9"/>
  <c r="F48" i="9" s="1"/>
  <c r="G170" i="9"/>
  <c r="G186" i="9"/>
  <c r="F186" i="9" s="1"/>
  <c r="G32" i="9"/>
  <c r="F32" i="9" s="1"/>
  <c r="Z37" i="9"/>
  <c r="G61" i="9"/>
  <c r="G77" i="9"/>
  <c r="F77" i="9" s="1"/>
  <c r="G93" i="9"/>
  <c r="F93" i="9" s="1"/>
  <c r="G131" i="9"/>
  <c r="F131" i="9" s="1"/>
  <c r="G163" i="9"/>
  <c r="F163" i="9" s="1"/>
  <c r="G195" i="9"/>
  <c r="F195" i="9" s="1"/>
  <c r="L6" i="9"/>
  <c r="O6" i="9" s="1"/>
  <c r="Z5" i="9"/>
  <c r="Z14" i="9"/>
  <c r="L19" i="9"/>
  <c r="O19" i="9" s="1"/>
  <c r="Z22" i="9"/>
  <c r="G33" i="9"/>
  <c r="G39" i="9"/>
  <c r="G43" i="9"/>
  <c r="G53" i="9"/>
  <c r="G59" i="9"/>
  <c r="F59" i="9" s="1"/>
  <c r="G69" i="9"/>
  <c r="F69" i="9" s="1"/>
  <c r="G75" i="9"/>
  <c r="F75" i="9" s="1"/>
  <c r="G85" i="9"/>
  <c r="F85" i="9" s="1"/>
  <c r="G91" i="9"/>
  <c r="F91" i="9" s="1"/>
  <c r="G101" i="9"/>
  <c r="F101" i="9" s="1"/>
  <c r="G107" i="9"/>
  <c r="G117" i="9"/>
  <c r="G123" i="9"/>
  <c r="F123" i="9" s="1"/>
  <c r="G133" i="9"/>
  <c r="F133" i="9" s="1"/>
  <c r="G139" i="9"/>
  <c r="F139" i="9" s="1"/>
  <c r="G149" i="9"/>
  <c r="F149" i="9" s="1"/>
  <c r="G155" i="9"/>
  <c r="F155" i="9" s="1"/>
  <c r="G165" i="9"/>
  <c r="F165" i="9" s="1"/>
  <c r="G171" i="9"/>
  <c r="G181" i="9"/>
  <c r="G187" i="9"/>
  <c r="F187" i="9" s="1"/>
  <c r="G197" i="9"/>
  <c r="F197" i="9" s="1"/>
  <c r="X2" i="9"/>
  <c r="G25" i="9"/>
  <c r="F25" i="9" s="1"/>
  <c r="G67" i="9"/>
  <c r="F67" i="9" s="1"/>
  <c r="G99" i="9"/>
  <c r="F99" i="9" s="1"/>
  <c r="G125" i="9"/>
  <c r="F125" i="9" s="1"/>
  <c r="G141" i="9"/>
  <c r="F141" i="9" s="1"/>
  <c r="G157" i="9"/>
  <c r="F157" i="9" s="1"/>
  <c r="G173" i="9"/>
  <c r="F173" i="9" s="1"/>
  <c r="G189" i="9"/>
  <c r="F189" i="9" s="1"/>
  <c r="Z3" i="9"/>
  <c r="L12" i="9"/>
  <c r="O12" i="9" s="1"/>
  <c r="G5" i="9"/>
  <c r="Z7" i="9"/>
  <c r="V11" i="9"/>
  <c r="Z19" i="9"/>
  <c r="G26" i="9"/>
  <c r="Z28" i="9"/>
  <c r="L33" i="9"/>
  <c r="Z36" i="9"/>
  <c r="G40" i="9"/>
  <c r="G49" i="9"/>
  <c r="F49" i="9" s="1"/>
  <c r="Y39" i="9" s="1"/>
  <c r="G54" i="9"/>
  <c r="G64" i="9"/>
  <c r="G70" i="9"/>
  <c r="F70" i="9"/>
  <c r="G80" i="9"/>
  <c r="F80" i="9" s="1"/>
  <c r="G86" i="9"/>
  <c r="F86" i="9"/>
  <c r="G96" i="9"/>
  <c r="F96" i="9" s="1"/>
  <c r="G102" i="9"/>
  <c r="F102" i="9"/>
  <c r="G112" i="9"/>
  <c r="G118" i="9"/>
  <c r="F118" i="9"/>
  <c r="G128" i="9"/>
  <c r="G134" i="9"/>
  <c r="F134" i="9"/>
  <c r="G144" i="9"/>
  <c r="F144" i="9" s="1"/>
  <c r="G150" i="9"/>
  <c r="F150" i="9"/>
  <c r="G160" i="9"/>
  <c r="F160" i="9" s="1"/>
  <c r="G166" i="9"/>
  <c r="F166" i="9"/>
  <c r="G176" i="9"/>
  <c r="F176" i="9" s="1"/>
  <c r="G182" i="9"/>
  <c r="F182" i="9"/>
  <c r="G192" i="9"/>
  <c r="G198" i="9"/>
  <c r="F198" i="9"/>
  <c r="U2" i="9" a="1"/>
  <c r="G4" i="9"/>
  <c r="F4" i="9" s="1"/>
  <c r="L4" i="9"/>
  <c r="O4" i="9" s="1"/>
  <c r="Z9" i="9"/>
  <c r="V10" i="9"/>
  <c r="Z13" i="9"/>
  <c r="G18" i="9"/>
  <c r="G29" i="9"/>
  <c r="F29" i="9" s="1"/>
  <c r="G37" i="9"/>
  <c r="F37" i="9" s="1"/>
  <c r="F40" i="9"/>
  <c r="N8" i="9" s="1"/>
  <c r="G44" i="9"/>
  <c r="F44" i="9" s="1"/>
  <c r="G60" i="9"/>
  <c r="G65" i="9"/>
  <c r="G76" i="9"/>
  <c r="F76" i="9" s="1"/>
  <c r="G81" i="9"/>
  <c r="G92" i="9"/>
  <c r="G97" i="9"/>
  <c r="G108" i="9"/>
  <c r="F108" i="9" s="1"/>
  <c r="G113" i="9"/>
  <c r="G124" i="9"/>
  <c r="G129" i="9"/>
  <c r="F129" i="9" s="1"/>
  <c r="G140" i="9"/>
  <c r="F140" i="9" s="1"/>
  <c r="G145" i="9"/>
  <c r="F145" i="9" s="1"/>
  <c r="N27" i="9" s="1"/>
  <c r="G151" i="9"/>
  <c r="F151" i="9" s="1"/>
  <c r="G156" i="9"/>
  <c r="G161" i="9"/>
  <c r="F161" i="9" s="1"/>
  <c r="G167" i="9"/>
  <c r="F167" i="9" s="1"/>
  <c r="G172" i="9"/>
  <c r="G177" i="9"/>
  <c r="G183" i="9"/>
  <c r="F183" i="9" s="1"/>
  <c r="G188" i="9"/>
  <c r="F188" i="9" s="1"/>
  <c r="G193" i="9"/>
  <c r="F193" i="9" s="1"/>
  <c r="Z44" i="9"/>
  <c r="Z39" i="9"/>
  <c r="Z35" i="9"/>
  <c r="Z34" i="9"/>
  <c r="Z26" i="9"/>
  <c r="Z18" i="9"/>
  <c r="Z12" i="9"/>
  <c r="Z10" i="9"/>
  <c r="Z8" i="9"/>
  <c r="Z6" i="9"/>
  <c r="Z4" i="9"/>
  <c r="Y35" i="9"/>
  <c r="Z33" i="9"/>
  <c r="Z25" i="9"/>
  <c r="Z17" i="9"/>
  <c r="Z42" i="9"/>
  <c r="Z32" i="9"/>
  <c r="Z24" i="9"/>
  <c r="Z16" i="9"/>
  <c r="Z40" i="9"/>
  <c r="Z31" i="9"/>
  <c r="Z23" i="9"/>
  <c r="Z15" i="9"/>
  <c r="Z30" i="9"/>
  <c r="Z43" i="9"/>
  <c r="Z38" i="9"/>
  <c r="Z29" i="9"/>
  <c r="L5" i="9"/>
  <c r="O5" i="9" s="1"/>
  <c r="G7" i="9"/>
  <c r="F7" i="9" s="1"/>
  <c r="N15" i="9" s="1"/>
  <c r="Z11" i="9"/>
  <c r="V12" i="9"/>
  <c r="G14" i="9"/>
  <c r="L18" i="9"/>
  <c r="O18" i="9" s="1"/>
  <c r="Z21" i="9"/>
  <c r="G27" i="9"/>
  <c r="G45" i="9"/>
  <c r="G50" i="9"/>
  <c r="F50" i="9" s="1"/>
  <c r="F146" i="9"/>
  <c r="N32" i="9" s="1"/>
  <c r="G162" i="9"/>
  <c r="F162" i="9" s="1"/>
  <c r="G178" i="9"/>
  <c r="G194" i="9"/>
  <c r="G201" i="9"/>
  <c r="F201" i="9" s="1"/>
  <c r="F54" i="9"/>
  <c r="F177" i="9"/>
  <c r="N21" i="9" s="1"/>
  <c r="F39" i="9"/>
  <c r="N3" i="9" s="1"/>
  <c r="F60" i="9"/>
  <c r="Y43" i="9" s="1"/>
  <c r="F68" i="9"/>
  <c r="F84" i="9"/>
  <c r="F92" i="9"/>
  <c r="F100" i="9"/>
  <c r="F124" i="9"/>
  <c r="F132" i="9"/>
  <c r="F148" i="9"/>
  <c r="F156" i="9"/>
  <c r="F164" i="9"/>
  <c r="F180" i="9"/>
  <c r="F196" i="9"/>
  <c r="F191" i="9"/>
  <c r="F170" i="9"/>
  <c r="F178" i="9"/>
  <c r="F194" i="9"/>
  <c r="F33" i="5"/>
  <c r="F195" i="5"/>
  <c r="E195" i="5" s="1"/>
  <c r="F44" i="5"/>
  <c r="F60" i="5"/>
  <c r="F68" i="5"/>
  <c r="F76" i="5"/>
  <c r="F100" i="5"/>
  <c r="E100" i="5" s="1"/>
  <c r="F108" i="5"/>
  <c r="E108" i="5" s="1"/>
  <c r="F116" i="5"/>
  <c r="F140" i="5"/>
  <c r="F148" i="5"/>
  <c r="F156" i="5"/>
  <c r="F180" i="5"/>
  <c r="E180" i="5" s="1"/>
  <c r="F188" i="5"/>
  <c r="F196" i="5"/>
  <c r="E196" i="5" s="1"/>
  <c r="F51" i="5"/>
  <c r="E51" i="5" s="1"/>
  <c r="V38" i="5" s="1"/>
  <c r="F171" i="5"/>
  <c r="F8" i="5"/>
  <c r="F22" i="5"/>
  <c r="F38" i="5"/>
  <c r="F53" i="5"/>
  <c r="E53" i="5" s="1"/>
  <c r="F61" i="5"/>
  <c r="F93" i="5"/>
  <c r="E93" i="5" s="1"/>
  <c r="F101" i="5"/>
  <c r="E101" i="5" s="1"/>
  <c r="F133" i="5"/>
  <c r="F141" i="5"/>
  <c r="F173" i="5"/>
  <c r="F181" i="5"/>
  <c r="F197" i="5"/>
  <c r="E197" i="5" s="1"/>
  <c r="F17" i="5"/>
  <c r="F37" i="5"/>
  <c r="E37" i="5" s="1"/>
  <c r="F123" i="5"/>
  <c r="E123" i="5" s="1"/>
  <c r="F14" i="5"/>
  <c r="F46" i="5"/>
  <c r="F70" i="5"/>
  <c r="F78" i="5"/>
  <c r="F86" i="5"/>
  <c r="E86" i="5" s="1"/>
  <c r="F110" i="5"/>
  <c r="F118" i="5"/>
  <c r="E118" i="5" s="1"/>
  <c r="F126" i="5"/>
  <c r="E126" i="5" s="1"/>
  <c r="F150" i="5"/>
  <c r="F158" i="5"/>
  <c r="F166" i="5"/>
  <c r="E166" i="5" s="1"/>
  <c r="F190" i="5"/>
  <c r="F198" i="5"/>
  <c r="E198" i="5" s="1"/>
  <c r="F83" i="5"/>
  <c r="F163" i="5"/>
  <c r="E163" i="5" s="1"/>
  <c r="F204" i="5"/>
  <c r="E204" i="5" s="1"/>
  <c r="F18" i="5"/>
  <c r="F23" i="5"/>
  <c r="F27" i="5"/>
  <c r="F63" i="5"/>
  <c r="F71" i="5"/>
  <c r="E71" i="5" s="1"/>
  <c r="F103" i="5"/>
  <c r="F111" i="5"/>
  <c r="E111" i="5" s="1"/>
  <c r="F143" i="5"/>
  <c r="E143" i="5" s="1"/>
  <c r="F151" i="5"/>
  <c r="F183" i="5"/>
  <c r="F191" i="5"/>
  <c r="F47" i="5"/>
  <c r="E47" i="5" s="1"/>
  <c r="F40" i="5"/>
  <c r="F48" i="5"/>
  <c r="F56" i="5"/>
  <c r="F80" i="5"/>
  <c r="E80" i="5" s="1"/>
  <c r="F88" i="5"/>
  <c r="F96" i="5"/>
  <c r="F120" i="5"/>
  <c r="F128" i="5"/>
  <c r="F136" i="5"/>
  <c r="E136" i="5" s="1"/>
  <c r="F160" i="5"/>
  <c r="F168" i="5"/>
  <c r="F176" i="5"/>
  <c r="E176" i="5" s="1"/>
  <c r="F131" i="5"/>
  <c r="F12" i="5"/>
  <c r="F28" i="5"/>
  <c r="F32" i="5"/>
  <c r="F73" i="5"/>
  <c r="E73" i="5" s="1"/>
  <c r="F81" i="5"/>
  <c r="F113" i="5"/>
  <c r="E113" i="5" s="1"/>
  <c r="F121" i="5"/>
  <c r="E121" i="5" s="1"/>
  <c r="F153" i="5"/>
  <c r="F161" i="5"/>
  <c r="F185" i="5"/>
  <c r="E185" i="5" s="1"/>
  <c r="F193" i="5"/>
  <c r="E193" i="5" s="1"/>
  <c r="F91" i="5"/>
  <c r="E91" i="5" s="1"/>
  <c r="F7" i="5"/>
  <c r="F42" i="5"/>
  <c r="E42" i="5" s="1"/>
  <c r="F50" i="5"/>
  <c r="E50" i="5" s="1"/>
  <c r="F58" i="5"/>
  <c r="F66" i="5"/>
  <c r="F90" i="5"/>
  <c r="F98" i="5"/>
  <c r="F106" i="5"/>
  <c r="E106" i="5" s="1"/>
  <c r="F130" i="5"/>
  <c r="F138" i="5"/>
  <c r="E138" i="5" s="1"/>
  <c r="F146" i="5"/>
  <c r="E146" i="5" s="1"/>
  <c r="F170" i="5"/>
  <c r="F178" i="5"/>
  <c r="F186" i="5"/>
  <c r="E186" i="5" s="1"/>
  <c r="N5" i="2"/>
  <c r="G36" i="2"/>
  <c r="F36" i="2" s="1"/>
  <c r="N34" i="2"/>
  <c r="N30" i="2"/>
  <c r="N16" i="2"/>
  <c r="N35" i="2"/>
  <c r="N4" i="2"/>
  <c r="N15" i="2"/>
  <c r="N26" i="2"/>
  <c r="N36" i="2"/>
  <c r="N25" i="2"/>
  <c r="N6" i="2"/>
  <c r="N17" i="2"/>
  <c r="N27" i="2"/>
  <c r="N37" i="2"/>
  <c r="N7" i="2"/>
  <c r="N18" i="2"/>
  <c r="N28" i="2"/>
  <c r="N38" i="2"/>
  <c r="N8" i="2"/>
  <c r="N19" i="2"/>
  <c r="N29" i="2"/>
  <c r="N9" i="2"/>
  <c r="N20" i="2"/>
  <c r="N10" i="2"/>
  <c r="N21" i="2"/>
  <c r="N11" i="2"/>
  <c r="N22" i="2"/>
  <c r="N32" i="2"/>
  <c r="N31" i="2"/>
  <c r="N14" i="2"/>
  <c r="N12" i="2"/>
  <c r="N23" i="2"/>
  <c r="N33" i="2"/>
  <c r="N13" i="2"/>
  <c r="N24" i="2"/>
  <c r="U3" i="2"/>
  <c r="W13" i="5"/>
  <c r="F5" i="5"/>
  <c r="E5" i="5" s="1"/>
  <c r="W9" i="5"/>
  <c r="F13" i="5"/>
  <c r="E13" i="5" s="1"/>
  <c r="F16" i="5"/>
  <c r="E16" i="5" s="1"/>
  <c r="F21" i="5"/>
  <c r="E21" i="5" s="1"/>
  <c r="F26" i="5"/>
  <c r="E26" i="5" s="1"/>
  <c r="F31" i="5"/>
  <c r="E31" i="5" s="1"/>
  <c r="F36" i="5"/>
  <c r="E36" i="5" s="1"/>
  <c r="W39" i="5"/>
  <c r="W41" i="5"/>
  <c r="W43" i="5"/>
  <c r="E46" i="5"/>
  <c r="V36" i="5" s="1"/>
  <c r="F49" i="5"/>
  <c r="E49" i="5" s="1"/>
  <c r="E56" i="5"/>
  <c r="F59" i="5"/>
  <c r="E59" i="5" s="1"/>
  <c r="E66" i="5"/>
  <c r="F69" i="5"/>
  <c r="E69" i="5" s="1"/>
  <c r="E76" i="5"/>
  <c r="F79" i="5"/>
  <c r="E79" i="5" s="1"/>
  <c r="F89" i="5"/>
  <c r="E89" i="5" s="1"/>
  <c r="E96" i="5"/>
  <c r="F99" i="5"/>
  <c r="E99" i="5" s="1"/>
  <c r="F109" i="5"/>
  <c r="E109" i="5" s="1"/>
  <c r="E116" i="5"/>
  <c r="F119" i="5"/>
  <c r="E119" i="5" s="1"/>
  <c r="F129" i="5"/>
  <c r="E129" i="5" s="1"/>
  <c r="F139" i="5"/>
  <c r="E139" i="5" s="1"/>
  <c r="F149" i="5"/>
  <c r="E149" i="5" s="1"/>
  <c r="E156" i="5"/>
  <c r="F159" i="5"/>
  <c r="E159" i="5" s="1"/>
  <c r="F169" i="5"/>
  <c r="E169" i="5" s="1"/>
  <c r="F179" i="5"/>
  <c r="E179" i="5" s="1"/>
  <c r="F189" i="5"/>
  <c r="E189" i="5" s="1"/>
  <c r="W14" i="5"/>
  <c r="E18" i="5"/>
  <c r="W19" i="5"/>
  <c r="E23" i="5"/>
  <c r="W24" i="5"/>
  <c r="E28" i="5"/>
  <c r="W29" i="5"/>
  <c r="E33" i="5"/>
  <c r="W34" i="5"/>
  <c r="E38" i="5"/>
  <c r="E63" i="5"/>
  <c r="E83" i="5"/>
  <c r="E103" i="5"/>
  <c r="E133" i="5"/>
  <c r="E153" i="5"/>
  <c r="E173" i="5"/>
  <c r="E183" i="5"/>
  <c r="F200" i="5"/>
  <c r="E200" i="5" s="1"/>
  <c r="W6" i="5"/>
  <c r="W5" i="5"/>
  <c r="F20" i="5"/>
  <c r="E20" i="5" s="1"/>
  <c r="F3" i="5"/>
  <c r="E3" i="5" s="1"/>
  <c r="F4" i="5"/>
  <c r="E4" i="5" s="1"/>
  <c r="W8" i="5"/>
  <c r="W7" i="5"/>
  <c r="E12" i="5"/>
  <c r="S13" i="5"/>
  <c r="E40" i="5"/>
  <c r="E44" i="5"/>
  <c r="E60" i="5"/>
  <c r="E70" i="5"/>
  <c r="V43" i="5" s="1"/>
  <c r="E90" i="5"/>
  <c r="E110" i="5"/>
  <c r="E120" i="5"/>
  <c r="E130" i="5"/>
  <c r="E140" i="5"/>
  <c r="E150" i="5"/>
  <c r="E160" i="5"/>
  <c r="E170" i="5"/>
  <c r="E190" i="5"/>
  <c r="W16" i="5"/>
  <c r="W21" i="5"/>
  <c r="W26" i="5"/>
  <c r="W31" i="5"/>
  <c r="W36" i="5"/>
  <c r="F201" i="5"/>
  <c r="E201" i="5" s="1"/>
  <c r="F11" i="5"/>
  <c r="E11" i="5" s="1"/>
  <c r="F30" i="5"/>
  <c r="E30" i="5" s="1"/>
  <c r="F67" i="5"/>
  <c r="E67" i="5" s="1"/>
  <c r="F77" i="5"/>
  <c r="E77" i="5" s="1"/>
  <c r="F87" i="5"/>
  <c r="E87" i="5" s="1"/>
  <c r="F97" i="5"/>
  <c r="E97" i="5" s="1"/>
  <c r="F107" i="5"/>
  <c r="E107" i="5" s="1"/>
  <c r="F117" i="5"/>
  <c r="E117" i="5" s="1"/>
  <c r="F127" i="5"/>
  <c r="E127" i="5" s="1"/>
  <c r="F137" i="5"/>
  <c r="E137" i="5" s="1"/>
  <c r="F147" i="5"/>
  <c r="E147" i="5" s="1"/>
  <c r="F157" i="5"/>
  <c r="E157" i="5" s="1"/>
  <c r="F167" i="5"/>
  <c r="E167" i="5" s="1"/>
  <c r="F177" i="5"/>
  <c r="E177" i="5" s="1"/>
  <c r="F187" i="5"/>
  <c r="E187" i="5" s="1"/>
  <c r="R2" i="5" a="1"/>
  <c r="W4" i="5"/>
  <c r="F10" i="5"/>
  <c r="E10" i="5" s="1"/>
  <c r="S12" i="5"/>
  <c r="E17" i="5"/>
  <c r="W18" i="5"/>
  <c r="E22" i="5"/>
  <c r="W23" i="5"/>
  <c r="E27" i="5"/>
  <c r="W28" i="5"/>
  <c r="E32" i="5"/>
  <c r="W33" i="5"/>
  <c r="W38" i="5"/>
  <c r="W40" i="5"/>
  <c r="W42" i="5"/>
  <c r="W44" i="5"/>
  <c r="F54" i="5"/>
  <c r="E54" i="5" s="1"/>
  <c r="E61" i="5"/>
  <c r="F64" i="5"/>
  <c r="E64" i="5" s="1"/>
  <c r="F74" i="5"/>
  <c r="E74" i="5" s="1"/>
  <c r="E81" i="5"/>
  <c r="F84" i="5"/>
  <c r="E84" i="5" s="1"/>
  <c r="F94" i="5"/>
  <c r="E94" i="5" s="1"/>
  <c r="F104" i="5"/>
  <c r="E104" i="5" s="1"/>
  <c r="F114" i="5"/>
  <c r="E114" i="5" s="1"/>
  <c r="F124" i="5"/>
  <c r="E124" i="5" s="1"/>
  <c r="E131" i="5"/>
  <c r="F134" i="5"/>
  <c r="E134" i="5" s="1"/>
  <c r="E141" i="5"/>
  <c r="F144" i="5"/>
  <c r="E144" i="5" s="1"/>
  <c r="E151" i="5"/>
  <c r="F154" i="5"/>
  <c r="E154" i="5" s="1"/>
  <c r="E161" i="5"/>
  <c r="F164" i="5"/>
  <c r="E164" i="5" s="1"/>
  <c r="E171" i="5"/>
  <c r="F174" i="5"/>
  <c r="E174" i="5" s="1"/>
  <c r="E181" i="5"/>
  <c r="F184" i="5"/>
  <c r="E184" i="5" s="1"/>
  <c r="E191" i="5"/>
  <c r="F194" i="5"/>
  <c r="E194" i="5" s="1"/>
  <c r="F202" i="5"/>
  <c r="E202" i="5" s="1"/>
  <c r="F15" i="5"/>
  <c r="E15" i="5" s="1"/>
  <c r="F57" i="5"/>
  <c r="E57" i="5" s="1"/>
  <c r="W3" i="5"/>
  <c r="E8" i="5"/>
  <c r="F9" i="5"/>
  <c r="E9" i="5" s="1"/>
  <c r="S11" i="5"/>
  <c r="E14" i="5"/>
  <c r="V35" i="5"/>
  <c r="E48" i="5"/>
  <c r="V37" i="5" s="1"/>
  <c r="E58" i="5"/>
  <c r="E68" i="5"/>
  <c r="E78" i="5"/>
  <c r="E88" i="5"/>
  <c r="E98" i="5"/>
  <c r="E128" i="5"/>
  <c r="E148" i="5"/>
  <c r="E158" i="5"/>
  <c r="E168" i="5"/>
  <c r="E178" i="5"/>
  <c r="E188" i="5"/>
  <c r="E7" i="5"/>
  <c r="S10" i="5"/>
  <c r="W12" i="5"/>
  <c r="W15" i="5"/>
  <c r="W20" i="5"/>
  <c r="W25" i="5"/>
  <c r="W30" i="5"/>
  <c r="W35" i="5"/>
  <c r="F203" i="5"/>
  <c r="E203" i="5" s="1"/>
  <c r="F25" i="5"/>
  <c r="E25" i="5" s="1"/>
  <c r="F35" i="5"/>
  <c r="E35" i="5" s="1"/>
  <c r="V34" i="5" s="1"/>
  <c r="U2" i="5"/>
  <c r="W11" i="5"/>
  <c r="F19" i="5"/>
  <c r="E19" i="5" s="1"/>
  <c r="F24" i="5"/>
  <c r="E24" i="5" s="1"/>
  <c r="F29" i="5"/>
  <c r="E29" i="5" s="1"/>
  <c r="F34" i="5"/>
  <c r="E34" i="5" s="1"/>
  <c r="F39" i="5"/>
  <c r="E39" i="5" s="1"/>
  <c r="F41" i="5"/>
  <c r="E41" i="5" s="1"/>
  <c r="F43" i="5"/>
  <c r="E43" i="5" s="1"/>
  <c r="F45" i="5"/>
  <c r="E45" i="5" s="1"/>
  <c r="F55" i="5"/>
  <c r="E55" i="5" s="1"/>
  <c r="V40" i="5" s="1"/>
  <c r="F65" i="5"/>
  <c r="E65" i="5" s="1"/>
  <c r="V42" i="5" s="1"/>
  <c r="F75" i="5"/>
  <c r="E75" i="5" s="1"/>
  <c r="F85" i="5"/>
  <c r="E85" i="5" s="1"/>
  <c r="F95" i="5"/>
  <c r="E95" i="5" s="1"/>
  <c r="F105" i="5"/>
  <c r="E105" i="5" s="1"/>
  <c r="F115" i="5"/>
  <c r="E115" i="5" s="1"/>
  <c r="F125" i="5"/>
  <c r="E125" i="5" s="1"/>
  <c r="F135" i="5"/>
  <c r="E135" i="5" s="1"/>
  <c r="F145" i="5"/>
  <c r="E145" i="5" s="1"/>
  <c r="F155" i="5"/>
  <c r="E155" i="5" s="1"/>
  <c r="F165" i="5"/>
  <c r="E165" i="5" s="1"/>
  <c r="F175" i="5"/>
  <c r="E175" i="5" s="1"/>
  <c r="F6" i="5"/>
  <c r="E6" i="5" s="1"/>
  <c r="W10" i="5"/>
  <c r="S14" i="5"/>
  <c r="W17" i="5"/>
  <c r="W22" i="5"/>
  <c r="W27" i="5"/>
  <c r="W32" i="5"/>
  <c r="W37" i="5"/>
  <c r="V41" i="5"/>
  <c r="F52" i="5"/>
  <c r="E52" i="5" s="1"/>
  <c r="V39" i="5" s="1"/>
  <c r="F62" i="5"/>
  <c r="E62" i="5" s="1"/>
  <c r="F72" i="5"/>
  <c r="E72" i="5" s="1"/>
  <c r="F82" i="5"/>
  <c r="E82" i="5" s="1"/>
  <c r="F92" i="5"/>
  <c r="E92" i="5" s="1"/>
  <c r="F102" i="5"/>
  <c r="E102" i="5" s="1"/>
  <c r="F112" i="5"/>
  <c r="E112" i="5" s="1"/>
  <c r="F122" i="5"/>
  <c r="E122" i="5" s="1"/>
  <c r="F132" i="5"/>
  <c r="E132" i="5" s="1"/>
  <c r="F142" i="5"/>
  <c r="E142" i="5" s="1"/>
  <c r="F152" i="5"/>
  <c r="E152" i="5" s="1"/>
  <c r="F162" i="5"/>
  <c r="E162" i="5" s="1"/>
  <c r="F172" i="5"/>
  <c r="E172" i="5" s="1"/>
  <c r="F182" i="5"/>
  <c r="E182" i="5" s="1"/>
  <c r="F192" i="5"/>
  <c r="E192" i="5" s="1"/>
  <c r="F199" i="5"/>
  <c r="E199" i="5" s="1"/>
  <c r="X11" i="2"/>
  <c r="X12" i="2"/>
  <c r="X13" i="2"/>
  <c r="X14" i="2"/>
  <c r="G4" i="2"/>
  <c r="F4" i="2" s="1"/>
  <c r="G6" i="2"/>
  <c r="F6" i="2" s="1"/>
  <c r="G193" i="2"/>
  <c r="F193" i="2" s="1"/>
  <c r="G46" i="2"/>
  <c r="G7" i="2"/>
  <c r="F7" i="2" s="1"/>
  <c r="G11" i="2"/>
  <c r="F11" i="2" s="1"/>
  <c r="G21" i="2"/>
  <c r="F21" i="2" s="1"/>
  <c r="G31" i="2"/>
  <c r="F31" i="2" s="1"/>
  <c r="G48" i="2"/>
  <c r="F48" i="2" s="1"/>
  <c r="G14" i="2"/>
  <c r="F14" i="2" s="1"/>
  <c r="G73" i="2"/>
  <c r="F73" i="2" s="1"/>
  <c r="G103" i="2"/>
  <c r="F103" i="2" s="1"/>
  <c r="G133" i="2"/>
  <c r="F133" i="2" s="1"/>
  <c r="G163" i="2"/>
  <c r="F163" i="2" s="1"/>
  <c r="G205" i="2"/>
  <c r="F205" i="2" s="1"/>
  <c r="G33" i="2"/>
  <c r="F33" i="2" s="1"/>
  <c r="G50" i="2"/>
  <c r="F50" i="2" s="1"/>
  <c r="G40" i="2"/>
  <c r="F40" i="2" s="1"/>
  <c r="G64" i="2"/>
  <c r="F64" i="2" s="1"/>
  <c r="G74" i="2"/>
  <c r="F74" i="2" s="1"/>
  <c r="G84" i="2"/>
  <c r="F84" i="2" s="1"/>
  <c r="G94" i="2"/>
  <c r="F94" i="2" s="1"/>
  <c r="G104" i="2"/>
  <c r="F104" i="2" s="1"/>
  <c r="G114" i="2"/>
  <c r="F114" i="2" s="1"/>
  <c r="G124" i="2"/>
  <c r="F124" i="2" s="1"/>
  <c r="G134" i="2"/>
  <c r="F134" i="2" s="1"/>
  <c r="G144" i="2"/>
  <c r="F144" i="2" s="1"/>
  <c r="G154" i="2"/>
  <c r="F154" i="2" s="1"/>
  <c r="G164" i="2"/>
  <c r="F164" i="2" s="1"/>
  <c r="G174" i="2"/>
  <c r="F174" i="2" s="1"/>
  <c r="G184" i="2"/>
  <c r="F184" i="2" s="1"/>
  <c r="G194" i="2"/>
  <c r="F194" i="2" s="1"/>
  <c r="G19" i="2"/>
  <c r="F19" i="2" s="1"/>
  <c r="G63" i="2"/>
  <c r="F63" i="2" s="1"/>
  <c r="G83" i="2"/>
  <c r="F83" i="2" s="1"/>
  <c r="G113" i="2"/>
  <c r="F113" i="2" s="1"/>
  <c r="G143" i="2"/>
  <c r="F143" i="2" s="1"/>
  <c r="G173" i="2"/>
  <c r="F173" i="2" s="1"/>
  <c r="G57" i="2"/>
  <c r="F57" i="2" s="1"/>
  <c r="G65" i="2"/>
  <c r="F65" i="2" s="1"/>
  <c r="G75" i="2"/>
  <c r="F75" i="2" s="1"/>
  <c r="G85" i="2"/>
  <c r="F85" i="2" s="1"/>
  <c r="G95" i="2"/>
  <c r="F95" i="2" s="1"/>
  <c r="G105" i="2"/>
  <c r="F105" i="2" s="1"/>
  <c r="G115" i="2"/>
  <c r="F115" i="2" s="1"/>
  <c r="G125" i="2"/>
  <c r="F125" i="2" s="1"/>
  <c r="G135" i="2"/>
  <c r="F135" i="2" s="1"/>
  <c r="G145" i="2"/>
  <c r="F145" i="2" s="1"/>
  <c r="G155" i="2"/>
  <c r="F155" i="2" s="1"/>
  <c r="G165" i="2"/>
  <c r="F165" i="2" s="1"/>
  <c r="G175" i="2"/>
  <c r="F175" i="2" s="1"/>
  <c r="G185" i="2"/>
  <c r="F185" i="2" s="1"/>
  <c r="G195" i="2"/>
  <c r="F195" i="2" s="1"/>
  <c r="G56" i="2"/>
  <c r="F56" i="2" s="1"/>
  <c r="G93" i="2"/>
  <c r="F93" i="2" s="1"/>
  <c r="G123" i="2"/>
  <c r="F123" i="2" s="1"/>
  <c r="G153" i="2"/>
  <c r="F153" i="2" s="1"/>
  <c r="G183" i="2"/>
  <c r="F183" i="2" s="1"/>
  <c r="G8" i="2"/>
  <c r="G66" i="2"/>
  <c r="F66" i="2" s="1"/>
  <c r="G86" i="2"/>
  <c r="F86" i="2" s="1"/>
  <c r="G96" i="2"/>
  <c r="F96" i="2" s="1"/>
  <c r="G106" i="2"/>
  <c r="F106" i="2" s="1"/>
  <c r="G116" i="2"/>
  <c r="F116" i="2" s="1"/>
  <c r="G126" i="2"/>
  <c r="F126" i="2" s="1"/>
  <c r="G136" i="2"/>
  <c r="F136" i="2" s="1"/>
  <c r="G146" i="2"/>
  <c r="F146" i="2" s="1"/>
  <c r="G156" i="2"/>
  <c r="F156" i="2" s="1"/>
  <c r="G166" i="2"/>
  <c r="F166" i="2" s="1"/>
  <c r="G176" i="2"/>
  <c r="F176" i="2" s="1"/>
  <c r="G186" i="2"/>
  <c r="F186" i="2" s="1"/>
  <c r="G196" i="2"/>
  <c r="F196" i="2" s="1"/>
  <c r="G12" i="2"/>
  <c r="F12" i="2" s="1"/>
  <c r="G58" i="2"/>
  <c r="F58" i="2" s="1"/>
  <c r="G52" i="2"/>
  <c r="F52" i="2" s="1"/>
  <c r="G59" i="2"/>
  <c r="F59" i="2" s="1"/>
  <c r="G67" i="2"/>
  <c r="F67" i="2" s="1"/>
  <c r="G77" i="2"/>
  <c r="F77" i="2" s="1"/>
  <c r="G87" i="2"/>
  <c r="F87" i="2" s="1"/>
  <c r="G97" i="2"/>
  <c r="F97" i="2" s="1"/>
  <c r="G107" i="2"/>
  <c r="F107" i="2" s="1"/>
  <c r="G117" i="2"/>
  <c r="F117" i="2" s="1"/>
  <c r="G127" i="2"/>
  <c r="F127" i="2" s="1"/>
  <c r="G137" i="2"/>
  <c r="F137" i="2" s="1"/>
  <c r="G147" i="2"/>
  <c r="F147" i="2" s="1"/>
  <c r="G157" i="2"/>
  <c r="F157" i="2" s="1"/>
  <c r="G167" i="2"/>
  <c r="F167" i="2" s="1"/>
  <c r="G177" i="2"/>
  <c r="F177" i="2" s="1"/>
  <c r="G187" i="2"/>
  <c r="F187" i="2" s="1"/>
  <c r="G197" i="2"/>
  <c r="F197" i="2" s="1"/>
  <c r="G76" i="2"/>
  <c r="F76" i="2" s="1"/>
  <c r="G5" i="2"/>
  <c r="F5" i="2" s="1"/>
  <c r="G10" i="2"/>
  <c r="F10" i="2" s="1"/>
  <c r="G41" i="2"/>
  <c r="F41" i="2" s="1"/>
  <c r="G53" i="2"/>
  <c r="F53" i="2" s="1"/>
  <c r="G44" i="2"/>
  <c r="F44" i="2" s="1"/>
  <c r="G68" i="2"/>
  <c r="F68" i="2" s="1"/>
  <c r="G78" i="2"/>
  <c r="F78" i="2" s="1"/>
  <c r="G88" i="2"/>
  <c r="F88" i="2" s="1"/>
  <c r="G98" i="2"/>
  <c r="F98" i="2" s="1"/>
  <c r="G108" i="2"/>
  <c r="F108" i="2" s="1"/>
  <c r="G118" i="2"/>
  <c r="F118" i="2" s="1"/>
  <c r="G128" i="2"/>
  <c r="F128" i="2" s="1"/>
  <c r="G138" i="2"/>
  <c r="F138" i="2" s="1"/>
  <c r="G148" i="2"/>
  <c r="F148" i="2" s="1"/>
  <c r="G158" i="2"/>
  <c r="F158" i="2" s="1"/>
  <c r="G168" i="2"/>
  <c r="F168" i="2" s="1"/>
  <c r="G178" i="2"/>
  <c r="F178" i="2" s="1"/>
  <c r="G188" i="2"/>
  <c r="F188" i="2" s="1"/>
  <c r="G198" i="2"/>
  <c r="F198" i="2" s="1"/>
  <c r="G15" i="2"/>
  <c r="F15" i="2" s="1"/>
  <c r="G37" i="2"/>
  <c r="F37" i="2" s="1"/>
  <c r="G54" i="2"/>
  <c r="F54" i="2" s="1"/>
  <c r="G60" i="2"/>
  <c r="F60" i="2" s="1"/>
  <c r="G69" i="2"/>
  <c r="F69" i="2" s="1"/>
  <c r="G79" i="2"/>
  <c r="G89" i="2"/>
  <c r="F89" i="2" s="1"/>
  <c r="G99" i="2"/>
  <c r="F99" i="2" s="1"/>
  <c r="G109" i="2"/>
  <c r="F109" i="2" s="1"/>
  <c r="G119" i="2"/>
  <c r="F119" i="2" s="1"/>
  <c r="G129" i="2"/>
  <c r="F129" i="2" s="1"/>
  <c r="G139" i="2"/>
  <c r="F139" i="2" s="1"/>
  <c r="G149" i="2"/>
  <c r="F149" i="2" s="1"/>
  <c r="G159" i="2"/>
  <c r="F159" i="2" s="1"/>
  <c r="G169" i="2"/>
  <c r="F169" i="2" s="1"/>
  <c r="G179" i="2"/>
  <c r="F179" i="2" s="1"/>
  <c r="G189" i="2"/>
  <c r="F189" i="2" s="1"/>
  <c r="G199" i="2"/>
  <c r="F199" i="2" s="1"/>
  <c r="AB15" i="2"/>
  <c r="AB17" i="2"/>
  <c r="AB19" i="2"/>
  <c r="AB25" i="2"/>
  <c r="AB29" i="2"/>
  <c r="AB33" i="2"/>
  <c r="G61" i="2"/>
  <c r="F61" i="2" s="1"/>
  <c r="G70" i="2"/>
  <c r="F70" i="2" s="1"/>
  <c r="G80" i="2"/>
  <c r="F80" i="2" s="1"/>
  <c r="G90" i="2"/>
  <c r="F90" i="2" s="1"/>
  <c r="G100" i="2"/>
  <c r="F100" i="2" s="1"/>
  <c r="G110" i="2"/>
  <c r="F110" i="2" s="1"/>
  <c r="G130" i="2"/>
  <c r="F130" i="2" s="1"/>
  <c r="G150" i="2"/>
  <c r="F150" i="2" s="1"/>
  <c r="AB27" i="2"/>
  <c r="AB35" i="2"/>
  <c r="AB37" i="2"/>
  <c r="AB41" i="2"/>
  <c r="G39" i="2"/>
  <c r="F39" i="2" s="1"/>
  <c r="G120" i="2"/>
  <c r="F120" i="2" s="1"/>
  <c r="G140" i="2"/>
  <c r="F140" i="2" s="1"/>
  <c r="G160" i="2"/>
  <c r="F160" i="2" s="1"/>
  <c r="G170" i="2"/>
  <c r="F170" i="2" s="1"/>
  <c r="G180" i="2"/>
  <c r="F180" i="2" s="1"/>
  <c r="G190" i="2"/>
  <c r="F190" i="2" s="1"/>
  <c r="Z2" i="2"/>
  <c r="G201" i="2"/>
  <c r="F201" i="2" s="1"/>
  <c r="AB21" i="2"/>
  <c r="AB31" i="2"/>
  <c r="AB43" i="2"/>
  <c r="G16" i="2"/>
  <c r="F16" i="2" s="1"/>
  <c r="G18" i="2"/>
  <c r="F18" i="2" s="1"/>
  <c r="G22" i="2"/>
  <c r="F22" i="2" s="1"/>
  <c r="G24" i="2"/>
  <c r="F24" i="2" s="1"/>
  <c r="G26" i="2"/>
  <c r="F26" i="2" s="1"/>
  <c r="G28" i="2"/>
  <c r="F28" i="2" s="1"/>
  <c r="G30" i="2"/>
  <c r="F30" i="2" s="1"/>
  <c r="G32" i="2"/>
  <c r="F32" i="2" s="1"/>
  <c r="G34" i="2"/>
  <c r="F34" i="2" s="1"/>
  <c r="G45" i="2"/>
  <c r="F45" i="2" s="1"/>
  <c r="G42" i="2"/>
  <c r="F42" i="2" s="1"/>
  <c r="G47" i="2"/>
  <c r="G49" i="2"/>
  <c r="F49" i="2" s="1"/>
  <c r="G51" i="2"/>
  <c r="F51" i="2" s="1"/>
  <c r="G55" i="2"/>
  <c r="F55" i="2" s="1"/>
  <c r="G43" i="2"/>
  <c r="F43" i="2" s="1"/>
  <c r="G71" i="2"/>
  <c r="F71" i="2" s="1"/>
  <c r="G81" i="2"/>
  <c r="F81" i="2" s="1"/>
  <c r="G91" i="2"/>
  <c r="F91" i="2" s="1"/>
  <c r="G101" i="2"/>
  <c r="F101" i="2" s="1"/>
  <c r="G111" i="2"/>
  <c r="F111" i="2" s="1"/>
  <c r="G121" i="2"/>
  <c r="F121" i="2" s="1"/>
  <c r="G131" i="2"/>
  <c r="F131" i="2" s="1"/>
  <c r="G141" i="2"/>
  <c r="F141" i="2" s="1"/>
  <c r="G151" i="2"/>
  <c r="F151" i="2" s="1"/>
  <c r="G161" i="2"/>
  <c r="F161" i="2" s="1"/>
  <c r="G171" i="2"/>
  <c r="F171" i="2" s="1"/>
  <c r="G181" i="2"/>
  <c r="F181" i="2" s="1"/>
  <c r="G191" i="2"/>
  <c r="F191" i="2" s="1"/>
  <c r="G202" i="2"/>
  <c r="F202" i="2" s="1"/>
  <c r="AB23" i="2"/>
  <c r="AB39" i="2"/>
  <c r="AB14" i="2"/>
  <c r="AB16" i="2"/>
  <c r="AB18" i="2"/>
  <c r="AB20" i="2"/>
  <c r="AB22" i="2"/>
  <c r="AB24" i="2"/>
  <c r="AB26" i="2"/>
  <c r="AB28" i="2"/>
  <c r="AB30" i="2"/>
  <c r="AB32" i="2"/>
  <c r="AB34" i="2"/>
  <c r="AB36" i="2"/>
  <c r="AB38" i="2"/>
  <c r="AB40" i="2"/>
  <c r="AB42" i="2"/>
  <c r="AB44" i="2"/>
  <c r="G203" i="2"/>
  <c r="F203" i="2" s="1"/>
  <c r="G38" i="2"/>
  <c r="F38" i="2" s="1"/>
  <c r="G72" i="2"/>
  <c r="F72" i="2" s="1"/>
  <c r="G92" i="2"/>
  <c r="F92" i="2" s="1"/>
  <c r="G142" i="2"/>
  <c r="F142" i="2" s="1"/>
  <c r="G152" i="2"/>
  <c r="F152" i="2" s="1"/>
  <c r="G162" i="2"/>
  <c r="F162" i="2" s="1"/>
  <c r="G172" i="2"/>
  <c r="F172" i="2" s="1"/>
  <c r="G182" i="2"/>
  <c r="F182" i="2" s="1"/>
  <c r="AB13" i="2"/>
  <c r="G204" i="2"/>
  <c r="F204" i="2" s="1"/>
  <c r="W2" i="2" a="1"/>
  <c r="X10" i="2" s="1"/>
  <c r="G62" i="2"/>
  <c r="F62" i="2" s="1"/>
  <c r="G82" i="2"/>
  <c r="F82" i="2" s="1"/>
  <c r="G102" i="2"/>
  <c r="F102" i="2" s="1"/>
  <c r="G112" i="2"/>
  <c r="F112" i="2" s="1"/>
  <c r="G122" i="2"/>
  <c r="F122" i="2" s="1"/>
  <c r="G132" i="2"/>
  <c r="F132" i="2" s="1"/>
  <c r="G192" i="2"/>
  <c r="F192" i="2" s="1"/>
  <c r="AB3" i="2"/>
  <c r="AB4" i="2"/>
  <c r="AB5" i="2"/>
  <c r="AB6" i="2"/>
  <c r="AB7" i="2"/>
  <c r="AB8" i="2"/>
  <c r="AB9" i="2"/>
  <c r="AB10" i="2"/>
  <c r="AB11" i="2"/>
  <c r="AB12" i="2"/>
  <c r="G200" i="2"/>
  <c r="F200" i="2" s="1"/>
  <c r="C24" i="4"/>
  <c r="G48" i="4"/>
  <c r="S50" i="4"/>
  <c r="K68" i="4"/>
  <c r="K77" i="4"/>
  <c r="K84" i="4"/>
  <c r="K56" i="4"/>
  <c r="G26" i="4"/>
  <c r="G49" i="4"/>
  <c r="S51" i="4"/>
  <c r="S66" i="4"/>
  <c r="K78" i="4"/>
  <c r="K85" i="4"/>
  <c r="O56" i="4"/>
  <c r="K27" i="4"/>
  <c r="K42" i="4"/>
  <c r="W44" i="4"/>
  <c r="S67" i="4"/>
  <c r="S75" i="4"/>
  <c r="K86" i="4"/>
  <c r="S56" i="4"/>
  <c r="C66" i="4"/>
  <c r="G57" i="4"/>
  <c r="C67" i="4"/>
  <c r="C77" i="4"/>
  <c r="C84" i="4"/>
  <c r="S86" i="4"/>
  <c r="K57" i="4"/>
  <c r="O28" i="4"/>
  <c r="K43" i="4"/>
  <c r="W45" i="4"/>
  <c r="S68" i="4"/>
  <c r="S76" i="4"/>
  <c r="K87" i="4"/>
  <c r="W56" i="4"/>
  <c r="O36" i="4"/>
  <c r="S59" i="4"/>
  <c r="C75" i="4"/>
  <c r="S77" i="4"/>
  <c r="S84" i="4"/>
  <c r="C57" i="4"/>
  <c r="W30" i="4"/>
  <c r="S85" i="4"/>
  <c r="O46" i="4"/>
  <c r="C45" i="4"/>
  <c r="O47" i="4"/>
  <c r="C68" i="4"/>
  <c r="C78" i="4"/>
  <c r="C85" i="4"/>
  <c r="O57" i="4"/>
  <c r="S29" i="4"/>
  <c r="S78" i="4"/>
  <c r="C44" i="4"/>
  <c r="G38" i="4"/>
  <c r="S40" i="4"/>
  <c r="K66" i="4"/>
  <c r="K75" i="4"/>
  <c r="C86" i="4"/>
  <c r="C56" i="4"/>
  <c r="S57" i="4"/>
  <c r="O37" i="4"/>
  <c r="C76" i="4"/>
  <c r="G39" i="4"/>
  <c r="S41" i="4"/>
  <c r="K67" i="4"/>
  <c r="K76" i="4"/>
  <c r="C87" i="4"/>
  <c r="G56" i="4"/>
  <c r="W57" i="4"/>
  <c r="C23" i="4"/>
  <c r="G25" i="4"/>
  <c r="K26" i="4"/>
  <c r="O27" i="4"/>
  <c r="S28" i="4"/>
  <c r="W29" i="4"/>
  <c r="C43" i="4"/>
  <c r="G37" i="4"/>
  <c r="G47" i="4"/>
  <c r="K41" i="4"/>
  <c r="K51" i="4"/>
  <c r="O45" i="4"/>
  <c r="S39" i="4"/>
  <c r="S49" i="4"/>
  <c r="W43" i="4"/>
  <c r="C65" i="4"/>
  <c r="K65" i="4"/>
  <c r="S65" i="4"/>
  <c r="C74" i="4"/>
  <c r="K74" i="4"/>
  <c r="S74" i="4"/>
  <c r="C83" i="4"/>
  <c r="K83" i="4"/>
  <c r="S83" i="4"/>
  <c r="S58" i="4"/>
  <c r="G27" i="4"/>
  <c r="S87" i="4"/>
  <c r="C28" i="4"/>
  <c r="G30" i="4"/>
  <c r="K31" i="4"/>
  <c r="S23" i="4"/>
  <c r="W24" i="4"/>
  <c r="C38" i="4"/>
  <c r="C48" i="4"/>
  <c r="G42" i="4"/>
  <c r="K36" i="4"/>
  <c r="K46" i="4"/>
  <c r="O40" i="4"/>
  <c r="O50" i="4"/>
  <c r="S44" i="4"/>
  <c r="W38" i="4"/>
  <c r="W48" i="4"/>
  <c r="G65" i="4"/>
  <c r="O65" i="4"/>
  <c r="W65" i="4"/>
  <c r="G74" i="4"/>
  <c r="O74" i="4"/>
  <c r="W74" i="4"/>
  <c r="G83" i="4"/>
  <c r="O83" i="4"/>
  <c r="W83" i="4"/>
  <c r="W31" i="4"/>
  <c r="C29" i="4"/>
  <c r="G31" i="4"/>
  <c r="O23" i="4"/>
  <c r="S24" i="4"/>
  <c r="W25" i="4"/>
  <c r="C39" i="4"/>
  <c r="C49" i="4"/>
  <c r="G43" i="4"/>
  <c r="K37" i="4"/>
  <c r="K47" i="4"/>
  <c r="O41" i="4"/>
  <c r="O51" i="4"/>
  <c r="S45" i="4"/>
  <c r="W39" i="4"/>
  <c r="W49" i="4"/>
  <c r="G66" i="4"/>
  <c r="O66" i="4"/>
  <c r="W66" i="4"/>
  <c r="G75" i="4"/>
  <c r="O75" i="4"/>
  <c r="W75" i="4"/>
  <c r="G84" i="4"/>
  <c r="O84" i="4"/>
  <c r="W84" i="4"/>
  <c r="C30" i="4"/>
  <c r="K23" i="4"/>
  <c r="O24" i="4"/>
  <c r="S25" i="4"/>
  <c r="W26" i="4"/>
  <c r="C40" i="4"/>
  <c r="C50" i="4"/>
  <c r="G44" i="4"/>
  <c r="K38" i="4"/>
  <c r="K48" i="4"/>
  <c r="O42" i="4"/>
  <c r="S36" i="4"/>
  <c r="S46" i="4"/>
  <c r="W40" i="4"/>
  <c r="W50" i="4"/>
  <c r="G58" i="4"/>
  <c r="O58" i="4"/>
  <c r="W58" i="4"/>
  <c r="G67" i="4"/>
  <c r="O67" i="4"/>
  <c r="W67" i="4"/>
  <c r="G76" i="4"/>
  <c r="O76" i="4"/>
  <c r="W76" i="4"/>
  <c r="G85" i="4"/>
  <c r="O85" i="4"/>
  <c r="W85" i="4"/>
  <c r="C25" i="4"/>
  <c r="O29" i="4"/>
  <c r="S30" i="4"/>
  <c r="K58" i="4"/>
  <c r="C26" i="4"/>
  <c r="G28" i="4"/>
  <c r="K29" i="4"/>
  <c r="O30" i="4"/>
  <c r="S31" i="4"/>
  <c r="G23" i="4"/>
  <c r="C46" i="4"/>
  <c r="G40" i="4"/>
  <c r="G50" i="4"/>
  <c r="K44" i="4"/>
  <c r="O38" i="4"/>
  <c r="O48" i="4"/>
  <c r="S42" i="4"/>
  <c r="W36" i="4"/>
  <c r="W46" i="4"/>
  <c r="C59" i="4"/>
  <c r="K59" i="4"/>
  <c r="C27" i="4"/>
  <c r="G29" i="4"/>
  <c r="K30" i="4"/>
  <c r="O31" i="4"/>
  <c r="W23" i="4"/>
  <c r="C37" i="4"/>
  <c r="C47" i="4"/>
  <c r="G41" i="4"/>
  <c r="K45" i="4"/>
  <c r="O39" i="4"/>
  <c r="O49" i="4"/>
  <c r="S43" i="4"/>
  <c r="W37" i="4"/>
  <c r="W47" i="4"/>
  <c r="C60" i="4"/>
  <c r="S60" i="4"/>
  <c r="C69" i="4"/>
  <c r="K69" i="4"/>
  <c r="S69" i="4"/>
  <c r="C31" i="4"/>
  <c r="K24" i="4"/>
  <c r="O25" i="4"/>
  <c r="S26" i="4"/>
  <c r="W27" i="4"/>
  <c r="C41" i="4"/>
  <c r="C51" i="4"/>
  <c r="G45" i="4"/>
  <c r="K39" i="4"/>
  <c r="K49" i="4"/>
  <c r="O43" i="4"/>
  <c r="S37" i="4"/>
  <c r="S47" i="4"/>
  <c r="W41" i="4"/>
  <c r="W51" i="4"/>
  <c r="G59" i="4"/>
  <c r="O59" i="4"/>
  <c r="W59" i="4"/>
  <c r="G68" i="4"/>
  <c r="O68" i="4"/>
  <c r="W68" i="4"/>
  <c r="G77" i="4"/>
  <c r="O77" i="4"/>
  <c r="W77" i="4"/>
  <c r="G86" i="4"/>
  <c r="O86" i="4"/>
  <c r="W86" i="4"/>
  <c r="K28" i="4"/>
  <c r="C58" i="4"/>
  <c r="G51" i="4"/>
  <c r="K60" i="4"/>
  <c r="G24" i="4"/>
  <c r="K25" i="4"/>
  <c r="O26" i="4"/>
  <c r="S27" i="4"/>
  <c r="C42" i="4"/>
  <c r="G36" i="4"/>
  <c r="G46" i="4"/>
  <c r="K40" i="4"/>
  <c r="K50" i="4"/>
  <c r="O44" i="4"/>
  <c r="S38" i="4"/>
  <c r="S48" i="4"/>
  <c r="W42" i="4"/>
  <c r="G60" i="4"/>
  <c r="O60" i="4"/>
  <c r="G69" i="4"/>
  <c r="O69" i="4"/>
  <c r="G78" i="4"/>
  <c r="O78" i="4"/>
  <c r="G87" i="4"/>
  <c r="O87" i="4"/>
  <c r="AC43" i="10" l="1"/>
  <c r="AC38" i="10"/>
  <c r="R8" i="10"/>
  <c r="AC39" i="10"/>
  <c r="AC40" i="10"/>
  <c r="AC44" i="10"/>
  <c r="AC41" i="10"/>
  <c r="AC42" i="10"/>
  <c r="Z10" i="10"/>
  <c r="Z14" i="10"/>
  <c r="Z11" i="10"/>
  <c r="Z13" i="10"/>
  <c r="Z12" i="10"/>
  <c r="AC33" i="10"/>
  <c r="R28" i="10"/>
  <c r="AC3" i="10"/>
  <c r="R34" i="10"/>
  <c r="AC32" i="10"/>
  <c r="R13" i="10"/>
  <c r="AC10" i="10"/>
  <c r="R17" i="10"/>
  <c r="AC30" i="10"/>
  <c r="R30" i="10"/>
  <c r="R9" i="10"/>
  <c r="R33" i="10"/>
  <c r="R10" i="10"/>
  <c r="AC9" i="10"/>
  <c r="AC26" i="10"/>
  <c r="R35" i="10"/>
  <c r="AC8" i="10"/>
  <c r="AC20" i="10"/>
  <c r="R22" i="10"/>
  <c r="R5" i="10"/>
  <c r="R36" i="10"/>
  <c r="AC12" i="10"/>
  <c r="AC31" i="10"/>
  <c r="R25" i="10"/>
  <c r="AC24" i="10"/>
  <c r="R23" i="10"/>
  <c r="AC34" i="10"/>
  <c r="R24" i="10"/>
  <c r="AC18" i="10"/>
  <c r="AC21" i="10"/>
  <c r="R12" i="10"/>
  <c r="AC29" i="10"/>
  <c r="AC13" i="10"/>
  <c r="AC17" i="10"/>
  <c r="R27" i="10"/>
  <c r="R4" i="10"/>
  <c r="AC15" i="10"/>
  <c r="AC27" i="10"/>
  <c r="AC6" i="10"/>
  <c r="R18" i="10"/>
  <c r="AC23" i="10"/>
  <c r="R11" i="10"/>
  <c r="R21" i="10"/>
  <c r="AC16" i="10"/>
  <c r="R15" i="10"/>
  <c r="AC25" i="10"/>
  <c r="R20" i="10"/>
  <c r="AC7" i="10"/>
  <c r="R29" i="10"/>
  <c r="R6" i="10"/>
  <c r="AC19" i="10"/>
  <c r="AC28" i="10"/>
  <c r="AC4" i="10"/>
  <c r="AC14" i="10"/>
  <c r="AC22" i="10"/>
  <c r="AC11" i="10"/>
  <c r="R16" i="10"/>
  <c r="S28" i="10"/>
  <c r="S19" i="10"/>
  <c r="R37" i="10"/>
  <c r="AC37" i="10"/>
  <c r="S13" i="10"/>
  <c r="S38" i="10"/>
  <c r="AC5" i="10"/>
  <c r="Q29" i="10"/>
  <c r="N29" i="10" s="1"/>
  <c r="S27" i="10"/>
  <c r="Q28" i="10"/>
  <c r="N28" i="10" s="1"/>
  <c r="Q27" i="10"/>
  <c r="N27" i="10" s="1"/>
  <c r="Q32" i="10"/>
  <c r="N32" i="10" s="1"/>
  <c r="Q31" i="10"/>
  <c r="N31" i="10" s="1"/>
  <c r="Q30" i="10"/>
  <c r="N30" i="10" s="1"/>
  <c r="Q12" i="10"/>
  <c r="N12" i="10" s="1"/>
  <c r="S9" i="10"/>
  <c r="Q9" i="10"/>
  <c r="N9" i="10" s="1"/>
  <c r="Q11" i="10"/>
  <c r="N11" i="10" s="1"/>
  <c r="Q14" i="10"/>
  <c r="N14" i="10" s="1"/>
  <c r="Q13" i="10"/>
  <c r="N13" i="10" s="1"/>
  <c r="Q10" i="10"/>
  <c r="N10" i="10" s="1"/>
  <c r="S32" i="10"/>
  <c r="S7" i="10"/>
  <c r="S36" i="10"/>
  <c r="S16" i="10"/>
  <c r="S31" i="10"/>
  <c r="S18" i="10"/>
  <c r="S25" i="10"/>
  <c r="S11" i="10"/>
  <c r="S10" i="10"/>
  <c r="S29" i="10"/>
  <c r="S12" i="10"/>
  <c r="S23" i="10"/>
  <c r="S8" i="10"/>
  <c r="S30" i="10"/>
  <c r="S17" i="10"/>
  <c r="S4" i="10"/>
  <c r="Q4" i="10"/>
  <c r="N4" i="10" s="1"/>
  <c r="Q6" i="10"/>
  <c r="N6" i="10" s="1"/>
  <c r="S3" i="10"/>
  <c r="Q8" i="10"/>
  <c r="N8" i="10" s="1"/>
  <c r="Q3" i="10"/>
  <c r="N3" i="10" s="1"/>
  <c r="Q5" i="10"/>
  <c r="N5" i="10" s="1"/>
  <c r="Q7" i="10"/>
  <c r="N7" i="10" s="1"/>
  <c r="S22" i="10"/>
  <c r="S34" i="10"/>
  <c r="Q26" i="10"/>
  <c r="N26" i="10" s="1"/>
  <c r="S21" i="10"/>
  <c r="Q25" i="10"/>
  <c r="N25" i="10" s="1"/>
  <c r="Q24" i="10"/>
  <c r="N24" i="10" s="1"/>
  <c r="Q23" i="10"/>
  <c r="N23" i="10" s="1"/>
  <c r="Q22" i="10"/>
  <c r="N22" i="10" s="1"/>
  <c r="Q21" i="10"/>
  <c r="N21" i="10" s="1"/>
  <c r="S5" i="10"/>
  <c r="S37" i="10"/>
  <c r="S26" i="10"/>
  <c r="S35" i="10"/>
  <c r="S24" i="10"/>
  <c r="Q19" i="10"/>
  <c r="N19" i="10" s="1"/>
  <c r="Q18" i="10"/>
  <c r="N18" i="10" s="1"/>
  <c r="Q17" i="10"/>
  <c r="N17" i="10" s="1"/>
  <c r="S15" i="10"/>
  <c r="Q16" i="10"/>
  <c r="N16" i="10" s="1"/>
  <c r="Q15" i="10"/>
  <c r="N15" i="10" s="1"/>
  <c r="Q20" i="10"/>
  <c r="N20" i="10" s="1"/>
  <c r="S6" i="10"/>
  <c r="R3" i="10"/>
  <c r="Z6" i="10"/>
  <c r="Y2" i="10"/>
  <c r="Z8" i="10"/>
  <c r="Z3" i="10"/>
  <c r="Z5" i="10"/>
  <c r="Z7" i="10"/>
  <c r="Z9" i="10"/>
  <c r="Z4" i="10"/>
  <c r="S20" i="10"/>
  <c r="Q38" i="10"/>
  <c r="N38" i="10" s="1"/>
  <c r="Q37" i="10"/>
  <c r="N37" i="10" s="1"/>
  <c r="Q36" i="10"/>
  <c r="N36" i="10" s="1"/>
  <c r="Q33" i="10"/>
  <c r="N33" i="10" s="1"/>
  <c r="Q35" i="10"/>
  <c r="N35" i="10" s="1"/>
  <c r="S33" i="10"/>
  <c r="Q34" i="10"/>
  <c r="N34" i="10" s="1"/>
  <c r="S14" i="10"/>
  <c r="AC36" i="10"/>
  <c r="Q22" i="2"/>
  <c r="Q8" i="2"/>
  <c r="Q6" i="2"/>
  <c r="Q30" i="2"/>
  <c r="O3" i="2"/>
  <c r="L3" i="2" s="1"/>
  <c r="Q13" i="2"/>
  <c r="Q11" i="2"/>
  <c r="Q38" i="2"/>
  <c r="Q25" i="2"/>
  <c r="Q34" i="2"/>
  <c r="Q24" i="2"/>
  <c r="Q33" i="2"/>
  <c r="Q21" i="2"/>
  <c r="Q28" i="2"/>
  <c r="Q36" i="2"/>
  <c r="Q10" i="2"/>
  <c r="Q18" i="2"/>
  <c r="Q26" i="2"/>
  <c r="Q5" i="2"/>
  <c r="Q12" i="2"/>
  <c r="Q20" i="2"/>
  <c r="Q7" i="2"/>
  <c r="Q15" i="2"/>
  <c r="Q14" i="2"/>
  <c r="Q9" i="2"/>
  <c r="Q37" i="2"/>
  <c r="Q4" i="2"/>
  <c r="Q31" i="2"/>
  <c r="Q29" i="2"/>
  <c r="Q27" i="2"/>
  <c r="Q35" i="2"/>
  <c r="Q23" i="2"/>
  <c r="Q32" i="2"/>
  <c r="Q19" i="2"/>
  <c r="Q17" i="2"/>
  <c r="Q16" i="2"/>
  <c r="P6" i="2"/>
  <c r="F47" i="2"/>
  <c r="F8" i="2"/>
  <c r="P20" i="2" s="1"/>
  <c r="F79" i="2"/>
  <c r="P36" i="2" s="1"/>
  <c r="P18" i="2"/>
  <c r="P4" i="2"/>
  <c r="P38" i="2"/>
  <c r="N5" i="9"/>
  <c r="Y36" i="9"/>
  <c r="N12" i="9"/>
  <c r="F45" i="9"/>
  <c r="Y38" i="9" s="1"/>
  <c r="F17" i="9"/>
  <c r="Y17" i="9" s="1"/>
  <c r="F26" i="9"/>
  <c r="Y26" i="9" s="1"/>
  <c r="F9" i="9"/>
  <c r="F28" i="9"/>
  <c r="Y28" i="9" s="1"/>
  <c r="M30" i="9"/>
  <c r="M29" i="9"/>
  <c r="O27" i="9"/>
  <c r="M28" i="9"/>
  <c r="M27" i="9"/>
  <c r="M31" i="9"/>
  <c r="M32" i="9"/>
  <c r="F137" i="9"/>
  <c r="F73" i="9"/>
  <c r="Y44" i="9" s="1"/>
  <c r="F19" i="9"/>
  <c r="Y19" i="9" s="1"/>
  <c r="F79" i="9"/>
  <c r="F143" i="9"/>
  <c r="F66" i="9"/>
  <c r="F130" i="9"/>
  <c r="F109" i="9"/>
  <c r="F190" i="9"/>
  <c r="N22" i="9" s="1"/>
  <c r="F142" i="9"/>
  <c r="N30" i="9" s="1"/>
  <c r="F104" i="9"/>
  <c r="F147" i="9"/>
  <c r="N28" i="9" s="1"/>
  <c r="F24" i="9"/>
  <c r="F113" i="9"/>
  <c r="N9" i="9" s="1"/>
  <c r="F41" i="9"/>
  <c r="F81" i="9"/>
  <c r="N33" i="9" s="1"/>
  <c r="F5" i="9"/>
  <c r="F12" i="9"/>
  <c r="Y12" i="9" s="1"/>
  <c r="F87" i="9"/>
  <c r="N34" i="9" s="1"/>
  <c r="F74" i="9"/>
  <c r="F138" i="9"/>
  <c r="F38" i="9"/>
  <c r="F121" i="9"/>
  <c r="F57" i="9"/>
  <c r="Y42" i="9" s="1"/>
  <c r="F202" i="9"/>
  <c r="F199" i="9"/>
  <c r="N26" i="9" s="1"/>
  <c r="F31" i="9"/>
  <c r="F95" i="9"/>
  <c r="F82" i="9"/>
  <c r="N38" i="9" s="1"/>
  <c r="F51" i="9"/>
  <c r="Y40" i="9" s="1"/>
  <c r="F174" i="9"/>
  <c r="F136" i="9"/>
  <c r="F14" i="9"/>
  <c r="F181" i="9"/>
  <c r="F117" i="9"/>
  <c r="F53" i="9"/>
  <c r="Y41" i="9" s="1"/>
  <c r="O3" i="9"/>
  <c r="M7" i="9"/>
  <c r="M4" i="9"/>
  <c r="M3" i="9"/>
  <c r="M5" i="9"/>
  <c r="M8" i="9"/>
  <c r="M6" i="9"/>
  <c r="F90" i="9"/>
  <c r="N37" i="9" s="1"/>
  <c r="F78" i="9"/>
  <c r="N36" i="9" s="1"/>
  <c r="F116" i="9"/>
  <c r="F65" i="9"/>
  <c r="Y25" i="9" s="1"/>
  <c r="F18" i="9"/>
  <c r="Y18" i="9" s="1"/>
  <c r="F112" i="9"/>
  <c r="F11" i="9"/>
  <c r="Y11" i="9" s="1"/>
  <c r="F203" i="9"/>
  <c r="F103" i="9"/>
  <c r="Y29" i="9" s="1"/>
  <c r="F172" i="9"/>
  <c r="F27" i="9"/>
  <c r="Y27" i="9" s="1"/>
  <c r="U2" i="9"/>
  <c r="V9" i="9"/>
  <c r="F171" i="9"/>
  <c r="F107" i="9"/>
  <c r="F10" i="9"/>
  <c r="Y10" i="9" s="1"/>
  <c r="F43" i="9"/>
  <c r="F154" i="9"/>
  <c r="N31" i="9" s="1"/>
  <c r="F21" i="9"/>
  <c r="F105" i="9"/>
  <c r="F15" i="9"/>
  <c r="F52" i="9"/>
  <c r="F111" i="9"/>
  <c r="N11" i="9" s="1"/>
  <c r="F98" i="9"/>
  <c r="F200" i="9"/>
  <c r="F168" i="9"/>
  <c r="M22" i="9"/>
  <c r="M21" i="9"/>
  <c r="M25" i="9"/>
  <c r="M26" i="9"/>
  <c r="M23" i="9"/>
  <c r="O21" i="9"/>
  <c r="M24" i="9"/>
  <c r="N20" i="9"/>
  <c r="F119" i="9"/>
  <c r="F106" i="9"/>
  <c r="Y32" i="9" s="1"/>
  <c r="F204" i="9"/>
  <c r="F34" i="9"/>
  <c r="Y34" i="9" s="1"/>
  <c r="F158" i="9"/>
  <c r="F120" i="9"/>
  <c r="F72" i="9"/>
  <c r="M38" i="9"/>
  <c r="M37" i="9"/>
  <c r="M36" i="9"/>
  <c r="O33" i="9"/>
  <c r="M35" i="9"/>
  <c r="M34" i="9"/>
  <c r="M33" i="9"/>
  <c r="F33" i="9"/>
  <c r="F63" i="9"/>
  <c r="Y20" i="9" s="1"/>
  <c r="F127" i="9"/>
  <c r="F47" i="9"/>
  <c r="F114" i="9"/>
  <c r="N14" i="9" s="1"/>
  <c r="F184" i="9"/>
  <c r="N23" i="9" s="1"/>
  <c r="M14" i="9"/>
  <c r="M11" i="9"/>
  <c r="M9" i="9"/>
  <c r="M13" i="9"/>
  <c r="M12" i="9"/>
  <c r="M10" i="9"/>
  <c r="O9" i="9"/>
  <c r="F16" i="9"/>
  <c r="Y16" i="9" s="1"/>
  <c r="F30" i="9"/>
  <c r="Y30" i="9" s="1"/>
  <c r="F6" i="9"/>
  <c r="F185" i="9"/>
  <c r="F97" i="9"/>
  <c r="F192" i="9"/>
  <c r="N25" i="9" s="1"/>
  <c r="F128" i="9"/>
  <c r="F64" i="9"/>
  <c r="F61" i="9"/>
  <c r="Y3" i="9" s="1"/>
  <c r="F36" i="9"/>
  <c r="N4" i="9" s="1"/>
  <c r="F56" i="9"/>
  <c r="F13" i="9"/>
  <c r="V3" i="9" s="1"/>
  <c r="F23" i="9"/>
  <c r="F71" i="9"/>
  <c r="F135" i="9"/>
  <c r="M20" i="9"/>
  <c r="M19" i="9"/>
  <c r="M15" i="9"/>
  <c r="O15" i="9"/>
  <c r="M16" i="9"/>
  <c r="M18" i="9"/>
  <c r="M17" i="9"/>
  <c r="F58" i="9"/>
  <c r="Y22" i="9" s="1"/>
  <c r="F122" i="9"/>
  <c r="F152" i="9"/>
  <c r="V13" i="5"/>
  <c r="V6" i="5"/>
  <c r="V16" i="5"/>
  <c r="V44" i="5"/>
  <c r="V25" i="5"/>
  <c r="V15" i="5"/>
  <c r="V31" i="5"/>
  <c r="V24" i="5"/>
  <c r="V26" i="5"/>
  <c r="V22" i="5"/>
  <c r="V19" i="5"/>
  <c r="V33" i="5"/>
  <c r="V12" i="5"/>
  <c r="V9" i="5"/>
  <c r="V4" i="5"/>
  <c r="V10" i="5"/>
  <c r="V8" i="5"/>
  <c r="V3" i="5"/>
  <c r="V21" i="5"/>
  <c r="V32" i="5"/>
  <c r="V30" i="5"/>
  <c r="V20" i="5"/>
  <c r="V11" i="5"/>
  <c r="V7" i="5"/>
  <c r="V23" i="5"/>
  <c r="O5" i="2"/>
  <c r="L5" i="2" s="1"/>
  <c r="Q3" i="2"/>
  <c r="AA43" i="2"/>
  <c r="AA42" i="2"/>
  <c r="P33" i="2"/>
  <c r="AA39" i="2"/>
  <c r="P37" i="2"/>
  <c r="AA38" i="2"/>
  <c r="AA41" i="2"/>
  <c r="AA40" i="2"/>
  <c r="AA36" i="2"/>
  <c r="AA35" i="2"/>
  <c r="O4" i="2"/>
  <c r="L4" i="2" s="1"/>
  <c r="P32" i="2"/>
  <c r="P27" i="2"/>
  <c r="P14" i="2"/>
  <c r="P9" i="2"/>
  <c r="X9" i="2"/>
  <c r="P21" i="2"/>
  <c r="O9" i="2"/>
  <c r="L9" i="2" s="1"/>
  <c r="O17" i="2"/>
  <c r="L17" i="2" s="1"/>
  <c r="O6" i="2"/>
  <c r="L6" i="2" s="1"/>
  <c r="P5" i="2"/>
  <c r="O7" i="2"/>
  <c r="L7" i="2" s="1"/>
  <c r="O10" i="2"/>
  <c r="L10" i="2" s="1"/>
  <c r="O15" i="2"/>
  <c r="L15" i="2" s="1"/>
  <c r="O11" i="2"/>
  <c r="L11" i="2" s="1"/>
  <c r="O16" i="2"/>
  <c r="L16" i="2" s="1"/>
  <c r="O13" i="2"/>
  <c r="L13" i="2" s="1"/>
  <c r="O8" i="2"/>
  <c r="L8" i="2" s="1"/>
  <c r="O14" i="2"/>
  <c r="L14" i="2" s="1"/>
  <c r="O18" i="2"/>
  <c r="L18" i="2" s="1"/>
  <c r="O12" i="2"/>
  <c r="L12" i="2" s="1"/>
  <c r="O20" i="2"/>
  <c r="L20" i="2" s="1"/>
  <c r="O24" i="2"/>
  <c r="L24" i="2" s="1"/>
  <c r="O23" i="2"/>
  <c r="L23" i="2" s="1"/>
  <c r="O22" i="2"/>
  <c r="L22" i="2" s="1"/>
  <c r="O21" i="2"/>
  <c r="L21" i="2" s="1"/>
  <c r="O25" i="2"/>
  <c r="L25" i="2" s="1"/>
  <c r="O26" i="2"/>
  <c r="L26" i="2" s="1"/>
  <c r="O19" i="2"/>
  <c r="L19" i="2" s="1"/>
  <c r="O35" i="2"/>
  <c r="L35" i="2" s="1"/>
  <c r="O34" i="2"/>
  <c r="L34" i="2" s="1"/>
  <c r="O33" i="2"/>
  <c r="L33" i="2" s="1"/>
  <c r="O38" i="2"/>
  <c r="L38" i="2" s="1"/>
  <c r="O36" i="2"/>
  <c r="L36" i="2" s="1"/>
  <c r="O37" i="2"/>
  <c r="L37" i="2" s="1"/>
  <c r="O32" i="2"/>
  <c r="L32" i="2" s="1"/>
  <c r="O31" i="2"/>
  <c r="L31" i="2" s="1"/>
  <c r="O30" i="2"/>
  <c r="L30" i="2" s="1"/>
  <c r="O29" i="2"/>
  <c r="L29" i="2" s="1"/>
  <c r="O28" i="2"/>
  <c r="L28" i="2" s="1"/>
  <c r="O27" i="2"/>
  <c r="L27" i="2" s="1"/>
  <c r="V17" i="5"/>
  <c r="V28" i="5"/>
  <c r="V29" i="5"/>
  <c r="V27" i="5"/>
  <c r="V18" i="5"/>
  <c r="V5" i="5"/>
  <c r="V14" i="5"/>
  <c r="S8" i="5"/>
  <c r="S4" i="5"/>
  <c r="S9" i="5"/>
  <c r="R2" i="5"/>
  <c r="S3" i="5"/>
  <c r="S5" i="5"/>
  <c r="S6" i="5"/>
  <c r="S7" i="5"/>
  <c r="W2" i="2"/>
  <c r="O21" i="10" l="1"/>
  <c r="O26" i="10"/>
  <c r="O25" i="10"/>
  <c r="O24" i="10"/>
  <c r="O23" i="10"/>
  <c r="O22" i="10"/>
  <c r="O31" i="10"/>
  <c r="O30" i="10"/>
  <c r="O29" i="10"/>
  <c r="O28" i="10"/>
  <c r="O27" i="10"/>
  <c r="O32" i="10"/>
  <c r="O20" i="10"/>
  <c r="O19" i="10"/>
  <c r="O18" i="10"/>
  <c r="O15" i="10"/>
  <c r="O17" i="10"/>
  <c r="O16" i="10"/>
  <c r="O38" i="10"/>
  <c r="O37" i="10"/>
  <c r="O36" i="10"/>
  <c r="O35" i="10"/>
  <c r="O34" i="10"/>
  <c r="O33" i="10"/>
  <c r="O6" i="10"/>
  <c r="O7" i="10"/>
  <c r="O4" i="10"/>
  <c r="O8" i="10"/>
  <c r="O3" i="10"/>
  <c r="O5" i="10"/>
  <c r="O13" i="10"/>
  <c r="O10" i="10"/>
  <c r="O12" i="10"/>
  <c r="O11" i="10"/>
  <c r="O9" i="10"/>
  <c r="O14" i="10"/>
  <c r="P34" i="2"/>
  <c r="M32" i="2"/>
  <c r="M14" i="2"/>
  <c r="M13" i="2"/>
  <c r="M12" i="2"/>
  <c r="M11" i="2"/>
  <c r="M10" i="2"/>
  <c r="M9" i="2"/>
  <c r="M30" i="2"/>
  <c r="M29" i="2"/>
  <c r="M28" i="2"/>
  <c r="M27" i="2"/>
  <c r="M31" i="2"/>
  <c r="M16" i="2"/>
  <c r="M20" i="2"/>
  <c r="M19" i="2"/>
  <c r="M18" i="2"/>
  <c r="M17" i="2"/>
  <c r="M15" i="2"/>
  <c r="M23" i="2"/>
  <c r="M22" i="2"/>
  <c r="M21" i="2"/>
  <c r="M26" i="2"/>
  <c r="M25" i="2"/>
  <c r="M24" i="2"/>
  <c r="M34" i="2"/>
  <c r="M33" i="2"/>
  <c r="M38" i="2"/>
  <c r="M37" i="2"/>
  <c r="M36" i="2"/>
  <c r="M35" i="2"/>
  <c r="M7" i="2"/>
  <c r="M6" i="2"/>
  <c r="M5" i="2"/>
  <c r="M8" i="2"/>
  <c r="M4" i="2"/>
  <c r="M3" i="2"/>
  <c r="P35" i="2"/>
  <c r="P28" i="2"/>
  <c r="P11" i="2"/>
  <c r="P17" i="2"/>
  <c r="P30" i="2"/>
  <c r="P25" i="2"/>
  <c r="P29" i="2"/>
  <c r="P10" i="2"/>
  <c r="P24" i="2"/>
  <c r="P26" i="2"/>
  <c r="P23" i="2"/>
  <c r="P12" i="2"/>
  <c r="AA37" i="2"/>
  <c r="P7" i="2"/>
  <c r="P19" i="2"/>
  <c r="P22" i="2"/>
  <c r="P31" i="2"/>
  <c r="N19" i="9"/>
  <c r="Y6" i="9"/>
  <c r="V8" i="9"/>
  <c r="N13" i="9"/>
  <c r="Y14" i="9"/>
  <c r="Y5" i="9"/>
  <c r="N17" i="9"/>
  <c r="N24" i="9"/>
  <c r="N10" i="9"/>
  <c r="Y9" i="9"/>
  <c r="Y8" i="9"/>
  <c r="Y15" i="9"/>
  <c r="V5" i="9"/>
  <c r="Y37" i="9"/>
  <c r="N7" i="9"/>
  <c r="Y7" i="9"/>
  <c r="N16" i="9"/>
  <c r="N18" i="9"/>
  <c r="V7" i="9"/>
  <c r="Y4" i="9"/>
  <c r="Y21" i="9"/>
  <c r="V6" i="9"/>
  <c r="Y24" i="9"/>
  <c r="N29" i="9"/>
  <c r="Y31" i="9"/>
  <c r="N35" i="9"/>
  <c r="Y23" i="9"/>
  <c r="Y13" i="9"/>
  <c r="Y33" i="9"/>
  <c r="V4" i="9"/>
  <c r="AA34" i="2"/>
  <c r="X8" i="2"/>
  <c r="AA32" i="2"/>
  <c r="AA8" i="2"/>
  <c r="AA6" i="2"/>
  <c r="AA12" i="2"/>
  <c r="AA5" i="2"/>
  <c r="AA4" i="2"/>
  <c r="AA16" i="2"/>
  <c r="AA30" i="2"/>
  <c r="AA11" i="2"/>
  <c r="AA18" i="2"/>
  <c r="AA21" i="2"/>
  <c r="AA10" i="2"/>
  <c r="AA28" i="2"/>
  <c r="AA22" i="2"/>
  <c r="AA26" i="2"/>
  <c r="AA44" i="2"/>
  <c r="AA15" i="2"/>
  <c r="AA24" i="2"/>
  <c r="AA33" i="2"/>
  <c r="AA19" i="2"/>
  <c r="AA31" i="2"/>
  <c r="X6" i="2"/>
  <c r="AA14" i="2"/>
  <c r="X5" i="2"/>
  <c r="X4" i="2"/>
  <c r="G27" i="2"/>
  <c r="F27" i="2" s="1"/>
  <c r="AA27" i="2" s="1"/>
  <c r="G29" i="2"/>
  <c r="F29" i="2" s="1"/>
  <c r="AA29" i="2" s="1"/>
  <c r="G20" i="2"/>
  <c r="F20" i="2" s="1"/>
  <c r="AA20" i="2" s="1"/>
  <c r="G25" i="2"/>
  <c r="F25" i="2" s="1"/>
  <c r="AA25" i="2" s="1"/>
  <c r="G13" i="2"/>
  <c r="F13" i="2" s="1"/>
  <c r="AA13" i="2" s="1"/>
  <c r="G23" i="2"/>
  <c r="F23" i="2" s="1"/>
  <c r="AA23" i="2" s="1"/>
  <c r="G17" i="2"/>
  <c r="F17" i="2" s="1"/>
  <c r="AA17" i="2" s="1"/>
  <c r="G9" i="2"/>
  <c r="F9" i="2" s="1"/>
  <c r="AA9" i="2" s="1"/>
  <c r="G3" i="2"/>
  <c r="F3" i="2" s="1"/>
  <c r="F46" i="2"/>
  <c r="X7" i="2" s="1"/>
  <c r="P15" i="2" l="1"/>
  <c r="P13" i="2"/>
  <c r="P8" i="2"/>
  <c r="P3" i="2"/>
  <c r="AA7" i="2"/>
  <c r="X3" i="2"/>
  <c r="AA3" i="2"/>
  <c r="P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<sst xmlns="http://schemas.openxmlformats.org/spreadsheetml/2006/main" count="9829" uniqueCount="1142">
  <si>
    <t>RevenueStream</t>
  </si>
  <si>
    <t>BudgetGroup</t>
  </si>
  <si>
    <t>RequestingArea</t>
  </si>
  <si>
    <t>Weight</t>
  </si>
  <si>
    <t>Business Solutions</t>
  </si>
  <si>
    <t>Commercial</t>
  </si>
  <si>
    <t>Operations</t>
  </si>
  <si>
    <t>EDO</t>
  </si>
  <si>
    <t>Technology</t>
  </si>
  <si>
    <t>SI</t>
  </si>
  <si>
    <t>eCommerce</t>
  </si>
  <si>
    <t>CISO</t>
  </si>
  <si>
    <t>Corporate</t>
  </si>
  <si>
    <t>DAI</t>
  </si>
  <si>
    <t>Fulfilment</t>
  </si>
  <si>
    <t>Mail</t>
  </si>
  <si>
    <t>Payments</t>
  </si>
  <si>
    <t>Retail &amp; Financial Services</t>
  </si>
  <si>
    <t>Banco CTT</t>
  </si>
  <si>
    <t>check</t>
  </si>
  <si>
    <t>Check</t>
  </si>
  <si>
    <t>GP B2B</t>
  </si>
  <si>
    <t>CF</t>
  </si>
  <si>
    <t>GP ECL</t>
  </si>
  <si>
    <t>GPG</t>
  </si>
  <si>
    <t>GP B2C</t>
  </si>
  <si>
    <t>SEO</t>
  </si>
  <si>
    <t>ID</t>
  </si>
  <si>
    <t>Name</t>
  </si>
  <si>
    <t>PriorityRA</t>
  </si>
  <si>
    <t>Value</t>
  </si>
  <si>
    <t>Urgency</t>
  </si>
  <si>
    <t>Risk</t>
  </si>
  <si>
    <t>Size</t>
  </si>
  <si>
    <t>BCTT</t>
  </si>
  <si>
    <t>GRH</t>
  </si>
  <si>
    <t>DNI</t>
  </si>
  <si>
    <t>GS</t>
  </si>
  <si>
    <t>CSI</t>
  </si>
  <si>
    <t>CTTE</t>
  </si>
  <si>
    <t>ECM</t>
  </si>
  <si>
    <t>PRODUCTS</t>
  </si>
  <si>
    <t>EM</t>
  </si>
  <si>
    <t>OPERATIONS</t>
  </si>
  <si>
    <t>ACR</t>
  </si>
  <si>
    <t>RS</t>
  </si>
  <si>
    <t>AVC</t>
  </si>
  <si>
    <t>GT</t>
  </si>
  <si>
    <t>CL</t>
  </si>
  <si>
    <t>ED</t>
  </si>
  <si>
    <t>CMP</t>
  </si>
  <si>
    <t>ST</t>
  </si>
  <si>
    <t>GFC</t>
  </si>
  <si>
    <t>TF</t>
  </si>
  <si>
    <t>DPO</t>
  </si>
  <si>
    <t>SSJ</t>
  </si>
  <si>
    <t>FL</t>
  </si>
  <si>
    <t>CORPORATE</t>
  </si>
  <si>
    <t>SI-PRD</t>
  </si>
  <si>
    <t>SI-OPS</t>
  </si>
  <si>
    <t>SI-CRP</t>
  </si>
  <si>
    <t>TECHNOLOGY</t>
  </si>
  <si>
    <t>DAT</t>
  </si>
  <si>
    <t>eCOMMERCE</t>
  </si>
  <si>
    <t>COO</t>
  </si>
  <si>
    <t>CMO</t>
  </si>
  <si>
    <t>CCO</t>
  </si>
  <si>
    <t>ATC</t>
  </si>
  <si>
    <t>IDC</t>
  </si>
  <si>
    <t>CFO</t>
  </si>
  <si>
    <t>CIO</t>
  </si>
  <si>
    <t>PRO</t>
  </si>
  <si>
    <t>CHR</t>
  </si>
  <si>
    <t>COM</t>
  </si>
  <si>
    <t>Data &amp; AI</t>
  </si>
  <si>
    <t>commercial</t>
  </si>
  <si>
    <t>operations</t>
  </si>
  <si>
    <t>corporate</t>
  </si>
  <si>
    <t>technology</t>
  </si>
  <si>
    <t>PORTUGAL</t>
  </si>
  <si>
    <t>ESPAÑA</t>
  </si>
  <si>
    <t>DEMAND 2025</t>
  </si>
  <si>
    <t>DEMAND 2026</t>
  </si>
  <si>
    <t>MAIL</t>
  </si>
  <si>
    <t>FULFILMENT</t>
  </si>
  <si>
    <t>PAYMENTS</t>
  </si>
  <si>
    <t>RETAIL &amp; FINANCIAL SERVICES</t>
  </si>
  <si>
    <t>BUSINESS SOLUTIONS</t>
  </si>
  <si>
    <t>MicroPhase</t>
  </si>
  <si>
    <t>In Development</t>
  </si>
  <si>
    <t>In Acceptance</t>
  </si>
  <si>
    <t>Backlog</t>
  </si>
  <si>
    <t>Ready for Acceptance</t>
  </si>
  <si>
    <t>Pitch</t>
  </si>
  <si>
    <t>In Approval</t>
  </si>
  <si>
    <t>In Definition</t>
  </si>
  <si>
    <t>Ready for Approval</t>
  </si>
  <si>
    <t>Ready for Solution</t>
  </si>
  <si>
    <t>PC</t>
  </si>
  <si>
    <t>EXPORT CSV</t>
  </si>
  <si>
    <t>Weight-Base</t>
  </si>
  <si>
    <t>Weight-RS+BG</t>
  </si>
  <si>
    <t>REF DATA</t>
  </si>
  <si>
    <t>hasBG?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</si>
  <si>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</si>
  <si>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</si>
  <si>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</si>
  <si>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</si>
  <si>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</si>
  <si>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</si>
  <si>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</si>
  <si>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</si>
  <si>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</si>
  <si>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</si>
  <si>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</si>
  <si>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</si>
  <si>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IAD</t>
  </si>
  <si>
    <t>Peso BG por RS</t>
  </si>
  <si>
    <t>WEIGHTS_RA</t>
  </si>
  <si>
    <t>WEIGHTS_RS</t>
  </si>
  <si>
    <t>#</t>
  </si>
  <si>
    <t>backup</t>
  </si>
  <si>
    <t>order</t>
  </si>
  <si>
    <t>Queue</t>
  </si>
  <si>
    <t>Method</t>
  </si>
  <si>
    <t>GlobalRank</t>
  </si>
  <si>
    <t>WSJF_Score</t>
  </si>
  <si>
    <t>LATER</t>
  </si>
  <si>
    <t>SainteLague</t>
  </si>
  <si>
    <t>Nexus - Piloto Operacional Fase 2</t>
  </si>
  <si>
    <t>Base Dados Modelo de Incentivos CTT Expresso</t>
  </si>
  <si>
    <t>High Level Design</t>
  </si>
  <si>
    <t>Cliente EDP - WS P&amp;F- Novo Campo Data</t>
  </si>
  <si>
    <t>GENAI- Rossum</t>
  </si>
  <si>
    <t>Modelo de Dados de apoio aos indicadores de Logistica</t>
  </si>
  <si>
    <t>Migrar os documentos do viactt para Filenet</t>
  </si>
  <si>
    <t>Entrega em pontos para a cainiao</t>
  </si>
  <si>
    <t>CCP | OTP | Rebuild application in the current tech stack</t>
  </si>
  <si>
    <t>In Solution</t>
  </si>
  <si>
    <t>[Salesforce Sales] - Multi oportunidad en Cuentas</t>
  </si>
  <si>
    <t>Correio Inteligente - FTP para P&amp;F</t>
  </si>
  <si>
    <t>Nexus | We Care | Customer Support</t>
  </si>
  <si>
    <t>Nexus | Digital Channels | CLIENT PORTAL | "SUPER PORTAL" (extra MVP)</t>
  </si>
  <si>
    <t>Trazabilidad</t>
  </si>
  <si>
    <t>GCA - Aforro upgrade Oracle</t>
  </si>
  <si>
    <t>Nexus | Data | Group Data</t>
  </si>
  <si>
    <t>SAPSF - GoFluent</t>
  </si>
  <si>
    <t>Migrate Azure Devops to Github Repos and Github Actions - Data repos</t>
  </si>
  <si>
    <t>[Nuevo Producto]-[Minerva]-Producto 48h a Islas Canarias</t>
  </si>
  <si>
    <t>Auditoria SI - Wave 3 - Canais Digitais</t>
  </si>
  <si>
    <t>Nexus | We Care | SalesForce Parameterization | Pilot</t>
  </si>
  <si>
    <t>ESG - Incremento 1</t>
  </si>
  <si>
    <t>Nexus | Data | Nexus Data</t>
  </si>
  <si>
    <t>Acciones para evitar la duplicidad de recogidas de clientes v2</t>
  </si>
  <si>
    <t>B2C - FIL-Alargamento dos meios de pagamento aceites</t>
  </si>
  <si>
    <t>POP - Melhorias a OnBoarding de clientes</t>
  </si>
  <si>
    <t>Tratamento de rejeitados no SD - Tipificar, isolar e informar (BG1): Incremento</t>
  </si>
  <si>
    <t>Controlo de correio JPP</t>
  </si>
  <si>
    <t>[SAP] - Vincular Docuware a SAP</t>
  </si>
  <si>
    <t>GENAI-NBanks</t>
  </si>
  <si>
    <t>[PUDOS] - Herramienta para orden de recogidas en PUDOS</t>
  </si>
  <si>
    <t>Downgrade 1.200 / 4.186 Microsoft O365 E5 licences (local) to O365 F3 (web) [1/2 year]</t>
  </si>
  <si>
    <t>DLP (Data Loss Prevention) - Wave 1</t>
  </si>
  <si>
    <t>Nexus | We Care | Adaptation of Service Infrastructures | Pilot</t>
  </si>
  <si>
    <t>GPECL/INT - Interconnect | Disponibilizar Easy Return Solution Premium (ERS) - Authorising Party</t>
  </si>
  <si>
    <t>Crear entornos no productivos</t>
  </si>
  <si>
    <t>Novas funcionalidades no PA- AVC</t>
  </si>
  <si>
    <t>Nexus | We Sell | Customer Onboarding</t>
  </si>
  <si>
    <t>PAY - Instrumento Cheques - Incremento I</t>
  </si>
  <si>
    <t>GT - Portal AON MVP (com SSO)</t>
  </si>
  <si>
    <t>Nexus | We Care | SalesForce Parametrization | Post MVP</t>
  </si>
  <si>
    <t>revamp.EPM - Framework CPM 360 Full Scope (Non Core)</t>
  </si>
  <si>
    <t>ECCS por peso Informado</t>
  </si>
  <si>
    <t>API Clientes - Authorization</t>
  </si>
  <si>
    <t>Auditoria SI - Wave 3 - Business Solutions</t>
  </si>
  <si>
    <t>DHL Parcel - Webhook- Evento Recogida de Caducado en Pudo y Falso Entregado</t>
  </si>
  <si>
    <t>Nexus | We Care | Adaptation of Service Infrastructures | MVP</t>
  </si>
  <si>
    <t>GENAI-TOF</t>
  </si>
  <si>
    <t>ODIN | Iberian Observability Stack</t>
  </si>
  <si>
    <t>IQL | Incremento 1 | IQL com loja dummy e data IQL</t>
  </si>
  <si>
    <t>Analytics - Analise de custo parceiros</t>
  </si>
  <si>
    <t>SouCTT - Salary on Demand (Subsidio de Natal) | Paynest</t>
  </si>
  <si>
    <t>Pesquisa de Pontos Collect | Melhorias</t>
  </si>
  <si>
    <t>Relatorio SAP Hana - Clientes com Fatura Eletronica</t>
  </si>
  <si>
    <t>[Mejora Calidad Servicio] - PDA - Envios Multibulto (aplicar logica de causa propia - ajena) (TO)</t>
  </si>
  <si>
    <t>[Mulesoft] - [Api Integrations Clientes] : Disponer de los client_id que invocan a los endpoint de integraciones</t>
  </si>
  <si>
    <t>[Nexus] - We Sell (Lead to Contract) 2.0</t>
  </si>
  <si>
    <t>Mapper - uso de codigos de cliente y credenciales Cloud</t>
  </si>
  <si>
    <t>Lojas MEO - Recolhas Contextualizadas</t>
  </si>
  <si>
    <t>[Salesforce Service] - Incidencias C. Propia/Automatizar incidencias en SF (marcar prioridad en SENDA desde IVR y Web)</t>
  </si>
  <si>
    <t>Control de envios duplicados: validacion SINONIMO BULTO / REFERENCIA CLIENTE</t>
  </si>
  <si>
    <t>SouCTT - Salary on Demand (adiantamento % vencimento) | Paynest</t>
  </si>
  <si>
    <t>[Nexus] [Producto] - Pack Express</t>
  </si>
  <si>
    <t>[Salesforce - Minerva] Datos de la oferta Minerva en objeto Oferta</t>
  </si>
  <si>
    <t>SELO DIGITAL</t>
  </si>
  <si>
    <t>[Nexus] [Producto] - Entregas Comerciales (Red Shopping)</t>
  </si>
  <si>
    <t>[Portal del Proveedor] Nuevas funcionalidades - Bloqueo Repartidor Seguridad</t>
  </si>
  <si>
    <t>cambios masivos de estados</t>
  </si>
  <si>
    <t>Github Migration - ParcelInfo</t>
  </si>
  <si>
    <t>[Evolutivos SGC Finanzas] Asignar de manera masiva el cliente master al campo grupo de procesamiento en Modulo de facturacion</t>
  </si>
  <si>
    <t>Cyber attack simulation Table-top</t>
  </si>
  <si>
    <t>POD - API feasibility for Cainiao</t>
  </si>
  <si>
    <t>CCT 3.0 - powered by AI</t>
  </si>
  <si>
    <t>Produto Internacional Expresso | Permitir envio de bens para os EUA segmento ocasional</t>
  </si>
  <si>
    <t>[Nexus] [Producto] - OTP entrega segura</t>
  </si>
  <si>
    <t>Integracion Clientes Salesforce - Generacion automatica de claves de cognito para integracion Mapper</t>
  </si>
  <si>
    <t>Desenvolvimentos Regulamentares (Congresso UPU Dubai + Incremental Riade)</t>
  </si>
  <si>
    <t>[WebHook] - Cacesa</t>
  </si>
  <si>
    <t>Portal de Proveedores - Poder ordenar Control Horario por cualquier columna</t>
  </si>
  <si>
    <t>[35908] - Jornada NBO: MOBI</t>
  </si>
  <si>
    <t>[Evolutivos SGC Finanzas] Evolutivos SGC Finanzas - Adeudos ECCS a SGC+ automatizados y diarios</t>
  </si>
  <si>
    <t>[Minerva] - Permitir a ciertos perfiles Comerciales descargar los contratos en Word</t>
  </si>
  <si>
    <t>[Qlik Sense] Mapa de Red</t>
  </si>
  <si>
    <t>Fichero interfase IGIC SGC-SAP</t>
  </si>
  <si>
    <t>Data Cost Allocation Model by Business Area</t>
  </si>
  <si>
    <t>Qlik - Estado de Venta</t>
  </si>
  <si>
    <t>Ficheros DataTrans sin CP origen</t>
  </si>
  <si>
    <t>Interconnect Common Return Platform | Upgrade p/ V2 (CRP2)</t>
  </si>
  <si>
    <t>[Evolutivos SGC Finanzas] Generacion de documentos por master + grupo procesamiento (filtro)</t>
  </si>
  <si>
    <t>INT | IBM Sterling File Gateway - implementar balanceamento</t>
  </si>
  <si>
    <t>[Minerva]- Modelo Tarifario Densidades Zoning Actual</t>
  </si>
  <si>
    <t>[Salesforce Maps] - Nuevas funcionalidades (Fase 3)</t>
  </si>
  <si>
    <t>Analytics | Tags Google Analytics G3/4 - Measurement Protocol</t>
  </si>
  <si>
    <t>[Nexus] [Notificaciones] - Notificaciones ibericas</t>
  </si>
  <si>
    <t>Experiencia e Jornada do colaborador</t>
  </si>
  <si>
    <t>[ESTADOS] - Mostrar a clientes el mismo evento/estado sucesivo ocurrido en dias distintos</t>
  </si>
  <si>
    <t>Despesa Frota e Edificios - Evolutivo</t>
  </si>
  <si>
    <t>GPECL/DIS - Pack Expresso | Incremento ao Produto</t>
  </si>
  <si>
    <t>Campanha para envios internacionais_PCR_4T2025</t>
  </si>
  <si>
    <t>[Evolutivos Minerva] Zonificacion PT detallada (combinaciones PTC-PTI/PTI-PTI) (Valorar por MKT)</t>
  </si>
  <si>
    <t>Faturas PDF | SAP - Incremento 2</t>
  </si>
  <si>
    <t>[Producto] - Modelo Tarifario/Operativa Broker + TOF (Minerva C)</t>
  </si>
  <si>
    <t>[Salesforce Sales - SGC ] - Evitar actualizaciones en SGC en los registros de franquicias</t>
  </si>
  <si>
    <t>Migracion Metodo WS GetServiceEvents de SGC a Cloud (Dupla)</t>
  </si>
  <si>
    <t>BITS eshops</t>
  </si>
  <si>
    <t>[Evolutivos Minerva] Tarifas unicas por grupos de varios clientes (multicuentas asociadas incluso en diferentes CO's) (Validar por Herramientas Comerciales)</t>
  </si>
  <si>
    <t>Migracion Hosting aplicacion Shopify a servidores CTT</t>
  </si>
  <si>
    <t>Incremento ao processo de pagamento de faturas a fornecedores</t>
  </si>
  <si>
    <t>[Qlik] - Nprinting - Informe efectividad de red</t>
  </si>
  <si>
    <t>DLP (Data Loss Prevention) - Wave 2</t>
  </si>
  <si>
    <t>[ERROR 500 MS Manifest] YDH - TIK TOK</t>
  </si>
  <si>
    <t>Galaxy | Avisados em Mobi - Indicadores de Loja (Modelo 415)</t>
  </si>
  <si>
    <t>Simulador para agrupagem</t>
  </si>
  <si>
    <t>[PUDOs] - [QLIK] Nueva App Pudo Sales</t>
  </si>
  <si>
    <t>BANCO CTT | Novo design site banco</t>
  </si>
  <si>
    <t>Descontinuar Grafana Dados</t>
  </si>
  <si>
    <t>[WebHook] - Factor Libre 4096600005 solo entorno de test</t>
  </si>
  <si>
    <t>Correio Registado Self-Service| Envios a partir do SuperPortal</t>
  </si>
  <si>
    <t>Evolutivas SAP FI Q1 2026</t>
  </si>
  <si>
    <t>Galaxy | Avisados em Mobi - POD - Aumentar o campo assinatura</t>
  </si>
  <si>
    <t>Simulador de tabelas</t>
  </si>
  <si>
    <t>[Containerization] FASE2: Producir en package_event</t>
  </si>
  <si>
    <t>[Minerva] - Campos requeridos en contrato con firma digital por Signaturit</t>
  </si>
  <si>
    <t>Cierre diario de recogidas</t>
  </si>
  <si>
    <t>[ESTADOS VISIBLES] Endpoint Client Experience API REST GET TRACKING - TIK TOK - estados no devueltos - Copy</t>
  </si>
  <si>
    <t>GPECL/DIS - CTT Now Visibilidade sobre pedidos Programados</t>
  </si>
  <si>
    <t>[Salesforce Sales] - Contemplar los puntos de servicio a nivel master</t>
  </si>
  <si>
    <t>Motor de Pesquisa de Varios objetos no SGC</t>
  </si>
  <si>
    <t>[WebHook] - Indtex - Migracion de SGC a Cloud</t>
  </si>
  <si>
    <t>Data Hub - Secrets and Authentication</t>
  </si>
  <si>
    <t>Nueva funcionalidad SGC: Nuevas opciones de cambios masivos</t>
  </si>
  <si>
    <t>Confirming 2.0</t>
  </si>
  <si>
    <t>[Qlik] - Evaluador de ofertas en Qlik</t>
  </si>
  <si>
    <t>Eliminate 50% of O365 Copilot licences</t>
  </si>
  <si>
    <t>Mejora Mapper Agrupacion</t>
  </si>
  <si>
    <t>Amazon - Melhorias ao processo atual</t>
  </si>
  <si>
    <t>ECL/GPR - Peso Default por Produto Expresso e Carga</t>
  </si>
  <si>
    <t>[Alarmas Financieras] Alarma-46 Reporte/Alerta de Datos Clientes antes del cierre "Keysoft" (datos incompletos de clientes o deficiencia)</t>
  </si>
  <si>
    <t>Data Governance - Data Lineage</t>
  </si>
  <si>
    <t>Observability | Alarm Catalog for self provision in applications</t>
  </si>
  <si>
    <t>[Tech] API de common-edge Refactor</t>
  </si>
  <si>
    <t>[Minerva] - Habilitar Minerva para el uso por parte de los Broker / Franquicias (Operativa + Modelo tarifario)</t>
  </si>
  <si>
    <t>[Salesforce Sales] - Campo Centro Operativo de clientes que cuelgan de Agencias Virtuales (Amazon, ICP, Inditex....)</t>
  </si>
  <si>
    <t>BITACORA - Cambiar delivery_comments de lugar</t>
  </si>
  <si>
    <t>Consulta de Objetos e Downlad dos POD'S</t>
  </si>
  <si>
    <t>BITACORA EVOLUCION DE ESTADOS FINALES</t>
  </si>
  <si>
    <t>Nova plataforma para criar e gerir campanhas de publicidade</t>
  </si>
  <si>
    <t>[Qlik &amp; Salesforce] - Alarmas Comercial 02- Cumplimiento del Comprometido Cierre Tareas</t>
  </si>
  <si>
    <t>Motor de Pesquisa de Varios objetos no T&amp;T</t>
  </si>
  <si>
    <t>Qlik para comerciales</t>
  </si>
  <si>
    <t>Motor de Pesquisa de Varios objetos no S&amp;V</t>
  </si>
  <si>
    <t>Reducing the rollout of Praas printers:</t>
  </si>
  <si>
    <t>[Alarmas Finanzas] Alarma-85 Clientes con cambio tarifas "a medio mes", si no avisan facturamos mal si hay retroactividad</t>
  </si>
  <si>
    <t>[Salesforce] - Datos de comisionista en Cuenta en el CRM</t>
  </si>
  <si>
    <t>[CANCEL SHIPMENT - Falta check ccc] URL Management rpc-cancel</t>
  </si>
  <si>
    <t>Piloto para experimentar o SW do BCE na loja</t>
  </si>
  <si>
    <t>[Evolutivos Salesforce] Alarma-77 Clientes reactivados (clientes que se dan de alta sin control)</t>
  </si>
  <si>
    <t>[Salesforce Sales] - Completar campo Estado / provincia</t>
  </si>
  <si>
    <t>[Salesforce] - Cancelar ofertas no firmadas cuando se cancele una oportunidad</t>
  </si>
  <si>
    <t>Notificaciones a PDA desde Portal del Proveedor</t>
  </si>
  <si>
    <t>Portal Proveedores - Facturacion a/de proveedores fuera de SAP, necesidad de adaptar el modulo de proveedores</t>
  </si>
  <si>
    <t>[Salesforce Sales] - Modificar el CIF de un centro relacionado cuando se modifique un Prospecto</t>
  </si>
  <si>
    <t>Observability | Notifications | Alarmistic association to Teams / Squads</t>
  </si>
  <si>
    <t>[Salesforce Sales] - Clonar cliente de PRODUCCION en UAT</t>
  </si>
  <si>
    <t>[Qlik Sense][A-Scan] - Nuevos Filtros</t>
  </si>
  <si>
    <t>Publicar en Mule para Integrations recipient_available_actions</t>
  </si>
  <si>
    <t>TFS Migration - NAVE</t>
  </si>
  <si>
    <t>Adiantamentos para D+1 a PCTT encerrados em D</t>
  </si>
  <si>
    <t>Sistema de seguimiento de rutas de arrastre - v2</t>
  </si>
  <si>
    <t>[SGC] Actualizar protocolo de comunicaciones TLS</t>
  </si>
  <si>
    <t>BFT - Faturas com 4 casas decimais</t>
  </si>
  <si>
    <t>Correio Registado Self-Service| Envios a partir da SuperApp e Site CTT</t>
  </si>
  <si>
    <t>BPM - Upgrade WebSphere</t>
  </si>
  <si>
    <t>[Alarmas Finanzas] Alarma-45 Reporte/Alerta de servicios antes del cierre "Keysoft"</t>
  </si>
  <si>
    <t>Configuration Profiles Endpoint</t>
  </si>
  <si>
    <t>[Web de Clientes] - Visualizar costes de los servicios adicionales en la web de clientes</t>
  </si>
  <si>
    <t>[Evolutivos SGC] Acceso a tabla de retasados (NO las muestra si hay varias por validez en gestion de tablas) + Acceso Retasados microservicios (revisar Juancho)</t>
  </si>
  <si>
    <t>crear plantilla de colecciones de mongodb</t>
  </si>
  <si>
    <t>[Web de clientes] - Funcionalidad de gestionar y visualizar el seguimiento de los Retornados</t>
  </si>
  <si>
    <t>Upgrade servidores OutSystems para Windows Server 2022</t>
  </si>
  <si>
    <t>crear indice atlas search</t>
  </si>
  <si>
    <t>Expurgo automatic sharepoint e Team</t>
  </si>
  <si>
    <t>CCP | Commercial Catalog | Synchronization with SAP</t>
  </si>
  <si>
    <t>[PUDOS] - Herramienta de seguimiento de recogidas infructuosas de caducados</t>
  </si>
  <si>
    <t>Assinaturas de autenticidade emails</t>
  </si>
  <si>
    <t>Incluir en nexia opciones multi-idioma</t>
  </si>
  <si>
    <t>Estudo para levantamento e alternativa ao MUS (Microsoft)</t>
  </si>
  <si>
    <t>Desconectar servidor SFTP SGC</t>
  </si>
  <si>
    <t>IOP | DNS private resolvers - descontinuar bind em 2 vms ubuntu</t>
  </si>
  <si>
    <t>[Evolutivos SGC] Recuperar el Numero de factura emitida en grid de valoracion de servicios, (perdida de funcionalidad)</t>
  </si>
  <si>
    <t>B2C - Dados Vendas Dona Oferta - via Data Analytics</t>
  </si>
  <si>
    <t>Herramienta Soporte ADT en Nexia</t>
  </si>
  <si>
    <t>Melhorias de funcionamento nos Tablets das Lojas</t>
  </si>
  <si>
    <t>CCP | Configure alerts for all CCP applications</t>
  </si>
  <si>
    <t>Kiosks Envios - Incremento 2 | Simplificar jornada do cliente</t>
  </si>
  <si>
    <t>Manifest-file: Admitir carga fichero Standar Cloud sin los campos de shipping_code e item_codes rellenos (mismo comportamiento que api de experiencia de clientes)</t>
  </si>
  <si>
    <t>[Evolutivos SGC] Nueva funcionalidad para Clientes que no etiquetan (recargo por mercancia no/mal etiquetada) (pendiente al ser antiguo revisar con LR)</t>
  </si>
  <si>
    <t>WANB - Webhook</t>
  </si>
  <si>
    <t>Kiosks Envios - Incremento 4 | Alargar oferta (correio registado nacional)</t>
  </si>
  <si>
    <t>Api Horario Cortes Recogidas</t>
  </si>
  <si>
    <t>Kiosks Envios - Incremento 4 | Alargar a oferta a Correio Registado Nacional e Expresso Internacional (a definir)</t>
  </si>
  <si>
    <t>Evolutivos CRM Q1.2026</t>
  </si>
  <si>
    <t>Api Manifest- Devovler fecha y hora de recogida en respuesta cuando proceda</t>
  </si>
  <si>
    <t>Acesso SGEE Apoio ao Cliente</t>
  </si>
  <si>
    <t>[PUDOS] - Mejora servicio VDP</t>
  </si>
  <si>
    <t>Api Solicitud de Recogidas (sin envio asociado)</t>
  </si>
  <si>
    <t>APT | ODIN | Self Service</t>
  </si>
  <si>
    <t>TEMU - WebHook</t>
  </si>
  <si>
    <t>[Auditoria PT] Control de revisiones de alteraciones manuales</t>
  </si>
  <si>
    <t>Notificaciones AWS para migraciones de lambdas de python 3.9 a 3.12</t>
  </si>
  <si>
    <t>CCP | Migrate from .Net 8 to .Net 10</t>
  </si>
  <si>
    <t>[PUDOS] - Descuento comercial RDP</t>
  </si>
  <si>
    <t>Migrar clusters de Mongo a MultiAZ</t>
  </si>
  <si>
    <t>[Minerva] - Modificar la plantilla de respuesta de Signaturit cuando se firma un contrato</t>
  </si>
  <si>
    <t>CCP | Notifications | Refactor application to meet CCP patterns</t>
  </si>
  <si>
    <t>Plantilla modificacion de clientes sap hanna</t>
  </si>
  <si>
    <t>APT | IBM ODM | configurar HTTPS</t>
  </si>
  <si>
    <t>Query direcciones de recogida portal del proveedor</t>
  </si>
  <si>
    <t>[PUDOS] - Notificaciones de RDP origen PT</t>
  </si>
  <si>
    <t>Informes Personalizados Finanzas en SharePoint</t>
  </si>
  <si>
    <t>Nuevo entorno de desarrollo para microservicios</t>
  </si>
  <si>
    <t>PMO - Seguimiento y Control de Proyectos</t>
  </si>
  <si>
    <t>[Nexus]-[Minerva]- Modelo Tarifario Densidades+Zona</t>
  </si>
  <si>
    <t>[PUDOS] - [Notificaciones] - N3.1 Entrega en PUDOS mostrar variable pudo address</t>
  </si>
  <si>
    <t>MACC: DC Lisboa - Jouney to Azure cloud</t>
  </si>
  <si>
    <t>[web clientes] Modulo aduanas: Andorra</t>
  </si>
  <si>
    <t>[PUDOS] - Pantallas Nexia consulta estados de proveedor</t>
  </si>
  <si>
    <t>[Web de Cambios] - Mantener el idioma configurado por defecto en web de cambio</t>
  </si>
  <si>
    <t>[Notificaciones] - Customer Communications Management basado en la funcionalidad actual</t>
  </si>
  <si>
    <t>[PUDOS] - Destacar Locky en localizador de pudos</t>
  </si>
  <si>
    <t>CONTRATO ON LINE</t>
  </si>
  <si>
    <t>[PUDOS][PDA]-Evitar falsos entregados desde PDA repartidor</t>
  </si>
  <si>
    <t>[Web de clientes][Mobile] - Mi cuenta + Ayuda y soporte</t>
  </si>
  <si>
    <t>[Web de clientes][Mobile] - Agenda</t>
  </si>
  <si>
    <t>[FR y BR] - Tarifas y Ofertas</t>
  </si>
  <si>
    <t>[PUDOS] - Mejora Pudo Manager</t>
  </si>
  <si>
    <t>Desarrollo Nuevas funcionalidades/Venta (TP)</t>
  </si>
  <si>
    <t>NEXT</t>
  </si>
  <si>
    <t>WSJF</t>
  </si>
  <si>
    <t>Ready for Development</t>
  </si>
  <si>
    <t>Kafka - Upgrade MSK en AWS</t>
  </si>
  <si>
    <t>TOP_X</t>
  </si>
  <si>
    <t>Row Labels</t>
  </si>
  <si>
    <t>(blank)</t>
  </si>
  <si>
    <t>Grand Total</t>
  </si>
  <si>
    <t>Count of ID</t>
  </si>
  <si>
    <t>TRUE</t>
  </si>
  <si>
    <t>Column Labels</t>
  </si>
  <si>
    <t>FALSE</t>
  </si>
  <si>
    <t>Count</t>
  </si>
  <si>
    <t>Target</t>
  </si>
  <si>
    <t>NSP</t>
  </si>
  <si>
    <t>NOW</t>
  </si>
  <si>
    <t>Selected for Production</t>
  </si>
  <si>
    <t>[PUDOS] - Venta Internacional en PUDOS</t>
  </si>
  <si>
    <t>[Nexus] [We Sell] Carga de clientes de PT en Salesforce Sales</t>
  </si>
  <si>
    <t>Los usuarios de las delegaciones no tienen que ver las liquidaciones de LH de los proveedores</t>
  </si>
  <si>
    <t>[Nexus][Internacional]-[Nuevo Producto ECONOMY]- DHL-PARCEL</t>
  </si>
  <si>
    <t>Alargamento Infraestrutura SI a outros sistemas desenvolvidos por EDO</t>
  </si>
  <si>
    <t>[NEXUS]-[OOH] - LMS Integration</t>
  </si>
  <si>
    <t>Novas regras RCTO - Prioridade/Wave 3</t>
  </si>
  <si>
    <t>B2C - Vendas Expresso por colaborador - CORVENDAS</t>
  </si>
  <si>
    <t>Portal Proveedores Linehaul - Habilitar cancelamiento de ruta</t>
  </si>
  <si>
    <t>Github Migration - Ecossistema Expresso ADO2Github</t>
  </si>
  <si>
    <t>Data Governance - Reference Data Management - MVP</t>
  </si>
  <si>
    <t>[Evolutivos SGC Finanzas] Funcionalidad "Redireccionar servicios" en Valoracion de servicios funciona parcialmente</t>
  </si>
  <si>
    <t>GENAI - RH - AI Automation</t>
  </si>
  <si>
    <t>Disponibilizar o produto Correio Registado internacional no aplicativo "Criar envio de Correio ou Expresso"</t>
  </si>
  <si>
    <t>Evolutivos eCommerce PT | Carga e Internacional Expresso</t>
  </si>
  <si>
    <t>A receita dos Postos Venda de Selos (PVS)</t>
  </si>
  <si>
    <t>[Salesforce] - Marca que permita determinar si un Lead es reasignable en el CRM</t>
  </si>
  <si>
    <t>PTF | ODIN | Muticloud</t>
  </si>
  <si>
    <t>ESW | Sonar | Connect Github based applications to Sonar</t>
  </si>
  <si>
    <t>ESW | Github | Allow Github Actions to access resources inside CTT internal network</t>
  </si>
  <si>
    <t>[Evolutivos Salesforce] Asignacion de tarifas por cliente master - Salesforce/Minerva (posibilidad de clientes centro con tarifas diferentes) (Validar por Herramientas Comerciales)</t>
  </si>
  <si>
    <t>[PRODUCTO] [Web de Clientes] - Aranceles aduaneros Canarias</t>
  </si>
  <si>
    <t>ESW | Create code reviewer AI agent</t>
  </si>
  <si>
    <t>Crear LOG reglas de pago clientes SGC</t>
  </si>
  <si>
    <t>[Web de clientes] - Agenda - Incluir campo provincia en fichero de carga masiva de agenda</t>
  </si>
  <si>
    <t>PRODUCTION</t>
  </si>
  <si>
    <t>sainte-lague</t>
  </si>
  <si>
    <t>Reduce SalesForce Storage before contract renewal</t>
  </si>
  <si>
    <t>In Production</t>
  </si>
  <si>
    <t>Nuevo universo de envios Senda fin de semana</t>
  </si>
  <si>
    <t>[SGC] - Omitir mensajes de Franquicias</t>
  </si>
  <si>
    <t>Tasa Gasoil Portugal</t>
  </si>
  <si>
    <t>Evolutivos CRM Q4.2025</t>
  </si>
  <si>
    <t>Desenvolvimentos adicionais em Track &amp; Trace</t>
  </si>
  <si>
    <t>Canais Presenciais - Evolutivos Nave Novembro e Dezembro 2025</t>
  </si>
  <si>
    <t>Nexus | We Care | Manifests Lifecycle Monitoring</t>
  </si>
  <si>
    <t>Evolutivos SAP FI Q4</t>
  </si>
  <si>
    <t>PEAK SEASON 2025</t>
  </si>
  <si>
    <t>Canais Presenciais | Evolutivos Nave Setembro e Outubro 2025</t>
  </si>
  <si>
    <t>Evolutivos CRM Q3.2025</t>
  </si>
  <si>
    <t>APT | Peak Season 2025</t>
  </si>
  <si>
    <t>STICO_STIAR - Agile Way 4B 2025 (julho e agosto)</t>
  </si>
  <si>
    <t>T&amp;T | Controlo de Acessos</t>
  </si>
  <si>
    <t>[Peak Season] Envio de eventos de SGEE para T&amp;T</t>
  </si>
  <si>
    <t>Canais Presenciais | Evolutivos Julho- Agosto 2025</t>
  </si>
  <si>
    <t>[Peak Season] QoT QoS</t>
  </si>
  <si>
    <t>Cookie Management Platform</t>
  </si>
  <si>
    <t>Portal Empresas| Agile Way SET e OUT 2025</t>
  </si>
  <si>
    <t>NOTA 2.0.: Controlo de Fundos de Maneio das Lojas</t>
  </si>
  <si>
    <t>WFA | Incremento 4 | Melhorias Estruturantes</t>
  </si>
  <si>
    <t>Data Governance - Catalogo de Produtos de Dados</t>
  </si>
  <si>
    <t>Novas regras RCTO - Prioridade/Wave 1</t>
  </si>
  <si>
    <t>Nexus | Architecture | Events Sync</t>
  </si>
  <si>
    <t>Nexus | P&amp;S | DHL Carga</t>
  </si>
  <si>
    <t>Faturas PDF | Incremento 1 - SAP + Portagens (Site CTT)</t>
  </si>
  <si>
    <t>Geopostal Processos Batch 2025</t>
  </si>
  <si>
    <t>Geopostal Web 2025</t>
  </si>
  <si>
    <t>Nexus | Operations Pilot - Fase 1</t>
  </si>
  <si>
    <t>MobiCTT - Abastecimento aos cacifos</t>
  </si>
  <si>
    <t>GP ECL | MVP - Plataforma MilyTech para PUDOs</t>
  </si>
  <si>
    <t>Galaxy | MVP - Marketing (MCE) &amp; CDP</t>
  </si>
  <si>
    <t>Fase 1: NOTA -Controlo de Fundos de Maneio das Lojas</t>
  </si>
  <si>
    <t>APT | BPM | Upgrade BPM 8.6 -&gt; BAW 24.0.1</t>
  </si>
  <si>
    <t>Pack de Envios 360 | Onboarding</t>
  </si>
  <si>
    <t>Galaxy - Upgrade Postos de Trabalho</t>
  </si>
  <si>
    <t>Portal Prestadores - Line Haul - Settlements</t>
  </si>
  <si>
    <t>Conformidade com acessibilidade Digital no site CTT</t>
  </si>
  <si>
    <t>Galaxy - Jornada de Envios</t>
  </si>
  <si>
    <t>Mail &amp; Services</t>
  </si>
  <si>
    <t>BusinessGroup</t>
  </si>
  <si>
    <t>eCommerce-new</t>
  </si>
  <si>
    <t>RevenueStream;BudgetGroup;Weight</t>
  </si>
  <si>
    <t>weight</t>
  </si>
  <si>
    <t>[Notificaciones] - Actualización de campos de PDA y notificación de entrega - Fake Delivery</t>
  </si>
  <si>
    <t>[Salesforce Sales] - Incorporación de nuevos Subsegmentos SME</t>
  </si>
  <si>
    <t>[Qlik] - App Control de Efectivos (incorporación de Kpis)</t>
  </si>
  <si>
    <t>Enlace para usuario en selección PUDO para RDP a través de Web Cliente</t>
  </si>
  <si>
    <t>Reactivar recursos al iniciar la ruta (Vehículos-Conductores)</t>
  </si>
  <si>
    <t>Mejora de visualización en PDA last-mail envíos balanceados por SENDA "LIBRA"</t>
  </si>
  <si>
    <t>[web clientes] Incluir formato Excel y CSV en suscripción de informes</t>
  </si>
  <si>
    <t>[Web de clientes] - Seguimiento - Geoposición V2 - Comparar destino con geoposición de entrega</t>
  </si>
  <si>
    <t>Mejora creación servicios esporádicos</t>
  </si>
  <si>
    <t>[Internacional]-Notificación por Incidencia "Falta de documentación"</t>
  </si>
  <si>
    <t>[Salesforce Sales] - Brokers y MBE: Permitir generación de usuarios web</t>
  </si>
  <si>
    <t>P&amp;L Ibérica e información de gestión</t>
  </si>
  <si>
    <t>[Web publica] - Ajustes Locky en visión destinatario de web pública</t>
  </si>
  <si>
    <t>[Web de cliente] - Seguimiento - Utilizar en filtro y listado de envío la fecha registrada en la variable shipping_date</t>
  </si>
  <si>
    <t>Portal de Proveedores - Implementar recálculo automático de liquidaciones Linehaul de rutas esporádicas</t>
  </si>
  <si>
    <t>[Web de clientes] - Seguimiento - Incidencias gestionables muestra mensaje erróneo</t>
  </si>
  <si>
    <t>[Nexus-MVP] [Web de Clientes] Traducción al Inglés y Portugués</t>
  </si>
  <si>
    <t>[Internacional] - Manifiesto de envíos internacionales de explotación con aduanas por métodos de Integración Clientes</t>
  </si>
  <si>
    <t>[Qlik] - Creación de un nuevo filtro TYPE.REP.HISTÓRICAL</t>
  </si>
  <si>
    <t>[Qlik] - Gestión de oportunidades - Hito semanal por comercial disponible</t>
  </si>
  <si>
    <t>[Web Pública] - Localizador de puntos - Actualizar texto de enlace</t>
  </si>
  <si>
    <t>[Salesforce] Notificación automática cambio de comercial</t>
  </si>
  <si>
    <t>[Salesforce] Adición del campo Dirección en objeto user</t>
  </si>
  <si>
    <t>[WebHook] - Shein - LastMile - Modificación de destino HD a Pudo y su comunicación al cliente.</t>
  </si>
  <si>
    <t>[Web de clientes][Desktop] - Seguimiento - Ocultar botón de "Estados" / Alert de filtros</t>
  </si>
  <si>
    <t>[Web de clientes][Mobile] - Seguimiento de envíos</t>
  </si>
  <si>
    <t>[Web de clientes][Mobile] - Burger Menu + Actualización de página de inicio</t>
  </si>
  <si>
    <t>[Web de clientes][Mobile] - Solicitud de envío</t>
  </si>
  <si>
    <t>[Web Pública] - Formulario y email Pagina Red PUDOS</t>
  </si>
  <si>
    <t>[Web de Clientes] - Suscripción de informes - Reporte con la información de envíos de los últimos 30 días naturales - Ordenar reporte</t>
  </si>
  <si>
    <t>Evolución portal de LastMile V.2</t>
  </si>
  <si>
    <t>Evolución portal de Arrastres V.2</t>
  </si>
  <si>
    <t>[PUDOS] - Habilitación de LMS para entregas en PUDOS en ES</t>
  </si>
  <si>
    <t>[PUDOS] - Automatización del tratamiento de incidencias de PUDOS cerrados</t>
  </si>
  <si>
    <t>[FR y BR] - Campo departamento y facturación</t>
  </si>
  <si>
    <t>[Desconexión SGC]: Brókers y Franquicias: Modulo distribución de Franquicias</t>
  </si>
  <si>
    <t>[Desconexión SGC]: Brokers y Franquicias: grabación de envíos con/sin entrega</t>
  </si>
  <si>
    <t>[Desconexión SGC]: Creación y mantenimiento de CO's</t>
  </si>
  <si>
    <t>[Desconexión SGC]: Canarias</t>
  </si>
  <si>
    <t>[Desconexión SGC]: Internacional</t>
  </si>
  <si>
    <t>[Desconexión SGC]: Brókers Franquicias: Gestión de adeudos y garantías</t>
  </si>
  <si>
    <t>[Nexus Piloto Operacional] Puesta en marcha Fase 2 del Piloto Operacional con el flujo de envíos PT-PT</t>
  </si>
  <si>
    <t>Exponer dato de código de recogida propia</t>
  </si>
  <si>
    <t>Plataforma de Configuración de Agentes IA</t>
  </si>
  <si>
    <t>Nueva Herramienta de Verificación de Pagos TEMU (App)</t>
  </si>
  <si>
    <t>Migración SGC - Estacionados a Nexus</t>
  </si>
  <si>
    <t>[NEXUS] [Desconexión SGC - FR y BR] [Web de clientes] Configuración - Administración, gestión de usuarios y centros de FRANQUICIAS y BROKERS (settings)</t>
  </si>
  <si>
    <t>[WEB CLIENTE] Configuración visibilidad web a nivel CENTRO</t>
  </si>
  <si>
    <t>Envíos Amazon destino Braga solo manifestados para entrar en senda</t>
  </si>
  <si>
    <t>[PUDOS] - [QLIK] Inclusión de campo provincia en hoja PUDO POINT LIST</t>
  </si>
  <si>
    <t>Visualización de kilómetros en Qlik</t>
  </si>
  <si>
    <t>KPIs de Prevención de Riesgos Laborales de CTT Express</t>
  </si>
  <si>
    <t>[Web de Clientes] - TikTok - Permitir visibilizar el componente de geoposición de los entregados en un mapa que tiene configurado Salesforce</t>
  </si>
  <si>
    <t>Stack Observabilidad Ibérico</t>
  </si>
  <si>
    <t>Desconexión de SGC - Definición del RoadMap</t>
  </si>
  <si>
    <t>[Salesforce] - Información de campos en los casos del Plan de acompañamiento</t>
  </si>
  <si>
    <t>[Bitácora] - Bitacora Management que permita implementar los procesos actuales de configuración en Bitácora</t>
  </si>
  <si>
    <t>[Web Pública 2.0] - Web Pública 2.0 Fase II - V2</t>
  </si>
  <si>
    <t>Implantación con empresa externa de software para la medición de la Huella de Carbono</t>
  </si>
  <si>
    <t>Portal de Proveedores - Posibilidad de facturar al mismo proveedor por España (CTT Express) o Portugal (CTT o CTT Expresso).</t>
  </si>
  <si>
    <t>[Web pública 2.0] - Seguimiento de envíos - Acciones según número de intentos de entrega - Dynamic Cases</t>
  </si>
  <si>
    <t>SLA Sábados y Domingos</t>
  </si>
  <si>
    <t>[API GET TRACKING BY DATES] - WEB TRACKING - Añadir código envío devolución - API Rest, capa User Experience</t>
  </si>
  <si>
    <t>[SGC] - Lógica de aplicación de perfil tarifario a nuevos centros en SGC</t>
  </si>
  <si>
    <t>Expansión de lectura en contenedores (Propios y de clientes)</t>
  </si>
  <si>
    <t>WooCommerce- Habilitar adicionales identificación en destino y verificacion destinatario</t>
  </si>
  <si>
    <t>Prestashop- Habilitar adicionales identificación en destino y verificacion destinatario</t>
  </si>
  <si>
    <t>[Nexus Piloto Operacional] [We Serve] Incremento de envíos en Piloto y despliegue Nexus</t>
  </si>
  <si>
    <t>[Web de Clientes] - Vulnerabilidad crítica web clientes y Revisión de la web antigua</t>
  </si>
  <si>
    <t>[PUDOS] - Gestión de saturación en puntos Collectt</t>
  </si>
  <si>
    <t>[Minerva] - Cambiar método de autenticación en Minerva</t>
  </si>
  <si>
    <t>Definición de la estrategia de preparación de entornos de prueba de aplicaciones</t>
  </si>
  <si>
    <t>[Salesforce] - Nueva landing captación SEM conectada con el CRM y Pardot</t>
  </si>
  <si>
    <t>[Web pública Nexus] - Imágenes alojadas en DOT (ex Wordpress) estudiar alojarlas en AWS</t>
  </si>
  <si>
    <t>Cierre administrativo automático - "Evitar pasar a Entregado Administrativo envíos que tienen un estado entregado y posteriormente se abre una caso en Salesforce y cambia a otro estado"</t>
  </si>
  <si>
    <t>[Salesforce] - Información de la actividad del cliente en Cuenta en Sales (a partir de Qlik)</t>
  </si>
  <si>
    <t>[PUDOS]-Nueva colección en Nexia. Acceso datos de DB manifest</t>
  </si>
  <si>
    <t>[Internacional]- Actualización Web- Módulo Aduana</t>
  </si>
  <si>
    <t>Revisión del PRN actual</t>
  </si>
  <si>
    <t>[Web de clientes] - Crear función JS que devuelva el ID de los usuarios</t>
  </si>
  <si>
    <t>MongoDB - Recopilación de usuarios y reset de contraseñas</t>
  </si>
  <si>
    <t>Actualización Plan C</t>
  </si>
  <si>
    <t>Federación de acceso a Salesforce mediante SSO - EntraID</t>
  </si>
  <si>
    <t>To Expedite - [Salesforce Sales] - NEW WORKFLOW OFERTAS (Cambio del flujo de aprobación de ofertas según usuario y modelo tarifario)</t>
  </si>
  <si>
    <t>Actualizar lista de esquemas de documentación que permiten asociado</t>
  </si>
  <si>
    <t>[Integración de Clientes] Tik Tok - Bloqueo del dato publicado de peso y medidas después del estado definitivo.</t>
  </si>
  <si>
    <t>Evolución verificación periodos + (pesos y medidas) V2</t>
  </si>
  <si>
    <t>[NEXUS] – Normalización, almacenamiento y gestión de consentimientos (GDPR) en los activos digitales</t>
  </si>
  <si>
    <t>[PUDOS] [Web clientes] - Añadir campo nombre rtt en RDP</t>
  </si>
  <si>
    <t>Optimización del CAU mediante herramientas de autodiagnóstico para operativas críticas</t>
  </si>
  <si>
    <t>[DHL Parcel] Envíos PT - PT</t>
  </si>
  <si>
    <t>Integración con CACESA para la sustitución de ADYCO (30-nov)</t>
  </si>
  <si>
    <t>Creación Arquetipo .net</t>
  </si>
  <si>
    <t>[Notificaciones] - [Mail] - [Modificación] - Actualizar template notificaciones Custom para modificar imágenes</t>
  </si>
  <si>
    <t>Actualización automática de aplicaciones hijas en Nexia</t>
  </si>
  <si>
    <t>Nuevos desarrollos Normalización de direcciones</t>
  </si>
  <si>
    <t>[Salesforce] - Usuario / Origen de una acción sobre un envío en la trazabilidad desde ATC</t>
  </si>
  <si>
    <t>Cyber - Securización de los accesos a webcliente.cttexpress.com y api.cttexpress.com</t>
  </si>
  <si>
    <t>Migración Infraestructura de Web Corporativa de AckStorm a Ctt Express</t>
  </si>
  <si>
    <t>Migración Infraestructura GIT =&gt; GitHub , Arquetipo .net</t>
  </si>
  <si>
    <t>Migración Infraestructura GIT =&gt; GitHub (Salesforce)</t>
  </si>
  <si>
    <t>Definición Arquitectura Github</t>
  </si>
  <si>
    <t>Definición Arquitectura Kotlin Ibérico</t>
  </si>
  <si>
    <t>Definición Arquitectura React Ibérico</t>
  </si>
  <si>
    <t>Definición Arquitectura .Net Ibérico</t>
  </si>
  <si>
    <t>Migración Microservicios a SLA nuevo</t>
  </si>
  <si>
    <t>SGC - Anulación eventos PT</t>
  </si>
  <si>
    <t>Creación Estados Aduanas, reporte a clientes y facturación</t>
  </si>
  <si>
    <t>Diseñar Flujos de trabajo IA - .Net</t>
  </si>
  <si>
    <t>Portal Proveedores Linehaul - Incluir concepto peaje en la facturación</t>
  </si>
  <si>
    <t>[Web de Clientes] - Seguimiento de Envío - Posibilidad de descargar el albarán asociado al envío</t>
  </si>
  <si>
    <t>[Nexus] - Información Pública de los Clientes - visión de información de clientes a destinatarios</t>
  </si>
  <si>
    <t>[PUDOS] - [Salesforce-Dynamic Case] - EL botón de reenvío de pin debe reconocer que el envío tiene estado 2310 no que está en estado 2310</t>
  </si>
  <si>
    <t>[Web Pública] [CIBERSEGURIDAD] - Migración de infraestructura de MiddleWare de PhP</t>
  </si>
  <si>
    <t>[WebHook] - ZooPlus - Transmisión de estados en mensaje estándar</t>
  </si>
  <si>
    <t>Creación arquetipo desarrollo React</t>
  </si>
  <si>
    <t>[Web de Clientes] - Anulación de recogidas</t>
  </si>
  <si>
    <t>[ID LOGISTICS] Estados De Portugal no visibles en SGC/API REST y URL web en España (envíos origen ES, destino PT)</t>
  </si>
  <si>
    <t>Identificacion Clientes y Metodos de integracion que usan [Objetos con origen en España sin Cp7]</t>
  </si>
  <si>
    <t>Mejorar el algoritmo de aproximación de calculo de CP/Poblacion de manifiestos [Objetos con origen en España sin Cp7]</t>
  </si>
  <si>
    <t>[Notificaciones] - Facturación - Modificar contenido del Email Factura a clientes</t>
  </si>
  <si>
    <t>[PUDOS] - Incluir selección origen PT en Web Clientes para servicios RDP origen PT con manifiesto en ES</t>
  </si>
  <si>
    <t>Automatizar la carga del maestro de CP7 de Portugal [Objetos con origen en España sin Cp7]</t>
  </si>
  <si>
    <t>[WebHook] - Shein ADT - Migración de infraestructura de Shein ADT</t>
  </si>
  <si>
    <t>[Web de Clientes] - Desconexión Web-Tracking</t>
  </si>
  <si>
    <t>Incluir fichero con versionado sobre histórico de cambios (novedades y fixes) en todos los modulos</t>
  </si>
  <si>
    <t>Maestro festivos provinciales en cálculos de fechas de compromiso</t>
  </si>
  <si>
    <t>[Web de Clientes] - Incluir tooltip en el botón de añadir NUEVO bulto para envíos a Puntos</t>
  </si>
  <si>
    <t>[Web de Clientes] - Parametrizar el canal de Importación masiva para permitir su medición en los sistemas</t>
  </si>
  <si>
    <t>[Nexus] - We Sell (Lead to Contract) - Signaturit en portugués</t>
  </si>
  <si>
    <t>[User Endpoint API REST GET TRACKING] Añadir organic_point_code cuando estados 2300 / 2310</t>
  </si>
  <si>
    <t>Cuadro de mando reputación CTT</t>
  </si>
  <si>
    <t>Creación de interfaz en nexia para crear incidencias</t>
  </si>
  <si>
    <t>[Tech] [Desconexión SGC] Desconexión API WebTracking a Item-history (bitacora)</t>
  </si>
  <si>
    <t>[CELERITAS] - Inhibir notificaciones a dtt en envíos Celeritas Cliente</t>
  </si>
  <si>
    <t>[PUDOS] [MONGO] - Información completa de incidencias en colección Pickups</t>
  </si>
  <si>
    <t>[PUDOS]-Modificación plantilla de factura en VDP relacionado con 58594</t>
  </si>
  <si>
    <t>Actualización de maestro de códigos postales PT en nexus</t>
  </si>
  <si>
    <t>Odoo - Implementación remitente personalizado</t>
  </si>
  <si>
    <t>[PUDOS] [Web Pública] - Orientar venta directa (añadir literales)</t>
  </si>
  <si>
    <t>[Web de Clientes] - Seguimiento - Añadir HORA junto a la FECHA</t>
  </si>
  <si>
    <t>[Producto] - Incorporar Validación DNI / PIN (Servicio actual)</t>
  </si>
  <si>
    <t>[Web de clientes] - Setting: Configurar envío predeterminado</t>
  </si>
  <si>
    <t>[Nexus-MVP] [Web de Clientes] Gestión Consumibles</t>
  </si>
  <si>
    <t>[Web de Clientes][Web de Cambios] - Trazabilidad - Actualización de literales en visión de Web de clientes y Destinatario (Web de cambios)</t>
  </si>
  <si>
    <t>[Minerva] - Interfaz de generación de ofertas de Minerva en portugués</t>
  </si>
  <si>
    <t>[Web de Clientes] - Comportamiento recogidas en grabación masiva</t>
  </si>
  <si>
    <t>[Web de clientes] - Seguimiento 2.0 - Rediseño de la sección de seguimiento</t>
  </si>
  <si>
    <t>[Salesforce Sales] - Configuración campos/variables y GRP en Pardot</t>
  </si>
  <si>
    <t>Autodocumentacion Integración Mulesoft con IA</t>
  </si>
  <si>
    <t>[Nexus P&amp;S] -Portfolio Ibérico Ecommerce : Upload the proposal and pricing in Salesforce and Minerva</t>
  </si>
  <si>
    <t>[Desconexión SGC]: Consulta de Envíos</t>
  </si>
  <si>
    <t>[PET-3-] [Item-Status-v2] - Es necesario propagar la localización GPS de los eventos en los cambios de estado de item y envío</t>
  </si>
  <si>
    <t>[Nexus-MVP] [Web de Clientes] Visualización Indicadores y KPIs en web de clientes en base a la app de Qlik</t>
  </si>
  <si>
    <t>[Nexus Piloto Operacional] [We Care] Habilitar equipo de ATC para la gestión de envíos Nexus Fase 2 [BM 85810]</t>
  </si>
  <si>
    <t>[Desconexión SGC] - Creación nuevo estado "No realizado"</t>
  </si>
  <si>
    <t>[Minerva] - Evaluación de la oferta en Minerva</t>
  </si>
  <si>
    <t>[Web de Clientes] - Grabación masiva de envíos (carga de fichero) - v2</t>
  </si>
  <si>
    <t>[WebHook] - Mediapost - Transmisión de estados en mensaje NO estándar</t>
  </si>
  <si>
    <t>Creación de Interfaz de usuario para simular la creación y ciclo de vida de envío</t>
  </si>
  <si>
    <t>[Nexus Rollout] [We Bill] Estrategia de facturación de clientes ES y PT</t>
  </si>
  <si>
    <t>Seguimiento &amp; Control de IT - Formación - Vacaciones - Otros</t>
  </si>
  <si>
    <t>[Nexus Piloto Operacional] [We Care] Generación y consumo del POD para Fase 2</t>
  </si>
  <si>
    <t>[CIBER] - Eliminación del acceso público de los ficheros de agencias y canalizaciones en transfer.cttexpress.com</t>
  </si>
  <si>
    <t>Cliente EXPOLLUM - Transmisión selectiva Mapper</t>
  </si>
  <si>
    <t>ELKAR - Actualización de bultos/kilos en expedición mediante carga de fichero</t>
  </si>
  <si>
    <t>Analisis protocolos MCP para integración de clientes</t>
  </si>
  <si>
    <t>Diseñar flujos de Trabajo IA - React</t>
  </si>
  <si>
    <t>[Desconexión SGC] [Web de Clientes] - Descarga de seguimiento y en descarga masiva: Incluir más campos: Peso Facturado V2</t>
  </si>
  <si>
    <t>[Desconexión SGC] - Migración exportación estados e informes a Cloud</t>
  </si>
  <si>
    <t>[Desconexión SGC] [Salesforce Service] - Gestión de casos: modificaciones tipos de servicio</t>
  </si>
  <si>
    <t>[Web publica] - Permitir a los destinatarios buscar un envío por número de etiqueta de enlace asociada en el localizador</t>
  </si>
  <si>
    <t>Restricción de Login en APP de Planta</t>
  </si>
  <si>
    <t>[Web de clientes] - Retorno en seguimiento - Mostrar por fecha de grabación y no de servicio</t>
  </si>
  <si>
    <t>[Qlik] - Nuevos KPIS en Analítica Comercial</t>
  </si>
  <si>
    <t>[Desconexión SGC] [Salesforce Service] - Abonos, Siniestros e indemnizaciones</t>
  </si>
  <si>
    <t>[Web de Clientes] - Minerva Ratings - Visualización incorrecta de tarifa del cliente 00052</t>
  </si>
  <si>
    <t>[Web de Clientes] - Minerva Ratings - Actualizar el perfil tarifario de clientes al estándar de 1-20 envíos comprometidos para que visualice su tarifa en la web</t>
  </si>
  <si>
    <t>[PUDOS] - Mecanismo de diferenciación de recogidas en los COs. Recogidas vs. RDP</t>
  </si>
  <si>
    <t>[Salesforce Sales] - Notificaciones del Plan de Acompañamiento automáticas</t>
  </si>
  <si>
    <t>[Desconexión SGC] [ FR y BR Web de clientes] - Proyecto Cloud (borrador)</t>
  </si>
  <si>
    <t>[PUDOS] - Envíos Punto-Punto</t>
  </si>
  <si>
    <t>[Web clientes - Mapper] - Evolución completa de grabación masiva en Cloud</t>
  </si>
  <si>
    <t>Migración a Cloud ficheros IDL e Inditex</t>
  </si>
  <si>
    <t>[Desconexión SGC] Cambio Maestro de canalizaciones en COs</t>
  </si>
  <si>
    <t>[Desconexión SGC] Lecturas de stock sobre Contenedores</t>
  </si>
  <si>
    <t>[Desconexión SGC] Evolución pantalla web Nexus (modulo seguimiento de rutas/ recogidas)</t>
  </si>
  <si>
    <t>Integración Clientes</t>
  </si>
  <si>
    <t>Manifest errores de carga en códigos postales.</t>
  </si>
  <si>
    <t>[PUDOS] -Planilla de selección de puntos según criterio del cliente</t>
  </si>
  <si>
    <t>[Desconexión SGC] [WebHook] - Monitorización WebHooks clientes</t>
  </si>
  <si>
    <t>[PUDOS] - Automatización de comunicación de eventos de Celeritas - CTT</t>
  </si>
  <si>
    <t>[Desconexión SGC] Migración exportación de informes de SGC a Cloud</t>
  </si>
  <si>
    <t>Cliente SALVADOR ESCODA SAT - Modificación Mapper</t>
  </si>
  <si>
    <t>[Desconexión SGC] [PUDOS] - Migración de funcionalidades de SGC al Cloud</t>
  </si>
  <si>
    <t>Manifest - Estandarización de formato DNI en envíoscon adicional RID: Transformación automática a mayúsculas</t>
  </si>
  <si>
    <t>[QLIK] Incorporación de datos adicionales en BI (Income Tracking App)</t>
  </si>
  <si>
    <t>[Web de Clientes] - Estados - Seguimiento - Error con los envíos al filtrar por fechas de grabación</t>
  </si>
  <si>
    <t>[Desconexión SGC] Grabación manual de envíos</t>
  </si>
  <si>
    <t>[Desconexión SGC] Reetiquetado</t>
  </si>
  <si>
    <t>[Desconexión SGC] Cierre diario: Escaneo de documentación</t>
  </si>
  <si>
    <t>[Desconexión SGC] Cierre diario: Liquidación de portes debidos y reembolsos</t>
  </si>
  <si>
    <t>[Desconexión SGC] Cierre diario: Incidencias</t>
  </si>
  <si>
    <t>[Desconexión SGC] Cierre diario: Recogidas</t>
  </si>
  <si>
    <t>Cambio en la Lógica de generación de OBX en Cainiao</t>
  </si>
  <si>
    <t>KPI "Días backlog envíos" en app de análisis de calidad del reparto</t>
  </si>
  <si>
    <t>[Nexus] [Notificaciones] Whatsapp desde Marketing Cloud Engagement de Salesforce - Envío WP para el envío de notificaciones con incidencia</t>
  </si>
  <si>
    <t>[PUDOS] - Check para permitir a cliente elegir si dtt recibe notificaciones del estado del envío</t>
  </si>
  <si>
    <t>[Auditoria PT] Pruebas sobre calidad de datos declarados por clientes con facturación basada en el peso y/o las medidas declaradas</t>
  </si>
  <si>
    <t>[Auditoria PT] Implementar pruebas preventivas para identificar errores en la parametrización de las reglas de peso</t>
  </si>
  <si>
    <t>[Auditoria PT] Garantizar ejecución de fase de pruebas antes y después de implantar nuevos desarrollos</t>
  </si>
  <si>
    <t>[Desconexión SGC] [Auditoria PT] Controles para garantizar la integración correcta de la información entre microservicio "Manifiestos" y SGC</t>
  </si>
  <si>
    <t>[Auditoria PT] Controles periódicos que garanticen la selección de lecturas óptimas para facturación</t>
  </si>
  <si>
    <t>[Auditoria PT] Seguimiento de los cambios realizados manualmente o mediante automatización y control/aprobación de los mismos</t>
  </si>
  <si>
    <t>[Auditoria PT] Evaluar la implementación de una reclasificación automática de los servicios declarados incorrectamente por el cliente</t>
  </si>
  <si>
    <t>[Auditoria PT] Consulta del historial de los datos de los objetos que han sido alterados manualmente o corregidos por la automatización</t>
  </si>
  <si>
    <t>[Auditoria PT] Automatismo para replicar la lógica de corrección manual de pesos declarados</t>
  </si>
  <si>
    <t>[Auditoria PT] Control periódico de Clientes Inactivos</t>
  </si>
  <si>
    <t>[Auditoria PT] Detección y expulsión en los clasificadores de objetos de Clientes inactivos</t>
  </si>
  <si>
    <t>Perdida de funcionalidad Modificación Artículos</t>
  </si>
  <si>
    <t>[Desconexión SGC] [WebHook] - Celeritas - Transmisión de estados</t>
  </si>
  <si>
    <t>[Desconexión SGC] Módulo de tasación Cloud</t>
  </si>
  <si>
    <t>[Desconexión SGC] Gestión de Incidencias y Soluciones</t>
  </si>
  <si>
    <t>Reconciliación bancaria de Cobros por tarjeta y Bizum</t>
  </si>
  <si>
    <t>Creación de un entorno específico para el Sistema de Gestión de Calidad y Sostenibilidad</t>
  </si>
  <si>
    <t>Cálculo de la franja horaria de entrega y elaboración de los KPIS de seguimiento</t>
  </si>
  <si>
    <t>[PUDOS] - Creación de alarma ante la falta de recepción de órdenes de recogidas de caducados Celeritas</t>
  </si>
  <si>
    <t>[Internacional] - Informar a FedEx del valor asegurado del envío</t>
  </si>
  <si>
    <t>[Nexus-MVP] [Web de Clientes] - Recogidas - Resolución Incidencia en la recogida causa ajena: permitir al cliente solicitar una nueva recogida</t>
  </si>
  <si>
    <t>[PUDOS] - Internalización de la gestión de envíos en punto Celeritas</t>
  </si>
  <si>
    <t>[Nexus - MVP] [PUDOS] - Desvío a PUDO al vuelo en incidencia</t>
  </si>
  <si>
    <t>[Web de Clientes] - Reportes: Suscripción Informes incidencias con disponibilidad a demanda</t>
  </si>
  <si>
    <t>Sistema de seguimiento de rutas de arrastre - Implementación de eCMR</t>
  </si>
  <si>
    <t>[Procesos] - Reenvío notificaciones envíos en incidencia estacionados</t>
  </si>
  <si>
    <t>[Desconexión SGC] [Salesforce Service] - Creación de flujos de trabajo entre Salesforce-Service y Nexia</t>
  </si>
  <si>
    <t>[Qlik] - Incluir ECCS en Analítica Comercial</t>
  </si>
  <si>
    <t>[Minerva] - Impresión del contrato en función de la etapa de la opp</t>
  </si>
  <si>
    <t>[PUDOS] [Web de Clientes] - EDP y RDP: Tarificación por bonificación de servicios 24H y 48H</t>
  </si>
  <si>
    <t>[Integración] - Publicar landing page para gestionar Devoluciones por parte de los Destinatarios - (MAS DEPORTE)</t>
  </si>
  <si>
    <t>[Salesforce] - Automatismo de asignación de casos a gestora de ingresos</t>
  </si>
  <si>
    <t>Securización entorno SENDA</t>
  </si>
  <si>
    <t>[Desconexión SGC] [Nexia] - Consulta masiva de envíos y acciones sobre los resultados + export/import en Excel</t>
  </si>
  <si>
    <t>[Desconexión SGC] [Salesforce] - Integración de GoContact IVR con el Cloud (Service)</t>
  </si>
  <si>
    <t>[Desconexión SGC] [WebHook] - Implementacion de la Plataforma de WebHooks standard</t>
  </si>
  <si>
    <t>Web Clientes​ - Automatizacion para Generacion y envio automatico de informes, Portal cliente</t>
  </si>
  <si>
    <t>Habilitar registro de incidencias "Llegada por error" y "Mercancía no enlazada" a través del código de barras del sinónimo.</t>
  </si>
  <si>
    <t>[NEXUS] [Web de clientes]- Configuración - Administración, gestión de usuarios y centros de Clientes de Venta directa (settings)</t>
  </si>
  <si>
    <t>[NEXUS] [Web de cambios] - Transformación web de cambios - Rediseño y tecnología React</t>
  </si>
  <si>
    <t>API'S para clientes Tipos Servicio Disponibles (Integración de Clientes)</t>
  </si>
  <si>
    <t>Qlik - Analítica Comercial: Dimensión Grupo de Empresas</t>
  </si>
  <si>
    <t>[Salesforce Service] - Reglas de cierre y respuesta automática de casos de envíos estacionados o ubicados</t>
  </si>
  <si>
    <t>[Minerva] - Servicios adicionales gestionables por el equipo Comercial en la creación de una oferta</t>
  </si>
  <si>
    <t>[Producto] - Código promocional</t>
  </si>
  <si>
    <t>Mapper: Posibilidad de indicar la ruta de instalación.</t>
  </si>
  <si>
    <t>[Desconexión SGC] Evolutivo - Quitar topics SGC (control point, ship-v1,..)</t>
  </si>
  <si>
    <t>[Desconexión SGC] PDA Planta-Dependencias PDA planta de SGC</t>
  </si>
  <si>
    <t>[Seguridad] PDA Planta (TO)/Gestión de Planta/ Auditoría de seguridad/Control de conductores</t>
  </si>
  <si>
    <t>[Nexus] [Producto] - Devolución Fácil /Easy Return (implantar el modelo de PT para las devoluciones)</t>
  </si>
  <si>
    <t>[PUDOS] - Filtrado - Depuración en envíos a dirección PUDO sin PER</t>
  </si>
  <si>
    <t>[Producto] - Devoluciones anticipadas: Solicitud de Devolución de Envíos al vuelo</t>
  </si>
  <si>
    <t>[PUDOS] - Resolución incidencias de Puntos CTT Express</t>
  </si>
  <si>
    <t>[Qlik] - Tasa de Retención &amp; Churn Rate (Qlik: Automatizar el modelo)</t>
  </si>
  <si>
    <t>[PUDOS] - Automatización de la facturación cruzada con las redes de puntos.</t>
  </si>
  <si>
    <t>[Nexus] [Web de Clientes] - Recogida Flexible Grabación de envíos: Permitir recogida a la carta</t>
  </si>
  <si>
    <t>Cambio de API para disponer de la información de valor y peso a declarar ante la aduana por parte del Cliente (TC)</t>
  </si>
  <si>
    <t>Nueva estrategia de integración de Clientes (TC)</t>
  </si>
  <si>
    <t>Conexión de eventos estados PT-ES/Transición de estados con eventos PT</t>
  </si>
  <si>
    <t>Revisión feedback a Clientes conectados a SGC (legacy)</t>
  </si>
  <si>
    <t>Implementación de la red Locky (TP)</t>
  </si>
  <si>
    <t>PDA Planta (TO)/Gestión de Planta/Mejoras pendientes/Solventar error de contenerización y doble registro</t>
  </si>
  <si>
    <t>PDA Planta (TO)/Gestión de Planta/Gestión FIFO en San fernando</t>
  </si>
  <si>
    <t>Servicios Preferentes/Revisión del cálculo de compromiso (TP)</t>
  </si>
  <si>
    <t>Aplicación de reglas en registros de peso y volumen (TC)</t>
  </si>
  <si>
    <t>[Desconexión SGC] [Salesforce Service] - Migración del Almacén regulador​ de SGC</t>
  </si>
  <si>
    <t>[Qlik] - APP Contact Center Integrar toda la información de casos de Salesforce</t>
  </si>
  <si>
    <t>Incluir 'audit' en los mensajes publicados en el tópico aws.delivery.fct.international-v1</t>
  </si>
  <si>
    <t>[PUDOS] [Wizard] - Funcionalidad PDA: Entrega de envíos en PUDO mediante Baliza</t>
  </si>
  <si>
    <t>[Desconexión SGC] [QLIK] Calidad de Recogidas App QLIK</t>
  </si>
  <si>
    <t>[Internacional] - Política de reintentos en la grabación de envíos internacionales en el sistema del proveedor</t>
  </si>
  <si>
    <t>[Auditoria PT] [Salesforce Sales] - (Des)Activación de clientes centros y usuarios por cese o impagos</t>
  </si>
  <si>
    <t>[Salesforce] - Gestión de casos asignados al área comercial</t>
  </si>
  <si>
    <t>[Salesforce Sales] - Nuevo Campo Cuenta tipo Cliente y centro: "Gestión por"</t>
  </si>
  <si>
    <t>[Salesforce] - Relacionar una implementación entre varios clientes que cuelgan de un mismo grupo de empresa</t>
  </si>
  <si>
    <t>[Salesforce Integración Clientes] - Automatizar el cierre de una implementación exitosa</t>
  </si>
  <si>
    <t>[SGC] - Funcionalidad de Comisión Reembolso sobre "entregados" activa</t>
  </si>
  <si>
    <t>[Desconexión SGC] [WebHook] - Dupla Logistics - Envío de estados</t>
  </si>
  <si>
    <t>[Salesforce Sales] - Disponer de un botón que permita sincronizar toda una cuenta (cliente, contactos y direcciones)</t>
  </si>
  <si>
    <t>[Salesforce]​ - Reexpedir -recanalizar- y destruir un envío por parte del equipo de ATC</t>
  </si>
  <si>
    <t>[Salesforce Integración Clientes] - Nueva lógica creación de implementaciones</t>
  </si>
  <si>
    <t>[Nexus]-[Minerva]- CTT 14h MINERVA Óptica (Nuevo producto comercial)</t>
  </si>
  <si>
    <t>[Minerva] - Dispersiones estándar de ofertas de tipo B y C</t>
  </si>
  <si>
    <t>[Qlik] - CANDIDATES MANAGEMENT (Crear un modelo para medir las campañas de MK)</t>
  </si>
  <si>
    <t>[Evolutivos SGC Finanzas] Historificación datos de facturación perdidos tras ataque informático (PENDIENTE SOLUCIÓN DE IT YA PRESENTADA)</t>
  </si>
  <si>
    <t>Seguimiento de envíos por Api Devolución retornado reexpedido y recogidas</t>
  </si>
  <si>
    <t>Qlik - Analítica Comercial - Clientes Activos</t>
  </si>
  <si>
    <t>[Qlik] - Nueva App Plan de Acogida y Acompañamiento</t>
  </si>
  <si>
    <t>[Desconexión SGC] Qlik - Migración App Territory P&amp;L - Cloud</t>
  </si>
  <si>
    <t>[Qlik] - Migración y redifinición de App Notifications Analytics - Cloud</t>
  </si>
  <si>
    <t>[Desconexión SGC] Qlik - Migración App Indicadores de siniestros - Cloud</t>
  </si>
  <si>
    <t>[Desconexión SGC] Qlik - Migración App Gestión de Estacionados - Cloud</t>
  </si>
  <si>
    <t>[Desconexión SGC] Qlik - Migración App Analítica Comercial - Cloud</t>
  </si>
  <si>
    <t>Portal Proveedores LineHaul - Plan de carga: contenerización de camiones</t>
  </si>
  <si>
    <t>[Desconexión SGC] [Salesforce] - Gestión de las canalizaciones por el equipo de Operaciones desde Salesforce</t>
  </si>
  <si>
    <t>[Salesforce] - Automatización de tarifas (en función de envíos comprometidos y rentabilidad de la cuenta)</t>
  </si>
  <si>
    <t>Estabilidad​ - Migración Conflluent​</t>
  </si>
  <si>
    <t>[PUDOS] - Entregas y Recogidas Directas en PUDO - Tránsitos ES-ES y ES-PT - Integración bidireccional de Pudos ES-PT, PT-ES</t>
  </si>
  <si>
    <t>[PUDOS] - Lockers Locky - PT​</t>
  </si>
  <si>
    <t>[SAP] Migración SAP</t>
  </si>
  <si>
    <t>[SGC] - Funcionalidad de asignación de gestora en Salesforce</t>
  </si>
  <si>
    <t>Web Clientes​ - Detalles Excel con y sin Densidades (Español-Ingles), Personalizables por el propio cliente en PortalCliente y en Finanzas</t>
  </si>
  <si>
    <t>[Compras] Implantación e-Compras - Nueva Web venta material clientes (proyecto de finanzas 2023)</t>
  </si>
  <si>
    <t>[Evolutivos SGC] Recuperar Doble click en grid inferior valoracion de servicios, no abre las tablas como antes para editar y cambios, (pérdida esta funcionalidad importante)</t>
  </si>
  <si>
    <t>[Evolutivos SGC] Adeudos manuales o automáticos, (relacionado con trabajo de auditoria interna de ES ya informada en 2022) (Validar por Procesos)</t>
  </si>
  <si>
    <t>[Evolutivos SGC Finanzas] Alarma-86 Engaño Cod. Postales (solicitado tambien a traves de BI para buscar automatización)</t>
  </si>
  <si>
    <t>[Evolutivos SGC] Cambio de agencia de cargo en un envío / Utilizacion de agencia de facturacion, (pérdida de funcionalidad)</t>
  </si>
  <si>
    <t>[Evolutivos SGC] Recuperar Acceso a modificacion de tarifas y configuracion del "Microservicio" (pérdida de funcionalidad importante)</t>
  </si>
  <si>
    <t>[Evolutivos SGC Finanzas] Inclusión del Cliente Máster en todos los módulos de SGC ahora no lo están (esta ligado con el anterior)</t>
  </si>
  <si>
    <t>[Evolutivos SGC] Aplicación de la densidad cuando el CP no existe, confirmar IT si todo el proceso esta acabado (Incidencia)</t>
  </si>
  <si>
    <t>[Evolutivos SGC Finanzas] Validación de país y CP en manifiestos</t>
  </si>
  <si>
    <t>[Evolutivos SGC] Cambio de código de Cliente al rectificar un servicio, confirmar IT si todo el proceso esta acabado (Incidencia)</t>
  </si>
  <si>
    <t>[Evolutivos SGC] Aplicar correctamente los impuestos en función de la combinación artículo-zona, Solicitud de 2015 potenciales problemas fiscales</t>
  </si>
  <si>
    <t>[Evolutivos SGC Finanzas] Revisión de las lógicas de generación de facturas en 2º plano</t>
  </si>
  <si>
    <t>[Evolutivos SGC] Visibilidad de cargos manuales históricos facturados (mejora)</t>
  </si>
  <si>
    <t>[Alarmas Finanzas] Servicios pendientes de meses anteriores que pasen al mes siguiente a modulo de facturación una vez cerrado el mes (PENDIENTE DE SOLUCIÓN DE IT YA PRESENTADA)</t>
  </si>
  <si>
    <t>[Evolutivo SGC] Adeudos RE2 y RE11 cargados el último día del mes pasadas las 17:00 horas (Pasar a Operaciones)</t>
  </si>
  <si>
    <t>[Evolutivo SGC] Desarrollar un sistema de refacturación a los brokers para que automáticamente podamos refacturarles los costes de recogida cuando se apliquen a brokers sin coste de recogida</t>
  </si>
  <si>
    <t>[Evolutivos SGC Finanzas] Posibilidad de filtrar en Valoracion de servicios por Microservicio de Tasación "Proceso SINO"</t>
  </si>
  <si>
    <t>[Auditoria PT] [Gestión Clientes] Yndika - Solicitudes realizadas para conectividad con Yndika (proyecto modulo de admisión)</t>
  </si>
  <si>
    <t>[Alarmas Financieras] Alarma-78 Garantizar la igualación de datos de clientes en tres herramientas. (SGC-Salesforce-SAP)</t>
  </si>
  <si>
    <t>[NEXUS] [Auditoria PT] [SAP] - Mejora y/o renovación del Interface Salesforce + SGC + SAP</t>
  </si>
  <si>
    <t>[SAP] Recargo de equivalencia (módulo +) Esta evolucion debe ser en SGC y en el interface de SAP no viaja</t>
  </si>
  <si>
    <t>[Desconexión SGC] [Evolutivos SGC Finanzas] Automatización proceso gestión documental siniestros</t>
  </si>
  <si>
    <t>[Alarmas Finanzas] Alarma-55 Envíos pendientes de valorizar o sin facturar del mes anterior</t>
  </si>
  <si>
    <t>[Alarmas Finanzas] Alarma-56 Envíos abonados más de una vez</t>
  </si>
  <si>
    <t>[Alarmas Finanzas] Alarma-75 Comprobar envíos en agencias desactivadas</t>
  </si>
  <si>
    <t>[Alarmas Financieras] Alarma-41 Informe de nº envíos-discrepancias tráfico-facturación (se esta trabajando internamente también)</t>
  </si>
  <si>
    <t>API'S para clientes Routing y Canalizaciones (Integración de Clientes)</t>
  </si>
  <si>
    <t>Desenvolvimentos CNE no âmbito do Correio Inteligente</t>
  </si>
  <si>
    <t>ESW | Criação de novo agente AI para validação de código obsoleto</t>
  </si>
  <si>
    <t>Correio Inteligente - Alarmística</t>
  </si>
  <si>
    <t>STICO - Migração de Pipelines ADO2Github</t>
  </si>
  <si>
    <t>Eliminação TLS 1.0 - Comunicação info T&amp;T com MEO</t>
  </si>
  <si>
    <t>Amazon | Serviço POD (Prova de Entrega)</t>
  </si>
  <si>
    <t>BCTT - Relatório Sendgrid</t>
  </si>
  <si>
    <t>Citrix nas lojas - Análise para Eliminação / substituição</t>
  </si>
  <si>
    <t>Github Migration - Aplicações Canais Digitais</t>
  </si>
  <si>
    <t>dotCMS - update da versão</t>
  </si>
  <si>
    <t>ODM - Uniformização Ambiente Produtivo</t>
  </si>
  <si>
    <t>Migração ADO2GitHub - Pipeline ODM</t>
  </si>
  <si>
    <t>Migração ADO2GitHub - Pipelines CRM</t>
  </si>
  <si>
    <t>Mata Aplicações - Wave 1.15 - CRM Oracle Sales</t>
  </si>
  <si>
    <t>ESW | EQA | Utilização Regular da Automação de QA em Regressões</t>
  </si>
  <si>
    <t>ESW | EQA |Estabilização de Testes Automáticos Existentes de QA</t>
  </si>
  <si>
    <t>ESW | EQA | Implementação de Automação Básica de QA em Aplicações Críticas</t>
  </si>
  <si>
    <t>ESW | EQA | Definição de Checklist Mínimo de QA por Projeto</t>
  </si>
  <si>
    <t>INT| - Alarmística MuleSoft</t>
  </si>
  <si>
    <t>INT| - Reconstrução dos processos de LOGs do SD mulesoft no ELK coorporativo.</t>
  </si>
  <si>
    <t>INT| - Mata Aplicações Wave 1.1X - Solução de Transformação</t>
  </si>
  <si>
    <t>INT | Mulesoft – Refatorização de Aplicações</t>
  </si>
  <si>
    <t>INT | Migração da solução da Knowledge Base atual para uma solução Knowledge Base coorporativa</t>
  </si>
  <si>
    <t>INT| Descontinuar os serviços suportados pelo Biztalk</t>
  </si>
  <si>
    <t>INT| - Mata Aplicações Wave 1.1X - Tradutor</t>
  </si>
  <si>
    <t>XRP | Alteração do fluxo de contabilização</t>
  </si>
  <si>
    <t>XRP | Refaturação entre empresas</t>
  </si>
  <si>
    <t>Implementação QuickWins MagicBeans</t>
  </si>
  <si>
    <t>Evolutivos Nave Janeiro e Março 2026</t>
  </si>
  <si>
    <t>Aviso de Receção (AR) Digital | Envios SuperPortal, Prestadores e Super App</t>
  </si>
  <si>
    <t>Galaxy - Jornada de envios – Jornada Expresso nacional</t>
  </si>
  <si>
    <t>Galaxy - Jornada de envios – Push recolha destinatário</t>
  </si>
  <si>
    <t>GitHub Migration - Aplicações Wave 1</t>
  </si>
  <si>
    <t>Moneyball - Gestão de Consentimentos</t>
  </si>
  <si>
    <t>Paperless - Guia expresso passar de 3 vias para 2, em apenas uma página</t>
  </si>
  <si>
    <t>SGEE - Migração de Pipelines ADO2Github</t>
  </si>
  <si>
    <t>GENAI - CIS - AI Automation - BO Faturação</t>
  </si>
  <si>
    <t>MobiCTT - Migração de Pipelines ADO2Github</t>
  </si>
  <si>
    <t>Incremento ao projeto LFT - Volume certificado e não certificado</t>
  </si>
  <si>
    <t>Faturas PDF | SuperApp - Faturação Portagens</t>
  </si>
  <si>
    <t>Renovação ativos rede Datacenter CTT Express (Lisboa e Barcelona)</t>
  </si>
  <si>
    <t>Renovação DNS - Infoblox</t>
  </si>
  <si>
    <t>Renovação core LAN Porto</t>
  </si>
  <si>
    <t>Renovação Firewalls Perímetro - CheckPoint</t>
  </si>
  <si>
    <t>Reformulação do serviço AOS</t>
  </si>
  <si>
    <t>Reformulação do serviço HDDTM</t>
  </si>
  <si>
    <t>Renovaçao dos contratos de outsouricng COM</t>
  </si>
  <si>
    <t>Plano de formação (global e board)</t>
  </si>
  <si>
    <t>Sites e Aplicativos | Melhorias às plataformas - JAN e FEV 2026</t>
  </si>
  <si>
    <t>Ecossistema B2C – Evolutiva - JAN e FEV 2026</t>
  </si>
  <si>
    <t>Área de Cliente CTT - Empresas| Agile Way JAN e FEV 2026</t>
  </si>
  <si>
    <t>Super B2C (App + Área Cliente) | Incluir publicidade genérica do Banco CTT nos canais digitais dos CTT</t>
  </si>
  <si>
    <t>Super B2C (App + Área Cliente) | Alterar forma de gerar push notification na App</t>
  </si>
  <si>
    <t>INTERNACIONAL | IPS Instalar a versão do package #31 (technical version 13.1.31)</t>
  </si>
  <si>
    <t>PAI NATAL SOLIDÁRIO</t>
  </si>
  <si>
    <t>Morada virtual | Serviço de subscrição</t>
  </si>
  <si>
    <t>Melhorias ao processo de envio de comunicações da Zurich</t>
  </si>
  <si>
    <t>Criação de chatbot no portal ctt expresso</t>
  </si>
  <si>
    <t>Criação de chatbot no super portal</t>
  </si>
  <si>
    <t>Paperless - Faturação eletrónica em loja</t>
  </si>
  <si>
    <t>Serviço de envio de emails sediado na europa</t>
  </si>
  <si>
    <t>DeMinimis EUA - Solução para retomar os envios de Bens para os EUA para os clientes não contratuais</t>
  </si>
  <si>
    <t>ESW | Integração de Crashlytics nas aplicações mobile</t>
  </si>
  <si>
    <t>Upgrade plataforma OutSystems para versão 11.40.0</t>
  </si>
  <si>
    <t>Modernização do Processo de Devolução – Fim dos Carimbos usados no CDP</t>
  </si>
  <si>
    <t>Auditoria 2.0 - Criação de Data Lake para implementação de Auditoria Contínua e Auditoria à Distancia - Entrega Modelos Analíticos</t>
  </si>
  <si>
    <t>Nexus 2 | We Serve - Integración eventos e manifestos desde CTT PT</t>
  </si>
  <si>
    <t>Envios Online &amp; Super APP | Serviço de Ponto de Entrega</t>
  </si>
  <si>
    <t>Plataforma de Gestão Documental IGCP</t>
  </si>
  <si>
    <t>ODIN | Separação dos clusters ODIN (IDP) por unidade de negócio</t>
  </si>
  <si>
    <t>Milytech| Alteração à extração de dados de envios</t>
  </si>
  <si>
    <t>Amazon | Serviço Especial Feriado</t>
  </si>
  <si>
    <t>Descontinuação Doxenter - Wave 2</t>
  </si>
  <si>
    <t>Faturação do produto C65 - Tracked Simples - Alteração Pré-Aviso</t>
  </si>
  <si>
    <t>Implementação de modulo de Planeamento de Transportes em Drivian e Descontinuação do Sigest</t>
  </si>
  <si>
    <t>Configuração SAP para Introdução de IBANs da região SEPA</t>
  </si>
  <si>
    <t>Faturação de Cliente Ocasional - SAP</t>
  </si>
  <si>
    <t>Revamp BIC - Indicadores diários e mensais de negócio</t>
  </si>
  <si>
    <t>Mata Aplicações - Wave 1.14</t>
  </si>
  <si>
    <t>Incrementos à solução SLA</t>
  </si>
  <si>
    <t>Evolução contínua First&amp;laste Mile</t>
  </si>
  <si>
    <t>Incremento ao Safeplace c/ Integração LMS (Decoupling Brain)</t>
  </si>
  <si>
    <t>Validação Automática de Códigos Postais Internacionais</t>
  </si>
  <si>
    <t>GPB2C | Parceria Unicâmbio - Operacionalização de serviço de cambio</t>
  </si>
  <si>
    <t>Aviso de Receção (AR) Digital nos Postos</t>
  </si>
  <si>
    <t>Novo Catálogo de Aplicações (Atlas 2.0)</t>
  </si>
  <si>
    <t>Informação das vendas por colaborador E nif</t>
  </si>
  <si>
    <t>Indicadores para Planeamento e Controlo (transações manuais)</t>
  </si>
  <si>
    <t>Internacional | PA | Evolução da Linha de Tratamento Manual</t>
  </si>
  <si>
    <t>Pai Natal Solidário 2025</t>
  </si>
  <si>
    <t>Descontinuação do winreg</t>
  </si>
  <si>
    <t>Novo Aceitação imediata de objetos expresso em lockerProjeto</t>
  </si>
  <si>
    <t>QOS ibérico</t>
  </si>
  <si>
    <t>Evolução PBI ‘qualidade correio nacional código laranja’ – segregação correio franqueado</t>
  </si>
  <si>
    <t>Expresso Internacional Premium | Disponibilização do produto no segmento ocasional</t>
  </si>
  <si>
    <t>Notificações Expresso | Aceitação no PUDO (Pedido ZALANDO)</t>
  </si>
  <si>
    <t>Atendimento a nova Regulação aduaneiro de simplificação da exportação (SIMPLEX EXPORTAÇÃO)</t>
  </si>
  <si>
    <t>Avaliação do custo de extensão do licenciamento atual para a utilização do serviço webhook - BKTER</t>
  </si>
  <si>
    <t>Adaptação ao De Minimis dos Estados Unidos da América</t>
  </si>
  <si>
    <t>SGEE - Descontinuação FTP</t>
  </si>
  <si>
    <t>SRP - Descontinuação FTP</t>
  </si>
  <si>
    <t>TTEVOB - Descontinuação FTP</t>
  </si>
  <si>
    <t>PEF - Descontinuação da utilização do FTP</t>
  </si>
  <si>
    <t>SAPSF - Solução de Interoperabilidade com a Segurança Social (Regulatório)</t>
  </si>
  <si>
    <t>Migração CTT Express ADO2BMAP</t>
  </si>
  <si>
    <t>SAPSF - encriptação ficheiros SEPA CTT + CTTE</t>
  </si>
  <si>
    <t>Ariba - migração para SAP R/3 dos dados do fornecedor em SAP Rise</t>
  </si>
  <si>
    <t>Galaxy - Jornada de envios – Melhorias técnicas</t>
  </si>
  <si>
    <t>Alterações nos Relatórios do DEM para pagamentos MB WAY</t>
  </si>
  <si>
    <t>APT | Observabilidade (Alarmística)</t>
  </si>
  <si>
    <t>1º Wave da Auditoria aos processos de autorização e autenticação dos sistemas de informação: GVP | GCA</t>
  </si>
  <si>
    <t>Agentes Payshop - criação de base de dados certificada com ligação a ferramenta de edição/consulta</t>
  </si>
  <si>
    <t>Faturação Agentes Payshop - automatização e integração processo CTT</t>
  </si>
  <si>
    <t>Reconfiguração de Zonas de Taxação | Produtos Internacionais Expresso</t>
  </si>
  <si>
    <t>SAPSF P&amp;G | Migração de relatórios -&gt; People Analytics</t>
  </si>
  <si>
    <t>Logística - Utilização de Porta Paletes Autónomos</t>
  </si>
  <si>
    <t>Integração Automaise - Novo Voice Bot - Substituir as atuais "primas"</t>
  </si>
  <si>
    <t>Mata Aplicações - Wave 1.X - ELS</t>
  </si>
  <si>
    <t>DSD | Criar as Listas de Correio Registado e de EMS em Simultâneo</t>
  </si>
  <si>
    <t>D. Oferta - atualização base de dados dos empregados CTT em NAVe</t>
  </si>
  <si>
    <t>Descontinuação das Guias em Papel e Aplicações Locais – Introdução de um custo adicional</t>
  </si>
  <si>
    <t>CORP - Covline - Integração de clientes e contratos via kafka</t>
  </si>
  <si>
    <t>Novo modelo de integração SAP SF com Paynest</t>
  </si>
  <si>
    <t>Automatização de validação do QR Code de Selos</t>
  </si>
  <si>
    <t>Automatização do Registo de Tarefas em CRM Provenientes de Interações em GoContact</t>
  </si>
  <si>
    <t>Criação de Ordens de Fornecimento SAP/R3</t>
  </si>
  <si>
    <t>Ecossistema B2C – Evolutiva - Setembro e Outubro</t>
  </si>
  <si>
    <t>Implementação da interface entre o Banco Santander e os sistemas de produção documental (PEF)_Providenciar comunicação via API com o cliente</t>
  </si>
  <si>
    <t>Evolução do PBI ‘Qualidade Correio Nacional Código Laranja’</t>
  </si>
  <si>
    <t>Gestão de Stocks Vending em SAP</t>
  </si>
  <si>
    <t>Amazon | Informação complementar de fechos ocasionais e férias</t>
  </si>
  <si>
    <t>Contabilização de Saldo Remanescente e separação entre Mail e Express no âmbito da oferta Pack de Envios</t>
  </si>
  <si>
    <t>[Peak season] Criação de controlos de atividade na autofaturação</t>
  </si>
  <si>
    <t>Internacional | SIMTEM | Declarar objetos da via Marítima e da Rodovia e atualização de novas regras de tratamento para todas as vias de transporte (parte 4/4)</t>
  </si>
  <si>
    <t>IOP | Implementação DR Payshop - ZERTO</t>
  </si>
  <si>
    <t>Evolução Modelo de Incentivos Distribuição</t>
  </si>
  <si>
    <t>Alteração da Autenticação dos Distribuidores nos Lockers</t>
  </si>
  <si>
    <t>[Projeto One Million] Redução backlog objetos expresso</t>
  </si>
  <si>
    <t>GALAXY | Identificação dos Clientes nas Lojas Físicas</t>
  </si>
  <si>
    <t>Módulo de Compliance Payshop</t>
  </si>
  <si>
    <t>Galaxy | MCE &amp; CDP - Nova Fase pós MVP - Equipa ENABLER Salesforce (AGILE WAY)</t>
  </si>
  <si>
    <t>GP B2C – BO Site CTT - Simulador Certificados de Aforro / App CTT – Aforro Digital</t>
  </si>
  <si>
    <t>Área de Cliente CTT - Empresas| Agile Way NOV e DEZ 2025</t>
  </si>
  <si>
    <t>IOP | Instalação e Ativação da Componente Guardian - Nova Hyper V</t>
  </si>
  <si>
    <t>[Peak Season] Last Mile - Gestão da Distribuição</t>
  </si>
  <si>
    <t>Alteração Talão Vales Postais superiores a 1.000€ - recomendação auditoria REC/ASN:2025-0015</t>
  </si>
  <si>
    <t>Autenticação Legacy Email - Envio de emails (MyCTT; Recrutamento; SmartGov; Teleponto) - Protocolos de autenticação que vão ser descontinuados!</t>
  </si>
  <si>
    <t>Sites e Aplicativos | Melhorias às plataformas - Setembro e Outubro 2025 2025</t>
  </si>
  <si>
    <t>Nova Entidade Certificadora (CA) Autoridade Tributária e Aduaneira (AT).</t>
  </si>
  <si>
    <t>IOP | Sistemas - Migração - Nova Farm Hyper V Lisboa - Wave 3</t>
  </si>
  <si>
    <t>Lojas com necessidade de 2 máquinas dispensadoras de senhas</t>
  </si>
  <si>
    <t>Automação da Criação de listas técnicas Filatelia</t>
  </si>
  <si>
    <t>WFA | Incremento 3 | Férias</t>
  </si>
  <si>
    <t>Controlo dos Subadiantamentos (numerário) – cód. 011 - Auditoria REC/ARC 2024_1399</t>
  </si>
  <si>
    <t>BCTT - renovação de equipamentos lojas especializadas</t>
  </si>
  <si>
    <t>Teleponto / Dol - Registo de situações de doenças</t>
  </si>
  <si>
    <t>Substituição do IOS</t>
  </si>
  <si>
    <t>Otimização CRB</t>
  </si>
  <si>
    <t>Máquina vending machines: Associação de Receita, Faturação e gestão de stock</t>
  </si>
  <si>
    <t>IOS - Novo Extrator de dados da aplicação IOS</t>
  </si>
  <si>
    <t>IOP | Sistemas - Migração - Nova Farm Hyper V Lisboa - Wave 2</t>
  </si>
  <si>
    <t>SAP BRIM - Recuperação de Receita ( 1 Million)</t>
  </si>
  <si>
    <t>Portal Empresas | Descontinuar a Área de Cliente Correio WAVE 3</t>
  </si>
  <si>
    <t>Portal Empresas | Descontinuar a Área de Cliente Correio WAVE 2</t>
  </si>
  <si>
    <t>Tratamento de rejeitados no SD - Eliminar pré-avisos com CP ficticios (BG4)</t>
  </si>
  <si>
    <t>Tratamento de rejeitados no SD - Entrada de pré-aviso pós primeira passagem do objeto na rede de tratamento (BG3)</t>
  </si>
  <si>
    <t>[Peak Season] SD: Distribuição Clientes VIP</t>
  </si>
  <si>
    <t>Leitura de código laranja - manutenção evolutiva - local de picagem</t>
  </si>
  <si>
    <t>Informação normalizada (Indicadores de Gestão IG) - Fusão relatório 65 no 59 (2º e 3º fase)</t>
  </si>
  <si>
    <t>BCTT - disponibilização de logs via SFTP</t>
  </si>
  <si>
    <t>SAPSF Evolução Integrações Sistemas a montante (Teleponto + AD + IOS)</t>
  </si>
  <si>
    <t>Pay - Realese 2 de 2025 Versão v.1.0.14_20241231 do Manual do Banco de Portugal</t>
  </si>
  <si>
    <t>Auditoria a Payroll Processos PAS – Fase 1.1</t>
  </si>
  <si>
    <t>Plataforma Analytics | Incorporação de custos de Recolha &amp; Handling</t>
  </si>
  <si>
    <t>Desagregar a Intranet de Outsystems ( Acção Post Mortem - INC1002170)</t>
  </si>
  <si>
    <t>El corte Inglês - Relatorios de Conciliação forma automatica</t>
  </si>
  <si>
    <t>solução de atualização de tracking em real time - Cliente Veryfex (Prozis)</t>
  </si>
  <si>
    <t>Sites e Aplicativos | Melhorias às plataformas - Julho e Agosto 2025</t>
  </si>
  <si>
    <t>Revamp ViaCTT – 2ª Fase</t>
  </si>
  <si>
    <t>Auditoria EY - Criação de Web Service para interfaces entre a aplicação IOS e a Médis</t>
  </si>
  <si>
    <t>Telemetria - (Mobi) Descontinuação do Boletim de Veiculo</t>
  </si>
  <si>
    <t>Fornecimentos automáticos de material vendável às lojas</t>
  </si>
  <si>
    <t>Nexus | We Bill | CTT Express Migração para SAP S4 Hana</t>
  </si>
  <si>
    <t>Ligação do AgilePoint à BD do CoE IAP</t>
  </si>
  <si>
    <t>Nexus | P&amp;S | Implementação da oferta ibérica</t>
  </si>
  <si>
    <t>EVOLUTIVOS OPERA - Desenvolvimento de Solução para Indexação e Enriquecimento de Dados</t>
  </si>
  <si>
    <t>Solução de Gestão de Viagens</t>
  </si>
  <si>
    <t>Telemetria - (Mobi) Validação de kms e passagem de Giro</t>
  </si>
  <si>
    <t>BCTT - extensão do contrato de multifunções a 321 credito</t>
  </si>
  <si>
    <t>TFE - Tempo em fila espera - ajuste à nova metrica dos IQS</t>
  </si>
  <si>
    <t>Super Portal | Descontinuar a Área de Cliente Correio - WAVE 1</t>
  </si>
  <si>
    <t>Coimas - Configuração /Mapeamentos SAP</t>
  </si>
  <si>
    <t>revamp.EPM - Migração para cloud - Framework CPM 360 Baseline (BCR)</t>
  </si>
  <si>
    <t>Alteração Ficheiro Pontos CTT - Cliente Nespresso</t>
  </si>
  <si>
    <t>XRP | RPA para substituição da integração com BPM</t>
  </si>
  <si>
    <t>XRP | ADL Gestão de Frota</t>
  </si>
  <si>
    <t>AGENDA PRR - Integração com Parceiros</t>
  </si>
  <si>
    <t>Pay I Cartões e Terminais incremento 2</t>
  </si>
  <si>
    <t>Segurança da Informação - revisão anual 2025 de Políticas e Normativos</t>
  </si>
  <si>
    <t>Proteção Avançada para a Interface do PayByLink</t>
  </si>
  <si>
    <t>Auditoria a Payroll Processos PAS – Fase 1</t>
  </si>
  <si>
    <t>MOBI_Criar QR de saida para distribuição</t>
  </si>
  <si>
    <t>APT | Migração APIs IBM para Mulesoft - Iniciativa1 - Sprint 1 e 2</t>
  </si>
  <si>
    <t>Definição de Política de Gestão de Risco Cyber</t>
  </si>
  <si>
    <t>APT | Mata Aplicações - Wave 1.13</t>
  </si>
  <si>
    <t>Definição de modelo de governo para gestão de segurança da informação, compliance e gestão de risco</t>
  </si>
  <si>
    <t>SOC - operacionalização do serviço</t>
  </si>
  <si>
    <t>CESOP - Reporte Regulatório AT</t>
  </si>
  <si>
    <t>Upgrade SAP Hana: Evolução do SAP R3 para S4 Hana - Fase 1</t>
  </si>
  <si>
    <t>Avaliação de Novo Software de Contact Center</t>
  </si>
  <si>
    <t>Upgrade Cluster Starburst e Migração datacenter</t>
  </si>
  <si>
    <t>Aceitação Correio Empresarial - Refactoring</t>
  </si>
  <si>
    <t>Tradução do Site e da App</t>
  </si>
  <si>
    <t>Implementação decisões regulatórias Congresso Riyadh_IMPLEMENTAÇÃO até 1 DE JANEIRO 2026</t>
  </si>
  <si>
    <t>Analytics | Implementação GAds (BigQuery)</t>
  </si>
  <si>
    <t>APT | Mata Aplicações Wave 1.12 - GCC</t>
  </si>
  <si>
    <t>Descontinuação do express2me para a super app</t>
  </si>
  <si>
    <t>Evolução Pesquisa Pontos de Contacto CTT</t>
  </si>
  <si>
    <t>GPB2C | Via Verde – Repositório de informação</t>
  </si>
  <si>
    <t>IOP | Redução da Obsolescência Protocolos TLS 1.0 &amp; 1.1 WAVE 4 - Servidores Unix</t>
  </si>
  <si>
    <t>IOP | Redução da Obsolescência Protocolos TLS 1.0 &amp; 1.1 WAVE 3</t>
  </si>
  <si>
    <t>IOP | Redução da Obsolescência Protocolos TLS 1.0 &amp; 1.1 WAVE 2</t>
  </si>
  <si>
    <t>CRM | SPRINKLR - Irá existir uma alteração ao nivel das APIs da Sprinklr pelo que deverão ser necessários ajustes à integração com o CRM</t>
  </si>
  <si>
    <t>A receita dos Pontos ctt não NAVe</t>
  </si>
  <si>
    <t>Canal de Denúncias</t>
  </si>
  <si>
    <t>Servidor Decisões: Update automatico para a nova versão ODM</t>
  </si>
  <si>
    <t>GPB2C | Apartados - Adaptação Tecnologia Locky e Otimização de Recolha de Dados</t>
  </si>
  <si>
    <t>Internacional | Regulatório | Certificação da Exportação</t>
  </si>
  <si>
    <t>Portal Prestadores Ibérico - Indicadores de Gestão Line Haul</t>
  </si>
  <si>
    <t>Liquidação de objetos CTT à cobrança</t>
  </si>
  <si>
    <t>Desmaterialização Documentos Multicare</t>
  </si>
  <si>
    <t>Descontinuação do SGCP e GIEP - Migração de Funcionalidades uma nova aplicação</t>
  </si>
  <si>
    <t>DART Team - Recomendações CTT</t>
  </si>
  <si>
    <t>Correio Inteligente - Solução Multicliente</t>
  </si>
  <si>
    <t>Novo Modelo de Replicação de Dados Contratuais</t>
  </si>
  <si>
    <t>Correção Mapeamento informático - metadados Vales Pagos internacionais</t>
  </si>
  <si>
    <t>Redução do número de sms enviados aos clientes</t>
  </si>
  <si>
    <t>Migração da operação de MM assente na plataforma Iris para a New Spring</t>
  </si>
  <si>
    <t>IOP | Evolução da Private Key Infrastructure (PKI) dos CTT</t>
  </si>
  <si>
    <t>GALAXY (Stream Periféricos)| Centralização de Impressão de Vales em PEF e Cheques</t>
  </si>
  <si>
    <t>APT | Migração/Reconstrução das APIs IBM (IIB e APIC) em Mulesoft - MVP</t>
  </si>
  <si>
    <t>Alteração Canal Produtos Pagamentos B2C</t>
  </si>
  <si>
    <t>Protótipo Máquina de Selos machines: Associação de Receita e Faturação</t>
  </si>
  <si>
    <t>Afetação Receita Vendas Loja Online a Gestores de clientes e hierarquia</t>
  </si>
  <si>
    <t>GPECL/DIS |PACK EXPRESSO Contabilização automática e Re-atribuição do centro de lucro</t>
  </si>
  <si>
    <t>GP ECL/INT - Erros envolvendo DHL - Objeto CTT que gera múltiplas Cartas de Porte DHL (AWB DHL Express)</t>
  </si>
  <si>
    <t>Alteração de dados à query designada por Sandra Teams PUDO para loky 16-10-2023</t>
  </si>
  <si>
    <t>Power Bi | CRM - Acesso a Informação do CRM através do PowerBi</t>
  </si>
  <si>
    <t>Sites CTT e Payshop | Inclusão dos Agentes Payshop na pesquisa de Pontos de Contacto CTT</t>
  </si>
  <si>
    <t>Helena Evolução + Arquitetura de referência para Soluções AI</t>
  </si>
  <si>
    <t>PDFs Gerados de Listagens lojas estão alojados nos servidores do Nave</t>
  </si>
  <si>
    <t>Reporting Gestão - Automatização Processos e Produção de outputs</t>
  </si>
  <si>
    <t>Análise e correção de dependências entre aplicações B2B e B2C em OutSystems</t>
  </si>
  <si>
    <t>Data Hub - Monitorização e Backup</t>
  </si>
  <si>
    <t>Desmaterialização dos Envios de Correio e Encomendas - Envios Online Únicos (Correio e Expresso)</t>
  </si>
  <si>
    <t>GALAXY (Stream Periféricos)| Substituição de leitor ótico por leitor de código de barras nos Vales</t>
  </si>
  <si>
    <t>COOKIES - Implementação do Google Consent Mode nos Aplicativos e da Gestão das cookies nos aplicativos B2B</t>
  </si>
  <si>
    <t>[Peak Season] Tratamento de rejeitados no SD - Tipificar, isolar e informar (BG1): Rejeição por falta de pré-aviso</t>
  </si>
  <si>
    <t>Afetação correta da receita de produtos/serviços faturados fora do SAP ao respetivo gestor comercial B2B e Lojas e Loja Online</t>
  </si>
  <si>
    <t>Integração do ficheiro de pré-aviso do cliente ETCP / MEO com entrega direta em ponto</t>
  </si>
  <si>
    <t>Substituição da aplicação de faturação do P&amp;F</t>
  </si>
  <si>
    <t>Eliminação da impressão da guia da Loja na aceitação de objetos CTT Expresso (contratual e ocasional)</t>
  </si>
  <si>
    <t>BancoCTT - Redução horário Tesouraria | Automatização do horário da senha D</t>
  </si>
  <si>
    <t>Criação Seção dados Complementares</t>
  </si>
  <si>
    <t>Implementação do software da Western Union (WUPOS) em NAVe e integração com todos os sistemas centrais</t>
  </si>
  <si>
    <t>IOP | Internet - visibilidade sobre utilização e qualidade do serviço</t>
  </si>
  <si>
    <t>Comunicações - Wifi 321 Crédito - Porto</t>
  </si>
  <si>
    <t>CRM I Criação de reporting em Power BI para controlo do tratamento de solicitações</t>
  </si>
  <si>
    <t>Formulário Criar Envio de Correio Internacional | Supressão do Serviço Especial de Cobrança no Correio Registado para o âmbito Internacional</t>
  </si>
  <si>
    <t>Descontinuação do PIPOLI</t>
  </si>
  <si>
    <t>Informação Clientes Ocasionais</t>
  </si>
  <si>
    <t>ETCP - Anomalia na Integração do ficheiro das recolhas</t>
  </si>
  <si>
    <t>Criação de Novo Site CTT Express</t>
  </si>
  <si>
    <t>Pagamento de Vales Nacionais e Internacionais - Finalização do pagamento apenas após procedimentos de RCTO concluídos</t>
  </si>
  <si>
    <t>Melhorias área cliente correio</t>
  </si>
  <si>
    <t>GPB2C | Inibição de Pagamentos a Entidades Coletivas Singulares no Nave e no STA</t>
  </si>
  <si>
    <t>MRP Armazém Central CTT</t>
  </si>
  <si>
    <t>Automatização Revisão Alertas AML (Payshop)</t>
  </si>
  <si>
    <t>Permitir que a api de criação de guias multiprodutos possa ser utilizada por clientes que não sejam preparadores</t>
  </si>
  <si>
    <t>Apresentação Imagens BOL LCD LOJAS</t>
  </si>
  <si>
    <t>Banco CTT - Alteração Processo Faturação</t>
  </si>
  <si>
    <t>El corte Inglês - Objetos Back</t>
  </si>
  <si>
    <t>PAY - Instrumento Transferências - Alteração Requisitos - Fev</t>
  </si>
  <si>
    <t>IOP | ClearPass - alargar cobertura da solução de Network Access Control</t>
  </si>
  <si>
    <t>IOP | Segregação da Rede Privada</t>
  </si>
  <si>
    <t>GPECL/DIS - Notificações Sábado e Domingo // alteração do processo de indicação da data de entrega</t>
  </si>
  <si>
    <t>Evolução tecnológica do PIAO</t>
  </si>
  <si>
    <t>IOP | Obsolescência WAVE 2 - Matar/Upgrade Oracle DB, IBM DB2 para ultimas versões suportadas (mínimo n-1)</t>
  </si>
  <si>
    <t>IOP | Obsolescência WAVE 1 - Matar/Upgrade SQL Server anterior a 2019</t>
  </si>
  <si>
    <t>IOP | Obsolescência WAVE 1 - Windows 7 (evoluir para windows 11)</t>
  </si>
  <si>
    <t>IOP | Obsolescência Infraestrutura WAVE 0 - Converter LDAP em LDAPS (ENABLERS)</t>
  </si>
  <si>
    <t>Obsolescência WAVE 0 - Converter LDAP em LDAPS (BCTT)</t>
  </si>
  <si>
    <t>Analytics | Implementação da DL no GA para os aplicativos que não estão em falta</t>
  </si>
  <si>
    <t>Analytics | Evolução das implementações DL p/ GA4 feitas nos aplicativos web/mobile 1ª e 2ª Fase</t>
  </si>
  <si>
    <t>Iberian - Incremento Visão de tratamento por KG's, Restantes Kpi's</t>
  </si>
  <si>
    <t>PRODUTOS COM LEITURA OBRIGATORIA DE CODIGO DE IDENTIFICAÇÂO</t>
  </si>
  <si>
    <t>Report automatizado para Crédito Pessoal</t>
  </si>
  <si>
    <t>SSM - validação dos dados registados em NAVe, previamente à sua conclusão</t>
  </si>
  <si>
    <t>UPDATE | SOLUÇÃO TRANSFORMAÇÃO | RELATÓRIO SERIAL NUMBER EXPEDIÇÃO</t>
  </si>
  <si>
    <t>IOP | CrushFTP - migração de CentOS para Ubuntu</t>
  </si>
  <si>
    <t>PAY - Instrumento Transferências - Alteração de requisitos definidos pelo BdP - março</t>
  </si>
  <si>
    <t>Banco CTT - Gestão de Acessos em SAP4Hana</t>
  </si>
  <si>
    <t>BCTT Sincronização Robin &amp; O365</t>
  </si>
  <si>
    <t>Faturas PDF | Processo Certificação, SECF e Plafons Combustivel</t>
  </si>
  <si>
    <t>Planeamento e Controlo Diário - Conciliação Modelo A</t>
  </si>
  <si>
    <t>Geração de ficheiro excel com dados NEV</t>
  </si>
  <si>
    <t>Workforce Analytics - Incremento Integração Indicadores Espanha</t>
  </si>
  <si>
    <t>Incusão de informação da “Faturação prevista” e “Tráfego previsto nos Relatorios</t>
  </si>
  <si>
    <t>Aplicação OPL6 compromete a segurança do ecossistema CTT,</t>
  </si>
  <si>
    <t>Solução de Gestão de Despesas de colaborador</t>
  </si>
  <si>
    <t>Nova Oferta produtos Untracked e Tracked Simples - melhoria de informação site TT 2023 07 24</t>
  </si>
  <si>
    <t>Kiosk de Envios Self-service: Instalação/Configurações de Cabo de Rede</t>
  </si>
  <si>
    <t>GPB2C | Subsidio Social de Mobilidade - Recomendações de Auditoria (Nº 21001/23)</t>
  </si>
  <si>
    <t>Relatorio SAP Hana - Dados de Clientes Objetos à Cobrança</t>
  </si>
  <si>
    <t>Onboarding POP - retificação de interface de criação de entidade</t>
  </si>
  <si>
    <t>Modelo de Analise de Variação de Negocio (Efeitos Trafego e Preço)</t>
  </si>
  <si>
    <t>CTT Sol. Empresariais - GSB2B/BFT_Melhorias ao Processo de Faturação</t>
  </si>
  <si>
    <t>BPM - Processo de Regularização de Movimentos Manual</t>
  </si>
  <si>
    <t>Disponibilização de prefixos para correio registado com pré-aviso (indisponibilidade prevista para breve)</t>
  </si>
  <si>
    <t>GPECL/DIS - CTT Now melhorias aplicação</t>
  </si>
  <si>
    <t>Simulador Correio Editorial - Jornais e Publicações Periódicas (JPP) e Livros</t>
  </si>
  <si>
    <t>Kiosks Envios - Incremento 1 | Associação de moradas guardadas no kiosk (via QR code App)</t>
  </si>
  <si>
    <t>Novos Canais | Assegurar a liquidação automática das faturas de campanhas Outbound</t>
  </si>
  <si>
    <t>Impressoras Termicas (Clientes Externos) - certificação de varios modelos e handover para EM</t>
  </si>
  <si>
    <t>SEO - TCO | Base de dados para armazenamento de informação proveniente de várias fontes</t>
  </si>
  <si>
    <t>Workforce Analytics - Integração Espanha</t>
  </si>
  <si>
    <t>FIL | Segmentação de Clientes - atribuição de descontos PED-2021-00346</t>
  </si>
  <si>
    <t>GS B2C - Evolução do sistema de Gestão da informação Geográfica da Rede</t>
  </si>
  <si>
    <t>Kiosks Envios - Incremento 3 | Embalagem - obtenção de informação de produto</t>
  </si>
  <si>
    <t>e-SIGN: Nova solução de assinatura digital CTT</t>
  </si>
  <si>
    <t>ECL/PSC - Identificação de giros de distribuição (green delivery)</t>
  </si>
  <si>
    <t>Serviço Conveniência - Impressão A4 (complemento ao Serviço de Fotocopias)</t>
  </si>
  <si>
    <t>GS B2C - Disponibilização de informação do Data Analytics sobre Sessões NAVe</t>
  </si>
  <si>
    <t>WebService GEO Subscrição, Relatórios e Alertas</t>
  </si>
  <si>
    <t>MPC | Integração Sprinklr no CRM | Melhorar Integração de mensagens</t>
  </si>
  <si>
    <t>GS B2C - Disponibilização de dados de vendas Filatelia dos canais FIL e DTI</t>
  </si>
  <si>
    <t>Criação Portal Parceiro</t>
  </si>
  <si>
    <t>Atualização Catálogo Produtos e Otimização de Guias de Remessa (Operações de Filatelia)</t>
  </si>
  <si>
    <t>Reformular o serviço Alterar Entrega de Correio (SIGA)</t>
  </si>
  <si>
    <t>PED-2019-00062_PRIO#34_Dinamização do negócio da exportação</t>
  </si>
  <si>
    <t>GPECL/INT - Eventos DHL não integrados no T&amp;T CTT</t>
  </si>
  <si>
    <t>Desenvolvimentos NAVe - Aceitação campanhas DM inferiores a 100obj</t>
  </si>
  <si>
    <t>B2C NAVe | GP B2C-Validação da data de Voo com a AT - Subsidio de Mobilidade</t>
  </si>
  <si>
    <t>Dona Oferta – Dados de recibo/fatura automáticos</t>
  </si>
  <si>
    <t>GP B2C-Automatização da faturação APIN</t>
  </si>
  <si>
    <t>Serviços Reexpedição e Retenção - Implementar melhorias</t>
  </si>
  <si>
    <t>Alteração SGFE – PRIMA TD 200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</si>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</sst>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b/>
      <sz val="12"/>
      <color rgb="FFFFFF00"/>
      <name val="Aptos Narrow"/>
      <scheme val="minor"/>
    </font>
    <font>
      <sz val="12"/>
      <color rgb="FFFFFF00"/>
      <name val="Aptos Narrow"/>
      <scheme val="minor"/>
    </font>
    <font>
      <sz val="10"/>
      <name val="Arial"/>
      <family val="2"/>
    </font>
    <font>
      <b/>
      <sz val="12"/>
      <color theme="0"/>
      <name val="Aptos Narrow"/>
      <scheme val="minor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8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rgb="FF000000"/>
      <name val="Menlo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0" fillId="7" borderId="1" applyNumberFormat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6" fillId="2" borderId="0" xfId="0" applyFon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7" fillId="0" borderId="0" xfId="0" applyFont="1"/>
    <xf numFmtId="0" fontId="8" fillId="0" borderId="0" xfId="0" applyFont="1"/>
    <xf numFmtId="0" fontId="1" fillId="5" borderId="0" xfId="0" applyFont="1" applyFill="1"/>
    <xf numFmtId="164" fontId="0" fillId="4" borderId="0" xfId="0" applyNumberFormat="1" applyFill="1"/>
    <xf numFmtId="0" fontId="0" fillId="6" borderId="0" xfId="0" applyFill="1"/>
    <xf numFmtId="0" fontId="10" fillId="7" borderId="1" xfId="2"/>
    <xf numFmtId="0" fontId="1" fillId="6" borderId="0" xfId="0" applyFont="1" applyFill="1"/>
    <xf numFmtId="0" fontId="6" fillId="8" borderId="0" xfId="0" applyFont="1" applyFill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0" fillId="0" borderId="2" xfId="0" applyBorder="1"/>
    <xf numFmtId="0" fontId="0" fillId="0" borderId="3" xfId="0" applyBorder="1"/>
    <xf numFmtId="0" fontId="10" fillId="3" borderId="1" xfId="2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7" borderId="4" xfId="2" applyBorder="1"/>
    <xf numFmtId="0" fontId="11" fillId="0" borderId="3" xfId="0" applyFont="1" applyBorder="1"/>
    <xf numFmtId="0" fontId="11" fillId="0" borderId="0" xfId="0" applyFont="1"/>
    <xf numFmtId="0" fontId="11" fillId="0" borderId="2" xfId="0" applyFont="1" applyBorder="1"/>
    <xf numFmtId="0" fontId="14" fillId="0" borderId="0" xfId="0" applyFont="1"/>
  </cellXfs>
  <cellStyles count="3">
    <cellStyle name="Calculation" xfId="2" builtinId="22"/>
    <cellStyle name="Normal" xfId="0" builtinId="0"/>
    <cellStyle name="Percent 2" xfId="1" xr:uid="{B4B05582-F7D3-F142-B20F-B4C84A0F58E6}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i Pedro Saraiva" refreshedDate="46079.653999074071" createdVersion="8" refreshedVersion="8" minRefreshableVersion="3" recordCount="999" xr:uid="{CB5BC97C-A494-0641-AE42-71B5C73B8745}">
  <cacheSource type="worksheet">
    <worksheetSource ref="A1:P1048576" sheet="ideas-output"/>
  </cacheSource>
  <cacheFields count="16">
    <cacheField name="Queue" numFmtId="0">
      <sharedItems containsBlank="1" count="5">
        <s v="LATER"/>
        <s v="NOW"/>
        <s v="NEXT"/>
        <s v="PRODUCTION"/>
        <m/>
      </sharedItems>
    </cacheField>
    <cacheField name="Method" numFmtId="0">
      <sharedItems containsBlank="1"/>
    </cacheField>
    <cacheField name="GlobalRank" numFmtId="0">
      <sharedItems containsString="0" containsBlank="1" containsNumber="1" containsInteger="1" minValue="1" maxValue="880"/>
    </cacheField>
    <cacheField name="ID" numFmtId="0">
      <sharedItems containsString="0" containsBlank="1" containsNumber="1" containsInteger="1" minValue="31618" maxValue="138350"/>
    </cacheField>
    <cacheField name="Name" numFmtId="0">
      <sharedItems containsBlank="1"/>
    </cacheField>
    <cacheField name="RequestingArea" numFmtId="0">
      <sharedItems containsBlank="1" count="40">
        <s v="CMO"/>
        <s v="GP B2B"/>
        <s v="COO"/>
        <s v="SEO"/>
        <s v="ATC"/>
        <s v="ACR"/>
        <s v="CIO"/>
        <s v="SI"/>
        <s v="CCO"/>
        <s v="CISO"/>
        <s v="GP ECL"/>
        <s v="CFO"/>
        <s v="EDO"/>
        <s v="CF"/>
        <s v="IDC"/>
        <s v="BCTT"/>
        <s v="DNI"/>
        <s v="PRO"/>
        <s v="EM"/>
        <s v="RS"/>
        <s v="SI-PRD"/>
        <s v="GS"/>
        <s v="AVC"/>
        <s v="SI-OPS"/>
        <s v="CSI"/>
        <s v="GRH"/>
        <s v="COM"/>
        <s v="GP B2C"/>
        <s v="GT"/>
        <s v="GPG"/>
        <s v="CL"/>
        <s v="PC"/>
        <s v="DPO"/>
        <s v="CMP"/>
        <s v="ST"/>
        <s v="TF"/>
        <s v="SI-CRP"/>
        <s v="CTTE"/>
        <m/>
        <s v="FL" u="1"/>
      </sharedItems>
    </cacheField>
    <cacheField name="RevenueStream" numFmtId="0">
      <sharedItems containsBlank="1" count="8">
        <s v="eCommerce"/>
        <s v="Mail &amp; Services"/>
        <m/>
        <s v="Mail" u="1"/>
        <s v="Business Solutions" u="1"/>
        <s v="Retail &amp; Financial Services" u="1"/>
        <s v="Payments" u="1"/>
        <s v="Fulfilment" u="1"/>
      </sharedItems>
    </cacheField>
    <cacheField name="BudgetGroup" numFmtId="0">
      <sharedItems containsBlank="1" count="6">
        <s v="Commercial"/>
        <s v="Operations"/>
        <s v="Corporate"/>
        <s v="Technology"/>
        <s v="CISO"/>
        <m/>
      </sharedItems>
    </cacheField>
    <cacheField name="MicroPhase" numFmtId="0">
      <sharedItems containsBlank="1"/>
    </cacheField>
    <cacheField name="PriorityRA" numFmtId="0">
      <sharedItems containsString="0" containsBlank="1" containsNumber="1" containsInteger="1" minValue="0" maxValue="999"/>
    </cacheField>
    <cacheField name="WSJF_Score" numFmtId="0">
      <sharedItems containsString="0" containsBlank="1" containsNumber="1" minValue="0.03" maxValue="11"/>
    </cacheField>
    <cacheField name="Value" numFmtId="0">
      <sharedItems containsString="0" containsBlank="1" containsNumber="1" containsInteger="1" minValue="1" maxValue="5"/>
    </cacheField>
    <cacheField name="Urgency" numFmtId="0">
      <sharedItems containsString="0" containsBlank="1" containsNumber="1" containsInteger="1" minValue="1" maxValue="5"/>
    </cacheField>
    <cacheField name="Risk" numFmtId="0">
      <sharedItems containsString="0" containsBlank="1" containsNumber="1" containsInteger="1" minValue="1" maxValue="5"/>
    </cacheField>
    <cacheField name="Size" numFmtId="0">
      <sharedItems containsString="0" containsBlank="1" containsNumber="1" containsInteger="1" minValue="1" maxValue="100"/>
    </cacheField>
    <cacheField name="TOP_X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SainteLague"/>
    <n v="22"/>
    <n v="129487"/>
    <s v="[PUDOS] - Lockers Locky - PT​"/>
    <x v="0"/>
    <x v="0"/>
    <x v="0"/>
    <s v="In Solution"/>
    <n v="0"/>
    <n v="0.09"/>
    <n v="3"/>
    <n v="3"/>
    <n v="3"/>
    <n v="100"/>
    <x v="0"/>
  </r>
  <r>
    <x v="0"/>
    <s v="SainteLague"/>
    <n v="23"/>
    <n v="125697"/>
    <s v="DeMinimis EUA - Solução para retomar os envios de Bens para os EUA para os clientes não contratuais"/>
    <x v="1"/>
    <x v="1"/>
    <x v="0"/>
    <s v="In Definition"/>
    <n v="1"/>
    <n v="3"/>
    <n v="3"/>
    <n v="3"/>
    <n v="3"/>
    <n v="3"/>
    <x v="0"/>
  </r>
  <r>
    <x v="0"/>
    <s v="SainteLague"/>
    <n v="24"/>
    <n v="130701"/>
    <s v="Nuevos desarrollos Normalización de direcciones"/>
    <x v="2"/>
    <x v="0"/>
    <x v="1"/>
    <s v="In Solution"/>
    <n v="1"/>
    <n v="0.03"/>
    <n v="1"/>
    <n v="1"/>
    <n v="1"/>
    <n v="100"/>
    <x v="0"/>
  </r>
  <r>
    <x v="0"/>
    <s v="SainteLague"/>
    <n v="25"/>
    <n v="122320"/>
    <s v="Implementação de modulo de Planeamento de Transportes em Drivian e Descontinuação do Sigest"/>
    <x v="3"/>
    <x v="1"/>
    <x v="1"/>
    <s v="High Level Design"/>
    <n v="1"/>
    <n v="4.5"/>
    <n v="4"/>
    <n v="2"/>
    <n v="3"/>
    <n v="2"/>
    <x v="0"/>
  </r>
  <r>
    <x v="0"/>
    <s v="SainteLague"/>
    <n v="26"/>
    <n v="130413"/>
    <s v="[Desconexión SGC] - Creación nuevo estado &quot;No realizado&quot;"/>
    <x v="4"/>
    <x v="0"/>
    <x v="2"/>
    <s v="In Solution"/>
    <n v="3"/>
    <n v="0.03"/>
    <n v="1"/>
    <n v="1"/>
    <n v="1"/>
    <n v="100"/>
    <x v="0"/>
  </r>
  <r>
    <x v="0"/>
    <s v="SainteLague"/>
    <n v="27"/>
    <n v="124871"/>
    <s v="Auditoria 2.0 - Criação de Data Lake para implementação de Auditoria Contínua e Auditoria à Distancia - Entrega Modelos Analíticos"/>
    <x v="5"/>
    <x v="1"/>
    <x v="2"/>
    <s v="In Definition"/>
    <n v="1"/>
    <n v="0.03"/>
    <n v="1"/>
    <n v="1"/>
    <n v="1"/>
    <n v="100"/>
    <x v="0"/>
  </r>
  <r>
    <x v="0"/>
    <s v="SainteLague"/>
    <n v="28"/>
    <n v="130989"/>
    <s v="Desconexión de SGC - Definición del RoadMap"/>
    <x v="6"/>
    <x v="0"/>
    <x v="3"/>
    <s v="Backlog"/>
    <n v="1"/>
    <n v="0.03"/>
    <n v="1"/>
    <n v="1"/>
    <n v="1"/>
    <n v="100"/>
    <x v="0"/>
  </r>
  <r>
    <x v="0"/>
    <s v="SainteLague"/>
    <n v="29"/>
    <n v="132298"/>
    <s v="Github Migration - Aplicações Canais Digitais"/>
    <x v="7"/>
    <x v="1"/>
    <x v="3"/>
    <s v="Ready for Approval"/>
    <n v="1"/>
    <n v="5"/>
    <n v="4"/>
    <n v="3"/>
    <n v="3"/>
    <n v="2"/>
    <x v="0"/>
  </r>
  <r>
    <x v="0"/>
    <s v="SainteLague"/>
    <n v="30"/>
    <n v="130577"/>
    <s v="[Salesforce Sales] - Multi oportunidad en Cuentas"/>
    <x v="8"/>
    <x v="0"/>
    <x v="0"/>
    <s v="High Level Design"/>
    <n v="3"/>
    <n v="0.03"/>
    <n v="1"/>
    <n v="1"/>
    <n v="1"/>
    <n v="100"/>
    <x v="0"/>
  </r>
  <r>
    <x v="0"/>
    <s v="SainteLague"/>
    <n v="31"/>
    <n v="126574"/>
    <s v="DLP (Data Loss Prevention) - Wave 1"/>
    <x v="9"/>
    <x v="1"/>
    <x v="4"/>
    <s v="Backlog"/>
    <n v="2"/>
    <n v="0.03"/>
    <n v="1"/>
    <n v="1"/>
    <n v="1"/>
    <n v="100"/>
    <x v="0"/>
  </r>
  <r>
    <x v="0"/>
    <s v="SainteLague"/>
    <n v="32"/>
    <n v="130894"/>
    <s v="Expansión de lectura en contenedores (Propios y de clientes)"/>
    <x v="2"/>
    <x v="0"/>
    <x v="1"/>
    <s v="In Definition"/>
    <n v="2"/>
    <n v="0.03"/>
    <n v="1"/>
    <n v="1"/>
    <n v="1"/>
    <n v="100"/>
    <x v="0"/>
  </r>
  <r>
    <x v="0"/>
    <s v="SainteLague"/>
    <n v="33"/>
    <n v="60579"/>
    <s v="Nexus | P&amp;S | Implementação da oferta ibérica"/>
    <x v="10"/>
    <x v="1"/>
    <x v="0"/>
    <s v="High Level Design"/>
    <n v="1"/>
    <n v="0.03"/>
    <n v="1"/>
    <n v="1"/>
    <n v="1"/>
    <n v="100"/>
    <x v="0"/>
  </r>
  <r>
    <x v="0"/>
    <s v="SainteLague"/>
    <n v="34"/>
    <n v="129984"/>
    <s v="Reconciliación bancaria de Cobros por tarjeta y Bizum"/>
    <x v="11"/>
    <x v="0"/>
    <x v="2"/>
    <s v="In Solution"/>
    <n v="2"/>
    <n v="0.03"/>
    <n v="1"/>
    <n v="1"/>
    <n v="1"/>
    <n v="100"/>
    <x v="0"/>
  </r>
  <r>
    <x v="0"/>
    <s v="SainteLague"/>
    <n v="35"/>
    <n v="91809"/>
    <s v="DSD | Criar as Listas de Correio Registado e de EMS em Simultâneo"/>
    <x v="12"/>
    <x v="1"/>
    <x v="1"/>
    <s v="In Solution"/>
    <n v="1"/>
    <n v="0.03"/>
    <n v="1"/>
    <n v="1"/>
    <n v="1"/>
    <n v="100"/>
    <x v="0"/>
  </r>
  <r>
    <x v="0"/>
    <s v="SainteLague"/>
    <n v="36"/>
    <n v="130990"/>
    <s v="Stack Observabilidad Ibérico"/>
    <x v="6"/>
    <x v="0"/>
    <x v="3"/>
    <s v="Backlog"/>
    <n v="3"/>
    <n v="0.03"/>
    <n v="1"/>
    <n v="1"/>
    <n v="1"/>
    <n v="100"/>
    <x v="0"/>
  </r>
  <r>
    <x v="0"/>
    <s v="SainteLague"/>
    <n v="37"/>
    <n v="126644"/>
    <s v="GENAI- Rossum"/>
    <x v="13"/>
    <x v="1"/>
    <x v="2"/>
    <s v="In Solution"/>
    <n v="1"/>
    <n v="7"/>
    <n v="4"/>
    <n v="2"/>
    <n v="1"/>
    <n v="1"/>
    <x v="0"/>
  </r>
  <r>
    <x v="0"/>
    <s v="SainteLague"/>
    <n v="38"/>
    <n v="130539"/>
    <s v="Automatizar la carga del maestro de CP7 de Portugal [Objetos con origen en España sin Cp7]"/>
    <x v="14"/>
    <x v="0"/>
    <x v="0"/>
    <s v="In Solution"/>
    <n v="2"/>
    <n v="0.03"/>
    <n v="1"/>
    <n v="1"/>
    <n v="1"/>
    <n v="100"/>
    <x v="0"/>
  </r>
  <r>
    <x v="0"/>
    <s v="SainteLague"/>
    <n v="39"/>
    <n v="134587"/>
    <s v="BCTT - Relatório Sendgrid"/>
    <x v="15"/>
    <x v="1"/>
    <x v="3"/>
    <s v="High Level Design"/>
    <n v="1"/>
    <n v="6"/>
    <n v="3"/>
    <n v="1"/>
    <n v="2"/>
    <n v="1"/>
    <x v="0"/>
  </r>
  <r>
    <x v="0"/>
    <s v="SainteLague"/>
    <n v="40"/>
    <n v="130811"/>
    <s v="Acciones para evitar la duplicidad de recogidas de clientes v2"/>
    <x v="2"/>
    <x v="0"/>
    <x v="1"/>
    <s v="In Solution"/>
    <n v="3"/>
    <n v="0.03"/>
    <n v="1"/>
    <n v="1"/>
    <n v="1"/>
    <n v="100"/>
    <x v="0"/>
  </r>
  <r>
    <x v="0"/>
    <s v="SainteLague"/>
    <n v="41"/>
    <n v="126458"/>
    <s v="Super B2C (App + Área Cliente) | Alterar forma de gerar push notification na App"/>
    <x v="16"/>
    <x v="1"/>
    <x v="0"/>
    <s v="In Definition"/>
    <n v="1"/>
    <n v="0.05"/>
    <n v="3"/>
    <n v="1"/>
    <n v="1"/>
    <n v="100"/>
    <x v="0"/>
  </r>
  <r>
    <x v="0"/>
    <s v="SainteLague"/>
    <n v="42"/>
    <n v="129775"/>
    <s v="Trazabilidad"/>
    <x v="17"/>
    <x v="0"/>
    <x v="2"/>
    <s v="In Definition"/>
    <n v="1"/>
    <n v="0.03"/>
    <n v="1"/>
    <n v="1"/>
    <n v="1"/>
    <n v="100"/>
    <x v="0"/>
  </r>
  <r>
    <x v="0"/>
    <s v="SainteLague"/>
    <n v="43"/>
    <n v="126646"/>
    <s v="Incremento ao projeto LFT - Volume certificado e não certificado"/>
    <x v="18"/>
    <x v="1"/>
    <x v="1"/>
    <s v="In Definition"/>
    <n v="1"/>
    <n v="0.03"/>
    <n v="1"/>
    <n v="1"/>
    <n v="1"/>
    <n v="100"/>
    <x v="0"/>
  </r>
  <r>
    <x v="0"/>
    <s v="SainteLague"/>
    <n v="44"/>
    <n v="130991"/>
    <s v="Crear entornos no productivos"/>
    <x v="6"/>
    <x v="0"/>
    <x v="3"/>
    <s v="Backlog"/>
    <n v="4"/>
    <n v="0.03"/>
    <n v="1"/>
    <n v="1"/>
    <n v="1"/>
    <n v="100"/>
    <x v="0"/>
  </r>
  <r>
    <x v="0"/>
    <s v="SainteLague"/>
    <n v="45"/>
    <n v="128060"/>
    <s v="XRP | Alteração do fluxo de contabilização"/>
    <x v="19"/>
    <x v="1"/>
    <x v="2"/>
    <s v="Backlog"/>
    <n v="1"/>
    <n v="0.03"/>
    <n v="1"/>
    <n v="1"/>
    <n v="1"/>
    <n v="100"/>
    <x v="0"/>
  </r>
  <r>
    <x v="0"/>
    <s v="SainteLague"/>
    <n v="46"/>
    <n v="131044"/>
    <s v="[PUDOS] - Herramienta para orden de recogidas en PUDOS"/>
    <x v="0"/>
    <x v="0"/>
    <x v="0"/>
    <s v="High Level Design"/>
    <n v="6"/>
    <n v="0.03"/>
    <n v="1"/>
    <n v="1"/>
    <n v="1"/>
    <n v="100"/>
    <x v="0"/>
  </r>
  <r>
    <x v="0"/>
    <s v="SainteLague"/>
    <n v="47"/>
    <n v="49197"/>
    <s v="Migrar os documentos do viactt para Filenet"/>
    <x v="20"/>
    <x v="1"/>
    <x v="3"/>
    <s v="In Definition"/>
    <n v="1"/>
    <n v="0.03"/>
    <n v="1"/>
    <n v="1"/>
    <n v="1"/>
    <n v="100"/>
    <x v="0"/>
  </r>
  <r>
    <x v="0"/>
    <s v="SainteLague"/>
    <n v="48"/>
    <n v="131002"/>
    <s v="Envíos Amazon destino Braga solo manifestados para entrar en senda"/>
    <x v="2"/>
    <x v="0"/>
    <x v="1"/>
    <s v="Ready for Approval"/>
    <n v="6"/>
    <n v="0.03"/>
    <n v="1"/>
    <n v="1"/>
    <n v="1"/>
    <n v="100"/>
    <x v="0"/>
  </r>
  <r>
    <x v="0"/>
    <s v="SainteLague"/>
    <n v="49"/>
    <n v="126576"/>
    <s v="Plano de formação (global e board)"/>
    <x v="9"/>
    <x v="1"/>
    <x v="4"/>
    <s v="Backlog"/>
    <n v="3"/>
    <n v="0.03"/>
    <n v="1"/>
    <n v="1"/>
    <n v="1"/>
    <n v="100"/>
    <x v="0"/>
  </r>
  <r>
    <x v="0"/>
    <s v="SainteLague"/>
    <n v="50"/>
    <n v="130298"/>
    <s v="[Desconexión SGC] [Salesforce Service] - Abonos, Siniestros e indemnizaciones"/>
    <x v="4"/>
    <x v="0"/>
    <x v="2"/>
    <s v="Pitch"/>
    <n v="4"/>
    <n v="0.03"/>
    <n v="1"/>
    <n v="1"/>
    <n v="1"/>
    <n v="100"/>
    <x v="0"/>
  </r>
  <r>
    <x v="0"/>
    <s v="SainteLague"/>
    <n v="51"/>
    <n v="123649"/>
    <s v="Entrega em pontos para a cainiao"/>
    <x v="21"/>
    <x v="1"/>
    <x v="0"/>
    <s v="High Level Design"/>
    <n v="1"/>
    <n v="4.5"/>
    <n v="3"/>
    <n v="2"/>
    <n v="4"/>
    <n v="2"/>
    <x v="0"/>
  </r>
  <r>
    <x v="0"/>
    <s v="SainteLague"/>
    <n v="52"/>
    <n v="130663"/>
    <s v="API Clientes - Authorization"/>
    <x v="6"/>
    <x v="0"/>
    <x v="3"/>
    <s v="Backlog"/>
    <n v="5"/>
    <n v="0.03"/>
    <n v="1"/>
    <n v="1"/>
    <n v="1"/>
    <n v="100"/>
    <x v="0"/>
  </r>
  <r>
    <x v="0"/>
    <s v="SainteLague"/>
    <n v="53"/>
    <n v="77828"/>
    <s v="Base Dados Modelo de Incentivos CTT Expresso"/>
    <x v="3"/>
    <x v="1"/>
    <x v="1"/>
    <s v="In Definition"/>
    <n v="2"/>
    <n v="0.03"/>
    <n v="1"/>
    <n v="1"/>
    <n v="1"/>
    <n v="100"/>
    <x v="0"/>
  </r>
  <r>
    <x v="0"/>
    <s v="SainteLague"/>
    <n v="54"/>
    <n v="132534"/>
    <s v="[Qlik] - Gestión de oportunidades - Hito semanal por comercial disponible"/>
    <x v="8"/>
    <x v="0"/>
    <x v="0"/>
    <s v="In Definition"/>
    <n v="5"/>
    <n v="0.04"/>
    <n v="2"/>
    <n v="1"/>
    <n v="1"/>
    <n v="100"/>
    <x v="0"/>
  </r>
  <r>
    <x v="0"/>
    <s v="SainteLague"/>
    <n v="55"/>
    <n v="93166"/>
    <s v="Integração Automaise - Novo Voice Bot - Substituir as atuais &quot;primas&quot;"/>
    <x v="22"/>
    <x v="1"/>
    <x v="2"/>
    <s v="Backlog"/>
    <n v="1"/>
    <n v="0.03"/>
    <n v="1"/>
    <n v="1"/>
    <n v="1"/>
    <n v="100"/>
    <x v="0"/>
  </r>
  <r>
    <x v="0"/>
    <s v="SainteLague"/>
    <n v="56"/>
    <n v="131067"/>
    <s v="[Nexus Piloto Operacional] Puesta en marcha Fase 2 del Piloto Operacional con el flujo de envíos PT-PT"/>
    <x v="2"/>
    <x v="0"/>
    <x v="1"/>
    <s v="In Approval"/>
    <n v="7"/>
    <n v="0.03"/>
    <n v="1"/>
    <n v="1"/>
    <n v="1"/>
    <n v="100"/>
    <x v="0"/>
  </r>
  <r>
    <x v="0"/>
    <s v="SainteLague"/>
    <n v="57"/>
    <n v="124738"/>
    <s v="Nexus 2 | We Serve - Integración eventos e manifestos desde CTT PT"/>
    <x v="23"/>
    <x v="1"/>
    <x v="3"/>
    <s v="In Definition"/>
    <n v="1"/>
    <n v="7.0000000000000007E-2"/>
    <n v="1"/>
    <n v="2"/>
    <n v="4"/>
    <n v="100"/>
    <x v="0"/>
  </r>
  <r>
    <x v="0"/>
    <s v="SainteLague"/>
    <n v="58"/>
    <n v="131055"/>
    <s v="Nueva Herramienta de Verificación de Pagos TEMU (App)"/>
    <x v="11"/>
    <x v="0"/>
    <x v="2"/>
    <s v="In Solution"/>
    <n v="3"/>
    <n v="0.03"/>
    <n v="1"/>
    <n v="1"/>
    <n v="1"/>
    <n v="100"/>
    <x v="0"/>
  </r>
  <r>
    <x v="0"/>
    <s v="SainteLague"/>
    <n v="59"/>
    <n v="31981"/>
    <s v="PAY - Instrumento Transferências - Alteração Requisitos - Fev"/>
    <x v="24"/>
    <x v="1"/>
    <x v="0"/>
    <s v="In Definition"/>
    <n v="1"/>
    <n v="0.03"/>
    <n v="1"/>
    <n v="1"/>
    <n v="1"/>
    <n v="100"/>
    <x v="0"/>
  </r>
  <r>
    <x v="0"/>
    <s v="SainteLague"/>
    <n v="60"/>
    <n v="130598"/>
    <s v="[Web Pública] [CIBERSEGURIDAD] - Migración de infraestructura de MiddleWare de PhP"/>
    <x v="6"/>
    <x v="0"/>
    <x v="3"/>
    <s v="In Definition"/>
    <n v="6"/>
    <n v="0.03"/>
    <n v="1"/>
    <n v="1"/>
    <n v="1"/>
    <n v="100"/>
    <x v="0"/>
  </r>
  <r>
    <x v="0"/>
    <s v="SainteLague"/>
    <n v="61"/>
    <n v="115295"/>
    <s v="Nexus - Piloto Operacional Fase 2"/>
    <x v="12"/>
    <x v="1"/>
    <x v="1"/>
    <s v="In Definition"/>
    <n v="2"/>
    <n v="0.03"/>
    <n v="1"/>
    <n v="1"/>
    <n v="1"/>
    <n v="100"/>
    <x v="0"/>
  </r>
  <r>
    <x v="0"/>
    <s v="SainteLague"/>
    <n v="62"/>
    <n v="130378"/>
    <s v="[WebHook] - Mediapost - Transmisión de estados en mensaje NO estándar"/>
    <x v="14"/>
    <x v="0"/>
    <x v="0"/>
    <s v="Pitch"/>
    <n v="3"/>
    <n v="0.05"/>
    <n v="3"/>
    <n v="1"/>
    <n v="1"/>
    <n v="100"/>
    <x v="0"/>
  </r>
  <r>
    <x v="0"/>
    <s v="SainteLague"/>
    <n v="63"/>
    <n v="69342"/>
    <s v="Substituição do IOS"/>
    <x v="25"/>
    <x v="1"/>
    <x v="2"/>
    <s v="High Level Design"/>
    <n v="3"/>
    <n v="0.03"/>
    <n v="1"/>
    <n v="1"/>
    <n v="1"/>
    <n v="100"/>
    <x v="0"/>
  </r>
  <r>
    <x v="0"/>
    <s v="SainteLague"/>
    <n v="64"/>
    <n v="129944"/>
    <s v="Cálculo de la franja horaria de entrega y elaboración de los KPIS de seguimiento"/>
    <x v="2"/>
    <x v="0"/>
    <x v="1"/>
    <s v="Ready for Solution"/>
    <n v="8"/>
    <n v="0.03"/>
    <n v="1"/>
    <n v="1"/>
    <n v="1"/>
    <n v="100"/>
    <x v="0"/>
  </r>
  <r>
    <x v="0"/>
    <s v="SainteLague"/>
    <n v="65"/>
    <n v="126581"/>
    <s v="Downgrade 1.200 / 4.186 Microsoft O365 E5 licences (local) to O365 F3 (web) [1/2 year]"/>
    <x v="7"/>
    <x v="1"/>
    <x v="3"/>
    <s v="In Definition"/>
    <n v="2"/>
    <n v="0.03"/>
    <n v="1"/>
    <n v="1"/>
    <n v="1"/>
    <n v="100"/>
    <x v="0"/>
  </r>
  <r>
    <x v="0"/>
    <s v="SainteLague"/>
    <n v="66"/>
    <n v="130500"/>
    <s v="Cuadro de mando reputación CTT"/>
    <x v="26"/>
    <x v="0"/>
    <x v="2"/>
    <s v="Backlog"/>
    <n v="1"/>
    <n v="0.03"/>
    <n v="1"/>
    <n v="1"/>
    <n v="1"/>
    <n v="100"/>
    <x v="0"/>
  </r>
  <r>
    <x v="0"/>
    <s v="SainteLague"/>
    <n v="67"/>
    <n v="41221"/>
    <s v="DART Team - Recomendações CTT"/>
    <x v="9"/>
    <x v="1"/>
    <x v="4"/>
    <s v="In Definition"/>
    <n v="4"/>
    <n v="0.03"/>
    <n v="1"/>
    <n v="1"/>
    <n v="1"/>
    <n v="100"/>
    <x v="0"/>
  </r>
  <r>
    <x v="0"/>
    <s v="SainteLague"/>
    <n v="68"/>
    <n v="130664"/>
    <s v="Definición Arquitectura .Net Ibérico"/>
    <x v="6"/>
    <x v="0"/>
    <x v="3"/>
    <s v="Backlog"/>
    <n v="8"/>
    <n v="0.03"/>
    <n v="1"/>
    <n v="1"/>
    <n v="1"/>
    <n v="100"/>
    <x v="0"/>
  </r>
  <r>
    <x v="0"/>
    <s v="SainteLague"/>
    <n v="69"/>
    <n v="118174"/>
    <s v="GPB2C | Parceria Unicâmbio - Operacionalização de serviço de cambio"/>
    <x v="27"/>
    <x v="1"/>
    <x v="0"/>
    <s v="Backlog"/>
    <n v="1"/>
    <n v="0.03"/>
    <n v="1"/>
    <n v="1"/>
    <n v="1"/>
    <n v="100"/>
    <x v="0"/>
  </r>
  <r>
    <x v="0"/>
    <s v="SainteLague"/>
    <n v="70"/>
    <n v="138308"/>
    <s v="[Notificaciones] - Actualización de campos de PDA y notificación de entrega - Fake Delivery"/>
    <x v="0"/>
    <x v="0"/>
    <x v="0"/>
    <s v="Ready for Solution"/>
    <n v="7"/>
    <n v="0.03"/>
    <n v="1"/>
    <n v="1"/>
    <n v="1"/>
    <n v="100"/>
    <x v="0"/>
  </r>
  <r>
    <x v="0"/>
    <s v="SainteLague"/>
    <n v="71"/>
    <n v="31629"/>
    <s v="B2C - FIL-Alargamento dos meios de pagamento aceites"/>
    <x v="18"/>
    <x v="1"/>
    <x v="1"/>
    <s v="Backlog"/>
    <n v="1"/>
    <n v="0.03"/>
    <n v="1"/>
    <n v="1"/>
    <n v="1"/>
    <n v="100"/>
    <x v="0"/>
  </r>
  <r>
    <x v="0"/>
    <s v="SainteLague"/>
    <n v="72"/>
    <n v="130873"/>
    <s v="[Nexus Piloto Operacional] [We Serve] Incremento de envíos en Piloto y despliegue Nexus"/>
    <x v="2"/>
    <x v="0"/>
    <x v="1"/>
    <s v="In Solution"/>
    <n v="10"/>
    <n v="0.03"/>
    <n v="1"/>
    <n v="1"/>
    <n v="1"/>
    <n v="100"/>
    <x v="0"/>
  </r>
  <r>
    <x v="0"/>
    <s v="SainteLague"/>
    <n v="73"/>
    <n v="135317"/>
    <s v="SAPSF - GoFluent"/>
    <x v="28"/>
    <x v="1"/>
    <x v="2"/>
    <s v="In Definition"/>
    <n v="1"/>
    <n v="2.5"/>
    <n v="2"/>
    <n v="2"/>
    <n v="1"/>
    <n v="2"/>
    <x v="0"/>
  </r>
  <r>
    <x v="0"/>
    <s v="SainteLague"/>
    <n v="74"/>
    <n v="129830"/>
    <s v="[Desconexión SGC] [Nexia] - Consulta masiva de envíos y acciones sobre los resultados + export/import en Excel"/>
    <x v="4"/>
    <x v="0"/>
    <x v="2"/>
    <s v="In Definition"/>
    <n v="5"/>
    <n v="0.03"/>
    <n v="1"/>
    <n v="1"/>
    <n v="1"/>
    <n v="100"/>
    <x v="0"/>
  </r>
  <r>
    <x v="0"/>
    <s v="SainteLague"/>
    <n v="75"/>
    <n v="125543"/>
    <s v="ODIN | Iberian Observability Stack"/>
    <x v="7"/>
    <x v="1"/>
    <x v="3"/>
    <s v="Pitch"/>
    <n v="3"/>
    <n v="4"/>
    <n v="5"/>
    <n v="2"/>
    <n v="1"/>
    <n v="2"/>
    <x v="0"/>
  </r>
  <r>
    <x v="0"/>
    <s v="SainteLague"/>
    <n v="76"/>
    <n v="130665"/>
    <s v="Definición Arquitectura React Ibérico"/>
    <x v="6"/>
    <x v="0"/>
    <x v="3"/>
    <s v="Backlog"/>
    <n v="10"/>
    <n v="0.03"/>
    <n v="1"/>
    <n v="1"/>
    <n v="1"/>
    <n v="100"/>
    <x v="0"/>
  </r>
  <r>
    <x v="0"/>
    <s v="SainteLague"/>
    <n v="77"/>
    <n v="31870"/>
    <s v="Geração de ficheiro excel com dados NEV"/>
    <x v="29"/>
    <x v="1"/>
    <x v="0"/>
    <s v="Backlog"/>
    <n v="1"/>
    <n v="0.03"/>
    <n v="1"/>
    <n v="1"/>
    <n v="1"/>
    <n v="100"/>
    <x v="0"/>
  </r>
  <r>
    <x v="0"/>
    <s v="SainteLague"/>
    <n v="78"/>
    <n v="130365"/>
    <s v="[Nexus Piloto Operacional] [We Care] Generación y consumo del POD para Fase 2"/>
    <x v="0"/>
    <x v="0"/>
    <x v="0"/>
    <s v="In Approval"/>
    <n v="8"/>
    <n v="0.03"/>
    <n v="1"/>
    <n v="1"/>
    <n v="1"/>
    <n v="100"/>
    <x v="0"/>
  </r>
  <r>
    <x v="0"/>
    <s v="SainteLague"/>
    <n v="79"/>
    <n v="78905"/>
    <s v="Evolução Modelo de Incentivos Distribuição"/>
    <x v="3"/>
    <x v="1"/>
    <x v="1"/>
    <s v="Backlog"/>
    <n v="3"/>
    <n v="0.03"/>
    <n v="1"/>
    <n v="1"/>
    <n v="1"/>
    <n v="100"/>
    <x v="0"/>
  </r>
  <r>
    <x v="0"/>
    <s v="SainteLague"/>
    <n v="80"/>
    <n v="129895"/>
    <s v="Sistema de seguimiento de rutas de arrastre - Implementación de eCMR"/>
    <x v="2"/>
    <x v="0"/>
    <x v="1"/>
    <s v="Ready for Solution"/>
    <n v="11"/>
    <n v="2.75"/>
    <n v="3"/>
    <n v="4"/>
    <n v="4"/>
    <n v="4"/>
    <x v="0"/>
  </r>
  <r>
    <x v="0"/>
    <s v="SainteLague"/>
    <n v="81"/>
    <n v="87922"/>
    <s v="Criação de Ordens de Fornecimento SAP/R3"/>
    <x v="30"/>
    <x v="1"/>
    <x v="2"/>
    <s v="Backlog"/>
    <n v="1"/>
    <n v="0.03"/>
    <n v="1"/>
    <n v="1"/>
    <n v="1"/>
    <n v="100"/>
    <x v="0"/>
  </r>
  <r>
    <x v="0"/>
    <s v="SainteLague"/>
    <n v="82"/>
    <n v="129453"/>
    <s v="[SAP] - Vincular Docuware a SAP"/>
    <x v="11"/>
    <x v="0"/>
    <x v="2"/>
    <s v="Backlog"/>
    <n v="4"/>
    <n v="0.03"/>
    <n v="1"/>
    <n v="1"/>
    <n v="1"/>
    <n v="100"/>
    <x v="0"/>
  </r>
  <r>
    <x v="0"/>
    <s v="SainteLague"/>
    <n v="83"/>
    <n v="135004"/>
    <s v="ESW | Criação de novo agente AI para validação de código obsoleto"/>
    <x v="7"/>
    <x v="1"/>
    <x v="3"/>
    <s v="In Approval"/>
    <n v="4"/>
    <n v="8"/>
    <n v="3"/>
    <n v="4"/>
    <n v="1"/>
    <n v="1"/>
    <x v="0"/>
  </r>
  <r>
    <x v="0"/>
    <s v="SainteLague"/>
    <n v="84"/>
    <n v="130666"/>
    <s v="Definición Arquitectura Kotlin Ibérico"/>
    <x v="6"/>
    <x v="0"/>
    <x v="3"/>
    <s v="Backlog"/>
    <n v="11"/>
    <n v="0.03"/>
    <n v="1"/>
    <n v="1"/>
    <n v="1"/>
    <n v="100"/>
    <x v="0"/>
  </r>
  <r>
    <x v="0"/>
    <s v="SainteLague"/>
    <n v="85"/>
    <n v="50849"/>
    <s v="Cyber attack simulation Table-top"/>
    <x v="9"/>
    <x v="1"/>
    <x v="4"/>
    <s v="Backlog"/>
    <n v="5"/>
    <n v="0.03"/>
    <n v="1"/>
    <n v="1"/>
    <n v="1"/>
    <n v="100"/>
    <x v="0"/>
  </r>
  <r>
    <x v="0"/>
    <s v="SainteLague"/>
    <n v="86"/>
    <n v="130900"/>
    <s v="[SGC] - Lógica de aplicación de perfil tarifario a nuevos centros en SGC"/>
    <x v="8"/>
    <x v="0"/>
    <x v="0"/>
    <s v="In Definition"/>
    <n v="6"/>
    <n v="0.03"/>
    <n v="1"/>
    <n v="1"/>
    <n v="1"/>
    <n v="100"/>
    <x v="0"/>
  </r>
  <r>
    <x v="0"/>
    <s v="SainteLague"/>
    <n v="87"/>
    <n v="131734"/>
    <s v="Controlo de correio JPP"/>
    <x v="1"/>
    <x v="1"/>
    <x v="0"/>
    <s v="In Definition"/>
    <n v="2"/>
    <n v="1.5"/>
    <n v="1"/>
    <n v="1"/>
    <n v="1"/>
    <n v="2"/>
    <x v="0"/>
  </r>
  <r>
    <x v="0"/>
    <s v="SainteLague"/>
    <n v="88"/>
    <n v="130114"/>
    <s v="[Desconexión SGC] Cierre diario: Liquidación de portes debidos y reembolsos"/>
    <x v="2"/>
    <x v="0"/>
    <x v="1"/>
    <s v="In Definition"/>
    <n v="12"/>
    <n v="0.03"/>
    <n v="1"/>
    <n v="1"/>
    <n v="1"/>
    <n v="100"/>
    <x v="0"/>
  </r>
  <r>
    <x v="0"/>
    <s v="SainteLague"/>
    <n v="89"/>
    <n v="126509"/>
    <s v="Alargamento Infraestrutura SI a outros sistemas desenvolvidos por EDO"/>
    <x v="12"/>
    <x v="1"/>
    <x v="1"/>
    <s v="Backlog"/>
    <n v="3"/>
    <n v="0.03"/>
    <n v="1"/>
    <n v="1"/>
    <n v="1"/>
    <n v="100"/>
    <x v="0"/>
  </r>
  <r>
    <x v="0"/>
    <s v="SainteLague"/>
    <n v="90"/>
    <n v="130649"/>
    <s v="Creación Estados Aduanas, reporte a clientes y facturación"/>
    <x v="17"/>
    <x v="0"/>
    <x v="2"/>
    <s v="In Definition"/>
    <n v="2"/>
    <n v="0.03"/>
    <n v="1"/>
    <n v="1"/>
    <n v="1"/>
    <n v="100"/>
    <x v="0"/>
  </r>
  <r>
    <x v="0"/>
    <s v="SainteLague"/>
    <n v="91"/>
    <n v="126734"/>
    <s v="Migrate Azure Devops to Github Repos and Github Actions - Data repos"/>
    <x v="31"/>
    <x v="1"/>
    <x v="2"/>
    <s v="Backlog"/>
    <n v="1"/>
    <n v="0.04"/>
    <n v="1"/>
    <n v="1"/>
    <n v="2"/>
    <n v="100"/>
    <x v="0"/>
  </r>
  <r>
    <x v="0"/>
    <s v="SainteLague"/>
    <n v="92"/>
    <n v="130495"/>
    <s v="Creación de interfaz en nexia para crear incidencias"/>
    <x v="6"/>
    <x v="0"/>
    <x v="3"/>
    <s v="In Definition"/>
    <n v="12"/>
    <n v="0.03"/>
    <n v="1"/>
    <n v="1"/>
    <n v="1"/>
    <n v="100"/>
    <x v="0"/>
  </r>
  <r>
    <x v="0"/>
    <s v="SainteLague"/>
    <n v="93"/>
    <n v="71073"/>
    <s v="Lojas com necessidade de 2 máquinas dispensadoras de senhas"/>
    <x v="15"/>
    <x v="1"/>
    <x v="3"/>
    <s v="Backlog"/>
    <n v="2"/>
    <n v="0.03"/>
    <n v="1"/>
    <n v="1"/>
    <n v="1"/>
    <n v="100"/>
    <x v="0"/>
  </r>
  <r>
    <x v="0"/>
    <s v="SainteLague"/>
    <n v="94"/>
    <n v="130552"/>
    <s v="Mejorar el algoritmo de aproximación de calculo de CP/Poblacion de manifiestos [Objetos con origen en España sin Cp7]"/>
    <x v="14"/>
    <x v="0"/>
    <x v="0"/>
    <s v="In Definition"/>
    <n v="4"/>
    <n v="0.03"/>
    <n v="1"/>
    <n v="1"/>
    <n v="1"/>
    <n v="100"/>
    <x v="0"/>
  </r>
  <r>
    <x v="0"/>
    <s v="SainteLague"/>
    <n v="95"/>
    <n v="126043"/>
    <s v="Morada virtual | Serviço de subscrição"/>
    <x v="10"/>
    <x v="1"/>
    <x v="0"/>
    <s v="In Definition"/>
    <n v="3"/>
    <n v="2"/>
    <n v="4"/>
    <n v="2"/>
    <n v="2"/>
    <n v="4"/>
    <x v="0"/>
  </r>
  <r>
    <x v="0"/>
    <s v="SainteLague"/>
    <n v="96"/>
    <n v="130113"/>
    <s v="[Desconexión SGC] Cierre diario: Incidencias"/>
    <x v="2"/>
    <x v="0"/>
    <x v="1"/>
    <s v="Backlog"/>
    <n v="13"/>
    <n v="0.03"/>
    <n v="1"/>
    <n v="1"/>
    <n v="1"/>
    <n v="100"/>
    <x v="0"/>
  </r>
  <r>
    <x v="0"/>
    <s v="SainteLague"/>
    <n v="97"/>
    <n v="31739"/>
    <s v="FIL | Segmentação de Clientes - atribuição de descontos PED-2021-00346"/>
    <x v="18"/>
    <x v="1"/>
    <x v="1"/>
    <s v="Backlog"/>
    <n v="2"/>
    <n v="0.03"/>
    <n v="1"/>
    <n v="1"/>
    <n v="1"/>
    <n v="100"/>
    <x v="0"/>
  </r>
  <r>
    <x v="0"/>
    <s v="SainteLague"/>
    <n v="98"/>
    <n v="129869"/>
    <s v="[Desconexión SGC] [Salesforce Service] - Creación de flujos de trabajo entre Salesforce-Service y Nexia"/>
    <x v="4"/>
    <x v="0"/>
    <x v="2"/>
    <s v="In Solution"/>
    <n v="6"/>
    <n v="0.03"/>
    <n v="1"/>
    <n v="1"/>
    <n v="1"/>
    <n v="100"/>
    <x v="0"/>
  </r>
  <r>
    <x v="0"/>
    <s v="SainteLague"/>
    <n v="99"/>
    <n v="123319"/>
    <s v="Auditoria SI - Wave 3 - Canais Digitais"/>
    <x v="32"/>
    <x v="1"/>
    <x v="2"/>
    <s v="Backlog"/>
    <n v="1"/>
    <n v="0.03"/>
    <n v="1"/>
    <n v="1"/>
    <n v="1"/>
    <n v="100"/>
    <x v="0"/>
  </r>
  <r>
    <x v="0"/>
    <s v="SainteLague"/>
    <n v="100"/>
    <n v="130529"/>
    <s v="[Web de Clientes] - Desconexión Web-Tracking"/>
    <x v="6"/>
    <x v="0"/>
    <x v="3"/>
    <s v="In Solution"/>
    <n v="13"/>
    <n v="0.03"/>
    <n v="1"/>
    <n v="1"/>
    <n v="1"/>
    <n v="100"/>
    <x v="0"/>
  </r>
  <r>
    <x v="0"/>
    <s v="SainteLague"/>
    <n v="101"/>
    <n v="125918"/>
    <s v="Criação de chatbot no super portal"/>
    <x v="20"/>
    <x v="1"/>
    <x v="3"/>
    <s v="Backlog"/>
    <n v="2"/>
    <n v="0.03"/>
    <n v="1"/>
    <n v="1"/>
    <n v="1"/>
    <n v="100"/>
    <x v="0"/>
  </r>
  <r>
    <x v="0"/>
    <s v="SainteLague"/>
    <n v="102"/>
    <n v="138350"/>
    <s v="[NEXUS]-[OOH] - LMS Integration"/>
    <x v="0"/>
    <x v="0"/>
    <x v="0"/>
    <s v="High Level Design"/>
    <n v="9"/>
    <n v="0.03"/>
    <n v="1"/>
    <n v="1"/>
    <n v="1"/>
    <n v="100"/>
    <x v="0"/>
  </r>
  <r>
    <x v="0"/>
    <s v="SainteLague"/>
    <n v="103"/>
    <n v="50856"/>
    <s v="Definição de modelo de governo para gestão de segurança da informação, compliance e gestão de risco"/>
    <x v="9"/>
    <x v="1"/>
    <x v="4"/>
    <s v="Backlog"/>
    <n v="6"/>
    <n v="0.03"/>
    <n v="1"/>
    <n v="1"/>
    <n v="1"/>
    <n v="100"/>
    <x v="0"/>
  </r>
  <r>
    <x v="0"/>
    <s v="SainteLague"/>
    <n v="104"/>
    <n v="130013"/>
    <s v="[Desconexión SGC] Gestión de Incidencias y Soluciones"/>
    <x v="2"/>
    <x v="0"/>
    <x v="1"/>
    <s v="In Definition"/>
    <n v="16"/>
    <n v="0.03"/>
    <n v="1"/>
    <n v="1"/>
    <n v="1"/>
    <n v="100"/>
    <x v="0"/>
  </r>
  <r>
    <x v="0"/>
    <s v="SainteLague"/>
    <n v="105"/>
    <n v="126459"/>
    <s v="Super B2C (App + Área Cliente) | Incluir publicidade genérica do Banco CTT nos canais digitais dos CTT"/>
    <x v="16"/>
    <x v="1"/>
    <x v="0"/>
    <s v="Backlog"/>
    <n v="2"/>
    <n v="0.03"/>
    <n v="1"/>
    <n v="1"/>
    <n v="1"/>
    <n v="100"/>
    <x v="0"/>
  </r>
  <r>
    <x v="0"/>
    <s v="SainteLague"/>
    <n v="106"/>
    <n v="134702"/>
    <s v="P&amp;L Ibérica e información de gestión"/>
    <x v="11"/>
    <x v="0"/>
    <x v="2"/>
    <s v="In Solution"/>
    <n v="5"/>
    <n v="0.03"/>
    <n v="1"/>
    <n v="1"/>
    <n v="1"/>
    <n v="100"/>
    <x v="0"/>
  </r>
  <r>
    <x v="0"/>
    <s v="SainteLague"/>
    <n v="107"/>
    <n v="126423"/>
    <s v="INTERNACIONAL | IPS Instalar a versão do package #31 (technical version 13.1.31)"/>
    <x v="3"/>
    <x v="1"/>
    <x v="1"/>
    <s v="Ready for Approval"/>
    <n v="4"/>
    <n v="2.3330000000000002"/>
    <n v="3"/>
    <n v="2"/>
    <n v="2"/>
    <n v="3"/>
    <x v="0"/>
  </r>
  <r>
    <x v="0"/>
    <s v="SainteLague"/>
    <n v="108"/>
    <n v="130667"/>
    <s v="Definición Arquitectura Github"/>
    <x v="6"/>
    <x v="0"/>
    <x v="3"/>
    <s v="Backlog"/>
    <n v="14"/>
    <n v="0.03"/>
    <n v="1"/>
    <n v="1"/>
    <n v="1"/>
    <n v="100"/>
    <x v="0"/>
  </r>
  <r>
    <x v="0"/>
    <s v="SainteLague"/>
    <n v="109"/>
    <n v="126278"/>
    <s v="PAI NATAL SOLIDÁRIO"/>
    <x v="33"/>
    <x v="1"/>
    <x v="2"/>
    <s v="Backlog"/>
    <n v="1"/>
    <n v="2"/>
    <n v="2"/>
    <n v="2"/>
    <n v="2"/>
    <n v="3"/>
    <x v="0"/>
  </r>
  <r>
    <x v="0"/>
    <s v="SainteLague"/>
    <n v="110"/>
    <n v="130767"/>
    <s v="[Integración de Clientes] Tik Tok - Bloqueo del dato publicado de peso y medidas después del estado definitivo."/>
    <x v="8"/>
    <x v="0"/>
    <x v="0"/>
    <s v="In Definition"/>
    <n v="7"/>
    <n v="0.03"/>
    <n v="1"/>
    <n v="1"/>
    <n v="1"/>
    <n v="100"/>
    <x v="0"/>
  </r>
  <r>
    <x v="0"/>
    <s v="SainteLague"/>
    <n v="111"/>
    <n v="126647"/>
    <s v="MobiCTT - Migração de Pipelines ADO2Github"/>
    <x v="23"/>
    <x v="1"/>
    <x v="3"/>
    <s v="Ready for Approval"/>
    <n v="2"/>
    <n v="5"/>
    <n v="4"/>
    <n v="3"/>
    <n v="3"/>
    <n v="2"/>
    <x v="0"/>
  </r>
  <r>
    <x v="0"/>
    <s v="SainteLague"/>
    <n v="112"/>
    <n v="131076"/>
    <s v="[Desconexión SGC]: Creación y mantenimiento de CO's"/>
    <x v="2"/>
    <x v="0"/>
    <x v="1"/>
    <s v="Backlog"/>
    <n v="18"/>
    <n v="0.03"/>
    <n v="1"/>
    <n v="1"/>
    <n v="1"/>
    <n v="100"/>
    <x v="0"/>
  </r>
  <r>
    <x v="0"/>
    <s v="SainteLague"/>
    <n v="113"/>
    <n v="127065"/>
    <s v="Galaxy - Jornada de envios – Push recolha destinatário"/>
    <x v="21"/>
    <x v="1"/>
    <x v="0"/>
    <s v="Ready for Solution"/>
    <n v="2"/>
    <n v="2"/>
    <n v="3"/>
    <n v="2"/>
    <n v="1"/>
    <n v="3"/>
    <x v="0"/>
  </r>
  <r>
    <x v="0"/>
    <s v="SainteLague"/>
    <n v="114"/>
    <n v="130995"/>
    <s v="KPIs de Prevención de Riesgos Laborales de CTT Express"/>
    <x v="17"/>
    <x v="0"/>
    <x v="2"/>
    <s v="Ready for Solution"/>
    <n v="3"/>
    <n v="0.03"/>
    <n v="1"/>
    <n v="1"/>
    <n v="1"/>
    <n v="100"/>
    <x v="0"/>
  </r>
  <r>
    <x v="0"/>
    <s v="SainteLague"/>
    <n v="115"/>
    <n v="44975"/>
    <s v="Servidor Decisões: Update automatico para a nova versão ODM"/>
    <x v="12"/>
    <x v="1"/>
    <x v="1"/>
    <s v="Backlog"/>
    <n v="4"/>
    <n v="0.03"/>
    <n v="1"/>
    <n v="1"/>
    <n v="1"/>
    <n v="100"/>
    <x v="0"/>
  </r>
  <r>
    <x v="0"/>
    <s v="SainteLague"/>
    <n v="116"/>
    <n v="129501"/>
    <s v="[Desconexión SGC] Qlik - Migración App Gestión de Estacionados - Cloud"/>
    <x v="6"/>
    <x v="0"/>
    <x v="3"/>
    <s v="Ready for Solution"/>
    <n v="15"/>
    <n v="0.03"/>
    <n v="1"/>
    <n v="1"/>
    <n v="1"/>
    <n v="100"/>
    <x v="0"/>
  </r>
  <r>
    <x v="0"/>
    <s v="SainteLague"/>
    <n v="117"/>
    <n v="55216"/>
    <s v="ESG - Incremento 1"/>
    <x v="34"/>
    <x v="1"/>
    <x v="2"/>
    <s v="In Definition"/>
    <n v="1"/>
    <n v="0.03"/>
    <n v="1"/>
    <n v="1"/>
    <n v="1"/>
    <n v="100"/>
    <x v="0"/>
  </r>
  <r>
    <x v="0"/>
    <s v="SainteLague"/>
    <n v="118"/>
    <n v="130244"/>
    <s v="Migración a Cloud ficheros IDL e Inditex"/>
    <x v="14"/>
    <x v="0"/>
    <x v="0"/>
    <s v="In Definition"/>
    <n v="5"/>
    <n v="0.03"/>
    <n v="1"/>
    <n v="1"/>
    <n v="1"/>
    <n v="100"/>
    <x v="0"/>
  </r>
  <r>
    <x v="0"/>
    <s v="SainteLague"/>
    <n v="119"/>
    <n v="132957"/>
    <s v="Github Migration - ParcelInfo"/>
    <x v="7"/>
    <x v="1"/>
    <x v="3"/>
    <s v="Backlog"/>
    <n v="5"/>
    <n v="0.03"/>
    <n v="1"/>
    <n v="1"/>
    <n v="1"/>
    <n v="100"/>
    <x v="0"/>
  </r>
  <r>
    <x v="0"/>
    <s v="SainteLague"/>
    <n v="120"/>
    <n v="131077"/>
    <s v="[Desconexión SGC]: Brokers y Franquicias: grabación de envíos con/sin entrega"/>
    <x v="2"/>
    <x v="0"/>
    <x v="1"/>
    <s v="Backlog"/>
    <n v="19"/>
    <n v="0.03"/>
    <n v="1"/>
    <n v="1"/>
    <n v="1"/>
    <n v="100"/>
    <x v="0"/>
  </r>
  <r>
    <x v="0"/>
    <s v="SainteLague"/>
    <n v="121"/>
    <n v="51049"/>
    <s v="Definição de Política de Gestão de Risco Cyber"/>
    <x v="9"/>
    <x v="1"/>
    <x v="4"/>
    <s v="Backlog"/>
    <n v="7"/>
    <n v="0.03"/>
    <n v="1"/>
    <n v="1"/>
    <n v="1"/>
    <n v="100"/>
    <x v="0"/>
  </r>
  <r>
    <x v="0"/>
    <s v="SainteLague"/>
    <n v="122"/>
    <n v="129677"/>
    <s v="[Seguridad] PDA Planta (TO)/Gestión de Planta/ Auditoría de seguridad/Control de conductores"/>
    <x v="4"/>
    <x v="0"/>
    <x v="2"/>
    <s v="Ready for Solution"/>
    <n v="8"/>
    <n v="0.03"/>
    <n v="1"/>
    <n v="1"/>
    <n v="1"/>
    <n v="100"/>
    <x v="1"/>
  </r>
  <r>
    <x v="0"/>
    <s v="SainteLague"/>
    <n v="123"/>
    <n v="31997"/>
    <s v="PAY - Instrumento Cheques - Incremento I"/>
    <x v="24"/>
    <x v="1"/>
    <x v="0"/>
    <s v="In Definition"/>
    <n v="2"/>
    <n v="0.03"/>
    <n v="1"/>
    <n v="1"/>
    <n v="1"/>
    <n v="100"/>
    <x v="1"/>
  </r>
  <r>
    <x v="0"/>
    <s v="SainteLague"/>
    <n v="124"/>
    <n v="130861"/>
    <s v="[Minerva] - Cambiar método de autenticación en Minerva"/>
    <x v="6"/>
    <x v="0"/>
    <x v="3"/>
    <s v="In Definition"/>
    <n v="16"/>
    <n v="0.03"/>
    <n v="1"/>
    <n v="1"/>
    <n v="1"/>
    <n v="100"/>
    <x v="1"/>
  </r>
  <r>
    <x v="0"/>
    <s v="SainteLague"/>
    <n v="125"/>
    <n v="104562"/>
    <s v="Atendimento a nova Regulação aduaneiro de simplificação da exportação (SIMPLEX EXPORTAÇÃO)"/>
    <x v="3"/>
    <x v="1"/>
    <x v="1"/>
    <s v="In Definition"/>
    <n v="5"/>
    <n v="0.03"/>
    <n v="1"/>
    <n v="1"/>
    <n v="1"/>
    <n v="100"/>
    <x v="1"/>
  </r>
  <r>
    <x v="0"/>
    <s v="SainteLague"/>
    <n v="126"/>
    <n v="131024"/>
    <s v="[NEXUS] [Desconexión SGC - FR y BR] [Web de clientes] Configuración - Administración, gestión de usuarios y centros de FRANQUICIAS y BROKERS (settings)"/>
    <x v="0"/>
    <x v="0"/>
    <x v="0"/>
    <s v="In Solution"/>
    <n v="10"/>
    <n v="2.3330000000000002"/>
    <n v="4"/>
    <n v="1"/>
    <n v="2"/>
    <n v="3"/>
    <x v="1"/>
  </r>
  <r>
    <x v="0"/>
    <s v="SainteLague"/>
    <n v="127"/>
    <n v="31708"/>
    <s v="e-SIGN: Nova solução de assinatura digital CTT"/>
    <x v="35"/>
    <x v="1"/>
    <x v="2"/>
    <s v="High Level Design"/>
    <n v="1"/>
    <n v="0.03"/>
    <n v="1"/>
    <n v="1"/>
    <n v="1"/>
    <n v="100"/>
    <x v="1"/>
  </r>
  <r>
    <x v="0"/>
    <s v="SainteLague"/>
    <n v="128"/>
    <n v="131075"/>
    <s v="[Desconexión SGC]: Canarias"/>
    <x v="2"/>
    <x v="0"/>
    <x v="1"/>
    <s v="Backlog"/>
    <n v="20"/>
    <n v="0.03"/>
    <n v="1"/>
    <n v="1"/>
    <n v="1"/>
    <n v="100"/>
    <x v="1"/>
  </r>
  <r>
    <x v="0"/>
    <s v="SainteLague"/>
    <n v="129"/>
    <n v="126585"/>
    <s v="Renovação Firewalls Perímetro - CheckPoint"/>
    <x v="7"/>
    <x v="1"/>
    <x v="3"/>
    <s v="In Definition"/>
    <n v="6"/>
    <n v="6"/>
    <n v="5"/>
    <n v="2"/>
    <n v="5"/>
    <n v="2"/>
    <x v="1"/>
  </r>
  <r>
    <x v="0"/>
    <s v="SainteLague"/>
    <n v="130"/>
    <n v="130981"/>
    <s v="ECCS por peso Informado"/>
    <x v="11"/>
    <x v="0"/>
    <x v="2"/>
    <s v="Backlog"/>
    <n v="6"/>
    <n v="0.03"/>
    <n v="1"/>
    <n v="1"/>
    <n v="1"/>
    <n v="100"/>
    <x v="1"/>
  </r>
  <r>
    <x v="0"/>
    <s v="SainteLague"/>
    <n v="131"/>
    <n v="116662"/>
    <s v="Aviso de Receção (AR) Digital nos Postos"/>
    <x v="1"/>
    <x v="1"/>
    <x v="0"/>
    <s v="In Solution"/>
    <n v="3"/>
    <n v="7.0000000000000007E-2"/>
    <n v="5"/>
    <n v="1"/>
    <n v="1"/>
    <n v="100"/>
    <x v="1"/>
  </r>
  <r>
    <x v="0"/>
    <s v="SainteLague"/>
    <n v="132"/>
    <n v="130668"/>
    <s v="Migración Infraestructura GIT =&gt; GitHub (Salesforce)"/>
    <x v="6"/>
    <x v="0"/>
    <x v="3"/>
    <s v="Backlog"/>
    <n v="17"/>
    <n v="0.03"/>
    <n v="1"/>
    <n v="1"/>
    <n v="1"/>
    <n v="100"/>
    <x v="1"/>
  </r>
  <r>
    <x v="0"/>
    <s v="SainteLague"/>
    <n v="133"/>
    <n v="69892"/>
    <s v="Teleponto / Dol - Registo de situações de doenças"/>
    <x v="12"/>
    <x v="1"/>
    <x v="1"/>
    <s v="Backlog"/>
    <n v="5"/>
    <n v="0.03"/>
    <n v="1"/>
    <n v="1"/>
    <n v="1"/>
    <n v="100"/>
    <x v="1"/>
  </r>
  <r>
    <x v="0"/>
    <s v="SainteLague"/>
    <n v="134"/>
    <n v="129771"/>
    <s v="[NEXUS] [Web de clientes]- Configuración - Administración, gestión de usuarios y centros de Clientes de Venta directa (settings)"/>
    <x v="0"/>
    <x v="0"/>
    <x v="0"/>
    <s v="Ready for Solution"/>
    <n v="11"/>
    <n v="0.03"/>
    <n v="1"/>
    <n v="1"/>
    <n v="1"/>
    <n v="100"/>
    <x v="1"/>
  </r>
  <r>
    <x v="0"/>
    <s v="SainteLague"/>
    <n v="135"/>
    <n v="107765"/>
    <s v="Novas regras RCTO - Prioridade/Wave 3"/>
    <x v="5"/>
    <x v="1"/>
    <x v="2"/>
    <s v="In Definition"/>
    <n v="2"/>
    <n v="0.03"/>
    <n v="1"/>
    <n v="1"/>
    <n v="1"/>
    <n v="100"/>
    <x v="1"/>
  </r>
  <r>
    <x v="0"/>
    <s v="SainteLague"/>
    <n v="136"/>
    <n v="130112"/>
    <s v="[Desconexión SGC] Cierre diario: Recogidas"/>
    <x v="2"/>
    <x v="0"/>
    <x v="1"/>
    <s v="Backlog"/>
    <n v="21"/>
    <n v="0.03"/>
    <n v="1"/>
    <n v="1"/>
    <n v="1"/>
    <n v="100"/>
    <x v="1"/>
  </r>
  <r>
    <x v="0"/>
    <s v="SainteLague"/>
    <n v="137"/>
    <n v="31977"/>
    <s v="INT | IBM Sterling File Gateway - implementar balanceamento"/>
    <x v="7"/>
    <x v="1"/>
    <x v="3"/>
    <s v="In Solution"/>
    <n v="7"/>
    <n v="0.03"/>
    <n v="1"/>
    <n v="1"/>
    <n v="1"/>
    <n v="100"/>
    <x v="1"/>
  </r>
  <r>
    <x v="0"/>
    <s v="SainteLague"/>
    <n v="138"/>
    <n v="129829"/>
    <s v="[Desconexión SGC] [Salesforce] - Integración de GoContact IVR con el Cloud (Service)"/>
    <x v="4"/>
    <x v="0"/>
    <x v="2"/>
    <s v="In Solution"/>
    <n v="9"/>
    <n v="0.03"/>
    <n v="1"/>
    <n v="1"/>
    <n v="1"/>
    <n v="100"/>
    <x v="1"/>
  </r>
  <r>
    <x v="0"/>
    <s v="SainteLague"/>
    <n v="139"/>
    <n v="53828"/>
    <s v="Segurança da Informação - revisão anual 2025 de Políticas e Normativos"/>
    <x v="9"/>
    <x v="1"/>
    <x v="4"/>
    <s v="Backlog"/>
    <n v="8"/>
    <n v="0.03"/>
    <n v="1"/>
    <n v="1"/>
    <n v="1"/>
    <n v="100"/>
    <x v="1"/>
  </r>
  <r>
    <x v="0"/>
    <s v="SainteLague"/>
    <n v="140"/>
    <n v="130669"/>
    <s v="Migración Infraestructura GIT =&gt; GitHub , Arquetipo .net"/>
    <x v="6"/>
    <x v="0"/>
    <x v="3"/>
    <s v="Backlog"/>
    <n v="18"/>
    <n v="0.03"/>
    <n v="1"/>
    <n v="1"/>
    <n v="1"/>
    <n v="100"/>
    <x v="1"/>
  </r>
  <r>
    <x v="0"/>
    <s v="SainteLague"/>
    <n v="141"/>
    <n v="31772"/>
    <s v="GPECL/INT - Interconnect | Disponibilizar Easy Return Solution Premium (ERS) - Authorising Party"/>
    <x v="10"/>
    <x v="1"/>
    <x v="0"/>
    <s v="Backlog"/>
    <n v="4"/>
    <n v="0.03"/>
    <n v="1"/>
    <n v="1"/>
    <n v="1"/>
    <n v="100"/>
    <x v="1"/>
  </r>
  <r>
    <x v="0"/>
    <s v="SainteLague"/>
    <n v="142"/>
    <n v="130783"/>
    <s v="To Expedite - [Salesforce Sales] - NEW WORKFLOW OFERTAS (Cambio del flujo de aprobación de ofertas según usuario y modelo tarifario)"/>
    <x v="8"/>
    <x v="0"/>
    <x v="0"/>
    <s v="Pitch"/>
    <n v="8"/>
    <n v="0.03"/>
    <n v="1"/>
    <n v="1"/>
    <n v="1"/>
    <n v="100"/>
    <x v="1"/>
  </r>
  <r>
    <x v="0"/>
    <s v="SainteLague"/>
    <n v="143"/>
    <n v="108852"/>
    <s v="Internacional | PA | Evolução da Linha de Tratamento Manual"/>
    <x v="3"/>
    <x v="1"/>
    <x v="1"/>
    <s v="Backlog"/>
    <n v="6"/>
    <n v="0.03"/>
    <n v="1"/>
    <n v="1"/>
    <n v="1"/>
    <n v="100"/>
    <x v="1"/>
  </r>
  <r>
    <x v="0"/>
    <s v="SainteLague"/>
    <n v="144"/>
    <n v="130119"/>
    <s v="[Desconexión SGC] Cierre diario: Escaneo de documentación"/>
    <x v="2"/>
    <x v="0"/>
    <x v="1"/>
    <s v="Backlog"/>
    <n v="22"/>
    <n v="0.03"/>
    <n v="1"/>
    <n v="1"/>
    <n v="1"/>
    <n v="100"/>
    <x v="1"/>
  </r>
  <r>
    <x v="0"/>
    <s v="SainteLague"/>
    <n v="145"/>
    <n v="126641"/>
    <s v="GENAI-NBanks"/>
    <x v="13"/>
    <x v="1"/>
    <x v="2"/>
    <s v="Ready for Solution"/>
    <n v="2"/>
    <n v="4"/>
    <n v="4"/>
    <n v="2"/>
    <n v="2"/>
    <n v="2"/>
    <x v="1"/>
  </r>
  <r>
    <x v="0"/>
    <s v="SainteLague"/>
    <n v="146"/>
    <n v="129470"/>
    <s v="[Evolutivos SGC Finanzas] Validación de país y CP en manifiestos"/>
    <x v="11"/>
    <x v="0"/>
    <x v="2"/>
    <s v="High Level Design"/>
    <n v="7"/>
    <n v="0.03"/>
    <n v="1"/>
    <n v="1"/>
    <n v="1"/>
    <n v="100"/>
    <x v="1"/>
  </r>
  <r>
    <x v="0"/>
    <s v="SainteLague"/>
    <n v="147"/>
    <n v="32104"/>
    <s v="BancoCTT - Redução horário Tesouraria | Automatização do horário da senha D"/>
    <x v="15"/>
    <x v="1"/>
    <x v="3"/>
    <s v="Backlog"/>
    <n v="3"/>
    <n v="0.03"/>
    <n v="1"/>
    <n v="1"/>
    <n v="1"/>
    <n v="100"/>
    <x v="1"/>
  </r>
  <r>
    <x v="0"/>
    <s v="SainteLague"/>
    <n v="148"/>
    <n v="130670"/>
    <s v="Migración Infraestructura de Web Corporativa de AckStorm a Ctt Express"/>
    <x v="6"/>
    <x v="0"/>
    <x v="3"/>
    <s v="Backlog"/>
    <n v="19"/>
    <n v="0.03"/>
    <n v="1"/>
    <n v="1"/>
    <n v="1"/>
    <n v="100"/>
    <x v="1"/>
  </r>
  <r>
    <x v="0"/>
    <s v="SainteLague"/>
    <n v="149"/>
    <n v="70697"/>
    <s v="Nexus | Digital Channels | CLIENT PORTAL | &quot;SUPER PORTAL&quot; (extra MVP)"/>
    <x v="16"/>
    <x v="1"/>
    <x v="0"/>
    <s v="Backlog"/>
    <n v="3"/>
    <n v="0.03"/>
    <n v="1"/>
    <n v="1"/>
    <n v="1"/>
    <n v="100"/>
    <x v="1"/>
  </r>
  <r>
    <x v="0"/>
    <s v="SainteLague"/>
    <n v="150"/>
    <n v="136235"/>
    <s v="DHL Parcel - Webhook- Evento Recogida de Caducado en Pudo y Falso Entregado"/>
    <x v="14"/>
    <x v="0"/>
    <x v="0"/>
    <s v="In Definition"/>
    <n v="6"/>
    <n v="0.03"/>
    <n v="1"/>
    <n v="1"/>
    <n v="1"/>
    <n v="100"/>
    <x v="1"/>
  </r>
  <r>
    <x v="0"/>
    <s v="SainteLague"/>
    <n v="151"/>
    <n v="125275"/>
    <s v="Modernização do Processo de Devolução – Fim dos Carimbos usados no CDP"/>
    <x v="12"/>
    <x v="1"/>
    <x v="1"/>
    <s v="Backlog"/>
    <n v="6"/>
    <n v="0.03"/>
    <n v="1"/>
    <n v="1"/>
    <n v="1"/>
    <n v="100"/>
    <x v="1"/>
  </r>
  <r>
    <x v="0"/>
    <s v="SainteLague"/>
    <n v="152"/>
    <n v="130121"/>
    <s v="[Desconexión SGC] Grabación manual de envíos"/>
    <x v="2"/>
    <x v="0"/>
    <x v="1"/>
    <s v="Backlog"/>
    <n v="23"/>
    <n v="0.03"/>
    <n v="1"/>
    <n v="1"/>
    <n v="1"/>
    <n v="100"/>
    <x v="1"/>
  </r>
  <r>
    <x v="0"/>
    <s v="SainteLague"/>
    <n v="153"/>
    <n v="55327"/>
    <s v="XRP | RPA para substituição da integração com BPM"/>
    <x v="19"/>
    <x v="1"/>
    <x v="2"/>
    <s v="Backlog"/>
    <n v="2"/>
    <n v="0.03"/>
    <n v="1"/>
    <n v="1"/>
    <n v="1"/>
    <n v="100"/>
    <x v="1"/>
  </r>
  <r>
    <x v="0"/>
    <s v="SainteLague"/>
    <n v="154"/>
    <n v="130996"/>
    <s v="Visualización de kilómetros en Qlik"/>
    <x v="17"/>
    <x v="0"/>
    <x v="2"/>
    <s v="Backlog"/>
    <n v="4"/>
    <n v="0.03"/>
    <n v="1"/>
    <n v="1"/>
    <n v="1"/>
    <n v="100"/>
    <x v="1"/>
  </r>
  <r>
    <x v="0"/>
    <s v="SainteLague"/>
    <n v="155"/>
    <n v="125919"/>
    <s v="Criação de chatbot no portal ctt expresso"/>
    <x v="20"/>
    <x v="1"/>
    <x v="3"/>
    <s v="Backlog"/>
    <n v="3"/>
    <n v="0.03"/>
    <n v="1"/>
    <n v="1"/>
    <n v="1"/>
    <n v="100"/>
    <x v="1"/>
  </r>
  <r>
    <x v="0"/>
    <s v="SainteLague"/>
    <n v="156"/>
    <n v="130075"/>
    <s v="[Auditoria PT] Controles periódicos que garanticen la selección de lecturas óptimas para facturación"/>
    <x v="6"/>
    <x v="0"/>
    <x v="3"/>
    <s v="Backlog"/>
    <n v="20"/>
    <n v="0.03"/>
    <n v="1"/>
    <n v="1"/>
    <n v="1"/>
    <n v="100"/>
    <x v="1"/>
  </r>
  <r>
    <x v="0"/>
    <s v="SainteLague"/>
    <n v="157"/>
    <n v="126575"/>
    <s v="DLP (Data Loss Prevention) - Wave 2"/>
    <x v="9"/>
    <x v="1"/>
    <x v="4"/>
    <s v="Backlog"/>
    <n v="9"/>
    <n v="0.03"/>
    <n v="1"/>
    <n v="1"/>
    <n v="1"/>
    <n v="100"/>
    <x v="1"/>
  </r>
  <r>
    <x v="0"/>
    <s v="SainteLague"/>
    <n v="158"/>
    <n v="130103"/>
    <s v="[Nexus] [Notificaciones] Whatsapp desde Marketing Cloud Engagement de Salesforce - Envío WP para el envío de notificaciones con incidencia"/>
    <x v="0"/>
    <x v="0"/>
    <x v="0"/>
    <s v="Ready for Solution"/>
    <n v="12"/>
    <n v="0.03"/>
    <n v="1"/>
    <n v="1"/>
    <n v="1"/>
    <n v="100"/>
    <x v="1"/>
  </r>
  <r>
    <x v="0"/>
    <s v="SainteLague"/>
    <n v="159"/>
    <n v="32069"/>
    <s v="Implementação do software da Western Union (WUPOS) em NAVe e integração com todos os sistemas centrais"/>
    <x v="27"/>
    <x v="1"/>
    <x v="0"/>
    <s v="In Definition"/>
    <n v="2"/>
    <n v="0.03"/>
    <n v="1"/>
    <n v="1"/>
    <n v="1"/>
    <n v="100"/>
    <x v="1"/>
  </r>
  <r>
    <x v="0"/>
    <s v="SainteLague"/>
    <n v="160"/>
    <n v="129496"/>
    <s v="[Desconexión SGC] [Salesforce] - Gestión de las canalizaciones por el equipo de Operaciones desde Salesforce"/>
    <x v="2"/>
    <x v="0"/>
    <x v="1"/>
    <s v="In Definition"/>
    <n v="24"/>
    <n v="0.03"/>
    <n v="1"/>
    <n v="1"/>
    <n v="1"/>
    <n v="100"/>
    <x v="1"/>
  </r>
  <r>
    <x v="0"/>
    <s v="SainteLague"/>
    <n v="161"/>
    <n v="51195"/>
    <s v="MOBI_Criar QR de saida para distribuição"/>
    <x v="3"/>
    <x v="1"/>
    <x v="1"/>
    <s v="In Definition"/>
    <n v="7"/>
    <n v="0.03"/>
    <n v="1"/>
    <n v="1"/>
    <n v="1"/>
    <n v="100"/>
    <x v="1"/>
  </r>
  <r>
    <x v="0"/>
    <s v="SainteLague"/>
    <n v="162"/>
    <n v="130832"/>
    <s v="Cierre administrativo automático - &quot;Evitar pasar a Entregado Administrativo envíos que tienen un estado entregado y posteriormente se abre una caso en Salesforce y cambia a otro estado&quot;"/>
    <x v="4"/>
    <x v="0"/>
    <x v="2"/>
    <s v="In Solution"/>
    <n v="10"/>
    <n v="0.03"/>
    <n v="1"/>
    <n v="1"/>
    <n v="1"/>
    <n v="100"/>
    <x v="1"/>
  </r>
  <r>
    <x v="0"/>
    <s v="SainteLague"/>
    <n v="163"/>
    <n v="60599"/>
    <s v="Nexus | We Care | Customer Support"/>
    <x v="22"/>
    <x v="1"/>
    <x v="2"/>
    <s v="Backlog"/>
    <n v="2"/>
    <n v="0.03"/>
    <n v="1"/>
    <n v="1"/>
    <n v="1"/>
    <n v="100"/>
    <x v="1"/>
  </r>
  <r>
    <x v="0"/>
    <s v="SainteLague"/>
    <n v="164"/>
    <n v="129678"/>
    <s v="[Desconexión SGC] PDA Planta-Dependencias PDA planta de SGC"/>
    <x v="6"/>
    <x v="0"/>
    <x v="3"/>
    <s v="In Definition"/>
    <n v="21"/>
    <n v="0.03"/>
    <n v="1"/>
    <n v="1"/>
    <n v="1"/>
    <n v="100"/>
    <x v="1"/>
  </r>
  <r>
    <x v="0"/>
    <s v="SainteLague"/>
    <n v="165"/>
    <n v="126749"/>
    <s v="SGEE - Migração de Pipelines ADO2Github"/>
    <x v="23"/>
    <x v="1"/>
    <x v="3"/>
    <s v="Ready for Approval"/>
    <n v="3"/>
    <n v="5"/>
    <n v="4"/>
    <n v="3"/>
    <n v="3"/>
    <n v="2"/>
    <x v="1"/>
  </r>
  <r>
    <x v="0"/>
    <s v="SainteLague"/>
    <n v="166"/>
    <n v="132537"/>
    <s v="[Qlik] - Creación de un nuevo filtro TYPE.REP.HISTÓRICAL"/>
    <x v="8"/>
    <x v="0"/>
    <x v="0"/>
    <s v="In Definition"/>
    <n v="10"/>
    <n v="0.06"/>
    <n v="3"/>
    <n v="1"/>
    <n v="2"/>
    <n v="100"/>
    <x v="1"/>
  </r>
  <r>
    <x v="0"/>
    <s v="SainteLague"/>
    <n v="167"/>
    <n v="121353"/>
    <s v="Configuração SAP para Introdução de IBANs da região SEPA"/>
    <x v="29"/>
    <x v="1"/>
    <x v="0"/>
    <s v="Backlog"/>
    <n v="2"/>
    <n v="0.03"/>
    <n v="1"/>
    <n v="1"/>
    <n v="1"/>
    <n v="100"/>
    <x v="1"/>
  </r>
  <r>
    <x v="0"/>
    <s v="SainteLague"/>
    <n v="168"/>
    <n v="130120"/>
    <s v="[Desconexión SGC] Reetiquetado"/>
    <x v="2"/>
    <x v="0"/>
    <x v="1"/>
    <s v="In Definition"/>
    <n v="25"/>
    <n v="0.03"/>
    <n v="1"/>
    <n v="1"/>
    <n v="1"/>
    <n v="100"/>
    <x v="1"/>
  </r>
  <r>
    <x v="0"/>
    <s v="SainteLague"/>
    <n v="169"/>
    <n v="93715"/>
    <s v="Logística - Utilização de Porta Paletes Autónomos"/>
    <x v="12"/>
    <x v="1"/>
    <x v="1"/>
    <s v="In Solution"/>
    <n v="7"/>
    <n v="0.03"/>
    <n v="1"/>
    <n v="1"/>
    <n v="1"/>
    <n v="100"/>
    <x v="1"/>
  </r>
  <r>
    <x v="0"/>
    <s v="SainteLague"/>
    <n v="170"/>
    <n v="130044"/>
    <s v="Perdida de funcionalidad Modificación Artículos"/>
    <x v="11"/>
    <x v="0"/>
    <x v="2"/>
    <s v="Backlog"/>
    <n v="8"/>
    <n v="0.03"/>
    <n v="1"/>
    <n v="1"/>
    <n v="1"/>
    <n v="100"/>
    <x v="1"/>
  </r>
  <r>
    <x v="0"/>
    <s v="SainteLague"/>
    <n v="171"/>
    <n v="68917"/>
    <s v="IOS - Novo Extrator de dados da aplicação IOS"/>
    <x v="25"/>
    <x v="1"/>
    <x v="2"/>
    <s v="Backlog"/>
    <n v="4"/>
    <n v="0.03"/>
    <n v="1"/>
    <n v="1"/>
    <n v="1"/>
    <n v="100"/>
    <x v="1"/>
  </r>
  <r>
    <x v="0"/>
    <s v="SainteLague"/>
    <n v="172"/>
    <n v="130377"/>
    <s v="Creación de Interfaz de usuario para simular la creación y ciclo de vida de envío"/>
    <x v="6"/>
    <x v="0"/>
    <x v="3"/>
    <s v="Backlog"/>
    <n v="22"/>
    <n v="0.03"/>
    <n v="1"/>
    <n v="1"/>
    <n v="1"/>
    <n v="100"/>
    <x v="1"/>
  </r>
  <r>
    <x v="0"/>
    <s v="SainteLague"/>
    <n v="173"/>
    <n v="134357"/>
    <s v="Github Migration - Ecossistema Expresso ADO2Github"/>
    <x v="7"/>
    <x v="1"/>
    <x v="3"/>
    <s v="Ready for Approval"/>
    <n v="8"/>
    <n v="5"/>
    <n v="4"/>
    <n v="3"/>
    <n v="3"/>
    <n v="2"/>
    <x v="1"/>
  </r>
  <r>
    <x v="0"/>
    <s v="SainteLague"/>
    <n v="174"/>
    <n v="130590"/>
    <s v="[WebHook] - ZooPlus - Transmisión de estados en mensaje estándar"/>
    <x v="14"/>
    <x v="0"/>
    <x v="0"/>
    <s v="In Definition"/>
    <n v="7"/>
    <n v="0.03"/>
    <n v="1"/>
    <n v="1"/>
    <n v="1"/>
    <n v="100"/>
    <x v="1"/>
  </r>
  <r>
    <x v="0"/>
    <s v="SainteLague"/>
    <n v="175"/>
    <n v="126931"/>
    <s v="Moneyball - Gestão de Consentimentos"/>
    <x v="21"/>
    <x v="1"/>
    <x v="0"/>
    <s v="Backlog"/>
    <n v="3"/>
    <n v="0.03"/>
    <n v="1"/>
    <n v="1"/>
    <n v="1"/>
    <n v="100"/>
    <x v="1"/>
  </r>
  <r>
    <x v="0"/>
    <s v="SainteLague"/>
    <n v="176"/>
    <n v="131073"/>
    <s v="[Desconexión SGC]: Brókers Franquicias: Gestión de adeudos y garantías"/>
    <x v="2"/>
    <x v="0"/>
    <x v="1"/>
    <s v="Backlog"/>
    <n v="26"/>
    <n v="0.03"/>
    <n v="1"/>
    <n v="1"/>
    <n v="1"/>
    <n v="100"/>
    <x v="1"/>
  </r>
  <r>
    <x v="0"/>
    <s v="SainteLague"/>
    <n v="177"/>
    <n v="70063"/>
    <s v="Modelo de Dados de apoio aos indicadores de Logistica"/>
    <x v="3"/>
    <x v="1"/>
    <x v="1"/>
    <s v="Backlog"/>
    <n v="8"/>
    <n v="0.03"/>
    <n v="1"/>
    <n v="1"/>
    <n v="1"/>
    <n v="100"/>
    <x v="1"/>
  </r>
  <r>
    <x v="0"/>
    <s v="SainteLague"/>
    <n v="178"/>
    <n v="129583"/>
    <s v="[Mejora Calidad Servicio] - PDA - Envios Multibulto (aplicar logica de causa propia - ajena) (TO)"/>
    <x v="4"/>
    <x v="0"/>
    <x v="2"/>
    <s v="In Definition"/>
    <n v="11"/>
    <n v="0.03"/>
    <n v="1"/>
    <n v="1"/>
    <n v="1"/>
    <n v="100"/>
    <x v="1"/>
  </r>
  <r>
    <x v="0"/>
    <s v="SainteLague"/>
    <n v="179"/>
    <n v="111495"/>
    <s v="GT - Portal AON MVP (com SSO)"/>
    <x v="28"/>
    <x v="1"/>
    <x v="2"/>
    <s v="Backlog"/>
    <n v="2"/>
    <n v="0.03"/>
    <n v="1"/>
    <n v="1"/>
    <n v="1"/>
    <n v="100"/>
    <x v="1"/>
  </r>
  <r>
    <x v="0"/>
    <s v="SainteLague"/>
    <n v="180"/>
    <n v="129565"/>
    <s v="[Internacional] - Política de reintentos en la grabación de envíos internacionales en el sistema del proveedor"/>
    <x v="6"/>
    <x v="0"/>
    <x v="3"/>
    <s v="Backlog"/>
    <n v="24"/>
    <n v="0.03"/>
    <n v="1"/>
    <n v="1"/>
    <n v="1"/>
    <n v="100"/>
    <x v="1"/>
  </r>
  <r>
    <x v="0"/>
    <s v="SainteLague"/>
    <n v="181"/>
    <n v="126586"/>
    <s v="Renovação core LAN Porto"/>
    <x v="7"/>
    <x v="1"/>
    <x v="3"/>
    <s v="Pitch"/>
    <n v="9"/>
    <n v="3"/>
    <n v="5"/>
    <n v="2"/>
    <n v="2"/>
    <n v="3"/>
    <x v="1"/>
  </r>
  <r>
    <x v="0"/>
    <s v="SainteLague"/>
    <n v="182"/>
    <n v="130435"/>
    <s v="[Nexus P&amp;S] -Portfolio Ibérico Ecommerce : Upload the proposal and pricing in Salesforce and Minerva"/>
    <x v="0"/>
    <x v="0"/>
    <x v="0"/>
    <s v="In Solution"/>
    <n v="13"/>
    <n v="0.03"/>
    <n v="1"/>
    <n v="1"/>
    <n v="1"/>
    <n v="100"/>
    <x v="1"/>
  </r>
  <r>
    <x v="0"/>
    <s v="SainteLague"/>
    <n v="183"/>
    <n v="127257"/>
    <s v="Aviso de Receção (AR) Digital | Envios SuperPortal, Prestadores e Super App"/>
    <x v="1"/>
    <x v="1"/>
    <x v="0"/>
    <s v="Backlog"/>
    <n v="4"/>
    <n v="0.03"/>
    <n v="1"/>
    <n v="1"/>
    <n v="1"/>
    <n v="100"/>
    <x v="1"/>
  </r>
  <r>
    <x v="0"/>
    <s v="SainteLague"/>
    <n v="184"/>
    <n v="131025"/>
    <s v="Migración SGC - Estacionados a Nexus"/>
    <x v="2"/>
    <x v="0"/>
    <x v="1"/>
    <s v="Backlog"/>
    <n v="27"/>
    <n v="0.03"/>
    <n v="1"/>
    <n v="1"/>
    <n v="1"/>
    <n v="100"/>
    <x v="1"/>
  </r>
  <r>
    <x v="0"/>
    <s v="SainteLague"/>
    <n v="185"/>
    <n v="68794"/>
    <s v="Tratamento de rejeitados no SD - Eliminar pré-avisos com CP ficticios (BG4)"/>
    <x v="12"/>
    <x v="1"/>
    <x v="1"/>
    <s v="In Definition"/>
    <n v="8"/>
    <n v="0.03"/>
    <n v="1"/>
    <n v="1"/>
    <n v="1"/>
    <n v="100"/>
    <x v="1"/>
  </r>
  <r>
    <x v="0"/>
    <s v="SainteLague"/>
    <n v="186"/>
    <n v="129465"/>
    <s v="[Evolutivos SGC Finanzas] Revisión de las lógicas de generación de facturas en 2º plano"/>
    <x v="11"/>
    <x v="0"/>
    <x v="2"/>
    <s v="High Level Design"/>
    <n v="9"/>
    <n v="0.03"/>
    <n v="1"/>
    <n v="1"/>
    <n v="1"/>
    <n v="100"/>
    <x v="1"/>
  </r>
  <r>
    <x v="0"/>
    <s v="SainteLague"/>
    <n v="187"/>
    <n v="31922"/>
    <s v="PRODUTOS COM LEITURA OBRIGATORIA DE CODIGO DE IDENTIFICAÇÂO"/>
    <x v="30"/>
    <x v="1"/>
    <x v="2"/>
    <s v="Backlog"/>
    <n v="2"/>
    <n v="0.03"/>
    <n v="1"/>
    <n v="1"/>
    <n v="1"/>
    <n v="100"/>
    <x v="1"/>
  </r>
  <r>
    <x v="0"/>
    <s v="SainteLague"/>
    <n v="188"/>
    <n v="129826"/>
    <s v="[Desconexión SGC] [WebHook] - Implementacion de la Plataforma de WebHooks standard"/>
    <x v="6"/>
    <x v="0"/>
    <x v="3"/>
    <s v="In Definition"/>
    <n v="25"/>
    <n v="0.03"/>
    <n v="1"/>
    <n v="1"/>
    <n v="1"/>
    <n v="100"/>
    <x v="1"/>
  </r>
  <r>
    <x v="0"/>
    <s v="SainteLague"/>
    <n v="189"/>
    <n v="31983"/>
    <s v="Banco CTT - Alteração Processo Faturação"/>
    <x v="15"/>
    <x v="1"/>
    <x v="3"/>
    <s v="Backlog"/>
    <n v="4"/>
    <n v="0.03"/>
    <n v="1"/>
    <n v="1"/>
    <n v="1"/>
    <n v="100"/>
    <x v="1"/>
  </r>
  <r>
    <x v="0"/>
    <s v="SainteLague"/>
    <n v="190"/>
    <n v="129670"/>
    <s v="[Nexus] [Producto] - Pack Express"/>
    <x v="0"/>
    <x v="0"/>
    <x v="0"/>
    <s v="Ready for Solution"/>
    <n v="14"/>
    <n v="0.03"/>
    <n v="1"/>
    <n v="1"/>
    <n v="1"/>
    <n v="100"/>
    <x v="1"/>
  </r>
  <r>
    <x v="0"/>
    <s v="SainteLague"/>
    <n v="191"/>
    <n v="124619"/>
    <s v="Envios Online &amp; Super APP | Serviço de Ponto de Entrega"/>
    <x v="10"/>
    <x v="1"/>
    <x v="0"/>
    <s v="Backlog"/>
    <n v="5"/>
    <n v="0.03"/>
    <n v="1"/>
    <n v="1"/>
    <n v="1"/>
    <n v="100"/>
    <x v="1"/>
  </r>
  <r>
    <x v="0"/>
    <s v="SainteLague"/>
    <n v="192"/>
    <n v="131078"/>
    <s v="[Desconexión SGC]: Brókers y Franquicias: Modulo distribución de Franquicias"/>
    <x v="2"/>
    <x v="0"/>
    <x v="1"/>
    <s v="Backlog"/>
    <n v="28"/>
    <n v="0.03"/>
    <n v="1"/>
    <n v="1"/>
    <n v="1"/>
    <n v="100"/>
    <x v="1"/>
  </r>
  <r>
    <x v="0"/>
    <s v="SainteLague"/>
    <n v="193"/>
    <n v="31749"/>
    <s v="SEO - TCO | Base de dados para armazenamento de informação proveniente de várias fontes"/>
    <x v="3"/>
    <x v="1"/>
    <x v="1"/>
    <s v="Backlog"/>
    <n v="11"/>
    <n v="0.03"/>
    <n v="1"/>
    <n v="1"/>
    <n v="1"/>
    <n v="100"/>
    <x v="1"/>
  </r>
  <r>
    <x v="0"/>
    <s v="SainteLague"/>
    <n v="194"/>
    <n v="130945"/>
    <s v="Implantación con empresa externa de software para la medición de la Huella de Carbono"/>
    <x v="17"/>
    <x v="0"/>
    <x v="2"/>
    <s v="Backlog"/>
    <n v="5"/>
    <n v="0.03"/>
    <n v="1"/>
    <n v="1"/>
    <n v="1"/>
    <n v="100"/>
    <x v="1"/>
  </r>
  <r>
    <x v="0"/>
    <s v="SainteLague"/>
    <n v="195"/>
    <n v="125218"/>
    <s v="revamp.EPM - Framework CPM 360 Full Scope (Non Core)"/>
    <x v="31"/>
    <x v="1"/>
    <x v="2"/>
    <s v="Ready for Solution"/>
    <n v="2"/>
    <n v="0.03"/>
    <n v="1"/>
    <n v="1"/>
    <n v="1"/>
    <n v="100"/>
    <x v="1"/>
  </r>
  <r>
    <x v="0"/>
    <s v="SainteLague"/>
    <n v="196"/>
    <n v="129577"/>
    <s v="Incluir 'audit' en los mensajes publicados en el tópico aws.delivery.fct.international-v1"/>
    <x v="6"/>
    <x v="0"/>
    <x v="3"/>
    <s v="Backlog"/>
    <n v="25"/>
    <n v="0.03"/>
    <n v="1"/>
    <n v="1"/>
    <n v="1"/>
    <n v="100"/>
    <x v="1"/>
  </r>
  <r>
    <x v="0"/>
    <s v="SainteLague"/>
    <n v="197"/>
    <n v="125916"/>
    <s v="Paperless - Faturação eletrónica em loja"/>
    <x v="20"/>
    <x v="1"/>
    <x v="3"/>
    <s v="Pitch"/>
    <n v="4"/>
    <n v="0.03"/>
    <n v="1"/>
    <n v="1"/>
    <n v="1"/>
    <n v="100"/>
    <x v="1"/>
  </r>
  <r>
    <x v="0"/>
    <s v="SainteLague"/>
    <n v="198"/>
    <n v="130626"/>
    <s v="[Nexus] - We Sell (Lead to Contract) 2.0"/>
    <x v="8"/>
    <x v="0"/>
    <x v="0"/>
    <s v="In Definition"/>
    <n v="11"/>
    <n v="0.03"/>
    <n v="1"/>
    <n v="1"/>
    <n v="1"/>
    <n v="100"/>
    <x v="1"/>
  </r>
  <r>
    <x v="0"/>
    <s v="SainteLague"/>
    <n v="199"/>
    <n v="126478"/>
    <s v="Ecossistema B2C – Evolutiva - JAN e FEV 2026"/>
    <x v="16"/>
    <x v="1"/>
    <x v="0"/>
    <s v="Ready for Approval"/>
    <n v="4"/>
    <n v="2"/>
    <n v="3"/>
    <n v="2"/>
    <n v="1"/>
    <n v="3"/>
    <x v="1"/>
  </r>
  <r>
    <x v="0"/>
    <s v="SainteLague"/>
    <n v="200"/>
    <n v="130716"/>
    <s v="Integración con CACESA para la sustitución de ADYCO (30-nov)"/>
    <x v="2"/>
    <x v="0"/>
    <x v="1"/>
    <s v="Ready for Solution"/>
    <n v="29"/>
    <n v="0.03"/>
    <n v="1"/>
    <n v="1"/>
    <n v="1"/>
    <n v="100"/>
    <x v="1"/>
  </r>
  <r>
    <x v="0"/>
    <s v="SainteLague"/>
    <n v="201"/>
    <n v="119415"/>
    <s v="Incremento ao Safeplace c/ Integração LMS (Decoupling Brain)"/>
    <x v="12"/>
    <x v="1"/>
    <x v="1"/>
    <s v="In Definition"/>
    <n v="9"/>
    <n v="0.03"/>
    <n v="1"/>
    <n v="1"/>
    <n v="1"/>
    <n v="100"/>
    <x v="1"/>
  </r>
  <r>
    <x v="0"/>
    <s v="SainteLague"/>
    <n v="202"/>
    <n v="130691"/>
    <s v="[Salesforce] - Usuario / Origen de una acción sobre un envío en la trazabilidad desde ATC"/>
    <x v="4"/>
    <x v="0"/>
    <x v="2"/>
    <s v="Ready for Solution"/>
    <n v="12"/>
    <n v="0.03"/>
    <n v="1"/>
    <n v="1"/>
    <n v="1"/>
    <n v="100"/>
    <x v="1"/>
  </r>
  <r>
    <x v="0"/>
    <s v="SainteLague"/>
    <n v="203"/>
    <n v="123320"/>
    <s v="Auditoria SI - Wave 3 - Business Solutions"/>
    <x v="32"/>
    <x v="1"/>
    <x v="2"/>
    <s v="Backlog"/>
    <n v="2"/>
    <n v="0.03"/>
    <n v="1"/>
    <n v="1"/>
    <n v="1"/>
    <n v="100"/>
    <x v="1"/>
  </r>
  <r>
    <x v="0"/>
    <s v="SainteLague"/>
    <n v="204"/>
    <n v="129741"/>
    <s v="[Containerization] FASE2: Producir en package_event"/>
    <x v="6"/>
    <x v="0"/>
    <x v="3"/>
    <s v="In Definition"/>
    <n v="26"/>
    <n v="0.03"/>
    <n v="1"/>
    <n v="1"/>
    <n v="1"/>
    <n v="100"/>
    <x v="1"/>
  </r>
  <r>
    <x v="0"/>
    <s v="SainteLague"/>
    <n v="205"/>
    <n v="126944"/>
    <s v="GitHub Migration - Aplicações Wave 1"/>
    <x v="23"/>
    <x v="1"/>
    <x v="3"/>
    <s v="In Approval"/>
    <n v="4"/>
    <n v="3.3330000000000002"/>
    <n v="4"/>
    <n v="3"/>
    <n v="3"/>
    <n v="3"/>
    <x v="1"/>
  </r>
  <r>
    <x v="0"/>
    <s v="SainteLague"/>
    <n v="206"/>
    <n v="130912"/>
    <s v="[Mulesoft] - [Api Integrations Clientes] : Disponer de los client_id que invocan a los endpoint de integraciones"/>
    <x v="14"/>
    <x v="0"/>
    <x v="0"/>
    <s v="Backlog"/>
    <n v="9"/>
    <n v="0.03"/>
    <n v="1"/>
    <n v="1"/>
    <n v="1"/>
    <n v="100"/>
    <x v="1"/>
  </r>
  <r>
    <x v="0"/>
    <s v="SainteLague"/>
    <n v="207"/>
    <n v="31897"/>
    <s v="PAY - Instrumento Transferências - Alteração de requisitos definidos pelo BdP - março"/>
    <x v="24"/>
    <x v="1"/>
    <x v="0"/>
    <s v="In Definition"/>
    <n v="3"/>
    <n v="0.03"/>
    <n v="1"/>
    <n v="1"/>
    <n v="1"/>
    <n v="100"/>
    <x v="1"/>
  </r>
  <r>
    <x v="0"/>
    <s v="SainteLague"/>
    <n v="208"/>
    <n v="130746"/>
    <s v="cambios masivos de estados"/>
    <x v="2"/>
    <x v="0"/>
    <x v="1"/>
    <s v="Backlog"/>
    <n v="30"/>
    <n v="0.03"/>
    <n v="1"/>
    <n v="1"/>
    <n v="1"/>
    <n v="100"/>
    <x v="1"/>
  </r>
  <r>
    <x v="0"/>
    <s v="SainteLague"/>
    <n v="209"/>
    <n v="81168"/>
    <s v="Tratamento de rejeitados no SD - Tipificar, isolar e informar (BG1): Incremento"/>
    <x v="12"/>
    <x v="1"/>
    <x v="1"/>
    <s v="In Definition"/>
    <n v="10"/>
    <n v="0.03"/>
    <n v="1"/>
    <n v="1"/>
    <n v="1"/>
    <n v="100"/>
    <x v="1"/>
  </r>
  <r>
    <x v="0"/>
    <s v="SainteLague"/>
    <n v="210"/>
    <n v="129463"/>
    <s v="[Evolutivos SGC] Visibilidad de cargos manuales históricos facturados (mejora)"/>
    <x v="11"/>
    <x v="0"/>
    <x v="2"/>
    <s v="High Level Design"/>
    <n v="10"/>
    <n v="0.03"/>
    <n v="1"/>
    <n v="1"/>
    <n v="1"/>
    <n v="100"/>
    <x v="1"/>
  </r>
  <r>
    <x v="0"/>
    <s v="SainteLague"/>
    <n v="211"/>
    <n v="48989"/>
    <s v="Evolução Pesquisa Pontos de Contacto CTT"/>
    <x v="33"/>
    <x v="1"/>
    <x v="2"/>
    <s v="Backlog"/>
    <n v="2"/>
    <n v="0.03"/>
    <n v="1"/>
    <n v="1"/>
    <n v="1"/>
    <n v="100"/>
    <x v="1"/>
  </r>
  <r>
    <x v="0"/>
    <s v="SainteLague"/>
    <n v="212"/>
    <n v="130433"/>
    <s v="[PET-3-] [Item-Status-v2] - Es necesario propagar la localización GPS de los eventos en los cambios de estado de item y envío"/>
    <x v="6"/>
    <x v="0"/>
    <x v="3"/>
    <s v="Ready for Solution"/>
    <n v="27"/>
    <n v="0.03"/>
    <n v="1"/>
    <n v="1"/>
    <n v="1"/>
    <n v="100"/>
    <x v="1"/>
  </r>
  <r>
    <x v="0"/>
    <s v="SainteLague"/>
    <n v="213"/>
    <n v="132061"/>
    <s v="Migração ADO2GitHub - Pipeline ODM"/>
    <x v="7"/>
    <x v="1"/>
    <x v="3"/>
    <s v="Backlog"/>
    <n v="10"/>
    <n v="10"/>
    <n v="2"/>
    <n v="4"/>
    <n v="4"/>
    <n v="1"/>
    <x v="1"/>
  </r>
  <r>
    <x v="0"/>
    <s v="SainteLague"/>
    <n v="214"/>
    <n v="130304"/>
    <s v="[Nexus] [Producto] - Entregas Comerciales (Red Shopping)"/>
    <x v="0"/>
    <x v="0"/>
    <x v="0"/>
    <s v="Ready for Solution"/>
    <n v="15"/>
    <n v="0.03"/>
    <n v="1"/>
    <n v="1"/>
    <n v="1"/>
    <n v="100"/>
    <x v="1"/>
  </r>
  <r>
    <x v="0"/>
    <s v="SainteLague"/>
    <n v="215"/>
    <n v="92337"/>
    <s v="GCA - Aforro upgrade Oracle"/>
    <x v="27"/>
    <x v="1"/>
    <x v="0"/>
    <s v="Backlog"/>
    <n v="3"/>
    <n v="0.03"/>
    <n v="1"/>
    <n v="1"/>
    <n v="1"/>
    <n v="100"/>
    <x v="1"/>
  </r>
  <r>
    <x v="0"/>
    <s v="SainteLague"/>
    <n v="216"/>
    <n v="131074"/>
    <s v="[Desconexión SGC]: Internacional"/>
    <x v="2"/>
    <x v="0"/>
    <x v="1"/>
    <s v="Backlog"/>
    <n v="31"/>
    <n v="0.03"/>
    <n v="1"/>
    <n v="1"/>
    <n v="1"/>
    <n v="100"/>
    <x v="1"/>
  </r>
  <r>
    <x v="0"/>
    <s v="SainteLague"/>
    <n v="217"/>
    <n v="76788"/>
    <s v="[Projeto One Million] Redução backlog objetos expresso"/>
    <x v="12"/>
    <x v="1"/>
    <x v="1"/>
    <s v="Backlog"/>
    <n v="11"/>
    <n v="0.03"/>
    <n v="1"/>
    <n v="1"/>
    <n v="1"/>
    <n v="100"/>
    <x v="1"/>
  </r>
  <r>
    <x v="0"/>
    <s v="SainteLague"/>
    <n v="218"/>
    <n v="130070"/>
    <s v="[Auditoria PT] Automatismo para replicar la lógica de corrección manual de pesos declarados"/>
    <x v="17"/>
    <x v="0"/>
    <x v="2"/>
    <s v="Backlog"/>
    <n v="6"/>
    <n v="0.03"/>
    <n v="1"/>
    <n v="1"/>
    <n v="1"/>
    <n v="100"/>
    <x v="1"/>
  </r>
  <r>
    <x v="0"/>
    <s v="SainteLague"/>
    <n v="219"/>
    <n v="60596"/>
    <s v="Ligação do AgilePoint à BD do CoE IAP"/>
    <x v="35"/>
    <x v="1"/>
    <x v="2"/>
    <s v="Backlog"/>
    <n v="2"/>
    <n v="0.03"/>
    <n v="1"/>
    <n v="1"/>
    <n v="1"/>
    <n v="100"/>
    <x v="1"/>
  </r>
  <r>
    <x v="0"/>
    <s v="SainteLague"/>
    <n v="220"/>
    <n v="130147"/>
    <s v="[Desconexión SGC] [PUDOS] - Migración de funcionalidades de SGC al Cloud"/>
    <x v="6"/>
    <x v="0"/>
    <x v="3"/>
    <s v="Backlog"/>
    <n v="28"/>
    <n v="0.03"/>
    <n v="1"/>
    <n v="1"/>
    <n v="1"/>
    <n v="100"/>
    <x v="1"/>
  </r>
  <r>
    <x v="0"/>
    <s v="SainteLague"/>
    <n v="221"/>
    <n v="96332"/>
    <s v="CCP | OTP | Rebuild application in the current tech stack"/>
    <x v="7"/>
    <x v="1"/>
    <x v="3"/>
    <s v="High Level Design"/>
    <n v="11"/>
    <n v="0.03"/>
    <n v="1"/>
    <n v="1"/>
    <n v="1"/>
    <n v="100"/>
    <x v="1"/>
  </r>
  <r>
    <x v="0"/>
    <s v="SainteLague"/>
    <n v="222"/>
    <n v="130449"/>
    <s v="[Minerva] - Interfaz de generación de ofertas de Minerva en portugués"/>
    <x v="8"/>
    <x v="0"/>
    <x v="0"/>
    <s v="Ready for Solution"/>
    <n v="12"/>
    <n v="0.03"/>
    <n v="1"/>
    <n v="1"/>
    <n v="1"/>
    <n v="100"/>
    <x v="1"/>
  </r>
  <r>
    <x v="0"/>
    <s v="SainteLague"/>
    <n v="223"/>
    <n v="120815"/>
    <s v="Faturação de Cliente Ocasional - SAP"/>
    <x v="29"/>
    <x v="1"/>
    <x v="0"/>
    <s v="Backlog"/>
    <n v="3"/>
    <n v="0.03"/>
    <n v="1"/>
    <n v="1"/>
    <n v="1"/>
    <n v="100"/>
    <x v="1"/>
  </r>
  <r>
    <x v="0"/>
    <s v="SainteLague"/>
    <n v="224"/>
    <n v="129572"/>
    <s v="[PUDOS] [Wizard] - Funcionalidad PDA: Entrega de envíos en PUDO mediante Baliza"/>
    <x v="2"/>
    <x v="0"/>
    <x v="1"/>
    <s v="In Definition"/>
    <n v="32"/>
    <n v="0.03"/>
    <n v="1"/>
    <n v="1"/>
    <n v="1"/>
    <n v="100"/>
    <x v="1"/>
  </r>
  <r>
    <x v="0"/>
    <s v="SainteLague"/>
    <n v="225"/>
    <n v="68791"/>
    <s v="Tratamento de rejeitados no SD - Entrada de pré-aviso pós primeira passagem do objeto na rede de tratamento (BG3)"/>
    <x v="12"/>
    <x v="1"/>
    <x v="1"/>
    <s v="In Definition"/>
    <n v="12"/>
    <n v="0.03"/>
    <n v="1"/>
    <n v="1"/>
    <n v="1"/>
    <n v="100"/>
    <x v="1"/>
  </r>
  <r>
    <x v="0"/>
    <s v="SainteLague"/>
    <n v="226"/>
    <n v="129576"/>
    <s v="[Salesforce Service] - Incidencias C. Propia/Automatizar incidencias en SF (marcar prioridad en SENDA desde IVR y Web)"/>
    <x v="4"/>
    <x v="0"/>
    <x v="2"/>
    <s v="Ready for Solution"/>
    <n v="13"/>
    <n v="0.03"/>
    <n v="1"/>
    <n v="1"/>
    <n v="1"/>
    <n v="100"/>
    <x v="1"/>
  </r>
  <r>
    <x v="0"/>
    <s v="SainteLague"/>
    <n v="227"/>
    <n v="86986"/>
    <s v="IQL | Incremento 1 | IQL com loja dummy e data IQL"/>
    <x v="5"/>
    <x v="1"/>
    <x v="2"/>
    <s v="Backlog"/>
    <n v="3"/>
    <n v="0.03"/>
    <n v="1"/>
    <n v="1"/>
    <n v="1"/>
    <n v="100"/>
    <x v="1"/>
  </r>
  <r>
    <x v="0"/>
    <s v="SainteLague"/>
    <n v="228"/>
    <n v="130362"/>
    <s v="[CIBER] - Eliminación del acceso público de los ficheros de agencias y canalizaciones en transfer.cttexpress.com"/>
    <x v="6"/>
    <x v="0"/>
    <x v="3"/>
    <s v="Backlog"/>
    <n v="29"/>
    <n v="0.03"/>
    <n v="1"/>
    <n v="1"/>
    <n v="1"/>
    <n v="100"/>
    <x v="1"/>
  </r>
  <r>
    <x v="0"/>
    <s v="SainteLague"/>
    <n v="229"/>
    <n v="126579"/>
    <s v="Reformulação do serviço AOS"/>
    <x v="7"/>
    <x v="1"/>
    <x v="3"/>
    <s v="Backlog"/>
    <n v="12"/>
    <n v="0.03"/>
    <n v="1"/>
    <n v="1"/>
    <n v="1"/>
    <n v="100"/>
    <x v="1"/>
  </r>
  <r>
    <x v="0"/>
    <s v="SainteLague"/>
    <n v="230"/>
    <n v="136116"/>
    <s v="Mapper - uso de codigos de cliente y credenciales Cloud"/>
    <x v="14"/>
    <x v="0"/>
    <x v="0"/>
    <s v="In Definition"/>
    <n v="10"/>
    <n v="0.03"/>
    <n v="1"/>
    <n v="1"/>
    <n v="1"/>
    <n v="100"/>
    <x v="1"/>
  </r>
  <r>
    <x v="0"/>
    <s v="SainteLague"/>
    <n v="231"/>
    <n v="31795"/>
    <s v="SELO DIGITAL"/>
    <x v="1"/>
    <x v="1"/>
    <x v="0"/>
    <s v="Backlog"/>
    <n v="5"/>
    <n v="0.03"/>
    <n v="1"/>
    <n v="1"/>
    <n v="1"/>
    <n v="100"/>
    <x v="1"/>
  </r>
  <r>
    <x v="0"/>
    <s v="SainteLague"/>
    <n v="232"/>
    <n v="130236"/>
    <s v="[Desconexión SGC] Lecturas de stock sobre Contenedores"/>
    <x v="2"/>
    <x v="0"/>
    <x v="1"/>
    <s v="Backlog"/>
    <n v="33"/>
    <n v="0.03"/>
    <n v="1"/>
    <n v="1"/>
    <n v="1"/>
    <n v="100"/>
    <x v="1"/>
  </r>
  <r>
    <x v="0"/>
    <s v="SainteLague"/>
    <n v="233"/>
    <n v="126645"/>
    <s v="GENAI-TOF"/>
    <x v="13"/>
    <x v="1"/>
    <x v="2"/>
    <s v="In Solution"/>
    <n v="3"/>
    <n v="3"/>
    <n v="3"/>
    <n v="2"/>
    <n v="1"/>
    <n v="2"/>
    <x v="1"/>
  </r>
  <r>
    <x v="0"/>
    <s v="SainteLague"/>
    <n v="234"/>
    <n v="129484"/>
    <s v="[SGC] - Funcionalidad de asignación de gestora en Salesforce"/>
    <x v="11"/>
    <x v="0"/>
    <x v="2"/>
    <s v="High Level Design"/>
    <n v="11"/>
    <n v="0.03"/>
    <n v="1"/>
    <n v="1"/>
    <n v="1"/>
    <n v="100"/>
    <x v="1"/>
  </r>
  <r>
    <x v="0"/>
    <s v="SainteLague"/>
    <n v="235"/>
    <n v="67870"/>
    <s v="BCTT - disponibilização de logs via SFTP"/>
    <x v="15"/>
    <x v="1"/>
    <x v="3"/>
    <s v="Backlog"/>
    <n v="5"/>
    <n v="0.03"/>
    <n v="1"/>
    <n v="1"/>
    <n v="1"/>
    <n v="100"/>
    <x v="1"/>
  </r>
  <r>
    <x v="0"/>
    <s v="SainteLague"/>
    <n v="236"/>
    <n v="130491"/>
    <s v="[Tech] API de common-edge Refactor"/>
    <x v="6"/>
    <x v="0"/>
    <x v="3"/>
    <s v="Backlog"/>
    <n v="30"/>
    <n v="0.03"/>
    <n v="1"/>
    <n v="1"/>
    <n v="1"/>
    <n v="100"/>
    <x v="1"/>
  </r>
  <r>
    <x v="0"/>
    <s v="SainteLague"/>
    <n v="237"/>
    <n v="32223"/>
    <s v="GPECL/DIS |PACK EXPRESSO Contabilização automática e Re-atribuição do centro de lucro"/>
    <x v="10"/>
    <x v="1"/>
    <x v="0"/>
    <s v="In Definition"/>
    <n v="6"/>
    <n v="0.03"/>
    <n v="1"/>
    <n v="1"/>
    <n v="1"/>
    <n v="100"/>
    <x v="1"/>
  </r>
  <r>
    <x v="0"/>
    <s v="SainteLague"/>
    <n v="238"/>
    <n v="130396"/>
    <s v="[Web de Clientes] - Grabación masiva de envíos (carga de fichero) - v2"/>
    <x v="0"/>
    <x v="0"/>
    <x v="0"/>
    <s v="In Solution"/>
    <n v="16"/>
    <n v="0.03"/>
    <n v="1"/>
    <n v="1"/>
    <n v="1"/>
    <n v="100"/>
    <x v="1"/>
  </r>
  <r>
    <x v="0"/>
    <s v="SainteLague"/>
    <n v="239"/>
    <n v="128057"/>
    <s v="XRP | Refaturação entre empresas"/>
    <x v="19"/>
    <x v="1"/>
    <x v="2"/>
    <s v="Backlog"/>
    <n v="3"/>
    <n v="0.03"/>
    <n v="1"/>
    <n v="1"/>
    <n v="1"/>
    <n v="100"/>
    <x v="1"/>
  </r>
  <r>
    <x v="0"/>
    <s v="SainteLague"/>
    <n v="240"/>
    <n v="130308"/>
    <s v="Restricción de Login en APP de Planta"/>
    <x v="2"/>
    <x v="0"/>
    <x v="1"/>
    <s v="Backlog"/>
    <n v="34"/>
    <n v="0.03"/>
    <n v="1"/>
    <n v="1"/>
    <n v="1"/>
    <n v="100"/>
    <x v="1"/>
  </r>
  <r>
    <x v="0"/>
    <s v="SainteLague"/>
    <n v="241"/>
    <n v="42676"/>
    <s v="Descontinuação do SGCP e GIEP - Migração de Funcionalidades uma nova aplicação"/>
    <x v="20"/>
    <x v="1"/>
    <x v="3"/>
    <s v="In Definition"/>
    <n v="5"/>
    <n v="0.03"/>
    <n v="1"/>
    <n v="1"/>
    <n v="1"/>
    <n v="100"/>
    <x v="1"/>
  </r>
  <r>
    <x v="0"/>
    <s v="SainteLague"/>
    <n v="242"/>
    <n v="129588"/>
    <s v="[Desconexión SGC] [Salesforce Service] - Migración del Almacén regulador​ de SGC"/>
    <x v="4"/>
    <x v="0"/>
    <x v="2"/>
    <s v="Backlog"/>
    <n v="14"/>
    <n v="0.03"/>
    <n v="1"/>
    <n v="1"/>
    <n v="1"/>
    <n v="100"/>
    <x v="1"/>
  </r>
  <r>
    <x v="0"/>
    <s v="SainteLague"/>
    <n v="243"/>
    <n v="126474"/>
    <s v="Área de Cliente CTT - Empresas| Agile Way JAN e FEV 2026"/>
    <x v="16"/>
    <x v="1"/>
    <x v="0"/>
    <s v="Backlog"/>
    <n v="5"/>
    <n v="0.03"/>
    <n v="1"/>
    <n v="1"/>
    <n v="1"/>
    <n v="100"/>
    <x v="1"/>
  </r>
  <r>
    <x v="0"/>
    <s v="SainteLague"/>
    <n v="244"/>
    <n v="129500"/>
    <s v="[Desconexión SGC] Qlik - Migración App Analítica Comercial - Cloud"/>
    <x v="6"/>
    <x v="0"/>
    <x v="3"/>
    <s v="In Definition"/>
    <n v="31"/>
    <n v="0.03"/>
    <n v="1"/>
    <n v="1"/>
    <n v="1"/>
    <n v="100"/>
    <x v="1"/>
  </r>
  <r>
    <x v="0"/>
    <s v="SainteLague"/>
    <n v="245"/>
    <n v="77999"/>
    <s v="Nexus | We Care | SalesForce Parameterization | Pilot"/>
    <x v="22"/>
    <x v="1"/>
    <x v="2"/>
    <s v="Backlog"/>
    <n v="3"/>
    <n v="0.03"/>
    <n v="1"/>
    <n v="1"/>
    <n v="1"/>
    <n v="100"/>
    <x v="1"/>
  </r>
  <r>
    <x v="0"/>
    <s v="SainteLague"/>
    <n v="246"/>
    <n v="129489"/>
    <s v="[Nexus] [Producto] - OTP entrega segura"/>
    <x v="0"/>
    <x v="0"/>
    <x v="0"/>
    <s v="Ready for Solution"/>
    <n v="17"/>
    <n v="0.03"/>
    <n v="1"/>
    <n v="1"/>
    <n v="1"/>
    <n v="100"/>
    <x v="1"/>
  </r>
  <r>
    <x v="0"/>
    <s v="SainteLague"/>
    <n v="247"/>
    <n v="134832"/>
    <s v="Eliminação TLS 1.0 - Comunicação info T&amp;T com MEO"/>
    <x v="23"/>
    <x v="1"/>
    <x v="3"/>
    <s v="In Definition"/>
    <n v="5"/>
    <n v="4"/>
    <n v="1"/>
    <n v="3"/>
    <n v="4"/>
    <n v="2"/>
    <x v="1"/>
  </r>
  <r>
    <x v="0"/>
    <s v="SainteLague"/>
    <n v="248"/>
    <n v="130659"/>
    <s v="Portal Proveedores Linehaul - Habilitar cancelamiento de ruta"/>
    <x v="2"/>
    <x v="0"/>
    <x v="1"/>
    <s v="Ready for Solution"/>
    <n v="35"/>
    <n v="0.03"/>
    <n v="1"/>
    <n v="1"/>
    <n v="1"/>
    <n v="100"/>
    <x v="1"/>
  </r>
  <r>
    <x v="0"/>
    <s v="SainteLague"/>
    <n v="249"/>
    <n v="120972"/>
    <s v="Cliente EDP - WS P&amp;F- Novo Campo Data"/>
    <x v="21"/>
    <x v="1"/>
    <x v="0"/>
    <s v="In Definition"/>
    <n v="4"/>
    <n v="0.03"/>
    <n v="1"/>
    <n v="1"/>
    <n v="1"/>
    <n v="100"/>
    <x v="1"/>
  </r>
  <r>
    <x v="0"/>
    <s v="SainteLague"/>
    <n v="250"/>
    <n v="129451"/>
    <s v="[Desconexión SGC] [Evolutivos SGC Finanzas] Automatización proceso gestión documental siniestros"/>
    <x v="11"/>
    <x v="0"/>
    <x v="2"/>
    <s v="Backlog"/>
    <n v="13"/>
    <n v="0.03"/>
    <n v="1"/>
    <n v="1"/>
    <n v="1"/>
    <n v="100"/>
    <x v="1"/>
  </r>
  <r>
    <x v="0"/>
    <s v="SainteLague"/>
    <n v="251"/>
    <n v="51747"/>
    <s v="Auditoria a Payroll Processos PAS – Fase 1"/>
    <x v="25"/>
    <x v="1"/>
    <x v="2"/>
    <s v="Backlog"/>
    <n v="5"/>
    <n v="0.03"/>
    <n v="1"/>
    <n v="1"/>
    <n v="1"/>
    <n v="100"/>
    <x v="1"/>
  </r>
  <r>
    <x v="0"/>
    <s v="SainteLague"/>
    <n v="252"/>
    <n v="130077"/>
    <s v="[Auditoria PT] Garantizar ejecución de fase de pruebas antes y después de implantar nuevos desarrollos"/>
    <x v="6"/>
    <x v="0"/>
    <x v="3"/>
    <s v="Backlog"/>
    <n v="32"/>
    <n v="0.03"/>
    <n v="1"/>
    <n v="1"/>
    <n v="1"/>
    <n v="100"/>
    <x v="1"/>
  </r>
  <r>
    <x v="0"/>
    <s v="SainteLague"/>
    <n v="253"/>
    <n v="126583"/>
    <s v="Eliminate 50% of O365 Copilot licences"/>
    <x v="7"/>
    <x v="1"/>
    <x v="3"/>
    <s v="In Definition"/>
    <n v="13"/>
    <n v="0.03"/>
    <n v="1"/>
    <n v="1"/>
    <n v="1"/>
    <n v="100"/>
    <x v="1"/>
  </r>
  <r>
    <x v="0"/>
    <s v="SainteLague"/>
    <n v="254"/>
    <n v="130830"/>
    <s v="[Salesforce - Minerva] Datos de la oferta Minerva en objeto Oferta"/>
    <x v="8"/>
    <x v="0"/>
    <x v="0"/>
    <s v="In Definition"/>
    <n v="13"/>
    <n v="0.03"/>
    <n v="1"/>
    <n v="1"/>
    <n v="1"/>
    <n v="100"/>
    <x v="1"/>
  </r>
  <r>
    <x v="0"/>
    <s v="SainteLague"/>
    <n v="255"/>
    <n v="126099"/>
    <s v="Desenvolvimentos Regulamentares (Congresso UPU Dubai + Incremental Riade)"/>
    <x v="1"/>
    <x v="1"/>
    <x v="0"/>
    <s v="In Definition"/>
    <n v="6"/>
    <n v="0.03"/>
    <n v="1"/>
    <n v="1"/>
    <n v="1"/>
    <n v="100"/>
    <x v="1"/>
  </r>
  <r>
    <x v="0"/>
    <s v="SainteLague"/>
    <n v="256"/>
    <n v="130874"/>
    <s v="Portal de Proveedores - Poder ordenar Control Horario por cualquier columna"/>
    <x v="2"/>
    <x v="0"/>
    <x v="1"/>
    <s v="Backlog"/>
    <n v="36"/>
    <n v="3"/>
    <n v="1"/>
    <n v="1"/>
    <n v="1"/>
    <n v="1"/>
    <x v="1"/>
  </r>
  <r>
    <x v="0"/>
    <s v="SainteLague"/>
    <n v="257"/>
    <n v="59256"/>
    <s v="SouCTT - Salary on Demand (Subsidio de Natal) | Paynest"/>
    <x v="28"/>
    <x v="1"/>
    <x v="2"/>
    <s v="Backlog"/>
    <n v="3"/>
    <n v="0.03"/>
    <n v="1"/>
    <n v="1"/>
    <n v="1"/>
    <n v="100"/>
    <x v="1"/>
  </r>
  <r>
    <x v="0"/>
    <s v="SainteLague"/>
    <n v="258"/>
    <n v="130079"/>
    <s v="[Auditoria PT] Pruebas sobre calidad de datos declarados por clientes con facturación basada en el peso y/o las medidas declaradas"/>
    <x v="17"/>
    <x v="0"/>
    <x v="2"/>
    <s v="Backlog"/>
    <n v="7"/>
    <n v="0.03"/>
    <n v="1"/>
    <n v="1"/>
    <n v="1"/>
    <n v="100"/>
    <x v="1"/>
  </r>
  <r>
    <x v="0"/>
    <s v="SainteLague"/>
    <n v="259"/>
    <n v="125545"/>
    <s v="Observability | Alarm Catalog for self provision in applications"/>
    <x v="7"/>
    <x v="1"/>
    <x v="3"/>
    <s v="Backlog"/>
    <n v="14"/>
    <n v="0.08"/>
    <n v="5"/>
    <n v="2"/>
    <n v="1"/>
    <n v="100"/>
    <x v="1"/>
  </r>
  <r>
    <x v="0"/>
    <s v="SainteLague"/>
    <n v="260"/>
    <n v="130078"/>
    <s v="[Auditoria PT] Implementar pruebas preventivas para identificar errores en la parametrización de las reglas de peso"/>
    <x v="6"/>
    <x v="0"/>
    <x v="3"/>
    <s v="Backlog"/>
    <n v="33"/>
    <n v="0.03"/>
    <n v="1"/>
    <n v="1"/>
    <n v="1"/>
    <n v="100"/>
    <x v="1"/>
  </r>
  <r>
    <x v="0"/>
    <s v="SainteLague"/>
    <n v="261"/>
    <n v="123648"/>
    <s v="Amazon | Serviço Especial Feriado"/>
    <x v="10"/>
    <x v="1"/>
    <x v="0"/>
    <s v="Backlog"/>
    <n v="7"/>
    <n v="0.03"/>
    <n v="1"/>
    <n v="1"/>
    <n v="1"/>
    <n v="100"/>
    <x v="1"/>
  </r>
  <r>
    <x v="0"/>
    <s v="SainteLague"/>
    <n v="262"/>
    <n v="130694"/>
    <s v="Control de envios duplicados: validacion SINONIMO BULTO / REFERENCIA CLIENTE"/>
    <x v="14"/>
    <x v="0"/>
    <x v="0"/>
    <s v="In Definition"/>
    <n v="11"/>
    <n v="0.03"/>
    <n v="1"/>
    <n v="1"/>
    <n v="1"/>
    <n v="100"/>
    <x v="1"/>
  </r>
  <r>
    <x v="0"/>
    <s v="SainteLague"/>
    <n v="263"/>
    <n v="96602"/>
    <s v="Ariba - migração para SAP R/3 dos dados do fornecedor em SAP Rise"/>
    <x v="30"/>
    <x v="1"/>
    <x v="2"/>
    <s v="Backlog"/>
    <n v="3"/>
    <n v="0.03"/>
    <n v="1"/>
    <n v="1"/>
    <n v="1"/>
    <n v="100"/>
    <x v="1"/>
  </r>
  <r>
    <x v="0"/>
    <s v="SainteLague"/>
    <n v="264"/>
    <n v="129599"/>
    <s v="PDA Planta (TO)/Gestión de Planta/Gestión FIFO en San fernando"/>
    <x v="2"/>
    <x v="0"/>
    <x v="1"/>
    <s v="In Definition"/>
    <n v="37"/>
    <n v="0.03"/>
    <n v="1"/>
    <n v="1"/>
    <n v="1"/>
    <n v="100"/>
    <x v="1"/>
  </r>
  <r>
    <x v="0"/>
    <s v="SainteLague"/>
    <n v="265"/>
    <n v="125694"/>
    <s v="ESW | Integração de Crashlytics nas aplicações mobile"/>
    <x v="7"/>
    <x v="1"/>
    <x v="3"/>
    <s v="In Definition"/>
    <n v="15"/>
    <n v="0.03"/>
    <n v="1"/>
    <n v="1"/>
    <n v="1"/>
    <n v="100"/>
    <x v="1"/>
  </r>
  <r>
    <x v="0"/>
    <s v="SainteLague"/>
    <n v="266"/>
    <n v="129960"/>
    <s v="[Portal del Proveedor] Nuevas funcionalidades - Bloqueo Repartidor Seguridad"/>
    <x v="4"/>
    <x v="0"/>
    <x v="2"/>
    <s v="In Definition"/>
    <n v="15"/>
    <n v="0.03"/>
    <n v="1"/>
    <n v="1"/>
    <n v="1"/>
    <n v="100"/>
    <x v="1"/>
  </r>
  <r>
    <x v="0"/>
    <s v="SainteLague"/>
    <n v="267"/>
    <n v="126480"/>
    <s v="Sites e Aplicativos | Melhorias às plataformas - JAN e FEV 2026"/>
    <x v="16"/>
    <x v="1"/>
    <x v="0"/>
    <s v="Ready for Approval"/>
    <n v="6"/>
    <n v="7"/>
    <n v="3"/>
    <n v="2"/>
    <n v="2"/>
    <n v="1"/>
    <x v="1"/>
  </r>
  <r>
    <x v="0"/>
    <s v="SainteLague"/>
    <n v="268"/>
    <n v="129502"/>
    <s v="[Desconexión SGC] Qlik - Migración App Indicadores de siniestros - Cloud"/>
    <x v="6"/>
    <x v="0"/>
    <x v="3"/>
    <s v="Ready for Solution"/>
    <n v="34"/>
    <n v="0.03"/>
    <n v="1"/>
    <n v="1"/>
    <n v="1"/>
    <n v="100"/>
    <x v="1"/>
  </r>
  <r>
    <x v="0"/>
    <s v="SainteLague"/>
    <n v="269"/>
    <n v="70736"/>
    <s v="WFA | Incremento 3 | Férias"/>
    <x v="31"/>
    <x v="1"/>
    <x v="2"/>
    <s v="In Approval"/>
    <n v="3"/>
    <n v="0.03"/>
    <n v="1"/>
    <n v="1"/>
    <n v="1"/>
    <n v="100"/>
    <x v="1"/>
  </r>
  <r>
    <x v="0"/>
    <s v="SainteLague"/>
    <n v="270"/>
    <n v="129676"/>
    <s v="[Nexus] [Producto] - Devolución Fácil /Easy Return (implantar el modelo de PT para las devoluciones)"/>
    <x v="0"/>
    <x v="0"/>
    <x v="0"/>
    <s v="Ready for Solution"/>
    <n v="18"/>
    <n v="0.03"/>
    <n v="1"/>
    <n v="1"/>
    <n v="1"/>
    <n v="100"/>
    <x v="1"/>
  </r>
  <r>
    <x v="0"/>
    <s v="SainteLague"/>
    <n v="271"/>
    <n v="32064"/>
    <s v="Comunicações - Wifi 321 Crédito - Porto"/>
    <x v="15"/>
    <x v="1"/>
    <x v="3"/>
    <s v="Backlog"/>
    <n v="6"/>
    <n v="0.03"/>
    <n v="1"/>
    <n v="1"/>
    <n v="1"/>
    <n v="100"/>
    <x v="1"/>
  </r>
  <r>
    <x v="0"/>
    <s v="SainteLague"/>
    <n v="272"/>
    <n v="129601"/>
    <s v="PDA Planta (TO)/Gestión de Planta/Mejoras pendientes/Solventar error de contenerización y doble registro"/>
    <x v="2"/>
    <x v="0"/>
    <x v="1"/>
    <s v="In Definition"/>
    <n v="38"/>
    <n v="0.03"/>
    <n v="1"/>
    <n v="1"/>
    <n v="1"/>
    <n v="100"/>
    <x v="1"/>
  </r>
  <r>
    <x v="0"/>
    <s v="SainteLague"/>
    <n v="273"/>
    <n v="126656"/>
    <s v="GENAI - CIS - AI Automation - BO Faturação"/>
    <x v="24"/>
    <x v="1"/>
    <x v="0"/>
    <s v="In Solution"/>
    <n v="4"/>
    <n v="4"/>
    <n v="3"/>
    <n v="3"/>
    <n v="2"/>
    <n v="2"/>
    <x v="1"/>
  </r>
  <r>
    <x v="0"/>
    <s v="SainteLague"/>
    <n v="274"/>
    <n v="129479"/>
    <s v="[Evolutivos SGC Finanzas] Asignar de manera masiva el cliente master al campo grupo de procesamiento en Modulo de facturacion"/>
    <x v="11"/>
    <x v="0"/>
    <x v="2"/>
    <s v="High Level Design"/>
    <n v="14"/>
    <n v="0.03"/>
    <n v="1"/>
    <n v="1"/>
    <n v="1"/>
    <n v="100"/>
    <x v="1"/>
  </r>
  <r>
    <x v="0"/>
    <s v="SainteLague"/>
    <n v="275"/>
    <n v="46214"/>
    <s v="Canal de Denúncias"/>
    <x v="5"/>
    <x v="1"/>
    <x v="2"/>
    <s v="Backlog"/>
    <n v="4"/>
    <n v="0.03"/>
    <n v="1"/>
    <n v="1"/>
    <n v="1"/>
    <n v="100"/>
    <x v="1"/>
  </r>
  <r>
    <x v="0"/>
    <s v="SainteLague"/>
    <n v="276"/>
    <n v="129504"/>
    <s v="[Desconexión SGC] Qlik - Migración App Territory P&amp;L - Cloud"/>
    <x v="6"/>
    <x v="0"/>
    <x v="3"/>
    <s v="In Definition"/>
    <n v="35"/>
    <n v="0.03"/>
    <n v="1"/>
    <n v="1"/>
    <n v="1"/>
    <n v="100"/>
    <x v="1"/>
  </r>
  <r>
    <x v="0"/>
    <s v="SainteLague"/>
    <n v="277"/>
    <n v="32116"/>
    <s v="Substituição da aplicação de faturação do P&amp;F"/>
    <x v="20"/>
    <x v="1"/>
    <x v="3"/>
    <s v="In Definition"/>
    <n v="6"/>
    <n v="0.03"/>
    <n v="1"/>
    <n v="1"/>
    <n v="1"/>
    <n v="100"/>
    <x v="1"/>
  </r>
  <r>
    <x v="0"/>
    <s v="SainteLague"/>
    <n v="278"/>
    <n v="129868"/>
    <s v="[Qlik] - Incluir ECCS en Analítica Comercial"/>
    <x v="8"/>
    <x v="0"/>
    <x v="0"/>
    <s v="In Definition"/>
    <n v="14"/>
    <n v="0.03"/>
    <n v="1"/>
    <n v="1"/>
    <n v="1"/>
    <n v="100"/>
    <x v="1"/>
  </r>
  <r>
    <x v="0"/>
    <s v="SainteLague"/>
    <n v="279"/>
    <n v="44136"/>
    <s v="Liquidação de objetos CTT à cobrança"/>
    <x v="21"/>
    <x v="1"/>
    <x v="0"/>
    <s v="In Definition"/>
    <n v="5"/>
    <n v="0.03"/>
    <n v="1"/>
    <n v="1"/>
    <n v="1"/>
    <n v="100"/>
    <x v="1"/>
  </r>
  <r>
    <x v="0"/>
    <s v="SainteLague"/>
    <n v="280"/>
    <n v="129497"/>
    <s v="Portal Proveedores LineHaul - Plan de carga: contenerización de camiones"/>
    <x v="2"/>
    <x v="0"/>
    <x v="1"/>
    <s v="In Definition"/>
    <n v="39"/>
    <n v="0.03"/>
    <n v="1"/>
    <n v="1"/>
    <n v="1"/>
    <n v="100"/>
    <x v="1"/>
  </r>
  <r>
    <x v="0"/>
    <s v="SainteLague"/>
    <n v="281"/>
    <n v="88638"/>
    <s v="Novo modelo de integração SAP SF com Paynest"/>
    <x v="13"/>
    <x v="1"/>
    <x v="2"/>
    <s v="Backlog"/>
    <n v="4"/>
    <n v="0.03"/>
    <n v="1"/>
    <n v="1"/>
    <n v="1"/>
    <n v="100"/>
    <x v="1"/>
  </r>
  <r>
    <x v="0"/>
    <s v="SainteLague"/>
    <n v="282"/>
    <n v="129503"/>
    <s v="[Qlik] - Migración y redifinición de App Notifications Analytics - Cloud"/>
    <x v="4"/>
    <x v="0"/>
    <x v="2"/>
    <s v="In Definition"/>
    <n v="16"/>
    <n v="0.03"/>
    <n v="1"/>
    <n v="1"/>
    <n v="1"/>
    <n v="100"/>
    <x v="1"/>
  </r>
  <r>
    <x v="0"/>
    <s v="SainteLague"/>
    <n v="283"/>
    <n v="50234"/>
    <s v="Aceitação Correio Empresarial - Refactoring"/>
    <x v="23"/>
    <x v="1"/>
    <x v="3"/>
    <s v="In Definition"/>
    <n v="6"/>
    <n v="0.03"/>
    <n v="1"/>
    <n v="1"/>
    <n v="1"/>
    <n v="100"/>
    <x v="1"/>
  </r>
  <r>
    <x v="0"/>
    <s v="SainteLague"/>
    <n v="284"/>
    <n v="130480"/>
    <s v="Actualización de maestro de códigos postales PT en nexus"/>
    <x v="6"/>
    <x v="0"/>
    <x v="3"/>
    <s v="Backlog"/>
    <n v="36"/>
    <n v="0.03"/>
    <n v="1"/>
    <n v="1"/>
    <n v="1"/>
    <n v="100"/>
    <x v="1"/>
  </r>
  <r>
    <x v="0"/>
    <s v="SainteLague"/>
    <n v="285"/>
    <n v="76082"/>
    <s v="GP B2C – BO Site CTT - Simulador Certificados de Aforro / App CTT – Aforro Digital"/>
    <x v="27"/>
    <x v="1"/>
    <x v="0"/>
    <s v="Backlog"/>
    <n v="4"/>
    <n v="0.03"/>
    <n v="1"/>
    <n v="1"/>
    <n v="1"/>
    <n v="100"/>
    <x v="1"/>
  </r>
  <r>
    <x v="0"/>
    <s v="SainteLague"/>
    <n v="286"/>
    <n v="130149"/>
    <s v="Cliente SALVADOR ESCODA SAT - Modificación Mapper"/>
    <x v="14"/>
    <x v="0"/>
    <x v="0"/>
    <s v="In Definition"/>
    <n v="12"/>
    <n v="0.03"/>
    <n v="1"/>
    <n v="1"/>
    <n v="1"/>
    <n v="100"/>
    <x v="1"/>
  </r>
  <r>
    <x v="0"/>
    <s v="SainteLague"/>
    <n v="287"/>
    <n v="55326"/>
    <s v="XRP | ADL Gestão de Frota"/>
    <x v="19"/>
    <x v="1"/>
    <x v="2"/>
    <s v="In Definition"/>
    <n v="4"/>
    <n v="0.03"/>
    <n v="1"/>
    <n v="1"/>
    <n v="1"/>
    <n v="100"/>
    <x v="1"/>
  </r>
  <r>
    <x v="0"/>
    <s v="SainteLague"/>
    <n v="288"/>
    <n v="130036"/>
    <s v="Notificaciones a PDA desde Portal del Proveedor"/>
    <x v="2"/>
    <x v="0"/>
    <x v="1"/>
    <s v="Ready for Solution"/>
    <n v="40"/>
    <n v="0.03"/>
    <n v="1"/>
    <n v="1"/>
    <n v="1"/>
    <n v="100"/>
    <x v="1"/>
  </r>
  <r>
    <x v="0"/>
    <s v="SainteLague"/>
    <n v="289"/>
    <n v="126577"/>
    <s v="Renovaçao dos contratos de outsouricng COM"/>
    <x v="7"/>
    <x v="1"/>
    <x v="3"/>
    <s v="In Definition"/>
    <n v="16"/>
    <n v="0.03"/>
    <n v="1"/>
    <n v="1"/>
    <n v="1"/>
    <n v="100"/>
    <x v="1"/>
  </r>
  <r>
    <x v="0"/>
    <s v="SainteLague"/>
    <n v="290"/>
    <n v="129553"/>
    <s v="[SGC] - Funcionalidad de Comisión Reembolso sobre &quot;entregados&quot; activa"/>
    <x v="11"/>
    <x v="0"/>
    <x v="2"/>
    <s v="High Level Design"/>
    <n v="15"/>
    <n v="0.03"/>
    <n v="1"/>
    <n v="1"/>
    <n v="1"/>
    <n v="100"/>
    <x v="1"/>
  </r>
  <r>
    <x v="0"/>
    <s v="SainteLague"/>
    <n v="291"/>
    <n v="76554"/>
    <s v="Módulo de Compliance Payshop"/>
    <x v="29"/>
    <x v="1"/>
    <x v="0"/>
    <s v="Backlog"/>
    <n v="4"/>
    <n v="0.03"/>
    <n v="1"/>
    <n v="1"/>
    <n v="1"/>
    <n v="100"/>
    <x v="1"/>
  </r>
  <r>
    <x v="0"/>
    <s v="SainteLague"/>
    <n v="292"/>
    <n v="129679"/>
    <s v="[Desconexión SGC] Evolutivo - Quitar topics SGC (control point, ship-v1,..)"/>
    <x v="6"/>
    <x v="0"/>
    <x v="3"/>
    <s v="Ready for Solution"/>
    <n v="37"/>
    <n v="0.03"/>
    <n v="1"/>
    <n v="1"/>
    <n v="1"/>
    <n v="100"/>
    <x v="1"/>
  </r>
  <r>
    <x v="0"/>
    <s v="SainteLague"/>
    <n v="293"/>
    <n v="78003"/>
    <s v="Nexus | We Care | Adaptation of Service Infrastructures | Pilot"/>
    <x v="22"/>
    <x v="1"/>
    <x v="2"/>
    <s v="Backlog"/>
    <n v="4"/>
    <n v="0.03"/>
    <n v="1"/>
    <n v="1"/>
    <n v="1"/>
    <n v="100"/>
    <x v="1"/>
  </r>
  <r>
    <x v="0"/>
    <s v="SainteLague"/>
    <n v="294"/>
    <n v="130543"/>
    <s v="[PUDOS] - Incluir selección origen PT en Web Clientes para servicios RDP origen PT con manifiesto en ES"/>
    <x v="0"/>
    <x v="0"/>
    <x v="0"/>
    <s v="Ready for Solution"/>
    <n v="19"/>
    <n v="0.03"/>
    <n v="1"/>
    <n v="1"/>
    <n v="1"/>
    <n v="100"/>
    <x v="1"/>
  </r>
  <r>
    <x v="0"/>
    <s v="SainteLague"/>
    <n v="295"/>
    <n v="125692"/>
    <s v="Upgrade plataforma OutSystems para versão 11.40.0"/>
    <x v="7"/>
    <x v="1"/>
    <x v="3"/>
    <s v="In Approval"/>
    <n v="17"/>
    <n v="11"/>
    <n v="3"/>
    <n v="4"/>
    <n v="4"/>
    <n v="1"/>
    <x v="1"/>
  </r>
  <r>
    <x v="0"/>
    <s v="SainteLague"/>
    <n v="296"/>
    <n v="131085"/>
    <s v="Evolución portal de Arrastres V.2"/>
    <x v="2"/>
    <x v="0"/>
    <x v="1"/>
    <s v="Backlog"/>
    <n v="41"/>
    <n v="0.03"/>
    <n v="1"/>
    <n v="1"/>
    <n v="1"/>
    <n v="100"/>
    <x v="1"/>
  </r>
  <r>
    <x v="0"/>
    <s v="SainteLague"/>
    <n v="297"/>
    <n v="68236"/>
    <s v="Informação normalizada (Indicadores de Gestão IG) - Fusão relatório 65 no 59 (2º e 3º fase)"/>
    <x v="1"/>
    <x v="1"/>
    <x v="0"/>
    <s v="In Definition"/>
    <n v="7"/>
    <n v="0.03"/>
    <n v="1"/>
    <n v="1"/>
    <n v="1"/>
    <n v="100"/>
    <x v="1"/>
  </r>
  <r>
    <x v="0"/>
    <s v="SainteLague"/>
    <n v="298"/>
    <n v="130068"/>
    <s v="[Auditoria PT] Detección y expulsión en los clasificadores de objetos de Clientes inactivos"/>
    <x v="17"/>
    <x v="0"/>
    <x v="2"/>
    <s v="Backlog"/>
    <n v="8"/>
    <n v="0.03"/>
    <n v="1"/>
    <n v="1"/>
    <n v="1"/>
    <n v="100"/>
    <x v="1"/>
  </r>
  <r>
    <x v="0"/>
    <s v="SainteLague"/>
    <n v="299"/>
    <n v="66475"/>
    <s v="Auditoria a Payroll Processos PAS – Fase 1.1"/>
    <x v="25"/>
    <x v="1"/>
    <x v="2"/>
    <s v="Backlog"/>
    <n v="6"/>
    <n v="0.03"/>
    <n v="1"/>
    <n v="1"/>
    <n v="1"/>
    <n v="100"/>
    <x v="1"/>
  </r>
  <r>
    <x v="0"/>
    <s v="SainteLague"/>
    <n v="300"/>
    <n v="130713"/>
    <s v="Creación Arquetipo .net"/>
    <x v="6"/>
    <x v="0"/>
    <x v="3"/>
    <s v="Ready for Solution"/>
    <n v="38"/>
    <n v="0.03"/>
    <n v="1"/>
    <n v="1"/>
    <n v="1"/>
    <n v="100"/>
    <x v="1"/>
  </r>
  <r>
    <x v="0"/>
    <s v="SainteLague"/>
    <n v="301"/>
    <n v="58133"/>
    <s v="BCTT - extensão do contrato de multifunções a 321 credito"/>
    <x v="15"/>
    <x v="1"/>
    <x v="3"/>
    <s v="In Definition"/>
    <n v="7"/>
    <n v="0.03"/>
    <n v="1"/>
    <n v="1"/>
    <n v="1"/>
    <n v="100"/>
    <x v="1"/>
  </r>
  <r>
    <x v="0"/>
    <s v="SainteLague"/>
    <n v="302"/>
    <n v="130431"/>
    <s v="[Nexus-MVP] [Web de Clientes] Visualización Indicadores y KPIs en web de clientes en base a la app de Qlik"/>
    <x v="0"/>
    <x v="0"/>
    <x v="0"/>
    <s v="Pitch"/>
    <n v="20"/>
    <n v="0.03"/>
    <n v="1"/>
    <n v="1"/>
    <n v="1"/>
    <n v="100"/>
    <x v="1"/>
  </r>
  <r>
    <x v="0"/>
    <s v="SainteLague"/>
    <n v="303"/>
    <n v="126044"/>
    <s v="Pesquisa de Pontos Collect | Melhorias"/>
    <x v="10"/>
    <x v="1"/>
    <x v="0"/>
    <s v="In Definition"/>
    <n v="8"/>
    <n v="0.03"/>
    <n v="1"/>
    <n v="1"/>
    <n v="1"/>
    <n v="100"/>
    <x v="1"/>
  </r>
  <r>
    <x v="0"/>
    <s v="SainteLague"/>
    <n v="304"/>
    <n v="136127"/>
    <s v="Reactivar recursos al iniciar la ruta (Vehículos-Conductores)"/>
    <x v="2"/>
    <x v="0"/>
    <x v="1"/>
    <s v="In Definition"/>
    <n v="44"/>
    <n v="5"/>
    <n v="2"/>
    <n v="2"/>
    <n v="1"/>
    <n v="1"/>
    <x v="1"/>
  </r>
  <r>
    <x v="0"/>
    <s v="SainteLague"/>
    <n v="305"/>
    <n v="59257"/>
    <s v="SouCTT - Salary on Demand (adiantamento % vencimento) | Paynest"/>
    <x v="28"/>
    <x v="1"/>
    <x v="2"/>
    <s v="Backlog"/>
    <n v="4"/>
    <n v="0.03"/>
    <n v="1"/>
    <n v="1"/>
    <n v="1"/>
    <n v="100"/>
    <x v="1"/>
  </r>
  <r>
    <x v="0"/>
    <s v="SainteLague"/>
    <n v="306"/>
    <n v="129736"/>
    <s v="[Salesforce Service] - Reglas de cierre y respuesta automática de casos de envíos estacionados o ubicados"/>
    <x v="4"/>
    <x v="0"/>
    <x v="2"/>
    <s v="In Definition"/>
    <n v="17"/>
    <n v="0.03"/>
    <n v="1"/>
    <n v="1"/>
    <n v="1"/>
    <n v="100"/>
    <x v="1"/>
  </r>
  <r>
    <x v="0"/>
    <s v="SainteLague"/>
    <n v="307"/>
    <n v="100092"/>
    <s v="PEF - Descontinuação da utilização do FTP"/>
    <x v="20"/>
    <x v="1"/>
    <x v="3"/>
    <s v="Backlog"/>
    <n v="7"/>
    <n v="0.03"/>
    <n v="1"/>
    <n v="1"/>
    <n v="1"/>
    <n v="100"/>
    <x v="1"/>
  </r>
  <r>
    <x v="0"/>
    <s v="SainteLague"/>
    <n v="308"/>
    <n v="129776"/>
    <s v="Habilitar registro de incidencias &quot;Llegada por error&quot; y &quot;Mercancía no enlazada&quot; a través del código de barras del sinónimo."/>
    <x v="6"/>
    <x v="0"/>
    <x v="3"/>
    <s v="Ready for Solution"/>
    <n v="39"/>
    <n v="0.03"/>
    <n v="1"/>
    <n v="1"/>
    <n v="1"/>
    <n v="100"/>
    <x v="1"/>
  </r>
  <r>
    <x v="0"/>
    <s v="SainteLague"/>
    <n v="309"/>
    <n v="48991"/>
    <s v="CCT 3.0 - powered by AI"/>
    <x v="16"/>
    <x v="1"/>
    <x v="0"/>
    <s v="Backlog"/>
    <n v="7"/>
    <n v="0.03"/>
    <n v="1"/>
    <n v="1"/>
    <n v="1"/>
    <n v="100"/>
    <x v="1"/>
  </r>
  <r>
    <x v="0"/>
    <s v="SainteLague"/>
    <n v="310"/>
    <n v="130506"/>
    <s v="[Nexus] - We Sell (Lead to Contract) - Signaturit en portugués"/>
    <x v="8"/>
    <x v="0"/>
    <x v="0"/>
    <s v="In Definition"/>
    <n v="16"/>
    <n v="0.03"/>
    <n v="1"/>
    <n v="1"/>
    <n v="1"/>
    <n v="100"/>
    <x v="1"/>
  </r>
  <r>
    <x v="0"/>
    <s v="SainteLague"/>
    <n v="311"/>
    <n v="32011"/>
    <s v="MRP Armazém Central CTT"/>
    <x v="30"/>
    <x v="1"/>
    <x v="2"/>
    <s v="Backlog"/>
    <n v="4"/>
    <n v="0.03"/>
    <n v="1"/>
    <n v="1"/>
    <n v="1"/>
    <n v="100"/>
    <x v="1"/>
  </r>
  <r>
    <x v="0"/>
    <s v="SainteLague"/>
    <n v="312"/>
    <n v="135612"/>
    <s v="Mejora de visualización en PDA last-mail envíos balanceados por SENDA &quot;LIBRA&quot;"/>
    <x v="2"/>
    <x v="0"/>
    <x v="1"/>
    <s v="Backlog"/>
    <n v="45"/>
    <n v="0.03"/>
    <n v="1"/>
    <n v="1"/>
    <n v="1"/>
    <n v="100"/>
    <x v="1"/>
  </r>
  <r>
    <x v="0"/>
    <s v="SainteLague"/>
    <n v="313"/>
    <n v="126584"/>
    <s v="Reducing the rollout of Praas printers:"/>
    <x v="7"/>
    <x v="1"/>
    <x v="3"/>
    <s v="Backlog"/>
    <n v="18"/>
    <n v="0.03"/>
    <n v="1"/>
    <n v="1"/>
    <n v="1"/>
    <n v="100"/>
    <x v="1"/>
  </r>
  <r>
    <x v="0"/>
    <s v="SainteLague"/>
    <n v="314"/>
    <n v="129469"/>
    <s v="[Evolutivos SGC Finanzas] Funcionalidad &quot;Redireccionar servicios&quot; en Valoracion de servicios funciona parcialmente"/>
    <x v="11"/>
    <x v="0"/>
    <x v="2"/>
    <s v="Backlog"/>
    <n v="16"/>
    <n v="0.03"/>
    <n v="1"/>
    <n v="1"/>
    <n v="1"/>
    <n v="100"/>
    <x v="1"/>
  </r>
  <r>
    <x v="0"/>
    <s v="SainteLague"/>
    <n v="315"/>
    <n v="31797"/>
    <s v="CTT Sol. Empresariais - GSB2B/BFT_Melhorias ao Processo de Faturação"/>
    <x v="24"/>
    <x v="1"/>
    <x v="0"/>
    <s v="In Definition"/>
    <n v="5"/>
    <n v="0.03"/>
    <n v="1"/>
    <n v="1"/>
    <n v="1"/>
    <n v="100"/>
    <x v="1"/>
  </r>
  <r>
    <x v="0"/>
    <s v="SainteLague"/>
    <n v="316"/>
    <n v="130239"/>
    <s v="[Desconexión SGC] Cambio Maestro de canalizaciones en COs"/>
    <x v="6"/>
    <x v="0"/>
    <x v="3"/>
    <s v="In Definition"/>
    <n v="40"/>
    <n v="0.03"/>
    <n v="1"/>
    <n v="1"/>
    <n v="1"/>
    <n v="100"/>
    <x v="1"/>
  </r>
  <r>
    <x v="0"/>
    <s v="SainteLague"/>
    <n v="317"/>
    <n v="35445"/>
    <s v="Data Governance - Reference Data Management - MVP"/>
    <x v="31"/>
    <x v="1"/>
    <x v="2"/>
    <s v="High Level Design"/>
    <n v="4"/>
    <n v="0.03"/>
    <n v="1"/>
    <n v="1"/>
    <n v="1"/>
    <n v="100"/>
    <x v="1"/>
  </r>
  <r>
    <x v="0"/>
    <s v="SainteLague"/>
    <n v="318"/>
    <n v="130360"/>
    <s v="Cliente EXPOLLUM - Transmisión selectiva Mapper"/>
    <x v="14"/>
    <x v="0"/>
    <x v="0"/>
    <s v="In Definition"/>
    <n v="13"/>
    <n v="0.03"/>
    <n v="1"/>
    <n v="1"/>
    <n v="1"/>
    <n v="100"/>
    <x v="1"/>
  </r>
  <r>
    <x v="0"/>
    <s v="SainteLague"/>
    <n v="319"/>
    <n v="131992"/>
    <s v="INT | Mulesoft – Refatorização de Aplicações"/>
    <x v="7"/>
    <x v="1"/>
    <x v="3"/>
    <s v="In Definition"/>
    <n v="19"/>
    <n v="0.03"/>
    <n v="1"/>
    <n v="1"/>
    <n v="1"/>
    <n v="100"/>
    <x v="1"/>
  </r>
  <r>
    <x v="0"/>
    <s v="SainteLague"/>
    <n v="320"/>
    <n v="135153"/>
    <s v="Mejora creación servicios esporádicos"/>
    <x v="2"/>
    <x v="0"/>
    <x v="1"/>
    <s v="In Definition"/>
    <n v="46"/>
    <n v="2.5"/>
    <n v="3"/>
    <n v="1"/>
    <n v="1"/>
    <n v="2"/>
    <x v="1"/>
  </r>
  <r>
    <x v="0"/>
    <s v="SainteLague"/>
    <n v="321"/>
    <n v="127396"/>
    <s v="Evolutivos Nave Janeiro e Março 2026"/>
    <x v="21"/>
    <x v="1"/>
    <x v="0"/>
    <s v="In Approval"/>
    <n v="6"/>
    <n v="0.03"/>
    <n v="1"/>
    <n v="1"/>
    <n v="1"/>
    <n v="100"/>
    <x v="1"/>
  </r>
  <r>
    <x v="0"/>
    <s v="SainteLague"/>
    <n v="322"/>
    <n v="129508"/>
    <s v="[Qlik] - Nueva App Plan de Acogida y Acompañamiento"/>
    <x v="4"/>
    <x v="0"/>
    <x v="2"/>
    <s v="In Definition"/>
    <n v="18"/>
    <n v="0.03"/>
    <n v="1"/>
    <n v="1"/>
    <n v="1"/>
    <n v="100"/>
    <x v="1"/>
  </r>
  <r>
    <x v="0"/>
    <s v="SainteLague"/>
    <n v="323"/>
    <n v="88857"/>
    <s v="CORP - Covline - Integração de clientes e contratos via kafka"/>
    <x v="13"/>
    <x v="1"/>
    <x v="2"/>
    <s v="Backlog"/>
    <n v="5"/>
    <n v="0.03"/>
    <n v="1"/>
    <n v="1"/>
    <n v="1"/>
    <n v="100"/>
    <x v="1"/>
  </r>
  <r>
    <x v="0"/>
    <s v="SainteLague"/>
    <n v="324"/>
    <n v="129721"/>
    <s v="[SGC] Actualizar protocolo de comunicaciones TLS"/>
    <x v="6"/>
    <x v="0"/>
    <x v="3"/>
    <s v="Ready for Solution"/>
    <n v="41"/>
    <n v="0.03"/>
    <n v="1"/>
    <n v="1"/>
    <n v="1"/>
    <n v="100"/>
    <x v="1"/>
  </r>
  <r>
    <x v="0"/>
    <s v="SainteLague"/>
    <n v="325"/>
    <n v="132060"/>
    <s v="Migração ADO2GitHub - Pipelines CRM"/>
    <x v="7"/>
    <x v="1"/>
    <x v="3"/>
    <s v="Backlog"/>
    <n v="20"/>
    <n v="8"/>
    <n v="2"/>
    <n v="3"/>
    <n v="3"/>
    <n v="1"/>
    <x v="1"/>
  </r>
  <r>
    <x v="0"/>
    <s v="SainteLague"/>
    <n v="326"/>
    <n v="130451"/>
    <s v="[Nexus-MVP] [Web de Clientes] Gestión Consumibles"/>
    <x v="0"/>
    <x v="0"/>
    <x v="0"/>
    <s v="Pitch"/>
    <n v="21"/>
    <n v="0.03"/>
    <n v="1"/>
    <n v="1"/>
    <n v="1"/>
    <n v="100"/>
    <x v="1"/>
  </r>
  <r>
    <x v="0"/>
    <s v="SainteLague"/>
    <n v="327"/>
    <n v="135288"/>
    <s v="Desenvolvimentos CNE no âmbito do Correio Inteligente"/>
    <x v="1"/>
    <x v="1"/>
    <x v="0"/>
    <s v="In Definition"/>
    <n v="8"/>
    <n v="0.03"/>
    <n v="1"/>
    <n v="1"/>
    <n v="1"/>
    <n v="100"/>
    <x v="1"/>
  </r>
  <r>
    <x v="0"/>
    <s v="SainteLague"/>
    <n v="328"/>
    <n v="134467"/>
    <s v="Portal de Proveedores - Implementar recálculo automático de liquidaciones Linehaul de rutas esporádicas"/>
    <x v="2"/>
    <x v="0"/>
    <x v="1"/>
    <s v="In Definition"/>
    <n v="47"/>
    <n v="6"/>
    <n v="3"/>
    <n v="2"/>
    <n v="1"/>
    <n v="1"/>
    <x v="1"/>
  </r>
  <r>
    <x v="0"/>
    <s v="SainteLague"/>
    <n v="329"/>
    <n v="61947"/>
    <s v="Telemetria - (Mobi) Descontinuação do Boletim de Veiculo"/>
    <x v="19"/>
    <x v="1"/>
    <x v="2"/>
    <s v="Backlog"/>
    <n v="5"/>
    <n v="0.03"/>
    <n v="1"/>
    <n v="1"/>
    <n v="1"/>
    <n v="100"/>
    <x v="1"/>
  </r>
  <r>
    <x v="0"/>
    <s v="SainteLague"/>
    <n v="330"/>
    <n v="129485"/>
    <s v="[Evolutivos SGC Finanzas] Evolutivos SGC Finanzas - Adeudos ECCS a SGC+ automatizados y diarios"/>
    <x v="11"/>
    <x v="0"/>
    <x v="2"/>
    <s v="Backlog"/>
    <n v="17"/>
    <n v="0.03"/>
    <n v="1"/>
    <n v="1"/>
    <n v="1"/>
    <n v="100"/>
    <x v="1"/>
  </r>
  <r>
    <x v="0"/>
    <s v="SainteLague"/>
    <n v="331"/>
    <n v="31919"/>
    <s v="Report automatizado para Crédito Pessoal"/>
    <x v="15"/>
    <x v="1"/>
    <x v="3"/>
    <s v="Backlog"/>
    <n v="8"/>
    <n v="0.03"/>
    <n v="1"/>
    <n v="1"/>
    <n v="1"/>
    <n v="100"/>
    <x v="1"/>
  </r>
  <r>
    <x v="0"/>
    <s v="SainteLague"/>
    <n v="332"/>
    <n v="129492"/>
    <s v="Estabilidad​ - Migración Conflluent​"/>
    <x v="6"/>
    <x v="0"/>
    <x v="3"/>
    <s v="Backlog"/>
    <n v="42"/>
    <n v="0.03"/>
    <n v="1"/>
    <n v="1"/>
    <n v="1"/>
    <n v="100"/>
    <x v="1"/>
  </r>
  <r>
    <x v="0"/>
    <s v="SainteLague"/>
    <n v="333"/>
    <n v="84860"/>
    <s v="Amazon | Informação complementar de fechos ocasionais e férias"/>
    <x v="10"/>
    <x v="1"/>
    <x v="0"/>
    <s v="Backlog"/>
    <n v="9"/>
    <n v="0.03"/>
    <n v="1"/>
    <n v="1"/>
    <n v="1"/>
    <n v="100"/>
    <x v="1"/>
  </r>
  <r>
    <x v="0"/>
    <s v="SainteLague"/>
    <n v="334"/>
    <n v="129509"/>
    <s v="Qlik - Analítica Comercial - Clientes Activos"/>
    <x v="8"/>
    <x v="0"/>
    <x v="0"/>
    <s v="In Definition"/>
    <n v="17"/>
    <n v="0.03"/>
    <n v="1"/>
    <n v="1"/>
    <n v="1"/>
    <n v="100"/>
    <x v="1"/>
  </r>
  <r>
    <x v="0"/>
    <s v="SainteLague"/>
    <n v="335"/>
    <n v="78001"/>
    <s v="Nexus | We Care | SalesForce Parametrization | Post MVP"/>
    <x v="22"/>
    <x v="1"/>
    <x v="2"/>
    <s v="Backlog"/>
    <n v="5"/>
    <n v="0.03"/>
    <n v="1"/>
    <n v="1"/>
    <n v="1"/>
    <n v="100"/>
    <x v="1"/>
  </r>
  <r>
    <x v="0"/>
    <s v="SainteLague"/>
    <n v="336"/>
    <n v="133185"/>
    <s v="Sistema de seguimiento de rutas de arrastre - v2"/>
    <x v="2"/>
    <x v="0"/>
    <x v="1"/>
    <s v="Backlog"/>
    <n v="48"/>
    <n v="0.03"/>
    <n v="1"/>
    <n v="1"/>
    <n v="1"/>
    <n v="100"/>
    <x v="1"/>
  </r>
  <r>
    <x v="0"/>
    <s v="SainteLague"/>
    <n v="337"/>
    <n v="126023"/>
    <s v="Melhorias ao processo de envio de comunicações da Zurich"/>
    <x v="20"/>
    <x v="1"/>
    <x v="3"/>
    <s v="In Definition"/>
    <n v="8"/>
    <n v="0.04"/>
    <n v="1"/>
    <n v="2"/>
    <n v="1"/>
    <n v="100"/>
    <x v="1"/>
  </r>
  <r>
    <x v="0"/>
    <s v="SainteLague"/>
    <n v="338"/>
    <n v="129972"/>
    <s v="Creación de un entorno específico para el Sistema de Gestión de Calidad y Sostenibilidad"/>
    <x v="17"/>
    <x v="0"/>
    <x v="2"/>
    <s v="Backlog"/>
    <n v="9"/>
    <n v="0.03"/>
    <n v="1"/>
    <n v="1"/>
    <n v="1"/>
    <n v="100"/>
    <x v="1"/>
  </r>
  <r>
    <x v="0"/>
    <s v="SainteLague"/>
    <n v="339"/>
    <n v="49552"/>
    <s v="Analytics | Implementação GAds (BigQuery)"/>
    <x v="16"/>
    <x v="1"/>
    <x v="0"/>
    <s v="Backlog"/>
    <n v="8"/>
    <n v="0.03"/>
    <n v="1"/>
    <n v="1"/>
    <n v="1"/>
    <n v="100"/>
    <x v="1"/>
  </r>
  <r>
    <x v="0"/>
    <s v="SainteLague"/>
    <n v="340"/>
    <n v="130492"/>
    <s v="[Tech] [Desconexión SGC] Desconexión API WebTracking a Item-history (bitacora)"/>
    <x v="6"/>
    <x v="0"/>
    <x v="3"/>
    <s v="Ready for Solution"/>
    <n v="43"/>
    <n v="0.03"/>
    <n v="1"/>
    <n v="1"/>
    <n v="1"/>
    <n v="100"/>
    <x v="1"/>
  </r>
  <r>
    <x v="0"/>
    <s v="SainteLague"/>
    <n v="341"/>
    <n v="67561"/>
    <s v="SAPSF Evolução Integrações Sistemas a montante (Teleponto + AD + IOS)"/>
    <x v="25"/>
    <x v="1"/>
    <x v="2"/>
    <s v="Backlog"/>
    <n v="7"/>
    <n v="0.03"/>
    <n v="1"/>
    <n v="1"/>
    <n v="1"/>
    <n v="100"/>
    <x v="1"/>
  </r>
  <r>
    <x v="0"/>
    <s v="SainteLague"/>
    <n v="342"/>
    <n v="130504"/>
    <s v="[User Endpoint API REST GET TRACKING] Añadir organic_point_code cuando estados 2300 / 2310"/>
    <x v="14"/>
    <x v="0"/>
    <x v="0"/>
    <s v="Backlog"/>
    <n v="14"/>
    <n v="0.03"/>
    <n v="1"/>
    <n v="1"/>
    <n v="1"/>
    <n v="100"/>
    <x v="1"/>
  </r>
  <r>
    <x v="0"/>
    <s v="SainteLague"/>
    <n v="343"/>
    <n v="127624"/>
    <s v="Implementação QuickWins MagicBeans"/>
    <x v="7"/>
    <x v="1"/>
    <x v="3"/>
    <s v="Backlog"/>
    <n v="21"/>
    <n v="0.03"/>
    <n v="1"/>
    <n v="1"/>
    <n v="1"/>
    <n v="100"/>
    <x v="1"/>
  </r>
  <r>
    <x v="0"/>
    <s v="SainteLague"/>
    <n v="344"/>
    <n v="131086"/>
    <s v="Evolución portal de LastMile V.2"/>
    <x v="2"/>
    <x v="0"/>
    <x v="1"/>
    <s v="Backlog"/>
    <n v="49"/>
    <n v="0.03"/>
    <n v="1"/>
    <n v="1"/>
    <n v="1"/>
    <n v="100"/>
    <x v="1"/>
  </r>
  <r>
    <x v="0"/>
    <s v="SainteLague"/>
    <n v="345"/>
    <n v="32017"/>
    <s v="Pagamento de Vales Nacionais e Internacionais - Finalização do pagamento apenas após procedimentos de RCTO concluídos"/>
    <x v="27"/>
    <x v="1"/>
    <x v="0"/>
    <s v="Backlog"/>
    <n v="5"/>
    <n v="0.03"/>
    <n v="1"/>
    <n v="1"/>
    <n v="1"/>
    <n v="100"/>
    <x v="1"/>
  </r>
  <r>
    <x v="0"/>
    <s v="SainteLague"/>
    <n v="346"/>
    <n v="129878"/>
    <s v="[Qlik Sense] Mapa de Red"/>
    <x v="4"/>
    <x v="0"/>
    <x v="2"/>
    <s v="In Definition"/>
    <n v="19"/>
    <n v="0.03"/>
    <n v="1"/>
    <n v="1"/>
    <n v="1"/>
    <n v="100"/>
    <x v="1"/>
  </r>
  <r>
    <x v="0"/>
    <s v="SainteLague"/>
    <n v="347"/>
    <n v="120278"/>
    <s v="Revamp BIC - Indicadores diários e mensais de negócio"/>
    <x v="31"/>
    <x v="1"/>
    <x v="2"/>
    <s v="Backlog"/>
    <n v="5"/>
    <n v="0.03"/>
    <n v="1"/>
    <n v="1"/>
    <n v="1"/>
    <n v="100"/>
    <x v="1"/>
  </r>
  <r>
    <x v="0"/>
    <s v="SainteLague"/>
    <n v="348"/>
    <n v="130166"/>
    <s v="[Desconexión SGC] Migración exportación de informes de SGC a Cloud"/>
    <x v="6"/>
    <x v="0"/>
    <x v="3"/>
    <s v="Backlog"/>
    <n v="44"/>
    <n v="0.03"/>
    <n v="1"/>
    <n v="1"/>
    <n v="1"/>
    <n v="100"/>
    <x v="1"/>
  </r>
  <r>
    <x v="0"/>
    <s v="SainteLague"/>
    <n v="349"/>
    <n v="132054"/>
    <s v="Observability | Notifications | Alarmistic association to Teams / Squads"/>
    <x v="7"/>
    <x v="1"/>
    <x v="3"/>
    <s v="Backlog"/>
    <n v="22"/>
    <n v="8"/>
    <n v="5"/>
    <n v="2"/>
    <n v="1"/>
    <n v="1"/>
    <x v="1"/>
  </r>
  <r>
    <x v="0"/>
    <s v="SainteLague"/>
    <n v="350"/>
    <n v="130348"/>
    <s v="[Minerva]- Modelo Tarifario Densidades Zoning Actual"/>
    <x v="0"/>
    <x v="0"/>
    <x v="0"/>
    <s v="Backlog"/>
    <n v="22"/>
    <n v="0.03"/>
    <n v="1"/>
    <n v="1"/>
    <n v="1"/>
    <n v="100"/>
    <x v="1"/>
  </r>
  <r>
    <x v="0"/>
    <s v="SainteLague"/>
    <n v="351"/>
    <n v="95774"/>
    <s v="Alterações nos Relatórios do DEM para pagamentos MB WAY"/>
    <x v="29"/>
    <x v="1"/>
    <x v="0"/>
    <s v="In Definition"/>
    <n v="5"/>
    <n v="0.03"/>
    <n v="1"/>
    <n v="1"/>
    <n v="1"/>
    <n v="100"/>
    <x v="1"/>
  </r>
  <r>
    <x v="0"/>
    <s v="SainteLague"/>
    <n v="352"/>
    <n v="130794"/>
    <s v="Actualización Plan C"/>
    <x v="2"/>
    <x v="0"/>
    <x v="1"/>
    <s v="Ready for Solution"/>
    <n v="51"/>
    <n v="0.03"/>
    <n v="1"/>
    <n v="1"/>
    <n v="1"/>
    <n v="100"/>
    <x v="1"/>
  </r>
  <r>
    <x v="0"/>
    <s v="SainteLague"/>
    <n v="353"/>
    <n v="50788"/>
    <s v="CESOP - Reporte Regulatório AT"/>
    <x v="13"/>
    <x v="1"/>
    <x v="2"/>
    <s v="Backlog"/>
    <n v="6"/>
    <n v="0.03"/>
    <n v="1"/>
    <n v="1"/>
    <n v="1"/>
    <n v="100"/>
    <x v="1"/>
  </r>
  <r>
    <x v="0"/>
    <s v="SainteLague"/>
    <n v="354"/>
    <n v="129795"/>
    <s v="Fichero interfase IGIC SGC-SAP"/>
    <x v="11"/>
    <x v="0"/>
    <x v="2"/>
    <s v="Ready for Solution"/>
    <n v="18"/>
    <n v="0.03"/>
    <n v="1"/>
    <n v="1"/>
    <n v="1"/>
    <n v="100"/>
    <x v="1"/>
  </r>
  <r>
    <x v="0"/>
    <s v="SainteLague"/>
    <n v="355"/>
    <n v="132956"/>
    <s v="TFS Migration - NAVE"/>
    <x v="7"/>
    <x v="1"/>
    <x v="3"/>
    <s v="Pitch"/>
    <n v="23"/>
    <n v="0.03"/>
    <n v="1"/>
    <n v="1"/>
    <n v="1"/>
    <n v="100"/>
    <x v="1"/>
  </r>
  <r>
    <x v="0"/>
    <s v="SainteLague"/>
    <n v="356"/>
    <n v="130076"/>
    <s v="[Desconexión SGC] [Auditoria PT] Controles para garantizar la integración correcta de la información entre microservicio &quot;Manifiestos&quot; y SGC"/>
    <x v="6"/>
    <x v="0"/>
    <x v="3"/>
    <s v="Backlog"/>
    <n v="45"/>
    <n v="0.03"/>
    <n v="1"/>
    <n v="1"/>
    <n v="1"/>
    <n v="100"/>
    <x v="1"/>
  </r>
  <r>
    <x v="0"/>
    <s v="SainteLague"/>
    <n v="357"/>
    <n v="108370"/>
    <s v="Campanha para envios internacionais_PCR_4T2025"/>
    <x v="1"/>
    <x v="1"/>
    <x v="0"/>
    <s v="Backlog"/>
    <n v="9"/>
    <n v="0.03"/>
    <n v="1"/>
    <n v="1"/>
    <n v="1"/>
    <n v="100"/>
    <x v="1"/>
  </r>
  <r>
    <x v="0"/>
    <s v="SainteLague"/>
    <n v="358"/>
    <n v="129896"/>
    <s v="[Nexus] [Notificaciones] - Notificaciones ibericas"/>
    <x v="0"/>
    <x v="0"/>
    <x v="0"/>
    <s v="Ready for Solution"/>
    <n v="23"/>
    <n v="3"/>
    <n v="3"/>
    <n v="1"/>
    <n v="2"/>
    <n v="2"/>
    <x v="1"/>
  </r>
  <r>
    <x v="0"/>
    <s v="SainteLague"/>
    <n v="359"/>
    <n v="58934"/>
    <s v="Solução de Gestão de Viagens"/>
    <x v="19"/>
    <x v="1"/>
    <x v="2"/>
    <s v="In Definition"/>
    <n v="6"/>
    <n v="0.03"/>
    <n v="1"/>
    <n v="1"/>
    <n v="1"/>
    <n v="100"/>
    <x v="1"/>
  </r>
  <r>
    <x v="0"/>
    <s v="SainteLague"/>
    <n v="360"/>
    <n v="131065"/>
    <s v="Exponer dato de código de recogida propia"/>
    <x v="17"/>
    <x v="0"/>
    <x v="2"/>
    <s v="Backlog"/>
    <n v="10"/>
    <n v="0.03"/>
    <n v="1"/>
    <n v="1"/>
    <n v="1"/>
    <n v="100"/>
    <x v="1"/>
  </r>
  <r>
    <x v="0"/>
    <s v="SainteLague"/>
    <n v="361"/>
    <n v="31695"/>
    <s v="BANCO CTT | Novo design site banco"/>
    <x v="15"/>
    <x v="1"/>
    <x v="3"/>
    <s v="Backlog"/>
    <n v="9"/>
    <n v="0.03"/>
    <n v="1"/>
    <n v="1"/>
    <n v="1"/>
    <n v="100"/>
    <x v="1"/>
  </r>
  <r>
    <x v="0"/>
    <s v="SainteLague"/>
    <n v="362"/>
    <n v="130489"/>
    <s v="crear plantilla de colecciones de mongodb"/>
    <x v="6"/>
    <x v="0"/>
    <x v="3"/>
    <s v="Backlog"/>
    <n v="46"/>
    <n v="0.03"/>
    <n v="1"/>
    <n v="1"/>
    <n v="1"/>
    <n v="100"/>
    <x v="1"/>
  </r>
  <r>
    <x v="0"/>
    <s v="SainteLague"/>
    <n v="363"/>
    <n v="118750"/>
    <s v="Validação Automática de Códigos Postais Internacionais"/>
    <x v="10"/>
    <x v="1"/>
    <x v="0"/>
    <s v="Backlog"/>
    <n v="10"/>
    <n v="0.03"/>
    <n v="1"/>
    <n v="1"/>
    <n v="1"/>
    <n v="100"/>
    <x v="1"/>
  </r>
  <r>
    <x v="0"/>
    <s v="SainteLague"/>
    <n v="364"/>
    <n v="129490"/>
    <s v="[Minerva] - Permitir a ciertos perfiles Comerciales descargar los contratos en Word"/>
    <x v="8"/>
    <x v="0"/>
    <x v="0"/>
    <s v="In Definition"/>
    <n v="18"/>
    <n v="0.03"/>
    <n v="1"/>
    <n v="1"/>
    <n v="1"/>
    <n v="100"/>
    <x v="1"/>
  </r>
  <r>
    <x v="0"/>
    <s v="SainteLague"/>
    <n v="365"/>
    <n v="78005"/>
    <s v="Nexus | We Care | Adaptation of Service Infrastructures | MVP"/>
    <x v="22"/>
    <x v="1"/>
    <x v="2"/>
    <s v="Backlog"/>
    <n v="6"/>
    <n v="0.03"/>
    <n v="1"/>
    <n v="1"/>
    <n v="1"/>
    <n v="100"/>
    <x v="1"/>
  </r>
  <r>
    <x v="0"/>
    <s v="SainteLague"/>
    <n v="366"/>
    <n v="130921"/>
    <s v="SLA Sábados y Domingos"/>
    <x v="4"/>
    <x v="0"/>
    <x v="2"/>
    <s v="Backlog"/>
    <n v="20"/>
    <n v="0.03"/>
    <n v="1"/>
    <n v="1"/>
    <n v="1"/>
    <n v="100"/>
    <x v="1"/>
  </r>
  <r>
    <x v="0"/>
    <s v="SainteLague"/>
    <n v="367"/>
    <n v="100093"/>
    <s v="TTEVOB - Descontinuação FTP"/>
    <x v="20"/>
    <x v="1"/>
    <x v="3"/>
    <s v="Backlog"/>
    <n v="9"/>
    <n v="0.03"/>
    <n v="1"/>
    <n v="1"/>
    <n v="1"/>
    <n v="100"/>
    <x v="1"/>
  </r>
  <r>
    <x v="0"/>
    <s v="SainteLague"/>
    <n v="368"/>
    <n v="130490"/>
    <s v="crear indice atlas search"/>
    <x v="6"/>
    <x v="0"/>
    <x v="3"/>
    <s v="Backlog"/>
    <n v="47"/>
    <n v="0.03"/>
    <n v="1"/>
    <n v="1"/>
    <n v="1"/>
    <n v="100"/>
    <x v="1"/>
  </r>
  <r>
    <x v="0"/>
    <s v="SainteLague"/>
    <n v="369"/>
    <n v="31685"/>
    <s v="Analytics | Tags Google Analytics G3/4 - Measurement Protocol"/>
    <x v="16"/>
    <x v="1"/>
    <x v="0"/>
    <s v="Backlog"/>
    <n v="9"/>
    <n v="0.03"/>
    <n v="1"/>
    <n v="1"/>
    <n v="1"/>
    <n v="100"/>
    <x v="1"/>
  </r>
  <r>
    <x v="0"/>
    <s v="SainteLague"/>
    <n v="370"/>
    <n v="136233"/>
    <s v="Integracion Clientes Salesforce - Generacion automatica de claves de cognito para integracion Mapper"/>
    <x v="14"/>
    <x v="0"/>
    <x v="0"/>
    <s v="In Definition"/>
    <n v="15"/>
    <n v="0.03"/>
    <n v="1"/>
    <n v="1"/>
    <n v="1"/>
    <n v="100"/>
    <x v="1"/>
  </r>
  <r>
    <x v="0"/>
    <s v="SainteLague"/>
    <n v="371"/>
    <n v="126661"/>
    <s v="GENAI - RH - AI Automation"/>
    <x v="25"/>
    <x v="1"/>
    <x v="2"/>
    <s v="In Definition"/>
    <n v="8"/>
    <n v="3.5"/>
    <n v="3"/>
    <n v="2"/>
    <n v="2"/>
    <n v="2"/>
    <x v="1"/>
  </r>
  <r>
    <x v="0"/>
    <s v="SainteLague"/>
    <n v="372"/>
    <n v="129477"/>
    <s v="[Evolutivos SGC Finanzas] Generacion de documentos por master + grupo procesamiento (filtro)"/>
    <x v="11"/>
    <x v="0"/>
    <x v="2"/>
    <s v="Backlog"/>
    <n v="19"/>
    <n v="0.03"/>
    <n v="1"/>
    <n v="1"/>
    <n v="1"/>
    <n v="100"/>
    <x v="1"/>
  </r>
  <r>
    <x v="0"/>
    <s v="SainteLague"/>
    <n v="373"/>
    <n v="31898"/>
    <s v="IOP | CrushFTP - migração de CentOS para Ubuntu"/>
    <x v="7"/>
    <x v="1"/>
    <x v="3"/>
    <s v="Backlog"/>
    <n v="24"/>
    <n v="0.03"/>
    <n v="1"/>
    <n v="1"/>
    <n v="1"/>
    <n v="100"/>
    <x v="1"/>
  </r>
  <r>
    <x v="0"/>
    <s v="SainteLague"/>
    <n v="374"/>
    <n v="130349"/>
    <s v="Diseñar flujos de Trabajo IA - React"/>
    <x v="6"/>
    <x v="0"/>
    <x v="3"/>
    <s v="Backlog"/>
    <n v="48"/>
    <n v="0.03"/>
    <n v="1"/>
    <n v="1"/>
    <n v="1"/>
    <n v="100"/>
    <x v="1"/>
  </r>
  <r>
    <x v="0"/>
    <s v="SainteLague"/>
    <n v="375"/>
    <n v="101572"/>
    <s v="Lojas MEO - Recolhas Contextualizadas"/>
    <x v="21"/>
    <x v="1"/>
    <x v="0"/>
    <s v="In Definition"/>
    <n v="7"/>
    <n v="0.03"/>
    <n v="1"/>
    <n v="1"/>
    <n v="1"/>
    <n v="100"/>
    <x v="1"/>
  </r>
  <r>
    <x v="0"/>
    <s v="SainteLague"/>
    <n v="376"/>
    <n v="129449"/>
    <s v="[Producto] - Modelo Tarifario/Operativa Broker + TOF (Minerva C)"/>
    <x v="0"/>
    <x v="0"/>
    <x v="0"/>
    <s v="In Definition"/>
    <n v="24"/>
    <n v="0.03"/>
    <n v="1"/>
    <n v="1"/>
    <n v="1"/>
    <n v="100"/>
    <x v="1"/>
  </r>
  <r>
    <x v="0"/>
    <s v="SainteLague"/>
    <n v="377"/>
    <n v="70695"/>
    <s v="Nexus | Data | Group Data"/>
    <x v="31"/>
    <x v="1"/>
    <x v="2"/>
    <s v="In Definition"/>
    <n v="6"/>
    <n v="0.03"/>
    <n v="1"/>
    <n v="1"/>
    <n v="1"/>
    <n v="100"/>
    <x v="1"/>
  </r>
  <r>
    <x v="0"/>
    <s v="SainteLague"/>
    <n v="378"/>
    <n v="130104"/>
    <s v="KPI &quot;Días backlog envíos&quot; en app de análisis de calidad del reparto"/>
    <x v="4"/>
    <x v="0"/>
    <x v="2"/>
    <s v="In Definition"/>
    <n v="21"/>
    <n v="0.03"/>
    <n v="1"/>
    <n v="1"/>
    <n v="1"/>
    <n v="100"/>
    <x v="1"/>
  </r>
  <r>
    <x v="0"/>
    <s v="SainteLague"/>
    <n v="379"/>
    <n v="131994"/>
    <s v="INT| - Reconstrução dos processos de LOGs do SD mulesoft no ELK coorporativo."/>
    <x v="7"/>
    <x v="1"/>
    <x v="3"/>
    <s v="Backlog"/>
    <n v="25"/>
    <n v="0.03"/>
    <n v="1"/>
    <n v="1"/>
    <n v="1"/>
    <n v="100"/>
    <x v="1"/>
  </r>
  <r>
    <x v="0"/>
    <s v="SainteLague"/>
    <n v="380"/>
    <n v="130350"/>
    <s v="Analisis protocolos MCP para integración de clientes"/>
    <x v="6"/>
    <x v="0"/>
    <x v="3"/>
    <s v="Backlog"/>
    <n v="49"/>
    <n v="0.03"/>
    <n v="1"/>
    <n v="1"/>
    <n v="1"/>
    <n v="100"/>
    <x v="1"/>
  </r>
  <r>
    <x v="0"/>
    <s v="SainteLague"/>
    <n v="381"/>
    <n v="31909"/>
    <s v="SSM - validação dos dados registados em NAVe, previamente à sua conclusão"/>
    <x v="24"/>
    <x v="1"/>
    <x v="0"/>
    <s v="Backlog"/>
    <n v="6"/>
    <n v="0.03"/>
    <n v="1"/>
    <n v="1"/>
    <n v="1"/>
    <n v="100"/>
    <x v="1"/>
  </r>
  <r>
    <x v="0"/>
    <s v="SainteLague"/>
    <n v="382"/>
    <n v="129505"/>
    <s v="Qlik - Estado de Venta"/>
    <x v="8"/>
    <x v="0"/>
    <x v="0"/>
    <s v="In Definition"/>
    <n v="19"/>
    <n v="0.03"/>
    <n v="1"/>
    <n v="1"/>
    <n v="1"/>
    <n v="100"/>
    <x v="1"/>
  </r>
  <r>
    <x v="0"/>
    <s v="SainteLague"/>
    <n v="383"/>
    <n v="126643"/>
    <s v="Faturas PDF | SuperApp - Faturação Portagens"/>
    <x v="13"/>
    <x v="1"/>
    <x v="2"/>
    <s v="Backlog"/>
    <n v="7"/>
    <n v="10"/>
    <n v="3"/>
    <n v="3"/>
    <n v="4"/>
    <n v="1"/>
    <x v="1"/>
  </r>
  <r>
    <x v="0"/>
    <s v="SainteLague"/>
    <n v="384"/>
    <n v="129459"/>
    <s v="[Evolutivos SGC Finanzas] Posibilidad de filtrar en Valoracion de servicios por Microservicio de Tasación &quot;Proceso SINO&quot;"/>
    <x v="11"/>
    <x v="0"/>
    <x v="2"/>
    <s v="Backlog"/>
    <n v="20"/>
    <n v="0.03"/>
    <n v="1"/>
    <n v="1"/>
    <n v="1"/>
    <n v="100"/>
    <x v="1"/>
  </r>
  <r>
    <x v="0"/>
    <s v="SainteLague"/>
    <n v="385"/>
    <n v="31945"/>
    <s v="Obsolescência WAVE 0 - Converter LDAP em LDAPS (BCTT)"/>
    <x v="15"/>
    <x v="1"/>
    <x v="3"/>
    <s v="Backlog"/>
    <n v="11"/>
    <n v="0.03"/>
    <n v="1"/>
    <n v="1"/>
    <n v="1"/>
    <n v="100"/>
    <x v="1"/>
  </r>
  <r>
    <x v="0"/>
    <s v="SainteLague"/>
    <n v="386"/>
    <n v="130440"/>
    <s v="Autodocumentacion Integración Mulesoft con IA"/>
    <x v="6"/>
    <x v="0"/>
    <x v="3"/>
    <s v="Backlog"/>
    <n v="50"/>
    <n v="0.03"/>
    <n v="1"/>
    <n v="1"/>
    <n v="1"/>
    <n v="100"/>
    <x v="1"/>
  </r>
  <r>
    <x v="0"/>
    <s v="SainteLague"/>
    <n v="387"/>
    <n v="132425"/>
    <s v="Disponibilizar o produto Correio Registado internacional no aplicativo &quot;Criar envio de Correio ou Expresso&quot;"/>
    <x v="1"/>
    <x v="1"/>
    <x v="0"/>
    <s v="In Definition"/>
    <n v="10"/>
    <n v="4.5"/>
    <n v="3"/>
    <n v="3"/>
    <n v="3"/>
    <n v="2"/>
    <x v="1"/>
  </r>
  <r>
    <x v="0"/>
    <s v="SainteLague"/>
    <n v="388"/>
    <n v="130587"/>
    <s v="[WebHook] - Cacesa"/>
    <x v="14"/>
    <x v="0"/>
    <x v="0"/>
    <s v="In Definition"/>
    <n v="16"/>
    <n v="0.03"/>
    <n v="1"/>
    <n v="1"/>
    <n v="1"/>
    <n v="100"/>
    <x v="1"/>
  </r>
  <r>
    <x v="0"/>
    <s v="SainteLague"/>
    <n v="389"/>
    <n v="39126"/>
    <s v="Novas funcionalidades no PA- AVC"/>
    <x v="22"/>
    <x v="1"/>
    <x v="2"/>
    <s v="Backlog"/>
    <n v="7"/>
    <n v="0.03"/>
    <n v="1"/>
    <n v="1"/>
    <n v="1"/>
    <n v="100"/>
    <x v="1"/>
  </r>
  <r>
    <x v="0"/>
    <s v="SainteLague"/>
    <n v="390"/>
    <n v="130519"/>
    <s v="Maestro festivos provinciales en cálculos de fechas de compromiso"/>
    <x v="4"/>
    <x v="0"/>
    <x v="2"/>
    <s v="Ready for Solution"/>
    <n v="22"/>
    <n v="0.03"/>
    <n v="1"/>
    <n v="1"/>
    <n v="1"/>
    <n v="100"/>
    <x v="1"/>
  </r>
  <r>
    <x v="0"/>
    <s v="SainteLague"/>
    <n v="391"/>
    <n v="126772"/>
    <s v="Paperless - Guia expresso passar de 3 vias para 2, em apenas uma página"/>
    <x v="20"/>
    <x v="1"/>
    <x v="3"/>
    <s v="Backlog"/>
    <n v="10"/>
    <n v="0.03"/>
    <n v="1"/>
    <n v="1"/>
    <n v="1"/>
    <n v="100"/>
    <x v="1"/>
  </r>
  <r>
    <x v="0"/>
    <s v="SainteLague"/>
    <n v="392"/>
    <n v="130573"/>
    <s v="Creación arquetipo desarrollo React"/>
    <x v="6"/>
    <x v="0"/>
    <x v="3"/>
    <s v="Backlog"/>
    <n v="51"/>
    <n v="0.03"/>
    <n v="1"/>
    <n v="1"/>
    <n v="1"/>
    <n v="100"/>
    <x v="1"/>
  </r>
  <r>
    <x v="0"/>
    <s v="SainteLague"/>
    <n v="393"/>
    <n v="134801"/>
    <s v="Amazon | Serviço POD (Prova de Entrega)"/>
    <x v="10"/>
    <x v="1"/>
    <x v="0"/>
    <s v="Backlog"/>
    <n v="11"/>
    <n v="0.03"/>
    <n v="1"/>
    <n v="1"/>
    <n v="1"/>
    <n v="100"/>
    <x v="1"/>
  </r>
  <r>
    <x v="0"/>
    <s v="SainteLague"/>
    <n v="394"/>
    <n v="130958"/>
    <s v="[Web Pública 2.0] - Web Pública 2.0 Fase II - V2"/>
    <x v="0"/>
    <x v="0"/>
    <x v="0"/>
    <s v="Ready for Solution"/>
    <n v="25"/>
    <n v="0.03"/>
    <n v="1"/>
    <n v="1"/>
    <n v="1"/>
    <n v="100"/>
    <x v="1"/>
  </r>
  <r>
    <x v="0"/>
    <s v="SainteLague"/>
    <n v="395"/>
    <n v="69344"/>
    <s v="Experiencia e Jornada do colaborador"/>
    <x v="25"/>
    <x v="1"/>
    <x v="2"/>
    <s v="Backlog"/>
    <n v="9"/>
    <n v="0.03"/>
    <n v="1"/>
    <n v="1"/>
    <n v="1"/>
    <n v="100"/>
    <x v="1"/>
  </r>
  <r>
    <x v="0"/>
    <s v="SainteLague"/>
    <n v="396"/>
    <n v="129518"/>
    <s v="[Evolutivos Minerva] Zonificacion PT detallada (combinaciones PTC-PTI/PTI-PTI) (Valorar por MKT)"/>
    <x v="11"/>
    <x v="0"/>
    <x v="2"/>
    <s v="Backlog"/>
    <n v="21"/>
    <n v="0.03"/>
    <n v="1"/>
    <n v="1"/>
    <n v="1"/>
    <n v="100"/>
    <x v="1"/>
  </r>
  <r>
    <x v="0"/>
    <s v="SainteLague"/>
    <n v="397"/>
    <n v="71332"/>
    <s v="IOP | Sistemas - Migração - Nova Farm Hyper V Lisboa - Wave 3"/>
    <x v="7"/>
    <x v="1"/>
    <x v="3"/>
    <s v="Backlog"/>
    <n v="26"/>
    <n v="0.03"/>
    <n v="1"/>
    <n v="1"/>
    <n v="1"/>
    <n v="100"/>
    <x v="1"/>
  </r>
  <r>
    <x v="0"/>
    <s v="SainteLague"/>
    <n v="398"/>
    <n v="130622"/>
    <s v="Incluir en nexia opciones multi-idioma"/>
    <x v="6"/>
    <x v="0"/>
    <x v="3"/>
    <s v="Backlog"/>
    <n v="52"/>
    <n v="0.03"/>
    <n v="1"/>
    <n v="1"/>
    <n v="1"/>
    <n v="100"/>
    <x v="1"/>
  </r>
  <r>
    <x v="0"/>
    <s v="SainteLague"/>
    <n v="399"/>
    <n v="31878"/>
    <s v="BITS eshops"/>
    <x v="16"/>
    <x v="1"/>
    <x v="0"/>
    <s v="Backlog"/>
    <n v="10"/>
    <n v="0.03"/>
    <n v="1"/>
    <n v="1"/>
    <n v="1"/>
    <n v="100"/>
    <x v="1"/>
  </r>
  <r>
    <x v="0"/>
    <s v="SainteLague"/>
    <n v="400"/>
    <n v="129672"/>
    <s v="[Producto] - Devoluciones anticipadas: Solicitud de Devolución de Envíos al vuelo"/>
    <x v="0"/>
    <x v="0"/>
    <x v="0"/>
    <s v="Ready for Solution"/>
    <n v="26"/>
    <n v="0.03"/>
    <n v="1"/>
    <n v="1"/>
    <n v="1"/>
    <n v="100"/>
    <x v="1"/>
  </r>
  <r>
    <x v="0"/>
    <s v="SainteLague"/>
    <n v="401"/>
    <n v="126735"/>
    <s v="Data Cost Allocation Model by Business Area"/>
    <x v="31"/>
    <x v="1"/>
    <x v="2"/>
    <s v="Backlog"/>
    <n v="7"/>
    <n v="0.05"/>
    <n v="3"/>
    <n v="1"/>
    <n v="1"/>
    <n v="100"/>
    <x v="1"/>
  </r>
  <r>
    <x v="0"/>
    <s v="SainteLague"/>
    <n v="402"/>
    <n v="129543"/>
    <s v="[Salesforce]​ - Reexpedir -recanalizar- y destruir un envío por parte del equipo de ATC"/>
    <x v="4"/>
    <x v="0"/>
    <x v="2"/>
    <s v="In Definition"/>
    <n v="23"/>
    <n v="0.03"/>
    <n v="1"/>
    <n v="1"/>
    <n v="1"/>
    <n v="100"/>
    <x v="1"/>
  </r>
  <r>
    <x v="0"/>
    <s v="SainteLague"/>
    <n v="403"/>
    <n v="132062"/>
    <s v="BPM - Upgrade WebSphere"/>
    <x v="7"/>
    <x v="1"/>
    <x v="3"/>
    <s v="Backlog"/>
    <n v="27"/>
    <n v="7"/>
    <n v="3"/>
    <n v="2"/>
    <n v="2"/>
    <n v="1"/>
    <x v="1"/>
  </r>
  <r>
    <x v="0"/>
    <s v="SainteLague"/>
    <n v="404"/>
    <n v="130625"/>
    <s v="Desconectar servidor SFTP SGC"/>
    <x v="6"/>
    <x v="0"/>
    <x v="3"/>
    <s v="Backlog"/>
    <n v="53"/>
    <n v="0.03"/>
    <n v="1"/>
    <n v="1"/>
    <n v="1"/>
    <n v="100"/>
    <x v="1"/>
  </r>
  <r>
    <x v="0"/>
    <s v="SainteLague"/>
    <n v="405"/>
    <n v="44675"/>
    <s v="GPB2C | Apartados - Adaptação Tecnologia Locky e Otimização de Recolha de Dados"/>
    <x v="27"/>
    <x v="1"/>
    <x v="0"/>
    <s v="Backlog"/>
    <n v="6"/>
    <n v="0.03"/>
    <n v="1"/>
    <n v="1"/>
    <n v="1"/>
    <n v="100"/>
    <x v="1"/>
  </r>
  <r>
    <x v="0"/>
    <s v="SainteLague"/>
    <n v="406"/>
    <n v="130775"/>
    <s v="[Salesforce Maps] - Nuevas funcionalidades (Fase 3)"/>
    <x v="8"/>
    <x v="0"/>
    <x v="0"/>
    <s v="In Definition"/>
    <n v="20"/>
    <n v="0.03"/>
    <n v="1"/>
    <n v="1"/>
    <n v="1"/>
    <n v="100"/>
    <x v="1"/>
  </r>
  <r>
    <x v="0"/>
    <s v="SainteLague"/>
    <n v="407"/>
    <n v="59177"/>
    <s v="Faturas PDF | SAP - Incremento 2"/>
    <x v="13"/>
    <x v="1"/>
    <x v="2"/>
    <s v="Backlog"/>
    <n v="8"/>
    <n v="0.03"/>
    <n v="1"/>
    <n v="1"/>
    <n v="1"/>
    <n v="100"/>
    <x v="1"/>
  </r>
  <r>
    <x v="0"/>
    <s v="SainteLague"/>
    <n v="408"/>
    <n v="129481"/>
    <s v="[Evolutivos Minerva] Tarifas unicas por grupos de varios clientes (multicuentas asociadas incluso en diferentes CO's) (Validar por Herramientas Comerciales)"/>
    <x v="11"/>
    <x v="0"/>
    <x v="2"/>
    <s v="Backlog"/>
    <n v="22"/>
    <n v="0.03"/>
    <n v="1"/>
    <n v="1"/>
    <n v="1"/>
    <n v="100"/>
    <x v="1"/>
  </r>
  <r>
    <x v="0"/>
    <s v="SainteLague"/>
    <n v="409"/>
    <n v="132278"/>
    <s v="dotCMS - update da versão"/>
    <x v="7"/>
    <x v="1"/>
    <x v="3"/>
    <s v="High Level Design"/>
    <n v="28"/>
    <n v="0.03"/>
    <n v="1"/>
    <n v="1"/>
    <n v="1"/>
    <n v="100"/>
    <x v="1"/>
  </r>
  <r>
    <x v="0"/>
    <s v="SainteLague"/>
    <n v="410"/>
    <n v="130647"/>
    <s v="Diseñar Flujos de trabajo IA - .Net"/>
    <x v="6"/>
    <x v="0"/>
    <x v="3"/>
    <s v="Backlog"/>
    <n v="54"/>
    <n v="0.03"/>
    <n v="1"/>
    <n v="1"/>
    <n v="1"/>
    <n v="100"/>
    <x v="1"/>
  </r>
  <r>
    <x v="0"/>
    <s v="SainteLague"/>
    <n v="411"/>
    <n v="53781"/>
    <s v="Proteção Avançada para a Interface do PayByLink"/>
    <x v="29"/>
    <x v="1"/>
    <x v="0"/>
    <s v="In Definition"/>
    <n v="6"/>
    <n v="0.03"/>
    <n v="1"/>
    <n v="1"/>
    <n v="1"/>
    <n v="100"/>
    <x v="1"/>
  </r>
  <r>
    <x v="0"/>
    <s v="SainteLague"/>
    <n v="412"/>
    <n v="130249"/>
    <s v="Ficheros DataTrans sin CP origen"/>
    <x v="14"/>
    <x v="0"/>
    <x v="0"/>
    <s v="Backlog"/>
    <n v="18"/>
    <n v="0.03"/>
    <n v="1"/>
    <n v="1"/>
    <n v="1"/>
    <n v="100"/>
    <x v="1"/>
  </r>
  <r>
    <x v="0"/>
    <s v="SainteLague"/>
    <n v="413"/>
    <n v="32209"/>
    <s v="Power Bi | CRM - Acesso a Informação do CRM através do PowerBi"/>
    <x v="22"/>
    <x v="1"/>
    <x v="2"/>
    <s v="In Definition"/>
    <n v="8"/>
    <n v="0.03"/>
    <n v="1"/>
    <n v="1"/>
    <n v="1"/>
    <n v="100"/>
    <x v="1"/>
  </r>
  <r>
    <x v="0"/>
    <s v="SainteLague"/>
    <n v="414"/>
    <n v="129569"/>
    <s v="[Desconexión SGC] [QLIK] Calidad de Recogidas App QLIK"/>
    <x v="4"/>
    <x v="0"/>
    <x v="2"/>
    <s v="Backlog"/>
    <n v="24"/>
    <n v="0.03"/>
    <n v="1"/>
    <n v="1"/>
    <n v="1"/>
    <n v="100"/>
    <x v="1"/>
  </r>
  <r>
    <x v="0"/>
    <s v="SainteLague"/>
    <n v="415"/>
    <n v="31896"/>
    <s v="Banco CTT - Gestão de Acessos em SAP4Hana"/>
    <x v="15"/>
    <x v="1"/>
    <x v="3"/>
    <s v="Backlog"/>
    <n v="12"/>
    <n v="0.03"/>
    <n v="1"/>
    <n v="1"/>
    <n v="1"/>
    <n v="100"/>
    <x v="1"/>
  </r>
  <r>
    <x v="0"/>
    <s v="SainteLague"/>
    <n v="416"/>
    <n v="130021"/>
    <s v="[Desconexión SGC] Módulo de tasación Cloud"/>
    <x v="6"/>
    <x v="0"/>
    <x v="3"/>
    <s v="Backlog"/>
    <n v="55"/>
    <n v="0.03"/>
    <n v="1"/>
    <n v="1"/>
    <n v="1"/>
    <n v="100"/>
    <x v="1"/>
  </r>
  <r>
    <x v="0"/>
    <s v="SainteLague"/>
    <n v="417"/>
    <n v="85670"/>
    <s v="POD - API feasibility for Cainiao"/>
    <x v="21"/>
    <x v="1"/>
    <x v="0"/>
    <s v="In Definition"/>
    <n v="8"/>
    <n v="0.03"/>
    <n v="1"/>
    <n v="1"/>
    <n v="1"/>
    <n v="100"/>
    <x v="1"/>
  </r>
  <r>
    <x v="0"/>
    <s v="SainteLague"/>
    <n v="418"/>
    <n v="129507"/>
    <s v="[PUDOs] - [QLIK] Nueva App Pudo Sales"/>
    <x v="0"/>
    <x v="0"/>
    <x v="0"/>
    <s v="Backlog"/>
    <n v="27"/>
    <n v="0.03"/>
    <n v="1"/>
    <n v="1"/>
    <n v="1"/>
    <n v="100"/>
    <x v="1"/>
  </r>
  <r>
    <x v="0"/>
    <s v="SainteLague"/>
    <n v="419"/>
    <n v="62476"/>
    <s v="Auditoria EY - Criação de Web Service para interfaces entre a aplicação IOS e a Médis"/>
    <x v="25"/>
    <x v="1"/>
    <x v="2"/>
    <s v="Backlog"/>
    <n v="10"/>
    <n v="0.03"/>
    <n v="1"/>
    <n v="1"/>
    <n v="1"/>
    <n v="100"/>
    <x v="1"/>
  </r>
  <r>
    <x v="0"/>
    <s v="SainteLague"/>
    <n v="420"/>
    <n v="129483"/>
    <s v="Web Clientes​ - Detalles Excel con y sin Densidades (Español-Ingles), Personalizables por el propio cliente en PortalCliente y en Finanzas"/>
    <x v="11"/>
    <x v="0"/>
    <x v="2"/>
    <s v="Backlog"/>
    <n v="23"/>
    <n v="0.03"/>
    <n v="1"/>
    <n v="1"/>
    <n v="1"/>
    <n v="100"/>
    <x v="1"/>
  </r>
  <r>
    <x v="0"/>
    <s v="SainteLague"/>
    <n v="421"/>
    <n v="100104"/>
    <s v="SGEE - Descontinuação FTP"/>
    <x v="20"/>
    <x v="1"/>
    <x v="3"/>
    <s v="Backlog"/>
    <n v="11"/>
    <n v="0.03"/>
    <n v="1"/>
    <n v="1"/>
    <n v="1"/>
    <n v="100"/>
    <x v="1"/>
  </r>
  <r>
    <x v="0"/>
    <s v="SainteLague"/>
    <n v="422"/>
    <n v="130662"/>
    <s v="Migración Microservicios a SLA nuevo"/>
    <x v="6"/>
    <x v="0"/>
    <x v="3"/>
    <s v="In Definition"/>
    <n v="56"/>
    <n v="0.03"/>
    <n v="1"/>
    <n v="1"/>
    <n v="1"/>
    <n v="100"/>
    <x v="1"/>
  </r>
  <r>
    <x v="0"/>
    <s v="SainteLague"/>
    <n v="423"/>
    <n v="31655"/>
    <s v="Criação Portal Parceiro"/>
    <x v="24"/>
    <x v="1"/>
    <x v="0"/>
    <s v="Backlog"/>
    <n v="7"/>
    <n v="0.03"/>
    <n v="1"/>
    <n v="1"/>
    <n v="1"/>
    <n v="100"/>
    <x v="1"/>
  </r>
  <r>
    <x v="0"/>
    <s v="SainteLague"/>
    <n v="424"/>
    <n v="129729"/>
    <s v="[Minerva] - Servicios adicionales gestionables por el equipo Comercial en la creación de una oferta"/>
    <x v="8"/>
    <x v="0"/>
    <x v="0"/>
    <s v="Backlog"/>
    <n v="21"/>
    <n v="0.03"/>
    <n v="1"/>
    <n v="1"/>
    <n v="1"/>
    <n v="100"/>
    <x v="1"/>
  </r>
  <r>
    <x v="0"/>
    <s v="SainteLague"/>
    <n v="425"/>
    <n v="32005"/>
    <s v="Nexus | Data | Nexus Data"/>
    <x v="31"/>
    <x v="1"/>
    <x v="2"/>
    <s v="In Definition"/>
    <n v="8"/>
    <n v="0.03"/>
    <n v="1"/>
    <n v="1"/>
    <n v="1"/>
    <n v="100"/>
    <x v="1"/>
  </r>
  <r>
    <x v="0"/>
    <s v="SainteLague"/>
    <n v="426"/>
    <n v="129506"/>
    <s v="[Qlik] - Nprinting - Informe efectividad de red"/>
    <x v="4"/>
    <x v="0"/>
    <x v="2"/>
    <s v="In Definition"/>
    <n v="25"/>
    <n v="0.03"/>
    <n v="1"/>
    <n v="1"/>
    <n v="1"/>
    <n v="100"/>
    <x v="1"/>
  </r>
  <r>
    <x v="0"/>
    <s v="SainteLague"/>
    <n v="427"/>
    <n v="127619"/>
    <s v="Configuration Profiles Endpoint"/>
    <x v="7"/>
    <x v="1"/>
    <x v="3"/>
    <s v="In Definition"/>
    <n v="29"/>
    <n v="0.03"/>
    <n v="1"/>
    <n v="1"/>
    <n v="1"/>
    <n v="100"/>
    <x v="1"/>
  </r>
  <r>
    <x v="0"/>
    <s v="SainteLague"/>
    <n v="428"/>
    <n v="130843"/>
    <s v="[Web pública Nexus] - Imágenes alojadas en DOT (ex Wordpress) estudiar alojarlas en AWS"/>
    <x v="6"/>
    <x v="0"/>
    <x v="3"/>
    <s v="Backlog"/>
    <n v="57"/>
    <n v="0.03"/>
    <n v="1"/>
    <n v="1"/>
    <n v="1"/>
    <n v="100"/>
    <x v="1"/>
  </r>
  <r>
    <x v="0"/>
    <s v="SainteLague"/>
    <n v="429"/>
    <n v="134997"/>
    <s v="Correio Inteligente - Alarmística"/>
    <x v="1"/>
    <x v="1"/>
    <x v="0"/>
    <s v="In Definition"/>
    <n v="11"/>
    <n v="0.03"/>
    <n v="1"/>
    <n v="1"/>
    <n v="1"/>
    <n v="100"/>
    <x v="1"/>
  </r>
  <r>
    <x v="0"/>
    <s v="SainteLague"/>
    <n v="430"/>
    <n v="130201"/>
    <s v="Manifest errores de carga en códigos postales."/>
    <x v="14"/>
    <x v="0"/>
    <x v="0"/>
    <s v="Backlog"/>
    <n v="19"/>
    <n v="0.03"/>
    <n v="1"/>
    <n v="1"/>
    <n v="1"/>
    <n v="100"/>
    <x v="1"/>
  </r>
  <r>
    <x v="0"/>
    <s v="SainteLague"/>
    <n v="431"/>
    <n v="124133"/>
    <s v="Incremento ao processo de pagamento de faturas a fornecedores"/>
    <x v="13"/>
    <x v="1"/>
    <x v="2"/>
    <s v="Backlog"/>
    <n v="9"/>
    <n v="0.03"/>
    <n v="1"/>
    <n v="1"/>
    <n v="1"/>
    <n v="100"/>
    <x v="1"/>
  </r>
  <r>
    <x v="0"/>
    <s v="SainteLague"/>
    <n v="432"/>
    <n v="130367"/>
    <s v="[Nexus Rollout] [We Bill] Estrategia de facturación de clientes ES y PT"/>
    <x v="11"/>
    <x v="0"/>
    <x v="2"/>
    <s v="Backlog"/>
    <n v="24"/>
    <n v="0.03"/>
    <n v="1"/>
    <n v="1"/>
    <n v="1"/>
    <n v="100"/>
    <x v="1"/>
  </r>
  <r>
    <x v="0"/>
    <s v="SainteLague"/>
    <n v="433"/>
    <n v="125693"/>
    <s v="Upgrade servidores OutSystems para Windows Server 2022"/>
    <x v="7"/>
    <x v="1"/>
    <x v="3"/>
    <s v="In Approval"/>
    <n v="31"/>
    <n v="11"/>
    <n v="3"/>
    <n v="4"/>
    <n v="4"/>
    <n v="1"/>
    <x v="1"/>
  </r>
  <r>
    <x v="0"/>
    <s v="SainteLague"/>
    <n v="434"/>
    <n v="130853"/>
    <s v="Definición de la estrategia de preparación de entornos de prueba de aplicaciones"/>
    <x v="6"/>
    <x v="0"/>
    <x v="3"/>
    <s v="Backlog"/>
    <n v="58"/>
    <n v="0.03"/>
    <n v="1"/>
    <n v="1"/>
    <n v="1"/>
    <n v="100"/>
    <x v="1"/>
  </r>
  <r>
    <x v="0"/>
    <s v="SainteLague"/>
    <n v="435"/>
    <n v="123004"/>
    <s v="Faturação do produto C65 - Tracked Simples - Alteração Pré-Aviso"/>
    <x v="10"/>
    <x v="1"/>
    <x v="0"/>
    <s v="Backlog"/>
    <n v="12"/>
    <n v="0.03"/>
    <n v="1"/>
    <n v="1"/>
    <n v="1"/>
    <n v="100"/>
    <x v="1"/>
  </r>
  <r>
    <x v="0"/>
    <s v="SainteLague"/>
    <n v="436"/>
    <n v="130341"/>
    <s v="[Desconexión SGC] [Web de Clientes] - Descarga de seguimiento y en descarga masiva: Incluir más campos: Peso Facturado V2"/>
    <x v="0"/>
    <x v="0"/>
    <x v="0"/>
    <s v="In Definition"/>
    <n v="28"/>
    <n v="0.03"/>
    <n v="1"/>
    <n v="1"/>
    <n v="1"/>
    <n v="100"/>
    <x v="1"/>
  </r>
  <r>
    <x v="0"/>
    <s v="SainteLague"/>
    <n v="437"/>
    <n v="31661"/>
    <s v="MPC | Integração Sprinklr no CRM | Melhorar Integração de mensagens"/>
    <x v="22"/>
    <x v="1"/>
    <x v="2"/>
    <s v="In Definition"/>
    <n v="9"/>
    <n v="0.03"/>
    <n v="1"/>
    <n v="1"/>
    <n v="1"/>
    <n v="100"/>
    <x v="1"/>
  </r>
  <r>
    <x v="0"/>
    <s v="SainteLague"/>
    <n v="438"/>
    <n v="130331"/>
    <s v="[Desconexión SGC] [Salesforce Service] - Gestión de casos: modificaciones tipos de servicio"/>
    <x v="4"/>
    <x v="0"/>
    <x v="2"/>
    <s v="Backlog"/>
    <n v="27"/>
    <n v="0.03"/>
    <n v="1"/>
    <n v="1"/>
    <n v="1"/>
    <n v="100"/>
    <x v="1"/>
  </r>
  <r>
    <x v="0"/>
    <s v="SainteLague"/>
    <n v="439"/>
    <n v="127626"/>
    <s v="Expurgo automatic sharepoint e Team"/>
    <x v="7"/>
    <x v="1"/>
    <x v="3"/>
    <s v="Backlog"/>
    <n v="34"/>
    <n v="0.03"/>
    <n v="1"/>
    <n v="1"/>
    <n v="1"/>
    <n v="100"/>
    <x v="1"/>
  </r>
  <r>
    <x v="0"/>
    <s v="SainteLague"/>
    <n v="440"/>
    <n v="130967"/>
    <s v="[Bitácora] - Bitacora Management que permita implementar los procesos actuales de configuración en Bitácora"/>
    <x v="6"/>
    <x v="0"/>
    <x v="3"/>
    <s v="In Definition"/>
    <n v="59"/>
    <n v="0.03"/>
    <n v="1"/>
    <n v="1"/>
    <n v="1"/>
    <n v="100"/>
    <x v="1"/>
  </r>
  <r>
    <x v="0"/>
    <s v="SainteLague"/>
    <n v="441"/>
    <n v="31927"/>
    <s v="Analytics | Evolução das implementações DL p/ GA4 feitas nos aplicativos web/mobile 1ª e 2ª Fase"/>
    <x v="16"/>
    <x v="1"/>
    <x v="0"/>
    <s v="Backlog"/>
    <n v="11"/>
    <n v="0.03"/>
    <n v="1"/>
    <n v="1"/>
    <n v="1"/>
    <n v="100"/>
    <x v="1"/>
  </r>
  <r>
    <x v="0"/>
    <s v="SainteLague"/>
    <n v="442"/>
    <n v="129534"/>
    <s v="[Nexus]-[Minerva]- CTT 14h MINERVA Óptica (Nuevo producto comercial)"/>
    <x v="0"/>
    <x v="0"/>
    <x v="0"/>
    <s v="In Definition"/>
    <n v="30"/>
    <n v="0.03"/>
    <n v="1"/>
    <n v="1"/>
    <n v="1"/>
    <n v="100"/>
    <x v="1"/>
  </r>
  <r>
    <x v="0"/>
    <s v="SainteLague"/>
    <n v="443"/>
    <n v="32070"/>
    <s v="Despesa Frota e Edificios - Evolutivo"/>
    <x v="31"/>
    <x v="1"/>
    <x v="2"/>
    <s v="Backlog"/>
    <n v="9"/>
    <n v="0.03"/>
    <n v="1"/>
    <n v="1"/>
    <n v="1"/>
    <n v="100"/>
    <x v="1"/>
  </r>
  <r>
    <x v="0"/>
    <s v="SainteLague"/>
    <n v="444"/>
    <n v="129444"/>
    <s v="[Alarmas Financieras] Alarma-41 Informe de nº envíos-discrepancias tráfico-facturación (se esta trabajando internamente también)"/>
    <x v="11"/>
    <x v="0"/>
    <x v="2"/>
    <s v="Backlog"/>
    <n v="25"/>
    <n v="0.03"/>
    <n v="1"/>
    <n v="1"/>
    <n v="1"/>
    <n v="100"/>
    <x v="1"/>
  </r>
  <r>
    <x v="0"/>
    <s v="SainteLague"/>
    <n v="445"/>
    <n v="70015"/>
    <s v="BCTT - renovação de equipamentos lojas especializadas"/>
    <x v="15"/>
    <x v="1"/>
    <x v="3"/>
    <s v="Backlog"/>
    <n v="13"/>
    <n v="0.03"/>
    <n v="1"/>
    <n v="1"/>
    <n v="1"/>
    <n v="100"/>
    <x v="1"/>
  </r>
  <r>
    <x v="0"/>
    <s v="SainteLague"/>
    <n v="446"/>
    <n v="130730"/>
    <s v="Optimización del CAU mediante herramientas de autodiagnóstico para operativas críticas"/>
    <x v="6"/>
    <x v="0"/>
    <x v="3"/>
    <s v="Backlog"/>
    <n v="60"/>
    <n v="0.03"/>
    <n v="1"/>
    <n v="1"/>
    <n v="1"/>
    <n v="100"/>
    <x v="1"/>
  </r>
  <r>
    <x v="0"/>
    <s v="SainteLague"/>
    <n v="447"/>
    <n v="107435"/>
    <s v="Novo Aceitação imediata de objetos expresso em lockerProjeto"/>
    <x v="21"/>
    <x v="1"/>
    <x v="0"/>
    <s v="Backlog"/>
    <n v="9"/>
    <n v="0.03"/>
    <n v="1"/>
    <n v="1"/>
    <n v="1"/>
    <n v="100"/>
    <x v="1"/>
  </r>
  <r>
    <x v="0"/>
    <s v="SainteLague"/>
    <n v="448"/>
    <n v="130804"/>
    <s v="[Salesforce Sales - SGC ] - Evitar actualizaciones en SGC en los registros de franquicias"/>
    <x v="8"/>
    <x v="0"/>
    <x v="0"/>
    <s v="Backlog"/>
    <n v="22"/>
    <n v="0.03"/>
    <n v="1"/>
    <n v="1"/>
    <n v="1"/>
    <n v="100"/>
    <x v="1"/>
  </r>
  <r>
    <x v="0"/>
    <s v="SainteLague"/>
    <n v="449"/>
    <n v="125766"/>
    <s v="Evolutivas SAP FI Q1 2026"/>
    <x v="13"/>
    <x v="1"/>
    <x v="2"/>
    <s v="Backlog"/>
    <n v="10"/>
    <n v="3"/>
    <n v="1"/>
    <n v="1"/>
    <n v="1"/>
    <n v="1"/>
    <x v="1"/>
  </r>
  <r>
    <x v="0"/>
    <s v="SainteLague"/>
    <n v="450"/>
    <n v="130468"/>
    <s v="Cierre diario de recogidas"/>
    <x v="4"/>
    <x v="0"/>
    <x v="2"/>
    <s v="Backlog"/>
    <n v="28"/>
    <n v="0.03"/>
    <n v="1"/>
    <n v="1"/>
    <n v="1"/>
    <n v="100"/>
    <x v="1"/>
  </r>
  <r>
    <x v="0"/>
    <s v="SainteLague"/>
    <n v="451"/>
    <n v="107975"/>
    <s v="Descontinuação do winreg"/>
    <x v="20"/>
    <x v="1"/>
    <x v="3"/>
    <s v="Backlog"/>
    <n v="12"/>
    <n v="0.03"/>
    <n v="1"/>
    <n v="1"/>
    <n v="1"/>
    <n v="100"/>
    <x v="1"/>
  </r>
  <r>
    <x v="0"/>
    <s v="SainteLague"/>
    <n v="452"/>
    <n v="130793"/>
    <s v="Federación de acceso a Salesforce mediante SSO - EntraID"/>
    <x v="6"/>
    <x v="0"/>
    <x v="3"/>
    <s v="Backlog"/>
    <n v="61"/>
    <n v="0.03"/>
    <n v="1"/>
    <n v="1"/>
    <n v="1"/>
    <n v="100"/>
    <x v="1"/>
  </r>
  <r>
    <x v="0"/>
    <s v="SainteLague"/>
    <n v="453"/>
    <n v="133470"/>
    <s v="Correio Inteligente - FTP para P&amp;F"/>
    <x v="1"/>
    <x v="1"/>
    <x v="0"/>
    <s v="Backlog"/>
    <n v="12"/>
    <n v="0.03"/>
    <n v="1"/>
    <n v="1"/>
    <n v="1"/>
    <n v="100"/>
    <x v="1"/>
  </r>
  <r>
    <x v="0"/>
    <s v="SainteLague"/>
    <n v="454"/>
    <n v="131110"/>
    <s v="[ESTADOS] - Mostrar a clientes el mismo evento/estado sucesivo ocurrido en dias distintos"/>
    <x v="14"/>
    <x v="0"/>
    <x v="0"/>
    <s v="Backlog"/>
    <n v="20"/>
    <n v="0.03"/>
    <n v="1"/>
    <n v="1"/>
    <n v="1"/>
    <n v="100"/>
    <x v="1"/>
  </r>
  <r>
    <x v="0"/>
    <s v="SainteLague"/>
    <n v="455"/>
    <n v="50544"/>
    <s v="Avaliação de Novo Software de Contact Center"/>
    <x v="22"/>
    <x v="1"/>
    <x v="2"/>
    <s v="Backlog"/>
    <n v="10"/>
    <n v="0.03"/>
    <n v="1"/>
    <n v="1"/>
    <n v="1"/>
    <n v="100"/>
    <x v="1"/>
  </r>
  <r>
    <x v="0"/>
    <s v="SainteLague"/>
    <n v="456"/>
    <n v="129455"/>
    <s v="[NEXUS] [Auditoria PT] [SAP] - Mejora y/o renovación del Interface Salesforce + SGC + SAP"/>
    <x v="11"/>
    <x v="0"/>
    <x v="2"/>
    <s v="Ready for Solution"/>
    <n v="26"/>
    <n v="0.03"/>
    <n v="1"/>
    <n v="1"/>
    <n v="1"/>
    <n v="100"/>
    <x v="1"/>
  </r>
  <r>
    <x v="0"/>
    <s v="SainteLague"/>
    <n v="457"/>
    <n v="132063"/>
    <s v="ODM - Uniformização Ambiente Produtivo"/>
    <x v="7"/>
    <x v="1"/>
    <x v="3"/>
    <s v="Backlog"/>
    <n v="35"/>
    <n v="7"/>
    <n v="3"/>
    <n v="2"/>
    <n v="2"/>
    <n v="1"/>
    <x v="1"/>
  </r>
  <r>
    <x v="0"/>
    <s v="SainteLague"/>
    <n v="458"/>
    <n v="130796"/>
    <s v="MongoDB - Recopilación de usuarios y reset de contraseñas"/>
    <x v="6"/>
    <x v="0"/>
    <x v="3"/>
    <s v="Backlog"/>
    <n v="62"/>
    <n v="0.03"/>
    <n v="1"/>
    <n v="1"/>
    <n v="1"/>
    <n v="100"/>
    <x v="1"/>
  </r>
  <r>
    <x v="0"/>
    <s v="SainteLague"/>
    <n v="459"/>
    <n v="105944"/>
    <s v="Expresso Internacional Premium | Disponibilização do produto no segmento ocasional"/>
    <x v="10"/>
    <x v="1"/>
    <x v="0"/>
    <s v="In Definition"/>
    <n v="13"/>
    <n v="0.03"/>
    <n v="1"/>
    <n v="1"/>
    <n v="1"/>
    <n v="100"/>
    <x v="1"/>
  </r>
  <r>
    <x v="0"/>
    <s v="SainteLague"/>
    <n v="460"/>
    <n v="131081"/>
    <s v="[PUDOS] - Automatización del tratamiento de incidencias de PUDOS cerrados"/>
    <x v="0"/>
    <x v="0"/>
    <x v="0"/>
    <s v="Backlog"/>
    <n v="31"/>
    <n v="0.03"/>
    <n v="1"/>
    <n v="1"/>
    <n v="1"/>
    <n v="100"/>
    <x v="1"/>
  </r>
  <r>
    <x v="0"/>
    <s v="SainteLague"/>
    <n v="461"/>
    <n v="31741"/>
    <s v="Workforce Analytics - Integração Espanha"/>
    <x v="31"/>
    <x v="1"/>
    <x v="2"/>
    <s v="Backlog"/>
    <n v="10"/>
    <n v="0.03"/>
    <n v="1"/>
    <n v="1"/>
    <n v="1"/>
    <n v="100"/>
    <x v="1"/>
  </r>
  <r>
    <x v="0"/>
    <s v="SainteLague"/>
    <n v="462"/>
    <n v="129654"/>
    <s v="Conexión de eventos estados PT-ES/Transición de estados con eventos PT"/>
    <x v="4"/>
    <x v="0"/>
    <x v="2"/>
    <s v="Backlog"/>
    <n v="30"/>
    <n v="0.03"/>
    <n v="1"/>
    <n v="1"/>
    <n v="1"/>
    <n v="100"/>
    <x v="1"/>
  </r>
  <r>
    <x v="0"/>
    <s v="SainteLague"/>
    <n v="463"/>
    <n v="98564"/>
    <s v="CCP | Commercial Catalog | Synchronization with SAP"/>
    <x v="7"/>
    <x v="1"/>
    <x v="3"/>
    <s v="Backlog"/>
    <n v="36"/>
    <n v="0.03"/>
    <n v="1"/>
    <n v="1"/>
    <n v="1"/>
    <n v="100"/>
    <x v="1"/>
  </r>
  <r>
    <x v="0"/>
    <s v="SainteLague"/>
    <n v="464"/>
    <n v="130815"/>
    <s v="Revisión del PRN actual"/>
    <x v="6"/>
    <x v="0"/>
    <x v="3"/>
    <s v="Backlog"/>
    <n v="63"/>
    <n v="0.03"/>
    <n v="1"/>
    <n v="1"/>
    <n v="1"/>
    <n v="100"/>
    <x v="1"/>
  </r>
  <r>
    <x v="0"/>
    <s v="SainteLague"/>
    <n v="465"/>
    <n v="31928"/>
    <s v="Analytics | Implementação da DL no GA para os aplicativos que não estão em falta"/>
    <x v="16"/>
    <x v="1"/>
    <x v="0"/>
    <s v="Backlog"/>
    <n v="12"/>
    <n v="0.03"/>
    <n v="1"/>
    <n v="1"/>
    <n v="1"/>
    <n v="100"/>
    <x v="1"/>
  </r>
  <r>
    <x v="0"/>
    <s v="SainteLague"/>
    <n v="466"/>
    <n v="129752"/>
    <s v="Qlik - Analítica Comercial: Dimensión Grupo de Empresas"/>
    <x v="8"/>
    <x v="0"/>
    <x v="0"/>
    <s v="Backlog"/>
    <n v="23"/>
    <n v="0.03"/>
    <n v="1"/>
    <n v="1"/>
    <n v="1"/>
    <n v="100"/>
    <x v="1"/>
  </r>
  <r>
    <x v="0"/>
    <s v="SainteLague"/>
    <n v="467"/>
    <n v="71501"/>
    <s v="Nova Entidade Certificadora (CA) Autoridade Tributária e Aduaneira (AT)."/>
    <x v="13"/>
    <x v="1"/>
    <x v="2"/>
    <s v="In Definition"/>
    <n v="11"/>
    <n v="0.03"/>
    <n v="1"/>
    <n v="1"/>
    <n v="1"/>
    <n v="100"/>
    <x v="1"/>
  </r>
  <r>
    <x v="0"/>
    <s v="SainteLague"/>
    <n v="468"/>
    <n v="130483"/>
    <s v="[PUDOS]-Modificación plantilla de factura en VDP relacionado con 58594"/>
    <x v="11"/>
    <x v="0"/>
    <x v="2"/>
    <s v="Backlog"/>
    <n v="27"/>
    <n v="0.03"/>
    <n v="1"/>
    <n v="1"/>
    <n v="1"/>
    <n v="100"/>
    <x v="1"/>
  </r>
  <r>
    <x v="0"/>
    <s v="SainteLague"/>
    <n v="469"/>
    <n v="31889"/>
    <s v="BCTT Sincronização Robin &amp; O365"/>
    <x v="15"/>
    <x v="1"/>
    <x v="3"/>
    <s v="Backlog"/>
    <n v="14"/>
    <n v="0.03"/>
    <n v="1"/>
    <n v="1"/>
    <n v="1"/>
    <n v="100"/>
    <x v="1"/>
  </r>
  <r>
    <x v="0"/>
    <s v="SainteLague"/>
    <n v="470"/>
    <n v="130829"/>
    <s v="Notificaciones AWS para migraciones de lambdas de python 3.9 a 3.12"/>
    <x v="6"/>
    <x v="0"/>
    <x v="3"/>
    <s v="Backlog"/>
    <n v="64"/>
    <n v="0.03"/>
    <n v="1"/>
    <n v="1"/>
    <n v="1"/>
    <n v="100"/>
    <x v="1"/>
  </r>
  <r>
    <x v="0"/>
    <s v="SainteLague"/>
    <n v="471"/>
    <n v="31630"/>
    <s v="GP B2C-Automatização da faturação APIN"/>
    <x v="27"/>
    <x v="1"/>
    <x v="0"/>
    <s v="Backlog"/>
    <n v="7"/>
    <n v="0.03"/>
    <n v="1"/>
    <n v="1"/>
    <n v="1"/>
    <n v="100"/>
    <x v="1"/>
  </r>
  <r>
    <x v="0"/>
    <s v="SainteLague"/>
    <n v="472"/>
    <n v="130773"/>
    <s v="Migracion Metodo WS GetServiceEvents de SGC a Cloud (Dupla)"/>
    <x v="14"/>
    <x v="0"/>
    <x v="0"/>
    <s v="Ready for Solution"/>
    <n v="21"/>
    <n v="0.03"/>
    <n v="1"/>
    <n v="1"/>
    <n v="1"/>
    <n v="100"/>
    <x v="1"/>
  </r>
  <r>
    <x v="0"/>
    <s v="SainteLague"/>
    <n v="473"/>
    <n v="47391"/>
    <s v="CRM | SPRINKLR - Irá existir uma alteração ao nivel das APIs da Sprinklr pelo que deverão ser necessários ajustes à integração com o CRM"/>
    <x v="22"/>
    <x v="1"/>
    <x v="2"/>
    <s v="Backlog"/>
    <n v="11"/>
    <n v="0.03"/>
    <n v="1"/>
    <n v="1"/>
    <n v="1"/>
    <n v="100"/>
    <x v="1"/>
  </r>
  <r>
    <x v="0"/>
    <s v="SainteLague"/>
    <n v="474"/>
    <n v="130320"/>
    <s v="Nueva funcionalidad SGC: Nuevas opciones de cambios masivos"/>
    <x v="11"/>
    <x v="0"/>
    <x v="2"/>
    <s v="Backlog"/>
    <n v="28"/>
    <n v="0.03"/>
    <n v="1"/>
    <n v="1"/>
    <n v="1"/>
    <n v="100"/>
    <x v="1"/>
  </r>
  <r>
    <x v="0"/>
    <s v="SainteLague"/>
    <n v="475"/>
    <n v="123596"/>
    <s v="Descontinuação Doxenter - Wave 2"/>
    <x v="20"/>
    <x v="1"/>
    <x v="3"/>
    <s v="Backlog"/>
    <n v="13"/>
    <n v="0.03"/>
    <n v="1"/>
    <n v="1"/>
    <n v="1"/>
    <n v="100"/>
    <x v="1"/>
  </r>
  <r>
    <x v="0"/>
    <s v="SainteLague"/>
    <n v="476"/>
    <n v="130871"/>
    <s v="[Web de Clientes] - Vulnerabilidad crítica web clientes y Revisión de la web antigua"/>
    <x v="6"/>
    <x v="0"/>
    <x v="3"/>
    <s v="In Definition"/>
    <n v="65"/>
    <n v="0.03"/>
    <n v="1"/>
    <n v="1"/>
    <n v="1"/>
    <n v="100"/>
    <x v="1"/>
  </r>
  <r>
    <x v="0"/>
    <s v="SainteLague"/>
    <n v="477"/>
    <n v="111689"/>
    <s v="Indicadores para Planeamento e Controlo (transações manuais)"/>
    <x v="29"/>
    <x v="1"/>
    <x v="0"/>
    <s v="Backlog"/>
    <n v="7"/>
    <n v="0.03"/>
    <n v="1"/>
    <n v="1"/>
    <n v="1"/>
    <n v="100"/>
    <x v="1"/>
  </r>
  <r>
    <x v="0"/>
    <s v="SainteLague"/>
    <n v="478"/>
    <n v="130487"/>
    <s v="[PUDOS] [MONGO] - Información completa de incidencias en colección Pickups"/>
    <x v="0"/>
    <x v="0"/>
    <x v="0"/>
    <s v="Backlog"/>
    <n v="32"/>
    <n v="0.03"/>
    <n v="1"/>
    <n v="1"/>
    <n v="1"/>
    <n v="100"/>
    <x v="1"/>
  </r>
  <r>
    <x v="0"/>
    <s v="SainteLague"/>
    <n v="479"/>
    <n v="31807"/>
    <s v="Modelo de Analise de Variação de Negocio (Efeitos Trafego e Preço)"/>
    <x v="31"/>
    <x v="1"/>
    <x v="2"/>
    <s v="Backlog"/>
    <n v="11"/>
    <n v="0.03"/>
    <n v="1"/>
    <n v="1"/>
    <n v="1"/>
    <n v="100"/>
    <x v="1"/>
  </r>
  <r>
    <x v="0"/>
    <s v="SainteLague"/>
    <n v="480"/>
    <n v="129445"/>
    <s v="[Alarmas Financieras] Alarma-46 Reporte/Alerta de Datos Clientes antes del cierre &quot;Keysoft&quot; (datos incompletos de clientes o deficiencia)"/>
    <x v="11"/>
    <x v="0"/>
    <x v="2"/>
    <s v="Backlog"/>
    <n v="29"/>
    <n v="0.03"/>
    <n v="1"/>
    <n v="1"/>
    <n v="1"/>
    <n v="100"/>
    <x v="1"/>
  </r>
  <r>
    <x v="0"/>
    <s v="SainteLague"/>
    <n v="481"/>
    <n v="126578"/>
    <s v="Reformulação do serviço HDDTM"/>
    <x v="7"/>
    <x v="1"/>
    <x v="3"/>
    <s v="Backlog"/>
    <n v="37"/>
    <n v="0.03"/>
    <n v="1"/>
    <n v="1"/>
    <n v="1"/>
    <n v="100"/>
    <x v="1"/>
  </r>
  <r>
    <x v="0"/>
    <s v="SainteLague"/>
    <n v="482"/>
    <n v="130700"/>
    <s v="Migrar clusters de Mongo a MultiAZ"/>
    <x v="6"/>
    <x v="0"/>
    <x v="3"/>
    <s v="Backlog"/>
    <n v="66"/>
    <n v="0.03"/>
    <n v="1"/>
    <n v="1"/>
    <n v="1"/>
    <n v="100"/>
    <x v="1"/>
  </r>
  <r>
    <x v="0"/>
    <s v="SainteLague"/>
    <n v="483"/>
    <n v="70559"/>
    <s v="Controlo dos Subadiantamentos (numerário) – cód. 011 - Auditoria REC/ARC 2024_1399"/>
    <x v="24"/>
    <x v="1"/>
    <x v="0"/>
    <s v="Backlog"/>
    <n v="8"/>
    <n v="0.03"/>
    <n v="1"/>
    <n v="1"/>
    <n v="1"/>
    <n v="100"/>
    <x v="1"/>
  </r>
  <r>
    <x v="0"/>
    <s v="SainteLague"/>
    <n v="484"/>
    <n v="130634"/>
    <s v="[Minerva] - Habilitar Minerva para el uso por parte de los Broker / Franquicias (Operativa + Modelo tarifario)"/>
    <x v="0"/>
    <x v="0"/>
    <x v="0"/>
    <s v="In Definition"/>
    <n v="33"/>
    <n v="0.03"/>
    <n v="1"/>
    <n v="1"/>
    <n v="1"/>
    <n v="100"/>
    <x v="1"/>
  </r>
  <r>
    <x v="0"/>
    <s v="SainteLague"/>
    <n v="485"/>
    <n v="69337"/>
    <s v="Confirming 2.0"/>
    <x v="13"/>
    <x v="1"/>
    <x v="2"/>
    <s v="Backlog"/>
    <n v="12"/>
    <n v="0.03"/>
    <n v="1"/>
    <n v="1"/>
    <n v="1"/>
    <n v="100"/>
    <x v="1"/>
  </r>
  <r>
    <x v="0"/>
    <s v="SainteLague"/>
    <n v="486"/>
    <n v="130111"/>
    <s v="Cambio en la Lógica de generación de OBX en Cainiao"/>
    <x v="11"/>
    <x v="0"/>
    <x v="2"/>
    <s v="Backlog"/>
    <n v="30"/>
    <n v="0.03"/>
    <n v="1"/>
    <n v="1"/>
    <n v="1"/>
    <n v="100"/>
    <x v="1"/>
  </r>
  <r>
    <x v="0"/>
    <s v="SainteLague"/>
    <n v="487"/>
    <n v="127817"/>
    <s v="PTF | ODIN | Muticloud"/>
    <x v="7"/>
    <x v="1"/>
    <x v="3"/>
    <s v="Backlog"/>
    <n v="38"/>
    <n v="3.5"/>
    <n v="5"/>
    <n v="1"/>
    <n v="1"/>
    <n v="2"/>
    <x v="1"/>
  </r>
  <r>
    <x v="0"/>
    <s v="SainteLague"/>
    <n v="488"/>
    <n v="130709"/>
    <s v="Actualización automática de aplicaciones hijas en Nexia"/>
    <x v="6"/>
    <x v="0"/>
    <x v="3"/>
    <s v="In Definition"/>
    <n v="67"/>
    <n v="0.03"/>
    <n v="1"/>
    <n v="1"/>
    <n v="1"/>
    <n v="100"/>
    <x v="1"/>
  </r>
  <r>
    <x v="0"/>
    <s v="SainteLague"/>
    <n v="489"/>
    <n v="127256"/>
    <s v="Correio Registado Self-Service| Envios a partir do SuperPortal"/>
    <x v="1"/>
    <x v="1"/>
    <x v="0"/>
    <s v="Backlog"/>
    <n v="13"/>
    <n v="0.03"/>
    <n v="1"/>
    <n v="1"/>
    <n v="1"/>
    <n v="100"/>
    <x v="1"/>
  </r>
  <r>
    <x v="0"/>
    <s v="SainteLague"/>
    <n v="490"/>
    <n v="129867"/>
    <s v="[Minerva] - Impresión del contrato en función de la etapa de la opp"/>
    <x v="8"/>
    <x v="0"/>
    <x v="0"/>
    <s v="Backlog"/>
    <n v="24"/>
    <n v="0.03"/>
    <n v="1"/>
    <n v="1"/>
    <n v="1"/>
    <n v="100"/>
    <x v="1"/>
  </r>
  <r>
    <x v="0"/>
    <s v="SainteLague"/>
    <n v="491"/>
    <n v="31923"/>
    <s v="Iberian - Incremento Visão de tratamento por KG's, Restantes Kpi's"/>
    <x v="31"/>
    <x v="1"/>
    <x v="2"/>
    <s v="Backlog"/>
    <n v="12"/>
    <n v="0.03"/>
    <n v="1"/>
    <n v="1"/>
    <n v="1"/>
    <n v="100"/>
    <x v="1"/>
  </r>
  <r>
    <x v="0"/>
    <s v="SainteLague"/>
    <n v="492"/>
    <n v="130143"/>
    <s v="[QLIK] Incorporación de datos adicionales en BI (Income Tracking App)"/>
    <x v="11"/>
    <x v="0"/>
    <x v="2"/>
    <s v="Backlog"/>
    <n v="31"/>
    <n v="0.03"/>
    <n v="1"/>
    <n v="1"/>
    <n v="1"/>
    <n v="100"/>
    <x v="1"/>
  </r>
  <r>
    <x v="0"/>
    <s v="SainteLague"/>
    <n v="493"/>
    <n v="95633"/>
    <s v="Assinaturas de autenticidade emails"/>
    <x v="7"/>
    <x v="1"/>
    <x v="3"/>
    <s v="Backlog"/>
    <n v="39"/>
    <n v="0.03"/>
    <n v="1"/>
    <n v="1"/>
    <n v="1"/>
    <n v="100"/>
    <x v="1"/>
  </r>
  <r>
    <x v="0"/>
    <s v="SainteLague"/>
    <n v="494"/>
    <n v="130675"/>
    <s v="Cyber - Securización de los accesos a webcliente.cttexpress.com y api.cttexpress.com"/>
    <x v="6"/>
    <x v="0"/>
    <x v="3"/>
    <s v="Backlog"/>
    <n v="68"/>
    <n v="0.03"/>
    <n v="1"/>
    <n v="1"/>
    <n v="1"/>
    <n v="100"/>
    <x v="1"/>
  </r>
  <r>
    <x v="0"/>
    <s v="SainteLague"/>
    <n v="495"/>
    <n v="126166"/>
    <s v="Produto Internacional Expresso | Permitir envio de bens para os EUA segmento ocasional"/>
    <x v="10"/>
    <x v="1"/>
    <x v="0"/>
    <s v="In Definition"/>
    <n v="14"/>
    <n v="10"/>
    <n v="4"/>
    <n v="3"/>
    <n v="3"/>
    <n v="1"/>
    <x v="1"/>
  </r>
  <r>
    <x v="0"/>
    <s v="SainteLague"/>
    <n v="496"/>
    <n v="130631"/>
    <s v="Migracion Hosting aplicacion Shopify a servidores CTT"/>
    <x v="14"/>
    <x v="0"/>
    <x v="0"/>
    <s v="In Definition"/>
    <n v="22"/>
    <n v="0.03"/>
    <n v="1"/>
    <n v="1"/>
    <n v="1"/>
    <n v="100"/>
    <x v="1"/>
  </r>
  <r>
    <x v="0"/>
    <s v="SainteLague"/>
    <n v="497"/>
    <n v="69341"/>
    <s v="Otimização CRB"/>
    <x v="13"/>
    <x v="1"/>
    <x v="2"/>
    <s v="Backlog"/>
    <n v="13"/>
    <n v="0.03"/>
    <n v="1"/>
    <n v="1"/>
    <n v="1"/>
    <n v="100"/>
    <x v="1"/>
  </r>
  <r>
    <x v="0"/>
    <s v="SainteLague"/>
    <n v="498"/>
    <n v="129475"/>
    <s v="[Evolutivos SGC Finanzas] Alarma-86 Engaño Cod. Postales (solicitado tambien a traves de BI para buscar automatización)"/>
    <x v="11"/>
    <x v="0"/>
    <x v="2"/>
    <s v="Backlog"/>
    <n v="32"/>
    <n v="0.03"/>
    <n v="1"/>
    <n v="1"/>
    <n v="1"/>
    <n v="100"/>
    <x v="1"/>
  </r>
  <r>
    <x v="0"/>
    <s v="SainteLague"/>
    <n v="499"/>
    <n v="31961"/>
    <s v="Evolução tecnológica do PIAO"/>
    <x v="20"/>
    <x v="1"/>
    <x v="3"/>
    <s v="Backlog"/>
    <n v="14"/>
    <n v="0.03"/>
    <n v="1"/>
    <n v="1"/>
    <n v="1"/>
    <n v="100"/>
    <x v="1"/>
  </r>
  <r>
    <x v="0"/>
    <s v="SainteLague"/>
    <n v="500"/>
    <n v="130219"/>
    <s v="Integración Clientes"/>
    <x v="6"/>
    <x v="0"/>
    <x v="3"/>
    <s v="Backlog"/>
    <n v="69"/>
    <n v="0.03"/>
    <n v="1"/>
    <n v="1"/>
    <n v="1"/>
    <n v="100"/>
    <x v="1"/>
  </r>
  <r>
    <x v="0"/>
    <s v="SainteLague"/>
    <n v="501"/>
    <n v="32142"/>
    <s v="COOKIES - Implementação do Google Consent Mode nos Aplicativos e da Gestão das cookies nos aplicativos B2B"/>
    <x v="16"/>
    <x v="1"/>
    <x v="0"/>
    <s v="Backlog"/>
    <n v="13"/>
    <n v="0.03"/>
    <n v="1"/>
    <n v="1"/>
    <n v="1"/>
    <n v="100"/>
    <x v="1"/>
  </r>
  <r>
    <x v="0"/>
    <s v="SainteLague"/>
    <n v="502"/>
    <n v="130824"/>
    <s v="[PUDOS]-Nueva colección en Nexia. Acceso datos de DB manifest"/>
    <x v="0"/>
    <x v="0"/>
    <x v="0"/>
    <s v="Backlog"/>
    <n v="34"/>
    <n v="0.03"/>
    <n v="1"/>
    <n v="1"/>
    <n v="1"/>
    <n v="100"/>
    <x v="1"/>
  </r>
  <r>
    <x v="0"/>
    <s v="SainteLague"/>
    <n v="503"/>
    <n v="31863"/>
    <s v="Workforce Analytics - Incremento Integração Indicadores Espanha"/>
    <x v="31"/>
    <x v="1"/>
    <x v="2"/>
    <s v="Backlog"/>
    <n v="13"/>
    <n v="0.03"/>
    <n v="1"/>
    <n v="1"/>
    <n v="1"/>
    <n v="100"/>
    <x v="1"/>
  </r>
  <r>
    <x v="0"/>
    <s v="SainteLague"/>
    <n v="504"/>
    <n v="129472"/>
    <s v="[Evolutivos SGC Finanzas] Inclusión del Cliente Máster en todos los módulos de SGC ahora no lo están (esta ligado con el anterior)"/>
    <x v="11"/>
    <x v="0"/>
    <x v="2"/>
    <s v="Backlog"/>
    <n v="33"/>
    <n v="0.03"/>
    <n v="1"/>
    <n v="1"/>
    <n v="1"/>
    <n v="100"/>
    <x v="1"/>
  </r>
  <r>
    <x v="0"/>
    <s v="SainteLague"/>
    <n v="505"/>
    <n v="126580"/>
    <s v="Estudo para levantamento e alternativa ao MUS (Microsoft)"/>
    <x v="7"/>
    <x v="1"/>
    <x v="3"/>
    <s v="In Definition"/>
    <n v="40"/>
    <n v="0.03"/>
    <n v="1"/>
    <n v="1"/>
    <n v="1"/>
    <n v="100"/>
    <x v="1"/>
  </r>
  <r>
    <x v="0"/>
    <s v="SainteLague"/>
    <n v="506"/>
    <n v="131059"/>
    <s v="Plataforma de Configuración de Agentes IA"/>
    <x v="6"/>
    <x v="0"/>
    <x v="3"/>
    <s v="In Definition"/>
    <n v="70"/>
    <n v="0.03"/>
    <n v="1"/>
    <n v="1"/>
    <n v="1"/>
    <n v="100"/>
    <x v="1"/>
  </r>
  <r>
    <x v="0"/>
    <s v="SainteLague"/>
    <n v="507"/>
    <n v="60584"/>
    <s v="Nexus | We Sell | Customer Onboarding"/>
    <x v="21"/>
    <x v="1"/>
    <x v="0"/>
    <s v="In Definition"/>
    <n v="10"/>
    <n v="0.03"/>
    <n v="1"/>
    <n v="1"/>
    <n v="1"/>
    <n v="100"/>
    <x v="1"/>
  </r>
  <r>
    <x v="0"/>
    <s v="SainteLague"/>
    <n v="508"/>
    <n v="130826"/>
    <s v="[Salesforce] - Información de la actividad del cliente en Cuenta en Sales (a partir de Qlik)"/>
    <x v="8"/>
    <x v="0"/>
    <x v="0"/>
    <s v="Backlog"/>
    <n v="25"/>
    <n v="0.03"/>
    <n v="1"/>
    <n v="1"/>
    <n v="1"/>
    <n v="100"/>
    <x v="1"/>
  </r>
  <r>
    <x v="0"/>
    <s v="SainteLague"/>
    <n v="509"/>
    <n v="68267"/>
    <s v="Descontinuar Grafana Dados"/>
    <x v="31"/>
    <x v="1"/>
    <x v="2"/>
    <s v="Backlog"/>
    <n v="14"/>
    <n v="0.03"/>
    <n v="1"/>
    <n v="1"/>
    <n v="1"/>
    <n v="100"/>
    <x v="1"/>
  </r>
  <r>
    <x v="0"/>
    <s v="SainteLague"/>
    <n v="510"/>
    <n v="129456"/>
    <s v="[Alarmas Financieras] Alarma-78 Garantizar la igualación de datos de clientes en tres herramientas. (SGC-Salesforce-SAP)"/>
    <x v="11"/>
    <x v="0"/>
    <x v="2"/>
    <s v="Backlog"/>
    <n v="34"/>
    <n v="0.03"/>
    <n v="1"/>
    <n v="1"/>
    <n v="1"/>
    <n v="100"/>
    <x v="1"/>
  </r>
  <r>
    <x v="0"/>
    <s v="SainteLague"/>
    <n v="511"/>
    <n v="131989"/>
    <s v="INT| - Mata Aplicações Wave 1.1X - Tradutor"/>
    <x v="7"/>
    <x v="1"/>
    <x v="3"/>
    <s v="Backlog"/>
    <n v="41"/>
    <n v="0.03"/>
    <n v="1"/>
    <n v="1"/>
    <n v="1"/>
    <n v="100"/>
    <x v="1"/>
  </r>
  <r>
    <x v="0"/>
    <s v="SainteLague"/>
    <n v="512"/>
    <n v="131070"/>
    <s v="Nuevo entorno de desarrollo para microservicios"/>
    <x v="6"/>
    <x v="0"/>
    <x v="3"/>
    <s v="In Definition"/>
    <n v="71"/>
    <n v="0.03"/>
    <n v="1"/>
    <n v="1"/>
    <n v="1"/>
    <n v="100"/>
    <x v="1"/>
  </r>
  <r>
    <x v="0"/>
    <s v="SainteLague"/>
    <n v="513"/>
    <n v="32014"/>
    <s v="GPB2C | Inibição de Pagamentos a Entidades Coletivas Singulares no Nave e no STA"/>
    <x v="27"/>
    <x v="1"/>
    <x v="0"/>
    <s v="In Definition"/>
    <n v="8"/>
    <n v="0.03"/>
    <n v="1"/>
    <n v="1"/>
    <n v="1"/>
    <n v="100"/>
    <x v="1"/>
  </r>
  <r>
    <x v="0"/>
    <s v="SainteLague"/>
    <n v="514"/>
    <n v="130359"/>
    <s v="[ERROR 500 MS Manifest] YDH - TIK TOK"/>
    <x v="14"/>
    <x v="0"/>
    <x v="0"/>
    <s v="Backlog"/>
    <n v="23"/>
    <n v="0.03"/>
    <n v="1"/>
    <n v="1"/>
    <n v="1"/>
    <n v="100"/>
    <x v="1"/>
  </r>
  <r>
    <x v="0"/>
    <s v="SainteLague"/>
    <n v="515"/>
    <n v="32201"/>
    <s v="Analytics - Analise de custo parceiros"/>
    <x v="31"/>
    <x v="1"/>
    <x v="2"/>
    <s v="Backlog"/>
    <n v="15"/>
    <n v="0.03"/>
    <n v="1"/>
    <n v="1"/>
    <n v="1"/>
    <n v="100"/>
    <x v="1"/>
  </r>
  <r>
    <x v="0"/>
    <s v="SainteLague"/>
    <n v="516"/>
    <n v="129442"/>
    <s v="[Alarmas Finanzas] Alarma-85 Clientes con cambio tarifas &quot;a medio mes&quot;, si no avisan facturamos mal si hay retroactividad"/>
    <x v="11"/>
    <x v="0"/>
    <x v="2"/>
    <s v="Backlog"/>
    <n v="35"/>
    <n v="0.03"/>
    <n v="1"/>
    <n v="1"/>
    <n v="1"/>
    <n v="100"/>
    <x v="1"/>
  </r>
  <r>
    <x v="0"/>
    <s v="SainteLague"/>
    <n v="517"/>
    <n v="32098"/>
    <s v="IOP | DNS private resolvers - descontinuar bind em 2 vms ubuntu"/>
    <x v="7"/>
    <x v="1"/>
    <x v="3"/>
    <s v="Backlog"/>
    <n v="42"/>
    <n v="0.03"/>
    <n v="1"/>
    <n v="1"/>
    <n v="1"/>
    <n v="100"/>
    <x v="1"/>
  </r>
  <r>
    <x v="0"/>
    <s v="SainteLague"/>
    <n v="518"/>
    <n v="129663"/>
    <s v="Cambio de API para disponer de la información de valor y peso a declarar ante la aduana por parte del Cliente (TC)"/>
    <x v="6"/>
    <x v="0"/>
    <x v="3"/>
    <s v="Backlog"/>
    <n v="72"/>
    <n v="0.03"/>
    <n v="1"/>
    <n v="1"/>
    <n v="1"/>
    <n v="100"/>
    <x v="1"/>
  </r>
  <r>
    <x v="0"/>
    <s v="SainteLague"/>
    <n v="519"/>
    <n v="31719"/>
    <s v="POP - Melhorias a OnBoarding de clientes"/>
    <x v="29"/>
    <x v="1"/>
    <x v="0"/>
    <s v="Backlog"/>
    <n v="8"/>
    <n v="0.03"/>
    <n v="1"/>
    <n v="1"/>
    <n v="1"/>
    <n v="100"/>
    <x v="1"/>
  </r>
  <r>
    <x v="0"/>
    <s v="SainteLague"/>
    <n v="520"/>
    <n v="130498"/>
    <s v="[Qlik &amp; Salesforce] - Alarmas Comercial 02- Cumplimiento del Comprometido Cierre Tareas"/>
    <x v="0"/>
    <x v="0"/>
    <x v="0"/>
    <s v="In Definition"/>
    <n v="35"/>
    <n v="0.03"/>
    <n v="1"/>
    <n v="1"/>
    <n v="1"/>
    <n v="100"/>
    <x v="1"/>
  </r>
  <r>
    <x v="0"/>
    <s v="SainteLague"/>
    <n v="521"/>
    <n v="32152"/>
    <s v="Data Hub - Monitorização e Backup"/>
    <x v="31"/>
    <x v="1"/>
    <x v="2"/>
    <s v="Backlog"/>
    <n v="16"/>
    <n v="0.03"/>
    <n v="1"/>
    <n v="1"/>
    <n v="1"/>
    <n v="100"/>
    <x v="1"/>
  </r>
  <r>
    <x v="0"/>
    <s v="SainteLague"/>
    <n v="522"/>
    <n v="129452"/>
    <s v="[Evolutivos Salesforce] Alarma-77 Clientes reactivados (clientes que se dan de alta sin control)"/>
    <x v="11"/>
    <x v="0"/>
    <x v="2"/>
    <s v="Backlog"/>
    <n v="36"/>
    <n v="0.03"/>
    <n v="1"/>
    <n v="1"/>
    <n v="1"/>
    <n v="100"/>
    <x v="1"/>
  </r>
  <r>
    <x v="0"/>
    <s v="SainteLague"/>
    <n v="523"/>
    <n v="32022"/>
    <s v="Descontinuação do PIPOLI"/>
    <x v="20"/>
    <x v="1"/>
    <x v="3"/>
    <s v="Backlog"/>
    <n v="15"/>
    <n v="0.03"/>
    <n v="1"/>
    <n v="1"/>
    <n v="1"/>
    <n v="100"/>
    <x v="1"/>
  </r>
  <r>
    <x v="0"/>
    <s v="SainteLague"/>
    <n v="524"/>
    <n v="130161"/>
    <s v="PMO - Seguimiento y Control de Proyectos"/>
    <x v="6"/>
    <x v="0"/>
    <x v="3"/>
    <s v="Backlog"/>
    <n v="73"/>
    <n v="0.03"/>
    <n v="1"/>
    <n v="1"/>
    <n v="1"/>
    <n v="100"/>
    <x v="1"/>
  </r>
  <r>
    <x v="0"/>
    <s v="SainteLague"/>
    <n v="525"/>
    <n v="32147"/>
    <s v="Desmaterialização dos Envios de Correio e Encomendas - Envios Online Únicos (Correio e Expresso)"/>
    <x v="1"/>
    <x v="1"/>
    <x v="0"/>
    <s v="Backlog"/>
    <n v="14"/>
    <n v="0.03"/>
    <n v="1"/>
    <n v="1"/>
    <n v="1"/>
    <n v="100"/>
    <x v="1"/>
  </r>
  <r>
    <x v="0"/>
    <s v="SainteLague"/>
    <n v="526"/>
    <n v="129697"/>
    <s v="Qlik para comerciales"/>
    <x v="0"/>
    <x v="0"/>
    <x v="0"/>
    <s v="In Definition"/>
    <n v="36"/>
    <n v="0.03"/>
    <n v="1"/>
    <n v="1"/>
    <n v="1"/>
    <n v="100"/>
    <x v="1"/>
  </r>
  <r>
    <x v="0"/>
    <s v="SainteLague"/>
    <n v="527"/>
    <n v="32153"/>
    <s v="Data Hub - Secrets and Authentication"/>
    <x v="31"/>
    <x v="1"/>
    <x v="2"/>
    <s v="Backlog"/>
    <n v="17"/>
    <n v="0.03"/>
    <n v="1"/>
    <n v="1"/>
    <n v="1"/>
    <n v="100"/>
    <x v="1"/>
  </r>
  <r>
    <x v="0"/>
    <s v="SainteLague"/>
    <n v="528"/>
    <n v="129529"/>
    <s v="[Evolutivos SGC Finanzas] Historificación datos de facturación perdidos tras ataque informático (PENDIENTE SOLUCIÓN DE IT YA PRESENTADA)"/>
    <x v="11"/>
    <x v="0"/>
    <x v="2"/>
    <s v="Backlog"/>
    <n v="37"/>
    <n v="0.03"/>
    <n v="1"/>
    <n v="1"/>
    <n v="1"/>
    <n v="100"/>
    <x v="1"/>
  </r>
  <r>
    <x v="0"/>
    <s v="SainteLague"/>
    <n v="529"/>
    <n v="132059"/>
    <s v="Mata Aplicações - Wave 1.15 - CRM Oracle Sales"/>
    <x v="7"/>
    <x v="1"/>
    <x v="3"/>
    <s v="Backlog"/>
    <n v="43"/>
    <n v="3"/>
    <n v="3"/>
    <n v="3"/>
    <n v="3"/>
    <n v="3"/>
    <x v="1"/>
  </r>
  <r>
    <x v="0"/>
    <s v="SainteLague"/>
    <n v="530"/>
    <n v="130366"/>
    <s v="Seguimiento &amp; Control de IT - Formación - Vacaciones - Otros"/>
    <x v="6"/>
    <x v="0"/>
    <x v="3"/>
    <s v="Backlog"/>
    <n v="74"/>
    <n v="0.03"/>
    <n v="1"/>
    <n v="1"/>
    <n v="1"/>
    <n v="100"/>
    <x v="1"/>
  </r>
  <r>
    <x v="0"/>
    <s v="SainteLague"/>
    <n v="531"/>
    <n v="124000"/>
    <s v="Milytech| Alteração à extração de dados de envios"/>
    <x v="10"/>
    <x v="1"/>
    <x v="0"/>
    <s v="Backlog"/>
    <n v="15"/>
    <n v="0.03"/>
    <n v="1"/>
    <n v="1"/>
    <n v="1"/>
    <n v="100"/>
    <x v="1"/>
  </r>
  <r>
    <x v="0"/>
    <s v="SainteLague"/>
    <n v="532"/>
    <n v="130301"/>
    <s v="[Qlik] - Nuevos KPIS en Analítica Comercial"/>
    <x v="8"/>
    <x v="0"/>
    <x v="0"/>
    <s v="Backlog"/>
    <n v="26"/>
    <n v="0.03"/>
    <n v="1"/>
    <n v="1"/>
    <n v="1"/>
    <n v="100"/>
    <x v="1"/>
  </r>
  <r>
    <x v="0"/>
    <s v="SainteLague"/>
    <n v="533"/>
    <n v="32234"/>
    <s v="Data Governance - Data Lineage"/>
    <x v="31"/>
    <x v="1"/>
    <x v="2"/>
    <s v="Backlog"/>
    <n v="18"/>
    <n v="0.03"/>
    <n v="1"/>
    <n v="1"/>
    <n v="1"/>
    <n v="100"/>
    <x v="1"/>
  </r>
  <r>
    <x v="0"/>
    <s v="SainteLague"/>
    <n v="534"/>
    <n v="129450"/>
    <s v="Portal Proveedores - Facturacion a/de proveedores fuera de SAP, necesidad de adaptar el modulo de proveedores"/>
    <x v="11"/>
    <x v="0"/>
    <x v="2"/>
    <s v="Backlog"/>
    <n v="38"/>
    <n v="0.03"/>
    <n v="1"/>
    <n v="1"/>
    <n v="1"/>
    <n v="100"/>
    <x v="1"/>
  </r>
  <r>
    <x v="0"/>
    <s v="SainteLague"/>
    <n v="535"/>
    <n v="132219"/>
    <s v="CCP | Configure alerts for all CCP applications"/>
    <x v="7"/>
    <x v="1"/>
    <x v="3"/>
    <s v="Backlog"/>
    <n v="44"/>
    <n v="3.5"/>
    <n v="3"/>
    <n v="2"/>
    <n v="2"/>
    <n v="2"/>
    <x v="1"/>
  </r>
  <r>
    <x v="0"/>
    <s v="SainteLague"/>
    <n v="536"/>
    <n v="130300"/>
    <s v="[WebHook] - Factor Libre 4096600005 solo entorno de test"/>
    <x v="14"/>
    <x v="0"/>
    <x v="0"/>
    <s v="Backlog"/>
    <n v="24"/>
    <n v="0.03"/>
    <n v="1"/>
    <n v="1"/>
    <n v="1"/>
    <n v="100"/>
    <x v="1"/>
  </r>
  <r>
    <x v="0"/>
    <s v="SainteLague"/>
    <n v="537"/>
    <n v="31902"/>
    <s v="Simulador para agrupagem"/>
    <x v="24"/>
    <x v="1"/>
    <x v="0"/>
    <s v="Backlog"/>
    <n v="9"/>
    <n v="0.03"/>
    <n v="1"/>
    <n v="1"/>
    <n v="1"/>
    <n v="100"/>
    <x v="1"/>
  </r>
  <r>
    <x v="0"/>
    <s v="SainteLague"/>
    <n v="538"/>
    <n v="129476"/>
    <s v="[Evolutivos SGC] Adeudos manuales o automáticos, (relacionado con trabajo de auditoria interna de ES ya informada en 2022) (Validar por Procesos)"/>
    <x v="11"/>
    <x v="0"/>
    <x v="2"/>
    <s v="Backlog"/>
    <n v="39"/>
    <n v="0.03"/>
    <n v="1"/>
    <n v="1"/>
    <n v="1"/>
    <n v="100"/>
    <x v="1"/>
  </r>
  <r>
    <x v="0"/>
    <s v="SainteLague"/>
    <n v="539"/>
    <n v="32199"/>
    <s v="PDFs Gerados de Listagens lojas estão alojados nos servidores do Nave"/>
    <x v="20"/>
    <x v="1"/>
    <x v="3"/>
    <s v="Backlog"/>
    <n v="16"/>
    <n v="0.03"/>
    <n v="1"/>
    <n v="1"/>
    <n v="1"/>
    <n v="100"/>
    <x v="1"/>
  </r>
  <r>
    <x v="0"/>
    <s v="SainteLague"/>
    <n v="540"/>
    <n v="130183"/>
    <s v="[PUDOS] -Planilla de selección de puntos según criterio del cliente"/>
    <x v="0"/>
    <x v="0"/>
    <x v="0"/>
    <s v="Backlog"/>
    <n v="38"/>
    <n v="0.03"/>
    <n v="1"/>
    <n v="1"/>
    <n v="1"/>
    <n v="100"/>
    <x v="1"/>
  </r>
  <r>
    <x v="0"/>
    <s v="SainteLague"/>
    <n v="541"/>
    <n v="76382"/>
    <s v="[35908] - Jornada NBO: MOBI"/>
    <x v="21"/>
    <x v="1"/>
    <x v="0"/>
    <s v="In Definition"/>
    <n v="11"/>
    <n v="0.03"/>
    <n v="1"/>
    <n v="1"/>
    <n v="1"/>
    <n v="100"/>
    <x v="1"/>
  </r>
  <r>
    <x v="0"/>
    <s v="SainteLague"/>
    <n v="542"/>
    <n v="129474"/>
    <s v="[Evolutivos SGC] Cambio de agencia de cargo en un envío / Utilizacion de agencia de facturacion, (pérdida de funcionalidad)"/>
    <x v="11"/>
    <x v="0"/>
    <x v="2"/>
    <s v="Backlog"/>
    <n v="40"/>
    <n v="0.03"/>
    <n v="1"/>
    <n v="1"/>
    <n v="1"/>
    <n v="100"/>
    <x v="1"/>
  </r>
  <r>
    <x v="0"/>
    <s v="SainteLague"/>
    <n v="543"/>
    <n v="126588"/>
    <s v="Renovação ativos rede Datacenter CTT Express (Lisboa e Barcelona)"/>
    <x v="7"/>
    <x v="1"/>
    <x v="3"/>
    <s v="Backlog"/>
    <n v="45"/>
    <n v="0.03"/>
    <n v="1"/>
    <n v="1"/>
    <n v="1"/>
    <n v="100"/>
    <x v="1"/>
  </r>
  <r>
    <x v="0"/>
    <s v="SainteLague"/>
    <n v="544"/>
    <n v="130001"/>
    <s v="[Minerva] - Campos requeridos en contrato con firma digital por Signaturit"/>
    <x v="8"/>
    <x v="0"/>
    <x v="0"/>
    <s v="Backlog"/>
    <n v="27"/>
    <n v="0.03"/>
    <n v="1"/>
    <n v="1"/>
    <n v="1"/>
    <n v="100"/>
    <x v="1"/>
  </r>
  <r>
    <x v="0"/>
    <s v="SainteLague"/>
    <n v="545"/>
    <n v="134943"/>
    <s v="STICO - Migração de Pipelines ADO2Github"/>
    <x v="1"/>
    <x v="1"/>
    <x v="0"/>
    <s v="High Level Design"/>
    <n v="15"/>
    <n v="2.6669999999999998"/>
    <n v="4"/>
    <n v="1"/>
    <n v="3"/>
    <n v="3"/>
    <x v="1"/>
  </r>
  <r>
    <x v="0"/>
    <s v="SainteLague"/>
    <n v="546"/>
    <n v="129478"/>
    <s v="[Evolutivos SGC] Recuperar Doble click en grid inferior valoracion de servicios, no abre las tablas como antes para editar y cambios, (pérdida esta funcionalidad importante)"/>
    <x v="11"/>
    <x v="0"/>
    <x v="2"/>
    <s v="Backlog"/>
    <n v="41"/>
    <n v="0.03"/>
    <n v="1"/>
    <n v="1"/>
    <n v="1"/>
    <n v="100"/>
    <x v="1"/>
  </r>
  <r>
    <x v="0"/>
    <s v="SainteLague"/>
    <n v="547"/>
    <n v="124021"/>
    <s v="ODIN | Separação dos clusters ODIN (IDP) por unidade de negócio"/>
    <x v="7"/>
    <x v="1"/>
    <x v="3"/>
    <s v="Pitch"/>
    <n v="46"/>
    <n v="0.03"/>
    <n v="1"/>
    <n v="1"/>
    <n v="1"/>
    <n v="100"/>
    <x v="1"/>
  </r>
  <r>
    <x v="0"/>
    <s v="SainteLague"/>
    <n v="548"/>
    <n v="130655"/>
    <s v="[ESTADOS VISIBLES] Endpoint Client Experience API REST GET TRACKING - TIK TOK - estados no devueltos - Copy"/>
    <x v="14"/>
    <x v="0"/>
    <x v="0"/>
    <s v="Backlog"/>
    <n v="26"/>
    <n v="0.03"/>
    <n v="1"/>
    <n v="1"/>
    <n v="1"/>
    <n v="100"/>
    <x v="1"/>
  </r>
  <r>
    <x v="0"/>
    <s v="SainteLague"/>
    <n v="549"/>
    <n v="78453"/>
    <s v="Alteração da Autenticação dos Distribuidores nos Lockers"/>
    <x v="10"/>
    <x v="1"/>
    <x v="0"/>
    <s v="Backlog"/>
    <n v="16"/>
    <n v="0.03"/>
    <n v="1"/>
    <n v="1"/>
    <n v="1"/>
    <n v="100"/>
    <x v="1"/>
  </r>
  <r>
    <x v="0"/>
    <s v="SainteLague"/>
    <n v="550"/>
    <n v="129473"/>
    <s v="[Evolutivos SGC] Recuperar Acceso a modificacion de tarifas y configuracion del &quot;Microservicio&quot; (pérdida de funcionalidad importante)"/>
    <x v="11"/>
    <x v="0"/>
    <x v="2"/>
    <s v="Backlog"/>
    <n v="42"/>
    <n v="0.03"/>
    <n v="1"/>
    <n v="1"/>
    <n v="1"/>
    <n v="100"/>
    <x v="1"/>
  </r>
  <r>
    <x v="0"/>
    <s v="SainteLague"/>
    <n v="551"/>
    <n v="132022"/>
    <s v="ESW | EQA | Implementação de Automação Básica de QA em Aplicações Críticas"/>
    <x v="7"/>
    <x v="1"/>
    <x v="3"/>
    <s v="Backlog"/>
    <n v="47"/>
    <n v="0.03"/>
    <n v="1"/>
    <n v="1"/>
    <n v="1"/>
    <n v="100"/>
    <x v="1"/>
  </r>
  <r>
    <x v="0"/>
    <s v="SainteLague"/>
    <n v="552"/>
    <n v="129669"/>
    <s v="[Qlik] - Tasa de Retención &amp; Churn Rate (Qlik: Automatizar el modelo)"/>
    <x v="0"/>
    <x v="0"/>
    <x v="0"/>
    <s v="In Definition"/>
    <n v="39"/>
    <n v="0.03"/>
    <n v="1"/>
    <n v="1"/>
    <n v="1"/>
    <n v="100"/>
    <x v="1"/>
  </r>
  <r>
    <x v="0"/>
    <s v="SainteLague"/>
    <n v="553"/>
    <n v="31633"/>
    <s v="B2C NAVe | GP B2C-Validação da data de Voo com a AT - Subsidio de Mobilidade"/>
    <x v="27"/>
    <x v="1"/>
    <x v="0"/>
    <s v="Backlog"/>
    <n v="9"/>
    <n v="0.03"/>
    <n v="1"/>
    <n v="1"/>
    <n v="1"/>
    <n v="100"/>
    <x v="1"/>
  </r>
  <r>
    <x v="0"/>
    <s v="SainteLague"/>
    <n v="554"/>
    <n v="129803"/>
    <s v="Web Clientes​ - Automatizacion para Generacion y envio automatico de informes, Portal cliente"/>
    <x v="11"/>
    <x v="0"/>
    <x v="2"/>
    <s v="Backlog"/>
    <n v="43"/>
    <n v="0.03"/>
    <n v="1"/>
    <n v="1"/>
    <n v="1"/>
    <n v="100"/>
    <x v="1"/>
  </r>
  <r>
    <x v="0"/>
    <s v="SainteLague"/>
    <n v="555"/>
    <n v="49198"/>
    <s v="Descontinuação do express2me para a super app"/>
    <x v="20"/>
    <x v="1"/>
    <x v="3"/>
    <s v="Backlog"/>
    <n v="17"/>
    <n v="0.03"/>
    <n v="1"/>
    <n v="1"/>
    <n v="1"/>
    <n v="100"/>
    <x v="1"/>
  </r>
  <r>
    <x v="0"/>
    <s v="SainteLague"/>
    <n v="556"/>
    <n v="130805"/>
    <s v="[Web de clientes] - Crear función JS que devuelva el ID de los usuarios"/>
    <x v="0"/>
    <x v="0"/>
    <x v="0"/>
    <s v="Backlog"/>
    <n v="40"/>
    <n v="0.03"/>
    <n v="1"/>
    <n v="1"/>
    <n v="1"/>
    <n v="100"/>
    <x v="1"/>
  </r>
  <r>
    <x v="0"/>
    <s v="SainteLague"/>
    <n v="557"/>
    <n v="31816"/>
    <s v="Onboarding POP - retificação de interface de criação de entidade"/>
    <x v="29"/>
    <x v="1"/>
    <x v="0"/>
    <s v="Backlog"/>
    <n v="9"/>
    <n v="0.03"/>
    <n v="1"/>
    <n v="1"/>
    <n v="1"/>
    <n v="100"/>
    <x v="1"/>
  </r>
  <r>
    <x v="0"/>
    <s v="SainteLague"/>
    <n v="558"/>
    <n v="129471"/>
    <s v="[Evolutivos SGC] Aplicación de la densidad cuando el CP no existe, confirmar IT si todo el proceso esta acabado (Incidencia)"/>
    <x v="11"/>
    <x v="0"/>
    <x v="2"/>
    <s v="Backlog"/>
    <n v="44"/>
    <n v="0.03"/>
    <n v="1"/>
    <n v="1"/>
    <n v="1"/>
    <n v="100"/>
    <x v="1"/>
  </r>
  <r>
    <x v="0"/>
    <s v="SainteLague"/>
    <n v="559"/>
    <n v="48157"/>
    <s v="IOP | Redução da Obsolescência Protocolos TLS 1.0 &amp; 1.1 WAVE 3"/>
    <x v="7"/>
    <x v="1"/>
    <x v="3"/>
    <s v="Backlog"/>
    <n v="48"/>
    <n v="0.03"/>
    <n v="1"/>
    <n v="1"/>
    <n v="1"/>
    <n v="100"/>
    <x v="1"/>
  </r>
  <r>
    <x v="0"/>
    <s v="SainteLague"/>
    <n v="560"/>
    <n v="130368"/>
    <s v="[Salesforce Sales] - Contemplar los puntos de servicio a nivel master"/>
    <x v="8"/>
    <x v="0"/>
    <x v="0"/>
    <s v="In Solution"/>
    <n v="28"/>
    <n v="0.03"/>
    <n v="1"/>
    <n v="1"/>
    <n v="1"/>
    <n v="100"/>
    <x v="1"/>
  </r>
  <r>
    <x v="0"/>
    <s v="SainteLague"/>
    <n v="561"/>
    <n v="31903"/>
    <s v="Simulador de tabelas"/>
    <x v="24"/>
    <x v="1"/>
    <x v="0"/>
    <s v="Backlog"/>
    <n v="10"/>
    <n v="0.03"/>
    <n v="1"/>
    <n v="1"/>
    <n v="1"/>
    <n v="100"/>
    <x v="1"/>
  </r>
  <r>
    <x v="0"/>
    <s v="SainteLague"/>
    <n v="562"/>
    <n v="129443"/>
    <s v="[Alarmas Finanzas] Alarma-45 Reporte/Alerta de servicios antes del cierre &quot;Keysoft&quot;"/>
    <x v="11"/>
    <x v="0"/>
    <x v="2"/>
    <s v="Backlog"/>
    <n v="45"/>
    <n v="0.03"/>
    <n v="1"/>
    <n v="1"/>
    <n v="1"/>
    <n v="100"/>
    <x v="1"/>
  </r>
  <r>
    <x v="0"/>
    <s v="SainteLague"/>
    <n v="563"/>
    <n v="131991"/>
    <s v="INT | Migração da solução da Knowledge Base atual para uma solução Knowledge Base coorporativa"/>
    <x v="7"/>
    <x v="1"/>
    <x v="3"/>
    <s v="Backlog"/>
    <n v="49"/>
    <n v="0.03"/>
    <n v="1"/>
    <n v="1"/>
    <n v="1"/>
    <n v="100"/>
    <x v="1"/>
  </r>
  <r>
    <x v="0"/>
    <s v="SainteLague"/>
    <n v="564"/>
    <n v="130473"/>
    <s v="[WebHook] - Indtex - Migracion de SGC a Cloud"/>
    <x v="14"/>
    <x v="0"/>
    <x v="0"/>
    <s v="In Definition"/>
    <n v="27"/>
    <n v="0.03"/>
    <n v="1"/>
    <n v="1"/>
    <n v="1"/>
    <n v="100"/>
    <x v="1"/>
  </r>
  <r>
    <x v="0"/>
    <s v="SainteLague"/>
    <n v="565"/>
    <n v="127066"/>
    <s v="Galaxy - Jornada de envios – Jornada Expresso nacional"/>
    <x v="21"/>
    <x v="1"/>
    <x v="0"/>
    <s v="Ready for Solution"/>
    <n v="12"/>
    <n v="1.75"/>
    <n v="3"/>
    <n v="2"/>
    <n v="2"/>
    <n v="4"/>
    <x v="1"/>
  </r>
  <r>
    <x v="0"/>
    <s v="SainteLague"/>
    <n v="566"/>
    <n v="129468"/>
    <s v="[Evolutivos SGC] Acceso a tabla de retasados (NO las muestra si hay varias por validez en gestion de tablas) + Acceso Retasados microservicios (revisar Juancho)"/>
    <x v="11"/>
    <x v="0"/>
    <x v="2"/>
    <s v="Backlog"/>
    <n v="46"/>
    <n v="0.03"/>
    <n v="1"/>
    <n v="1"/>
    <n v="1"/>
    <n v="100"/>
    <x v="1"/>
  </r>
  <r>
    <x v="0"/>
    <s v="SainteLague"/>
    <n v="567"/>
    <n v="31979"/>
    <s v="IOP | ClearPass - alargar cobertura da solução de Network Access Control"/>
    <x v="7"/>
    <x v="1"/>
    <x v="3"/>
    <s v="Backlog"/>
    <n v="50"/>
    <n v="0.03"/>
    <n v="1"/>
    <n v="1"/>
    <n v="1"/>
    <n v="100"/>
    <x v="1"/>
  </r>
  <r>
    <x v="0"/>
    <s v="SainteLague"/>
    <n v="568"/>
    <n v="129928"/>
    <s v="[Nexus - MVP] [PUDOS] - Desvío a PUDO al vuelo en incidencia"/>
    <x v="0"/>
    <x v="0"/>
    <x v="0"/>
    <s v="Backlog"/>
    <n v="41"/>
    <n v="0.03"/>
    <n v="1"/>
    <n v="1"/>
    <n v="1"/>
    <n v="100"/>
    <x v="1"/>
  </r>
  <r>
    <x v="0"/>
    <s v="SainteLague"/>
    <n v="569"/>
    <n v="84849"/>
    <s v="Contabilização de Saldo Remanescente e separação entre Mail e Express no âmbito da oferta Pack de Envios"/>
    <x v="1"/>
    <x v="1"/>
    <x v="0"/>
    <s v="Backlog"/>
    <n v="16"/>
    <n v="0.03"/>
    <n v="1"/>
    <n v="1"/>
    <n v="1"/>
    <n v="100"/>
    <x v="1"/>
  </r>
  <r>
    <x v="0"/>
    <s v="SainteLague"/>
    <n v="570"/>
    <n v="129446"/>
    <s v="[Alarmas Finanzas] Alarma-75 Comprobar envíos en agencias desactivadas"/>
    <x v="11"/>
    <x v="0"/>
    <x v="2"/>
    <s v="Backlog"/>
    <n v="47"/>
    <n v="0.03"/>
    <n v="1"/>
    <n v="1"/>
    <n v="1"/>
    <n v="100"/>
    <x v="1"/>
  </r>
  <r>
    <x v="0"/>
    <s v="SainteLague"/>
    <n v="571"/>
    <n v="36549"/>
    <s v="Novo Modelo de Replicação de Dados Contratuais"/>
    <x v="20"/>
    <x v="1"/>
    <x v="3"/>
    <s v="Backlog"/>
    <n v="18"/>
    <n v="0.03"/>
    <n v="1"/>
    <n v="1"/>
    <n v="1"/>
    <n v="100"/>
    <x v="1"/>
  </r>
  <r>
    <x v="0"/>
    <s v="SainteLague"/>
    <n v="572"/>
    <n v="130407"/>
    <s v="[Qlik] - Evaluador de ofertas en Qlik"/>
    <x v="8"/>
    <x v="0"/>
    <x v="0"/>
    <s v="Backlog"/>
    <n v="29"/>
    <n v="0.03"/>
    <n v="1"/>
    <n v="1"/>
    <n v="1"/>
    <n v="100"/>
    <x v="1"/>
  </r>
  <r>
    <x v="0"/>
    <s v="SainteLague"/>
    <n v="573"/>
    <n v="94164"/>
    <s v="Reconfiguração de Zonas de Taxação | Produtos Internacionais Expresso"/>
    <x v="10"/>
    <x v="1"/>
    <x v="0"/>
    <s v="Backlog"/>
    <n v="17"/>
    <n v="0.03"/>
    <n v="1"/>
    <n v="1"/>
    <n v="1"/>
    <n v="100"/>
    <x v="1"/>
  </r>
  <r>
    <x v="0"/>
    <s v="SainteLague"/>
    <n v="574"/>
    <n v="129447"/>
    <s v="[Alarmas Finanzas] Alarma-56 Envíos abonados más de una vez"/>
    <x v="11"/>
    <x v="0"/>
    <x v="2"/>
    <s v="Backlog"/>
    <n v="48"/>
    <n v="0.03"/>
    <n v="1"/>
    <n v="1"/>
    <n v="1"/>
    <n v="100"/>
    <x v="1"/>
  </r>
  <r>
    <x v="0"/>
    <s v="SainteLague"/>
    <n v="575"/>
    <n v="132058"/>
    <s v="Evolutivos CRM Q1.2026"/>
    <x v="7"/>
    <x v="1"/>
    <x v="3"/>
    <s v="Backlog"/>
    <n v="51"/>
    <n v="4"/>
    <n v="2"/>
    <n v="1"/>
    <n v="1"/>
    <n v="1"/>
    <x v="1"/>
  </r>
  <r>
    <x v="0"/>
    <s v="SainteLague"/>
    <n v="576"/>
    <n v="129566"/>
    <s v="Mejora Mapper Agrupacion"/>
    <x v="14"/>
    <x v="0"/>
    <x v="0"/>
    <s v="Backlog"/>
    <n v="28"/>
    <n v="0.03"/>
    <n v="1"/>
    <n v="1"/>
    <n v="1"/>
    <n v="100"/>
    <x v="1"/>
  </r>
  <r>
    <x v="0"/>
    <s v="SainteLague"/>
    <n v="577"/>
    <n v="103865"/>
    <s v="Avaliação do custo de extensão do licenciamento atual para a utilização do serviço webhook - BKTER"/>
    <x v="1"/>
    <x v="1"/>
    <x v="0"/>
    <s v="Backlog"/>
    <n v="17"/>
    <n v="0.03"/>
    <n v="1"/>
    <n v="1"/>
    <n v="1"/>
    <n v="100"/>
    <x v="1"/>
  </r>
  <r>
    <x v="0"/>
    <s v="SainteLague"/>
    <n v="578"/>
    <n v="129448"/>
    <s v="[Alarmas Finanzas] Alarma-55 Envíos pendientes de valorizar o sin facturar del mes anterior"/>
    <x v="11"/>
    <x v="0"/>
    <x v="2"/>
    <s v="Backlog"/>
    <n v="49"/>
    <n v="0.03"/>
    <n v="1"/>
    <n v="1"/>
    <n v="1"/>
    <n v="100"/>
    <x v="1"/>
  </r>
  <r>
    <x v="0"/>
    <s v="SainteLague"/>
    <n v="579"/>
    <n v="106746"/>
    <s v="ESW | Sonar | Connect Github based applications to Sonar"/>
    <x v="7"/>
    <x v="1"/>
    <x v="3"/>
    <s v="Backlog"/>
    <n v="52"/>
    <n v="0.03"/>
    <n v="1"/>
    <n v="1"/>
    <n v="1"/>
    <n v="100"/>
    <x v="1"/>
  </r>
  <r>
    <x v="0"/>
    <s v="SainteLague"/>
    <n v="580"/>
    <n v="130255"/>
    <s v="[Desconexión SGC] [ FR y BR Web de clientes] - Proyecto Cloud (borrador)"/>
    <x v="0"/>
    <x v="0"/>
    <x v="0"/>
    <s v="Backlog"/>
    <n v="42"/>
    <n v="0.03"/>
    <n v="1"/>
    <n v="1"/>
    <n v="1"/>
    <n v="100"/>
    <x v="1"/>
  </r>
  <r>
    <x v="0"/>
    <s v="SainteLague"/>
    <n v="581"/>
    <n v="123999"/>
    <s v="Interconnect Common Return Platform | Upgrade p/ V2 (CRP2)"/>
    <x v="10"/>
    <x v="1"/>
    <x v="0"/>
    <s v="In Definition"/>
    <n v="18"/>
    <n v="0.03"/>
    <n v="1"/>
    <n v="1"/>
    <n v="1"/>
    <n v="100"/>
    <x v="1"/>
  </r>
  <r>
    <x v="0"/>
    <s v="SainteLague"/>
    <n v="582"/>
    <n v="129482"/>
    <s v="[Compras] Implantación e-Compras - Nueva Web venta material clientes (proyecto de finanzas 2023)"/>
    <x v="11"/>
    <x v="0"/>
    <x v="2"/>
    <s v="Backlog"/>
    <n v="50"/>
    <n v="0.03"/>
    <n v="1"/>
    <n v="1"/>
    <n v="1"/>
    <n v="100"/>
    <x v="1"/>
  </r>
  <r>
    <x v="0"/>
    <s v="SainteLague"/>
    <n v="583"/>
    <n v="36196"/>
    <s v="Redução do número de sms enviados aos clientes"/>
    <x v="20"/>
    <x v="1"/>
    <x v="3"/>
    <s v="Backlog"/>
    <n v="19"/>
    <n v="0.03"/>
    <n v="1"/>
    <n v="1"/>
    <n v="1"/>
    <n v="100"/>
    <x v="1"/>
  </r>
  <r>
    <x v="0"/>
    <s v="SainteLague"/>
    <n v="584"/>
    <n v="129939"/>
    <s v="[Internacional] - Informar a FedEx del valor asegurado del envío"/>
    <x v="0"/>
    <x v="0"/>
    <x v="0"/>
    <s v="In Definition"/>
    <n v="43"/>
    <n v="0.03"/>
    <n v="1"/>
    <n v="1"/>
    <n v="1"/>
    <n v="100"/>
    <x v="1"/>
  </r>
  <r>
    <x v="0"/>
    <s v="SainteLague"/>
    <n v="585"/>
    <n v="76670"/>
    <s v="GALAXY | Identificação dos Clientes nas Lojas Físicas"/>
    <x v="21"/>
    <x v="1"/>
    <x v="0"/>
    <s v="In Definition"/>
    <n v="13"/>
    <n v="0.03"/>
    <n v="1"/>
    <n v="1"/>
    <n v="1"/>
    <n v="100"/>
    <x v="1"/>
  </r>
  <r>
    <x v="0"/>
    <s v="SainteLague"/>
    <n v="586"/>
    <n v="129467"/>
    <s v="[Evolutivos SGC] Cambio de código de Cliente al rectificar un servicio, confirmar IT si todo el proceso esta acabado (Incidencia)"/>
    <x v="11"/>
    <x v="0"/>
    <x v="2"/>
    <s v="Backlog"/>
    <n v="51"/>
    <n v="0.03"/>
    <n v="1"/>
    <n v="1"/>
    <n v="1"/>
    <n v="100"/>
    <x v="1"/>
  </r>
  <r>
    <x v="0"/>
    <s v="SainteLague"/>
    <n v="587"/>
    <n v="50641"/>
    <s v="APT | ODIN | Self Service"/>
    <x v="7"/>
    <x v="1"/>
    <x v="3"/>
    <s v="Backlog"/>
    <n v="53"/>
    <n v="0.03"/>
    <n v="1"/>
    <n v="1"/>
    <n v="1"/>
    <n v="100"/>
    <x v="1"/>
  </r>
  <r>
    <x v="0"/>
    <s v="SainteLague"/>
    <n v="588"/>
    <n v="129533"/>
    <s v="[Minerva] - Dispersiones estándar de ofertas de tipo B y C"/>
    <x v="8"/>
    <x v="0"/>
    <x v="0"/>
    <s v="Ready for Solution"/>
    <n v="30"/>
    <n v="0.03"/>
    <n v="1"/>
    <n v="1"/>
    <n v="1"/>
    <n v="100"/>
    <x v="1"/>
  </r>
  <r>
    <x v="0"/>
    <s v="SainteLague"/>
    <n v="589"/>
    <n v="31899"/>
    <s v="Motor de Pesquisa de Varios objetos no SGC"/>
    <x v="24"/>
    <x v="1"/>
    <x v="0"/>
    <s v="Backlog"/>
    <n v="11"/>
    <n v="0.03"/>
    <n v="1"/>
    <n v="1"/>
    <n v="1"/>
    <n v="100"/>
    <x v="1"/>
  </r>
  <r>
    <x v="0"/>
    <s v="SainteLague"/>
    <n v="590"/>
    <n v="129480"/>
    <s v="[Evolutivos Salesforce] Asignacion de tarifas por cliente master - Salesforce/Minerva (posibilidad de clientes centro con tarifas diferentes) (Validar por Herramientas Comerciales)"/>
    <x v="11"/>
    <x v="0"/>
    <x v="2"/>
    <s v="Backlog"/>
    <n v="52"/>
    <n v="0.03"/>
    <n v="1"/>
    <n v="1"/>
    <n v="1"/>
    <n v="100"/>
    <x v="1"/>
  </r>
  <r>
    <x v="0"/>
    <s v="SainteLague"/>
    <n v="591"/>
    <n v="96334"/>
    <s v="ESW | Github | Allow Github Actions to access resources inside CTT internal network"/>
    <x v="7"/>
    <x v="1"/>
    <x v="3"/>
    <s v="Backlog"/>
    <n v="54"/>
    <n v="0.03"/>
    <n v="1"/>
    <n v="1"/>
    <n v="1"/>
    <n v="100"/>
    <x v="1"/>
  </r>
  <r>
    <x v="0"/>
    <s v="SainteLague"/>
    <n v="592"/>
    <n v="129725"/>
    <s v="Mapper: Posibilidad de indicar la ruta de instalación."/>
    <x v="14"/>
    <x v="0"/>
    <x v="0"/>
    <s v="Backlog"/>
    <n v="29"/>
    <n v="0.03"/>
    <n v="1"/>
    <n v="1"/>
    <n v="1"/>
    <n v="100"/>
    <x v="1"/>
  </r>
  <r>
    <x v="0"/>
    <s v="SainteLague"/>
    <n v="593"/>
    <n v="31827"/>
    <s v="GPB2C | Subsidio Social de Mobilidade - Recomendações de Auditoria (Nº 21001/23)"/>
    <x v="27"/>
    <x v="1"/>
    <x v="0"/>
    <s v="Backlog"/>
    <n v="10"/>
    <n v="0.03"/>
    <n v="1"/>
    <n v="1"/>
    <n v="1"/>
    <n v="100"/>
    <x v="1"/>
  </r>
  <r>
    <x v="0"/>
    <s v="SainteLague"/>
    <n v="594"/>
    <n v="129466"/>
    <s v="[Evolutivos SGC] Aplicar correctamente los impuestos en función de la combinación artículo-zona, Solicitud de 2015 potenciales problemas fiscales"/>
    <x v="11"/>
    <x v="0"/>
    <x v="2"/>
    <s v="Backlog"/>
    <n v="53"/>
    <n v="0.03"/>
    <n v="1"/>
    <n v="1"/>
    <n v="1"/>
    <n v="100"/>
    <x v="1"/>
  </r>
  <r>
    <x v="0"/>
    <s v="SainteLague"/>
    <n v="595"/>
    <n v="131990"/>
    <s v="INT| Descontinuar os serviços suportados pelo Biztalk"/>
    <x v="7"/>
    <x v="1"/>
    <x v="3"/>
    <s v="Backlog"/>
    <n v="55"/>
    <n v="0.03"/>
    <n v="1"/>
    <n v="1"/>
    <n v="1"/>
    <n v="100"/>
    <x v="1"/>
  </r>
  <r>
    <x v="0"/>
    <s v="SainteLague"/>
    <n v="596"/>
    <n v="129758"/>
    <s v="[NEXUS] [Web de cambios] - Transformación web de cambios - Rediseño y tecnología React"/>
    <x v="0"/>
    <x v="0"/>
    <x v="0"/>
    <s v="Pitch"/>
    <n v="45"/>
    <n v="0.03"/>
    <n v="1"/>
    <n v="1"/>
    <n v="1"/>
    <n v="100"/>
    <x v="1"/>
  </r>
  <r>
    <x v="0"/>
    <s v="SainteLague"/>
    <n v="597"/>
    <n v="56652"/>
    <s v="Coimas - Configuração /Mapeamentos SAP"/>
    <x v="29"/>
    <x v="1"/>
    <x v="0"/>
    <s v="In Definition"/>
    <n v="10"/>
    <n v="0.03"/>
    <n v="1"/>
    <n v="1"/>
    <n v="1"/>
    <n v="100"/>
    <x v="1"/>
  </r>
  <r>
    <x v="0"/>
    <s v="SainteLague"/>
    <n v="598"/>
    <n v="129464"/>
    <s v="[Evolutivos SGC] Recuperar el Numero de factura emitida en grid de valoracion de servicios, (perdida de funcionalidad)"/>
    <x v="11"/>
    <x v="0"/>
    <x v="2"/>
    <s v="Backlog"/>
    <n v="54"/>
    <n v="0.03"/>
    <n v="1"/>
    <n v="1"/>
    <n v="1"/>
    <n v="100"/>
    <x v="1"/>
  </r>
  <r>
    <x v="0"/>
    <s v="SainteLague"/>
    <n v="599"/>
    <n v="100094"/>
    <s v="SRP - Descontinuação FTP"/>
    <x v="20"/>
    <x v="1"/>
    <x v="3"/>
    <s v="Backlog"/>
    <n v="20"/>
    <n v="0.03"/>
    <n v="1"/>
    <n v="1"/>
    <n v="1"/>
    <n v="100"/>
    <x v="1"/>
  </r>
  <r>
    <x v="0"/>
    <s v="SainteLague"/>
    <n v="600"/>
    <n v="130266"/>
    <s v="[Salesforce Sales] - Campo Centro Operativo de clientes que cuelgan de Agencias Virtuales (Amazon, ICP, Inditex....)"/>
    <x v="8"/>
    <x v="0"/>
    <x v="0"/>
    <s v="Backlog"/>
    <n v="31"/>
    <n v="0.03"/>
    <n v="1"/>
    <n v="1"/>
    <n v="1"/>
    <n v="100"/>
    <x v="1"/>
  </r>
  <r>
    <x v="0"/>
    <s v="SainteLague"/>
    <n v="601"/>
    <n v="125912"/>
    <s v="Serviço de envio de emails sediado na europa"/>
    <x v="1"/>
    <x v="1"/>
    <x v="0"/>
    <s v="Backlog"/>
    <n v="18"/>
    <n v="3.5"/>
    <n v="2"/>
    <n v="2"/>
    <n v="3"/>
    <n v="2"/>
    <x v="1"/>
  </r>
  <r>
    <x v="0"/>
    <s v="SainteLague"/>
    <n v="602"/>
    <n v="129462"/>
    <s v="[Alarmas Finanzas] Servicios pendientes de meses anteriores que pasen al mes siguiente a modulo de facturación una vez cerrado el mes (PENDIENTE DE SOLUCIÓN DE IT YA PRESENTADA)"/>
    <x v="11"/>
    <x v="0"/>
    <x v="2"/>
    <s v="Backlog"/>
    <n v="55"/>
    <n v="0.03"/>
    <n v="1"/>
    <n v="1"/>
    <n v="1"/>
    <n v="100"/>
    <x v="1"/>
  </r>
  <r>
    <x v="0"/>
    <s v="SainteLague"/>
    <n v="603"/>
    <n v="131995"/>
    <s v="INT| - Alarmística MuleSoft"/>
    <x v="7"/>
    <x v="1"/>
    <x v="3"/>
    <s v="Backlog"/>
    <n v="56"/>
    <n v="0.03"/>
    <n v="1"/>
    <n v="1"/>
    <n v="1"/>
    <n v="100"/>
    <x v="1"/>
  </r>
  <r>
    <x v="0"/>
    <s v="SainteLague"/>
    <n v="604"/>
    <n v="130163"/>
    <s v="BITACORA - Cambiar delivery_comments de lugar"/>
    <x v="14"/>
    <x v="0"/>
    <x v="0"/>
    <s v="Backlog"/>
    <n v="30"/>
    <n v="0.03"/>
    <n v="1"/>
    <n v="1"/>
    <n v="1"/>
    <n v="100"/>
    <x v="1"/>
  </r>
  <r>
    <x v="0"/>
    <s v="SainteLague"/>
    <n v="605"/>
    <n v="105938"/>
    <s v="Notificações Expresso | Aceitação no PUDO (Pedido ZALANDO)"/>
    <x v="10"/>
    <x v="1"/>
    <x v="0"/>
    <s v="Backlog"/>
    <n v="19"/>
    <n v="0.03"/>
    <n v="1"/>
    <n v="1"/>
    <n v="1"/>
    <n v="100"/>
    <x v="1"/>
  </r>
  <r>
    <x v="0"/>
    <s v="SainteLague"/>
    <n v="606"/>
    <n v="129461"/>
    <s v="[Evolutivo SGC] Adeudos RE2 y RE11 cargados el último día del mes pasadas las 17:00 horas (Pasar a Operaciones)"/>
    <x v="11"/>
    <x v="0"/>
    <x v="2"/>
    <s v="Backlog"/>
    <n v="56"/>
    <n v="0.03"/>
    <n v="1"/>
    <n v="1"/>
    <n v="1"/>
    <n v="100"/>
    <x v="1"/>
  </r>
  <r>
    <x v="0"/>
    <s v="SainteLague"/>
    <n v="607"/>
    <n v="132222"/>
    <s v="CCP | Migrate from .Net 8 to .Net 10"/>
    <x v="7"/>
    <x v="1"/>
    <x v="3"/>
    <s v="Backlog"/>
    <n v="57"/>
    <n v="0.03"/>
    <n v="1"/>
    <n v="1"/>
    <n v="1"/>
    <n v="100"/>
    <x v="1"/>
  </r>
  <r>
    <x v="0"/>
    <s v="SainteLague"/>
    <n v="608"/>
    <n v="130443"/>
    <s v="[Web de clientes] - Seguimiento 2.0 - Rediseño de la sección de seguimiento"/>
    <x v="0"/>
    <x v="0"/>
    <x v="0"/>
    <s v="Backlog"/>
    <n v="46"/>
    <n v="0.03"/>
    <n v="1"/>
    <n v="1"/>
    <n v="1"/>
    <n v="100"/>
    <x v="1"/>
  </r>
  <r>
    <x v="0"/>
    <s v="SainteLague"/>
    <n v="609"/>
    <n v="76398"/>
    <s v="Galaxy | MCE &amp; CDP - Nova Fase pós MVP - Equipa ENABLER Salesforce (AGILE WAY)"/>
    <x v="21"/>
    <x v="1"/>
    <x v="0"/>
    <s v="In Definition"/>
    <n v="14"/>
    <n v="0.03"/>
    <n v="1"/>
    <n v="1"/>
    <n v="1"/>
    <n v="100"/>
    <x v="1"/>
  </r>
  <r>
    <x v="0"/>
    <s v="SainteLague"/>
    <n v="610"/>
    <n v="129460"/>
    <s v="[Evolutivo SGC] Desarrollar un sistema de refacturación a los brokers para que automáticamente podamos refacturarles los costes de recogida cuando se apliquen a brokers sin coste de recogida"/>
    <x v="11"/>
    <x v="0"/>
    <x v="2"/>
    <s v="Backlog"/>
    <n v="57"/>
    <n v="0.03"/>
    <n v="1"/>
    <n v="1"/>
    <n v="1"/>
    <n v="100"/>
    <x v="1"/>
  </r>
  <r>
    <x v="0"/>
    <s v="SainteLague"/>
    <n v="611"/>
    <n v="116026"/>
    <s v="Novo Catálogo de Aplicações (Atlas 2.0)"/>
    <x v="7"/>
    <x v="1"/>
    <x v="3"/>
    <s v="Ready for Approval"/>
    <n v="58"/>
    <n v="0.03"/>
    <n v="1"/>
    <n v="1"/>
    <n v="1"/>
    <n v="100"/>
    <x v="1"/>
  </r>
  <r>
    <x v="0"/>
    <s v="SainteLague"/>
    <n v="612"/>
    <n v="130732"/>
    <s v="[PUDOS] [Web clientes] - Añadir campo nombre rtt en RDP"/>
    <x v="0"/>
    <x v="0"/>
    <x v="0"/>
    <s v="Backlog"/>
    <n v="47"/>
    <n v="0.03"/>
    <n v="1"/>
    <n v="1"/>
    <n v="1"/>
    <n v="100"/>
    <x v="1"/>
  </r>
  <r>
    <x v="0"/>
    <s v="SainteLague"/>
    <n v="613"/>
    <n v="74510"/>
    <s v="Alteração Talão Vales Postais superiores a 1.000€ - recomendação auditoria REC/ASN:2025-0015"/>
    <x v="24"/>
    <x v="1"/>
    <x v="0"/>
    <s v="Backlog"/>
    <n v="12"/>
    <n v="0.03"/>
    <n v="1"/>
    <n v="1"/>
    <n v="1"/>
    <n v="100"/>
    <x v="1"/>
  </r>
  <r>
    <x v="0"/>
    <s v="SainteLague"/>
    <n v="614"/>
    <n v="129454"/>
    <s v="[SAP] Recargo de equivalencia (módulo +) Esta evolucion debe ser en SGC y en el interface de SAP no viaja"/>
    <x v="11"/>
    <x v="0"/>
    <x v="2"/>
    <s v="Backlog"/>
    <n v="58"/>
    <n v="0.03"/>
    <n v="1"/>
    <n v="1"/>
    <n v="1"/>
    <n v="100"/>
    <x v="1"/>
  </r>
  <r>
    <x v="0"/>
    <s v="SainteLague"/>
    <n v="615"/>
    <n v="132023"/>
    <s v="ESW | EQA |Estabilização de Testes Automáticos Existentes de QA"/>
    <x v="7"/>
    <x v="1"/>
    <x v="3"/>
    <s v="Backlog"/>
    <n v="59"/>
    <n v="0.03"/>
    <n v="1"/>
    <n v="1"/>
    <n v="1"/>
    <n v="100"/>
    <x v="1"/>
  </r>
  <r>
    <x v="0"/>
    <s v="SainteLague"/>
    <n v="616"/>
    <n v="130409"/>
    <s v="[Minerva] - Evaluación de la oferta en Minerva"/>
    <x v="8"/>
    <x v="0"/>
    <x v="0"/>
    <s v="Backlog"/>
    <n v="32"/>
    <n v="0.03"/>
    <n v="1"/>
    <n v="1"/>
    <n v="1"/>
    <n v="100"/>
    <x v="1"/>
  </r>
  <r>
    <x v="0"/>
    <s v="SainteLague"/>
    <n v="617"/>
    <n v="32016"/>
    <s v="Melhorias área cliente correio"/>
    <x v="1"/>
    <x v="1"/>
    <x v="0"/>
    <s v="Backlog"/>
    <n v="19"/>
    <n v="0.03"/>
    <n v="1"/>
    <n v="1"/>
    <n v="1"/>
    <n v="100"/>
    <x v="1"/>
  </r>
  <r>
    <x v="0"/>
    <s v="SainteLague"/>
    <n v="618"/>
    <n v="129458"/>
    <s v="[Evolutivos SGC] Nueva funcionalidad para Clientes que no etiquetan (recargo por mercancia no/mal etiquetada) (pendiente al ser antiguo revisar con LR)"/>
    <x v="11"/>
    <x v="0"/>
    <x v="2"/>
    <s v="Backlog"/>
    <n v="59"/>
    <n v="0.03"/>
    <n v="1"/>
    <n v="1"/>
    <n v="1"/>
    <n v="100"/>
    <x v="1"/>
  </r>
  <r>
    <x v="0"/>
    <s v="SainteLague"/>
    <n v="619"/>
    <n v="131993"/>
    <s v="INT| - Mata Aplicações Wave 1.1X - Solução de Transformação"/>
    <x v="7"/>
    <x v="1"/>
    <x v="3"/>
    <s v="Backlog"/>
    <n v="60"/>
    <n v="0.03"/>
    <n v="1"/>
    <n v="1"/>
    <n v="1"/>
    <n v="100"/>
    <x v="1"/>
  </r>
  <r>
    <x v="0"/>
    <s v="SainteLague"/>
    <n v="620"/>
    <n v="130045"/>
    <s v="BITACORA EVOLUCION DE ESTADOS FINALES"/>
    <x v="14"/>
    <x v="0"/>
    <x v="0"/>
    <s v="Backlog"/>
    <n v="31"/>
    <n v="0.03"/>
    <n v="1"/>
    <n v="1"/>
    <n v="1"/>
    <n v="100"/>
    <x v="1"/>
  </r>
  <r>
    <x v="0"/>
    <s v="SainteLague"/>
    <n v="621"/>
    <n v="31851"/>
    <s v="GPECL/DIS - Pack Expresso | Incremento ao Produto"/>
    <x v="10"/>
    <x v="1"/>
    <x v="0"/>
    <s v="Backlog"/>
    <n v="20"/>
    <n v="0.03"/>
    <n v="1"/>
    <n v="1"/>
    <n v="1"/>
    <n v="100"/>
    <x v="1"/>
  </r>
  <r>
    <x v="0"/>
    <s v="SainteLague"/>
    <n v="622"/>
    <n v="129486"/>
    <s v="[SAP] Migración SAP"/>
    <x v="11"/>
    <x v="0"/>
    <x v="2"/>
    <s v="Backlog"/>
    <n v="60"/>
    <n v="0.03"/>
    <n v="1"/>
    <n v="1"/>
    <n v="1"/>
    <n v="100"/>
    <x v="1"/>
  </r>
  <r>
    <x v="0"/>
    <s v="SainteLague"/>
    <n v="623"/>
    <n v="50994"/>
    <s v="APT | Mata Aplicações - Wave 1.13"/>
    <x v="7"/>
    <x v="1"/>
    <x v="3"/>
    <s v="Backlog"/>
    <n v="61"/>
    <n v="0.03"/>
    <n v="1"/>
    <n v="1"/>
    <n v="1"/>
    <n v="100"/>
    <x v="1"/>
  </r>
  <r>
    <x v="0"/>
    <s v="SainteLague"/>
    <n v="624"/>
    <n v="130676"/>
    <s v="[Web de Clientes] - Visualizar costes de los servicios adicionales en la web de clientes"/>
    <x v="0"/>
    <x v="0"/>
    <x v="0"/>
    <s v="Backlog"/>
    <n v="48"/>
    <n v="0.03"/>
    <n v="1"/>
    <n v="1"/>
    <n v="1"/>
    <n v="100"/>
    <x v="1"/>
  </r>
  <r>
    <x v="0"/>
    <s v="SainteLague"/>
    <n v="625"/>
    <n v="48167"/>
    <s v="GPB2C | Via Verde – Repositório de informação"/>
    <x v="27"/>
    <x v="1"/>
    <x v="0"/>
    <s v="Backlog"/>
    <n v="11"/>
    <n v="0.03"/>
    <n v="1"/>
    <n v="1"/>
    <n v="1"/>
    <n v="100"/>
    <x v="1"/>
  </r>
  <r>
    <x v="0"/>
    <s v="SainteLague"/>
    <n v="626"/>
    <n v="130069"/>
    <s v="[Auditoria PT] Control periódico de Clientes Inactivos"/>
    <x v="11"/>
    <x v="0"/>
    <x v="2"/>
    <s v="Backlog"/>
    <n v="61"/>
    <n v="0.03"/>
    <n v="1"/>
    <n v="1"/>
    <n v="1"/>
    <n v="100"/>
    <x v="1"/>
  </r>
  <r>
    <x v="0"/>
    <s v="SainteLague"/>
    <n v="627"/>
    <n v="132220"/>
    <s v="ESW | Create code reviewer AI agent"/>
    <x v="7"/>
    <x v="1"/>
    <x v="3"/>
    <s v="Backlog"/>
    <n v="62"/>
    <n v="0.03"/>
    <n v="1"/>
    <n v="1"/>
    <n v="1"/>
    <n v="100"/>
    <x v="1"/>
  </r>
  <r>
    <x v="0"/>
    <s v="SainteLague"/>
    <n v="628"/>
    <n v="129547"/>
    <s v="[Salesforce Sales] - Disponer de un botón que permita sincronizar toda una cuenta (cliente, contactos y direcciones)"/>
    <x v="8"/>
    <x v="0"/>
    <x v="0"/>
    <s v="Backlog"/>
    <n v="33"/>
    <n v="0.03"/>
    <n v="1"/>
    <n v="1"/>
    <n v="1"/>
    <n v="100"/>
    <x v="1"/>
  </r>
  <r>
    <x v="0"/>
    <s v="SainteLague"/>
    <n v="629"/>
    <n v="32006"/>
    <s v="Automatização Revisão Alertas AML (Payshop)"/>
    <x v="29"/>
    <x v="1"/>
    <x v="0"/>
    <s v="Backlog"/>
    <n v="11"/>
    <n v="0.03"/>
    <n v="1"/>
    <n v="1"/>
    <n v="1"/>
    <n v="100"/>
    <x v="1"/>
  </r>
  <r>
    <x v="0"/>
    <s v="SainteLague"/>
    <n v="630"/>
    <n v="130306"/>
    <s v="Crear LOG reglas de pago clientes SGC"/>
    <x v="11"/>
    <x v="0"/>
    <x v="2"/>
    <s v="Backlog"/>
    <n v="62"/>
    <n v="0.03"/>
    <n v="1"/>
    <n v="1"/>
    <n v="1"/>
    <n v="100"/>
    <x v="1"/>
  </r>
  <r>
    <x v="0"/>
    <s v="SainteLague"/>
    <n v="631"/>
    <n v="49513"/>
    <s v="APT | Mata Aplicações Wave 1.12 - GCC"/>
    <x v="7"/>
    <x v="1"/>
    <x v="3"/>
    <s v="Backlog"/>
    <n v="63"/>
    <n v="0.03"/>
    <n v="1"/>
    <n v="1"/>
    <n v="1"/>
    <n v="100"/>
    <x v="1"/>
  </r>
  <r>
    <x v="0"/>
    <s v="SainteLague"/>
    <n v="632"/>
    <n v="129850"/>
    <s v="[Integración] - Publicar landing page para gestionar Devoluciones por parte de los Destinatarios - (MAS DEPORTE)"/>
    <x v="14"/>
    <x v="0"/>
    <x v="0"/>
    <s v="In Definition"/>
    <n v="32"/>
    <n v="0.03"/>
    <n v="1"/>
    <n v="1"/>
    <n v="1"/>
    <n v="100"/>
    <x v="1"/>
  </r>
  <r>
    <x v="0"/>
    <s v="SainteLague"/>
    <n v="633"/>
    <n v="32245"/>
    <s v="Galaxy | Avisados em Mobi - Indicadores de Loja (Modelo 415)"/>
    <x v="21"/>
    <x v="1"/>
    <x v="0"/>
    <s v="Backlog"/>
    <n v="15"/>
    <n v="0.03"/>
    <n v="1"/>
    <n v="1"/>
    <n v="1"/>
    <n v="100"/>
    <x v="1"/>
  </r>
  <r>
    <x v="0"/>
    <s v="SainteLague"/>
    <n v="634"/>
    <n v="130071"/>
    <s v="[Auditoria PT] Consulta del historial de los datos de los objetos que han sido alterados manualmente o corregidos por la automatización"/>
    <x v="11"/>
    <x v="0"/>
    <x v="2"/>
    <s v="Backlog"/>
    <n v="63"/>
    <n v="0.03"/>
    <n v="1"/>
    <n v="1"/>
    <n v="1"/>
    <n v="100"/>
    <x v="1"/>
  </r>
  <r>
    <x v="0"/>
    <s v="SainteLague"/>
    <n v="635"/>
    <n v="132218"/>
    <s v="CCP | Notifications | Refactor application to meet CCP patterns"/>
    <x v="7"/>
    <x v="1"/>
    <x v="3"/>
    <s v="Backlog"/>
    <n v="64"/>
    <n v="6"/>
    <n v="3"/>
    <n v="2"/>
    <n v="1"/>
    <n v="1"/>
    <x v="1"/>
  </r>
  <r>
    <x v="0"/>
    <s v="SainteLague"/>
    <n v="636"/>
    <n v="130351"/>
    <s v="[Web de clientes] - Funcionalidad de gestionar y visualizar el seguimiento de los Retornados"/>
    <x v="0"/>
    <x v="0"/>
    <x v="0"/>
    <s v="Ready for Solution"/>
    <n v="49"/>
    <n v="0.03"/>
    <n v="1"/>
    <n v="1"/>
    <n v="1"/>
    <n v="100"/>
    <x v="1"/>
  </r>
  <r>
    <x v="0"/>
    <s v="SainteLague"/>
    <n v="637"/>
    <n v="31913"/>
    <s v="Nova plataforma para criar e gerir campanhas de publicidade"/>
    <x v="1"/>
    <x v="1"/>
    <x v="0"/>
    <s v="Backlog"/>
    <n v="20"/>
    <n v="0.03"/>
    <n v="1"/>
    <n v="1"/>
    <n v="1"/>
    <n v="100"/>
    <x v="1"/>
  </r>
  <r>
    <x v="0"/>
    <s v="SainteLague"/>
    <n v="638"/>
    <n v="130072"/>
    <s v="[Auditoria PT] Control de revisiones de alteraciones manuales"/>
    <x v="11"/>
    <x v="0"/>
    <x v="2"/>
    <s v="Backlog"/>
    <n v="64"/>
    <n v="0.03"/>
    <n v="1"/>
    <n v="1"/>
    <n v="1"/>
    <n v="100"/>
    <x v="1"/>
  </r>
  <r>
    <x v="0"/>
    <s v="SainteLague"/>
    <n v="639"/>
    <n v="31835"/>
    <s v="APT | IBM ODM | configurar HTTPS"/>
    <x v="7"/>
    <x v="1"/>
    <x v="3"/>
    <s v="Backlog"/>
    <n v="65"/>
    <n v="0.03"/>
    <n v="1"/>
    <n v="1"/>
    <n v="1"/>
    <n v="100"/>
    <x v="1"/>
  </r>
  <r>
    <x v="0"/>
    <s v="SainteLague"/>
    <n v="640"/>
    <n v="129881"/>
    <s v="[Procesos] - Reenvío notificaciones envíos en incidencia estacionados"/>
    <x v="0"/>
    <x v="0"/>
    <x v="0"/>
    <s v="In Definition"/>
    <n v="51"/>
    <n v="0.03"/>
    <n v="1"/>
    <n v="1"/>
    <n v="1"/>
    <n v="100"/>
    <x v="1"/>
  </r>
  <r>
    <x v="0"/>
    <s v="SainteLague"/>
    <n v="641"/>
    <n v="32216"/>
    <s v="GP ECL/INT - Erros envolvendo DHL - Objeto CTT que gera múltiplas Cartas de Porte DHL (AWB DHL Express)"/>
    <x v="10"/>
    <x v="1"/>
    <x v="0"/>
    <s v="Backlog"/>
    <n v="21"/>
    <n v="0.03"/>
    <n v="1"/>
    <n v="1"/>
    <n v="1"/>
    <n v="100"/>
    <x v="1"/>
  </r>
  <r>
    <x v="0"/>
    <s v="SainteLague"/>
    <n v="642"/>
    <n v="130073"/>
    <s v="[Auditoria PT] Evaluar la implementación de una reclasificación automática de los servicios declarados incorrectamente por el cliente"/>
    <x v="11"/>
    <x v="0"/>
    <x v="2"/>
    <s v="Backlog"/>
    <n v="65"/>
    <n v="0.03"/>
    <n v="1"/>
    <n v="1"/>
    <n v="1"/>
    <n v="100"/>
    <x v="1"/>
  </r>
  <r>
    <x v="0"/>
    <s v="SainteLague"/>
    <n v="643"/>
    <n v="132021"/>
    <s v="ESW | EQA | Definição de Checklist Mínimo de QA por Projeto"/>
    <x v="7"/>
    <x v="1"/>
    <x v="3"/>
    <s v="Backlog"/>
    <n v="66"/>
    <n v="0.03"/>
    <n v="1"/>
    <n v="1"/>
    <n v="1"/>
    <n v="100"/>
    <x v="1"/>
  </r>
  <r>
    <x v="0"/>
    <s v="SainteLague"/>
    <n v="644"/>
    <n v="129494"/>
    <s v="[Salesforce] - Automatización de tarifas (en función de envíos comprometidos y rentabilidad de la cuenta)"/>
    <x v="8"/>
    <x v="0"/>
    <x v="0"/>
    <s v="In Solution"/>
    <n v="34"/>
    <n v="0.03"/>
    <n v="1"/>
    <n v="1"/>
    <n v="1"/>
    <n v="100"/>
    <x v="1"/>
  </r>
  <r>
    <x v="0"/>
    <s v="SainteLague"/>
    <n v="645"/>
    <n v="36274"/>
    <s v="Correção Mapeamento informático - metadados Vales Pagos internacionais"/>
    <x v="24"/>
    <x v="1"/>
    <x v="0"/>
    <s v="In Definition"/>
    <n v="13"/>
    <n v="0.03"/>
    <n v="1"/>
    <n v="1"/>
    <n v="1"/>
    <n v="100"/>
    <x v="1"/>
  </r>
  <r>
    <x v="0"/>
    <s v="SainteLague"/>
    <n v="646"/>
    <n v="130074"/>
    <s v="[Auditoria PT] Seguimiento de los cambios realizados manualmente o mediante automatización y control/aprobación de los mismos"/>
    <x v="11"/>
    <x v="0"/>
    <x v="2"/>
    <s v="Backlog"/>
    <n v="66"/>
    <n v="0.03"/>
    <n v="1"/>
    <n v="1"/>
    <n v="1"/>
    <n v="100"/>
    <x v="1"/>
  </r>
  <r>
    <x v="0"/>
    <s v="SainteLague"/>
    <n v="647"/>
    <n v="48156"/>
    <s v="IOP | Redução da Obsolescência Protocolos TLS 1.0 &amp; 1.1 WAVE 2"/>
    <x v="7"/>
    <x v="1"/>
    <x v="3"/>
    <s v="Backlog"/>
    <n v="67"/>
    <n v="0.03"/>
    <n v="1"/>
    <n v="1"/>
    <n v="1"/>
    <n v="100"/>
    <x v="1"/>
  </r>
  <r>
    <x v="0"/>
    <s v="SainteLague"/>
    <n v="648"/>
    <n v="129510"/>
    <s v="Seguimiento de envíos por Api Devolución retornado reexpedido y recogidas"/>
    <x v="14"/>
    <x v="0"/>
    <x v="0"/>
    <s v="In Definition"/>
    <n v="33"/>
    <n v="0.03"/>
    <n v="1"/>
    <n v="1"/>
    <n v="1"/>
    <n v="100"/>
    <x v="1"/>
  </r>
  <r>
    <x v="0"/>
    <s v="SainteLague"/>
    <n v="649"/>
    <n v="124599"/>
    <s v="Plataforma de Gestão Documental IGCP"/>
    <x v="27"/>
    <x v="1"/>
    <x v="0"/>
    <s v="In Definition"/>
    <n v="12"/>
    <n v="0.03"/>
    <n v="1"/>
    <n v="1"/>
    <n v="1"/>
    <n v="100"/>
    <x v="1"/>
  </r>
  <r>
    <x v="0"/>
    <s v="SainteLague"/>
    <n v="650"/>
    <n v="130653"/>
    <s v="SGC - Anulación eventos PT"/>
    <x v="11"/>
    <x v="0"/>
    <x v="2"/>
    <s v="Backlog"/>
    <n v="67"/>
    <n v="0.03"/>
    <n v="1"/>
    <n v="1"/>
    <n v="1"/>
    <n v="100"/>
    <x v="1"/>
  </r>
  <r>
    <x v="0"/>
    <s v="SainteLague"/>
    <n v="651"/>
    <n v="65266"/>
    <s v="Desagregar a Intranet de Outsystems ( Acção Post Mortem - INC1002170)"/>
    <x v="7"/>
    <x v="1"/>
    <x v="3"/>
    <s v="Backlog"/>
    <n v="69"/>
    <n v="0.03"/>
    <n v="1"/>
    <n v="1"/>
    <n v="1"/>
    <n v="100"/>
    <x v="1"/>
  </r>
  <r>
    <x v="0"/>
    <s v="SainteLague"/>
    <n v="652"/>
    <n v="129530"/>
    <s v="[Qlik] - CANDIDATES MANAGEMENT (Crear un modelo para medir las campañas de MK)"/>
    <x v="0"/>
    <x v="0"/>
    <x v="0"/>
    <s v="Backlog"/>
    <n v="52"/>
    <n v="0.03"/>
    <n v="1"/>
    <n v="1"/>
    <n v="1"/>
    <n v="100"/>
    <x v="1"/>
  </r>
  <r>
    <x v="0"/>
    <s v="SainteLague"/>
    <n v="653"/>
    <n v="32207"/>
    <s v="Sites CTT e Payshop | Inclusão dos Agentes Payshop na pesquisa de Pontos de Contacto CTT"/>
    <x v="29"/>
    <x v="1"/>
    <x v="0"/>
    <s v="Backlog"/>
    <n v="12"/>
    <n v="0.03"/>
    <n v="1"/>
    <n v="1"/>
    <n v="1"/>
    <n v="100"/>
    <x v="1"/>
  </r>
  <r>
    <x v="0"/>
    <s v="SainteLague"/>
    <n v="654"/>
    <n v="130742"/>
    <s v="Evolución verificación periodos + (pesos y medidas) V2"/>
    <x v="11"/>
    <x v="0"/>
    <x v="2"/>
    <s v="Backlog"/>
    <n v="68"/>
    <n v="0.03"/>
    <n v="1"/>
    <n v="1"/>
    <n v="1"/>
    <n v="100"/>
    <x v="1"/>
  </r>
  <r>
    <x v="0"/>
    <s v="SainteLague"/>
    <n v="655"/>
    <n v="132024"/>
    <s v="ESW | EQA | Utilização Regular da Automação de QA em Regressões"/>
    <x v="7"/>
    <x v="1"/>
    <x v="3"/>
    <s v="Backlog"/>
    <n v="70"/>
    <n v="0.03"/>
    <n v="1"/>
    <n v="1"/>
    <n v="1"/>
    <n v="100"/>
    <x v="1"/>
  </r>
  <r>
    <x v="0"/>
    <s v="SainteLague"/>
    <n v="656"/>
    <n v="129836"/>
    <s v="[Salesforce] - Automatismo de asignación de casos a gestora de ingresos"/>
    <x v="8"/>
    <x v="0"/>
    <x v="0"/>
    <s v="Backlog"/>
    <n v="35"/>
    <n v="0.03"/>
    <n v="1"/>
    <n v="1"/>
    <n v="1"/>
    <n v="100"/>
    <x v="1"/>
  </r>
  <r>
    <x v="0"/>
    <s v="SainteLague"/>
    <n v="657"/>
    <n v="63424"/>
    <s v="Revamp ViaCTT – 2ª Fase"/>
    <x v="1"/>
    <x v="1"/>
    <x v="0"/>
    <s v="In Definition"/>
    <n v="21"/>
    <n v="0.03"/>
    <n v="1"/>
    <n v="1"/>
    <n v="1"/>
    <n v="100"/>
    <x v="1"/>
  </r>
  <r>
    <x v="0"/>
    <s v="SainteLague"/>
    <n v="658"/>
    <n v="131143"/>
    <s v="Plantilla modificacion de clientes sap hanna"/>
    <x v="11"/>
    <x v="0"/>
    <x v="2"/>
    <s v="Backlog"/>
    <n v="69"/>
    <n v="0.03"/>
    <n v="1"/>
    <n v="1"/>
    <n v="1"/>
    <n v="100"/>
    <x v="1"/>
  </r>
  <r>
    <x v="0"/>
    <s v="SainteLague"/>
    <n v="659"/>
    <n v="31951"/>
    <s v="IOP | Obsolescência WAVE 2 - Matar/Upgrade Oracle DB, IBM DB2 para ultimas versões suportadas (mínimo n-1)"/>
    <x v="7"/>
    <x v="1"/>
    <x v="3"/>
    <s v="Backlog"/>
    <n v="71"/>
    <n v="0.03"/>
    <n v="1"/>
    <n v="1"/>
    <n v="1"/>
    <n v="100"/>
    <x v="1"/>
  </r>
  <r>
    <x v="0"/>
    <s v="SainteLague"/>
    <n v="660"/>
    <n v="130178"/>
    <s v="[Desconexión SGC] [WebHook] - Monitorización WebHooks clientes"/>
    <x v="14"/>
    <x v="0"/>
    <x v="0"/>
    <s v="Backlog"/>
    <n v="34"/>
    <n v="0.03"/>
    <n v="1"/>
    <n v="1"/>
    <n v="1"/>
    <n v="100"/>
    <x v="1"/>
  </r>
  <r>
    <x v="0"/>
    <s v="SainteLague"/>
    <n v="661"/>
    <n v="31965"/>
    <s v="GPECL/DIS - Notificações Sábado e Domingo // alteração do processo de indicação da data de entrega"/>
    <x v="10"/>
    <x v="1"/>
    <x v="0"/>
    <s v="Backlog"/>
    <n v="22"/>
    <n v="0.03"/>
    <n v="1"/>
    <n v="1"/>
    <n v="1"/>
    <n v="100"/>
    <x v="1"/>
  </r>
  <r>
    <x v="0"/>
    <s v="SainteLague"/>
    <n v="662"/>
    <n v="130858"/>
    <s v="Query direcciones de recogida portal del proveedor"/>
    <x v="11"/>
    <x v="0"/>
    <x v="2"/>
    <s v="In Definition"/>
    <n v="70"/>
    <n v="0.03"/>
    <n v="1"/>
    <n v="1"/>
    <n v="1"/>
    <n v="100"/>
    <x v="1"/>
  </r>
  <r>
    <x v="0"/>
    <s v="SainteLague"/>
    <n v="663"/>
    <n v="31947"/>
    <s v="IOP | Obsolescência Infraestrutura WAVE 0 - Converter LDAP em LDAPS (ENABLERS)"/>
    <x v="7"/>
    <x v="1"/>
    <x v="3"/>
    <s v="Backlog"/>
    <n v="72"/>
    <n v="0.03"/>
    <n v="1"/>
    <n v="1"/>
    <n v="1"/>
    <n v="100"/>
    <x v="1"/>
  </r>
  <r>
    <x v="0"/>
    <s v="SainteLague"/>
    <n v="664"/>
    <n v="129674"/>
    <s v="[PUDOS] - Herramienta de seguimiento de recogidas infructuosas de caducados"/>
    <x v="0"/>
    <x v="0"/>
    <x v="0"/>
    <s v="Backlog"/>
    <n v="53"/>
    <n v="0.03"/>
    <n v="1"/>
    <n v="1"/>
    <n v="1"/>
    <n v="100"/>
    <x v="1"/>
  </r>
  <r>
    <x v="0"/>
    <s v="SainteLague"/>
    <n v="665"/>
    <n v="32163"/>
    <s v="Galaxy | Avisados em Mobi - POD - Aumentar o campo assinatura"/>
    <x v="21"/>
    <x v="1"/>
    <x v="0"/>
    <s v="Backlog"/>
    <n v="16"/>
    <n v="0.03"/>
    <n v="1"/>
    <n v="1"/>
    <n v="1"/>
    <n v="100"/>
    <x v="1"/>
  </r>
  <r>
    <x v="0"/>
    <s v="SainteLague"/>
    <n v="666"/>
    <n v="130336"/>
    <s v="Informes Personalizados Finanzas en SharePoint"/>
    <x v="11"/>
    <x v="0"/>
    <x v="2"/>
    <s v="High Level Design"/>
    <n v="71"/>
    <n v="0.03"/>
    <n v="1"/>
    <n v="1"/>
    <n v="1"/>
    <n v="100"/>
    <x v="1"/>
  </r>
  <r>
    <x v="0"/>
    <s v="SainteLague"/>
    <n v="667"/>
    <n v="31950"/>
    <s v="IOP | Obsolescência WAVE 1 - Matar/Upgrade SQL Server anterior a 2019"/>
    <x v="7"/>
    <x v="1"/>
    <x v="3"/>
    <s v="Backlog"/>
    <n v="73"/>
    <n v="0.03"/>
    <n v="1"/>
    <n v="1"/>
    <n v="1"/>
    <n v="100"/>
    <x v="1"/>
  </r>
  <r>
    <x v="0"/>
    <s v="SainteLague"/>
    <n v="668"/>
    <n v="129675"/>
    <s v="[PUDOS] - Filtrado - Depuración en envíos a dirección PUDO sin PER"/>
    <x v="0"/>
    <x v="0"/>
    <x v="0"/>
    <s v="Backlog"/>
    <n v="54"/>
    <n v="0.03"/>
    <n v="1"/>
    <n v="1"/>
    <n v="1"/>
    <n v="100"/>
    <x v="1"/>
  </r>
  <r>
    <x v="0"/>
    <s v="SainteLague"/>
    <n v="669"/>
    <n v="31788"/>
    <s v="Disponibilização de prefixos para correio registado com pré-aviso (indisponibilidade prevista para breve)"/>
    <x v="1"/>
    <x v="1"/>
    <x v="0"/>
    <s v="Backlog"/>
    <n v="22"/>
    <n v="0.03"/>
    <n v="1"/>
    <n v="1"/>
    <n v="1"/>
    <n v="100"/>
    <x v="1"/>
  </r>
  <r>
    <x v="0"/>
    <s v="SainteLague"/>
    <n v="670"/>
    <n v="129592"/>
    <s v="Aplicación de reglas en registros de peso y volumen (TC)"/>
    <x v="11"/>
    <x v="0"/>
    <x v="2"/>
    <s v="In Definition"/>
    <n v="72"/>
    <n v="0.03"/>
    <n v="1"/>
    <n v="1"/>
    <n v="1"/>
    <n v="100"/>
    <x v="1"/>
  </r>
  <r>
    <x v="0"/>
    <s v="SainteLague"/>
    <n v="671"/>
    <n v="35914"/>
    <s v="IOP | Evolução da Private Key Infrastructure (PKI) dos CTT"/>
    <x v="7"/>
    <x v="1"/>
    <x v="3"/>
    <s v="Backlog"/>
    <n v="74"/>
    <n v="0.03"/>
    <n v="1"/>
    <n v="1"/>
    <n v="1"/>
    <n v="100"/>
    <x v="1"/>
  </r>
  <r>
    <x v="0"/>
    <s v="SainteLague"/>
    <n v="672"/>
    <n v="130289"/>
    <s v="[Salesforce] - Datos de comisionista en Cuenta en el CRM"/>
    <x v="8"/>
    <x v="0"/>
    <x v="0"/>
    <s v="High Level Design"/>
    <n v="36"/>
    <n v="3"/>
    <n v="1"/>
    <n v="1"/>
    <n v="1"/>
    <n v="1"/>
    <x v="1"/>
  </r>
  <r>
    <x v="0"/>
    <s v="SainteLague"/>
    <n v="673"/>
    <n v="31640"/>
    <s v="GPECL/INT - Eventos DHL não integrados no T&amp;T CTT"/>
    <x v="10"/>
    <x v="1"/>
    <x v="0"/>
    <s v="Backlog"/>
    <n v="23"/>
    <n v="0.03"/>
    <n v="1"/>
    <n v="1"/>
    <n v="1"/>
    <n v="100"/>
    <x v="1"/>
  </r>
  <r>
    <x v="0"/>
    <s v="SainteLague"/>
    <n v="674"/>
    <n v="130357"/>
    <s v="[CANCEL SHIPMENT - Falta check ccc] URL Management rpc-cancel"/>
    <x v="14"/>
    <x v="0"/>
    <x v="0"/>
    <s v="Backlog"/>
    <n v="35"/>
    <n v="0.03"/>
    <n v="1"/>
    <n v="1"/>
    <n v="1"/>
    <n v="100"/>
    <x v="1"/>
  </r>
  <r>
    <x v="0"/>
    <s v="SainteLague"/>
    <n v="675"/>
    <n v="48158"/>
    <s v="IOP | Redução da Obsolescência Protocolos TLS 1.0 &amp; 1.1 WAVE 4 - Servidores Unix"/>
    <x v="7"/>
    <x v="1"/>
    <x v="3"/>
    <s v="Backlog"/>
    <n v="75"/>
    <n v="0.03"/>
    <n v="1"/>
    <n v="1"/>
    <n v="1"/>
    <n v="100"/>
    <x v="1"/>
  </r>
  <r>
    <x v="0"/>
    <s v="SainteLague"/>
    <n v="676"/>
    <n v="130442"/>
    <s v="[Salesforce Sales] - Configuración campos/variables y GRP en Pardot"/>
    <x v="0"/>
    <x v="0"/>
    <x v="0"/>
    <s v="Backlog"/>
    <n v="55"/>
    <n v="0.03"/>
    <n v="1"/>
    <n v="1"/>
    <n v="1"/>
    <n v="100"/>
    <x v="1"/>
  </r>
  <r>
    <x v="0"/>
    <s v="SainteLague"/>
    <n v="677"/>
    <n v="31905"/>
    <s v="Consulta de Objetos e Downlad dos POD'S"/>
    <x v="24"/>
    <x v="1"/>
    <x v="0"/>
    <s v="Backlog"/>
    <n v="14"/>
    <n v="0.03"/>
    <n v="1"/>
    <n v="1"/>
    <n v="1"/>
    <n v="100"/>
    <x v="1"/>
  </r>
  <r>
    <x v="0"/>
    <s v="SainteLague"/>
    <n v="678"/>
    <n v="130275"/>
    <s v="[Salesforce Sales] - Completar campo Estado / provincia"/>
    <x v="8"/>
    <x v="0"/>
    <x v="0"/>
    <s v="Backlog"/>
    <n v="37"/>
    <n v="0.03"/>
    <n v="1"/>
    <n v="1"/>
    <n v="1"/>
    <n v="100"/>
    <x v="1"/>
  </r>
  <r>
    <x v="0"/>
    <s v="SainteLague"/>
    <n v="679"/>
    <n v="32066"/>
    <s v="IOP | Internet - visibilidade sobre utilização e qualidade do serviço"/>
    <x v="7"/>
    <x v="1"/>
    <x v="3"/>
    <s v="Backlog"/>
    <n v="76"/>
    <n v="0.03"/>
    <n v="1"/>
    <n v="1"/>
    <n v="1"/>
    <n v="100"/>
    <x v="1"/>
  </r>
  <r>
    <x v="0"/>
    <s v="SainteLague"/>
    <n v="680"/>
    <n v="129757"/>
    <s v="API'S para clientes Tipos Servicio Disponibles (Integración de Clientes)"/>
    <x v="14"/>
    <x v="0"/>
    <x v="0"/>
    <s v="In Definition"/>
    <n v="36"/>
    <n v="0.03"/>
    <n v="1"/>
    <n v="1"/>
    <n v="1"/>
    <n v="100"/>
    <x v="1"/>
  </r>
  <r>
    <x v="0"/>
    <s v="SainteLague"/>
    <n v="681"/>
    <n v="54059"/>
    <s v="Pay I Cartões e Terminais incremento 2"/>
    <x v="21"/>
    <x v="1"/>
    <x v="0"/>
    <s v="In Definition"/>
    <n v="17"/>
    <n v="0.03"/>
    <n v="1"/>
    <n v="1"/>
    <n v="1"/>
    <n v="100"/>
    <x v="1"/>
  </r>
  <r>
    <x v="0"/>
    <s v="SainteLague"/>
    <n v="682"/>
    <n v="129862"/>
    <s v="[PUDOS] [Web de Clientes] - EDP y RDP: Tarificación por bonificación de servicios 24H y 48H"/>
    <x v="0"/>
    <x v="0"/>
    <x v="0"/>
    <s v="In Definition"/>
    <n v="56"/>
    <n v="0.03"/>
    <n v="1"/>
    <n v="1"/>
    <n v="1"/>
    <n v="100"/>
    <x v="1"/>
  </r>
  <r>
    <x v="0"/>
    <s v="SainteLague"/>
    <n v="683"/>
    <n v="69196"/>
    <s v="MACC: DC Lisboa - Jouney to Azure cloud"/>
    <x v="7"/>
    <x v="1"/>
    <x v="3"/>
    <s v="Backlog"/>
    <n v="78"/>
    <n v="0.03"/>
    <n v="1"/>
    <n v="1"/>
    <n v="1"/>
    <n v="100"/>
    <x v="1"/>
  </r>
  <r>
    <x v="0"/>
    <s v="SainteLague"/>
    <n v="684"/>
    <n v="130741"/>
    <s v="[NEXUS] – Normalización, almacenamiento y gestión de consentimientos (GDPR) en los activos digitales"/>
    <x v="0"/>
    <x v="0"/>
    <x v="0"/>
    <s v="Pitch"/>
    <n v="58"/>
    <n v="0.03"/>
    <n v="1"/>
    <n v="1"/>
    <n v="1"/>
    <n v="100"/>
    <x v="1"/>
  </r>
  <r>
    <x v="0"/>
    <s v="SainteLague"/>
    <n v="685"/>
    <n v="31678"/>
    <s v="Serviço Conveniência - Impressão A4 (complemento ao Serviço de Fotocopias)"/>
    <x v="27"/>
    <x v="1"/>
    <x v="0"/>
    <s v="Backlog"/>
    <n v="13"/>
    <n v="0.03"/>
    <n v="1"/>
    <n v="1"/>
    <n v="1"/>
    <n v="100"/>
    <x v="1"/>
  </r>
  <r>
    <x v="0"/>
    <s v="SainteLague"/>
    <n v="686"/>
    <n v="129545"/>
    <s v="[Salesforce] - Cancelar ofertas no firmadas cuando se cancele una oportunidad"/>
    <x v="8"/>
    <x v="0"/>
    <x v="0"/>
    <s v="Backlog"/>
    <n v="38"/>
    <n v="0.03"/>
    <n v="1"/>
    <n v="1"/>
    <n v="1"/>
    <n v="100"/>
    <x v="1"/>
  </r>
  <r>
    <x v="0"/>
    <s v="SainteLague"/>
    <n v="687"/>
    <n v="74950"/>
    <s v="IOP | Instalação e Ativação da Componente Guardian - Nova Hyper V"/>
    <x v="7"/>
    <x v="1"/>
    <x v="3"/>
    <s v="Backlog"/>
    <n v="79"/>
    <n v="0.03"/>
    <n v="1"/>
    <n v="1"/>
    <n v="1"/>
    <n v="100"/>
    <x v="1"/>
  </r>
  <r>
    <x v="0"/>
    <s v="SainteLague"/>
    <n v="688"/>
    <n v="129408"/>
    <s v="API'S para clientes Routing y Canalizaciones (Integración de Clientes)"/>
    <x v="14"/>
    <x v="0"/>
    <x v="0"/>
    <s v="In Definition"/>
    <n v="37"/>
    <n v="0.03"/>
    <n v="1"/>
    <n v="1"/>
    <n v="1"/>
    <n v="100"/>
    <x v="1"/>
  </r>
  <r>
    <x v="0"/>
    <s v="SainteLague"/>
    <n v="689"/>
    <n v="32000"/>
    <s v="Permitir que a api de criação de guias multiprodutos possa ser utilizada por clientes que não sejam preparadores"/>
    <x v="1"/>
    <x v="1"/>
    <x v="0"/>
    <s v="Backlog"/>
    <n v="23"/>
    <n v="0.03"/>
    <n v="1"/>
    <n v="1"/>
    <n v="1"/>
    <n v="100"/>
    <x v="1"/>
  </r>
  <r>
    <x v="0"/>
    <s v="SainteLague"/>
    <n v="690"/>
    <n v="129491"/>
    <s v="[PUDOS] - Entregas y Recogidas Directas en PUDO - Tránsitos ES-ES y ES-PT - Integración bidireccional de Pudos ES-PT, PT-ES"/>
    <x v="0"/>
    <x v="0"/>
    <x v="0"/>
    <s v="Backlog"/>
    <n v="59"/>
    <n v="0.03"/>
    <n v="1"/>
    <n v="1"/>
    <n v="1"/>
    <n v="100"/>
    <x v="1"/>
  </r>
  <r>
    <x v="0"/>
    <s v="SainteLague"/>
    <n v="691"/>
    <n v="31948"/>
    <s v="IOP | Obsolescência WAVE 1 - Windows 7 (evoluir para windows 11)"/>
    <x v="7"/>
    <x v="1"/>
    <x v="3"/>
    <s v="Backlog"/>
    <n v="80"/>
    <n v="0.03"/>
    <n v="1"/>
    <n v="1"/>
    <n v="1"/>
    <n v="100"/>
    <x v="1"/>
  </r>
  <r>
    <x v="0"/>
    <s v="SainteLague"/>
    <n v="692"/>
    <n v="129544"/>
    <s v="[Salesforce Sales] - Modificar el CIF de un centro relacionado cuando se modifique un Prospecto"/>
    <x v="8"/>
    <x v="0"/>
    <x v="0"/>
    <s v="Backlog"/>
    <n v="39"/>
    <n v="0.03"/>
    <n v="1"/>
    <n v="1"/>
    <n v="1"/>
    <n v="100"/>
    <x v="1"/>
  </r>
  <r>
    <x v="0"/>
    <s v="SainteLague"/>
    <n v="693"/>
    <n v="31831"/>
    <s v="Nova Oferta produtos Untracked e Tracked Simples - melhoria de informação site TT 2023 07 24"/>
    <x v="10"/>
    <x v="1"/>
    <x v="0"/>
    <s v="Backlog"/>
    <n v="24"/>
    <n v="0.03"/>
    <n v="1"/>
    <n v="1"/>
    <n v="1"/>
    <n v="100"/>
    <x v="1"/>
  </r>
  <r>
    <x v="0"/>
    <s v="SainteLague"/>
    <n v="694"/>
    <n v="130293"/>
    <s v="[Salesforce Sales] - Clonar cliente de PRODUCCION en UAT"/>
    <x v="14"/>
    <x v="0"/>
    <x v="0"/>
    <s v="Ready for Solution"/>
    <n v="38"/>
    <n v="0.03"/>
    <n v="1"/>
    <n v="1"/>
    <n v="1"/>
    <n v="100"/>
    <x v="1"/>
  </r>
  <r>
    <x v="0"/>
    <s v="SainteLague"/>
    <n v="695"/>
    <n v="31978"/>
    <s v="IOP | Segregação da Rede Privada"/>
    <x v="7"/>
    <x v="1"/>
    <x v="3"/>
    <s v="Backlog"/>
    <n v="81"/>
    <n v="0.03"/>
    <n v="1"/>
    <n v="1"/>
    <n v="1"/>
    <n v="100"/>
    <x v="1"/>
  </r>
  <r>
    <x v="0"/>
    <s v="SainteLague"/>
    <n v="696"/>
    <n v="129912"/>
    <s v="[Web de Clientes] - Reportes: Suscripción Informes incidencias con disponibilidad a demanda"/>
    <x v="0"/>
    <x v="0"/>
    <x v="0"/>
    <s v="In Definition"/>
    <n v="60"/>
    <n v="0.03"/>
    <n v="1"/>
    <n v="1"/>
    <n v="1"/>
    <n v="100"/>
    <x v="1"/>
  </r>
  <r>
    <x v="0"/>
    <s v="SainteLague"/>
    <n v="697"/>
    <n v="31900"/>
    <s v="Motor de Pesquisa de Varios objetos no T&amp;T"/>
    <x v="24"/>
    <x v="1"/>
    <x v="0"/>
    <s v="Backlog"/>
    <n v="15"/>
    <n v="0.03"/>
    <n v="1"/>
    <n v="1"/>
    <n v="1"/>
    <n v="100"/>
    <x v="1"/>
  </r>
  <r>
    <x v="0"/>
    <s v="SainteLague"/>
    <n v="698"/>
    <n v="130174"/>
    <s v="[PUDOS] - Automatización de comunicación de eventos de Celeritas - CTT"/>
    <x v="0"/>
    <x v="0"/>
    <x v="0"/>
    <s v="Backlog"/>
    <n v="61"/>
    <n v="0.03"/>
    <n v="1"/>
    <n v="1"/>
    <n v="1"/>
    <n v="100"/>
    <x v="1"/>
  </r>
  <r>
    <x v="0"/>
    <s v="SainteLague"/>
    <n v="699"/>
    <n v="32020"/>
    <s v="ETCP - Anomalia na Integração do ficheiro das recolhas"/>
    <x v="21"/>
    <x v="1"/>
    <x v="0"/>
    <s v="In Definition"/>
    <n v="18"/>
    <n v="0.03"/>
    <n v="1"/>
    <n v="1"/>
    <n v="1"/>
    <n v="100"/>
    <x v="1"/>
  </r>
  <r>
    <x v="0"/>
    <s v="SainteLague"/>
    <n v="700"/>
    <n v="129548"/>
    <s v="[Salesforce] - Marca que permita determinar si un Lead es reasignable en el CRM"/>
    <x v="8"/>
    <x v="0"/>
    <x v="0"/>
    <s v="Backlog"/>
    <n v="42"/>
    <n v="0.03"/>
    <n v="1"/>
    <n v="1"/>
    <n v="1"/>
    <n v="100"/>
    <x v="1"/>
  </r>
  <r>
    <x v="0"/>
    <s v="SainteLague"/>
    <n v="701"/>
    <n v="90947"/>
    <s v="Descontinuação das Guias em Papel e Aplicações Locais – Introdução de um custo adicional"/>
    <x v="1"/>
    <x v="1"/>
    <x v="0"/>
    <s v="Backlog"/>
    <n v="24"/>
    <n v="0.03"/>
    <n v="1"/>
    <n v="1"/>
    <n v="1"/>
    <n v="100"/>
    <x v="1"/>
  </r>
  <r>
    <x v="0"/>
    <s v="SainteLague"/>
    <n v="702"/>
    <n v="129863"/>
    <s v="Publicar en Mule para Integrations recipient_available_actions"/>
    <x v="14"/>
    <x v="0"/>
    <x v="0"/>
    <s v="In Definition"/>
    <n v="39"/>
    <n v="0.03"/>
    <n v="1"/>
    <n v="1"/>
    <n v="1"/>
    <n v="100"/>
    <x v="1"/>
  </r>
  <r>
    <x v="0"/>
    <s v="SainteLague"/>
    <n v="703"/>
    <n v="31779"/>
    <s v="GPECL/DIS - CTT Now melhorias aplicação"/>
    <x v="10"/>
    <x v="1"/>
    <x v="0"/>
    <s v="Backlog"/>
    <n v="25"/>
    <n v="0.03"/>
    <n v="1"/>
    <n v="1"/>
    <n v="1"/>
    <n v="100"/>
    <x v="1"/>
  </r>
  <r>
    <x v="0"/>
    <s v="SainteLague"/>
    <n v="704"/>
    <n v="130101"/>
    <s v="[PUDOS] - Check para permitir a cliente elegir si dtt recibe notificaciones del estado del envío"/>
    <x v="0"/>
    <x v="0"/>
    <x v="0"/>
    <s v="Backlog"/>
    <n v="62"/>
    <n v="0.03"/>
    <n v="1"/>
    <n v="1"/>
    <n v="1"/>
    <n v="100"/>
    <x v="1"/>
  </r>
  <r>
    <x v="0"/>
    <s v="SainteLague"/>
    <n v="705"/>
    <n v="92336"/>
    <s v="Mata Aplicações - Wave 1.X - ELS"/>
    <x v="27"/>
    <x v="1"/>
    <x v="0"/>
    <s v="Backlog"/>
    <n v="14"/>
    <n v="0.03"/>
    <n v="1"/>
    <n v="1"/>
    <n v="1"/>
    <n v="100"/>
    <x v="1"/>
  </r>
  <r>
    <x v="0"/>
    <s v="SainteLague"/>
    <n v="706"/>
    <n v="136973"/>
    <s v="[Salesforce Sales] - Incorporación de nuevos Subsegmentos SME"/>
    <x v="8"/>
    <x v="0"/>
    <x v="0"/>
    <s v="Backlog"/>
    <n v="47"/>
    <n v="0.03"/>
    <n v="1"/>
    <n v="1"/>
    <n v="1"/>
    <n v="100"/>
    <x v="1"/>
  </r>
  <r>
    <x v="0"/>
    <s v="SainteLague"/>
    <n v="707"/>
    <n v="31662"/>
    <s v="WebService GEO Subscrição, Relatórios e Alertas"/>
    <x v="1"/>
    <x v="1"/>
    <x v="0"/>
    <s v="Backlog"/>
    <n v="25"/>
    <n v="0.03"/>
    <n v="1"/>
    <n v="1"/>
    <n v="1"/>
    <n v="100"/>
    <x v="1"/>
  </r>
  <r>
    <x v="0"/>
    <s v="SainteLague"/>
    <n v="708"/>
    <n v="129549"/>
    <s v="[Desconexión SGC] [WebHook] - Dupla Logistics - Envío de estados"/>
    <x v="14"/>
    <x v="0"/>
    <x v="0"/>
    <s v="In Definition"/>
    <n v="40"/>
    <n v="0.03"/>
    <n v="1"/>
    <n v="1"/>
    <n v="1"/>
    <n v="100"/>
    <x v="1"/>
  </r>
  <r>
    <x v="0"/>
    <s v="SainteLague"/>
    <n v="709"/>
    <n v="31753"/>
    <s v="GPECL/DIS - CTT Now Visibilidade sobre pedidos Programados"/>
    <x v="10"/>
    <x v="1"/>
    <x v="0"/>
    <s v="Backlog"/>
    <n v="26"/>
    <n v="0.03"/>
    <n v="1"/>
    <n v="1"/>
    <n v="1"/>
    <n v="100"/>
    <x v="1"/>
  </r>
  <r>
    <x v="0"/>
    <s v="SainteLague"/>
    <n v="710"/>
    <n v="130284"/>
    <s v="[PUDOS] - Mecanismo de diferenciación de recogidas en los COs. Recogidas vs. RDP"/>
    <x v="0"/>
    <x v="0"/>
    <x v="0"/>
    <s v="Backlog"/>
    <n v="63"/>
    <n v="0.03"/>
    <n v="1"/>
    <n v="1"/>
    <n v="1"/>
    <n v="100"/>
    <x v="1"/>
  </r>
  <r>
    <x v="0"/>
    <s v="SainteLague"/>
    <n v="711"/>
    <n v="32004"/>
    <s v="Amazon - Melhorias ao processo atual"/>
    <x v="21"/>
    <x v="1"/>
    <x v="0"/>
    <s v="In Definition"/>
    <n v="19"/>
    <n v="0.03"/>
    <n v="1"/>
    <n v="1"/>
    <n v="1"/>
    <n v="100"/>
    <x v="1"/>
  </r>
  <r>
    <x v="0"/>
    <s v="SainteLague"/>
    <n v="712"/>
    <n v="130253"/>
    <s v="[PUDOS] - Envíos Punto-Punto"/>
    <x v="0"/>
    <x v="0"/>
    <x v="0"/>
    <s v="Backlog"/>
    <n v="64"/>
    <n v="0.03"/>
    <n v="1"/>
    <n v="1"/>
    <n v="1"/>
    <n v="100"/>
    <x v="1"/>
  </r>
  <r>
    <x v="0"/>
    <s v="SainteLague"/>
    <n v="713"/>
    <n v="31901"/>
    <s v="Motor de Pesquisa de Varios objetos no S&amp;V"/>
    <x v="24"/>
    <x v="1"/>
    <x v="0"/>
    <s v="Backlog"/>
    <n v="16"/>
    <n v="0.03"/>
    <n v="1"/>
    <n v="1"/>
    <n v="1"/>
    <n v="100"/>
    <x v="1"/>
  </r>
  <r>
    <x v="0"/>
    <s v="SainteLague"/>
    <n v="714"/>
    <n v="136913"/>
    <s v="[Qlik] - App Control de Efectivos (incorporación de Kpis)"/>
    <x v="8"/>
    <x v="0"/>
    <x v="0"/>
    <s v="Backlog"/>
    <n v="48"/>
    <n v="0.04"/>
    <n v="2"/>
    <n v="1"/>
    <n v="1"/>
    <n v="100"/>
    <x v="1"/>
  </r>
  <r>
    <x v="0"/>
    <s v="SainteLague"/>
    <n v="715"/>
    <n v="31649"/>
    <s v="Reformular o serviço Alterar Entrega de Correio (SIGA)"/>
    <x v="1"/>
    <x v="1"/>
    <x v="0"/>
    <s v="Backlog"/>
    <n v="26"/>
    <n v="0.03"/>
    <n v="1"/>
    <n v="1"/>
    <n v="1"/>
    <n v="100"/>
    <x v="1"/>
  </r>
  <r>
    <x v="0"/>
    <s v="SainteLague"/>
    <n v="716"/>
    <n v="130024"/>
    <s v="[Desconexión SGC] [WebHook] - Celeritas - Transmisión de estados"/>
    <x v="14"/>
    <x v="0"/>
    <x v="0"/>
    <s v="In Definition"/>
    <n v="41"/>
    <n v="0.03"/>
    <n v="1"/>
    <n v="1"/>
    <n v="1"/>
    <n v="100"/>
    <x v="1"/>
  </r>
  <r>
    <x v="0"/>
    <s v="SainteLague"/>
    <n v="717"/>
    <n v="31697"/>
    <s v="ECL/PSC - Identificação de giros de distribuição (green delivery)"/>
    <x v="10"/>
    <x v="1"/>
    <x v="0"/>
    <s v="Backlog"/>
    <n v="27"/>
    <n v="0.03"/>
    <n v="1"/>
    <n v="1"/>
    <n v="1"/>
    <n v="100"/>
    <x v="1"/>
  </r>
  <r>
    <x v="0"/>
    <s v="SainteLague"/>
    <n v="718"/>
    <n v="129979"/>
    <s v="[PUDOS] - Mejora servicio VDP"/>
    <x v="0"/>
    <x v="0"/>
    <x v="0"/>
    <s v="Backlog"/>
    <n v="65"/>
    <n v="0.03"/>
    <n v="1"/>
    <n v="1"/>
    <n v="1"/>
    <n v="100"/>
    <x v="1"/>
  </r>
  <r>
    <x v="0"/>
    <s v="SainteLague"/>
    <n v="719"/>
    <n v="133243"/>
    <s v="Citrix nas lojas - Análise para Eliminação / substituição"/>
    <x v="21"/>
    <x v="1"/>
    <x v="0"/>
    <s v="Backlog"/>
    <n v="20"/>
    <n v="0.03"/>
    <n v="1"/>
    <n v="1"/>
    <n v="1"/>
    <n v="100"/>
    <x v="1"/>
  </r>
  <r>
    <x v="0"/>
    <s v="SainteLague"/>
    <n v="720"/>
    <n v="135029"/>
    <s v="[Salesforce Sales] - Brokers y MBE: Permitir generación de usuarios web"/>
    <x v="8"/>
    <x v="0"/>
    <x v="0"/>
    <s v="Backlog"/>
    <n v="49"/>
    <n v="2.6"/>
    <n v="3"/>
    <n v="5"/>
    <n v="5"/>
    <n v="5"/>
    <x v="1"/>
  </r>
  <r>
    <x v="0"/>
    <s v="SainteLague"/>
    <n v="721"/>
    <n v="32106"/>
    <s v="Eliminação da impressão da guia da Loja na aceitação de objetos CTT Expresso (contratual e ocasional)"/>
    <x v="24"/>
    <x v="1"/>
    <x v="0"/>
    <s v="Backlog"/>
    <n v="17"/>
    <n v="0.03"/>
    <n v="1"/>
    <n v="1"/>
    <n v="1"/>
    <n v="100"/>
    <x v="1"/>
  </r>
  <r>
    <x v="0"/>
    <s v="SainteLague"/>
    <n v="722"/>
    <n v="130145"/>
    <s v="Manifest - Estandarización de formato DNI en envíoscon adicional RID: Transformación automática a mayúsculas"/>
    <x v="14"/>
    <x v="0"/>
    <x v="0"/>
    <s v="Backlog"/>
    <n v="42"/>
    <n v="0.03"/>
    <n v="1"/>
    <n v="1"/>
    <n v="1"/>
    <n v="100"/>
    <x v="1"/>
  </r>
  <r>
    <x v="0"/>
    <s v="SainteLague"/>
    <n v="723"/>
    <n v="31646"/>
    <s v="PED-2019-00062_PRIO#34_Dinamização do negócio da exportação"/>
    <x v="1"/>
    <x v="1"/>
    <x v="0"/>
    <s v="Backlog"/>
    <n v="27"/>
    <n v="0.03"/>
    <n v="1"/>
    <n v="1"/>
    <n v="1"/>
    <n v="100"/>
    <x v="1"/>
  </r>
  <r>
    <x v="0"/>
    <s v="SainteLague"/>
    <n v="724"/>
    <n v="130318"/>
    <s v="[Web publica] - Permitir a los destinatarios buscar un envío por número de etiqueta de enlace asociada en el localizador"/>
    <x v="0"/>
    <x v="0"/>
    <x v="0"/>
    <s v="Backlog"/>
    <n v="66"/>
    <n v="0.03"/>
    <n v="1"/>
    <n v="1"/>
    <n v="1"/>
    <n v="100"/>
    <x v="1"/>
  </r>
  <r>
    <x v="0"/>
    <s v="SainteLague"/>
    <n v="725"/>
    <n v="31675"/>
    <s v="ECL/GPR - Peso Default por Produto Expresso e Carga"/>
    <x v="10"/>
    <x v="1"/>
    <x v="0"/>
    <s v="Backlog"/>
    <n v="28"/>
    <n v="0.03"/>
    <n v="1"/>
    <n v="1"/>
    <n v="1"/>
    <n v="100"/>
    <x v="1"/>
  </r>
  <r>
    <x v="0"/>
    <s v="SainteLague"/>
    <n v="726"/>
    <n v="130399"/>
    <s v="[PUDOS] - Descuento comercial RDP"/>
    <x v="0"/>
    <x v="0"/>
    <x v="0"/>
    <s v="Backlog"/>
    <n v="68"/>
    <n v="0.03"/>
    <n v="1"/>
    <n v="1"/>
    <n v="1"/>
    <n v="100"/>
    <x v="1"/>
  </r>
  <r>
    <x v="0"/>
    <s v="SainteLague"/>
    <n v="727"/>
    <n v="46567"/>
    <s v="A receita dos Postos Venda de Selos (PVS)"/>
    <x v="21"/>
    <x v="1"/>
    <x v="0"/>
    <s v="Backlog"/>
    <n v="21"/>
    <n v="0.03"/>
    <n v="1"/>
    <n v="1"/>
    <n v="1"/>
    <n v="100"/>
    <x v="1"/>
  </r>
  <r>
    <x v="0"/>
    <s v="SainteLague"/>
    <n v="728"/>
    <n v="130278"/>
    <s v="[Salesforce Sales] - Notificaciones del Plan de Acompañamiento automáticas"/>
    <x v="8"/>
    <x v="0"/>
    <x v="0"/>
    <s v="Backlog"/>
    <n v="51"/>
    <n v="0.03"/>
    <n v="1"/>
    <n v="1"/>
    <n v="1"/>
    <n v="100"/>
    <x v="1"/>
  </r>
  <r>
    <x v="0"/>
    <s v="SainteLague"/>
    <n v="729"/>
    <n v="31620"/>
    <s v="Serviços Reexpedição e Retenção - Implementar melhorias"/>
    <x v="1"/>
    <x v="1"/>
    <x v="0"/>
    <s v="Backlog"/>
    <n v="28"/>
    <n v="0.03"/>
    <n v="1"/>
    <n v="1"/>
    <n v="1"/>
    <n v="100"/>
    <x v="1"/>
  </r>
  <r>
    <x v="0"/>
    <s v="SainteLague"/>
    <n v="730"/>
    <n v="129535"/>
    <s v="[Salesforce Integración Clientes] - Nueva lógica creación de implementaciones"/>
    <x v="14"/>
    <x v="0"/>
    <x v="0"/>
    <s v="Ready for Solution"/>
    <n v="43"/>
    <n v="0.03"/>
    <n v="1"/>
    <n v="1"/>
    <n v="1"/>
    <n v="100"/>
    <x v="1"/>
  </r>
  <r>
    <x v="0"/>
    <s v="SainteLague"/>
    <n v="731"/>
    <n v="126476"/>
    <s v="Evolutivos eCommerce PT | Carga e Internacional Expresso"/>
    <x v="10"/>
    <x v="1"/>
    <x v="0"/>
    <s v="Pitch"/>
    <n v="30"/>
    <n v="0.03"/>
    <n v="1"/>
    <n v="1"/>
    <n v="1"/>
    <n v="100"/>
    <x v="1"/>
  </r>
  <r>
    <x v="0"/>
    <s v="SainteLague"/>
    <n v="732"/>
    <n v="130247"/>
    <s v="[Web clientes - Mapper] - Evolución completa de grabación masiva en Cloud"/>
    <x v="0"/>
    <x v="0"/>
    <x v="0"/>
    <s v="Backlog"/>
    <n v="69"/>
    <n v="0.03"/>
    <n v="1"/>
    <n v="1"/>
    <n v="1"/>
    <n v="100"/>
    <x v="1"/>
  </r>
  <r>
    <x v="0"/>
    <s v="SainteLague"/>
    <n v="733"/>
    <n v="94489"/>
    <s v="Faturação Agentes Payshop - automatização e integração processo CTT"/>
    <x v="24"/>
    <x v="1"/>
    <x v="0"/>
    <s v="Backlog"/>
    <n v="18"/>
    <n v="0.03"/>
    <n v="1"/>
    <n v="1"/>
    <n v="1"/>
    <n v="100"/>
    <x v="1"/>
  </r>
  <r>
    <x v="0"/>
    <s v="SainteLague"/>
    <n v="734"/>
    <n v="129662"/>
    <s v="Nueva estrategia de integración de Clientes (TC)"/>
    <x v="8"/>
    <x v="0"/>
    <x v="0"/>
    <s v="Backlog"/>
    <n v="52"/>
    <n v="0.03"/>
    <n v="1"/>
    <n v="1"/>
    <n v="1"/>
    <n v="100"/>
    <x v="1"/>
  </r>
  <r>
    <x v="0"/>
    <s v="SainteLague"/>
    <n v="735"/>
    <n v="31778"/>
    <s v="Simulador Correio Editorial - Jornais e Publicações Periódicas (JPP) e Livros"/>
    <x v="1"/>
    <x v="1"/>
    <x v="0"/>
    <s v="Backlog"/>
    <n v="29"/>
    <n v="0.03"/>
    <n v="1"/>
    <n v="1"/>
    <n v="1"/>
    <n v="100"/>
    <x v="1"/>
  </r>
  <r>
    <x v="0"/>
    <s v="SainteLague"/>
    <n v="736"/>
    <n v="129554"/>
    <s v="[Salesforce Integración Clientes] - Automatizar el cierre de una implementación exitosa"/>
    <x v="14"/>
    <x v="0"/>
    <x v="0"/>
    <s v="Backlog"/>
    <n v="44"/>
    <n v="0.03"/>
    <n v="1"/>
    <n v="1"/>
    <n v="1"/>
    <n v="100"/>
    <x v="1"/>
  </r>
  <r>
    <x v="0"/>
    <s v="SainteLague"/>
    <n v="737"/>
    <n v="32123"/>
    <s v="Integração do ficheiro de pré-aviso do cliente ETCP / MEO com entrega direta em ponto"/>
    <x v="21"/>
    <x v="1"/>
    <x v="0"/>
    <s v="Backlog"/>
    <n v="22"/>
    <n v="0.03"/>
    <n v="1"/>
    <n v="1"/>
    <n v="1"/>
    <n v="100"/>
    <x v="1"/>
  </r>
  <r>
    <x v="0"/>
    <s v="SainteLague"/>
    <n v="738"/>
    <n v="129941"/>
    <s v="[PUDOS] - Creación de alarma ante la falta de recepción de órdenes de recogidas de caducados Celeritas"/>
    <x v="0"/>
    <x v="0"/>
    <x v="0"/>
    <s v="Backlog"/>
    <n v="70"/>
    <n v="0.03"/>
    <n v="1"/>
    <n v="1"/>
    <n v="1"/>
    <n v="100"/>
    <x v="1"/>
  </r>
  <r>
    <x v="0"/>
    <s v="SainteLague"/>
    <n v="739"/>
    <n v="31638"/>
    <s v="Desenvolvimentos NAVe - Aceitação campanhas DM inferiores a 100obj"/>
    <x v="1"/>
    <x v="1"/>
    <x v="0"/>
    <s v="Backlog"/>
    <n v="30"/>
    <n v="0.03"/>
    <n v="1"/>
    <n v="1"/>
    <n v="1"/>
    <n v="100"/>
    <x v="1"/>
  </r>
  <r>
    <x v="0"/>
    <s v="SainteLague"/>
    <n v="740"/>
    <n v="130472"/>
    <s v="[Minerva] - Modificar la plantilla de respuesta de Signaturit cuando se firma un contrato"/>
    <x v="0"/>
    <x v="0"/>
    <x v="0"/>
    <s v="Backlog"/>
    <n v="71"/>
    <n v="0.03"/>
    <n v="1"/>
    <n v="1"/>
    <n v="1"/>
    <n v="100"/>
    <x v="1"/>
  </r>
  <r>
    <x v="0"/>
    <s v="SainteLague"/>
    <n v="741"/>
    <n v="94915"/>
    <s v="Agentes Payshop - criação de base de dados certificada com ligação a ferramenta de edição/consulta"/>
    <x v="24"/>
    <x v="1"/>
    <x v="0"/>
    <s v="Backlog"/>
    <n v="19"/>
    <n v="0.03"/>
    <n v="1"/>
    <n v="1"/>
    <n v="1"/>
    <n v="100"/>
    <x v="1"/>
  </r>
  <r>
    <x v="0"/>
    <s v="SainteLague"/>
    <n v="742"/>
    <n v="129653"/>
    <s v="Revisión feedback a Clientes conectados a SGC (legacy)"/>
    <x v="8"/>
    <x v="0"/>
    <x v="0"/>
    <s v="Backlog"/>
    <n v="53"/>
    <n v="0.03"/>
    <n v="1"/>
    <n v="1"/>
    <n v="1"/>
    <n v="100"/>
    <x v="1"/>
  </r>
  <r>
    <x v="0"/>
    <s v="SainteLague"/>
    <n v="743"/>
    <n v="32224"/>
    <s v="Afetação Receita Vendas Loja Online a Gestores de clientes e hierarquia"/>
    <x v="21"/>
    <x v="1"/>
    <x v="0"/>
    <s v="Backlog"/>
    <n v="23"/>
    <n v="0.03"/>
    <n v="1"/>
    <n v="1"/>
    <n v="1"/>
    <n v="100"/>
    <x v="1"/>
  </r>
  <r>
    <x v="0"/>
    <s v="SainteLague"/>
    <n v="744"/>
    <n v="129555"/>
    <s v="[Salesforce] - Relacionar una implementación entre varios clientes que cuelgan de un mismo grupo de empresa"/>
    <x v="14"/>
    <x v="0"/>
    <x v="0"/>
    <s v="Ready for Solution"/>
    <n v="45"/>
    <n v="0.03"/>
    <n v="1"/>
    <n v="1"/>
    <n v="1"/>
    <n v="100"/>
    <x v="1"/>
  </r>
  <r>
    <x v="0"/>
    <s v="SainteLague"/>
    <n v="745"/>
    <n v="31651"/>
    <s v="Atualização Catálogo Produtos e Otimização de Guias de Remessa (Operações de Filatelia)"/>
    <x v="24"/>
    <x v="1"/>
    <x v="0"/>
    <s v="Backlog"/>
    <n v="20"/>
    <n v="0.03"/>
    <n v="1"/>
    <n v="1"/>
    <n v="1"/>
    <n v="100"/>
    <x v="1"/>
  </r>
  <r>
    <x v="0"/>
    <s v="SainteLague"/>
    <n v="746"/>
    <n v="129668"/>
    <s v="[PUDOS] - Automatización de la facturación cruzada con las redes de puntos."/>
    <x v="0"/>
    <x v="0"/>
    <x v="0"/>
    <s v="Backlog"/>
    <n v="72"/>
    <n v="0.03"/>
    <n v="1"/>
    <n v="1"/>
    <n v="1"/>
    <n v="100"/>
    <x v="1"/>
  </r>
  <r>
    <x v="0"/>
    <s v="SainteLague"/>
    <n v="747"/>
    <n v="32211"/>
    <s v="Alteração de dados à query designada por Sandra Teams PUDO para loky 16-10-2023"/>
    <x v="21"/>
    <x v="1"/>
    <x v="0"/>
    <s v="Backlog"/>
    <n v="24"/>
    <n v="0.03"/>
    <n v="1"/>
    <n v="1"/>
    <n v="1"/>
    <n v="100"/>
    <x v="1"/>
  </r>
  <r>
    <x v="0"/>
    <s v="SainteLague"/>
    <n v="748"/>
    <n v="129562"/>
    <s v="[Auditoria PT] [Salesforce Sales] - (Des)Activación de clientes centros y usuarios por cese o impagos"/>
    <x v="8"/>
    <x v="0"/>
    <x v="0"/>
    <s v="Backlog"/>
    <n v="54"/>
    <n v="0.03"/>
    <n v="1"/>
    <n v="1"/>
    <n v="1"/>
    <n v="100"/>
    <x v="1"/>
  </r>
  <r>
    <x v="0"/>
    <s v="SainteLague"/>
    <n v="749"/>
    <n v="43204"/>
    <s v="Desmaterialização Documentos Multicare"/>
    <x v="21"/>
    <x v="1"/>
    <x v="0"/>
    <s v="In Definition"/>
    <n v="25"/>
    <n v="0.03"/>
    <n v="1"/>
    <n v="1"/>
    <n v="1"/>
    <n v="100"/>
    <x v="1"/>
  </r>
  <r>
    <x v="0"/>
    <s v="SainteLague"/>
    <n v="750"/>
    <n v="130567"/>
    <s v="[ID LOGISTICS] Estados De Portugal no visibles en SGC/API REST y URL web en España (envíos origen ES, destino PT)"/>
    <x v="14"/>
    <x v="0"/>
    <x v="0"/>
    <s v="Backlog"/>
    <n v="46"/>
    <n v="0.03"/>
    <n v="1"/>
    <n v="1"/>
    <n v="1"/>
    <n v="100"/>
    <x v="1"/>
  </r>
  <r>
    <x v="0"/>
    <s v="SainteLague"/>
    <n v="751"/>
    <n v="31879"/>
    <s v="Planeamento e Controlo Diário - Conciliação Modelo A"/>
    <x v="24"/>
    <x v="1"/>
    <x v="0"/>
    <s v="Backlog"/>
    <n v="21"/>
    <n v="0.03"/>
    <n v="1"/>
    <n v="1"/>
    <n v="1"/>
    <n v="100"/>
    <x v="1"/>
  </r>
  <r>
    <x v="0"/>
    <s v="SainteLague"/>
    <n v="752"/>
    <n v="130602"/>
    <s v="[PUDOS] - Notificaciones de RDP origen PT"/>
    <x v="0"/>
    <x v="0"/>
    <x v="0"/>
    <s v="Backlog"/>
    <n v="73"/>
    <n v="0.03"/>
    <n v="1"/>
    <n v="1"/>
    <n v="1"/>
    <n v="100"/>
    <x v="1"/>
  </r>
  <r>
    <x v="0"/>
    <s v="SainteLague"/>
    <n v="753"/>
    <n v="50738"/>
    <s v="Piloto para experimentar o SW do BCE na loja"/>
    <x v="21"/>
    <x v="1"/>
    <x v="0"/>
    <s v="Backlog"/>
    <n v="26"/>
    <n v="0.03"/>
    <n v="1"/>
    <n v="1"/>
    <n v="1"/>
    <n v="100"/>
    <x v="1"/>
  </r>
  <r>
    <x v="0"/>
    <s v="SainteLague"/>
    <n v="754"/>
    <n v="130452"/>
    <s v="[Web de clientes] - Setting: Configurar envío predeterminado"/>
    <x v="0"/>
    <x v="0"/>
    <x v="0"/>
    <s v="Backlog"/>
    <n v="74"/>
    <n v="0.03"/>
    <n v="1"/>
    <n v="1"/>
    <n v="1"/>
    <n v="100"/>
    <x v="1"/>
  </r>
  <r>
    <x v="0"/>
    <s v="SainteLague"/>
    <n v="755"/>
    <n v="31783"/>
    <s v="Adiantamentos para D+1 a PCTT encerrados em D"/>
    <x v="24"/>
    <x v="1"/>
    <x v="0"/>
    <s v="Backlog"/>
    <n v="22"/>
    <n v="0.03"/>
    <n v="1"/>
    <n v="1"/>
    <n v="1"/>
    <n v="100"/>
    <x v="1"/>
  </r>
  <r>
    <x v="0"/>
    <s v="SainteLague"/>
    <n v="756"/>
    <n v="129560"/>
    <s v="[Salesforce] - Gestión de casos asignados al área comercial"/>
    <x v="8"/>
    <x v="0"/>
    <x v="0"/>
    <s v="Backlog"/>
    <n v="55"/>
    <n v="0.03"/>
    <n v="1"/>
    <n v="1"/>
    <n v="1"/>
    <n v="100"/>
    <x v="1"/>
  </r>
  <r>
    <x v="0"/>
    <s v="SainteLague"/>
    <n v="757"/>
    <n v="55478"/>
    <s v="Alteração Ficheiro Pontos CTT - Cliente Nespresso"/>
    <x v="21"/>
    <x v="1"/>
    <x v="0"/>
    <s v="In Definition"/>
    <n v="27"/>
    <n v="0.03"/>
    <n v="1"/>
    <n v="1"/>
    <n v="1"/>
    <n v="100"/>
    <x v="1"/>
  </r>
  <r>
    <x v="0"/>
    <s v="SainteLague"/>
    <n v="758"/>
    <n v="130340"/>
    <s v="[Desconexión SGC] - Migración exportación estados e informes a Cloud"/>
    <x v="14"/>
    <x v="0"/>
    <x v="0"/>
    <s v="Backlog"/>
    <n v="47"/>
    <n v="0.03"/>
    <n v="1"/>
    <n v="1"/>
    <n v="1"/>
    <n v="100"/>
    <x v="1"/>
  </r>
  <r>
    <x v="0"/>
    <s v="SainteLague"/>
    <n v="759"/>
    <n v="31843"/>
    <s v="BFT - Faturas com 4 casas decimais"/>
    <x v="24"/>
    <x v="1"/>
    <x v="0"/>
    <s v="Backlog"/>
    <n v="23"/>
    <n v="0.03"/>
    <n v="1"/>
    <n v="1"/>
    <n v="1"/>
    <n v="100"/>
    <x v="1"/>
  </r>
  <r>
    <x v="0"/>
    <s v="SainteLague"/>
    <n v="760"/>
    <n v="130454"/>
    <s v="[Producto] - Incorporar Validación DNI / PIN (Servicio actual)"/>
    <x v="0"/>
    <x v="0"/>
    <x v="0"/>
    <s v="In Definition"/>
    <n v="76"/>
    <n v="0.03"/>
    <n v="1"/>
    <n v="1"/>
    <n v="1"/>
    <n v="100"/>
    <x v="1"/>
  </r>
  <r>
    <x v="0"/>
    <s v="SainteLague"/>
    <n v="761"/>
    <n v="60938"/>
    <s v="Fornecimentos automáticos de material vendável às lojas"/>
    <x v="21"/>
    <x v="1"/>
    <x v="0"/>
    <s v="Backlog"/>
    <n v="28"/>
    <n v="0.03"/>
    <n v="1"/>
    <n v="1"/>
    <n v="1"/>
    <n v="100"/>
    <x v="1"/>
  </r>
  <r>
    <x v="0"/>
    <s v="SainteLague"/>
    <n v="762"/>
    <n v="129557"/>
    <s v="[Salesforce Sales] - Nuevo Campo Cuenta tipo Cliente y centro: &quot;Gestión por&quot;"/>
    <x v="8"/>
    <x v="0"/>
    <x v="0"/>
    <s v="Backlog"/>
    <n v="56"/>
    <n v="0.03"/>
    <n v="1"/>
    <n v="1"/>
    <n v="1"/>
    <n v="100"/>
    <x v="1"/>
  </r>
  <r>
    <x v="0"/>
    <s v="SainteLague"/>
    <n v="763"/>
    <n v="32100"/>
    <s v="Criação Seção dados Complementares"/>
    <x v="24"/>
    <x v="1"/>
    <x v="0"/>
    <s v="Backlog"/>
    <n v="24"/>
    <n v="0.03"/>
    <n v="1"/>
    <n v="1"/>
    <n v="1"/>
    <n v="100"/>
    <x v="1"/>
  </r>
  <r>
    <x v="0"/>
    <s v="SainteLague"/>
    <n v="764"/>
    <n v="130475"/>
    <s v="Odoo - Implementación remitente personalizado"/>
    <x v="14"/>
    <x v="0"/>
    <x v="0"/>
    <s v="Backlog"/>
    <n v="48"/>
    <n v="0.03"/>
    <n v="1"/>
    <n v="1"/>
    <n v="1"/>
    <n v="100"/>
    <x v="1"/>
  </r>
  <r>
    <x v="0"/>
    <s v="SainteLague"/>
    <n v="765"/>
    <n v="65058"/>
    <s v="El corte Inglês - Relatorios de Conciliação forma automatica"/>
    <x v="21"/>
    <x v="1"/>
    <x v="0"/>
    <s v="In Definition"/>
    <n v="29"/>
    <n v="0.03"/>
    <n v="1"/>
    <n v="1"/>
    <n v="1"/>
    <n v="100"/>
    <x v="1"/>
  </r>
  <r>
    <x v="0"/>
    <s v="SainteLague"/>
    <n v="766"/>
    <n v="130285"/>
    <s v="[Web de Clientes] - Minerva Ratings - Actualizar el perfil tarifario de clientes al estándar de 1-20 envíos comprometidos para que visualice su tarifa en la web"/>
    <x v="0"/>
    <x v="0"/>
    <x v="0"/>
    <s v="Backlog"/>
    <n v="78"/>
    <n v="0.03"/>
    <n v="1"/>
    <n v="1"/>
    <n v="1"/>
    <n v="100"/>
    <x v="1"/>
  </r>
  <r>
    <x v="0"/>
    <s v="SainteLague"/>
    <n v="767"/>
    <n v="31755"/>
    <s v="Impressoras Termicas (Clientes Externos) - certificação de varios modelos e handover para EM"/>
    <x v="24"/>
    <x v="1"/>
    <x v="0"/>
    <s v="Backlog"/>
    <n v="25"/>
    <n v="0.03"/>
    <n v="1"/>
    <n v="1"/>
    <n v="1"/>
    <n v="100"/>
    <x v="1"/>
  </r>
  <r>
    <x v="0"/>
    <s v="SainteLague"/>
    <n v="768"/>
    <n v="130290"/>
    <s v="[Web de Clientes] - Minerva Ratings - Visualización incorrecta de tarifa del cliente 00052"/>
    <x v="0"/>
    <x v="0"/>
    <x v="0"/>
    <s v="Backlog"/>
    <n v="79"/>
    <n v="0.03"/>
    <n v="1"/>
    <n v="1"/>
    <n v="1"/>
    <n v="100"/>
    <x v="1"/>
  </r>
  <r>
    <x v="0"/>
    <s v="SainteLague"/>
    <n v="769"/>
    <n v="85248"/>
    <s v="Gestão de Stocks Vending em SAP"/>
    <x v="21"/>
    <x v="1"/>
    <x v="0"/>
    <s v="Backlog"/>
    <n v="30"/>
    <n v="0.03"/>
    <n v="1"/>
    <n v="1"/>
    <n v="1"/>
    <n v="100"/>
    <x v="1"/>
  </r>
  <r>
    <x v="0"/>
    <s v="SainteLague"/>
    <n v="770"/>
    <n v="130556"/>
    <s v="Identificacion Clientes y Metodos de integracion que usan [Objetos con origen en España sin Cp7]"/>
    <x v="14"/>
    <x v="0"/>
    <x v="0"/>
    <s v="Backlog"/>
    <n v="49"/>
    <n v="0.03"/>
    <n v="1"/>
    <n v="1"/>
    <n v="1"/>
    <n v="100"/>
    <x v="1"/>
  </r>
  <r>
    <x v="0"/>
    <s v="SainteLague"/>
    <n v="771"/>
    <n v="88579"/>
    <s v="Automatização de validação do QR Code de Selos"/>
    <x v="21"/>
    <x v="1"/>
    <x v="0"/>
    <s v="In Definition"/>
    <n v="31"/>
    <n v="0.03"/>
    <n v="1"/>
    <n v="1"/>
    <n v="1"/>
    <n v="100"/>
    <x v="1"/>
  </r>
  <r>
    <x v="0"/>
    <s v="SainteLague"/>
    <n v="772"/>
    <n v="130142"/>
    <s v="[Web de Clientes] - Estados - Seguimiento - Error con los envíos al filtrar por fechas de grabación"/>
    <x v="0"/>
    <x v="0"/>
    <x v="0"/>
    <s v="In Definition"/>
    <n v="80"/>
    <n v="0.03"/>
    <n v="1"/>
    <n v="1"/>
    <n v="1"/>
    <n v="100"/>
    <x v="1"/>
  </r>
  <r>
    <x v="0"/>
    <s v="SainteLague"/>
    <n v="773"/>
    <n v="91539"/>
    <s v="D. Oferta - atualização base de dados dos empregados CTT em NAVe"/>
    <x v="21"/>
    <x v="1"/>
    <x v="0"/>
    <s v="Backlog"/>
    <n v="32"/>
    <n v="0.03"/>
    <n v="1"/>
    <n v="1"/>
    <n v="1"/>
    <n v="100"/>
    <x v="1"/>
  </r>
  <r>
    <x v="0"/>
    <s v="SainteLague"/>
    <n v="774"/>
    <n v="130885"/>
    <s v="Prestashop- Habilitar adicionales identificación en destino y verificacion destinatario"/>
    <x v="14"/>
    <x v="0"/>
    <x v="0"/>
    <s v="Backlog"/>
    <n v="50"/>
    <n v="0.03"/>
    <n v="1"/>
    <n v="1"/>
    <n v="1"/>
    <n v="100"/>
    <x v="1"/>
  </r>
  <r>
    <x v="0"/>
    <s v="SainteLague"/>
    <n v="775"/>
    <n v="87975"/>
    <s v="Automatização do Registo de Tarefas em CRM Provenientes de Interações em GoContact"/>
    <x v="21"/>
    <x v="1"/>
    <x v="0"/>
    <s v="Backlog"/>
    <n v="33"/>
    <n v="0.03"/>
    <n v="1"/>
    <n v="1"/>
    <n v="1"/>
    <n v="100"/>
    <x v="1"/>
  </r>
  <r>
    <x v="0"/>
    <s v="SainteLague"/>
    <n v="776"/>
    <n v="130342"/>
    <s v="[Nexus]-[Minerva]- Modelo Tarifario Densidades+Zona"/>
    <x v="0"/>
    <x v="0"/>
    <x v="0"/>
    <s v="Backlog"/>
    <n v="81"/>
    <n v="0.03"/>
    <n v="1"/>
    <n v="1"/>
    <n v="1"/>
    <n v="100"/>
    <x v="1"/>
  </r>
  <r>
    <x v="0"/>
    <s v="SainteLague"/>
    <n v="777"/>
    <n v="76303"/>
    <s v="Correio Registado Self-Service| Envios a partir da SuperApp e Site CTT"/>
    <x v="21"/>
    <x v="1"/>
    <x v="0"/>
    <s v="Backlog"/>
    <n v="34"/>
    <n v="0.03"/>
    <n v="1"/>
    <n v="1"/>
    <n v="1"/>
    <n v="100"/>
    <x v="1"/>
  </r>
  <r>
    <x v="0"/>
    <s v="SainteLague"/>
    <n v="778"/>
    <n v="130347"/>
    <s v="[PUDOS] - [Notificaciones] - N3.1 Entrega en PUDOS mostrar variable pudo address"/>
    <x v="0"/>
    <x v="0"/>
    <x v="0"/>
    <s v="Backlog"/>
    <n v="82"/>
    <n v="0.03"/>
    <n v="1"/>
    <n v="1"/>
    <n v="1"/>
    <n v="100"/>
    <x v="1"/>
  </r>
  <r>
    <x v="0"/>
    <s v="SainteLague"/>
    <n v="779"/>
    <n v="68919"/>
    <s v="Máquina vending machines: Associação de Receita, Faturação e gestão de stock"/>
    <x v="21"/>
    <x v="1"/>
    <x v="0"/>
    <s v="In Definition"/>
    <n v="35"/>
    <n v="0.03"/>
    <n v="1"/>
    <n v="1"/>
    <n v="1"/>
    <n v="100"/>
    <x v="1"/>
  </r>
  <r>
    <x v="0"/>
    <s v="SainteLague"/>
    <n v="780"/>
    <n v="130888"/>
    <s v="WooCommerce- Habilitar adicionales identificación en destino y verificacion destinatario"/>
    <x v="14"/>
    <x v="0"/>
    <x v="0"/>
    <s v="Backlog"/>
    <n v="51"/>
    <n v="0.03"/>
    <n v="1"/>
    <n v="1"/>
    <n v="1"/>
    <n v="100"/>
    <x v="1"/>
  </r>
  <r>
    <x v="0"/>
    <s v="SainteLague"/>
    <n v="781"/>
    <n v="63944"/>
    <s v="solução de atualização de tracking em real time - Cliente Veryfex (Prozis)"/>
    <x v="21"/>
    <x v="1"/>
    <x v="0"/>
    <s v="In Definition"/>
    <n v="36"/>
    <n v="0.03"/>
    <n v="1"/>
    <n v="1"/>
    <n v="1"/>
    <n v="100"/>
    <x v="1"/>
  </r>
  <r>
    <x v="0"/>
    <s v="SainteLague"/>
    <n v="782"/>
    <n v="130305"/>
    <s v="[Web de clientes] - Retorno en seguimiento - Mostrar por fecha de grabación y no de servicio"/>
    <x v="0"/>
    <x v="0"/>
    <x v="0"/>
    <s v="Backlog"/>
    <n v="83"/>
    <n v="0.03"/>
    <n v="1"/>
    <n v="1"/>
    <n v="1"/>
    <n v="100"/>
    <x v="1"/>
  </r>
  <r>
    <x v="0"/>
    <s v="SainteLague"/>
    <n v="783"/>
    <n v="31631"/>
    <s v="Dona Oferta – Dados de recibo/fatura automáticos"/>
    <x v="21"/>
    <x v="1"/>
    <x v="0"/>
    <s v="Backlog"/>
    <n v="37"/>
    <n v="0.03"/>
    <n v="1"/>
    <n v="1"/>
    <n v="1"/>
    <n v="100"/>
    <x v="1"/>
  </r>
  <r>
    <x v="0"/>
    <s v="SainteLague"/>
    <n v="784"/>
    <n v="130902"/>
    <s v="[API GET TRACKING BY DATES] - WEB TRACKING - Añadir código envío devolución - API Rest, capa User Experience"/>
    <x v="14"/>
    <x v="0"/>
    <x v="0"/>
    <s v="Backlog"/>
    <n v="53"/>
    <n v="0.03"/>
    <n v="1"/>
    <n v="1"/>
    <n v="1"/>
    <n v="100"/>
    <x v="1"/>
  </r>
  <r>
    <x v="0"/>
    <s v="SainteLague"/>
    <n v="785"/>
    <n v="50206"/>
    <s v="Tradução do Site e da App"/>
    <x v="21"/>
    <x v="1"/>
    <x v="0"/>
    <s v="Backlog"/>
    <n v="38"/>
    <n v="0.03"/>
    <n v="1"/>
    <n v="1"/>
    <n v="1"/>
    <n v="100"/>
    <x v="1"/>
  </r>
  <r>
    <x v="0"/>
    <s v="SainteLague"/>
    <n v="786"/>
    <n v="129667"/>
    <s v="[Nexus] [Web de Clientes] - Recogida Flexible Grabación de envíos: Permitir recogida a la carta"/>
    <x v="0"/>
    <x v="0"/>
    <x v="0"/>
    <s v="Backlog"/>
    <n v="84"/>
    <n v="0.03"/>
    <n v="1"/>
    <n v="1"/>
    <n v="1"/>
    <n v="100"/>
    <x v="1"/>
  </r>
  <r>
    <x v="0"/>
    <s v="SainteLague"/>
    <n v="787"/>
    <n v="46558"/>
    <s v="A receita dos Pontos ctt não NAVe"/>
    <x v="21"/>
    <x v="1"/>
    <x v="0"/>
    <s v="Backlog"/>
    <n v="39"/>
    <n v="0.03"/>
    <n v="1"/>
    <n v="1"/>
    <n v="1"/>
    <n v="100"/>
    <x v="1"/>
  </r>
  <r>
    <x v="0"/>
    <s v="SainteLague"/>
    <n v="788"/>
    <n v="130465"/>
    <s v="[PUDOS] [Web Pública] - Orientar venta directa (añadir literales)"/>
    <x v="0"/>
    <x v="0"/>
    <x v="0"/>
    <s v="Backlog"/>
    <n v="85"/>
    <n v="0.03"/>
    <n v="1"/>
    <n v="1"/>
    <n v="1"/>
    <n v="100"/>
    <x v="1"/>
  </r>
  <r>
    <x v="0"/>
    <s v="SainteLague"/>
    <n v="789"/>
    <n v="113960"/>
    <s v="Informação das vendas por colaborador E nif"/>
    <x v="21"/>
    <x v="1"/>
    <x v="0"/>
    <s v="Backlog"/>
    <n v="40"/>
    <n v="0.03"/>
    <n v="1"/>
    <n v="1"/>
    <n v="1"/>
    <n v="100"/>
    <x v="1"/>
  </r>
  <r>
    <x v="0"/>
    <s v="SainteLague"/>
    <n v="790"/>
    <n v="130931"/>
    <s v="Herramienta Soporte ADT en Nexia"/>
    <x v="14"/>
    <x v="0"/>
    <x v="0"/>
    <s v="In Definition"/>
    <n v="54"/>
    <n v="0.03"/>
    <n v="1"/>
    <n v="1"/>
    <n v="1"/>
    <n v="100"/>
    <x v="1"/>
  </r>
  <r>
    <x v="0"/>
    <s v="SainteLague"/>
    <n v="791"/>
    <n v="32126"/>
    <s v="Afetação correta da receita de produtos/serviços faturados fora do SAP ao respetivo gestor comercial B2B e Lojas e Loja Online"/>
    <x v="21"/>
    <x v="1"/>
    <x v="0"/>
    <s v="Backlog"/>
    <n v="41"/>
    <n v="0.03"/>
    <n v="1"/>
    <n v="1"/>
    <n v="1"/>
    <n v="100"/>
    <x v="1"/>
  </r>
  <r>
    <x v="0"/>
    <s v="SainteLague"/>
    <n v="792"/>
    <n v="130456"/>
    <s v="[Web de Clientes] - Seguimiento - Añadir HORA junto a la FECHA"/>
    <x v="0"/>
    <x v="0"/>
    <x v="0"/>
    <s v="Backlog"/>
    <n v="86"/>
    <n v="0.03"/>
    <n v="1"/>
    <n v="1"/>
    <n v="1"/>
    <n v="100"/>
    <x v="1"/>
  </r>
  <r>
    <x v="0"/>
    <s v="SainteLague"/>
    <n v="793"/>
    <n v="32024"/>
    <s v="Formulário Criar Envio de Correio Internacional | Supressão do Serviço Especial de Cobrança no Correio Registado para o âmbito Internacional"/>
    <x v="21"/>
    <x v="1"/>
    <x v="0"/>
    <s v="Backlog"/>
    <n v="42"/>
    <n v="0.03"/>
    <n v="1"/>
    <n v="1"/>
    <n v="1"/>
    <n v="100"/>
    <x v="1"/>
  </r>
  <r>
    <x v="0"/>
    <s v="SainteLague"/>
    <n v="794"/>
    <n v="130523"/>
    <s v="Incluir fichero con versionado sobre histórico de cambios (novedades y fixes) en todos los modulos"/>
    <x v="14"/>
    <x v="0"/>
    <x v="0"/>
    <s v="In Definition"/>
    <n v="55"/>
    <n v="0.03"/>
    <n v="1"/>
    <n v="1"/>
    <n v="1"/>
    <n v="100"/>
    <x v="1"/>
  </r>
  <r>
    <x v="0"/>
    <s v="SainteLague"/>
    <n v="795"/>
    <n v="32021"/>
    <s v="Informação Clientes Ocasionais"/>
    <x v="21"/>
    <x v="1"/>
    <x v="0"/>
    <s v="Backlog"/>
    <n v="43"/>
    <n v="0.03"/>
    <n v="1"/>
    <n v="1"/>
    <n v="1"/>
    <n v="100"/>
    <x v="1"/>
  </r>
  <r>
    <x v="0"/>
    <s v="SainteLague"/>
    <n v="796"/>
    <n v="130476"/>
    <s v="[PRODUCTO] [Web de Clientes] - Aranceles aduaneros Canarias"/>
    <x v="0"/>
    <x v="0"/>
    <x v="0"/>
    <s v="Backlog"/>
    <n v="87"/>
    <n v="0.03"/>
    <n v="1"/>
    <n v="1"/>
    <n v="1"/>
    <n v="100"/>
    <x v="1"/>
  </r>
  <r>
    <x v="0"/>
    <s v="SainteLague"/>
    <n v="797"/>
    <n v="31998"/>
    <s v="Apresentação Imagens BOL LCD LOJAS"/>
    <x v="21"/>
    <x v="1"/>
    <x v="0"/>
    <s v="Backlog"/>
    <n v="44"/>
    <n v="0.03"/>
    <n v="1"/>
    <n v="1"/>
    <n v="1"/>
    <n v="100"/>
    <x v="1"/>
  </r>
  <r>
    <x v="0"/>
    <s v="SainteLague"/>
    <n v="798"/>
    <n v="130509"/>
    <s v="[Web de Clientes] - Parametrizar el canal de Importación masiva para permitir su medición en los sistemas"/>
    <x v="0"/>
    <x v="0"/>
    <x v="0"/>
    <s v="Backlog"/>
    <n v="88"/>
    <n v="0.03"/>
    <n v="1"/>
    <n v="1"/>
    <n v="1"/>
    <n v="100"/>
    <x v="1"/>
  </r>
  <r>
    <x v="0"/>
    <s v="SainteLague"/>
    <n v="799"/>
    <n v="31906"/>
    <s v="UPDATE | SOLUÇÃO TRANSFORMAÇÃO | RELATÓRIO SERIAL NUMBER EXPEDIÇÃO"/>
    <x v="21"/>
    <x v="1"/>
    <x v="0"/>
    <s v="Backlog"/>
    <n v="45"/>
    <n v="0.03"/>
    <n v="1"/>
    <n v="1"/>
    <n v="1"/>
    <n v="100"/>
    <x v="1"/>
  </r>
  <r>
    <x v="0"/>
    <s v="SainteLague"/>
    <n v="800"/>
    <n v="130358"/>
    <s v="ELKAR - Actualización de bultos/kilos en expedición mediante carga de fichero"/>
    <x v="14"/>
    <x v="0"/>
    <x v="0"/>
    <s v="Backlog"/>
    <n v="56"/>
    <n v="0.03"/>
    <n v="1"/>
    <n v="1"/>
    <n v="1"/>
    <n v="100"/>
    <x v="1"/>
  </r>
  <r>
    <x v="0"/>
    <s v="SainteLague"/>
    <n v="801"/>
    <n v="31844"/>
    <s v="Incusão de informação da “Faturação prevista” e “Tráfego previsto nos Relatorios"/>
    <x v="21"/>
    <x v="1"/>
    <x v="0"/>
    <s v="Backlog"/>
    <n v="46"/>
    <n v="0.03"/>
    <n v="1"/>
    <n v="1"/>
    <n v="1"/>
    <n v="100"/>
    <x v="1"/>
  </r>
  <r>
    <x v="0"/>
    <s v="SainteLague"/>
    <n v="802"/>
    <n v="130518"/>
    <s v="[Web de Clientes] - Incluir tooltip en el botón de añadir NUEVO bulto para envíos a Puntos"/>
    <x v="0"/>
    <x v="0"/>
    <x v="0"/>
    <s v="Backlog"/>
    <n v="89"/>
    <n v="0.03"/>
    <n v="1"/>
    <n v="1"/>
    <n v="1"/>
    <n v="100"/>
    <x v="1"/>
  </r>
  <r>
    <x v="0"/>
    <s v="SainteLague"/>
    <n v="803"/>
    <n v="31837"/>
    <s v="Aplicação OPL6 compromete a segurança do ecossistema CTT,"/>
    <x v="21"/>
    <x v="1"/>
    <x v="0"/>
    <s v="Backlog"/>
    <n v="47"/>
    <n v="0.03"/>
    <n v="1"/>
    <n v="1"/>
    <n v="1"/>
    <n v="100"/>
    <x v="1"/>
  </r>
  <r>
    <x v="0"/>
    <s v="SainteLague"/>
    <n v="804"/>
    <n v="130970"/>
    <s v="[Salesforce] - Información de campos en los casos del Plan de acompañamiento"/>
    <x v="14"/>
    <x v="0"/>
    <x v="0"/>
    <s v="Backlog"/>
    <n v="57"/>
    <n v="0.03"/>
    <n v="1"/>
    <n v="1"/>
    <n v="1"/>
    <n v="100"/>
    <x v="1"/>
  </r>
  <r>
    <x v="0"/>
    <s v="SainteLague"/>
    <n v="805"/>
    <n v="31791"/>
    <s v="BPM - Processo de Regularização de Movimentos Manual"/>
    <x v="21"/>
    <x v="1"/>
    <x v="0"/>
    <s v="Backlog"/>
    <n v="48"/>
    <n v="0.03"/>
    <n v="1"/>
    <n v="1"/>
    <n v="1"/>
    <n v="100"/>
    <x v="1"/>
  </r>
  <r>
    <x v="0"/>
    <s v="SainteLague"/>
    <n v="806"/>
    <n v="130546"/>
    <s v="[Notificaciones] - Facturación - Modificar contenido del Email Factura a clientes"/>
    <x v="0"/>
    <x v="0"/>
    <x v="0"/>
    <s v="Backlog"/>
    <n v="90"/>
    <n v="0.03"/>
    <n v="1"/>
    <n v="1"/>
    <n v="1"/>
    <n v="100"/>
    <x v="1"/>
  </r>
  <r>
    <x v="0"/>
    <s v="SainteLague"/>
    <n v="807"/>
    <n v="31756"/>
    <s v="Novos Canais | Assegurar a liquidação automática das faturas de campanhas Outbound"/>
    <x v="21"/>
    <x v="1"/>
    <x v="0"/>
    <s v="Backlog"/>
    <n v="49"/>
    <n v="0.03"/>
    <n v="1"/>
    <n v="1"/>
    <n v="1"/>
    <n v="100"/>
    <x v="1"/>
  </r>
  <r>
    <x v="0"/>
    <s v="SainteLague"/>
    <n v="808"/>
    <n v="130547"/>
    <s v="[web clientes] Modulo aduanas: Andorra"/>
    <x v="0"/>
    <x v="0"/>
    <x v="0"/>
    <s v="Backlog"/>
    <n v="91"/>
    <n v="0.03"/>
    <n v="1"/>
    <n v="1"/>
    <n v="1"/>
    <n v="100"/>
    <x v="1"/>
  </r>
  <r>
    <x v="0"/>
    <s v="SainteLague"/>
    <n v="809"/>
    <n v="31736"/>
    <s v="GS B2C - Evolução do sistema de Gestão da informação Geográfica da Rede"/>
    <x v="21"/>
    <x v="1"/>
    <x v="0"/>
    <s v="In Definition"/>
    <n v="50"/>
    <n v="0.03"/>
    <n v="1"/>
    <n v="1"/>
    <n v="1"/>
    <n v="100"/>
    <x v="1"/>
  </r>
  <r>
    <x v="0"/>
    <s v="SainteLague"/>
    <n v="810"/>
    <n v="130807"/>
    <s v="Manifest-file: Admitir carga fichero Standar Cloud sin los campos de shipping_code e item_codes rellenos (mismo comportamiento que api de experiencia de clientes)"/>
    <x v="14"/>
    <x v="0"/>
    <x v="0"/>
    <s v="In Definition"/>
    <n v="58"/>
    <n v="0.03"/>
    <n v="1"/>
    <n v="1"/>
    <n v="1"/>
    <n v="100"/>
    <x v="1"/>
  </r>
  <r>
    <x v="0"/>
    <s v="SainteLague"/>
    <n v="811"/>
    <n v="31672"/>
    <s v="GS B2C - Disponibilização de informação do Data Analytics sobre Sessões NAVe"/>
    <x v="21"/>
    <x v="1"/>
    <x v="0"/>
    <s v="Backlog"/>
    <n v="51"/>
    <n v="0.03"/>
    <n v="1"/>
    <n v="1"/>
    <n v="1"/>
    <n v="100"/>
    <x v="1"/>
  </r>
  <r>
    <x v="0"/>
    <s v="SainteLague"/>
    <n v="812"/>
    <n v="130576"/>
    <s v="[PUDOS] - Pantallas Nexia consulta estados de proveedor"/>
    <x v="0"/>
    <x v="0"/>
    <x v="0"/>
    <s v="Backlog"/>
    <n v="92"/>
    <n v="0.03"/>
    <n v="1"/>
    <n v="1"/>
    <n v="1"/>
    <n v="100"/>
    <x v="1"/>
  </r>
  <r>
    <x v="0"/>
    <s v="SainteLague"/>
    <n v="813"/>
    <n v="31658"/>
    <s v="B2C - Vendas Expresso por colaborador - CORVENDAS"/>
    <x v="21"/>
    <x v="1"/>
    <x v="0"/>
    <s v="Backlog"/>
    <n v="52"/>
    <n v="0.03"/>
    <n v="1"/>
    <n v="1"/>
    <n v="1"/>
    <n v="100"/>
    <x v="1"/>
  </r>
  <r>
    <x v="0"/>
    <s v="SainteLague"/>
    <n v="814"/>
    <n v="136234"/>
    <s v="WANB - Webhook"/>
    <x v="14"/>
    <x v="0"/>
    <x v="0"/>
    <s v="In Definition"/>
    <n v="59"/>
    <n v="0.03"/>
    <n v="1"/>
    <n v="1"/>
    <n v="1"/>
    <n v="100"/>
    <x v="1"/>
  </r>
  <r>
    <x v="0"/>
    <s v="SainteLague"/>
    <n v="815"/>
    <n v="31657"/>
    <s v="GS B2C - Disponibilização de dados de vendas Filatelia dos canais FIL e DTI"/>
    <x v="21"/>
    <x v="1"/>
    <x v="0"/>
    <s v="Backlog"/>
    <n v="53"/>
    <n v="0.03"/>
    <n v="1"/>
    <n v="1"/>
    <n v="1"/>
    <n v="100"/>
    <x v="1"/>
  </r>
  <r>
    <x v="0"/>
    <s v="SainteLague"/>
    <n v="816"/>
    <n v="130572"/>
    <s v="[Web de Clientes] - Anulación de recogidas"/>
    <x v="0"/>
    <x v="0"/>
    <x v="0"/>
    <s v="Backlog"/>
    <n v="93"/>
    <n v="0.03"/>
    <n v="1"/>
    <n v="1"/>
    <n v="1"/>
    <n v="100"/>
    <x v="1"/>
  </r>
  <r>
    <x v="0"/>
    <s v="SainteLague"/>
    <n v="817"/>
    <n v="31653"/>
    <s v="B2C - Dados Vendas Dona Oferta - via Data Analytics"/>
    <x v="21"/>
    <x v="1"/>
    <x v="0"/>
    <s v="Backlog"/>
    <n v="54"/>
    <n v="0.03"/>
    <n v="1"/>
    <n v="1"/>
    <n v="1"/>
    <n v="100"/>
    <x v="1"/>
  </r>
  <r>
    <x v="0"/>
    <s v="SainteLague"/>
    <n v="818"/>
    <n v="130488"/>
    <s v="[CELERITAS] - Inhibir notificaciones a dtt en envíos Celeritas Cliente"/>
    <x v="0"/>
    <x v="0"/>
    <x v="0"/>
    <s v="Backlog"/>
    <n v="94"/>
    <n v="0.03"/>
    <n v="1"/>
    <n v="1"/>
    <n v="1"/>
    <n v="100"/>
    <x v="1"/>
  </r>
  <r>
    <x v="0"/>
    <s v="SainteLague"/>
    <n v="819"/>
    <n v="31618"/>
    <s v="Melhorias de funcionamento nos Tablets das Lojas"/>
    <x v="21"/>
    <x v="1"/>
    <x v="0"/>
    <s v="Backlog"/>
    <n v="55"/>
    <n v="0.03"/>
    <n v="1"/>
    <n v="1"/>
    <n v="1"/>
    <n v="100"/>
    <x v="1"/>
  </r>
  <r>
    <x v="0"/>
    <s v="SainteLague"/>
    <n v="820"/>
    <n v="136179"/>
    <s v="Api Horario Cortes Recogidas"/>
    <x v="14"/>
    <x v="0"/>
    <x v="0"/>
    <s v="In Definition"/>
    <n v="60"/>
    <n v="0.03"/>
    <n v="1"/>
    <n v="1"/>
    <n v="1"/>
    <n v="100"/>
    <x v="1"/>
  </r>
  <r>
    <x v="0"/>
    <s v="SainteLague"/>
    <n v="821"/>
    <n v="31619"/>
    <s v="Alteração SGFE – PRIMA TD 200"/>
    <x v="21"/>
    <x v="1"/>
    <x v="0"/>
    <s v="Backlog"/>
    <n v="56"/>
    <n v="0.03"/>
    <n v="1"/>
    <n v="1"/>
    <n v="1"/>
    <n v="100"/>
    <x v="1"/>
  </r>
  <r>
    <x v="0"/>
    <s v="SainteLague"/>
    <n v="822"/>
    <n v="130635"/>
    <s v="[Nexus] - Información Pública de los Clientes - visión de información de clientes a destinatarios"/>
    <x v="0"/>
    <x v="0"/>
    <x v="0"/>
    <s v="In Definition"/>
    <n v="95"/>
    <n v="0.03"/>
    <n v="1"/>
    <n v="1"/>
    <n v="1"/>
    <n v="100"/>
    <x v="1"/>
  </r>
  <r>
    <x v="0"/>
    <s v="SainteLague"/>
    <n v="823"/>
    <n v="31830"/>
    <s v="Kiosk de Envios Self-service: Instalação/Configurações de Cabo de Rede"/>
    <x v="21"/>
    <x v="1"/>
    <x v="0"/>
    <s v="Backlog"/>
    <n v="57"/>
    <n v="0.03"/>
    <n v="1"/>
    <n v="1"/>
    <n v="1"/>
    <n v="100"/>
    <x v="1"/>
  </r>
  <r>
    <x v="0"/>
    <s v="SainteLague"/>
    <n v="824"/>
    <n v="136177"/>
    <s v="Api Manifest- Devovler fecha y hora de recogida en respuesta cuando proceda"/>
    <x v="14"/>
    <x v="0"/>
    <x v="0"/>
    <s v="In Definition"/>
    <n v="61"/>
    <n v="0.03"/>
    <n v="1"/>
    <n v="1"/>
    <n v="1"/>
    <n v="100"/>
    <x v="1"/>
  </r>
  <r>
    <x v="0"/>
    <s v="SainteLague"/>
    <n v="825"/>
    <n v="31767"/>
    <s v="Kiosks Envios - Incremento 1 | Associação de moradas guardadas no kiosk (via QR code App)"/>
    <x v="21"/>
    <x v="1"/>
    <x v="0"/>
    <s v="Backlog"/>
    <n v="58"/>
    <n v="0.03"/>
    <n v="1"/>
    <n v="1"/>
    <n v="1"/>
    <n v="100"/>
    <x v="1"/>
  </r>
  <r>
    <x v="0"/>
    <s v="SainteLague"/>
    <n v="826"/>
    <n v="130599"/>
    <s v="[PUDOS] - [Salesforce-Dynamic Case] - EL botón de reenvío de pin debe reconocer que el envío tiene estado 2310 no que está en estado 2310"/>
    <x v="0"/>
    <x v="0"/>
    <x v="0"/>
    <s v="Backlog"/>
    <n v="95"/>
    <n v="0.03"/>
    <n v="1"/>
    <n v="1"/>
    <n v="1"/>
    <n v="100"/>
    <x v="1"/>
  </r>
  <r>
    <x v="0"/>
    <s v="SainteLague"/>
    <n v="827"/>
    <n v="31768"/>
    <s v="Kiosks Envios - Incremento 2 | Simplificar jornada do cliente"/>
    <x v="21"/>
    <x v="1"/>
    <x v="0"/>
    <s v="Backlog"/>
    <n v="59"/>
    <n v="0.03"/>
    <n v="1"/>
    <n v="1"/>
    <n v="1"/>
    <n v="100"/>
    <x v="1"/>
  </r>
  <r>
    <x v="0"/>
    <s v="SainteLague"/>
    <n v="828"/>
    <n v="130997"/>
    <s v="[PUDOS] - [QLIK] Inclusión de campo provincia en hoja PUDO POINT LIST"/>
    <x v="0"/>
    <x v="0"/>
    <x v="0"/>
    <s v="Backlog"/>
    <n v="97"/>
    <n v="0.03"/>
    <n v="1"/>
    <n v="1"/>
    <n v="1"/>
    <n v="100"/>
    <x v="1"/>
  </r>
  <r>
    <x v="0"/>
    <s v="SainteLague"/>
    <n v="829"/>
    <n v="31712"/>
    <s v="Kiosks Envios - Incremento 3 | Embalagem - obtenção de informação de produto"/>
    <x v="21"/>
    <x v="1"/>
    <x v="0"/>
    <s v="Backlog"/>
    <n v="60"/>
    <n v="0.03"/>
    <n v="1"/>
    <n v="1"/>
    <n v="1"/>
    <n v="100"/>
    <x v="1"/>
  </r>
  <r>
    <x v="0"/>
    <s v="SainteLague"/>
    <n v="830"/>
    <n v="136173"/>
    <s v="Api Solicitud de Recogidas (sin envio asociado)"/>
    <x v="14"/>
    <x v="0"/>
    <x v="0"/>
    <s v="In Definition"/>
    <n v="62"/>
    <n v="0.03"/>
    <n v="1"/>
    <n v="1"/>
    <n v="1"/>
    <n v="100"/>
    <x v="1"/>
  </r>
  <r>
    <x v="0"/>
    <s v="SainteLague"/>
    <n v="831"/>
    <n v="31769"/>
    <s v="Kiosks Envios - Incremento 4 | Alargar oferta (correio registado nacional)"/>
    <x v="21"/>
    <x v="1"/>
    <x v="0"/>
    <s v="Backlog"/>
    <n v="61"/>
    <n v="0.03"/>
    <n v="1"/>
    <n v="1"/>
    <n v="1"/>
    <n v="100"/>
    <x v="1"/>
  </r>
  <r>
    <x v="0"/>
    <s v="SainteLague"/>
    <n v="832"/>
    <n v="130870"/>
    <s v="[PUDOS] - Gestión de saturación en puntos Collectt"/>
    <x v="0"/>
    <x v="0"/>
    <x v="0"/>
    <s v="Backlog"/>
    <n v="98"/>
    <n v="0.03"/>
    <n v="1"/>
    <n v="1"/>
    <n v="1"/>
    <n v="100"/>
    <x v="1"/>
  </r>
  <r>
    <x v="0"/>
    <s v="SainteLague"/>
    <n v="833"/>
    <n v="31842"/>
    <s v="Kiosks Envios - Incremento 4 | Alargar a oferta a Correio Registado Nacional e Expresso Internacional (a definir)"/>
    <x v="21"/>
    <x v="1"/>
    <x v="0"/>
    <s v="Backlog"/>
    <n v="62"/>
    <n v="0.03"/>
    <n v="1"/>
    <n v="1"/>
    <n v="1"/>
    <n v="100"/>
    <x v="1"/>
  </r>
  <r>
    <x v="0"/>
    <s v="SainteLague"/>
    <n v="834"/>
    <n v="135956"/>
    <s v="TEMU - WebHook"/>
    <x v="14"/>
    <x v="0"/>
    <x v="0"/>
    <s v="In Definition"/>
    <n v="63"/>
    <n v="0.05"/>
    <n v="3"/>
    <n v="1"/>
    <n v="1"/>
    <n v="100"/>
    <x v="1"/>
  </r>
  <r>
    <x v="0"/>
    <s v="SainteLague"/>
    <n v="835"/>
    <n v="31825"/>
    <s v="Relatorio SAP Hana - Clientes com Fatura Eletronica"/>
    <x v="21"/>
    <x v="1"/>
    <x v="0"/>
    <s v="Backlog"/>
    <n v="63"/>
    <n v="0.03"/>
    <n v="1"/>
    <n v="1"/>
    <n v="1"/>
    <n v="100"/>
    <x v="1"/>
  </r>
  <r>
    <x v="0"/>
    <s v="SainteLague"/>
    <n v="836"/>
    <n v="130447"/>
    <s v="[Web de Clientes] - Comportamiento recogidas en grabación masiva"/>
    <x v="0"/>
    <x v="0"/>
    <x v="0"/>
    <s v="Backlog"/>
    <n v="99"/>
    <n v="0.03"/>
    <n v="1"/>
    <n v="1"/>
    <n v="1"/>
    <n v="100"/>
    <x v="1"/>
  </r>
  <r>
    <x v="0"/>
    <s v="SainteLague"/>
    <n v="837"/>
    <n v="31824"/>
    <s v="Relatorio SAP Hana - Dados de Clientes Objetos à Cobrança"/>
    <x v="21"/>
    <x v="1"/>
    <x v="0"/>
    <s v="Backlog"/>
    <n v="64"/>
    <n v="0.03"/>
    <n v="1"/>
    <n v="1"/>
    <n v="1"/>
    <n v="100"/>
    <x v="1"/>
  </r>
  <r>
    <x v="0"/>
    <s v="SainteLague"/>
    <n v="838"/>
    <n v="130916"/>
    <s v="[Web de Cambios] - Mantener el idioma configurado por defecto en web de cambio"/>
    <x v="0"/>
    <x v="0"/>
    <x v="0"/>
    <s v="Backlog"/>
    <n v="101"/>
    <n v="0.03"/>
    <n v="1"/>
    <n v="1"/>
    <n v="1"/>
    <n v="100"/>
    <x v="1"/>
  </r>
  <r>
    <x v="0"/>
    <s v="SainteLague"/>
    <n v="839"/>
    <n v="31760"/>
    <s v="Acesso SGEE Apoio ao Cliente"/>
    <x v="21"/>
    <x v="1"/>
    <x v="0"/>
    <s v="Backlog"/>
    <n v="65"/>
    <n v="0.03"/>
    <n v="1"/>
    <n v="1"/>
    <n v="1"/>
    <n v="100"/>
    <x v="1"/>
  </r>
  <r>
    <x v="0"/>
    <s v="SainteLague"/>
    <n v="840"/>
    <n v="132736"/>
    <s v="[Internacional] - Manifiesto de envíos internacionales de explotación con aduanas por métodos de Integración Clientes"/>
    <x v="14"/>
    <x v="0"/>
    <x v="0"/>
    <s v="In Definition"/>
    <n v="64"/>
    <n v="0.03"/>
    <n v="1"/>
    <n v="1"/>
    <n v="1"/>
    <n v="100"/>
    <x v="1"/>
  </r>
  <r>
    <x v="0"/>
    <s v="SainteLague"/>
    <n v="841"/>
    <n v="32027"/>
    <s v="CRM I Criação de reporting em Power BI para controlo do tratamento de solicitações"/>
    <x v="21"/>
    <x v="1"/>
    <x v="0"/>
    <s v="Backlog"/>
    <n v="66"/>
    <n v="0.03"/>
    <n v="1"/>
    <n v="1"/>
    <n v="1"/>
    <n v="100"/>
    <x v="1"/>
  </r>
  <r>
    <x v="0"/>
    <s v="SainteLague"/>
    <n v="842"/>
    <n v="130935"/>
    <s v="[Web pública 2.0] - Seguimiento de envíos - Acciones según número de intentos de entrega - Dynamic Cases"/>
    <x v="0"/>
    <x v="0"/>
    <x v="0"/>
    <s v="Backlog"/>
    <n v="102"/>
    <n v="0.03"/>
    <n v="1"/>
    <n v="1"/>
    <n v="1"/>
    <n v="100"/>
    <x v="1"/>
  </r>
  <r>
    <x v="0"/>
    <s v="SainteLague"/>
    <n v="843"/>
    <n v="32254"/>
    <s v="Alteração Canal Produtos Pagamentos B2C"/>
    <x v="21"/>
    <x v="1"/>
    <x v="0"/>
    <s v="Backlog"/>
    <n v="68"/>
    <n v="0.03"/>
    <n v="1"/>
    <n v="1"/>
    <n v="1"/>
    <n v="100"/>
    <x v="1"/>
  </r>
  <r>
    <x v="0"/>
    <s v="SainteLague"/>
    <n v="844"/>
    <n v="130844"/>
    <s v="[Salesforce] - Nueva landing captación SEM conectada con el CRM y Pardot"/>
    <x v="0"/>
    <x v="0"/>
    <x v="0"/>
    <s v="Ready for Solution"/>
    <n v="105"/>
    <n v="0.03"/>
    <n v="1"/>
    <n v="1"/>
    <n v="1"/>
    <n v="100"/>
    <x v="1"/>
  </r>
  <r>
    <x v="0"/>
    <s v="SainteLague"/>
    <n v="845"/>
    <n v="136610"/>
    <s v="[Notificaciones] - Customer Communications Management basado en la funcionalidad actual"/>
    <x v="0"/>
    <x v="0"/>
    <x v="0"/>
    <s v="Pitch"/>
    <n v="113"/>
    <n v="6"/>
    <n v="3"/>
    <n v="1"/>
    <n v="2"/>
    <n v="1"/>
    <x v="1"/>
  </r>
  <r>
    <x v="0"/>
    <s v="SainteLague"/>
    <n v="846"/>
    <n v="136346"/>
    <s v="Enlace para usuario en selección PUDO para RDP a través de Web Cliente"/>
    <x v="0"/>
    <x v="0"/>
    <x v="0"/>
    <s v="Backlog"/>
    <n v="115"/>
    <n v="0.03"/>
    <n v="1"/>
    <n v="1"/>
    <n v="1"/>
    <n v="100"/>
    <x v="1"/>
  </r>
  <r>
    <x v="0"/>
    <s v="SainteLague"/>
    <n v="847"/>
    <n v="135524"/>
    <s v="[web clientes] Incluir formato Excel y CSV en suscripción de informes"/>
    <x v="0"/>
    <x v="0"/>
    <x v="0"/>
    <s v="Backlog"/>
    <n v="116"/>
    <n v="0.03"/>
    <n v="1"/>
    <n v="1"/>
    <n v="1"/>
    <n v="100"/>
    <x v="1"/>
  </r>
  <r>
    <x v="0"/>
    <s v="SainteLague"/>
    <n v="848"/>
    <n v="135345"/>
    <s v="[Web de clientes] - Seguimiento - Geoposición V2 - Comparar destino con geoposición de entrega"/>
    <x v="0"/>
    <x v="0"/>
    <x v="0"/>
    <s v="Backlog"/>
    <n v="117"/>
    <n v="0.03"/>
    <n v="1"/>
    <n v="1"/>
    <n v="1"/>
    <n v="100"/>
    <x v="1"/>
  </r>
  <r>
    <x v="0"/>
    <s v="SainteLague"/>
    <n v="849"/>
    <n v="135097"/>
    <s v="[Internacional]-Notificación por Incidencia &quot;Falta de documentación&quot;"/>
    <x v="0"/>
    <x v="0"/>
    <x v="0"/>
    <s v="Backlog"/>
    <n v="118"/>
    <n v="0.03"/>
    <n v="1"/>
    <n v="1"/>
    <n v="1"/>
    <n v="100"/>
    <x v="1"/>
  </r>
  <r>
    <x v="0"/>
    <s v="SainteLague"/>
    <n v="850"/>
    <n v="134746"/>
    <s v="[PUDOS] - Destacar Locky en localizador de pudos"/>
    <x v="0"/>
    <x v="0"/>
    <x v="0"/>
    <s v="Backlog"/>
    <n v="119"/>
    <n v="0.03"/>
    <n v="1"/>
    <n v="1"/>
    <n v="1"/>
    <n v="100"/>
    <x v="1"/>
  </r>
  <r>
    <x v="0"/>
    <s v="SainteLague"/>
    <n v="851"/>
    <n v="134614"/>
    <s v="CONTRATO ON LINE"/>
    <x v="0"/>
    <x v="0"/>
    <x v="0"/>
    <s v="Backlog"/>
    <n v="120"/>
    <n v="0.03"/>
    <n v="1"/>
    <n v="1"/>
    <n v="1"/>
    <n v="100"/>
    <x v="1"/>
  </r>
  <r>
    <x v="0"/>
    <s v="SainteLague"/>
    <n v="852"/>
    <n v="134613"/>
    <s v="[Web publica] - Ajustes Locky en visión destinatario de web pública"/>
    <x v="0"/>
    <x v="0"/>
    <x v="0"/>
    <s v="Backlog"/>
    <n v="121"/>
    <n v="0.03"/>
    <n v="1"/>
    <n v="1"/>
    <n v="1"/>
    <n v="100"/>
    <x v="1"/>
  </r>
  <r>
    <x v="0"/>
    <s v="SainteLague"/>
    <n v="853"/>
    <n v="134602"/>
    <s v="[Web de cliente] - Seguimiento - Utilizar en filtro y listado de envío la fecha registrada en la variable shipping_date"/>
    <x v="0"/>
    <x v="0"/>
    <x v="0"/>
    <s v="Backlog"/>
    <n v="122"/>
    <n v="0.03"/>
    <n v="1"/>
    <n v="1"/>
    <n v="1"/>
    <n v="100"/>
    <x v="1"/>
  </r>
  <r>
    <x v="0"/>
    <s v="SainteLague"/>
    <n v="854"/>
    <n v="133992"/>
    <s v="[Web de clientes] - Agenda - Incluir campo provincia en fichero de carga masiva de agenda"/>
    <x v="0"/>
    <x v="0"/>
    <x v="0"/>
    <s v="Backlog"/>
    <n v="123"/>
    <n v="0.03"/>
    <n v="1"/>
    <n v="1"/>
    <n v="1"/>
    <n v="100"/>
    <x v="1"/>
  </r>
  <r>
    <x v="0"/>
    <s v="SainteLague"/>
    <n v="855"/>
    <n v="133988"/>
    <s v="[Web de clientes] - Seguimiento - Incidencias gestionables muestra mensaje erróneo"/>
    <x v="0"/>
    <x v="0"/>
    <x v="0"/>
    <s v="Backlog"/>
    <n v="124"/>
    <n v="0.03"/>
    <n v="1"/>
    <n v="1"/>
    <n v="1"/>
    <n v="100"/>
    <x v="1"/>
  </r>
  <r>
    <x v="0"/>
    <s v="SainteLague"/>
    <n v="856"/>
    <n v="133834"/>
    <s v="[Nexus-MVP] [Web de Clientes] Traducción al Inglés y Portugués"/>
    <x v="0"/>
    <x v="0"/>
    <x v="0"/>
    <s v="Pitch"/>
    <n v="126"/>
    <n v="0.03"/>
    <n v="1"/>
    <n v="1"/>
    <n v="1"/>
    <n v="100"/>
    <x v="1"/>
  </r>
  <r>
    <x v="0"/>
    <s v="SainteLague"/>
    <n v="857"/>
    <n v="131162"/>
    <s v="[Salesforce] Notificación automática cambio de comercial"/>
    <x v="0"/>
    <x v="0"/>
    <x v="0"/>
    <s v="Backlog"/>
    <n v="127"/>
    <n v="0.03"/>
    <n v="1"/>
    <n v="1"/>
    <n v="1"/>
    <n v="100"/>
    <x v="1"/>
  </r>
  <r>
    <x v="0"/>
    <s v="SainteLague"/>
    <n v="858"/>
    <n v="131157"/>
    <s v="[PUDOS][PDA]-Evitar falsos entregados desde PDA repartidor"/>
    <x v="0"/>
    <x v="0"/>
    <x v="0"/>
    <s v="Backlog"/>
    <n v="128"/>
    <n v="0.03"/>
    <n v="1"/>
    <n v="1"/>
    <n v="1"/>
    <n v="100"/>
    <x v="1"/>
  </r>
  <r>
    <x v="0"/>
    <s v="SainteLague"/>
    <n v="859"/>
    <n v="131132"/>
    <s v="[Web de clientes][Desktop] - Seguimiento - Ocultar botón de &quot;Estados&quot; / Alert de filtros"/>
    <x v="0"/>
    <x v="0"/>
    <x v="0"/>
    <s v="Backlog"/>
    <n v="129"/>
    <n v="0.03"/>
    <n v="1"/>
    <n v="1"/>
    <n v="1"/>
    <n v="100"/>
    <x v="1"/>
  </r>
  <r>
    <x v="0"/>
    <s v="SainteLague"/>
    <n v="860"/>
    <n v="131130"/>
    <s v="[Web de clientes][Mobile] - Mi cuenta + Ayuda y soporte"/>
    <x v="0"/>
    <x v="0"/>
    <x v="0"/>
    <s v="Backlog"/>
    <n v="130"/>
    <n v="0.03"/>
    <n v="1"/>
    <n v="1"/>
    <n v="1"/>
    <n v="100"/>
    <x v="1"/>
  </r>
  <r>
    <x v="0"/>
    <s v="SainteLague"/>
    <n v="861"/>
    <n v="131128"/>
    <s v="[Web de clientes][Mobile] - Agenda"/>
    <x v="0"/>
    <x v="0"/>
    <x v="0"/>
    <s v="Backlog"/>
    <n v="131"/>
    <n v="0.03"/>
    <n v="1"/>
    <n v="1"/>
    <n v="1"/>
    <n v="100"/>
    <x v="1"/>
  </r>
  <r>
    <x v="0"/>
    <s v="SainteLague"/>
    <n v="862"/>
    <n v="131126"/>
    <s v="[Web de clientes][Mobile] - Seguimiento de envíos"/>
    <x v="0"/>
    <x v="0"/>
    <x v="0"/>
    <s v="Backlog"/>
    <n v="132"/>
    <n v="0.03"/>
    <n v="1"/>
    <n v="1"/>
    <n v="1"/>
    <n v="100"/>
    <x v="1"/>
  </r>
  <r>
    <x v="0"/>
    <s v="SainteLague"/>
    <n v="863"/>
    <n v="131124"/>
    <s v="[Web de clientes][Mobile] - Burger Menu + Actualización de página de inicio"/>
    <x v="0"/>
    <x v="0"/>
    <x v="0"/>
    <s v="Backlog"/>
    <n v="133"/>
    <n v="0.03"/>
    <n v="1"/>
    <n v="1"/>
    <n v="1"/>
    <n v="100"/>
    <x v="1"/>
  </r>
  <r>
    <x v="0"/>
    <s v="SainteLague"/>
    <n v="864"/>
    <n v="129726"/>
    <s v="[Producto] - Código promocional"/>
    <x v="0"/>
    <x v="0"/>
    <x v="0"/>
    <s v="Ready for Solution"/>
    <n v="134"/>
    <n v="0.03"/>
    <n v="1"/>
    <n v="1"/>
    <n v="1"/>
    <n v="100"/>
    <x v="1"/>
  </r>
  <r>
    <x v="0"/>
    <s v="SainteLague"/>
    <n v="865"/>
    <n v="131122"/>
    <s v="[Web de clientes][Mobile] - Solicitud de envío"/>
    <x v="0"/>
    <x v="0"/>
    <x v="0"/>
    <s v="Backlog"/>
    <n v="135"/>
    <n v="0.03"/>
    <n v="1"/>
    <n v="1"/>
    <n v="1"/>
    <n v="100"/>
    <x v="1"/>
  </r>
  <r>
    <x v="0"/>
    <s v="SainteLague"/>
    <n v="866"/>
    <n v="131115"/>
    <s v="[Web Pública] - Formulario y email Pagina Red PUDOS"/>
    <x v="0"/>
    <x v="0"/>
    <x v="0"/>
    <s v="Backlog"/>
    <n v="136"/>
    <n v="0.03"/>
    <n v="1"/>
    <n v="1"/>
    <n v="1"/>
    <n v="100"/>
    <x v="1"/>
  </r>
  <r>
    <x v="0"/>
    <s v="SainteLague"/>
    <n v="867"/>
    <n v="131105"/>
    <s v="[Web de Clientes] - Suscripción de informes - Reporte con la información de envíos de los últimos 30 días naturales - Ordenar reporte"/>
    <x v="0"/>
    <x v="0"/>
    <x v="0"/>
    <s v="Backlog"/>
    <n v="137"/>
    <n v="0.03"/>
    <n v="1"/>
    <n v="1"/>
    <n v="1"/>
    <n v="100"/>
    <x v="1"/>
  </r>
  <r>
    <x v="0"/>
    <s v="SainteLague"/>
    <n v="868"/>
    <n v="131082"/>
    <s v="[PUDOS] - Habilitación de LMS para entregas en PUDOS en ES"/>
    <x v="0"/>
    <x v="0"/>
    <x v="0"/>
    <s v="Backlog"/>
    <n v="138"/>
    <n v="0.03"/>
    <n v="1"/>
    <n v="1"/>
    <n v="1"/>
    <n v="100"/>
    <x v="1"/>
  </r>
  <r>
    <x v="0"/>
    <s v="SainteLague"/>
    <n v="869"/>
    <n v="131080"/>
    <s v="[FR y BR] - Tarifas y Ofertas"/>
    <x v="0"/>
    <x v="0"/>
    <x v="0"/>
    <s v="Backlog"/>
    <n v="139"/>
    <n v="0.03"/>
    <n v="1"/>
    <n v="1"/>
    <n v="1"/>
    <n v="100"/>
    <x v="1"/>
  </r>
  <r>
    <x v="0"/>
    <s v="SainteLague"/>
    <n v="870"/>
    <n v="131079"/>
    <s v="[FR y BR] - Campo departamento y facturación"/>
    <x v="0"/>
    <x v="0"/>
    <x v="0"/>
    <s v="Backlog"/>
    <n v="140"/>
    <n v="0.03"/>
    <n v="1"/>
    <n v="1"/>
    <n v="1"/>
    <n v="100"/>
    <x v="1"/>
  </r>
  <r>
    <x v="0"/>
    <s v="SainteLague"/>
    <n v="871"/>
    <n v="131018"/>
    <s v="[WEB CLIENTE] Configuración visibilidad web a nivel CENTRO"/>
    <x v="0"/>
    <x v="0"/>
    <x v="0"/>
    <s v="Backlog"/>
    <n v="142"/>
    <n v="0.03"/>
    <n v="1"/>
    <n v="1"/>
    <n v="1"/>
    <n v="100"/>
    <x v="1"/>
  </r>
  <r>
    <x v="0"/>
    <s v="SainteLague"/>
    <n v="872"/>
    <n v="131008"/>
    <s v="[PUDOS] - Mejora Pudo Manager"/>
    <x v="0"/>
    <x v="0"/>
    <x v="0"/>
    <s v="Backlog"/>
    <n v="143"/>
    <n v="0.03"/>
    <n v="1"/>
    <n v="1"/>
    <n v="1"/>
    <n v="100"/>
    <x v="1"/>
  </r>
  <r>
    <x v="0"/>
    <s v="SainteLague"/>
    <n v="873"/>
    <n v="130817"/>
    <s v="[Internacional]- Actualización Web- Módulo Aduana"/>
    <x v="0"/>
    <x v="0"/>
    <x v="0"/>
    <s v="In Definition"/>
    <n v="145"/>
    <n v="0.03"/>
    <n v="1"/>
    <n v="1"/>
    <n v="1"/>
    <n v="100"/>
    <x v="1"/>
  </r>
  <r>
    <x v="0"/>
    <s v="SainteLague"/>
    <n v="874"/>
    <n v="130639"/>
    <s v="[Web de Clientes] - Seguimiento de Envío - Posibilidad de descargar el albarán asociado al envío"/>
    <x v="0"/>
    <x v="0"/>
    <x v="0"/>
    <s v="Ready for Solution"/>
    <n v="146"/>
    <n v="0.03"/>
    <n v="1"/>
    <n v="1"/>
    <n v="1"/>
    <n v="100"/>
    <x v="1"/>
  </r>
  <r>
    <x v="0"/>
    <s v="SainteLague"/>
    <n v="875"/>
    <n v="129938"/>
    <s v="[Nexus-MVP] [Web de Clientes] - Recogidas - Resolución Incidencia en la recogida causa ajena: permitir al cliente solicitar una nueva recogida"/>
    <x v="0"/>
    <x v="0"/>
    <x v="0"/>
    <s v="Backlog"/>
    <n v="147"/>
    <n v="0.03"/>
    <n v="1"/>
    <n v="1"/>
    <n v="1"/>
    <n v="100"/>
    <x v="1"/>
  </r>
  <r>
    <x v="0"/>
    <s v="SainteLague"/>
    <n v="876"/>
    <n v="129934"/>
    <s v="[PUDOS] - Internalización de la gestión de envíos en punto Celeritas"/>
    <x v="0"/>
    <x v="0"/>
    <x v="0"/>
    <s v="Backlog"/>
    <n v="148"/>
    <n v="0.03"/>
    <n v="1"/>
    <n v="1"/>
    <n v="1"/>
    <n v="100"/>
    <x v="1"/>
  </r>
  <r>
    <x v="0"/>
    <s v="SainteLague"/>
    <n v="877"/>
    <n v="129671"/>
    <s v="[PUDOS] - Resolución incidencias de Puntos CTT Express"/>
    <x v="0"/>
    <x v="0"/>
    <x v="0"/>
    <s v="In Definition"/>
    <n v="150"/>
    <n v="0.03"/>
    <n v="1"/>
    <n v="1"/>
    <n v="1"/>
    <n v="100"/>
    <x v="1"/>
  </r>
  <r>
    <x v="0"/>
    <s v="SainteLague"/>
    <n v="878"/>
    <n v="129649"/>
    <s v="Desarrollo Nuevas funcionalidades/Venta (TP)"/>
    <x v="0"/>
    <x v="0"/>
    <x v="0"/>
    <s v="Backlog"/>
    <n v="151"/>
    <n v="0.03"/>
    <n v="1"/>
    <n v="1"/>
    <n v="1"/>
    <n v="100"/>
    <x v="1"/>
  </r>
  <r>
    <x v="0"/>
    <s v="SainteLague"/>
    <n v="879"/>
    <n v="129648"/>
    <s v="Implementación de la red Locky (TP)"/>
    <x v="0"/>
    <x v="0"/>
    <x v="0"/>
    <s v="Backlog"/>
    <n v="152"/>
    <n v="0.03"/>
    <n v="1"/>
    <n v="1"/>
    <n v="1"/>
    <n v="100"/>
    <x v="1"/>
  </r>
  <r>
    <x v="0"/>
    <s v="SainteLague"/>
    <n v="880"/>
    <n v="129593"/>
    <s v="Servicios Preferentes/Revisión del cálculo de compromiso (TP)"/>
    <x v="0"/>
    <x v="0"/>
    <x v="0"/>
    <s v="In Definition"/>
    <n v="153"/>
    <n v="0.03"/>
    <n v="1"/>
    <n v="1"/>
    <n v="1"/>
    <n v="100"/>
    <x v="1"/>
  </r>
  <r>
    <x v="1"/>
    <s v="WSJF"/>
    <n v="1"/>
    <n v="126587"/>
    <s v="Renovação DNS - Infoblox"/>
    <x v="7"/>
    <x v="1"/>
    <x v="3"/>
    <s v="In Development"/>
    <n v="32"/>
    <n v="11"/>
    <n v="3"/>
    <n v="4"/>
    <n v="4"/>
    <n v="1"/>
    <x v="0"/>
  </r>
  <r>
    <x v="1"/>
    <s v="WSJF"/>
    <n v="2"/>
    <n v="130941"/>
    <s v="Portal de Proveedores - Posibilidad de facturar al mismo proveedor por España (CTT Express) o Portugal (CTT o CTT Expresso)."/>
    <x v="2"/>
    <x v="0"/>
    <x v="1"/>
    <s v="Selected for Production"/>
    <n v="9"/>
    <n v="2"/>
    <n v="1"/>
    <n v="4"/>
    <n v="1"/>
    <n v="3"/>
    <x v="0"/>
  </r>
  <r>
    <x v="1"/>
    <s v="WSJF"/>
    <n v="3"/>
    <n v="130719"/>
    <s v="Los usuarios de las delegaciones no tienen que ver las liquidaciones de LH de los proveedores"/>
    <x v="2"/>
    <x v="0"/>
    <x v="1"/>
    <s v="In Development"/>
    <n v="17"/>
    <n v="2"/>
    <n v="2"/>
    <n v="1"/>
    <n v="1"/>
    <n v="2"/>
    <x v="0"/>
  </r>
  <r>
    <x v="1"/>
    <s v="WSJF"/>
    <n v="4"/>
    <n v="129833"/>
    <s v="Securización entorno SENDA"/>
    <x v="2"/>
    <x v="0"/>
    <x v="1"/>
    <s v="In Acceptance"/>
    <n v="14"/>
    <n v="2"/>
    <n v="2"/>
    <n v="2"/>
    <n v="2"/>
    <n v="3"/>
    <x v="0"/>
  </r>
  <r>
    <x v="1"/>
    <s v="WSJF"/>
    <n v="5"/>
    <n v="120240"/>
    <s v="Mata Aplicações - Wave 1.14"/>
    <x v="7"/>
    <x v="1"/>
    <x v="3"/>
    <s v="In Development"/>
    <n v="33"/>
    <n v="2.6669999999999998"/>
    <n v="4"/>
    <n v="2"/>
    <n v="2"/>
    <n v="3"/>
    <x v="0"/>
  </r>
  <r>
    <x v="1"/>
    <s v="WSJF"/>
    <n v="6"/>
    <n v="130595"/>
    <s v="[Nexus][Internacional]-[Nuevo Producto ECONOMY]- DHL-PARCEL"/>
    <x v="0"/>
    <x v="0"/>
    <x v="0"/>
    <s v="In Development"/>
    <n v="2"/>
    <n v="2"/>
    <n v="5"/>
    <n v="1"/>
    <n v="2"/>
    <n v="4"/>
    <x v="0"/>
  </r>
  <r>
    <x v="1"/>
    <s v="WSJF"/>
    <n v="7"/>
    <n v="99510"/>
    <s v="SAPSF - Solução de Interoperabilidade com a Segurança Social (Regulatório)"/>
    <x v="25"/>
    <x v="1"/>
    <x v="2"/>
    <s v="In Development"/>
    <n v="2"/>
    <n v="7"/>
    <n v="3"/>
    <n v="2"/>
    <n v="2"/>
    <n v="1"/>
    <x v="0"/>
  </r>
  <r>
    <x v="1"/>
    <s v="WSJF"/>
    <n v="8"/>
    <n v="98651"/>
    <s v="SAPSF - encriptação ficheiros SEPA CTT + CTTE"/>
    <x v="25"/>
    <x v="1"/>
    <x v="2"/>
    <s v="In Development"/>
    <n v="1"/>
    <n v="6"/>
    <n v="2"/>
    <n v="2"/>
    <n v="2"/>
    <n v="1"/>
    <x v="0"/>
  </r>
  <r>
    <x v="1"/>
    <s v="WSJF"/>
    <n v="9"/>
    <n v="50852"/>
    <s v="SOC - operacionalização do serviço"/>
    <x v="9"/>
    <x v="1"/>
    <x v="4"/>
    <s v="In Development"/>
    <n v="1"/>
    <n v="0.03"/>
    <n v="1"/>
    <n v="1"/>
    <n v="1"/>
    <n v="100"/>
    <x v="0"/>
  </r>
  <r>
    <x v="1"/>
    <s v="WSJF"/>
    <n v="10"/>
    <n v="130699"/>
    <s v="[Qlik Sense][A-Scan] - Nuevos Filtros"/>
    <x v="2"/>
    <x v="0"/>
    <x v="1"/>
    <s v="Ready for Acceptance"/>
    <n v="43"/>
    <n v="0.03"/>
    <n v="1"/>
    <n v="1"/>
    <n v="1"/>
    <n v="100"/>
    <x v="0"/>
  </r>
  <r>
    <x v="1"/>
    <s v="WSJF"/>
    <n v="11"/>
    <n v="130434"/>
    <s v="[Desconexión SGC]: Consulta de Envíos"/>
    <x v="2"/>
    <x v="0"/>
    <x v="1"/>
    <s v="In Development"/>
    <n v="15"/>
    <n v="0.03"/>
    <n v="1"/>
    <n v="1"/>
    <n v="1"/>
    <n v="100"/>
    <x v="0"/>
  </r>
  <r>
    <x v="1"/>
    <s v="WSJF"/>
    <n v="12"/>
    <n v="130223"/>
    <s v="[Desconexión SGC] Evolución pantalla web Nexus (modulo seguimiento de rutas/ recogidas)"/>
    <x v="2"/>
    <x v="0"/>
    <x v="1"/>
    <s v="In Acceptance"/>
    <n v="4"/>
    <n v="0.03"/>
    <n v="1"/>
    <n v="1"/>
    <n v="1"/>
    <n v="100"/>
    <x v="0"/>
  </r>
  <r>
    <x v="1"/>
    <s v="WSJF"/>
    <n v="13"/>
    <n v="130532"/>
    <s v="[WebHook] - Shein ADT - Migración de infraestructura de Shein ADT"/>
    <x v="6"/>
    <x v="0"/>
    <x v="3"/>
    <s v="In Development"/>
    <n v="23"/>
    <n v="0.03"/>
    <n v="1"/>
    <n v="1"/>
    <n v="1"/>
    <n v="100"/>
    <x v="0"/>
  </r>
  <r>
    <x v="1"/>
    <s v="WSJF"/>
    <n v="14"/>
    <n v="130992"/>
    <s v="[Web de Clientes] - TikTok - Permitir visibilizar el componente de geoposición de los entregados en un mapa que tiene configurado Salesforce"/>
    <x v="0"/>
    <x v="0"/>
    <x v="0"/>
    <s v="Selected for Production"/>
    <n v="3"/>
    <n v="0.03"/>
    <n v="1"/>
    <n v="1"/>
    <n v="1"/>
    <n v="100"/>
    <x v="0"/>
  </r>
  <r>
    <x v="1"/>
    <s v="WSJF"/>
    <n v="15"/>
    <n v="130450"/>
    <s v="[Web de Clientes][Web de Cambios] - Trazabilidad - Actualización de literales en visión de Web de clientes y Destinatario (Web de cambios)"/>
    <x v="0"/>
    <x v="0"/>
    <x v="0"/>
    <s v="In Development"/>
    <n v="1"/>
    <n v="0.03"/>
    <n v="1"/>
    <n v="1"/>
    <n v="1"/>
    <n v="100"/>
    <x v="0"/>
  </r>
  <r>
    <x v="1"/>
    <s v="WSJF"/>
    <n v="16"/>
    <n v="129488"/>
    <s v="[PUDOS] - Venta Internacional en PUDOS"/>
    <x v="0"/>
    <x v="0"/>
    <x v="0"/>
    <s v="In Development"/>
    <n v="0"/>
    <n v="0.03"/>
    <n v="1"/>
    <n v="1"/>
    <n v="1"/>
    <n v="100"/>
    <x v="0"/>
  </r>
  <r>
    <x v="1"/>
    <s v="WSJF"/>
    <n v="17"/>
    <n v="130416"/>
    <s v="[Nexus Piloto Operacional] [We Care] Habilitar equipo de ATC para la gestión de envíos Nexus Fase 2 [BM 85810]"/>
    <x v="4"/>
    <x v="0"/>
    <x v="2"/>
    <s v="Selected for Production"/>
    <n v="2"/>
    <n v="0.03"/>
    <n v="1"/>
    <n v="1"/>
    <n v="1"/>
    <n v="100"/>
    <x v="0"/>
  </r>
  <r>
    <x v="1"/>
    <s v="WSJF"/>
    <n v="18"/>
    <n v="129587"/>
    <s v="[Qlik] - APP Contact Center Integrar toda la información de casos de Salesforce"/>
    <x v="4"/>
    <x v="0"/>
    <x v="2"/>
    <s v="In Acceptance"/>
    <n v="7"/>
    <n v="0.03"/>
    <n v="1"/>
    <n v="1"/>
    <n v="1"/>
    <n v="100"/>
    <x v="0"/>
  </r>
  <r>
    <x v="1"/>
    <s v="WSJF"/>
    <n v="19"/>
    <n v="129457"/>
    <s v="[Auditoria PT] [Gestión Clientes] Yndika - Solicitudes realizadas para conectividad con Yndika (proyecto modulo de admisión)"/>
    <x v="11"/>
    <x v="0"/>
    <x v="2"/>
    <s v="Selected for Production"/>
    <n v="1"/>
    <n v="0.03"/>
    <n v="1"/>
    <n v="1"/>
    <n v="1"/>
    <n v="100"/>
    <x v="0"/>
  </r>
  <r>
    <x v="1"/>
    <s v="WSJF"/>
    <n v="20"/>
    <n v="130370"/>
    <s v="[Nexus] [We Sell] Carga de clientes de PT en Salesforce Sales"/>
    <x v="8"/>
    <x v="0"/>
    <x v="0"/>
    <s v="In Development"/>
    <n v="2"/>
    <n v="0.03"/>
    <n v="1"/>
    <n v="1"/>
    <n v="1"/>
    <n v="100"/>
    <x v="0"/>
  </r>
  <r>
    <x v="2"/>
    <s v="WSJF"/>
    <n v="21"/>
    <n v="130343"/>
    <s v="[Nuevo Producto]-[Minerva]-Producto 48h a Islas Canarias"/>
    <x v="0"/>
    <x v="0"/>
    <x v="0"/>
    <s v="Ready for Development"/>
    <n v="4"/>
    <n v="0.03"/>
    <n v="1"/>
    <n v="1"/>
    <n v="1"/>
    <n v="100"/>
    <x v="0"/>
  </r>
  <r>
    <x v="3"/>
    <s v="sainte-lague"/>
    <m/>
    <n v="132113"/>
    <s v="Reduce SalesForce Storage before contract renewal"/>
    <x v="6"/>
    <x v="0"/>
    <x v="3"/>
    <s v="In Production"/>
    <n v="999"/>
    <m/>
    <n v="4"/>
    <n v="1"/>
    <n v="3"/>
    <n v="1"/>
    <x v="1"/>
  </r>
  <r>
    <x v="3"/>
    <s v="sainte-lague"/>
    <m/>
    <n v="131163"/>
    <s v="[Web Pública] - Localizador de puntos - Actualizar texto de enlace"/>
    <x v="0"/>
    <x v="0"/>
    <x v="0"/>
    <s v="In Production"/>
    <n v="999"/>
    <m/>
    <n v="1"/>
    <n v="1"/>
    <n v="1"/>
    <n v="100"/>
    <x v="1"/>
  </r>
  <r>
    <x v="3"/>
    <s v="sainte-lague"/>
    <m/>
    <n v="131144"/>
    <s v="[Salesforce] Adición del campo Dirección en objeto user"/>
    <x v="6"/>
    <x v="0"/>
    <x v="3"/>
    <s v="In Production"/>
    <n v="999"/>
    <m/>
    <n v="2"/>
    <n v="1"/>
    <n v="1"/>
    <n v="1"/>
    <x v="1"/>
  </r>
  <r>
    <x v="3"/>
    <s v="sainte-lague"/>
    <m/>
    <n v="131138"/>
    <s v="[WebHook] - Shein - LastMile - Modificación de destino HD a Pudo y su comunicación al cliente."/>
    <x v="26"/>
    <x v="0"/>
    <x v="2"/>
    <s v="In Production"/>
    <n v="999"/>
    <m/>
    <n v="1"/>
    <n v="1"/>
    <n v="1"/>
    <n v="100"/>
    <x v="1"/>
  </r>
  <r>
    <x v="3"/>
    <s v="sainte-lague"/>
    <m/>
    <n v="131009"/>
    <s v="Nuevo universo de envios Senda fin de semana"/>
    <x v="2"/>
    <x v="0"/>
    <x v="1"/>
    <s v="In Production"/>
    <n v="42"/>
    <m/>
    <n v="1"/>
    <n v="1"/>
    <n v="1"/>
    <n v="100"/>
    <x v="1"/>
  </r>
  <r>
    <x v="3"/>
    <s v="sainte-lague"/>
    <m/>
    <n v="130965"/>
    <s v="[SGC] - Omitir mensajes de Franquicias"/>
    <x v="8"/>
    <x v="0"/>
    <x v="0"/>
    <s v="In Production"/>
    <n v="42"/>
    <m/>
    <n v="1"/>
    <n v="1"/>
    <n v="1"/>
    <n v="100"/>
    <x v="1"/>
  </r>
  <r>
    <x v="3"/>
    <s v="sainte-lague"/>
    <m/>
    <n v="130928"/>
    <s v="Kafka - Upgrade MSK en AWS"/>
    <x v="6"/>
    <x v="0"/>
    <x v="3"/>
    <s v="In Production"/>
    <n v="7"/>
    <m/>
    <n v="3"/>
    <n v="3"/>
    <n v="1"/>
    <n v="100"/>
    <x v="1"/>
  </r>
  <r>
    <x v="3"/>
    <s v="sainte-lague"/>
    <m/>
    <n v="130906"/>
    <s v="Tasa Gasoil Portugal"/>
    <x v="2"/>
    <x v="0"/>
    <x v="1"/>
    <s v="In Production"/>
    <n v="5"/>
    <m/>
    <n v="1"/>
    <n v="1"/>
    <n v="1"/>
    <n v="100"/>
    <x v="1"/>
  </r>
  <r>
    <x v="3"/>
    <s v="sainte-lague"/>
    <m/>
    <n v="130776"/>
    <s v="Actualizar lista de esquemas de documentación que permiten asociado"/>
    <x v="2"/>
    <x v="0"/>
    <x v="1"/>
    <s v="In Production"/>
    <n v="0"/>
    <m/>
    <n v="1"/>
    <n v="1"/>
    <n v="1"/>
    <n v="100"/>
    <x v="1"/>
  </r>
  <r>
    <x v="3"/>
    <s v="sainte-lague"/>
    <m/>
    <n v="130725"/>
    <s v="[DHL Parcel] Envíos PT - PT"/>
    <x v="14"/>
    <x v="0"/>
    <x v="0"/>
    <s v="In Production"/>
    <n v="1"/>
    <m/>
    <n v="1"/>
    <n v="1"/>
    <n v="1"/>
    <n v="100"/>
    <x v="1"/>
  </r>
  <r>
    <x v="3"/>
    <s v="sainte-lague"/>
    <m/>
    <n v="130712"/>
    <s v="[Notificaciones] - [Mail] - [Modificación] - Actualizar template notificaciones Custom para modificar imágenes"/>
    <x v="0"/>
    <x v="0"/>
    <x v="0"/>
    <s v="In Production"/>
    <n v="0"/>
    <m/>
    <n v="1"/>
    <n v="1"/>
    <n v="1"/>
    <n v="100"/>
    <x v="1"/>
  </r>
  <r>
    <x v="3"/>
    <s v="sainte-lague"/>
    <m/>
    <n v="130640"/>
    <s v="Portal Proveedores Linehaul - Incluir concepto peaje en la facturación"/>
    <x v="2"/>
    <x v="0"/>
    <x v="1"/>
    <s v="In Production"/>
    <n v="0"/>
    <m/>
    <n v="1"/>
    <n v="1"/>
    <n v="1"/>
    <n v="100"/>
    <x v="1"/>
  </r>
  <r>
    <x v="3"/>
    <s v="sainte-lague"/>
    <m/>
    <n v="122024"/>
    <s v="Evolutivos CRM Q4.2025"/>
    <x v="36"/>
    <x v="1"/>
    <x v="3"/>
    <s v="In Production"/>
    <n v="999"/>
    <m/>
    <n v="1"/>
    <n v="1"/>
    <n v="1"/>
    <n v="100"/>
    <x v="1"/>
  </r>
  <r>
    <x v="3"/>
    <s v="sainte-lague"/>
    <m/>
    <n v="120213"/>
    <s v="Incrementos à solução SLA"/>
    <x v="23"/>
    <x v="1"/>
    <x v="3"/>
    <s v="In Production"/>
    <n v="999"/>
    <m/>
    <n v="1"/>
    <n v="1"/>
    <n v="1"/>
    <n v="100"/>
    <x v="1"/>
  </r>
  <r>
    <x v="3"/>
    <s v="sainte-lague"/>
    <m/>
    <n v="119659"/>
    <s v="Evolução contínua First&amp;laste Mile"/>
    <x v="23"/>
    <x v="1"/>
    <x v="3"/>
    <s v="In Production"/>
    <n v="999"/>
    <m/>
    <n v="1"/>
    <n v="1"/>
    <n v="1"/>
    <n v="100"/>
    <x v="1"/>
  </r>
  <r>
    <x v="3"/>
    <s v="sainte-lague"/>
    <m/>
    <n v="119486"/>
    <s v="Desenvolvimentos adicionais em Track &amp; Trace"/>
    <x v="23"/>
    <x v="1"/>
    <x v="3"/>
    <s v="In Production"/>
    <n v="999"/>
    <m/>
    <n v="1"/>
    <n v="1"/>
    <n v="1"/>
    <n v="100"/>
    <x v="1"/>
  </r>
  <r>
    <x v="3"/>
    <s v="sainte-lague"/>
    <m/>
    <n v="112480"/>
    <s v="Canais Presenciais - Evolutivos Nave Novembro e Dezembro 2025"/>
    <x v="21"/>
    <x v="1"/>
    <x v="0"/>
    <s v="In Production"/>
    <n v="999"/>
    <m/>
    <n v="1"/>
    <n v="1"/>
    <n v="1"/>
    <n v="100"/>
    <x v="1"/>
  </r>
  <r>
    <x v="3"/>
    <s v="sainte-lague"/>
    <m/>
    <n v="111606"/>
    <s v="Nexus | We Care | Manifests Lifecycle Monitoring"/>
    <x v="7"/>
    <x v="1"/>
    <x v="3"/>
    <s v="In Production"/>
    <n v="999"/>
    <m/>
    <n v="1"/>
    <n v="1"/>
    <n v="1"/>
    <n v="100"/>
    <x v="1"/>
  </r>
  <r>
    <x v="3"/>
    <s v="sainte-lague"/>
    <m/>
    <n v="108257"/>
    <s v="Pai Natal Solidário 2025"/>
    <x v="33"/>
    <x v="1"/>
    <x v="2"/>
    <s v="In Production"/>
    <n v="999"/>
    <m/>
    <n v="1"/>
    <n v="1"/>
    <n v="1"/>
    <n v="100"/>
    <x v="1"/>
  </r>
  <r>
    <x v="3"/>
    <s v="sainte-lague"/>
    <m/>
    <n v="107420"/>
    <s v="QOS ibérico"/>
    <x v="23"/>
    <x v="1"/>
    <x v="3"/>
    <s v="In Production"/>
    <n v="999"/>
    <m/>
    <n v="1"/>
    <n v="1"/>
    <n v="1"/>
    <n v="100"/>
    <x v="1"/>
  </r>
  <r>
    <x v="3"/>
    <s v="sainte-lague"/>
    <m/>
    <n v="106422"/>
    <s v="Evolução PBI ‘qualidade correio nacional código laranja’ – segregação correio franqueado"/>
    <x v="12"/>
    <x v="1"/>
    <x v="1"/>
    <s v="In Production"/>
    <n v="999"/>
    <m/>
    <n v="1"/>
    <n v="1"/>
    <n v="1"/>
    <n v="100"/>
    <x v="1"/>
  </r>
  <r>
    <x v="3"/>
    <s v="sainte-lague"/>
    <m/>
    <n v="105880"/>
    <s v="Evolutivos SAP FI Q4"/>
    <x v="13"/>
    <x v="1"/>
    <x v="2"/>
    <s v="In Production"/>
    <n v="999"/>
    <m/>
    <n v="1"/>
    <n v="1"/>
    <n v="1"/>
    <n v="100"/>
    <x v="1"/>
  </r>
  <r>
    <x v="3"/>
    <s v="sainte-lague"/>
    <m/>
    <n v="105781"/>
    <s v="PEAK SEASON 2025"/>
    <x v="3"/>
    <x v="1"/>
    <x v="1"/>
    <s v="In Production"/>
    <n v="999"/>
    <m/>
    <n v="1"/>
    <n v="1"/>
    <n v="1"/>
    <n v="100"/>
    <x v="1"/>
  </r>
  <r>
    <x v="3"/>
    <s v="sainte-lague"/>
    <m/>
    <n v="102656"/>
    <s v="Canais Presenciais | Evolutivos Nave Setembro e Outubro 2025"/>
    <x v="21"/>
    <x v="1"/>
    <x v="0"/>
    <s v="In Production"/>
    <n v="999"/>
    <m/>
    <n v="1"/>
    <n v="1"/>
    <n v="1"/>
    <n v="100"/>
    <x v="1"/>
  </r>
  <r>
    <x v="3"/>
    <s v="sainte-lague"/>
    <m/>
    <n v="100594"/>
    <s v="Adaptação ao De Minimis dos Estados Unidos da América"/>
    <x v="10"/>
    <x v="1"/>
    <x v="0"/>
    <s v="In Production"/>
    <n v="999"/>
    <m/>
    <n v="1"/>
    <n v="1"/>
    <n v="1"/>
    <n v="100"/>
    <x v="1"/>
  </r>
  <r>
    <x v="3"/>
    <s v="sainte-lague"/>
    <m/>
    <n v="99490"/>
    <s v="Migração CTT Express ADO2BMAP"/>
    <x v="7"/>
    <x v="1"/>
    <x v="3"/>
    <s v="In Production"/>
    <n v="999"/>
    <m/>
    <n v="1"/>
    <n v="1"/>
    <n v="1"/>
    <n v="100"/>
    <x v="1"/>
  </r>
  <r>
    <x v="3"/>
    <s v="sainte-lague"/>
    <m/>
    <n v="98222"/>
    <s v="Evolutivos CRM Q3.2025"/>
    <x v="36"/>
    <x v="1"/>
    <x v="3"/>
    <s v="In Production"/>
    <n v="999"/>
    <m/>
    <n v="1"/>
    <n v="1"/>
    <n v="1"/>
    <n v="100"/>
    <x v="1"/>
  </r>
  <r>
    <x v="3"/>
    <s v="sainte-lague"/>
    <m/>
    <n v="96350"/>
    <s v="Galaxy - Jornada de envios – Melhorias técnicas"/>
    <x v="21"/>
    <x v="1"/>
    <x v="0"/>
    <s v="In Production"/>
    <n v="999"/>
    <m/>
    <n v="1"/>
    <n v="1"/>
    <n v="1"/>
    <n v="100"/>
    <x v="1"/>
  </r>
  <r>
    <x v="3"/>
    <s v="sainte-lague"/>
    <m/>
    <n v="95275"/>
    <s v="APT | Observabilidade (Alarmística)"/>
    <x v="7"/>
    <x v="1"/>
    <x v="3"/>
    <s v="In Production"/>
    <n v="999"/>
    <m/>
    <n v="1"/>
    <n v="1"/>
    <n v="1"/>
    <n v="100"/>
    <x v="1"/>
  </r>
  <r>
    <x v="3"/>
    <s v="sainte-lague"/>
    <m/>
    <n v="95267"/>
    <s v="1º Wave da Auditoria aos processos de autorização e autenticação dos sistemas de informação: GVP | GCA"/>
    <x v="5"/>
    <x v="1"/>
    <x v="2"/>
    <s v="In Production"/>
    <n v="999"/>
    <m/>
    <n v="1"/>
    <n v="1"/>
    <n v="1"/>
    <n v="100"/>
    <x v="1"/>
  </r>
  <r>
    <x v="3"/>
    <s v="sainte-lague"/>
    <m/>
    <n v="94033"/>
    <s v="SAPSF P&amp;G | Migração de relatórios -&gt; People Analytics"/>
    <x v="28"/>
    <x v="1"/>
    <x v="2"/>
    <s v="In Production"/>
    <n v="999"/>
    <m/>
    <n v="1"/>
    <n v="1"/>
    <n v="1"/>
    <n v="100"/>
    <x v="1"/>
  </r>
  <r>
    <x v="3"/>
    <s v="sainte-lague"/>
    <m/>
    <n v="91165"/>
    <s v="APT | Peak Season 2025"/>
    <x v="7"/>
    <x v="1"/>
    <x v="3"/>
    <s v="In Production"/>
    <n v="999"/>
    <m/>
    <n v="1"/>
    <n v="1"/>
    <n v="1"/>
    <n v="100"/>
    <x v="1"/>
  </r>
  <r>
    <x v="3"/>
    <s v="sainte-lague"/>
    <m/>
    <n v="88751"/>
    <s v="STICO_STIAR - Agile Way 4B 2025 (julho e agosto)"/>
    <x v="1"/>
    <x v="1"/>
    <x v="0"/>
    <s v="In Production"/>
    <n v="999"/>
    <m/>
    <n v="1"/>
    <n v="1"/>
    <n v="1"/>
    <n v="100"/>
    <x v="1"/>
  </r>
  <r>
    <x v="3"/>
    <s v="sainte-lague"/>
    <m/>
    <n v="87705"/>
    <s v="Ecossistema B2C – Evolutiva - Setembro e Outubro"/>
    <x v="16"/>
    <x v="1"/>
    <x v="0"/>
    <s v="In Production"/>
    <n v="999"/>
    <m/>
    <n v="1"/>
    <n v="1"/>
    <n v="1"/>
    <n v="100"/>
    <x v="1"/>
  </r>
  <r>
    <x v="3"/>
    <s v="sainte-lague"/>
    <m/>
    <n v="87620"/>
    <s v="Implementação da interface entre o Banco Santander e os sistemas de produção documental (PEF)_Providenciar comunicação via API com o cliente"/>
    <x v="1"/>
    <x v="1"/>
    <x v="0"/>
    <s v="In Production"/>
    <n v="999"/>
    <m/>
    <n v="1"/>
    <n v="1"/>
    <n v="1"/>
    <n v="100"/>
    <x v="1"/>
  </r>
  <r>
    <x v="3"/>
    <s v="sainte-lague"/>
    <m/>
    <n v="85743"/>
    <s v="Evolução do PBI ‘Qualidade Correio Nacional Código Laranja’"/>
    <x v="12"/>
    <x v="1"/>
    <x v="1"/>
    <s v="In Production"/>
    <n v="999"/>
    <m/>
    <n v="1"/>
    <n v="1"/>
    <n v="1"/>
    <n v="100"/>
    <x v="1"/>
  </r>
  <r>
    <x v="3"/>
    <s v="sainte-lague"/>
    <m/>
    <n v="84842"/>
    <s v="T&amp;T | Controlo de Acessos"/>
    <x v="10"/>
    <x v="1"/>
    <x v="0"/>
    <s v="In Production"/>
    <n v="999"/>
    <m/>
    <n v="1"/>
    <n v="1"/>
    <n v="1"/>
    <n v="100"/>
    <x v="1"/>
  </r>
  <r>
    <x v="3"/>
    <s v="sainte-lague"/>
    <m/>
    <n v="83666"/>
    <s v="[Peak season] Criação de controlos de atividade na autofaturação"/>
    <x v="23"/>
    <x v="1"/>
    <x v="3"/>
    <s v="In Production"/>
    <n v="999"/>
    <m/>
    <n v="1"/>
    <n v="1"/>
    <n v="1"/>
    <n v="100"/>
    <x v="1"/>
  </r>
  <r>
    <x v="3"/>
    <s v="sainte-lague"/>
    <m/>
    <n v="83663"/>
    <s v="[Peak Season] Envio de eventos de SGEE para T&amp;T"/>
    <x v="23"/>
    <x v="1"/>
    <x v="3"/>
    <s v="In Production"/>
    <n v="999"/>
    <m/>
    <n v="1"/>
    <n v="1"/>
    <n v="1"/>
    <n v="100"/>
    <x v="1"/>
  </r>
  <r>
    <x v="3"/>
    <s v="sainte-lague"/>
    <m/>
    <n v="83640"/>
    <s v="Canais Presenciais | Evolutivos Julho- Agosto 2025"/>
    <x v="21"/>
    <x v="1"/>
    <x v="0"/>
    <s v="In Production"/>
    <n v="999"/>
    <m/>
    <n v="1"/>
    <n v="1"/>
    <n v="1"/>
    <n v="100"/>
    <x v="1"/>
  </r>
  <r>
    <x v="3"/>
    <s v="sainte-lague"/>
    <m/>
    <n v="82500"/>
    <s v="Internacional | SIMTEM | Declarar objetos da via Marítima e da Rodovia e atualização de novas regras de tratamento para todas as vias de transporte (parte 4/4)"/>
    <x v="3"/>
    <x v="1"/>
    <x v="1"/>
    <s v="In Production"/>
    <n v="999"/>
    <m/>
    <n v="1"/>
    <n v="1"/>
    <n v="1"/>
    <n v="100"/>
    <x v="1"/>
  </r>
  <r>
    <x v="3"/>
    <s v="sainte-lague"/>
    <m/>
    <n v="82371"/>
    <s v="IOP | Implementação DR Payshop - ZERTO"/>
    <x v="29"/>
    <x v="1"/>
    <x v="0"/>
    <s v="In Production"/>
    <n v="999"/>
    <m/>
    <n v="1"/>
    <n v="1"/>
    <n v="1"/>
    <n v="100"/>
    <x v="1"/>
  </r>
  <r>
    <x v="3"/>
    <s v="sainte-lague"/>
    <m/>
    <n v="81335"/>
    <s v="[Peak Season] QoT QoS"/>
    <x v="3"/>
    <x v="1"/>
    <x v="1"/>
    <s v="In Production"/>
    <n v="999"/>
    <m/>
    <n v="1"/>
    <n v="1"/>
    <n v="1"/>
    <n v="100"/>
    <x v="1"/>
  </r>
  <r>
    <x v="3"/>
    <s v="sainte-lague"/>
    <m/>
    <n v="77171"/>
    <s v="Cookie Management Platform"/>
    <x v="15"/>
    <x v="1"/>
    <x v="3"/>
    <s v="In Production"/>
    <n v="999"/>
    <m/>
    <n v="1"/>
    <n v="1"/>
    <n v="1"/>
    <n v="100"/>
    <x v="1"/>
  </r>
  <r>
    <x v="3"/>
    <s v="sainte-lague"/>
    <m/>
    <n v="75691"/>
    <s v="Área de Cliente CTT - Empresas| Agile Way NOV e DEZ 2025"/>
    <x v="16"/>
    <x v="1"/>
    <x v="0"/>
    <s v="In Production"/>
    <n v="999"/>
    <m/>
    <n v="1"/>
    <n v="1"/>
    <n v="1"/>
    <n v="100"/>
    <x v="1"/>
  </r>
  <r>
    <x v="3"/>
    <s v="sainte-lague"/>
    <m/>
    <n v="75690"/>
    <s v="Portal Empresas| Agile Way SET e OUT 2025"/>
    <x v="16"/>
    <x v="1"/>
    <x v="0"/>
    <s v="In Production"/>
    <n v="999"/>
    <m/>
    <n v="1"/>
    <n v="1"/>
    <n v="1"/>
    <n v="100"/>
    <x v="1"/>
  </r>
  <r>
    <x v="3"/>
    <s v="sainte-lague"/>
    <m/>
    <n v="74738"/>
    <s v="[Peak Season] Last Mile - Gestão da Distribuição"/>
    <x v="12"/>
    <x v="1"/>
    <x v="1"/>
    <s v="In Production"/>
    <n v="999"/>
    <m/>
    <n v="1"/>
    <n v="1"/>
    <n v="1"/>
    <n v="100"/>
    <x v="1"/>
  </r>
  <r>
    <x v="3"/>
    <s v="sainte-lague"/>
    <m/>
    <n v="72102"/>
    <s v="Autenticação Legacy Email - Envio de emails (MyCTT; Recrutamento; SmartGov; Teleponto) - Protocolos de autenticação que vão ser descontinuados!"/>
    <x v="7"/>
    <x v="1"/>
    <x v="3"/>
    <s v="In Production"/>
    <n v="999"/>
    <m/>
    <n v="1"/>
    <n v="1"/>
    <n v="1"/>
    <n v="100"/>
    <x v="1"/>
  </r>
  <r>
    <x v="3"/>
    <s v="sainte-lague"/>
    <m/>
    <n v="71920"/>
    <s v="Sites e Aplicativos | Melhorias às plataformas - Setembro e Outubro 2025 2025"/>
    <x v="16"/>
    <x v="1"/>
    <x v="0"/>
    <s v="In Production"/>
    <n v="999"/>
    <m/>
    <n v="1"/>
    <n v="1"/>
    <n v="1"/>
    <n v="100"/>
    <x v="1"/>
  </r>
  <r>
    <x v="3"/>
    <s v="sainte-lague"/>
    <m/>
    <n v="70903"/>
    <s v="NOTA 2.0.: Controlo de Fundos de Maneio das Lojas"/>
    <x v="13"/>
    <x v="1"/>
    <x v="2"/>
    <s v="In Production"/>
    <n v="999"/>
    <m/>
    <n v="1"/>
    <n v="1"/>
    <n v="1"/>
    <n v="100"/>
    <x v="1"/>
  </r>
  <r>
    <x v="3"/>
    <s v="sainte-lague"/>
    <m/>
    <n v="70871"/>
    <s v="Automação da Criação de listas técnicas Filatelia"/>
    <x v="30"/>
    <x v="1"/>
    <x v="2"/>
    <s v="In Production"/>
    <n v="999"/>
    <m/>
    <n v="1"/>
    <n v="1"/>
    <n v="1"/>
    <n v="100"/>
    <x v="1"/>
  </r>
  <r>
    <x v="3"/>
    <s v="sainte-lague"/>
    <m/>
    <n v="70737"/>
    <s v="WFA | Incremento 4 | Melhorias Estruturantes"/>
    <x v="31"/>
    <x v="1"/>
    <x v="2"/>
    <s v="In Production"/>
    <n v="999"/>
    <m/>
    <n v="1"/>
    <n v="1"/>
    <n v="1"/>
    <n v="100"/>
    <x v="1"/>
  </r>
  <r>
    <x v="3"/>
    <s v="sainte-lague"/>
    <m/>
    <n v="69063"/>
    <s v="Data Governance - Catalogo de Produtos de Dados"/>
    <x v="31"/>
    <x v="1"/>
    <x v="2"/>
    <s v="In Production"/>
    <n v="999"/>
    <m/>
    <n v="1"/>
    <n v="1"/>
    <n v="1"/>
    <n v="100"/>
    <x v="1"/>
  </r>
  <r>
    <x v="3"/>
    <s v="sainte-lague"/>
    <m/>
    <n v="68897"/>
    <s v="IOP | Sistemas - Migração - Nova Farm Hyper V Lisboa - Wave 2"/>
    <x v="7"/>
    <x v="1"/>
    <x v="3"/>
    <s v="In Production"/>
    <n v="999"/>
    <m/>
    <n v="1"/>
    <n v="1"/>
    <n v="1"/>
    <n v="100"/>
    <x v="1"/>
  </r>
  <r>
    <x v="3"/>
    <s v="sainte-lague"/>
    <m/>
    <n v="68893"/>
    <s v="SAP BRIM - Recuperação de Receita ( 1 Million)"/>
    <x v="13"/>
    <x v="1"/>
    <x v="2"/>
    <s v="In Production"/>
    <n v="999"/>
    <m/>
    <n v="1"/>
    <n v="1"/>
    <n v="1"/>
    <n v="100"/>
    <x v="1"/>
  </r>
  <r>
    <x v="3"/>
    <s v="sainte-lague"/>
    <m/>
    <n v="68847"/>
    <s v="Portal Empresas | Descontinuar a Área de Cliente Correio WAVE 3"/>
    <x v="16"/>
    <x v="1"/>
    <x v="0"/>
    <s v="In Production"/>
    <n v="999"/>
    <m/>
    <n v="1"/>
    <n v="1"/>
    <n v="1"/>
    <n v="100"/>
    <x v="1"/>
  </r>
  <r>
    <x v="3"/>
    <s v="sainte-lague"/>
    <m/>
    <n v="68846"/>
    <s v="Portal Empresas | Descontinuar a Área de Cliente Correio WAVE 2"/>
    <x v="16"/>
    <x v="1"/>
    <x v="0"/>
    <s v="In Production"/>
    <n v="999"/>
    <m/>
    <n v="1"/>
    <n v="1"/>
    <n v="1"/>
    <n v="100"/>
    <x v="1"/>
  </r>
  <r>
    <x v="3"/>
    <s v="sainte-lague"/>
    <m/>
    <n v="68764"/>
    <s v="[Peak Season] SD: Distribuição Clientes VIP"/>
    <x v="12"/>
    <x v="1"/>
    <x v="1"/>
    <s v="In Production"/>
    <n v="999"/>
    <m/>
    <n v="1"/>
    <n v="1"/>
    <n v="1"/>
    <n v="100"/>
    <x v="1"/>
  </r>
  <r>
    <x v="3"/>
    <s v="sainte-lague"/>
    <m/>
    <n v="68329"/>
    <s v="Leitura de código laranja - manutenção evolutiva - local de picagem"/>
    <x v="12"/>
    <x v="1"/>
    <x v="1"/>
    <s v="In Production"/>
    <n v="999"/>
    <m/>
    <n v="1"/>
    <n v="1"/>
    <n v="1"/>
    <n v="100"/>
    <x v="1"/>
  </r>
  <r>
    <x v="3"/>
    <s v="sainte-lague"/>
    <m/>
    <n v="67339"/>
    <s v="Pay - Realese 2 de 2025 Versão v.1.0.14_20241231 do Manual do Banco de Portugal"/>
    <x v="21"/>
    <x v="1"/>
    <x v="0"/>
    <s v="In Production"/>
    <n v="999"/>
    <m/>
    <n v="1"/>
    <n v="1"/>
    <n v="1"/>
    <n v="100"/>
    <x v="1"/>
  </r>
  <r>
    <x v="3"/>
    <s v="sainte-lague"/>
    <m/>
    <n v="66745"/>
    <s v="Novas regras RCTO - Prioridade/Wave 1"/>
    <x v="5"/>
    <x v="1"/>
    <x v="2"/>
    <s v="In Production"/>
    <n v="999"/>
    <m/>
    <n v="1"/>
    <n v="1"/>
    <n v="1"/>
    <n v="100"/>
    <x v="1"/>
  </r>
  <r>
    <x v="3"/>
    <s v="sainte-lague"/>
    <m/>
    <n v="65950"/>
    <s v="Plataforma Analytics | Incorporação de custos de Recolha &amp; Handling"/>
    <x v="31"/>
    <x v="1"/>
    <x v="2"/>
    <s v="In Production"/>
    <n v="999"/>
    <m/>
    <n v="1"/>
    <n v="1"/>
    <n v="1"/>
    <n v="100"/>
    <x v="1"/>
  </r>
  <r>
    <x v="3"/>
    <s v="sainte-lague"/>
    <m/>
    <n v="63792"/>
    <s v="Sites e Aplicativos | Melhorias às plataformas - Julho e Agosto 2025"/>
    <x v="16"/>
    <x v="1"/>
    <x v="0"/>
    <s v="In Production"/>
    <n v="999"/>
    <m/>
    <n v="1"/>
    <n v="1"/>
    <n v="1"/>
    <n v="100"/>
    <x v="1"/>
  </r>
  <r>
    <x v="3"/>
    <s v="sainte-lague"/>
    <m/>
    <n v="63467"/>
    <s v="Nexus | Architecture | Events Sync"/>
    <x v="23"/>
    <x v="1"/>
    <x v="3"/>
    <s v="In Production"/>
    <n v="999"/>
    <m/>
    <n v="1"/>
    <n v="1"/>
    <n v="1"/>
    <n v="100"/>
    <x v="1"/>
  </r>
  <r>
    <x v="3"/>
    <s v="sainte-lague"/>
    <m/>
    <n v="60769"/>
    <s v="Nexus | P&amp;S | DHL Carga"/>
    <x v="10"/>
    <x v="1"/>
    <x v="0"/>
    <s v="In Production"/>
    <n v="999"/>
    <m/>
    <n v="1"/>
    <n v="1"/>
    <n v="1"/>
    <n v="100"/>
    <x v="1"/>
  </r>
  <r>
    <x v="3"/>
    <s v="sainte-lague"/>
    <m/>
    <n v="60675"/>
    <s v="Nexus | We Bill | CTT Express Migração para SAP S4 Hana"/>
    <x v="37"/>
    <x v="1"/>
    <x v="0"/>
    <s v="In Production"/>
    <n v="999"/>
    <m/>
    <n v="1"/>
    <n v="1"/>
    <n v="1"/>
    <n v="100"/>
    <x v="1"/>
  </r>
  <r>
    <x v="3"/>
    <s v="sainte-lague"/>
    <m/>
    <n v="59624"/>
    <s v="EVOLUTIVOS OPERA - Desenvolvimento de Solução para Indexação e Enriquecimento de Dados"/>
    <x v="1"/>
    <x v="1"/>
    <x v="0"/>
    <s v="In Production"/>
    <n v="999"/>
    <m/>
    <n v="1"/>
    <n v="1"/>
    <n v="1"/>
    <n v="100"/>
    <x v="1"/>
  </r>
  <r>
    <x v="3"/>
    <s v="sainte-lague"/>
    <m/>
    <n v="59176"/>
    <s v="Faturas PDF | Incremento 1 - SAP + Portagens (Site CTT)"/>
    <x v="13"/>
    <x v="1"/>
    <x v="2"/>
    <s v="In Production"/>
    <n v="999"/>
    <m/>
    <n v="1"/>
    <n v="1"/>
    <n v="1"/>
    <n v="100"/>
    <x v="1"/>
  </r>
  <r>
    <x v="3"/>
    <s v="sainte-lague"/>
    <m/>
    <n v="58922"/>
    <s v="Telemetria - (Mobi) Validação de kms e passagem de Giro"/>
    <x v="19"/>
    <x v="1"/>
    <x v="2"/>
    <s v="In Production"/>
    <n v="999"/>
    <m/>
    <n v="1"/>
    <n v="1"/>
    <n v="1"/>
    <n v="100"/>
    <x v="1"/>
  </r>
  <r>
    <x v="3"/>
    <s v="sainte-lague"/>
    <m/>
    <n v="57642"/>
    <s v="TFE - Tempo em fila espera - ajuste à nova metrica dos IQS"/>
    <x v="5"/>
    <x v="1"/>
    <x v="2"/>
    <s v="In Production"/>
    <n v="999"/>
    <m/>
    <n v="1"/>
    <n v="1"/>
    <n v="1"/>
    <n v="100"/>
    <x v="1"/>
  </r>
  <r>
    <x v="3"/>
    <s v="sainte-lague"/>
    <m/>
    <n v="57198"/>
    <s v="Geopostal Processos Batch 2025"/>
    <x v="12"/>
    <x v="1"/>
    <x v="1"/>
    <s v="In Production"/>
    <n v="999"/>
    <m/>
    <n v="1"/>
    <n v="1"/>
    <n v="1"/>
    <n v="100"/>
    <x v="1"/>
  </r>
  <r>
    <x v="3"/>
    <s v="sainte-lague"/>
    <m/>
    <n v="57196"/>
    <s v="Geopostal Web 2025"/>
    <x v="12"/>
    <x v="1"/>
    <x v="1"/>
    <s v="In Production"/>
    <n v="999"/>
    <m/>
    <n v="1"/>
    <n v="1"/>
    <n v="1"/>
    <n v="100"/>
    <x v="1"/>
  </r>
  <r>
    <x v="3"/>
    <s v="sainte-lague"/>
    <m/>
    <n v="57075"/>
    <s v="Super Portal | Descontinuar a Área de Cliente Correio - WAVE 1"/>
    <x v="16"/>
    <x v="1"/>
    <x v="0"/>
    <s v="In Production"/>
    <n v="999"/>
    <m/>
    <n v="1"/>
    <n v="1"/>
    <n v="1"/>
    <n v="100"/>
    <x v="1"/>
  </r>
  <r>
    <x v="3"/>
    <s v="sainte-lague"/>
    <m/>
    <n v="55749"/>
    <s v="revamp.EPM - Migração para cloud - Framework CPM 360 Baseline (BCR)"/>
    <x v="31"/>
    <x v="1"/>
    <x v="2"/>
    <s v="In Production"/>
    <n v="999"/>
    <m/>
    <n v="1"/>
    <n v="1"/>
    <n v="1"/>
    <n v="100"/>
    <x v="1"/>
  </r>
  <r>
    <x v="3"/>
    <s v="sainte-lague"/>
    <m/>
    <n v="54550"/>
    <s v="AGENDA PRR - Integração com Parceiros"/>
    <x v="19"/>
    <x v="1"/>
    <x v="2"/>
    <s v="In Production"/>
    <n v="999"/>
    <m/>
    <n v="1"/>
    <n v="1"/>
    <n v="1"/>
    <n v="100"/>
    <x v="1"/>
  </r>
  <r>
    <x v="3"/>
    <s v="sainte-lague"/>
    <m/>
    <n v="51070"/>
    <s v="APT | Migração APIs IBM para Mulesoft - Iniciativa1 - Sprint 1 e 2"/>
    <x v="7"/>
    <x v="1"/>
    <x v="3"/>
    <s v="In Production"/>
    <n v="999"/>
    <m/>
    <n v="1"/>
    <n v="1"/>
    <n v="1"/>
    <n v="100"/>
    <x v="1"/>
  </r>
  <r>
    <x v="3"/>
    <s v="sainte-lague"/>
    <m/>
    <n v="50638"/>
    <s v="Upgrade SAP Hana: Evolução do SAP R3 para S4 Hana - Fase 1"/>
    <x v="36"/>
    <x v="1"/>
    <x v="3"/>
    <s v="In Production"/>
    <n v="999"/>
    <m/>
    <n v="1"/>
    <n v="1"/>
    <n v="1"/>
    <n v="100"/>
    <x v="1"/>
  </r>
  <r>
    <x v="3"/>
    <s v="sainte-lague"/>
    <m/>
    <n v="50317"/>
    <s v="Upgrade Cluster Starburst e Migração datacenter"/>
    <x v="31"/>
    <x v="1"/>
    <x v="2"/>
    <s v="In Production"/>
    <n v="999"/>
    <m/>
    <n v="1"/>
    <n v="1"/>
    <n v="1"/>
    <n v="100"/>
    <x v="1"/>
  </r>
  <r>
    <x v="3"/>
    <s v="sainte-lague"/>
    <m/>
    <n v="50223"/>
    <s v="Nexus | Operations Pilot - Fase 1"/>
    <x v="12"/>
    <x v="1"/>
    <x v="1"/>
    <s v="In Production"/>
    <n v="999"/>
    <m/>
    <n v="1"/>
    <n v="1"/>
    <n v="1"/>
    <n v="100"/>
    <x v="1"/>
  </r>
  <r>
    <x v="3"/>
    <s v="sainte-lague"/>
    <m/>
    <n v="49881"/>
    <s v="Implementação decisões regulatórias Congresso Riyadh_IMPLEMENTAÇÃO até 1 DE JANEIRO 2026"/>
    <x v="1"/>
    <x v="1"/>
    <x v="0"/>
    <s v="In Production"/>
    <n v="999"/>
    <m/>
    <n v="1"/>
    <n v="1"/>
    <n v="1"/>
    <n v="100"/>
    <x v="1"/>
  </r>
  <r>
    <x v="3"/>
    <s v="sainte-lague"/>
    <m/>
    <n v="48781"/>
    <s v="MobiCTT - Abastecimento aos cacifos"/>
    <x v="12"/>
    <x v="1"/>
    <x v="1"/>
    <s v="In Production"/>
    <n v="999"/>
    <m/>
    <n v="1"/>
    <n v="1"/>
    <n v="1"/>
    <n v="100"/>
    <x v="1"/>
  </r>
  <r>
    <x v="3"/>
    <s v="sainte-lague"/>
    <m/>
    <n v="44381"/>
    <s v="Internacional | Regulatório | Certificação da Exportação"/>
    <x v="3"/>
    <x v="1"/>
    <x v="1"/>
    <s v="In Production"/>
    <n v="999"/>
    <m/>
    <n v="1"/>
    <n v="1"/>
    <n v="1"/>
    <n v="100"/>
    <x v="1"/>
  </r>
  <r>
    <x v="3"/>
    <s v="sainte-lague"/>
    <m/>
    <n v="44380"/>
    <s v="Portal Prestadores Ibérico - Indicadores de Gestão Line Haul"/>
    <x v="3"/>
    <x v="1"/>
    <x v="1"/>
    <s v="In Production"/>
    <n v="999"/>
    <m/>
    <n v="1"/>
    <n v="1"/>
    <n v="1"/>
    <n v="100"/>
    <x v="1"/>
  </r>
  <r>
    <x v="3"/>
    <s v="sainte-lague"/>
    <m/>
    <n v="40816"/>
    <s v="GP ECL | MVP - Plataforma MilyTech para PUDOs"/>
    <x v="10"/>
    <x v="1"/>
    <x v="0"/>
    <s v="In Production"/>
    <n v="999"/>
    <m/>
    <n v="1"/>
    <n v="1"/>
    <n v="1"/>
    <n v="100"/>
    <x v="1"/>
  </r>
  <r>
    <x v="3"/>
    <s v="sainte-lague"/>
    <m/>
    <n v="37500"/>
    <s v="Correio Inteligente - Solução Multicliente"/>
    <x v="1"/>
    <x v="1"/>
    <x v="0"/>
    <s v="In Production"/>
    <n v="999"/>
    <m/>
    <n v="1"/>
    <n v="1"/>
    <n v="1"/>
    <n v="100"/>
    <x v="1"/>
  </r>
  <r>
    <x v="3"/>
    <s v="sainte-lague"/>
    <m/>
    <n v="36017"/>
    <s v="Migração da operação de MM assente na plataforma Iris para a New Spring"/>
    <x v="1"/>
    <x v="1"/>
    <x v="0"/>
    <s v="In Production"/>
    <n v="999"/>
    <m/>
    <n v="1"/>
    <n v="1"/>
    <n v="1"/>
    <n v="100"/>
    <x v="1"/>
  </r>
  <r>
    <x v="3"/>
    <s v="sainte-lague"/>
    <m/>
    <n v="35908"/>
    <s v="Galaxy | MVP - Marketing (MCE) &amp; CDP"/>
    <x v="21"/>
    <x v="1"/>
    <x v="0"/>
    <s v="In Production"/>
    <n v="999"/>
    <m/>
    <n v="1"/>
    <n v="1"/>
    <n v="1"/>
    <n v="100"/>
    <x v="1"/>
  </r>
  <r>
    <x v="3"/>
    <s v="sainte-lague"/>
    <m/>
    <n v="35637"/>
    <s v="GALAXY (Stream Periféricos)| Centralização de Impressão de Vales em PEF e Cheques"/>
    <x v="21"/>
    <x v="1"/>
    <x v="0"/>
    <s v="In Production"/>
    <n v="999"/>
    <m/>
    <n v="1"/>
    <n v="1"/>
    <n v="1"/>
    <n v="100"/>
    <x v="1"/>
  </r>
  <r>
    <x v="3"/>
    <s v="sainte-lague"/>
    <m/>
    <n v="35481"/>
    <s v="APT | Migração/Reconstrução das APIs IBM (IIB e APIC) em Mulesoft - MVP"/>
    <x v="7"/>
    <x v="1"/>
    <x v="3"/>
    <s v="In Production"/>
    <n v="999"/>
    <m/>
    <n v="1"/>
    <n v="1"/>
    <n v="1"/>
    <n v="100"/>
    <x v="1"/>
  </r>
  <r>
    <x v="3"/>
    <s v="sainte-lague"/>
    <m/>
    <n v="35141"/>
    <s v="Fase 1: NOTA -Controlo de Fundos de Maneio das Lojas"/>
    <x v="13"/>
    <x v="1"/>
    <x v="2"/>
    <s v="In Production"/>
    <n v="999"/>
    <m/>
    <n v="1"/>
    <n v="1"/>
    <n v="1"/>
    <n v="100"/>
    <x v="1"/>
  </r>
  <r>
    <x v="3"/>
    <s v="sainte-lague"/>
    <m/>
    <n v="34846"/>
    <s v="APT | BPM | Upgrade BPM 8.6 -&gt; BAW 24.0.1"/>
    <x v="7"/>
    <x v="1"/>
    <x v="3"/>
    <s v="In Production"/>
    <n v="999"/>
    <m/>
    <n v="1"/>
    <n v="1"/>
    <n v="1"/>
    <n v="100"/>
    <x v="1"/>
  </r>
  <r>
    <x v="3"/>
    <s v="sainte-lague"/>
    <m/>
    <n v="32260"/>
    <s v="Pack de Envios 360 | Onboarding"/>
    <x v="1"/>
    <x v="1"/>
    <x v="0"/>
    <s v="In Production"/>
    <n v="999"/>
    <m/>
    <n v="1"/>
    <n v="1"/>
    <n v="1"/>
    <n v="100"/>
    <x v="1"/>
  </r>
  <r>
    <x v="3"/>
    <s v="sainte-lague"/>
    <m/>
    <n v="32248"/>
    <s v="Protótipo Máquina de Selos machines: Associação de Receita e Faturação"/>
    <x v="21"/>
    <x v="1"/>
    <x v="0"/>
    <s v="In Production"/>
    <n v="999"/>
    <m/>
    <n v="1"/>
    <n v="1"/>
    <n v="1"/>
    <n v="100"/>
    <x v="1"/>
  </r>
  <r>
    <x v="3"/>
    <s v="sainte-lague"/>
    <m/>
    <n v="32219"/>
    <s v="Galaxy - Upgrade Postos de Trabalho"/>
    <x v="21"/>
    <x v="1"/>
    <x v="0"/>
    <s v="In Production"/>
    <n v="999"/>
    <m/>
    <n v="1"/>
    <n v="1"/>
    <n v="1"/>
    <n v="100"/>
    <x v="1"/>
  </r>
  <r>
    <x v="3"/>
    <s v="sainte-lague"/>
    <m/>
    <n v="32204"/>
    <s v="Helena Evolução + Arquitetura de referência para Soluções AI"/>
    <x v="22"/>
    <x v="1"/>
    <x v="2"/>
    <s v="In Production"/>
    <n v="999"/>
    <m/>
    <n v="1"/>
    <n v="1"/>
    <n v="1"/>
    <n v="100"/>
    <x v="1"/>
  </r>
  <r>
    <x v="3"/>
    <s v="sainte-lague"/>
    <m/>
    <n v="32197"/>
    <s v="Reporting Gestão - Automatização Processos e Produção de outputs"/>
    <x v="31"/>
    <x v="1"/>
    <x v="2"/>
    <s v="In Production"/>
    <n v="999"/>
    <m/>
    <n v="1"/>
    <n v="1"/>
    <n v="1"/>
    <n v="100"/>
    <x v="1"/>
  </r>
  <r>
    <x v="3"/>
    <s v="sainte-lague"/>
    <m/>
    <n v="32195"/>
    <s v="Portal Prestadores - Line Haul - Settlements"/>
    <x v="3"/>
    <x v="1"/>
    <x v="1"/>
    <s v="In Production"/>
    <n v="999"/>
    <m/>
    <n v="1"/>
    <n v="1"/>
    <n v="1"/>
    <n v="100"/>
    <x v="1"/>
  </r>
  <r>
    <x v="3"/>
    <s v="sainte-lague"/>
    <m/>
    <n v="32159"/>
    <s v="Análise e correção de dependências entre aplicações B2B e B2C em OutSystems"/>
    <x v="16"/>
    <x v="1"/>
    <x v="0"/>
    <s v="In Production"/>
    <n v="999"/>
    <m/>
    <n v="1"/>
    <n v="1"/>
    <n v="1"/>
    <n v="100"/>
    <x v="1"/>
  </r>
  <r>
    <x v="3"/>
    <s v="sainte-lague"/>
    <m/>
    <n v="32143"/>
    <s v="GALAXY (Stream Periféricos)| Substituição de leitor ótico por leitor de código de barras nos Vales"/>
    <x v="21"/>
    <x v="1"/>
    <x v="0"/>
    <s v="In Production"/>
    <n v="999"/>
    <m/>
    <n v="1"/>
    <n v="1"/>
    <n v="1"/>
    <n v="100"/>
    <x v="1"/>
  </r>
  <r>
    <x v="3"/>
    <s v="sainte-lague"/>
    <m/>
    <n v="32135"/>
    <s v="[Peak Season] Tratamento de rejeitados no SD - Tipificar, isolar e informar (BG1): Rejeição por falta de pré-aviso"/>
    <x v="12"/>
    <x v="1"/>
    <x v="1"/>
    <s v="In Production"/>
    <n v="999"/>
    <m/>
    <n v="1"/>
    <n v="1"/>
    <n v="1"/>
    <n v="100"/>
    <x v="1"/>
  </r>
  <r>
    <x v="3"/>
    <s v="sainte-lague"/>
    <m/>
    <n v="32018"/>
    <s v="Criação de Novo Site CTT Express"/>
    <x v="37"/>
    <x v="1"/>
    <x v="0"/>
    <s v="In Production"/>
    <n v="999"/>
    <m/>
    <n v="1"/>
    <n v="1"/>
    <n v="1"/>
    <n v="100"/>
    <x v="1"/>
  </r>
  <r>
    <x v="3"/>
    <s v="sainte-lague"/>
    <m/>
    <n v="31982"/>
    <s v="El corte Inglês - Objetos Back"/>
    <x v="21"/>
    <x v="1"/>
    <x v="0"/>
    <s v="In Production"/>
    <n v="999"/>
    <m/>
    <n v="1"/>
    <n v="1"/>
    <n v="1"/>
    <n v="100"/>
    <x v="1"/>
  </r>
  <r>
    <x v="3"/>
    <s v="sainte-lague"/>
    <m/>
    <n v="31933"/>
    <s v="Conformidade com acessibilidade Digital no site CTT"/>
    <x v="16"/>
    <x v="1"/>
    <x v="0"/>
    <s v="In Production"/>
    <n v="999"/>
    <m/>
    <n v="1"/>
    <n v="1"/>
    <n v="1"/>
    <n v="100"/>
    <x v="1"/>
  </r>
  <r>
    <x v="3"/>
    <s v="sainte-lague"/>
    <m/>
    <n v="31888"/>
    <s v="Faturas PDF | Processo Certificação, SECF e Plafons Combustivel"/>
    <x v="13"/>
    <x v="1"/>
    <x v="2"/>
    <s v="In Production"/>
    <n v="999"/>
    <m/>
    <n v="1"/>
    <n v="1"/>
    <n v="1"/>
    <n v="100"/>
    <x v="1"/>
  </r>
  <r>
    <x v="3"/>
    <s v="sainte-lague"/>
    <m/>
    <n v="31868"/>
    <s v="Galaxy - Jornada de Envios"/>
    <x v="24"/>
    <x v="1"/>
    <x v="0"/>
    <s v="In Production"/>
    <n v="999"/>
    <m/>
    <n v="1"/>
    <n v="1"/>
    <n v="1"/>
    <n v="100"/>
    <x v="1"/>
  </r>
  <r>
    <x v="3"/>
    <s v="sainte-lague"/>
    <m/>
    <n v="31832"/>
    <s v="Solução de Gestão de Despesas de colaborador"/>
    <x v="13"/>
    <x v="1"/>
    <x v="2"/>
    <s v="In Production"/>
    <n v="999"/>
    <m/>
    <n v="1"/>
    <n v="1"/>
    <n v="1"/>
    <n v="100"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1"/>
  </r>
  <r>
    <x v="4"/>
    <m/>
    <m/>
    <m/>
    <m/>
    <x v="38"/>
    <x v="2"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F7F10-FDBE-6541-941D-EB7956C65CF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2" firstHeaderRow="1" firstDataRow="2" firstDataCol="1"/>
  <pivotFields count="16">
    <pivotField axis="axisRow" showAll="0">
      <items count="6">
        <item x="0"/>
        <item x="2"/>
        <item x="1"/>
        <item sd="0" x="3"/>
        <item sd="0" x="4"/>
        <item t="default"/>
      </items>
    </pivotField>
    <pivotField showAll="0"/>
    <pivotField showAll="0"/>
    <pivotField dataField="1" showAll="0"/>
    <pivotField showAll="0"/>
    <pivotField axis="axisRow" showAll="0">
      <items count="41">
        <item x="5"/>
        <item x="4"/>
        <item x="22"/>
        <item x="15"/>
        <item x="8"/>
        <item x="13"/>
        <item x="11"/>
        <item x="6"/>
        <item x="9"/>
        <item x="30"/>
        <item x="0"/>
        <item x="33"/>
        <item x="26"/>
        <item x="2"/>
        <item x="24"/>
        <item x="16"/>
        <item x="32"/>
        <item x="12"/>
        <item x="18"/>
        <item m="1" x="39"/>
        <item x="1"/>
        <item x="27"/>
        <item x="10"/>
        <item x="29"/>
        <item x="25"/>
        <item x="21"/>
        <item x="28"/>
        <item x="14"/>
        <item x="31"/>
        <item x="17"/>
        <item x="19"/>
        <item x="3"/>
        <item x="7"/>
        <item x="23"/>
        <item x="20"/>
        <item x="34"/>
        <item x="35"/>
        <item x="38"/>
        <item x="36"/>
        <item x="37"/>
        <item t="default"/>
      </items>
    </pivotField>
    <pivotField axis="axisRow" showAll="0">
      <items count="9">
        <item m="1" x="4"/>
        <item x="0"/>
        <item m="1" x="7"/>
        <item m="1" x="3"/>
        <item m="1" x="6"/>
        <item m="1" x="5"/>
        <item x="2"/>
        <item x="1"/>
        <item t="default"/>
      </items>
    </pivotField>
    <pivotField axis="axisRow" showAll="0">
      <items count="7">
        <item sd="0" x="4"/>
        <item sd="0" x="0"/>
        <item sd="0" x="2"/>
        <item sd="0" x="1"/>
        <item sd="0"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h="1" x="2"/>
        <item x="0"/>
        <item x="1"/>
        <item t="default"/>
      </items>
    </pivotField>
  </pivotFields>
  <rowFields count="4">
    <field x="0"/>
    <field x="6"/>
    <field x="7"/>
    <field x="5"/>
  </rowFields>
  <rowItems count="28">
    <i>
      <x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>
      <x v="2"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2"/>
    </i>
    <i r="2">
      <x v="4"/>
    </i>
    <i>
      <x v="3"/>
    </i>
    <i>
      <x v="4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F980-2E5F-EC49-B62F-4F6A4A27A40F}">
  <sheetPr>
    <tabColor rgb="FF92D050"/>
  </sheetPr>
  <dimension ref="A1:AI205"/>
  <sheetViews>
    <sheetView zoomScale="120" zoomScaleNormal="120" workbookViewId="0">
      <pane ySplit="2" topLeftCell="A3" activePane="bottomLeft" state="frozen"/>
      <selection pane="bottomLeft" activeCell="B36" sqref="B36:D77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1" width="15.1640625" customWidth="1"/>
    <col min="12" max="12" width="8.83203125" bestFit="1" customWidth="1"/>
    <col min="13" max="13" width="6.5" bestFit="1" customWidth="1"/>
    <col min="14" max="14" width="7" bestFit="1" customWidth="1"/>
    <col min="15" max="15" width="6.5" bestFit="1" customWidth="1"/>
    <col min="16" max="16" width="7" bestFit="1" customWidth="1"/>
    <col min="17" max="17" width="6.5" bestFit="1" customWidth="1"/>
    <col min="18" max="18" width="4" customWidth="1"/>
    <col min="19" max="19" width="23.33203125" bestFit="1" customWidth="1"/>
    <col min="20" max="20" width="11.83203125" bestFit="1" customWidth="1"/>
    <col min="21" max="21" width="7.1640625" customWidth="1"/>
    <col min="22" max="22" width="2.83203125" customWidth="1"/>
    <col min="23" max="23" width="12" bestFit="1" customWidth="1"/>
    <col min="24" max="24" width="6.5" bestFit="1" customWidth="1"/>
    <col min="25" max="25" width="3" customWidth="1"/>
    <col min="26" max="26" width="14.33203125" bestFit="1" customWidth="1"/>
    <col min="27" max="27" width="6.5" bestFit="1" customWidth="1"/>
    <col min="28" max="28" width="12.5" bestFit="1" customWidth="1"/>
    <col min="29" max="29" width="2.33203125" customWidth="1"/>
    <col min="30" max="30" width="14.33203125" bestFit="1" customWidth="1"/>
    <col min="31" max="31" width="15.5" bestFit="1" customWidth="1"/>
    <col min="33" max="33" width="28" bestFit="1" customWidth="1"/>
    <col min="34" max="34" width="20.1640625" bestFit="1" customWidth="1"/>
    <col min="35" max="35" width="21" bestFit="1" customWidth="1"/>
  </cols>
  <sheetData>
    <row r="1" spans="1:35" x14ac:dyDescent="0.2">
      <c r="B1" t="s">
        <v>122</v>
      </c>
      <c r="C1" s="19" t="s">
        <v>99</v>
      </c>
      <c r="D1" s="17" t="s">
        <v>118</v>
      </c>
      <c r="E1" s="17"/>
      <c r="F1" s="17"/>
      <c r="J1" s="1" t="s">
        <v>117</v>
      </c>
      <c r="M1" s="1"/>
      <c r="O1" s="1"/>
      <c r="Q1" s="1"/>
      <c r="R1" s="1"/>
      <c r="S1" s="19" t="s">
        <v>99</v>
      </c>
      <c r="T1" s="17" t="s">
        <v>119</v>
      </c>
      <c r="X1" s="7"/>
      <c r="AA1" s="7"/>
      <c r="AD1" s="22" t="s">
        <v>102</v>
      </c>
      <c r="AE1" s="21"/>
      <c r="AG1" s="22" t="s">
        <v>102</v>
      </c>
      <c r="AH1" s="21"/>
      <c r="AI1" s="21"/>
    </row>
    <row r="2" spans="1:35" x14ac:dyDescent="0.2">
      <c r="A2" s="1"/>
      <c r="B2" s="20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20" t="s">
        <v>101</v>
      </c>
      <c r="H2" s="20" t="s">
        <v>100</v>
      </c>
      <c r="J2" s="6" t="s">
        <v>0</v>
      </c>
      <c r="K2" s="6" t="s">
        <v>1</v>
      </c>
      <c r="L2" s="6" t="s">
        <v>380</v>
      </c>
      <c r="M2" s="6" t="s">
        <v>20</v>
      </c>
      <c r="N2" s="6" t="s">
        <v>379</v>
      </c>
      <c r="O2" s="6" t="s">
        <v>20</v>
      </c>
      <c r="P2" s="6" t="s">
        <v>3</v>
      </c>
      <c r="Q2" s="6" t="s">
        <v>20</v>
      </c>
      <c r="R2" s="1"/>
      <c r="S2" s="4" t="s">
        <v>0</v>
      </c>
      <c r="T2" s="4" t="s">
        <v>3</v>
      </c>
      <c r="U2" s="6" t="s">
        <v>20</v>
      </c>
      <c r="V2" s="1"/>
      <c r="W2" s="6" t="str" cm="1">
        <f t="array" ref="W2:W9">_xlfn.UNIQUE(E2:E1000)</f>
        <v>BudgetGroup</v>
      </c>
      <c r="X2" s="6" t="s">
        <v>20</v>
      </c>
      <c r="Y2" s="1"/>
      <c r="Z2" s="6" t="str" cm="1">
        <f t="array" ref="Z2:Z46">_xlfn.UNIQUE(C2:C1000)</f>
        <v>RequestingArea</v>
      </c>
      <c r="AA2" s="6" t="s">
        <v>20</v>
      </c>
      <c r="AB2" s="1" t="s">
        <v>103</v>
      </c>
      <c r="AC2" s="1"/>
      <c r="AD2" s="6" t="s">
        <v>2</v>
      </c>
      <c r="AE2" s="6" t="s">
        <v>1</v>
      </c>
      <c r="AF2" s="1"/>
      <c r="AG2" s="6" t="s">
        <v>104</v>
      </c>
      <c r="AH2" s="6" t="s">
        <v>105</v>
      </c>
      <c r="AI2" s="6" t="s">
        <v>106</v>
      </c>
    </row>
    <row r="3" spans="1:35" x14ac:dyDescent="0.2">
      <c r="B3">
        <v>1</v>
      </c>
      <c r="C3" t="s">
        <v>21</v>
      </c>
      <c r="D3" t="s">
        <v>4</v>
      </c>
      <c r="E3" s="18" t="str">
        <f t="shared" ref="E3:E35" si="0">VLOOKUP($C3,$AD:$AE,2,FALSE)</f>
        <v>Commercial</v>
      </c>
      <c r="F3" s="18">
        <f>H3*SUMIFS($H:$H,$J:$J,D3,$K:$K,E3)/G3</f>
        <v>0.1</v>
      </c>
      <c r="G3" s="18">
        <f>SUMIFS($H$2:$H$1000,$E$2:$E$1000,E3,$D$2:$D$1000,D3)</f>
        <v>10</v>
      </c>
      <c r="H3" s="8">
        <v>1</v>
      </c>
      <c r="J3" t="s">
        <v>10</v>
      </c>
      <c r="K3" t="s">
        <v>6</v>
      </c>
      <c r="L3">
        <f t="shared" ref="L3:L8" si="1">N3/O3*100</f>
        <v>9.5238095238095237</v>
      </c>
      <c r="M3" s="17">
        <f>SUMIF($J:$J,J3,$L:$L)</f>
        <v>100</v>
      </c>
      <c r="N3">
        <f t="shared" ref="N3:N14" si="2">COUNTIFS(E:E,K3,D:D,J3)</f>
        <v>4</v>
      </c>
      <c r="O3" s="17">
        <f t="shared" ref="O3:O38" si="3">SUMIF($J:$J,J3,$N:$N)</f>
        <v>42</v>
      </c>
      <c r="P3">
        <f>SUMIFS(F:F,E:E,K3,D:D,J3)</f>
        <v>1</v>
      </c>
      <c r="Q3" s="17">
        <f>SUMIF($J:$J,N3,$N:$N)</f>
        <v>0</v>
      </c>
      <c r="S3" s="2" t="s">
        <v>10</v>
      </c>
      <c r="T3">
        <v>40</v>
      </c>
      <c r="U3" s="17">
        <f>SUM(T3:T18)</f>
        <v>100</v>
      </c>
      <c r="W3" s="18" t="str">
        <v>Commercial</v>
      </c>
      <c r="X3" s="3">
        <f t="shared" ref="X3:X14" si="4">SUMIF($E:$E,W3,$F:$F)</f>
        <v>5.9999999999999964</v>
      </c>
      <c r="Z3" s="18" t="str">
        <v>GP B2B</v>
      </c>
      <c r="AA3" s="3">
        <f t="shared" ref="AA3:AA44" si="5">SUMIF($C:$C,Z3,$F:$F)</f>
        <v>0.64166666666666661</v>
      </c>
      <c r="AB3" s="18" t="str">
        <f>VLOOKUP(Z3,$AD:$AE,2,FALSE)</f>
        <v>Commercial</v>
      </c>
      <c r="AD3" t="s">
        <v>11</v>
      </c>
      <c r="AE3" t="s">
        <v>11</v>
      </c>
      <c r="AG3" s="23" t="s">
        <v>107</v>
      </c>
      <c r="AH3" t="str" cm="1">
        <f t="array" ref="AH3:AI3">_xlfn.TEXTSPLIT(AG3,"&gt;",)</f>
        <v xml:space="preserve"> IDEA </v>
      </c>
      <c r="AI3" t="str">
        <v xml:space="preserve"> Backlog</v>
      </c>
    </row>
    <row r="4" spans="1:35" x14ac:dyDescent="0.2">
      <c r="B4">
        <v>2</v>
      </c>
      <c r="C4" t="s">
        <v>26</v>
      </c>
      <c r="D4" t="s">
        <v>4</v>
      </c>
      <c r="E4" s="18" t="str">
        <f t="shared" si="0"/>
        <v>Operations</v>
      </c>
      <c r="F4" s="18">
        <f t="shared" ref="F4:F34" si="6">H4*SUMIFS($H:$H,$J:$J,D4,$K:$K,E4)/G4</f>
        <v>0.33333333333333331</v>
      </c>
      <c r="G4" s="18">
        <f t="shared" ref="G4:G34" si="7">SUMIFS($H$2:$H$1000,$E$2:$E$1000,E4,$D$2:$D$1000,D4)</f>
        <v>3</v>
      </c>
      <c r="H4" s="8">
        <v>1</v>
      </c>
      <c r="J4" t="s">
        <v>10</v>
      </c>
      <c r="K4" t="s">
        <v>5</v>
      </c>
      <c r="L4">
        <f t="shared" si="1"/>
        <v>28.571428571428569</v>
      </c>
      <c r="M4" s="17">
        <f t="shared" ref="M4:M38" si="8">SUMIF($J:$J,J4,$L:$L)</f>
        <v>100</v>
      </c>
      <c r="N4">
        <f t="shared" si="2"/>
        <v>12</v>
      </c>
      <c r="O4" s="17">
        <f t="shared" si="3"/>
        <v>42</v>
      </c>
      <c r="P4">
        <f t="shared" ref="P4:P38" si="9">SUMIFS(F:F,E:E,K4,D:D,J4)</f>
        <v>1</v>
      </c>
      <c r="Q4" s="17">
        <f t="shared" ref="Q4" si="10">SUMIF($J:$J,N4,$N:$N)</f>
        <v>0</v>
      </c>
      <c r="S4" s="2" t="s">
        <v>15</v>
      </c>
      <c r="T4">
        <v>22</v>
      </c>
      <c r="W4" s="18" t="str">
        <v>Operations</v>
      </c>
      <c r="X4" s="3">
        <f t="shared" si="4"/>
        <v>5.9999999999999991</v>
      </c>
      <c r="Z4" s="18" t="str">
        <v>SEO</v>
      </c>
      <c r="AA4" s="3">
        <f t="shared" si="5"/>
        <v>1.9166666666666663</v>
      </c>
      <c r="AB4" s="18" t="str">
        <f t="shared" ref="AB4:AB44" si="11">VLOOKUP(Z4,$AD:$AE,2,FALSE)</f>
        <v>Operations</v>
      </c>
      <c r="AD4" t="s">
        <v>66</v>
      </c>
      <c r="AE4" t="s">
        <v>5</v>
      </c>
      <c r="AG4" s="23" t="s">
        <v>108</v>
      </c>
      <c r="AH4" t="str" cm="1">
        <f t="array" ref="AH4:AI4">_xlfn.TEXTSPLIT(AG4,"&gt;",)</f>
        <v xml:space="preserve"> IDEA </v>
      </c>
      <c r="AI4" t="str">
        <v xml:space="preserve"> Pitch</v>
      </c>
    </row>
    <row r="5" spans="1:35" x14ac:dyDescent="0.2">
      <c r="B5">
        <v>3</v>
      </c>
      <c r="C5" t="s">
        <v>22</v>
      </c>
      <c r="D5" t="s">
        <v>4</v>
      </c>
      <c r="E5" s="18" t="str">
        <f t="shared" si="0"/>
        <v>Corporate</v>
      </c>
      <c r="F5" s="18">
        <f t="shared" si="6"/>
        <v>7.6923076923076927E-2</v>
      </c>
      <c r="G5" s="18">
        <f t="shared" si="7"/>
        <v>13</v>
      </c>
      <c r="H5" s="8">
        <v>1</v>
      </c>
      <c r="J5" t="s">
        <v>10</v>
      </c>
      <c r="K5" t="s">
        <v>12</v>
      </c>
      <c r="L5">
        <f t="shared" si="1"/>
        <v>42.857142857142854</v>
      </c>
      <c r="M5" s="17">
        <f t="shared" si="8"/>
        <v>100</v>
      </c>
      <c r="N5">
        <f t="shared" si="2"/>
        <v>18</v>
      </c>
      <c r="O5" s="17">
        <f t="shared" si="3"/>
        <v>42</v>
      </c>
      <c r="P5">
        <f t="shared" si="9"/>
        <v>1.0000000000000002</v>
      </c>
      <c r="Q5" s="17">
        <f>SUMIF($J:$J,N5,$N:$N)</f>
        <v>0</v>
      </c>
      <c r="S5" s="2" t="s">
        <v>4</v>
      </c>
      <c r="T5">
        <v>16</v>
      </c>
      <c r="W5" s="18" t="str">
        <v>Corporate</v>
      </c>
      <c r="X5" s="3">
        <f t="shared" si="4"/>
        <v>6.0000000000000009</v>
      </c>
      <c r="Z5" s="18" t="str">
        <v>CF</v>
      </c>
      <c r="AA5" s="3">
        <f t="shared" si="5"/>
        <v>0.48824786324786323</v>
      </c>
      <c r="AB5" s="18" t="str">
        <f t="shared" si="11"/>
        <v>Corporate</v>
      </c>
      <c r="AD5" t="s">
        <v>65</v>
      </c>
      <c r="AE5" t="s">
        <v>5</v>
      </c>
      <c r="AG5" s="23" t="s">
        <v>109</v>
      </c>
      <c r="AH5" t="str" cm="1">
        <f t="array" ref="AH5:AI5">_xlfn.TEXTSPLIT(AG5,"&gt;",)</f>
        <v xml:space="preserve"> IDEA </v>
      </c>
      <c r="AI5" t="str">
        <v xml:space="preserve"> In Definition</v>
      </c>
    </row>
    <row r="6" spans="1:35" x14ac:dyDescent="0.2">
      <c r="B6">
        <v>4</v>
      </c>
      <c r="C6" t="s">
        <v>9</v>
      </c>
      <c r="D6" t="s">
        <v>4</v>
      </c>
      <c r="E6" s="18" t="str">
        <f t="shared" si="0"/>
        <v>Technology</v>
      </c>
      <c r="F6" s="18">
        <f t="shared" si="6"/>
        <v>0.2</v>
      </c>
      <c r="G6" s="18">
        <f t="shared" si="7"/>
        <v>5</v>
      </c>
      <c r="H6" s="8">
        <v>1</v>
      </c>
      <c r="J6" t="s">
        <v>10</v>
      </c>
      <c r="K6" t="s">
        <v>8</v>
      </c>
      <c r="L6">
        <f t="shared" si="1"/>
        <v>14.285714285714285</v>
      </c>
      <c r="M6" s="17">
        <f t="shared" si="8"/>
        <v>100</v>
      </c>
      <c r="N6">
        <f t="shared" si="2"/>
        <v>6</v>
      </c>
      <c r="O6" s="17">
        <f t="shared" si="3"/>
        <v>42</v>
      </c>
      <c r="P6">
        <f t="shared" si="9"/>
        <v>0.99999999999999989</v>
      </c>
      <c r="Q6" s="17">
        <f t="shared" ref="Q6:Q38" si="12">SUMIF($J:$J,N6,$N:$N)</f>
        <v>0</v>
      </c>
      <c r="S6" s="2" t="s">
        <v>17</v>
      </c>
      <c r="T6">
        <v>10</v>
      </c>
      <c r="W6" s="18" t="str">
        <v>Technology</v>
      </c>
      <c r="X6" s="3">
        <f t="shared" si="4"/>
        <v>6.0000000000000036</v>
      </c>
      <c r="Z6" s="18" t="str">
        <v>SI</v>
      </c>
      <c r="AA6" s="3">
        <f t="shared" si="5"/>
        <v>1.1666666666666665</v>
      </c>
      <c r="AB6" s="18" t="str">
        <f t="shared" si="11"/>
        <v>Technology</v>
      </c>
      <c r="AD6" t="s">
        <v>38</v>
      </c>
      <c r="AE6" t="s">
        <v>5</v>
      </c>
      <c r="AG6" s="23" t="s">
        <v>110</v>
      </c>
      <c r="AH6" t="str" cm="1">
        <f t="array" ref="AH6:AI6">_xlfn.TEXTSPLIT(AG6,"&gt;",)</f>
        <v xml:space="preserve"> SOLUTION </v>
      </c>
      <c r="AI6" t="str">
        <v xml:space="preserve"> In Approval</v>
      </c>
    </row>
    <row r="7" spans="1:35" x14ac:dyDescent="0.2">
      <c r="B7">
        <v>5</v>
      </c>
      <c r="C7" t="s">
        <v>11</v>
      </c>
      <c r="D7" t="s">
        <v>4</v>
      </c>
      <c r="E7" s="18" t="str">
        <f t="shared" si="0"/>
        <v>CISO</v>
      </c>
      <c r="F7" s="18">
        <f t="shared" si="6"/>
        <v>1</v>
      </c>
      <c r="G7" s="18">
        <f t="shared" si="7"/>
        <v>1</v>
      </c>
      <c r="H7" s="8">
        <v>1</v>
      </c>
      <c r="J7" t="s">
        <v>10</v>
      </c>
      <c r="K7" t="s">
        <v>74</v>
      </c>
      <c r="L7">
        <f t="shared" si="1"/>
        <v>2.3809523809523809</v>
      </c>
      <c r="M7" s="17">
        <f t="shared" si="8"/>
        <v>100</v>
      </c>
      <c r="N7">
        <f t="shared" si="2"/>
        <v>1</v>
      </c>
      <c r="O7" s="17">
        <f t="shared" si="3"/>
        <v>42</v>
      </c>
      <c r="P7">
        <f t="shared" si="9"/>
        <v>1</v>
      </c>
      <c r="Q7" s="17">
        <f t="shared" si="12"/>
        <v>0</v>
      </c>
      <c r="S7" s="2" t="s">
        <v>16</v>
      </c>
      <c r="T7">
        <v>8</v>
      </c>
      <c r="W7" s="18" t="str">
        <v>CISO</v>
      </c>
      <c r="X7" s="3">
        <f t="shared" si="4"/>
        <v>6</v>
      </c>
      <c r="Z7" s="18" t="str">
        <v>CISO</v>
      </c>
      <c r="AA7" s="3">
        <f t="shared" si="5"/>
        <v>6</v>
      </c>
      <c r="AB7" s="18" t="str">
        <f t="shared" si="11"/>
        <v>CISO</v>
      </c>
      <c r="AD7" t="s">
        <v>39</v>
      </c>
      <c r="AE7" t="s">
        <v>5</v>
      </c>
      <c r="AG7" s="23" t="s">
        <v>111</v>
      </c>
      <c r="AH7" t="str" cm="1">
        <f t="array" ref="AH7:AI7">_xlfn.TEXTSPLIT(AG7,"&gt;",)</f>
        <v xml:space="preserve"> SOLUTION </v>
      </c>
      <c r="AI7" t="str">
        <v xml:space="preserve"> Ready for Approval</v>
      </c>
    </row>
    <row r="8" spans="1:35" x14ac:dyDescent="0.2">
      <c r="B8">
        <v>6</v>
      </c>
      <c r="C8" t="s">
        <v>116</v>
      </c>
      <c r="D8" t="s">
        <v>4</v>
      </c>
      <c r="E8" s="18" t="str">
        <f t="shared" si="0"/>
        <v>Data &amp; AI</v>
      </c>
      <c r="F8" s="18">
        <f t="shared" si="6"/>
        <v>1</v>
      </c>
      <c r="G8" s="18">
        <f t="shared" si="7"/>
        <v>1</v>
      </c>
      <c r="H8" s="8">
        <v>1</v>
      </c>
      <c r="J8" s="24" t="s">
        <v>10</v>
      </c>
      <c r="K8" s="24" t="s">
        <v>11</v>
      </c>
      <c r="L8">
        <f t="shared" si="1"/>
        <v>2.3809523809523809</v>
      </c>
      <c r="M8" s="17">
        <f t="shared" si="8"/>
        <v>100</v>
      </c>
      <c r="N8" s="24">
        <f t="shared" si="2"/>
        <v>1</v>
      </c>
      <c r="O8" s="17">
        <f t="shared" si="3"/>
        <v>42</v>
      </c>
      <c r="P8">
        <f t="shared" si="9"/>
        <v>1</v>
      </c>
      <c r="Q8" s="17">
        <f t="shared" si="12"/>
        <v>0</v>
      </c>
      <c r="S8" s="2" t="s">
        <v>14</v>
      </c>
      <c r="T8">
        <v>4</v>
      </c>
      <c r="W8" s="18" t="str">
        <v>Data &amp; AI</v>
      </c>
      <c r="X8" s="3">
        <f t="shared" si="4"/>
        <v>6.0000000000000027</v>
      </c>
      <c r="Z8" s="18" t="str">
        <v>IAD</v>
      </c>
      <c r="AA8" s="3">
        <f t="shared" si="5"/>
        <v>5.1428571428571432</v>
      </c>
      <c r="AB8" s="18" t="str">
        <f t="shared" si="11"/>
        <v>Data &amp; AI</v>
      </c>
      <c r="AD8" t="s">
        <v>36</v>
      </c>
      <c r="AE8" t="s">
        <v>5</v>
      </c>
      <c r="AG8" s="23" t="s">
        <v>112</v>
      </c>
      <c r="AH8" t="str" cm="1">
        <f t="array" ref="AH8:AI8">_xlfn.TEXTSPLIT(AG8,"&gt;",)</f>
        <v xml:space="preserve"> IDEA </v>
      </c>
      <c r="AI8" t="str">
        <v xml:space="preserve"> Ready for Solution</v>
      </c>
    </row>
    <row r="9" spans="1:35" x14ac:dyDescent="0.2">
      <c r="B9">
        <v>7</v>
      </c>
      <c r="C9" t="s">
        <v>37</v>
      </c>
      <c r="D9" t="s">
        <v>4</v>
      </c>
      <c r="E9" s="18" t="str">
        <f t="shared" si="0"/>
        <v>Commercial</v>
      </c>
      <c r="F9" s="18">
        <f t="shared" si="6"/>
        <v>0.1</v>
      </c>
      <c r="G9" s="18">
        <f t="shared" si="7"/>
        <v>10</v>
      </c>
      <c r="H9" s="8">
        <v>1</v>
      </c>
      <c r="J9" t="s">
        <v>15</v>
      </c>
      <c r="K9" t="s">
        <v>5</v>
      </c>
      <c r="L9">
        <f t="shared" ref="L9:L38" si="13">N9/O9*100</f>
        <v>28.125</v>
      </c>
      <c r="M9" s="17">
        <f t="shared" si="8"/>
        <v>100</v>
      </c>
      <c r="N9">
        <f t="shared" si="2"/>
        <v>9</v>
      </c>
      <c r="O9" s="17">
        <f t="shared" si="3"/>
        <v>32</v>
      </c>
      <c r="P9">
        <f t="shared" si="9"/>
        <v>1.0000000000000002</v>
      </c>
      <c r="Q9" s="17">
        <f t="shared" si="12"/>
        <v>0</v>
      </c>
      <c r="S9" s="13" t="s">
        <v>18</v>
      </c>
      <c r="T9" s="14">
        <v>0</v>
      </c>
      <c r="W9">
        <v>0</v>
      </c>
      <c r="X9" s="3">
        <f t="shared" si="4"/>
        <v>0</v>
      </c>
      <c r="Z9" s="18" t="str">
        <v>GS</v>
      </c>
      <c r="AA9" s="3">
        <f t="shared" si="5"/>
        <v>0.64166666666666661</v>
      </c>
      <c r="AB9" s="18" t="str">
        <f t="shared" si="11"/>
        <v>Commercial</v>
      </c>
      <c r="AD9" t="s">
        <v>40</v>
      </c>
      <c r="AE9" t="s">
        <v>5</v>
      </c>
      <c r="AG9" s="23" t="s">
        <v>113</v>
      </c>
      <c r="AH9" t="str" cm="1">
        <f t="array" ref="AH9:AI9">_xlfn.TEXTSPLIT(AG9,"&gt;",)</f>
        <v xml:space="preserve"> SOLUTION </v>
      </c>
      <c r="AI9" t="str">
        <v xml:space="preserve"> High Level Design</v>
      </c>
    </row>
    <row r="10" spans="1:35" x14ac:dyDescent="0.2">
      <c r="B10">
        <v>8</v>
      </c>
      <c r="C10" t="s">
        <v>44</v>
      </c>
      <c r="D10" t="s">
        <v>4</v>
      </c>
      <c r="E10" s="18" t="str">
        <f t="shared" si="0"/>
        <v>Corporate</v>
      </c>
      <c r="F10" s="18">
        <f t="shared" si="6"/>
        <v>7.6923076923076927E-2</v>
      </c>
      <c r="G10" s="18">
        <f t="shared" si="7"/>
        <v>13</v>
      </c>
      <c r="H10" s="8">
        <v>1</v>
      </c>
      <c r="J10" t="s">
        <v>15</v>
      </c>
      <c r="K10" t="s">
        <v>6</v>
      </c>
      <c r="L10">
        <f t="shared" si="13"/>
        <v>9.375</v>
      </c>
      <c r="M10" s="17">
        <f t="shared" si="8"/>
        <v>100</v>
      </c>
      <c r="N10">
        <f t="shared" si="2"/>
        <v>3</v>
      </c>
      <c r="O10" s="17">
        <f t="shared" si="3"/>
        <v>32</v>
      </c>
      <c r="P10">
        <f t="shared" si="9"/>
        <v>1</v>
      </c>
      <c r="Q10" s="17">
        <f t="shared" si="12"/>
        <v>0</v>
      </c>
      <c r="X10" s="3">
        <f t="shared" si="4"/>
        <v>0</v>
      </c>
      <c r="Z10" s="18" t="str">
        <v>ACR</v>
      </c>
      <c r="AA10" s="3">
        <f t="shared" si="5"/>
        <v>0.48824786324786323</v>
      </c>
      <c r="AB10" s="18" t="str">
        <f t="shared" si="11"/>
        <v>Corporate</v>
      </c>
      <c r="AD10" t="s">
        <v>21</v>
      </c>
      <c r="AE10" t="s">
        <v>5</v>
      </c>
      <c r="AG10" s="23" t="s">
        <v>114</v>
      </c>
      <c r="AH10" t="str" cm="1">
        <f t="array" ref="AH10:AI10">_xlfn.TEXTSPLIT(AG10,"&gt;",)</f>
        <v xml:space="preserve"> SOLUTION </v>
      </c>
      <c r="AI10" t="str">
        <v xml:space="preserve"> Ready for Development</v>
      </c>
    </row>
    <row r="11" spans="1:35" x14ac:dyDescent="0.2">
      <c r="B11">
        <v>9</v>
      </c>
      <c r="C11" t="s">
        <v>7</v>
      </c>
      <c r="D11" t="s">
        <v>4</v>
      </c>
      <c r="E11" s="18" t="str">
        <f t="shared" si="0"/>
        <v>Operations</v>
      </c>
      <c r="F11" s="18">
        <f t="shared" si="6"/>
        <v>0.33333333333333331</v>
      </c>
      <c r="G11" s="18">
        <f t="shared" si="7"/>
        <v>3</v>
      </c>
      <c r="H11" s="8">
        <v>1</v>
      </c>
      <c r="J11" t="s">
        <v>15</v>
      </c>
      <c r="K11" t="s">
        <v>12</v>
      </c>
      <c r="L11">
        <f t="shared" si="13"/>
        <v>40.625</v>
      </c>
      <c r="M11" s="17">
        <f t="shared" si="8"/>
        <v>100</v>
      </c>
      <c r="N11">
        <f t="shared" si="2"/>
        <v>13</v>
      </c>
      <c r="O11" s="17">
        <f t="shared" si="3"/>
        <v>32</v>
      </c>
      <c r="P11">
        <f t="shared" si="9"/>
        <v>0.99999999999999978</v>
      </c>
      <c r="Q11" s="17">
        <f t="shared" si="12"/>
        <v>0</v>
      </c>
      <c r="X11" s="3">
        <f t="shared" si="4"/>
        <v>0</v>
      </c>
      <c r="Z11" s="18" t="str">
        <v>EDO</v>
      </c>
      <c r="AA11" s="3">
        <f t="shared" si="5"/>
        <v>1.9166666666666663</v>
      </c>
      <c r="AB11" s="18" t="str">
        <f t="shared" si="11"/>
        <v>Operations</v>
      </c>
      <c r="AD11" t="s">
        <v>25</v>
      </c>
      <c r="AE11" t="s">
        <v>5</v>
      </c>
      <c r="AG11" s="23" t="s">
        <v>115</v>
      </c>
      <c r="AH11" t="str" cm="1">
        <f t="array" ref="AH11:AI11">_xlfn.TEXTSPLIT(AG11,"&gt;",)</f>
        <v xml:space="preserve"> SOLUTION </v>
      </c>
      <c r="AI11" t="str">
        <v xml:space="preserve"> In Definition</v>
      </c>
    </row>
    <row r="12" spans="1:35" x14ac:dyDescent="0.2">
      <c r="B12">
        <v>10</v>
      </c>
      <c r="C12" t="s">
        <v>59</v>
      </c>
      <c r="D12" t="s">
        <v>4</v>
      </c>
      <c r="E12" s="18" t="str">
        <f t="shared" si="0"/>
        <v>Technology</v>
      </c>
      <c r="F12" s="18">
        <f t="shared" si="6"/>
        <v>0.2</v>
      </c>
      <c r="G12" s="18">
        <f t="shared" si="7"/>
        <v>5</v>
      </c>
      <c r="H12" s="8">
        <v>1</v>
      </c>
      <c r="J12" t="s">
        <v>15</v>
      </c>
      <c r="K12" t="s">
        <v>8</v>
      </c>
      <c r="L12">
        <f t="shared" si="13"/>
        <v>15.625</v>
      </c>
      <c r="M12" s="17">
        <f t="shared" si="8"/>
        <v>100</v>
      </c>
      <c r="N12">
        <f t="shared" si="2"/>
        <v>5</v>
      </c>
      <c r="O12" s="17">
        <f t="shared" si="3"/>
        <v>32</v>
      </c>
      <c r="P12">
        <f t="shared" si="9"/>
        <v>1</v>
      </c>
      <c r="Q12" s="17">
        <f t="shared" si="12"/>
        <v>0</v>
      </c>
      <c r="X12" s="3">
        <f t="shared" si="4"/>
        <v>0</v>
      </c>
      <c r="Z12" s="18" t="str">
        <v>SI-OPS</v>
      </c>
      <c r="AA12" s="3">
        <f t="shared" si="5"/>
        <v>1.1666666666666665</v>
      </c>
      <c r="AB12" s="18" t="str">
        <f t="shared" si="11"/>
        <v>Technology</v>
      </c>
      <c r="AD12" t="s">
        <v>23</v>
      </c>
      <c r="AE12" t="s">
        <v>5</v>
      </c>
    </row>
    <row r="13" spans="1:35" x14ac:dyDescent="0.2">
      <c r="B13">
        <v>11</v>
      </c>
      <c r="C13" t="s">
        <v>36</v>
      </c>
      <c r="D13" t="s">
        <v>4</v>
      </c>
      <c r="E13" s="18" t="str">
        <f t="shared" si="0"/>
        <v>Commercial</v>
      </c>
      <c r="F13" s="18">
        <f t="shared" si="6"/>
        <v>0.1</v>
      </c>
      <c r="G13" s="18">
        <f t="shared" si="7"/>
        <v>10</v>
      </c>
      <c r="H13" s="8">
        <v>1</v>
      </c>
      <c r="J13" t="s">
        <v>15</v>
      </c>
      <c r="K13" t="s">
        <v>74</v>
      </c>
      <c r="L13">
        <f t="shared" si="13"/>
        <v>3.125</v>
      </c>
      <c r="M13" s="17">
        <f t="shared" si="8"/>
        <v>100</v>
      </c>
      <c r="N13">
        <f t="shared" si="2"/>
        <v>1</v>
      </c>
      <c r="O13" s="17">
        <f t="shared" si="3"/>
        <v>32</v>
      </c>
      <c r="P13">
        <f t="shared" si="9"/>
        <v>1</v>
      </c>
      <c r="Q13" s="17">
        <f t="shared" si="12"/>
        <v>0</v>
      </c>
      <c r="X13" s="3">
        <f t="shared" si="4"/>
        <v>0</v>
      </c>
      <c r="Z13" s="18" t="str">
        <v>DNI</v>
      </c>
      <c r="AA13" s="3">
        <f t="shared" si="5"/>
        <v>0.64166666666666661</v>
      </c>
      <c r="AB13" s="18" t="str">
        <f t="shared" si="11"/>
        <v>Commercial</v>
      </c>
      <c r="AD13" t="s">
        <v>24</v>
      </c>
      <c r="AE13" t="s">
        <v>5</v>
      </c>
    </row>
    <row r="14" spans="1:35" x14ac:dyDescent="0.2">
      <c r="B14">
        <v>12</v>
      </c>
      <c r="C14" t="s">
        <v>46</v>
      </c>
      <c r="D14" t="s">
        <v>4</v>
      </c>
      <c r="E14" s="18" t="str">
        <f t="shared" si="0"/>
        <v>Corporate</v>
      </c>
      <c r="F14" s="18">
        <f t="shared" si="6"/>
        <v>7.6923076923076927E-2</v>
      </c>
      <c r="G14" s="18">
        <f t="shared" si="7"/>
        <v>13</v>
      </c>
      <c r="H14" s="8">
        <v>1</v>
      </c>
      <c r="J14" s="24" t="s">
        <v>15</v>
      </c>
      <c r="K14" s="24" t="s">
        <v>11</v>
      </c>
      <c r="L14">
        <f t="shared" si="13"/>
        <v>3.125</v>
      </c>
      <c r="M14" s="17">
        <f t="shared" si="8"/>
        <v>100</v>
      </c>
      <c r="N14" s="24">
        <f t="shared" si="2"/>
        <v>1</v>
      </c>
      <c r="O14" s="17">
        <f t="shared" si="3"/>
        <v>32</v>
      </c>
      <c r="P14">
        <f t="shared" si="9"/>
        <v>1</v>
      </c>
      <c r="Q14" s="17">
        <f t="shared" si="12"/>
        <v>0</v>
      </c>
      <c r="X14" s="3">
        <f t="shared" si="4"/>
        <v>0</v>
      </c>
      <c r="Z14" s="18" t="str">
        <v>AVC</v>
      </c>
      <c r="AA14" s="3">
        <f t="shared" si="5"/>
        <v>0.48824786324786323</v>
      </c>
      <c r="AB14" s="18" t="str">
        <f t="shared" si="11"/>
        <v>Corporate</v>
      </c>
      <c r="AD14" t="s">
        <v>37</v>
      </c>
      <c r="AE14" t="s">
        <v>5</v>
      </c>
    </row>
    <row r="15" spans="1:35" x14ac:dyDescent="0.2">
      <c r="B15">
        <v>13</v>
      </c>
      <c r="C15" t="s">
        <v>42</v>
      </c>
      <c r="D15" t="s">
        <v>4</v>
      </c>
      <c r="E15" s="18" t="str">
        <f t="shared" si="0"/>
        <v>Operations</v>
      </c>
      <c r="F15" s="18">
        <f t="shared" si="6"/>
        <v>0.33333333333333331</v>
      </c>
      <c r="G15" s="18">
        <f t="shared" si="7"/>
        <v>3</v>
      </c>
      <c r="H15" s="8">
        <v>1</v>
      </c>
      <c r="J15" s="25" t="s">
        <v>4</v>
      </c>
      <c r="K15" s="25" t="s">
        <v>5</v>
      </c>
      <c r="L15">
        <f t="shared" si="13"/>
        <v>30.303030303030305</v>
      </c>
      <c r="M15" s="17">
        <f t="shared" si="8"/>
        <v>100</v>
      </c>
      <c r="N15">
        <f t="shared" ref="N15:N38" si="14">COUNTIFS(E:E,K15,D:D,J15)</f>
        <v>10</v>
      </c>
      <c r="O15" s="17">
        <f t="shared" si="3"/>
        <v>33</v>
      </c>
      <c r="P15">
        <f t="shared" si="9"/>
        <v>0.99999999999999989</v>
      </c>
      <c r="Q15" s="17">
        <f t="shared" si="12"/>
        <v>0</v>
      </c>
      <c r="X15" s="7"/>
      <c r="Z15" s="18" t="str">
        <v>EM</v>
      </c>
      <c r="AA15" s="3">
        <f t="shared" si="5"/>
        <v>1.9166666666666663</v>
      </c>
      <c r="AB15" s="18" t="str">
        <f t="shared" si="11"/>
        <v>Operations</v>
      </c>
      <c r="AD15" t="s">
        <v>68</v>
      </c>
      <c r="AE15" t="s">
        <v>5</v>
      </c>
    </row>
    <row r="16" spans="1:35" x14ac:dyDescent="0.2">
      <c r="B16">
        <v>14</v>
      </c>
      <c r="C16" t="s">
        <v>58</v>
      </c>
      <c r="D16" t="s">
        <v>4</v>
      </c>
      <c r="E16" s="18" t="str">
        <f t="shared" si="0"/>
        <v>Technology</v>
      </c>
      <c r="F16" s="18">
        <f t="shared" si="6"/>
        <v>0.2</v>
      </c>
      <c r="G16" s="18">
        <f t="shared" si="7"/>
        <v>5</v>
      </c>
      <c r="H16" s="8">
        <v>1</v>
      </c>
      <c r="J16" t="s">
        <v>4</v>
      </c>
      <c r="K16" t="s">
        <v>6</v>
      </c>
      <c r="L16">
        <f t="shared" si="13"/>
        <v>9.0909090909090917</v>
      </c>
      <c r="M16" s="17">
        <f t="shared" si="8"/>
        <v>100</v>
      </c>
      <c r="N16">
        <f>COUNTIFS(E:E,K16,D:D,J16)</f>
        <v>3</v>
      </c>
      <c r="O16" s="17">
        <f t="shared" si="3"/>
        <v>33</v>
      </c>
      <c r="P16">
        <f t="shared" si="9"/>
        <v>1</v>
      </c>
      <c r="Q16" s="17">
        <f t="shared" si="12"/>
        <v>0</v>
      </c>
      <c r="X16" s="7"/>
      <c r="Z16" s="18" t="str">
        <v>SI-PRD</v>
      </c>
      <c r="AA16" s="3">
        <f t="shared" si="5"/>
        <v>1.1666666666666665</v>
      </c>
      <c r="AB16" s="18" t="str">
        <f t="shared" si="11"/>
        <v>Technology</v>
      </c>
      <c r="AD16" t="s">
        <v>44</v>
      </c>
      <c r="AE16" t="s">
        <v>12</v>
      </c>
    </row>
    <row r="17" spans="2:31" x14ac:dyDescent="0.2">
      <c r="B17">
        <v>15</v>
      </c>
      <c r="C17" t="s">
        <v>38</v>
      </c>
      <c r="D17" t="s">
        <v>4</v>
      </c>
      <c r="E17" s="18" t="str">
        <f t="shared" si="0"/>
        <v>Commercial</v>
      </c>
      <c r="F17" s="18">
        <f t="shared" si="6"/>
        <v>0.1</v>
      </c>
      <c r="G17" s="18">
        <f t="shared" si="7"/>
        <v>10</v>
      </c>
      <c r="H17" s="8">
        <v>1</v>
      </c>
      <c r="J17" t="s">
        <v>4</v>
      </c>
      <c r="K17" t="s">
        <v>12</v>
      </c>
      <c r="L17">
        <f t="shared" si="13"/>
        <v>39.393939393939391</v>
      </c>
      <c r="M17" s="17">
        <f t="shared" si="8"/>
        <v>100</v>
      </c>
      <c r="N17">
        <f t="shared" si="14"/>
        <v>13</v>
      </c>
      <c r="O17" s="17">
        <f t="shared" si="3"/>
        <v>33</v>
      </c>
      <c r="P17">
        <f t="shared" si="9"/>
        <v>0.99999999999999978</v>
      </c>
      <c r="Q17" s="17">
        <f t="shared" si="12"/>
        <v>0</v>
      </c>
      <c r="X17" s="7"/>
      <c r="Z17" s="18" t="str">
        <v>CSI</v>
      </c>
      <c r="AA17" s="3">
        <f t="shared" si="5"/>
        <v>0.64166666666666661</v>
      </c>
      <c r="AB17" s="18" t="str">
        <f t="shared" si="11"/>
        <v>Commercial</v>
      </c>
      <c r="AD17" t="s">
        <v>67</v>
      </c>
      <c r="AE17" t="s">
        <v>12</v>
      </c>
    </row>
    <row r="18" spans="2:31" x14ac:dyDescent="0.2">
      <c r="B18">
        <v>16</v>
      </c>
      <c r="C18" t="s">
        <v>47</v>
      </c>
      <c r="D18" t="s">
        <v>4</v>
      </c>
      <c r="E18" s="18" t="str">
        <f t="shared" si="0"/>
        <v>Corporate</v>
      </c>
      <c r="F18" s="18">
        <f t="shared" si="6"/>
        <v>7.6923076923076927E-2</v>
      </c>
      <c r="G18" s="18">
        <f t="shared" si="7"/>
        <v>13</v>
      </c>
      <c r="H18" s="8">
        <v>1</v>
      </c>
      <c r="J18" t="s">
        <v>4</v>
      </c>
      <c r="K18" t="s">
        <v>8</v>
      </c>
      <c r="L18">
        <f t="shared" si="13"/>
        <v>15.151515151515152</v>
      </c>
      <c r="M18" s="17">
        <f t="shared" si="8"/>
        <v>100</v>
      </c>
      <c r="N18">
        <f t="shared" si="14"/>
        <v>5</v>
      </c>
      <c r="O18" s="17">
        <f t="shared" si="3"/>
        <v>33</v>
      </c>
      <c r="P18">
        <f t="shared" si="9"/>
        <v>1</v>
      </c>
      <c r="Q18" s="17">
        <f t="shared" si="12"/>
        <v>0</v>
      </c>
      <c r="X18" s="7"/>
      <c r="Z18" s="18" t="str">
        <v>GT</v>
      </c>
      <c r="AA18" s="3">
        <f t="shared" si="5"/>
        <v>0.48824786324786323</v>
      </c>
      <c r="AB18" s="18" t="str">
        <f t="shared" si="11"/>
        <v>Corporate</v>
      </c>
      <c r="AD18" t="s">
        <v>46</v>
      </c>
      <c r="AE18" t="s">
        <v>12</v>
      </c>
    </row>
    <row r="19" spans="2:31" x14ac:dyDescent="0.2">
      <c r="B19">
        <v>17</v>
      </c>
      <c r="C19" t="s">
        <v>34</v>
      </c>
      <c r="D19" t="s">
        <v>4</v>
      </c>
      <c r="E19" s="18" t="str">
        <f t="shared" si="0"/>
        <v>Technology</v>
      </c>
      <c r="F19" s="18">
        <f t="shared" si="6"/>
        <v>0.2</v>
      </c>
      <c r="G19" s="18">
        <f t="shared" si="7"/>
        <v>5</v>
      </c>
      <c r="H19" s="8">
        <v>1</v>
      </c>
      <c r="J19" t="s">
        <v>4</v>
      </c>
      <c r="K19" t="s">
        <v>74</v>
      </c>
      <c r="L19">
        <f t="shared" si="13"/>
        <v>3.0303030303030303</v>
      </c>
      <c r="M19" s="17">
        <f t="shared" si="8"/>
        <v>100</v>
      </c>
      <c r="N19">
        <f t="shared" si="14"/>
        <v>1</v>
      </c>
      <c r="O19" s="17">
        <f t="shared" si="3"/>
        <v>33</v>
      </c>
      <c r="P19">
        <f t="shared" si="9"/>
        <v>1</v>
      </c>
      <c r="Q19" s="17">
        <f t="shared" si="12"/>
        <v>0</v>
      </c>
      <c r="X19" s="7"/>
      <c r="Z19" s="18" t="str">
        <v>BCTT</v>
      </c>
      <c r="AA19" s="3">
        <f t="shared" si="5"/>
        <v>1.1666666666666665</v>
      </c>
      <c r="AB19" s="18" t="str">
        <f t="shared" si="11"/>
        <v>Technology</v>
      </c>
      <c r="AD19" t="s">
        <v>22</v>
      </c>
      <c r="AE19" t="s">
        <v>12</v>
      </c>
    </row>
    <row r="20" spans="2:31" x14ac:dyDescent="0.2">
      <c r="B20">
        <v>18</v>
      </c>
      <c r="C20" t="s">
        <v>25</v>
      </c>
      <c r="D20" t="s">
        <v>4</v>
      </c>
      <c r="E20" s="18" t="str">
        <f t="shared" si="0"/>
        <v>Commercial</v>
      </c>
      <c r="F20" s="18">
        <f t="shared" si="6"/>
        <v>0.1</v>
      </c>
      <c r="G20" s="18">
        <f t="shared" si="7"/>
        <v>10</v>
      </c>
      <c r="H20" s="8">
        <v>1</v>
      </c>
      <c r="J20" s="24" t="s">
        <v>4</v>
      </c>
      <c r="K20" s="24" t="s">
        <v>11</v>
      </c>
      <c r="L20">
        <f t="shared" si="13"/>
        <v>3.0303030303030303</v>
      </c>
      <c r="M20" s="17">
        <f t="shared" si="8"/>
        <v>100</v>
      </c>
      <c r="N20" s="24">
        <f t="shared" si="14"/>
        <v>1</v>
      </c>
      <c r="O20" s="17">
        <f t="shared" si="3"/>
        <v>33</v>
      </c>
      <c r="P20">
        <f t="shared" si="9"/>
        <v>1</v>
      </c>
      <c r="Q20" s="17">
        <f t="shared" si="12"/>
        <v>0</v>
      </c>
      <c r="X20" s="7"/>
      <c r="Z20" s="18" t="str">
        <v>GP B2C</v>
      </c>
      <c r="AA20" s="3">
        <f t="shared" si="5"/>
        <v>0.64166666666666661</v>
      </c>
      <c r="AB20" s="18" t="str">
        <f t="shared" si="11"/>
        <v>Commercial</v>
      </c>
      <c r="AD20" t="s">
        <v>69</v>
      </c>
      <c r="AE20" t="s">
        <v>12</v>
      </c>
    </row>
    <row r="21" spans="2:31" x14ac:dyDescent="0.2">
      <c r="B21">
        <v>19</v>
      </c>
      <c r="C21" t="s">
        <v>35</v>
      </c>
      <c r="D21" t="s">
        <v>4</v>
      </c>
      <c r="E21" s="18" t="str">
        <f t="shared" si="0"/>
        <v>Corporate</v>
      </c>
      <c r="F21" s="18">
        <f t="shared" si="6"/>
        <v>7.6923076923076927E-2</v>
      </c>
      <c r="G21" s="18">
        <f t="shared" si="7"/>
        <v>13</v>
      </c>
      <c r="H21" s="8">
        <v>1</v>
      </c>
      <c r="J21" s="25" t="s">
        <v>17</v>
      </c>
      <c r="K21" s="25" t="s">
        <v>5</v>
      </c>
      <c r="L21">
        <f t="shared" si="13"/>
        <v>25</v>
      </c>
      <c r="M21" s="17">
        <f t="shared" si="8"/>
        <v>100</v>
      </c>
      <c r="N21">
        <f t="shared" si="14"/>
        <v>8</v>
      </c>
      <c r="O21" s="17">
        <f t="shared" si="3"/>
        <v>32</v>
      </c>
      <c r="P21">
        <f t="shared" si="9"/>
        <v>1</v>
      </c>
      <c r="Q21" s="17">
        <f t="shared" si="12"/>
        <v>0</v>
      </c>
      <c r="X21" s="7"/>
      <c r="Z21" s="18" t="str">
        <v>GRH</v>
      </c>
      <c r="AA21" s="3">
        <f t="shared" si="5"/>
        <v>0.48824786324786323</v>
      </c>
      <c r="AB21" s="18" t="str">
        <f t="shared" si="11"/>
        <v>Corporate</v>
      </c>
      <c r="AD21" t="s">
        <v>72</v>
      </c>
      <c r="AE21" t="s">
        <v>12</v>
      </c>
    </row>
    <row r="22" spans="2:31" x14ac:dyDescent="0.2">
      <c r="B22">
        <v>20</v>
      </c>
      <c r="C22" t="s">
        <v>60</v>
      </c>
      <c r="D22" t="s">
        <v>4</v>
      </c>
      <c r="E22" s="18" t="str">
        <f t="shared" si="0"/>
        <v>Technology</v>
      </c>
      <c r="F22" s="18">
        <f t="shared" si="6"/>
        <v>0.2</v>
      </c>
      <c r="G22" s="18">
        <f t="shared" si="7"/>
        <v>5</v>
      </c>
      <c r="H22" s="8">
        <v>1</v>
      </c>
      <c r="J22" t="s">
        <v>17</v>
      </c>
      <c r="K22" t="s">
        <v>6</v>
      </c>
      <c r="L22">
        <f t="shared" si="13"/>
        <v>9.375</v>
      </c>
      <c r="M22" s="17">
        <f t="shared" si="8"/>
        <v>100</v>
      </c>
      <c r="N22">
        <f t="shared" si="14"/>
        <v>3</v>
      </c>
      <c r="O22" s="17">
        <f t="shared" si="3"/>
        <v>32</v>
      </c>
      <c r="P22">
        <f t="shared" si="9"/>
        <v>1</v>
      </c>
      <c r="Q22" s="17">
        <f t="shared" si="12"/>
        <v>0</v>
      </c>
      <c r="X22" s="7"/>
      <c r="Z22" s="18" t="str">
        <v>SI-CRP</v>
      </c>
      <c r="AA22" s="3">
        <f t="shared" si="5"/>
        <v>1.1666666666666665</v>
      </c>
      <c r="AB22" s="18" t="str">
        <f t="shared" si="11"/>
        <v>Technology</v>
      </c>
      <c r="AD22" t="s">
        <v>48</v>
      </c>
      <c r="AE22" t="s">
        <v>12</v>
      </c>
    </row>
    <row r="23" spans="2:31" x14ac:dyDescent="0.2">
      <c r="B23">
        <v>21</v>
      </c>
      <c r="C23" t="s">
        <v>23</v>
      </c>
      <c r="D23" t="s">
        <v>4</v>
      </c>
      <c r="E23" s="18" t="str">
        <f t="shared" si="0"/>
        <v>Commercial</v>
      </c>
      <c r="F23" s="18">
        <f t="shared" si="6"/>
        <v>0.1</v>
      </c>
      <c r="G23" s="18">
        <f t="shared" si="7"/>
        <v>10</v>
      </c>
      <c r="H23" s="8">
        <v>1</v>
      </c>
      <c r="J23" t="s">
        <v>17</v>
      </c>
      <c r="K23" t="s">
        <v>12</v>
      </c>
      <c r="L23">
        <f t="shared" si="13"/>
        <v>25</v>
      </c>
      <c r="M23" s="17">
        <f t="shared" si="8"/>
        <v>100</v>
      </c>
      <c r="N23">
        <f t="shared" si="14"/>
        <v>8</v>
      </c>
      <c r="O23" s="17">
        <f t="shared" si="3"/>
        <v>32</v>
      </c>
      <c r="P23">
        <f t="shared" si="9"/>
        <v>1</v>
      </c>
      <c r="Q23" s="17">
        <f t="shared" si="12"/>
        <v>0</v>
      </c>
      <c r="X23" s="7"/>
      <c r="Z23" s="18" t="str">
        <v>GP ECL</v>
      </c>
      <c r="AA23" s="3">
        <f t="shared" si="5"/>
        <v>0.64166666666666661</v>
      </c>
      <c r="AB23" s="18" t="str">
        <f t="shared" si="11"/>
        <v>Commercial</v>
      </c>
      <c r="AD23" t="s">
        <v>50</v>
      </c>
      <c r="AE23" t="s">
        <v>12</v>
      </c>
    </row>
    <row r="24" spans="2:31" x14ac:dyDescent="0.2">
      <c r="B24">
        <v>22</v>
      </c>
      <c r="C24" t="s">
        <v>98</v>
      </c>
      <c r="D24" t="s">
        <v>4</v>
      </c>
      <c r="E24" s="18" t="str">
        <f t="shared" si="0"/>
        <v>Corporate</v>
      </c>
      <c r="F24" s="18">
        <f t="shared" si="6"/>
        <v>7.6923076923076927E-2</v>
      </c>
      <c r="G24" s="18">
        <f t="shared" si="7"/>
        <v>13</v>
      </c>
      <c r="H24" s="8">
        <v>1</v>
      </c>
      <c r="J24" t="s">
        <v>17</v>
      </c>
      <c r="K24" t="s">
        <v>8</v>
      </c>
      <c r="L24">
        <f t="shared" si="13"/>
        <v>15.625</v>
      </c>
      <c r="M24" s="17">
        <f t="shared" si="8"/>
        <v>100</v>
      </c>
      <c r="N24">
        <f t="shared" si="14"/>
        <v>5</v>
      </c>
      <c r="O24" s="17">
        <f t="shared" si="3"/>
        <v>32</v>
      </c>
      <c r="P24">
        <f t="shared" si="9"/>
        <v>1</v>
      </c>
      <c r="Q24" s="17">
        <f t="shared" si="12"/>
        <v>0</v>
      </c>
      <c r="X24" s="7"/>
      <c r="Z24" s="18" t="str">
        <v>PC</v>
      </c>
      <c r="AA24" s="3">
        <f t="shared" si="5"/>
        <v>0.48824786324786323</v>
      </c>
      <c r="AB24" s="18" t="str">
        <f t="shared" si="11"/>
        <v>Corporate</v>
      </c>
      <c r="AD24" t="s">
        <v>73</v>
      </c>
      <c r="AE24" t="s">
        <v>12</v>
      </c>
    </row>
    <row r="25" spans="2:31" x14ac:dyDescent="0.2">
      <c r="B25">
        <v>23</v>
      </c>
      <c r="C25" t="s">
        <v>24</v>
      </c>
      <c r="D25" t="s">
        <v>4</v>
      </c>
      <c r="E25" s="18" t="str">
        <f t="shared" si="0"/>
        <v>Commercial</v>
      </c>
      <c r="F25" s="18">
        <f t="shared" si="6"/>
        <v>0.1</v>
      </c>
      <c r="G25" s="18">
        <f t="shared" si="7"/>
        <v>10</v>
      </c>
      <c r="H25" s="8">
        <v>1</v>
      </c>
      <c r="J25" t="s">
        <v>17</v>
      </c>
      <c r="K25" t="s">
        <v>74</v>
      </c>
      <c r="L25">
        <f t="shared" si="13"/>
        <v>21.875</v>
      </c>
      <c r="M25" s="17">
        <f t="shared" si="8"/>
        <v>100</v>
      </c>
      <c r="N25">
        <f t="shared" si="14"/>
        <v>7</v>
      </c>
      <c r="O25" s="17">
        <f t="shared" si="3"/>
        <v>32</v>
      </c>
      <c r="P25">
        <f t="shared" si="9"/>
        <v>0.99999999999999978</v>
      </c>
      <c r="Q25" s="17">
        <f t="shared" si="12"/>
        <v>0</v>
      </c>
      <c r="X25" s="7"/>
      <c r="Z25" s="18" t="str">
        <v>GPG</v>
      </c>
      <c r="AA25" s="3">
        <f t="shared" si="5"/>
        <v>0.64166666666666661</v>
      </c>
      <c r="AB25" s="18" t="str">
        <f t="shared" si="11"/>
        <v>Commercial</v>
      </c>
      <c r="AD25" t="s">
        <v>54</v>
      </c>
      <c r="AE25" t="s">
        <v>12</v>
      </c>
    </row>
    <row r="26" spans="2:31" x14ac:dyDescent="0.2">
      <c r="B26">
        <v>24</v>
      </c>
      <c r="C26" t="s">
        <v>45</v>
      </c>
      <c r="D26" t="s">
        <v>4</v>
      </c>
      <c r="E26" s="18" t="str">
        <f t="shared" si="0"/>
        <v>Corporate</v>
      </c>
      <c r="F26" s="18">
        <f t="shared" si="6"/>
        <v>7.6923076923076927E-2</v>
      </c>
      <c r="G26" s="18">
        <f t="shared" si="7"/>
        <v>13</v>
      </c>
      <c r="H26" s="8">
        <v>1</v>
      </c>
      <c r="J26" s="24" t="s">
        <v>17</v>
      </c>
      <c r="K26" s="24" t="s">
        <v>11</v>
      </c>
      <c r="L26">
        <f t="shared" si="13"/>
        <v>3.125</v>
      </c>
      <c r="M26" s="17">
        <f t="shared" si="8"/>
        <v>100</v>
      </c>
      <c r="N26" s="24">
        <f t="shared" si="14"/>
        <v>1</v>
      </c>
      <c r="O26" s="17">
        <f t="shared" si="3"/>
        <v>32</v>
      </c>
      <c r="P26">
        <f t="shared" si="9"/>
        <v>1</v>
      </c>
      <c r="Q26" s="17">
        <f t="shared" si="12"/>
        <v>0</v>
      </c>
      <c r="X26" s="7"/>
      <c r="Z26" s="18" t="str">
        <v>RS</v>
      </c>
      <c r="AA26" s="3">
        <f t="shared" si="5"/>
        <v>0.48824786324786323</v>
      </c>
      <c r="AB26" s="18" t="str">
        <f t="shared" si="11"/>
        <v>Corporate</v>
      </c>
      <c r="AD26" t="s">
        <v>56</v>
      </c>
      <c r="AE26" t="s">
        <v>12</v>
      </c>
    </row>
    <row r="27" spans="2:31" x14ac:dyDescent="0.2">
      <c r="B27">
        <v>25</v>
      </c>
      <c r="C27" t="s">
        <v>40</v>
      </c>
      <c r="D27" t="s">
        <v>4</v>
      </c>
      <c r="E27" s="18" t="str">
        <f t="shared" si="0"/>
        <v>Commercial</v>
      </c>
      <c r="F27" s="18">
        <f t="shared" si="6"/>
        <v>0.1</v>
      </c>
      <c r="G27" s="18">
        <f t="shared" si="7"/>
        <v>10</v>
      </c>
      <c r="H27" s="8">
        <v>1</v>
      </c>
      <c r="J27" s="25" t="s">
        <v>16</v>
      </c>
      <c r="K27" s="25" t="s">
        <v>5</v>
      </c>
      <c r="L27">
        <f t="shared" si="13"/>
        <v>28.125</v>
      </c>
      <c r="M27" s="17">
        <f t="shared" si="8"/>
        <v>100</v>
      </c>
      <c r="N27">
        <f t="shared" si="14"/>
        <v>9</v>
      </c>
      <c r="O27" s="17">
        <f t="shared" si="3"/>
        <v>32</v>
      </c>
      <c r="P27">
        <f t="shared" si="9"/>
        <v>1.0000000000000002</v>
      </c>
      <c r="Q27" s="17">
        <f t="shared" si="12"/>
        <v>0</v>
      </c>
      <c r="X27" s="7"/>
      <c r="Z27" s="18" t="str">
        <v>ECM</v>
      </c>
      <c r="AA27" s="3">
        <f t="shared" si="5"/>
        <v>0.64166666666666661</v>
      </c>
      <c r="AB27" s="18" t="str">
        <f t="shared" si="11"/>
        <v>Commercial</v>
      </c>
      <c r="AD27" t="s">
        <v>35</v>
      </c>
      <c r="AE27" t="s">
        <v>12</v>
      </c>
    </row>
    <row r="28" spans="2:31" x14ac:dyDescent="0.2">
      <c r="B28">
        <v>26</v>
      </c>
      <c r="C28" t="s">
        <v>48</v>
      </c>
      <c r="D28" t="s">
        <v>4</v>
      </c>
      <c r="E28" s="18" t="str">
        <f t="shared" si="0"/>
        <v>Corporate</v>
      </c>
      <c r="F28" s="18">
        <f t="shared" si="6"/>
        <v>7.6923076923076927E-2</v>
      </c>
      <c r="G28" s="18">
        <f t="shared" si="7"/>
        <v>13</v>
      </c>
      <c r="H28" s="8">
        <v>1</v>
      </c>
      <c r="J28" t="s">
        <v>16</v>
      </c>
      <c r="K28" t="s">
        <v>6</v>
      </c>
      <c r="L28">
        <f t="shared" si="13"/>
        <v>9.375</v>
      </c>
      <c r="M28" s="17">
        <f t="shared" si="8"/>
        <v>100</v>
      </c>
      <c r="N28">
        <f t="shared" si="14"/>
        <v>3</v>
      </c>
      <c r="O28" s="17">
        <f t="shared" si="3"/>
        <v>32</v>
      </c>
      <c r="P28">
        <f t="shared" si="9"/>
        <v>1</v>
      </c>
      <c r="Q28" s="17">
        <f t="shared" si="12"/>
        <v>0</v>
      </c>
      <c r="X28" s="7"/>
      <c r="Z28" s="18" t="str">
        <v>CL</v>
      </c>
      <c r="AA28" s="3">
        <f t="shared" si="5"/>
        <v>0.48824786324786323</v>
      </c>
      <c r="AB28" s="18" t="str">
        <f t="shared" si="11"/>
        <v>Corporate</v>
      </c>
      <c r="AD28" t="s">
        <v>47</v>
      </c>
      <c r="AE28" t="s">
        <v>12</v>
      </c>
    </row>
    <row r="29" spans="2:31" x14ac:dyDescent="0.2">
      <c r="B29">
        <v>27</v>
      </c>
      <c r="C29" t="s">
        <v>39</v>
      </c>
      <c r="D29" t="s">
        <v>4</v>
      </c>
      <c r="E29" s="18" t="str">
        <f t="shared" si="0"/>
        <v>Commercial</v>
      </c>
      <c r="F29" s="18">
        <f t="shared" si="6"/>
        <v>0.1</v>
      </c>
      <c r="G29" s="18">
        <f t="shared" si="7"/>
        <v>10</v>
      </c>
      <c r="H29" s="8">
        <v>1</v>
      </c>
      <c r="J29" t="s">
        <v>16</v>
      </c>
      <c r="K29" t="s">
        <v>12</v>
      </c>
      <c r="L29">
        <f t="shared" si="13"/>
        <v>40.625</v>
      </c>
      <c r="M29" s="17">
        <f t="shared" si="8"/>
        <v>100</v>
      </c>
      <c r="N29">
        <f t="shared" si="14"/>
        <v>13</v>
      </c>
      <c r="O29" s="17">
        <f t="shared" si="3"/>
        <v>32</v>
      </c>
      <c r="P29">
        <f t="shared" si="9"/>
        <v>0.99999999999999978</v>
      </c>
      <c r="Q29" s="17">
        <f t="shared" si="12"/>
        <v>0</v>
      </c>
      <c r="X29" s="7"/>
      <c r="Z29" s="18" t="str">
        <v>CTTE</v>
      </c>
      <c r="AA29" s="3">
        <f t="shared" si="5"/>
        <v>0.6595238095238094</v>
      </c>
      <c r="AB29" s="18" t="str">
        <f t="shared" si="11"/>
        <v>Commercial</v>
      </c>
      <c r="AD29" t="s">
        <v>98</v>
      </c>
      <c r="AE29" t="s">
        <v>12</v>
      </c>
    </row>
    <row r="30" spans="2:31" x14ac:dyDescent="0.2">
      <c r="B30">
        <v>28</v>
      </c>
      <c r="C30" t="s">
        <v>54</v>
      </c>
      <c r="D30" t="s">
        <v>4</v>
      </c>
      <c r="E30" s="18" t="str">
        <f t="shared" si="0"/>
        <v>Corporate</v>
      </c>
      <c r="F30" s="18">
        <f t="shared" si="6"/>
        <v>7.6923076923076927E-2</v>
      </c>
      <c r="G30" s="18">
        <f t="shared" si="7"/>
        <v>13</v>
      </c>
      <c r="H30" s="8">
        <v>1</v>
      </c>
      <c r="J30" t="s">
        <v>16</v>
      </c>
      <c r="K30" t="s">
        <v>8</v>
      </c>
      <c r="L30">
        <f t="shared" si="13"/>
        <v>15.625</v>
      </c>
      <c r="M30" s="17">
        <f t="shared" si="8"/>
        <v>100</v>
      </c>
      <c r="N30">
        <f t="shared" si="14"/>
        <v>5</v>
      </c>
      <c r="O30" s="17">
        <f t="shared" si="3"/>
        <v>32</v>
      </c>
      <c r="P30">
        <f t="shared" si="9"/>
        <v>1</v>
      </c>
      <c r="Q30" s="17">
        <f t="shared" si="12"/>
        <v>0</v>
      </c>
      <c r="X30" s="7"/>
      <c r="Z30" s="18" t="str">
        <v>DPO</v>
      </c>
      <c r="AA30" s="3">
        <f t="shared" si="5"/>
        <v>0.50610500610500608</v>
      </c>
      <c r="AB30" s="18" t="str">
        <f t="shared" si="11"/>
        <v>Corporate</v>
      </c>
      <c r="AD30" t="s">
        <v>71</v>
      </c>
      <c r="AE30" t="s">
        <v>12</v>
      </c>
    </row>
    <row r="31" spans="2:31" x14ac:dyDescent="0.2">
      <c r="B31">
        <v>29</v>
      </c>
      <c r="C31" t="s">
        <v>50</v>
      </c>
      <c r="D31" t="s">
        <v>4</v>
      </c>
      <c r="E31" s="18" t="str">
        <f t="shared" si="0"/>
        <v>Corporate</v>
      </c>
      <c r="F31" s="18">
        <f t="shared" si="6"/>
        <v>7.6923076923076927E-2</v>
      </c>
      <c r="G31" s="18">
        <f t="shared" si="7"/>
        <v>13</v>
      </c>
      <c r="H31" s="8">
        <v>1</v>
      </c>
      <c r="J31" t="s">
        <v>16</v>
      </c>
      <c r="K31" t="s">
        <v>74</v>
      </c>
      <c r="L31">
        <f t="shared" si="13"/>
        <v>3.125</v>
      </c>
      <c r="M31" s="17">
        <f t="shared" si="8"/>
        <v>100</v>
      </c>
      <c r="N31">
        <f t="shared" si="14"/>
        <v>1</v>
      </c>
      <c r="O31" s="17">
        <f t="shared" si="3"/>
        <v>32</v>
      </c>
      <c r="P31">
        <f t="shared" si="9"/>
        <v>1</v>
      </c>
      <c r="Q31" s="17">
        <f t="shared" si="12"/>
        <v>0</v>
      </c>
      <c r="X31" s="7"/>
      <c r="Z31" s="18" t="str">
        <v>CMP</v>
      </c>
      <c r="AA31" s="3">
        <f t="shared" si="5"/>
        <v>0.50610500610500608</v>
      </c>
      <c r="AB31" s="18" t="str">
        <f t="shared" si="11"/>
        <v>Corporate</v>
      </c>
      <c r="AD31" t="s">
        <v>45</v>
      </c>
      <c r="AE31" t="s">
        <v>12</v>
      </c>
    </row>
    <row r="32" spans="2:31" x14ac:dyDescent="0.2">
      <c r="B32">
        <v>30</v>
      </c>
      <c r="C32" t="s">
        <v>51</v>
      </c>
      <c r="D32" t="s">
        <v>4</v>
      </c>
      <c r="E32" s="18" t="str">
        <f t="shared" si="0"/>
        <v>Corporate</v>
      </c>
      <c r="F32" s="18">
        <f t="shared" si="6"/>
        <v>7.6923076923076927E-2</v>
      </c>
      <c r="G32" s="18">
        <f t="shared" si="7"/>
        <v>13</v>
      </c>
      <c r="H32" s="8">
        <v>1</v>
      </c>
      <c r="J32" s="24" t="s">
        <v>16</v>
      </c>
      <c r="K32" s="24" t="s">
        <v>11</v>
      </c>
      <c r="L32">
        <f t="shared" si="13"/>
        <v>3.125</v>
      </c>
      <c r="M32" s="17">
        <f t="shared" si="8"/>
        <v>100</v>
      </c>
      <c r="N32" s="24">
        <f t="shared" si="14"/>
        <v>1</v>
      </c>
      <c r="O32" s="17">
        <f t="shared" si="3"/>
        <v>32</v>
      </c>
      <c r="P32">
        <f t="shared" si="9"/>
        <v>1</v>
      </c>
      <c r="Q32" s="17">
        <f t="shared" si="12"/>
        <v>0</v>
      </c>
      <c r="X32" s="7"/>
      <c r="Z32" s="18" t="str">
        <v>ST</v>
      </c>
      <c r="AA32" s="3">
        <f t="shared" si="5"/>
        <v>0.50610500610500608</v>
      </c>
      <c r="AB32" s="18" t="str">
        <f t="shared" si="11"/>
        <v>Corporate</v>
      </c>
      <c r="AD32" t="s">
        <v>51</v>
      </c>
      <c r="AE32" t="s">
        <v>12</v>
      </c>
    </row>
    <row r="33" spans="2:31" x14ac:dyDescent="0.2">
      <c r="B33">
        <v>31</v>
      </c>
      <c r="C33" t="s">
        <v>56</v>
      </c>
      <c r="D33" t="s">
        <v>4</v>
      </c>
      <c r="E33" s="18" t="str">
        <f t="shared" si="0"/>
        <v>Corporate</v>
      </c>
      <c r="F33" s="18">
        <f t="shared" si="6"/>
        <v>7.6923076923076927E-2</v>
      </c>
      <c r="G33" s="18">
        <f t="shared" si="7"/>
        <v>13</v>
      </c>
      <c r="H33" s="8">
        <v>1</v>
      </c>
      <c r="J33" s="25" t="s">
        <v>14</v>
      </c>
      <c r="K33" s="25" t="s">
        <v>5</v>
      </c>
      <c r="L33">
        <f t="shared" si="13"/>
        <v>28.125</v>
      </c>
      <c r="M33" s="17">
        <f t="shared" si="8"/>
        <v>100</v>
      </c>
      <c r="N33">
        <f t="shared" si="14"/>
        <v>9</v>
      </c>
      <c r="O33" s="17">
        <f t="shared" si="3"/>
        <v>32</v>
      </c>
      <c r="P33">
        <f t="shared" si="9"/>
        <v>1.0000000000000002</v>
      </c>
      <c r="Q33" s="17">
        <f t="shared" si="12"/>
        <v>0</v>
      </c>
      <c r="X33" s="7"/>
      <c r="Z33" s="18" t="str">
        <v>FL</v>
      </c>
      <c r="AA33" s="3">
        <f t="shared" si="5"/>
        <v>0.50610500610500608</v>
      </c>
      <c r="AB33" s="18" t="str">
        <f t="shared" si="11"/>
        <v>Corporate</v>
      </c>
      <c r="AD33" t="s">
        <v>53</v>
      </c>
      <c r="AE33" t="s">
        <v>12</v>
      </c>
    </row>
    <row r="34" spans="2:31" x14ac:dyDescent="0.2">
      <c r="B34">
        <v>32</v>
      </c>
      <c r="C34" t="s">
        <v>53</v>
      </c>
      <c r="D34" t="s">
        <v>4</v>
      </c>
      <c r="E34" s="18" t="str">
        <f t="shared" si="0"/>
        <v>Corporate</v>
      </c>
      <c r="F34" s="18">
        <f t="shared" si="6"/>
        <v>7.6923076923076927E-2</v>
      </c>
      <c r="G34" s="18">
        <f t="shared" si="7"/>
        <v>13</v>
      </c>
      <c r="H34" s="8">
        <v>1</v>
      </c>
      <c r="J34" t="s">
        <v>14</v>
      </c>
      <c r="K34" t="s">
        <v>6</v>
      </c>
      <c r="L34">
        <f t="shared" si="13"/>
        <v>9.375</v>
      </c>
      <c r="M34" s="17">
        <f t="shared" si="8"/>
        <v>100</v>
      </c>
      <c r="N34">
        <f t="shared" si="14"/>
        <v>3</v>
      </c>
      <c r="O34" s="17">
        <f t="shared" si="3"/>
        <v>32</v>
      </c>
      <c r="P34">
        <f t="shared" si="9"/>
        <v>1</v>
      </c>
      <c r="Q34" s="17">
        <f t="shared" si="12"/>
        <v>0</v>
      </c>
      <c r="X34" s="7"/>
      <c r="Z34" s="18" t="str">
        <v>TF</v>
      </c>
      <c r="AA34" s="3">
        <f t="shared" si="5"/>
        <v>0.50610500610500608</v>
      </c>
      <c r="AB34" s="18" t="str">
        <f t="shared" si="11"/>
        <v>Corporate</v>
      </c>
      <c r="AD34" t="s">
        <v>64</v>
      </c>
      <c r="AE34" t="s">
        <v>6</v>
      </c>
    </row>
    <row r="35" spans="2:31" x14ac:dyDescent="0.2">
      <c r="B35">
        <v>33</v>
      </c>
      <c r="C35" t="s">
        <v>381</v>
      </c>
      <c r="D35" t="s">
        <v>4</v>
      </c>
      <c r="E35" s="31" t="str">
        <f t="shared" si="0"/>
        <v>Commercial</v>
      </c>
      <c r="F35" s="18">
        <f t="shared" ref="F35" si="15">H35*SUMIFS($H:$H,$J:$J,D35,$K:$K,E35)/G35</f>
        <v>0.1</v>
      </c>
      <c r="G35" s="18">
        <f t="shared" ref="G35" si="16">SUMIFS($H$2:$H$1000,$E$2:$E$1000,E35,$D$2:$D$1000,D35)</f>
        <v>10</v>
      </c>
      <c r="H35" s="8">
        <v>1</v>
      </c>
      <c r="J35" t="s">
        <v>14</v>
      </c>
      <c r="K35" t="s">
        <v>12</v>
      </c>
      <c r="L35">
        <f t="shared" si="13"/>
        <v>40.625</v>
      </c>
      <c r="M35" s="17">
        <f t="shared" si="8"/>
        <v>100</v>
      </c>
      <c r="N35">
        <f t="shared" si="14"/>
        <v>13</v>
      </c>
      <c r="O35" s="17">
        <f t="shared" si="3"/>
        <v>32</v>
      </c>
      <c r="P35">
        <f t="shared" si="9"/>
        <v>0.99999999999999978</v>
      </c>
      <c r="Q35" s="17">
        <f t="shared" si="12"/>
        <v>0</v>
      </c>
      <c r="X35" s="7"/>
      <c r="Z35" s="18" t="str">
        <v>NSP</v>
      </c>
      <c r="AA35" s="3">
        <f t="shared" si="5"/>
        <v>0.1</v>
      </c>
      <c r="AB35" s="18" t="str">
        <f t="shared" si="11"/>
        <v>Commercial</v>
      </c>
      <c r="AD35" t="s">
        <v>7</v>
      </c>
      <c r="AE35" t="s">
        <v>6</v>
      </c>
    </row>
    <row r="36" spans="2:31" x14ac:dyDescent="0.2">
      <c r="B36">
        <v>1</v>
      </c>
      <c r="C36" t="s">
        <v>64</v>
      </c>
      <c r="D36" t="s">
        <v>10</v>
      </c>
      <c r="E36" s="18" t="str">
        <f t="shared" ref="E36:E77" si="17">VLOOKUP($C36,$AD:$AE,2,FALSE)</f>
        <v>Operations</v>
      </c>
      <c r="F36" s="18">
        <f t="shared" ref="F36:F77" si="18">H36*SUMIFS($H:$H,$J:$J,D36,$K:$K,E36)/G36</f>
        <v>0.25</v>
      </c>
      <c r="G36" s="18">
        <f t="shared" ref="G36:G77" si="19">SUMIFS($H$2:$H$1000,$E$2:$E$1000,E36,$D$2:$D$1000,D36)</f>
        <v>4</v>
      </c>
      <c r="H36" s="8">
        <v>1</v>
      </c>
      <c r="J36" t="s">
        <v>14</v>
      </c>
      <c r="K36" t="s">
        <v>8</v>
      </c>
      <c r="L36">
        <f t="shared" si="13"/>
        <v>15.625</v>
      </c>
      <c r="M36" s="17">
        <f t="shared" si="8"/>
        <v>100</v>
      </c>
      <c r="N36">
        <f t="shared" si="14"/>
        <v>5</v>
      </c>
      <c r="O36" s="17">
        <f t="shared" si="3"/>
        <v>32</v>
      </c>
      <c r="P36">
        <f t="shared" si="9"/>
        <v>1</v>
      </c>
      <c r="Q36" s="17">
        <f t="shared" si="12"/>
        <v>0</v>
      </c>
      <c r="X36" s="7"/>
      <c r="Z36" s="18" t="str">
        <v>COO</v>
      </c>
      <c r="AA36" s="3">
        <f t="shared" si="5"/>
        <v>0.25</v>
      </c>
      <c r="AB36" s="18" t="str">
        <f t="shared" si="11"/>
        <v>Operations</v>
      </c>
      <c r="AD36" t="s">
        <v>42</v>
      </c>
      <c r="AE36" t="s">
        <v>6</v>
      </c>
    </row>
    <row r="37" spans="2:31" x14ac:dyDescent="0.2">
      <c r="B37">
        <v>2</v>
      </c>
      <c r="C37" t="s">
        <v>65</v>
      </c>
      <c r="D37" t="s">
        <v>10</v>
      </c>
      <c r="E37" s="18" t="str">
        <f t="shared" si="17"/>
        <v>Commercial</v>
      </c>
      <c r="F37" s="18">
        <f t="shared" si="18"/>
        <v>8.3333333333333329E-2</v>
      </c>
      <c r="G37" s="18">
        <f t="shared" si="19"/>
        <v>12</v>
      </c>
      <c r="H37" s="8">
        <v>1</v>
      </c>
      <c r="J37" t="s">
        <v>14</v>
      </c>
      <c r="K37" t="s">
        <v>74</v>
      </c>
      <c r="L37">
        <f t="shared" si="13"/>
        <v>3.125</v>
      </c>
      <c r="M37" s="17">
        <f t="shared" si="8"/>
        <v>100</v>
      </c>
      <c r="N37">
        <f t="shared" si="14"/>
        <v>1</v>
      </c>
      <c r="O37" s="17">
        <f t="shared" si="3"/>
        <v>32</v>
      </c>
      <c r="P37">
        <f t="shared" si="9"/>
        <v>1</v>
      </c>
      <c r="Q37" s="17">
        <f t="shared" si="12"/>
        <v>0</v>
      </c>
      <c r="X37" s="7"/>
      <c r="Z37" s="18" t="str">
        <v>CMO</v>
      </c>
      <c r="AA37" s="3">
        <f t="shared" si="5"/>
        <v>8.3333333333333329E-2</v>
      </c>
      <c r="AB37" s="18" t="str">
        <f t="shared" si="11"/>
        <v>Commercial</v>
      </c>
      <c r="AD37" t="s">
        <v>42</v>
      </c>
      <c r="AE37" t="s">
        <v>6</v>
      </c>
    </row>
    <row r="38" spans="2:31" x14ac:dyDescent="0.2">
      <c r="B38">
        <v>3</v>
      </c>
      <c r="C38" t="s">
        <v>67</v>
      </c>
      <c r="D38" t="s">
        <v>10</v>
      </c>
      <c r="E38" s="18" t="str">
        <f t="shared" si="17"/>
        <v>Corporate</v>
      </c>
      <c r="F38" s="18">
        <f t="shared" si="18"/>
        <v>5.5555555555555552E-2</v>
      </c>
      <c r="G38" s="18">
        <f t="shared" si="19"/>
        <v>18</v>
      </c>
      <c r="H38" s="8">
        <v>1</v>
      </c>
      <c r="J38" s="24" t="s">
        <v>14</v>
      </c>
      <c r="K38" s="24" t="s">
        <v>11</v>
      </c>
      <c r="L38">
        <f t="shared" si="13"/>
        <v>3.125</v>
      </c>
      <c r="M38" s="17">
        <f t="shared" si="8"/>
        <v>100</v>
      </c>
      <c r="N38" s="24">
        <f t="shared" si="14"/>
        <v>1</v>
      </c>
      <c r="O38" s="17">
        <f t="shared" si="3"/>
        <v>32</v>
      </c>
      <c r="P38">
        <f t="shared" si="9"/>
        <v>1</v>
      </c>
      <c r="Q38" s="17">
        <f t="shared" si="12"/>
        <v>0</v>
      </c>
      <c r="X38" s="7"/>
      <c r="Z38" s="18" t="str">
        <v>ATC</v>
      </c>
      <c r="AA38" s="3">
        <f t="shared" si="5"/>
        <v>5.5555555555555552E-2</v>
      </c>
      <c r="AB38" s="18" t="str">
        <f t="shared" si="11"/>
        <v>Corporate</v>
      </c>
      <c r="AD38" t="s">
        <v>26</v>
      </c>
      <c r="AE38" t="s">
        <v>6</v>
      </c>
    </row>
    <row r="39" spans="2:31" x14ac:dyDescent="0.2">
      <c r="B39">
        <v>4</v>
      </c>
      <c r="C39" t="s">
        <v>66</v>
      </c>
      <c r="D39" t="s">
        <v>10</v>
      </c>
      <c r="E39" s="18" t="str">
        <f t="shared" si="17"/>
        <v>Commercial</v>
      </c>
      <c r="F39" s="18">
        <f t="shared" si="18"/>
        <v>8.3333333333333329E-2</v>
      </c>
      <c r="G39" s="18">
        <f t="shared" si="19"/>
        <v>12</v>
      </c>
      <c r="H39" s="8">
        <v>1</v>
      </c>
      <c r="J39" s="32" t="s">
        <v>452</v>
      </c>
      <c r="K39" s="25" t="s">
        <v>5</v>
      </c>
      <c r="L39">
        <v>38</v>
      </c>
      <c r="X39" s="7"/>
      <c r="Z39" s="18" t="str">
        <v>CCO</v>
      </c>
      <c r="AA39" s="3">
        <f t="shared" si="5"/>
        <v>8.3333333333333329E-2</v>
      </c>
      <c r="AB39" s="18" t="str">
        <f t="shared" si="11"/>
        <v>Commercial</v>
      </c>
      <c r="AD39" t="s">
        <v>34</v>
      </c>
      <c r="AE39" t="s">
        <v>8</v>
      </c>
    </row>
    <row r="40" spans="2:31" x14ac:dyDescent="0.2">
      <c r="B40">
        <v>5</v>
      </c>
      <c r="C40" t="s">
        <v>68</v>
      </c>
      <c r="D40" t="s">
        <v>10</v>
      </c>
      <c r="E40" s="18" t="str">
        <f t="shared" si="17"/>
        <v>Commercial</v>
      </c>
      <c r="F40" s="18">
        <f t="shared" si="18"/>
        <v>8.3333333333333329E-2</v>
      </c>
      <c r="G40" s="18">
        <f t="shared" si="19"/>
        <v>12</v>
      </c>
      <c r="H40" s="8">
        <v>1</v>
      </c>
      <c r="J40" s="33" t="s">
        <v>452</v>
      </c>
      <c r="K40" t="s">
        <v>6</v>
      </c>
      <c r="L40">
        <v>19</v>
      </c>
      <c r="X40" s="7"/>
      <c r="Z40" s="18" t="str">
        <v>IDC</v>
      </c>
      <c r="AA40" s="3">
        <f t="shared" si="5"/>
        <v>8.3333333333333329E-2</v>
      </c>
      <c r="AB40" s="18" t="str">
        <f t="shared" si="11"/>
        <v>Commercial</v>
      </c>
      <c r="AD40" t="s">
        <v>70</v>
      </c>
      <c r="AE40" t="s">
        <v>8</v>
      </c>
    </row>
    <row r="41" spans="2:31" x14ac:dyDescent="0.2">
      <c r="B41">
        <v>6</v>
      </c>
      <c r="C41" t="s">
        <v>69</v>
      </c>
      <c r="D41" t="s">
        <v>10</v>
      </c>
      <c r="E41" s="18" t="str">
        <f t="shared" si="17"/>
        <v>Corporate</v>
      </c>
      <c r="F41" s="18">
        <f t="shared" si="18"/>
        <v>5.5555555555555552E-2</v>
      </c>
      <c r="G41" s="18">
        <f t="shared" si="19"/>
        <v>18</v>
      </c>
      <c r="H41" s="8">
        <v>1</v>
      </c>
      <c r="J41" s="33" t="s">
        <v>452</v>
      </c>
      <c r="K41" t="s">
        <v>12</v>
      </c>
      <c r="L41">
        <v>19</v>
      </c>
      <c r="X41" s="7"/>
      <c r="Z41" s="18" t="str">
        <v>CFO</v>
      </c>
      <c r="AA41" s="3">
        <f t="shared" si="5"/>
        <v>5.5555555555555552E-2</v>
      </c>
      <c r="AB41" s="18" t="str">
        <f t="shared" si="11"/>
        <v>Corporate</v>
      </c>
      <c r="AD41" t="s">
        <v>9</v>
      </c>
      <c r="AE41" t="s">
        <v>8</v>
      </c>
    </row>
    <row r="42" spans="2:31" x14ac:dyDescent="0.2">
      <c r="B42">
        <v>7</v>
      </c>
      <c r="C42" t="s">
        <v>70</v>
      </c>
      <c r="D42" t="s">
        <v>10</v>
      </c>
      <c r="E42" s="18" t="str">
        <f t="shared" si="17"/>
        <v>Technology</v>
      </c>
      <c r="F42" s="18">
        <f t="shared" si="18"/>
        <v>0.16666666666666666</v>
      </c>
      <c r="G42" s="18">
        <f t="shared" si="19"/>
        <v>6</v>
      </c>
      <c r="H42" s="8">
        <v>1</v>
      </c>
      <c r="J42" s="33" t="s">
        <v>452</v>
      </c>
      <c r="K42" t="s">
        <v>8</v>
      </c>
      <c r="L42">
        <v>17</v>
      </c>
      <c r="X42" s="7"/>
      <c r="Z42" s="18" t="str">
        <v>CIO</v>
      </c>
      <c r="AA42" s="3">
        <f t="shared" si="5"/>
        <v>0.16666666666666666</v>
      </c>
      <c r="AB42" s="18" t="str">
        <f t="shared" si="11"/>
        <v>Technology</v>
      </c>
      <c r="AD42" t="s">
        <v>60</v>
      </c>
      <c r="AE42" t="s">
        <v>8</v>
      </c>
    </row>
    <row r="43" spans="2:31" x14ac:dyDescent="0.2">
      <c r="B43">
        <v>8</v>
      </c>
      <c r="C43" t="s">
        <v>71</v>
      </c>
      <c r="D43" t="s">
        <v>10</v>
      </c>
      <c r="E43" s="18" t="str">
        <f t="shared" si="17"/>
        <v>Corporate</v>
      </c>
      <c r="F43" s="18">
        <f t="shared" si="18"/>
        <v>5.5555555555555552E-2</v>
      </c>
      <c r="G43" s="18">
        <f t="shared" si="19"/>
        <v>18</v>
      </c>
      <c r="H43" s="8">
        <v>1</v>
      </c>
      <c r="J43" s="33" t="s">
        <v>452</v>
      </c>
      <c r="K43" t="s">
        <v>74</v>
      </c>
      <c r="L43">
        <v>5</v>
      </c>
      <c r="X43" s="7"/>
      <c r="Z43" s="18" t="str">
        <v>PRO</v>
      </c>
      <c r="AA43" s="3">
        <f t="shared" si="5"/>
        <v>5.5555555555555552E-2</v>
      </c>
      <c r="AB43" s="18" t="str">
        <f t="shared" si="11"/>
        <v>Corporate</v>
      </c>
      <c r="AD43" t="s">
        <v>59</v>
      </c>
      <c r="AE43" t="s">
        <v>8</v>
      </c>
    </row>
    <row r="44" spans="2:31" x14ac:dyDescent="0.2">
      <c r="B44">
        <v>9</v>
      </c>
      <c r="C44" t="s">
        <v>72</v>
      </c>
      <c r="D44" t="s">
        <v>10</v>
      </c>
      <c r="E44" s="18" t="str">
        <f t="shared" si="17"/>
        <v>Corporate</v>
      </c>
      <c r="F44" s="18">
        <f t="shared" si="18"/>
        <v>5.5555555555555552E-2</v>
      </c>
      <c r="G44" s="18">
        <f t="shared" si="19"/>
        <v>18</v>
      </c>
      <c r="H44" s="8">
        <v>1</v>
      </c>
      <c r="J44" s="34" t="s">
        <v>452</v>
      </c>
      <c r="K44" s="24" t="s">
        <v>11</v>
      </c>
      <c r="L44">
        <v>2</v>
      </c>
      <c r="X44" s="7"/>
      <c r="Z44" s="18" t="str">
        <v>CHR</v>
      </c>
      <c r="AA44" s="3">
        <f t="shared" si="5"/>
        <v>5.5555555555555552E-2</v>
      </c>
      <c r="AB44" s="18" t="str">
        <f t="shared" si="11"/>
        <v>Corporate</v>
      </c>
      <c r="AD44" t="s">
        <v>58</v>
      </c>
      <c r="AE44" t="s">
        <v>8</v>
      </c>
    </row>
    <row r="45" spans="2:31" x14ac:dyDescent="0.2">
      <c r="B45">
        <v>11</v>
      </c>
      <c r="C45" t="s">
        <v>23</v>
      </c>
      <c r="D45" t="s">
        <v>10</v>
      </c>
      <c r="E45" s="18" t="str">
        <f t="shared" si="17"/>
        <v>Commercial</v>
      </c>
      <c r="F45" s="18">
        <f t="shared" si="18"/>
        <v>8.3333333333333329E-2</v>
      </c>
      <c r="G45" s="18">
        <f t="shared" si="19"/>
        <v>12</v>
      </c>
      <c r="H45" s="8">
        <v>1</v>
      </c>
      <c r="X45" s="7"/>
      <c r="Z45" t="str">
        <v>COM</v>
      </c>
      <c r="AA45" s="7"/>
      <c r="AD45" t="s">
        <v>116</v>
      </c>
      <c r="AE45" t="s">
        <v>74</v>
      </c>
    </row>
    <row r="46" spans="2:31" x14ac:dyDescent="0.2">
      <c r="B46">
        <v>12</v>
      </c>
      <c r="C46" t="s">
        <v>11</v>
      </c>
      <c r="D46" t="s">
        <v>10</v>
      </c>
      <c r="E46" s="18" t="str">
        <f t="shared" si="17"/>
        <v>CISO</v>
      </c>
      <c r="F46" s="18">
        <f t="shared" si="18"/>
        <v>1</v>
      </c>
      <c r="G46" s="18">
        <f t="shared" si="19"/>
        <v>1</v>
      </c>
      <c r="H46" s="8">
        <v>1</v>
      </c>
      <c r="X46" s="7"/>
      <c r="Z46">
        <v>0</v>
      </c>
      <c r="AA46" s="7"/>
      <c r="AD46" t="s">
        <v>381</v>
      </c>
      <c r="AE46" t="s">
        <v>5</v>
      </c>
    </row>
    <row r="47" spans="2:31" x14ac:dyDescent="0.2">
      <c r="B47">
        <v>13</v>
      </c>
      <c r="C47" t="s">
        <v>116</v>
      </c>
      <c r="D47" t="s">
        <v>10</v>
      </c>
      <c r="E47" s="18" t="str">
        <f t="shared" si="17"/>
        <v>Data &amp; AI</v>
      </c>
      <c r="F47" s="18">
        <f t="shared" si="18"/>
        <v>1</v>
      </c>
      <c r="G47" s="18">
        <f t="shared" si="19"/>
        <v>1</v>
      </c>
      <c r="H47" s="8">
        <v>1</v>
      </c>
      <c r="X47" s="7"/>
      <c r="AA47" s="7"/>
    </row>
    <row r="48" spans="2:31" x14ac:dyDescent="0.2">
      <c r="B48">
        <v>14</v>
      </c>
      <c r="C48" t="s">
        <v>37</v>
      </c>
      <c r="D48" t="s">
        <v>10</v>
      </c>
      <c r="E48" s="18" t="str">
        <f t="shared" si="17"/>
        <v>Commercial</v>
      </c>
      <c r="F48" s="18">
        <f t="shared" si="18"/>
        <v>8.3333333333333329E-2</v>
      </c>
      <c r="G48" s="18">
        <f t="shared" si="19"/>
        <v>12</v>
      </c>
      <c r="H48" s="8">
        <v>1</v>
      </c>
      <c r="X48" s="7"/>
      <c r="AA48" s="7"/>
    </row>
    <row r="49" spans="2:27" x14ac:dyDescent="0.2">
      <c r="B49">
        <v>15</v>
      </c>
      <c r="C49" t="s">
        <v>7</v>
      </c>
      <c r="D49" t="s">
        <v>10</v>
      </c>
      <c r="E49" s="18" t="str">
        <f t="shared" si="17"/>
        <v>Operations</v>
      </c>
      <c r="F49" s="18">
        <f t="shared" si="18"/>
        <v>0.25</v>
      </c>
      <c r="G49" s="18">
        <f t="shared" si="19"/>
        <v>4</v>
      </c>
      <c r="H49" s="8">
        <v>1</v>
      </c>
      <c r="X49" s="7"/>
      <c r="AA49" s="7"/>
    </row>
    <row r="50" spans="2:27" x14ac:dyDescent="0.2">
      <c r="B50">
        <v>16</v>
      </c>
      <c r="C50" t="s">
        <v>44</v>
      </c>
      <c r="D50" t="s">
        <v>10</v>
      </c>
      <c r="E50" s="18" t="str">
        <f t="shared" si="17"/>
        <v>Corporate</v>
      </c>
      <c r="F50" s="18">
        <f t="shared" si="18"/>
        <v>5.5555555555555552E-2</v>
      </c>
      <c r="G50" s="18">
        <f t="shared" si="19"/>
        <v>18</v>
      </c>
      <c r="H50" s="8">
        <v>1</v>
      </c>
      <c r="X50" s="7"/>
      <c r="AA50" s="7"/>
    </row>
    <row r="51" spans="2:27" x14ac:dyDescent="0.2">
      <c r="B51">
        <v>17</v>
      </c>
      <c r="C51" t="s">
        <v>9</v>
      </c>
      <c r="D51" t="s">
        <v>10</v>
      </c>
      <c r="E51" s="18" t="str">
        <f t="shared" si="17"/>
        <v>Technology</v>
      </c>
      <c r="F51" s="18">
        <f t="shared" si="18"/>
        <v>0.16666666666666666</v>
      </c>
      <c r="G51" s="18">
        <f t="shared" si="19"/>
        <v>6</v>
      </c>
      <c r="H51" s="8">
        <v>1</v>
      </c>
      <c r="X51" s="7"/>
      <c r="AA51" s="7"/>
    </row>
    <row r="52" spans="2:27" x14ac:dyDescent="0.2">
      <c r="B52">
        <v>18</v>
      </c>
      <c r="C52" t="s">
        <v>26</v>
      </c>
      <c r="D52" t="s">
        <v>10</v>
      </c>
      <c r="E52" s="18" t="str">
        <f t="shared" si="17"/>
        <v>Operations</v>
      </c>
      <c r="F52" s="18">
        <f t="shared" si="18"/>
        <v>0.25</v>
      </c>
      <c r="G52" s="18">
        <f t="shared" si="19"/>
        <v>4</v>
      </c>
      <c r="H52" s="8">
        <v>1</v>
      </c>
      <c r="X52" s="7"/>
      <c r="AA52" s="7"/>
    </row>
    <row r="53" spans="2:27" x14ac:dyDescent="0.2">
      <c r="B53">
        <v>19</v>
      </c>
      <c r="C53" t="s">
        <v>22</v>
      </c>
      <c r="D53" t="s">
        <v>10</v>
      </c>
      <c r="E53" s="18" t="str">
        <f t="shared" si="17"/>
        <v>Corporate</v>
      </c>
      <c r="F53" s="18">
        <f t="shared" si="18"/>
        <v>5.5555555555555552E-2</v>
      </c>
      <c r="G53" s="18">
        <f t="shared" si="19"/>
        <v>18</v>
      </c>
      <c r="H53" s="8">
        <v>1</v>
      </c>
      <c r="X53" s="7"/>
      <c r="AA53" s="7"/>
    </row>
    <row r="54" spans="2:27" x14ac:dyDescent="0.2">
      <c r="B54">
        <v>20</v>
      </c>
      <c r="C54" t="s">
        <v>59</v>
      </c>
      <c r="D54" t="s">
        <v>10</v>
      </c>
      <c r="E54" s="18" t="str">
        <f t="shared" si="17"/>
        <v>Technology</v>
      </c>
      <c r="F54" s="18">
        <f t="shared" si="18"/>
        <v>0.16666666666666666</v>
      </c>
      <c r="G54" s="18">
        <f t="shared" si="19"/>
        <v>6</v>
      </c>
      <c r="H54" s="8">
        <v>1</v>
      </c>
      <c r="X54" s="7"/>
      <c r="AA54" s="7"/>
    </row>
    <row r="55" spans="2:27" x14ac:dyDescent="0.2">
      <c r="B55">
        <v>21</v>
      </c>
      <c r="C55" t="s">
        <v>34</v>
      </c>
      <c r="D55" t="s">
        <v>10</v>
      </c>
      <c r="E55" s="18" t="str">
        <f t="shared" si="17"/>
        <v>Technology</v>
      </c>
      <c r="F55" s="18">
        <f t="shared" si="18"/>
        <v>0.16666666666666666</v>
      </c>
      <c r="G55" s="18">
        <f t="shared" si="19"/>
        <v>6</v>
      </c>
      <c r="H55" s="8">
        <v>1</v>
      </c>
      <c r="X55" s="7"/>
      <c r="AA55" s="7"/>
    </row>
    <row r="56" spans="2:27" x14ac:dyDescent="0.2">
      <c r="B56">
        <v>22</v>
      </c>
      <c r="C56" t="s">
        <v>58</v>
      </c>
      <c r="D56" t="s">
        <v>10</v>
      </c>
      <c r="E56" s="18" t="str">
        <f t="shared" si="17"/>
        <v>Technology</v>
      </c>
      <c r="F56" s="18">
        <f t="shared" si="18"/>
        <v>0.16666666666666666</v>
      </c>
      <c r="G56" s="18">
        <f t="shared" si="19"/>
        <v>6</v>
      </c>
      <c r="H56" s="8">
        <v>1</v>
      </c>
      <c r="X56" s="7"/>
      <c r="AA56" s="7"/>
    </row>
    <row r="57" spans="2:27" x14ac:dyDescent="0.2">
      <c r="B57">
        <v>23</v>
      </c>
      <c r="C57" t="s">
        <v>46</v>
      </c>
      <c r="D57" t="s">
        <v>10</v>
      </c>
      <c r="E57" s="18" t="str">
        <f t="shared" si="17"/>
        <v>Corporate</v>
      </c>
      <c r="F57" s="18">
        <f t="shared" si="18"/>
        <v>5.5555555555555552E-2</v>
      </c>
      <c r="G57" s="18">
        <f t="shared" si="19"/>
        <v>18</v>
      </c>
      <c r="H57" s="8">
        <v>1</v>
      </c>
      <c r="X57" s="7"/>
      <c r="AA57" s="7"/>
    </row>
    <row r="58" spans="2:27" x14ac:dyDescent="0.2">
      <c r="B58">
        <v>24</v>
      </c>
      <c r="C58" t="s">
        <v>42</v>
      </c>
      <c r="D58" t="s">
        <v>10</v>
      </c>
      <c r="E58" s="18" t="str">
        <f t="shared" si="17"/>
        <v>Operations</v>
      </c>
      <c r="F58" s="18">
        <f t="shared" si="18"/>
        <v>0.25</v>
      </c>
      <c r="G58" s="18">
        <f t="shared" si="19"/>
        <v>4</v>
      </c>
      <c r="H58" s="8">
        <v>1</v>
      </c>
      <c r="X58" s="7"/>
      <c r="AA58" s="7"/>
    </row>
    <row r="59" spans="2:27" x14ac:dyDescent="0.2">
      <c r="B59">
        <v>25</v>
      </c>
      <c r="C59" t="s">
        <v>36</v>
      </c>
      <c r="D59" t="s">
        <v>10</v>
      </c>
      <c r="E59" s="18" t="str">
        <f t="shared" si="17"/>
        <v>Commercial</v>
      </c>
      <c r="F59" s="18">
        <f t="shared" si="18"/>
        <v>8.3333333333333329E-2</v>
      </c>
      <c r="G59" s="18">
        <f t="shared" si="19"/>
        <v>12</v>
      </c>
      <c r="H59" s="8">
        <v>1</v>
      </c>
      <c r="X59" s="7"/>
      <c r="AA59" s="7"/>
    </row>
    <row r="60" spans="2:27" x14ac:dyDescent="0.2">
      <c r="B60">
        <v>26</v>
      </c>
      <c r="C60" t="s">
        <v>60</v>
      </c>
      <c r="D60" t="s">
        <v>10</v>
      </c>
      <c r="E60" s="18" t="str">
        <f t="shared" si="17"/>
        <v>Technology</v>
      </c>
      <c r="F60" s="18">
        <f t="shared" si="18"/>
        <v>0.16666666666666666</v>
      </c>
      <c r="G60" s="18">
        <f t="shared" si="19"/>
        <v>6</v>
      </c>
      <c r="H60" s="8">
        <v>1</v>
      </c>
      <c r="X60" s="7"/>
      <c r="AA60" s="7"/>
    </row>
    <row r="61" spans="2:27" x14ac:dyDescent="0.2">
      <c r="B61">
        <v>27</v>
      </c>
      <c r="C61" t="s">
        <v>38</v>
      </c>
      <c r="D61" t="s">
        <v>10</v>
      </c>
      <c r="E61" s="18" t="str">
        <f t="shared" si="17"/>
        <v>Commercial</v>
      </c>
      <c r="F61" s="18">
        <f t="shared" si="18"/>
        <v>8.3333333333333329E-2</v>
      </c>
      <c r="G61" s="18">
        <f t="shared" si="19"/>
        <v>12</v>
      </c>
      <c r="H61" s="8">
        <v>1</v>
      </c>
      <c r="X61" s="7"/>
      <c r="AA61" s="7"/>
    </row>
    <row r="62" spans="2:27" x14ac:dyDescent="0.2">
      <c r="B62">
        <v>28</v>
      </c>
      <c r="C62" t="s">
        <v>21</v>
      </c>
      <c r="D62" t="s">
        <v>10</v>
      </c>
      <c r="E62" s="18" t="str">
        <f t="shared" si="17"/>
        <v>Commercial</v>
      </c>
      <c r="F62" s="18">
        <f t="shared" si="18"/>
        <v>8.3333333333333329E-2</v>
      </c>
      <c r="G62" s="18">
        <f t="shared" si="19"/>
        <v>12</v>
      </c>
      <c r="H62" s="8">
        <v>1</v>
      </c>
      <c r="X62" s="7"/>
      <c r="AA62" s="7"/>
    </row>
    <row r="63" spans="2:27" x14ac:dyDescent="0.2">
      <c r="B63">
        <v>29</v>
      </c>
      <c r="C63" t="s">
        <v>54</v>
      </c>
      <c r="D63" t="s">
        <v>10</v>
      </c>
      <c r="E63" s="18" t="str">
        <f t="shared" si="17"/>
        <v>Corporate</v>
      </c>
      <c r="F63" s="18">
        <f t="shared" si="18"/>
        <v>5.5555555555555552E-2</v>
      </c>
      <c r="G63" s="18">
        <f t="shared" si="19"/>
        <v>18</v>
      </c>
      <c r="H63" s="8">
        <v>1</v>
      </c>
      <c r="X63" s="7"/>
      <c r="AA63" s="7"/>
    </row>
    <row r="64" spans="2:27" x14ac:dyDescent="0.2">
      <c r="B64">
        <v>30</v>
      </c>
      <c r="C64" t="s">
        <v>25</v>
      </c>
      <c r="D64" t="s">
        <v>10</v>
      </c>
      <c r="E64" s="18" t="str">
        <f t="shared" si="17"/>
        <v>Commercial</v>
      </c>
      <c r="F64" s="18">
        <f t="shared" si="18"/>
        <v>8.3333333333333329E-2</v>
      </c>
      <c r="G64" s="18">
        <f t="shared" si="19"/>
        <v>12</v>
      </c>
      <c r="H64" s="8">
        <v>1</v>
      </c>
      <c r="X64" s="7"/>
      <c r="AA64" s="7"/>
    </row>
    <row r="65" spans="2:27" x14ac:dyDescent="0.2">
      <c r="B65">
        <v>31</v>
      </c>
      <c r="C65" t="s">
        <v>47</v>
      </c>
      <c r="D65" t="s">
        <v>10</v>
      </c>
      <c r="E65" s="18" t="str">
        <f t="shared" si="17"/>
        <v>Corporate</v>
      </c>
      <c r="F65" s="18">
        <f t="shared" si="18"/>
        <v>5.5555555555555552E-2</v>
      </c>
      <c r="G65" s="18">
        <f t="shared" si="19"/>
        <v>18</v>
      </c>
      <c r="H65" s="8">
        <v>1</v>
      </c>
      <c r="X65" s="7"/>
      <c r="AA65" s="7"/>
    </row>
    <row r="66" spans="2:27" x14ac:dyDescent="0.2">
      <c r="B66">
        <v>32</v>
      </c>
      <c r="C66" t="s">
        <v>24</v>
      </c>
      <c r="D66" t="s">
        <v>10</v>
      </c>
      <c r="E66" s="18" t="str">
        <f t="shared" si="17"/>
        <v>Commercial</v>
      </c>
      <c r="F66" s="18">
        <f t="shared" si="18"/>
        <v>8.3333333333333329E-2</v>
      </c>
      <c r="G66" s="18">
        <f t="shared" si="19"/>
        <v>12</v>
      </c>
      <c r="H66" s="8">
        <v>1</v>
      </c>
      <c r="X66" s="7"/>
      <c r="AA66" s="7"/>
    </row>
    <row r="67" spans="2:27" x14ac:dyDescent="0.2">
      <c r="B67">
        <v>33</v>
      </c>
      <c r="C67" t="s">
        <v>35</v>
      </c>
      <c r="D67" t="s">
        <v>10</v>
      </c>
      <c r="E67" s="18" t="str">
        <f t="shared" si="17"/>
        <v>Corporate</v>
      </c>
      <c r="F67" s="18">
        <f t="shared" si="18"/>
        <v>5.5555555555555552E-2</v>
      </c>
      <c r="G67" s="18">
        <f t="shared" si="19"/>
        <v>18</v>
      </c>
      <c r="H67" s="8">
        <v>1</v>
      </c>
      <c r="X67" s="7"/>
      <c r="AA67" s="7"/>
    </row>
    <row r="68" spans="2:27" x14ac:dyDescent="0.2">
      <c r="B68">
        <v>34</v>
      </c>
      <c r="C68" t="s">
        <v>40</v>
      </c>
      <c r="D68" t="s">
        <v>10</v>
      </c>
      <c r="E68" s="18" t="str">
        <f t="shared" si="17"/>
        <v>Commercial</v>
      </c>
      <c r="F68" s="18">
        <f t="shared" si="18"/>
        <v>8.3333333333333329E-2</v>
      </c>
      <c r="G68" s="18">
        <f t="shared" si="19"/>
        <v>12</v>
      </c>
      <c r="H68" s="8">
        <v>1</v>
      </c>
      <c r="X68" s="7"/>
      <c r="AA68" s="7"/>
    </row>
    <row r="69" spans="2:27" x14ac:dyDescent="0.2">
      <c r="B69">
        <v>35</v>
      </c>
      <c r="C69" t="s">
        <v>98</v>
      </c>
      <c r="D69" t="s">
        <v>10</v>
      </c>
      <c r="E69" s="18" t="str">
        <f t="shared" si="17"/>
        <v>Corporate</v>
      </c>
      <c r="F69" s="18">
        <f t="shared" si="18"/>
        <v>5.5555555555555552E-2</v>
      </c>
      <c r="G69" s="18">
        <f t="shared" si="19"/>
        <v>18</v>
      </c>
      <c r="H69" s="8">
        <v>1</v>
      </c>
      <c r="X69" s="7"/>
      <c r="AA69" s="7"/>
    </row>
    <row r="70" spans="2:27" x14ac:dyDescent="0.2">
      <c r="B70">
        <v>36</v>
      </c>
      <c r="C70" t="s">
        <v>45</v>
      </c>
      <c r="D70" t="s">
        <v>10</v>
      </c>
      <c r="E70" s="18" t="str">
        <f t="shared" si="17"/>
        <v>Corporate</v>
      </c>
      <c r="F70" s="18">
        <f t="shared" si="18"/>
        <v>5.5555555555555552E-2</v>
      </c>
      <c r="G70" s="18">
        <f t="shared" si="19"/>
        <v>18</v>
      </c>
      <c r="H70" s="8">
        <v>1</v>
      </c>
      <c r="X70" s="7"/>
      <c r="AA70" s="7"/>
    </row>
    <row r="71" spans="2:27" x14ac:dyDescent="0.2">
      <c r="B71">
        <v>37</v>
      </c>
      <c r="C71" t="s">
        <v>51</v>
      </c>
      <c r="D71" t="s">
        <v>10</v>
      </c>
      <c r="E71" s="18" t="str">
        <f t="shared" si="17"/>
        <v>Corporate</v>
      </c>
      <c r="F71" s="18">
        <f t="shared" si="18"/>
        <v>5.5555555555555552E-2</v>
      </c>
      <c r="G71" s="18">
        <f t="shared" si="19"/>
        <v>18</v>
      </c>
      <c r="H71" s="8">
        <v>1</v>
      </c>
      <c r="X71" s="7"/>
      <c r="AA71" s="7"/>
    </row>
    <row r="72" spans="2:27" x14ac:dyDescent="0.2">
      <c r="B72">
        <v>38</v>
      </c>
      <c r="C72" t="s">
        <v>48</v>
      </c>
      <c r="D72" t="s">
        <v>10</v>
      </c>
      <c r="E72" s="18" t="str">
        <f t="shared" si="17"/>
        <v>Corporate</v>
      </c>
      <c r="F72" s="18">
        <f t="shared" si="18"/>
        <v>5.5555555555555552E-2</v>
      </c>
      <c r="G72" s="18">
        <f t="shared" si="19"/>
        <v>18</v>
      </c>
      <c r="H72" s="8">
        <v>1</v>
      </c>
      <c r="X72" s="7"/>
      <c r="AA72" s="7"/>
    </row>
    <row r="73" spans="2:27" x14ac:dyDescent="0.2">
      <c r="B73">
        <v>39</v>
      </c>
      <c r="C73" t="s">
        <v>50</v>
      </c>
      <c r="D73" t="s">
        <v>10</v>
      </c>
      <c r="E73" s="18" t="str">
        <f t="shared" si="17"/>
        <v>Corporate</v>
      </c>
      <c r="F73" s="18">
        <f t="shared" si="18"/>
        <v>5.5555555555555552E-2</v>
      </c>
      <c r="G73" s="18">
        <f t="shared" si="19"/>
        <v>18</v>
      </c>
      <c r="H73" s="8">
        <v>1</v>
      </c>
      <c r="X73" s="7"/>
      <c r="AA73" s="7"/>
    </row>
    <row r="74" spans="2:27" x14ac:dyDescent="0.2">
      <c r="B74">
        <v>40</v>
      </c>
      <c r="C74" t="s">
        <v>73</v>
      </c>
      <c r="D74" t="s">
        <v>10</v>
      </c>
      <c r="E74" s="18" t="str">
        <f t="shared" si="17"/>
        <v>Corporate</v>
      </c>
      <c r="F74" s="18">
        <f t="shared" si="18"/>
        <v>5.5555555555555552E-2</v>
      </c>
      <c r="G74" s="18">
        <f t="shared" si="19"/>
        <v>18</v>
      </c>
      <c r="H74" s="8">
        <v>1</v>
      </c>
      <c r="X74" s="7"/>
      <c r="AA74" s="7"/>
    </row>
    <row r="75" spans="2:27" x14ac:dyDescent="0.2">
      <c r="B75">
        <v>41</v>
      </c>
      <c r="C75" t="s">
        <v>56</v>
      </c>
      <c r="D75" t="s">
        <v>10</v>
      </c>
      <c r="E75" s="18" t="str">
        <f t="shared" si="17"/>
        <v>Corporate</v>
      </c>
      <c r="F75" s="18">
        <f t="shared" si="18"/>
        <v>5.5555555555555552E-2</v>
      </c>
      <c r="G75" s="18">
        <f t="shared" si="19"/>
        <v>18</v>
      </c>
      <c r="H75" s="8">
        <v>1</v>
      </c>
      <c r="X75" s="7"/>
      <c r="AA75" s="7"/>
    </row>
    <row r="76" spans="2:27" x14ac:dyDescent="0.2">
      <c r="B76">
        <v>42</v>
      </c>
      <c r="C76" t="s">
        <v>53</v>
      </c>
      <c r="D76" t="s">
        <v>10</v>
      </c>
      <c r="E76" s="18" t="str">
        <f t="shared" si="17"/>
        <v>Corporate</v>
      </c>
      <c r="F76" s="18">
        <f t="shared" si="18"/>
        <v>5.5555555555555552E-2</v>
      </c>
      <c r="G76" s="18">
        <f t="shared" si="19"/>
        <v>18</v>
      </c>
      <c r="H76" s="8">
        <v>1</v>
      </c>
      <c r="X76" s="7"/>
      <c r="AA76" s="7"/>
    </row>
    <row r="77" spans="2:27" x14ac:dyDescent="0.2">
      <c r="B77">
        <v>43</v>
      </c>
      <c r="C77" t="s">
        <v>39</v>
      </c>
      <c r="D77" t="s">
        <v>10</v>
      </c>
      <c r="E77" s="18" t="str">
        <f t="shared" si="17"/>
        <v>Commercial</v>
      </c>
      <c r="F77" s="18">
        <f t="shared" si="18"/>
        <v>8.3333333333333329E-2</v>
      </c>
      <c r="G77" s="18">
        <f t="shared" si="19"/>
        <v>12</v>
      </c>
      <c r="H77" s="8">
        <v>1</v>
      </c>
      <c r="X77" s="7"/>
      <c r="AA77" s="7"/>
    </row>
    <row r="78" spans="2:27" x14ac:dyDescent="0.2">
      <c r="B78">
        <v>1</v>
      </c>
      <c r="C78" t="s">
        <v>23</v>
      </c>
      <c r="D78" t="s">
        <v>14</v>
      </c>
      <c r="E78" s="18" t="str">
        <f t="shared" ref="E78:E99" si="20">VLOOKUP($C78,$AD:$AE,2,FALSE)</f>
        <v>Commercial</v>
      </c>
      <c r="F78" s="18">
        <f t="shared" ref="F78:F99" si="21">H78*SUMIFS($H:$H,$J:$J,D78,$K:$K,E78)/G78</f>
        <v>0.1111111111111111</v>
      </c>
      <c r="G78" s="18">
        <f t="shared" ref="G78:G99" si="22">SUMIFS($H$2:$H$1000,$E$2:$E$1000,E78,$D$2:$D$1000,D78)</f>
        <v>9</v>
      </c>
      <c r="H78" s="8">
        <v>1</v>
      </c>
      <c r="X78" s="7"/>
      <c r="AA78" s="7"/>
    </row>
    <row r="79" spans="2:27" x14ac:dyDescent="0.2">
      <c r="B79">
        <v>2</v>
      </c>
      <c r="C79" t="s">
        <v>26</v>
      </c>
      <c r="D79" t="s">
        <v>14</v>
      </c>
      <c r="E79" s="18" t="str">
        <f t="shared" si="20"/>
        <v>Operations</v>
      </c>
      <c r="F79" s="18">
        <f t="shared" si="21"/>
        <v>0.33333333333333331</v>
      </c>
      <c r="G79" s="18">
        <f t="shared" si="22"/>
        <v>3</v>
      </c>
      <c r="H79" s="8">
        <v>1</v>
      </c>
      <c r="X79" s="7"/>
      <c r="AA79" s="7"/>
    </row>
    <row r="80" spans="2:27" x14ac:dyDescent="0.2">
      <c r="B80">
        <v>3</v>
      </c>
      <c r="C80" t="s">
        <v>22</v>
      </c>
      <c r="D80" t="s">
        <v>14</v>
      </c>
      <c r="E80" s="18" t="str">
        <f t="shared" si="20"/>
        <v>Corporate</v>
      </c>
      <c r="F80" s="18">
        <f t="shared" si="21"/>
        <v>7.6923076923076927E-2</v>
      </c>
      <c r="G80" s="18">
        <f t="shared" si="22"/>
        <v>13</v>
      </c>
      <c r="H80" s="8">
        <v>1</v>
      </c>
      <c r="X80" s="7"/>
      <c r="AA80" s="7"/>
    </row>
    <row r="81" spans="2:27" x14ac:dyDescent="0.2">
      <c r="B81">
        <v>4</v>
      </c>
      <c r="C81" t="s">
        <v>9</v>
      </c>
      <c r="D81" t="s">
        <v>14</v>
      </c>
      <c r="E81" s="18" t="str">
        <f t="shared" si="20"/>
        <v>Technology</v>
      </c>
      <c r="F81" s="18">
        <f t="shared" si="21"/>
        <v>0.2</v>
      </c>
      <c r="G81" s="18">
        <f t="shared" si="22"/>
        <v>5</v>
      </c>
      <c r="H81" s="8">
        <v>1</v>
      </c>
      <c r="X81" s="7"/>
      <c r="AA81" s="7"/>
    </row>
    <row r="82" spans="2:27" x14ac:dyDescent="0.2">
      <c r="B82">
        <v>5</v>
      </c>
      <c r="C82" t="s">
        <v>11</v>
      </c>
      <c r="D82" t="s">
        <v>14</v>
      </c>
      <c r="E82" s="18" t="str">
        <f t="shared" si="20"/>
        <v>CISO</v>
      </c>
      <c r="F82" s="18">
        <f t="shared" si="21"/>
        <v>1</v>
      </c>
      <c r="G82" s="18">
        <f t="shared" si="22"/>
        <v>1</v>
      </c>
      <c r="H82" s="8">
        <v>1</v>
      </c>
      <c r="X82" s="7"/>
      <c r="AA82" s="7"/>
    </row>
    <row r="83" spans="2:27" x14ac:dyDescent="0.2">
      <c r="B83">
        <v>6</v>
      </c>
      <c r="C83" t="s">
        <v>116</v>
      </c>
      <c r="D83" t="s">
        <v>14</v>
      </c>
      <c r="E83" s="18" t="str">
        <f t="shared" si="20"/>
        <v>Data &amp; AI</v>
      </c>
      <c r="F83" s="18">
        <f t="shared" si="21"/>
        <v>1</v>
      </c>
      <c r="G83" s="18">
        <f t="shared" si="22"/>
        <v>1</v>
      </c>
      <c r="H83" s="8">
        <v>1</v>
      </c>
      <c r="X83" s="7"/>
      <c r="AA83" s="7"/>
    </row>
    <row r="84" spans="2:27" x14ac:dyDescent="0.2">
      <c r="B84">
        <v>7</v>
      </c>
      <c r="C84" t="s">
        <v>37</v>
      </c>
      <c r="D84" t="s">
        <v>14</v>
      </c>
      <c r="E84" s="18" t="str">
        <f t="shared" si="20"/>
        <v>Commercial</v>
      </c>
      <c r="F84" s="18">
        <f t="shared" si="21"/>
        <v>0.1111111111111111</v>
      </c>
      <c r="G84" s="18">
        <f t="shared" si="22"/>
        <v>9</v>
      </c>
      <c r="H84" s="8">
        <v>1</v>
      </c>
      <c r="X84" s="7"/>
      <c r="AA84" s="7"/>
    </row>
    <row r="85" spans="2:27" x14ac:dyDescent="0.2">
      <c r="B85">
        <v>8</v>
      </c>
      <c r="C85" t="s">
        <v>44</v>
      </c>
      <c r="D85" t="s">
        <v>14</v>
      </c>
      <c r="E85" s="18" t="str">
        <f t="shared" si="20"/>
        <v>Corporate</v>
      </c>
      <c r="F85" s="18">
        <f t="shared" si="21"/>
        <v>7.6923076923076927E-2</v>
      </c>
      <c r="G85" s="18">
        <f t="shared" si="22"/>
        <v>13</v>
      </c>
      <c r="H85" s="8">
        <v>1</v>
      </c>
      <c r="X85" s="7"/>
      <c r="AA85" s="7"/>
    </row>
    <row r="86" spans="2:27" x14ac:dyDescent="0.2">
      <c r="B86">
        <v>9</v>
      </c>
      <c r="C86" t="s">
        <v>7</v>
      </c>
      <c r="D86" t="s">
        <v>14</v>
      </c>
      <c r="E86" s="18" t="str">
        <f t="shared" si="20"/>
        <v>Operations</v>
      </c>
      <c r="F86" s="18">
        <f t="shared" si="21"/>
        <v>0.33333333333333331</v>
      </c>
      <c r="G86" s="18">
        <f t="shared" si="22"/>
        <v>3</v>
      </c>
      <c r="H86" s="8">
        <v>1</v>
      </c>
      <c r="X86" s="7"/>
      <c r="AA86" s="7"/>
    </row>
    <row r="87" spans="2:27" x14ac:dyDescent="0.2">
      <c r="B87">
        <v>10</v>
      </c>
      <c r="C87" t="s">
        <v>59</v>
      </c>
      <c r="D87" t="s">
        <v>14</v>
      </c>
      <c r="E87" s="18" t="str">
        <f t="shared" si="20"/>
        <v>Technology</v>
      </c>
      <c r="F87" s="18">
        <f t="shared" si="21"/>
        <v>0.2</v>
      </c>
      <c r="G87" s="18">
        <f t="shared" si="22"/>
        <v>5</v>
      </c>
      <c r="H87" s="8">
        <v>1</v>
      </c>
      <c r="X87" s="7"/>
      <c r="AA87" s="7"/>
    </row>
    <row r="88" spans="2:27" x14ac:dyDescent="0.2">
      <c r="B88">
        <v>11</v>
      </c>
      <c r="C88" t="s">
        <v>36</v>
      </c>
      <c r="D88" t="s">
        <v>14</v>
      </c>
      <c r="E88" s="18" t="str">
        <f t="shared" si="20"/>
        <v>Commercial</v>
      </c>
      <c r="F88" s="18">
        <f t="shared" si="21"/>
        <v>0.1111111111111111</v>
      </c>
      <c r="G88" s="18">
        <f t="shared" si="22"/>
        <v>9</v>
      </c>
      <c r="H88" s="8">
        <v>1</v>
      </c>
      <c r="X88" s="7"/>
      <c r="AA88" s="7"/>
    </row>
    <row r="89" spans="2:27" x14ac:dyDescent="0.2">
      <c r="B89">
        <v>12</v>
      </c>
      <c r="C89" t="s">
        <v>46</v>
      </c>
      <c r="D89" t="s">
        <v>14</v>
      </c>
      <c r="E89" s="18" t="str">
        <f t="shared" si="20"/>
        <v>Corporate</v>
      </c>
      <c r="F89" s="18">
        <f t="shared" si="21"/>
        <v>7.6923076923076927E-2</v>
      </c>
      <c r="G89" s="18">
        <f t="shared" si="22"/>
        <v>13</v>
      </c>
      <c r="H89" s="8">
        <v>1</v>
      </c>
      <c r="X89" s="7"/>
      <c r="AA89" s="7"/>
    </row>
    <row r="90" spans="2:27" x14ac:dyDescent="0.2">
      <c r="B90">
        <v>13</v>
      </c>
      <c r="C90" t="s">
        <v>42</v>
      </c>
      <c r="D90" t="s">
        <v>14</v>
      </c>
      <c r="E90" s="18" t="str">
        <f t="shared" si="20"/>
        <v>Operations</v>
      </c>
      <c r="F90" s="18">
        <f t="shared" si="21"/>
        <v>0.33333333333333331</v>
      </c>
      <c r="G90" s="18">
        <f t="shared" si="22"/>
        <v>3</v>
      </c>
      <c r="H90" s="8">
        <v>1</v>
      </c>
      <c r="X90" s="7"/>
      <c r="AA90" s="7"/>
    </row>
    <row r="91" spans="2:27" x14ac:dyDescent="0.2">
      <c r="B91">
        <v>14</v>
      </c>
      <c r="C91" t="s">
        <v>58</v>
      </c>
      <c r="D91" t="s">
        <v>14</v>
      </c>
      <c r="E91" s="18" t="str">
        <f t="shared" si="20"/>
        <v>Technology</v>
      </c>
      <c r="F91" s="18">
        <f t="shared" si="21"/>
        <v>0.2</v>
      </c>
      <c r="G91" s="18">
        <f t="shared" si="22"/>
        <v>5</v>
      </c>
      <c r="H91" s="8">
        <v>1</v>
      </c>
      <c r="X91" s="7"/>
      <c r="AA91" s="7"/>
    </row>
    <row r="92" spans="2:27" x14ac:dyDescent="0.2">
      <c r="B92">
        <v>15</v>
      </c>
      <c r="C92" t="s">
        <v>38</v>
      </c>
      <c r="D92" t="s">
        <v>14</v>
      </c>
      <c r="E92" s="18" t="str">
        <f t="shared" si="20"/>
        <v>Commercial</v>
      </c>
      <c r="F92" s="18">
        <f t="shared" si="21"/>
        <v>0.1111111111111111</v>
      </c>
      <c r="G92" s="18">
        <f t="shared" si="22"/>
        <v>9</v>
      </c>
      <c r="H92" s="8">
        <v>1</v>
      </c>
      <c r="X92" s="7"/>
      <c r="AA92" s="7"/>
    </row>
    <row r="93" spans="2:27" x14ac:dyDescent="0.2">
      <c r="B93">
        <v>16</v>
      </c>
      <c r="C93" t="s">
        <v>47</v>
      </c>
      <c r="D93" t="s">
        <v>14</v>
      </c>
      <c r="E93" s="18" t="str">
        <f t="shared" si="20"/>
        <v>Corporate</v>
      </c>
      <c r="F93" s="18">
        <f t="shared" si="21"/>
        <v>7.6923076923076927E-2</v>
      </c>
      <c r="G93" s="18">
        <f t="shared" si="22"/>
        <v>13</v>
      </c>
      <c r="H93" s="8">
        <v>1</v>
      </c>
      <c r="X93" s="7"/>
      <c r="AA93" s="7"/>
    </row>
    <row r="94" spans="2:27" x14ac:dyDescent="0.2">
      <c r="B94">
        <v>17</v>
      </c>
      <c r="C94" t="s">
        <v>34</v>
      </c>
      <c r="D94" t="s">
        <v>14</v>
      </c>
      <c r="E94" s="18" t="str">
        <f t="shared" si="20"/>
        <v>Technology</v>
      </c>
      <c r="F94" s="18">
        <f t="shared" si="21"/>
        <v>0.2</v>
      </c>
      <c r="G94" s="18">
        <f t="shared" si="22"/>
        <v>5</v>
      </c>
      <c r="H94" s="8">
        <v>1</v>
      </c>
      <c r="X94" s="7"/>
      <c r="AA94" s="7"/>
    </row>
    <row r="95" spans="2:27" x14ac:dyDescent="0.2">
      <c r="B95">
        <v>18</v>
      </c>
      <c r="C95" t="s">
        <v>25</v>
      </c>
      <c r="D95" t="s">
        <v>14</v>
      </c>
      <c r="E95" s="18" t="str">
        <f t="shared" si="20"/>
        <v>Commercial</v>
      </c>
      <c r="F95" s="18">
        <f t="shared" si="21"/>
        <v>0.1111111111111111</v>
      </c>
      <c r="G95" s="18">
        <f t="shared" si="22"/>
        <v>9</v>
      </c>
      <c r="H95" s="8">
        <v>1</v>
      </c>
      <c r="X95" s="7"/>
      <c r="AA95" s="7"/>
    </row>
    <row r="96" spans="2:27" x14ac:dyDescent="0.2">
      <c r="B96">
        <v>19</v>
      </c>
      <c r="C96" t="s">
        <v>35</v>
      </c>
      <c r="D96" t="s">
        <v>14</v>
      </c>
      <c r="E96" s="18" t="str">
        <f t="shared" si="20"/>
        <v>Corporate</v>
      </c>
      <c r="F96" s="18">
        <f t="shared" si="21"/>
        <v>7.6923076923076927E-2</v>
      </c>
      <c r="G96" s="18">
        <f t="shared" si="22"/>
        <v>13</v>
      </c>
      <c r="H96" s="8">
        <v>1</v>
      </c>
      <c r="X96" s="7"/>
      <c r="AA96" s="7"/>
    </row>
    <row r="97" spans="2:27" x14ac:dyDescent="0.2">
      <c r="B97">
        <v>20</v>
      </c>
      <c r="C97" t="s">
        <v>60</v>
      </c>
      <c r="D97" t="s">
        <v>14</v>
      </c>
      <c r="E97" s="18" t="str">
        <f t="shared" si="20"/>
        <v>Technology</v>
      </c>
      <c r="F97" s="18">
        <f t="shared" si="21"/>
        <v>0.2</v>
      </c>
      <c r="G97" s="18">
        <f t="shared" si="22"/>
        <v>5</v>
      </c>
      <c r="H97" s="8">
        <v>1</v>
      </c>
      <c r="X97" s="7"/>
      <c r="AA97" s="7"/>
    </row>
    <row r="98" spans="2:27" x14ac:dyDescent="0.2">
      <c r="B98">
        <v>21</v>
      </c>
      <c r="C98" t="s">
        <v>21</v>
      </c>
      <c r="D98" t="s">
        <v>14</v>
      </c>
      <c r="E98" s="18" t="str">
        <f t="shared" si="20"/>
        <v>Commercial</v>
      </c>
      <c r="F98" s="18">
        <f t="shared" si="21"/>
        <v>0.1111111111111111</v>
      </c>
      <c r="G98" s="18">
        <f t="shared" si="22"/>
        <v>9</v>
      </c>
      <c r="H98" s="8">
        <v>1</v>
      </c>
      <c r="X98" s="7"/>
      <c r="AA98" s="7"/>
    </row>
    <row r="99" spans="2:27" x14ac:dyDescent="0.2">
      <c r="B99">
        <v>22</v>
      </c>
      <c r="C99" t="s">
        <v>98</v>
      </c>
      <c r="D99" t="s">
        <v>14</v>
      </c>
      <c r="E99" s="18" t="str">
        <f t="shared" si="20"/>
        <v>Corporate</v>
      </c>
      <c r="F99" s="18">
        <f t="shared" si="21"/>
        <v>7.6923076923076927E-2</v>
      </c>
      <c r="G99" s="18">
        <f t="shared" si="22"/>
        <v>13</v>
      </c>
      <c r="H99" s="8">
        <v>1</v>
      </c>
      <c r="X99" s="7"/>
      <c r="AA99" s="7"/>
    </row>
    <row r="100" spans="2:27" x14ac:dyDescent="0.2">
      <c r="B100">
        <v>23</v>
      </c>
      <c r="C100" t="s">
        <v>24</v>
      </c>
      <c r="D100" t="s">
        <v>14</v>
      </c>
      <c r="E100" s="18" t="str">
        <f t="shared" ref="E100:E131" si="23">VLOOKUP($C100,$AD:$AE,2,FALSE)</f>
        <v>Commercial</v>
      </c>
      <c r="F100" s="18">
        <f t="shared" ref="F100:F131" si="24">H100*SUMIFS($H:$H,$J:$J,D100,$K:$K,E100)/G100</f>
        <v>0.1111111111111111</v>
      </c>
      <c r="G100" s="18">
        <f t="shared" ref="G100:G131" si="25">SUMIFS($H$2:$H$1000,$E$2:$E$1000,E100,$D$2:$D$1000,D100)</f>
        <v>9</v>
      </c>
      <c r="H100" s="8">
        <v>1</v>
      </c>
      <c r="X100" s="7"/>
      <c r="AA100" s="7"/>
    </row>
    <row r="101" spans="2:27" x14ac:dyDescent="0.2">
      <c r="B101">
        <v>24</v>
      </c>
      <c r="C101" t="s">
        <v>45</v>
      </c>
      <c r="D101" t="s">
        <v>14</v>
      </c>
      <c r="E101" s="18" t="str">
        <f t="shared" si="23"/>
        <v>Corporate</v>
      </c>
      <c r="F101" s="18">
        <f t="shared" si="24"/>
        <v>7.6923076923076927E-2</v>
      </c>
      <c r="G101" s="18">
        <f t="shared" si="25"/>
        <v>13</v>
      </c>
      <c r="H101" s="8">
        <v>1</v>
      </c>
      <c r="X101" s="7"/>
      <c r="AA101" s="7"/>
    </row>
    <row r="102" spans="2:27" x14ac:dyDescent="0.2">
      <c r="B102">
        <v>25</v>
      </c>
      <c r="C102" t="s">
        <v>40</v>
      </c>
      <c r="D102" t="s">
        <v>14</v>
      </c>
      <c r="E102" s="18" t="str">
        <f t="shared" si="23"/>
        <v>Commercial</v>
      </c>
      <c r="F102" s="18">
        <f t="shared" si="24"/>
        <v>0.1111111111111111</v>
      </c>
      <c r="G102" s="18">
        <f t="shared" si="25"/>
        <v>9</v>
      </c>
      <c r="H102" s="8">
        <v>1</v>
      </c>
      <c r="X102" s="7"/>
      <c r="AA102" s="7"/>
    </row>
    <row r="103" spans="2:27" x14ac:dyDescent="0.2">
      <c r="B103">
        <v>26</v>
      </c>
      <c r="C103" t="s">
        <v>48</v>
      </c>
      <c r="D103" t="s">
        <v>14</v>
      </c>
      <c r="E103" s="18" t="str">
        <f t="shared" si="23"/>
        <v>Corporate</v>
      </c>
      <c r="F103" s="18">
        <f t="shared" si="24"/>
        <v>7.6923076923076927E-2</v>
      </c>
      <c r="G103" s="18">
        <f t="shared" si="25"/>
        <v>13</v>
      </c>
      <c r="H103" s="8">
        <v>1</v>
      </c>
      <c r="X103" s="7"/>
      <c r="AA103" s="7"/>
    </row>
    <row r="104" spans="2:27" x14ac:dyDescent="0.2">
      <c r="B104">
        <v>27</v>
      </c>
      <c r="C104" t="s">
        <v>39</v>
      </c>
      <c r="D104" t="s">
        <v>14</v>
      </c>
      <c r="E104" s="18" t="str">
        <f t="shared" si="23"/>
        <v>Commercial</v>
      </c>
      <c r="F104" s="18">
        <f t="shared" si="24"/>
        <v>0.1111111111111111</v>
      </c>
      <c r="G104" s="18">
        <f t="shared" si="25"/>
        <v>9</v>
      </c>
      <c r="H104" s="8">
        <v>1</v>
      </c>
      <c r="X104" s="7"/>
      <c r="AA104" s="7"/>
    </row>
    <row r="105" spans="2:27" x14ac:dyDescent="0.2">
      <c r="B105">
        <v>28</v>
      </c>
      <c r="C105" t="s">
        <v>54</v>
      </c>
      <c r="D105" t="s">
        <v>14</v>
      </c>
      <c r="E105" s="18" t="str">
        <f t="shared" si="23"/>
        <v>Corporate</v>
      </c>
      <c r="F105" s="18">
        <f t="shared" si="24"/>
        <v>7.6923076923076927E-2</v>
      </c>
      <c r="G105" s="18">
        <f t="shared" si="25"/>
        <v>13</v>
      </c>
      <c r="H105" s="8">
        <v>1</v>
      </c>
      <c r="X105" s="7"/>
      <c r="AA105" s="7"/>
    </row>
    <row r="106" spans="2:27" x14ac:dyDescent="0.2">
      <c r="B106">
        <v>29</v>
      </c>
      <c r="C106" t="s">
        <v>50</v>
      </c>
      <c r="D106" t="s">
        <v>14</v>
      </c>
      <c r="E106" s="18" t="str">
        <f t="shared" si="23"/>
        <v>Corporate</v>
      </c>
      <c r="F106" s="18">
        <f t="shared" si="24"/>
        <v>7.6923076923076927E-2</v>
      </c>
      <c r="G106" s="18">
        <f t="shared" si="25"/>
        <v>13</v>
      </c>
      <c r="H106" s="8">
        <v>1</v>
      </c>
      <c r="X106" s="7"/>
      <c r="AA106" s="7"/>
    </row>
    <row r="107" spans="2:27" x14ac:dyDescent="0.2">
      <c r="B107">
        <v>30</v>
      </c>
      <c r="C107" t="s">
        <v>51</v>
      </c>
      <c r="D107" t="s">
        <v>14</v>
      </c>
      <c r="E107" s="18" t="str">
        <f t="shared" si="23"/>
        <v>Corporate</v>
      </c>
      <c r="F107" s="18">
        <f t="shared" si="24"/>
        <v>7.6923076923076927E-2</v>
      </c>
      <c r="G107" s="18">
        <f t="shared" si="25"/>
        <v>13</v>
      </c>
      <c r="H107" s="8">
        <v>1</v>
      </c>
      <c r="X107" s="7"/>
      <c r="AA107" s="7"/>
    </row>
    <row r="108" spans="2:27" x14ac:dyDescent="0.2">
      <c r="B108">
        <v>31</v>
      </c>
      <c r="C108" t="s">
        <v>56</v>
      </c>
      <c r="D108" t="s">
        <v>14</v>
      </c>
      <c r="E108" s="18" t="str">
        <f t="shared" si="23"/>
        <v>Corporate</v>
      </c>
      <c r="F108" s="18">
        <f t="shared" si="24"/>
        <v>7.6923076923076927E-2</v>
      </c>
      <c r="G108" s="18">
        <f t="shared" si="25"/>
        <v>13</v>
      </c>
      <c r="H108" s="8">
        <v>1</v>
      </c>
      <c r="X108" s="7"/>
      <c r="AA108" s="7"/>
    </row>
    <row r="109" spans="2:27" x14ac:dyDescent="0.2">
      <c r="B109">
        <v>32</v>
      </c>
      <c r="C109" t="s">
        <v>53</v>
      </c>
      <c r="D109" t="s">
        <v>14</v>
      </c>
      <c r="E109" s="18" t="str">
        <f t="shared" si="23"/>
        <v>Corporate</v>
      </c>
      <c r="F109" s="18">
        <f t="shared" si="24"/>
        <v>7.6923076923076927E-2</v>
      </c>
      <c r="G109" s="18">
        <f t="shared" si="25"/>
        <v>13</v>
      </c>
      <c r="H109" s="8">
        <v>1</v>
      </c>
      <c r="X109" s="7"/>
      <c r="AA109" s="7"/>
    </row>
    <row r="110" spans="2:27" x14ac:dyDescent="0.2">
      <c r="B110">
        <v>1</v>
      </c>
      <c r="C110" t="s">
        <v>21</v>
      </c>
      <c r="D110" t="s">
        <v>15</v>
      </c>
      <c r="E110" s="18" t="str">
        <f t="shared" si="23"/>
        <v>Commercial</v>
      </c>
      <c r="F110" s="18">
        <f t="shared" si="24"/>
        <v>0.1111111111111111</v>
      </c>
      <c r="G110" s="18">
        <f t="shared" si="25"/>
        <v>9</v>
      </c>
      <c r="H110" s="8">
        <v>1</v>
      </c>
      <c r="X110" s="7"/>
      <c r="AA110" s="7"/>
    </row>
    <row r="111" spans="2:27" x14ac:dyDescent="0.2">
      <c r="B111">
        <v>2</v>
      </c>
      <c r="C111" t="s">
        <v>26</v>
      </c>
      <c r="D111" t="s">
        <v>15</v>
      </c>
      <c r="E111" s="18" t="str">
        <f t="shared" si="23"/>
        <v>Operations</v>
      </c>
      <c r="F111" s="18">
        <f t="shared" si="24"/>
        <v>0.33333333333333331</v>
      </c>
      <c r="G111" s="18">
        <f t="shared" si="25"/>
        <v>3</v>
      </c>
      <c r="H111" s="8">
        <v>1</v>
      </c>
      <c r="X111" s="7"/>
      <c r="AA111" s="7"/>
    </row>
    <row r="112" spans="2:27" x14ac:dyDescent="0.2">
      <c r="B112">
        <v>3</v>
      </c>
      <c r="C112" t="s">
        <v>22</v>
      </c>
      <c r="D112" t="s">
        <v>15</v>
      </c>
      <c r="E112" s="18" t="str">
        <f t="shared" si="23"/>
        <v>Corporate</v>
      </c>
      <c r="F112" s="18">
        <f t="shared" si="24"/>
        <v>7.6923076923076927E-2</v>
      </c>
      <c r="G112" s="18">
        <f t="shared" si="25"/>
        <v>13</v>
      </c>
      <c r="H112" s="8">
        <v>1</v>
      </c>
      <c r="X112" s="7"/>
      <c r="AA112" s="7"/>
    </row>
    <row r="113" spans="2:27" x14ac:dyDescent="0.2">
      <c r="B113">
        <v>4</v>
      </c>
      <c r="C113" t="s">
        <v>9</v>
      </c>
      <c r="D113" t="s">
        <v>15</v>
      </c>
      <c r="E113" s="18" t="str">
        <f t="shared" si="23"/>
        <v>Technology</v>
      </c>
      <c r="F113" s="18">
        <f t="shared" si="24"/>
        <v>0.2</v>
      </c>
      <c r="G113" s="18">
        <f t="shared" si="25"/>
        <v>5</v>
      </c>
      <c r="H113" s="8">
        <v>1</v>
      </c>
      <c r="X113" s="7"/>
      <c r="AA113" s="7"/>
    </row>
    <row r="114" spans="2:27" x14ac:dyDescent="0.2">
      <c r="B114">
        <v>5</v>
      </c>
      <c r="C114" t="s">
        <v>11</v>
      </c>
      <c r="D114" t="s">
        <v>15</v>
      </c>
      <c r="E114" s="18" t="str">
        <f t="shared" si="23"/>
        <v>CISO</v>
      </c>
      <c r="F114" s="18">
        <f t="shared" si="24"/>
        <v>1</v>
      </c>
      <c r="G114" s="18">
        <f t="shared" si="25"/>
        <v>1</v>
      </c>
      <c r="H114" s="8">
        <v>1</v>
      </c>
      <c r="X114" s="7"/>
      <c r="AA114" s="7"/>
    </row>
    <row r="115" spans="2:27" x14ac:dyDescent="0.2">
      <c r="B115">
        <v>6</v>
      </c>
      <c r="C115" t="s">
        <v>116</v>
      </c>
      <c r="D115" t="s">
        <v>15</v>
      </c>
      <c r="E115" s="18" t="str">
        <f t="shared" si="23"/>
        <v>Data &amp; AI</v>
      </c>
      <c r="F115" s="18">
        <f t="shared" si="24"/>
        <v>1</v>
      </c>
      <c r="G115" s="18">
        <f t="shared" si="25"/>
        <v>1</v>
      </c>
      <c r="H115" s="8">
        <v>1</v>
      </c>
      <c r="X115" s="7"/>
      <c r="AA115" s="7"/>
    </row>
    <row r="116" spans="2:27" x14ac:dyDescent="0.2">
      <c r="B116">
        <v>7</v>
      </c>
      <c r="C116" t="s">
        <v>37</v>
      </c>
      <c r="D116" t="s">
        <v>15</v>
      </c>
      <c r="E116" s="18" t="str">
        <f t="shared" si="23"/>
        <v>Commercial</v>
      </c>
      <c r="F116" s="18">
        <f t="shared" si="24"/>
        <v>0.1111111111111111</v>
      </c>
      <c r="G116" s="18">
        <f t="shared" si="25"/>
        <v>9</v>
      </c>
      <c r="H116" s="8">
        <v>1</v>
      </c>
      <c r="X116" s="7"/>
      <c r="AA116" s="7"/>
    </row>
    <row r="117" spans="2:27" x14ac:dyDescent="0.2">
      <c r="B117">
        <v>8</v>
      </c>
      <c r="C117" t="s">
        <v>44</v>
      </c>
      <c r="D117" t="s">
        <v>15</v>
      </c>
      <c r="E117" s="18" t="str">
        <f t="shared" si="23"/>
        <v>Corporate</v>
      </c>
      <c r="F117" s="18">
        <f t="shared" si="24"/>
        <v>7.6923076923076927E-2</v>
      </c>
      <c r="G117" s="18">
        <f t="shared" si="25"/>
        <v>13</v>
      </c>
      <c r="H117" s="8">
        <v>1</v>
      </c>
      <c r="X117" s="7"/>
      <c r="AA117" s="7"/>
    </row>
    <row r="118" spans="2:27" x14ac:dyDescent="0.2">
      <c r="B118">
        <v>9</v>
      </c>
      <c r="C118" t="s">
        <v>7</v>
      </c>
      <c r="D118" t="s">
        <v>15</v>
      </c>
      <c r="E118" s="18" t="str">
        <f t="shared" si="23"/>
        <v>Operations</v>
      </c>
      <c r="F118" s="18">
        <f t="shared" si="24"/>
        <v>0.33333333333333331</v>
      </c>
      <c r="G118" s="18">
        <f t="shared" si="25"/>
        <v>3</v>
      </c>
      <c r="H118" s="8">
        <v>1</v>
      </c>
      <c r="X118" s="7"/>
      <c r="AA118" s="7"/>
    </row>
    <row r="119" spans="2:27" x14ac:dyDescent="0.2">
      <c r="B119">
        <v>10</v>
      </c>
      <c r="C119" t="s">
        <v>59</v>
      </c>
      <c r="D119" t="s">
        <v>15</v>
      </c>
      <c r="E119" s="18" t="str">
        <f t="shared" si="23"/>
        <v>Technology</v>
      </c>
      <c r="F119" s="18">
        <f t="shared" si="24"/>
        <v>0.2</v>
      </c>
      <c r="G119" s="18">
        <f t="shared" si="25"/>
        <v>5</v>
      </c>
      <c r="H119" s="8">
        <v>1</v>
      </c>
      <c r="X119" s="7"/>
      <c r="AA119" s="7"/>
    </row>
    <row r="120" spans="2:27" x14ac:dyDescent="0.2">
      <c r="B120">
        <v>11</v>
      </c>
      <c r="C120" t="s">
        <v>36</v>
      </c>
      <c r="D120" t="s">
        <v>15</v>
      </c>
      <c r="E120" s="18" t="str">
        <f t="shared" si="23"/>
        <v>Commercial</v>
      </c>
      <c r="F120" s="18">
        <f t="shared" si="24"/>
        <v>0.1111111111111111</v>
      </c>
      <c r="G120" s="18">
        <f t="shared" si="25"/>
        <v>9</v>
      </c>
      <c r="H120" s="8">
        <v>1</v>
      </c>
      <c r="X120" s="7"/>
      <c r="AA120" s="7"/>
    </row>
    <row r="121" spans="2:27" x14ac:dyDescent="0.2">
      <c r="B121">
        <v>12</v>
      </c>
      <c r="C121" t="s">
        <v>46</v>
      </c>
      <c r="D121" t="s">
        <v>15</v>
      </c>
      <c r="E121" s="18" t="str">
        <f t="shared" si="23"/>
        <v>Corporate</v>
      </c>
      <c r="F121" s="18">
        <f t="shared" si="24"/>
        <v>7.6923076923076927E-2</v>
      </c>
      <c r="G121" s="18">
        <f t="shared" si="25"/>
        <v>13</v>
      </c>
      <c r="H121" s="8">
        <v>1</v>
      </c>
      <c r="X121" s="7"/>
      <c r="AA121" s="7"/>
    </row>
    <row r="122" spans="2:27" x14ac:dyDescent="0.2">
      <c r="B122">
        <v>13</v>
      </c>
      <c r="C122" t="s">
        <v>42</v>
      </c>
      <c r="D122" t="s">
        <v>15</v>
      </c>
      <c r="E122" s="18" t="str">
        <f t="shared" si="23"/>
        <v>Operations</v>
      </c>
      <c r="F122" s="18">
        <f t="shared" si="24"/>
        <v>0.33333333333333331</v>
      </c>
      <c r="G122" s="18">
        <f t="shared" si="25"/>
        <v>3</v>
      </c>
      <c r="H122" s="8">
        <v>1</v>
      </c>
      <c r="X122" s="7"/>
      <c r="AA122" s="7"/>
    </row>
    <row r="123" spans="2:27" x14ac:dyDescent="0.2">
      <c r="B123">
        <v>14</v>
      </c>
      <c r="C123" t="s">
        <v>58</v>
      </c>
      <c r="D123" t="s">
        <v>15</v>
      </c>
      <c r="E123" s="18" t="str">
        <f t="shared" si="23"/>
        <v>Technology</v>
      </c>
      <c r="F123" s="18">
        <f t="shared" si="24"/>
        <v>0.2</v>
      </c>
      <c r="G123" s="18">
        <f t="shared" si="25"/>
        <v>5</v>
      </c>
      <c r="H123" s="8">
        <v>1</v>
      </c>
      <c r="X123" s="7"/>
      <c r="AA123" s="7"/>
    </row>
    <row r="124" spans="2:27" x14ac:dyDescent="0.2">
      <c r="B124">
        <v>15</v>
      </c>
      <c r="C124" t="s">
        <v>38</v>
      </c>
      <c r="D124" t="s">
        <v>15</v>
      </c>
      <c r="E124" s="18" t="str">
        <f t="shared" si="23"/>
        <v>Commercial</v>
      </c>
      <c r="F124" s="18">
        <f t="shared" si="24"/>
        <v>0.1111111111111111</v>
      </c>
      <c r="G124" s="18">
        <f t="shared" si="25"/>
        <v>9</v>
      </c>
      <c r="H124" s="8">
        <v>1</v>
      </c>
      <c r="X124" s="7"/>
      <c r="AA124" s="7"/>
    </row>
    <row r="125" spans="2:27" x14ac:dyDescent="0.2">
      <c r="B125">
        <v>16</v>
      </c>
      <c r="C125" t="s">
        <v>47</v>
      </c>
      <c r="D125" t="s">
        <v>15</v>
      </c>
      <c r="E125" s="18" t="str">
        <f t="shared" si="23"/>
        <v>Corporate</v>
      </c>
      <c r="F125" s="18">
        <f t="shared" si="24"/>
        <v>7.6923076923076927E-2</v>
      </c>
      <c r="G125" s="18">
        <f t="shared" si="25"/>
        <v>13</v>
      </c>
      <c r="H125" s="8">
        <v>1</v>
      </c>
      <c r="X125" s="7"/>
      <c r="AA125" s="7"/>
    </row>
    <row r="126" spans="2:27" x14ac:dyDescent="0.2">
      <c r="B126">
        <v>17</v>
      </c>
      <c r="C126" t="s">
        <v>34</v>
      </c>
      <c r="D126" t="s">
        <v>15</v>
      </c>
      <c r="E126" s="18" t="str">
        <f t="shared" si="23"/>
        <v>Technology</v>
      </c>
      <c r="F126" s="18">
        <f t="shared" si="24"/>
        <v>0.2</v>
      </c>
      <c r="G126" s="18">
        <f t="shared" si="25"/>
        <v>5</v>
      </c>
      <c r="H126" s="8">
        <v>1</v>
      </c>
      <c r="X126" s="7"/>
      <c r="AA126" s="7"/>
    </row>
    <row r="127" spans="2:27" x14ac:dyDescent="0.2">
      <c r="B127">
        <v>18</v>
      </c>
      <c r="C127" t="s">
        <v>25</v>
      </c>
      <c r="D127" t="s">
        <v>15</v>
      </c>
      <c r="E127" s="18" t="str">
        <f t="shared" si="23"/>
        <v>Commercial</v>
      </c>
      <c r="F127" s="18">
        <f t="shared" si="24"/>
        <v>0.1111111111111111</v>
      </c>
      <c r="G127" s="18">
        <f t="shared" si="25"/>
        <v>9</v>
      </c>
      <c r="H127" s="8">
        <v>1</v>
      </c>
      <c r="X127" s="7"/>
      <c r="AA127" s="7"/>
    </row>
    <row r="128" spans="2:27" x14ac:dyDescent="0.2">
      <c r="B128">
        <v>19</v>
      </c>
      <c r="C128" t="s">
        <v>35</v>
      </c>
      <c r="D128" t="s">
        <v>15</v>
      </c>
      <c r="E128" s="18" t="str">
        <f t="shared" si="23"/>
        <v>Corporate</v>
      </c>
      <c r="F128" s="18">
        <f t="shared" si="24"/>
        <v>7.6923076923076927E-2</v>
      </c>
      <c r="G128" s="18">
        <f t="shared" si="25"/>
        <v>13</v>
      </c>
      <c r="H128" s="8">
        <v>1</v>
      </c>
      <c r="X128" s="7"/>
      <c r="AA128" s="7"/>
    </row>
    <row r="129" spans="2:27" x14ac:dyDescent="0.2">
      <c r="B129">
        <v>20</v>
      </c>
      <c r="C129" t="s">
        <v>60</v>
      </c>
      <c r="D129" t="s">
        <v>15</v>
      </c>
      <c r="E129" s="18" t="str">
        <f t="shared" si="23"/>
        <v>Technology</v>
      </c>
      <c r="F129" s="18">
        <f t="shared" si="24"/>
        <v>0.2</v>
      </c>
      <c r="G129" s="18">
        <f t="shared" si="25"/>
        <v>5</v>
      </c>
      <c r="H129" s="8">
        <v>1</v>
      </c>
      <c r="X129" s="7"/>
      <c r="AA129" s="7"/>
    </row>
    <row r="130" spans="2:27" x14ac:dyDescent="0.2">
      <c r="B130">
        <v>21</v>
      </c>
      <c r="C130" t="s">
        <v>23</v>
      </c>
      <c r="D130" t="s">
        <v>15</v>
      </c>
      <c r="E130" s="18" t="str">
        <f t="shared" si="23"/>
        <v>Commercial</v>
      </c>
      <c r="F130" s="18">
        <f t="shared" si="24"/>
        <v>0.1111111111111111</v>
      </c>
      <c r="G130" s="18">
        <f t="shared" si="25"/>
        <v>9</v>
      </c>
      <c r="H130" s="8">
        <v>1</v>
      </c>
      <c r="X130" s="7"/>
      <c r="AA130" s="7"/>
    </row>
    <row r="131" spans="2:27" x14ac:dyDescent="0.2">
      <c r="B131">
        <v>22</v>
      </c>
      <c r="C131" t="s">
        <v>98</v>
      </c>
      <c r="D131" t="s">
        <v>15</v>
      </c>
      <c r="E131" s="18" t="str">
        <f t="shared" si="23"/>
        <v>Corporate</v>
      </c>
      <c r="F131" s="18">
        <f t="shared" si="24"/>
        <v>7.6923076923076927E-2</v>
      </c>
      <c r="G131" s="18">
        <f t="shared" si="25"/>
        <v>13</v>
      </c>
      <c r="H131" s="8">
        <v>1</v>
      </c>
      <c r="X131" s="7"/>
      <c r="AA131" s="7"/>
    </row>
    <row r="132" spans="2:27" x14ac:dyDescent="0.2">
      <c r="B132">
        <v>23</v>
      </c>
      <c r="C132" t="s">
        <v>24</v>
      </c>
      <c r="D132" t="s">
        <v>15</v>
      </c>
      <c r="E132" s="18" t="str">
        <f t="shared" ref="E132:E163" si="26">VLOOKUP($C132,$AD:$AE,2,FALSE)</f>
        <v>Commercial</v>
      </c>
      <c r="F132" s="18">
        <f t="shared" ref="F132:F163" si="27">H132*SUMIFS($H:$H,$J:$J,D132,$K:$K,E132)/G132</f>
        <v>0.1111111111111111</v>
      </c>
      <c r="G132" s="18">
        <f t="shared" ref="G132:G163" si="28">SUMIFS($H$2:$H$1000,$E$2:$E$1000,E132,$D$2:$D$1000,D132)</f>
        <v>9</v>
      </c>
      <c r="H132" s="8">
        <v>1</v>
      </c>
      <c r="X132" s="7"/>
      <c r="AA132" s="7"/>
    </row>
    <row r="133" spans="2:27" x14ac:dyDescent="0.2">
      <c r="B133">
        <v>24</v>
      </c>
      <c r="C133" t="s">
        <v>45</v>
      </c>
      <c r="D133" t="s">
        <v>15</v>
      </c>
      <c r="E133" s="18" t="str">
        <f t="shared" si="26"/>
        <v>Corporate</v>
      </c>
      <c r="F133" s="18">
        <f t="shared" si="27"/>
        <v>7.6923076923076927E-2</v>
      </c>
      <c r="G133" s="18">
        <f t="shared" si="28"/>
        <v>13</v>
      </c>
      <c r="H133" s="8">
        <v>1</v>
      </c>
      <c r="X133" s="7"/>
      <c r="AA133" s="7"/>
    </row>
    <row r="134" spans="2:27" x14ac:dyDescent="0.2">
      <c r="B134">
        <v>25</v>
      </c>
      <c r="C134" t="s">
        <v>40</v>
      </c>
      <c r="D134" t="s">
        <v>15</v>
      </c>
      <c r="E134" s="18" t="str">
        <f t="shared" si="26"/>
        <v>Commercial</v>
      </c>
      <c r="F134" s="18">
        <f t="shared" si="27"/>
        <v>0.1111111111111111</v>
      </c>
      <c r="G134" s="18">
        <f t="shared" si="28"/>
        <v>9</v>
      </c>
      <c r="H134" s="8">
        <v>1</v>
      </c>
      <c r="X134" s="7"/>
      <c r="AA134" s="7"/>
    </row>
    <row r="135" spans="2:27" x14ac:dyDescent="0.2">
      <c r="B135">
        <v>26</v>
      </c>
      <c r="C135" t="s">
        <v>48</v>
      </c>
      <c r="D135" t="s">
        <v>15</v>
      </c>
      <c r="E135" s="18" t="str">
        <f t="shared" si="26"/>
        <v>Corporate</v>
      </c>
      <c r="F135" s="18">
        <f t="shared" si="27"/>
        <v>7.6923076923076927E-2</v>
      </c>
      <c r="G135" s="18">
        <f t="shared" si="28"/>
        <v>13</v>
      </c>
      <c r="H135" s="8">
        <v>1</v>
      </c>
      <c r="X135" s="7"/>
      <c r="AA135" s="7"/>
    </row>
    <row r="136" spans="2:27" x14ac:dyDescent="0.2">
      <c r="B136">
        <v>27</v>
      </c>
      <c r="C136" t="s">
        <v>39</v>
      </c>
      <c r="D136" t="s">
        <v>15</v>
      </c>
      <c r="E136" s="18" t="str">
        <f t="shared" si="26"/>
        <v>Commercial</v>
      </c>
      <c r="F136" s="18">
        <f t="shared" si="27"/>
        <v>0.1111111111111111</v>
      </c>
      <c r="G136" s="18">
        <f t="shared" si="28"/>
        <v>9</v>
      </c>
      <c r="H136" s="8">
        <v>1</v>
      </c>
      <c r="X136" s="7"/>
      <c r="AA136" s="7"/>
    </row>
    <row r="137" spans="2:27" x14ac:dyDescent="0.2">
      <c r="B137">
        <v>28</v>
      </c>
      <c r="C137" t="s">
        <v>54</v>
      </c>
      <c r="D137" t="s">
        <v>15</v>
      </c>
      <c r="E137" s="18" t="str">
        <f t="shared" si="26"/>
        <v>Corporate</v>
      </c>
      <c r="F137" s="18">
        <f t="shared" si="27"/>
        <v>7.6923076923076927E-2</v>
      </c>
      <c r="G137" s="18">
        <f t="shared" si="28"/>
        <v>13</v>
      </c>
      <c r="H137" s="8">
        <v>1</v>
      </c>
      <c r="X137" s="7"/>
      <c r="AA137" s="7"/>
    </row>
    <row r="138" spans="2:27" x14ac:dyDescent="0.2">
      <c r="B138">
        <v>29</v>
      </c>
      <c r="C138" t="s">
        <v>50</v>
      </c>
      <c r="D138" t="s">
        <v>15</v>
      </c>
      <c r="E138" s="18" t="str">
        <f t="shared" si="26"/>
        <v>Corporate</v>
      </c>
      <c r="F138" s="18">
        <f t="shared" si="27"/>
        <v>7.6923076923076927E-2</v>
      </c>
      <c r="G138" s="18">
        <f t="shared" si="28"/>
        <v>13</v>
      </c>
      <c r="H138" s="8">
        <v>1</v>
      </c>
      <c r="X138" s="7"/>
      <c r="AA138" s="7"/>
    </row>
    <row r="139" spans="2:27" x14ac:dyDescent="0.2">
      <c r="B139">
        <v>30</v>
      </c>
      <c r="C139" t="s">
        <v>51</v>
      </c>
      <c r="D139" t="s">
        <v>15</v>
      </c>
      <c r="E139" s="18" t="str">
        <f t="shared" si="26"/>
        <v>Corporate</v>
      </c>
      <c r="F139" s="18">
        <f t="shared" si="27"/>
        <v>7.6923076923076927E-2</v>
      </c>
      <c r="G139" s="18">
        <f t="shared" si="28"/>
        <v>13</v>
      </c>
      <c r="H139" s="8">
        <v>1</v>
      </c>
      <c r="X139" s="7"/>
      <c r="AA139" s="7"/>
    </row>
    <row r="140" spans="2:27" x14ac:dyDescent="0.2">
      <c r="B140">
        <v>31</v>
      </c>
      <c r="C140" t="s">
        <v>56</v>
      </c>
      <c r="D140" t="s">
        <v>15</v>
      </c>
      <c r="E140" s="18" t="str">
        <f t="shared" si="26"/>
        <v>Corporate</v>
      </c>
      <c r="F140" s="18">
        <f t="shared" si="27"/>
        <v>7.6923076923076927E-2</v>
      </c>
      <c r="G140" s="18">
        <f t="shared" si="28"/>
        <v>13</v>
      </c>
      <c r="H140" s="8">
        <v>1</v>
      </c>
      <c r="X140" s="7"/>
      <c r="AA140" s="7"/>
    </row>
    <row r="141" spans="2:27" x14ac:dyDescent="0.2">
      <c r="B141">
        <v>32</v>
      </c>
      <c r="C141" t="s">
        <v>53</v>
      </c>
      <c r="D141" t="s">
        <v>15</v>
      </c>
      <c r="E141" s="18" t="str">
        <f t="shared" si="26"/>
        <v>Corporate</v>
      </c>
      <c r="F141" s="18">
        <f t="shared" si="27"/>
        <v>7.6923076923076927E-2</v>
      </c>
      <c r="G141" s="18">
        <f t="shared" si="28"/>
        <v>13</v>
      </c>
      <c r="H141" s="8">
        <v>1</v>
      </c>
      <c r="X141" s="7"/>
      <c r="AA141" s="7"/>
    </row>
    <row r="142" spans="2:27" x14ac:dyDescent="0.2">
      <c r="B142">
        <v>1</v>
      </c>
      <c r="C142" t="s">
        <v>24</v>
      </c>
      <c r="D142" t="s">
        <v>16</v>
      </c>
      <c r="E142" s="18" t="str">
        <f t="shared" si="26"/>
        <v>Commercial</v>
      </c>
      <c r="F142" s="18">
        <f t="shared" si="27"/>
        <v>0.1111111111111111</v>
      </c>
      <c r="G142" s="18">
        <f t="shared" si="28"/>
        <v>9</v>
      </c>
      <c r="H142" s="8">
        <v>1</v>
      </c>
      <c r="X142" s="7"/>
      <c r="AA142" s="7"/>
    </row>
    <row r="143" spans="2:27" x14ac:dyDescent="0.2">
      <c r="B143">
        <v>2</v>
      </c>
      <c r="C143" t="s">
        <v>26</v>
      </c>
      <c r="D143" t="s">
        <v>16</v>
      </c>
      <c r="E143" s="18" t="str">
        <f t="shared" si="26"/>
        <v>Operations</v>
      </c>
      <c r="F143" s="18">
        <f t="shared" si="27"/>
        <v>0.33333333333333331</v>
      </c>
      <c r="G143" s="18">
        <f t="shared" si="28"/>
        <v>3</v>
      </c>
      <c r="H143" s="8">
        <v>1</v>
      </c>
      <c r="X143" s="7"/>
      <c r="AA143" s="7"/>
    </row>
    <row r="144" spans="2:27" x14ac:dyDescent="0.2">
      <c r="B144">
        <v>3</v>
      </c>
      <c r="C144" t="s">
        <v>22</v>
      </c>
      <c r="D144" t="s">
        <v>16</v>
      </c>
      <c r="E144" s="18" t="str">
        <f t="shared" si="26"/>
        <v>Corporate</v>
      </c>
      <c r="F144" s="18">
        <f t="shared" si="27"/>
        <v>7.6923076923076927E-2</v>
      </c>
      <c r="G144" s="18">
        <f t="shared" si="28"/>
        <v>13</v>
      </c>
      <c r="H144" s="8">
        <v>1</v>
      </c>
      <c r="X144" s="7"/>
      <c r="AA144" s="7"/>
    </row>
    <row r="145" spans="2:27" x14ac:dyDescent="0.2">
      <c r="B145">
        <v>4</v>
      </c>
      <c r="C145" t="s">
        <v>9</v>
      </c>
      <c r="D145" t="s">
        <v>16</v>
      </c>
      <c r="E145" s="18" t="str">
        <f t="shared" si="26"/>
        <v>Technology</v>
      </c>
      <c r="F145" s="18">
        <f t="shared" si="27"/>
        <v>0.2</v>
      </c>
      <c r="G145" s="18">
        <f t="shared" si="28"/>
        <v>5</v>
      </c>
      <c r="H145" s="8">
        <v>1</v>
      </c>
      <c r="X145" s="7"/>
      <c r="AA145" s="7"/>
    </row>
    <row r="146" spans="2:27" x14ac:dyDescent="0.2">
      <c r="B146">
        <v>5</v>
      </c>
      <c r="C146" t="s">
        <v>11</v>
      </c>
      <c r="D146" t="s">
        <v>16</v>
      </c>
      <c r="E146" s="18" t="str">
        <f t="shared" si="26"/>
        <v>CISO</v>
      </c>
      <c r="F146" s="18">
        <f t="shared" si="27"/>
        <v>1</v>
      </c>
      <c r="G146" s="18">
        <f t="shared" si="28"/>
        <v>1</v>
      </c>
      <c r="H146" s="8">
        <v>1</v>
      </c>
      <c r="X146" s="7"/>
      <c r="AA146" s="7"/>
    </row>
    <row r="147" spans="2:27" x14ac:dyDescent="0.2">
      <c r="B147">
        <v>6</v>
      </c>
      <c r="C147" t="s">
        <v>116</v>
      </c>
      <c r="D147" t="s">
        <v>16</v>
      </c>
      <c r="E147" s="18" t="str">
        <f t="shared" si="26"/>
        <v>Data &amp; AI</v>
      </c>
      <c r="F147" s="18">
        <f t="shared" si="27"/>
        <v>1</v>
      </c>
      <c r="G147" s="18">
        <f t="shared" si="28"/>
        <v>1</v>
      </c>
      <c r="H147" s="8">
        <v>1</v>
      </c>
      <c r="X147" s="7"/>
      <c r="AA147" s="7"/>
    </row>
    <row r="148" spans="2:27" x14ac:dyDescent="0.2">
      <c r="B148">
        <v>7</v>
      </c>
      <c r="C148" t="s">
        <v>37</v>
      </c>
      <c r="D148" t="s">
        <v>16</v>
      </c>
      <c r="E148" s="18" t="str">
        <f t="shared" si="26"/>
        <v>Commercial</v>
      </c>
      <c r="F148" s="18">
        <f t="shared" si="27"/>
        <v>0.1111111111111111</v>
      </c>
      <c r="G148" s="18">
        <f t="shared" si="28"/>
        <v>9</v>
      </c>
      <c r="H148" s="8">
        <v>1</v>
      </c>
      <c r="X148" s="7"/>
      <c r="AA148" s="7"/>
    </row>
    <row r="149" spans="2:27" x14ac:dyDescent="0.2">
      <c r="B149">
        <v>8</v>
      </c>
      <c r="C149" t="s">
        <v>44</v>
      </c>
      <c r="D149" t="s">
        <v>16</v>
      </c>
      <c r="E149" s="18" t="str">
        <f t="shared" si="26"/>
        <v>Corporate</v>
      </c>
      <c r="F149" s="18">
        <f t="shared" si="27"/>
        <v>7.6923076923076927E-2</v>
      </c>
      <c r="G149" s="18">
        <f t="shared" si="28"/>
        <v>13</v>
      </c>
      <c r="H149" s="8">
        <v>1</v>
      </c>
      <c r="X149" s="7"/>
      <c r="AA149" s="7"/>
    </row>
    <row r="150" spans="2:27" x14ac:dyDescent="0.2">
      <c r="B150">
        <v>9</v>
      </c>
      <c r="C150" t="s">
        <v>7</v>
      </c>
      <c r="D150" t="s">
        <v>16</v>
      </c>
      <c r="E150" s="18" t="str">
        <f t="shared" si="26"/>
        <v>Operations</v>
      </c>
      <c r="F150" s="18">
        <f t="shared" si="27"/>
        <v>0.33333333333333331</v>
      </c>
      <c r="G150" s="18">
        <f t="shared" si="28"/>
        <v>3</v>
      </c>
      <c r="H150" s="8">
        <v>1</v>
      </c>
      <c r="X150" s="7"/>
      <c r="AA150" s="7"/>
    </row>
    <row r="151" spans="2:27" x14ac:dyDescent="0.2">
      <c r="B151">
        <v>10</v>
      </c>
      <c r="C151" t="s">
        <v>59</v>
      </c>
      <c r="D151" t="s">
        <v>16</v>
      </c>
      <c r="E151" s="18" t="str">
        <f t="shared" si="26"/>
        <v>Technology</v>
      </c>
      <c r="F151" s="18">
        <f t="shared" si="27"/>
        <v>0.2</v>
      </c>
      <c r="G151" s="18">
        <f t="shared" si="28"/>
        <v>5</v>
      </c>
      <c r="H151" s="8">
        <v>1</v>
      </c>
      <c r="X151" s="7"/>
      <c r="AA151" s="7"/>
    </row>
    <row r="152" spans="2:27" x14ac:dyDescent="0.2">
      <c r="B152">
        <v>11</v>
      </c>
      <c r="C152" t="s">
        <v>36</v>
      </c>
      <c r="D152" t="s">
        <v>16</v>
      </c>
      <c r="E152" s="18" t="str">
        <f t="shared" si="26"/>
        <v>Commercial</v>
      </c>
      <c r="F152" s="18">
        <f t="shared" si="27"/>
        <v>0.1111111111111111</v>
      </c>
      <c r="G152" s="18">
        <f t="shared" si="28"/>
        <v>9</v>
      </c>
      <c r="H152" s="8">
        <v>1</v>
      </c>
      <c r="X152" s="7"/>
      <c r="AA152" s="7"/>
    </row>
    <row r="153" spans="2:27" x14ac:dyDescent="0.2">
      <c r="B153">
        <v>12</v>
      </c>
      <c r="C153" t="s">
        <v>46</v>
      </c>
      <c r="D153" t="s">
        <v>16</v>
      </c>
      <c r="E153" s="18" t="str">
        <f t="shared" si="26"/>
        <v>Corporate</v>
      </c>
      <c r="F153" s="18">
        <f t="shared" si="27"/>
        <v>7.6923076923076927E-2</v>
      </c>
      <c r="G153" s="18">
        <f t="shared" si="28"/>
        <v>13</v>
      </c>
      <c r="H153" s="8">
        <v>1</v>
      </c>
      <c r="X153" s="7"/>
      <c r="AA153" s="7"/>
    </row>
    <row r="154" spans="2:27" x14ac:dyDescent="0.2">
      <c r="B154">
        <v>13</v>
      </c>
      <c r="C154" t="s">
        <v>42</v>
      </c>
      <c r="D154" t="s">
        <v>16</v>
      </c>
      <c r="E154" s="18" t="str">
        <f t="shared" si="26"/>
        <v>Operations</v>
      </c>
      <c r="F154" s="18">
        <f t="shared" si="27"/>
        <v>0.33333333333333331</v>
      </c>
      <c r="G154" s="18">
        <f t="shared" si="28"/>
        <v>3</v>
      </c>
      <c r="H154" s="8">
        <v>1</v>
      </c>
      <c r="X154" s="7"/>
      <c r="AA154" s="7"/>
    </row>
    <row r="155" spans="2:27" x14ac:dyDescent="0.2">
      <c r="B155">
        <v>14</v>
      </c>
      <c r="C155" t="s">
        <v>58</v>
      </c>
      <c r="D155" t="s">
        <v>16</v>
      </c>
      <c r="E155" s="18" t="str">
        <f t="shared" si="26"/>
        <v>Technology</v>
      </c>
      <c r="F155" s="18">
        <f t="shared" si="27"/>
        <v>0.2</v>
      </c>
      <c r="G155" s="18">
        <f t="shared" si="28"/>
        <v>5</v>
      </c>
      <c r="H155" s="8">
        <v>1</v>
      </c>
      <c r="X155" s="7"/>
      <c r="AA155" s="7"/>
    </row>
    <row r="156" spans="2:27" x14ac:dyDescent="0.2">
      <c r="B156">
        <v>15</v>
      </c>
      <c r="C156" t="s">
        <v>38</v>
      </c>
      <c r="D156" t="s">
        <v>16</v>
      </c>
      <c r="E156" s="18" t="str">
        <f t="shared" si="26"/>
        <v>Commercial</v>
      </c>
      <c r="F156" s="18">
        <f t="shared" si="27"/>
        <v>0.1111111111111111</v>
      </c>
      <c r="G156" s="18">
        <f t="shared" si="28"/>
        <v>9</v>
      </c>
      <c r="H156" s="8">
        <v>1</v>
      </c>
      <c r="X156" s="7"/>
      <c r="AA156" s="7"/>
    </row>
    <row r="157" spans="2:27" x14ac:dyDescent="0.2">
      <c r="B157">
        <v>16</v>
      </c>
      <c r="C157" t="s">
        <v>47</v>
      </c>
      <c r="D157" t="s">
        <v>16</v>
      </c>
      <c r="E157" s="18" t="str">
        <f t="shared" si="26"/>
        <v>Corporate</v>
      </c>
      <c r="F157" s="18">
        <f t="shared" si="27"/>
        <v>7.6923076923076927E-2</v>
      </c>
      <c r="G157" s="18">
        <f t="shared" si="28"/>
        <v>13</v>
      </c>
      <c r="H157" s="8">
        <v>1</v>
      </c>
      <c r="X157" s="7"/>
      <c r="AA157" s="7"/>
    </row>
    <row r="158" spans="2:27" x14ac:dyDescent="0.2">
      <c r="B158">
        <v>17</v>
      </c>
      <c r="C158" t="s">
        <v>34</v>
      </c>
      <c r="D158" t="s">
        <v>16</v>
      </c>
      <c r="E158" s="18" t="str">
        <f t="shared" si="26"/>
        <v>Technology</v>
      </c>
      <c r="F158" s="18">
        <f t="shared" si="27"/>
        <v>0.2</v>
      </c>
      <c r="G158" s="18">
        <f t="shared" si="28"/>
        <v>5</v>
      </c>
      <c r="H158" s="8">
        <v>1</v>
      </c>
      <c r="X158" s="7"/>
      <c r="AA158" s="7"/>
    </row>
    <row r="159" spans="2:27" x14ac:dyDescent="0.2">
      <c r="B159">
        <v>18</v>
      </c>
      <c r="C159" t="s">
        <v>25</v>
      </c>
      <c r="D159" t="s">
        <v>16</v>
      </c>
      <c r="E159" s="18" t="str">
        <f t="shared" si="26"/>
        <v>Commercial</v>
      </c>
      <c r="F159" s="18">
        <f t="shared" si="27"/>
        <v>0.1111111111111111</v>
      </c>
      <c r="G159" s="18">
        <f t="shared" si="28"/>
        <v>9</v>
      </c>
      <c r="H159" s="8">
        <v>1</v>
      </c>
      <c r="X159" s="7"/>
      <c r="AA159" s="7"/>
    </row>
    <row r="160" spans="2:27" x14ac:dyDescent="0.2">
      <c r="B160">
        <v>19</v>
      </c>
      <c r="C160" t="s">
        <v>35</v>
      </c>
      <c r="D160" t="s">
        <v>16</v>
      </c>
      <c r="E160" s="18" t="str">
        <f t="shared" si="26"/>
        <v>Corporate</v>
      </c>
      <c r="F160" s="18">
        <f t="shared" si="27"/>
        <v>7.6923076923076927E-2</v>
      </c>
      <c r="G160" s="18">
        <f t="shared" si="28"/>
        <v>13</v>
      </c>
      <c r="H160" s="8">
        <v>1</v>
      </c>
      <c r="X160" s="7"/>
      <c r="AA160" s="7"/>
    </row>
    <row r="161" spans="2:27" x14ac:dyDescent="0.2">
      <c r="B161">
        <v>20</v>
      </c>
      <c r="C161" t="s">
        <v>60</v>
      </c>
      <c r="D161" t="s">
        <v>16</v>
      </c>
      <c r="E161" s="18" t="str">
        <f t="shared" si="26"/>
        <v>Technology</v>
      </c>
      <c r="F161" s="18">
        <f t="shared" si="27"/>
        <v>0.2</v>
      </c>
      <c r="G161" s="18">
        <f t="shared" si="28"/>
        <v>5</v>
      </c>
      <c r="H161" s="8">
        <v>1</v>
      </c>
      <c r="X161" s="7"/>
      <c r="AA161" s="7"/>
    </row>
    <row r="162" spans="2:27" x14ac:dyDescent="0.2">
      <c r="B162">
        <v>21</v>
      </c>
      <c r="C162" t="s">
        <v>23</v>
      </c>
      <c r="D162" t="s">
        <v>16</v>
      </c>
      <c r="E162" s="18" t="str">
        <f t="shared" si="26"/>
        <v>Commercial</v>
      </c>
      <c r="F162" s="18">
        <f t="shared" si="27"/>
        <v>0.1111111111111111</v>
      </c>
      <c r="G162" s="18">
        <f t="shared" si="28"/>
        <v>9</v>
      </c>
      <c r="H162" s="8">
        <v>1</v>
      </c>
      <c r="X162" s="7"/>
      <c r="AA162" s="7"/>
    </row>
    <row r="163" spans="2:27" x14ac:dyDescent="0.2">
      <c r="B163">
        <v>22</v>
      </c>
      <c r="C163" t="s">
        <v>98</v>
      </c>
      <c r="D163" t="s">
        <v>16</v>
      </c>
      <c r="E163" s="18" t="str">
        <f t="shared" si="26"/>
        <v>Corporate</v>
      </c>
      <c r="F163" s="18">
        <f t="shared" si="27"/>
        <v>7.6923076923076927E-2</v>
      </c>
      <c r="G163" s="18">
        <f t="shared" si="28"/>
        <v>13</v>
      </c>
      <c r="H163" s="8">
        <v>1</v>
      </c>
      <c r="X163" s="7"/>
      <c r="AA163" s="7"/>
    </row>
    <row r="164" spans="2:27" x14ac:dyDescent="0.2">
      <c r="B164">
        <v>23</v>
      </c>
      <c r="C164" t="s">
        <v>21</v>
      </c>
      <c r="D164" t="s">
        <v>16</v>
      </c>
      <c r="E164" s="18" t="str">
        <f t="shared" ref="E164:E199" si="29">VLOOKUP($C164,$AD:$AE,2,FALSE)</f>
        <v>Commercial</v>
      </c>
      <c r="F164" s="18">
        <f t="shared" ref="F164:F195" si="30">H164*SUMIFS($H:$H,$J:$J,D164,$K:$K,E164)/G164</f>
        <v>0.1111111111111111</v>
      </c>
      <c r="G164" s="18">
        <f t="shared" ref="G164:G195" si="31">SUMIFS($H$2:$H$1000,$E$2:$E$1000,E164,$D$2:$D$1000,D164)</f>
        <v>9</v>
      </c>
      <c r="H164" s="8">
        <v>1</v>
      </c>
      <c r="X164" s="7"/>
      <c r="AA164" s="7"/>
    </row>
    <row r="165" spans="2:27" x14ac:dyDescent="0.2">
      <c r="B165">
        <v>24</v>
      </c>
      <c r="C165" t="s">
        <v>45</v>
      </c>
      <c r="D165" t="s">
        <v>16</v>
      </c>
      <c r="E165" s="18" t="str">
        <f t="shared" si="29"/>
        <v>Corporate</v>
      </c>
      <c r="F165" s="18">
        <f t="shared" si="30"/>
        <v>7.6923076923076927E-2</v>
      </c>
      <c r="G165" s="18">
        <f t="shared" si="31"/>
        <v>13</v>
      </c>
      <c r="H165" s="8">
        <v>1</v>
      </c>
      <c r="X165" s="7"/>
      <c r="AA165" s="7"/>
    </row>
    <row r="166" spans="2:27" x14ac:dyDescent="0.2">
      <c r="B166">
        <v>25</v>
      </c>
      <c r="C166" t="s">
        <v>40</v>
      </c>
      <c r="D166" t="s">
        <v>16</v>
      </c>
      <c r="E166" s="18" t="str">
        <f t="shared" si="29"/>
        <v>Commercial</v>
      </c>
      <c r="F166" s="18">
        <f t="shared" si="30"/>
        <v>0.1111111111111111</v>
      </c>
      <c r="G166" s="18">
        <f t="shared" si="31"/>
        <v>9</v>
      </c>
      <c r="H166" s="8">
        <v>1</v>
      </c>
      <c r="X166" s="7"/>
      <c r="AA166" s="7"/>
    </row>
    <row r="167" spans="2:27" x14ac:dyDescent="0.2">
      <c r="B167">
        <v>26</v>
      </c>
      <c r="C167" t="s">
        <v>48</v>
      </c>
      <c r="D167" t="s">
        <v>16</v>
      </c>
      <c r="E167" s="18" t="str">
        <f t="shared" si="29"/>
        <v>Corporate</v>
      </c>
      <c r="F167" s="18">
        <f t="shared" si="30"/>
        <v>7.6923076923076927E-2</v>
      </c>
      <c r="G167" s="18">
        <f t="shared" si="31"/>
        <v>13</v>
      </c>
      <c r="H167" s="8">
        <v>1</v>
      </c>
      <c r="X167" s="7"/>
      <c r="AA167" s="7"/>
    </row>
    <row r="168" spans="2:27" x14ac:dyDescent="0.2">
      <c r="B168">
        <v>27</v>
      </c>
      <c r="C168" t="s">
        <v>39</v>
      </c>
      <c r="D168" t="s">
        <v>16</v>
      </c>
      <c r="E168" s="18" t="str">
        <f t="shared" si="29"/>
        <v>Commercial</v>
      </c>
      <c r="F168" s="18">
        <f t="shared" si="30"/>
        <v>0.1111111111111111</v>
      </c>
      <c r="G168" s="18">
        <f t="shared" si="31"/>
        <v>9</v>
      </c>
      <c r="H168" s="8">
        <v>1</v>
      </c>
      <c r="X168" s="7"/>
      <c r="AA168" s="7"/>
    </row>
    <row r="169" spans="2:27" x14ac:dyDescent="0.2">
      <c r="B169">
        <v>28</v>
      </c>
      <c r="C169" t="s">
        <v>54</v>
      </c>
      <c r="D169" t="s">
        <v>16</v>
      </c>
      <c r="E169" s="18" t="str">
        <f t="shared" si="29"/>
        <v>Corporate</v>
      </c>
      <c r="F169" s="18">
        <f t="shared" si="30"/>
        <v>7.6923076923076927E-2</v>
      </c>
      <c r="G169" s="18">
        <f t="shared" si="31"/>
        <v>13</v>
      </c>
      <c r="H169" s="8">
        <v>1</v>
      </c>
      <c r="X169" s="7"/>
      <c r="AA169" s="7"/>
    </row>
    <row r="170" spans="2:27" x14ac:dyDescent="0.2">
      <c r="B170">
        <v>29</v>
      </c>
      <c r="C170" t="s">
        <v>50</v>
      </c>
      <c r="D170" t="s">
        <v>16</v>
      </c>
      <c r="E170" s="18" t="str">
        <f t="shared" si="29"/>
        <v>Corporate</v>
      </c>
      <c r="F170" s="18">
        <f t="shared" si="30"/>
        <v>7.6923076923076927E-2</v>
      </c>
      <c r="G170" s="18">
        <f t="shared" si="31"/>
        <v>13</v>
      </c>
      <c r="H170" s="8">
        <v>1</v>
      </c>
      <c r="X170" s="7"/>
      <c r="AA170" s="7"/>
    </row>
    <row r="171" spans="2:27" x14ac:dyDescent="0.2">
      <c r="B171">
        <v>30</v>
      </c>
      <c r="C171" t="s">
        <v>51</v>
      </c>
      <c r="D171" t="s">
        <v>16</v>
      </c>
      <c r="E171" s="18" t="str">
        <f t="shared" si="29"/>
        <v>Corporate</v>
      </c>
      <c r="F171" s="18">
        <f t="shared" si="30"/>
        <v>7.6923076923076927E-2</v>
      </c>
      <c r="G171" s="18">
        <f t="shared" si="31"/>
        <v>13</v>
      </c>
      <c r="H171" s="8">
        <v>1</v>
      </c>
      <c r="X171" s="7"/>
      <c r="AA171" s="7"/>
    </row>
    <row r="172" spans="2:27" x14ac:dyDescent="0.2">
      <c r="B172">
        <v>31</v>
      </c>
      <c r="C172" t="s">
        <v>56</v>
      </c>
      <c r="D172" t="s">
        <v>16</v>
      </c>
      <c r="E172" s="18" t="str">
        <f t="shared" si="29"/>
        <v>Corporate</v>
      </c>
      <c r="F172" s="18">
        <f t="shared" si="30"/>
        <v>7.6923076923076927E-2</v>
      </c>
      <c r="G172" s="18">
        <f t="shared" si="31"/>
        <v>13</v>
      </c>
      <c r="H172" s="8">
        <v>1</v>
      </c>
      <c r="X172" s="7"/>
      <c r="AA172" s="7"/>
    </row>
    <row r="173" spans="2:27" x14ac:dyDescent="0.2">
      <c r="B173">
        <v>32</v>
      </c>
      <c r="C173" t="s">
        <v>53</v>
      </c>
      <c r="D173" t="s">
        <v>16</v>
      </c>
      <c r="E173" s="18" t="str">
        <f t="shared" si="29"/>
        <v>Corporate</v>
      </c>
      <c r="F173" s="18">
        <f t="shared" si="30"/>
        <v>7.6923076923076927E-2</v>
      </c>
      <c r="G173" s="18">
        <f t="shared" si="31"/>
        <v>13</v>
      </c>
      <c r="H173" s="8">
        <v>1</v>
      </c>
      <c r="X173" s="7"/>
      <c r="AA173" s="7"/>
    </row>
    <row r="174" spans="2:27" x14ac:dyDescent="0.2">
      <c r="B174">
        <v>1</v>
      </c>
      <c r="C174" t="s">
        <v>25</v>
      </c>
      <c r="D174" t="s">
        <v>17</v>
      </c>
      <c r="E174" s="18" t="str">
        <f t="shared" si="29"/>
        <v>Commercial</v>
      </c>
      <c r="F174" s="18">
        <f t="shared" si="30"/>
        <v>0.125</v>
      </c>
      <c r="G174" s="18">
        <f t="shared" si="31"/>
        <v>8</v>
      </c>
      <c r="H174" s="8">
        <v>1</v>
      </c>
      <c r="X174" s="7"/>
      <c r="AA174" s="7"/>
    </row>
    <row r="175" spans="2:27" x14ac:dyDescent="0.2">
      <c r="B175">
        <v>2</v>
      </c>
      <c r="C175" t="s">
        <v>26</v>
      </c>
      <c r="D175" t="s">
        <v>17</v>
      </c>
      <c r="E175" s="18" t="str">
        <f t="shared" si="29"/>
        <v>Operations</v>
      </c>
      <c r="F175" s="18">
        <f t="shared" si="30"/>
        <v>0.33333333333333331</v>
      </c>
      <c r="G175" s="18">
        <f t="shared" si="31"/>
        <v>3</v>
      </c>
      <c r="H175" s="8">
        <v>1</v>
      </c>
      <c r="X175" s="7"/>
      <c r="AA175" s="7"/>
    </row>
    <row r="176" spans="2:27" x14ac:dyDescent="0.2">
      <c r="B176">
        <v>3</v>
      </c>
      <c r="C176" t="s">
        <v>22</v>
      </c>
      <c r="D176" t="s">
        <v>17</v>
      </c>
      <c r="E176" s="18" t="str">
        <f t="shared" si="29"/>
        <v>Corporate</v>
      </c>
      <c r="F176" s="18">
        <f t="shared" si="30"/>
        <v>0.125</v>
      </c>
      <c r="G176" s="18">
        <f t="shared" si="31"/>
        <v>8</v>
      </c>
      <c r="H176" s="8">
        <v>1</v>
      </c>
      <c r="X176" s="7"/>
      <c r="AA176" s="7"/>
    </row>
    <row r="177" spans="2:27" x14ac:dyDescent="0.2">
      <c r="B177">
        <v>4</v>
      </c>
      <c r="C177" t="s">
        <v>9</v>
      </c>
      <c r="D177" t="s">
        <v>17</v>
      </c>
      <c r="E177" s="18" t="str">
        <f t="shared" si="29"/>
        <v>Technology</v>
      </c>
      <c r="F177" s="18">
        <f t="shared" si="30"/>
        <v>0.2</v>
      </c>
      <c r="G177" s="18">
        <f t="shared" si="31"/>
        <v>5</v>
      </c>
      <c r="H177" s="8">
        <v>1</v>
      </c>
      <c r="X177" s="7"/>
      <c r="AA177" s="7"/>
    </row>
    <row r="178" spans="2:27" x14ac:dyDescent="0.2">
      <c r="B178">
        <v>5</v>
      </c>
      <c r="C178" t="s">
        <v>11</v>
      </c>
      <c r="D178" t="s">
        <v>17</v>
      </c>
      <c r="E178" s="18" t="str">
        <f t="shared" si="29"/>
        <v>CISO</v>
      </c>
      <c r="F178" s="18">
        <f t="shared" si="30"/>
        <v>1</v>
      </c>
      <c r="G178" s="18">
        <f t="shared" si="31"/>
        <v>1</v>
      </c>
      <c r="H178" s="8">
        <v>1</v>
      </c>
      <c r="X178" s="7"/>
      <c r="AA178" s="7"/>
    </row>
    <row r="179" spans="2:27" x14ac:dyDescent="0.2">
      <c r="B179">
        <v>6</v>
      </c>
      <c r="C179" t="s">
        <v>116</v>
      </c>
      <c r="D179" t="s">
        <v>17</v>
      </c>
      <c r="E179" s="18" t="str">
        <f t="shared" si="29"/>
        <v>Data &amp; AI</v>
      </c>
      <c r="F179" s="18">
        <f t="shared" si="30"/>
        <v>0.14285714285714285</v>
      </c>
      <c r="G179" s="18">
        <f t="shared" si="31"/>
        <v>7</v>
      </c>
      <c r="H179" s="8">
        <v>1</v>
      </c>
      <c r="X179" s="7"/>
      <c r="AA179" s="7"/>
    </row>
    <row r="180" spans="2:27" x14ac:dyDescent="0.2">
      <c r="B180">
        <v>7</v>
      </c>
      <c r="C180" t="s">
        <v>37</v>
      </c>
      <c r="D180" t="s">
        <v>17</v>
      </c>
      <c r="E180" s="18" t="str">
        <f t="shared" si="29"/>
        <v>Commercial</v>
      </c>
      <c r="F180" s="18">
        <f t="shared" si="30"/>
        <v>0.125</v>
      </c>
      <c r="G180" s="18">
        <f t="shared" si="31"/>
        <v>8</v>
      </c>
      <c r="H180" s="8">
        <v>1</v>
      </c>
      <c r="X180" s="7"/>
      <c r="AA180" s="7"/>
    </row>
    <row r="181" spans="2:27" x14ac:dyDescent="0.2">
      <c r="B181">
        <v>8</v>
      </c>
      <c r="C181" t="s">
        <v>44</v>
      </c>
      <c r="D181" t="s">
        <v>17</v>
      </c>
      <c r="E181" s="18" t="str">
        <f t="shared" si="29"/>
        <v>Corporate</v>
      </c>
      <c r="F181" s="18">
        <f t="shared" si="30"/>
        <v>0.125</v>
      </c>
      <c r="G181" s="18">
        <f t="shared" si="31"/>
        <v>8</v>
      </c>
      <c r="H181" s="8">
        <v>1</v>
      </c>
      <c r="X181" s="7"/>
      <c r="AA181" s="7"/>
    </row>
    <row r="182" spans="2:27" x14ac:dyDescent="0.2">
      <c r="B182">
        <v>9</v>
      </c>
      <c r="C182" t="s">
        <v>7</v>
      </c>
      <c r="D182" t="s">
        <v>17</v>
      </c>
      <c r="E182" s="18" t="str">
        <f t="shared" si="29"/>
        <v>Operations</v>
      </c>
      <c r="F182" s="18">
        <f t="shared" si="30"/>
        <v>0.33333333333333331</v>
      </c>
      <c r="G182" s="18">
        <f t="shared" si="31"/>
        <v>3</v>
      </c>
      <c r="H182" s="8">
        <v>1</v>
      </c>
      <c r="X182" s="7"/>
      <c r="AA182" s="7"/>
    </row>
    <row r="183" spans="2:27" x14ac:dyDescent="0.2">
      <c r="B183">
        <v>10</v>
      </c>
      <c r="C183" t="s">
        <v>59</v>
      </c>
      <c r="D183" t="s">
        <v>17</v>
      </c>
      <c r="E183" s="18" t="str">
        <f t="shared" si="29"/>
        <v>Technology</v>
      </c>
      <c r="F183" s="18">
        <f t="shared" si="30"/>
        <v>0.2</v>
      </c>
      <c r="G183" s="18">
        <f t="shared" si="31"/>
        <v>5</v>
      </c>
      <c r="H183" s="8">
        <v>1</v>
      </c>
      <c r="X183" s="7"/>
      <c r="AA183" s="7"/>
    </row>
    <row r="184" spans="2:27" x14ac:dyDescent="0.2">
      <c r="B184">
        <v>11</v>
      </c>
      <c r="C184" t="s">
        <v>36</v>
      </c>
      <c r="D184" t="s">
        <v>17</v>
      </c>
      <c r="E184" s="18" t="str">
        <f t="shared" si="29"/>
        <v>Commercial</v>
      </c>
      <c r="F184" s="18">
        <f t="shared" si="30"/>
        <v>0.125</v>
      </c>
      <c r="G184" s="18">
        <f t="shared" si="31"/>
        <v>8</v>
      </c>
      <c r="H184" s="8">
        <v>1</v>
      </c>
      <c r="X184" s="7"/>
      <c r="AA184" s="7"/>
    </row>
    <row r="185" spans="2:27" x14ac:dyDescent="0.2">
      <c r="B185">
        <v>12</v>
      </c>
      <c r="C185" t="s">
        <v>46</v>
      </c>
      <c r="D185" t="s">
        <v>17</v>
      </c>
      <c r="E185" s="18" t="str">
        <f t="shared" si="29"/>
        <v>Corporate</v>
      </c>
      <c r="F185" s="18">
        <f t="shared" si="30"/>
        <v>0.125</v>
      </c>
      <c r="G185" s="18">
        <f t="shared" si="31"/>
        <v>8</v>
      </c>
      <c r="H185" s="8">
        <v>1</v>
      </c>
      <c r="X185" s="7"/>
      <c r="AA185" s="7"/>
    </row>
    <row r="186" spans="2:27" x14ac:dyDescent="0.2">
      <c r="B186">
        <v>13</v>
      </c>
      <c r="C186" t="s">
        <v>42</v>
      </c>
      <c r="D186" t="s">
        <v>17</v>
      </c>
      <c r="E186" s="18" t="str">
        <f t="shared" si="29"/>
        <v>Operations</v>
      </c>
      <c r="F186" s="18">
        <f t="shared" si="30"/>
        <v>0.33333333333333331</v>
      </c>
      <c r="G186" s="18">
        <f t="shared" si="31"/>
        <v>3</v>
      </c>
      <c r="H186" s="8">
        <v>1</v>
      </c>
      <c r="X186" s="7"/>
      <c r="AA186" s="7"/>
    </row>
    <row r="187" spans="2:27" x14ac:dyDescent="0.2">
      <c r="B187">
        <v>14</v>
      </c>
      <c r="C187" t="s">
        <v>58</v>
      </c>
      <c r="D187" t="s">
        <v>17</v>
      </c>
      <c r="E187" s="18" t="str">
        <f t="shared" si="29"/>
        <v>Technology</v>
      </c>
      <c r="F187" s="18">
        <f t="shared" si="30"/>
        <v>0.2</v>
      </c>
      <c r="G187" s="18">
        <f t="shared" si="31"/>
        <v>5</v>
      </c>
      <c r="H187" s="8">
        <v>1</v>
      </c>
      <c r="X187" s="7"/>
      <c r="AA187" s="7"/>
    </row>
    <row r="188" spans="2:27" x14ac:dyDescent="0.2">
      <c r="B188">
        <v>15</v>
      </c>
      <c r="C188" t="s">
        <v>38</v>
      </c>
      <c r="D188" t="s">
        <v>17</v>
      </c>
      <c r="E188" s="18" t="str">
        <f t="shared" si="29"/>
        <v>Commercial</v>
      </c>
      <c r="F188" s="18">
        <f t="shared" si="30"/>
        <v>0.125</v>
      </c>
      <c r="G188" s="18">
        <f t="shared" si="31"/>
        <v>8</v>
      </c>
      <c r="H188" s="8">
        <v>1</v>
      </c>
      <c r="X188" s="7"/>
      <c r="AA188" s="7"/>
    </row>
    <row r="189" spans="2:27" x14ac:dyDescent="0.2">
      <c r="B189">
        <v>16</v>
      </c>
      <c r="C189" t="s">
        <v>47</v>
      </c>
      <c r="D189" t="s">
        <v>17</v>
      </c>
      <c r="E189" s="18" t="str">
        <f t="shared" si="29"/>
        <v>Corporate</v>
      </c>
      <c r="F189" s="18">
        <f t="shared" si="30"/>
        <v>0.125</v>
      </c>
      <c r="G189" s="18">
        <f t="shared" si="31"/>
        <v>8</v>
      </c>
      <c r="H189" s="8">
        <v>1</v>
      </c>
      <c r="X189" s="7"/>
      <c r="AA189" s="7"/>
    </row>
    <row r="190" spans="2:27" x14ac:dyDescent="0.2">
      <c r="B190">
        <v>17</v>
      </c>
      <c r="C190" t="s">
        <v>34</v>
      </c>
      <c r="D190" t="s">
        <v>17</v>
      </c>
      <c r="E190" s="18" t="str">
        <f t="shared" si="29"/>
        <v>Technology</v>
      </c>
      <c r="F190" s="18">
        <f t="shared" si="30"/>
        <v>0.2</v>
      </c>
      <c r="G190" s="18">
        <f t="shared" si="31"/>
        <v>5</v>
      </c>
      <c r="H190" s="8">
        <v>1</v>
      </c>
      <c r="X190" s="7"/>
      <c r="AA190" s="7"/>
    </row>
    <row r="191" spans="2:27" x14ac:dyDescent="0.2">
      <c r="B191">
        <v>18</v>
      </c>
      <c r="C191" t="s">
        <v>21</v>
      </c>
      <c r="D191" t="s">
        <v>17</v>
      </c>
      <c r="E191" s="18" t="str">
        <f t="shared" si="29"/>
        <v>Commercial</v>
      </c>
      <c r="F191" s="18">
        <f t="shared" si="30"/>
        <v>0.125</v>
      </c>
      <c r="G191" s="18">
        <f t="shared" si="31"/>
        <v>8</v>
      </c>
      <c r="H191" s="8">
        <v>1</v>
      </c>
      <c r="X191" s="7"/>
      <c r="AA191" s="7"/>
    </row>
    <row r="192" spans="2:27" x14ac:dyDescent="0.2">
      <c r="B192">
        <v>19</v>
      </c>
      <c r="C192" t="s">
        <v>35</v>
      </c>
      <c r="D192" t="s">
        <v>17</v>
      </c>
      <c r="E192" s="18" t="str">
        <f t="shared" si="29"/>
        <v>Corporate</v>
      </c>
      <c r="F192" s="18">
        <f t="shared" si="30"/>
        <v>0.125</v>
      </c>
      <c r="G192" s="18">
        <f t="shared" si="31"/>
        <v>8</v>
      </c>
      <c r="H192" s="8">
        <v>1</v>
      </c>
      <c r="X192" s="7"/>
      <c r="AA192" s="7"/>
    </row>
    <row r="193" spans="2:27" x14ac:dyDescent="0.2">
      <c r="B193">
        <v>20</v>
      </c>
      <c r="C193" t="s">
        <v>60</v>
      </c>
      <c r="D193" t="s">
        <v>17</v>
      </c>
      <c r="E193" s="18" t="str">
        <f t="shared" si="29"/>
        <v>Technology</v>
      </c>
      <c r="F193" s="18">
        <f t="shared" si="30"/>
        <v>0.2</v>
      </c>
      <c r="G193" s="18">
        <f t="shared" si="31"/>
        <v>5</v>
      </c>
      <c r="H193" s="8">
        <v>1</v>
      </c>
      <c r="X193" s="7"/>
      <c r="AA193" s="7"/>
    </row>
    <row r="194" spans="2:27" x14ac:dyDescent="0.2">
      <c r="B194">
        <v>21</v>
      </c>
      <c r="C194" t="s">
        <v>23</v>
      </c>
      <c r="D194" t="s">
        <v>17</v>
      </c>
      <c r="E194" s="18" t="str">
        <f t="shared" si="29"/>
        <v>Commercial</v>
      </c>
      <c r="F194" s="18">
        <f t="shared" si="30"/>
        <v>0.125</v>
      </c>
      <c r="G194" s="18">
        <f t="shared" si="31"/>
        <v>8</v>
      </c>
      <c r="H194" s="8">
        <v>1</v>
      </c>
      <c r="X194" s="7"/>
      <c r="AA194" s="7"/>
    </row>
    <row r="195" spans="2:27" x14ac:dyDescent="0.2">
      <c r="B195">
        <v>22</v>
      </c>
      <c r="C195" t="s">
        <v>98</v>
      </c>
      <c r="D195" t="s">
        <v>17</v>
      </c>
      <c r="E195" s="18" t="str">
        <f t="shared" si="29"/>
        <v>Corporate</v>
      </c>
      <c r="F195" s="18">
        <f t="shared" si="30"/>
        <v>0.125</v>
      </c>
      <c r="G195" s="18">
        <f t="shared" si="31"/>
        <v>8</v>
      </c>
      <c r="H195" s="8">
        <v>1</v>
      </c>
      <c r="X195" s="7"/>
      <c r="AA195" s="7"/>
    </row>
    <row r="196" spans="2:27" x14ac:dyDescent="0.2">
      <c r="B196">
        <v>23</v>
      </c>
      <c r="C196" t="s">
        <v>24</v>
      </c>
      <c r="D196" t="s">
        <v>17</v>
      </c>
      <c r="E196" s="18" t="str">
        <f t="shared" si="29"/>
        <v>Commercial</v>
      </c>
      <c r="F196" s="18">
        <f t="shared" ref="F196:F205" si="32">H196*SUMIFS($H:$H,$J:$J,D196,$K:$K,E196)/G196</f>
        <v>0.125</v>
      </c>
      <c r="G196" s="18">
        <f t="shared" ref="G196:G205" si="33">SUMIFS($H$2:$H$1000,$E$2:$E$1000,E196,$D$2:$D$1000,D196)</f>
        <v>8</v>
      </c>
      <c r="H196" s="8">
        <v>1</v>
      </c>
      <c r="X196" s="7"/>
      <c r="AA196" s="7"/>
    </row>
    <row r="197" spans="2:27" x14ac:dyDescent="0.2">
      <c r="B197">
        <v>24</v>
      </c>
      <c r="C197" t="s">
        <v>45</v>
      </c>
      <c r="D197" t="s">
        <v>17</v>
      </c>
      <c r="E197" s="18" t="str">
        <f t="shared" si="29"/>
        <v>Corporate</v>
      </c>
      <c r="F197" s="18">
        <f t="shared" si="32"/>
        <v>0.125</v>
      </c>
      <c r="G197" s="18">
        <f t="shared" si="33"/>
        <v>8</v>
      </c>
      <c r="H197" s="8">
        <v>1</v>
      </c>
      <c r="X197" s="7"/>
      <c r="AA197" s="7"/>
    </row>
    <row r="198" spans="2:27" x14ac:dyDescent="0.2">
      <c r="B198">
        <v>25</v>
      </c>
      <c r="C198" t="s">
        <v>40</v>
      </c>
      <c r="D198" t="s">
        <v>17</v>
      </c>
      <c r="E198" s="18" t="str">
        <f t="shared" si="29"/>
        <v>Commercial</v>
      </c>
      <c r="F198" s="18">
        <f t="shared" si="32"/>
        <v>0.125</v>
      </c>
      <c r="G198" s="18">
        <f t="shared" si="33"/>
        <v>8</v>
      </c>
      <c r="H198" s="8">
        <v>1</v>
      </c>
      <c r="X198" s="7"/>
      <c r="AA198" s="7"/>
    </row>
    <row r="199" spans="2:27" x14ac:dyDescent="0.2">
      <c r="B199">
        <v>26</v>
      </c>
      <c r="C199" t="s">
        <v>48</v>
      </c>
      <c r="D199" t="s">
        <v>17</v>
      </c>
      <c r="E199" s="18" t="str">
        <f t="shared" si="29"/>
        <v>Corporate</v>
      </c>
      <c r="F199" s="18">
        <f t="shared" si="32"/>
        <v>0.125</v>
      </c>
      <c r="G199" s="18">
        <f t="shared" si="33"/>
        <v>8</v>
      </c>
      <c r="H199" s="8">
        <v>1</v>
      </c>
      <c r="X199" s="7"/>
      <c r="AA199" s="7"/>
    </row>
    <row r="200" spans="2:27" x14ac:dyDescent="0.2">
      <c r="B200">
        <v>27</v>
      </c>
      <c r="C200" t="s">
        <v>39</v>
      </c>
      <c r="D200" t="s">
        <v>17</v>
      </c>
      <c r="E200" s="18" t="s">
        <v>74</v>
      </c>
      <c r="F200" s="18">
        <f t="shared" si="32"/>
        <v>0.14285714285714285</v>
      </c>
      <c r="G200" s="18">
        <f t="shared" si="33"/>
        <v>7</v>
      </c>
      <c r="H200" s="8">
        <v>1</v>
      </c>
      <c r="X200" s="7"/>
      <c r="AA200" s="7"/>
    </row>
    <row r="201" spans="2:27" x14ac:dyDescent="0.2">
      <c r="B201">
        <v>28</v>
      </c>
      <c r="C201" t="s">
        <v>54</v>
      </c>
      <c r="D201" t="s">
        <v>17</v>
      </c>
      <c r="E201" s="18" t="s">
        <v>74</v>
      </c>
      <c r="F201" s="18">
        <f t="shared" si="32"/>
        <v>0.14285714285714285</v>
      </c>
      <c r="G201" s="18">
        <f t="shared" si="33"/>
        <v>7</v>
      </c>
      <c r="H201" s="8">
        <v>1</v>
      </c>
      <c r="X201" s="7"/>
      <c r="AA201" s="7"/>
    </row>
    <row r="202" spans="2:27" x14ac:dyDescent="0.2">
      <c r="B202">
        <v>29</v>
      </c>
      <c r="C202" t="s">
        <v>50</v>
      </c>
      <c r="D202" t="s">
        <v>17</v>
      </c>
      <c r="E202" s="18" t="s">
        <v>74</v>
      </c>
      <c r="F202" s="18">
        <f t="shared" si="32"/>
        <v>0.14285714285714285</v>
      </c>
      <c r="G202" s="18">
        <f t="shared" si="33"/>
        <v>7</v>
      </c>
      <c r="H202" s="8">
        <v>1</v>
      </c>
      <c r="X202" s="7"/>
      <c r="AA202" s="7"/>
    </row>
    <row r="203" spans="2:27" x14ac:dyDescent="0.2">
      <c r="B203">
        <v>30</v>
      </c>
      <c r="C203" t="s">
        <v>51</v>
      </c>
      <c r="D203" t="s">
        <v>17</v>
      </c>
      <c r="E203" s="18" t="s">
        <v>74</v>
      </c>
      <c r="F203" s="18">
        <f t="shared" si="32"/>
        <v>0.14285714285714285</v>
      </c>
      <c r="G203" s="18">
        <f t="shared" si="33"/>
        <v>7</v>
      </c>
      <c r="H203" s="8">
        <v>1</v>
      </c>
      <c r="X203" s="7"/>
      <c r="AA203" s="7"/>
    </row>
    <row r="204" spans="2:27" x14ac:dyDescent="0.2">
      <c r="B204">
        <v>31</v>
      </c>
      <c r="C204" t="s">
        <v>56</v>
      </c>
      <c r="D204" t="s">
        <v>17</v>
      </c>
      <c r="E204" s="18" t="s">
        <v>74</v>
      </c>
      <c r="F204" s="18">
        <f t="shared" si="32"/>
        <v>0.14285714285714285</v>
      </c>
      <c r="G204" s="18">
        <f t="shared" si="33"/>
        <v>7</v>
      </c>
      <c r="H204" s="8">
        <v>1</v>
      </c>
      <c r="X204" s="7"/>
      <c r="AA204" s="7"/>
    </row>
    <row r="205" spans="2:27" x14ac:dyDescent="0.2">
      <c r="B205">
        <v>32</v>
      </c>
      <c r="C205" t="s">
        <v>53</v>
      </c>
      <c r="D205" t="s">
        <v>17</v>
      </c>
      <c r="E205" s="18" t="s">
        <v>74</v>
      </c>
      <c r="F205" s="18">
        <f t="shared" si="32"/>
        <v>0.14285714285714285</v>
      </c>
      <c r="G205" s="18">
        <f t="shared" si="33"/>
        <v>7</v>
      </c>
      <c r="H205" s="8">
        <v>1</v>
      </c>
    </row>
  </sheetData>
  <autoFilter ref="A2:AI204" xr:uid="{D521F980-2E5F-EC49-B62F-4F6A4A27A40F}"/>
  <sortState xmlns:xlrd2="http://schemas.microsoft.com/office/spreadsheetml/2017/richdata2" ref="B36:H77">
    <sortCondition ref="B77"/>
  </sortState>
  <conditionalFormatting sqref="H1:H1048576">
    <cfRule type="colorScale" priority="14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44">
    <cfRule type="colorScale" priority="2">
      <colorScale>
        <cfvo type="min"/>
        <cfvo type="max"/>
        <color rgb="FFFFEF9C"/>
        <color rgb="FF63BE7B"/>
      </colorScale>
    </cfRule>
  </conditionalFormatting>
  <conditionalFormatting sqref="M3:M38">
    <cfRule type="notContainsText" dxfId="28" priority="1" operator="notContains" text="100">
      <formula>ISERROR(SEARCH("100",M3))</formula>
    </cfRule>
  </conditionalFormatting>
  <conditionalFormatting sqref="N3:N38">
    <cfRule type="colorScale" priority="8">
      <colorScale>
        <cfvo type="min"/>
        <cfvo type="max"/>
        <color rgb="FFFFEF9C"/>
        <color rgb="FF63BE7B"/>
      </colorScale>
    </cfRule>
  </conditionalFormatting>
  <conditionalFormatting sqref="O3:O38 Q3:Q38">
    <cfRule type="notContainsText" dxfId="27" priority="5" operator="notContains" text="100">
      <formula>ISERROR(SEARCH("100",O3))</formula>
    </cfRule>
  </conditionalFormatting>
  <conditionalFormatting sqref="P3:P38">
    <cfRule type="colorScale" priority="3">
      <colorScale>
        <cfvo type="min"/>
        <cfvo type="max"/>
        <color rgb="FFFFEF9C"/>
        <color rgb="FF63BE7B"/>
      </colorScale>
    </cfRule>
  </conditionalFormatting>
  <conditionalFormatting sqref="S35:S40">
    <cfRule type="colorScale" priority="4">
      <colorScale>
        <cfvo type="min"/>
        <cfvo type="max"/>
        <color rgb="FFFFEF9C"/>
        <color rgb="FF63BE7B"/>
      </colorScale>
    </cfRule>
  </conditionalFormatting>
  <conditionalFormatting sqref="U3">
    <cfRule type="notContainsText" dxfId="26" priority="6" operator="notContains" text="100">
      <formula>ISERROR(SEARCH("100",U3))</formula>
    </cfRule>
  </conditionalFormatting>
  <conditionalFormatting sqref="X3:X14">
    <cfRule type="colorScale" priority="17">
      <colorScale>
        <cfvo type="min"/>
        <cfvo type="max"/>
        <color rgb="FFFFEF9C"/>
        <color rgb="FF63BE7B"/>
      </colorScale>
    </cfRule>
    <cfRule type="cellIs" dxfId="25" priority="19" operator="equal">
      <formula>100</formula>
    </cfRule>
  </conditionalFormatting>
  <conditionalFormatting sqref="AA3:AA44">
    <cfRule type="colorScale" priority="16">
      <colorScale>
        <cfvo type="min"/>
        <cfvo type="max"/>
        <color rgb="FFFFEF9C"/>
        <color rgb="FF63BE7B"/>
      </colorScale>
    </cfRule>
    <cfRule type="cellIs" dxfId="24" priority="18" operator="equal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4EF-91CA-FB43-946B-11E2196E1813}">
  <sheetPr>
    <tabColor rgb="FF00B0F0"/>
  </sheetPr>
  <dimension ref="A1:AL282"/>
  <sheetViews>
    <sheetView tabSelected="1" zoomScale="120" zoomScaleNormal="120" workbookViewId="0">
      <pane ySplit="2" topLeftCell="A217" activePane="bottomLeft" state="frozen"/>
      <selection pane="bottomLeft" activeCell="G238" sqref="G238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2" width="15.1640625" customWidth="1"/>
    <col min="13" max="13" width="6.5" bestFit="1" customWidth="1"/>
    <col min="14" max="14" width="8.83203125" bestFit="1" customWidth="1"/>
    <col min="15" max="15" width="6.5" bestFit="1" customWidth="1"/>
    <col min="16" max="16" width="7" bestFit="1" customWidth="1"/>
    <col min="17" max="17" width="6.5" bestFit="1" customWidth="1"/>
    <col min="18" max="18" width="7" bestFit="1" customWidth="1"/>
    <col min="19" max="19" width="6.5" bestFit="1" customWidth="1"/>
    <col min="20" max="20" width="4" customWidth="1"/>
    <col min="21" max="21" width="23.33203125" bestFit="1" customWidth="1"/>
    <col min="22" max="22" width="11.83203125" bestFit="1" customWidth="1"/>
    <col min="23" max="23" width="7.1640625" customWidth="1"/>
    <col min="24" max="24" width="2.83203125" customWidth="1"/>
    <col min="25" max="25" width="12" bestFit="1" customWidth="1"/>
    <col min="26" max="26" width="6.5" bestFit="1" customWidth="1"/>
    <col min="27" max="27" width="3" customWidth="1"/>
    <col min="28" max="28" width="14.33203125" bestFit="1" customWidth="1"/>
    <col min="29" max="29" width="6.5" bestFit="1" customWidth="1"/>
    <col min="30" max="30" width="12.5" bestFit="1" customWidth="1"/>
    <col min="31" max="31" width="2.33203125" customWidth="1"/>
    <col min="32" max="32" width="14.33203125" bestFit="1" customWidth="1"/>
    <col min="33" max="33" width="15.5" bestFit="1" customWidth="1"/>
    <col min="34" max="34" width="15.5" customWidth="1"/>
    <col min="36" max="36" width="28" bestFit="1" customWidth="1"/>
    <col min="37" max="37" width="20.1640625" bestFit="1" customWidth="1"/>
    <col min="38" max="38" width="21" bestFit="1" customWidth="1"/>
  </cols>
  <sheetData>
    <row r="1" spans="1:38" x14ac:dyDescent="0.2">
      <c r="B1" t="s">
        <v>122</v>
      </c>
      <c r="C1" s="19" t="s">
        <v>99</v>
      </c>
      <c r="D1" s="17" t="s">
        <v>118</v>
      </c>
      <c r="E1" s="17"/>
      <c r="F1" s="17"/>
      <c r="J1" s="19" t="s">
        <v>99</v>
      </c>
      <c r="K1" s="17" t="s">
        <v>117</v>
      </c>
      <c r="L1" s="17"/>
      <c r="M1" s="1"/>
      <c r="O1" s="1"/>
      <c r="Q1" s="1"/>
      <c r="S1" s="1"/>
      <c r="T1" s="1"/>
      <c r="U1" s="19" t="s">
        <v>99</v>
      </c>
      <c r="V1" s="17" t="s">
        <v>119</v>
      </c>
      <c r="Z1" s="7"/>
      <c r="AC1" s="7"/>
      <c r="AF1" s="22" t="s">
        <v>102</v>
      </c>
      <c r="AG1" s="21"/>
      <c r="AH1" s="21"/>
      <c r="AJ1" s="22" t="s">
        <v>102</v>
      </c>
      <c r="AK1" s="21"/>
      <c r="AL1" s="21"/>
    </row>
    <row r="2" spans="1:38" x14ac:dyDescent="0.2">
      <c r="A2" s="1"/>
      <c r="B2" s="20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20" t="s">
        <v>101</v>
      </c>
      <c r="H2" s="20" t="s">
        <v>100</v>
      </c>
      <c r="J2" s="5" t="s">
        <v>0</v>
      </c>
      <c r="K2" s="5" t="s">
        <v>1</v>
      </c>
      <c r="L2" s="5" t="s">
        <v>3</v>
      </c>
      <c r="M2" s="6" t="s">
        <v>20</v>
      </c>
      <c r="N2" s="6" t="s">
        <v>456</v>
      </c>
      <c r="O2" s="6" t="s">
        <v>20</v>
      </c>
      <c r="P2" s="6" t="s">
        <v>379</v>
      </c>
      <c r="Q2" s="6" t="s">
        <v>20</v>
      </c>
      <c r="R2" s="6" t="s">
        <v>3</v>
      </c>
      <c r="S2" s="6" t="s">
        <v>20</v>
      </c>
      <c r="T2" s="1"/>
      <c r="U2" s="4" t="s">
        <v>0</v>
      </c>
      <c r="V2" s="4" t="s">
        <v>3</v>
      </c>
      <c r="W2" s="6" t="s">
        <v>20</v>
      </c>
      <c r="X2" s="1"/>
      <c r="Y2" s="6" t="str" cm="1">
        <f t="array" ref="Y2:Y9">_xlfn.UNIQUE(E2:E1003)</f>
        <v>BudgetGroup</v>
      </c>
      <c r="Z2" s="6" t="s">
        <v>20</v>
      </c>
      <c r="AA2" s="1"/>
      <c r="AB2" s="6" t="str" cm="1">
        <f t="array" ref="AB2:AB48">_xlfn.UNIQUE(C2:C1003)</f>
        <v>RequestingArea</v>
      </c>
      <c r="AC2" s="6" t="s">
        <v>20</v>
      </c>
      <c r="AD2" s="1" t="s">
        <v>103</v>
      </c>
      <c r="AE2" s="1"/>
      <c r="AF2" s="6" t="s">
        <v>2</v>
      </c>
      <c r="AG2" s="6" t="s">
        <v>1</v>
      </c>
      <c r="AH2" s="6" t="s">
        <v>453</v>
      </c>
      <c r="AI2" s="1"/>
      <c r="AJ2" s="6" t="s">
        <v>104</v>
      </c>
      <c r="AK2" s="6" t="s">
        <v>105</v>
      </c>
      <c r="AL2" s="6" t="s">
        <v>106</v>
      </c>
    </row>
    <row r="3" spans="1:38" x14ac:dyDescent="0.2">
      <c r="B3">
        <v>1</v>
      </c>
      <c r="C3" t="s">
        <v>21</v>
      </c>
      <c r="D3" t="s">
        <v>4</v>
      </c>
      <c r="E3" s="18" t="str">
        <f>VLOOKUP($C3,$AF:$AG,2,FALSE)</f>
        <v>Commercial</v>
      </c>
      <c r="F3" s="18">
        <f>H3*SUMIFS($H:$H,$J:$J,D3,$K:$K,E3)/G3</f>
        <v>0.1111111111111111</v>
      </c>
      <c r="G3" s="18">
        <f>SUMIFS($H$2:$H$1003,$E$2:$E$1003,E3,$D$2:$D$1003,D3)</f>
        <v>9</v>
      </c>
      <c r="H3" s="8">
        <v>1</v>
      </c>
      <c r="J3" t="s">
        <v>10</v>
      </c>
      <c r="K3" t="s">
        <v>6</v>
      </c>
      <c r="L3">
        <v>25</v>
      </c>
      <c r="M3" s="17">
        <f>SUMIF($J:$J,J3,$L:$L)</f>
        <v>100</v>
      </c>
      <c r="N3">
        <f t="shared" ref="N3:N38" si="0">P3/Q3*100</f>
        <v>9.5238095238095237</v>
      </c>
      <c r="O3" s="17">
        <f>SUMIF($J:$J,J3,$N:$N)</f>
        <v>100</v>
      </c>
      <c r="P3">
        <f>COUNTIFS(E:E,K3,D:D,J3)</f>
        <v>4</v>
      </c>
      <c r="Q3" s="17">
        <f>SUMIF($J:$J,J3,$P:$P)</f>
        <v>42</v>
      </c>
      <c r="R3">
        <f>SUMIFS(F:F,E:E,K3,D:D,J3)</f>
        <v>20.000003000000003</v>
      </c>
      <c r="S3" s="17">
        <f>SUMIF($J:$J,P3,$P:$P)</f>
        <v>0</v>
      </c>
      <c r="U3" s="2" t="s">
        <v>10</v>
      </c>
      <c r="V3">
        <v>40</v>
      </c>
      <c r="W3" s="17">
        <f>SUM(V3:V18)</f>
        <v>100</v>
      </c>
      <c r="Y3" s="18" t="str">
        <v>Commercial</v>
      </c>
      <c r="Z3" s="3">
        <f>SUMIF($E:$E,Y3,$F:$F)</f>
        <v>133.00002099999998</v>
      </c>
      <c r="AB3" s="18" t="str">
        <v>GP B2B</v>
      </c>
      <c r="AC3" s="3">
        <f>SUMIF($C:$C,AB3,$F:$F)</f>
        <v>16.569446444444445</v>
      </c>
      <c r="AD3" s="18" t="str">
        <f>VLOOKUP(AB3,$AF:$AG,2,FALSE)</f>
        <v>Commercial</v>
      </c>
      <c r="AF3" t="s">
        <v>11</v>
      </c>
      <c r="AG3" t="s">
        <v>11</v>
      </c>
      <c r="AJ3" s="23" t="s">
        <v>107</v>
      </c>
      <c r="AK3" t="str" cm="1">
        <f t="array" ref="AK3:AL3">_xlfn.TEXTSPLIT(AJ3,"&gt;",)</f>
        <v xml:space="preserve"> IDEA </v>
      </c>
      <c r="AL3" t="str">
        <v xml:space="preserve"> Backlog</v>
      </c>
    </row>
    <row r="4" spans="1:38" x14ac:dyDescent="0.2">
      <c r="B4">
        <v>2</v>
      </c>
      <c r="C4" t="s">
        <v>26</v>
      </c>
      <c r="D4" t="s">
        <v>4</v>
      </c>
      <c r="E4" s="18" t="str">
        <f>VLOOKUP($C4,$AF:$AG,2,FALSE)</f>
        <v>Operations</v>
      </c>
      <c r="F4" s="18">
        <f>H4*SUMIFS($H:$H,$J:$J,D4,$K:$K,E4)/G4</f>
        <v>0.33333333333333331</v>
      </c>
      <c r="G4" s="18">
        <f>SUMIFS($H$2:$H$1003,$E$2:$E$1003,E4,$D$2:$D$1003,D4)</f>
        <v>3</v>
      </c>
      <c r="H4" s="8">
        <v>1</v>
      </c>
      <c r="J4" t="s">
        <v>10</v>
      </c>
      <c r="K4" t="s">
        <v>5</v>
      </c>
      <c r="L4">
        <v>25</v>
      </c>
      <c r="M4" s="17">
        <f>SUMIF($J:$J,J4,$L:$L)</f>
        <v>100</v>
      </c>
      <c r="N4">
        <f t="shared" si="0"/>
        <v>28.571428571428569</v>
      </c>
      <c r="O4" s="17">
        <f>SUMIF($J:$J,J4,$N:$N)</f>
        <v>100</v>
      </c>
      <c r="P4">
        <f>COUNTIFS(E:E,K4,D:D,J4)</f>
        <v>12</v>
      </c>
      <c r="Q4" s="17">
        <f>SUMIF($J:$J,J4,$P:$P)</f>
        <v>42</v>
      </c>
      <c r="R4">
        <f>SUMIFS(F:F,E:E,K4,D:D,J4)</f>
        <v>28.000009000000009</v>
      </c>
      <c r="S4" s="17">
        <f>SUMIF($J:$J,P4,$P:$P)</f>
        <v>0</v>
      </c>
      <c r="U4" s="2" t="s">
        <v>15</v>
      </c>
      <c r="V4">
        <v>22</v>
      </c>
      <c r="Y4" s="18" t="str">
        <v>Operations</v>
      </c>
      <c r="Z4" s="3">
        <f>SUMIF($E:$E,Y4,$F:$F)</f>
        <v>125.00000699999998</v>
      </c>
      <c r="AB4" s="18" t="str">
        <v>SEO</v>
      </c>
      <c r="AC4" s="3">
        <f>SUMIF($C:$C,AB4,$F:$F)</f>
        <v>36.666668666666666</v>
      </c>
      <c r="AD4" s="18" t="str">
        <f>VLOOKUP(AB4,$AF:$AG,2,FALSE)</f>
        <v>Operations</v>
      </c>
      <c r="AF4" t="s">
        <v>66</v>
      </c>
      <c r="AG4" t="s">
        <v>5</v>
      </c>
      <c r="AJ4" s="23" t="s">
        <v>108</v>
      </c>
      <c r="AK4" t="str" cm="1">
        <f t="array" ref="AK4:AL4">_xlfn.TEXTSPLIT(AJ4,"&gt;",)</f>
        <v xml:space="preserve"> IDEA </v>
      </c>
      <c r="AL4" t="str">
        <v xml:space="preserve"> Pitch</v>
      </c>
    </row>
    <row r="5" spans="1:38" x14ac:dyDescent="0.2">
      <c r="B5">
        <v>3</v>
      </c>
      <c r="C5" t="s">
        <v>22</v>
      </c>
      <c r="D5" t="s">
        <v>4</v>
      </c>
      <c r="E5" s="18" t="str">
        <f>VLOOKUP($C5,$AF:$AG,2,FALSE)</f>
        <v>Corporate</v>
      </c>
      <c r="F5" s="18">
        <f>H5*SUMIFS($H:$H,$J:$J,D5,$K:$K,E5)/G5</f>
        <v>7.1428571428571425E-2</v>
      </c>
      <c r="G5" s="18">
        <f>SUMIFS($H$2:$H$1003,$E$2:$E$1003,E5,$D$2:$D$1003,D5)</f>
        <v>14</v>
      </c>
      <c r="H5" s="8">
        <v>1</v>
      </c>
      <c r="J5" t="s">
        <v>10</v>
      </c>
      <c r="K5" t="s">
        <v>12</v>
      </c>
      <c r="L5">
        <v>20</v>
      </c>
      <c r="M5" s="17">
        <f>SUMIF($J:$J,J5,$L:$L)</f>
        <v>100</v>
      </c>
      <c r="N5">
        <f t="shared" si="0"/>
        <v>42.857142857142854</v>
      </c>
      <c r="O5" s="17">
        <f>SUMIF($J:$J,J5,$N:$N)</f>
        <v>100</v>
      </c>
      <c r="P5">
        <f>COUNTIFS(E:E,K5,D:D,J5)</f>
        <v>18</v>
      </c>
      <c r="Q5" s="17">
        <f>SUMIF($J:$J,J5,$P:$P)</f>
        <v>42</v>
      </c>
      <c r="R5">
        <f>SUMIFS(F:F,E:E,K5,D:D,J5)</f>
        <v>37.000012999999967</v>
      </c>
      <c r="S5" s="17">
        <f>SUMIF($J:$J,P5,$P:$P)</f>
        <v>0</v>
      </c>
      <c r="U5" s="2" t="s">
        <v>4</v>
      </c>
      <c r="V5">
        <v>16</v>
      </c>
      <c r="Y5" s="18" t="str">
        <v>Corporate</v>
      </c>
      <c r="Z5" s="3">
        <f>SUMIF($E:$E,Y5,$F:$F)</f>
        <v>142.00003100200004</v>
      </c>
      <c r="AB5" s="18" t="str">
        <v>CF</v>
      </c>
      <c r="AC5" s="3">
        <f>SUMIF($C:$C,AB5,$F:$F)</f>
        <v>7.0938664688644693</v>
      </c>
      <c r="AD5" s="18" t="str">
        <f>VLOOKUP(AB5,$AF:$AG,2,FALSE)</f>
        <v>Corporate</v>
      </c>
      <c r="AF5" t="s">
        <v>65</v>
      </c>
      <c r="AG5" t="s">
        <v>5</v>
      </c>
      <c r="AJ5" s="23" t="s">
        <v>109</v>
      </c>
      <c r="AK5" t="str" cm="1">
        <f t="array" ref="AK5:AL5">_xlfn.TEXTSPLIT(AJ5,"&gt;",)</f>
        <v xml:space="preserve"> IDEA </v>
      </c>
      <c r="AL5" t="str">
        <v xml:space="preserve"> In Definition</v>
      </c>
    </row>
    <row r="6" spans="1:38" x14ac:dyDescent="0.2">
      <c r="B6">
        <v>4</v>
      </c>
      <c r="C6" t="s">
        <v>9</v>
      </c>
      <c r="D6" t="s">
        <v>4</v>
      </c>
      <c r="E6" s="18" t="str">
        <f>VLOOKUP($C6,$AF:$AG,2,FALSE)</f>
        <v>Technology</v>
      </c>
      <c r="F6" s="18">
        <f>H6*SUMIFS($H:$H,$J:$J,D6,$K:$K,E6)/G6</f>
        <v>0.2</v>
      </c>
      <c r="G6" s="18">
        <f>SUMIFS($H$2:$H$1003,$E$2:$E$1003,E6,$D$2:$D$1003,D6)</f>
        <v>5</v>
      </c>
      <c r="H6" s="8">
        <v>1</v>
      </c>
      <c r="J6" t="s">
        <v>10</v>
      </c>
      <c r="K6" t="s">
        <v>8</v>
      </c>
      <c r="L6">
        <v>20</v>
      </c>
      <c r="M6" s="17">
        <f>SUMIF($J:$J,J6,$L:$L)</f>
        <v>100</v>
      </c>
      <c r="N6">
        <f t="shared" si="0"/>
        <v>14.285714285714285</v>
      </c>
      <c r="O6" s="17">
        <f>SUMIF($J:$J,J6,$N:$N)</f>
        <v>100</v>
      </c>
      <c r="P6">
        <f>COUNTIFS(E:E,K6,D:D,J6)</f>
        <v>6</v>
      </c>
      <c r="Q6" s="17">
        <f>SUMIF($J:$J,J6,$P:$P)</f>
        <v>42</v>
      </c>
      <c r="R6">
        <f>SUMIFS(F:F,E:E,K6,D:D,J6)</f>
        <v>15.000004999999996</v>
      </c>
      <c r="S6" s="17">
        <f>SUMIF($J:$J,P6,$P:$P)</f>
        <v>0</v>
      </c>
      <c r="U6" s="2" t="s">
        <v>17</v>
      </c>
      <c r="V6">
        <v>10</v>
      </c>
      <c r="Y6" s="18" t="str">
        <v>Technology</v>
      </c>
      <c r="Z6" s="3">
        <f>SUMIF($E:$E,Y6,$F:$F)</f>
        <v>120.00001099999997</v>
      </c>
      <c r="AB6" s="18" t="str">
        <v>SI</v>
      </c>
      <c r="AC6" s="3">
        <f>SUMIF($C:$C,AB6,$F:$F)</f>
        <v>41.000001999999995</v>
      </c>
      <c r="AD6" s="18" t="str">
        <f>VLOOKUP(AB6,$AF:$AG,2,FALSE)</f>
        <v>Technology</v>
      </c>
      <c r="AF6" t="s">
        <v>38</v>
      </c>
      <c r="AG6" t="s">
        <v>5</v>
      </c>
      <c r="AJ6" s="23" t="s">
        <v>110</v>
      </c>
      <c r="AK6" t="str" cm="1">
        <f t="array" ref="AK6:AL6">_xlfn.TEXTSPLIT(AJ6,"&gt;",)</f>
        <v xml:space="preserve"> SOLUTION </v>
      </c>
      <c r="AL6" t="str">
        <v xml:space="preserve"> In Approval</v>
      </c>
    </row>
    <row r="7" spans="1:38" x14ac:dyDescent="0.2">
      <c r="B7">
        <v>5</v>
      </c>
      <c r="C7" t="s">
        <v>11</v>
      </c>
      <c r="D7" t="s">
        <v>4</v>
      </c>
      <c r="E7" s="18" t="str">
        <f>VLOOKUP($C7,$AF:$AG,2,FALSE)</f>
        <v>CISO</v>
      </c>
      <c r="F7" s="18">
        <f>H7*SUMIFS($H:$H,$J:$J,D7,$K:$K,E7)/G7</f>
        <v>1</v>
      </c>
      <c r="G7" s="18">
        <f>SUMIFS($H$2:$H$1003,$E$2:$E$1003,E7,$D$2:$D$1003,D7)</f>
        <v>1</v>
      </c>
      <c r="H7" s="8">
        <v>1</v>
      </c>
      <c r="J7" t="s">
        <v>10</v>
      </c>
      <c r="K7" t="s">
        <v>74</v>
      </c>
      <c r="L7">
        <v>5</v>
      </c>
      <c r="M7" s="17">
        <f>SUMIF($J:$J,J7,$L:$L)</f>
        <v>100</v>
      </c>
      <c r="N7">
        <f t="shared" si="0"/>
        <v>2.3809523809523809</v>
      </c>
      <c r="O7" s="17">
        <f>SUMIF($J:$J,J7,$N:$N)</f>
        <v>100</v>
      </c>
      <c r="P7">
        <f>COUNTIFS(E:E,K7,D:D,J7)</f>
        <v>1</v>
      </c>
      <c r="Q7" s="17">
        <f>SUMIF($J:$J,J7,$P:$P)</f>
        <v>42</v>
      </c>
      <c r="R7">
        <f>SUMIFS(F:F,E:E,K7,D:D,J7)</f>
        <v>9.9999999999999995E-7</v>
      </c>
      <c r="S7" s="17">
        <f>SUMIF($J:$J,P7,$P:$P)</f>
        <v>0</v>
      </c>
      <c r="U7" s="2" t="s">
        <v>16</v>
      </c>
      <c r="V7">
        <v>8</v>
      </c>
      <c r="Y7" s="18" t="str">
        <v>CISO</v>
      </c>
      <c r="Z7" s="3">
        <f>SUMIF($E:$E,Y7,$F:$F)</f>
        <v>105.00000199999999</v>
      </c>
      <c r="AB7" s="18" t="str">
        <v>CISO</v>
      </c>
      <c r="AC7" s="3">
        <f>SUMIF($C:$C,AB7,$F:$F)</f>
        <v>105.00000199999999</v>
      </c>
      <c r="AD7" s="18" t="str">
        <f>VLOOKUP(AB7,$AF:$AG,2,FALSE)</f>
        <v>CISO</v>
      </c>
      <c r="AF7" t="s">
        <v>39</v>
      </c>
      <c r="AG7" t="s">
        <v>5</v>
      </c>
      <c r="AJ7" s="23" t="s">
        <v>111</v>
      </c>
      <c r="AK7" t="str" cm="1">
        <f t="array" ref="AK7:AL7">_xlfn.TEXTSPLIT(AJ7,"&gt;",)</f>
        <v xml:space="preserve"> SOLUTION </v>
      </c>
      <c r="AL7" t="str">
        <v xml:space="preserve"> Ready for Approval</v>
      </c>
    </row>
    <row r="8" spans="1:38" x14ac:dyDescent="0.2">
      <c r="B8">
        <v>6</v>
      </c>
      <c r="C8" t="s">
        <v>116</v>
      </c>
      <c r="D8" t="s">
        <v>4</v>
      </c>
      <c r="E8" s="18" t="str">
        <f>VLOOKUP($C8,$AF:$AG,2,FALSE)</f>
        <v>Data &amp; AI</v>
      </c>
      <c r="F8" s="18">
        <f>H8*SUMIFS($H:$H,$J:$J,D8,$K:$K,E8)/G8</f>
        <v>1</v>
      </c>
      <c r="G8" s="18">
        <f>SUMIFS($H$2:$H$1003,$E$2:$E$1003,E8,$D$2:$D$1003,D8)</f>
        <v>1</v>
      </c>
      <c r="H8" s="8">
        <v>1</v>
      </c>
      <c r="J8" s="24" t="s">
        <v>10</v>
      </c>
      <c r="K8" s="24" t="s">
        <v>11</v>
      </c>
      <c r="L8">
        <v>5</v>
      </c>
      <c r="M8" s="17">
        <f>SUMIF($J:$J,J8,$L:$L)</f>
        <v>100</v>
      </c>
      <c r="N8">
        <f t="shared" si="0"/>
        <v>2.3809523809523809</v>
      </c>
      <c r="O8" s="17">
        <f>SUMIF($J:$J,J8,$N:$N)</f>
        <v>100</v>
      </c>
      <c r="P8" s="24">
        <f>COUNTIFS(E:E,K8,D:D,J8)</f>
        <v>1</v>
      </c>
      <c r="Q8" s="17">
        <f>SUMIF($J:$J,J8,$P:$P)</f>
        <v>42</v>
      </c>
      <c r="R8">
        <f>SUMIFS(F:F,E:E,K8,D:D,J8)</f>
        <v>9.9999999999999995E-7</v>
      </c>
      <c r="S8" s="17">
        <f>SUMIF($J:$J,P8,$P:$P)</f>
        <v>0</v>
      </c>
      <c r="U8" s="2" t="s">
        <v>14</v>
      </c>
      <c r="V8">
        <v>4</v>
      </c>
      <c r="Y8" s="18" t="str">
        <v>Data &amp; AI</v>
      </c>
      <c r="Z8" s="3">
        <f>SUMIF($E:$E,Y8,$F:$F)</f>
        <v>105.00000199999999</v>
      </c>
      <c r="AB8" s="18" t="str">
        <v>IAD</v>
      </c>
      <c r="AC8" s="3">
        <f>SUMIF($C:$C,AB8,$F:$F)</f>
        <v>104.14285914285713</v>
      </c>
      <c r="AD8" s="18" t="str">
        <f>VLOOKUP(AB8,$AF:$AG,2,FALSE)</f>
        <v>Data &amp; AI</v>
      </c>
      <c r="AF8" t="s">
        <v>36</v>
      </c>
      <c r="AG8" t="s">
        <v>5</v>
      </c>
      <c r="AJ8" s="23" t="s">
        <v>112</v>
      </c>
      <c r="AK8" t="str" cm="1">
        <f t="array" ref="AK8:AL8">_xlfn.TEXTSPLIT(AJ8,"&gt;",)</f>
        <v xml:space="preserve"> IDEA </v>
      </c>
      <c r="AL8" t="str">
        <v xml:space="preserve"> Ready for Solution</v>
      </c>
    </row>
    <row r="9" spans="1:38" x14ac:dyDescent="0.2">
      <c r="B9">
        <v>7</v>
      </c>
      <c r="C9" t="s">
        <v>37</v>
      </c>
      <c r="D9" t="s">
        <v>4</v>
      </c>
      <c r="E9" s="18" t="str">
        <f>VLOOKUP($C9,$AF:$AG,2,FALSE)</f>
        <v>Commercial</v>
      </c>
      <c r="F9" s="18">
        <f>H9*SUMIFS($H:$H,$J:$J,D9,$K:$K,E9)/G9</f>
        <v>0.1111111111111111</v>
      </c>
      <c r="G9" s="18">
        <f>SUMIFS($H$2:$H$1003,$E$2:$E$1003,E9,$D$2:$D$1003,D9)</f>
        <v>9</v>
      </c>
      <c r="H9" s="8">
        <v>1</v>
      </c>
      <c r="J9" t="s">
        <v>15</v>
      </c>
      <c r="K9" t="s">
        <v>5</v>
      </c>
      <c r="L9">
        <v>25</v>
      </c>
      <c r="M9" s="17">
        <f>SUMIF($J:$J,J9,$L:$L)</f>
        <v>100</v>
      </c>
      <c r="N9">
        <f t="shared" si="0"/>
        <v>28.125</v>
      </c>
      <c r="O9" s="17">
        <f>SUMIF($J:$J,J9,$N:$N)</f>
        <v>100</v>
      </c>
      <c r="P9">
        <f>COUNTIFS(E:E,K9,D:D,J9)</f>
        <v>9</v>
      </c>
      <c r="Q9" s="17">
        <f>SUMIF($J:$J,J9,$P:$P)</f>
        <v>32</v>
      </c>
      <c r="R9">
        <f>SUMIFS(F:F,E:E,K9,D:D,J9)</f>
        <v>1.0000000000000002</v>
      </c>
      <c r="S9" s="17">
        <f>SUMIF($J:$J,P9,$P:$P)</f>
        <v>0</v>
      </c>
      <c r="U9" s="13" t="s">
        <v>18</v>
      </c>
      <c r="V9" s="14">
        <v>0</v>
      </c>
      <c r="Y9">
        <v>0</v>
      </c>
      <c r="Z9" s="3">
        <f>SUMIF($E:$E,Y9,$F:$F)</f>
        <v>0</v>
      </c>
      <c r="AB9" s="18" t="str">
        <v>GS</v>
      </c>
      <c r="AC9" s="3">
        <f>SUMIF($C:$C,AB9,$F:$F)</f>
        <v>12.569446444444443</v>
      </c>
      <c r="AD9" s="18" t="str">
        <f>VLOOKUP(AB9,$AF:$AG,2,FALSE)</f>
        <v>Commercial</v>
      </c>
      <c r="AF9" t="s">
        <v>40</v>
      </c>
      <c r="AG9" t="s">
        <v>5</v>
      </c>
      <c r="AJ9" s="23" t="s">
        <v>113</v>
      </c>
      <c r="AK9" t="str" cm="1">
        <f t="array" ref="AK9:AL9">_xlfn.TEXTSPLIT(AJ9,"&gt;",)</f>
        <v xml:space="preserve"> SOLUTION </v>
      </c>
      <c r="AL9" t="str">
        <v xml:space="preserve"> High Level Design</v>
      </c>
    </row>
    <row r="10" spans="1:38" x14ac:dyDescent="0.2">
      <c r="B10">
        <v>8</v>
      </c>
      <c r="C10" t="s">
        <v>44</v>
      </c>
      <c r="D10" t="s">
        <v>4</v>
      </c>
      <c r="E10" s="18" t="str">
        <f>VLOOKUP($C10,$AF:$AG,2,FALSE)</f>
        <v>Corporate</v>
      </c>
      <c r="F10" s="18">
        <f>H10*SUMIFS($H:$H,$J:$J,D10,$K:$K,E10)/G10</f>
        <v>7.1428571428571425E-2</v>
      </c>
      <c r="G10" s="18">
        <f>SUMIFS($H$2:$H$1003,$E$2:$E$1003,E10,$D$2:$D$1003,D10)</f>
        <v>14</v>
      </c>
      <c r="H10" s="8">
        <v>1</v>
      </c>
      <c r="J10" t="s">
        <v>15</v>
      </c>
      <c r="K10" t="s">
        <v>6</v>
      </c>
      <c r="L10">
        <v>25</v>
      </c>
      <c r="M10" s="17">
        <f>SUMIF($J:$J,J10,$L:$L)</f>
        <v>100</v>
      </c>
      <c r="N10">
        <f t="shared" si="0"/>
        <v>9.375</v>
      </c>
      <c r="O10" s="17">
        <f>SUMIF($J:$J,J10,$N:$N)</f>
        <v>100</v>
      </c>
      <c r="P10">
        <f>COUNTIFS(E:E,K10,D:D,J10)</f>
        <v>3</v>
      </c>
      <c r="Q10" s="17">
        <f>SUMIF($J:$J,J10,$P:$P)</f>
        <v>32</v>
      </c>
      <c r="R10">
        <f>SUMIFS(F:F,E:E,K10,D:D,J10)</f>
        <v>1</v>
      </c>
      <c r="S10" s="17">
        <f>SUMIF($J:$J,P10,$P:$P)</f>
        <v>0</v>
      </c>
      <c r="Z10" s="3">
        <f>SUMIF($E:$E,Y10,$F:$F)</f>
        <v>0</v>
      </c>
      <c r="AB10" s="18" t="str">
        <v>ACR</v>
      </c>
      <c r="AC10" s="3">
        <f>SUMIF($C:$C,AB10,$F:$F)</f>
        <v>7.0938664688644693</v>
      </c>
      <c r="AD10" s="18" t="str">
        <f>VLOOKUP(AB10,$AF:$AG,2,FALSE)</f>
        <v>Corporate</v>
      </c>
      <c r="AF10" t="s">
        <v>21</v>
      </c>
      <c r="AG10" t="s">
        <v>5</v>
      </c>
      <c r="AJ10" s="23" t="s">
        <v>114</v>
      </c>
      <c r="AK10" t="str" cm="1">
        <f t="array" ref="AK10:AL10">_xlfn.TEXTSPLIT(AJ10,"&gt;",)</f>
        <v xml:space="preserve"> SOLUTION </v>
      </c>
      <c r="AL10" t="str">
        <v xml:space="preserve"> Ready for Development</v>
      </c>
    </row>
    <row r="11" spans="1:38" x14ac:dyDescent="0.2">
      <c r="B11">
        <v>9</v>
      </c>
      <c r="C11" t="s">
        <v>7</v>
      </c>
      <c r="D11" t="s">
        <v>4</v>
      </c>
      <c r="E11" s="18" t="str">
        <f>VLOOKUP($C11,$AF:$AG,2,FALSE)</f>
        <v>Operations</v>
      </c>
      <c r="F11" s="18">
        <f>H11*SUMIFS($H:$H,$J:$J,D11,$K:$K,E11)/G11</f>
        <v>0.33333333333333331</v>
      </c>
      <c r="G11" s="18">
        <f>SUMIFS($H$2:$H$1003,$E$2:$E$1003,E11,$D$2:$D$1003,D11)</f>
        <v>3</v>
      </c>
      <c r="H11" s="8">
        <v>1</v>
      </c>
      <c r="J11" t="s">
        <v>15</v>
      </c>
      <c r="K11" t="s">
        <v>12</v>
      </c>
      <c r="L11">
        <v>20</v>
      </c>
      <c r="M11" s="17">
        <f>SUMIF($J:$J,J11,$L:$L)</f>
        <v>100</v>
      </c>
      <c r="N11">
        <f t="shared" si="0"/>
        <v>40.625</v>
      </c>
      <c r="O11" s="17">
        <f>SUMIF($J:$J,J11,$N:$N)</f>
        <v>100</v>
      </c>
      <c r="P11">
        <f>COUNTIFS(E:E,K11,D:D,J11)</f>
        <v>13</v>
      </c>
      <c r="Q11" s="17">
        <f>SUMIF($J:$J,J11,$P:$P)</f>
        <v>32</v>
      </c>
      <c r="R11">
        <f>SUMIFS(F:F,E:E,K11,D:D,J11)</f>
        <v>0.99999999999999978</v>
      </c>
      <c r="S11" s="17">
        <f>SUMIF($J:$J,P11,$P:$P)</f>
        <v>0</v>
      </c>
      <c r="Z11" s="3">
        <f>SUMIF($E:$E,Y11,$F:$F)</f>
        <v>0</v>
      </c>
      <c r="AB11" s="18" t="str">
        <v>EDO</v>
      </c>
      <c r="AC11" s="3">
        <f>SUMIF($C:$C,AB11,$F:$F)</f>
        <v>36.666668666666666</v>
      </c>
      <c r="AD11" s="18" t="str">
        <f>VLOOKUP(AB11,$AF:$AG,2,FALSE)</f>
        <v>Operations</v>
      </c>
      <c r="AF11" t="s">
        <v>25</v>
      </c>
      <c r="AG11" t="s">
        <v>5</v>
      </c>
      <c r="AJ11" s="23" t="s">
        <v>115</v>
      </c>
      <c r="AK11" t="str" cm="1">
        <f t="array" ref="AK11:AL11">_xlfn.TEXTSPLIT(AJ11,"&gt;",)</f>
        <v xml:space="preserve"> SOLUTION </v>
      </c>
      <c r="AL11" t="str">
        <v xml:space="preserve"> In Definition</v>
      </c>
    </row>
    <row r="12" spans="1:38" x14ac:dyDescent="0.2">
      <c r="B12">
        <v>10</v>
      </c>
      <c r="C12" t="s">
        <v>59</v>
      </c>
      <c r="D12" t="s">
        <v>4</v>
      </c>
      <c r="E12" s="18" t="str">
        <f>VLOOKUP($C12,$AF:$AG,2,FALSE)</f>
        <v>Technology</v>
      </c>
      <c r="F12" s="18">
        <f>H12*SUMIFS($H:$H,$J:$J,D12,$K:$K,E12)/G12</f>
        <v>0.2</v>
      </c>
      <c r="G12" s="18">
        <f>SUMIFS($H$2:$H$1003,$E$2:$E$1003,E12,$D$2:$D$1003,D12)</f>
        <v>5</v>
      </c>
      <c r="H12" s="8">
        <v>1</v>
      </c>
      <c r="J12" t="s">
        <v>15</v>
      </c>
      <c r="K12" t="s">
        <v>8</v>
      </c>
      <c r="L12">
        <v>20</v>
      </c>
      <c r="M12" s="17">
        <f>SUMIF($J:$J,J12,$L:$L)</f>
        <v>100</v>
      </c>
      <c r="N12">
        <f t="shared" si="0"/>
        <v>15.625</v>
      </c>
      <c r="O12" s="17">
        <f>SUMIF($J:$J,J12,$N:$N)</f>
        <v>100</v>
      </c>
      <c r="P12">
        <f>COUNTIFS(E:E,K12,D:D,J12)</f>
        <v>5</v>
      </c>
      <c r="Q12" s="17">
        <f>SUMIF($J:$J,J12,$P:$P)</f>
        <v>32</v>
      </c>
      <c r="R12">
        <f>SUMIFS(F:F,E:E,K12,D:D,J12)</f>
        <v>1</v>
      </c>
      <c r="S12" s="17">
        <f>SUMIF($J:$J,P12,$P:$P)</f>
        <v>0</v>
      </c>
      <c r="Z12" s="3">
        <f>SUMIF($E:$E,Y12,$F:$F)</f>
        <v>0</v>
      </c>
      <c r="AB12" s="18" t="str">
        <v>SI-OPS</v>
      </c>
      <c r="AC12" s="3">
        <f>SUMIF($C:$C,AB12,$F:$F)</f>
        <v>16.000002000000002</v>
      </c>
      <c r="AD12" s="18" t="str">
        <f>VLOOKUP(AB12,$AF:$AG,2,FALSE)</f>
        <v>Technology</v>
      </c>
      <c r="AF12" t="s">
        <v>23</v>
      </c>
      <c r="AG12" t="s">
        <v>5</v>
      </c>
    </row>
    <row r="13" spans="1:38" x14ac:dyDescent="0.2">
      <c r="B13">
        <v>11</v>
      </c>
      <c r="C13" t="s">
        <v>36</v>
      </c>
      <c r="D13" t="s">
        <v>4</v>
      </c>
      <c r="E13" s="18" t="str">
        <f>VLOOKUP($C13,$AF:$AG,2,FALSE)</f>
        <v>Commercial</v>
      </c>
      <c r="F13" s="18">
        <f>H13*SUMIFS($H:$H,$J:$J,D13,$K:$K,E13)/G13</f>
        <v>0.1111111111111111</v>
      </c>
      <c r="G13" s="18">
        <f>SUMIFS($H$2:$H$1003,$E$2:$E$1003,E13,$D$2:$D$1003,D13)</f>
        <v>9</v>
      </c>
      <c r="H13" s="8">
        <v>1</v>
      </c>
      <c r="J13" t="s">
        <v>15</v>
      </c>
      <c r="K13" t="s">
        <v>74</v>
      </c>
      <c r="L13">
        <v>5</v>
      </c>
      <c r="M13" s="17">
        <f>SUMIF($J:$J,J13,$L:$L)</f>
        <v>100</v>
      </c>
      <c r="N13">
        <f t="shared" si="0"/>
        <v>3.125</v>
      </c>
      <c r="O13" s="17">
        <f>SUMIF($J:$J,J13,$N:$N)</f>
        <v>100</v>
      </c>
      <c r="P13">
        <f>COUNTIFS(E:E,K13,D:D,J13)</f>
        <v>1</v>
      </c>
      <c r="Q13" s="17">
        <f>SUMIF($J:$J,J13,$P:$P)</f>
        <v>32</v>
      </c>
      <c r="R13">
        <f>SUMIFS(F:F,E:E,K13,D:D,J13)</f>
        <v>1</v>
      </c>
      <c r="S13" s="17">
        <f>SUMIF($J:$J,P13,$P:$P)</f>
        <v>0</v>
      </c>
      <c r="Z13" s="3">
        <f>SUMIF($E:$E,Y13,$F:$F)</f>
        <v>0</v>
      </c>
      <c r="AB13" s="18" t="str">
        <v>DNI</v>
      </c>
      <c r="AC13" s="3">
        <f>SUMIF($C:$C,AB13,$F:$F)</f>
        <v>16.569446444444445</v>
      </c>
      <c r="AD13" s="18" t="str">
        <f>VLOOKUP(AB13,$AF:$AG,2,FALSE)</f>
        <v>Commercial</v>
      </c>
      <c r="AF13" t="s">
        <v>24</v>
      </c>
      <c r="AG13" t="s">
        <v>5</v>
      </c>
    </row>
    <row r="14" spans="1:38" x14ac:dyDescent="0.2">
      <c r="B14">
        <v>12</v>
      </c>
      <c r="C14" t="s">
        <v>46</v>
      </c>
      <c r="D14" t="s">
        <v>4</v>
      </c>
      <c r="E14" s="18" t="str">
        <f>VLOOKUP($C14,$AF:$AG,2,FALSE)</f>
        <v>Corporate</v>
      </c>
      <c r="F14" s="18">
        <f>H14*SUMIFS($H:$H,$J:$J,D14,$K:$K,E14)/G14</f>
        <v>7.1428571428571425E-2</v>
      </c>
      <c r="G14" s="18">
        <f>SUMIFS($H$2:$H$1003,$E$2:$E$1003,E14,$D$2:$D$1003,D14)</f>
        <v>14</v>
      </c>
      <c r="H14" s="8">
        <v>1</v>
      </c>
      <c r="J14" s="24" t="s">
        <v>15</v>
      </c>
      <c r="K14" s="24" t="s">
        <v>11</v>
      </c>
      <c r="L14">
        <v>5</v>
      </c>
      <c r="M14" s="17">
        <f>SUMIF($J:$J,J14,$L:$L)</f>
        <v>100</v>
      </c>
      <c r="N14">
        <f t="shared" si="0"/>
        <v>3.125</v>
      </c>
      <c r="O14" s="17">
        <f>SUMIF($J:$J,J14,$N:$N)</f>
        <v>100</v>
      </c>
      <c r="P14" s="24">
        <f>COUNTIFS(E:E,K14,D:D,J14)</f>
        <v>1</v>
      </c>
      <c r="Q14" s="17">
        <f>SUMIF($J:$J,J14,$P:$P)</f>
        <v>32</v>
      </c>
      <c r="R14">
        <f>SUMIFS(F:F,E:E,K14,D:D,J14)</f>
        <v>1</v>
      </c>
      <c r="S14" s="17">
        <f>SUMIF($J:$J,P14,$P:$P)</f>
        <v>0</v>
      </c>
      <c r="Z14" s="3">
        <f>SUMIF($E:$E,Y14,$F:$F)</f>
        <v>0</v>
      </c>
      <c r="AB14" s="18" t="str">
        <v>AVC</v>
      </c>
      <c r="AC14" s="3">
        <f>SUMIF($C:$C,AB14,$F:$F)</f>
        <v>7.0938664688644693</v>
      </c>
      <c r="AD14" s="18" t="str">
        <f>VLOOKUP(AB14,$AF:$AG,2,FALSE)</f>
        <v>Corporate</v>
      </c>
      <c r="AF14" t="s">
        <v>37</v>
      </c>
      <c r="AG14" t="s">
        <v>5</v>
      </c>
    </row>
    <row r="15" spans="1:38" x14ac:dyDescent="0.2">
      <c r="B15">
        <v>13</v>
      </c>
      <c r="C15" t="s">
        <v>42</v>
      </c>
      <c r="D15" t="s">
        <v>4</v>
      </c>
      <c r="E15" s="18" t="str">
        <f>VLOOKUP($C15,$AF:$AG,2,FALSE)</f>
        <v>Operations</v>
      </c>
      <c r="F15" s="18">
        <f>H15*SUMIFS($H:$H,$J:$J,D15,$K:$K,E15)/G15</f>
        <v>0.33333333333333331</v>
      </c>
      <c r="G15" s="18">
        <f>SUMIFS($H$2:$H$1003,$E$2:$E$1003,E15,$D$2:$D$1003,D15)</f>
        <v>3</v>
      </c>
      <c r="H15" s="8">
        <v>1</v>
      </c>
      <c r="J15" s="25" t="s">
        <v>4</v>
      </c>
      <c r="K15" s="25" t="s">
        <v>5</v>
      </c>
      <c r="L15">
        <v>25</v>
      </c>
      <c r="M15" s="17">
        <f>SUMIF($J:$J,J15,$L:$L)</f>
        <v>100</v>
      </c>
      <c r="N15">
        <f t="shared" si="0"/>
        <v>27.27272727272727</v>
      </c>
      <c r="O15" s="17">
        <f>SUMIF($J:$J,J15,$N:$N)</f>
        <v>100</v>
      </c>
      <c r="P15">
        <f>COUNTIFS(E:E,K15,D:D,J15)</f>
        <v>9</v>
      </c>
      <c r="Q15" s="17">
        <f>SUMIF($J:$J,J15,$P:$P)</f>
        <v>33</v>
      </c>
      <c r="R15">
        <f>SUMIFS(F:F,E:E,K15,D:D,J15)</f>
        <v>1.0000000000000002</v>
      </c>
      <c r="S15" s="17">
        <f>SUMIF($J:$J,P15,$P:$P)</f>
        <v>0</v>
      </c>
      <c r="Z15" s="7"/>
      <c r="AB15" s="18" t="str">
        <v>EM</v>
      </c>
      <c r="AC15" s="3">
        <f>SUMIF($C:$C,AB15,$F:$F)</f>
        <v>31.666668666666666</v>
      </c>
      <c r="AD15" s="18" t="str">
        <f>VLOOKUP(AB15,$AF:$AG,2,FALSE)</f>
        <v>Operations</v>
      </c>
      <c r="AF15" t="s">
        <v>68</v>
      </c>
      <c r="AG15" t="s">
        <v>5</v>
      </c>
    </row>
    <row r="16" spans="1:38" x14ac:dyDescent="0.2">
      <c r="B16">
        <v>14</v>
      </c>
      <c r="C16" t="s">
        <v>58</v>
      </c>
      <c r="D16" t="s">
        <v>4</v>
      </c>
      <c r="E16" s="18" t="str">
        <f>VLOOKUP($C16,$AF:$AG,2,FALSE)</f>
        <v>Technology</v>
      </c>
      <c r="F16" s="18">
        <f>H16*SUMIFS($H:$H,$J:$J,D16,$K:$K,E16)/G16</f>
        <v>0.2</v>
      </c>
      <c r="G16" s="18">
        <f>SUMIFS($H$2:$H$1003,$E$2:$E$1003,E16,$D$2:$D$1003,D16)</f>
        <v>5</v>
      </c>
      <c r="H16" s="8">
        <v>1</v>
      </c>
      <c r="J16" t="s">
        <v>4</v>
      </c>
      <c r="K16" t="s">
        <v>6</v>
      </c>
      <c r="L16">
        <v>25</v>
      </c>
      <c r="M16" s="17">
        <f>SUMIF($J:$J,J16,$L:$L)</f>
        <v>100</v>
      </c>
      <c r="N16">
        <f t="shared" si="0"/>
        <v>9.0909090909090917</v>
      </c>
      <c r="O16" s="17">
        <f>SUMIF($J:$J,J16,$N:$N)</f>
        <v>100</v>
      </c>
      <c r="P16">
        <f>COUNTIFS(E:E,K16,D:D,J16)</f>
        <v>3</v>
      </c>
      <c r="Q16" s="17">
        <f>SUMIF($J:$J,J16,$P:$P)</f>
        <v>33</v>
      </c>
      <c r="R16">
        <f>SUMIFS(F:F,E:E,K16,D:D,J16)</f>
        <v>1</v>
      </c>
      <c r="S16" s="17">
        <f>SUMIF($J:$J,P16,$P:$P)</f>
        <v>0</v>
      </c>
      <c r="Z16" s="7"/>
      <c r="AB16" s="18" t="str">
        <v>SI-PRD</v>
      </c>
      <c r="AC16" s="3">
        <f>SUMIF($C:$C,AB16,$F:$F)</f>
        <v>16.000002000000002</v>
      </c>
      <c r="AD16" s="18" t="str">
        <f>VLOOKUP(AB16,$AF:$AG,2,FALSE)</f>
        <v>Technology</v>
      </c>
      <c r="AF16" t="s">
        <v>44</v>
      </c>
      <c r="AG16" t="s">
        <v>12</v>
      </c>
    </row>
    <row r="17" spans="2:33" x14ac:dyDescent="0.2">
      <c r="B17">
        <v>15</v>
      </c>
      <c r="C17" t="s">
        <v>38</v>
      </c>
      <c r="D17" t="s">
        <v>4</v>
      </c>
      <c r="E17" s="18" t="str">
        <f>VLOOKUP($C17,$AF:$AG,2,FALSE)</f>
        <v>Commercial</v>
      </c>
      <c r="F17" s="18">
        <f>H17*SUMIFS($H:$H,$J:$J,D17,$K:$K,E17)/G17</f>
        <v>0.1111111111111111</v>
      </c>
      <c r="G17" s="18">
        <f>SUMIFS($H$2:$H$1003,$E$2:$E$1003,E17,$D$2:$D$1003,D17)</f>
        <v>9</v>
      </c>
      <c r="H17" s="8">
        <v>1</v>
      </c>
      <c r="J17" t="s">
        <v>4</v>
      </c>
      <c r="K17" t="s">
        <v>12</v>
      </c>
      <c r="L17">
        <v>20</v>
      </c>
      <c r="M17" s="17">
        <f>SUMIF($J:$J,J17,$L:$L)</f>
        <v>100</v>
      </c>
      <c r="N17">
        <f t="shared" si="0"/>
        <v>42.424242424242422</v>
      </c>
      <c r="O17" s="17">
        <f>SUMIF($J:$J,J17,$N:$N)</f>
        <v>100</v>
      </c>
      <c r="P17">
        <f>COUNTIFS(E:E,K17,D:D,J17)</f>
        <v>14</v>
      </c>
      <c r="Q17" s="17">
        <f>SUMIF($J:$J,J17,$P:$P)</f>
        <v>33</v>
      </c>
      <c r="R17">
        <f>SUMIFS(F:F,E:E,K17,D:D,J17)</f>
        <v>0.99999999999999967</v>
      </c>
      <c r="S17" s="17">
        <f>SUMIF($J:$J,P17,$P:$P)</f>
        <v>0</v>
      </c>
      <c r="Z17" s="7"/>
      <c r="AB17" s="18" t="str">
        <v>CSI</v>
      </c>
      <c r="AC17" s="3">
        <f>SUMIF($C:$C,AB17,$F:$F)</f>
        <v>10.569446444444443</v>
      </c>
      <c r="AD17" s="18" t="str">
        <f>VLOOKUP(AB17,$AF:$AG,2,FALSE)</f>
        <v>Commercial</v>
      </c>
      <c r="AF17" t="s">
        <v>67</v>
      </c>
      <c r="AG17" t="s">
        <v>12</v>
      </c>
    </row>
    <row r="18" spans="2:33" x14ac:dyDescent="0.2">
      <c r="B18">
        <v>16</v>
      </c>
      <c r="C18" t="s">
        <v>47</v>
      </c>
      <c r="D18" t="s">
        <v>4</v>
      </c>
      <c r="E18" s="18" t="str">
        <f>VLOOKUP($C18,$AF:$AG,2,FALSE)</f>
        <v>Corporate</v>
      </c>
      <c r="F18" s="18">
        <f>H18*SUMIFS($H:$H,$J:$J,D18,$K:$K,E18)/G18</f>
        <v>7.1428571428571425E-2</v>
      </c>
      <c r="G18" s="18">
        <f>SUMIFS($H$2:$H$1003,$E$2:$E$1003,E18,$D$2:$D$1003,D18)</f>
        <v>14</v>
      </c>
      <c r="H18" s="8">
        <v>1</v>
      </c>
      <c r="J18" t="s">
        <v>4</v>
      </c>
      <c r="K18" t="s">
        <v>8</v>
      </c>
      <c r="L18">
        <v>20</v>
      </c>
      <c r="M18" s="17">
        <f>SUMIF($J:$J,J18,$L:$L)</f>
        <v>100</v>
      </c>
      <c r="N18">
        <f t="shared" si="0"/>
        <v>15.151515151515152</v>
      </c>
      <c r="O18" s="17">
        <f>SUMIF($J:$J,J18,$N:$N)</f>
        <v>100</v>
      </c>
      <c r="P18">
        <f>COUNTIFS(E:E,K18,D:D,J18)</f>
        <v>5</v>
      </c>
      <c r="Q18" s="17">
        <f>SUMIF($J:$J,J18,$P:$P)</f>
        <v>33</v>
      </c>
      <c r="R18">
        <f>SUMIFS(F:F,E:E,K18,D:D,J18)</f>
        <v>1</v>
      </c>
      <c r="S18" s="17">
        <f>SUMIF($J:$J,P18,$P:$P)</f>
        <v>0</v>
      </c>
      <c r="U18" s="35" t="s">
        <v>455</v>
      </c>
      <c r="Z18" s="7"/>
      <c r="AB18" s="18" t="str">
        <v>GT</v>
      </c>
      <c r="AC18" s="3">
        <f>SUMIF($C:$C,AB18,$F:$F)</f>
        <v>7.0938664688644693</v>
      </c>
      <c r="AD18" s="18" t="str">
        <f>VLOOKUP(AB18,$AF:$AG,2,FALSE)</f>
        <v>Corporate</v>
      </c>
      <c r="AF18" t="s">
        <v>46</v>
      </c>
      <c r="AG18" t="s">
        <v>12</v>
      </c>
    </row>
    <row r="19" spans="2:33" x14ac:dyDescent="0.2">
      <c r="B19">
        <v>17</v>
      </c>
      <c r="C19" t="s">
        <v>34</v>
      </c>
      <c r="D19" t="s">
        <v>4</v>
      </c>
      <c r="E19" s="18" t="str">
        <f>VLOOKUP($C19,$AF:$AG,2,FALSE)</f>
        <v>Technology</v>
      </c>
      <c r="F19" s="18">
        <f>H19*SUMIFS($H:$H,$J:$J,D19,$K:$K,E19)/G19</f>
        <v>0.2</v>
      </c>
      <c r="G19" s="18">
        <f>SUMIFS($H$2:$H$1003,$E$2:$E$1003,E19,$D$2:$D$1003,D19)</f>
        <v>5</v>
      </c>
      <c r="H19" s="8">
        <v>1</v>
      </c>
      <c r="J19" t="s">
        <v>4</v>
      </c>
      <c r="K19" t="s">
        <v>74</v>
      </c>
      <c r="L19">
        <v>5</v>
      </c>
      <c r="M19" s="17">
        <f>SUMIF($J:$J,J19,$L:$L)</f>
        <v>100</v>
      </c>
      <c r="N19">
        <f t="shared" si="0"/>
        <v>3.0303030303030303</v>
      </c>
      <c r="O19" s="17">
        <f>SUMIF($J:$J,J19,$N:$N)</f>
        <v>100</v>
      </c>
      <c r="P19">
        <f>COUNTIFS(E:E,K19,D:D,J19)</f>
        <v>1</v>
      </c>
      <c r="Q19" s="17">
        <f>SUMIF($J:$J,J19,$P:$P)</f>
        <v>33</v>
      </c>
      <c r="R19">
        <f>SUMIFS(F:F,E:E,K19,D:D,J19)</f>
        <v>1</v>
      </c>
      <c r="S19" s="17">
        <f>SUMIF($J:$J,P19,$P:$P)</f>
        <v>0</v>
      </c>
      <c r="Z19" s="7"/>
      <c r="AB19" s="18" t="str">
        <v>BCTT</v>
      </c>
      <c r="AC19" s="3">
        <f>SUMIF($C:$C,AB19,$F:$F)</f>
        <v>16.000002000000002</v>
      </c>
      <c r="AD19" s="18" t="str">
        <f>VLOOKUP(AB19,$AF:$AG,2,FALSE)</f>
        <v>Technology</v>
      </c>
      <c r="AF19" t="s">
        <v>22</v>
      </c>
      <c r="AG19" t="s">
        <v>12</v>
      </c>
    </row>
    <row r="20" spans="2:33" x14ac:dyDescent="0.2">
      <c r="B20">
        <v>18</v>
      </c>
      <c r="C20" t="s">
        <v>25</v>
      </c>
      <c r="D20" t="s">
        <v>4</v>
      </c>
      <c r="E20" s="18" t="str">
        <f>VLOOKUP($C20,$AF:$AG,2,FALSE)</f>
        <v>Commercial</v>
      </c>
      <c r="F20" s="18">
        <f>H20*SUMIFS($H:$H,$J:$J,D20,$K:$K,E20)/G20</f>
        <v>0.1111111111111111</v>
      </c>
      <c r="G20" s="18">
        <f>SUMIFS($H$2:$H$1003,$E$2:$E$1003,E20,$D$2:$D$1003,D20)</f>
        <v>9</v>
      </c>
      <c r="H20" s="8">
        <v>1</v>
      </c>
      <c r="J20" s="24" t="s">
        <v>4</v>
      </c>
      <c r="K20" s="24" t="s">
        <v>11</v>
      </c>
      <c r="L20">
        <v>5</v>
      </c>
      <c r="M20" s="17">
        <f>SUMIF($J:$J,J20,$L:$L)</f>
        <v>100</v>
      </c>
      <c r="N20">
        <f t="shared" si="0"/>
        <v>3.0303030303030303</v>
      </c>
      <c r="O20" s="17">
        <f>SUMIF($J:$J,J20,$N:$N)</f>
        <v>100</v>
      </c>
      <c r="P20" s="24">
        <f>COUNTIFS(E:E,K20,D:D,J20)</f>
        <v>1</v>
      </c>
      <c r="Q20" s="17">
        <f>SUMIF($J:$J,J20,$P:$P)</f>
        <v>33</v>
      </c>
      <c r="R20">
        <f>SUMIFS(F:F,E:E,K20,D:D,J20)</f>
        <v>1</v>
      </c>
      <c r="S20" s="17">
        <f>SUMIF($J:$J,P20,$P:$P)</f>
        <v>0</v>
      </c>
      <c r="Z20" s="7"/>
      <c r="AB20" s="18" t="str">
        <v>GP B2C</v>
      </c>
      <c r="AC20" s="3">
        <f>SUMIF($C:$C,AB20,$F:$F)</f>
        <v>9.5694464444444431</v>
      </c>
      <c r="AD20" s="18" t="str">
        <f>VLOOKUP(AB20,$AF:$AG,2,FALSE)</f>
        <v>Commercial</v>
      </c>
      <c r="AF20" t="s">
        <v>69</v>
      </c>
      <c r="AG20" t="s">
        <v>12</v>
      </c>
    </row>
    <row r="21" spans="2:33" x14ac:dyDescent="0.2">
      <c r="B21">
        <v>19</v>
      </c>
      <c r="C21" t="s">
        <v>35</v>
      </c>
      <c r="D21" t="s">
        <v>4</v>
      </c>
      <c r="E21" s="18" t="str">
        <f>VLOOKUP($C21,$AF:$AG,2,FALSE)</f>
        <v>Corporate</v>
      </c>
      <c r="F21" s="18">
        <f>H21*SUMIFS($H:$H,$J:$J,D21,$K:$K,E21)/G21</f>
        <v>7.1428571428571425E-2</v>
      </c>
      <c r="G21" s="18">
        <f>SUMIFS($H$2:$H$1003,$E$2:$E$1003,E21,$D$2:$D$1003,D21)</f>
        <v>14</v>
      </c>
      <c r="H21" s="8">
        <v>1</v>
      </c>
      <c r="J21" s="25" t="s">
        <v>17</v>
      </c>
      <c r="K21" s="25" t="s">
        <v>5</v>
      </c>
      <c r="L21">
        <v>25</v>
      </c>
      <c r="M21" s="17">
        <f>SUMIF($J:$J,J21,$L:$L)</f>
        <v>100</v>
      </c>
      <c r="N21">
        <f t="shared" si="0"/>
        <v>25</v>
      </c>
      <c r="O21" s="17">
        <f>SUMIF($J:$J,J21,$N:$N)</f>
        <v>100</v>
      </c>
      <c r="P21">
        <f>COUNTIFS(E:E,K21,D:D,J21)</f>
        <v>8</v>
      </c>
      <c r="Q21" s="17">
        <f>SUMIF($J:$J,J21,$P:$P)</f>
        <v>32</v>
      </c>
      <c r="R21">
        <f>SUMIFS(F:F,E:E,K21,D:D,J21)</f>
        <v>1</v>
      </c>
      <c r="S21" s="17">
        <f>SUMIF($J:$J,P21,$P:$P)</f>
        <v>0</v>
      </c>
      <c r="Z21" s="7"/>
      <c r="AB21" s="18" t="str">
        <v>GRH</v>
      </c>
      <c r="AC21" s="3">
        <f>SUMIF($C:$C,AB21,$F:$F)</f>
        <v>7.0938664688644693</v>
      </c>
      <c r="AD21" s="18" t="str">
        <f>VLOOKUP(AB21,$AF:$AG,2,FALSE)</f>
        <v>Corporate</v>
      </c>
      <c r="AF21" t="s">
        <v>72</v>
      </c>
      <c r="AG21" t="s">
        <v>12</v>
      </c>
    </row>
    <row r="22" spans="2:33" x14ac:dyDescent="0.2">
      <c r="B22">
        <v>20</v>
      </c>
      <c r="C22" t="s">
        <v>60</v>
      </c>
      <c r="D22" t="s">
        <v>4</v>
      </c>
      <c r="E22" s="18" t="str">
        <f>VLOOKUP($C22,$AF:$AG,2,FALSE)</f>
        <v>Technology</v>
      </c>
      <c r="F22" s="18">
        <f>H22*SUMIFS($H:$H,$J:$J,D22,$K:$K,E22)/G22</f>
        <v>0.2</v>
      </c>
      <c r="G22" s="18">
        <f>SUMIFS($H$2:$H$1003,$E$2:$E$1003,E22,$D$2:$D$1003,D22)</f>
        <v>5</v>
      </c>
      <c r="H22" s="8">
        <v>1</v>
      </c>
      <c r="J22" t="s">
        <v>17</v>
      </c>
      <c r="K22" t="s">
        <v>6</v>
      </c>
      <c r="L22">
        <v>25</v>
      </c>
      <c r="M22" s="17">
        <f>SUMIF($J:$J,J22,$L:$L)</f>
        <v>100</v>
      </c>
      <c r="N22">
        <f t="shared" si="0"/>
        <v>9.375</v>
      </c>
      <c r="O22" s="17">
        <f>SUMIF($J:$J,J22,$N:$N)</f>
        <v>100</v>
      </c>
      <c r="P22">
        <f>COUNTIFS(E:E,K22,D:D,J22)</f>
        <v>3</v>
      </c>
      <c r="Q22" s="17">
        <f>SUMIF($J:$J,J22,$P:$P)</f>
        <v>32</v>
      </c>
      <c r="R22">
        <f>SUMIFS(F:F,E:E,K22,D:D,J22)</f>
        <v>1</v>
      </c>
      <c r="S22" s="17">
        <f>SUMIF($J:$J,P22,$P:$P)</f>
        <v>0</v>
      </c>
      <c r="Z22" s="7"/>
      <c r="AB22" s="18" t="str">
        <v>SI-CRP</v>
      </c>
      <c r="AC22" s="3">
        <f>SUMIF($C:$C,AB22,$F:$F)</f>
        <v>16.000002000000002</v>
      </c>
      <c r="AD22" s="18" t="str">
        <f>VLOOKUP(AB22,$AF:$AG,2,FALSE)</f>
        <v>Technology</v>
      </c>
      <c r="AF22" t="s">
        <v>48</v>
      </c>
      <c r="AG22" t="s">
        <v>12</v>
      </c>
    </row>
    <row r="23" spans="2:33" x14ac:dyDescent="0.2">
      <c r="B23">
        <v>21</v>
      </c>
      <c r="C23" t="s">
        <v>23</v>
      </c>
      <c r="D23" t="s">
        <v>4</v>
      </c>
      <c r="E23" s="18" t="str">
        <f>VLOOKUP($C23,$AF:$AG,2,FALSE)</f>
        <v>Commercial</v>
      </c>
      <c r="F23" s="18">
        <f>H23*SUMIFS($H:$H,$J:$J,D23,$K:$K,E23)/G23</f>
        <v>0.1111111111111111</v>
      </c>
      <c r="G23" s="18">
        <f>SUMIFS($H$2:$H$1003,$E$2:$E$1003,E23,$D$2:$D$1003,D23)</f>
        <v>9</v>
      </c>
      <c r="H23" s="8">
        <v>1</v>
      </c>
      <c r="J23" t="s">
        <v>17</v>
      </c>
      <c r="K23" t="s">
        <v>12</v>
      </c>
      <c r="L23">
        <v>20</v>
      </c>
      <c r="M23" s="17">
        <f>SUMIF($J:$J,J23,$L:$L)</f>
        <v>100</v>
      </c>
      <c r="N23">
        <f t="shared" si="0"/>
        <v>25</v>
      </c>
      <c r="O23" s="17">
        <f>SUMIF($J:$J,J23,$N:$N)</f>
        <v>100</v>
      </c>
      <c r="P23">
        <f>COUNTIFS(E:E,K23,D:D,J23)</f>
        <v>8</v>
      </c>
      <c r="Q23" s="17">
        <f>SUMIF($J:$J,J23,$P:$P)</f>
        <v>32</v>
      </c>
      <c r="R23">
        <f>SUMIFS(F:F,E:E,K23,D:D,J23)</f>
        <v>1</v>
      </c>
      <c r="S23" s="17">
        <f>SUMIF($J:$J,P23,$P:$P)</f>
        <v>0</v>
      </c>
      <c r="Z23" s="7"/>
      <c r="AB23" s="18" t="str">
        <v>GP ECL</v>
      </c>
      <c r="AC23" s="3">
        <f>SUMIF($C:$C,AB23,$F:$F)</f>
        <v>16.569446444444445</v>
      </c>
      <c r="AD23" s="18" t="str">
        <f>VLOOKUP(AB23,$AF:$AG,2,FALSE)</f>
        <v>Commercial</v>
      </c>
      <c r="AF23" t="s">
        <v>50</v>
      </c>
      <c r="AG23" t="s">
        <v>12</v>
      </c>
    </row>
    <row r="24" spans="2:33" x14ac:dyDescent="0.2">
      <c r="B24">
        <v>22</v>
      </c>
      <c r="C24" t="s">
        <v>98</v>
      </c>
      <c r="D24" t="s">
        <v>4</v>
      </c>
      <c r="E24" s="18" t="str">
        <f>VLOOKUP($C24,$AF:$AG,2,FALSE)</f>
        <v>Corporate</v>
      </c>
      <c r="F24" s="18">
        <f>H24*SUMIFS($H:$H,$J:$J,D24,$K:$K,E24)/G24</f>
        <v>7.1428571428571425E-2</v>
      </c>
      <c r="G24" s="18">
        <f>SUMIFS($H$2:$H$1003,$E$2:$E$1003,E24,$D$2:$D$1003,D24)</f>
        <v>14</v>
      </c>
      <c r="H24" s="8">
        <v>1</v>
      </c>
      <c r="J24" t="s">
        <v>17</v>
      </c>
      <c r="K24" t="s">
        <v>8</v>
      </c>
      <c r="L24">
        <v>20</v>
      </c>
      <c r="M24" s="17">
        <f>SUMIF($J:$J,J24,$L:$L)</f>
        <v>100</v>
      </c>
      <c r="N24">
        <f t="shared" si="0"/>
        <v>15.625</v>
      </c>
      <c r="O24" s="17">
        <f>SUMIF($J:$J,J24,$N:$N)</f>
        <v>100</v>
      </c>
      <c r="P24">
        <f>COUNTIFS(E:E,K24,D:D,J24)</f>
        <v>5</v>
      </c>
      <c r="Q24" s="17">
        <f>SUMIF($J:$J,J24,$P:$P)</f>
        <v>32</v>
      </c>
      <c r="R24">
        <f>SUMIFS(F:F,E:E,K24,D:D,J24)</f>
        <v>1</v>
      </c>
      <c r="S24" s="17">
        <f>SUMIF($J:$J,P24,$P:$P)</f>
        <v>0</v>
      </c>
      <c r="Z24" s="7"/>
      <c r="AB24" s="18" t="str">
        <v>PC</v>
      </c>
      <c r="AC24" s="3">
        <f>SUMIF($C:$C,AB24,$F:$F)</f>
        <v>7.0938664688644693</v>
      </c>
      <c r="AD24" s="18" t="str">
        <f>VLOOKUP(AB24,$AF:$AG,2,FALSE)</f>
        <v>Corporate</v>
      </c>
      <c r="AF24" t="s">
        <v>73</v>
      </c>
      <c r="AG24" t="s">
        <v>12</v>
      </c>
    </row>
    <row r="25" spans="2:33" x14ac:dyDescent="0.2">
      <c r="B25">
        <v>23</v>
      </c>
      <c r="C25" t="s">
        <v>24</v>
      </c>
      <c r="D25" t="s">
        <v>4</v>
      </c>
      <c r="E25" s="18" t="str">
        <f>VLOOKUP($C25,$AF:$AG,2,FALSE)</f>
        <v>Commercial</v>
      </c>
      <c r="F25" s="18">
        <f>H25*SUMIFS($H:$H,$J:$J,D25,$K:$K,E25)/G25</f>
        <v>0.1111111111111111</v>
      </c>
      <c r="G25" s="18">
        <f>SUMIFS($H$2:$H$1003,$E$2:$E$1003,E25,$D$2:$D$1003,D25)</f>
        <v>9</v>
      </c>
      <c r="H25" s="8">
        <v>1</v>
      </c>
      <c r="J25" t="s">
        <v>17</v>
      </c>
      <c r="K25" t="s">
        <v>74</v>
      </c>
      <c r="L25">
        <v>5</v>
      </c>
      <c r="M25" s="17">
        <f>SUMIF($J:$J,J25,$L:$L)</f>
        <v>100</v>
      </c>
      <c r="N25">
        <f t="shared" si="0"/>
        <v>21.875</v>
      </c>
      <c r="O25" s="17">
        <f>SUMIF($J:$J,J25,$N:$N)</f>
        <v>100</v>
      </c>
      <c r="P25">
        <f>COUNTIFS(E:E,K25,D:D,J25)</f>
        <v>7</v>
      </c>
      <c r="Q25" s="17">
        <f>SUMIF($J:$J,J25,$P:$P)</f>
        <v>32</v>
      </c>
      <c r="R25">
        <f>SUMIFS(F:F,E:E,K25,D:D,J25)</f>
        <v>0.99999999999999978</v>
      </c>
      <c r="S25" s="17">
        <f>SUMIF($J:$J,P25,$P:$P)</f>
        <v>0</v>
      </c>
      <c r="Z25" s="7"/>
      <c r="AB25" s="18" t="str">
        <v>GPG</v>
      </c>
      <c r="AC25" s="3">
        <f>SUMIF($C:$C,AB25,$F:$F)</f>
        <v>9.5694464444444431</v>
      </c>
      <c r="AD25" s="18" t="str">
        <f>VLOOKUP(AB25,$AF:$AG,2,FALSE)</f>
        <v>Commercial</v>
      </c>
      <c r="AF25" t="s">
        <v>54</v>
      </c>
      <c r="AG25" t="s">
        <v>12</v>
      </c>
    </row>
    <row r="26" spans="2:33" x14ac:dyDescent="0.2">
      <c r="B26">
        <v>24</v>
      </c>
      <c r="C26" t="s">
        <v>45</v>
      </c>
      <c r="D26" t="s">
        <v>4</v>
      </c>
      <c r="E26" s="18" t="str">
        <f>VLOOKUP($C26,$AF:$AG,2,FALSE)</f>
        <v>Corporate</v>
      </c>
      <c r="F26" s="18">
        <f>H26*SUMIFS($H:$H,$J:$J,D26,$K:$K,E26)/G26</f>
        <v>7.1428571428571425E-2</v>
      </c>
      <c r="G26" s="18">
        <f>SUMIFS($H$2:$H$1003,$E$2:$E$1003,E26,$D$2:$D$1003,D26)</f>
        <v>14</v>
      </c>
      <c r="H26" s="8">
        <v>1</v>
      </c>
      <c r="J26" s="24" t="s">
        <v>17</v>
      </c>
      <c r="K26" s="24" t="s">
        <v>11</v>
      </c>
      <c r="L26">
        <v>5</v>
      </c>
      <c r="M26" s="17">
        <f>SUMIF($J:$J,J26,$L:$L)</f>
        <v>100</v>
      </c>
      <c r="N26">
        <f t="shared" si="0"/>
        <v>3.125</v>
      </c>
      <c r="O26" s="17">
        <f>SUMIF($J:$J,J26,$N:$N)</f>
        <v>100</v>
      </c>
      <c r="P26" s="24">
        <f>COUNTIFS(E:E,K26,D:D,J26)</f>
        <v>1</v>
      </c>
      <c r="Q26" s="17">
        <f>SUMIF($J:$J,J26,$P:$P)</f>
        <v>32</v>
      </c>
      <c r="R26">
        <f>SUMIFS(F:F,E:E,K26,D:D,J26)</f>
        <v>1</v>
      </c>
      <c r="S26" s="17">
        <f>SUMIF($J:$J,P26,$P:$P)</f>
        <v>0</v>
      </c>
      <c r="Z26" s="7"/>
      <c r="AB26" s="18" t="str">
        <v>RS</v>
      </c>
      <c r="AC26" s="3">
        <f>SUMIF($C:$C,AB26,$F:$F)</f>
        <v>7.0938664688644693</v>
      </c>
      <c r="AD26" s="18" t="str">
        <f>VLOOKUP(AB26,$AF:$AG,2,FALSE)</f>
        <v>Corporate</v>
      </c>
      <c r="AF26" t="s">
        <v>56</v>
      </c>
      <c r="AG26" t="s">
        <v>12</v>
      </c>
    </row>
    <row r="27" spans="2:33" x14ac:dyDescent="0.2">
      <c r="B27">
        <v>25</v>
      </c>
      <c r="C27" t="s">
        <v>40</v>
      </c>
      <c r="D27" t="s">
        <v>4</v>
      </c>
      <c r="E27" s="18" t="str">
        <f>VLOOKUP($C27,$AF:$AG,2,FALSE)</f>
        <v>Commercial</v>
      </c>
      <c r="F27" s="18">
        <f>H27*SUMIFS($H:$H,$J:$J,D27,$K:$K,E27)/G27</f>
        <v>0.1111111111111111</v>
      </c>
      <c r="G27" s="18">
        <f>SUMIFS($H$2:$H$1003,$E$2:$E$1003,E27,$D$2:$D$1003,D27)</f>
        <v>9</v>
      </c>
      <c r="H27" s="8">
        <v>1</v>
      </c>
      <c r="J27" s="25" t="s">
        <v>16</v>
      </c>
      <c r="K27" s="25" t="s">
        <v>5</v>
      </c>
      <c r="L27">
        <v>25</v>
      </c>
      <c r="M27" s="17">
        <f>SUMIF($J:$J,J27,$L:$L)</f>
        <v>100</v>
      </c>
      <c r="N27">
        <f t="shared" si="0"/>
        <v>28.125</v>
      </c>
      <c r="O27" s="17">
        <f>SUMIF($J:$J,J27,$N:$N)</f>
        <v>100</v>
      </c>
      <c r="P27">
        <f>COUNTIFS(E:E,K27,D:D,J27)</f>
        <v>9</v>
      </c>
      <c r="Q27" s="17">
        <f>SUMIF($J:$J,J27,$P:$P)</f>
        <v>32</v>
      </c>
      <c r="R27">
        <f>SUMIFS(F:F,E:E,K27,D:D,J27)</f>
        <v>1.0000000000000002</v>
      </c>
      <c r="S27" s="17">
        <f>SUMIF($J:$J,P27,$P:$P)</f>
        <v>0</v>
      </c>
      <c r="Z27" s="7"/>
      <c r="AB27" s="18" t="str">
        <v>ECM</v>
      </c>
      <c r="AC27" s="3">
        <f>SUMIF($C:$C,AB27,$F:$F)</f>
        <v>3.5694464444444445</v>
      </c>
      <c r="AD27" s="18" t="str">
        <f>VLOOKUP(AB27,$AF:$AG,2,FALSE)</f>
        <v>Commercial</v>
      </c>
      <c r="AF27" t="s">
        <v>35</v>
      </c>
      <c r="AG27" t="s">
        <v>12</v>
      </c>
    </row>
    <row r="28" spans="2:33" x14ac:dyDescent="0.2">
      <c r="B28">
        <v>26</v>
      </c>
      <c r="C28" t="s">
        <v>48</v>
      </c>
      <c r="D28" t="s">
        <v>4</v>
      </c>
      <c r="E28" s="18" t="str">
        <f>VLOOKUP($C28,$AF:$AG,2,FALSE)</f>
        <v>Corporate</v>
      </c>
      <c r="F28" s="18">
        <f>H28*SUMIFS($H:$H,$J:$J,D28,$K:$K,E28)/G28</f>
        <v>7.1428571428571425E-2</v>
      </c>
      <c r="G28" s="18">
        <f>SUMIFS($H$2:$H$1003,$E$2:$E$1003,E28,$D$2:$D$1003,D28)</f>
        <v>14</v>
      </c>
      <c r="H28" s="8">
        <v>1</v>
      </c>
      <c r="J28" t="s">
        <v>16</v>
      </c>
      <c r="K28" t="s">
        <v>6</v>
      </c>
      <c r="L28">
        <v>25</v>
      </c>
      <c r="M28" s="17">
        <f>SUMIF($J:$J,J28,$L:$L)</f>
        <v>100</v>
      </c>
      <c r="N28">
        <f t="shared" si="0"/>
        <v>9.375</v>
      </c>
      <c r="O28" s="17">
        <f>SUMIF($J:$J,J28,$N:$N)</f>
        <v>100</v>
      </c>
      <c r="P28">
        <f>COUNTIFS(E:E,K28,D:D,J28)</f>
        <v>3</v>
      </c>
      <c r="Q28" s="17">
        <f>SUMIF($J:$J,J28,$P:$P)</f>
        <v>32</v>
      </c>
      <c r="R28">
        <f>SUMIFS(F:F,E:E,K28,D:D,J28)</f>
        <v>1</v>
      </c>
      <c r="S28" s="17">
        <f>SUMIF($J:$J,P28,$P:$P)</f>
        <v>0</v>
      </c>
      <c r="Z28" s="7"/>
      <c r="AB28" s="18" t="str">
        <v>CL</v>
      </c>
      <c r="AC28" s="3">
        <f>SUMIF($C:$C,AB28,$F:$F)</f>
        <v>7.0938664688644693</v>
      </c>
      <c r="AD28" s="18" t="str">
        <f>VLOOKUP(AB28,$AF:$AG,2,FALSE)</f>
        <v>Corporate</v>
      </c>
      <c r="AF28" t="s">
        <v>47</v>
      </c>
      <c r="AG28" t="s">
        <v>12</v>
      </c>
    </row>
    <row r="29" spans="2:33" x14ac:dyDescent="0.2">
      <c r="B29">
        <v>27</v>
      </c>
      <c r="C29" t="s">
        <v>39</v>
      </c>
      <c r="D29" t="s">
        <v>4</v>
      </c>
      <c r="E29" s="18" t="str">
        <f>VLOOKUP($C29,$AF:$AG,2,FALSE)</f>
        <v>Commercial</v>
      </c>
      <c r="F29" s="18">
        <f>H29*SUMIFS($H:$H,$J:$J,D29,$K:$K,E29)/G29</f>
        <v>0.1111111111111111</v>
      </c>
      <c r="G29" s="18">
        <f>SUMIFS($H$2:$H$1003,$E$2:$E$1003,E29,$D$2:$D$1003,D29)</f>
        <v>9</v>
      </c>
      <c r="H29" s="8">
        <v>1</v>
      </c>
      <c r="J29" t="s">
        <v>16</v>
      </c>
      <c r="K29" t="s">
        <v>12</v>
      </c>
      <c r="L29">
        <v>20</v>
      </c>
      <c r="M29" s="17">
        <f>SUMIF($J:$J,J29,$L:$L)</f>
        <v>100</v>
      </c>
      <c r="N29">
        <f t="shared" si="0"/>
        <v>40.625</v>
      </c>
      <c r="O29" s="17">
        <f>SUMIF($J:$J,J29,$N:$N)</f>
        <v>100</v>
      </c>
      <c r="P29">
        <f>COUNTIFS(E:E,K29,D:D,J29)</f>
        <v>13</v>
      </c>
      <c r="Q29" s="17">
        <f>SUMIF($J:$J,J29,$P:$P)</f>
        <v>32</v>
      </c>
      <c r="R29">
        <f>SUMIFS(F:F,E:E,K29,D:D,J29)</f>
        <v>0.99999999999999978</v>
      </c>
      <c r="S29" s="17">
        <f>SUMIF($J:$J,P29,$P:$P)</f>
        <v>0</v>
      </c>
      <c r="Z29" s="7"/>
      <c r="AB29" s="18" t="str">
        <v>CTTE</v>
      </c>
      <c r="AC29" s="3">
        <f>SUMIF($C:$C,AB29,$F:$F)</f>
        <v>9.5873035873015873</v>
      </c>
      <c r="AD29" s="18" t="str">
        <f>VLOOKUP(AB29,$AF:$AG,2,FALSE)</f>
        <v>Commercial</v>
      </c>
      <c r="AF29" t="s">
        <v>98</v>
      </c>
      <c r="AG29" t="s">
        <v>12</v>
      </c>
    </row>
    <row r="30" spans="2:33" x14ac:dyDescent="0.2">
      <c r="B30">
        <v>28</v>
      </c>
      <c r="C30" t="s">
        <v>54</v>
      </c>
      <c r="D30" t="s">
        <v>4</v>
      </c>
      <c r="E30" s="18" t="str">
        <f>VLOOKUP($C30,$AF:$AG,2,FALSE)</f>
        <v>Corporate</v>
      </c>
      <c r="F30" s="18">
        <f>H30*SUMIFS($H:$H,$J:$J,D30,$K:$K,E30)/G30</f>
        <v>7.1428571428571425E-2</v>
      </c>
      <c r="G30" s="18">
        <f>SUMIFS($H$2:$H$1003,$E$2:$E$1003,E30,$D$2:$D$1003,D30)</f>
        <v>14</v>
      </c>
      <c r="H30" s="8">
        <v>1</v>
      </c>
      <c r="J30" t="s">
        <v>16</v>
      </c>
      <c r="K30" t="s">
        <v>8</v>
      </c>
      <c r="L30">
        <v>20</v>
      </c>
      <c r="M30" s="17">
        <f>SUMIF($J:$J,J30,$L:$L)</f>
        <v>100</v>
      </c>
      <c r="N30">
        <f t="shared" si="0"/>
        <v>15.625</v>
      </c>
      <c r="O30" s="17">
        <f>SUMIF($J:$J,J30,$N:$N)</f>
        <v>100</v>
      </c>
      <c r="P30">
        <f>COUNTIFS(E:E,K30,D:D,J30)</f>
        <v>5</v>
      </c>
      <c r="Q30" s="17">
        <f>SUMIF($J:$J,J30,$P:$P)</f>
        <v>32</v>
      </c>
      <c r="R30">
        <f>SUMIFS(F:F,E:E,K30,D:D,J30)</f>
        <v>1</v>
      </c>
      <c r="S30" s="17">
        <f>SUMIF($J:$J,P30,$P:$P)</f>
        <v>0</v>
      </c>
      <c r="Z30" s="7"/>
      <c r="AB30" s="18" t="str">
        <v>DPO</v>
      </c>
      <c r="AC30" s="3">
        <f>SUMIF($C:$C,AB30,$F:$F)</f>
        <v>7.1117236117216125</v>
      </c>
      <c r="AD30" s="18" t="str">
        <f>VLOOKUP(AB30,$AF:$AG,2,FALSE)</f>
        <v>Corporate</v>
      </c>
      <c r="AF30" t="s">
        <v>71</v>
      </c>
      <c r="AG30" t="s">
        <v>12</v>
      </c>
    </row>
    <row r="31" spans="2:33" x14ac:dyDescent="0.2">
      <c r="B31">
        <v>29</v>
      </c>
      <c r="C31" t="s">
        <v>50</v>
      </c>
      <c r="D31" t="s">
        <v>4</v>
      </c>
      <c r="E31" s="18" t="str">
        <f>VLOOKUP($C31,$AF:$AG,2,FALSE)</f>
        <v>Corporate</v>
      </c>
      <c r="F31" s="18">
        <f>H31*SUMIFS($H:$H,$J:$J,D31,$K:$K,E31)/G31</f>
        <v>7.1428571428571425E-2</v>
      </c>
      <c r="G31" s="18">
        <f>SUMIFS($H$2:$H$1003,$E$2:$E$1003,E31,$D$2:$D$1003,D31)</f>
        <v>14</v>
      </c>
      <c r="H31" s="8">
        <v>1</v>
      </c>
      <c r="J31" t="s">
        <v>16</v>
      </c>
      <c r="K31" t="s">
        <v>74</v>
      </c>
      <c r="L31">
        <v>5</v>
      </c>
      <c r="M31" s="17">
        <f>SUMIF($J:$J,J31,$L:$L)</f>
        <v>100</v>
      </c>
      <c r="N31">
        <f t="shared" si="0"/>
        <v>3.125</v>
      </c>
      <c r="O31" s="17">
        <f>SUMIF($J:$J,J31,$N:$N)</f>
        <v>100</v>
      </c>
      <c r="P31">
        <f>COUNTIFS(E:E,K31,D:D,J31)</f>
        <v>1</v>
      </c>
      <c r="Q31" s="17">
        <f>SUMIF($J:$J,J31,$P:$P)</f>
        <v>32</v>
      </c>
      <c r="R31">
        <f>SUMIFS(F:F,E:E,K31,D:D,J31)</f>
        <v>1</v>
      </c>
      <c r="S31" s="17">
        <f>SUMIF($J:$J,P31,$P:$P)</f>
        <v>0</v>
      </c>
      <c r="Z31" s="7"/>
      <c r="AB31" s="18" t="str">
        <v>CMP</v>
      </c>
      <c r="AC31" s="3">
        <f>SUMIF($C:$C,AB31,$F:$F)</f>
        <v>7.1117236120549459</v>
      </c>
      <c r="AD31" s="18" t="str">
        <f>VLOOKUP(AB31,$AF:$AG,2,FALSE)</f>
        <v>Corporate</v>
      </c>
      <c r="AF31" t="s">
        <v>45</v>
      </c>
      <c r="AG31" t="s">
        <v>12</v>
      </c>
    </row>
    <row r="32" spans="2:33" x14ac:dyDescent="0.2">
      <c r="B32">
        <v>30</v>
      </c>
      <c r="C32" t="s">
        <v>51</v>
      </c>
      <c r="D32" t="s">
        <v>4</v>
      </c>
      <c r="E32" s="18" t="str">
        <f>VLOOKUP($C32,$AF:$AG,2,FALSE)</f>
        <v>Corporate</v>
      </c>
      <c r="F32" s="18">
        <f>H32*SUMIFS($H:$H,$J:$J,D32,$K:$K,E32)/G32</f>
        <v>7.1428571428571425E-2</v>
      </c>
      <c r="G32" s="18">
        <f>SUMIFS($H$2:$H$1003,$E$2:$E$1003,E32,$D$2:$D$1003,D32)</f>
        <v>14</v>
      </c>
      <c r="H32" s="8">
        <v>1</v>
      </c>
      <c r="J32" s="24" t="s">
        <v>16</v>
      </c>
      <c r="K32" s="24" t="s">
        <v>11</v>
      </c>
      <c r="L32">
        <v>5</v>
      </c>
      <c r="M32" s="17">
        <f>SUMIF($J:$J,J32,$L:$L)</f>
        <v>100</v>
      </c>
      <c r="N32">
        <f t="shared" si="0"/>
        <v>3.125</v>
      </c>
      <c r="O32" s="17">
        <f>SUMIF($J:$J,J32,$N:$N)</f>
        <v>100</v>
      </c>
      <c r="P32" s="24">
        <f>COUNTIFS(E:E,K32,D:D,J32)</f>
        <v>1</v>
      </c>
      <c r="Q32" s="17">
        <f>SUMIF($J:$J,J32,$P:$P)</f>
        <v>32</v>
      </c>
      <c r="R32">
        <f>SUMIFS(F:F,E:E,K32,D:D,J32)</f>
        <v>1</v>
      </c>
      <c r="S32" s="17">
        <f>SUMIF($J:$J,P32,$P:$P)</f>
        <v>0</v>
      </c>
      <c r="Z32" s="7"/>
      <c r="AB32" s="18" t="str">
        <v>ST</v>
      </c>
      <c r="AC32" s="3">
        <f>SUMIF($C:$C,AB32,$F:$F)</f>
        <v>7.1117236120549459</v>
      </c>
      <c r="AD32" s="18" t="str">
        <f>VLOOKUP(AB32,$AF:$AG,2,FALSE)</f>
        <v>Corporate</v>
      </c>
      <c r="AF32" t="s">
        <v>51</v>
      </c>
      <c r="AG32" t="s">
        <v>12</v>
      </c>
    </row>
    <row r="33" spans="2:33" x14ac:dyDescent="0.2">
      <c r="B33">
        <v>31</v>
      </c>
      <c r="C33" t="s">
        <v>56</v>
      </c>
      <c r="D33" t="s">
        <v>4</v>
      </c>
      <c r="E33" s="18" t="str">
        <f>VLOOKUP($C33,$AF:$AG,2,FALSE)</f>
        <v>Corporate</v>
      </c>
      <c r="F33" s="18">
        <f>H33*SUMIFS($H:$H,$J:$J,D33,$K:$K,E33)/G33</f>
        <v>7.1428571428571425E-2</v>
      </c>
      <c r="G33" s="18">
        <f>SUMIFS($H$2:$H$1003,$E$2:$E$1003,E33,$D$2:$D$1003,D33)</f>
        <v>14</v>
      </c>
      <c r="H33" s="8">
        <v>1</v>
      </c>
      <c r="J33" s="25" t="s">
        <v>14</v>
      </c>
      <c r="K33" s="25" t="s">
        <v>5</v>
      </c>
      <c r="L33">
        <v>25</v>
      </c>
      <c r="M33" s="17">
        <f>SUMIF($J:$J,J33,$L:$L)</f>
        <v>100</v>
      </c>
      <c r="N33">
        <f t="shared" si="0"/>
        <v>28.125</v>
      </c>
      <c r="O33" s="17">
        <f>SUMIF($J:$J,J33,$N:$N)</f>
        <v>100</v>
      </c>
      <c r="P33">
        <f>COUNTIFS(E:E,K33,D:D,J33)</f>
        <v>9</v>
      </c>
      <c r="Q33" s="17">
        <f>SUMIF($J:$J,J33,$P:$P)</f>
        <v>32</v>
      </c>
      <c r="R33">
        <f>SUMIFS(F:F,E:E,K33,D:D,J33)</f>
        <v>1.0000000000000002</v>
      </c>
      <c r="S33" s="17">
        <f>SUMIF($J:$J,P33,$P:$P)</f>
        <v>0</v>
      </c>
      <c r="Z33" s="7"/>
      <c r="AB33" s="18" t="str">
        <v>FL</v>
      </c>
      <c r="AC33" s="3">
        <f>SUMIF($C:$C,AB33,$F:$F)</f>
        <v>4.8895013897216124</v>
      </c>
      <c r="AD33" s="18" t="str">
        <f>VLOOKUP(AB33,$AF:$AG,2,FALSE)</f>
        <v>Corporate</v>
      </c>
      <c r="AF33" t="s">
        <v>53</v>
      </c>
      <c r="AG33" t="s">
        <v>12</v>
      </c>
    </row>
    <row r="34" spans="2:33" x14ac:dyDescent="0.2">
      <c r="B34">
        <v>32</v>
      </c>
      <c r="C34" t="s">
        <v>53</v>
      </c>
      <c r="D34" t="s">
        <v>4</v>
      </c>
      <c r="E34" s="18" t="str">
        <f>VLOOKUP($C34,$AF:$AG,2,FALSE)</f>
        <v>Corporate</v>
      </c>
      <c r="F34" s="18">
        <f>H34*SUMIFS($H:$H,$J:$J,D34,$K:$K,E34)/G34</f>
        <v>7.1428571428571425E-2</v>
      </c>
      <c r="G34" s="18">
        <f>SUMIFS($H$2:$H$1003,$E$2:$E$1003,E34,$D$2:$D$1003,D34)</f>
        <v>14</v>
      </c>
      <c r="H34" s="8">
        <v>1</v>
      </c>
      <c r="J34" t="s">
        <v>14</v>
      </c>
      <c r="K34" t="s">
        <v>6</v>
      </c>
      <c r="L34">
        <v>25</v>
      </c>
      <c r="M34" s="17">
        <f>SUMIF($J:$J,J34,$L:$L)</f>
        <v>100</v>
      </c>
      <c r="N34">
        <f t="shared" si="0"/>
        <v>9.375</v>
      </c>
      <c r="O34" s="17">
        <f>SUMIF($J:$J,J34,$N:$N)</f>
        <v>100</v>
      </c>
      <c r="P34">
        <f>COUNTIFS(E:E,K34,D:D,J34)</f>
        <v>3</v>
      </c>
      <c r="Q34" s="17">
        <f>SUMIF($J:$J,J34,$P:$P)</f>
        <v>32</v>
      </c>
      <c r="R34">
        <f>SUMIFS(F:F,E:E,K34,D:D,J34)</f>
        <v>1</v>
      </c>
      <c r="S34" s="17">
        <f>SUMIF($J:$J,P34,$P:$P)</f>
        <v>0</v>
      </c>
      <c r="Z34" s="7"/>
      <c r="AB34" s="18" t="str">
        <v>TF</v>
      </c>
      <c r="AC34" s="3">
        <f>SUMIF($C:$C,AB34,$F:$F)</f>
        <v>7.1117236120549459</v>
      </c>
      <c r="AD34" s="18" t="str">
        <f>VLOOKUP(AB34,$AF:$AG,2,FALSE)</f>
        <v>Corporate</v>
      </c>
      <c r="AF34" t="s">
        <v>64</v>
      </c>
      <c r="AG34" t="s">
        <v>6</v>
      </c>
    </row>
    <row r="35" spans="2:33" x14ac:dyDescent="0.2">
      <c r="B35">
        <v>33</v>
      </c>
      <c r="C35" t="s">
        <v>381</v>
      </c>
      <c r="D35" t="s">
        <v>4</v>
      </c>
      <c r="E35" s="31" t="str">
        <f>VLOOKUP($C35,$AF:$AG,2,FALSE)</f>
        <v>Corporate</v>
      </c>
      <c r="F35" s="18">
        <f>H35*SUMIFS($H:$H,$J:$J,D35,$K:$K,E35)/G35</f>
        <v>7.1428571428571425E-2</v>
      </c>
      <c r="G35" s="18">
        <f>SUMIFS($H$2:$H$1003,$E$2:$E$1003,E35,$D$2:$D$1003,D35)</f>
        <v>14</v>
      </c>
      <c r="H35" s="8">
        <v>1</v>
      </c>
      <c r="J35" t="s">
        <v>14</v>
      </c>
      <c r="K35" t="s">
        <v>12</v>
      </c>
      <c r="L35">
        <v>20</v>
      </c>
      <c r="M35" s="17">
        <f>SUMIF($J:$J,J35,$L:$L)</f>
        <v>100</v>
      </c>
      <c r="N35">
        <f t="shared" si="0"/>
        <v>40.625</v>
      </c>
      <c r="O35" s="17">
        <f>SUMIF($J:$J,J35,$N:$N)</f>
        <v>100</v>
      </c>
      <c r="P35">
        <f>COUNTIFS(E:E,K35,D:D,J35)</f>
        <v>13</v>
      </c>
      <c r="Q35" s="17">
        <f>SUMIF($J:$J,J35,$P:$P)</f>
        <v>32</v>
      </c>
      <c r="R35">
        <f>SUMIFS(F:F,E:E,K35,D:D,J35)</f>
        <v>0.99999999999999978</v>
      </c>
      <c r="S35" s="17">
        <f>SUMIF($J:$J,P35,$P:$P)</f>
        <v>0</v>
      </c>
      <c r="Z35" s="7"/>
      <c r="AB35" s="18" t="str">
        <v>NSP</v>
      </c>
      <c r="AC35" s="3">
        <f>SUMIF($C:$C,AB35,$F:$F)</f>
        <v>6.7380952384285715</v>
      </c>
      <c r="AD35" s="18" t="str">
        <f>VLOOKUP(AB35,$AF:$AG,2,FALSE)</f>
        <v>Corporate</v>
      </c>
      <c r="AF35" t="s">
        <v>7</v>
      </c>
      <c r="AG35" t="s">
        <v>6</v>
      </c>
    </row>
    <row r="36" spans="2:33" x14ac:dyDescent="0.2">
      <c r="B36">
        <v>1</v>
      </c>
      <c r="C36" t="s">
        <v>64</v>
      </c>
      <c r="D36" t="s">
        <v>10</v>
      </c>
      <c r="E36" s="18" t="str">
        <f>VLOOKUP($C36,$AF:$AG,2,FALSE)</f>
        <v>Operations</v>
      </c>
      <c r="F36" s="18">
        <v>20</v>
      </c>
      <c r="G36" s="18">
        <f>SUMIFS($H$2:$H$1003,$E$2:$E$1003,E36,$D$2:$D$1003,D36)</f>
        <v>4</v>
      </c>
      <c r="H36" s="8">
        <v>1</v>
      </c>
      <c r="J36" t="s">
        <v>14</v>
      </c>
      <c r="K36" t="s">
        <v>8</v>
      </c>
      <c r="L36">
        <v>20</v>
      </c>
      <c r="M36" s="17">
        <f>SUMIF($J:$J,J36,$L:$L)</f>
        <v>100</v>
      </c>
      <c r="N36">
        <f t="shared" si="0"/>
        <v>15.625</v>
      </c>
      <c r="O36" s="17">
        <f>SUMIF($J:$J,J36,$N:$N)</f>
        <v>100</v>
      </c>
      <c r="P36">
        <f>COUNTIFS(E:E,K36,D:D,J36)</f>
        <v>5</v>
      </c>
      <c r="Q36" s="17">
        <f>SUMIF($J:$J,J36,$P:$P)</f>
        <v>32</v>
      </c>
      <c r="R36">
        <f>SUMIFS(F:F,E:E,K36,D:D,J36)</f>
        <v>1</v>
      </c>
      <c r="S36" s="17">
        <f>SUMIF($J:$J,P36,$P:$P)</f>
        <v>0</v>
      </c>
      <c r="Z36" s="7"/>
      <c r="AB36" s="18" t="str">
        <v>COO</v>
      </c>
      <c r="AC36" s="3">
        <f>SUMIF($C:$C,AB36,$F:$F)</f>
        <v>20.000001000000001</v>
      </c>
      <c r="AD36" s="18" t="str">
        <f>VLOOKUP(AB36,$AF:$AG,2,FALSE)</f>
        <v>Operations</v>
      </c>
      <c r="AF36" t="s">
        <v>42</v>
      </c>
      <c r="AG36" t="s">
        <v>6</v>
      </c>
    </row>
    <row r="37" spans="2:33" x14ac:dyDescent="0.2">
      <c r="B37">
        <v>2</v>
      </c>
      <c r="C37" t="s">
        <v>65</v>
      </c>
      <c r="D37" t="s">
        <v>10</v>
      </c>
      <c r="E37" s="18" t="str">
        <f>VLOOKUP($C37,$AF:$AG,2,FALSE)</f>
        <v>Commercial</v>
      </c>
      <c r="F37" s="18">
        <v>12</v>
      </c>
      <c r="G37" s="18">
        <f>SUMIFS($H$2:$H$1003,$E$2:$E$1003,E37,$D$2:$D$1003,D37)</f>
        <v>12</v>
      </c>
      <c r="H37" s="8">
        <v>1</v>
      </c>
      <c r="J37" t="s">
        <v>14</v>
      </c>
      <c r="K37" t="s">
        <v>74</v>
      </c>
      <c r="L37">
        <v>5</v>
      </c>
      <c r="M37" s="17">
        <f>SUMIF($J:$J,J37,$L:$L)</f>
        <v>100</v>
      </c>
      <c r="N37">
        <f t="shared" si="0"/>
        <v>3.125</v>
      </c>
      <c r="O37" s="17">
        <f>SUMIF($J:$J,J37,$N:$N)</f>
        <v>100</v>
      </c>
      <c r="P37">
        <f>COUNTIFS(E:E,K37,D:D,J37)</f>
        <v>1</v>
      </c>
      <c r="Q37" s="17">
        <f>SUMIF($J:$J,J37,$P:$P)</f>
        <v>32</v>
      </c>
      <c r="R37">
        <f>SUMIFS(F:F,E:E,K37,D:D,J37)</f>
        <v>1</v>
      </c>
      <c r="S37" s="17">
        <f>SUMIF($J:$J,P37,$P:$P)</f>
        <v>0</v>
      </c>
      <c r="Z37" s="7"/>
      <c r="AB37" s="18" t="str">
        <v>CMO</v>
      </c>
      <c r="AC37" s="3">
        <f>SUMIF($C:$C,AB37,$F:$F)</f>
        <v>12.000000999999999</v>
      </c>
      <c r="AD37" s="18" t="str">
        <f>VLOOKUP(AB37,$AF:$AG,2,FALSE)</f>
        <v>Commercial</v>
      </c>
      <c r="AF37" t="s">
        <v>42</v>
      </c>
      <c r="AG37" t="s">
        <v>6</v>
      </c>
    </row>
    <row r="38" spans="2:33" x14ac:dyDescent="0.2">
      <c r="B38">
        <v>3</v>
      </c>
      <c r="C38" t="s">
        <v>67</v>
      </c>
      <c r="D38" t="s">
        <v>10</v>
      </c>
      <c r="E38" s="18" t="str">
        <f>VLOOKUP($C38,$AF:$AG,2,FALSE)</f>
        <v>Corporate</v>
      </c>
      <c r="F38" s="18">
        <v>12</v>
      </c>
      <c r="G38" s="18">
        <f>SUMIFS($H$2:$H$1003,$E$2:$E$1003,E38,$D$2:$D$1003,D38)</f>
        <v>18</v>
      </c>
      <c r="H38" s="8">
        <v>1</v>
      </c>
      <c r="J38" s="24" t="s">
        <v>14</v>
      </c>
      <c r="K38" s="24" t="s">
        <v>11</v>
      </c>
      <c r="L38">
        <v>5</v>
      </c>
      <c r="M38" s="17">
        <f>SUMIF($J:$J,J38,$L:$L)</f>
        <v>100</v>
      </c>
      <c r="N38">
        <f t="shared" si="0"/>
        <v>3.125</v>
      </c>
      <c r="O38" s="17">
        <f>SUMIF($J:$J,J38,$N:$N)</f>
        <v>100</v>
      </c>
      <c r="P38" s="24">
        <f>COUNTIFS(E:E,K38,D:D,J38)</f>
        <v>1</v>
      </c>
      <c r="Q38" s="17">
        <f>SUMIF($J:$J,J38,$P:$P)</f>
        <v>32</v>
      </c>
      <c r="R38">
        <f>SUMIFS(F:F,E:E,K38,D:D,J38)</f>
        <v>1</v>
      </c>
      <c r="S38" s="17">
        <f>SUMIF($J:$J,P38,$P:$P)</f>
        <v>0</v>
      </c>
      <c r="Z38" s="7"/>
      <c r="AB38" s="18" t="str">
        <v>ATC</v>
      </c>
      <c r="AC38" s="3">
        <f>SUMIF($C:$C,AB38,$F:$F)</f>
        <v>12.000000999999999</v>
      </c>
      <c r="AD38" s="18" t="str">
        <f>VLOOKUP(AB38,$AF:$AG,2,FALSE)</f>
        <v>Corporate</v>
      </c>
      <c r="AF38" t="s">
        <v>26</v>
      </c>
      <c r="AG38" t="s">
        <v>6</v>
      </c>
    </row>
    <row r="39" spans="2:33" x14ac:dyDescent="0.2">
      <c r="B39">
        <v>4</v>
      </c>
      <c r="C39" t="s">
        <v>66</v>
      </c>
      <c r="D39" t="s">
        <v>10</v>
      </c>
      <c r="E39" s="18" t="str">
        <f>VLOOKUP($C39,$AF:$AG,2,FALSE)</f>
        <v>Commercial</v>
      </c>
      <c r="F39" s="18">
        <v>8</v>
      </c>
      <c r="G39" s="18">
        <f>SUMIFS($H$2:$H$1003,$E$2:$E$1003,E39,$D$2:$D$1003,D39)</f>
        <v>12</v>
      </c>
      <c r="H39" s="8">
        <v>1</v>
      </c>
      <c r="J39" s="32" t="s">
        <v>452</v>
      </c>
      <c r="K39" s="25" t="s">
        <v>5</v>
      </c>
      <c r="L39">
        <v>25</v>
      </c>
      <c r="N39">
        <v>38</v>
      </c>
      <c r="Z39" s="7"/>
      <c r="AB39" s="18" t="str">
        <v>CCO</v>
      </c>
      <c r="AC39" s="3">
        <f>SUMIF($C:$C,AB39,$F:$F)</f>
        <v>8.0000009999999993</v>
      </c>
      <c r="AD39" s="18" t="str">
        <f>VLOOKUP(AB39,$AF:$AG,2,FALSE)</f>
        <v>Commercial</v>
      </c>
      <c r="AF39" t="s">
        <v>34</v>
      </c>
      <c r="AG39" t="s">
        <v>8</v>
      </c>
    </row>
    <row r="40" spans="2:33" x14ac:dyDescent="0.2">
      <c r="B40">
        <v>5</v>
      </c>
      <c r="C40" t="s">
        <v>68</v>
      </c>
      <c r="D40" t="s">
        <v>10</v>
      </c>
      <c r="E40" s="18" t="str">
        <f>VLOOKUP($C40,$AF:$AG,2,FALSE)</f>
        <v>Commercial</v>
      </c>
      <c r="F40" s="18">
        <v>8</v>
      </c>
      <c r="G40" s="18">
        <f>SUMIFS($H$2:$H$1003,$E$2:$E$1003,E40,$D$2:$D$1003,D40)</f>
        <v>12</v>
      </c>
      <c r="H40" s="8">
        <v>1</v>
      </c>
      <c r="J40" s="33" t="s">
        <v>452</v>
      </c>
      <c r="K40" t="s">
        <v>6</v>
      </c>
      <c r="L40">
        <v>25</v>
      </c>
      <c r="N40">
        <v>19</v>
      </c>
      <c r="Z40" s="7"/>
      <c r="AB40" s="18" t="str">
        <v>IDC</v>
      </c>
      <c r="AC40" s="3">
        <f>SUMIF($C:$C,AB40,$F:$F)</f>
        <v>8.0000009999999993</v>
      </c>
      <c r="AD40" s="18" t="str">
        <f>VLOOKUP(AB40,$AF:$AG,2,FALSE)</f>
        <v>Commercial</v>
      </c>
      <c r="AF40" t="s">
        <v>70</v>
      </c>
      <c r="AG40" t="s">
        <v>8</v>
      </c>
    </row>
    <row r="41" spans="2:33" x14ac:dyDescent="0.2">
      <c r="B41">
        <v>6</v>
      </c>
      <c r="C41" t="s">
        <v>69</v>
      </c>
      <c r="D41" t="s">
        <v>10</v>
      </c>
      <c r="E41" s="18" t="str">
        <f>VLOOKUP($C41,$AF:$AG,2,FALSE)</f>
        <v>Corporate</v>
      </c>
      <c r="F41" s="18">
        <v>12</v>
      </c>
      <c r="G41" s="18">
        <f>SUMIFS($H$2:$H$1003,$E$2:$E$1003,E41,$D$2:$D$1003,D41)</f>
        <v>18</v>
      </c>
      <c r="H41" s="8">
        <v>1</v>
      </c>
      <c r="J41" s="33" t="s">
        <v>452</v>
      </c>
      <c r="K41" t="s">
        <v>12</v>
      </c>
      <c r="L41">
        <v>20</v>
      </c>
      <c r="N41">
        <v>19</v>
      </c>
      <c r="Z41" s="7"/>
      <c r="AB41" s="18" t="str">
        <v>CFO</v>
      </c>
      <c r="AC41" s="3">
        <f>SUMIF($C:$C,AB41,$F:$F)</f>
        <v>12.000000999999999</v>
      </c>
      <c r="AD41" s="18" t="str">
        <f>VLOOKUP(AB41,$AF:$AG,2,FALSE)</f>
        <v>Corporate</v>
      </c>
      <c r="AF41" t="s">
        <v>9</v>
      </c>
      <c r="AG41" t="s">
        <v>8</v>
      </c>
    </row>
    <row r="42" spans="2:33" x14ac:dyDescent="0.2">
      <c r="B42">
        <v>7</v>
      </c>
      <c r="C42" t="s">
        <v>70</v>
      </c>
      <c r="D42" t="s">
        <v>10</v>
      </c>
      <c r="E42" s="18" t="str">
        <f>VLOOKUP($C42,$AF:$AG,2,FALSE)</f>
        <v>Technology</v>
      </c>
      <c r="F42" s="18">
        <v>15</v>
      </c>
      <c r="G42" s="18">
        <f>SUMIFS($H$2:$H$1003,$E$2:$E$1003,E42,$D$2:$D$1003,D42)</f>
        <v>6</v>
      </c>
      <c r="H42" s="8">
        <v>1</v>
      </c>
      <c r="J42" s="33" t="s">
        <v>452</v>
      </c>
      <c r="K42" t="s">
        <v>8</v>
      </c>
      <c r="L42">
        <v>20</v>
      </c>
      <c r="N42">
        <v>17</v>
      </c>
      <c r="Z42" s="7"/>
      <c r="AB42" s="18" t="str">
        <v>CIO</v>
      </c>
      <c r="AC42" s="3">
        <f>SUMIF($C:$C,AB42,$F:$F)</f>
        <v>15.000000999999999</v>
      </c>
      <c r="AD42" s="18" t="str">
        <f>VLOOKUP(AB42,$AF:$AG,2,FALSE)</f>
        <v>Technology</v>
      </c>
      <c r="AF42" t="s">
        <v>60</v>
      </c>
      <c r="AG42" t="s">
        <v>8</v>
      </c>
    </row>
    <row r="43" spans="2:33" x14ac:dyDescent="0.2">
      <c r="B43">
        <v>8</v>
      </c>
      <c r="C43" t="s">
        <v>71</v>
      </c>
      <c r="D43" t="s">
        <v>10</v>
      </c>
      <c r="E43" s="18" t="str">
        <f>VLOOKUP($C43,$AF:$AG,2,FALSE)</f>
        <v>Corporate</v>
      </c>
      <c r="F43" s="18">
        <v>7</v>
      </c>
      <c r="G43" s="18">
        <f>SUMIFS($H$2:$H$1003,$E$2:$E$1003,E43,$D$2:$D$1003,D43)</f>
        <v>18</v>
      </c>
      <c r="H43" s="8">
        <v>1</v>
      </c>
      <c r="J43" s="33" t="s">
        <v>452</v>
      </c>
      <c r="K43" t="s">
        <v>74</v>
      </c>
      <c r="L43">
        <v>5</v>
      </c>
      <c r="N43">
        <v>5</v>
      </c>
      <c r="Z43" s="7"/>
      <c r="AB43" s="18" t="str">
        <v>PRO</v>
      </c>
      <c r="AC43" s="3">
        <f>SUMIF($C:$C,AB43,$F:$F)</f>
        <v>7.0000010000000001</v>
      </c>
      <c r="AD43" s="18" t="str">
        <f>VLOOKUP(AB43,$AF:$AG,2,FALSE)</f>
        <v>Corporate</v>
      </c>
      <c r="AF43" t="s">
        <v>59</v>
      </c>
      <c r="AG43" t="s">
        <v>8</v>
      </c>
    </row>
    <row r="44" spans="2:33" x14ac:dyDescent="0.2">
      <c r="B44">
        <v>9</v>
      </c>
      <c r="C44" t="s">
        <v>72</v>
      </c>
      <c r="D44" t="s">
        <v>10</v>
      </c>
      <c r="E44" s="18" t="str">
        <f>VLOOKUP($C44,$AF:$AG,2,FALSE)</f>
        <v>Corporate</v>
      </c>
      <c r="F44" s="18">
        <v>3</v>
      </c>
      <c r="G44" s="18">
        <f>SUMIFS($H$2:$H$1003,$E$2:$E$1003,E44,$D$2:$D$1003,D44)</f>
        <v>18</v>
      </c>
      <c r="H44" s="8">
        <v>1</v>
      </c>
      <c r="J44" s="34" t="s">
        <v>452</v>
      </c>
      <c r="K44" s="24" t="s">
        <v>11</v>
      </c>
      <c r="L44">
        <v>5</v>
      </c>
      <c r="N44">
        <v>2</v>
      </c>
      <c r="Z44" s="7"/>
      <c r="AB44" s="18" t="str">
        <v>CHR</v>
      </c>
      <c r="AC44" s="3">
        <f>SUMIF($C:$C,AB44,$F:$F)</f>
        <v>3.0000010000000001</v>
      </c>
      <c r="AD44" s="18" t="str">
        <f>VLOOKUP(AB44,$AF:$AG,2,FALSE)</f>
        <v>Corporate</v>
      </c>
      <c r="AF44" t="s">
        <v>58</v>
      </c>
      <c r="AG44" t="s">
        <v>8</v>
      </c>
    </row>
    <row r="45" spans="2:33" x14ac:dyDescent="0.2">
      <c r="B45">
        <v>11</v>
      </c>
      <c r="C45" t="s">
        <v>73</v>
      </c>
      <c r="D45" t="s">
        <v>10</v>
      </c>
      <c r="E45" s="18" t="str">
        <f>VLOOKUP($C45,$AF:$AG,2,FALSE)</f>
        <v>Corporate</v>
      </c>
      <c r="F45" s="18">
        <v>3</v>
      </c>
      <c r="G45" s="18">
        <f>SUMIFS($H$2:$H$1003,$E$2:$E$1003,E45,$D$2:$D$1003,D45)</f>
        <v>18</v>
      </c>
      <c r="H45" s="8">
        <v>1</v>
      </c>
      <c r="Z45" s="7"/>
      <c r="AB45" s="18" t="str">
        <v>COM</v>
      </c>
      <c r="AC45" s="3">
        <f>SUMIF($C:$C,AB45,$F:$F)</f>
        <v>3.0000010000000001</v>
      </c>
      <c r="AD45" s="18" t="str">
        <f>VLOOKUP(AB45,$AF:$AG,2,FALSE)</f>
        <v>Corporate</v>
      </c>
      <c r="AF45" t="s">
        <v>116</v>
      </c>
      <c r="AG45" t="s">
        <v>74</v>
      </c>
    </row>
    <row r="46" spans="2:33" x14ac:dyDescent="0.2">
      <c r="B46">
        <v>12</v>
      </c>
      <c r="C46" t="s">
        <v>23</v>
      </c>
      <c r="D46" t="s">
        <v>10</v>
      </c>
      <c r="E46" s="18" t="str">
        <f>VLOOKUP($C46,$AF:$AG,2,FALSE)</f>
        <v>Commercial</v>
      </c>
      <c r="F46" s="18">
        <v>9.9999999999999995E-7</v>
      </c>
      <c r="G46" s="18">
        <f>SUMIFS($H$2:$H$1003,$E$2:$E$1003,E46,$D$2:$D$1003,D46)</f>
        <v>12</v>
      </c>
      <c r="H46" s="8">
        <v>1</v>
      </c>
      <c r="Z46" s="7"/>
      <c r="AB46" t="str">
        <v>SSJ</v>
      </c>
      <c r="AC46" s="3">
        <f>SUMIF($C:$C,AB46,$F:$F)</f>
        <v>4.4444444446666669</v>
      </c>
      <c r="AD46" s="18" t="str">
        <f>VLOOKUP(AB46,$AF:$AG,2,FALSE)</f>
        <v>Corporate</v>
      </c>
      <c r="AF46" t="s">
        <v>381</v>
      </c>
      <c r="AG46" t="s">
        <v>12</v>
      </c>
    </row>
    <row r="47" spans="2:33" x14ac:dyDescent="0.2">
      <c r="B47">
        <v>13</v>
      </c>
      <c r="C47" t="s">
        <v>11</v>
      </c>
      <c r="D47" t="s">
        <v>10</v>
      </c>
      <c r="E47" s="18" t="str">
        <f>VLOOKUP($C47,$AF:$AG,2,FALSE)</f>
        <v>CISO</v>
      </c>
      <c r="F47" s="18">
        <v>9.9999999999999995E-7</v>
      </c>
      <c r="G47" s="18">
        <f>SUMIFS($H$2:$H$1003,$E$2:$E$1003,E47,$D$2:$D$1003,D47)</f>
        <v>1</v>
      </c>
      <c r="H47" s="8">
        <v>1</v>
      </c>
      <c r="Z47" s="7"/>
      <c r="AB47" t="str">
        <v>RC</v>
      </c>
      <c r="AC47" s="7"/>
      <c r="AD47" s="31" t="str">
        <f>VLOOKUP(AB47,$AF:$AG,2,FALSE)</f>
        <v>Corporate</v>
      </c>
      <c r="AF47" t="s">
        <v>55</v>
      </c>
      <c r="AG47" t="s">
        <v>12</v>
      </c>
    </row>
    <row r="48" spans="2:33" x14ac:dyDescent="0.2">
      <c r="B48">
        <v>14</v>
      </c>
      <c r="C48" t="s">
        <v>116</v>
      </c>
      <c r="D48" t="s">
        <v>10</v>
      </c>
      <c r="E48" s="18" t="str">
        <f>VLOOKUP($C48,$AF:$AG,2,FALSE)</f>
        <v>Data &amp; AI</v>
      </c>
      <c r="F48" s="18">
        <v>9.9999999999999995E-7</v>
      </c>
      <c r="G48" s="18">
        <f>SUMIFS($H$2:$H$1003,$E$2:$E$1003,E48,$D$2:$D$1003,D48)</f>
        <v>1</v>
      </c>
      <c r="H48" s="8">
        <v>1</v>
      </c>
      <c r="Z48" s="7"/>
      <c r="AB48">
        <v>0</v>
      </c>
      <c r="AC48" s="7"/>
      <c r="AF48" t="s">
        <v>1141</v>
      </c>
      <c r="AG48" t="s">
        <v>12</v>
      </c>
    </row>
    <row r="49" spans="2:29" x14ac:dyDescent="0.2">
      <c r="B49">
        <v>15</v>
      </c>
      <c r="C49" t="s">
        <v>37</v>
      </c>
      <c r="D49" t="s">
        <v>10</v>
      </c>
      <c r="E49" s="18" t="str">
        <f>VLOOKUP($C49,$AF:$AG,2,FALSE)</f>
        <v>Commercial</v>
      </c>
      <c r="F49" s="18">
        <v>9.9999999999999995E-7</v>
      </c>
      <c r="G49" s="18">
        <f>SUMIFS($H$2:$H$1003,$E$2:$E$1003,E49,$D$2:$D$1003,D49)</f>
        <v>12</v>
      </c>
      <c r="H49" s="8">
        <v>1</v>
      </c>
      <c r="Z49" s="7"/>
      <c r="AC49" s="7"/>
    </row>
    <row r="50" spans="2:29" x14ac:dyDescent="0.2">
      <c r="B50">
        <v>16</v>
      </c>
      <c r="C50" t="s">
        <v>7</v>
      </c>
      <c r="D50" t="s">
        <v>10</v>
      </c>
      <c r="E50" s="18" t="str">
        <f>VLOOKUP($C50,$AF:$AG,2,FALSE)</f>
        <v>Operations</v>
      </c>
      <c r="F50" s="18">
        <v>9.9999999999999995E-7</v>
      </c>
      <c r="G50" s="18">
        <f>SUMIFS($H$2:$H$1003,$E$2:$E$1003,E50,$D$2:$D$1003,D50)</f>
        <v>4</v>
      </c>
      <c r="H50" s="8">
        <v>1</v>
      </c>
      <c r="Z50" s="7"/>
      <c r="AC50" s="7"/>
    </row>
    <row r="51" spans="2:29" x14ac:dyDescent="0.2">
      <c r="B51">
        <v>17</v>
      </c>
      <c r="C51" t="s">
        <v>44</v>
      </c>
      <c r="D51" t="s">
        <v>10</v>
      </c>
      <c r="E51" s="18" t="str">
        <f>VLOOKUP($C51,$AF:$AG,2,FALSE)</f>
        <v>Corporate</v>
      </c>
      <c r="F51" s="18">
        <v>9.9999999999999995E-7</v>
      </c>
      <c r="G51" s="18">
        <f>SUMIFS($H$2:$H$1003,$E$2:$E$1003,E51,$D$2:$D$1003,D51)</f>
        <v>18</v>
      </c>
      <c r="H51" s="8">
        <v>1</v>
      </c>
      <c r="Z51" s="7"/>
      <c r="AC51" s="7"/>
    </row>
    <row r="52" spans="2:29" x14ac:dyDescent="0.2">
      <c r="B52">
        <v>18</v>
      </c>
      <c r="C52" t="s">
        <v>9</v>
      </c>
      <c r="D52" t="s">
        <v>10</v>
      </c>
      <c r="E52" s="18" t="str">
        <f>VLOOKUP($C52,$AF:$AG,2,FALSE)</f>
        <v>Technology</v>
      </c>
      <c r="F52" s="18">
        <v>9.9999999999999995E-7</v>
      </c>
      <c r="G52" s="18">
        <f>SUMIFS($H$2:$H$1003,$E$2:$E$1003,E52,$D$2:$D$1003,D52)</f>
        <v>6</v>
      </c>
      <c r="H52" s="8">
        <v>1</v>
      </c>
      <c r="Z52" s="7"/>
      <c r="AC52" s="7"/>
    </row>
    <row r="53" spans="2:29" x14ac:dyDescent="0.2">
      <c r="B53">
        <v>19</v>
      </c>
      <c r="C53" t="s">
        <v>26</v>
      </c>
      <c r="D53" t="s">
        <v>10</v>
      </c>
      <c r="E53" s="18" t="str">
        <f>VLOOKUP($C53,$AF:$AG,2,FALSE)</f>
        <v>Operations</v>
      </c>
      <c r="F53" s="18">
        <v>9.9999999999999995E-7</v>
      </c>
      <c r="G53" s="18">
        <f>SUMIFS($H$2:$H$1003,$E$2:$E$1003,E53,$D$2:$D$1003,D53)</f>
        <v>4</v>
      </c>
      <c r="H53" s="8">
        <v>1</v>
      </c>
      <c r="Z53" s="7"/>
      <c r="AC53" s="7"/>
    </row>
    <row r="54" spans="2:29" x14ac:dyDescent="0.2">
      <c r="B54">
        <v>20</v>
      </c>
      <c r="C54" t="s">
        <v>22</v>
      </c>
      <c r="D54" t="s">
        <v>10</v>
      </c>
      <c r="E54" s="18" t="str">
        <f>VLOOKUP($C54,$AF:$AG,2,FALSE)</f>
        <v>Corporate</v>
      </c>
      <c r="F54" s="18">
        <v>9.9999999999999995E-7</v>
      </c>
      <c r="G54" s="18">
        <f>SUMIFS($H$2:$H$1003,$E$2:$E$1003,E54,$D$2:$D$1003,D54)</f>
        <v>18</v>
      </c>
      <c r="H54" s="8">
        <v>1</v>
      </c>
      <c r="Z54" s="7"/>
      <c r="AC54" s="7"/>
    </row>
    <row r="55" spans="2:29" x14ac:dyDescent="0.2">
      <c r="B55">
        <v>21</v>
      </c>
      <c r="C55" t="s">
        <v>59</v>
      </c>
      <c r="D55" t="s">
        <v>10</v>
      </c>
      <c r="E55" s="18" t="str">
        <f>VLOOKUP($C55,$AF:$AG,2,FALSE)</f>
        <v>Technology</v>
      </c>
      <c r="F55" s="18">
        <v>9.9999999999999995E-7</v>
      </c>
      <c r="G55" s="18">
        <f>SUMIFS($H$2:$H$1003,$E$2:$E$1003,E55,$D$2:$D$1003,D55)</f>
        <v>6</v>
      </c>
      <c r="H55" s="8">
        <v>1</v>
      </c>
      <c r="Z55" s="7"/>
      <c r="AC55" s="7"/>
    </row>
    <row r="56" spans="2:29" x14ac:dyDescent="0.2">
      <c r="B56">
        <v>22</v>
      </c>
      <c r="C56" t="s">
        <v>34</v>
      </c>
      <c r="D56" t="s">
        <v>10</v>
      </c>
      <c r="E56" s="18" t="str">
        <f>VLOOKUP($C56,$AF:$AG,2,FALSE)</f>
        <v>Technology</v>
      </c>
      <c r="F56" s="18">
        <v>9.9999999999999995E-7</v>
      </c>
      <c r="G56" s="18">
        <f>SUMIFS($H$2:$H$1003,$E$2:$E$1003,E56,$D$2:$D$1003,D56)</f>
        <v>6</v>
      </c>
      <c r="H56" s="8">
        <v>1</v>
      </c>
      <c r="Z56" s="7"/>
      <c r="AC56" s="7"/>
    </row>
    <row r="57" spans="2:29" x14ac:dyDescent="0.2">
      <c r="B57">
        <v>23</v>
      </c>
      <c r="C57" t="s">
        <v>58</v>
      </c>
      <c r="D57" t="s">
        <v>10</v>
      </c>
      <c r="E57" s="18" t="str">
        <f>VLOOKUP($C57,$AF:$AG,2,FALSE)</f>
        <v>Technology</v>
      </c>
      <c r="F57" s="18">
        <v>9.9999999999999995E-7</v>
      </c>
      <c r="G57" s="18">
        <f>SUMIFS($H$2:$H$1003,$E$2:$E$1003,E57,$D$2:$D$1003,D57)</f>
        <v>6</v>
      </c>
      <c r="H57" s="8">
        <v>1</v>
      </c>
      <c r="Z57" s="7"/>
      <c r="AC57" s="7"/>
    </row>
    <row r="58" spans="2:29" x14ac:dyDescent="0.2">
      <c r="B58">
        <v>24</v>
      </c>
      <c r="C58" t="s">
        <v>46</v>
      </c>
      <c r="D58" t="s">
        <v>10</v>
      </c>
      <c r="E58" s="18" t="str">
        <f>VLOOKUP($C58,$AF:$AG,2,FALSE)</f>
        <v>Corporate</v>
      </c>
      <c r="F58" s="18">
        <v>9.9999999999999995E-7</v>
      </c>
      <c r="G58" s="18">
        <f>SUMIFS($H$2:$H$1003,$E$2:$E$1003,E58,$D$2:$D$1003,D58)</f>
        <v>18</v>
      </c>
      <c r="H58" s="8">
        <v>1</v>
      </c>
      <c r="Z58" s="7"/>
      <c r="AC58" s="7"/>
    </row>
    <row r="59" spans="2:29" x14ac:dyDescent="0.2">
      <c r="B59">
        <v>25</v>
      </c>
      <c r="C59" t="s">
        <v>42</v>
      </c>
      <c r="D59" t="s">
        <v>10</v>
      </c>
      <c r="E59" s="18" t="str">
        <f>VLOOKUP($C59,$AF:$AG,2,FALSE)</f>
        <v>Operations</v>
      </c>
      <c r="F59" s="18">
        <v>9.9999999999999995E-7</v>
      </c>
      <c r="G59" s="18">
        <f>SUMIFS($H$2:$H$1003,$E$2:$E$1003,E59,$D$2:$D$1003,D59)</f>
        <v>4</v>
      </c>
      <c r="H59" s="8">
        <v>1</v>
      </c>
      <c r="Z59" s="7"/>
      <c r="AC59" s="7"/>
    </row>
    <row r="60" spans="2:29" x14ac:dyDescent="0.2">
      <c r="B60">
        <v>26</v>
      </c>
      <c r="C60" t="s">
        <v>36</v>
      </c>
      <c r="D60" t="s">
        <v>10</v>
      </c>
      <c r="E60" s="18" t="str">
        <f>VLOOKUP($C60,$AF:$AG,2,FALSE)</f>
        <v>Commercial</v>
      </c>
      <c r="F60" s="18">
        <v>9.9999999999999995E-7</v>
      </c>
      <c r="G60" s="18">
        <f>SUMIFS($H$2:$H$1003,$E$2:$E$1003,E60,$D$2:$D$1003,D60)</f>
        <v>12</v>
      </c>
      <c r="H60" s="8">
        <v>1</v>
      </c>
      <c r="Z60" s="7"/>
      <c r="AC60" s="7"/>
    </row>
    <row r="61" spans="2:29" x14ac:dyDescent="0.2">
      <c r="B61">
        <v>27</v>
      </c>
      <c r="C61" t="s">
        <v>60</v>
      </c>
      <c r="D61" t="s">
        <v>10</v>
      </c>
      <c r="E61" s="18" t="str">
        <f>VLOOKUP($C61,$AF:$AG,2,FALSE)</f>
        <v>Technology</v>
      </c>
      <c r="F61" s="18">
        <v>9.9999999999999995E-7</v>
      </c>
      <c r="G61" s="18">
        <f>SUMIFS($H$2:$H$1003,$E$2:$E$1003,E61,$D$2:$D$1003,D61)</f>
        <v>6</v>
      </c>
      <c r="H61" s="8">
        <v>1</v>
      </c>
      <c r="Z61" s="7"/>
      <c r="AC61" s="7"/>
    </row>
    <row r="62" spans="2:29" x14ac:dyDescent="0.2">
      <c r="B62">
        <v>28</v>
      </c>
      <c r="C62" t="s">
        <v>38</v>
      </c>
      <c r="D62" t="s">
        <v>10</v>
      </c>
      <c r="E62" s="18" t="str">
        <f>VLOOKUP($C62,$AF:$AG,2,FALSE)</f>
        <v>Commercial</v>
      </c>
      <c r="F62" s="18">
        <v>9.9999999999999995E-7</v>
      </c>
      <c r="G62" s="18">
        <f>SUMIFS($H$2:$H$1003,$E$2:$E$1003,E62,$D$2:$D$1003,D62)</f>
        <v>12</v>
      </c>
      <c r="H62" s="8">
        <v>1</v>
      </c>
      <c r="Z62" s="7"/>
      <c r="AC62" s="7"/>
    </row>
    <row r="63" spans="2:29" x14ac:dyDescent="0.2">
      <c r="B63">
        <v>29</v>
      </c>
      <c r="C63" t="s">
        <v>21</v>
      </c>
      <c r="D63" t="s">
        <v>10</v>
      </c>
      <c r="E63" s="18" t="str">
        <f>VLOOKUP($C63,$AF:$AG,2,FALSE)</f>
        <v>Commercial</v>
      </c>
      <c r="F63" s="18">
        <v>9.9999999999999995E-7</v>
      </c>
      <c r="G63" s="18">
        <f>SUMIFS($H$2:$H$1003,$E$2:$E$1003,E63,$D$2:$D$1003,D63)</f>
        <v>12</v>
      </c>
      <c r="H63" s="8">
        <v>1</v>
      </c>
      <c r="Z63" s="7"/>
      <c r="AC63" s="7"/>
    </row>
    <row r="64" spans="2:29" x14ac:dyDescent="0.2">
      <c r="B64">
        <v>30</v>
      </c>
      <c r="C64" t="s">
        <v>54</v>
      </c>
      <c r="D64" t="s">
        <v>10</v>
      </c>
      <c r="E64" s="18" t="str">
        <f>VLOOKUP($C64,$AF:$AG,2,FALSE)</f>
        <v>Corporate</v>
      </c>
      <c r="F64" s="18">
        <v>9.9999999999999995E-7</v>
      </c>
      <c r="G64" s="18">
        <f>SUMIFS($H$2:$H$1003,$E$2:$E$1003,E64,$D$2:$D$1003,D64)</f>
        <v>18</v>
      </c>
      <c r="H64" s="8">
        <v>1</v>
      </c>
      <c r="Z64" s="7"/>
      <c r="AC64" s="7"/>
    </row>
    <row r="65" spans="2:29" x14ac:dyDescent="0.2">
      <c r="B65">
        <v>31</v>
      </c>
      <c r="C65" t="s">
        <v>25</v>
      </c>
      <c r="D65" t="s">
        <v>10</v>
      </c>
      <c r="E65" s="18" t="str">
        <f>VLOOKUP($C65,$AF:$AG,2,FALSE)</f>
        <v>Commercial</v>
      </c>
      <c r="F65" s="18">
        <v>9.9999999999999995E-7</v>
      </c>
      <c r="G65" s="18">
        <f>SUMIFS($H$2:$H$1003,$E$2:$E$1003,E65,$D$2:$D$1003,D65)</f>
        <v>12</v>
      </c>
      <c r="H65" s="8">
        <v>1</v>
      </c>
      <c r="Z65" s="7"/>
      <c r="AC65" s="7"/>
    </row>
    <row r="66" spans="2:29" x14ac:dyDescent="0.2">
      <c r="B66">
        <v>32</v>
      </c>
      <c r="C66" t="s">
        <v>47</v>
      </c>
      <c r="D66" t="s">
        <v>10</v>
      </c>
      <c r="E66" s="18" t="str">
        <f>VLOOKUP($C66,$AF:$AG,2,FALSE)</f>
        <v>Corporate</v>
      </c>
      <c r="F66" s="18">
        <v>9.9999999999999995E-7</v>
      </c>
      <c r="G66" s="18">
        <f>SUMIFS($H$2:$H$1003,$E$2:$E$1003,E66,$D$2:$D$1003,D66)</f>
        <v>18</v>
      </c>
      <c r="H66" s="8">
        <v>1</v>
      </c>
      <c r="Z66" s="7"/>
      <c r="AC66" s="7"/>
    </row>
    <row r="67" spans="2:29" x14ac:dyDescent="0.2">
      <c r="B67">
        <v>33</v>
      </c>
      <c r="C67" t="s">
        <v>24</v>
      </c>
      <c r="D67" t="s">
        <v>10</v>
      </c>
      <c r="E67" s="18" t="str">
        <f>VLOOKUP($C67,$AF:$AG,2,FALSE)</f>
        <v>Commercial</v>
      </c>
      <c r="F67" s="18">
        <v>9.9999999999999995E-7</v>
      </c>
      <c r="G67" s="18">
        <f>SUMIFS($H$2:$H$1003,$E$2:$E$1003,E67,$D$2:$D$1003,D67)</f>
        <v>12</v>
      </c>
      <c r="H67" s="8">
        <v>1</v>
      </c>
      <c r="Z67" s="7"/>
      <c r="AC67" s="7"/>
    </row>
    <row r="68" spans="2:29" x14ac:dyDescent="0.2">
      <c r="B68">
        <v>34</v>
      </c>
      <c r="C68" t="s">
        <v>35</v>
      </c>
      <c r="D68" t="s">
        <v>10</v>
      </c>
      <c r="E68" s="18" t="str">
        <f>VLOOKUP($C68,$AF:$AG,2,FALSE)</f>
        <v>Corporate</v>
      </c>
      <c r="F68" s="18">
        <v>9.9999999999999995E-7</v>
      </c>
      <c r="G68" s="18">
        <f>SUMIFS($H$2:$H$1003,$E$2:$E$1003,E68,$D$2:$D$1003,D68)</f>
        <v>18</v>
      </c>
      <c r="H68" s="8">
        <v>1</v>
      </c>
      <c r="Z68" s="7"/>
      <c r="AC68" s="7"/>
    </row>
    <row r="69" spans="2:29" x14ac:dyDescent="0.2">
      <c r="B69">
        <v>35</v>
      </c>
      <c r="C69" t="s">
        <v>40</v>
      </c>
      <c r="D69" t="s">
        <v>10</v>
      </c>
      <c r="E69" s="18" t="str">
        <f>VLOOKUP($C69,$AF:$AG,2,FALSE)</f>
        <v>Commercial</v>
      </c>
      <c r="F69" s="18">
        <v>9.9999999999999995E-7</v>
      </c>
      <c r="G69" s="18">
        <f>SUMIFS($H$2:$H$1003,$E$2:$E$1003,E69,$D$2:$D$1003,D69)</f>
        <v>12</v>
      </c>
      <c r="H69" s="8">
        <v>1</v>
      </c>
      <c r="Z69" s="7"/>
      <c r="AC69" s="7"/>
    </row>
    <row r="70" spans="2:29" x14ac:dyDescent="0.2">
      <c r="B70">
        <v>36</v>
      </c>
      <c r="C70" t="s">
        <v>98</v>
      </c>
      <c r="D70" t="s">
        <v>10</v>
      </c>
      <c r="E70" s="18" t="str">
        <f>VLOOKUP($C70,$AF:$AG,2,FALSE)</f>
        <v>Corporate</v>
      </c>
      <c r="F70" s="18">
        <v>9.9999999999999995E-7</v>
      </c>
      <c r="G70" s="18">
        <f>SUMIFS($H$2:$H$1003,$E$2:$E$1003,E70,$D$2:$D$1003,D70)</f>
        <v>18</v>
      </c>
      <c r="H70" s="8">
        <v>1</v>
      </c>
      <c r="Z70" s="7"/>
      <c r="AC70" s="7"/>
    </row>
    <row r="71" spans="2:29" x14ac:dyDescent="0.2">
      <c r="B71">
        <v>37</v>
      </c>
      <c r="C71" t="s">
        <v>45</v>
      </c>
      <c r="D71" t="s">
        <v>10</v>
      </c>
      <c r="E71" s="18" t="str">
        <f>VLOOKUP($C71,$AF:$AG,2,FALSE)</f>
        <v>Corporate</v>
      </c>
      <c r="F71" s="18">
        <v>9.9999999999999995E-7</v>
      </c>
      <c r="G71" s="18">
        <f>SUMIFS($H$2:$H$1003,$E$2:$E$1003,E71,$D$2:$D$1003,D71)</f>
        <v>18</v>
      </c>
      <c r="H71" s="8">
        <v>1</v>
      </c>
      <c r="Z71" s="7"/>
      <c r="AC71" s="7"/>
    </row>
    <row r="72" spans="2:29" x14ac:dyDescent="0.2">
      <c r="B72">
        <v>38</v>
      </c>
      <c r="C72" t="s">
        <v>51</v>
      </c>
      <c r="D72" t="s">
        <v>10</v>
      </c>
      <c r="E72" s="18" t="str">
        <f>VLOOKUP($C72,$AF:$AG,2,FALSE)</f>
        <v>Corporate</v>
      </c>
      <c r="F72" s="18">
        <v>9.9999999999999995E-7</v>
      </c>
      <c r="G72" s="18">
        <f>SUMIFS($H$2:$H$1003,$E$2:$E$1003,E72,$D$2:$D$1003,D72)</f>
        <v>18</v>
      </c>
      <c r="H72" s="8">
        <v>1</v>
      </c>
      <c r="Z72" s="7"/>
      <c r="AC72" s="7"/>
    </row>
    <row r="73" spans="2:29" x14ac:dyDescent="0.2">
      <c r="B73">
        <v>39</v>
      </c>
      <c r="C73" t="s">
        <v>48</v>
      </c>
      <c r="D73" t="s">
        <v>10</v>
      </c>
      <c r="E73" s="18" t="str">
        <f>VLOOKUP($C73,$AF:$AG,2,FALSE)</f>
        <v>Corporate</v>
      </c>
      <c r="F73" s="18">
        <v>9.9999999999999995E-7</v>
      </c>
      <c r="G73" s="18">
        <f>SUMIFS($H$2:$H$1003,$E$2:$E$1003,E73,$D$2:$D$1003,D73)</f>
        <v>18</v>
      </c>
      <c r="H73" s="8">
        <v>1</v>
      </c>
      <c r="Z73" s="7"/>
      <c r="AC73" s="7"/>
    </row>
    <row r="74" spans="2:29" x14ac:dyDescent="0.2">
      <c r="B74">
        <v>40</v>
      </c>
      <c r="C74" t="s">
        <v>50</v>
      </c>
      <c r="D74" t="s">
        <v>10</v>
      </c>
      <c r="E74" s="18" t="str">
        <f>VLOOKUP($C74,$AF:$AG,2,FALSE)</f>
        <v>Corporate</v>
      </c>
      <c r="F74" s="18">
        <v>9.9999999999999995E-7</v>
      </c>
      <c r="G74" s="18">
        <f>SUMIFS($H$2:$H$1003,$E$2:$E$1003,E74,$D$2:$D$1003,D74)</f>
        <v>18</v>
      </c>
      <c r="H74" s="8">
        <v>1</v>
      </c>
      <c r="Z74" s="7"/>
      <c r="AC74" s="7"/>
    </row>
    <row r="75" spans="2:29" x14ac:dyDescent="0.2">
      <c r="B75">
        <v>41</v>
      </c>
      <c r="C75" t="s">
        <v>56</v>
      </c>
      <c r="D75" t="s">
        <v>10</v>
      </c>
      <c r="E75" s="18" t="str">
        <f>VLOOKUP($C75,$AF:$AG,2,FALSE)</f>
        <v>Corporate</v>
      </c>
      <c r="F75" s="18">
        <v>9.9999999999999995E-7</v>
      </c>
      <c r="G75" s="18">
        <f>SUMIFS($H$2:$H$1003,$E$2:$E$1003,E75,$D$2:$D$1003,D75)</f>
        <v>18</v>
      </c>
      <c r="H75" s="8">
        <v>1</v>
      </c>
      <c r="Z75" s="7"/>
      <c r="AC75" s="7"/>
    </row>
    <row r="76" spans="2:29" x14ac:dyDescent="0.2">
      <c r="B76">
        <v>42</v>
      </c>
      <c r="C76" t="s">
        <v>53</v>
      </c>
      <c r="D76" t="s">
        <v>10</v>
      </c>
      <c r="E76" s="18" t="str">
        <f>VLOOKUP($C76,$AF:$AG,2,FALSE)</f>
        <v>Corporate</v>
      </c>
      <c r="F76" s="18">
        <v>9.9999999999999995E-7</v>
      </c>
      <c r="G76" s="18">
        <f>SUMIFS($H$2:$H$1003,$E$2:$E$1003,E76,$D$2:$D$1003,D76)</f>
        <v>18</v>
      </c>
      <c r="H76" s="8">
        <v>1</v>
      </c>
      <c r="Z76" s="7"/>
      <c r="AC76" s="7"/>
    </row>
    <row r="77" spans="2:29" x14ac:dyDescent="0.2">
      <c r="B77">
        <v>43</v>
      </c>
      <c r="C77" t="s">
        <v>39</v>
      </c>
      <c r="D77" t="s">
        <v>10</v>
      </c>
      <c r="E77" s="18" t="str">
        <f>VLOOKUP($C77,$AF:$AG,2,FALSE)</f>
        <v>Commercial</v>
      </c>
      <c r="F77" s="18">
        <v>9.9999999999999995E-7</v>
      </c>
      <c r="G77" s="18">
        <f>SUMIFS($H$2:$H$1003,$E$2:$E$1003,E77,$D$2:$D$1003,D77)</f>
        <v>12</v>
      </c>
      <c r="H77" s="8">
        <v>1</v>
      </c>
      <c r="Z77" s="7"/>
      <c r="AC77" s="7"/>
    </row>
    <row r="78" spans="2:29" x14ac:dyDescent="0.2">
      <c r="B78">
        <v>1</v>
      </c>
      <c r="C78" t="s">
        <v>23</v>
      </c>
      <c r="D78" t="s">
        <v>14</v>
      </c>
      <c r="E78" s="18" t="str">
        <f>VLOOKUP($C78,$AF:$AG,2,FALSE)</f>
        <v>Commercial</v>
      </c>
      <c r="F78" s="18">
        <f>H78*SUMIFS($H:$H,$J:$J,D78,$K:$K,E78)/G78</f>
        <v>0.1111111111111111</v>
      </c>
      <c r="G78" s="18">
        <f>SUMIFS($H$2:$H$1003,$E$2:$E$1003,E78,$D$2:$D$1003,D78)</f>
        <v>9</v>
      </c>
      <c r="H78" s="8">
        <v>1</v>
      </c>
      <c r="Z78" s="7"/>
      <c r="AC78" s="7"/>
    </row>
    <row r="79" spans="2:29" x14ac:dyDescent="0.2">
      <c r="B79">
        <v>2</v>
      </c>
      <c r="C79" t="s">
        <v>26</v>
      </c>
      <c r="D79" t="s">
        <v>14</v>
      </c>
      <c r="E79" s="18" t="str">
        <f>VLOOKUP($C79,$AF:$AG,2,FALSE)</f>
        <v>Operations</v>
      </c>
      <c r="F79" s="18">
        <f>H79*SUMIFS($H:$H,$J:$J,D79,$K:$K,E79)/G79</f>
        <v>0.33333333333333331</v>
      </c>
      <c r="G79" s="18">
        <f>SUMIFS($H$2:$H$1003,$E$2:$E$1003,E79,$D$2:$D$1003,D79)</f>
        <v>3</v>
      </c>
      <c r="H79" s="8">
        <v>1</v>
      </c>
      <c r="Z79" s="7"/>
      <c r="AC79" s="7"/>
    </row>
    <row r="80" spans="2:29" x14ac:dyDescent="0.2">
      <c r="B80">
        <v>3</v>
      </c>
      <c r="C80" t="s">
        <v>22</v>
      </c>
      <c r="D80" t="s">
        <v>14</v>
      </c>
      <c r="E80" s="18" t="str">
        <f>VLOOKUP($C80,$AF:$AG,2,FALSE)</f>
        <v>Corporate</v>
      </c>
      <c r="F80" s="18">
        <f>H80*SUMIFS($H:$H,$J:$J,D80,$K:$K,E80)/G80</f>
        <v>7.6923076923076927E-2</v>
      </c>
      <c r="G80" s="18">
        <f>SUMIFS($H$2:$H$1003,$E$2:$E$1003,E80,$D$2:$D$1003,D80)</f>
        <v>13</v>
      </c>
      <c r="H80" s="8">
        <v>1</v>
      </c>
      <c r="Z80" s="7"/>
      <c r="AC80" s="7"/>
    </row>
    <row r="81" spans="2:29" x14ac:dyDescent="0.2">
      <c r="B81">
        <v>4</v>
      </c>
      <c r="C81" t="s">
        <v>9</v>
      </c>
      <c r="D81" t="s">
        <v>14</v>
      </c>
      <c r="E81" s="18" t="str">
        <f>VLOOKUP($C81,$AF:$AG,2,FALSE)</f>
        <v>Technology</v>
      </c>
      <c r="F81" s="18">
        <f>H81*SUMIFS($H:$H,$J:$J,D81,$K:$K,E81)/G81</f>
        <v>0.2</v>
      </c>
      <c r="G81" s="18">
        <f>SUMIFS($H$2:$H$1003,$E$2:$E$1003,E81,$D$2:$D$1003,D81)</f>
        <v>5</v>
      </c>
      <c r="H81" s="8">
        <v>1</v>
      </c>
      <c r="Z81" s="7"/>
      <c r="AC81" s="7"/>
    </row>
    <row r="82" spans="2:29" x14ac:dyDescent="0.2">
      <c r="B82">
        <v>5</v>
      </c>
      <c r="C82" t="s">
        <v>11</v>
      </c>
      <c r="D82" t="s">
        <v>14</v>
      </c>
      <c r="E82" s="18" t="str">
        <f>VLOOKUP($C82,$AF:$AG,2,FALSE)</f>
        <v>CISO</v>
      </c>
      <c r="F82" s="18">
        <f>H82*SUMIFS($H:$H,$J:$J,D82,$K:$K,E82)/G82</f>
        <v>1</v>
      </c>
      <c r="G82" s="18">
        <f>SUMIFS($H$2:$H$1003,$E$2:$E$1003,E82,$D$2:$D$1003,D82)</f>
        <v>1</v>
      </c>
      <c r="H82" s="8">
        <v>1</v>
      </c>
      <c r="Z82" s="7"/>
      <c r="AC82" s="7"/>
    </row>
    <row r="83" spans="2:29" x14ac:dyDescent="0.2">
      <c r="B83">
        <v>6</v>
      </c>
      <c r="C83" t="s">
        <v>116</v>
      </c>
      <c r="D83" t="s">
        <v>14</v>
      </c>
      <c r="E83" s="18" t="str">
        <f>VLOOKUP($C83,$AF:$AG,2,FALSE)</f>
        <v>Data &amp; AI</v>
      </c>
      <c r="F83" s="18">
        <f>H83*SUMIFS($H:$H,$J:$J,D83,$K:$K,E83)/G83</f>
        <v>1</v>
      </c>
      <c r="G83" s="18">
        <f>SUMIFS($H$2:$H$1003,$E$2:$E$1003,E83,$D$2:$D$1003,D83)</f>
        <v>1</v>
      </c>
      <c r="H83" s="8">
        <v>1</v>
      </c>
      <c r="Z83" s="7"/>
      <c r="AC83" s="7"/>
    </row>
    <row r="84" spans="2:29" x14ac:dyDescent="0.2">
      <c r="B84">
        <v>7</v>
      </c>
      <c r="C84" t="s">
        <v>37</v>
      </c>
      <c r="D84" t="s">
        <v>14</v>
      </c>
      <c r="E84" s="18" t="str">
        <f>VLOOKUP($C84,$AF:$AG,2,FALSE)</f>
        <v>Commercial</v>
      </c>
      <c r="F84" s="18">
        <f>H84*SUMIFS($H:$H,$J:$J,D84,$K:$K,E84)/G84</f>
        <v>0.1111111111111111</v>
      </c>
      <c r="G84" s="18">
        <f>SUMIFS($H$2:$H$1003,$E$2:$E$1003,E84,$D$2:$D$1003,D84)</f>
        <v>9</v>
      </c>
      <c r="H84" s="8">
        <v>1</v>
      </c>
      <c r="Z84" s="7"/>
      <c r="AC84" s="7"/>
    </row>
    <row r="85" spans="2:29" x14ac:dyDescent="0.2">
      <c r="B85">
        <v>8</v>
      </c>
      <c r="C85" t="s">
        <v>44</v>
      </c>
      <c r="D85" t="s">
        <v>14</v>
      </c>
      <c r="E85" s="18" t="str">
        <f>VLOOKUP($C85,$AF:$AG,2,FALSE)</f>
        <v>Corporate</v>
      </c>
      <c r="F85" s="18">
        <f>H85*SUMIFS($H:$H,$J:$J,D85,$K:$K,E85)/G85</f>
        <v>7.6923076923076927E-2</v>
      </c>
      <c r="G85" s="18">
        <f>SUMIFS($H$2:$H$1003,$E$2:$E$1003,E85,$D$2:$D$1003,D85)</f>
        <v>13</v>
      </c>
      <c r="H85" s="8">
        <v>1</v>
      </c>
      <c r="Z85" s="7"/>
      <c r="AC85" s="7"/>
    </row>
    <row r="86" spans="2:29" x14ac:dyDescent="0.2">
      <c r="B86">
        <v>9</v>
      </c>
      <c r="C86" t="s">
        <v>7</v>
      </c>
      <c r="D86" t="s">
        <v>14</v>
      </c>
      <c r="E86" s="18" t="str">
        <f>VLOOKUP($C86,$AF:$AG,2,FALSE)</f>
        <v>Operations</v>
      </c>
      <c r="F86" s="18">
        <f>H86*SUMIFS($H:$H,$J:$J,D86,$K:$K,E86)/G86</f>
        <v>0.33333333333333331</v>
      </c>
      <c r="G86" s="18">
        <f>SUMIFS($H$2:$H$1003,$E$2:$E$1003,E86,$D$2:$D$1003,D86)</f>
        <v>3</v>
      </c>
      <c r="H86" s="8">
        <v>1</v>
      </c>
      <c r="Z86" s="7"/>
      <c r="AC86" s="7"/>
    </row>
    <row r="87" spans="2:29" x14ac:dyDescent="0.2">
      <c r="B87">
        <v>10</v>
      </c>
      <c r="C87" t="s">
        <v>59</v>
      </c>
      <c r="D87" t="s">
        <v>14</v>
      </c>
      <c r="E87" s="18" t="str">
        <f>VLOOKUP($C87,$AF:$AG,2,FALSE)</f>
        <v>Technology</v>
      </c>
      <c r="F87" s="18">
        <f>H87*SUMIFS($H:$H,$J:$J,D87,$K:$K,E87)/G87</f>
        <v>0.2</v>
      </c>
      <c r="G87" s="18">
        <f>SUMIFS($H$2:$H$1003,$E$2:$E$1003,E87,$D$2:$D$1003,D87)</f>
        <v>5</v>
      </c>
      <c r="H87" s="8">
        <v>1</v>
      </c>
      <c r="Z87" s="7"/>
      <c r="AC87" s="7"/>
    </row>
    <row r="88" spans="2:29" x14ac:dyDescent="0.2">
      <c r="B88">
        <v>11</v>
      </c>
      <c r="C88" t="s">
        <v>36</v>
      </c>
      <c r="D88" t="s">
        <v>14</v>
      </c>
      <c r="E88" s="18" t="str">
        <f>VLOOKUP($C88,$AF:$AG,2,FALSE)</f>
        <v>Commercial</v>
      </c>
      <c r="F88" s="18">
        <f>H88*SUMIFS($H:$H,$J:$J,D88,$K:$K,E88)/G88</f>
        <v>0.1111111111111111</v>
      </c>
      <c r="G88" s="18">
        <f>SUMIFS($H$2:$H$1003,$E$2:$E$1003,E88,$D$2:$D$1003,D88)</f>
        <v>9</v>
      </c>
      <c r="H88" s="8">
        <v>1</v>
      </c>
      <c r="Z88" s="7"/>
      <c r="AC88" s="7"/>
    </row>
    <row r="89" spans="2:29" x14ac:dyDescent="0.2">
      <c r="B89">
        <v>12</v>
      </c>
      <c r="C89" t="s">
        <v>46</v>
      </c>
      <c r="D89" t="s">
        <v>14</v>
      </c>
      <c r="E89" s="18" t="str">
        <f>VLOOKUP($C89,$AF:$AG,2,FALSE)</f>
        <v>Corporate</v>
      </c>
      <c r="F89" s="18">
        <f>H89*SUMIFS($H:$H,$J:$J,D89,$K:$K,E89)/G89</f>
        <v>7.6923076923076927E-2</v>
      </c>
      <c r="G89" s="18">
        <f>SUMIFS($H$2:$H$1003,$E$2:$E$1003,E89,$D$2:$D$1003,D89)</f>
        <v>13</v>
      </c>
      <c r="H89" s="8">
        <v>1</v>
      </c>
      <c r="Z89" s="7"/>
      <c r="AC89" s="7"/>
    </row>
    <row r="90" spans="2:29" x14ac:dyDescent="0.2">
      <c r="B90">
        <v>13</v>
      </c>
      <c r="C90" t="s">
        <v>42</v>
      </c>
      <c r="D90" t="s">
        <v>14</v>
      </c>
      <c r="E90" s="18" t="str">
        <f>VLOOKUP($C90,$AF:$AG,2,FALSE)</f>
        <v>Operations</v>
      </c>
      <c r="F90" s="18">
        <f>H90*SUMIFS($H:$H,$J:$J,D90,$K:$K,E90)/G90</f>
        <v>0.33333333333333331</v>
      </c>
      <c r="G90" s="18">
        <f>SUMIFS($H$2:$H$1003,$E$2:$E$1003,E90,$D$2:$D$1003,D90)</f>
        <v>3</v>
      </c>
      <c r="H90" s="8">
        <v>1</v>
      </c>
      <c r="Z90" s="7"/>
      <c r="AC90" s="7"/>
    </row>
    <row r="91" spans="2:29" x14ac:dyDescent="0.2">
      <c r="B91">
        <v>14</v>
      </c>
      <c r="C91" t="s">
        <v>58</v>
      </c>
      <c r="D91" t="s">
        <v>14</v>
      </c>
      <c r="E91" s="18" t="str">
        <f>VLOOKUP($C91,$AF:$AG,2,FALSE)</f>
        <v>Technology</v>
      </c>
      <c r="F91" s="18">
        <f>H91*SUMIFS($H:$H,$J:$J,D91,$K:$K,E91)/G91</f>
        <v>0.2</v>
      </c>
      <c r="G91" s="18">
        <f>SUMIFS($H$2:$H$1003,$E$2:$E$1003,E91,$D$2:$D$1003,D91)</f>
        <v>5</v>
      </c>
      <c r="H91" s="8">
        <v>1</v>
      </c>
      <c r="Z91" s="7"/>
      <c r="AC91" s="7"/>
    </row>
    <row r="92" spans="2:29" x14ac:dyDescent="0.2">
      <c r="B92">
        <v>15</v>
      </c>
      <c r="C92" t="s">
        <v>38</v>
      </c>
      <c r="D92" t="s">
        <v>14</v>
      </c>
      <c r="E92" s="18" t="str">
        <f>VLOOKUP($C92,$AF:$AG,2,FALSE)</f>
        <v>Commercial</v>
      </c>
      <c r="F92" s="18">
        <f>H92*SUMIFS($H:$H,$J:$J,D92,$K:$K,E92)/G92</f>
        <v>0.1111111111111111</v>
      </c>
      <c r="G92" s="18">
        <f>SUMIFS($H$2:$H$1003,$E$2:$E$1003,E92,$D$2:$D$1003,D92)</f>
        <v>9</v>
      </c>
      <c r="H92" s="8">
        <v>1</v>
      </c>
      <c r="Z92" s="7"/>
      <c r="AC92" s="7"/>
    </row>
    <row r="93" spans="2:29" x14ac:dyDescent="0.2">
      <c r="B93">
        <v>16</v>
      </c>
      <c r="C93" t="s">
        <v>47</v>
      </c>
      <c r="D93" t="s">
        <v>14</v>
      </c>
      <c r="E93" s="18" t="str">
        <f>VLOOKUP($C93,$AF:$AG,2,FALSE)</f>
        <v>Corporate</v>
      </c>
      <c r="F93" s="18">
        <f>H93*SUMIFS($H:$H,$J:$J,D93,$K:$K,E93)/G93</f>
        <v>7.6923076923076927E-2</v>
      </c>
      <c r="G93" s="18">
        <f>SUMIFS($H$2:$H$1003,$E$2:$E$1003,E93,$D$2:$D$1003,D93)</f>
        <v>13</v>
      </c>
      <c r="H93" s="8">
        <v>1</v>
      </c>
      <c r="Z93" s="7"/>
      <c r="AC93" s="7"/>
    </row>
    <row r="94" spans="2:29" x14ac:dyDescent="0.2">
      <c r="B94">
        <v>17</v>
      </c>
      <c r="C94" t="s">
        <v>34</v>
      </c>
      <c r="D94" t="s">
        <v>14</v>
      </c>
      <c r="E94" s="18" t="str">
        <f>VLOOKUP($C94,$AF:$AG,2,FALSE)</f>
        <v>Technology</v>
      </c>
      <c r="F94" s="18">
        <f>H94*SUMIFS($H:$H,$J:$J,D94,$K:$K,E94)/G94</f>
        <v>0.2</v>
      </c>
      <c r="G94" s="18">
        <f>SUMIFS($H$2:$H$1003,$E$2:$E$1003,E94,$D$2:$D$1003,D94)</f>
        <v>5</v>
      </c>
      <c r="H94" s="8">
        <v>1</v>
      </c>
      <c r="Z94" s="7"/>
      <c r="AC94" s="7"/>
    </row>
    <row r="95" spans="2:29" x14ac:dyDescent="0.2">
      <c r="B95">
        <v>18</v>
      </c>
      <c r="C95" t="s">
        <v>25</v>
      </c>
      <c r="D95" t="s">
        <v>14</v>
      </c>
      <c r="E95" s="18" t="str">
        <f>VLOOKUP($C95,$AF:$AG,2,FALSE)</f>
        <v>Commercial</v>
      </c>
      <c r="F95" s="18">
        <f>H95*SUMIFS($H:$H,$J:$J,D95,$K:$K,E95)/G95</f>
        <v>0.1111111111111111</v>
      </c>
      <c r="G95" s="18">
        <f>SUMIFS($H$2:$H$1003,$E$2:$E$1003,E95,$D$2:$D$1003,D95)</f>
        <v>9</v>
      </c>
      <c r="H95" s="8">
        <v>1</v>
      </c>
      <c r="Z95" s="7"/>
      <c r="AC95" s="7"/>
    </row>
    <row r="96" spans="2:29" x14ac:dyDescent="0.2">
      <c r="B96">
        <v>19</v>
      </c>
      <c r="C96" t="s">
        <v>35</v>
      </c>
      <c r="D96" t="s">
        <v>14</v>
      </c>
      <c r="E96" s="18" t="str">
        <f>VLOOKUP($C96,$AF:$AG,2,FALSE)</f>
        <v>Corporate</v>
      </c>
      <c r="F96" s="18">
        <f>H96*SUMIFS($H:$H,$J:$J,D96,$K:$K,E96)/G96</f>
        <v>7.6923076923076927E-2</v>
      </c>
      <c r="G96" s="18">
        <f>SUMIFS($H$2:$H$1003,$E$2:$E$1003,E96,$D$2:$D$1003,D96)</f>
        <v>13</v>
      </c>
      <c r="H96" s="8">
        <v>1</v>
      </c>
      <c r="Z96" s="7"/>
      <c r="AC96" s="7"/>
    </row>
    <row r="97" spans="2:29" x14ac:dyDescent="0.2">
      <c r="B97">
        <v>20</v>
      </c>
      <c r="C97" t="s">
        <v>60</v>
      </c>
      <c r="D97" t="s">
        <v>14</v>
      </c>
      <c r="E97" s="18" t="str">
        <f>VLOOKUP($C97,$AF:$AG,2,FALSE)</f>
        <v>Technology</v>
      </c>
      <c r="F97" s="18">
        <f>H97*SUMIFS($H:$H,$J:$J,D97,$K:$K,E97)/G97</f>
        <v>0.2</v>
      </c>
      <c r="G97" s="18">
        <f>SUMIFS($H$2:$H$1003,$E$2:$E$1003,E97,$D$2:$D$1003,D97)</f>
        <v>5</v>
      </c>
      <c r="H97" s="8">
        <v>1</v>
      </c>
      <c r="Z97" s="7"/>
      <c r="AC97" s="7"/>
    </row>
    <row r="98" spans="2:29" x14ac:dyDescent="0.2">
      <c r="B98">
        <v>21</v>
      </c>
      <c r="C98" t="s">
        <v>21</v>
      </c>
      <c r="D98" t="s">
        <v>14</v>
      </c>
      <c r="E98" s="18" t="str">
        <f>VLOOKUP($C98,$AF:$AG,2,FALSE)</f>
        <v>Commercial</v>
      </c>
      <c r="F98" s="18">
        <f>H98*SUMIFS($H:$H,$J:$J,D98,$K:$K,E98)/G98</f>
        <v>0.1111111111111111</v>
      </c>
      <c r="G98" s="18">
        <f>SUMIFS($H$2:$H$1003,$E$2:$E$1003,E98,$D$2:$D$1003,D98)</f>
        <v>9</v>
      </c>
      <c r="H98" s="8">
        <v>1</v>
      </c>
      <c r="Z98" s="7"/>
      <c r="AC98" s="7"/>
    </row>
    <row r="99" spans="2:29" x14ac:dyDescent="0.2">
      <c r="B99">
        <v>22</v>
      </c>
      <c r="C99" t="s">
        <v>98</v>
      </c>
      <c r="D99" t="s">
        <v>14</v>
      </c>
      <c r="E99" s="18" t="str">
        <f>VLOOKUP($C99,$AF:$AG,2,FALSE)</f>
        <v>Corporate</v>
      </c>
      <c r="F99" s="18">
        <f>H99*SUMIFS($H:$H,$J:$J,D99,$K:$K,E99)/G99</f>
        <v>7.6923076923076927E-2</v>
      </c>
      <c r="G99" s="18">
        <f>SUMIFS($H$2:$H$1003,$E$2:$E$1003,E99,$D$2:$D$1003,D99)</f>
        <v>13</v>
      </c>
      <c r="H99" s="8">
        <v>1</v>
      </c>
      <c r="Z99" s="7"/>
      <c r="AC99" s="7"/>
    </row>
    <row r="100" spans="2:29" x14ac:dyDescent="0.2">
      <c r="B100">
        <v>23</v>
      </c>
      <c r="C100" t="s">
        <v>24</v>
      </c>
      <c r="D100" t="s">
        <v>14</v>
      </c>
      <c r="E100" s="18" t="str">
        <f>VLOOKUP($C100,$AF:$AG,2,FALSE)</f>
        <v>Commercial</v>
      </c>
      <c r="F100" s="18">
        <f>H100*SUMIFS($H:$H,$J:$J,D100,$K:$K,E100)/G100</f>
        <v>0.1111111111111111</v>
      </c>
      <c r="G100" s="18">
        <f>SUMIFS($H$2:$H$1003,$E$2:$E$1003,E100,$D$2:$D$1003,D100)</f>
        <v>9</v>
      </c>
      <c r="H100" s="8">
        <v>1</v>
      </c>
      <c r="Z100" s="7"/>
      <c r="AC100" s="7"/>
    </row>
    <row r="101" spans="2:29" x14ac:dyDescent="0.2">
      <c r="B101">
        <v>24</v>
      </c>
      <c r="C101" t="s">
        <v>45</v>
      </c>
      <c r="D101" t="s">
        <v>14</v>
      </c>
      <c r="E101" s="18" t="str">
        <f>VLOOKUP($C101,$AF:$AG,2,FALSE)</f>
        <v>Corporate</v>
      </c>
      <c r="F101" s="18">
        <f>H101*SUMIFS($H:$H,$J:$J,D101,$K:$K,E101)/G101</f>
        <v>7.6923076923076927E-2</v>
      </c>
      <c r="G101" s="18">
        <f>SUMIFS($H$2:$H$1003,$E$2:$E$1003,E101,$D$2:$D$1003,D101)</f>
        <v>13</v>
      </c>
      <c r="H101" s="8">
        <v>1</v>
      </c>
      <c r="Z101" s="7"/>
      <c r="AC101" s="7"/>
    </row>
    <row r="102" spans="2:29" x14ac:dyDescent="0.2">
      <c r="B102">
        <v>25</v>
      </c>
      <c r="C102" t="s">
        <v>40</v>
      </c>
      <c r="D102" t="s">
        <v>14</v>
      </c>
      <c r="E102" s="18" t="str">
        <f>VLOOKUP($C102,$AF:$AG,2,FALSE)</f>
        <v>Commercial</v>
      </c>
      <c r="F102" s="18">
        <f>H102*SUMIFS($H:$H,$J:$J,D102,$K:$K,E102)/G102</f>
        <v>0.1111111111111111</v>
      </c>
      <c r="G102" s="18">
        <f>SUMIFS($H$2:$H$1003,$E$2:$E$1003,E102,$D$2:$D$1003,D102)</f>
        <v>9</v>
      </c>
      <c r="H102" s="8">
        <v>1</v>
      </c>
      <c r="Z102" s="7"/>
      <c r="AC102" s="7"/>
    </row>
    <row r="103" spans="2:29" x14ac:dyDescent="0.2">
      <c r="B103">
        <v>26</v>
      </c>
      <c r="C103" t="s">
        <v>48</v>
      </c>
      <c r="D103" t="s">
        <v>14</v>
      </c>
      <c r="E103" s="18" t="str">
        <f>VLOOKUP($C103,$AF:$AG,2,FALSE)</f>
        <v>Corporate</v>
      </c>
      <c r="F103" s="18">
        <f>H103*SUMIFS($H:$H,$J:$J,D103,$K:$K,E103)/G103</f>
        <v>7.6923076923076927E-2</v>
      </c>
      <c r="G103" s="18">
        <f>SUMIFS($H$2:$H$1003,$E$2:$E$1003,E103,$D$2:$D$1003,D103)</f>
        <v>13</v>
      </c>
      <c r="H103" s="8">
        <v>1</v>
      </c>
      <c r="Z103" s="7"/>
      <c r="AC103" s="7"/>
    </row>
    <row r="104" spans="2:29" x14ac:dyDescent="0.2">
      <c r="B104">
        <v>27</v>
      </c>
      <c r="C104" t="s">
        <v>39</v>
      </c>
      <c r="D104" t="s">
        <v>14</v>
      </c>
      <c r="E104" s="18" t="str">
        <f>VLOOKUP($C104,$AF:$AG,2,FALSE)</f>
        <v>Commercial</v>
      </c>
      <c r="F104" s="18">
        <f>H104*SUMIFS($H:$H,$J:$J,D104,$K:$K,E104)/G104</f>
        <v>0.1111111111111111</v>
      </c>
      <c r="G104" s="18">
        <f>SUMIFS($H$2:$H$1003,$E$2:$E$1003,E104,$D$2:$D$1003,D104)</f>
        <v>9</v>
      </c>
      <c r="H104" s="8">
        <v>1</v>
      </c>
      <c r="Z104" s="7"/>
      <c r="AC104" s="7"/>
    </row>
    <row r="105" spans="2:29" x14ac:dyDescent="0.2">
      <c r="B105">
        <v>28</v>
      </c>
      <c r="C105" t="s">
        <v>54</v>
      </c>
      <c r="D105" t="s">
        <v>14</v>
      </c>
      <c r="E105" s="18" t="str">
        <f>VLOOKUP($C105,$AF:$AG,2,FALSE)</f>
        <v>Corporate</v>
      </c>
      <c r="F105" s="18">
        <f>H105*SUMIFS($H:$H,$J:$J,D105,$K:$K,E105)/G105</f>
        <v>7.6923076923076927E-2</v>
      </c>
      <c r="G105" s="18">
        <f>SUMIFS($H$2:$H$1003,$E$2:$E$1003,E105,$D$2:$D$1003,D105)</f>
        <v>13</v>
      </c>
      <c r="H105" s="8">
        <v>1</v>
      </c>
      <c r="Z105" s="7"/>
      <c r="AC105" s="7"/>
    </row>
    <row r="106" spans="2:29" x14ac:dyDescent="0.2">
      <c r="B106">
        <v>29</v>
      </c>
      <c r="C106" t="s">
        <v>50</v>
      </c>
      <c r="D106" t="s">
        <v>14</v>
      </c>
      <c r="E106" s="18" t="str">
        <f>VLOOKUP($C106,$AF:$AG,2,FALSE)</f>
        <v>Corporate</v>
      </c>
      <c r="F106" s="18">
        <f>H106*SUMIFS($H:$H,$J:$J,D106,$K:$K,E106)/G106</f>
        <v>7.6923076923076927E-2</v>
      </c>
      <c r="G106" s="18">
        <f>SUMIFS($H$2:$H$1003,$E$2:$E$1003,E106,$D$2:$D$1003,D106)</f>
        <v>13</v>
      </c>
      <c r="H106" s="8">
        <v>1</v>
      </c>
      <c r="Z106" s="7"/>
      <c r="AC106" s="7"/>
    </row>
    <row r="107" spans="2:29" x14ac:dyDescent="0.2">
      <c r="B107">
        <v>30</v>
      </c>
      <c r="C107" t="s">
        <v>51</v>
      </c>
      <c r="D107" t="s">
        <v>14</v>
      </c>
      <c r="E107" s="18" t="str">
        <f>VLOOKUP($C107,$AF:$AG,2,FALSE)</f>
        <v>Corporate</v>
      </c>
      <c r="F107" s="18">
        <f>H107*SUMIFS($H:$H,$J:$J,D107,$K:$K,E107)/G107</f>
        <v>7.6923076923076927E-2</v>
      </c>
      <c r="G107" s="18">
        <f>SUMIFS($H$2:$H$1003,$E$2:$E$1003,E107,$D$2:$D$1003,D107)</f>
        <v>13</v>
      </c>
      <c r="H107" s="8">
        <v>1</v>
      </c>
      <c r="Z107" s="7"/>
      <c r="AC107" s="7"/>
    </row>
    <row r="108" spans="2:29" x14ac:dyDescent="0.2">
      <c r="B108">
        <v>31</v>
      </c>
      <c r="C108" t="s">
        <v>56</v>
      </c>
      <c r="D108" t="s">
        <v>14</v>
      </c>
      <c r="E108" s="18" t="str">
        <f>VLOOKUP($C108,$AF:$AG,2,FALSE)</f>
        <v>Corporate</v>
      </c>
      <c r="F108" s="18">
        <f>H108*SUMIFS($H:$H,$J:$J,D108,$K:$K,E108)/G108</f>
        <v>7.6923076923076927E-2</v>
      </c>
      <c r="G108" s="18">
        <f>SUMIFS($H$2:$H$1003,$E$2:$E$1003,E108,$D$2:$D$1003,D108)</f>
        <v>13</v>
      </c>
      <c r="H108" s="8">
        <v>1</v>
      </c>
      <c r="Z108" s="7"/>
      <c r="AC108" s="7"/>
    </row>
    <row r="109" spans="2:29" x14ac:dyDescent="0.2">
      <c r="B109">
        <v>32</v>
      </c>
      <c r="C109" t="s">
        <v>53</v>
      </c>
      <c r="D109" t="s">
        <v>14</v>
      </c>
      <c r="E109" s="18" t="str">
        <f>VLOOKUP($C109,$AF:$AG,2,FALSE)</f>
        <v>Corporate</v>
      </c>
      <c r="F109" s="18">
        <f>H109*SUMIFS($H:$H,$J:$J,D109,$K:$K,E109)/G109</f>
        <v>7.6923076923076927E-2</v>
      </c>
      <c r="G109" s="18">
        <f>SUMIFS($H$2:$H$1003,$E$2:$E$1003,E109,$D$2:$D$1003,D109)</f>
        <v>13</v>
      </c>
      <c r="H109" s="8">
        <v>1</v>
      </c>
      <c r="Z109" s="7"/>
      <c r="AC109" s="7"/>
    </row>
    <row r="110" spans="2:29" x14ac:dyDescent="0.2">
      <c r="B110">
        <v>1</v>
      </c>
      <c r="C110" t="s">
        <v>21</v>
      </c>
      <c r="D110" t="s">
        <v>15</v>
      </c>
      <c r="E110" s="18" t="str">
        <f>VLOOKUP($C110,$AF:$AG,2,FALSE)</f>
        <v>Commercial</v>
      </c>
      <c r="F110" s="18">
        <f>H110*SUMIFS($H:$H,$J:$J,D110,$K:$K,E110)/G110</f>
        <v>0.1111111111111111</v>
      </c>
      <c r="G110" s="18">
        <f>SUMIFS($H$2:$H$1003,$E$2:$E$1003,E110,$D$2:$D$1003,D110)</f>
        <v>9</v>
      </c>
      <c r="H110" s="8">
        <v>1</v>
      </c>
      <c r="Z110" s="7"/>
      <c r="AC110" s="7"/>
    </row>
    <row r="111" spans="2:29" x14ac:dyDescent="0.2">
      <c r="B111">
        <v>2</v>
      </c>
      <c r="C111" t="s">
        <v>26</v>
      </c>
      <c r="D111" t="s">
        <v>15</v>
      </c>
      <c r="E111" s="18" t="str">
        <f>VLOOKUP($C111,$AF:$AG,2,FALSE)</f>
        <v>Operations</v>
      </c>
      <c r="F111" s="18">
        <f>H111*SUMIFS($H:$H,$J:$J,D111,$K:$K,E111)/G111</f>
        <v>0.33333333333333331</v>
      </c>
      <c r="G111" s="18">
        <f>SUMIFS($H$2:$H$1003,$E$2:$E$1003,E111,$D$2:$D$1003,D111)</f>
        <v>3</v>
      </c>
      <c r="H111" s="8">
        <v>1</v>
      </c>
      <c r="Z111" s="7"/>
      <c r="AC111" s="7"/>
    </row>
    <row r="112" spans="2:29" x14ac:dyDescent="0.2">
      <c r="B112">
        <v>3</v>
      </c>
      <c r="C112" t="s">
        <v>22</v>
      </c>
      <c r="D112" t="s">
        <v>15</v>
      </c>
      <c r="E112" s="18" t="str">
        <f>VLOOKUP($C112,$AF:$AG,2,FALSE)</f>
        <v>Corporate</v>
      </c>
      <c r="F112" s="18">
        <f>H112*SUMIFS($H:$H,$J:$J,D112,$K:$K,E112)/G112</f>
        <v>7.6923076923076927E-2</v>
      </c>
      <c r="G112" s="18">
        <f>SUMIFS($H$2:$H$1003,$E$2:$E$1003,E112,$D$2:$D$1003,D112)</f>
        <v>13</v>
      </c>
      <c r="H112" s="8">
        <v>1</v>
      </c>
      <c r="Z112" s="7"/>
      <c r="AC112" s="7"/>
    </row>
    <row r="113" spans="2:29" x14ac:dyDescent="0.2">
      <c r="B113">
        <v>4</v>
      </c>
      <c r="C113" t="s">
        <v>9</v>
      </c>
      <c r="D113" t="s">
        <v>15</v>
      </c>
      <c r="E113" s="18" t="str">
        <f>VLOOKUP($C113,$AF:$AG,2,FALSE)</f>
        <v>Technology</v>
      </c>
      <c r="F113" s="18">
        <f>H113*SUMIFS($H:$H,$J:$J,D113,$K:$K,E113)/G113</f>
        <v>0.2</v>
      </c>
      <c r="G113" s="18">
        <f>SUMIFS($H$2:$H$1003,$E$2:$E$1003,E113,$D$2:$D$1003,D113)</f>
        <v>5</v>
      </c>
      <c r="H113" s="8">
        <v>1</v>
      </c>
      <c r="Z113" s="7"/>
      <c r="AC113" s="7"/>
    </row>
    <row r="114" spans="2:29" x14ac:dyDescent="0.2">
      <c r="B114">
        <v>5</v>
      </c>
      <c r="C114" t="s">
        <v>11</v>
      </c>
      <c r="D114" t="s">
        <v>15</v>
      </c>
      <c r="E114" s="18" t="str">
        <f>VLOOKUP($C114,$AF:$AG,2,FALSE)</f>
        <v>CISO</v>
      </c>
      <c r="F114" s="18">
        <f>H114*SUMIFS($H:$H,$J:$J,D114,$K:$K,E114)/G114</f>
        <v>1</v>
      </c>
      <c r="G114" s="18">
        <f>SUMIFS($H$2:$H$1003,$E$2:$E$1003,E114,$D$2:$D$1003,D114)</f>
        <v>1</v>
      </c>
      <c r="H114" s="8">
        <v>1</v>
      </c>
      <c r="Z114" s="7"/>
      <c r="AC114" s="7"/>
    </row>
    <row r="115" spans="2:29" x14ac:dyDescent="0.2">
      <c r="B115">
        <v>6</v>
      </c>
      <c r="C115" t="s">
        <v>116</v>
      </c>
      <c r="D115" t="s">
        <v>15</v>
      </c>
      <c r="E115" s="18" t="str">
        <f>VLOOKUP($C115,$AF:$AG,2,FALSE)</f>
        <v>Data &amp; AI</v>
      </c>
      <c r="F115" s="18">
        <f>H115*SUMIFS($H:$H,$J:$J,D115,$K:$K,E115)/G115</f>
        <v>1</v>
      </c>
      <c r="G115" s="18">
        <f>SUMIFS($H$2:$H$1003,$E$2:$E$1003,E115,$D$2:$D$1003,D115)</f>
        <v>1</v>
      </c>
      <c r="H115" s="8">
        <v>1</v>
      </c>
      <c r="Z115" s="7"/>
      <c r="AC115" s="7"/>
    </row>
    <row r="116" spans="2:29" x14ac:dyDescent="0.2">
      <c r="B116">
        <v>7</v>
      </c>
      <c r="C116" t="s">
        <v>37</v>
      </c>
      <c r="D116" t="s">
        <v>15</v>
      </c>
      <c r="E116" s="18" t="str">
        <f>VLOOKUP($C116,$AF:$AG,2,FALSE)</f>
        <v>Commercial</v>
      </c>
      <c r="F116" s="18">
        <f>H116*SUMIFS($H:$H,$J:$J,D116,$K:$K,E116)/G116</f>
        <v>0.1111111111111111</v>
      </c>
      <c r="G116" s="18">
        <f>SUMIFS($H$2:$H$1003,$E$2:$E$1003,E116,$D$2:$D$1003,D116)</f>
        <v>9</v>
      </c>
      <c r="H116" s="8">
        <v>1</v>
      </c>
      <c r="Z116" s="7"/>
      <c r="AC116" s="7"/>
    </row>
    <row r="117" spans="2:29" x14ac:dyDescent="0.2">
      <c r="B117">
        <v>8</v>
      </c>
      <c r="C117" t="s">
        <v>44</v>
      </c>
      <c r="D117" t="s">
        <v>15</v>
      </c>
      <c r="E117" s="18" t="str">
        <f>VLOOKUP($C117,$AF:$AG,2,FALSE)</f>
        <v>Corporate</v>
      </c>
      <c r="F117" s="18">
        <f>H117*SUMIFS($H:$H,$J:$J,D117,$K:$K,E117)/G117</f>
        <v>7.6923076923076927E-2</v>
      </c>
      <c r="G117" s="18">
        <f>SUMIFS($H$2:$H$1003,$E$2:$E$1003,E117,$D$2:$D$1003,D117)</f>
        <v>13</v>
      </c>
      <c r="H117" s="8">
        <v>1</v>
      </c>
      <c r="Z117" s="7"/>
      <c r="AC117" s="7"/>
    </row>
    <row r="118" spans="2:29" x14ac:dyDescent="0.2">
      <c r="B118">
        <v>9</v>
      </c>
      <c r="C118" t="s">
        <v>7</v>
      </c>
      <c r="D118" t="s">
        <v>15</v>
      </c>
      <c r="E118" s="18" t="str">
        <f>VLOOKUP($C118,$AF:$AG,2,FALSE)</f>
        <v>Operations</v>
      </c>
      <c r="F118" s="18">
        <f>H118*SUMIFS($H:$H,$J:$J,D118,$K:$K,E118)/G118</f>
        <v>0.33333333333333331</v>
      </c>
      <c r="G118" s="18">
        <f>SUMIFS($H$2:$H$1003,$E$2:$E$1003,E118,$D$2:$D$1003,D118)</f>
        <v>3</v>
      </c>
      <c r="H118" s="8">
        <v>1</v>
      </c>
      <c r="Z118" s="7"/>
      <c r="AC118" s="7"/>
    </row>
    <row r="119" spans="2:29" x14ac:dyDescent="0.2">
      <c r="B119">
        <v>10</v>
      </c>
      <c r="C119" t="s">
        <v>59</v>
      </c>
      <c r="D119" t="s">
        <v>15</v>
      </c>
      <c r="E119" s="18" t="str">
        <f>VLOOKUP($C119,$AF:$AG,2,FALSE)</f>
        <v>Technology</v>
      </c>
      <c r="F119" s="18">
        <f>H119*SUMIFS($H:$H,$J:$J,D119,$K:$K,E119)/G119</f>
        <v>0.2</v>
      </c>
      <c r="G119" s="18">
        <f>SUMIFS($H$2:$H$1003,$E$2:$E$1003,E119,$D$2:$D$1003,D119)</f>
        <v>5</v>
      </c>
      <c r="H119" s="8">
        <v>1</v>
      </c>
      <c r="Z119" s="7"/>
      <c r="AC119" s="7"/>
    </row>
    <row r="120" spans="2:29" x14ac:dyDescent="0.2">
      <c r="B120">
        <v>11</v>
      </c>
      <c r="C120" t="s">
        <v>36</v>
      </c>
      <c r="D120" t="s">
        <v>15</v>
      </c>
      <c r="E120" s="18" t="str">
        <f>VLOOKUP($C120,$AF:$AG,2,FALSE)</f>
        <v>Commercial</v>
      </c>
      <c r="F120" s="18">
        <f>H120*SUMIFS($H:$H,$J:$J,D120,$K:$K,E120)/G120</f>
        <v>0.1111111111111111</v>
      </c>
      <c r="G120" s="18">
        <f>SUMIFS($H$2:$H$1003,$E$2:$E$1003,E120,$D$2:$D$1003,D120)</f>
        <v>9</v>
      </c>
      <c r="H120" s="8">
        <v>1</v>
      </c>
      <c r="Z120" s="7"/>
      <c r="AC120" s="7"/>
    </row>
    <row r="121" spans="2:29" x14ac:dyDescent="0.2">
      <c r="B121">
        <v>12</v>
      </c>
      <c r="C121" t="s">
        <v>46</v>
      </c>
      <c r="D121" t="s">
        <v>15</v>
      </c>
      <c r="E121" s="18" t="str">
        <f>VLOOKUP($C121,$AF:$AG,2,FALSE)</f>
        <v>Corporate</v>
      </c>
      <c r="F121" s="18">
        <f>H121*SUMIFS($H:$H,$J:$J,D121,$K:$K,E121)/G121</f>
        <v>7.6923076923076927E-2</v>
      </c>
      <c r="G121" s="18">
        <f>SUMIFS($H$2:$H$1003,$E$2:$E$1003,E121,$D$2:$D$1003,D121)</f>
        <v>13</v>
      </c>
      <c r="H121" s="8">
        <v>1</v>
      </c>
      <c r="Z121" s="7"/>
      <c r="AC121" s="7"/>
    </row>
    <row r="122" spans="2:29" x14ac:dyDescent="0.2">
      <c r="B122">
        <v>13</v>
      </c>
      <c r="C122" t="s">
        <v>42</v>
      </c>
      <c r="D122" t="s">
        <v>15</v>
      </c>
      <c r="E122" s="18" t="str">
        <f>VLOOKUP($C122,$AF:$AG,2,FALSE)</f>
        <v>Operations</v>
      </c>
      <c r="F122" s="18">
        <f>H122*SUMIFS($H:$H,$J:$J,D122,$K:$K,E122)/G122</f>
        <v>0.33333333333333331</v>
      </c>
      <c r="G122" s="18">
        <f>SUMIFS($H$2:$H$1003,$E$2:$E$1003,E122,$D$2:$D$1003,D122)</f>
        <v>3</v>
      </c>
      <c r="H122" s="8">
        <v>1</v>
      </c>
      <c r="Z122" s="7"/>
      <c r="AC122" s="7"/>
    </row>
    <row r="123" spans="2:29" x14ac:dyDescent="0.2">
      <c r="B123">
        <v>14</v>
      </c>
      <c r="C123" t="s">
        <v>58</v>
      </c>
      <c r="D123" t="s">
        <v>15</v>
      </c>
      <c r="E123" s="18" t="str">
        <f>VLOOKUP($C123,$AF:$AG,2,FALSE)</f>
        <v>Technology</v>
      </c>
      <c r="F123" s="18">
        <f>H123*SUMIFS($H:$H,$J:$J,D123,$K:$K,E123)/G123</f>
        <v>0.2</v>
      </c>
      <c r="G123" s="18">
        <f>SUMIFS($H$2:$H$1003,$E$2:$E$1003,E123,$D$2:$D$1003,D123)</f>
        <v>5</v>
      </c>
      <c r="H123" s="8">
        <v>1</v>
      </c>
      <c r="Z123" s="7"/>
      <c r="AC123" s="7"/>
    </row>
    <row r="124" spans="2:29" x14ac:dyDescent="0.2">
      <c r="B124">
        <v>15</v>
      </c>
      <c r="C124" t="s">
        <v>38</v>
      </c>
      <c r="D124" t="s">
        <v>15</v>
      </c>
      <c r="E124" s="18" t="str">
        <f>VLOOKUP($C124,$AF:$AG,2,FALSE)</f>
        <v>Commercial</v>
      </c>
      <c r="F124" s="18">
        <f>H124*SUMIFS($H:$H,$J:$J,D124,$K:$K,E124)/G124</f>
        <v>0.1111111111111111</v>
      </c>
      <c r="G124" s="18">
        <f>SUMIFS($H$2:$H$1003,$E$2:$E$1003,E124,$D$2:$D$1003,D124)</f>
        <v>9</v>
      </c>
      <c r="H124" s="8">
        <v>1</v>
      </c>
      <c r="Z124" s="7"/>
      <c r="AC124" s="7"/>
    </row>
    <row r="125" spans="2:29" x14ac:dyDescent="0.2">
      <c r="B125">
        <v>16</v>
      </c>
      <c r="C125" t="s">
        <v>47</v>
      </c>
      <c r="D125" t="s">
        <v>15</v>
      </c>
      <c r="E125" s="18" t="str">
        <f>VLOOKUP($C125,$AF:$AG,2,FALSE)</f>
        <v>Corporate</v>
      </c>
      <c r="F125" s="18">
        <f>H125*SUMIFS($H:$H,$J:$J,D125,$K:$K,E125)/G125</f>
        <v>7.6923076923076927E-2</v>
      </c>
      <c r="G125" s="18">
        <f>SUMIFS($H$2:$H$1003,$E$2:$E$1003,E125,$D$2:$D$1003,D125)</f>
        <v>13</v>
      </c>
      <c r="H125" s="8">
        <v>1</v>
      </c>
      <c r="Z125" s="7"/>
      <c r="AC125" s="7"/>
    </row>
    <row r="126" spans="2:29" x14ac:dyDescent="0.2">
      <c r="B126">
        <v>17</v>
      </c>
      <c r="C126" t="s">
        <v>34</v>
      </c>
      <c r="D126" t="s">
        <v>15</v>
      </c>
      <c r="E126" s="18" t="str">
        <f>VLOOKUP($C126,$AF:$AG,2,FALSE)</f>
        <v>Technology</v>
      </c>
      <c r="F126" s="18">
        <f>H126*SUMIFS($H:$H,$J:$J,D126,$K:$K,E126)/G126</f>
        <v>0.2</v>
      </c>
      <c r="G126" s="18">
        <f>SUMIFS($H$2:$H$1003,$E$2:$E$1003,E126,$D$2:$D$1003,D126)</f>
        <v>5</v>
      </c>
      <c r="H126" s="8">
        <v>1</v>
      </c>
      <c r="Z126" s="7"/>
      <c r="AC126" s="7"/>
    </row>
    <row r="127" spans="2:29" x14ac:dyDescent="0.2">
      <c r="B127">
        <v>18</v>
      </c>
      <c r="C127" t="s">
        <v>25</v>
      </c>
      <c r="D127" t="s">
        <v>15</v>
      </c>
      <c r="E127" s="18" t="str">
        <f>VLOOKUP($C127,$AF:$AG,2,FALSE)</f>
        <v>Commercial</v>
      </c>
      <c r="F127" s="18">
        <f>H127*SUMIFS($H:$H,$J:$J,D127,$K:$K,E127)/G127</f>
        <v>0.1111111111111111</v>
      </c>
      <c r="G127" s="18">
        <f>SUMIFS($H$2:$H$1003,$E$2:$E$1003,E127,$D$2:$D$1003,D127)</f>
        <v>9</v>
      </c>
      <c r="H127" s="8">
        <v>1</v>
      </c>
      <c r="Z127" s="7"/>
      <c r="AC127" s="7"/>
    </row>
    <row r="128" spans="2:29" x14ac:dyDescent="0.2">
      <c r="B128">
        <v>19</v>
      </c>
      <c r="C128" t="s">
        <v>35</v>
      </c>
      <c r="D128" t="s">
        <v>15</v>
      </c>
      <c r="E128" s="18" t="str">
        <f>VLOOKUP($C128,$AF:$AG,2,FALSE)</f>
        <v>Corporate</v>
      </c>
      <c r="F128" s="18">
        <f>H128*SUMIFS($H:$H,$J:$J,D128,$K:$K,E128)/G128</f>
        <v>7.6923076923076927E-2</v>
      </c>
      <c r="G128" s="18">
        <f>SUMIFS($H$2:$H$1003,$E$2:$E$1003,E128,$D$2:$D$1003,D128)</f>
        <v>13</v>
      </c>
      <c r="H128" s="8">
        <v>1</v>
      </c>
      <c r="Z128" s="7"/>
      <c r="AC128" s="7"/>
    </row>
    <row r="129" spans="2:29" x14ac:dyDescent="0.2">
      <c r="B129">
        <v>20</v>
      </c>
      <c r="C129" t="s">
        <v>60</v>
      </c>
      <c r="D129" t="s">
        <v>15</v>
      </c>
      <c r="E129" s="18" t="str">
        <f>VLOOKUP($C129,$AF:$AG,2,FALSE)</f>
        <v>Technology</v>
      </c>
      <c r="F129" s="18">
        <f>H129*SUMIFS($H:$H,$J:$J,D129,$K:$K,E129)/G129</f>
        <v>0.2</v>
      </c>
      <c r="G129" s="18">
        <f>SUMIFS($H$2:$H$1003,$E$2:$E$1003,E129,$D$2:$D$1003,D129)</f>
        <v>5</v>
      </c>
      <c r="H129" s="8">
        <v>1</v>
      </c>
      <c r="Z129" s="7"/>
      <c r="AC129" s="7"/>
    </row>
    <row r="130" spans="2:29" x14ac:dyDescent="0.2">
      <c r="B130">
        <v>21</v>
      </c>
      <c r="C130" t="s">
        <v>23</v>
      </c>
      <c r="D130" t="s">
        <v>15</v>
      </c>
      <c r="E130" s="18" t="str">
        <f>VLOOKUP($C130,$AF:$AG,2,FALSE)</f>
        <v>Commercial</v>
      </c>
      <c r="F130" s="18">
        <f>H130*SUMIFS($H:$H,$J:$J,D130,$K:$K,E130)/G130</f>
        <v>0.1111111111111111</v>
      </c>
      <c r="G130" s="18">
        <f>SUMIFS($H$2:$H$1003,$E$2:$E$1003,E130,$D$2:$D$1003,D130)</f>
        <v>9</v>
      </c>
      <c r="H130" s="8">
        <v>1</v>
      </c>
      <c r="Z130" s="7"/>
      <c r="AC130" s="7"/>
    </row>
    <row r="131" spans="2:29" x14ac:dyDescent="0.2">
      <c r="B131">
        <v>22</v>
      </c>
      <c r="C131" t="s">
        <v>98</v>
      </c>
      <c r="D131" t="s">
        <v>15</v>
      </c>
      <c r="E131" s="18" t="str">
        <f>VLOOKUP($C131,$AF:$AG,2,FALSE)</f>
        <v>Corporate</v>
      </c>
      <c r="F131" s="18">
        <f>H131*SUMIFS($H:$H,$J:$J,D131,$K:$K,E131)/G131</f>
        <v>7.6923076923076927E-2</v>
      </c>
      <c r="G131" s="18">
        <f>SUMIFS($H$2:$H$1003,$E$2:$E$1003,E131,$D$2:$D$1003,D131)</f>
        <v>13</v>
      </c>
      <c r="H131" s="8">
        <v>1</v>
      </c>
      <c r="Z131" s="7"/>
      <c r="AC131" s="7"/>
    </row>
    <row r="132" spans="2:29" x14ac:dyDescent="0.2">
      <c r="B132">
        <v>23</v>
      </c>
      <c r="C132" t="s">
        <v>24</v>
      </c>
      <c r="D132" t="s">
        <v>15</v>
      </c>
      <c r="E132" s="18" t="str">
        <f>VLOOKUP($C132,$AF:$AG,2,FALSE)</f>
        <v>Commercial</v>
      </c>
      <c r="F132" s="18">
        <f>H132*SUMIFS($H:$H,$J:$J,D132,$K:$K,E132)/G132</f>
        <v>0.1111111111111111</v>
      </c>
      <c r="G132" s="18">
        <f>SUMIFS($H$2:$H$1003,$E$2:$E$1003,E132,$D$2:$D$1003,D132)</f>
        <v>9</v>
      </c>
      <c r="H132" s="8">
        <v>1</v>
      </c>
      <c r="Z132" s="7"/>
      <c r="AC132" s="7"/>
    </row>
    <row r="133" spans="2:29" x14ac:dyDescent="0.2">
      <c r="B133">
        <v>24</v>
      </c>
      <c r="C133" t="s">
        <v>45</v>
      </c>
      <c r="D133" t="s">
        <v>15</v>
      </c>
      <c r="E133" s="18" t="str">
        <f>VLOOKUP($C133,$AF:$AG,2,FALSE)</f>
        <v>Corporate</v>
      </c>
      <c r="F133" s="18">
        <f>H133*SUMIFS($H:$H,$J:$J,D133,$K:$K,E133)/G133</f>
        <v>7.6923076923076927E-2</v>
      </c>
      <c r="G133" s="18">
        <f>SUMIFS($H$2:$H$1003,$E$2:$E$1003,E133,$D$2:$D$1003,D133)</f>
        <v>13</v>
      </c>
      <c r="H133" s="8">
        <v>1</v>
      </c>
      <c r="Z133" s="7"/>
      <c r="AC133" s="7"/>
    </row>
    <row r="134" spans="2:29" x14ac:dyDescent="0.2">
      <c r="B134">
        <v>25</v>
      </c>
      <c r="C134" t="s">
        <v>40</v>
      </c>
      <c r="D134" t="s">
        <v>15</v>
      </c>
      <c r="E134" s="18" t="str">
        <f>VLOOKUP($C134,$AF:$AG,2,FALSE)</f>
        <v>Commercial</v>
      </c>
      <c r="F134" s="18">
        <f>H134*SUMIFS($H:$H,$J:$J,D134,$K:$K,E134)/G134</f>
        <v>0.1111111111111111</v>
      </c>
      <c r="G134" s="18">
        <f>SUMIFS($H$2:$H$1003,$E$2:$E$1003,E134,$D$2:$D$1003,D134)</f>
        <v>9</v>
      </c>
      <c r="H134" s="8">
        <v>1</v>
      </c>
      <c r="Z134" s="7"/>
      <c r="AC134" s="7"/>
    </row>
    <row r="135" spans="2:29" x14ac:dyDescent="0.2">
      <c r="B135">
        <v>26</v>
      </c>
      <c r="C135" t="s">
        <v>48</v>
      </c>
      <c r="D135" t="s">
        <v>15</v>
      </c>
      <c r="E135" s="18" t="str">
        <f>VLOOKUP($C135,$AF:$AG,2,FALSE)</f>
        <v>Corporate</v>
      </c>
      <c r="F135" s="18">
        <f>H135*SUMIFS($H:$H,$J:$J,D135,$K:$K,E135)/G135</f>
        <v>7.6923076923076927E-2</v>
      </c>
      <c r="G135" s="18">
        <f>SUMIFS($H$2:$H$1003,$E$2:$E$1003,E135,$D$2:$D$1003,D135)</f>
        <v>13</v>
      </c>
      <c r="H135" s="8">
        <v>1</v>
      </c>
      <c r="Z135" s="7"/>
      <c r="AC135" s="7"/>
    </row>
    <row r="136" spans="2:29" x14ac:dyDescent="0.2">
      <c r="B136">
        <v>27</v>
      </c>
      <c r="C136" t="s">
        <v>39</v>
      </c>
      <c r="D136" t="s">
        <v>15</v>
      </c>
      <c r="E136" s="18" t="str">
        <f>VLOOKUP($C136,$AF:$AG,2,FALSE)</f>
        <v>Commercial</v>
      </c>
      <c r="F136" s="18">
        <f>H136*SUMIFS($H:$H,$J:$J,D136,$K:$K,E136)/G136</f>
        <v>0.1111111111111111</v>
      </c>
      <c r="G136" s="18">
        <f>SUMIFS($H$2:$H$1003,$E$2:$E$1003,E136,$D$2:$D$1003,D136)</f>
        <v>9</v>
      </c>
      <c r="H136" s="8">
        <v>1</v>
      </c>
      <c r="Z136" s="7"/>
      <c r="AC136" s="7"/>
    </row>
    <row r="137" spans="2:29" x14ac:dyDescent="0.2">
      <c r="B137">
        <v>28</v>
      </c>
      <c r="C137" t="s">
        <v>54</v>
      </c>
      <c r="D137" t="s">
        <v>15</v>
      </c>
      <c r="E137" s="18" t="str">
        <f>VLOOKUP($C137,$AF:$AG,2,FALSE)</f>
        <v>Corporate</v>
      </c>
      <c r="F137" s="18">
        <f>H137*SUMIFS($H:$H,$J:$J,D137,$K:$K,E137)/G137</f>
        <v>7.6923076923076927E-2</v>
      </c>
      <c r="G137" s="18">
        <f>SUMIFS($H$2:$H$1003,$E$2:$E$1003,E137,$D$2:$D$1003,D137)</f>
        <v>13</v>
      </c>
      <c r="H137" s="8">
        <v>1</v>
      </c>
      <c r="Z137" s="7"/>
      <c r="AC137" s="7"/>
    </row>
    <row r="138" spans="2:29" x14ac:dyDescent="0.2">
      <c r="B138">
        <v>29</v>
      </c>
      <c r="C138" t="s">
        <v>50</v>
      </c>
      <c r="D138" t="s">
        <v>15</v>
      </c>
      <c r="E138" s="18" t="str">
        <f>VLOOKUP($C138,$AF:$AG,2,FALSE)</f>
        <v>Corporate</v>
      </c>
      <c r="F138" s="18">
        <f>H138*SUMIFS($H:$H,$J:$J,D138,$K:$K,E138)/G138</f>
        <v>7.6923076923076927E-2</v>
      </c>
      <c r="G138" s="18">
        <f>SUMIFS($H$2:$H$1003,$E$2:$E$1003,E138,$D$2:$D$1003,D138)</f>
        <v>13</v>
      </c>
      <c r="H138" s="8">
        <v>1</v>
      </c>
      <c r="Z138" s="7"/>
      <c r="AC138" s="7"/>
    </row>
    <row r="139" spans="2:29" x14ac:dyDescent="0.2">
      <c r="B139">
        <v>30</v>
      </c>
      <c r="C139" t="s">
        <v>51</v>
      </c>
      <c r="D139" t="s">
        <v>15</v>
      </c>
      <c r="E139" s="18" t="str">
        <f>VLOOKUP($C139,$AF:$AG,2,FALSE)</f>
        <v>Corporate</v>
      </c>
      <c r="F139" s="18">
        <f>H139*SUMIFS($H:$H,$J:$J,D139,$K:$K,E139)/G139</f>
        <v>7.6923076923076927E-2</v>
      </c>
      <c r="G139" s="18">
        <f>SUMIFS($H$2:$H$1003,$E$2:$E$1003,E139,$D$2:$D$1003,D139)</f>
        <v>13</v>
      </c>
      <c r="H139" s="8">
        <v>1</v>
      </c>
      <c r="Z139" s="7"/>
      <c r="AC139" s="7"/>
    </row>
    <row r="140" spans="2:29" x14ac:dyDescent="0.2">
      <c r="B140">
        <v>31</v>
      </c>
      <c r="C140" t="s">
        <v>56</v>
      </c>
      <c r="D140" t="s">
        <v>15</v>
      </c>
      <c r="E140" s="18" t="str">
        <f>VLOOKUP($C140,$AF:$AG,2,FALSE)</f>
        <v>Corporate</v>
      </c>
      <c r="F140" s="18">
        <f>H140*SUMIFS($H:$H,$J:$J,D140,$K:$K,E140)/G140</f>
        <v>7.6923076923076927E-2</v>
      </c>
      <c r="G140" s="18">
        <f>SUMIFS($H$2:$H$1003,$E$2:$E$1003,E140,$D$2:$D$1003,D140)</f>
        <v>13</v>
      </c>
      <c r="H140" s="8">
        <v>1</v>
      </c>
      <c r="Z140" s="7"/>
      <c r="AC140" s="7"/>
    </row>
    <row r="141" spans="2:29" x14ac:dyDescent="0.2">
      <c r="B141">
        <v>32</v>
      </c>
      <c r="C141" t="s">
        <v>53</v>
      </c>
      <c r="D141" t="s">
        <v>15</v>
      </c>
      <c r="E141" s="18" t="str">
        <f>VLOOKUP($C141,$AF:$AG,2,FALSE)</f>
        <v>Corporate</v>
      </c>
      <c r="F141" s="18">
        <f>H141*SUMIFS($H:$H,$J:$J,D141,$K:$K,E141)/G141</f>
        <v>7.6923076923076927E-2</v>
      </c>
      <c r="G141" s="18">
        <f>SUMIFS($H$2:$H$1003,$E$2:$E$1003,E141,$D$2:$D$1003,D141)</f>
        <v>13</v>
      </c>
      <c r="H141" s="8">
        <v>1</v>
      </c>
      <c r="Z141" s="7"/>
      <c r="AC141" s="7"/>
    </row>
    <row r="142" spans="2:29" x14ac:dyDescent="0.2">
      <c r="B142">
        <v>1</v>
      </c>
      <c r="C142" t="s">
        <v>24</v>
      </c>
      <c r="D142" t="s">
        <v>16</v>
      </c>
      <c r="E142" s="18" t="str">
        <f>VLOOKUP($C142,$AF:$AG,2,FALSE)</f>
        <v>Commercial</v>
      </c>
      <c r="F142" s="18">
        <f>H142*SUMIFS($H:$H,$J:$J,D142,$K:$K,E142)/G142</f>
        <v>0.1111111111111111</v>
      </c>
      <c r="G142" s="18">
        <f>SUMIFS($H$2:$H$1003,$E$2:$E$1003,E142,$D$2:$D$1003,D142)</f>
        <v>9</v>
      </c>
      <c r="H142" s="8">
        <v>1</v>
      </c>
      <c r="Z142" s="7"/>
      <c r="AC142" s="7"/>
    </row>
    <row r="143" spans="2:29" x14ac:dyDescent="0.2">
      <c r="B143">
        <v>2</v>
      </c>
      <c r="C143" t="s">
        <v>26</v>
      </c>
      <c r="D143" t="s">
        <v>16</v>
      </c>
      <c r="E143" s="18" t="str">
        <f>VLOOKUP($C143,$AF:$AG,2,FALSE)</f>
        <v>Operations</v>
      </c>
      <c r="F143" s="18">
        <f>H143*SUMIFS($H:$H,$J:$J,D143,$K:$K,E143)/G143</f>
        <v>0.33333333333333331</v>
      </c>
      <c r="G143" s="18">
        <f>SUMIFS($H$2:$H$1003,$E$2:$E$1003,E143,$D$2:$D$1003,D143)</f>
        <v>3</v>
      </c>
      <c r="H143" s="8">
        <v>1</v>
      </c>
      <c r="Z143" s="7"/>
      <c r="AC143" s="7"/>
    </row>
    <row r="144" spans="2:29" x14ac:dyDescent="0.2">
      <c r="B144">
        <v>3</v>
      </c>
      <c r="C144" t="s">
        <v>22</v>
      </c>
      <c r="D144" t="s">
        <v>16</v>
      </c>
      <c r="E144" s="18" t="str">
        <f>VLOOKUP($C144,$AF:$AG,2,FALSE)</f>
        <v>Corporate</v>
      </c>
      <c r="F144" s="18">
        <f>H144*SUMIFS($H:$H,$J:$J,D144,$K:$K,E144)/G144</f>
        <v>7.6923076923076927E-2</v>
      </c>
      <c r="G144" s="18">
        <f>SUMIFS($H$2:$H$1003,$E$2:$E$1003,E144,$D$2:$D$1003,D144)</f>
        <v>13</v>
      </c>
      <c r="H144" s="8">
        <v>1</v>
      </c>
      <c r="Z144" s="7"/>
      <c r="AC144" s="7"/>
    </row>
    <row r="145" spans="2:29" x14ac:dyDescent="0.2">
      <c r="B145">
        <v>4</v>
      </c>
      <c r="C145" t="s">
        <v>9</v>
      </c>
      <c r="D145" t="s">
        <v>16</v>
      </c>
      <c r="E145" s="18" t="str">
        <f>VLOOKUP($C145,$AF:$AG,2,FALSE)</f>
        <v>Technology</v>
      </c>
      <c r="F145" s="18">
        <f>H145*SUMIFS($H:$H,$J:$J,D145,$K:$K,E145)/G145</f>
        <v>0.2</v>
      </c>
      <c r="G145" s="18">
        <f>SUMIFS($H$2:$H$1003,$E$2:$E$1003,E145,$D$2:$D$1003,D145)</f>
        <v>5</v>
      </c>
      <c r="H145" s="8">
        <v>1</v>
      </c>
      <c r="Z145" s="7"/>
      <c r="AC145" s="7"/>
    </row>
    <row r="146" spans="2:29" x14ac:dyDescent="0.2">
      <c r="B146">
        <v>5</v>
      </c>
      <c r="C146" t="s">
        <v>11</v>
      </c>
      <c r="D146" t="s">
        <v>16</v>
      </c>
      <c r="E146" s="18" t="str">
        <f>VLOOKUP($C146,$AF:$AG,2,FALSE)</f>
        <v>CISO</v>
      </c>
      <c r="F146" s="18">
        <f>H146*SUMIFS($H:$H,$J:$J,D146,$K:$K,E146)/G146</f>
        <v>1</v>
      </c>
      <c r="G146" s="18">
        <f>SUMIFS($H$2:$H$1003,$E$2:$E$1003,E146,$D$2:$D$1003,D146)</f>
        <v>1</v>
      </c>
      <c r="H146" s="8">
        <v>1</v>
      </c>
      <c r="Z146" s="7"/>
      <c r="AC146" s="7"/>
    </row>
    <row r="147" spans="2:29" x14ac:dyDescent="0.2">
      <c r="B147">
        <v>6</v>
      </c>
      <c r="C147" t="s">
        <v>116</v>
      </c>
      <c r="D147" t="s">
        <v>16</v>
      </c>
      <c r="E147" s="18" t="str">
        <f>VLOOKUP($C147,$AF:$AG,2,FALSE)</f>
        <v>Data &amp; AI</v>
      </c>
      <c r="F147" s="18">
        <f>H147*SUMIFS($H:$H,$J:$J,D147,$K:$K,E147)/G147</f>
        <v>1</v>
      </c>
      <c r="G147" s="18">
        <f>SUMIFS($H$2:$H$1003,$E$2:$E$1003,E147,$D$2:$D$1003,D147)</f>
        <v>1</v>
      </c>
      <c r="H147" s="8">
        <v>1</v>
      </c>
      <c r="Z147" s="7"/>
      <c r="AC147" s="7"/>
    </row>
    <row r="148" spans="2:29" x14ac:dyDescent="0.2">
      <c r="B148">
        <v>7</v>
      </c>
      <c r="C148" t="s">
        <v>37</v>
      </c>
      <c r="D148" t="s">
        <v>16</v>
      </c>
      <c r="E148" s="18" t="str">
        <f>VLOOKUP($C148,$AF:$AG,2,FALSE)</f>
        <v>Commercial</v>
      </c>
      <c r="F148" s="18">
        <f>H148*SUMIFS($H:$H,$J:$J,D148,$K:$K,E148)/G148</f>
        <v>0.1111111111111111</v>
      </c>
      <c r="G148" s="18">
        <f>SUMIFS($H$2:$H$1003,$E$2:$E$1003,E148,$D$2:$D$1003,D148)</f>
        <v>9</v>
      </c>
      <c r="H148" s="8">
        <v>1</v>
      </c>
      <c r="Z148" s="7"/>
      <c r="AC148" s="7"/>
    </row>
    <row r="149" spans="2:29" x14ac:dyDescent="0.2">
      <c r="B149">
        <v>8</v>
      </c>
      <c r="C149" t="s">
        <v>44</v>
      </c>
      <c r="D149" t="s">
        <v>16</v>
      </c>
      <c r="E149" s="18" t="str">
        <f>VLOOKUP($C149,$AF:$AG,2,FALSE)</f>
        <v>Corporate</v>
      </c>
      <c r="F149" s="18">
        <f>H149*SUMIFS($H:$H,$J:$J,D149,$K:$K,E149)/G149</f>
        <v>7.6923076923076927E-2</v>
      </c>
      <c r="G149" s="18">
        <f>SUMIFS($H$2:$H$1003,$E$2:$E$1003,E149,$D$2:$D$1003,D149)</f>
        <v>13</v>
      </c>
      <c r="H149" s="8">
        <v>1</v>
      </c>
      <c r="Z149" s="7"/>
      <c r="AC149" s="7"/>
    </row>
    <row r="150" spans="2:29" x14ac:dyDescent="0.2">
      <c r="B150">
        <v>9</v>
      </c>
      <c r="C150" t="s">
        <v>7</v>
      </c>
      <c r="D150" t="s">
        <v>16</v>
      </c>
      <c r="E150" s="18" t="str">
        <f>VLOOKUP($C150,$AF:$AG,2,FALSE)</f>
        <v>Operations</v>
      </c>
      <c r="F150" s="18">
        <f>H150*SUMIFS($H:$H,$J:$J,D150,$K:$K,E150)/G150</f>
        <v>0.33333333333333331</v>
      </c>
      <c r="G150" s="18">
        <f>SUMIFS($H$2:$H$1003,$E$2:$E$1003,E150,$D$2:$D$1003,D150)</f>
        <v>3</v>
      </c>
      <c r="H150" s="8">
        <v>1</v>
      </c>
      <c r="Z150" s="7"/>
      <c r="AC150" s="7"/>
    </row>
    <row r="151" spans="2:29" x14ac:dyDescent="0.2">
      <c r="B151">
        <v>10</v>
      </c>
      <c r="C151" t="s">
        <v>59</v>
      </c>
      <c r="D151" t="s">
        <v>16</v>
      </c>
      <c r="E151" s="18" t="str">
        <f>VLOOKUP($C151,$AF:$AG,2,FALSE)</f>
        <v>Technology</v>
      </c>
      <c r="F151" s="18">
        <f>H151*SUMIFS($H:$H,$J:$J,D151,$K:$K,E151)/G151</f>
        <v>0.2</v>
      </c>
      <c r="G151" s="18">
        <f>SUMIFS($H$2:$H$1003,$E$2:$E$1003,E151,$D$2:$D$1003,D151)</f>
        <v>5</v>
      </c>
      <c r="H151" s="8">
        <v>1</v>
      </c>
      <c r="Z151" s="7"/>
      <c r="AC151" s="7"/>
    </row>
    <row r="152" spans="2:29" x14ac:dyDescent="0.2">
      <c r="B152">
        <v>11</v>
      </c>
      <c r="C152" t="s">
        <v>36</v>
      </c>
      <c r="D152" t="s">
        <v>16</v>
      </c>
      <c r="E152" s="18" t="str">
        <f>VLOOKUP($C152,$AF:$AG,2,FALSE)</f>
        <v>Commercial</v>
      </c>
      <c r="F152" s="18">
        <f>H152*SUMIFS($H:$H,$J:$J,D152,$K:$K,E152)/G152</f>
        <v>0.1111111111111111</v>
      </c>
      <c r="G152" s="18">
        <f>SUMIFS($H$2:$H$1003,$E$2:$E$1003,E152,$D$2:$D$1003,D152)</f>
        <v>9</v>
      </c>
      <c r="H152" s="8">
        <v>1</v>
      </c>
      <c r="Z152" s="7"/>
      <c r="AC152" s="7"/>
    </row>
    <row r="153" spans="2:29" x14ac:dyDescent="0.2">
      <c r="B153">
        <v>12</v>
      </c>
      <c r="C153" t="s">
        <v>46</v>
      </c>
      <c r="D153" t="s">
        <v>16</v>
      </c>
      <c r="E153" s="18" t="str">
        <f>VLOOKUP($C153,$AF:$AG,2,FALSE)</f>
        <v>Corporate</v>
      </c>
      <c r="F153" s="18">
        <f>H153*SUMIFS($H:$H,$J:$J,D153,$K:$K,E153)/G153</f>
        <v>7.6923076923076927E-2</v>
      </c>
      <c r="G153" s="18">
        <f>SUMIFS($H$2:$H$1003,$E$2:$E$1003,E153,$D$2:$D$1003,D153)</f>
        <v>13</v>
      </c>
      <c r="H153" s="8">
        <v>1</v>
      </c>
      <c r="Z153" s="7"/>
      <c r="AC153" s="7"/>
    </row>
    <row r="154" spans="2:29" x14ac:dyDescent="0.2">
      <c r="B154">
        <v>13</v>
      </c>
      <c r="C154" t="s">
        <v>42</v>
      </c>
      <c r="D154" t="s">
        <v>16</v>
      </c>
      <c r="E154" s="18" t="str">
        <f>VLOOKUP($C154,$AF:$AG,2,FALSE)</f>
        <v>Operations</v>
      </c>
      <c r="F154" s="18">
        <f>H154*SUMIFS($H:$H,$J:$J,D154,$K:$K,E154)/G154</f>
        <v>0.33333333333333331</v>
      </c>
      <c r="G154" s="18">
        <f>SUMIFS($H$2:$H$1003,$E$2:$E$1003,E154,$D$2:$D$1003,D154)</f>
        <v>3</v>
      </c>
      <c r="H154" s="8">
        <v>1</v>
      </c>
      <c r="Z154" s="7"/>
      <c r="AC154" s="7"/>
    </row>
    <row r="155" spans="2:29" x14ac:dyDescent="0.2">
      <c r="B155">
        <v>14</v>
      </c>
      <c r="C155" t="s">
        <v>58</v>
      </c>
      <c r="D155" t="s">
        <v>16</v>
      </c>
      <c r="E155" s="18" t="str">
        <f>VLOOKUP($C155,$AF:$AG,2,FALSE)</f>
        <v>Technology</v>
      </c>
      <c r="F155" s="18">
        <f>H155*SUMIFS($H:$H,$J:$J,D155,$K:$K,E155)/G155</f>
        <v>0.2</v>
      </c>
      <c r="G155" s="18">
        <f>SUMIFS($H$2:$H$1003,$E$2:$E$1003,E155,$D$2:$D$1003,D155)</f>
        <v>5</v>
      </c>
      <c r="H155" s="8">
        <v>1</v>
      </c>
      <c r="Z155" s="7"/>
      <c r="AC155" s="7"/>
    </row>
    <row r="156" spans="2:29" x14ac:dyDescent="0.2">
      <c r="B156">
        <v>15</v>
      </c>
      <c r="C156" t="s">
        <v>38</v>
      </c>
      <c r="D156" t="s">
        <v>16</v>
      </c>
      <c r="E156" s="18" t="str">
        <f>VLOOKUP($C156,$AF:$AG,2,FALSE)</f>
        <v>Commercial</v>
      </c>
      <c r="F156" s="18">
        <f>H156*SUMIFS($H:$H,$J:$J,D156,$K:$K,E156)/G156</f>
        <v>0.1111111111111111</v>
      </c>
      <c r="G156" s="18">
        <f>SUMIFS($H$2:$H$1003,$E$2:$E$1003,E156,$D$2:$D$1003,D156)</f>
        <v>9</v>
      </c>
      <c r="H156" s="8">
        <v>1</v>
      </c>
      <c r="Z156" s="7"/>
      <c r="AC156" s="7"/>
    </row>
    <row r="157" spans="2:29" x14ac:dyDescent="0.2">
      <c r="B157">
        <v>16</v>
      </c>
      <c r="C157" t="s">
        <v>47</v>
      </c>
      <c r="D157" t="s">
        <v>16</v>
      </c>
      <c r="E157" s="18" t="str">
        <f>VLOOKUP($C157,$AF:$AG,2,FALSE)</f>
        <v>Corporate</v>
      </c>
      <c r="F157" s="18">
        <f>H157*SUMIFS($H:$H,$J:$J,D157,$K:$K,E157)/G157</f>
        <v>7.6923076923076927E-2</v>
      </c>
      <c r="G157" s="18">
        <f>SUMIFS($H$2:$H$1003,$E$2:$E$1003,E157,$D$2:$D$1003,D157)</f>
        <v>13</v>
      </c>
      <c r="H157" s="8">
        <v>1</v>
      </c>
      <c r="Z157" s="7"/>
      <c r="AC157" s="7"/>
    </row>
    <row r="158" spans="2:29" x14ac:dyDescent="0.2">
      <c r="B158">
        <v>17</v>
      </c>
      <c r="C158" t="s">
        <v>34</v>
      </c>
      <c r="D158" t="s">
        <v>16</v>
      </c>
      <c r="E158" s="18" t="str">
        <f>VLOOKUP($C158,$AF:$AG,2,FALSE)</f>
        <v>Technology</v>
      </c>
      <c r="F158" s="18">
        <f>H158*SUMIFS($H:$H,$J:$J,D158,$K:$K,E158)/G158</f>
        <v>0.2</v>
      </c>
      <c r="G158" s="18">
        <f>SUMIFS($H$2:$H$1003,$E$2:$E$1003,E158,$D$2:$D$1003,D158)</f>
        <v>5</v>
      </c>
      <c r="H158" s="8">
        <v>1</v>
      </c>
      <c r="Z158" s="7"/>
      <c r="AC158" s="7"/>
    </row>
    <row r="159" spans="2:29" x14ac:dyDescent="0.2">
      <c r="B159">
        <v>18</v>
      </c>
      <c r="C159" t="s">
        <v>25</v>
      </c>
      <c r="D159" t="s">
        <v>16</v>
      </c>
      <c r="E159" s="18" t="str">
        <f>VLOOKUP($C159,$AF:$AG,2,FALSE)</f>
        <v>Commercial</v>
      </c>
      <c r="F159" s="18">
        <f>H159*SUMIFS($H:$H,$J:$J,D159,$K:$K,E159)/G159</f>
        <v>0.1111111111111111</v>
      </c>
      <c r="G159" s="18">
        <f>SUMIFS($H$2:$H$1003,$E$2:$E$1003,E159,$D$2:$D$1003,D159)</f>
        <v>9</v>
      </c>
      <c r="H159" s="8">
        <v>1</v>
      </c>
      <c r="Z159" s="7"/>
      <c r="AC159" s="7"/>
    </row>
    <row r="160" spans="2:29" x14ac:dyDescent="0.2">
      <c r="B160">
        <v>19</v>
      </c>
      <c r="C160" t="s">
        <v>35</v>
      </c>
      <c r="D160" t="s">
        <v>16</v>
      </c>
      <c r="E160" s="18" t="str">
        <f>VLOOKUP($C160,$AF:$AG,2,FALSE)</f>
        <v>Corporate</v>
      </c>
      <c r="F160" s="18">
        <f>H160*SUMIFS($H:$H,$J:$J,D160,$K:$K,E160)/G160</f>
        <v>7.6923076923076927E-2</v>
      </c>
      <c r="G160" s="18">
        <f>SUMIFS($H$2:$H$1003,$E$2:$E$1003,E160,$D$2:$D$1003,D160)</f>
        <v>13</v>
      </c>
      <c r="H160" s="8">
        <v>1</v>
      </c>
      <c r="Z160" s="7"/>
      <c r="AC160" s="7"/>
    </row>
    <row r="161" spans="2:29" x14ac:dyDescent="0.2">
      <c r="B161">
        <v>20</v>
      </c>
      <c r="C161" t="s">
        <v>60</v>
      </c>
      <c r="D161" t="s">
        <v>16</v>
      </c>
      <c r="E161" s="18" t="str">
        <f>VLOOKUP($C161,$AF:$AG,2,FALSE)</f>
        <v>Technology</v>
      </c>
      <c r="F161" s="18">
        <f>H161*SUMIFS($H:$H,$J:$J,D161,$K:$K,E161)/G161</f>
        <v>0.2</v>
      </c>
      <c r="G161" s="18">
        <f>SUMIFS($H$2:$H$1003,$E$2:$E$1003,E161,$D$2:$D$1003,D161)</f>
        <v>5</v>
      </c>
      <c r="H161" s="8">
        <v>1</v>
      </c>
      <c r="Z161" s="7"/>
      <c r="AC161" s="7"/>
    </row>
    <row r="162" spans="2:29" x14ac:dyDescent="0.2">
      <c r="B162">
        <v>21</v>
      </c>
      <c r="C162" t="s">
        <v>23</v>
      </c>
      <c r="D162" t="s">
        <v>16</v>
      </c>
      <c r="E162" s="18" t="str">
        <f>VLOOKUP($C162,$AF:$AG,2,FALSE)</f>
        <v>Commercial</v>
      </c>
      <c r="F162" s="18">
        <f>H162*SUMIFS($H:$H,$J:$J,D162,$K:$K,E162)/G162</f>
        <v>0.1111111111111111</v>
      </c>
      <c r="G162" s="18">
        <f>SUMIFS($H$2:$H$1003,$E$2:$E$1003,E162,$D$2:$D$1003,D162)</f>
        <v>9</v>
      </c>
      <c r="H162" s="8">
        <v>1</v>
      </c>
      <c r="Z162" s="7"/>
      <c r="AC162" s="7"/>
    </row>
    <row r="163" spans="2:29" x14ac:dyDescent="0.2">
      <c r="B163">
        <v>22</v>
      </c>
      <c r="C163" t="s">
        <v>98</v>
      </c>
      <c r="D163" t="s">
        <v>16</v>
      </c>
      <c r="E163" s="18" t="str">
        <f>VLOOKUP($C163,$AF:$AG,2,FALSE)</f>
        <v>Corporate</v>
      </c>
      <c r="F163" s="18">
        <f>H163*SUMIFS($H:$H,$J:$J,D163,$K:$K,E163)/G163</f>
        <v>7.6923076923076927E-2</v>
      </c>
      <c r="G163" s="18">
        <f>SUMIFS($H$2:$H$1003,$E$2:$E$1003,E163,$D$2:$D$1003,D163)</f>
        <v>13</v>
      </c>
      <c r="H163" s="8">
        <v>1</v>
      </c>
      <c r="Z163" s="7"/>
      <c r="AC163" s="7"/>
    </row>
    <row r="164" spans="2:29" x14ac:dyDescent="0.2">
      <c r="B164">
        <v>23</v>
      </c>
      <c r="C164" t="s">
        <v>21</v>
      </c>
      <c r="D164" t="s">
        <v>16</v>
      </c>
      <c r="E164" s="18" t="str">
        <f>VLOOKUP($C164,$AF:$AG,2,FALSE)</f>
        <v>Commercial</v>
      </c>
      <c r="F164" s="18">
        <f>H164*SUMIFS($H:$H,$J:$J,D164,$K:$K,E164)/G164</f>
        <v>0.1111111111111111</v>
      </c>
      <c r="G164" s="18">
        <f>SUMIFS($H$2:$H$1003,$E$2:$E$1003,E164,$D$2:$D$1003,D164)</f>
        <v>9</v>
      </c>
      <c r="H164" s="8">
        <v>1</v>
      </c>
      <c r="Z164" s="7"/>
      <c r="AC164" s="7"/>
    </row>
    <row r="165" spans="2:29" x14ac:dyDescent="0.2">
      <c r="B165">
        <v>24</v>
      </c>
      <c r="C165" t="s">
        <v>45</v>
      </c>
      <c r="D165" t="s">
        <v>16</v>
      </c>
      <c r="E165" s="18" t="str">
        <f>VLOOKUP($C165,$AF:$AG,2,FALSE)</f>
        <v>Corporate</v>
      </c>
      <c r="F165" s="18">
        <f>H165*SUMIFS($H:$H,$J:$J,D165,$K:$K,E165)/G165</f>
        <v>7.6923076923076927E-2</v>
      </c>
      <c r="G165" s="18">
        <f>SUMIFS($H$2:$H$1003,$E$2:$E$1003,E165,$D$2:$D$1003,D165)</f>
        <v>13</v>
      </c>
      <c r="H165" s="8">
        <v>1</v>
      </c>
      <c r="Z165" s="7"/>
      <c r="AC165" s="7"/>
    </row>
    <row r="166" spans="2:29" x14ac:dyDescent="0.2">
      <c r="B166">
        <v>25</v>
      </c>
      <c r="C166" t="s">
        <v>40</v>
      </c>
      <c r="D166" t="s">
        <v>16</v>
      </c>
      <c r="E166" s="18" t="str">
        <f>VLOOKUP($C166,$AF:$AG,2,FALSE)</f>
        <v>Commercial</v>
      </c>
      <c r="F166" s="18">
        <f>H166*SUMIFS($H:$H,$J:$J,D166,$K:$K,E166)/G166</f>
        <v>0.1111111111111111</v>
      </c>
      <c r="G166" s="18">
        <f>SUMIFS($H$2:$H$1003,$E$2:$E$1003,E166,$D$2:$D$1003,D166)</f>
        <v>9</v>
      </c>
      <c r="H166" s="8">
        <v>1</v>
      </c>
      <c r="Z166" s="7"/>
      <c r="AC166" s="7"/>
    </row>
    <row r="167" spans="2:29" x14ac:dyDescent="0.2">
      <c r="B167">
        <v>26</v>
      </c>
      <c r="C167" t="s">
        <v>48</v>
      </c>
      <c r="D167" t="s">
        <v>16</v>
      </c>
      <c r="E167" s="18" t="str">
        <f>VLOOKUP($C167,$AF:$AG,2,FALSE)</f>
        <v>Corporate</v>
      </c>
      <c r="F167" s="18">
        <f>H167*SUMIFS($H:$H,$J:$J,D167,$K:$K,E167)/G167</f>
        <v>7.6923076923076927E-2</v>
      </c>
      <c r="G167" s="18">
        <f>SUMIFS($H$2:$H$1003,$E$2:$E$1003,E167,$D$2:$D$1003,D167)</f>
        <v>13</v>
      </c>
      <c r="H167" s="8">
        <v>1</v>
      </c>
      <c r="Z167" s="7"/>
      <c r="AC167" s="7"/>
    </row>
    <row r="168" spans="2:29" x14ac:dyDescent="0.2">
      <c r="B168">
        <v>27</v>
      </c>
      <c r="C168" t="s">
        <v>39</v>
      </c>
      <c r="D168" t="s">
        <v>16</v>
      </c>
      <c r="E168" s="18" t="str">
        <f>VLOOKUP($C168,$AF:$AG,2,FALSE)</f>
        <v>Commercial</v>
      </c>
      <c r="F168" s="18">
        <f>H168*SUMIFS($H:$H,$J:$J,D168,$K:$K,E168)/G168</f>
        <v>0.1111111111111111</v>
      </c>
      <c r="G168" s="18">
        <f>SUMIFS($H$2:$H$1003,$E$2:$E$1003,E168,$D$2:$D$1003,D168)</f>
        <v>9</v>
      </c>
      <c r="H168" s="8">
        <v>1</v>
      </c>
      <c r="Z168" s="7"/>
      <c r="AC168" s="7"/>
    </row>
    <row r="169" spans="2:29" x14ac:dyDescent="0.2">
      <c r="B169">
        <v>28</v>
      </c>
      <c r="C169" t="s">
        <v>54</v>
      </c>
      <c r="D169" t="s">
        <v>16</v>
      </c>
      <c r="E169" s="18" t="str">
        <f>VLOOKUP($C169,$AF:$AG,2,FALSE)</f>
        <v>Corporate</v>
      </c>
      <c r="F169" s="18">
        <f>H169*SUMIFS($H:$H,$J:$J,D169,$K:$K,E169)/G169</f>
        <v>7.6923076923076927E-2</v>
      </c>
      <c r="G169" s="18">
        <f>SUMIFS($H$2:$H$1003,$E$2:$E$1003,E169,$D$2:$D$1003,D169)</f>
        <v>13</v>
      </c>
      <c r="H169" s="8">
        <v>1</v>
      </c>
      <c r="Z169" s="7"/>
      <c r="AC169" s="7"/>
    </row>
    <row r="170" spans="2:29" x14ac:dyDescent="0.2">
      <c r="B170">
        <v>29</v>
      </c>
      <c r="C170" t="s">
        <v>50</v>
      </c>
      <c r="D170" t="s">
        <v>16</v>
      </c>
      <c r="E170" s="18" t="str">
        <f>VLOOKUP($C170,$AF:$AG,2,FALSE)</f>
        <v>Corporate</v>
      </c>
      <c r="F170" s="18">
        <f>H170*SUMIFS($H:$H,$J:$J,D170,$K:$K,E170)/G170</f>
        <v>7.6923076923076927E-2</v>
      </c>
      <c r="G170" s="18">
        <f>SUMIFS($H$2:$H$1003,$E$2:$E$1003,E170,$D$2:$D$1003,D170)</f>
        <v>13</v>
      </c>
      <c r="H170" s="8">
        <v>1</v>
      </c>
      <c r="Z170" s="7"/>
      <c r="AC170" s="7"/>
    </row>
    <row r="171" spans="2:29" x14ac:dyDescent="0.2">
      <c r="B171">
        <v>30</v>
      </c>
      <c r="C171" t="s">
        <v>51</v>
      </c>
      <c r="D171" t="s">
        <v>16</v>
      </c>
      <c r="E171" s="18" t="str">
        <f>VLOOKUP($C171,$AF:$AG,2,FALSE)</f>
        <v>Corporate</v>
      </c>
      <c r="F171" s="18">
        <f>H171*SUMIFS($H:$H,$J:$J,D171,$K:$K,E171)/G171</f>
        <v>7.6923076923076927E-2</v>
      </c>
      <c r="G171" s="18">
        <f>SUMIFS($H$2:$H$1003,$E$2:$E$1003,E171,$D$2:$D$1003,D171)</f>
        <v>13</v>
      </c>
      <c r="H171" s="8">
        <v>1</v>
      </c>
      <c r="Z171" s="7"/>
      <c r="AC171" s="7"/>
    </row>
    <row r="172" spans="2:29" x14ac:dyDescent="0.2">
      <c r="B172">
        <v>31</v>
      </c>
      <c r="C172" t="s">
        <v>56</v>
      </c>
      <c r="D172" t="s">
        <v>16</v>
      </c>
      <c r="E172" s="18" t="str">
        <f>VLOOKUP($C172,$AF:$AG,2,FALSE)</f>
        <v>Corporate</v>
      </c>
      <c r="F172" s="18">
        <f>H172*SUMIFS($H:$H,$J:$J,D172,$K:$K,E172)/G172</f>
        <v>7.6923076923076927E-2</v>
      </c>
      <c r="G172" s="18">
        <f>SUMIFS($H$2:$H$1003,$E$2:$E$1003,E172,$D$2:$D$1003,D172)</f>
        <v>13</v>
      </c>
      <c r="H172" s="8">
        <v>1</v>
      </c>
      <c r="Z172" s="7"/>
      <c r="AC172" s="7"/>
    </row>
    <row r="173" spans="2:29" x14ac:dyDescent="0.2">
      <c r="B173">
        <v>32</v>
      </c>
      <c r="C173" t="s">
        <v>53</v>
      </c>
      <c r="D173" t="s">
        <v>16</v>
      </c>
      <c r="E173" s="18" t="str">
        <f>VLOOKUP($C173,$AF:$AG,2,FALSE)</f>
        <v>Corporate</v>
      </c>
      <c r="F173" s="18">
        <f>H173*SUMIFS($H:$H,$J:$J,D173,$K:$K,E173)/G173</f>
        <v>7.6923076923076927E-2</v>
      </c>
      <c r="G173" s="18">
        <f>SUMIFS($H$2:$H$1003,$E$2:$E$1003,E173,$D$2:$D$1003,D173)</f>
        <v>13</v>
      </c>
      <c r="H173" s="8">
        <v>1</v>
      </c>
      <c r="Z173" s="7"/>
      <c r="AC173" s="7"/>
    </row>
    <row r="174" spans="2:29" x14ac:dyDescent="0.2">
      <c r="B174">
        <v>1</v>
      </c>
      <c r="C174" t="s">
        <v>25</v>
      </c>
      <c r="D174" t="s">
        <v>17</v>
      </c>
      <c r="E174" s="18" t="str">
        <f>VLOOKUP($C174,$AF:$AG,2,FALSE)</f>
        <v>Commercial</v>
      </c>
      <c r="F174" s="18">
        <f>H174*SUMIFS($H:$H,$J:$J,D174,$K:$K,E174)/G174</f>
        <v>0.125</v>
      </c>
      <c r="G174" s="18">
        <f>SUMIFS($H$2:$H$1003,$E$2:$E$1003,E174,$D$2:$D$1003,D174)</f>
        <v>8</v>
      </c>
      <c r="H174" s="8">
        <v>1</v>
      </c>
      <c r="Z174" s="7"/>
      <c r="AC174" s="7"/>
    </row>
    <row r="175" spans="2:29" x14ac:dyDescent="0.2">
      <c r="B175">
        <v>2</v>
      </c>
      <c r="C175" t="s">
        <v>26</v>
      </c>
      <c r="D175" t="s">
        <v>17</v>
      </c>
      <c r="E175" s="18" t="str">
        <f>VLOOKUP($C175,$AF:$AG,2,FALSE)</f>
        <v>Operations</v>
      </c>
      <c r="F175" s="18">
        <f>H175*SUMIFS($H:$H,$J:$J,D175,$K:$K,E175)/G175</f>
        <v>0.33333333333333331</v>
      </c>
      <c r="G175" s="18">
        <f>SUMIFS($H$2:$H$1003,$E$2:$E$1003,E175,$D$2:$D$1003,D175)</f>
        <v>3</v>
      </c>
      <c r="H175" s="8">
        <v>1</v>
      </c>
      <c r="Z175" s="7"/>
      <c r="AC175" s="7"/>
    </row>
    <row r="176" spans="2:29" x14ac:dyDescent="0.2">
      <c r="B176">
        <v>3</v>
      </c>
      <c r="C176" t="s">
        <v>22</v>
      </c>
      <c r="D176" t="s">
        <v>17</v>
      </c>
      <c r="E176" s="18" t="str">
        <f>VLOOKUP($C176,$AF:$AG,2,FALSE)</f>
        <v>Corporate</v>
      </c>
      <c r="F176" s="18">
        <f>H176*SUMIFS($H:$H,$J:$J,D176,$K:$K,E176)/G176</f>
        <v>0.125</v>
      </c>
      <c r="G176" s="18">
        <f>SUMIFS($H$2:$H$1003,$E$2:$E$1003,E176,$D$2:$D$1003,D176)</f>
        <v>8</v>
      </c>
      <c r="H176" s="8">
        <v>1</v>
      </c>
      <c r="Z176" s="7"/>
      <c r="AC176" s="7"/>
    </row>
    <row r="177" spans="2:29" x14ac:dyDescent="0.2">
      <c r="B177">
        <v>4</v>
      </c>
      <c r="C177" t="s">
        <v>9</v>
      </c>
      <c r="D177" t="s">
        <v>17</v>
      </c>
      <c r="E177" s="18" t="str">
        <f>VLOOKUP($C177,$AF:$AG,2,FALSE)</f>
        <v>Technology</v>
      </c>
      <c r="F177" s="18">
        <f>H177*SUMIFS($H:$H,$J:$J,D177,$K:$K,E177)/G177</f>
        <v>0.2</v>
      </c>
      <c r="G177" s="18">
        <f>SUMIFS($H$2:$H$1003,$E$2:$E$1003,E177,$D$2:$D$1003,D177)</f>
        <v>5</v>
      </c>
      <c r="H177" s="8">
        <v>1</v>
      </c>
      <c r="Z177" s="7"/>
      <c r="AC177" s="7"/>
    </row>
    <row r="178" spans="2:29" x14ac:dyDescent="0.2">
      <c r="B178">
        <v>5</v>
      </c>
      <c r="C178" t="s">
        <v>11</v>
      </c>
      <c r="D178" t="s">
        <v>17</v>
      </c>
      <c r="E178" s="18" t="str">
        <f>VLOOKUP($C178,$AF:$AG,2,FALSE)</f>
        <v>CISO</v>
      </c>
      <c r="F178" s="18">
        <f>H178*SUMIFS($H:$H,$J:$J,D178,$K:$K,E178)/G178</f>
        <v>1</v>
      </c>
      <c r="G178" s="18">
        <f>SUMIFS($H$2:$H$1003,$E$2:$E$1003,E178,$D$2:$D$1003,D178)</f>
        <v>1</v>
      </c>
      <c r="H178" s="8">
        <v>1</v>
      </c>
      <c r="Z178" s="7"/>
      <c r="AC178" s="7"/>
    </row>
    <row r="179" spans="2:29" x14ac:dyDescent="0.2">
      <c r="B179">
        <v>6</v>
      </c>
      <c r="C179" t="s">
        <v>116</v>
      </c>
      <c r="D179" t="s">
        <v>17</v>
      </c>
      <c r="E179" s="18" t="str">
        <f>VLOOKUP($C179,$AF:$AG,2,FALSE)</f>
        <v>Data &amp; AI</v>
      </c>
      <c r="F179" s="18">
        <f>H179*SUMIFS($H:$H,$J:$J,D179,$K:$K,E179)/G179</f>
        <v>0.14285714285714285</v>
      </c>
      <c r="G179" s="18">
        <f>SUMIFS($H$2:$H$1003,$E$2:$E$1003,E179,$D$2:$D$1003,D179)</f>
        <v>7</v>
      </c>
      <c r="H179" s="8">
        <v>1</v>
      </c>
      <c r="Z179" s="7"/>
      <c r="AC179" s="7"/>
    </row>
    <row r="180" spans="2:29" x14ac:dyDescent="0.2">
      <c r="B180">
        <v>7</v>
      </c>
      <c r="C180" t="s">
        <v>37</v>
      </c>
      <c r="D180" t="s">
        <v>17</v>
      </c>
      <c r="E180" s="18" t="str">
        <f>VLOOKUP($C180,$AF:$AG,2,FALSE)</f>
        <v>Commercial</v>
      </c>
      <c r="F180" s="18">
        <f>H180*SUMIFS($H:$H,$J:$J,D180,$K:$K,E180)/G180</f>
        <v>0.125</v>
      </c>
      <c r="G180" s="18">
        <f>SUMIFS($H$2:$H$1003,$E$2:$E$1003,E180,$D$2:$D$1003,D180)</f>
        <v>8</v>
      </c>
      <c r="H180" s="8">
        <v>1</v>
      </c>
      <c r="Z180" s="7"/>
      <c r="AC180" s="7"/>
    </row>
    <row r="181" spans="2:29" x14ac:dyDescent="0.2">
      <c r="B181">
        <v>8</v>
      </c>
      <c r="C181" t="s">
        <v>44</v>
      </c>
      <c r="D181" t="s">
        <v>17</v>
      </c>
      <c r="E181" s="18" t="str">
        <f>VLOOKUP($C181,$AF:$AG,2,FALSE)</f>
        <v>Corporate</v>
      </c>
      <c r="F181" s="18">
        <f>H181*SUMIFS($H:$H,$J:$J,D181,$K:$K,E181)/G181</f>
        <v>0.125</v>
      </c>
      <c r="G181" s="18">
        <f>SUMIFS($H$2:$H$1003,$E$2:$E$1003,E181,$D$2:$D$1003,D181)</f>
        <v>8</v>
      </c>
      <c r="H181" s="8">
        <v>1</v>
      </c>
      <c r="Z181" s="7"/>
      <c r="AC181" s="7"/>
    </row>
    <row r="182" spans="2:29" x14ac:dyDescent="0.2">
      <c r="B182">
        <v>9</v>
      </c>
      <c r="C182" t="s">
        <v>7</v>
      </c>
      <c r="D182" t="s">
        <v>17</v>
      </c>
      <c r="E182" s="18" t="str">
        <f>VLOOKUP($C182,$AF:$AG,2,FALSE)</f>
        <v>Operations</v>
      </c>
      <c r="F182" s="18">
        <f>H182*SUMIFS($H:$H,$J:$J,D182,$K:$K,E182)/G182</f>
        <v>0.33333333333333331</v>
      </c>
      <c r="G182" s="18">
        <f>SUMIFS($H$2:$H$1003,$E$2:$E$1003,E182,$D$2:$D$1003,D182)</f>
        <v>3</v>
      </c>
      <c r="H182" s="8">
        <v>1</v>
      </c>
      <c r="Z182" s="7"/>
      <c r="AC182" s="7"/>
    </row>
    <row r="183" spans="2:29" x14ac:dyDescent="0.2">
      <c r="B183">
        <v>10</v>
      </c>
      <c r="C183" t="s">
        <v>59</v>
      </c>
      <c r="D183" t="s">
        <v>17</v>
      </c>
      <c r="E183" s="18" t="str">
        <f>VLOOKUP($C183,$AF:$AG,2,FALSE)</f>
        <v>Technology</v>
      </c>
      <c r="F183" s="18">
        <f>H183*SUMIFS($H:$H,$J:$J,D183,$K:$K,E183)/G183</f>
        <v>0.2</v>
      </c>
      <c r="G183" s="18">
        <f>SUMIFS($H$2:$H$1003,$E$2:$E$1003,E183,$D$2:$D$1003,D183)</f>
        <v>5</v>
      </c>
      <c r="H183" s="8">
        <v>1</v>
      </c>
      <c r="Z183" s="7"/>
      <c r="AC183" s="7"/>
    </row>
    <row r="184" spans="2:29" x14ac:dyDescent="0.2">
      <c r="B184">
        <v>11</v>
      </c>
      <c r="C184" t="s">
        <v>36</v>
      </c>
      <c r="D184" t="s">
        <v>17</v>
      </c>
      <c r="E184" s="18" t="str">
        <f>VLOOKUP($C184,$AF:$AG,2,FALSE)</f>
        <v>Commercial</v>
      </c>
      <c r="F184" s="18">
        <f>H184*SUMIFS($H:$H,$J:$J,D184,$K:$K,E184)/G184</f>
        <v>0.125</v>
      </c>
      <c r="G184" s="18">
        <f>SUMIFS($H$2:$H$1003,$E$2:$E$1003,E184,$D$2:$D$1003,D184)</f>
        <v>8</v>
      </c>
      <c r="H184" s="8">
        <v>1</v>
      </c>
      <c r="Z184" s="7"/>
      <c r="AC184" s="7"/>
    </row>
    <row r="185" spans="2:29" x14ac:dyDescent="0.2">
      <c r="B185">
        <v>12</v>
      </c>
      <c r="C185" t="s">
        <v>46</v>
      </c>
      <c r="D185" t="s">
        <v>17</v>
      </c>
      <c r="E185" s="18" t="str">
        <f>VLOOKUP($C185,$AF:$AG,2,FALSE)</f>
        <v>Corporate</v>
      </c>
      <c r="F185" s="18">
        <f>H185*SUMIFS($H:$H,$J:$J,D185,$K:$K,E185)/G185</f>
        <v>0.125</v>
      </c>
      <c r="G185" s="18">
        <f>SUMIFS($H$2:$H$1003,$E$2:$E$1003,E185,$D$2:$D$1003,D185)</f>
        <v>8</v>
      </c>
      <c r="H185" s="8">
        <v>1</v>
      </c>
      <c r="Z185" s="7"/>
      <c r="AC185" s="7"/>
    </row>
    <row r="186" spans="2:29" x14ac:dyDescent="0.2">
      <c r="B186">
        <v>13</v>
      </c>
      <c r="C186" t="s">
        <v>42</v>
      </c>
      <c r="D186" t="s">
        <v>17</v>
      </c>
      <c r="E186" s="18" t="str">
        <f>VLOOKUP($C186,$AF:$AG,2,FALSE)</f>
        <v>Operations</v>
      </c>
      <c r="F186" s="18">
        <f>H186*SUMIFS($H:$H,$J:$J,D186,$K:$K,E186)/G186</f>
        <v>0.33333333333333331</v>
      </c>
      <c r="G186" s="18">
        <f>SUMIFS($H$2:$H$1003,$E$2:$E$1003,E186,$D$2:$D$1003,D186)</f>
        <v>3</v>
      </c>
      <c r="H186" s="8">
        <v>1</v>
      </c>
      <c r="Z186" s="7"/>
      <c r="AC186" s="7"/>
    </row>
    <row r="187" spans="2:29" x14ac:dyDescent="0.2">
      <c r="B187">
        <v>14</v>
      </c>
      <c r="C187" t="s">
        <v>58</v>
      </c>
      <c r="D187" t="s">
        <v>17</v>
      </c>
      <c r="E187" s="18" t="str">
        <f>VLOOKUP($C187,$AF:$AG,2,FALSE)</f>
        <v>Technology</v>
      </c>
      <c r="F187" s="18">
        <f>H187*SUMIFS($H:$H,$J:$J,D187,$K:$K,E187)/G187</f>
        <v>0.2</v>
      </c>
      <c r="G187" s="18">
        <f>SUMIFS($H$2:$H$1003,$E$2:$E$1003,E187,$D$2:$D$1003,D187)</f>
        <v>5</v>
      </c>
      <c r="H187" s="8">
        <v>1</v>
      </c>
      <c r="Z187" s="7"/>
      <c r="AC187" s="7"/>
    </row>
    <row r="188" spans="2:29" x14ac:dyDescent="0.2">
      <c r="B188">
        <v>15</v>
      </c>
      <c r="C188" t="s">
        <v>38</v>
      </c>
      <c r="D188" t="s">
        <v>17</v>
      </c>
      <c r="E188" s="18" t="str">
        <f>VLOOKUP($C188,$AF:$AG,2,FALSE)</f>
        <v>Commercial</v>
      </c>
      <c r="F188" s="18">
        <f>H188*SUMIFS($H:$H,$J:$J,D188,$K:$K,E188)/G188</f>
        <v>0.125</v>
      </c>
      <c r="G188" s="18">
        <f>SUMIFS($H$2:$H$1003,$E$2:$E$1003,E188,$D$2:$D$1003,D188)</f>
        <v>8</v>
      </c>
      <c r="H188" s="8">
        <v>1</v>
      </c>
      <c r="Z188" s="7"/>
      <c r="AC188" s="7"/>
    </row>
    <row r="189" spans="2:29" x14ac:dyDescent="0.2">
      <c r="B189">
        <v>16</v>
      </c>
      <c r="C189" t="s">
        <v>47</v>
      </c>
      <c r="D189" t="s">
        <v>17</v>
      </c>
      <c r="E189" s="18" t="str">
        <f>VLOOKUP($C189,$AF:$AG,2,FALSE)</f>
        <v>Corporate</v>
      </c>
      <c r="F189" s="18">
        <f>H189*SUMIFS($H:$H,$J:$J,D189,$K:$K,E189)/G189</f>
        <v>0.125</v>
      </c>
      <c r="G189" s="18">
        <f>SUMIFS($H$2:$H$1003,$E$2:$E$1003,E189,$D$2:$D$1003,D189)</f>
        <v>8</v>
      </c>
      <c r="H189" s="8">
        <v>1</v>
      </c>
      <c r="Z189" s="7"/>
      <c r="AC189" s="7"/>
    </row>
    <row r="190" spans="2:29" x14ac:dyDescent="0.2">
      <c r="B190">
        <v>17</v>
      </c>
      <c r="C190" t="s">
        <v>34</v>
      </c>
      <c r="D190" t="s">
        <v>17</v>
      </c>
      <c r="E190" s="18" t="str">
        <f>VLOOKUP($C190,$AF:$AG,2,FALSE)</f>
        <v>Technology</v>
      </c>
      <c r="F190" s="18">
        <f>H190*SUMIFS($H:$H,$J:$J,D190,$K:$K,E190)/G190</f>
        <v>0.2</v>
      </c>
      <c r="G190" s="18">
        <f>SUMIFS($H$2:$H$1003,$E$2:$E$1003,E190,$D$2:$D$1003,D190)</f>
        <v>5</v>
      </c>
      <c r="H190" s="8">
        <v>1</v>
      </c>
      <c r="Z190" s="7"/>
      <c r="AC190" s="7"/>
    </row>
    <row r="191" spans="2:29" x14ac:dyDescent="0.2">
      <c r="B191">
        <v>18</v>
      </c>
      <c r="C191" t="s">
        <v>21</v>
      </c>
      <c r="D191" t="s">
        <v>17</v>
      </c>
      <c r="E191" s="18" t="str">
        <f>VLOOKUP($C191,$AF:$AG,2,FALSE)</f>
        <v>Commercial</v>
      </c>
      <c r="F191" s="18">
        <f>H191*SUMIFS($H:$H,$J:$J,D191,$K:$K,E191)/G191</f>
        <v>0.125</v>
      </c>
      <c r="G191" s="18">
        <f>SUMIFS($H$2:$H$1003,$E$2:$E$1003,E191,$D$2:$D$1003,D191)</f>
        <v>8</v>
      </c>
      <c r="H191" s="8">
        <v>1</v>
      </c>
      <c r="Z191" s="7"/>
      <c r="AC191" s="7"/>
    </row>
    <row r="192" spans="2:29" x14ac:dyDescent="0.2">
      <c r="B192">
        <v>19</v>
      </c>
      <c r="C192" t="s">
        <v>35</v>
      </c>
      <c r="D192" t="s">
        <v>17</v>
      </c>
      <c r="E192" s="18" t="str">
        <f>VLOOKUP($C192,$AF:$AG,2,FALSE)</f>
        <v>Corporate</v>
      </c>
      <c r="F192" s="18">
        <f>H192*SUMIFS($H:$H,$J:$J,D192,$K:$K,E192)/G192</f>
        <v>0.125</v>
      </c>
      <c r="G192" s="18">
        <f>SUMIFS($H$2:$H$1003,$E$2:$E$1003,E192,$D$2:$D$1003,D192)</f>
        <v>8</v>
      </c>
      <c r="H192" s="8">
        <v>1</v>
      </c>
      <c r="Z192" s="7"/>
      <c r="AC192" s="7"/>
    </row>
    <row r="193" spans="2:29" x14ac:dyDescent="0.2">
      <c r="B193">
        <v>20</v>
      </c>
      <c r="C193" t="s">
        <v>60</v>
      </c>
      <c r="D193" t="s">
        <v>17</v>
      </c>
      <c r="E193" s="18" t="str">
        <f>VLOOKUP($C193,$AF:$AG,2,FALSE)</f>
        <v>Technology</v>
      </c>
      <c r="F193" s="18">
        <f>H193*SUMIFS($H:$H,$J:$J,D193,$K:$K,E193)/G193</f>
        <v>0.2</v>
      </c>
      <c r="G193" s="18">
        <f>SUMIFS($H$2:$H$1003,$E$2:$E$1003,E193,$D$2:$D$1003,D193)</f>
        <v>5</v>
      </c>
      <c r="H193" s="8">
        <v>1</v>
      </c>
      <c r="Z193" s="7"/>
      <c r="AC193" s="7"/>
    </row>
    <row r="194" spans="2:29" x14ac:dyDescent="0.2">
      <c r="B194">
        <v>21</v>
      </c>
      <c r="C194" t="s">
        <v>23</v>
      </c>
      <c r="D194" t="s">
        <v>17</v>
      </c>
      <c r="E194" s="18" t="str">
        <f>VLOOKUP($C194,$AF:$AG,2,FALSE)</f>
        <v>Commercial</v>
      </c>
      <c r="F194" s="18">
        <f>H194*SUMIFS($H:$H,$J:$J,D194,$K:$K,E194)/G194</f>
        <v>0.125</v>
      </c>
      <c r="G194" s="18">
        <f>SUMIFS($H$2:$H$1003,$E$2:$E$1003,E194,$D$2:$D$1003,D194)</f>
        <v>8</v>
      </c>
      <c r="H194" s="8">
        <v>1</v>
      </c>
      <c r="Z194" s="7"/>
      <c r="AC194" s="7"/>
    </row>
    <row r="195" spans="2:29" x14ac:dyDescent="0.2">
      <c r="B195">
        <v>22</v>
      </c>
      <c r="C195" t="s">
        <v>98</v>
      </c>
      <c r="D195" t="s">
        <v>17</v>
      </c>
      <c r="E195" s="18" t="str">
        <f>VLOOKUP($C195,$AF:$AG,2,FALSE)</f>
        <v>Corporate</v>
      </c>
      <c r="F195" s="18">
        <f>H195*SUMIFS($H:$H,$J:$J,D195,$K:$K,E195)/G195</f>
        <v>0.125</v>
      </c>
      <c r="G195" s="18">
        <f>SUMIFS($H$2:$H$1003,$E$2:$E$1003,E195,$D$2:$D$1003,D195)</f>
        <v>8</v>
      </c>
      <c r="H195" s="8">
        <v>1</v>
      </c>
      <c r="Z195" s="7"/>
      <c r="AC195" s="7"/>
    </row>
    <row r="196" spans="2:29" x14ac:dyDescent="0.2">
      <c r="B196">
        <v>23</v>
      </c>
      <c r="C196" t="s">
        <v>24</v>
      </c>
      <c r="D196" t="s">
        <v>17</v>
      </c>
      <c r="E196" s="18" t="str">
        <f>VLOOKUP($C196,$AF:$AG,2,FALSE)</f>
        <v>Commercial</v>
      </c>
      <c r="F196" s="18">
        <f>H196*SUMIFS($H:$H,$J:$J,D196,$K:$K,E196)/G196</f>
        <v>0.125</v>
      </c>
      <c r="G196" s="18">
        <f>SUMIFS($H$2:$H$1003,$E$2:$E$1003,E196,$D$2:$D$1003,D196)</f>
        <v>8</v>
      </c>
      <c r="H196" s="8">
        <v>1</v>
      </c>
      <c r="Z196" s="7"/>
      <c r="AC196" s="7"/>
    </row>
    <row r="197" spans="2:29" x14ac:dyDescent="0.2">
      <c r="B197">
        <v>24</v>
      </c>
      <c r="C197" t="s">
        <v>45</v>
      </c>
      <c r="D197" t="s">
        <v>17</v>
      </c>
      <c r="E197" s="18" t="str">
        <f>VLOOKUP($C197,$AF:$AG,2,FALSE)</f>
        <v>Corporate</v>
      </c>
      <c r="F197" s="18">
        <f>H197*SUMIFS($H:$H,$J:$J,D197,$K:$K,E197)/G197</f>
        <v>0.125</v>
      </c>
      <c r="G197" s="18">
        <f>SUMIFS($H$2:$H$1003,$E$2:$E$1003,E197,$D$2:$D$1003,D197)</f>
        <v>8</v>
      </c>
      <c r="H197" s="8">
        <v>1</v>
      </c>
      <c r="Z197" s="7"/>
      <c r="AC197" s="7"/>
    </row>
    <row r="198" spans="2:29" x14ac:dyDescent="0.2">
      <c r="B198">
        <v>25</v>
      </c>
      <c r="C198" t="s">
        <v>40</v>
      </c>
      <c r="D198" t="s">
        <v>17</v>
      </c>
      <c r="E198" s="18" t="str">
        <f>VLOOKUP($C198,$AF:$AG,2,FALSE)</f>
        <v>Commercial</v>
      </c>
      <c r="F198" s="18">
        <f>H198*SUMIFS($H:$H,$J:$J,D198,$K:$K,E198)/G198</f>
        <v>0.125</v>
      </c>
      <c r="G198" s="18">
        <f>SUMIFS($H$2:$H$1003,$E$2:$E$1003,E198,$D$2:$D$1003,D198)</f>
        <v>8</v>
      </c>
      <c r="H198" s="8">
        <v>1</v>
      </c>
      <c r="Z198" s="7"/>
      <c r="AC198" s="7"/>
    </row>
    <row r="199" spans="2:29" x14ac:dyDescent="0.2">
      <c r="B199">
        <v>26</v>
      </c>
      <c r="C199" t="s">
        <v>48</v>
      </c>
      <c r="D199" t="s">
        <v>17</v>
      </c>
      <c r="E199" s="18" t="str">
        <f>VLOOKUP($C199,$AF:$AG,2,FALSE)</f>
        <v>Corporate</v>
      </c>
      <c r="F199" s="18">
        <f>H199*SUMIFS($H:$H,$J:$J,D199,$K:$K,E199)/G199</f>
        <v>0.125</v>
      </c>
      <c r="G199" s="18">
        <f>SUMIFS($H$2:$H$1003,$E$2:$E$1003,E199,$D$2:$D$1003,D199)</f>
        <v>8</v>
      </c>
      <c r="H199" s="8">
        <v>1</v>
      </c>
      <c r="Z199" s="7"/>
      <c r="AC199" s="7"/>
    </row>
    <row r="200" spans="2:29" x14ac:dyDescent="0.2">
      <c r="B200">
        <v>27</v>
      </c>
      <c r="C200" t="s">
        <v>39</v>
      </c>
      <c r="D200" t="s">
        <v>17</v>
      </c>
      <c r="E200" s="18" t="s">
        <v>74</v>
      </c>
      <c r="F200" s="18">
        <f>H200*SUMIFS($H:$H,$J:$J,D200,$K:$K,E200)/G200</f>
        <v>0.14285714285714285</v>
      </c>
      <c r="G200" s="18">
        <f>SUMIFS($H$2:$H$1003,$E$2:$E$1003,E200,$D$2:$D$1003,D200)</f>
        <v>7</v>
      </c>
      <c r="H200" s="8">
        <v>1</v>
      </c>
      <c r="Z200" s="7"/>
      <c r="AC200" s="7"/>
    </row>
    <row r="201" spans="2:29" x14ac:dyDescent="0.2">
      <c r="B201">
        <v>28</v>
      </c>
      <c r="C201" t="s">
        <v>54</v>
      </c>
      <c r="D201" t="s">
        <v>17</v>
      </c>
      <c r="E201" s="18" t="s">
        <v>74</v>
      </c>
      <c r="F201" s="18">
        <f>H201*SUMIFS($H:$H,$J:$J,D201,$K:$K,E201)/G201</f>
        <v>0.14285714285714285</v>
      </c>
      <c r="G201" s="18">
        <f>SUMIFS($H$2:$H$1003,$E$2:$E$1003,E201,$D$2:$D$1003,D201)</f>
        <v>7</v>
      </c>
      <c r="H201" s="8">
        <v>1</v>
      </c>
      <c r="Z201" s="7"/>
      <c r="AC201" s="7"/>
    </row>
    <row r="202" spans="2:29" x14ac:dyDescent="0.2">
      <c r="B202">
        <v>29</v>
      </c>
      <c r="C202" t="s">
        <v>50</v>
      </c>
      <c r="D202" t="s">
        <v>17</v>
      </c>
      <c r="E202" s="18" t="s">
        <v>74</v>
      </c>
      <c r="F202" s="18">
        <f>H202*SUMIFS($H:$H,$J:$J,D202,$K:$K,E202)/G202</f>
        <v>0.14285714285714285</v>
      </c>
      <c r="G202" s="18">
        <f>SUMIFS($H$2:$H$1003,$E$2:$E$1003,E202,$D$2:$D$1003,D202)</f>
        <v>7</v>
      </c>
      <c r="H202" s="8">
        <v>1</v>
      </c>
      <c r="Z202" s="7"/>
      <c r="AC202" s="7"/>
    </row>
    <row r="203" spans="2:29" x14ac:dyDescent="0.2">
      <c r="B203">
        <v>30</v>
      </c>
      <c r="C203" t="s">
        <v>51</v>
      </c>
      <c r="D203" t="s">
        <v>17</v>
      </c>
      <c r="E203" s="18" t="s">
        <v>74</v>
      </c>
      <c r="F203" s="18">
        <f>H203*SUMIFS($H:$H,$J:$J,D203,$K:$K,E203)/G203</f>
        <v>0.14285714285714285</v>
      </c>
      <c r="G203" s="18">
        <f>SUMIFS($H$2:$H$1003,$E$2:$E$1003,E203,$D$2:$D$1003,D203)</f>
        <v>7</v>
      </c>
      <c r="H203" s="8">
        <v>1</v>
      </c>
      <c r="Z203" s="7"/>
      <c r="AC203" s="7"/>
    </row>
    <row r="204" spans="2:29" x14ac:dyDescent="0.2">
      <c r="B204">
        <v>31</v>
      </c>
      <c r="C204" t="s">
        <v>56</v>
      </c>
      <c r="D204" t="s">
        <v>17</v>
      </c>
      <c r="E204" s="18" t="s">
        <v>74</v>
      </c>
      <c r="F204" s="18">
        <f>H204*SUMIFS($H:$H,$J:$J,D204,$K:$K,E204)/G204</f>
        <v>0.14285714285714285</v>
      </c>
      <c r="G204" s="18">
        <f>SUMIFS($H$2:$H$1003,$E$2:$E$1003,E204,$D$2:$D$1003,D204)</f>
        <v>7</v>
      </c>
      <c r="H204" s="8">
        <v>1</v>
      </c>
      <c r="Z204" s="7"/>
      <c r="AC204" s="7"/>
    </row>
    <row r="205" spans="2:29" x14ac:dyDescent="0.2">
      <c r="B205">
        <v>32</v>
      </c>
      <c r="C205" t="s">
        <v>53</v>
      </c>
      <c r="D205" t="s">
        <v>17</v>
      </c>
      <c r="E205" s="18" t="s">
        <v>74</v>
      </c>
      <c r="F205" s="18">
        <f>H205*SUMIFS($H:$H,$J:$J,D205,$K:$K,E205)/G205</f>
        <v>0.14285714285714285</v>
      </c>
      <c r="G205" s="18">
        <f>SUMIFS($H$2:$H$1003,$E$2:$E$1003,E205,$D$2:$D$1003,D205)</f>
        <v>7</v>
      </c>
      <c r="H205" s="8">
        <v>1</v>
      </c>
    </row>
    <row r="206" spans="2:29" x14ac:dyDescent="0.2">
      <c r="B206" s="33">
        <v>1</v>
      </c>
      <c r="C206" s="33" t="s">
        <v>21</v>
      </c>
      <c r="D206" s="33" t="s">
        <v>452</v>
      </c>
      <c r="E206" s="18" t="str">
        <f>VLOOKUP($C206,$AF:$AG,2,FALSE)</f>
        <v>Commercial</v>
      </c>
      <c r="F206" s="18">
        <v>16</v>
      </c>
      <c r="G206" s="18">
        <v>1</v>
      </c>
      <c r="H206" s="8">
        <v>1</v>
      </c>
    </row>
    <row r="207" spans="2:29" x14ac:dyDescent="0.2">
      <c r="B207" s="33">
        <v>2</v>
      </c>
      <c r="C207" s="33" t="s">
        <v>23</v>
      </c>
      <c r="D207" s="33" t="s">
        <v>452</v>
      </c>
      <c r="E207" s="18" t="str">
        <f>VLOOKUP($C207,$AF:$AG,2,FALSE)</f>
        <v>Commercial</v>
      </c>
      <c r="F207" s="18">
        <v>16</v>
      </c>
      <c r="G207" s="18">
        <f>SUMIFS($H$2:$H$1003,$E$2:$E$1003,E207,$D$2:$D$1003,D207)</f>
        <v>9</v>
      </c>
      <c r="H207" s="8">
        <v>1</v>
      </c>
    </row>
    <row r="208" spans="2:29" x14ac:dyDescent="0.2">
      <c r="B208" s="33">
        <v>3</v>
      </c>
      <c r="C208" s="33" t="s">
        <v>36</v>
      </c>
      <c r="D208" s="33" t="s">
        <v>452</v>
      </c>
      <c r="E208" s="18" t="str">
        <f>VLOOKUP($C208,$AF:$AG,2,FALSE)</f>
        <v>Commercial</v>
      </c>
      <c r="F208" s="18">
        <v>16</v>
      </c>
      <c r="G208" s="18">
        <f>SUMIFS($H$2:$H$1003,$E$2:$E$1003,E208,$D$2:$D$1003,D208)</f>
        <v>9</v>
      </c>
      <c r="H208" s="8">
        <v>1</v>
      </c>
    </row>
    <row r="209" spans="2:8" x14ac:dyDescent="0.2">
      <c r="B209" s="33">
        <v>4</v>
      </c>
      <c r="C209" s="33" t="s">
        <v>37</v>
      </c>
      <c r="D209" s="33" t="s">
        <v>452</v>
      </c>
      <c r="E209" s="18" t="str">
        <f>VLOOKUP($C209,$AF:$AG,2,FALSE)</f>
        <v>Commercial</v>
      </c>
      <c r="F209" s="18">
        <v>12</v>
      </c>
      <c r="G209" s="18">
        <f>SUMIFS($H$2:$H$1003,$E$2:$E$1003,E209,$D$2:$D$1003,D209)</f>
        <v>9</v>
      </c>
      <c r="H209" s="8">
        <v>1</v>
      </c>
    </row>
    <row r="210" spans="2:8" x14ac:dyDescent="0.2">
      <c r="B210" s="33">
        <v>5</v>
      </c>
      <c r="C210" s="33" t="s">
        <v>38</v>
      </c>
      <c r="D210" s="33" t="s">
        <v>452</v>
      </c>
      <c r="E210" s="18" t="str">
        <f>VLOOKUP($C210,$AF:$AG,2,FALSE)</f>
        <v>Commercial</v>
      </c>
      <c r="F210" s="18">
        <v>10</v>
      </c>
      <c r="G210" s="18">
        <f>SUMIFS($H$2:$H$1003,$E$2:$E$1003,E210,$D$2:$D$1003,D210)</f>
        <v>9</v>
      </c>
      <c r="H210" s="8">
        <v>1</v>
      </c>
    </row>
    <row r="211" spans="2:8" x14ac:dyDescent="0.2">
      <c r="B211" s="33">
        <v>6</v>
      </c>
      <c r="C211" s="33" t="s">
        <v>25</v>
      </c>
      <c r="D211" s="33" t="s">
        <v>452</v>
      </c>
      <c r="E211" s="18" t="str">
        <f>VLOOKUP($C211,$AF:$AG,2,FALSE)</f>
        <v>Commercial</v>
      </c>
      <c r="F211" s="18">
        <v>9</v>
      </c>
      <c r="G211" s="18">
        <f>SUMIFS($H$2:$H$1003,$E$2:$E$1003,E211,$D$2:$D$1003,D211)</f>
        <v>9</v>
      </c>
      <c r="H211" s="8">
        <v>1</v>
      </c>
    </row>
    <row r="212" spans="2:8" x14ac:dyDescent="0.2">
      <c r="B212" s="33">
        <v>7</v>
      </c>
      <c r="C212" s="33" t="s">
        <v>39</v>
      </c>
      <c r="D212" s="33" t="s">
        <v>452</v>
      </c>
      <c r="E212" s="18" t="str">
        <f>VLOOKUP($C212,$AF:$AG,2,FALSE)</f>
        <v>Commercial</v>
      </c>
      <c r="F212" s="18">
        <v>9</v>
      </c>
      <c r="G212" s="18">
        <f>SUMIFS($H$2:$H$1003,$E$2:$E$1003,E212,$D$2:$D$1003,D212)</f>
        <v>9</v>
      </c>
      <c r="H212" s="8">
        <v>1</v>
      </c>
    </row>
    <row r="213" spans="2:8" x14ac:dyDescent="0.2">
      <c r="B213" s="33">
        <v>8</v>
      </c>
      <c r="C213" s="33" t="s">
        <v>24</v>
      </c>
      <c r="D213" s="33" t="s">
        <v>452</v>
      </c>
      <c r="E213" s="18" t="str">
        <f>VLOOKUP($C213,$AF:$AG,2,FALSE)</f>
        <v>Commercial</v>
      </c>
      <c r="F213" s="18">
        <v>9</v>
      </c>
      <c r="G213" s="18">
        <f>SUMIFS($H$2:$H$1003,$E$2:$E$1003,E213,$D$2:$D$1003,D213)</f>
        <v>9</v>
      </c>
      <c r="H213" s="8">
        <v>1</v>
      </c>
    </row>
    <row r="214" spans="2:8" x14ac:dyDescent="0.2">
      <c r="B214" s="33">
        <v>9</v>
      </c>
      <c r="C214" s="33" t="s">
        <v>40</v>
      </c>
      <c r="D214" s="33" t="s">
        <v>452</v>
      </c>
      <c r="E214" s="18" t="str">
        <f>VLOOKUP($C214,$AF:$AG,2,FALSE)</f>
        <v>Commercial</v>
      </c>
      <c r="F214" s="18">
        <v>3</v>
      </c>
      <c r="G214" s="18">
        <f>SUMIFS($H$2:$H$1003,$E$2:$E$1003,E214,$D$2:$D$1003,D214)</f>
        <v>9</v>
      </c>
      <c r="H214" s="8">
        <v>1</v>
      </c>
    </row>
    <row r="215" spans="2:8" x14ac:dyDescent="0.2">
      <c r="B215" s="33">
        <v>10</v>
      </c>
      <c r="C215" s="33" t="s">
        <v>26</v>
      </c>
      <c r="D215" s="33" t="s">
        <v>452</v>
      </c>
      <c r="E215" s="18" t="str">
        <f>VLOOKUP($C215,$AF:$AG,2,FALSE)</f>
        <v>Operations</v>
      </c>
      <c r="F215" s="18">
        <v>35</v>
      </c>
      <c r="G215" s="18">
        <f>SUMIFS($H$2:$H$1003,$E$2:$E$1003,E215,$D$2:$D$1003,D215)</f>
        <v>2</v>
      </c>
      <c r="H215" s="8"/>
    </row>
    <row r="216" spans="2:8" x14ac:dyDescent="0.2">
      <c r="B216" s="33">
        <v>11</v>
      </c>
      <c r="C216" s="33" t="s">
        <v>7</v>
      </c>
      <c r="D216" s="33" t="s">
        <v>452</v>
      </c>
      <c r="E216" s="18" t="str">
        <f>VLOOKUP($C216,$AF:$AG,2,FALSE)</f>
        <v>Operations</v>
      </c>
      <c r="F216" s="18">
        <v>35</v>
      </c>
      <c r="G216" s="18">
        <f>SUMIFS($H$2:$H$1003,$E$2:$E$1003,E216,$D$2:$D$1003,D216)</f>
        <v>2</v>
      </c>
      <c r="H216" s="8">
        <v>1</v>
      </c>
    </row>
    <row r="217" spans="2:8" x14ac:dyDescent="0.2">
      <c r="B217" s="33">
        <v>12</v>
      </c>
      <c r="C217" s="33" t="s">
        <v>42</v>
      </c>
      <c r="D217" s="33" t="s">
        <v>452</v>
      </c>
      <c r="E217" s="18" t="str">
        <f>VLOOKUP($C217,$AF:$AG,2,FALSE)</f>
        <v>Operations</v>
      </c>
      <c r="F217" s="18">
        <v>30</v>
      </c>
      <c r="G217" s="18">
        <f>SUMIFS($H$2:$H$1003,$E$2:$E$1003,E217,$D$2:$D$1003,D217)</f>
        <v>2</v>
      </c>
      <c r="H217" s="8">
        <v>1</v>
      </c>
    </row>
    <row r="218" spans="2:8" x14ac:dyDescent="0.2">
      <c r="B218" s="33">
        <v>13</v>
      </c>
      <c r="C218" s="33" t="s">
        <v>44</v>
      </c>
      <c r="D218" s="33" t="s">
        <v>452</v>
      </c>
      <c r="E218" s="18" t="str">
        <f>VLOOKUP($C218,$AF:$AG,2,FALSE)</f>
        <v>Corporate</v>
      </c>
      <c r="F218" s="18">
        <v>6.666666666666667</v>
      </c>
      <c r="G218" s="18">
        <f>SUMIFS($H$2:$H$1003,$E$2:$E$1003,E218,$D$2:$D$1003,D218)</f>
        <v>16</v>
      </c>
      <c r="H218" s="8">
        <v>1</v>
      </c>
    </row>
    <row r="219" spans="2:8" x14ac:dyDescent="0.2">
      <c r="B219" s="33">
        <v>14</v>
      </c>
      <c r="C219" s="33" t="s">
        <v>22</v>
      </c>
      <c r="D219" s="33" t="s">
        <v>452</v>
      </c>
      <c r="E219" s="18" t="str">
        <f>VLOOKUP($C219,$AF:$AG,2,FALSE)</f>
        <v>Corporate</v>
      </c>
      <c r="F219" s="18">
        <v>6.666666666666667</v>
      </c>
      <c r="G219" s="18">
        <f>SUMIFS($H$2:$H$1003,$E$2:$E$1003,E219,$D$2:$D$1003,D219)</f>
        <v>16</v>
      </c>
      <c r="H219" s="8">
        <v>1</v>
      </c>
    </row>
    <row r="220" spans="2:8" x14ac:dyDescent="0.2">
      <c r="B220" s="33">
        <v>15</v>
      </c>
      <c r="C220" s="33" t="s">
        <v>45</v>
      </c>
      <c r="D220" s="33" t="s">
        <v>452</v>
      </c>
      <c r="E220" s="18" t="str">
        <f>VLOOKUP($C220,$AF:$AG,2,FALSE)</f>
        <v>Corporate</v>
      </c>
      <c r="F220" s="18">
        <v>6.666666666666667</v>
      </c>
      <c r="G220" s="18">
        <f>SUMIFS($H$2:$H$1003,$E$2:$E$1003,E220,$D$2:$D$1003,D220)</f>
        <v>16</v>
      </c>
      <c r="H220" s="8">
        <v>1</v>
      </c>
    </row>
    <row r="221" spans="2:8" x14ac:dyDescent="0.2">
      <c r="B221" s="33">
        <v>16</v>
      </c>
      <c r="C221" s="33" t="s">
        <v>46</v>
      </c>
      <c r="D221" s="33" t="s">
        <v>452</v>
      </c>
      <c r="E221" s="18" t="str">
        <f>VLOOKUP($C221,$AF:$AG,2,FALSE)</f>
        <v>Corporate</v>
      </c>
      <c r="F221" s="18">
        <v>6.666666666666667</v>
      </c>
      <c r="G221" s="18">
        <f>SUMIFS($H$2:$H$1003,$E$2:$E$1003,E221,$D$2:$D$1003,D221)</f>
        <v>16</v>
      </c>
      <c r="H221" s="8">
        <v>1</v>
      </c>
    </row>
    <row r="222" spans="2:8" x14ac:dyDescent="0.2">
      <c r="B222" s="33">
        <v>17</v>
      </c>
      <c r="C222" s="33" t="s">
        <v>35</v>
      </c>
      <c r="D222" s="33" t="s">
        <v>452</v>
      </c>
      <c r="E222" s="18" t="str">
        <f>VLOOKUP($C222,$AF:$AG,2,FALSE)</f>
        <v>Corporate</v>
      </c>
      <c r="F222" s="18">
        <v>6.666666666666667</v>
      </c>
      <c r="G222" s="18">
        <f>SUMIFS($H$2:$H$1003,$E$2:$E$1003,E222,$D$2:$D$1003,D222)</f>
        <v>16</v>
      </c>
      <c r="H222" s="8">
        <v>1</v>
      </c>
    </row>
    <row r="223" spans="2:8" x14ac:dyDescent="0.2">
      <c r="B223" s="33">
        <v>18</v>
      </c>
      <c r="C223" s="33" t="s">
        <v>47</v>
      </c>
      <c r="D223" s="33" t="s">
        <v>452</v>
      </c>
      <c r="E223" s="18" t="str">
        <f>VLOOKUP($C223,$AF:$AG,2,FALSE)</f>
        <v>Corporate</v>
      </c>
      <c r="F223" s="18">
        <v>6.666666666666667</v>
      </c>
      <c r="G223" s="18">
        <f>SUMIFS($H$2:$H$1003,$E$2:$E$1003,E223,$D$2:$D$1003,D223)</f>
        <v>16</v>
      </c>
      <c r="H223" s="8">
        <v>1</v>
      </c>
    </row>
    <row r="224" spans="2:8" x14ac:dyDescent="0.2">
      <c r="B224" s="33">
        <v>19</v>
      </c>
      <c r="C224" s="33" t="s">
        <v>48</v>
      </c>
      <c r="D224" s="33" t="s">
        <v>452</v>
      </c>
      <c r="E224" s="18" t="str">
        <f>VLOOKUP($C224,$AF:$AG,2,FALSE)</f>
        <v>Corporate</v>
      </c>
      <c r="F224" s="18">
        <v>6.666666666666667</v>
      </c>
      <c r="G224" s="18">
        <f>SUMIFS($H$2:$H$1003,$E$2:$E$1003,E224,$D$2:$D$1003,D224)</f>
        <v>16</v>
      </c>
      <c r="H224" s="8">
        <v>1</v>
      </c>
    </row>
    <row r="225" spans="2:8" x14ac:dyDescent="0.2">
      <c r="B225" s="33">
        <v>22</v>
      </c>
      <c r="C225" s="33" t="s">
        <v>98</v>
      </c>
      <c r="D225" s="33" t="s">
        <v>452</v>
      </c>
      <c r="E225" s="18" t="str">
        <f>VLOOKUP($C225,$AF:$AG,2,FALSE)</f>
        <v>Corporate</v>
      </c>
      <c r="F225" s="18">
        <v>6.666666666666667</v>
      </c>
      <c r="G225" s="18">
        <f>SUMIFS($H$2:$H$1003,$E$2:$E$1003,E225,$D$2:$D$1003,D225)</f>
        <v>16</v>
      </c>
      <c r="H225" s="8">
        <v>1</v>
      </c>
    </row>
    <row r="226" spans="2:8" x14ac:dyDescent="0.2">
      <c r="B226" s="33">
        <v>28</v>
      </c>
      <c r="C226" s="33" t="s">
        <v>54</v>
      </c>
      <c r="D226" s="33" t="s">
        <v>452</v>
      </c>
      <c r="E226" s="18" t="str">
        <f>VLOOKUP($C226,$AF:$AG,2,FALSE)</f>
        <v>Corporate</v>
      </c>
      <c r="F226" s="18">
        <v>6.666666666666667</v>
      </c>
      <c r="G226" s="18">
        <f>SUMIFS($H$2:$H$1003,$E$2:$E$1003,E226,$D$2:$D$1003,D226)</f>
        <v>16</v>
      </c>
      <c r="H226" s="8">
        <v>1</v>
      </c>
    </row>
    <row r="227" spans="2:8" x14ac:dyDescent="0.2">
      <c r="B227" s="33">
        <v>29</v>
      </c>
      <c r="C227" s="33" t="s">
        <v>50</v>
      </c>
      <c r="D227" s="33" t="s">
        <v>452</v>
      </c>
      <c r="E227" s="18" t="str">
        <f>VLOOKUP($C227,$AF:$AG,2,FALSE)</f>
        <v>Corporate</v>
      </c>
      <c r="F227" s="18">
        <v>6.6666666670000003</v>
      </c>
      <c r="G227" s="18">
        <f>SUMIFS($H$2:$H$1003,$E$2:$E$1003,E227,$D$2:$D$1003,D227)</f>
        <v>16</v>
      </c>
      <c r="H227" s="8">
        <v>1</v>
      </c>
    </row>
    <row r="228" spans="2:8" x14ac:dyDescent="0.2">
      <c r="B228" s="33">
        <v>30</v>
      </c>
      <c r="C228" s="33" t="s">
        <v>51</v>
      </c>
      <c r="D228" s="33" t="s">
        <v>452</v>
      </c>
      <c r="E228" s="18" t="str">
        <f>VLOOKUP($C228,$AF:$AG,2,FALSE)</f>
        <v>Corporate</v>
      </c>
      <c r="F228" s="18">
        <v>6.6666666670000003</v>
      </c>
      <c r="G228" s="18">
        <f>SUMIFS($H$2:$H$1003,$E$2:$E$1003,E228,$D$2:$D$1003,D228)</f>
        <v>16</v>
      </c>
      <c r="H228" s="8">
        <v>1</v>
      </c>
    </row>
    <row r="229" spans="2:8" x14ac:dyDescent="0.2">
      <c r="B229" s="33">
        <v>31</v>
      </c>
      <c r="C229" s="33" t="s">
        <v>56</v>
      </c>
      <c r="D229" s="33" t="s">
        <v>452</v>
      </c>
      <c r="E229" s="18" t="str">
        <f>VLOOKUP($C229,$AF:$AG,2,FALSE)</f>
        <v>Corporate</v>
      </c>
      <c r="F229" s="18">
        <v>4.4444444446666669</v>
      </c>
      <c r="G229" s="18">
        <f>SUMIFS($H$2:$H$1003,$E$2:$E$1003,E229,$D$2:$D$1003,D229)</f>
        <v>16</v>
      </c>
      <c r="H229" s="8">
        <v>1</v>
      </c>
    </row>
    <row r="230" spans="2:8" x14ac:dyDescent="0.2">
      <c r="B230" s="33">
        <v>32</v>
      </c>
      <c r="C230" s="33" t="s">
        <v>381</v>
      </c>
      <c r="D230" s="33" t="s">
        <v>452</v>
      </c>
      <c r="E230" s="18" t="str">
        <f>VLOOKUP($C230,$AF:$AG,2,FALSE)</f>
        <v>Corporate</v>
      </c>
      <c r="F230" s="18">
        <v>6.6666666670000003</v>
      </c>
      <c r="G230" s="18">
        <f>SUMIFS($H$2:$H$1003,$E$2:$E$1003,E230,$D$2:$D$1003,D230)</f>
        <v>16</v>
      </c>
      <c r="H230" s="8">
        <v>1</v>
      </c>
    </row>
    <row r="231" spans="2:8" x14ac:dyDescent="0.2">
      <c r="B231" s="33">
        <v>33</v>
      </c>
      <c r="C231" s="33" t="s">
        <v>53</v>
      </c>
      <c r="D231" s="33" t="s">
        <v>452</v>
      </c>
      <c r="E231" s="18" t="str">
        <f>VLOOKUP($C231,$AF:$AG,2,FALSE)</f>
        <v>Corporate</v>
      </c>
      <c r="F231" s="18">
        <v>6.6666666670000003</v>
      </c>
      <c r="G231" s="18">
        <f>SUMIFS($H$2:$H$1003,$E$2:$E$1003,E231,$D$2:$D$1003,D231)</f>
        <v>16</v>
      </c>
      <c r="H231" s="8">
        <v>1</v>
      </c>
    </row>
    <row r="232" spans="2:8" x14ac:dyDescent="0.2">
      <c r="B232" s="33">
        <v>33</v>
      </c>
      <c r="C232" s="33" t="s">
        <v>55</v>
      </c>
      <c r="D232" s="33" t="s">
        <v>452</v>
      </c>
      <c r="E232" s="18" t="str">
        <f>VLOOKUP($C232,$AF:$AG,2,FALSE)</f>
        <v>Corporate</v>
      </c>
      <c r="F232" s="18">
        <v>4.4444444446666669</v>
      </c>
      <c r="G232" s="18">
        <f>SUMIFS($H$2:$H$1003,$E$2:$E$1003,E232,$D$2:$D$1003,D232)</f>
        <v>16</v>
      </c>
      <c r="H232" s="8">
        <v>1</v>
      </c>
    </row>
    <row r="233" spans="2:8" x14ac:dyDescent="0.2">
      <c r="B233" s="33">
        <v>33</v>
      </c>
      <c r="C233" s="33" t="s">
        <v>1141</v>
      </c>
      <c r="D233" s="33" t="s">
        <v>452</v>
      </c>
      <c r="E233" s="18" t="str">
        <f>VLOOKUP($C233,$AF:$AG,2,FALSE)</f>
        <v>Corporate</v>
      </c>
      <c r="F233" s="18">
        <v>4.4444444446666669</v>
      </c>
      <c r="G233" s="18">
        <f>SUMIFS($H$2:$H$1003,$E$2:$E$1003,E233,$D$2:$D$1003,D233)</f>
        <v>16</v>
      </c>
      <c r="H233" s="8">
        <v>1</v>
      </c>
    </row>
    <row r="234" spans="2:8" x14ac:dyDescent="0.2">
      <c r="B234" s="33">
        <v>34</v>
      </c>
      <c r="C234" s="33" t="s">
        <v>9</v>
      </c>
      <c r="D234" s="33" t="s">
        <v>452</v>
      </c>
      <c r="E234" s="18" t="str">
        <f>VLOOKUP($C234,$AF:$AG,2,FALSE)</f>
        <v>Technology</v>
      </c>
      <c r="F234" s="18">
        <v>40</v>
      </c>
      <c r="G234" s="18">
        <f>SUMIFS($H$2:$H$1003,$E$2:$E$1003,E234,$D$2:$D$1003,D234)</f>
        <v>5</v>
      </c>
      <c r="H234" s="8">
        <v>1</v>
      </c>
    </row>
    <row r="235" spans="2:8" x14ac:dyDescent="0.2">
      <c r="B235" s="33">
        <v>35</v>
      </c>
      <c r="C235" s="33" t="s">
        <v>34</v>
      </c>
      <c r="D235" s="33" t="s">
        <v>452</v>
      </c>
      <c r="E235" s="18" t="str">
        <f>VLOOKUP($C235,$AF:$AG,2,FALSE)</f>
        <v>Technology</v>
      </c>
      <c r="F235" s="18">
        <v>15</v>
      </c>
      <c r="G235" s="18">
        <f>SUMIFS($H$2:$H$1003,$E$2:$E$1003,E235,$D$2:$D$1003,D235)</f>
        <v>5</v>
      </c>
      <c r="H235" s="8">
        <v>1</v>
      </c>
    </row>
    <row r="236" spans="2:8" x14ac:dyDescent="0.2">
      <c r="B236" s="33">
        <v>36</v>
      </c>
      <c r="C236" s="33" t="s">
        <v>58</v>
      </c>
      <c r="D236" s="33" t="s">
        <v>452</v>
      </c>
      <c r="E236" s="18" t="str">
        <f>VLOOKUP($C236,$AF:$AG,2,FALSE)</f>
        <v>Technology</v>
      </c>
      <c r="F236" s="18">
        <v>15</v>
      </c>
      <c r="G236" s="18">
        <f>SUMIFS($H$2:$H$1003,$E$2:$E$1003,E236,$D$2:$D$1003,D236)</f>
        <v>5</v>
      </c>
      <c r="H236" s="8">
        <v>1</v>
      </c>
    </row>
    <row r="237" spans="2:8" x14ac:dyDescent="0.2">
      <c r="B237" s="33">
        <v>37</v>
      </c>
      <c r="C237" s="33" t="s">
        <v>59</v>
      </c>
      <c r="D237" s="33" t="s">
        <v>452</v>
      </c>
      <c r="E237" s="18" t="str">
        <f>VLOOKUP($C237,$AF:$AG,2,FALSE)</f>
        <v>Technology</v>
      </c>
      <c r="F237" s="18">
        <v>15</v>
      </c>
      <c r="G237" s="18">
        <f>SUMIFS($H$2:$H$1003,$E$2:$E$1003,E237,$D$2:$D$1003,D237)</f>
        <v>5</v>
      </c>
      <c r="H237" s="8">
        <v>1</v>
      </c>
    </row>
    <row r="238" spans="2:8" x14ac:dyDescent="0.2">
      <c r="B238" s="33">
        <v>38</v>
      </c>
      <c r="C238" s="33" t="s">
        <v>60</v>
      </c>
      <c r="D238" s="33" t="s">
        <v>452</v>
      </c>
      <c r="E238" s="18" t="str">
        <f>VLOOKUP($C238,$AF:$AG,2,FALSE)</f>
        <v>Technology</v>
      </c>
      <c r="F238" s="18">
        <v>15</v>
      </c>
      <c r="G238" s="18">
        <f>SUMIFS($H$2:$H$1003,$E$2:$E$1003,E238,$D$2:$D$1003,D238)</f>
        <v>5</v>
      </c>
      <c r="H238" s="8">
        <v>1</v>
      </c>
    </row>
    <row r="239" spans="2:8" x14ac:dyDescent="0.2">
      <c r="B239" s="33">
        <v>39</v>
      </c>
      <c r="C239" s="33" t="s">
        <v>116</v>
      </c>
      <c r="D239" s="33" t="s">
        <v>452</v>
      </c>
      <c r="E239" s="18" t="str">
        <f>VLOOKUP($C239,$AF:$AG,2,FALSE)</f>
        <v>Data &amp; AI</v>
      </c>
      <c r="F239" s="18">
        <v>100</v>
      </c>
      <c r="G239" s="18">
        <f>SUMIFS($H$2:$H$1003,$E$2:$E$1003,E239,$D$2:$D$1003,D239)</f>
        <v>1</v>
      </c>
      <c r="H239" s="8">
        <v>1</v>
      </c>
    </row>
    <row r="240" spans="2:8" x14ac:dyDescent="0.2">
      <c r="B240" s="33">
        <v>40</v>
      </c>
      <c r="C240" s="33" t="s">
        <v>11</v>
      </c>
      <c r="D240" s="33" t="s">
        <v>452</v>
      </c>
      <c r="E240" s="18" t="str">
        <f>VLOOKUP($C240,$AF:$AG,2,FALSE)</f>
        <v>CISO</v>
      </c>
      <c r="F240" s="18">
        <v>100</v>
      </c>
      <c r="G240" s="18">
        <f>SUMIFS($H$2:$H$1003,$E$2:$E$1003,E240,$D$2:$D$1003,D240)</f>
        <v>1</v>
      </c>
      <c r="H240" s="8">
        <v>1</v>
      </c>
    </row>
    <row r="241" spans="2:8" x14ac:dyDescent="0.2">
      <c r="B241">
        <v>1</v>
      </c>
      <c r="C241" t="s">
        <v>64</v>
      </c>
      <c r="D241" t="s">
        <v>454</v>
      </c>
      <c r="E241" s="18" t="str">
        <f>VLOOKUP($C241,$AF:$AG,2,FALSE)</f>
        <v>Operations</v>
      </c>
      <c r="F241" s="18">
        <v>9.9999999999999995E-7</v>
      </c>
      <c r="G241" s="18">
        <f>SUMIFS($H$2:$H$1003,$E$2:$E$1003,E241,$D$2:$D$1003,D241)</f>
        <v>4</v>
      </c>
      <c r="H241" s="8">
        <v>1</v>
      </c>
    </row>
    <row r="242" spans="2:8" x14ac:dyDescent="0.2">
      <c r="B242">
        <v>2</v>
      </c>
      <c r="C242" t="s">
        <v>23</v>
      </c>
      <c r="D242" t="s">
        <v>454</v>
      </c>
      <c r="E242" s="18" t="str">
        <f>VLOOKUP($C242,$AF:$AG,2,FALSE)</f>
        <v>Commercial</v>
      </c>
      <c r="F242" s="18">
        <v>9.9999999999999995E-7</v>
      </c>
      <c r="G242" s="18">
        <f>SUMIFS($H$2:$H$1003,$E$2:$E$1003,E242,$D$2:$D$1003,D242)</f>
        <v>12</v>
      </c>
      <c r="H242" s="8">
        <v>1</v>
      </c>
    </row>
    <row r="243" spans="2:8" x14ac:dyDescent="0.2">
      <c r="B243">
        <v>3</v>
      </c>
      <c r="C243" t="s">
        <v>69</v>
      </c>
      <c r="D243" t="s">
        <v>454</v>
      </c>
      <c r="E243" s="18" t="str">
        <f>VLOOKUP($C243,$AF:$AG,2,FALSE)</f>
        <v>Corporate</v>
      </c>
      <c r="F243" s="18">
        <v>9.9999999999999995E-7</v>
      </c>
      <c r="G243" s="18">
        <f>SUMIFS($H$2:$H$1003,$E$2:$E$1003,E243,$D$2:$D$1003,D243)</f>
        <v>18</v>
      </c>
      <c r="H243" s="8">
        <v>1</v>
      </c>
    </row>
    <row r="244" spans="2:8" x14ac:dyDescent="0.2">
      <c r="B244">
        <v>4</v>
      </c>
      <c r="C244" t="s">
        <v>70</v>
      </c>
      <c r="D244" t="s">
        <v>454</v>
      </c>
      <c r="E244" s="18" t="str">
        <f>VLOOKUP($C244,$AF:$AG,2,FALSE)</f>
        <v>Technology</v>
      </c>
      <c r="F244" s="18">
        <v>9.9999999999999995E-7</v>
      </c>
      <c r="G244" s="18">
        <f>SUMIFS($H$2:$H$1003,$E$2:$E$1003,E244,$D$2:$D$1003,D244)</f>
        <v>6</v>
      </c>
      <c r="H244" s="8">
        <v>1</v>
      </c>
    </row>
    <row r="245" spans="2:8" x14ac:dyDescent="0.2">
      <c r="B245">
        <v>5</v>
      </c>
      <c r="C245" t="s">
        <v>11</v>
      </c>
      <c r="D245" t="s">
        <v>454</v>
      </c>
      <c r="E245" s="18" t="str">
        <f>VLOOKUP($C245,$AF:$AG,2,FALSE)</f>
        <v>CISO</v>
      </c>
      <c r="F245" s="18">
        <v>9.9999999999999995E-7</v>
      </c>
      <c r="G245" s="18">
        <f>SUMIFS($H$2:$H$1003,$E$2:$E$1003,E245,$D$2:$D$1003,D245)</f>
        <v>1</v>
      </c>
      <c r="H245" s="8">
        <v>1</v>
      </c>
    </row>
    <row r="246" spans="2:8" x14ac:dyDescent="0.2">
      <c r="B246">
        <v>6</v>
      </c>
      <c r="C246" t="s">
        <v>116</v>
      </c>
      <c r="D246" t="s">
        <v>454</v>
      </c>
      <c r="E246" s="18" t="str">
        <f>VLOOKUP($C246,$AF:$AG,2,FALSE)</f>
        <v>Data &amp; AI</v>
      </c>
      <c r="F246" s="18">
        <v>9.9999999999999995E-7</v>
      </c>
      <c r="G246" s="18">
        <f>SUMIFS($H$2:$H$1003,$E$2:$E$1003,E246,$D$2:$D$1003,D246)</f>
        <v>1</v>
      </c>
      <c r="H246" s="8">
        <v>1</v>
      </c>
    </row>
    <row r="247" spans="2:8" x14ac:dyDescent="0.2">
      <c r="B247">
        <v>7</v>
      </c>
      <c r="C247" t="s">
        <v>37</v>
      </c>
      <c r="D247" t="s">
        <v>454</v>
      </c>
      <c r="E247" s="18" t="str">
        <f>VLOOKUP($C247,$AF:$AG,2,FALSE)</f>
        <v>Commercial</v>
      </c>
      <c r="F247" s="18">
        <v>9.9999999999999995E-7</v>
      </c>
      <c r="G247" s="18">
        <f>SUMIFS($H$2:$H$1003,$E$2:$E$1003,E247,$D$2:$D$1003,D247)</f>
        <v>12</v>
      </c>
      <c r="H247" s="8">
        <v>1</v>
      </c>
    </row>
    <row r="248" spans="2:8" x14ac:dyDescent="0.2">
      <c r="B248">
        <v>8</v>
      </c>
      <c r="C248" t="s">
        <v>7</v>
      </c>
      <c r="D248" t="s">
        <v>454</v>
      </c>
      <c r="E248" s="18" t="str">
        <f>VLOOKUP($C248,$AF:$AG,2,FALSE)</f>
        <v>Operations</v>
      </c>
      <c r="F248" s="18">
        <v>9.9999999999999995E-7</v>
      </c>
      <c r="G248" s="18">
        <f>SUMIFS($H$2:$H$1003,$E$2:$E$1003,E248,$D$2:$D$1003,D248)</f>
        <v>4</v>
      </c>
      <c r="H248" s="8">
        <v>1</v>
      </c>
    </row>
    <row r="249" spans="2:8" x14ac:dyDescent="0.2">
      <c r="B249">
        <v>9</v>
      </c>
      <c r="C249" t="s">
        <v>44</v>
      </c>
      <c r="D249" t="s">
        <v>454</v>
      </c>
      <c r="E249" s="18" t="str">
        <f>VLOOKUP($C249,$AF:$AG,2,FALSE)</f>
        <v>Corporate</v>
      </c>
      <c r="F249" s="18">
        <v>9.9999999999999995E-7</v>
      </c>
      <c r="G249" s="18">
        <f>SUMIFS($H$2:$H$1003,$E$2:$E$1003,E249,$D$2:$D$1003,D249)</f>
        <v>18</v>
      </c>
      <c r="H249" s="8">
        <v>1</v>
      </c>
    </row>
    <row r="250" spans="2:8" x14ac:dyDescent="0.2">
      <c r="B250">
        <v>10</v>
      </c>
      <c r="C250" t="s">
        <v>9</v>
      </c>
      <c r="D250" t="s">
        <v>454</v>
      </c>
      <c r="E250" s="18" t="str">
        <f>VLOOKUP($C250,$AF:$AG,2,FALSE)</f>
        <v>Technology</v>
      </c>
      <c r="F250" s="18">
        <v>9.9999999999999995E-7</v>
      </c>
      <c r="G250" s="18">
        <f>SUMIFS($H$2:$H$1003,$E$2:$E$1003,E250,$D$2:$D$1003,D250)</f>
        <v>6</v>
      </c>
      <c r="H250" s="8">
        <v>1</v>
      </c>
    </row>
    <row r="251" spans="2:8" x14ac:dyDescent="0.2">
      <c r="B251">
        <v>11</v>
      </c>
      <c r="C251" t="s">
        <v>65</v>
      </c>
      <c r="D251" t="s">
        <v>454</v>
      </c>
      <c r="E251" s="18" t="str">
        <f>VLOOKUP($C251,$AF:$AG,2,FALSE)</f>
        <v>Commercial</v>
      </c>
      <c r="F251" s="18">
        <v>9.9999999999999995E-7</v>
      </c>
      <c r="G251" s="18">
        <f>SUMIFS($H$2:$H$1003,$E$2:$E$1003,E251,$D$2:$D$1003,D251)</f>
        <v>12</v>
      </c>
      <c r="H251" s="8">
        <v>1</v>
      </c>
    </row>
    <row r="252" spans="2:8" x14ac:dyDescent="0.2">
      <c r="B252">
        <v>12</v>
      </c>
      <c r="C252" t="s">
        <v>26</v>
      </c>
      <c r="D252" t="s">
        <v>454</v>
      </c>
      <c r="E252" s="18" t="str">
        <f>VLOOKUP($C252,$AF:$AG,2,FALSE)</f>
        <v>Operations</v>
      </c>
      <c r="F252" s="18">
        <v>9.9999999999999995E-7</v>
      </c>
      <c r="G252" s="18">
        <f>SUMIFS($H$2:$H$1003,$E$2:$E$1003,E252,$D$2:$D$1003,D252)</f>
        <v>4</v>
      </c>
      <c r="H252" s="8">
        <v>1</v>
      </c>
    </row>
    <row r="253" spans="2:8" x14ac:dyDescent="0.2">
      <c r="B253">
        <v>13</v>
      </c>
      <c r="C253" t="s">
        <v>22</v>
      </c>
      <c r="D253" t="s">
        <v>454</v>
      </c>
      <c r="E253" s="18" t="str">
        <f>VLOOKUP($C253,$AF:$AG,2,FALSE)</f>
        <v>Corporate</v>
      </c>
      <c r="F253" s="18">
        <v>9.9999999999999995E-7</v>
      </c>
      <c r="G253" s="18">
        <f>SUMIFS($H$2:$H$1003,$E$2:$E$1003,E253,$D$2:$D$1003,D253)</f>
        <v>18</v>
      </c>
      <c r="H253" s="8">
        <v>1</v>
      </c>
    </row>
    <row r="254" spans="2:8" x14ac:dyDescent="0.2">
      <c r="B254">
        <v>14</v>
      </c>
      <c r="C254" t="s">
        <v>59</v>
      </c>
      <c r="D254" t="s">
        <v>454</v>
      </c>
      <c r="E254" s="18" t="str">
        <f>VLOOKUP($C254,$AF:$AG,2,FALSE)</f>
        <v>Technology</v>
      </c>
      <c r="F254" s="18">
        <v>9.9999999999999995E-7</v>
      </c>
      <c r="G254" s="18">
        <f>SUMIFS($H$2:$H$1003,$E$2:$E$1003,E254,$D$2:$D$1003,D254)</f>
        <v>6</v>
      </c>
      <c r="H254" s="8">
        <v>1</v>
      </c>
    </row>
    <row r="255" spans="2:8" x14ac:dyDescent="0.2">
      <c r="B255">
        <v>15</v>
      </c>
      <c r="C255" t="s">
        <v>66</v>
      </c>
      <c r="D255" t="s">
        <v>454</v>
      </c>
      <c r="E255" s="18" t="str">
        <f>VLOOKUP($C255,$AF:$AG,2,FALSE)</f>
        <v>Commercial</v>
      </c>
      <c r="F255" s="18">
        <v>9.9999999999999995E-7</v>
      </c>
      <c r="G255" s="18">
        <f>SUMIFS($H$2:$H$1003,$E$2:$E$1003,E255,$D$2:$D$1003,D255)</f>
        <v>12</v>
      </c>
      <c r="H255" s="8">
        <v>1</v>
      </c>
    </row>
    <row r="256" spans="2:8" x14ac:dyDescent="0.2">
      <c r="B256">
        <v>17</v>
      </c>
      <c r="C256" t="s">
        <v>34</v>
      </c>
      <c r="D256" t="s">
        <v>454</v>
      </c>
      <c r="E256" s="18" t="str">
        <f>VLOOKUP($C256,$AF:$AG,2,FALSE)</f>
        <v>Technology</v>
      </c>
      <c r="F256" s="18">
        <v>9.9999999999999995E-7</v>
      </c>
      <c r="G256" s="18">
        <f>SUMIFS($H$2:$H$1003,$E$2:$E$1003,E256,$D$2:$D$1003,D256)</f>
        <v>6</v>
      </c>
      <c r="H256" s="8">
        <v>1</v>
      </c>
    </row>
    <row r="257" spans="2:8" x14ac:dyDescent="0.2">
      <c r="B257">
        <v>18</v>
      </c>
      <c r="C257" t="s">
        <v>67</v>
      </c>
      <c r="D257" t="s">
        <v>454</v>
      </c>
      <c r="E257" s="18" t="str">
        <f>VLOOKUP($C257,$AF:$AG,2,FALSE)</f>
        <v>Corporate</v>
      </c>
      <c r="F257" s="18">
        <v>9.9999999999999995E-7</v>
      </c>
      <c r="G257" s="18">
        <f>SUMIFS($H$2:$H$1003,$E$2:$E$1003,E257,$D$2:$D$1003,D257)</f>
        <v>18</v>
      </c>
      <c r="H257" s="8">
        <v>1</v>
      </c>
    </row>
    <row r="258" spans="2:8" x14ac:dyDescent="0.2">
      <c r="B258">
        <v>19</v>
      </c>
      <c r="C258" t="s">
        <v>58</v>
      </c>
      <c r="D258" t="s">
        <v>454</v>
      </c>
      <c r="E258" s="18" t="str">
        <f>VLOOKUP($C258,$AF:$AG,2,FALSE)</f>
        <v>Technology</v>
      </c>
      <c r="F258" s="18">
        <v>9.9999999999999995E-7</v>
      </c>
      <c r="G258" s="18">
        <f>SUMIFS($H$2:$H$1003,$E$2:$E$1003,E258,$D$2:$D$1003,D258)</f>
        <v>6</v>
      </c>
      <c r="H258" s="8">
        <v>1</v>
      </c>
    </row>
    <row r="259" spans="2:8" x14ac:dyDescent="0.2">
      <c r="B259">
        <v>20</v>
      </c>
      <c r="C259" t="s">
        <v>68</v>
      </c>
      <c r="D259" t="s">
        <v>454</v>
      </c>
      <c r="E259" s="18" t="str">
        <f>VLOOKUP($C259,$AF:$AG,2,FALSE)</f>
        <v>Commercial</v>
      </c>
      <c r="F259" s="18">
        <v>9.9999999999999995E-7</v>
      </c>
      <c r="G259" s="18">
        <f>SUMIFS($H$2:$H$1003,$E$2:$E$1003,E259,$D$2:$D$1003,D259)</f>
        <v>12</v>
      </c>
      <c r="H259" s="8">
        <v>1</v>
      </c>
    </row>
    <row r="260" spans="2:8" x14ac:dyDescent="0.2">
      <c r="B260">
        <v>21</v>
      </c>
      <c r="C260" t="s">
        <v>46</v>
      </c>
      <c r="D260" t="s">
        <v>454</v>
      </c>
      <c r="E260" s="18" t="str">
        <f>VLOOKUP($C260,$AF:$AG,2,FALSE)</f>
        <v>Corporate</v>
      </c>
      <c r="F260" s="18">
        <v>9.9999999999999995E-7</v>
      </c>
      <c r="G260" s="18">
        <f>SUMIFS($H$2:$H$1003,$E$2:$E$1003,E260,$D$2:$D$1003,D260)</f>
        <v>18</v>
      </c>
      <c r="H260" s="8">
        <v>1</v>
      </c>
    </row>
    <row r="261" spans="2:8" x14ac:dyDescent="0.2">
      <c r="B261">
        <v>22</v>
      </c>
      <c r="C261" t="s">
        <v>42</v>
      </c>
      <c r="D261" t="s">
        <v>454</v>
      </c>
      <c r="E261" s="18" t="str">
        <f>VLOOKUP($C261,$AF:$AG,2,FALSE)</f>
        <v>Operations</v>
      </c>
      <c r="F261" s="18">
        <v>9.9999999999999995E-7</v>
      </c>
      <c r="G261" s="18">
        <f>SUMIFS($H$2:$H$1003,$E$2:$E$1003,E261,$D$2:$D$1003,D261)</f>
        <v>4</v>
      </c>
      <c r="H261" s="8">
        <v>1</v>
      </c>
    </row>
    <row r="262" spans="2:8" x14ac:dyDescent="0.2">
      <c r="B262">
        <v>23</v>
      </c>
      <c r="C262" t="s">
        <v>36</v>
      </c>
      <c r="D262" t="s">
        <v>454</v>
      </c>
      <c r="E262" s="18" t="str">
        <f>VLOOKUP($C262,$AF:$AG,2,FALSE)</f>
        <v>Commercial</v>
      </c>
      <c r="F262" s="18">
        <v>9.9999999999999995E-7</v>
      </c>
      <c r="G262" s="18">
        <f>SUMIFS($H$2:$H$1003,$E$2:$E$1003,E262,$D$2:$D$1003,D262)</f>
        <v>12</v>
      </c>
      <c r="H262" s="8">
        <v>1</v>
      </c>
    </row>
    <row r="263" spans="2:8" x14ac:dyDescent="0.2">
      <c r="B263">
        <v>24</v>
      </c>
      <c r="C263" t="s">
        <v>72</v>
      </c>
      <c r="D263" t="s">
        <v>454</v>
      </c>
      <c r="E263" s="18" t="str">
        <f>VLOOKUP($C263,$AF:$AG,2,FALSE)</f>
        <v>Corporate</v>
      </c>
      <c r="F263" s="18">
        <v>9.9999999999999995E-7</v>
      </c>
      <c r="G263" s="18">
        <f>SUMIFS($H$2:$H$1003,$E$2:$E$1003,E263,$D$2:$D$1003,D263)</f>
        <v>18</v>
      </c>
      <c r="H263" s="8">
        <v>1</v>
      </c>
    </row>
    <row r="264" spans="2:8" x14ac:dyDescent="0.2">
      <c r="B264">
        <v>25</v>
      </c>
      <c r="C264" t="s">
        <v>60</v>
      </c>
      <c r="D264" t="s">
        <v>454</v>
      </c>
      <c r="E264" s="18" t="str">
        <f>VLOOKUP($C264,$AF:$AG,2,FALSE)</f>
        <v>Technology</v>
      </c>
      <c r="F264" s="18">
        <v>9.9999999999999995E-7</v>
      </c>
      <c r="G264" s="18">
        <f>SUMIFS($H$2:$H$1003,$E$2:$E$1003,E264,$D$2:$D$1003,D264)</f>
        <v>6</v>
      </c>
      <c r="H264" s="8">
        <v>1</v>
      </c>
    </row>
    <row r="265" spans="2:8" x14ac:dyDescent="0.2">
      <c r="B265">
        <v>26</v>
      </c>
      <c r="C265" t="s">
        <v>38</v>
      </c>
      <c r="D265" t="s">
        <v>454</v>
      </c>
      <c r="E265" s="18" t="str">
        <f>VLOOKUP($C265,$AF:$AG,2,FALSE)</f>
        <v>Commercial</v>
      </c>
      <c r="F265" s="18">
        <v>9.9999999999999995E-7</v>
      </c>
      <c r="G265" s="18">
        <f>SUMIFS($H$2:$H$1003,$E$2:$E$1003,E265,$D$2:$D$1003,D265)</f>
        <v>12</v>
      </c>
      <c r="H265" s="8">
        <v>1</v>
      </c>
    </row>
    <row r="266" spans="2:8" x14ac:dyDescent="0.2">
      <c r="B266">
        <v>27</v>
      </c>
      <c r="C266" t="s">
        <v>71</v>
      </c>
      <c r="D266" t="s">
        <v>454</v>
      </c>
      <c r="E266" s="18" t="str">
        <f>VLOOKUP($C266,$AF:$AG,2,FALSE)</f>
        <v>Corporate</v>
      </c>
      <c r="F266" s="18">
        <v>9.9999999999999995E-7</v>
      </c>
      <c r="G266" s="18">
        <f>SUMIFS($H$2:$H$1003,$E$2:$E$1003,E266,$D$2:$D$1003,D266)</f>
        <v>18</v>
      </c>
      <c r="H266" s="8">
        <v>1</v>
      </c>
    </row>
    <row r="267" spans="2:8" x14ac:dyDescent="0.2">
      <c r="B267">
        <v>28</v>
      </c>
      <c r="C267" t="s">
        <v>21</v>
      </c>
      <c r="D267" t="s">
        <v>454</v>
      </c>
      <c r="E267" s="18" t="str">
        <f>VLOOKUP($C267,$AF:$AG,2,FALSE)</f>
        <v>Commercial</v>
      </c>
      <c r="F267" s="18">
        <v>9.9999999999999995E-7</v>
      </c>
      <c r="G267" s="18">
        <f>SUMIFS($H$2:$H$1003,$E$2:$E$1003,E267,$D$2:$D$1003,D267)</f>
        <v>12</v>
      </c>
      <c r="H267" s="8">
        <v>1</v>
      </c>
    </row>
    <row r="268" spans="2:8" x14ac:dyDescent="0.2">
      <c r="B268">
        <v>29</v>
      </c>
      <c r="C268" t="s">
        <v>54</v>
      </c>
      <c r="D268" t="s">
        <v>454</v>
      </c>
      <c r="E268" s="18" t="str">
        <f>VLOOKUP($C268,$AF:$AG,2,FALSE)</f>
        <v>Corporate</v>
      </c>
      <c r="F268" s="18">
        <v>9.9999999999999995E-7</v>
      </c>
      <c r="G268" s="18">
        <f>SUMIFS($H$2:$H$1003,$E$2:$E$1003,E268,$D$2:$D$1003,D268)</f>
        <v>18</v>
      </c>
      <c r="H268" s="8">
        <v>1</v>
      </c>
    </row>
    <row r="269" spans="2:8" x14ac:dyDescent="0.2">
      <c r="B269">
        <v>30</v>
      </c>
      <c r="C269" t="s">
        <v>25</v>
      </c>
      <c r="D269" t="s">
        <v>454</v>
      </c>
      <c r="E269" s="18" t="str">
        <f>VLOOKUP($C269,$AF:$AG,2,FALSE)</f>
        <v>Commercial</v>
      </c>
      <c r="F269" s="18">
        <v>9.9999999999999995E-7</v>
      </c>
      <c r="G269" s="18">
        <f>SUMIFS($H$2:$H$1003,$E$2:$E$1003,E269,$D$2:$D$1003,D269)</f>
        <v>12</v>
      </c>
      <c r="H269" s="8">
        <v>1</v>
      </c>
    </row>
    <row r="270" spans="2:8" x14ac:dyDescent="0.2">
      <c r="B270">
        <v>31</v>
      </c>
      <c r="C270" t="s">
        <v>47</v>
      </c>
      <c r="D270" t="s">
        <v>454</v>
      </c>
      <c r="E270" s="18" t="str">
        <f>VLOOKUP($C270,$AF:$AG,2,FALSE)</f>
        <v>Corporate</v>
      </c>
      <c r="F270" s="18">
        <v>9.9999999999999995E-7</v>
      </c>
      <c r="G270" s="18">
        <f>SUMIFS($H$2:$H$1003,$E$2:$E$1003,E270,$D$2:$D$1003,D270)</f>
        <v>18</v>
      </c>
      <c r="H270" s="8">
        <v>1</v>
      </c>
    </row>
    <row r="271" spans="2:8" x14ac:dyDescent="0.2">
      <c r="B271">
        <v>32</v>
      </c>
      <c r="C271" t="s">
        <v>24</v>
      </c>
      <c r="D271" t="s">
        <v>454</v>
      </c>
      <c r="E271" s="18" t="str">
        <f>VLOOKUP($C271,$AF:$AG,2,FALSE)</f>
        <v>Commercial</v>
      </c>
      <c r="F271" s="18">
        <v>9.9999999999999995E-7</v>
      </c>
      <c r="G271" s="18">
        <f>SUMIFS($H$2:$H$1003,$E$2:$E$1003,E271,$D$2:$D$1003,D271)</f>
        <v>12</v>
      </c>
      <c r="H271" s="8">
        <v>1</v>
      </c>
    </row>
    <row r="272" spans="2:8" x14ac:dyDescent="0.2">
      <c r="B272">
        <v>35</v>
      </c>
      <c r="C272" t="s">
        <v>35</v>
      </c>
      <c r="D272" t="s">
        <v>454</v>
      </c>
      <c r="E272" s="18" t="str">
        <f>VLOOKUP($C272,$AF:$AG,2,FALSE)</f>
        <v>Corporate</v>
      </c>
      <c r="F272" s="18">
        <v>9.9999999999999995E-7</v>
      </c>
      <c r="G272" s="18">
        <f>SUMIFS($H$2:$H$1003,$E$2:$E$1003,E272,$D$2:$D$1003,D272)</f>
        <v>18</v>
      </c>
      <c r="H272" s="8">
        <v>1</v>
      </c>
    </row>
    <row r="273" spans="2:8" x14ac:dyDescent="0.2">
      <c r="B273">
        <v>36</v>
      </c>
      <c r="C273" t="s">
        <v>40</v>
      </c>
      <c r="D273" t="s">
        <v>454</v>
      </c>
      <c r="E273" s="18" t="str">
        <f>VLOOKUP($C273,$AF:$AG,2,FALSE)</f>
        <v>Commercial</v>
      </c>
      <c r="F273" s="18">
        <v>9.9999999999999995E-7</v>
      </c>
      <c r="G273" s="18">
        <f>SUMIFS($H$2:$H$1003,$E$2:$E$1003,E273,$D$2:$D$1003,D273)</f>
        <v>12</v>
      </c>
      <c r="H273" s="8">
        <v>1</v>
      </c>
    </row>
    <row r="274" spans="2:8" x14ac:dyDescent="0.2">
      <c r="B274">
        <v>37</v>
      </c>
      <c r="C274" t="s">
        <v>98</v>
      </c>
      <c r="D274" t="s">
        <v>454</v>
      </c>
      <c r="E274" s="18" t="str">
        <f>VLOOKUP($C274,$AF:$AG,2,FALSE)</f>
        <v>Corporate</v>
      </c>
      <c r="F274" s="18">
        <v>9.9999999999999995E-7</v>
      </c>
      <c r="G274" s="18">
        <f>SUMIFS($H$2:$H$1003,$E$2:$E$1003,E274,$D$2:$D$1003,D274)</f>
        <v>18</v>
      </c>
      <c r="H274" s="8">
        <v>1</v>
      </c>
    </row>
    <row r="275" spans="2:8" x14ac:dyDescent="0.2">
      <c r="B275">
        <v>38</v>
      </c>
      <c r="C275" t="s">
        <v>45</v>
      </c>
      <c r="D275" t="s">
        <v>454</v>
      </c>
      <c r="E275" s="18" t="str">
        <f>VLOOKUP($C275,$AF:$AG,2,FALSE)</f>
        <v>Corporate</v>
      </c>
      <c r="F275" s="18">
        <v>9.9999999999999995E-7</v>
      </c>
      <c r="G275" s="18">
        <f>SUMIFS($H$2:$H$1003,$E$2:$E$1003,E275,$D$2:$D$1003,D275)</f>
        <v>18</v>
      </c>
      <c r="H275" s="8">
        <v>1</v>
      </c>
    </row>
    <row r="276" spans="2:8" x14ac:dyDescent="0.2">
      <c r="B276">
        <v>39</v>
      </c>
      <c r="C276" t="s">
        <v>51</v>
      </c>
      <c r="D276" t="s">
        <v>454</v>
      </c>
      <c r="E276" s="18" t="str">
        <f>VLOOKUP($C276,$AF:$AG,2,FALSE)</f>
        <v>Corporate</v>
      </c>
      <c r="F276" s="18">
        <v>9.9999999999999995E-7</v>
      </c>
      <c r="G276" s="18">
        <f>SUMIFS($H$2:$H$1003,$E$2:$E$1003,E276,$D$2:$D$1003,D276)</f>
        <v>18</v>
      </c>
      <c r="H276" s="8">
        <v>1</v>
      </c>
    </row>
    <row r="277" spans="2:8" x14ac:dyDescent="0.2">
      <c r="B277">
        <v>40</v>
      </c>
      <c r="C277" t="s">
        <v>48</v>
      </c>
      <c r="D277" t="s">
        <v>454</v>
      </c>
      <c r="E277" s="18" t="str">
        <f>VLOOKUP($C277,$AF:$AG,2,FALSE)</f>
        <v>Corporate</v>
      </c>
      <c r="F277" s="18">
        <v>9.9999999999999995E-7</v>
      </c>
      <c r="G277" s="18">
        <f>SUMIFS($H$2:$H$1003,$E$2:$E$1003,E277,$D$2:$D$1003,D277)</f>
        <v>18</v>
      </c>
      <c r="H277" s="8">
        <v>1</v>
      </c>
    </row>
    <row r="278" spans="2:8" x14ac:dyDescent="0.2">
      <c r="B278">
        <v>41</v>
      </c>
      <c r="C278" t="s">
        <v>50</v>
      </c>
      <c r="D278" t="s">
        <v>454</v>
      </c>
      <c r="E278" s="18" t="str">
        <f>VLOOKUP($C278,$AF:$AG,2,FALSE)</f>
        <v>Corporate</v>
      </c>
      <c r="F278" s="18">
        <v>9.9999999999999995E-7</v>
      </c>
      <c r="G278" s="18">
        <f>SUMIFS($H$2:$H$1003,$E$2:$E$1003,E278,$D$2:$D$1003,D278)</f>
        <v>18</v>
      </c>
      <c r="H278" s="8">
        <v>1</v>
      </c>
    </row>
    <row r="279" spans="2:8" x14ac:dyDescent="0.2">
      <c r="B279">
        <v>42</v>
      </c>
      <c r="C279" t="s">
        <v>73</v>
      </c>
      <c r="D279" t="s">
        <v>454</v>
      </c>
      <c r="E279" s="18" t="str">
        <f>VLOOKUP($C279,$AF:$AG,2,FALSE)</f>
        <v>Corporate</v>
      </c>
      <c r="F279" s="18">
        <v>9.9999999999999995E-7</v>
      </c>
      <c r="G279" s="18">
        <f>SUMIFS($H$2:$H$1003,$E$2:$E$1003,E279,$D$2:$D$1003,D279)</f>
        <v>18</v>
      </c>
      <c r="H279" s="8">
        <v>1</v>
      </c>
    </row>
    <row r="280" spans="2:8" x14ac:dyDescent="0.2">
      <c r="B280">
        <v>43</v>
      </c>
      <c r="C280" t="s">
        <v>56</v>
      </c>
      <c r="D280" t="s">
        <v>454</v>
      </c>
      <c r="E280" s="18" t="str">
        <f>VLOOKUP($C280,$AF:$AG,2,FALSE)</f>
        <v>Corporate</v>
      </c>
      <c r="F280" s="18">
        <v>9.9999999999999995E-7</v>
      </c>
      <c r="G280" s="18">
        <f>SUMIFS($H$2:$H$1003,$E$2:$E$1003,E280,$D$2:$D$1003,D280)</f>
        <v>18</v>
      </c>
      <c r="H280" s="8">
        <v>1</v>
      </c>
    </row>
    <row r="281" spans="2:8" x14ac:dyDescent="0.2">
      <c r="B281">
        <v>44</v>
      </c>
      <c r="C281" t="s">
        <v>53</v>
      </c>
      <c r="D281" t="s">
        <v>454</v>
      </c>
      <c r="E281" s="18" t="str">
        <f>VLOOKUP($C281,$AF:$AG,2,FALSE)</f>
        <v>Corporate</v>
      </c>
      <c r="F281" s="18">
        <v>9.9999999999999995E-7</v>
      </c>
      <c r="G281" s="18">
        <f>SUMIFS($H$2:$H$1003,$E$2:$E$1003,E281,$D$2:$D$1003,D281)</f>
        <v>18</v>
      </c>
      <c r="H281" s="8">
        <v>1</v>
      </c>
    </row>
    <row r="282" spans="2:8" x14ac:dyDescent="0.2">
      <c r="B282">
        <v>45</v>
      </c>
      <c r="C282" t="s">
        <v>39</v>
      </c>
      <c r="D282" t="s">
        <v>454</v>
      </c>
      <c r="E282" s="18" t="str">
        <f>VLOOKUP($C282,$AF:$AG,2,FALSE)</f>
        <v>Commercial</v>
      </c>
      <c r="F282" s="18">
        <v>9.9999999999999995E-7</v>
      </c>
      <c r="G282" s="18">
        <f>SUMIFS($H$2:$H$1003,$E$2:$E$1003,E282,$D$2:$D$1003,D282)</f>
        <v>12</v>
      </c>
      <c r="H282" s="8">
        <v>1</v>
      </c>
    </row>
  </sheetData>
  <autoFilter ref="A2:AL282" xr:uid="{D521F980-2E5F-EC49-B62F-4F6A4A27A40F}"/>
  <sortState xmlns:xlrd2="http://schemas.microsoft.com/office/spreadsheetml/2017/richdata2" ref="B206:F240">
    <sortCondition ref="B206:B240"/>
  </sortState>
  <conditionalFormatting sqref="H1:H1048576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8">
    <cfRule type="notContainsText" dxfId="23" priority="1" operator="notContains" text="100">
      <formula>ISERROR(SEARCH("100",M3))</formula>
    </cfRule>
  </conditionalFormatting>
  <conditionalFormatting sqref="N3:N44">
    <cfRule type="colorScale" priority="3">
      <colorScale>
        <cfvo type="min"/>
        <cfvo type="max"/>
        <color rgb="FFFFEF9C"/>
        <color rgb="FF63BE7B"/>
      </colorScale>
    </cfRule>
  </conditionalFormatting>
  <conditionalFormatting sqref="O3:O38">
    <cfRule type="notContainsText" dxfId="22" priority="2" operator="notContains" text="100">
      <formula>ISERROR(SEARCH("100",O3))</formula>
    </cfRule>
  </conditionalFormatting>
  <conditionalFormatting sqref="P3:P38">
    <cfRule type="colorScale" priority="8">
      <colorScale>
        <cfvo type="min"/>
        <cfvo type="max"/>
        <color rgb="FFFFEF9C"/>
        <color rgb="FF63BE7B"/>
      </colorScale>
    </cfRule>
  </conditionalFormatting>
  <conditionalFormatting sqref="Q3:Q38 S3:S38">
    <cfRule type="notContainsText" dxfId="21" priority="6" operator="notContains" text="100">
      <formula>ISERROR(SEARCH("100",Q3))</formula>
    </cfRule>
  </conditionalFormatting>
  <conditionalFormatting sqref="R3:R38">
    <cfRule type="colorScale" priority="4">
      <colorScale>
        <cfvo type="min"/>
        <cfvo type="max"/>
        <color rgb="FFFFEF9C"/>
        <color rgb="FF63BE7B"/>
      </colorScale>
    </cfRule>
  </conditionalFormatting>
  <conditionalFormatting sqref="U35:U40">
    <cfRule type="colorScale" priority="5">
      <colorScale>
        <cfvo type="min"/>
        <cfvo type="max"/>
        <color rgb="FFFFEF9C"/>
        <color rgb="FF63BE7B"/>
      </colorScale>
    </cfRule>
  </conditionalFormatting>
  <conditionalFormatting sqref="W3">
    <cfRule type="notContainsText" dxfId="20" priority="7" operator="notContains" text="100">
      <formula>ISERROR(SEARCH("100",W3))</formula>
    </cfRule>
  </conditionalFormatting>
  <conditionalFormatting sqref="Z3:Z14">
    <cfRule type="colorScale" priority="12">
      <colorScale>
        <cfvo type="min"/>
        <cfvo type="max"/>
        <color rgb="FFFFEF9C"/>
        <color rgb="FF63BE7B"/>
      </colorScale>
    </cfRule>
    <cfRule type="cellIs" dxfId="19" priority="14" operator="equal">
      <formula>100</formula>
    </cfRule>
  </conditionalFormatting>
  <conditionalFormatting sqref="AC3:AC46">
    <cfRule type="colorScale" priority="11">
      <colorScale>
        <cfvo type="min"/>
        <cfvo type="max"/>
        <color rgb="FFFFEF9C"/>
        <color rgb="FF63BE7B"/>
      </colorScale>
    </cfRule>
    <cfRule type="cellIs" dxfId="18" priority="13" operator="equal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9606-4C0B-DC47-83A6-B22D8344BA34}">
  <sheetPr>
    <tabColor theme="8"/>
  </sheetPr>
  <dimension ref="A1"/>
  <sheetViews>
    <sheetView workbookViewId="0">
      <selection activeCell="F40" sqref="F40"/>
    </sheetView>
  </sheetViews>
  <sheetFormatPr baseColWidth="10" defaultRowHeight="16" x14ac:dyDescent="0.2"/>
  <sheetData>
    <row r="1" spans="1:1" x14ac:dyDescent="0.2">
      <c r="A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37AB-C2CB-8D43-BD8D-11D3278E662B}">
  <dimension ref="A1:Q999"/>
  <sheetViews>
    <sheetView zoomScale="130" zoomScaleNormal="130" workbookViewId="0">
      <pane ySplit="1" topLeftCell="A2" activePane="bottomLeft" state="frozen"/>
      <selection pane="bottomLeft" activeCell="E2" sqref="E2"/>
    </sheetView>
  </sheetViews>
  <sheetFormatPr baseColWidth="10" defaultColWidth="13" defaultRowHeight="16" x14ac:dyDescent="0.2"/>
  <sheetData>
    <row r="1" spans="1:17" x14ac:dyDescent="0.2">
      <c r="A1" t="s">
        <v>123</v>
      </c>
      <c r="B1" t="s">
        <v>124</v>
      </c>
      <c r="C1" t="s">
        <v>125</v>
      </c>
      <c r="D1" t="s">
        <v>27</v>
      </c>
      <c r="E1" t="s">
        <v>28</v>
      </c>
      <c r="F1" t="s">
        <v>2</v>
      </c>
      <c r="G1" t="s">
        <v>0</v>
      </c>
      <c r="H1" t="s">
        <v>1</v>
      </c>
      <c r="I1" t="s">
        <v>88</v>
      </c>
      <c r="J1" t="s">
        <v>29</v>
      </c>
      <c r="K1" t="s">
        <v>126</v>
      </c>
      <c r="L1" t="s">
        <v>30</v>
      </c>
      <c r="M1" t="s">
        <v>31</v>
      </c>
      <c r="N1" t="s">
        <v>32</v>
      </c>
      <c r="O1" t="s">
        <v>33</v>
      </c>
      <c r="P1" t="s">
        <v>371</v>
      </c>
      <c r="Q1" s="21">
        <v>122</v>
      </c>
    </row>
    <row r="2" spans="1:17" x14ac:dyDescent="0.2">
      <c r="A2" t="s">
        <v>127</v>
      </c>
      <c r="B2" t="s">
        <v>128</v>
      </c>
      <c r="C2">
        <v>22</v>
      </c>
      <c r="D2">
        <v>129487</v>
      </c>
      <c r="E2" t="s">
        <v>763</v>
      </c>
      <c r="F2" t="s">
        <v>65</v>
      </c>
      <c r="G2" t="s">
        <v>10</v>
      </c>
      <c r="H2" t="s">
        <v>5</v>
      </c>
      <c r="I2" t="s">
        <v>138</v>
      </c>
      <c r="J2">
        <v>0</v>
      </c>
      <c r="K2">
        <v>0.09</v>
      </c>
      <c r="L2">
        <v>3</v>
      </c>
      <c r="M2">
        <v>3</v>
      </c>
      <c r="N2">
        <v>3</v>
      </c>
      <c r="O2">
        <v>100</v>
      </c>
      <c r="P2" t="b">
        <f>AND(C2&lt;$Q$1,IF(ISBLANK(C2),0,C2)&gt;0)</f>
        <v>1</v>
      </c>
    </row>
    <row r="3" spans="1:17" x14ac:dyDescent="0.2">
      <c r="A3" t="s">
        <v>127</v>
      </c>
      <c r="B3" t="s">
        <v>128</v>
      </c>
      <c r="C3">
        <v>23</v>
      </c>
      <c r="D3">
        <v>125697</v>
      </c>
      <c r="E3" t="s">
        <v>855</v>
      </c>
      <c r="F3" t="s">
        <v>21</v>
      </c>
      <c r="G3" t="s">
        <v>452</v>
      </c>
      <c r="H3" t="s">
        <v>5</v>
      </c>
      <c r="I3" t="s">
        <v>95</v>
      </c>
      <c r="J3">
        <v>1</v>
      </c>
      <c r="K3">
        <v>3</v>
      </c>
      <c r="L3">
        <v>3</v>
      </c>
      <c r="M3">
        <v>3</v>
      </c>
      <c r="N3">
        <v>3</v>
      </c>
      <c r="O3">
        <v>3</v>
      </c>
      <c r="P3" t="b">
        <f t="shared" ref="P3:P66" si="0">AND(C3&lt;$Q$1,IF(ISBLANK(C3),0,C3)&gt;0)</f>
        <v>1</v>
      </c>
    </row>
    <row r="4" spans="1:17" x14ac:dyDescent="0.2">
      <c r="A4" t="s">
        <v>127</v>
      </c>
      <c r="B4" t="s">
        <v>128</v>
      </c>
      <c r="C4">
        <v>24</v>
      </c>
      <c r="D4">
        <v>130701</v>
      </c>
      <c r="E4" t="s">
        <v>552</v>
      </c>
      <c r="F4" t="s">
        <v>64</v>
      </c>
      <c r="G4" t="s">
        <v>10</v>
      </c>
      <c r="H4" t="s">
        <v>6</v>
      </c>
      <c r="I4" t="s">
        <v>138</v>
      </c>
      <c r="J4">
        <v>1</v>
      </c>
      <c r="K4">
        <v>0.03</v>
      </c>
      <c r="L4">
        <v>1</v>
      </c>
      <c r="M4">
        <v>1</v>
      </c>
      <c r="N4">
        <v>1</v>
      </c>
      <c r="O4">
        <v>100</v>
      </c>
      <c r="P4" t="b">
        <f t="shared" si="0"/>
        <v>1</v>
      </c>
    </row>
    <row r="5" spans="1:17" x14ac:dyDescent="0.2">
      <c r="A5" t="s">
        <v>127</v>
      </c>
      <c r="B5" t="s">
        <v>128</v>
      </c>
      <c r="C5">
        <v>25</v>
      </c>
      <c r="D5">
        <v>122320</v>
      </c>
      <c r="E5" t="s">
        <v>868</v>
      </c>
      <c r="F5" t="s">
        <v>26</v>
      </c>
      <c r="G5" t="s">
        <v>452</v>
      </c>
      <c r="H5" t="s">
        <v>6</v>
      </c>
      <c r="I5" t="s">
        <v>131</v>
      </c>
      <c r="J5">
        <v>1</v>
      </c>
      <c r="K5">
        <v>4.5</v>
      </c>
      <c r="L5">
        <v>4</v>
      </c>
      <c r="M5">
        <v>2</v>
      </c>
      <c r="N5">
        <v>3</v>
      </c>
      <c r="O5">
        <v>2</v>
      </c>
      <c r="P5" t="b">
        <f t="shared" si="0"/>
        <v>1</v>
      </c>
    </row>
    <row r="6" spans="1:17" x14ac:dyDescent="0.2">
      <c r="A6" t="s">
        <v>127</v>
      </c>
      <c r="B6" t="s">
        <v>128</v>
      </c>
      <c r="C6">
        <v>26</v>
      </c>
      <c r="D6">
        <v>130413</v>
      </c>
      <c r="E6" t="s">
        <v>612</v>
      </c>
      <c r="F6" t="s">
        <v>67</v>
      </c>
      <c r="G6" t="s">
        <v>10</v>
      </c>
      <c r="H6" t="s">
        <v>12</v>
      </c>
      <c r="I6" t="s">
        <v>138</v>
      </c>
      <c r="J6">
        <v>3</v>
      </c>
      <c r="K6">
        <v>0.03</v>
      </c>
      <c r="L6">
        <v>1</v>
      </c>
      <c r="M6">
        <v>1</v>
      </c>
      <c r="N6">
        <v>1</v>
      </c>
      <c r="O6">
        <v>100</v>
      </c>
      <c r="P6" t="b">
        <f t="shared" si="0"/>
        <v>1</v>
      </c>
    </row>
    <row r="7" spans="1:17" x14ac:dyDescent="0.2">
      <c r="A7" t="s">
        <v>127</v>
      </c>
      <c r="B7" t="s">
        <v>128</v>
      </c>
      <c r="C7">
        <v>27</v>
      </c>
      <c r="D7">
        <v>124871</v>
      </c>
      <c r="E7" t="s">
        <v>859</v>
      </c>
      <c r="F7" t="s">
        <v>44</v>
      </c>
      <c r="G7" t="s">
        <v>452</v>
      </c>
      <c r="H7" t="s">
        <v>12</v>
      </c>
      <c r="I7" t="s">
        <v>95</v>
      </c>
      <c r="J7">
        <v>1</v>
      </c>
      <c r="K7">
        <v>0.03</v>
      </c>
      <c r="L7">
        <v>1</v>
      </c>
      <c r="M7">
        <v>1</v>
      </c>
      <c r="N7">
        <v>1</v>
      </c>
      <c r="O7">
        <v>100</v>
      </c>
      <c r="P7" t="b">
        <f t="shared" si="0"/>
        <v>1</v>
      </c>
    </row>
    <row r="8" spans="1:17" x14ac:dyDescent="0.2">
      <c r="A8" t="s">
        <v>127</v>
      </c>
      <c r="B8" t="s">
        <v>128</v>
      </c>
      <c r="C8">
        <v>28</v>
      </c>
      <c r="D8">
        <v>130989</v>
      </c>
      <c r="E8" t="s">
        <v>511</v>
      </c>
      <c r="F8" t="s">
        <v>70</v>
      </c>
      <c r="G8" t="s">
        <v>10</v>
      </c>
      <c r="H8" t="s">
        <v>8</v>
      </c>
      <c r="I8" t="s">
        <v>91</v>
      </c>
      <c r="J8">
        <v>1</v>
      </c>
      <c r="K8">
        <v>0.03</v>
      </c>
      <c r="L8">
        <v>1</v>
      </c>
      <c r="M8">
        <v>1</v>
      </c>
      <c r="N8">
        <v>1</v>
      </c>
      <c r="O8">
        <v>100</v>
      </c>
      <c r="P8" t="b">
        <f t="shared" si="0"/>
        <v>1</v>
      </c>
    </row>
    <row r="9" spans="1:17" x14ac:dyDescent="0.2">
      <c r="A9" t="s">
        <v>127</v>
      </c>
      <c r="B9" t="s">
        <v>128</v>
      </c>
      <c r="C9">
        <v>29</v>
      </c>
      <c r="D9">
        <v>132298</v>
      </c>
      <c r="E9" t="s">
        <v>802</v>
      </c>
      <c r="F9" t="s">
        <v>9</v>
      </c>
      <c r="G9" t="s">
        <v>452</v>
      </c>
      <c r="H9" t="s">
        <v>8</v>
      </c>
      <c r="I9" t="s">
        <v>96</v>
      </c>
      <c r="J9">
        <v>1</v>
      </c>
      <c r="K9">
        <v>5</v>
      </c>
      <c r="L9">
        <v>4</v>
      </c>
      <c r="M9">
        <v>3</v>
      </c>
      <c r="N9">
        <v>3</v>
      </c>
      <c r="O9">
        <v>2</v>
      </c>
      <c r="P9" t="b">
        <f t="shared" si="0"/>
        <v>1</v>
      </c>
    </row>
    <row r="10" spans="1:17" x14ac:dyDescent="0.2">
      <c r="A10" t="s">
        <v>127</v>
      </c>
      <c r="B10" t="s">
        <v>128</v>
      </c>
      <c r="C10">
        <v>30</v>
      </c>
      <c r="D10">
        <v>130577</v>
      </c>
      <c r="E10" t="s">
        <v>139</v>
      </c>
      <c r="F10" t="s">
        <v>66</v>
      </c>
      <c r="G10" t="s">
        <v>10</v>
      </c>
      <c r="H10" t="s">
        <v>5</v>
      </c>
      <c r="I10" t="s">
        <v>131</v>
      </c>
      <c r="J10">
        <v>3</v>
      </c>
      <c r="K10">
        <v>0.03</v>
      </c>
      <c r="L10">
        <v>1</v>
      </c>
      <c r="M10">
        <v>1</v>
      </c>
      <c r="N10">
        <v>1</v>
      </c>
      <c r="O10">
        <v>100</v>
      </c>
      <c r="P10" t="b">
        <f t="shared" si="0"/>
        <v>1</v>
      </c>
    </row>
    <row r="11" spans="1:17" x14ac:dyDescent="0.2">
      <c r="A11" t="s">
        <v>127</v>
      </c>
      <c r="B11" t="s">
        <v>128</v>
      </c>
      <c r="C11">
        <v>31</v>
      </c>
      <c r="D11">
        <v>126574</v>
      </c>
      <c r="E11" t="s">
        <v>162</v>
      </c>
      <c r="F11" t="s">
        <v>11</v>
      </c>
      <c r="G11" t="s">
        <v>452</v>
      </c>
      <c r="H11" t="s">
        <v>11</v>
      </c>
      <c r="I11" t="s">
        <v>91</v>
      </c>
      <c r="J11">
        <v>2</v>
      </c>
      <c r="K11">
        <v>0.03</v>
      </c>
      <c r="L11">
        <v>1</v>
      </c>
      <c r="M11">
        <v>1</v>
      </c>
      <c r="N11">
        <v>1</v>
      </c>
      <c r="O11">
        <v>100</v>
      </c>
      <c r="P11" t="b">
        <f t="shared" si="0"/>
        <v>1</v>
      </c>
    </row>
    <row r="12" spans="1:17" x14ac:dyDescent="0.2">
      <c r="A12" t="s">
        <v>127</v>
      </c>
      <c r="B12" t="s">
        <v>128</v>
      </c>
      <c r="C12">
        <v>32</v>
      </c>
      <c r="D12">
        <v>130894</v>
      </c>
      <c r="E12" t="s">
        <v>521</v>
      </c>
      <c r="F12" t="s">
        <v>64</v>
      </c>
      <c r="G12" t="s">
        <v>10</v>
      </c>
      <c r="H12" t="s">
        <v>6</v>
      </c>
      <c r="I12" t="s">
        <v>95</v>
      </c>
      <c r="J12">
        <v>2</v>
      </c>
      <c r="K12">
        <v>0.03</v>
      </c>
      <c r="L12">
        <v>1</v>
      </c>
      <c r="M12">
        <v>1</v>
      </c>
      <c r="N12">
        <v>1</v>
      </c>
      <c r="O12">
        <v>100</v>
      </c>
      <c r="P12" t="b">
        <f t="shared" si="0"/>
        <v>1</v>
      </c>
    </row>
    <row r="13" spans="1:17" x14ac:dyDescent="0.2">
      <c r="A13" t="s">
        <v>127</v>
      </c>
      <c r="B13" t="s">
        <v>128</v>
      </c>
      <c r="C13">
        <v>33</v>
      </c>
      <c r="D13">
        <v>60579</v>
      </c>
      <c r="E13" t="s">
        <v>978</v>
      </c>
      <c r="F13" t="s">
        <v>23</v>
      </c>
      <c r="G13" t="s">
        <v>452</v>
      </c>
      <c r="H13" t="s">
        <v>5</v>
      </c>
      <c r="I13" t="s">
        <v>131</v>
      </c>
      <c r="J13">
        <v>1</v>
      </c>
      <c r="K13">
        <v>0.03</v>
      </c>
      <c r="L13">
        <v>1</v>
      </c>
      <c r="M13">
        <v>1</v>
      </c>
      <c r="N13">
        <v>1</v>
      </c>
      <c r="O13">
        <v>100</v>
      </c>
      <c r="P13" t="b">
        <f t="shared" si="0"/>
        <v>1</v>
      </c>
    </row>
    <row r="14" spans="1:17" x14ac:dyDescent="0.2">
      <c r="A14" t="s">
        <v>127</v>
      </c>
      <c r="B14" t="s">
        <v>128</v>
      </c>
      <c r="C14">
        <v>34</v>
      </c>
      <c r="D14">
        <v>129984</v>
      </c>
      <c r="E14" t="s">
        <v>680</v>
      </c>
      <c r="F14" t="s">
        <v>69</v>
      </c>
      <c r="G14" t="s">
        <v>10</v>
      </c>
      <c r="H14" t="s">
        <v>12</v>
      </c>
      <c r="I14" t="s">
        <v>138</v>
      </c>
      <c r="J14">
        <v>2</v>
      </c>
      <c r="K14">
        <v>0.03</v>
      </c>
      <c r="L14">
        <v>1</v>
      </c>
      <c r="M14">
        <v>1</v>
      </c>
      <c r="N14">
        <v>1</v>
      </c>
      <c r="O14">
        <v>100</v>
      </c>
      <c r="P14" t="b">
        <f t="shared" si="0"/>
        <v>1</v>
      </c>
    </row>
    <row r="15" spans="1:17" x14ac:dyDescent="0.2">
      <c r="A15" t="s">
        <v>127</v>
      </c>
      <c r="B15" t="s">
        <v>128</v>
      </c>
      <c r="C15">
        <v>35</v>
      </c>
      <c r="D15">
        <v>91809</v>
      </c>
      <c r="E15" t="s">
        <v>912</v>
      </c>
      <c r="F15" t="s">
        <v>7</v>
      </c>
      <c r="G15" t="s">
        <v>452</v>
      </c>
      <c r="H15" t="s">
        <v>6</v>
      </c>
      <c r="I15" t="s">
        <v>138</v>
      </c>
      <c r="J15">
        <v>1</v>
      </c>
      <c r="K15">
        <v>0.03</v>
      </c>
      <c r="L15">
        <v>1</v>
      </c>
      <c r="M15">
        <v>1</v>
      </c>
      <c r="N15">
        <v>1</v>
      </c>
      <c r="O15">
        <v>100</v>
      </c>
      <c r="P15" t="b">
        <f t="shared" si="0"/>
        <v>1</v>
      </c>
    </row>
    <row r="16" spans="1:17" x14ac:dyDescent="0.2">
      <c r="A16" t="s">
        <v>127</v>
      </c>
      <c r="B16" t="s">
        <v>128</v>
      </c>
      <c r="C16">
        <v>36</v>
      </c>
      <c r="D16">
        <v>130990</v>
      </c>
      <c r="E16" t="s">
        <v>510</v>
      </c>
      <c r="F16" t="s">
        <v>70</v>
      </c>
      <c r="G16" t="s">
        <v>10</v>
      </c>
      <c r="H16" t="s">
        <v>8</v>
      </c>
      <c r="I16" t="s">
        <v>91</v>
      </c>
      <c r="J16">
        <v>3</v>
      </c>
      <c r="K16">
        <v>0.03</v>
      </c>
      <c r="L16">
        <v>1</v>
      </c>
      <c r="M16">
        <v>1</v>
      </c>
      <c r="N16">
        <v>1</v>
      </c>
      <c r="O16">
        <v>100</v>
      </c>
      <c r="P16" t="b">
        <f t="shared" si="0"/>
        <v>1</v>
      </c>
    </row>
    <row r="17" spans="1:16" x14ac:dyDescent="0.2">
      <c r="A17" t="s">
        <v>127</v>
      </c>
      <c r="B17" t="s">
        <v>128</v>
      </c>
      <c r="C17">
        <v>37</v>
      </c>
      <c r="D17">
        <v>126644</v>
      </c>
      <c r="E17" t="s">
        <v>133</v>
      </c>
      <c r="F17" t="s">
        <v>22</v>
      </c>
      <c r="G17" t="s">
        <v>452</v>
      </c>
      <c r="H17" t="s">
        <v>12</v>
      </c>
      <c r="I17" t="s">
        <v>138</v>
      </c>
      <c r="J17">
        <v>1</v>
      </c>
      <c r="K17">
        <v>7</v>
      </c>
      <c r="L17">
        <v>4</v>
      </c>
      <c r="M17">
        <v>2</v>
      </c>
      <c r="N17">
        <v>1</v>
      </c>
      <c r="O17">
        <v>1</v>
      </c>
      <c r="P17" t="b">
        <f t="shared" si="0"/>
        <v>1</v>
      </c>
    </row>
    <row r="18" spans="1:16" x14ac:dyDescent="0.2">
      <c r="A18" t="s">
        <v>127</v>
      </c>
      <c r="B18" t="s">
        <v>128</v>
      </c>
      <c r="C18">
        <v>38</v>
      </c>
      <c r="D18">
        <v>130539</v>
      </c>
      <c r="E18" t="s">
        <v>579</v>
      </c>
      <c r="F18" t="s">
        <v>68</v>
      </c>
      <c r="G18" t="s">
        <v>10</v>
      </c>
      <c r="H18" t="s">
        <v>5</v>
      </c>
      <c r="I18" t="s">
        <v>138</v>
      </c>
      <c r="J18">
        <v>2</v>
      </c>
      <c r="K18">
        <v>0.03</v>
      </c>
      <c r="L18">
        <v>1</v>
      </c>
      <c r="M18">
        <v>1</v>
      </c>
      <c r="N18">
        <v>1</v>
      </c>
      <c r="O18">
        <v>100</v>
      </c>
      <c r="P18" t="b">
        <f t="shared" si="0"/>
        <v>1</v>
      </c>
    </row>
    <row r="19" spans="1:16" x14ac:dyDescent="0.2">
      <c r="A19" t="s">
        <v>127</v>
      </c>
      <c r="B19" t="s">
        <v>128</v>
      </c>
      <c r="C19">
        <v>39</v>
      </c>
      <c r="D19">
        <v>134587</v>
      </c>
      <c r="E19" t="s">
        <v>800</v>
      </c>
      <c r="F19" t="s">
        <v>34</v>
      </c>
      <c r="G19" t="s">
        <v>452</v>
      </c>
      <c r="H19" t="s">
        <v>8</v>
      </c>
      <c r="I19" t="s">
        <v>131</v>
      </c>
      <c r="J19">
        <v>1</v>
      </c>
      <c r="K19">
        <v>6</v>
      </c>
      <c r="L19">
        <v>3</v>
      </c>
      <c r="M19">
        <v>1</v>
      </c>
      <c r="N19">
        <v>2</v>
      </c>
      <c r="O19">
        <v>1</v>
      </c>
      <c r="P19" t="b">
        <f t="shared" si="0"/>
        <v>1</v>
      </c>
    </row>
    <row r="20" spans="1:16" x14ac:dyDescent="0.2">
      <c r="A20" t="s">
        <v>127</v>
      </c>
      <c r="B20" t="s">
        <v>128</v>
      </c>
      <c r="C20">
        <v>40</v>
      </c>
      <c r="D20">
        <v>130811</v>
      </c>
      <c r="E20" t="s">
        <v>153</v>
      </c>
      <c r="F20" t="s">
        <v>64</v>
      </c>
      <c r="G20" t="s">
        <v>10</v>
      </c>
      <c r="H20" t="s">
        <v>6</v>
      </c>
      <c r="I20" t="s">
        <v>138</v>
      </c>
      <c r="J20">
        <v>3</v>
      </c>
      <c r="K20">
        <v>0.03</v>
      </c>
      <c r="L20">
        <v>1</v>
      </c>
      <c r="M20">
        <v>1</v>
      </c>
      <c r="N20">
        <v>1</v>
      </c>
      <c r="O20">
        <v>100</v>
      </c>
      <c r="P20" t="b">
        <f t="shared" si="0"/>
        <v>1</v>
      </c>
    </row>
    <row r="21" spans="1:16" x14ac:dyDescent="0.2">
      <c r="A21" t="s">
        <v>127</v>
      </c>
      <c r="B21" t="s">
        <v>128</v>
      </c>
      <c r="C21">
        <v>41</v>
      </c>
      <c r="D21">
        <v>126458</v>
      </c>
      <c r="E21" t="s">
        <v>846</v>
      </c>
      <c r="F21" t="s">
        <v>36</v>
      </c>
      <c r="G21" t="s">
        <v>452</v>
      </c>
      <c r="H21" t="s">
        <v>5</v>
      </c>
      <c r="I21" t="s">
        <v>95</v>
      </c>
      <c r="J21">
        <v>1</v>
      </c>
      <c r="K21">
        <v>0.05</v>
      </c>
      <c r="L21">
        <v>3</v>
      </c>
      <c r="M21">
        <v>1</v>
      </c>
      <c r="N21">
        <v>1</v>
      </c>
      <c r="O21">
        <v>100</v>
      </c>
      <c r="P21" t="b">
        <f t="shared" si="0"/>
        <v>1</v>
      </c>
    </row>
    <row r="22" spans="1:16" x14ac:dyDescent="0.2">
      <c r="A22" t="s">
        <v>127</v>
      </c>
      <c r="B22" t="s">
        <v>128</v>
      </c>
      <c r="C22">
        <v>42</v>
      </c>
      <c r="D22">
        <v>129775</v>
      </c>
      <c r="E22" t="s">
        <v>143</v>
      </c>
      <c r="F22" t="s">
        <v>71</v>
      </c>
      <c r="G22" t="s">
        <v>10</v>
      </c>
      <c r="H22" t="s">
        <v>12</v>
      </c>
      <c r="I22" t="s">
        <v>95</v>
      </c>
      <c r="J22">
        <v>1</v>
      </c>
      <c r="K22">
        <v>0.03</v>
      </c>
      <c r="L22">
        <v>1</v>
      </c>
      <c r="M22">
        <v>1</v>
      </c>
      <c r="N22">
        <v>1</v>
      </c>
      <c r="O22">
        <v>100</v>
      </c>
      <c r="P22" t="b">
        <f t="shared" si="0"/>
        <v>1</v>
      </c>
    </row>
    <row r="23" spans="1:16" x14ac:dyDescent="0.2">
      <c r="A23" t="s">
        <v>127</v>
      </c>
      <c r="B23" t="s">
        <v>128</v>
      </c>
      <c r="C23">
        <v>43</v>
      </c>
      <c r="D23">
        <v>126646</v>
      </c>
      <c r="E23" t="s">
        <v>832</v>
      </c>
      <c r="F23" t="s">
        <v>42</v>
      </c>
      <c r="G23" t="s">
        <v>452</v>
      </c>
      <c r="H23" t="s">
        <v>6</v>
      </c>
      <c r="I23" t="s">
        <v>95</v>
      </c>
      <c r="J23">
        <v>1</v>
      </c>
      <c r="K23">
        <v>0.03</v>
      </c>
      <c r="L23">
        <v>1</v>
      </c>
      <c r="M23">
        <v>1</v>
      </c>
      <c r="N23">
        <v>1</v>
      </c>
      <c r="O23">
        <v>100</v>
      </c>
      <c r="P23" t="b">
        <f t="shared" si="0"/>
        <v>1</v>
      </c>
    </row>
    <row r="24" spans="1:16" x14ac:dyDescent="0.2">
      <c r="A24" t="s">
        <v>127</v>
      </c>
      <c r="B24" t="s">
        <v>128</v>
      </c>
      <c r="C24">
        <v>44</v>
      </c>
      <c r="D24">
        <v>130991</v>
      </c>
      <c r="E24" t="s">
        <v>165</v>
      </c>
      <c r="F24" t="s">
        <v>70</v>
      </c>
      <c r="G24" t="s">
        <v>10</v>
      </c>
      <c r="H24" t="s">
        <v>8</v>
      </c>
      <c r="I24" t="s">
        <v>91</v>
      </c>
      <c r="J24">
        <v>4</v>
      </c>
      <c r="K24">
        <v>0.03</v>
      </c>
      <c r="L24">
        <v>1</v>
      </c>
      <c r="M24">
        <v>1</v>
      </c>
      <c r="N24">
        <v>1</v>
      </c>
      <c r="O24">
        <v>100</v>
      </c>
      <c r="P24" t="b">
        <f t="shared" si="0"/>
        <v>1</v>
      </c>
    </row>
    <row r="25" spans="1:16" x14ac:dyDescent="0.2">
      <c r="A25" t="s">
        <v>127</v>
      </c>
      <c r="B25" t="s">
        <v>128</v>
      </c>
      <c r="C25">
        <v>45</v>
      </c>
      <c r="D25">
        <v>128060</v>
      </c>
      <c r="E25" t="s">
        <v>819</v>
      </c>
      <c r="F25" t="s">
        <v>45</v>
      </c>
      <c r="G25" t="s">
        <v>452</v>
      </c>
      <c r="H25" t="s">
        <v>12</v>
      </c>
      <c r="I25" t="s">
        <v>91</v>
      </c>
      <c r="J25">
        <v>1</v>
      </c>
      <c r="K25">
        <v>0.03</v>
      </c>
      <c r="L25">
        <v>1</v>
      </c>
      <c r="M25">
        <v>1</v>
      </c>
      <c r="N25">
        <v>1</v>
      </c>
      <c r="O25">
        <v>100</v>
      </c>
      <c r="P25" t="b">
        <f t="shared" si="0"/>
        <v>1</v>
      </c>
    </row>
    <row r="26" spans="1:16" x14ac:dyDescent="0.2">
      <c r="A26" t="s">
        <v>127</v>
      </c>
      <c r="B26" t="s">
        <v>128</v>
      </c>
      <c r="C26">
        <v>46</v>
      </c>
      <c r="D26">
        <v>131044</v>
      </c>
      <c r="E26" t="s">
        <v>160</v>
      </c>
      <c r="F26" t="s">
        <v>65</v>
      </c>
      <c r="G26" t="s">
        <v>10</v>
      </c>
      <c r="H26" t="s">
        <v>5</v>
      </c>
      <c r="I26" t="s">
        <v>131</v>
      </c>
      <c r="J26">
        <v>6</v>
      </c>
      <c r="K26">
        <v>0.03</v>
      </c>
      <c r="L26">
        <v>1</v>
      </c>
      <c r="M26">
        <v>1</v>
      </c>
      <c r="N26">
        <v>1</v>
      </c>
      <c r="O26">
        <v>100</v>
      </c>
      <c r="P26" t="b">
        <f t="shared" si="0"/>
        <v>1</v>
      </c>
    </row>
    <row r="27" spans="1:16" x14ac:dyDescent="0.2">
      <c r="A27" t="s">
        <v>127</v>
      </c>
      <c r="B27" t="s">
        <v>128</v>
      </c>
      <c r="C27">
        <v>47</v>
      </c>
      <c r="D27">
        <v>49197</v>
      </c>
      <c r="E27" t="s">
        <v>135</v>
      </c>
      <c r="F27" t="s">
        <v>58</v>
      </c>
      <c r="G27" t="s">
        <v>452</v>
      </c>
      <c r="H27" t="s">
        <v>8</v>
      </c>
      <c r="I27" t="s">
        <v>95</v>
      </c>
      <c r="J27">
        <v>1</v>
      </c>
      <c r="K27">
        <v>0.03</v>
      </c>
      <c r="L27">
        <v>1</v>
      </c>
      <c r="M27">
        <v>1</v>
      </c>
      <c r="N27">
        <v>1</v>
      </c>
      <c r="O27">
        <v>100</v>
      </c>
      <c r="P27" t="b">
        <f t="shared" si="0"/>
        <v>1</v>
      </c>
    </row>
    <row r="28" spans="1:16" x14ac:dyDescent="0.2">
      <c r="A28" t="s">
        <v>127</v>
      </c>
      <c r="B28" t="s">
        <v>128</v>
      </c>
      <c r="C28">
        <v>48</v>
      </c>
      <c r="D28">
        <v>131002</v>
      </c>
      <c r="E28" t="s">
        <v>505</v>
      </c>
      <c r="F28" t="s">
        <v>64</v>
      </c>
      <c r="G28" t="s">
        <v>10</v>
      </c>
      <c r="H28" t="s">
        <v>6</v>
      </c>
      <c r="I28" t="s">
        <v>96</v>
      </c>
      <c r="J28">
        <v>6</v>
      </c>
      <c r="K28">
        <v>0.03</v>
      </c>
      <c r="L28">
        <v>1</v>
      </c>
      <c r="M28">
        <v>1</v>
      </c>
      <c r="N28">
        <v>1</v>
      </c>
      <c r="O28">
        <v>100</v>
      </c>
      <c r="P28" t="b">
        <f t="shared" si="0"/>
        <v>1</v>
      </c>
    </row>
    <row r="29" spans="1:16" x14ac:dyDescent="0.2">
      <c r="A29" t="s">
        <v>127</v>
      </c>
      <c r="B29" t="s">
        <v>128</v>
      </c>
      <c r="C29">
        <v>49</v>
      </c>
      <c r="D29">
        <v>126576</v>
      </c>
      <c r="E29" t="s">
        <v>841</v>
      </c>
      <c r="F29" t="s">
        <v>11</v>
      </c>
      <c r="G29" t="s">
        <v>452</v>
      </c>
      <c r="H29" t="s">
        <v>11</v>
      </c>
      <c r="I29" t="s">
        <v>91</v>
      </c>
      <c r="J29">
        <v>3</v>
      </c>
      <c r="K29">
        <v>0.03</v>
      </c>
      <c r="L29">
        <v>1</v>
      </c>
      <c r="M29">
        <v>1</v>
      </c>
      <c r="N29">
        <v>1</v>
      </c>
      <c r="O29">
        <v>100</v>
      </c>
      <c r="P29" t="b">
        <f t="shared" si="0"/>
        <v>1</v>
      </c>
    </row>
    <row r="30" spans="1:16" x14ac:dyDescent="0.2">
      <c r="A30" t="s">
        <v>127</v>
      </c>
      <c r="B30" t="s">
        <v>128</v>
      </c>
      <c r="C30">
        <v>50</v>
      </c>
      <c r="D30">
        <v>130298</v>
      </c>
      <c r="E30" t="s">
        <v>632</v>
      </c>
      <c r="F30" t="s">
        <v>67</v>
      </c>
      <c r="G30" t="s">
        <v>10</v>
      </c>
      <c r="H30" t="s">
        <v>12</v>
      </c>
      <c r="I30" t="s">
        <v>93</v>
      </c>
      <c r="J30">
        <v>4</v>
      </c>
      <c r="K30">
        <v>0.03</v>
      </c>
      <c r="L30">
        <v>1</v>
      </c>
      <c r="M30">
        <v>1</v>
      </c>
      <c r="N30">
        <v>1</v>
      </c>
      <c r="O30">
        <v>100</v>
      </c>
      <c r="P30" t="b">
        <f t="shared" si="0"/>
        <v>1</v>
      </c>
    </row>
    <row r="31" spans="1:16" x14ac:dyDescent="0.2">
      <c r="A31" t="s">
        <v>127</v>
      </c>
      <c r="B31" t="s">
        <v>128</v>
      </c>
      <c r="C31">
        <v>51</v>
      </c>
      <c r="D31">
        <v>123649</v>
      </c>
      <c r="E31" t="s">
        <v>136</v>
      </c>
      <c r="F31" t="s">
        <v>37</v>
      </c>
      <c r="G31" t="s">
        <v>452</v>
      </c>
      <c r="H31" t="s">
        <v>5</v>
      </c>
      <c r="I31" t="s">
        <v>131</v>
      </c>
      <c r="J31">
        <v>1</v>
      </c>
      <c r="K31">
        <v>4.5</v>
      </c>
      <c r="L31">
        <v>3</v>
      </c>
      <c r="M31">
        <v>2</v>
      </c>
      <c r="N31">
        <v>4</v>
      </c>
      <c r="O31">
        <v>2</v>
      </c>
      <c r="P31" t="b">
        <f t="shared" si="0"/>
        <v>1</v>
      </c>
    </row>
    <row r="32" spans="1:16" x14ac:dyDescent="0.2">
      <c r="A32" t="s">
        <v>127</v>
      </c>
      <c r="B32" t="s">
        <v>128</v>
      </c>
      <c r="C32">
        <v>52</v>
      </c>
      <c r="D32">
        <v>130663</v>
      </c>
      <c r="E32" t="s">
        <v>173</v>
      </c>
      <c r="F32" t="s">
        <v>70</v>
      </c>
      <c r="G32" t="s">
        <v>10</v>
      </c>
      <c r="H32" t="s">
        <v>8</v>
      </c>
      <c r="I32" t="s">
        <v>91</v>
      </c>
      <c r="J32">
        <v>5</v>
      </c>
      <c r="K32">
        <v>0.03</v>
      </c>
      <c r="L32">
        <v>1</v>
      </c>
      <c r="M32">
        <v>1</v>
      </c>
      <c r="N32">
        <v>1</v>
      </c>
      <c r="O32">
        <v>100</v>
      </c>
      <c r="P32" t="b">
        <f t="shared" si="0"/>
        <v>1</v>
      </c>
    </row>
    <row r="33" spans="1:16" x14ac:dyDescent="0.2">
      <c r="A33" t="s">
        <v>127</v>
      </c>
      <c r="B33" t="s">
        <v>128</v>
      </c>
      <c r="C33">
        <v>53</v>
      </c>
      <c r="D33">
        <v>77828</v>
      </c>
      <c r="E33" t="s">
        <v>130</v>
      </c>
      <c r="F33" t="s">
        <v>26</v>
      </c>
      <c r="G33" t="s">
        <v>452</v>
      </c>
      <c r="H33" t="s">
        <v>6</v>
      </c>
      <c r="I33" t="s">
        <v>95</v>
      </c>
      <c r="J33">
        <v>2</v>
      </c>
      <c r="K33">
        <v>0.03</v>
      </c>
      <c r="L33">
        <v>1</v>
      </c>
      <c r="M33">
        <v>1</v>
      </c>
      <c r="N33">
        <v>1</v>
      </c>
      <c r="O33">
        <v>100</v>
      </c>
      <c r="P33" t="b">
        <f t="shared" si="0"/>
        <v>1</v>
      </c>
    </row>
    <row r="34" spans="1:16" x14ac:dyDescent="0.2">
      <c r="A34" t="s">
        <v>127</v>
      </c>
      <c r="B34" t="s">
        <v>128</v>
      </c>
      <c r="C34">
        <v>54</v>
      </c>
      <c r="D34">
        <v>132534</v>
      </c>
      <c r="E34" t="s">
        <v>476</v>
      </c>
      <c r="F34" t="s">
        <v>66</v>
      </c>
      <c r="G34" t="s">
        <v>10</v>
      </c>
      <c r="H34" t="s">
        <v>5</v>
      </c>
      <c r="I34" t="s">
        <v>95</v>
      </c>
      <c r="J34">
        <v>5</v>
      </c>
      <c r="K34">
        <v>0.04</v>
      </c>
      <c r="L34">
        <v>2</v>
      </c>
      <c r="M34">
        <v>1</v>
      </c>
      <c r="N34">
        <v>1</v>
      </c>
      <c r="O34">
        <v>100</v>
      </c>
      <c r="P34" t="b">
        <f t="shared" si="0"/>
        <v>1</v>
      </c>
    </row>
    <row r="35" spans="1:16" x14ac:dyDescent="0.2">
      <c r="A35" t="s">
        <v>127</v>
      </c>
      <c r="B35" t="s">
        <v>128</v>
      </c>
      <c r="C35">
        <v>55</v>
      </c>
      <c r="D35">
        <v>93166</v>
      </c>
      <c r="E35" t="s">
        <v>910</v>
      </c>
      <c r="F35" t="s">
        <v>46</v>
      </c>
      <c r="G35" t="s">
        <v>452</v>
      </c>
      <c r="H35" t="s">
        <v>12</v>
      </c>
      <c r="I35" t="s">
        <v>91</v>
      </c>
      <c r="J35">
        <v>1</v>
      </c>
      <c r="K35">
        <v>0.03</v>
      </c>
      <c r="L35">
        <v>1</v>
      </c>
      <c r="M35">
        <v>1</v>
      </c>
      <c r="N35">
        <v>1</v>
      </c>
      <c r="O35">
        <v>100</v>
      </c>
      <c r="P35" t="b">
        <f t="shared" si="0"/>
        <v>1</v>
      </c>
    </row>
    <row r="36" spans="1:16" x14ac:dyDescent="0.2">
      <c r="A36" t="s">
        <v>127</v>
      </c>
      <c r="B36" t="s">
        <v>128</v>
      </c>
      <c r="C36">
        <v>56</v>
      </c>
      <c r="D36">
        <v>131067</v>
      </c>
      <c r="E36" t="s">
        <v>498</v>
      </c>
      <c r="F36" t="s">
        <v>64</v>
      </c>
      <c r="G36" t="s">
        <v>10</v>
      </c>
      <c r="H36" t="s">
        <v>6</v>
      </c>
      <c r="I36" t="s">
        <v>94</v>
      </c>
      <c r="J36">
        <v>7</v>
      </c>
      <c r="K36">
        <v>0.03</v>
      </c>
      <c r="L36">
        <v>1</v>
      </c>
      <c r="M36">
        <v>1</v>
      </c>
      <c r="N36">
        <v>1</v>
      </c>
      <c r="O36">
        <v>100</v>
      </c>
      <c r="P36" t="b">
        <f t="shared" si="0"/>
        <v>1</v>
      </c>
    </row>
    <row r="37" spans="1:16" x14ac:dyDescent="0.2">
      <c r="A37" t="s">
        <v>127</v>
      </c>
      <c r="B37" t="s">
        <v>128</v>
      </c>
      <c r="C37">
        <v>57</v>
      </c>
      <c r="D37">
        <v>124738</v>
      </c>
      <c r="E37" t="s">
        <v>860</v>
      </c>
      <c r="F37" t="s">
        <v>59</v>
      </c>
      <c r="G37" t="s">
        <v>452</v>
      </c>
      <c r="H37" t="s">
        <v>8</v>
      </c>
      <c r="I37" t="s">
        <v>95</v>
      </c>
      <c r="J37">
        <v>1</v>
      </c>
      <c r="K37">
        <v>7.0000000000000007E-2</v>
      </c>
      <c r="L37">
        <v>1</v>
      </c>
      <c r="M37">
        <v>2</v>
      </c>
      <c r="N37">
        <v>4</v>
      </c>
      <c r="O37">
        <v>100</v>
      </c>
      <c r="P37" t="b">
        <f t="shared" si="0"/>
        <v>1</v>
      </c>
    </row>
    <row r="38" spans="1:16" x14ac:dyDescent="0.2">
      <c r="A38" t="s">
        <v>127</v>
      </c>
      <c r="B38" t="s">
        <v>128</v>
      </c>
      <c r="C38">
        <v>58</v>
      </c>
      <c r="D38">
        <v>131055</v>
      </c>
      <c r="E38" t="s">
        <v>501</v>
      </c>
      <c r="F38" t="s">
        <v>69</v>
      </c>
      <c r="G38" t="s">
        <v>10</v>
      </c>
      <c r="H38" t="s">
        <v>12</v>
      </c>
      <c r="I38" t="s">
        <v>138</v>
      </c>
      <c r="J38">
        <v>3</v>
      </c>
      <c r="K38">
        <v>0.03</v>
      </c>
      <c r="L38">
        <v>1</v>
      </c>
      <c r="M38">
        <v>1</v>
      </c>
      <c r="N38">
        <v>1</v>
      </c>
      <c r="O38">
        <v>100</v>
      </c>
      <c r="P38" t="b">
        <f t="shared" si="0"/>
        <v>1</v>
      </c>
    </row>
    <row r="39" spans="1:16" x14ac:dyDescent="0.2">
      <c r="A39" t="s">
        <v>127</v>
      </c>
      <c r="B39" t="s">
        <v>128</v>
      </c>
      <c r="C39">
        <v>59</v>
      </c>
      <c r="D39">
        <v>31981</v>
      </c>
      <c r="E39" t="s">
        <v>1076</v>
      </c>
      <c r="F39" t="s">
        <v>38</v>
      </c>
      <c r="G39" t="s">
        <v>452</v>
      </c>
      <c r="H39" t="s">
        <v>5</v>
      </c>
      <c r="I39" t="s">
        <v>95</v>
      </c>
      <c r="J39">
        <v>1</v>
      </c>
      <c r="K39">
        <v>0.03</v>
      </c>
      <c r="L39">
        <v>1</v>
      </c>
      <c r="M39">
        <v>1</v>
      </c>
      <c r="N39">
        <v>1</v>
      </c>
      <c r="O39">
        <v>100</v>
      </c>
      <c r="P39" t="b">
        <f t="shared" si="0"/>
        <v>1</v>
      </c>
    </row>
    <row r="40" spans="1:16" x14ac:dyDescent="0.2">
      <c r="A40" t="s">
        <v>127</v>
      </c>
      <c r="B40" t="s">
        <v>128</v>
      </c>
      <c r="C40">
        <v>60</v>
      </c>
      <c r="D40">
        <v>130598</v>
      </c>
      <c r="E40" t="s">
        <v>570</v>
      </c>
      <c r="F40" t="s">
        <v>70</v>
      </c>
      <c r="G40" t="s">
        <v>10</v>
      </c>
      <c r="H40" t="s">
        <v>8</v>
      </c>
      <c r="I40" t="s">
        <v>95</v>
      </c>
      <c r="J40">
        <v>6</v>
      </c>
      <c r="K40">
        <v>0.03</v>
      </c>
      <c r="L40">
        <v>1</v>
      </c>
      <c r="M40">
        <v>1</v>
      </c>
      <c r="N40">
        <v>1</v>
      </c>
      <c r="O40">
        <v>100</v>
      </c>
      <c r="P40" t="b">
        <f t="shared" si="0"/>
        <v>1</v>
      </c>
    </row>
    <row r="41" spans="1:16" x14ac:dyDescent="0.2">
      <c r="A41" t="s">
        <v>127</v>
      </c>
      <c r="B41" t="s">
        <v>128</v>
      </c>
      <c r="C41">
        <v>61</v>
      </c>
      <c r="D41">
        <v>115295</v>
      </c>
      <c r="E41" t="s">
        <v>129</v>
      </c>
      <c r="F41" t="s">
        <v>7</v>
      </c>
      <c r="G41" t="s">
        <v>452</v>
      </c>
      <c r="H41" t="s">
        <v>6</v>
      </c>
      <c r="I41" t="s">
        <v>95</v>
      </c>
      <c r="J41">
        <v>2</v>
      </c>
      <c r="K41">
        <v>0.03</v>
      </c>
      <c r="L41">
        <v>1</v>
      </c>
      <c r="M41">
        <v>1</v>
      </c>
      <c r="N41">
        <v>1</v>
      </c>
      <c r="O41">
        <v>100</v>
      </c>
      <c r="P41" t="b">
        <f t="shared" si="0"/>
        <v>1</v>
      </c>
    </row>
    <row r="42" spans="1:16" x14ac:dyDescent="0.2">
      <c r="A42" t="s">
        <v>127</v>
      </c>
      <c r="B42" t="s">
        <v>128</v>
      </c>
      <c r="C42">
        <v>62</v>
      </c>
      <c r="D42">
        <v>130378</v>
      </c>
      <c r="E42" t="s">
        <v>615</v>
      </c>
      <c r="F42" t="s">
        <v>68</v>
      </c>
      <c r="G42" t="s">
        <v>10</v>
      </c>
      <c r="H42" t="s">
        <v>5</v>
      </c>
      <c r="I42" t="s">
        <v>93</v>
      </c>
      <c r="J42">
        <v>3</v>
      </c>
      <c r="K42">
        <v>0.05</v>
      </c>
      <c r="L42">
        <v>3</v>
      </c>
      <c r="M42">
        <v>1</v>
      </c>
      <c r="N42">
        <v>1</v>
      </c>
      <c r="O42">
        <v>100</v>
      </c>
      <c r="P42" t="b">
        <f t="shared" si="0"/>
        <v>1</v>
      </c>
    </row>
    <row r="43" spans="1:16" x14ac:dyDescent="0.2">
      <c r="A43" t="s">
        <v>127</v>
      </c>
      <c r="B43" t="s">
        <v>128</v>
      </c>
      <c r="C43">
        <v>63</v>
      </c>
      <c r="D43">
        <v>69342</v>
      </c>
      <c r="E43" t="s">
        <v>950</v>
      </c>
      <c r="F43" t="s">
        <v>35</v>
      </c>
      <c r="G43" t="s">
        <v>452</v>
      </c>
      <c r="H43" t="s">
        <v>12</v>
      </c>
      <c r="I43" t="s">
        <v>131</v>
      </c>
      <c r="J43">
        <v>3</v>
      </c>
      <c r="K43">
        <v>0.03</v>
      </c>
      <c r="L43">
        <v>1</v>
      </c>
      <c r="M43">
        <v>1</v>
      </c>
      <c r="N43">
        <v>1</v>
      </c>
      <c r="O43">
        <v>100</v>
      </c>
      <c r="P43" t="b">
        <f t="shared" si="0"/>
        <v>1</v>
      </c>
    </row>
    <row r="44" spans="1:16" x14ac:dyDescent="0.2">
      <c r="A44" t="s">
        <v>127</v>
      </c>
      <c r="B44" t="s">
        <v>128</v>
      </c>
      <c r="C44">
        <v>64</v>
      </c>
      <c r="D44">
        <v>129944</v>
      </c>
      <c r="E44" t="s">
        <v>682</v>
      </c>
      <c r="F44" t="s">
        <v>64</v>
      </c>
      <c r="G44" t="s">
        <v>10</v>
      </c>
      <c r="H44" t="s">
        <v>6</v>
      </c>
      <c r="I44" t="s">
        <v>97</v>
      </c>
      <c r="J44">
        <v>8</v>
      </c>
      <c r="K44">
        <v>0.03</v>
      </c>
      <c r="L44">
        <v>1</v>
      </c>
      <c r="M44">
        <v>1</v>
      </c>
      <c r="N44">
        <v>1</v>
      </c>
      <c r="O44">
        <v>100</v>
      </c>
      <c r="P44" t="b">
        <f t="shared" si="0"/>
        <v>1</v>
      </c>
    </row>
    <row r="45" spans="1:16" x14ac:dyDescent="0.2">
      <c r="A45" t="s">
        <v>127</v>
      </c>
      <c r="B45" t="s">
        <v>128</v>
      </c>
      <c r="C45">
        <v>65</v>
      </c>
      <c r="D45">
        <v>126581</v>
      </c>
      <c r="E45" t="s">
        <v>161</v>
      </c>
      <c r="F45" t="s">
        <v>9</v>
      </c>
      <c r="G45" t="s">
        <v>452</v>
      </c>
      <c r="H45" t="s">
        <v>8</v>
      </c>
      <c r="I45" t="s">
        <v>95</v>
      </c>
      <c r="J45">
        <v>2</v>
      </c>
      <c r="K45">
        <v>0.03</v>
      </c>
      <c r="L45">
        <v>1</v>
      </c>
      <c r="M45">
        <v>1</v>
      </c>
      <c r="N45">
        <v>1</v>
      </c>
      <c r="O45">
        <v>100</v>
      </c>
      <c r="P45" t="b">
        <f t="shared" si="0"/>
        <v>1</v>
      </c>
    </row>
    <row r="46" spans="1:16" x14ac:dyDescent="0.2">
      <c r="A46" t="s">
        <v>127</v>
      </c>
      <c r="B46" t="s">
        <v>128</v>
      </c>
      <c r="C46">
        <v>66</v>
      </c>
      <c r="D46">
        <v>130500</v>
      </c>
      <c r="E46" t="s">
        <v>588</v>
      </c>
      <c r="F46" t="s">
        <v>73</v>
      </c>
      <c r="G46" t="s">
        <v>10</v>
      </c>
      <c r="H46" t="s">
        <v>12</v>
      </c>
      <c r="I46" t="s">
        <v>91</v>
      </c>
      <c r="J46">
        <v>1</v>
      </c>
      <c r="K46">
        <v>0.03</v>
      </c>
      <c r="L46">
        <v>1</v>
      </c>
      <c r="M46">
        <v>1</v>
      </c>
      <c r="N46">
        <v>1</v>
      </c>
      <c r="O46">
        <v>100</v>
      </c>
      <c r="P46" t="b">
        <f t="shared" si="0"/>
        <v>1</v>
      </c>
    </row>
    <row r="47" spans="1:16" x14ac:dyDescent="0.2">
      <c r="A47" t="s">
        <v>127</v>
      </c>
      <c r="B47" t="s">
        <v>128</v>
      </c>
      <c r="C47">
        <v>67</v>
      </c>
      <c r="D47">
        <v>41221</v>
      </c>
      <c r="E47" t="s">
        <v>1026</v>
      </c>
      <c r="F47" t="s">
        <v>11</v>
      </c>
      <c r="G47" t="s">
        <v>452</v>
      </c>
      <c r="H47" t="s">
        <v>11</v>
      </c>
      <c r="I47" t="s">
        <v>95</v>
      </c>
      <c r="J47">
        <v>4</v>
      </c>
      <c r="K47">
        <v>0.03</v>
      </c>
      <c r="L47">
        <v>1</v>
      </c>
      <c r="M47">
        <v>1</v>
      </c>
      <c r="N47">
        <v>1</v>
      </c>
      <c r="O47">
        <v>100</v>
      </c>
      <c r="P47" t="b">
        <f t="shared" si="0"/>
        <v>1</v>
      </c>
    </row>
    <row r="48" spans="1:16" x14ac:dyDescent="0.2">
      <c r="A48" t="s">
        <v>127</v>
      </c>
      <c r="B48" t="s">
        <v>128</v>
      </c>
      <c r="C48">
        <v>68</v>
      </c>
      <c r="D48">
        <v>130664</v>
      </c>
      <c r="E48" t="s">
        <v>561</v>
      </c>
      <c r="F48" t="s">
        <v>70</v>
      </c>
      <c r="G48" t="s">
        <v>10</v>
      </c>
      <c r="H48" t="s">
        <v>8</v>
      </c>
      <c r="I48" t="s">
        <v>91</v>
      </c>
      <c r="J48">
        <v>8</v>
      </c>
      <c r="K48">
        <v>0.03</v>
      </c>
      <c r="L48">
        <v>1</v>
      </c>
      <c r="M48">
        <v>1</v>
      </c>
      <c r="N48">
        <v>1</v>
      </c>
      <c r="O48">
        <v>100</v>
      </c>
      <c r="P48" t="b">
        <f t="shared" si="0"/>
        <v>1</v>
      </c>
    </row>
    <row r="49" spans="1:16" x14ac:dyDescent="0.2">
      <c r="A49" t="s">
        <v>127</v>
      </c>
      <c r="B49" t="s">
        <v>128</v>
      </c>
      <c r="C49">
        <v>69</v>
      </c>
      <c r="D49">
        <v>118174</v>
      </c>
      <c r="E49" t="s">
        <v>877</v>
      </c>
      <c r="F49" t="s">
        <v>25</v>
      </c>
      <c r="G49" t="s">
        <v>452</v>
      </c>
      <c r="H49" t="s">
        <v>5</v>
      </c>
      <c r="I49" t="s">
        <v>91</v>
      </c>
      <c r="J49">
        <v>1</v>
      </c>
      <c r="K49">
        <v>0.03</v>
      </c>
      <c r="L49">
        <v>1</v>
      </c>
      <c r="M49">
        <v>1</v>
      </c>
      <c r="N49">
        <v>1</v>
      </c>
      <c r="O49">
        <v>100</v>
      </c>
      <c r="P49" t="b">
        <f t="shared" si="0"/>
        <v>1</v>
      </c>
    </row>
    <row r="50" spans="1:16" x14ac:dyDescent="0.2">
      <c r="A50" t="s">
        <v>127</v>
      </c>
      <c r="B50" t="s">
        <v>128</v>
      </c>
      <c r="C50">
        <v>70</v>
      </c>
      <c r="D50">
        <v>138308</v>
      </c>
      <c r="E50" t="s">
        <v>457</v>
      </c>
      <c r="F50" t="s">
        <v>65</v>
      </c>
      <c r="G50" t="s">
        <v>10</v>
      </c>
      <c r="H50" t="s">
        <v>5</v>
      </c>
      <c r="I50" t="s">
        <v>97</v>
      </c>
      <c r="J50">
        <v>7</v>
      </c>
      <c r="K50">
        <v>0.03</v>
      </c>
      <c r="L50">
        <v>1</v>
      </c>
      <c r="M50">
        <v>1</v>
      </c>
      <c r="N50">
        <v>1</v>
      </c>
      <c r="O50">
        <v>100</v>
      </c>
      <c r="P50" t="b">
        <f t="shared" si="0"/>
        <v>1</v>
      </c>
    </row>
    <row r="51" spans="1:16" x14ac:dyDescent="0.2">
      <c r="A51" t="s">
        <v>127</v>
      </c>
      <c r="B51" t="s">
        <v>128</v>
      </c>
      <c r="C51">
        <v>71</v>
      </c>
      <c r="D51">
        <v>31629</v>
      </c>
      <c r="E51" t="s">
        <v>154</v>
      </c>
      <c r="F51" t="s">
        <v>42</v>
      </c>
      <c r="G51" t="s">
        <v>452</v>
      </c>
      <c r="H51" t="s">
        <v>6</v>
      </c>
      <c r="I51" t="s">
        <v>91</v>
      </c>
      <c r="J51">
        <v>1</v>
      </c>
      <c r="K51">
        <v>0.03</v>
      </c>
      <c r="L51">
        <v>1</v>
      </c>
      <c r="M51">
        <v>1</v>
      </c>
      <c r="N51">
        <v>1</v>
      </c>
      <c r="O51">
        <v>100</v>
      </c>
      <c r="P51" t="b">
        <f t="shared" si="0"/>
        <v>1</v>
      </c>
    </row>
    <row r="52" spans="1:16" x14ac:dyDescent="0.2">
      <c r="A52" t="s">
        <v>127</v>
      </c>
      <c r="B52" t="s">
        <v>128</v>
      </c>
      <c r="C52">
        <v>72</v>
      </c>
      <c r="D52">
        <v>130873</v>
      </c>
      <c r="E52" t="s">
        <v>524</v>
      </c>
      <c r="F52" t="s">
        <v>64</v>
      </c>
      <c r="G52" t="s">
        <v>10</v>
      </c>
      <c r="H52" t="s">
        <v>6</v>
      </c>
      <c r="I52" t="s">
        <v>138</v>
      </c>
      <c r="J52">
        <v>10</v>
      </c>
      <c r="K52">
        <v>0.03</v>
      </c>
      <c r="L52">
        <v>1</v>
      </c>
      <c r="M52">
        <v>1</v>
      </c>
      <c r="N52">
        <v>1</v>
      </c>
      <c r="O52">
        <v>100</v>
      </c>
      <c r="P52" t="b">
        <f t="shared" si="0"/>
        <v>1</v>
      </c>
    </row>
    <row r="53" spans="1:16" x14ac:dyDescent="0.2">
      <c r="A53" t="s">
        <v>127</v>
      </c>
      <c r="B53" t="s">
        <v>128</v>
      </c>
      <c r="C53">
        <v>73</v>
      </c>
      <c r="D53">
        <v>135317</v>
      </c>
      <c r="E53" t="s">
        <v>146</v>
      </c>
      <c r="F53" t="s">
        <v>47</v>
      </c>
      <c r="G53" t="s">
        <v>452</v>
      </c>
      <c r="H53" t="s">
        <v>12</v>
      </c>
      <c r="I53" t="s">
        <v>95</v>
      </c>
      <c r="J53">
        <v>1</v>
      </c>
      <c r="K53">
        <v>2.5</v>
      </c>
      <c r="L53">
        <v>2</v>
      </c>
      <c r="M53">
        <v>2</v>
      </c>
      <c r="N53">
        <v>1</v>
      </c>
      <c r="O53">
        <v>2</v>
      </c>
      <c r="P53" t="b">
        <f t="shared" si="0"/>
        <v>1</v>
      </c>
    </row>
    <row r="54" spans="1:16" x14ac:dyDescent="0.2">
      <c r="A54" t="s">
        <v>127</v>
      </c>
      <c r="B54" t="s">
        <v>128</v>
      </c>
      <c r="C54">
        <v>74</v>
      </c>
      <c r="D54">
        <v>129830</v>
      </c>
      <c r="E54" t="s">
        <v>698</v>
      </c>
      <c r="F54" t="s">
        <v>67</v>
      </c>
      <c r="G54" t="s">
        <v>10</v>
      </c>
      <c r="H54" t="s">
        <v>12</v>
      </c>
      <c r="I54" t="s">
        <v>95</v>
      </c>
      <c r="J54">
        <v>5</v>
      </c>
      <c r="K54">
        <v>0.03</v>
      </c>
      <c r="L54">
        <v>1</v>
      </c>
      <c r="M54">
        <v>1</v>
      </c>
      <c r="N54">
        <v>1</v>
      </c>
      <c r="O54">
        <v>100</v>
      </c>
      <c r="P54" t="b">
        <f t="shared" si="0"/>
        <v>1</v>
      </c>
    </row>
    <row r="55" spans="1:16" x14ac:dyDescent="0.2">
      <c r="A55" t="s">
        <v>127</v>
      </c>
      <c r="B55" t="s">
        <v>128</v>
      </c>
      <c r="C55">
        <v>75</v>
      </c>
      <c r="D55">
        <v>125543</v>
      </c>
      <c r="E55" t="s">
        <v>178</v>
      </c>
      <c r="F55" t="s">
        <v>9</v>
      </c>
      <c r="G55" t="s">
        <v>452</v>
      </c>
      <c r="H55" t="s">
        <v>8</v>
      </c>
      <c r="I55" t="s">
        <v>93</v>
      </c>
      <c r="J55">
        <v>3</v>
      </c>
      <c r="K55">
        <v>4</v>
      </c>
      <c r="L55">
        <v>5</v>
      </c>
      <c r="M55">
        <v>2</v>
      </c>
      <c r="N55">
        <v>1</v>
      </c>
      <c r="O55">
        <v>2</v>
      </c>
      <c r="P55" t="b">
        <f t="shared" si="0"/>
        <v>1</v>
      </c>
    </row>
    <row r="56" spans="1:16" x14ac:dyDescent="0.2">
      <c r="A56" t="s">
        <v>127</v>
      </c>
      <c r="B56" t="s">
        <v>128</v>
      </c>
      <c r="C56">
        <v>76</v>
      </c>
      <c r="D56">
        <v>130665</v>
      </c>
      <c r="E56" t="s">
        <v>560</v>
      </c>
      <c r="F56" t="s">
        <v>70</v>
      </c>
      <c r="G56" t="s">
        <v>10</v>
      </c>
      <c r="H56" t="s">
        <v>8</v>
      </c>
      <c r="I56" t="s">
        <v>91</v>
      </c>
      <c r="J56">
        <v>10</v>
      </c>
      <c r="K56">
        <v>0.03</v>
      </c>
      <c r="L56">
        <v>1</v>
      </c>
      <c r="M56">
        <v>1</v>
      </c>
      <c r="N56">
        <v>1</v>
      </c>
      <c r="O56">
        <v>100</v>
      </c>
      <c r="P56" t="b">
        <f t="shared" si="0"/>
        <v>1</v>
      </c>
    </row>
    <row r="57" spans="1:16" x14ac:dyDescent="0.2">
      <c r="A57" t="s">
        <v>127</v>
      </c>
      <c r="B57" t="s">
        <v>128</v>
      </c>
      <c r="C57">
        <v>77</v>
      </c>
      <c r="D57">
        <v>31870</v>
      </c>
      <c r="E57" t="s">
        <v>1099</v>
      </c>
      <c r="F57" t="s">
        <v>24</v>
      </c>
      <c r="G57" t="s">
        <v>452</v>
      </c>
      <c r="H57" t="s">
        <v>5</v>
      </c>
      <c r="I57" t="s">
        <v>91</v>
      </c>
      <c r="J57">
        <v>1</v>
      </c>
      <c r="K57">
        <v>0.03</v>
      </c>
      <c r="L57">
        <v>1</v>
      </c>
      <c r="M57">
        <v>1</v>
      </c>
      <c r="N57">
        <v>1</v>
      </c>
      <c r="O57">
        <v>100</v>
      </c>
      <c r="P57" t="b">
        <f t="shared" si="0"/>
        <v>1</v>
      </c>
    </row>
    <row r="58" spans="1:16" x14ac:dyDescent="0.2">
      <c r="A58" t="s">
        <v>127</v>
      </c>
      <c r="B58" t="s">
        <v>128</v>
      </c>
      <c r="C58">
        <v>78</v>
      </c>
      <c r="D58">
        <v>130365</v>
      </c>
      <c r="E58" t="s">
        <v>619</v>
      </c>
      <c r="F58" t="s">
        <v>65</v>
      </c>
      <c r="G58" t="s">
        <v>10</v>
      </c>
      <c r="H58" t="s">
        <v>5</v>
      </c>
      <c r="I58" t="s">
        <v>94</v>
      </c>
      <c r="J58">
        <v>8</v>
      </c>
      <c r="K58">
        <v>0.03</v>
      </c>
      <c r="L58">
        <v>1</v>
      </c>
      <c r="M58">
        <v>1</v>
      </c>
      <c r="N58">
        <v>1</v>
      </c>
      <c r="O58">
        <v>100</v>
      </c>
      <c r="P58" t="b">
        <f t="shared" si="0"/>
        <v>1</v>
      </c>
    </row>
    <row r="59" spans="1:16" x14ac:dyDescent="0.2">
      <c r="A59" t="s">
        <v>127</v>
      </c>
      <c r="B59" t="s">
        <v>128</v>
      </c>
      <c r="C59">
        <v>79</v>
      </c>
      <c r="D59">
        <v>78905</v>
      </c>
      <c r="E59" t="s">
        <v>929</v>
      </c>
      <c r="F59" t="s">
        <v>26</v>
      </c>
      <c r="G59" t="s">
        <v>452</v>
      </c>
      <c r="H59" t="s">
        <v>6</v>
      </c>
      <c r="I59" t="s">
        <v>91</v>
      </c>
      <c r="J59">
        <v>3</v>
      </c>
      <c r="K59">
        <v>0.03</v>
      </c>
      <c r="L59">
        <v>1</v>
      </c>
      <c r="M59">
        <v>1</v>
      </c>
      <c r="N59">
        <v>1</v>
      </c>
      <c r="O59">
        <v>100</v>
      </c>
      <c r="P59" t="b">
        <f t="shared" si="0"/>
        <v>1</v>
      </c>
    </row>
    <row r="60" spans="1:16" x14ac:dyDescent="0.2">
      <c r="A60" t="s">
        <v>127</v>
      </c>
      <c r="B60" t="s">
        <v>128</v>
      </c>
      <c r="C60">
        <v>80</v>
      </c>
      <c r="D60">
        <v>129895</v>
      </c>
      <c r="E60" t="s">
        <v>689</v>
      </c>
      <c r="F60" t="s">
        <v>64</v>
      </c>
      <c r="G60" t="s">
        <v>10</v>
      </c>
      <c r="H60" t="s">
        <v>6</v>
      </c>
      <c r="I60" t="s">
        <v>97</v>
      </c>
      <c r="J60">
        <v>11</v>
      </c>
      <c r="K60">
        <v>2.75</v>
      </c>
      <c r="L60">
        <v>3</v>
      </c>
      <c r="M60">
        <v>4</v>
      </c>
      <c r="N60">
        <v>4</v>
      </c>
      <c r="O60">
        <v>4</v>
      </c>
      <c r="P60" t="b">
        <f t="shared" si="0"/>
        <v>1</v>
      </c>
    </row>
    <row r="61" spans="1:16" x14ac:dyDescent="0.2">
      <c r="A61" t="s">
        <v>127</v>
      </c>
      <c r="B61" t="s">
        <v>128</v>
      </c>
      <c r="C61">
        <v>81</v>
      </c>
      <c r="D61">
        <v>87922</v>
      </c>
      <c r="E61" t="s">
        <v>919</v>
      </c>
      <c r="F61" t="s">
        <v>48</v>
      </c>
      <c r="G61" t="s">
        <v>452</v>
      </c>
      <c r="H61" t="s">
        <v>12</v>
      </c>
      <c r="I61" t="s">
        <v>91</v>
      </c>
      <c r="J61">
        <v>1</v>
      </c>
      <c r="K61">
        <v>0.03</v>
      </c>
      <c r="L61">
        <v>1</v>
      </c>
      <c r="M61">
        <v>1</v>
      </c>
      <c r="N61">
        <v>1</v>
      </c>
      <c r="O61">
        <v>100</v>
      </c>
      <c r="P61" t="b">
        <f t="shared" si="0"/>
        <v>1</v>
      </c>
    </row>
    <row r="62" spans="1:16" x14ac:dyDescent="0.2">
      <c r="A62" t="s">
        <v>127</v>
      </c>
      <c r="B62" t="s">
        <v>128</v>
      </c>
      <c r="C62">
        <v>82</v>
      </c>
      <c r="D62">
        <v>129453</v>
      </c>
      <c r="E62" t="s">
        <v>158</v>
      </c>
      <c r="F62" t="s">
        <v>69</v>
      </c>
      <c r="G62" t="s">
        <v>10</v>
      </c>
      <c r="H62" t="s">
        <v>12</v>
      </c>
      <c r="I62" t="s">
        <v>91</v>
      </c>
      <c r="J62">
        <v>4</v>
      </c>
      <c r="K62">
        <v>0.03</v>
      </c>
      <c r="L62">
        <v>1</v>
      </c>
      <c r="M62">
        <v>1</v>
      </c>
      <c r="N62">
        <v>1</v>
      </c>
      <c r="O62">
        <v>100</v>
      </c>
      <c r="P62" t="b">
        <f t="shared" si="0"/>
        <v>1</v>
      </c>
    </row>
    <row r="63" spans="1:16" x14ac:dyDescent="0.2">
      <c r="A63" t="s">
        <v>127</v>
      </c>
      <c r="B63" t="s">
        <v>128</v>
      </c>
      <c r="C63">
        <v>83</v>
      </c>
      <c r="D63">
        <v>135004</v>
      </c>
      <c r="E63" t="s">
        <v>795</v>
      </c>
      <c r="F63" t="s">
        <v>9</v>
      </c>
      <c r="G63" t="s">
        <v>452</v>
      </c>
      <c r="H63" t="s">
        <v>8</v>
      </c>
      <c r="I63" t="s">
        <v>94</v>
      </c>
      <c r="J63">
        <v>4</v>
      </c>
      <c r="K63">
        <v>8</v>
      </c>
      <c r="L63">
        <v>3</v>
      </c>
      <c r="M63">
        <v>4</v>
      </c>
      <c r="N63">
        <v>1</v>
      </c>
      <c r="O63">
        <v>1</v>
      </c>
      <c r="P63" t="b">
        <f t="shared" si="0"/>
        <v>1</v>
      </c>
    </row>
    <row r="64" spans="1:16" x14ac:dyDescent="0.2">
      <c r="A64" t="s">
        <v>127</v>
      </c>
      <c r="B64" t="s">
        <v>128</v>
      </c>
      <c r="C64">
        <v>84</v>
      </c>
      <c r="D64">
        <v>130666</v>
      </c>
      <c r="E64" t="s">
        <v>559</v>
      </c>
      <c r="F64" t="s">
        <v>70</v>
      </c>
      <c r="G64" t="s">
        <v>10</v>
      </c>
      <c r="H64" t="s">
        <v>8</v>
      </c>
      <c r="I64" t="s">
        <v>91</v>
      </c>
      <c r="J64">
        <v>11</v>
      </c>
      <c r="K64">
        <v>0.03</v>
      </c>
      <c r="L64">
        <v>1</v>
      </c>
      <c r="M64">
        <v>1</v>
      </c>
      <c r="N64">
        <v>1</v>
      </c>
      <c r="O64">
        <v>100</v>
      </c>
      <c r="P64" t="b">
        <f t="shared" si="0"/>
        <v>1</v>
      </c>
    </row>
    <row r="65" spans="1:16" x14ac:dyDescent="0.2">
      <c r="A65" t="s">
        <v>127</v>
      </c>
      <c r="B65" t="s">
        <v>128</v>
      </c>
      <c r="C65">
        <v>85</v>
      </c>
      <c r="D65">
        <v>50849</v>
      </c>
      <c r="E65" t="s">
        <v>200</v>
      </c>
      <c r="F65" t="s">
        <v>11</v>
      </c>
      <c r="G65" t="s">
        <v>452</v>
      </c>
      <c r="H65" t="s">
        <v>11</v>
      </c>
      <c r="I65" t="s">
        <v>91</v>
      </c>
      <c r="J65">
        <v>5</v>
      </c>
      <c r="K65">
        <v>0.03</v>
      </c>
      <c r="L65">
        <v>1</v>
      </c>
      <c r="M65">
        <v>1</v>
      </c>
      <c r="N65">
        <v>1</v>
      </c>
      <c r="O65">
        <v>100</v>
      </c>
      <c r="P65" t="b">
        <f t="shared" si="0"/>
        <v>1</v>
      </c>
    </row>
    <row r="66" spans="1:16" x14ac:dyDescent="0.2">
      <c r="A66" t="s">
        <v>127</v>
      </c>
      <c r="B66" t="s">
        <v>128</v>
      </c>
      <c r="C66">
        <v>86</v>
      </c>
      <c r="D66">
        <v>130900</v>
      </c>
      <c r="E66" t="s">
        <v>520</v>
      </c>
      <c r="F66" t="s">
        <v>66</v>
      </c>
      <c r="G66" t="s">
        <v>10</v>
      </c>
      <c r="H66" t="s">
        <v>5</v>
      </c>
      <c r="I66" t="s">
        <v>95</v>
      </c>
      <c r="J66">
        <v>6</v>
      </c>
      <c r="K66">
        <v>0.03</v>
      </c>
      <c r="L66">
        <v>1</v>
      </c>
      <c r="M66">
        <v>1</v>
      </c>
      <c r="N66">
        <v>1</v>
      </c>
      <c r="O66">
        <v>100</v>
      </c>
      <c r="P66" t="b">
        <f t="shared" si="0"/>
        <v>1</v>
      </c>
    </row>
    <row r="67" spans="1:16" x14ac:dyDescent="0.2">
      <c r="A67" t="s">
        <v>127</v>
      </c>
      <c r="B67" t="s">
        <v>128</v>
      </c>
      <c r="C67">
        <v>87</v>
      </c>
      <c r="D67">
        <v>131734</v>
      </c>
      <c r="E67" t="s">
        <v>157</v>
      </c>
      <c r="F67" t="s">
        <v>21</v>
      </c>
      <c r="G67" t="s">
        <v>452</v>
      </c>
      <c r="H67" t="s">
        <v>5</v>
      </c>
      <c r="I67" t="s">
        <v>95</v>
      </c>
      <c r="J67">
        <v>2</v>
      </c>
      <c r="K67">
        <v>1.5</v>
      </c>
      <c r="L67">
        <v>1</v>
      </c>
      <c r="M67">
        <v>1</v>
      </c>
      <c r="N67">
        <v>1</v>
      </c>
      <c r="O67">
        <v>2</v>
      </c>
      <c r="P67" t="b">
        <f t="shared" ref="P67:P130" si="1">AND(C67&lt;$Q$1,IF(ISBLANK(C67),0,C67)&gt;0)</f>
        <v>1</v>
      </c>
    </row>
    <row r="68" spans="1:16" x14ac:dyDescent="0.2">
      <c r="A68" t="s">
        <v>127</v>
      </c>
      <c r="B68" t="s">
        <v>128</v>
      </c>
      <c r="C68">
        <v>88</v>
      </c>
      <c r="D68">
        <v>130114</v>
      </c>
      <c r="E68" t="s">
        <v>658</v>
      </c>
      <c r="F68" t="s">
        <v>64</v>
      </c>
      <c r="G68" t="s">
        <v>10</v>
      </c>
      <c r="H68" t="s">
        <v>6</v>
      </c>
      <c r="I68" t="s">
        <v>95</v>
      </c>
      <c r="J68">
        <v>12</v>
      </c>
      <c r="K68">
        <v>0.03</v>
      </c>
      <c r="L68">
        <v>1</v>
      </c>
      <c r="M68">
        <v>1</v>
      </c>
      <c r="N68">
        <v>1</v>
      </c>
      <c r="O68">
        <v>100</v>
      </c>
      <c r="P68" t="b">
        <f t="shared" si="1"/>
        <v>1</v>
      </c>
    </row>
    <row r="69" spans="1:16" x14ac:dyDescent="0.2">
      <c r="A69" t="s">
        <v>127</v>
      </c>
      <c r="B69" t="s">
        <v>128</v>
      </c>
      <c r="C69">
        <v>89</v>
      </c>
      <c r="D69">
        <v>126509</v>
      </c>
      <c r="E69" t="s">
        <v>388</v>
      </c>
      <c r="F69" t="s">
        <v>7</v>
      </c>
      <c r="G69" t="s">
        <v>452</v>
      </c>
      <c r="H69" t="s">
        <v>6</v>
      </c>
      <c r="I69" t="s">
        <v>91</v>
      </c>
      <c r="J69">
        <v>3</v>
      </c>
      <c r="K69">
        <v>0.03</v>
      </c>
      <c r="L69">
        <v>1</v>
      </c>
      <c r="M69">
        <v>1</v>
      </c>
      <c r="N69">
        <v>1</v>
      </c>
      <c r="O69">
        <v>100</v>
      </c>
      <c r="P69" t="b">
        <f t="shared" si="1"/>
        <v>1</v>
      </c>
    </row>
    <row r="70" spans="1:16" x14ac:dyDescent="0.2">
      <c r="A70" t="s">
        <v>127</v>
      </c>
      <c r="B70" t="s">
        <v>128</v>
      </c>
      <c r="C70">
        <v>90</v>
      </c>
      <c r="D70">
        <v>130649</v>
      </c>
      <c r="E70" t="s">
        <v>564</v>
      </c>
      <c r="F70" t="s">
        <v>71</v>
      </c>
      <c r="G70" t="s">
        <v>10</v>
      </c>
      <c r="H70" t="s">
        <v>12</v>
      </c>
      <c r="I70" t="s">
        <v>95</v>
      </c>
      <c r="J70">
        <v>2</v>
      </c>
      <c r="K70">
        <v>0.03</v>
      </c>
      <c r="L70">
        <v>1</v>
      </c>
      <c r="M70">
        <v>1</v>
      </c>
      <c r="N70">
        <v>1</v>
      </c>
      <c r="O70">
        <v>100</v>
      </c>
      <c r="P70" t="b">
        <f t="shared" si="1"/>
        <v>1</v>
      </c>
    </row>
    <row r="71" spans="1:16" x14ac:dyDescent="0.2">
      <c r="A71" t="s">
        <v>127</v>
      </c>
      <c r="B71" t="s">
        <v>128</v>
      </c>
      <c r="C71">
        <v>91</v>
      </c>
      <c r="D71">
        <v>126734</v>
      </c>
      <c r="E71" t="s">
        <v>147</v>
      </c>
      <c r="F71" t="s">
        <v>98</v>
      </c>
      <c r="G71" t="s">
        <v>452</v>
      </c>
      <c r="H71" t="s">
        <v>12</v>
      </c>
      <c r="I71" t="s">
        <v>91</v>
      </c>
      <c r="J71">
        <v>1</v>
      </c>
      <c r="K71">
        <v>0.04</v>
      </c>
      <c r="L71">
        <v>1</v>
      </c>
      <c r="M71">
        <v>1</v>
      </c>
      <c r="N71">
        <v>2</v>
      </c>
      <c r="O71">
        <v>100</v>
      </c>
      <c r="P71" t="b">
        <f t="shared" si="1"/>
        <v>1</v>
      </c>
    </row>
    <row r="72" spans="1:16" x14ac:dyDescent="0.2">
      <c r="A72" t="s">
        <v>127</v>
      </c>
      <c r="B72" t="s">
        <v>128</v>
      </c>
      <c r="C72">
        <v>92</v>
      </c>
      <c r="D72">
        <v>130495</v>
      </c>
      <c r="E72" t="s">
        <v>589</v>
      </c>
      <c r="F72" t="s">
        <v>70</v>
      </c>
      <c r="G72" t="s">
        <v>10</v>
      </c>
      <c r="H72" t="s">
        <v>8</v>
      </c>
      <c r="I72" t="s">
        <v>95</v>
      </c>
      <c r="J72">
        <v>12</v>
      </c>
      <c r="K72">
        <v>0.03</v>
      </c>
      <c r="L72">
        <v>1</v>
      </c>
      <c r="M72">
        <v>1</v>
      </c>
      <c r="N72">
        <v>1</v>
      </c>
      <c r="O72">
        <v>100</v>
      </c>
      <c r="P72" t="b">
        <f t="shared" si="1"/>
        <v>1</v>
      </c>
    </row>
    <row r="73" spans="1:16" x14ac:dyDescent="0.2">
      <c r="A73" t="s">
        <v>127</v>
      </c>
      <c r="B73" t="s">
        <v>128</v>
      </c>
      <c r="C73">
        <v>93</v>
      </c>
      <c r="D73">
        <v>71073</v>
      </c>
      <c r="E73" t="s">
        <v>944</v>
      </c>
      <c r="F73" t="s">
        <v>34</v>
      </c>
      <c r="G73" t="s">
        <v>452</v>
      </c>
      <c r="H73" t="s">
        <v>8</v>
      </c>
      <c r="I73" t="s">
        <v>91</v>
      </c>
      <c r="J73">
        <v>2</v>
      </c>
      <c r="K73">
        <v>0.03</v>
      </c>
      <c r="L73">
        <v>1</v>
      </c>
      <c r="M73">
        <v>1</v>
      </c>
      <c r="N73">
        <v>1</v>
      </c>
      <c r="O73">
        <v>100</v>
      </c>
      <c r="P73" t="b">
        <f t="shared" si="1"/>
        <v>1</v>
      </c>
    </row>
    <row r="74" spans="1:16" x14ac:dyDescent="0.2">
      <c r="A74" t="s">
        <v>127</v>
      </c>
      <c r="B74" t="s">
        <v>128</v>
      </c>
      <c r="C74">
        <v>94</v>
      </c>
      <c r="D74">
        <v>130552</v>
      </c>
      <c r="E74" t="s">
        <v>576</v>
      </c>
      <c r="F74" t="s">
        <v>68</v>
      </c>
      <c r="G74" t="s">
        <v>10</v>
      </c>
      <c r="H74" t="s">
        <v>5</v>
      </c>
      <c r="I74" t="s">
        <v>95</v>
      </c>
      <c r="J74">
        <v>4</v>
      </c>
      <c r="K74">
        <v>0.03</v>
      </c>
      <c r="L74">
        <v>1</v>
      </c>
      <c r="M74">
        <v>1</v>
      </c>
      <c r="N74">
        <v>1</v>
      </c>
      <c r="O74">
        <v>100</v>
      </c>
      <c r="P74" t="b">
        <f t="shared" si="1"/>
        <v>1</v>
      </c>
    </row>
    <row r="75" spans="1:16" x14ac:dyDescent="0.2">
      <c r="A75" t="s">
        <v>127</v>
      </c>
      <c r="B75" t="s">
        <v>128</v>
      </c>
      <c r="C75">
        <v>95</v>
      </c>
      <c r="D75">
        <v>126043</v>
      </c>
      <c r="E75" t="s">
        <v>849</v>
      </c>
      <c r="F75" t="s">
        <v>23</v>
      </c>
      <c r="G75" t="s">
        <v>452</v>
      </c>
      <c r="H75" t="s">
        <v>5</v>
      </c>
      <c r="I75" t="s">
        <v>95</v>
      </c>
      <c r="J75">
        <v>3</v>
      </c>
      <c r="K75">
        <v>2</v>
      </c>
      <c r="L75">
        <v>4</v>
      </c>
      <c r="M75">
        <v>2</v>
      </c>
      <c r="N75">
        <v>2</v>
      </c>
      <c r="O75">
        <v>4</v>
      </c>
      <c r="P75" t="b">
        <f t="shared" si="1"/>
        <v>1</v>
      </c>
    </row>
    <row r="76" spans="1:16" x14ac:dyDescent="0.2">
      <c r="A76" t="s">
        <v>127</v>
      </c>
      <c r="B76" t="s">
        <v>128</v>
      </c>
      <c r="C76">
        <v>96</v>
      </c>
      <c r="D76">
        <v>130113</v>
      </c>
      <c r="E76" t="s">
        <v>659</v>
      </c>
      <c r="F76" t="s">
        <v>64</v>
      </c>
      <c r="G76" t="s">
        <v>10</v>
      </c>
      <c r="H76" t="s">
        <v>6</v>
      </c>
      <c r="I76" t="s">
        <v>91</v>
      </c>
      <c r="J76">
        <v>13</v>
      </c>
      <c r="K76">
        <v>0.03</v>
      </c>
      <c r="L76">
        <v>1</v>
      </c>
      <c r="M76">
        <v>1</v>
      </c>
      <c r="N76">
        <v>1</v>
      </c>
      <c r="O76">
        <v>100</v>
      </c>
      <c r="P76" t="b">
        <f t="shared" si="1"/>
        <v>1</v>
      </c>
    </row>
    <row r="77" spans="1:16" x14ac:dyDescent="0.2">
      <c r="A77" t="s">
        <v>127</v>
      </c>
      <c r="B77" t="s">
        <v>128</v>
      </c>
      <c r="C77">
        <v>97</v>
      </c>
      <c r="D77">
        <v>31739</v>
      </c>
      <c r="E77" t="s">
        <v>1120</v>
      </c>
      <c r="F77" t="s">
        <v>42</v>
      </c>
      <c r="G77" t="s">
        <v>452</v>
      </c>
      <c r="H77" t="s">
        <v>6</v>
      </c>
      <c r="I77" t="s">
        <v>91</v>
      </c>
      <c r="J77">
        <v>2</v>
      </c>
      <c r="K77">
        <v>0.03</v>
      </c>
      <c r="L77">
        <v>1</v>
      </c>
      <c r="M77">
        <v>1</v>
      </c>
      <c r="N77">
        <v>1</v>
      </c>
      <c r="O77">
        <v>100</v>
      </c>
      <c r="P77" t="b">
        <f t="shared" si="1"/>
        <v>1</v>
      </c>
    </row>
    <row r="78" spans="1:16" x14ac:dyDescent="0.2">
      <c r="A78" t="s">
        <v>127</v>
      </c>
      <c r="B78" t="s">
        <v>128</v>
      </c>
      <c r="C78">
        <v>98</v>
      </c>
      <c r="D78">
        <v>129869</v>
      </c>
      <c r="E78" t="s">
        <v>691</v>
      </c>
      <c r="F78" t="s">
        <v>67</v>
      </c>
      <c r="G78" t="s">
        <v>10</v>
      </c>
      <c r="H78" t="s">
        <v>12</v>
      </c>
      <c r="I78" t="s">
        <v>138</v>
      </c>
      <c r="J78">
        <v>6</v>
      </c>
      <c r="K78">
        <v>0.03</v>
      </c>
      <c r="L78">
        <v>1</v>
      </c>
      <c r="M78">
        <v>1</v>
      </c>
      <c r="N78">
        <v>1</v>
      </c>
      <c r="O78">
        <v>100</v>
      </c>
      <c r="P78" t="b">
        <f t="shared" si="1"/>
        <v>1</v>
      </c>
    </row>
    <row r="79" spans="1:16" x14ac:dyDescent="0.2">
      <c r="A79" t="s">
        <v>127</v>
      </c>
      <c r="B79" t="s">
        <v>128</v>
      </c>
      <c r="C79">
        <v>99</v>
      </c>
      <c r="D79">
        <v>123319</v>
      </c>
      <c r="E79" t="s">
        <v>149</v>
      </c>
      <c r="F79" t="s">
        <v>54</v>
      </c>
      <c r="G79" t="s">
        <v>452</v>
      </c>
      <c r="H79" t="s">
        <v>12</v>
      </c>
      <c r="I79" t="s">
        <v>91</v>
      </c>
      <c r="J79">
        <v>1</v>
      </c>
      <c r="K79">
        <v>0.03</v>
      </c>
      <c r="L79">
        <v>1</v>
      </c>
      <c r="M79">
        <v>1</v>
      </c>
      <c r="N79">
        <v>1</v>
      </c>
      <c r="O79">
        <v>100</v>
      </c>
      <c r="P79" t="b">
        <f t="shared" si="1"/>
        <v>1</v>
      </c>
    </row>
    <row r="80" spans="1:16" x14ac:dyDescent="0.2">
      <c r="A80" t="s">
        <v>127</v>
      </c>
      <c r="B80" t="s">
        <v>128</v>
      </c>
      <c r="C80">
        <v>100</v>
      </c>
      <c r="D80">
        <v>130529</v>
      </c>
      <c r="E80" t="s">
        <v>581</v>
      </c>
      <c r="F80" t="s">
        <v>70</v>
      </c>
      <c r="G80" t="s">
        <v>10</v>
      </c>
      <c r="H80" t="s">
        <v>8</v>
      </c>
      <c r="I80" t="s">
        <v>138</v>
      </c>
      <c r="J80">
        <v>13</v>
      </c>
      <c r="K80">
        <v>0.03</v>
      </c>
      <c r="L80">
        <v>1</v>
      </c>
      <c r="M80">
        <v>1</v>
      </c>
      <c r="N80">
        <v>1</v>
      </c>
      <c r="O80">
        <v>100</v>
      </c>
      <c r="P80" t="b">
        <f t="shared" si="1"/>
        <v>1</v>
      </c>
    </row>
    <row r="81" spans="1:16" x14ac:dyDescent="0.2">
      <c r="A81" t="s">
        <v>127</v>
      </c>
      <c r="B81" t="s">
        <v>128</v>
      </c>
      <c r="C81">
        <v>101</v>
      </c>
      <c r="D81">
        <v>125918</v>
      </c>
      <c r="E81" t="s">
        <v>852</v>
      </c>
      <c r="F81" t="s">
        <v>58</v>
      </c>
      <c r="G81" t="s">
        <v>452</v>
      </c>
      <c r="H81" t="s">
        <v>8</v>
      </c>
      <c r="I81" t="s">
        <v>91</v>
      </c>
      <c r="J81">
        <v>2</v>
      </c>
      <c r="K81">
        <v>0.03</v>
      </c>
      <c r="L81">
        <v>1</v>
      </c>
      <c r="M81">
        <v>1</v>
      </c>
      <c r="N81">
        <v>1</v>
      </c>
      <c r="O81">
        <v>100</v>
      </c>
      <c r="P81" t="b">
        <f t="shared" si="1"/>
        <v>1</v>
      </c>
    </row>
    <row r="82" spans="1:16" x14ac:dyDescent="0.2">
      <c r="A82" t="s">
        <v>127</v>
      </c>
      <c r="B82" t="s">
        <v>128</v>
      </c>
      <c r="C82">
        <v>102</v>
      </c>
      <c r="D82">
        <v>138350</v>
      </c>
      <c r="E82" t="s">
        <v>389</v>
      </c>
      <c r="F82" t="s">
        <v>65</v>
      </c>
      <c r="G82" t="s">
        <v>10</v>
      </c>
      <c r="H82" t="s">
        <v>5</v>
      </c>
      <c r="I82" t="s">
        <v>131</v>
      </c>
      <c r="J82">
        <v>9</v>
      </c>
      <c r="K82">
        <v>0.03</v>
      </c>
      <c r="L82">
        <v>1</v>
      </c>
      <c r="M82">
        <v>1</v>
      </c>
      <c r="N82">
        <v>1</v>
      </c>
      <c r="O82">
        <v>100</v>
      </c>
      <c r="P82" t="b">
        <f t="shared" si="1"/>
        <v>1</v>
      </c>
    </row>
    <row r="83" spans="1:16" x14ac:dyDescent="0.2">
      <c r="A83" t="s">
        <v>127</v>
      </c>
      <c r="B83" t="s">
        <v>128</v>
      </c>
      <c r="C83">
        <v>103</v>
      </c>
      <c r="D83">
        <v>50856</v>
      </c>
      <c r="E83" t="s">
        <v>999</v>
      </c>
      <c r="F83" t="s">
        <v>11</v>
      </c>
      <c r="G83" t="s">
        <v>452</v>
      </c>
      <c r="H83" t="s">
        <v>11</v>
      </c>
      <c r="I83" t="s">
        <v>91</v>
      </c>
      <c r="J83">
        <v>6</v>
      </c>
      <c r="K83">
        <v>0.03</v>
      </c>
      <c r="L83">
        <v>1</v>
      </c>
      <c r="M83">
        <v>1</v>
      </c>
      <c r="N83">
        <v>1</v>
      </c>
      <c r="O83">
        <v>100</v>
      </c>
      <c r="P83" t="b">
        <f t="shared" si="1"/>
        <v>1</v>
      </c>
    </row>
    <row r="84" spans="1:16" x14ac:dyDescent="0.2">
      <c r="A84" t="s">
        <v>127</v>
      </c>
      <c r="B84" t="s">
        <v>128</v>
      </c>
      <c r="C84">
        <v>104</v>
      </c>
      <c r="D84">
        <v>130013</v>
      </c>
      <c r="E84" t="s">
        <v>679</v>
      </c>
      <c r="F84" t="s">
        <v>64</v>
      </c>
      <c r="G84" t="s">
        <v>10</v>
      </c>
      <c r="H84" t="s">
        <v>6</v>
      </c>
      <c r="I84" t="s">
        <v>95</v>
      </c>
      <c r="J84">
        <v>16</v>
      </c>
      <c r="K84">
        <v>0.03</v>
      </c>
      <c r="L84">
        <v>1</v>
      </c>
      <c r="M84">
        <v>1</v>
      </c>
      <c r="N84">
        <v>1</v>
      </c>
      <c r="O84">
        <v>100</v>
      </c>
      <c r="P84" t="b">
        <f t="shared" si="1"/>
        <v>1</v>
      </c>
    </row>
    <row r="85" spans="1:16" x14ac:dyDescent="0.2">
      <c r="A85" t="s">
        <v>127</v>
      </c>
      <c r="B85" t="s">
        <v>128</v>
      </c>
      <c r="C85">
        <v>105</v>
      </c>
      <c r="D85">
        <v>126459</v>
      </c>
      <c r="E85" t="s">
        <v>845</v>
      </c>
      <c r="F85" t="s">
        <v>36</v>
      </c>
      <c r="G85" t="s">
        <v>452</v>
      </c>
      <c r="H85" t="s">
        <v>5</v>
      </c>
      <c r="I85" t="s">
        <v>91</v>
      </c>
      <c r="J85">
        <v>2</v>
      </c>
      <c r="K85">
        <v>0.03</v>
      </c>
      <c r="L85">
        <v>1</v>
      </c>
      <c r="M85">
        <v>1</v>
      </c>
      <c r="N85">
        <v>1</v>
      </c>
      <c r="O85">
        <v>100</v>
      </c>
      <c r="P85" t="b">
        <f t="shared" si="1"/>
        <v>1</v>
      </c>
    </row>
    <row r="86" spans="1:16" x14ac:dyDescent="0.2">
      <c r="A86" t="s">
        <v>127</v>
      </c>
      <c r="B86" t="s">
        <v>128</v>
      </c>
      <c r="C86">
        <v>106</v>
      </c>
      <c r="D86">
        <v>134702</v>
      </c>
      <c r="E86" t="s">
        <v>468</v>
      </c>
      <c r="F86" t="s">
        <v>69</v>
      </c>
      <c r="G86" t="s">
        <v>10</v>
      </c>
      <c r="H86" t="s">
        <v>12</v>
      </c>
      <c r="I86" t="s">
        <v>138</v>
      </c>
      <c r="J86">
        <v>5</v>
      </c>
      <c r="K86">
        <v>0.03</v>
      </c>
      <c r="L86">
        <v>1</v>
      </c>
      <c r="M86">
        <v>1</v>
      </c>
      <c r="N86">
        <v>1</v>
      </c>
      <c r="O86">
        <v>100</v>
      </c>
      <c r="P86" t="b">
        <f t="shared" si="1"/>
        <v>1</v>
      </c>
    </row>
    <row r="87" spans="1:16" x14ac:dyDescent="0.2">
      <c r="A87" t="s">
        <v>127</v>
      </c>
      <c r="B87" t="s">
        <v>128</v>
      </c>
      <c r="C87">
        <v>107</v>
      </c>
      <c r="D87">
        <v>126423</v>
      </c>
      <c r="E87" t="s">
        <v>847</v>
      </c>
      <c r="F87" t="s">
        <v>26</v>
      </c>
      <c r="G87" t="s">
        <v>452</v>
      </c>
      <c r="H87" t="s">
        <v>6</v>
      </c>
      <c r="I87" t="s">
        <v>96</v>
      </c>
      <c r="J87">
        <v>4</v>
      </c>
      <c r="K87">
        <v>2.3330000000000002</v>
      </c>
      <c r="L87">
        <v>3</v>
      </c>
      <c r="M87">
        <v>2</v>
      </c>
      <c r="N87">
        <v>2</v>
      </c>
      <c r="O87">
        <v>3</v>
      </c>
      <c r="P87" t="b">
        <f t="shared" si="1"/>
        <v>1</v>
      </c>
    </row>
    <row r="88" spans="1:16" x14ac:dyDescent="0.2">
      <c r="A88" t="s">
        <v>127</v>
      </c>
      <c r="B88" t="s">
        <v>128</v>
      </c>
      <c r="C88">
        <v>108</v>
      </c>
      <c r="D88">
        <v>130667</v>
      </c>
      <c r="E88" t="s">
        <v>558</v>
      </c>
      <c r="F88" t="s">
        <v>70</v>
      </c>
      <c r="G88" t="s">
        <v>10</v>
      </c>
      <c r="H88" t="s">
        <v>8</v>
      </c>
      <c r="I88" t="s">
        <v>91</v>
      </c>
      <c r="J88">
        <v>14</v>
      </c>
      <c r="K88">
        <v>0.03</v>
      </c>
      <c r="L88">
        <v>1</v>
      </c>
      <c r="M88">
        <v>1</v>
      </c>
      <c r="N88">
        <v>1</v>
      </c>
      <c r="O88">
        <v>100</v>
      </c>
      <c r="P88" t="b">
        <f t="shared" si="1"/>
        <v>1</v>
      </c>
    </row>
    <row r="89" spans="1:16" x14ac:dyDescent="0.2">
      <c r="A89" t="s">
        <v>127</v>
      </c>
      <c r="B89" t="s">
        <v>128</v>
      </c>
      <c r="C89">
        <v>109</v>
      </c>
      <c r="D89">
        <v>126278</v>
      </c>
      <c r="E89" t="s">
        <v>848</v>
      </c>
      <c r="F89" t="s">
        <v>50</v>
      </c>
      <c r="G89" t="s">
        <v>452</v>
      </c>
      <c r="H89" t="s">
        <v>12</v>
      </c>
      <c r="I89" t="s">
        <v>91</v>
      </c>
      <c r="J89">
        <v>1</v>
      </c>
      <c r="K89">
        <v>2</v>
      </c>
      <c r="L89">
        <v>2</v>
      </c>
      <c r="M89">
        <v>2</v>
      </c>
      <c r="N89">
        <v>2</v>
      </c>
      <c r="O89">
        <v>3</v>
      </c>
      <c r="P89" t="b">
        <f t="shared" si="1"/>
        <v>1</v>
      </c>
    </row>
    <row r="90" spans="1:16" x14ac:dyDescent="0.2">
      <c r="A90" t="s">
        <v>127</v>
      </c>
      <c r="B90" t="s">
        <v>128</v>
      </c>
      <c r="C90">
        <v>110</v>
      </c>
      <c r="D90">
        <v>130767</v>
      </c>
      <c r="E90" t="s">
        <v>542</v>
      </c>
      <c r="F90" t="s">
        <v>66</v>
      </c>
      <c r="G90" t="s">
        <v>10</v>
      </c>
      <c r="H90" t="s">
        <v>5</v>
      </c>
      <c r="I90" t="s">
        <v>95</v>
      </c>
      <c r="J90">
        <v>7</v>
      </c>
      <c r="K90">
        <v>0.03</v>
      </c>
      <c r="L90">
        <v>1</v>
      </c>
      <c r="M90">
        <v>1</v>
      </c>
      <c r="N90">
        <v>1</v>
      </c>
      <c r="O90">
        <v>100</v>
      </c>
      <c r="P90" t="b">
        <f t="shared" si="1"/>
        <v>1</v>
      </c>
    </row>
    <row r="91" spans="1:16" x14ac:dyDescent="0.2">
      <c r="A91" t="s">
        <v>127</v>
      </c>
      <c r="B91" t="s">
        <v>128</v>
      </c>
      <c r="C91">
        <v>111</v>
      </c>
      <c r="D91">
        <v>126647</v>
      </c>
      <c r="E91" t="s">
        <v>831</v>
      </c>
      <c r="F91" t="s">
        <v>59</v>
      </c>
      <c r="G91" t="s">
        <v>452</v>
      </c>
      <c r="H91" t="s">
        <v>8</v>
      </c>
      <c r="I91" t="s">
        <v>96</v>
      </c>
      <c r="J91">
        <v>2</v>
      </c>
      <c r="K91">
        <v>5</v>
      </c>
      <c r="L91">
        <v>4</v>
      </c>
      <c r="M91">
        <v>3</v>
      </c>
      <c r="N91">
        <v>3</v>
      </c>
      <c r="O91">
        <v>2</v>
      </c>
      <c r="P91" t="b">
        <f t="shared" si="1"/>
        <v>1</v>
      </c>
    </row>
    <row r="92" spans="1:16" x14ac:dyDescent="0.2">
      <c r="A92" t="s">
        <v>127</v>
      </c>
      <c r="B92" t="s">
        <v>128</v>
      </c>
      <c r="C92">
        <v>112</v>
      </c>
      <c r="D92">
        <v>131076</v>
      </c>
      <c r="E92" t="s">
        <v>494</v>
      </c>
      <c r="F92" t="s">
        <v>64</v>
      </c>
      <c r="G92" t="s">
        <v>10</v>
      </c>
      <c r="H92" t="s">
        <v>6</v>
      </c>
      <c r="I92" t="s">
        <v>91</v>
      </c>
      <c r="J92">
        <v>18</v>
      </c>
      <c r="K92">
        <v>0.03</v>
      </c>
      <c r="L92">
        <v>1</v>
      </c>
      <c r="M92">
        <v>1</v>
      </c>
      <c r="N92">
        <v>1</v>
      </c>
      <c r="O92">
        <v>100</v>
      </c>
      <c r="P92" t="b">
        <f t="shared" si="1"/>
        <v>1</v>
      </c>
    </row>
    <row r="93" spans="1:16" x14ac:dyDescent="0.2">
      <c r="A93" t="s">
        <v>127</v>
      </c>
      <c r="B93" t="s">
        <v>128</v>
      </c>
      <c r="C93">
        <v>113</v>
      </c>
      <c r="D93">
        <v>127065</v>
      </c>
      <c r="E93" t="s">
        <v>825</v>
      </c>
      <c r="F93" t="s">
        <v>37</v>
      </c>
      <c r="G93" t="s">
        <v>452</v>
      </c>
      <c r="H93" t="s">
        <v>5</v>
      </c>
      <c r="I93" t="s">
        <v>97</v>
      </c>
      <c r="J93">
        <v>2</v>
      </c>
      <c r="K93">
        <v>2</v>
      </c>
      <c r="L93">
        <v>3</v>
      </c>
      <c r="M93">
        <v>2</v>
      </c>
      <c r="N93">
        <v>1</v>
      </c>
      <c r="O93">
        <v>3</v>
      </c>
      <c r="P93" t="b">
        <f t="shared" si="1"/>
        <v>1</v>
      </c>
    </row>
    <row r="94" spans="1:16" x14ac:dyDescent="0.2">
      <c r="A94" t="s">
        <v>127</v>
      </c>
      <c r="B94" t="s">
        <v>128</v>
      </c>
      <c r="C94">
        <v>114</v>
      </c>
      <c r="D94">
        <v>130995</v>
      </c>
      <c r="E94" t="s">
        <v>508</v>
      </c>
      <c r="F94" t="s">
        <v>71</v>
      </c>
      <c r="G94" t="s">
        <v>10</v>
      </c>
      <c r="H94" t="s">
        <v>12</v>
      </c>
      <c r="I94" t="s">
        <v>97</v>
      </c>
      <c r="J94">
        <v>3</v>
      </c>
      <c r="K94">
        <v>0.03</v>
      </c>
      <c r="L94">
        <v>1</v>
      </c>
      <c r="M94">
        <v>1</v>
      </c>
      <c r="N94">
        <v>1</v>
      </c>
      <c r="O94">
        <v>100</v>
      </c>
      <c r="P94" t="b">
        <f t="shared" si="1"/>
        <v>1</v>
      </c>
    </row>
    <row r="95" spans="1:16" x14ac:dyDescent="0.2">
      <c r="A95" t="s">
        <v>127</v>
      </c>
      <c r="B95" t="s">
        <v>128</v>
      </c>
      <c r="C95">
        <v>115</v>
      </c>
      <c r="D95">
        <v>44975</v>
      </c>
      <c r="E95" t="s">
        <v>1019</v>
      </c>
      <c r="F95" t="s">
        <v>7</v>
      </c>
      <c r="G95" t="s">
        <v>452</v>
      </c>
      <c r="H95" t="s">
        <v>6</v>
      </c>
      <c r="I95" t="s">
        <v>91</v>
      </c>
      <c r="J95">
        <v>4</v>
      </c>
      <c r="K95">
        <v>0.03</v>
      </c>
      <c r="L95">
        <v>1</v>
      </c>
      <c r="M95">
        <v>1</v>
      </c>
      <c r="N95">
        <v>1</v>
      </c>
      <c r="O95">
        <v>100</v>
      </c>
      <c r="P95" t="b">
        <f t="shared" si="1"/>
        <v>1</v>
      </c>
    </row>
    <row r="96" spans="1:16" x14ac:dyDescent="0.2">
      <c r="A96" t="s">
        <v>127</v>
      </c>
      <c r="B96" t="s">
        <v>128</v>
      </c>
      <c r="C96">
        <v>116</v>
      </c>
      <c r="D96">
        <v>129501</v>
      </c>
      <c r="E96" t="s">
        <v>756</v>
      </c>
      <c r="F96" t="s">
        <v>70</v>
      </c>
      <c r="G96" t="s">
        <v>10</v>
      </c>
      <c r="H96" t="s">
        <v>8</v>
      </c>
      <c r="I96" t="s">
        <v>97</v>
      </c>
      <c r="J96">
        <v>15</v>
      </c>
      <c r="K96">
        <v>0.03</v>
      </c>
      <c r="L96">
        <v>1</v>
      </c>
      <c r="M96">
        <v>1</v>
      </c>
      <c r="N96">
        <v>1</v>
      </c>
      <c r="O96">
        <v>100</v>
      </c>
      <c r="P96" t="b">
        <f t="shared" si="1"/>
        <v>1</v>
      </c>
    </row>
    <row r="97" spans="1:16" x14ac:dyDescent="0.2">
      <c r="A97" t="s">
        <v>127</v>
      </c>
      <c r="B97" t="s">
        <v>128</v>
      </c>
      <c r="C97">
        <v>117</v>
      </c>
      <c r="D97">
        <v>55216</v>
      </c>
      <c r="E97" t="s">
        <v>151</v>
      </c>
      <c r="F97" t="s">
        <v>51</v>
      </c>
      <c r="G97" t="s">
        <v>452</v>
      </c>
      <c r="H97" t="s">
        <v>12</v>
      </c>
      <c r="I97" t="s">
        <v>95</v>
      </c>
      <c r="J97">
        <v>1</v>
      </c>
      <c r="K97">
        <v>0.03</v>
      </c>
      <c r="L97">
        <v>1</v>
      </c>
      <c r="M97">
        <v>1</v>
      </c>
      <c r="N97">
        <v>1</v>
      </c>
      <c r="O97">
        <v>100</v>
      </c>
      <c r="P97" t="b">
        <f t="shared" si="1"/>
        <v>1</v>
      </c>
    </row>
    <row r="98" spans="1:16" x14ac:dyDescent="0.2">
      <c r="A98" t="s">
        <v>127</v>
      </c>
      <c r="B98" t="s">
        <v>128</v>
      </c>
      <c r="C98">
        <v>118</v>
      </c>
      <c r="D98">
        <v>130244</v>
      </c>
      <c r="E98" t="s">
        <v>640</v>
      </c>
      <c r="F98" t="s">
        <v>68</v>
      </c>
      <c r="G98" t="s">
        <v>10</v>
      </c>
      <c r="H98" t="s">
        <v>5</v>
      </c>
      <c r="I98" t="s">
        <v>95</v>
      </c>
      <c r="J98">
        <v>5</v>
      </c>
      <c r="K98">
        <v>0.03</v>
      </c>
      <c r="L98">
        <v>1</v>
      </c>
      <c r="M98">
        <v>1</v>
      </c>
      <c r="N98">
        <v>1</v>
      </c>
      <c r="O98">
        <v>100</v>
      </c>
      <c r="P98" t="b">
        <f t="shared" si="1"/>
        <v>1</v>
      </c>
    </row>
    <row r="99" spans="1:16" x14ac:dyDescent="0.2">
      <c r="A99" t="s">
        <v>127</v>
      </c>
      <c r="B99" t="s">
        <v>128</v>
      </c>
      <c r="C99">
        <v>119</v>
      </c>
      <c r="D99">
        <v>132957</v>
      </c>
      <c r="E99" t="s">
        <v>198</v>
      </c>
      <c r="F99" t="s">
        <v>9</v>
      </c>
      <c r="G99" t="s">
        <v>452</v>
      </c>
      <c r="H99" t="s">
        <v>8</v>
      </c>
      <c r="I99" t="s">
        <v>91</v>
      </c>
      <c r="J99">
        <v>5</v>
      </c>
      <c r="K99">
        <v>0.03</v>
      </c>
      <c r="L99">
        <v>1</v>
      </c>
      <c r="M99">
        <v>1</v>
      </c>
      <c r="N99">
        <v>1</v>
      </c>
      <c r="O99">
        <v>100</v>
      </c>
      <c r="P99" t="b">
        <f t="shared" si="1"/>
        <v>1</v>
      </c>
    </row>
    <row r="100" spans="1:16" x14ac:dyDescent="0.2">
      <c r="A100" t="s">
        <v>127</v>
      </c>
      <c r="B100" t="s">
        <v>128</v>
      </c>
      <c r="C100">
        <v>120</v>
      </c>
      <c r="D100">
        <v>131077</v>
      </c>
      <c r="E100" t="s">
        <v>493</v>
      </c>
      <c r="F100" t="s">
        <v>64</v>
      </c>
      <c r="G100" t="s">
        <v>10</v>
      </c>
      <c r="H100" t="s">
        <v>6</v>
      </c>
      <c r="I100" t="s">
        <v>91</v>
      </c>
      <c r="J100">
        <v>19</v>
      </c>
      <c r="K100">
        <v>0.03</v>
      </c>
      <c r="L100">
        <v>1</v>
      </c>
      <c r="M100">
        <v>1</v>
      </c>
      <c r="N100">
        <v>1</v>
      </c>
      <c r="O100">
        <v>100</v>
      </c>
      <c r="P100" t="b">
        <f t="shared" si="1"/>
        <v>1</v>
      </c>
    </row>
    <row r="101" spans="1:16" x14ac:dyDescent="0.2">
      <c r="A101" t="s">
        <v>127</v>
      </c>
      <c r="B101" t="s">
        <v>128</v>
      </c>
      <c r="C101">
        <v>121</v>
      </c>
      <c r="D101">
        <v>51049</v>
      </c>
      <c r="E101" t="s">
        <v>997</v>
      </c>
      <c r="F101" t="s">
        <v>11</v>
      </c>
      <c r="G101" t="s">
        <v>452</v>
      </c>
      <c r="H101" t="s">
        <v>11</v>
      </c>
      <c r="I101" t="s">
        <v>91</v>
      </c>
      <c r="J101">
        <v>7</v>
      </c>
      <c r="K101">
        <v>0.03</v>
      </c>
      <c r="L101">
        <v>1</v>
      </c>
      <c r="M101">
        <v>1</v>
      </c>
      <c r="N101">
        <v>1</v>
      </c>
      <c r="O101">
        <v>100</v>
      </c>
      <c r="P101" t="b">
        <f t="shared" si="1"/>
        <v>1</v>
      </c>
    </row>
    <row r="102" spans="1:16" x14ac:dyDescent="0.2">
      <c r="A102" t="s">
        <v>127</v>
      </c>
      <c r="B102" t="s">
        <v>128</v>
      </c>
      <c r="C102">
        <v>122</v>
      </c>
      <c r="D102">
        <v>129677</v>
      </c>
      <c r="E102" t="s">
        <v>713</v>
      </c>
      <c r="F102" t="s">
        <v>67</v>
      </c>
      <c r="G102" t="s">
        <v>10</v>
      </c>
      <c r="H102" t="s">
        <v>12</v>
      </c>
      <c r="I102" t="s">
        <v>97</v>
      </c>
      <c r="J102">
        <v>8</v>
      </c>
      <c r="K102">
        <v>0.03</v>
      </c>
      <c r="L102">
        <v>1</v>
      </c>
      <c r="M102">
        <v>1</v>
      </c>
      <c r="N102">
        <v>1</v>
      </c>
      <c r="O102">
        <v>100</v>
      </c>
      <c r="P102" t="b">
        <f t="shared" si="1"/>
        <v>0</v>
      </c>
    </row>
    <row r="103" spans="1:16" x14ac:dyDescent="0.2">
      <c r="A103" t="s">
        <v>127</v>
      </c>
      <c r="B103" t="s">
        <v>128</v>
      </c>
      <c r="C103">
        <v>123</v>
      </c>
      <c r="D103">
        <v>31997</v>
      </c>
      <c r="E103" t="s">
        <v>168</v>
      </c>
      <c r="F103" t="s">
        <v>38</v>
      </c>
      <c r="G103" t="s">
        <v>452</v>
      </c>
      <c r="H103" t="s">
        <v>5</v>
      </c>
      <c r="I103" t="s">
        <v>95</v>
      </c>
      <c r="J103">
        <v>2</v>
      </c>
      <c r="K103">
        <v>0.03</v>
      </c>
      <c r="L103">
        <v>1</v>
      </c>
      <c r="M103">
        <v>1</v>
      </c>
      <c r="N103">
        <v>1</v>
      </c>
      <c r="O103">
        <v>100</v>
      </c>
      <c r="P103" t="b">
        <f t="shared" si="1"/>
        <v>0</v>
      </c>
    </row>
    <row r="104" spans="1:16" x14ac:dyDescent="0.2">
      <c r="A104" t="s">
        <v>127</v>
      </c>
      <c r="B104" t="s">
        <v>128</v>
      </c>
      <c r="C104">
        <v>124</v>
      </c>
      <c r="D104">
        <v>130861</v>
      </c>
      <c r="E104" t="s">
        <v>527</v>
      </c>
      <c r="F104" t="s">
        <v>70</v>
      </c>
      <c r="G104" t="s">
        <v>10</v>
      </c>
      <c r="H104" t="s">
        <v>8</v>
      </c>
      <c r="I104" t="s">
        <v>95</v>
      </c>
      <c r="J104">
        <v>16</v>
      </c>
      <c r="K104">
        <v>0.03</v>
      </c>
      <c r="L104">
        <v>1</v>
      </c>
      <c r="M104">
        <v>1</v>
      </c>
      <c r="N104">
        <v>1</v>
      </c>
      <c r="O104">
        <v>100</v>
      </c>
      <c r="P104" t="b">
        <f t="shared" si="1"/>
        <v>0</v>
      </c>
    </row>
    <row r="105" spans="1:16" x14ac:dyDescent="0.2">
      <c r="A105" t="s">
        <v>127</v>
      </c>
      <c r="B105" t="s">
        <v>128</v>
      </c>
      <c r="C105">
        <v>125</v>
      </c>
      <c r="D105">
        <v>104562</v>
      </c>
      <c r="E105" t="s">
        <v>890</v>
      </c>
      <c r="F105" t="s">
        <v>26</v>
      </c>
      <c r="G105" t="s">
        <v>452</v>
      </c>
      <c r="H105" t="s">
        <v>6</v>
      </c>
      <c r="I105" t="s">
        <v>95</v>
      </c>
      <c r="J105">
        <v>5</v>
      </c>
      <c r="K105">
        <v>0.03</v>
      </c>
      <c r="L105">
        <v>1</v>
      </c>
      <c r="M105">
        <v>1</v>
      </c>
      <c r="N105">
        <v>1</v>
      </c>
      <c r="O105">
        <v>100</v>
      </c>
      <c r="P105" t="b">
        <f t="shared" si="1"/>
        <v>0</v>
      </c>
    </row>
    <row r="106" spans="1:16" x14ac:dyDescent="0.2">
      <c r="A106" t="s">
        <v>127</v>
      </c>
      <c r="B106" t="s">
        <v>128</v>
      </c>
      <c r="C106">
        <v>126</v>
      </c>
      <c r="D106">
        <v>131024</v>
      </c>
      <c r="E106" t="s">
        <v>503</v>
      </c>
      <c r="F106" t="s">
        <v>65</v>
      </c>
      <c r="G106" t="s">
        <v>10</v>
      </c>
      <c r="H106" t="s">
        <v>5</v>
      </c>
      <c r="I106" t="s">
        <v>138</v>
      </c>
      <c r="J106">
        <v>10</v>
      </c>
      <c r="K106">
        <v>2.3330000000000002</v>
      </c>
      <c r="L106">
        <v>4</v>
      </c>
      <c r="M106">
        <v>1</v>
      </c>
      <c r="N106">
        <v>2</v>
      </c>
      <c r="O106">
        <v>3</v>
      </c>
      <c r="P106" t="b">
        <f t="shared" si="1"/>
        <v>0</v>
      </c>
    </row>
    <row r="107" spans="1:16" x14ac:dyDescent="0.2">
      <c r="A107" t="s">
        <v>127</v>
      </c>
      <c r="B107" t="s">
        <v>128</v>
      </c>
      <c r="C107">
        <v>127</v>
      </c>
      <c r="D107">
        <v>31708</v>
      </c>
      <c r="E107" t="s">
        <v>1123</v>
      </c>
      <c r="F107" t="s">
        <v>53</v>
      </c>
      <c r="G107" t="s">
        <v>452</v>
      </c>
      <c r="H107" t="s">
        <v>12</v>
      </c>
      <c r="I107" t="s">
        <v>131</v>
      </c>
      <c r="J107">
        <v>1</v>
      </c>
      <c r="K107">
        <v>0.03</v>
      </c>
      <c r="L107">
        <v>1</v>
      </c>
      <c r="M107">
        <v>1</v>
      </c>
      <c r="N107">
        <v>1</v>
      </c>
      <c r="O107">
        <v>100</v>
      </c>
      <c r="P107" t="b">
        <f t="shared" si="1"/>
        <v>0</v>
      </c>
    </row>
    <row r="108" spans="1:16" x14ac:dyDescent="0.2">
      <c r="A108" t="s">
        <v>127</v>
      </c>
      <c r="B108" t="s">
        <v>128</v>
      </c>
      <c r="C108">
        <v>128</v>
      </c>
      <c r="D108">
        <v>131075</v>
      </c>
      <c r="E108" t="s">
        <v>495</v>
      </c>
      <c r="F108" t="s">
        <v>64</v>
      </c>
      <c r="G108" t="s">
        <v>10</v>
      </c>
      <c r="H108" t="s">
        <v>6</v>
      </c>
      <c r="I108" t="s">
        <v>91</v>
      </c>
      <c r="J108">
        <v>20</v>
      </c>
      <c r="K108">
        <v>0.03</v>
      </c>
      <c r="L108">
        <v>1</v>
      </c>
      <c r="M108">
        <v>1</v>
      </c>
      <c r="N108">
        <v>1</v>
      </c>
      <c r="O108">
        <v>100</v>
      </c>
      <c r="P108" t="b">
        <f t="shared" si="1"/>
        <v>0</v>
      </c>
    </row>
    <row r="109" spans="1:16" x14ac:dyDescent="0.2">
      <c r="A109" t="s">
        <v>127</v>
      </c>
      <c r="B109" t="s">
        <v>128</v>
      </c>
      <c r="C109">
        <v>129</v>
      </c>
      <c r="D109">
        <v>126585</v>
      </c>
      <c r="E109" t="s">
        <v>837</v>
      </c>
      <c r="F109" t="s">
        <v>9</v>
      </c>
      <c r="G109" t="s">
        <v>452</v>
      </c>
      <c r="H109" t="s">
        <v>8</v>
      </c>
      <c r="I109" t="s">
        <v>95</v>
      </c>
      <c r="J109">
        <v>6</v>
      </c>
      <c r="K109">
        <v>6</v>
      </c>
      <c r="L109">
        <v>5</v>
      </c>
      <c r="M109">
        <v>2</v>
      </c>
      <c r="N109">
        <v>5</v>
      </c>
      <c r="O109">
        <v>2</v>
      </c>
      <c r="P109" t="b">
        <f t="shared" si="1"/>
        <v>0</v>
      </c>
    </row>
    <row r="110" spans="1:16" x14ac:dyDescent="0.2">
      <c r="A110" t="s">
        <v>127</v>
      </c>
      <c r="B110" t="s">
        <v>128</v>
      </c>
      <c r="C110">
        <v>130</v>
      </c>
      <c r="D110">
        <v>130981</v>
      </c>
      <c r="E110" t="s">
        <v>172</v>
      </c>
      <c r="F110" t="s">
        <v>69</v>
      </c>
      <c r="G110" t="s">
        <v>10</v>
      </c>
      <c r="H110" t="s">
        <v>12</v>
      </c>
      <c r="I110" t="s">
        <v>91</v>
      </c>
      <c r="J110">
        <v>6</v>
      </c>
      <c r="K110">
        <v>0.03</v>
      </c>
      <c r="L110">
        <v>1</v>
      </c>
      <c r="M110">
        <v>1</v>
      </c>
      <c r="N110">
        <v>1</v>
      </c>
      <c r="O110">
        <v>100</v>
      </c>
      <c r="P110" t="b">
        <f t="shared" si="1"/>
        <v>0</v>
      </c>
    </row>
    <row r="111" spans="1:16" x14ac:dyDescent="0.2">
      <c r="A111" t="s">
        <v>127</v>
      </c>
      <c r="B111" t="s">
        <v>128</v>
      </c>
      <c r="C111">
        <v>131</v>
      </c>
      <c r="D111">
        <v>116662</v>
      </c>
      <c r="E111" t="s">
        <v>878</v>
      </c>
      <c r="F111" t="s">
        <v>21</v>
      </c>
      <c r="G111" t="s">
        <v>452</v>
      </c>
      <c r="H111" t="s">
        <v>5</v>
      </c>
      <c r="I111" t="s">
        <v>138</v>
      </c>
      <c r="J111">
        <v>3</v>
      </c>
      <c r="K111">
        <v>7.0000000000000007E-2</v>
      </c>
      <c r="L111">
        <v>5</v>
      </c>
      <c r="M111">
        <v>1</v>
      </c>
      <c r="N111">
        <v>1</v>
      </c>
      <c r="O111">
        <v>100</v>
      </c>
      <c r="P111" t="b">
        <f t="shared" si="1"/>
        <v>0</v>
      </c>
    </row>
    <row r="112" spans="1:16" x14ac:dyDescent="0.2">
      <c r="A112" t="s">
        <v>127</v>
      </c>
      <c r="B112" t="s">
        <v>128</v>
      </c>
      <c r="C112">
        <v>132</v>
      </c>
      <c r="D112">
        <v>130668</v>
      </c>
      <c r="E112" t="s">
        <v>557</v>
      </c>
      <c r="F112" t="s">
        <v>70</v>
      </c>
      <c r="G112" t="s">
        <v>10</v>
      </c>
      <c r="H112" t="s">
        <v>8</v>
      </c>
      <c r="I112" t="s">
        <v>91</v>
      </c>
      <c r="J112">
        <v>17</v>
      </c>
      <c r="K112">
        <v>0.03</v>
      </c>
      <c r="L112">
        <v>1</v>
      </c>
      <c r="M112">
        <v>1</v>
      </c>
      <c r="N112">
        <v>1</v>
      </c>
      <c r="O112">
        <v>100</v>
      </c>
      <c r="P112" t="b">
        <f t="shared" si="1"/>
        <v>0</v>
      </c>
    </row>
    <row r="113" spans="1:16" x14ac:dyDescent="0.2">
      <c r="A113" t="s">
        <v>127</v>
      </c>
      <c r="B113" t="s">
        <v>128</v>
      </c>
      <c r="C113">
        <v>133</v>
      </c>
      <c r="D113">
        <v>69892</v>
      </c>
      <c r="E113" t="s">
        <v>949</v>
      </c>
      <c r="F113" t="s">
        <v>7</v>
      </c>
      <c r="G113" t="s">
        <v>452</v>
      </c>
      <c r="H113" t="s">
        <v>6</v>
      </c>
      <c r="I113" t="s">
        <v>91</v>
      </c>
      <c r="J113">
        <v>5</v>
      </c>
      <c r="K113">
        <v>0.03</v>
      </c>
      <c r="L113">
        <v>1</v>
      </c>
      <c r="M113">
        <v>1</v>
      </c>
      <c r="N113">
        <v>1</v>
      </c>
      <c r="O113">
        <v>100</v>
      </c>
      <c r="P113" t="b">
        <f t="shared" si="1"/>
        <v>0</v>
      </c>
    </row>
    <row r="114" spans="1:16" x14ac:dyDescent="0.2">
      <c r="A114" t="s">
        <v>127</v>
      </c>
      <c r="B114" t="s">
        <v>128</v>
      </c>
      <c r="C114">
        <v>134</v>
      </c>
      <c r="D114">
        <v>129771</v>
      </c>
      <c r="E114" t="s">
        <v>703</v>
      </c>
      <c r="F114" t="s">
        <v>65</v>
      </c>
      <c r="G114" t="s">
        <v>10</v>
      </c>
      <c r="H114" t="s">
        <v>5</v>
      </c>
      <c r="I114" t="s">
        <v>97</v>
      </c>
      <c r="J114">
        <v>11</v>
      </c>
      <c r="K114">
        <v>0.03</v>
      </c>
      <c r="L114">
        <v>1</v>
      </c>
      <c r="M114">
        <v>1</v>
      </c>
      <c r="N114">
        <v>1</v>
      </c>
      <c r="O114">
        <v>100</v>
      </c>
      <c r="P114" t="b">
        <f t="shared" si="1"/>
        <v>0</v>
      </c>
    </row>
    <row r="115" spans="1:16" x14ac:dyDescent="0.2">
      <c r="A115" t="s">
        <v>127</v>
      </c>
      <c r="B115" t="s">
        <v>128</v>
      </c>
      <c r="C115">
        <v>135</v>
      </c>
      <c r="D115">
        <v>107765</v>
      </c>
      <c r="E115" t="s">
        <v>390</v>
      </c>
      <c r="F115" t="s">
        <v>44</v>
      </c>
      <c r="G115" t="s">
        <v>452</v>
      </c>
      <c r="H115" t="s">
        <v>12</v>
      </c>
      <c r="I115" t="s">
        <v>95</v>
      </c>
      <c r="J115">
        <v>2</v>
      </c>
      <c r="K115">
        <v>0.03</v>
      </c>
      <c r="L115">
        <v>1</v>
      </c>
      <c r="M115">
        <v>1</v>
      </c>
      <c r="N115">
        <v>1</v>
      </c>
      <c r="O115">
        <v>100</v>
      </c>
      <c r="P115" t="b">
        <f t="shared" si="1"/>
        <v>0</v>
      </c>
    </row>
    <row r="116" spans="1:16" x14ac:dyDescent="0.2">
      <c r="A116" t="s">
        <v>127</v>
      </c>
      <c r="B116" t="s">
        <v>128</v>
      </c>
      <c r="C116">
        <v>136</v>
      </c>
      <c r="D116">
        <v>130112</v>
      </c>
      <c r="E116" t="s">
        <v>660</v>
      </c>
      <c r="F116" t="s">
        <v>64</v>
      </c>
      <c r="G116" t="s">
        <v>10</v>
      </c>
      <c r="H116" t="s">
        <v>6</v>
      </c>
      <c r="I116" t="s">
        <v>91</v>
      </c>
      <c r="J116">
        <v>21</v>
      </c>
      <c r="K116">
        <v>0.03</v>
      </c>
      <c r="L116">
        <v>1</v>
      </c>
      <c r="M116">
        <v>1</v>
      </c>
      <c r="N116">
        <v>1</v>
      </c>
      <c r="O116">
        <v>100</v>
      </c>
      <c r="P116" t="b">
        <f t="shared" si="1"/>
        <v>0</v>
      </c>
    </row>
    <row r="117" spans="1:16" x14ac:dyDescent="0.2">
      <c r="A117" t="s">
        <v>127</v>
      </c>
      <c r="B117" t="s">
        <v>128</v>
      </c>
      <c r="C117">
        <v>137</v>
      </c>
      <c r="D117">
        <v>31977</v>
      </c>
      <c r="E117" t="s">
        <v>219</v>
      </c>
      <c r="F117" t="s">
        <v>9</v>
      </c>
      <c r="G117" t="s">
        <v>452</v>
      </c>
      <c r="H117" t="s">
        <v>8</v>
      </c>
      <c r="I117" t="s">
        <v>138</v>
      </c>
      <c r="J117">
        <v>7</v>
      </c>
      <c r="K117">
        <v>0.03</v>
      </c>
      <c r="L117">
        <v>1</v>
      </c>
      <c r="M117">
        <v>1</v>
      </c>
      <c r="N117">
        <v>1</v>
      </c>
      <c r="O117">
        <v>100</v>
      </c>
      <c r="P117" t="b">
        <f t="shared" si="1"/>
        <v>0</v>
      </c>
    </row>
    <row r="118" spans="1:16" x14ac:dyDescent="0.2">
      <c r="A118" t="s">
        <v>127</v>
      </c>
      <c r="B118" t="s">
        <v>128</v>
      </c>
      <c r="C118">
        <v>138</v>
      </c>
      <c r="D118">
        <v>129829</v>
      </c>
      <c r="E118" t="s">
        <v>699</v>
      </c>
      <c r="F118" t="s">
        <v>67</v>
      </c>
      <c r="G118" t="s">
        <v>10</v>
      </c>
      <c r="H118" t="s">
        <v>12</v>
      </c>
      <c r="I118" t="s">
        <v>138</v>
      </c>
      <c r="J118">
        <v>9</v>
      </c>
      <c r="K118">
        <v>0.03</v>
      </c>
      <c r="L118">
        <v>1</v>
      </c>
      <c r="M118">
        <v>1</v>
      </c>
      <c r="N118">
        <v>1</v>
      </c>
      <c r="O118">
        <v>100</v>
      </c>
      <c r="P118" t="b">
        <f t="shared" si="1"/>
        <v>0</v>
      </c>
    </row>
    <row r="119" spans="1:16" x14ac:dyDescent="0.2">
      <c r="A119" t="s">
        <v>127</v>
      </c>
      <c r="B119" t="s">
        <v>128</v>
      </c>
      <c r="C119">
        <v>139</v>
      </c>
      <c r="D119">
        <v>53828</v>
      </c>
      <c r="E119" t="s">
        <v>992</v>
      </c>
      <c r="F119" t="s">
        <v>11</v>
      </c>
      <c r="G119" t="s">
        <v>452</v>
      </c>
      <c r="H119" t="s">
        <v>11</v>
      </c>
      <c r="I119" t="s">
        <v>91</v>
      </c>
      <c r="J119">
        <v>8</v>
      </c>
      <c r="K119">
        <v>0.03</v>
      </c>
      <c r="L119">
        <v>1</v>
      </c>
      <c r="M119">
        <v>1</v>
      </c>
      <c r="N119">
        <v>1</v>
      </c>
      <c r="O119">
        <v>100</v>
      </c>
      <c r="P119" t="b">
        <f t="shared" si="1"/>
        <v>0</v>
      </c>
    </row>
    <row r="120" spans="1:16" x14ac:dyDescent="0.2">
      <c r="A120" t="s">
        <v>127</v>
      </c>
      <c r="B120" t="s">
        <v>128</v>
      </c>
      <c r="C120">
        <v>140</v>
      </c>
      <c r="D120">
        <v>130669</v>
      </c>
      <c r="E120" t="s">
        <v>556</v>
      </c>
      <c r="F120" t="s">
        <v>70</v>
      </c>
      <c r="G120" t="s">
        <v>10</v>
      </c>
      <c r="H120" t="s">
        <v>8</v>
      </c>
      <c r="I120" t="s">
        <v>91</v>
      </c>
      <c r="J120">
        <v>18</v>
      </c>
      <c r="K120">
        <v>0.03</v>
      </c>
      <c r="L120">
        <v>1</v>
      </c>
      <c r="M120">
        <v>1</v>
      </c>
      <c r="N120">
        <v>1</v>
      </c>
      <c r="O120">
        <v>100</v>
      </c>
      <c r="P120" t="b">
        <f t="shared" si="1"/>
        <v>0</v>
      </c>
    </row>
    <row r="121" spans="1:16" x14ac:dyDescent="0.2">
      <c r="A121" t="s">
        <v>127</v>
      </c>
      <c r="B121" t="s">
        <v>128</v>
      </c>
      <c r="C121">
        <v>141</v>
      </c>
      <c r="D121">
        <v>31772</v>
      </c>
      <c r="E121" t="s">
        <v>164</v>
      </c>
      <c r="F121" t="s">
        <v>23</v>
      </c>
      <c r="G121" t="s">
        <v>452</v>
      </c>
      <c r="H121" t="s">
        <v>5</v>
      </c>
      <c r="I121" t="s">
        <v>91</v>
      </c>
      <c r="J121">
        <v>4</v>
      </c>
      <c r="K121">
        <v>0.03</v>
      </c>
      <c r="L121">
        <v>1</v>
      </c>
      <c r="M121">
        <v>1</v>
      </c>
      <c r="N121">
        <v>1</v>
      </c>
      <c r="O121">
        <v>100</v>
      </c>
      <c r="P121" t="b">
        <f t="shared" si="1"/>
        <v>0</v>
      </c>
    </row>
    <row r="122" spans="1:16" x14ac:dyDescent="0.2">
      <c r="A122" t="s">
        <v>127</v>
      </c>
      <c r="B122" t="s">
        <v>128</v>
      </c>
      <c r="C122">
        <v>142</v>
      </c>
      <c r="D122">
        <v>130783</v>
      </c>
      <c r="E122" t="s">
        <v>540</v>
      </c>
      <c r="F122" t="s">
        <v>66</v>
      </c>
      <c r="G122" t="s">
        <v>10</v>
      </c>
      <c r="H122" t="s">
        <v>5</v>
      </c>
      <c r="I122" t="s">
        <v>93</v>
      </c>
      <c r="J122">
        <v>8</v>
      </c>
      <c r="K122">
        <v>0.03</v>
      </c>
      <c r="L122">
        <v>1</v>
      </c>
      <c r="M122">
        <v>1</v>
      </c>
      <c r="N122">
        <v>1</v>
      </c>
      <c r="O122">
        <v>100</v>
      </c>
      <c r="P122" t="b">
        <f t="shared" si="1"/>
        <v>0</v>
      </c>
    </row>
    <row r="123" spans="1:16" x14ac:dyDescent="0.2">
      <c r="A123" t="s">
        <v>127</v>
      </c>
      <c r="B123" t="s">
        <v>128</v>
      </c>
      <c r="C123">
        <v>143</v>
      </c>
      <c r="D123">
        <v>108852</v>
      </c>
      <c r="E123" t="s">
        <v>882</v>
      </c>
      <c r="F123" t="s">
        <v>26</v>
      </c>
      <c r="G123" t="s">
        <v>452</v>
      </c>
      <c r="H123" t="s">
        <v>6</v>
      </c>
      <c r="I123" t="s">
        <v>91</v>
      </c>
      <c r="J123">
        <v>6</v>
      </c>
      <c r="K123">
        <v>0.03</v>
      </c>
      <c r="L123">
        <v>1</v>
      </c>
      <c r="M123">
        <v>1</v>
      </c>
      <c r="N123">
        <v>1</v>
      </c>
      <c r="O123">
        <v>100</v>
      </c>
      <c r="P123" t="b">
        <f t="shared" si="1"/>
        <v>0</v>
      </c>
    </row>
    <row r="124" spans="1:16" x14ac:dyDescent="0.2">
      <c r="A124" t="s">
        <v>127</v>
      </c>
      <c r="B124" t="s">
        <v>128</v>
      </c>
      <c r="C124">
        <v>144</v>
      </c>
      <c r="D124">
        <v>130119</v>
      </c>
      <c r="E124" t="s">
        <v>657</v>
      </c>
      <c r="F124" t="s">
        <v>64</v>
      </c>
      <c r="G124" t="s">
        <v>10</v>
      </c>
      <c r="H124" t="s">
        <v>6</v>
      </c>
      <c r="I124" t="s">
        <v>91</v>
      </c>
      <c r="J124">
        <v>22</v>
      </c>
      <c r="K124">
        <v>0.03</v>
      </c>
      <c r="L124">
        <v>1</v>
      </c>
      <c r="M124">
        <v>1</v>
      </c>
      <c r="N124">
        <v>1</v>
      </c>
      <c r="O124">
        <v>100</v>
      </c>
      <c r="P124" t="b">
        <f t="shared" si="1"/>
        <v>0</v>
      </c>
    </row>
    <row r="125" spans="1:16" x14ac:dyDescent="0.2">
      <c r="A125" t="s">
        <v>127</v>
      </c>
      <c r="B125" t="s">
        <v>128</v>
      </c>
      <c r="C125">
        <v>145</v>
      </c>
      <c r="D125">
        <v>126641</v>
      </c>
      <c r="E125" t="s">
        <v>159</v>
      </c>
      <c r="F125" t="s">
        <v>22</v>
      </c>
      <c r="G125" t="s">
        <v>452</v>
      </c>
      <c r="H125" t="s">
        <v>12</v>
      </c>
      <c r="I125" t="s">
        <v>97</v>
      </c>
      <c r="J125">
        <v>2</v>
      </c>
      <c r="K125">
        <v>4</v>
      </c>
      <c r="L125">
        <v>4</v>
      </c>
      <c r="M125">
        <v>2</v>
      </c>
      <c r="N125">
        <v>2</v>
      </c>
      <c r="O125">
        <v>2</v>
      </c>
      <c r="P125" t="b">
        <f t="shared" si="1"/>
        <v>0</v>
      </c>
    </row>
    <row r="126" spans="1:16" x14ac:dyDescent="0.2">
      <c r="A126" t="s">
        <v>127</v>
      </c>
      <c r="B126" t="s">
        <v>128</v>
      </c>
      <c r="C126">
        <v>146</v>
      </c>
      <c r="D126">
        <v>129470</v>
      </c>
      <c r="E126" t="s">
        <v>775</v>
      </c>
      <c r="F126" t="s">
        <v>69</v>
      </c>
      <c r="G126" t="s">
        <v>10</v>
      </c>
      <c r="H126" t="s">
        <v>12</v>
      </c>
      <c r="I126" t="s">
        <v>131</v>
      </c>
      <c r="J126">
        <v>7</v>
      </c>
      <c r="K126">
        <v>0.03</v>
      </c>
      <c r="L126">
        <v>1</v>
      </c>
      <c r="M126">
        <v>1</v>
      </c>
      <c r="N126">
        <v>1</v>
      </c>
      <c r="O126">
        <v>100</v>
      </c>
      <c r="P126" t="b">
        <f t="shared" si="1"/>
        <v>0</v>
      </c>
    </row>
    <row r="127" spans="1:16" x14ac:dyDescent="0.2">
      <c r="A127" t="s">
        <v>127</v>
      </c>
      <c r="B127" t="s">
        <v>128</v>
      </c>
      <c r="C127">
        <v>147</v>
      </c>
      <c r="D127">
        <v>32104</v>
      </c>
      <c r="E127" t="s">
        <v>1056</v>
      </c>
      <c r="F127" t="s">
        <v>34</v>
      </c>
      <c r="G127" t="s">
        <v>452</v>
      </c>
      <c r="H127" t="s">
        <v>8</v>
      </c>
      <c r="I127" t="s">
        <v>91</v>
      </c>
      <c r="J127">
        <v>3</v>
      </c>
      <c r="K127">
        <v>0.03</v>
      </c>
      <c r="L127">
        <v>1</v>
      </c>
      <c r="M127">
        <v>1</v>
      </c>
      <c r="N127">
        <v>1</v>
      </c>
      <c r="O127">
        <v>100</v>
      </c>
      <c r="P127" t="b">
        <f t="shared" si="1"/>
        <v>0</v>
      </c>
    </row>
    <row r="128" spans="1:16" x14ac:dyDescent="0.2">
      <c r="A128" t="s">
        <v>127</v>
      </c>
      <c r="B128" t="s">
        <v>128</v>
      </c>
      <c r="C128">
        <v>148</v>
      </c>
      <c r="D128">
        <v>130670</v>
      </c>
      <c r="E128" t="s">
        <v>555</v>
      </c>
      <c r="F128" t="s">
        <v>70</v>
      </c>
      <c r="G128" t="s">
        <v>10</v>
      </c>
      <c r="H128" t="s">
        <v>8</v>
      </c>
      <c r="I128" t="s">
        <v>91</v>
      </c>
      <c r="J128">
        <v>19</v>
      </c>
      <c r="K128">
        <v>0.03</v>
      </c>
      <c r="L128">
        <v>1</v>
      </c>
      <c r="M128">
        <v>1</v>
      </c>
      <c r="N128">
        <v>1</v>
      </c>
      <c r="O128">
        <v>100</v>
      </c>
      <c r="P128" t="b">
        <f t="shared" si="1"/>
        <v>0</v>
      </c>
    </row>
    <row r="129" spans="1:16" x14ac:dyDescent="0.2">
      <c r="A129" t="s">
        <v>127</v>
      </c>
      <c r="B129" t="s">
        <v>128</v>
      </c>
      <c r="C129">
        <v>149</v>
      </c>
      <c r="D129">
        <v>70697</v>
      </c>
      <c r="E129" t="s">
        <v>142</v>
      </c>
      <c r="F129" t="s">
        <v>36</v>
      </c>
      <c r="G129" t="s">
        <v>452</v>
      </c>
      <c r="H129" t="s">
        <v>5</v>
      </c>
      <c r="I129" t="s">
        <v>91</v>
      </c>
      <c r="J129">
        <v>3</v>
      </c>
      <c r="K129">
        <v>0.03</v>
      </c>
      <c r="L129">
        <v>1</v>
      </c>
      <c r="M129">
        <v>1</v>
      </c>
      <c r="N129">
        <v>1</v>
      </c>
      <c r="O129">
        <v>100</v>
      </c>
      <c r="P129" t="b">
        <f t="shared" si="1"/>
        <v>0</v>
      </c>
    </row>
    <row r="130" spans="1:16" x14ac:dyDescent="0.2">
      <c r="A130" t="s">
        <v>127</v>
      </c>
      <c r="B130" t="s">
        <v>128</v>
      </c>
      <c r="C130">
        <v>150</v>
      </c>
      <c r="D130">
        <v>136235</v>
      </c>
      <c r="E130" t="s">
        <v>175</v>
      </c>
      <c r="F130" t="s">
        <v>68</v>
      </c>
      <c r="G130" t="s">
        <v>10</v>
      </c>
      <c r="H130" t="s">
        <v>5</v>
      </c>
      <c r="I130" t="s">
        <v>95</v>
      </c>
      <c r="J130">
        <v>6</v>
      </c>
      <c r="K130">
        <v>0.03</v>
      </c>
      <c r="L130">
        <v>1</v>
      </c>
      <c r="M130">
        <v>1</v>
      </c>
      <c r="N130">
        <v>1</v>
      </c>
      <c r="O130">
        <v>100</v>
      </c>
      <c r="P130" t="b">
        <f t="shared" si="1"/>
        <v>0</v>
      </c>
    </row>
    <row r="131" spans="1:16" x14ac:dyDescent="0.2">
      <c r="A131" t="s">
        <v>127</v>
      </c>
      <c r="B131" t="s">
        <v>128</v>
      </c>
      <c r="C131">
        <v>151</v>
      </c>
      <c r="D131">
        <v>125275</v>
      </c>
      <c r="E131" t="s">
        <v>858</v>
      </c>
      <c r="F131" t="s">
        <v>7</v>
      </c>
      <c r="G131" t="s">
        <v>452</v>
      </c>
      <c r="H131" t="s">
        <v>6</v>
      </c>
      <c r="I131" t="s">
        <v>91</v>
      </c>
      <c r="J131">
        <v>6</v>
      </c>
      <c r="K131">
        <v>0.03</v>
      </c>
      <c r="L131">
        <v>1</v>
      </c>
      <c r="M131">
        <v>1</v>
      </c>
      <c r="N131">
        <v>1</v>
      </c>
      <c r="O131">
        <v>100</v>
      </c>
      <c r="P131" t="b">
        <f t="shared" ref="P131:P194" si="2">AND(C131&lt;$Q$1,IF(ISBLANK(C131),0,C131)&gt;0)</f>
        <v>0</v>
      </c>
    </row>
    <row r="132" spans="1:16" x14ac:dyDescent="0.2">
      <c r="A132" t="s">
        <v>127</v>
      </c>
      <c r="B132" t="s">
        <v>128</v>
      </c>
      <c r="C132">
        <v>152</v>
      </c>
      <c r="D132">
        <v>130121</v>
      </c>
      <c r="E132" t="s">
        <v>655</v>
      </c>
      <c r="F132" t="s">
        <v>64</v>
      </c>
      <c r="G132" t="s">
        <v>10</v>
      </c>
      <c r="H132" t="s">
        <v>6</v>
      </c>
      <c r="I132" t="s">
        <v>91</v>
      </c>
      <c r="J132">
        <v>23</v>
      </c>
      <c r="K132">
        <v>0.03</v>
      </c>
      <c r="L132">
        <v>1</v>
      </c>
      <c r="M132">
        <v>1</v>
      </c>
      <c r="N132">
        <v>1</v>
      </c>
      <c r="O132">
        <v>100</v>
      </c>
      <c r="P132" t="b">
        <f t="shared" si="2"/>
        <v>0</v>
      </c>
    </row>
    <row r="133" spans="1:16" x14ac:dyDescent="0.2">
      <c r="A133" t="s">
        <v>127</v>
      </c>
      <c r="B133" t="s">
        <v>128</v>
      </c>
      <c r="C133">
        <v>153</v>
      </c>
      <c r="D133">
        <v>55327</v>
      </c>
      <c r="E133" t="s">
        <v>988</v>
      </c>
      <c r="F133" t="s">
        <v>45</v>
      </c>
      <c r="G133" t="s">
        <v>452</v>
      </c>
      <c r="H133" t="s">
        <v>12</v>
      </c>
      <c r="I133" t="s">
        <v>91</v>
      </c>
      <c r="J133">
        <v>2</v>
      </c>
      <c r="K133">
        <v>0.03</v>
      </c>
      <c r="L133">
        <v>1</v>
      </c>
      <c r="M133">
        <v>1</v>
      </c>
      <c r="N133">
        <v>1</v>
      </c>
      <c r="O133">
        <v>100</v>
      </c>
      <c r="P133" t="b">
        <f t="shared" si="2"/>
        <v>0</v>
      </c>
    </row>
    <row r="134" spans="1:16" x14ac:dyDescent="0.2">
      <c r="A134" t="s">
        <v>127</v>
      </c>
      <c r="B134" t="s">
        <v>128</v>
      </c>
      <c r="C134">
        <v>154</v>
      </c>
      <c r="D134">
        <v>130996</v>
      </c>
      <c r="E134" t="s">
        <v>507</v>
      </c>
      <c r="F134" t="s">
        <v>71</v>
      </c>
      <c r="G134" t="s">
        <v>10</v>
      </c>
      <c r="H134" t="s">
        <v>12</v>
      </c>
      <c r="I134" t="s">
        <v>91</v>
      </c>
      <c r="J134">
        <v>4</v>
      </c>
      <c r="K134">
        <v>0.03</v>
      </c>
      <c r="L134">
        <v>1</v>
      </c>
      <c r="M134">
        <v>1</v>
      </c>
      <c r="N134">
        <v>1</v>
      </c>
      <c r="O134">
        <v>100</v>
      </c>
      <c r="P134" t="b">
        <f t="shared" si="2"/>
        <v>0</v>
      </c>
    </row>
    <row r="135" spans="1:16" x14ac:dyDescent="0.2">
      <c r="A135" t="s">
        <v>127</v>
      </c>
      <c r="B135" t="s">
        <v>128</v>
      </c>
      <c r="C135">
        <v>155</v>
      </c>
      <c r="D135">
        <v>125919</v>
      </c>
      <c r="E135" t="s">
        <v>851</v>
      </c>
      <c r="F135" t="s">
        <v>58</v>
      </c>
      <c r="G135" t="s">
        <v>452</v>
      </c>
      <c r="H135" t="s">
        <v>8</v>
      </c>
      <c r="I135" t="s">
        <v>91</v>
      </c>
      <c r="J135">
        <v>3</v>
      </c>
      <c r="K135">
        <v>0.03</v>
      </c>
      <c r="L135">
        <v>1</v>
      </c>
      <c r="M135">
        <v>1</v>
      </c>
      <c r="N135">
        <v>1</v>
      </c>
      <c r="O135">
        <v>100</v>
      </c>
      <c r="P135" t="b">
        <f t="shared" si="2"/>
        <v>0</v>
      </c>
    </row>
    <row r="136" spans="1:16" x14ac:dyDescent="0.2">
      <c r="A136" t="s">
        <v>127</v>
      </c>
      <c r="B136" t="s">
        <v>128</v>
      </c>
      <c r="C136">
        <v>156</v>
      </c>
      <c r="D136">
        <v>130075</v>
      </c>
      <c r="E136" t="s">
        <v>669</v>
      </c>
      <c r="F136" t="s">
        <v>70</v>
      </c>
      <c r="G136" t="s">
        <v>10</v>
      </c>
      <c r="H136" t="s">
        <v>8</v>
      </c>
      <c r="I136" t="s">
        <v>91</v>
      </c>
      <c r="J136">
        <v>20</v>
      </c>
      <c r="K136">
        <v>0.03</v>
      </c>
      <c r="L136">
        <v>1</v>
      </c>
      <c r="M136">
        <v>1</v>
      </c>
      <c r="N136">
        <v>1</v>
      </c>
      <c r="O136">
        <v>100</v>
      </c>
      <c r="P136" t="b">
        <f t="shared" si="2"/>
        <v>0</v>
      </c>
    </row>
    <row r="137" spans="1:16" x14ac:dyDescent="0.2">
      <c r="A137" t="s">
        <v>127</v>
      </c>
      <c r="B137" t="s">
        <v>128</v>
      </c>
      <c r="C137">
        <v>157</v>
      </c>
      <c r="D137">
        <v>126575</v>
      </c>
      <c r="E137" t="s">
        <v>239</v>
      </c>
      <c r="F137" t="s">
        <v>11</v>
      </c>
      <c r="G137" t="s">
        <v>452</v>
      </c>
      <c r="H137" t="s">
        <v>11</v>
      </c>
      <c r="I137" t="s">
        <v>91</v>
      </c>
      <c r="J137">
        <v>9</v>
      </c>
      <c r="K137">
        <v>0.03</v>
      </c>
      <c r="L137">
        <v>1</v>
      </c>
      <c r="M137">
        <v>1</v>
      </c>
      <c r="N137">
        <v>1</v>
      </c>
      <c r="O137">
        <v>100</v>
      </c>
      <c r="P137" t="b">
        <f t="shared" si="2"/>
        <v>0</v>
      </c>
    </row>
    <row r="138" spans="1:16" x14ac:dyDescent="0.2">
      <c r="A138" t="s">
        <v>127</v>
      </c>
      <c r="B138" t="s">
        <v>128</v>
      </c>
      <c r="C138">
        <v>158</v>
      </c>
      <c r="D138">
        <v>130103</v>
      </c>
      <c r="E138" t="s">
        <v>663</v>
      </c>
      <c r="F138" t="s">
        <v>65</v>
      </c>
      <c r="G138" t="s">
        <v>10</v>
      </c>
      <c r="H138" t="s">
        <v>5</v>
      </c>
      <c r="I138" t="s">
        <v>97</v>
      </c>
      <c r="J138">
        <v>12</v>
      </c>
      <c r="K138">
        <v>0.03</v>
      </c>
      <c r="L138">
        <v>1</v>
      </c>
      <c r="M138">
        <v>1</v>
      </c>
      <c r="N138">
        <v>1</v>
      </c>
      <c r="O138">
        <v>100</v>
      </c>
      <c r="P138" t="b">
        <f t="shared" si="2"/>
        <v>0</v>
      </c>
    </row>
    <row r="139" spans="1:16" x14ac:dyDescent="0.2">
      <c r="A139" t="s">
        <v>127</v>
      </c>
      <c r="B139" t="s">
        <v>128</v>
      </c>
      <c r="C139">
        <v>159</v>
      </c>
      <c r="D139">
        <v>32069</v>
      </c>
      <c r="E139" t="s">
        <v>1058</v>
      </c>
      <c r="F139" t="s">
        <v>25</v>
      </c>
      <c r="G139" t="s">
        <v>452</v>
      </c>
      <c r="H139" t="s">
        <v>5</v>
      </c>
      <c r="I139" t="s">
        <v>95</v>
      </c>
      <c r="J139">
        <v>2</v>
      </c>
      <c r="K139">
        <v>0.03</v>
      </c>
      <c r="L139">
        <v>1</v>
      </c>
      <c r="M139">
        <v>1</v>
      </c>
      <c r="N139">
        <v>1</v>
      </c>
      <c r="O139">
        <v>100</v>
      </c>
      <c r="P139" t="b">
        <f t="shared" si="2"/>
        <v>0</v>
      </c>
    </row>
    <row r="140" spans="1:16" x14ac:dyDescent="0.2">
      <c r="A140" t="s">
        <v>127</v>
      </c>
      <c r="B140" t="s">
        <v>128</v>
      </c>
      <c r="C140">
        <v>160</v>
      </c>
      <c r="D140">
        <v>129496</v>
      </c>
      <c r="E140" t="s">
        <v>759</v>
      </c>
      <c r="F140" t="s">
        <v>64</v>
      </c>
      <c r="G140" t="s">
        <v>10</v>
      </c>
      <c r="H140" t="s">
        <v>6</v>
      </c>
      <c r="I140" t="s">
        <v>95</v>
      </c>
      <c r="J140">
        <v>24</v>
      </c>
      <c r="K140">
        <v>0.03</v>
      </c>
      <c r="L140">
        <v>1</v>
      </c>
      <c r="M140">
        <v>1</v>
      </c>
      <c r="N140">
        <v>1</v>
      </c>
      <c r="O140">
        <v>100</v>
      </c>
      <c r="P140" t="b">
        <f t="shared" si="2"/>
        <v>0</v>
      </c>
    </row>
    <row r="141" spans="1:16" x14ac:dyDescent="0.2">
      <c r="A141" t="s">
        <v>127</v>
      </c>
      <c r="B141" t="s">
        <v>128</v>
      </c>
      <c r="C141">
        <v>161</v>
      </c>
      <c r="D141">
        <v>51195</v>
      </c>
      <c r="E141" t="s">
        <v>995</v>
      </c>
      <c r="F141" t="s">
        <v>26</v>
      </c>
      <c r="G141" t="s">
        <v>452</v>
      </c>
      <c r="H141" t="s">
        <v>6</v>
      </c>
      <c r="I141" t="s">
        <v>95</v>
      </c>
      <c r="J141">
        <v>7</v>
      </c>
      <c r="K141">
        <v>0.03</v>
      </c>
      <c r="L141">
        <v>1</v>
      </c>
      <c r="M141">
        <v>1</v>
      </c>
      <c r="N141">
        <v>1</v>
      </c>
      <c r="O141">
        <v>100</v>
      </c>
      <c r="P141" t="b">
        <f t="shared" si="2"/>
        <v>0</v>
      </c>
    </row>
    <row r="142" spans="1:16" x14ac:dyDescent="0.2">
      <c r="A142" t="s">
        <v>127</v>
      </c>
      <c r="B142" t="s">
        <v>128</v>
      </c>
      <c r="C142">
        <v>162</v>
      </c>
      <c r="D142">
        <v>130832</v>
      </c>
      <c r="E142" t="s">
        <v>531</v>
      </c>
      <c r="F142" t="s">
        <v>67</v>
      </c>
      <c r="G142" t="s">
        <v>10</v>
      </c>
      <c r="H142" t="s">
        <v>12</v>
      </c>
      <c r="I142" t="s">
        <v>138</v>
      </c>
      <c r="J142">
        <v>10</v>
      </c>
      <c r="K142">
        <v>0.03</v>
      </c>
      <c r="L142">
        <v>1</v>
      </c>
      <c r="M142">
        <v>1</v>
      </c>
      <c r="N142">
        <v>1</v>
      </c>
      <c r="O142">
        <v>100</v>
      </c>
      <c r="P142" t="b">
        <f t="shared" si="2"/>
        <v>0</v>
      </c>
    </row>
    <row r="143" spans="1:16" x14ac:dyDescent="0.2">
      <c r="A143" t="s">
        <v>127</v>
      </c>
      <c r="B143" t="s">
        <v>128</v>
      </c>
      <c r="C143">
        <v>163</v>
      </c>
      <c r="D143">
        <v>60599</v>
      </c>
      <c r="E143" t="s">
        <v>141</v>
      </c>
      <c r="F143" t="s">
        <v>46</v>
      </c>
      <c r="G143" t="s">
        <v>452</v>
      </c>
      <c r="H143" t="s">
        <v>12</v>
      </c>
      <c r="I143" t="s">
        <v>91</v>
      </c>
      <c r="J143">
        <v>2</v>
      </c>
      <c r="K143">
        <v>0.03</v>
      </c>
      <c r="L143">
        <v>1</v>
      </c>
      <c r="M143">
        <v>1</v>
      </c>
      <c r="N143">
        <v>1</v>
      </c>
      <c r="O143">
        <v>100</v>
      </c>
      <c r="P143" t="b">
        <f t="shared" si="2"/>
        <v>0</v>
      </c>
    </row>
    <row r="144" spans="1:16" x14ac:dyDescent="0.2">
      <c r="A144" t="s">
        <v>127</v>
      </c>
      <c r="B144" t="s">
        <v>128</v>
      </c>
      <c r="C144">
        <v>164</v>
      </c>
      <c r="D144">
        <v>129678</v>
      </c>
      <c r="E144" t="s">
        <v>712</v>
      </c>
      <c r="F144" t="s">
        <v>70</v>
      </c>
      <c r="G144" t="s">
        <v>10</v>
      </c>
      <c r="H144" t="s">
        <v>8</v>
      </c>
      <c r="I144" t="s">
        <v>95</v>
      </c>
      <c r="J144">
        <v>21</v>
      </c>
      <c r="K144">
        <v>0.03</v>
      </c>
      <c r="L144">
        <v>1</v>
      </c>
      <c r="M144">
        <v>1</v>
      </c>
      <c r="N144">
        <v>1</v>
      </c>
      <c r="O144">
        <v>100</v>
      </c>
      <c r="P144" t="b">
        <f t="shared" si="2"/>
        <v>0</v>
      </c>
    </row>
    <row r="145" spans="1:16" x14ac:dyDescent="0.2">
      <c r="A145" t="s">
        <v>127</v>
      </c>
      <c r="B145" t="s">
        <v>128</v>
      </c>
      <c r="C145">
        <v>165</v>
      </c>
      <c r="D145">
        <v>126749</v>
      </c>
      <c r="E145" t="s">
        <v>829</v>
      </c>
      <c r="F145" t="s">
        <v>59</v>
      </c>
      <c r="G145" t="s">
        <v>452</v>
      </c>
      <c r="H145" t="s">
        <v>8</v>
      </c>
      <c r="I145" t="s">
        <v>96</v>
      </c>
      <c r="J145">
        <v>3</v>
      </c>
      <c r="K145">
        <v>5</v>
      </c>
      <c r="L145">
        <v>4</v>
      </c>
      <c r="M145">
        <v>3</v>
      </c>
      <c r="N145">
        <v>3</v>
      </c>
      <c r="O145">
        <v>2</v>
      </c>
      <c r="P145" t="b">
        <f t="shared" si="2"/>
        <v>0</v>
      </c>
    </row>
    <row r="146" spans="1:16" x14ac:dyDescent="0.2">
      <c r="A146" t="s">
        <v>127</v>
      </c>
      <c r="B146" t="s">
        <v>128</v>
      </c>
      <c r="C146">
        <v>166</v>
      </c>
      <c r="D146">
        <v>132537</v>
      </c>
      <c r="E146" t="s">
        <v>475</v>
      </c>
      <c r="F146" t="s">
        <v>66</v>
      </c>
      <c r="G146" t="s">
        <v>10</v>
      </c>
      <c r="H146" t="s">
        <v>5</v>
      </c>
      <c r="I146" t="s">
        <v>95</v>
      </c>
      <c r="J146">
        <v>10</v>
      </c>
      <c r="K146">
        <v>0.06</v>
      </c>
      <c r="L146">
        <v>3</v>
      </c>
      <c r="M146">
        <v>1</v>
      </c>
      <c r="N146">
        <v>2</v>
      </c>
      <c r="O146">
        <v>100</v>
      </c>
      <c r="P146" t="b">
        <f t="shared" si="2"/>
        <v>0</v>
      </c>
    </row>
    <row r="147" spans="1:16" x14ac:dyDescent="0.2">
      <c r="A147" t="s">
        <v>127</v>
      </c>
      <c r="B147" t="s">
        <v>128</v>
      </c>
      <c r="C147">
        <v>167</v>
      </c>
      <c r="D147">
        <v>121353</v>
      </c>
      <c r="E147" t="s">
        <v>869</v>
      </c>
      <c r="F147" t="s">
        <v>24</v>
      </c>
      <c r="G147" t="s">
        <v>452</v>
      </c>
      <c r="H147" t="s">
        <v>5</v>
      </c>
      <c r="I147" t="s">
        <v>91</v>
      </c>
      <c r="J147">
        <v>2</v>
      </c>
      <c r="K147">
        <v>0.03</v>
      </c>
      <c r="L147">
        <v>1</v>
      </c>
      <c r="M147">
        <v>1</v>
      </c>
      <c r="N147">
        <v>1</v>
      </c>
      <c r="O147">
        <v>100</v>
      </c>
      <c r="P147" t="b">
        <f t="shared" si="2"/>
        <v>0</v>
      </c>
    </row>
    <row r="148" spans="1:16" x14ac:dyDescent="0.2">
      <c r="A148" t="s">
        <v>127</v>
      </c>
      <c r="B148" t="s">
        <v>128</v>
      </c>
      <c r="C148">
        <v>168</v>
      </c>
      <c r="D148">
        <v>130120</v>
      </c>
      <c r="E148" t="s">
        <v>656</v>
      </c>
      <c r="F148" t="s">
        <v>64</v>
      </c>
      <c r="G148" t="s">
        <v>10</v>
      </c>
      <c r="H148" t="s">
        <v>6</v>
      </c>
      <c r="I148" t="s">
        <v>95</v>
      </c>
      <c r="J148">
        <v>25</v>
      </c>
      <c r="K148">
        <v>0.03</v>
      </c>
      <c r="L148">
        <v>1</v>
      </c>
      <c r="M148">
        <v>1</v>
      </c>
      <c r="N148">
        <v>1</v>
      </c>
      <c r="O148">
        <v>100</v>
      </c>
      <c r="P148" t="b">
        <f t="shared" si="2"/>
        <v>0</v>
      </c>
    </row>
    <row r="149" spans="1:16" x14ac:dyDescent="0.2">
      <c r="A149" t="s">
        <v>127</v>
      </c>
      <c r="B149" t="s">
        <v>128</v>
      </c>
      <c r="C149">
        <v>169</v>
      </c>
      <c r="D149">
        <v>93715</v>
      </c>
      <c r="E149" t="s">
        <v>909</v>
      </c>
      <c r="F149" t="s">
        <v>7</v>
      </c>
      <c r="G149" t="s">
        <v>452</v>
      </c>
      <c r="H149" t="s">
        <v>6</v>
      </c>
      <c r="I149" t="s">
        <v>138</v>
      </c>
      <c r="J149">
        <v>7</v>
      </c>
      <c r="K149">
        <v>0.03</v>
      </c>
      <c r="L149">
        <v>1</v>
      </c>
      <c r="M149">
        <v>1</v>
      </c>
      <c r="N149">
        <v>1</v>
      </c>
      <c r="O149">
        <v>100</v>
      </c>
      <c r="P149" t="b">
        <f t="shared" si="2"/>
        <v>0</v>
      </c>
    </row>
    <row r="150" spans="1:16" x14ac:dyDescent="0.2">
      <c r="A150" t="s">
        <v>127</v>
      </c>
      <c r="B150" t="s">
        <v>128</v>
      </c>
      <c r="C150">
        <v>170</v>
      </c>
      <c r="D150">
        <v>130044</v>
      </c>
      <c r="E150" t="s">
        <v>676</v>
      </c>
      <c r="F150" t="s">
        <v>69</v>
      </c>
      <c r="G150" t="s">
        <v>10</v>
      </c>
      <c r="H150" t="s">
        <v>12</v>
      </c>
      <c r="I150" t="s">
        <v>91</v>
      </c>
      <c r="J150">
        <v>8</v>
      </c>
      <c r="K150">
        <v>0.03</v>
      </c>
      <c r="L150">
        <v>1</v>
      </c>
      <c r="M150">
        <v>1</v>
      </c>
      <c r="N150">
        <v>1</v>
      </c>
      <c r="O150">
        <v>100</v>
      </c>
      <c r="P150" t="b">
        <f t="shared" si="2"/>
        <v>0</v>
      </c>
    </row>
    <row r="151" spans="1:16" x14ac:dyDescent="0.2">
      <c r="A151" t="s">
        <v>127</v>
      </c>
      <c r="B151" t="s">
        <v>128</v>
      </c>
      <c r="C151">
        <v>171</v>
      </c>
      <c r="D151">
        <v>68917</v>
      </c>
      <c r="E151" t="s">
        <v>953</v>
      </c>
      <c r="F151" t="s">
        <v>35</v>
      </c>
      <c r="G151" t="s">
        <v>452</v>
      </c>
      <c r="H151" t="s">
        <v>12</v>
      </c>
      <c r="I151" t="s">
        <v>91</v>
      </c>
      <c r="J151">
        <v>4</v>
      </c>
      <c r="K151">
        <v>0.03</v>
      </c>
      <c r="L151">
        <v>1</v>
      </c>
      <c r="M151">
        <v>1</v>
      </c>
      <c r="N151">
        <v>1</v>
      </c>
      <c r="O151">
        <v>100</v>
      </c>
      <c r="P151" t="b">
        <f t="shared" si="2"/>
        <v>0</v>
      </c>
    </row>
    <row r="152" spans="1:16" x14ac:dyDescent="0.2">
      <c r="A152" t="s">
        <v>127</v>
      </c>
      <c r="B152" t="s">
        <v>128</v>
      </c>
      <c r="C152">
        <v>172</v>
      </c>
      <c r="D152">
        <v>130377</v>
      </c>
      <c r="E152" t="s">
        <v>616</v>
      </c>
      <c r="F152" t="s">
        <v>70</v>
      </c>
      <c r="G152" t="s">
        <v>10</v>
      </c>
      <c r="H152" t="s">
        <v>8</v>
      </c>
      <c r="I152" t="s">
        <v>91</v>
      </c>
      <c r="J152">
        <v>22</v>
      </c>
      <c r="K152">
        <v>0.03</v>
      </c>
      <c r="L152">
        <v>1</v>
      </c>
      <c r="M152">
        <v>1</v>
      </c>
      <c r="N152">
        <v>1</v>
      </c>
      <c r="O152">
        <v>100</v>
      </c>
      <c r="P152" t="b">
        <f t="shared" si="2"/>
        <v>0</v>
      </c>
    </row>
    <row r="153" spans="1:16" x14ac:dyDescent="0.2">
      <c r="A153" t="s">
        <v>127</v>
      </c>
      <c r="B153" t="s">
        <v>128</v>
      </c>
      <c r="C153">
        <v>173</v>
      </c>
      <c r="D153">
        <v>134357</v>
      </c>
      <c r="E153" t="s">
        <v>393</v>
      </c>
      <c r="F153" t="s">
        <v>9</v>
      </c>
      <c r="G153" t="s">
        <v>452</v>
      </c>
      <c r="H153" t="s">
        <v>8</v>
      </c>
      <c r="I153" t="s">
        <v>96</v>
      </c>
      <c r="J153">
        <v>8</v>
      </c>
      <c r="K153">
        <v>5</v>
      </c>
      <c r="L153">
        <v>4</v>
      </c>
      <c r="M153">
        <v>3</v>
      </c>
      <c r="N153">
        <v>3</v>
      </c>
      <c r="O153">
        <v>2</v>
      </c>
      <c r="P153" t="b">
        <f t="shared" si="2"/>
        <v>0</v>
      </c>
    </row>
    <row r="154" spans="1:16" x14ac:dyDescent="0.2">
      <c r="A154" t="s">
        <v>127</v>
      </c>
      <c r="B154" t="s">
        <v>128</v>
      </c>
      <c r="C154">
        <v>174</v>
      </c>
      <c r="D154">
        <v>130590</v>
      </c>
      <c r="E154" t="s">
        <v>571</v>
      </c>
      <c r="F154" t="s">
        <v>68</v>
      </c>
      <c r="G154" t="s">
        <v>10</v>
      </c>
      <c r="H154" t="s">
        <v>5</v>
      </c>
      <c r="I154" t="s">
        <v>95</v>
      </c>
      <c r="J154">
        <v>7</v>
      </c>
      <c r="K154">
        <v>0.03</v>
      </c>
      <c r="L154">
        <v>1</v>
      </c>
      <c r="M154">
        <v>1</v>
      </c>
      <c r="N154">
        <v>1</v>
      </c>
      <c r="O154">
        <v>100</v>
      </c>
      <c r="P154" t="b">
        <f t="shared" si="2"/>
        <v>0</v>
      </c>
    </row>
    <row r="155" spans="1:16" x14ac:dyDescent="0.2">
      <c r="A155" t="s">
        <v>127</v>
      </c>
      <c r="B155" t="s">
        <v>128</v>
      </c>
      <c r="C155">
        <v>175</v>
      </c>
      <c r="D155">
        <v>126931</v>
      </c>
      <c r="E155" t="s">
        <v>827</v>
      </c>
      <c r="F155" t="s">
        <v>37</v>
      </c>
      <c r="G155" t="s">
        <v>452</v>
      </c>
      <c r="H155" t="s">
        <v>5</v>
      </c>
      <c r="I155" t="s">
        <v>91</v>
      </c>
      <c r="J155">
        <v>3</v>
      </c>
      <c r="K155">
        <v>0.03</v>
      </c>
      <c r="L155">
        <v>1</v>
      </c>
      <c r="M155">
        <v>1</v>
      </c>
      <c r="N155">
        <v>1</v>
      </c>
      <c r="O155">
        <v>100</v>
      </c>
      <c r="P155" t="b">
        <f t="shared" si="2"/>
        <v>0</v>
      </c>
    </row>
    <row r="156" spans="1:16" x14ac:dyDescent="0.2">
      <c r="A156" t="s">
        <v>127</v>
      </c>
      <c r="B156" t="s">
        <v>128</v>
      </c>
      <c r="C156">
        <v>176</v>
      </c>
      <c r="D156">
        <v>131073</v>
      </c>
      <c r="E156" t="s">
        <v>497</v>
      </c>
      <c r="F156" t="s">
        <v>64</v>
      </c>
      <c r="G156" t="s">
        <v>10</v>
      </c>
      <c r="H156" t="s">
        <v>6</v>
      </c>
      <c r="I156" t="s">
        <v>91</v>
      </c>
      <c r="J156">
        <v>26</v>
      </c>
      <c r="K156">
        <v>0.03</v>
      </c>
      <c r="L156">
        <v>1</v>
      </c>
      <c r="M156">
        <v>1</v>
      </c>
      <c r="N156">
        <v>1</v>
      </c>
      <c r="O156">
        <v>100</v>
      </c>
      <c r="P156" t="b">
        <f t="shared" si="2"/>
        <v>0</v>
      </c>
    </row>
    <row r="157" spans="1:16" x14ac:dyDescent="0.2">
      <c r="A157" t="s">
        <v>127</v>
      </c>
      <c r="B157" t="s">
        <v>128</v>
      </c>
      <c r="C157">
        <v>177</v>
      </c>
      <c r="D157">
        <v>70063</v>
      </c>
      <c r="E157" t="s">
        <v>134</v>
      </c>
      <c r="F157" t="s">
        <v>26</v>
      </c>
      <c r="G157" t="s">
        <v>452</v>
      </c>
      <c r="H157" t="s">
        <v>6</v>
      </c>
      <c r="I157" t="s">
        <v>91</v>
      </c>
      <c r="J157">
        <v>8</v>
      </c>
      <c r="K157">
        <v>0.03</v>
      </c>
      <c r="L157">
        <v>1</v>
      </c>
      <c r="M157">
        <v>1</v>
      </c>
      <c r="N157">
        <v>1</v>
      </c>
      <c r="O157">
        <v>100</v>
      </c>
      <c r="P157" t="b">
        <f t="shared" si="2"/>
        <v>0</v>
      </c>
    </row>
    <row r="158" spans="1:16" x14ac:dyDescent="0.2">
      <c r="A158" t="s">
        <v>127</v>
      </c>
      <c r="B158" t="s">
        <v>128</v>
      </c>
      <c r="C158">
        <v>178</v>
      </c>
      <c r="D158">
        <v>129583</v>
      </c>
      <c r="E158" t="s">
        <v>184</v>
      </c>
      <c r="F158" t="s">
        <v>67</v>
      </c>
      <c r="G158" t="s">
        <v>10</v>
      </c>
      <c r="H158" t="s">
        <v>12</v>
      </c>
      <c r="I158" t="s">
        <v>95</v>
      </c>
      <c r="J158">
        <v>11</v>
      </c>
      <c r="K158">
        <v>0.03</v>
      </c>
      <c r="L158">
        <v>1</v>
      </c>
      <c r="M158">
        <v>1</v>
      </c>
      <c r="N158">
        <v>1</v>
      </c>
      <c r="O158">
        <v>100</v>
      </c>
      <c r="P158" t="b">
        <f t="shared" si="2"/>
        <v>0</v>
      </c>
    </row>
    <row r="159" spans="1:16" x14ac:dyDescent="0.2">
      <c r="A159" t="s">
        <v>127</v>
      </c>
      <c r="B159" t="s">
        <v>128</v>
      </c>
      <c r="C159">
        <v>179</v>
      </c>
      <c r="D159">
        <v>111495</v>
      </c>
      <c r="E159" t="s">
        <v>169</v>
      </c>
      <c r="F159" t="s">
        <v>47</v>
      </c>
      <c r="G159" t="s">
        <v>452</v>
      </c>
      <c r="H159" t="s">
        <v>12</v>
      </c>
      <c r="I159" t="s">
        <v>91</v>
      </c>
      <c r="J159">
        <v>2</v>
      </c>
      <c r="K159">
        <v>0.03</v>
      </c>
      <c r="L159">
        <v>1</v>
      </c>
      <c r="M159">
        <v>1</v>
      </c>
      <c r="N159">
        <v>1</v>
      </c>
      <c r="O159">
        <v>100</v>
      </c>
      <c r="P159" t="b">
        <f t="shared" si="2"/>
        <v>0</v>
      </c>
    </row>
    <row r="160" spans="1:16" x14ac:dyDescent="0.2">
      <c r="A160" t="s">
        <v>127</v>
      </c>
      <c r="B160" t="s">
        <v>128</v>
      </c>
      <c r="C160">
        <v>180</v>
      </c>
      <c r="D160">
        <v>129565</v>
      </c>
      <c r="E160" t="s">
        <v>735</v>
      </c>
      <c r="F160" t="s">
        <v>70</v>
      </c>
      <c r="G160" t="s">
        <v>10</v>
      </c>
      <c r="H160" t="s">
        <v>8</v>
      </c>
      <c r="I160" t="s">
        <v>91</v>
      </c>
      <c r="J160">
        <v>24</v>
      </c>
      <c r="K160">
        <v>0.03</v>
      </c>
      <c r="L160">
        <v>1</v>
      </c>
      <c r="M160">
        <v>1</v>
      </c>
      <c r="N160">
        <v>1</v>
      </c>
      <c r="O160">
        <v>100</v>
      </c>
      <c r="P160" t="b">
        <f t="shared" si="2"/>
        <v>0</v>
      </c>
    </row>
    <row r="161" spans="1:16" x14ac:dyDescent="0.2">
      <c r="A161" t="s">
        <v>127</v>
      </c>
      <c r="B161" t="s">
        <v>128</v>
      </c>
      <c r="C161">
        <v>181</v>
      </c>
      <c r="D161">
        <v>126586</v>
      </c>
      <c r="E161" t="s">
        <v>836</v>
      </c>
      <c r="F161" t="s">
        <v>9</v>
      </c>
      <c r="G161" t="s">
        <v>452</v>
      </c>
      <c r="H161" t="s">
        <v>8</v>
      </c>
      <c r="I161" t="s">
        <v>93</v>
      </c>
      <c r="J161">
        <v>9</v>
      </c>
      <c r="K161">
        <v>3</v>
      </c>
      <c r="L161">
        <v>5</v>
      </c>
      <c r="M161">
        <v>2</v>
      </c>
      <c r="N161">
        <v>2</v>
      </c>
      <c r="O161">
        <v>3</v>
      </c>
      <c r="P161" t="b">
        <f t="shared" si="2"/>
        <v>0</v>
      </c>
    </row>
    <row r="162" spans="1:16" x14ac:dyDescent="0.2">
      <c r="A162" t="s">
        <v>127</v>
      </c>
      <c r="B162" t="s">
        <v>128</v>
      </c>
      <c r="C162">
        <v>182</v>
      </c>
      <c r="D162">
        <v>130435</v>
      </c>
      <c r="E162" t="s">
        <v>607</v>
      </c>
      <c r="F162" t="s">
        <v>65</v>
      </c>
      <c r="G162" t="s">
        <v>10</v>
      </c>
      <c r="H162" t="s">
        <v>5</v>
      </c>
      <c r="I162" t="s">
        <v>138</v>
      </c>
      <c r="J162">
        <v>13</v>
      </c>
      <c r="K162">
        <v>0.03</v>
      </c>
      <c r="L162">
        <v>1</v>
      </c>
      <c r="M162">
        <v>1</v>
      </c>
      <c r="N162">
        <v>1</v>
      </c>
      <c r="O162">
        <v>100</v>
      </c>
      <c r="P162" t="b">
        <f t="shared" si="2"/>
        <v>0</v>
      </c>
    </row>
    <row r="163" spans="1:16" x14ac:dyDescent="0.2">
      <c r="A163" t="s">
        <v>127</v>
      </c>
      <c r="B163" t="s">
        <v>128</v>
      </c>
      <c r="C163">
        <v>183</v>
      </c>
      <c r="D163">
        <v>127257</v>
      </c>
      <c r="E163" t="s">
        <v>823</v>
      </c>
      <c r="F163" t="s">
        <v>21</v>
      </c>
      <c r="G163" t="s">
        <v>452</v>
      </c>
      <c r="H163" t="s">
        <v>5</v>
      </c>
      <c r="I163" t="s">
        <v>91</v>
      </c>
      <c r="J163">
        <v>4</v>
      </c>
      <c r="K163">
        <v>0.03</v>
      </c>
      <c r="L163">
        <v>1</v>
      </c>
      <c r="M163">
        <v>1</v>
      </c>
      <c r="N163">
        <v>1</v>
      </c>
      <c r="O163">
        <v>100</v>
      </c>
      <c r="P163" t="b">
        <f t="shared" si="2"/>
        <v>0</v>
      </c>
    </row>
    <row r="164" spans="1:16" x14ac:dyDescent="0.2">
      <c r="A164" t="s">
        <v>127</v>
      </c>
      <c r="B164" t="s">
        <v>128</v>
      </c>
      <c r="C164">
        <v>184</v>
      </c>
      <c r="D164">
        <v>131025</v>
      </c>
      <c r="E164" t="s">
        <v>502</v>
      </c>
      <c r="F164" t="s">
        <v>64</v>
      </c>
      <c r="G164" t="s">
        <v>10</v>
      </c>
      <c r="H164" t="s">
        <v>6</v>
      </c>
      <c r="I164" t="s">
        <v>91</v>
      </c>
      <c r="J164">
        <v>27</v>
      </c>
      <c r="K164">
        <v>0.03</v>
      </c>
      <c r="L164">
        <v>1</v>
      </c>
      <c r="M164">
        <v>1</v>
      </c>
      <c r="N164">
        <v>1</v>
      </c>
      <c r="O164">
        <v>100</v>
      </c>
      <c r="P164" t="b">
        <f t="shared" si="2"/>
        <v>0</v>
      </c>
    </row>
    <row r="165" spans="1:16" x14ac:dyDescent="0.2">
      <c r="A165" t="s">
        <v>127</v>
      </c>
      <c r="B165" t="s">
        <v>128</v>
      </c>
      <c r="C165">
        <v>185</v>
      </c>
      <c r="D165">
        <v>68794</v>
      </c>
      <c r="E165" t="s">
        <v>958</v>
      </c>
      <c r="F165" t="s">
        <v>7</v>
      </c>
      <c r="G165" t="s">
        <v>452</v>
      </c>
      <c r="H165" t="s">
        <v>6</v>
      </c>
      <c r="I165" t="s">
        <v>95</v>
      </c>
      <c r="J165">
        <v>8</v>
      </c>
      <c r="K165">
        <v>0.03</v>
      </c>
      <c r="L165">
        <v>1</v>
      </c>
      <c r="M165">
        <v>1</v>
      </c>
      <c r="N165">
        <v>1</v>
      </c>
      <c r="O165">
        <v>100</v>
      </c>
      <c r="P165" t="b">
        <f t="shared" si="2"/>
        <v>0</v>
      </c>
    </row>
    <row r="166" spans="1:16" x14ac:dyDescent="0.2">
      <c r="A166" t="s">
        <v>127</v>
      </c>
      <c r="B166" t="s">
        <v>128</v>
      </c>
      <c r="C166">
        <v>186</v>
      </c>
      <c r="D166">
        <v>129465</v>
      </c>
      <c r="E166" t="s">
        <v>778</v>
      </c>
      <c r="F166" t="s">
        <v>69</v>
      </c>
      <c r="G166" t="s">
        <v>10</v>
      </c>
      <c r="H166" t="s">
        <v>12</v>
      </c>
      <c r="I166" t="s">
        <v>131</v>
      </c>
      <c r="J166">
        <v>9</v>
      </c>
      <c r="K166">
        <v>0.03</v>
      </c>
      <c r="L166">
        <v>1</v>
      </c>
      <c r="M166">
        <v>1</v>
      </c>
      <c r="N166">
        <v>1</v>
      </c>
      <c r="O166">
        <v>100</v>
      </c>
      <c r="P166" t="b">
        <f t="shared" si="2"/>
        <v>0</v>
      </c>
    </row>
    <row r="167" spans="1:16" x14ac:dyDescent="0.2">
      <c r="A167" t="s">
        <v>127</v>
      </c>
      <c r="B167" t="s">
        <v>128</v>
      </c>
      <c r="C167">
        <v>187</v>
      </c>
      <c r="D167">
        <v>31922</v>
      </c>
      <c r="E167" t="s">
        <v>1089</v>
      </c>
      <c r="F167" t="s">
        <v>48</v>
      </c>
      <c r="G167" t="s">
        <v>452</v>
      </c>
      <c r="H167" t="s">
        <v>12</v>
      </c>
      <c r="I167" t="s">
        <v>91</v>
      </c>
      <c r="J167">
        <v>2</v>
      </c>
      <c r="K167">
        <v>0.03</v>
      </c>
      <c r="L167">
        <v>1</v>
      </c>
      <c r="M167">
        <v>1</v>
      </c>
      <c r="N167">
        <v>1</v>
      </c>
      <c r="O167">
        <v>100</v>
      </c>
      <c r="P167" t="b">
        <f t="shared" si="2"/>
        <v>0</v>
      </c>
    </row>
    <row r="168" spans="1:16" x14ac:dyDescent="0.2">
      <c r="A168" t="s">
        <v>127</v>
      </c>
      <c r="B168" t="s">
        <v>128</v>
      </c>
      <c r="C168">
        <v>188</v>
      </c>
      <c r="D168">
        <v>129826</v>
      </c>
      <c r="E168" t="s">
        <v>700</v>
      </c>
      <c r="F168" t="s">
        <v>70</v>
      </c>
      <c r="G168" t="s">
        <v>10</v>
      </c>
      <c r="H168" t="s">
        <v>8</v>
      </c>
      <c r="I168" t="s">
        <v>95</v>
      </c>
      <c r="J168">
        <v>25</v>
      </c>
      <c r="K168">
        <v>0.03</v>
      </c>
      <c r="L168">
        <v>1</v>
      </c>
      <c r="M168">
        <v>1</v>
      </c>
      <c r="N168">
        <v>1</v>
      </c>
      <c r="O168">
        <v>100</v>
      </c>
      <c r="P168" t="b">
        <f t="shared" si="2"/>
        <v>0</v>
      </c>
    </row>
    <row r="169" spans="1:16" x14ac:dyDescent="0.2">
      <c r="A169" t="s">
        <v>127</v>
      </c>
      <c r="B169" t="s">
        <v>128</v>
      </c>
      <c r="C169">
        <v>189</v>
      </c>
      <c r="D169">
        <v>31983</v>
      </c>
      <c r="E169" t="s">
        <v>1074</v>
      </c>
      <c r="F169" t="s">
        <v>34</v>
      </c>
      <c r="G169" t="s">
        <v>452</v>
      </c>
      <c r="H169" t="s">
        <v>8</v>
      </c>
      <c r="I169" t="s">
        <v>91</v>
      </c>
      <c r="J169">
        <v>4</v>
      </c>
      <c r="K169">
        <v>0.03</v>
      </c>
      <c r="L169">
        <v>1</v>
      </c>
      <c r="M169">
        <v>1</v>
      </c>
      <c r="N169">
        <v>1</v>
      </c>
      <c r="O169">
        <v>100</v>
      </c>
      <c r="P169" t="b">
        <f t="shared" si="2"/>
        <v>0</v>
      </c>
    </row>
    <row r="170" spans="1:16" x14ac:dyDescent="0.2">
      <c r="A170" t="s">
        <v>127</v>
      </c>
      <c r="B170" t="s">
        <v>128</v>
      </c>
      <c r="C170">
        <v>190</v>
      </c>
      <c r="D170">
        <v>129670</v>
      </c>
      <c r="E170" t="s">
        <v>192</v>
      </c>
      <c r="F170" t="s">
        <v>65</v>
      </c>
      <c r="G170" t="s">
        <v>10</v>
      </c>
      <c r="H170" t="s">
        <v>5</v>
      </c>
      <c r="I170" t="s">
        <v>97</v>
      </c>
      <c r="J170">
        <v>14</v>
      </c>
      <c r="K170">
        <v>0.03</v>
      </c>
      <c r="L170">
        <v>1</v>
      </c>
      <c r="M170">
        <v>1</v>
      </c>
      <c r="N170">
        <v>1</v>
      </c>
      <c r="O170">
        <v>100</v>
      </c>
      <c r="P170" t="b">
        <f t="shared" si="2"/>
        <v>0</v>
      </c>
    </row>
    <row r="171" spans="1:16" x14ac:dyDescent="0.2">
      <c r="A171" t="s">
        <v>127</v>
      </c>
      <c r="B171" t="s">
        <v>128</v>
      </c>
      <c r="C171">
        <v>191</v>
      </c>
      <c r="D171">
        <v>124619</v>
      </c>
      <c r="E171" t="s">
        <v>861</v>
      </c>
      <c r="F171" t="s">
        <v>23</v>
      </c>
      <c r="G171" t="s">
        <v>452</v>
      </c>
      <c r="H171" t="s">
        <v>5</v>
      </c>
      <c r="I171" t="s">
        <v>91</v>
      </c>
      <c r="J171">
        <v>5</v>
      </c>
      <c r="K171">
        <v>0.03</v>
      </c>
      <c r="L171">
        <v>1</v>
      </c>
      <c r="M171">
        <v>1</v>
      </c>
      <c r="N171">
        <v>1</v>
      </c>
      <c r="O171">
        <v>100</v>
      </c>
      <c r="P171" t="b">
        <f t="shared" si="2"/>
        <v>0</v>
      </c>
    </row>
    <row r="172" spans="1:16" x14ac:dyDescent="0.2">
      <c r="A172" t="s">
        <v>127</v>
      </c>
      <c r="B172" t="s">
        <v>128</v>
      </c>
      <c r="C172">
        <v>192</v>
      </c>
      <c r="D172">
        <v>131078</v>
      </c>
      <c r="E172" t="s">
        <v>492</v>
      </c>
      <c r="F172" t="s">
        <v>64</v>
      </c>
      <c r="G172" t="s">
        <v>10</v>
      </c>
      <c r="H172" t="s">
        <v>6</v>
      </c>
      <c r="I172" t="s">
        <v>91</v>
      </c>
      <c r="J172">
        <v>28</v>
      </c>
      <c r="K172">
        <v>0.03</v>
      </c>
      <c r="L172">
        <v>1</v>
      </c>
      <c r="M172">
        <v>1</v>
      </c>
      <c r="N172">
        <v>1</v>
      </c>
      <c r="O172">
        <v>100</v>
      </c>
      <c r="P172" t="b">
        <f t="shared" si="2"/>
        <v>0</v>
      </c>
    </row>
    <row r="173" spans="1:16" x14ac:dyDescent="0.2">
      <c r="A173" t="s">
        <v>127</v>
      </c>
      <c r="B173" t="s">
        <v>128</v>
      </c>
      <c r="C173">
        <v>193</v>
      </c>
      <c r="D173">
        <v>31749</v>
      </c>
      <c r="E173" t="s">
        <v>1118</v>
      </c>
      <c r="F173" t="s">
        <v>26</v>
      </c>
      <c r="G173" t="s">
        <v>452</v>
      </c>
      <c r="H173" t="s">
        <v>6</v>
      </c>
      <c r="I173" t="s">
        <v>91</v>
      </c>
      <c r="J173">
        <v>11</v>
      </c>
      <c r="K173">
        <v>0.03</v>
      </c>
      <c r="L173">
        <v>1</v>
      </c>
      <c r="M173">
        <v>1</v>
      </c>
      <c r="N173">
        <v>1</v>
      </c>
      <c r="O173">
        <v>100</v>
      </c>
      <c r="P173" t="b">
        <f t="shared" si="2"/>
        <v>0</v>
      </c>
    </row>
    <row r="174" spans="1:16" x14ac:dyDescent="0.2">
      <c r="A174" t="s">
        <v>127</v>
      </c>
      <c r="B174" t="s">
        <v>128</v>
      </c>
      <c r="C174">
        <v>194</v>
      </c>
      <c r="D174">
        <v>130945</v>
      </c>
      <c r="E174" t="s">
        <v>515</v>
      </c>
      <c r="F174" t="s">
        <v>71</v>
      </c>
      <c r="G174" t="s">
        <v>10</v>
      </c>
      <c r="H174" t="s">
        <v>12</v>
      </c>
      <c r="I174" t="s">
        <v>91</v>
      </c>
      <c r="J174">
        <v>5</v>
      </c>
      <c r="K174">
        <v>0.03</v>
      </c>
      <c r="L174">
        <v>1</v>
      </c>
      <c r="M174">
        <v>1</v>
      </c>
      <c r="N174">
        <v>1</v>
      </c>
      <c r="O174">
        <v>100</v>
      </c>
      <c r="P174" t="b">
        <f t="shared" si="2"/>
        <v>0</v>
      </c>
    </row>
    <row r="175" spans="1:16" x14ac:dyDescent="0.2">
      <c r="A175" t="s">
        <v>127</v>
      </c>
      <c r="B175" t="s">
        <v>128</v>
      </c>
      <c r="C175">
        <v>195</v>
      </c>
      <c r="D175">
        <v>125218</v>
      </c>
      <c r="E175" t="s">
        <v>171</v>
      </c>
      <c r="F175" t="s">
        <v>98</v>
      </c>
      <c r="G175" t="s">
        <v>452</v>
      </c>
      <c r="H175" t="s">
        <v>12</v>
      </c>
      <c r="I175" t="s">
        <v>97</v>
      </c>
      <c r="J175">
        <v>2</v>
      </c>
      <c r="K175">
        <v>0.03</v>
      </c>
      <c r="L175">
        <v>1</v>
      </c>
      <c r="M175">
        <v>1</v>
      </c>
      <c r="N175">
        <v>1</v>
      </c>
      <c r="O175">
        <v>100</v>
      </c>
      <c r="P175" t="b">
        <f t="shared" si="2"/>
        <v>0</v>
      </c>
    </row>
    <row r="176" spans="1:16" x14ac:dyDescent="0.2">
      <c r="A176" t="s">
        <v>127</v>
      </c>
      <c r="B176" t="s">
        <v>128</v>
      </c>
      <c r="C176">
        <v>196</v>
      </c>
      <c r="D176">
        <v>129577</v>
      </c>
      <c r="E176" t="s">
        <v>732</v>
      </c>
      <c r="F176" t="s">
        <v>70</v>
      </c>
      <c r="G176" t="s">
        <v>10</v>
      </c>
      <c r="H176" t="s">
        <v>8</v>
      </c>
      <c r="I176" t="s">
        <v>91</v>
      </c>
      <c r="J176">
        <v>25</v>
      </c>
      <c r="K176">
        <v>0.03</v>
      </c>
      <c r="L176">
        <v>1</v>
      </c>
      <c r="M176">
        <v>1</v>
      </c>
      <c r="N176">
        <v>1</v>
      </c>
      <c r="O176">
        <v>100</v>
      </c>
      <c r="P176" t="b">
        <f t="shared" si="2"/>
        <v>0</v>
      </c>
    </row>
    <row r="177" spans="1:16" x14ac:dyDescent="0.2">
      <c r="A177" t="s">
        <v>127</v>
      </c>
      <c r="B177" t="s">
        <v>128</v>
      </c>
      <c r="C177">
        <v>197</v>
      </c>
      <c r="D177">
        <v>125916</v>
      </c>
      <c r="E177" t="s">
        <v>853</v>
      </c>
      <c r="F177" t="s">
        <v>58</v>
      </c>
      <c r="G177" t="s">
        <v>452</v>
      </c>
      <c r="H177" t="s">
        <v>8</v>
      </c>
      <c r="I177" t="s">
        <v>93</v>
      </c>
      <c r="J177">
        <v>4</v>
      </c>
      <c r="K177">
        <v>0.03</v>
      </c>
      <c r="L177">
        <v>1</v>
      </c>
      <c r="M177">
        <v>1</v>
      </c>
      <c r="N177">
        <v>1</v>
      </c>
      <c r="O177">
        <v>100</v>
      </c>
      <c r="P177" t="b">
        <f t="shared" si="2"/>
        <v>0</v>
      </c>
    </row>
    <row r="178" spans="1:16" x14ac:dyDescent="0.2">
      <c r="A178" t="s">
        <v>127</v>
      </c>
      <c r="B178" t="s">
        <v>128</v>
      </c>
      <c r="C178">
        <v>198</v>
      </c>
      <c r="D178">
        <v>130626</v>
      </c>
      <c r="E178" t="s">
        <v>186</v>
      </c>
      <c r="F178" t="s">
        <v>66</v>
      </c>
      <c r="G178" t="s">
        <v>10</v>
      </c>
      <c r="H178" t="s">
        <v>5</v>
      </c>
      <c r="I178" t="s">
        <v>95</v>
      </c>
      <c r="J178">
        <v>11</v>
      </c>
      <c r="K178">
        <v>0.03</v>
      </c>
      <c r="L178">
        <v>1</v>
      </c>
      <c r="M178">
        <v>1</v>
      </c>
      <c r="N178">
        <v>1</v>
      </c>
      <c r="O178">
        <v>100</v>
      </c>
      <c r="P178" t="b">
        <f t="shared" si="2"/>
        <v>0</v>
      </c>
    </row>
    <row r="179" spans="1:16" x14ac:dyDescent="0.2">
      <c r="A179" t="s">
        <v>127</v>
      </c>
      <c r="B179" t="s">
        <v>128</v>
      </c>
      <c r="C179">
        <v>199</v>
      </c>
      <c r="D179">
        <v>126478</v>
      </c>
      <c r="E179" t="s">
        <v>843</v>
      </c>
      <c r="F179" t="s">
        <v>36</v>
      </c>
      <c r="G179" t="s">
        <v>452</v>
      </c>
      <c r="H179" t="s">
        <v>5</v>
      </c>
      <c r="I179" t="s">
        <v>96</v>
      </c>
      <c r="J179">
        <v>4</v>
      </c>
      <c r="K179">
        <v>2</v>
      </c>
      <c r="L179">
        <v>3</v>
      </c>
      <c r="M179">
        <v>2</v>
      </c>
      <c r="N179">
        <v>1</v>
      </c>
      <c r="O179">
        <v>3</v>
      </c>
      <c r="P179" t="b">
        <f t="shared" si="2"/>
        <v>0</v>
      </c>
    </row>
    <row r="180" spans="1:16" x14ac:dyDescent="0.2">
      <c r="A180" t="s">
        <v>127</v>
      </c>
      <c r="B180" t="s">
        <v>128</v>
      </c>
      <c r="C180">
        <v>200</v>
      </c>
      <c r="D180">
        <v>130716</v>
      </c>
      <c r="E180" t="s">
        <v>548</v>
      </c>
      <c r="F180" t="s">
        <v>64</v>
      </c>
      <c r="G180" t="s">
        <v>10</v>
      </c>
      <c r="H180" t="s">
        <v>6</v>
      </c>
      <c r="I180" t="s">
        <v>97</v>
      </c>
      <c r="J180">
        <v>29</v>
      </c>
      <c r="K180">
        <v>0.03</v>
      </c>
      <c r="L180">
        <v>1</v>
      </c>
      <c r="M180">
        <v>1</v>
      </c>
      <c r="N180">
        <v>1</v>
      </c>
      <c r="O180">
        <v>100</v>
      </c>
      <c r="P180" t="b">
        <f t="shared" si="2"/>
        <v>0</v>
      </c>
    </row>
    <row r="181" spans="1:16" x14ac:dyDescent="0.2">
      <c r="A181" t="s">
        <v>127</v>
      </c>
      <c r="B181" t="s">
        <v>128</v>
      </c>
      <c r="C181">
        <v>201</v>
      </c>
      <c r="D181">
        <v>119415</v>
      </c>
      <c r="E181" t="s">
        <v>875</v>
      </c>
      <c r="F181" t="s">
        <v>7</v>
      </c>
      <c r="G181" t="s">
        <v>452</v>
      </c>
      <c r="H181" t="s">
        <v>6</v>
      </c>
      <c r="I181" t="s">
        <v>95</v>
      </c>
      <c r="J181">
        <v>9</v>
      </c>
      <c r="K181">
        <v>0.03</v>
      </c>
      <c r="L181">
        <v>1</v>
      </c>
      <c r="M181">
        <v>1</v>
      </c>
      <c r="N181">
        <v>1</v>
      </c>
      <c r="O181">
        <v>100</v>
      </c>
      <c r="P181" t="b">
        <f t="shared" si="2"/>
        <v>0</v>
      </c>
    </row>
    <row r="182" spans="1:16" x14ac:dyDescent="0.2">
      <c r="A182" t="s">
        <v>127</v>
      </c>
      <c r="B182" t="s">
        <v>128</v>
      </c>
      <c r="C182">
        <v>202</v>
      </c>
      <c r="D182">
        <v>130691</v>
      </c>
      <c r="E182" t="s">
        <v>553</v>
      </c>
      <c r="F182" t="s">
        <v>67</v>
      </c>
      <c r="G182" t="s">
        <v>10</v>
      </c>
      <c r="H182" t="s">
        <v>12</v>
      </c>
      <c r="I182" t="s">
        <v>97</v>
      </c>
      <c r="J182">
        <v>12</v>
      </c>
      <c r="K182">
        <v>0.03</v>
      </c>
      <c r="L182">
        <v>1</v>
      </c>
      <c r="M182">
        <v>1</v>
      </c>
      <c r="N182">
        <v>1</v>
      </c>
      <c r="O182">
        <v>100</v>
      </c>
      <c r="P182" t="b">
        <f t="shared" si="2"/>
        <v>0</v>
      </c>
    </row>
    <row r="183" spans="1:16" x14ac:dyDescent="0.2">
      <c r="A183" t="s">
        <v>127</v>
      </c>
      <c r="B183" t="s">
        <v>128</v>
      </c>
      <c r="C183">
        <v>203</v>
      </c>
      <c r="D183">
        <v>123320</v>
      </c>
      <c r="E183" t="s">
        <v>174</v>
      </c>
      <c r="F183" t="s">
        <v>54</v>
      </c>
      <c r="G183" t="s">
        <v>452</v>
      </c>
      <c r="H183" t="s">
        <v>12</v>
      </c>
      <c r="I183" t="s">
        <v>91</v>
      </c>
      <c r="J183">
        <v>2</v>
      </c>
      <c r="K183">
        <v>0.03</v>
      </c>
      <c r="L183">
        <v>1</v>
      </c>
      <c r="M183">
        <v>1</v>
      </c>
      <c r="N183">
        <v>1</v>
      </c>
      <c r="O183">
        <v>100</v>
      </c>
      <c r="P183" t="b">
        <f t="shared" si="2"/>
        <v>0</v>
      </c>
    </row>
    <row r="184" spans="1:16" x14ac:dyDescent="0.2">
      <c r="A184" t="s">
        <v>127</v>
      </c>
      <c r="B184" t="s">
        <v>128</v>
      </c>
      <c r="C184">
        <v>204</v>
      </c>
      <c r="D184">
        <v>129741</v>
      </c>
      <c r="E184" t="s">
        <v>251</v>
      </c>
      <c r="F184" t="s">
        <v>70</v>
      </c>
      <c r="G184" t="s">
        <v>10</v>
      </c>
      <c r="H184" t="s">
        <v>8</v>
      </c>
      <c r="I184" t="s">
        <v>95</v>
      </c>
      <c r="J184">
        <v>26</v>
      </c>
      <c r="K184">
        <v>0.03</v>
      </c>
      <c r="L184">
        <v>1</v>
      </c>
      <c r="M184">
        <v>1</v>
      </c>
      <c r="N184">
        <v>1</v>
      </c>
      <c r="O184">
        <v>100</v>
      </c>
      <c r="P184" t="b">
        <f t="shared" si="2"/>
        <v>0</v>
      </c>
    </row>
    <row r="185" spans="1:16" x14ac:dyDescent="0.2">
      <c r="A185" t="s">
        <v>127</v>
      </c>
      <c r="B185" t="s">
        <v>128</v>
      </c>
      <c r="C185">
        <v>205</v>
      </c>
      <c r="D185">
        <v>126944</v>
      </c>
      <c r="E185" t="s">
        <v>826</v>
      </c>
      <c r="F185" t="s">
        <v>59</v>
      </c>
      <c r="G185" t="s">
        <v>452</v>
      </c>
      <c r="H185" t="s">
        <v>8</v>
      </c>
      <c r="I185" t="s">
        <v>94</v>
      </c>
      <c r="J185">
        <v>4</v>
      </c>
      <c r="K185">
        <v>3.3330000000000002</v>
      </c>
      <c r="L185">
        <v>4</v>
      </c>
      <c r="M185">
        <v>3</v>
      </c>
      <c r="N185">
        <v>3</v>
      </c>
      <c r="O185">
        <v>3</v>
      </c>
      <c r="P185" t="b">
        <f t="shared" si="2"/>
        <v>0</v>
      </c>
    </row>
    <row r="186" spans="1:16" x14ac:dyDescent="0.2">
      <c r="A186" t="s">
        <v>127</v>
      </c>
      <c r="B186" t="s">
        <v>128</v>
      </c>
      <c r="C186">
        <v>206</v>
      </c>
      <c r="D186">
        <v>130912</v>
      </c>
      <c r="E186" t="s">
        <v>185</v>
      </c>
      <c r="F186" t="s">
        <v>68</v>
      </c>
      <c r="G186" t="s">
        <v>10</v>
      </c>
      <c r="H186" t="s">
        <v>5</v>
      </c>
      <c r="I186" t="s">
        <v>91</v>
      </c>
      <c r="J186">
        <v>9</v>
      </c>
      <c r="K186">
        <v>0.03</v>
      </c>
      <c r="L186">
        <v>1</v>
      </c>
      <c r="M186">
        <v>1</v>
      </c>
      <c r="N186">
        <v>1</v>
      </c>
      <c r="O186">
        <v>100</v>
      </c>
      <c r="P186" t="b">
        <f t="shared" si="2"/>
        <v>0</v>
      </c>
    </row>
    <row r="187" spans="1:16" x14ac:dyDescent="0.2">
      <c r="A187" t="s">
        <v>127</v>
      </c>
      <c r="B187" t="s">
        <v>128</v>
      </c>
      <c r="C187">
        <v>207</v>
      </c>
      <c r="D187">
        <v>31897</v>
      </c>
      <c r="E187" t="s">
        <v>1094</v>
      </c>
      <c r="F187" t="s">
        <v>38</v>
      </c>
      <c r="G187" t="s">
        <v>452</v>
      </c>
      <c r="H187" t="s">
        <v>5</v>
      </c>
      <c r="I187" t="s">
        <v>95</v>
      </c>
      <c r="J187">
        <v>3</v>
      </c>
      <c r="K187">
        <v>0.03</v>
      </c>
      <c r="L187">
        <v>1</v>
      </c>
      <c r="M187">
        <v>1</v>
      </c>
      <c r="N187">
        <v>1</v>
      </c>
      <c r="O187">
        <v>100</v>
      </c>
      <c r="P187" t="b">
        <f t="shared" si="2"/>
        <v>0</v>
      </c>
    </row>
    <row r="188" spans="1:16" x14ac:dyDescent="0.2">
      <c r="A188" t="s">
        <v>127</v>
      </c>
      <c r="B188" t="s">
        <v>128</v>
      </c>
      <c r="C188">
        <v>208</v>
      </c>
      <c r="D188">
        <v>130746</v>
      </c>
      <c r="E188" t="s">
        <v>197</v>
      </c>
      <c r="F188" t="s">
        <v>64</v>
      </c>
      <c r="G188" t="s">
        <v>10</v>
      </c>
      <c r="H188" t="s">
        <v>6</v>
      </c>
      <c r="I188" t="s">
        <v>91</v>
      </c>
      <c r="J188">
        <v>30</v>
      </c>
      <c r="K188">
        <v>0.03</v>
      </c>
      <c r="L188">
        <v>1</v>
      </c>
      <c r="M188">
        <v>1</v>
      </c>
      <c r="N188">
        <v>1</v>
      </c>
      <c r="O188">
        <v>100</v>
      </c>
      <c r="P188" t="b">
        <f t="shared" si="2"/>
        <v>0</v>
      </c>
    </row>
    <row r="189" spans="1:16" x14ac:dyDescent="0.2">
      <c r="A189" t="s">
        <v>127</v>
      </c>
      <c r="B189" t="s">
        <v>128</v>
      </c>
      <c r="C189">
        <v>209</v>
      </c>
      <c r="D189">
        <v>81168</v>
      </c>
      <c r="E189" t="s">
        <v>156</v>
      </c>
      <c r="F189" t="s">
        <v>7</v>
      </c>
      <c r="G189" t="s">
        <v>452</v>
      </c>
      <c r="H189" t="s">
        <v>6</v>
      </c>
      <c r="I189" t="s">
        <v>95</v>
      </c>
      <c r="J189">
        <v>10</v>
      </c>
      <c r="K189">
        <v>0.03</v>
      </c>
      <c r="L189">
        <v>1</v>
      </c>
      <c r="M189">
        <v>1</v>
      </c>
      <c r="N189">
        <v>1</v>
      </c>
      <c r="O189">
        <v>100</v>
      </c>
      <c r="P189" t="b">
        <f t="shared" si="2"/>
        <v>0</v>
      </c>
    </row>
    <row r="190" spans="1:16" x14ac:dyDescent="0.2">
      <c r="A190" t="s">
        <v>127</v>
      </c>
      <c r="B190" t="s">
        <v>128</v>
      </c>
      <c r="C190">
        <v>210</v>
      </c>
      <c r="D190">
        <v>129463</v>
      </c>
      <c r="E190" t="s">
        <v>779</v>
      </c>
      <c r="F190" t="s">
        <v>69</v>
      </c>
      <c r="G190" t="s">
        <v>10</v>
      </c>
      <c r="H190" t="s">
        <v>12</v>
      </c>
      <c r="I190" t="s">
        <v>131</v>
      </c>
      <c r="J190">
        <v>10</v>
      </c>
      <c r="K190">
        <v>0.03</v>
      </c>
      <c r="L190">
        <v>1</v>
      </c>
      <c r="M190">
        <v>1</v>
      </c>
      <c r="N190">
        <v>1</v>
      </c>
      <c r="O190">
        <v>100</v>
      </c>
      <c r="P190" t="b">
        <f t="shared" si="2"/>
        <v>0</v>
      </c>
    </row>
    <row r="191" spans="1:16" x14ac:dyDescent="0.2">
      <c r="A191" t="s">
        <v>127</v>
      </c>
      <c r="B191" t="s">
        <v>128</v>
      </c>
      <c r="C191">
        <v>211</v>
      </c>
      <c r="D191">
        <v>48989</v>
      </c>
      <c r="E191" t="s">
        <v>1011</v>
      </c>
      <c r="F191" t="s">
        <v>50</v>
      </c>
      <c r="G191" t="s">
        <v>452</v>
      </c>
      <c r="H191" t="s">
        <v>12</v>
      </c>
      <c r="I191" t="s">
        <v>91</v>
      </c>
      <c r="J191">
        <v>2</v>
      </c>
      <c r="K191">
        <v>0.03</v>
      </c>
      <c r="L191">
        <v>1</v>
      </c>
      <c r="M191">
        <v>1</v>
      </c>
      <c r="N191">
        <v>1</v>
      </c>
      <c r="O191">
        <v>100</v>
      </c>
      <c r="P191" t="b">
        <f t="shared" si="2"/>
        <v>0</v>
      </c>
    </row>
    <row r="192" spans="1:16" x14ac:dyDescent="0.2">
      <c r="A192" t="s">
        <v>127</v>
      </c>
      <c r="B192" t="s">
        <v>128</v>
      </c>
      <c r="C192">
        <v>212</v>
      </c>
      <c r="D192">
        <v>130433</v>
      </c>
      <c r="E192" t="s">
        <v>609</v>
      </c>
      <c r="F192" t="s">
        <v>70</v>
      </c>
      <c r="G192" t="s">
        <v>10</v>
      </c>
      <c r="H192" t="s">
        <v>8</v>
      </c>
      <c r="I192" t="s">
        <v>97</v>
      </c>
      <c r="J192">
        <v>27</v>
      </c>
      <c r="K192">
        <v>0.03</v>
      </c>
      <c r="L192">
        <v>1</v>
      </c>
      <c r="M192">
        <v>1</v>
      </c>
      <c r="N192">
        <v>1</v>
      </c>
      <c r="O192">
        <v>100</v>
      </c>
      <c r="P192" t="b">
        <f t="shared" si="2"/>
        <v>0</v>
      </c>
    </row>
    <row r="193" spans="1:16" x14ac:dyDescent="0.2">
      <c r="A193" t="s">
        <v>127</v>
      </c>
      <c r="B193" t="s">
        <v>128</v>
      </c>
      <c r="C193">
        <v>213</v>
      </c>
      <c r="D193">
        <v>132061</v>
      </c>
      <c r="E193" t="s">
        <v>805</v>
      </c>
      <c r="F193" t="s">
        <v>9</v>
      </c>
      <c r="G193" t="s">
        <v>452</v>
      </c>
      <c r="H193" t="s">
        <v>8</v>
      </c>
      <c r="I193" t="s">
        <v>91</v>
      </c>
      <c r="J193">
        <v>10</v>
      </c>
      <c r="K193">
        <v>10</v>
      </c>
      <c r="L193">
        <v>2</v>
      </c>
      <c r="M193">
        <v>4</v>
      </c>
      <c r="N193">
        <v>4</v>
      </c>
      <c r="O193">
        <v>1</v>
      </c>
      <c r="P193" t="b">
        <f t="shared" si="2"/>
        <v>0</v>
      </c>
    </row>
    <row r="194" spans="1:16" x14ac:dyDescent="0.2">
      <c r="A194" t="s">
        <v>127</v>
      </c>
      <c r="B194" t="s">
        <v>128</v>
      </c>
      <c r="C194">
        <v>214</v>
      </c>
      <c r="D194">
        <v>130304</v>
      </c>
      <c r="E194" t="s">
        <v>195</v>
      </c>
      <c r="F194" t="s">
        <v>65</v>
      </c>
      <c r="G194" t="s">
        <v>10</v>
      </c>
      <c r="H194" t="s">
        <v>5</v>
      </c>
      <c r="I194" t="s">
        <v>97</v>
      </c>
      <c r="J194">
        <v>15</v>
      </c>
      <c r="K194">
        <v>0.03</v>
      </c>
      <c r="L194">
        <v>1</v>
      </c>
      <c r="M194">
        <v>1</v>
      </c>
      <c r="N194">
        <v>1</v>
      </c>
      <c r="O194">
        <v>100</v>
      </c>
      <c r="P194" t="b">
        <f t="shared" si="2"/>
        <v>0</v>
      </c>
    </row>
    <row r="195" spans="1:16" x14ac:dyDescent="0.2">
      <c r="A195" t="s">
        <v>127</v>
      </c>
      <c r="B195" t="s">
        <v>128</v>
      </c>
      <c r="C195">
        <v>215</v>
      </c>
      <c r="D195">
        <v>92337</v>
      </c>
      <c r="E195" t="s">
        <v>144</v>
      </c>
      <c r="F195" t="s">
        <v>25</v>
      </c>
      <c r="G195" t="s">
        <v>452</v>
      </c>
      <c r="H195" t="s">
        <v>5</v>
      </c>
      <c r="I195" t="s">
        <v>91</v>
      </c>
      <c r="J195">
        <v>3</v>
      </c>
      <c r="K195">
        <v>0.03</v>
      </c>
      <c r="L195">
        <v>1</v>
      </c>
      <c r="M195">
        <v>1</v>
      </c>
      <c r="N195">
        <v>1</v>
      </c>
      <c r="O195">
        <v>100</v>
      </c>
      <c r="P195" t="b">
        <f t="shared" ref="P195:P258" si="3">AND(C195&lt;$Q$1,IF(ISBLANK(C195),0,C195)&gt;0)</f>
        <v>0</v>
      </c>
    </row>
    <row r="196" spans="1:16" x14ac:dyDescent="0.2">
      <c r="A196" t="s">
        <v>127</v>
      </c>
      <c r="B196" t="s">
        <v>128</v>
      </c>
      <c r="C196">
        <v>216</v>
      </c>
      <c r="D196">
        <v>131074</v>
      </c>
      <c r="E196" t="s">
        <v>496</v>
      </c>
      <c r="F196" t="s">
        <v>64</v>
      </c>
      <c r="G196" t="s">
        <v>10</v>
      </c>
      <c r="H196" t="s">
        <v>6</v>
      </c>
      <c r="I196" t="s">
        <v>91</v>
      </c>
      <c r="J196">
        <v>31</v>
      </c>
      <c r="K196">
        <v>0.03</v>
      </c>
      <c r="L196">
        <v>1</v>
      </c>
      <c r="M196">
        <v>1</v>
      </c>
      <c r="N196">
        <v>1</v>
      </c>
      <c r="O196">
        <v>100</v>
      </c>
      <c r="P196" t="b">
        <f t="shared" si="3"/>
        <v>0</v>
      </c>
    </row>
    <row r="197" spans="1:16" x14ac:dyDescent="0.2">
      <c r="A197" t="s">
        <v>127</v>
      </c>
      <c r="B197" t="s">
        <v>128</v>
      </c>
      <c r="C197">
        <v>217</v>
      </c>
      <c r="D197">
        <v>76788</v>
      </c>
      <c r="E197" t="s">
        <v>931</v>
      </c>
      <c r="F197" t="s">
        <v>7</v>
      </c>
      <c r="G197" t="s">
        <v>452</v>
      </c>
      <c r="H197" t="s">
        <v>6</v>
      </c>
      <c r="I197" t="s">
        <v>91</v>
      </c>
      <c r="J197">
        <v>11</v>
      </c>
      <c r="K197">
        <v>0.03</v>
      </c>
      <c r="L197">
        <v>1</v>
      </c>
      <c r="M197">
        <v>1</v>
      </c>
      <c r="N197">
        <v>1</v>
      </c>
      <c r="O197">
        <v>100</v>
      </c>
      <c r="P197" t="b">
        <f t="shared" si="3"/>
        <v>0</v>
      </c>
    </row>
    <row r="198" spans="1:16" x14ac:dyDescent="0.2">
      <c r="A198" t="s">
        <v>127</v>
      </c>
      <c r="B198" t="s">
        <v>128</v>
      </c>
      <c r="C198">
        <v>218</v>
      </c>
      <c r="D198">
        <v>130070</v>
      </c>
      <c r="E198" t="s">
        <v>673</v>
      </c>
      <c r="F198" t="s">
        <v>71</v>
      </c>
      <c r="G198" t="s">
        <v>10</v>
      </c>
      <c r="H198" t="s">
        <v>12</v>
      </c>
      <c r="I198" t="s">
        <v>91</v>
      </c>
      <c r="J198">
        <v>6</v>
      </c>
      <c r="K198">
        <v>0.03</v>
      </c>
      <c r="L198">
        <v>1</v>
      </c>
      <c r="M198">
        <v>1</v>
      </c>
      <c r="N198">
        <v>1</v>
      </c>
      <c r="O198">
        <v>100</v>
      </c>
      <c r="P198" t="b">
        <f t="shared" si="3"/>
        <v>0</v>
      </c>
    </row>
    <row r="199" spans="1:16" x14ac:dyDescent="0.2">
      <c r="A199" t="s">
        <v>127</v>
      </c>
      <c r="B199" t="s">
        <v>128</v>
      </c>
      <c r="C199">
        <v>219</v>
      </c>
      <c r="D199">
        <v>60596</v>
      </c>
      <c r="E199" t="s">
        <v>977</v>
      </c>
      <c r="F199" t="s">
        <v>53</v>
      </c>
      <c r="G199" t="s">
        <v>452</v>
      </c>
      <c r="H199" t="s">
        <v>12</v>
      </c>
      <c r="I199" t="s">
        <v>91</v>
      </c>
      <c r="J199">
        <v>2</v>
      </c>
      <c r="K199">
        <v>0.03</v>
      </c>
      <c r="L199">
        <v>1</v>
      </c>
      <c r="M199">
        <v>1</v>
      </c>
      <c r="N199">
        <v>1</v>
      </c>
      <c r="O199">
        <v>100</v>
      </c>
      <c r="P199" t="b">
        <f t="shared" si="3"/>
        <v>0</v>
      </c>
    </row>
    <row r="200" spans="1:16" x14ac:dyDescent="0.2">
      <c r="A200" t="s">
        <v>127</v>
      </c>
      <c r="B200" t="s">
        <v>128</v>
      </c>
      <c r="C200">
        <v>220</v>
      </c>
      <c r="D200">
        <v>130147</v>
      </c>
      <c r="E200" t="s">
        <v>651</v>
      </c>
      <c r="F200" t="s">
        <v>70</v>
      </c>
      <c r="G200" t="s">
        <v>10</v>
      </c>
      <c r="H200" t="s">
        <v>8</v>
      </c>
      <c r="I200" t="s">
        <v>91</v>
      </c>
      <c r="J200">
        <v>28</v>
      </c>
      <c r="K200">
        <v>0.03</v>
      </c>
      <c r="L200">
        <v>1</v>
      </c>
      <c r="M200">
        <v>1</v>
      </c>
      <c r="N200">
        <v>1</v>
      </c>
      <c r="O200">
        <v>100</v>
      </c>
      <c r="P200" t="b">
        <f t="shared" si="3"/>
        <v>0</v>
      </c>
    </row>
    <row r="201" spans="1:16" x14ac:dyDescent="0.2">
      <c r="A201" t="s">
        <v>127</v>
      </c>
      <c r="B201" t="s">
        <v>128</v>
      </c>
      <c r="C201">
        <v>221</v>
      </c>
      <c r="D201">
        <v>96332</v>
      </c>
      <c r="E201" t="s">
        <v>137</v>
      </c>
      <c r="F201" t="s">
        <v>9</v>
      </c>
      <c r="G201" t="s">
        <v>452</v>
      </c>
      <c r="H201" t="s">
        <v>8</v>
      </c>
      <c r="I201" t="s">
        <v>131</v>
      </c>
      <c r="J201">
        <v>11</v>
      </c>
      <c r="K201">
        <v>0.03</v>
      </c>
      <c r="L201">
        <v>1</v>
      </c>
      <c r="M201">
        <v>1</v>
      </c>
      <c r="N201">
        <v>1</v>
      </c>
      <c r="O201">
        <v>100</v>
      </c>
      <c r="P201" t="b">
        <f t="shared" si="3"/>
        <v>0</v>
      </c>
    </row>
    <row r="202" spans="1:16" x14ac:dyDescent="0.2">
      <c r="A202" t="s">
        <v>127</v>
      </c>
      <c r="B202" t="s">
        <v>128</v>
      </c>
      <c r="C202">
        <v>222</v>
      </c>
      <c r="D202">
        <v>130449</v>
      </c>
      <c r="E202" t="s">
        <v>602</v>
      </c>
      <c r="F202" t="s">
        <v>66</v>
      </c>
      <c r="G202" t="s">
        <v>10</v>
      </c>
      <c r="H202" t="s">
        <v>5</v>
      </c>
      <c r="I202" t="s">
        <v>97</v>
      </c>
      <c r="J202">
        <v>12</v>
      </c>
      <c r="K202">
        <v>0.03</v>
      </c>
      <c r="L202">
        <v>1</v>
      </c>
      <c r="M202">
        <v>1</v>
      </c>
      <c r="N202">
        <v>1</v>
      </c>
      <c r="O202">
        <v>100</v>
      </c>
      <c r="P202" t="b">
        <f t="shared" si="3"/>
        <v>0</v>
      </c>
    </row>
    <row r="203" spans="1:16" x14ac:dyDescent="0.2">
      <c r="A203" t="s">
        <v>127</v>
      </c>
      <c r="B203" t="s">
        <v>128</v>
      </c>
      <c r="C203">
        <v>223</v>
      </c>
      <c r="D203">
        <v>120815</v>
      </c>
      <c r="E203" t="s">
        <v>870</v>
      </c>
      <c r="F203" t="s">
        <v>24</v>
      </c>
      <c r="G203" t="s">
        <v>452</v>
      </c>
      <c r="H203" t="s">
        <v>5</v>
      </c>
      <c r="I203" t="s">
        <v>91</v>
      </c>
      <c r="J203">
        <v>3</v>
      </c>
      <c r="K203">
        <v>0.03</v>
      </c>
      <c r="L203">
        <v>1</v>
      </c>
      <c r="M203">
        <v>1</v>
      </c>
      <c r="N203">
        <v>1</v>
      </c>
      <c r="O203">
        <v>100</v>
      </c>
      <c r="P203" t="b">
        <f t="shared" si="3"/>
        <v>0</v>
      </c>
    </row>
    <row r="204" spans="1:16" x14ac:dyDescent="0.2">
      <c r="A204" t="s">
        <v>127</v>
      </c>
      <c r="B204" t="s">
        <v>128</v>
      </c>
      <c r="C204">
        <v>224</v>
      </c>
      <c r="D204">
        <v>129572</v>
      </c>
      <c r="E204" t="s">
        <v>733</v>
      </c>
      <c r="F204" t="s">
        <v>64</v>
      </c>
      <c r="G204" t="s">
        <v>10</v>
      </c>
      <c r="H204" t="s">
        <v>6</v>
      </c>
      <c r="I204" t="s">
        <v>95</v>
      </c>
      <c r="J204">
        <v>32</v>
      </c>
      <c r="K204">
        <v>0.03</v>
      </c>
      <c r="L204">
        <v>1</v>
      </c>
      <c r="M204">
        <v>1</v>
      </c>
      <c r="N204">
        <v>1</v>
      </c>
      <c r="O204">
        <v>100</v>
      </c>
      <c r="P204" t="b">
        <f t="shared" si="3"/>
        <v>0</v>
      </c>
    </row>
    <row r="205" spans="1:16" x14ac:dyDescent="0.2">
      <c r="A205" t="s">
        <v>127</v>
      </c>
      <c r="B205" t="s">
        <v>128</v>
      </c>
      <c r="C205">
        <v>225</v>
      </c>
      <c r="D205">
        <v>68791</v>
      </c>
      <c r="E205" t="s">
        <v>959</v>
      </c>
      <c r="F205" t="s">
        <v>7</v>
      </c>
      <c r="G205" t="s">
        <v>452</v>
      </c>
      <c r="H205" t="s">
        <v>6</v>
      </c>
      <c r="I205" t="s">
        <v>95</v>
      </c>
      <c r="J205">
        <v>12</v>
      </c>
      <c r="K205">
        <v>0.03</v>
      </c>
      <c r="L205">
        <v>1</v>
      </c>
      <c r="M205">
        <v>1</v>
      </c>
      <c r="N205">
        <v>1</v>
      </c>
      <c r="O205">
        <v>100</v>
      </c>
      <c r="P205" t="b">
        <f t="shared" si="3"/>
        <v>0</v>
      </c>
    </row>
    <row r="206" spans="1:16" x14ac:dyDescent="0.2">
      <c r="A206" t="s">
        <v>127</v>
      </c>
      <c r="B206" t="s">
        <v>128</v>
      </c>
      <c r="C206">
        <v>226</v>
      </c>
      <c r="D206">
        <v>129576</v>
      </c>
      <c r="E206" t="s">
        <v>189</v>
      </c>
      <c r="F206" t="s">
        <v>67</v>
      </c>
      <c r="G206" t="s">
        <v>10</v>
      </c>
      <c r="H206" t="s">
        <v>12</v>
      </c>
      <c r="I206" t="s">
        <v>97</v>
      </c>
      <c r="J206">
        <v>13</v>
      </c>
      <c r="K206">
        <v>0.03</v>
      </c>
      <c r="L206">
        <v>1</v>
      </c>
      <c r="M206">
        <v>1</v>
      </c>
      <c r="N206">
        <v>1</v>
      </c>
      <c r="O206">
        <v>100</v>
      </c>
      <c r="P206" t="b">
        <f t="shared" si="3"/>
        <v>0</v>
      </c>
    </row>
    <row r="207" spans="1:16" x14ac:dyDescent="0.2">
      <c r="A207" t="s">
        <v>127</v>
      </c>
      <c r="B207" t="s">
        <v>128</v>
      </c>
      <c r="C207">
        <v>227</v>
      </c>
      <c r="D207">
        <v>86986</v>
      </c>
      <c r="E207" t="s">
        <v>179</v>
      </c>
      <c r="F207" t="s">
        <v>44</v>
      </c>
      <c r="G207" t="s">
        <v>452</v>
      </c>
      <c r="H207" t="s">
        <v>12</v>
      </c>
      <c r="I207" t="s">
        <v>91</v>
      </c>
      <c r="J207">
        <v>3</v>
      </c>
      <c r="K207">
        <v>0.03</v>
      </c>
      <c r="L207">
        <v>1</v>
      </c>
      <c r="M207">
        <v>1</v>
      </c>
      <c r="N207">
        <v>1</v>
      </c>
      <c r="O207">
        <v>100</v>
      </c>
      <c r="P207" t="b">
        <f t="shared" si="3"/>
        <v>0</v>
      </c>
    </row>
    <row r="208" spans="1:16" x14ac:dyDescent="0.2">
      <c r="A208" t="s">
        <v>127</v>
      </c>
      <c r="B208" t="s">
        <v>128</v>
      </c>
      <c r="C208">
        <v>228</v>
      </c>
      <c r="D208">
        <v>130362</v>
      </c>
      <c r="E208" t="s">
        <v>620</v>
      </c>
      <c r="F208" t="s">
        <v>70</v>
      </c>
      <c r="G208" t="s">
        <v>10</v>
      </c>
      <c r="H208" t="s">
        <v>8</v>
      </c>
      <c r="I208" t="s">
        <v>91</v>
      </c>
      <c r="J208">
        <v>29</v>
      </c>
      <c r="K208">
        <v>0.03</v>
      </c>
      <c r="L208">
        <v>1</v>
      </c>
      <c r="M208">
        <v>1</v>
      </c>
      <c r="N208">
        <v>1</v>
      </c>
      <c r="O208">
        <v>100</v>
      </c>
      <c r="P208" t="b">
        <f t="shared" si="3"/>
        <v>0</v>
      </c>
    </row>
    <row r="209" spans="1:16" x14ac:dyDescent="0.2">
      <c r="A209" t="s">
        <v>127</v>
      </c>
      <c r="B209" t="s">
        <v>128</v>
      </c>
      <c r="C209">
        <v>229</v>
      </c>
      <c r="D209">
        <v>126579</v>
      </c>
      <c r="E209" t="s">
        <v>838</v>
      </c>
      <c r="F209" t="s">
        <v>9</v>
      </c>
      <c r="G209" t="s">
        <v>452</v>
      </c>
      <c r="H209" t="s">
        <v>8</v>
      </c>
      <c r="I209" t="s">
        <v>91</v>
      </c>
      <c r="J209">
        <v>12</v>
      </c>
      <c r="K209">
        <v>0.03</v>
      </c>
      <c r="L209">
        <v>1</v>
      </c>
      <c r="M209">
        <v>1</v>
      </c>
      <c r="N209">
        <v>1</v>
      </c>
      <c r="O209">
        <v>100</v>
      </c>
      <c r="P209" t="b">
        <f t="shared" si="3"/>
        <v>0</v>
      </c>
    </row>
    <row r="210" spans="1:16" x14ac:dyDescent="0.2">
      <c r="A210" t="s">
        <v>127</v>
      </c>
      <c r="B210" t="s">
        <v>128</v>
      </c>
      <c r="C210">
        <v>230</v>
      </c>
      <c r="D210">
        <v>136116</v>
      </c>
      <c r="E210" t="s">
        <v>187</v>
      </c>
      <c r="F210" t="s">
        <v>68</v>
      </c>
      <c r="G210" t="s">
        <v>10</v>
      </c>
      <c r="H210" t="s">
        <v>5</v>
      </c>
      <c r="I210" t="s">
        <v>95</v>
      </c>
      <c r="J210">
        <v>10</v>
      </c>
      <c r="K210">
        <v>0.03</v>
      </c>
      <c r="L210">
        <v>1</v>
      </c>
      <c r="M210">
        <v>1</v>
      </c>
      <c r="N210">
        <v>1</v>
      </c>
      <c r="O210">
        <v>100</v>
      </c>
      <c r="P210" t="b">
        <f t="shared" si="3"/>
        <v>0</v>
      </c>
    </row>
    <row r="211" spans="1:16" x14ac:dyDescent="0.2">
      <c r="A211" t="s">
        <v>127</v>
      </c>
      <c r="B211" t="s">
        <v>128</v>
      </c>
      <c r="C211">
        <v>231</v>
      </c>
      <c r="D211">
        <v>31795</v>
      </c>
      <c r="E211" t="s">
        <v>194</v>
      </c>
      <c r="F211" t="s">
        <v>21</v>
      </c>
      <c r="G211" t="s">
        <v>452</v>
      </c>
      <c r="H211" t="s">
        <v>5</v>
      </c>
      <c r="I211" t="s">
        <v>91</v>
      </c>
      <c r="J211">
        <v>5</v>
      </c>
      <c r="K211">
        <v>0.03</v>
      </c>
      <c r="L211">
        <v>1</v>
      </c>
      <c r="M211">
        <v>1</v>
      </c>
      <c r="N211">
        <v>1</v>
      </c>
      <c r="O211">
        <v>100</v>
      </c>
      <c r="P211" t="b">
        <f t="shared" si="3"/>
        <v>0</v>
      </c>
    </row>
    <row r="212" spans="1:16" x14ac:dyDescent="0.2">
      <c r="A212" t="s">
        <v>127</v>
      </c>
      <c r="B212" t="s">
        <v>128</v>
      </c>
      <c r="C212">
        <v>232</v>
      </c>
      <c r="D212">
        <v>130236</v>
      </c>
      <c r="E212" t="s">
        <v>642</v>
      </c>
      <c r="F212" t="s">
        <v>64</v>
      </c>
      <c r="G212" t="s">
        <v>10</v>
      </c>
      <c r="H212" t="s">
        <v>6</v>
      </c>
      <c r="I212" t="s">
        <v>91</v>
      </c>
      <c r="J212">
        <v>33</v>
      </c>
      <c r="K212">
        <v>0.03</v>
      </c>
      <c r="L212">
        <v>1</v>
      </c>
      <c r="M212">
        <v>1</v>
      </c>
      <c r="N212">
        <v>1</v>
      </c>
      <c r="O212">
        <v>100</v>
      </c>
      <c r="P212" t="b">
        <f t="shared" si="3"/>
        <v>0</v>
      </c>
    </row>
    <row r="213" spans="1:16" x14ac:dyDescent="0.2">
      <c r="A213" t="s">
        <v>127</v>
      </c>
      <c r="B213" t="s">
        <v>128</v>
      </c>
      <c r="C213">
        <v>233</v>
      </c>
      <c r="D213">
        <v>126645</v>
      </c>
      <c r="E213" t="s">
        <v>177</v>
      </c>
      <c r="F213" t="s">
        <v>22</v>
      </c>
      <c r="G213" t="s">
        <v>452</v>
      </c>
      <c r="H213" t="s">
        <v>12</v>
      </c>
      <c r="I213" t="s">
        <v>138</v>
      </c>
      <c r="J213">
        <v>3</v>
      </c>
      <c r="K213">
        <v>3</v>
      </c>
      <c r="L213">
        <v>3</v>
      </c>
      <c r="M213">
        <v>2</v>
      </c>
      <c r="N213">
        <v>1</v>
      </c>
      <c r="O213">
        <v>2</v>
      </c>
      <c r="P213" t="b">
        <f t="shared" si="3"/>
        <v>0</v>
      </c>
    </row>
    <row r="214" spans="1:16" x14ac:dyDescent="0.2">
      <c r="A214" t="s">
        <v>127</v>
      </c>
      <c r="B214" t="s">
        <v>128</v>
      </c>
      <c r="C214">
        <v>234</v>
      </c>
      <c r="D214">
        <v>129484</v>
      </c>
      <c r="E214" t="s">
        <v>765</v>
      </c>
      <c r="F214" t="s">
        <v>69</v>
      </c>
      <c r="G214" t="s">
        <v>10</v>
      </c>
      <c r="H214" t="s">
        <v>12</v>
      </c>
      <c r="I214" t="s">
        <v>131</v>
      </c>
      <c r="J214">
        <v>11</v>
      </c>
      <c r="K214">
        <v>0.03</v>
      </c>
      <c r="L214">
        <v>1</v>
      </c>
      <c r="M214">
        <v>1</v>
      </c>
      <c r="N214">
        <v>1</v>
      </c>
      <c r="O214">
        <v>100</v>
      </c>
      <c r="P214" t="b">
        <f t="shared" si="3"/>
        <v>0</v>
      </c>
    </row>
    <row r="215" spans="1:16" x14ac:dyDescent="0.2">
      <c r="A215" t="s">
        <v>127</v>
      </c>
      <c r="B215" t="s">
        <v>128</v>
      </c>
      <c r="C215">
        <v>235</v>
      </c>
      <c r="D215">
        <v>67870</v>
      </c>
      <c r="E215" t="s">
        <v>963</v>
      </c>
      <c r="F215" t="s">
        <v>34</v>
      </c>
      <c r="G215" t="s">
        <v>452</v>
      </c>
      <c r="H215" t="s">
        <v>8</v>
      </c>
      <c r="I215" t="s">
        <v>91</v>
      </c>
      <c r="J215">
        <v>5</v>
      </c>
      <c r="K215">
        <v>0.03</v>
      </c>
      <c r="L215">
        <v>1</v>
      </c>
      <c r="M215">
        <v>1</v>
      </c>
      <c r="N215">
        <v>1</v>
      </c>
      <c r="O215">
        <v>100</v>
      </c>
      <c r="P215" t="b">
        <f t="shared" si="3"/>
        <v>0</v>
      </c>
    </row>
    <row r="216" spans="1:16" x14ac:dyDescent="0.2">
      <c r="A216" t="s">
        <v>127</v>
      </c>
      <c r="B216" t="s">
        <v>128</v>
      </c>
      <c r="C216">
        <v>236</v>
      </c>
      <c r="D216">
        <v>130491</v>
      </c>
      <c r="E216" t="s">
        <v>270</v>
      </c>
      <c r="F216" t="s">
        <v>70</v>
      </c>
      <c r="G216" t="s">
        <v>10</v>
      </c>
      <c r="H216" t="s">
        <v>8</v>
      </c>
      <c r="I216" t="s">
        <v>91</v>
      </c>
      <c r="J216">
        <v>30</v>
      </c>
      <c r="K216">
        <v>0.03</v>
      </c>
      <c r="L216">
        <v>1</v>
      </c>
      <c r="M216">
        <v>1</v>
      </c>
      <c r="N216">
        <v>1</v>
      </c>
      <c r="O216">
        <v>100</v>
      </c>
      <c r="P216" t="b">
        <f t="shared" si="3"/>
        <v>0</v>
      </c>
    </row>
    <row r="217" spans="1:16" x14ac:dyDescent="0.2">
      <c r="A217" t="s">
        <v>127</v>
      </c>
      <c r="B217" t="s">
        <v>128</v>
      </c>
      <c r="C217">
        <v>237</v>
      </c>
      <c r="D217">
        <v>32223</v>
      </c>
      <c r="E217" t="s">
        <v>1038</v>
      </c>
      <c r="F217" t="s">
        <v>23</v>
      </c>
      <c r="G217" t="s">
        <v>452</v>
      </c>
      <c r="H217" t="s">
        <v>5</v>
      </c>
      <c r="I217" t="s">
        <v>95</v>
      </c>
      <c r="J217">
        <v>6</v>
      </c>
      <c r="K217">
        <v>0.03</v>
      </c>
      <c r="L217">
        <v>1</v>
      </c>
      <c r="M217">
        <v>1</v>
      </c>
      <c r="N217">
        <v>1</v>
      </c>
      <c r="O217">
        <v>100</v>
      </c>
      <c r="P217" t="b">
        <f t="shared" si="3"/>
        <v>0</v>
      </c>
    </row>
    <row r="218" spans="1:16" x14ac:dyDescent="0.2">
      <c r="A218" t="s">
        <v>127</v>
      </c>
      <c r="B218" t="s">
        <v>128</v>
      </c>
      <c r="C218">
        <v>238</v>
      </c>
      <c r="D218">
        <v>130396</v>
      </c>
      <c r="E218" t="s">
        <v>614</v>
      </c>
      <c r="F218" t="s">
        <v>65</v>
      </c>
      <c r="G218" t="s">
        <v>10</v>
      </c>
      <c r="H218" t="s">
        <v>5</v>
      </c>
      <c r="I218" t="s">
        <v>138</v>
      </c>
      <c r="J218">
        <v>16</v>
      </c>
      <c r="K218">
        <v>0.03</v>
      </c>
      <c r="L218">
        <v>1</v>
      </c>
      <c r="M218">
        <v>1</v>
      </c>
      <c r="N218">
        <v>1</v>
      </c>
      <c r="O218">
        <v>100</v>
      </c>
      <c r="P218" t="b">
        <f t="shared" si="3"/>
        <v>0</v>
      </c>
    </row>
    <row r="219" spans="1:16" x14ac:dyDescent="0.2">
      <c r="A219" t="s">
        <v>127</v>
      </c>
      <c r="B219" t="s">
        <v>128</v>
      </c>
      <c r="C219">
        <v>239</v>
      </c>
      <c r="D219">
        <v>128057</v>
      </c>
      <c r="E219" t="s">
        <v>820</v>
      </c>
      <c r="F219" t="s">
        <v>45</v>
      </c>
      <c r="G219" t="s">
        <v>452</v>
      </c>
      <c r="H219" t="s">
        <v>12</v>
      </c>
      <c r="I219" t="s">
        <v>91</v>
      </c>
      <c r="J219">
        <v>3</v>
      </c>
      <c r="K219">
        <v>0.03</v>
      </c>
      <c r="L219">
        <v>1</v>
      </c>
      <c r="M219">
        <v>1</v>
      </c>
      <c r="N219">
        <v>1</v>
      </c>
      <c r="O219">
        <v>100</v>
      </c>
      <c r="P219" t="b">
        <f t="shared" si="3"/>
        <v>0</v>
      </c>
    </row>
    <row r="220" spans="1:16" x14ac:dyDescent="0.2">
      <c r="A220" t="s">
        <v>127</v>
      </c>
      <c r="B220" t="s">
        <v>128</v>
      </c>
      <c r="C220">
        <v>240</v>
      </c>
      <c r="D220">
        <v>130308</v>
      </c>
      <c r="E220" t="s">
        <v>629</v>
      </c>
      <c r="F220" t="s">
        <v>64</v>
      </c>
      <c r="G220" t="s">
        <v>10</v>
      </c>
      <c r="H220" t="s">
        <v>6</v>
      </c>
      <c r="I220" t="s">
        <v>91</v>
      </c>
      <c r="J220">
        <v>34</v>
      </c>
      <c r="K220">
        <v>0.03</v>
      </c>
      <c r="L220">
        <v>1</v>
      </c>
      <c r="M220">
        <v>1</v>
      </c>
      <c r="N220">
        <v>1</v>
      </c>
      <c r="O220">
        <v>100</v>
      </c>
      <c r="P220" t="b">
        <f t="shared" si="3"/>
        <v>0</v>
      </c>
    </row>
    <row r="221" spans="1:16" x14ac:dyDescent="0.2">
      <c r="A221" t="s">
        <v>127</v>
      </c>
      <c r="B221" t="s">
        <v>128</v>
      </c>
      <c r="C221">
        <v>241</v>
      </c>
      <c r="D221">
        <v>42676</v>
      </c>
      <c r="E221" t="s">
        <v>1025</v>
      </c>
      <c r="F221" t="s">
        <v>58</v>
      </c>
      <c r="G221" t="s">
        <v>452</v>
      </c>
      <c r="H221" t="s">
        <v>8</v>
      </c>
      <c r="I221" t="s">
        <v>95</v>
      </c>
      <c r="J221">
        <v>5</v>
      </c>
      <c r="K221">
        <v>0.03</v>
      </c>
      <c r="L221">
        <v>1</v>
      </c>
      <c r="M221">
        <v>1</v>
      </c>
      <c r="N221">
        <v>1</v>
      </c>
      <c r="O221">
        <v>100</v>
      </c>
      <c r="P221" t="b">
        <f t="shared" si="3"/>
        <v>0</v>
      </c>
    </row>
    <row r="222" spans="1:16" x14ac:dyDescent="0.2">
      <c r="A222" t="s">
        <v>127</v>
      </c>
      <c r="B222" t="s">
        <v>128</v>
      </c>
      <c r="C222">
        <v>242</v>
      </c>
      <c r="D222">
        <v>129588</v>
      </c>
      <c r="E222" t="s">
        <v>730</v>
      </c>
      <c r="F222" t="s">
        <v>67</v>
      </c>
      <c r="G222" t="s">
        <v>10</v>
      </c>
      <c r="H222" t="s">
        <v>12</v>
      </c>
      <c r="I222" t="s">
        <v>91</v>
      </c>
      <c r="J222">
        <v>14</v>
      </c>
      <c r="K222">
        <v>0.03</v>
      </c>
      <c r="L222">
        <v>1</v>
      </c>
      <c r="M222">
        <v>1</v>
      </c>
      <c r="N222">
        <v>1</v>
      </c>
      <c r="O222">
        <v>100</v>
      </c>
      <c r="P222" t="b">
        <f t="shared" si="3"/>
        <v>0</v>
      </c>
    </row>
    <row r="223" spans="1:16" x14ac:dyDescent="0.2">
      <c r="A223" t="s">
        <v>127</v>
      </c>
      <c r="B223" t="s">
        <v>128</v>
      </c>
      <c r="C223">
        <v>243</v>
      </c>
      <c r="D223">
        <v>126474</v>
      </c>
      <c r="E223" t="s">
        <v>844</v>
      </c>
      <c r="F223" t="s">
        <v>36</v>
      </c>
      <c r="G223" t="s">
        <v>452</v>
      </c>
      <c r="H223" t="s">
        <v>5</v>
      </c>
      <c r="I223" t="s">
        <v>91</v>
      </c>
      <c r="J223">
        <v>5</v>
      </c>
      <c r="K223">
        <v>0.03</v>
      </c>
      <c r="L223">
        <v>1</v>
      </c>
      <c r="M223">
        <v>1</v>
      </c>
      <c r="N223">
        <v>1</v>
      </c>
      <c r="O223">
        <v>100</v>
      </c>
      <c r="P223" t="b">
        <f t="shared" si="3"/>
        <v>0</v>
      </c>
    </row>
    <row r="224" spans="1:16" x14ac:dyDescent="0.2">
      <c r="A224" t="s">
        <v>127</v>
      </c>
      <c r="B224" t="s">
        <v>128</v>
      </c>
      <c r="C224">
        <v>244</v>
      </c>
      <c r="D224">
        <v>129500</v>
      </c>
      <c r="E224" t="s">
        <v>757</v>
      </c>
      <c r="F224" t="s">
        <v>70</v>
      </c>
      <c r="G224" t="s">
        <v>10</v>
      </c>
      <c r="H224" t="s">
        <v>8</v>
      </c>
      <c r="I224" t="s">
        <v>95</v>
      </c>
      <c r="J224">
        <v>31</v>
      </c>
      <c r="K224">
        <v>0.03</v>
      </c>
      <c r="L224">
        <v>1</v>
      </c>
      <c r="M224">
        <v>1</v>
      </c>
      <c r="N224">
        <v>1</v>
      </c>
      <c r="O224">
        <v>100</v>
      </c>
      <c r="P224" t="b">
        <f t="shared" si="3"/>
        <v>0</v>
      </c>
    </row>
    <row r="225" spans="1:16" x14ac:dyDescent="0.2">
      <c r="A225" t="s">
        <v>127</v>
      </c>
      <c r="B225" t="s">
        <v>128</v>
      </c>
      <c r="C225">
        <v>245</v>
      </c>
      <c r="D225">
        <v>77999</v>
      </c>
      <c r="E225" t="s">
        <v>150</v>
      </c>
      <c r="F225" t="s">
        <v>46</v>
      </c>
      <c r="G225" t="s">
        <v>452</v>
      </c>
      <c r="H225" t="s">
        <v>12</v>
      </c>
      <c r="I225" t="s">
        <v>91</v>
      </c>
      <c r="J225">
        <v>3</v>
      </c>
      <c r="K225">
        <v>0.03</v>
      </c>
      <c r="L225">
        <v>1</v>
      </c>
      <c r="M225">
        <v>1</v>
      </c>
      <c r="N225">
        <v>1</v>
      </c>
      <c r="O225">
        <v>100</v>
      </c>
      <c r="P225" t="b">
        <f t="shared" si="3"/>
        <v>0</v>
      </c>
    </row>
    <row r="226" spans="1:16" x14ac:dyDescent="0.2">
      <c r="A226" t="s">
        <v>127</v>
      </c>
      <c r="B226" t="s">
        <v>128</v>
      </c>
      <c r="C226">
        <v>246</v>
      </c>
      <c r="D226">
        <v>129489</v>
      </c>
      <c r="E226" t="s">
        <v>204</v>
      </c>
      <c r="F226" t="s">
        <v>65</v>
      </c>
      <c r="G226" t="s">
        <v>10</v>
      </c>
      <c r="H226" t="s">
        <v>5</v>
      </c>
      <c r="I226" t="s">
        <v>97</v>
      </c>
      <c r="J226">
        <v>17</v>
      </c>
      <c r="K226">
        <v>0.03</v>
      </c>
      <c r="L226">
        <v>1</v>
      </c>
      <c r="M226">
        <v>1</v>
      </c>
      <c r="N226">
        <v>1</v>
      </c>
      <c r="O226">
        <v>100</v>
      </c>
      <c r="P226" t="b">
        <f t="shared" si="3"/>
        <v>0</v>
      </c>
    </row>
    <row r="227" spans="1:16" x14ac:dyDescent="0.2">
      <c r="A227" t="s">
        <v>127</v>
      </c>
      <c r="B227" t="s">
        <v>128</v>
      </c>
      <c r="C227">
        <v>247</v>
      </c>
      <c r="D227">
        <v>134832</v>
      </c>
      <c r="E227" t="s">
        <v>798</v>
      </c>
      <c r="F227" t="s">
        <v>59</v>
      </c>
      <c r="G227" t="s">
        <v>452</v>
      </c>
      <c r="H227" t="s">
        <v>8</v>
      </c>
      <c r="I227" t="s">
        <v>95</v>
      </c>
      <c r="J227">
        <v>5</v>
      </c>
      <c r="K227">
        <v>4</v>
      </c>
      <c r="L227">
        <v>1</v>
      </c>
      <c r="M227">
        <v>3</v>
      </c>
      <c r="N227">
        <v>4</v>
      </c>
      <c r="O227">
        <v>2</v>
      </c>
      <c r="P227" t="b">
        <f t="shared" si="3"/>
        <v>0</v>
      </c>
    </row>
    <row r="228" spans="1:16" x14ac:dyDescent="0.2">
      <c r="A228" t="s">
        <v>127</v>
      </c>
      <c r="B228" t="s">
        <v>128</v>
      </c>
      <c r="C228">
        <v>248</v>
      </c>
      <c r="D228">
        <v>130659</v>
      </c>
      <c r="E228" t="s">
        <v>392</v>
      </c>
      <c r="F228" t="s">
        <v>64</v>
      </c>
      <c r="G228" t="s">
        <v>10</v>
      </c>
      <c r="H228" t="s">
        <v>6</v>
      </c>
      <c r="I228" t="s">
        <v>97</v>
      </c>
      <c r="J228">
        <v>35</v>
      </c>
      <c r="K228">
        <v>0.03</v>
      </c>
      <c r="L228">
        <v>1</v>
      </c>
      <c r="M228">
        <v>1</v>
      </c>
      <c r="N228">
        <v>1</v>
      </c>
      <c r="O228">
        <v>100</v>
      </c>
      <c r="P228" t="b">
        <f t="shared" si="3"/>
        <v>0</v>
      </c>
    </row>
    <row r="229" spans="1:16" x14ac:dyDescent="0.2">
      <c r="A229" t="s">
        <v>127</v>
      </c>
      <c r="B229" t="s">
        <v>128</v>
      </c>
      <c r="C229">
        <v>249</v>
      </c>
      <c r="D229">
        <v>120972</v>
      </c>
      <c r="E229" t="s">
        <v>132</v>
      </c>
      <c r="F229" t="s">
        <v>37</v>
      </c>
      <c r="G229" t="s">
        <v>452</v>
      </c>
      <c r="H229" t="s">
        <v>5</v>
      </c>
      <c r="I229" t="s">
        <v>95</v>
      </c>
      <c r="J229">
        <v>4</v>
      </c>
      <c r="K229">
        <v>0.03</v>
      </c>
      <c r="L229">
        <v>1</v>
      </c>
      <c r="M229">
        <v>1</v>
      </c>
      <c r="N229">
        <v>1</v>
      </c>
      <c r="O229">
        <v>100</v>
      </c>
      <c r="P229" t="b">
        <f t="shared" si="3"/>
        <v>0</v>
      </c>
    </row>
    <row r="230" spans="1:16" x14ac:dyDescent="0.2">
      <c r="A230" t="s">
        <v>127</v>
      </c>
      <c r="B230" t="s">
        <v>128</v>
      </c>
      <c r="C230">
        <v>250</v>
      </c>
      <c r="D230">
        <v>129451</v>
      </c>
      <c r="E230" t="s">
        <v>788</v>
      </c>
      <c r="F230" t="s">
        <v>69</v>
      </c>
      <c r="G230" t="s">
        <v>10</v>
      </c>
      <c r="H230" t="s">
        <v>12</v>
      </c>
      <c r="I230" t="s">
        <v>91</v>
      </c>
      <c r="J230">
        <v>13</v>
      </c>
      <c r="K230">
        <v>0.03</v>
      </c>
      <c r="L230">
        <v>1</v>
      </c>
      <c r="M230">
        <v>1</v>
      </c>
      <c r="N230">
        <v>1</v>
      </c>
      <c r="O230">
        <v>100</v>
      </c>
      <c r="P230" t="b">
        <f t="shared" si="3"/>
        <v>0</v>
      </c>
    </row>
    <row r="231" spans="1:16" x14ac:dyDescent="0.2">
      <c r="A231" t="s">
        <v>127</v>
      </c>
      <c r="B231" t="s">
        <v>128</v>
      </c>
      <c r="C231">
        <v>251</v>
      </c>
      <c r="D231">
        <v>51747</v>
      </c>
      <c r="E231" t="s">
        <v>994</v>
      </c>
      <c r="F231" t="s">
        <v>35</v>
      </c>
      <c r="G231" t="s">
        <v>452</v>
      </c>
      <c r="H231" t="s">
        <v>12</v>
      </c>
      <c r="I231" t="s">
        <v>91</v>
      </c>
      <c r="J231">
        <v>5</v>
      </c>
      <c r="K231">
        <v>0.03</v>
      </c>
      <c r="L231">
        <v>1</v>
      </c>
      <c r="M231">
        <v>1</v>
      </c>
      <c r="N231">
        <v>1</v>
      </c>
      <c r="O231">
        <v>100</v>
      </c>
      <c r="P231" t="b">
        <f t="shared" si="3"/>
        <v>0</v>
      </c>
    </row>
    <row r="232" spans="1:16" x14ac:dyDescent="0.2">
      <c r="A232" t="s">
        <v>127</v>
      </c>
      <c r="B232" t="s">
        <v>128</v>
      </c>
      <c r="C232">
        <v>252</v>
      </c>
      <c r="D232">
        <v>130077</v>
      </c>
      <c r="E232" t="s">
        <v>667</v>
      </c>
      <c r="F232" t="s">
        <v>70</v>
      </c>
      <c r="G232" t="s">
        <v>10</v>
      </c>
      <c r="H232" t="s">
        <v>8</v>
      </c>
      <c r="I232" t="s">
        <v>91</v>
      </c>
      <c r="J232">
        <v>32</v>
      </c>
      <c r="K232">
        <v>0.03</v>
      </c>
      <c r="L232">
        <v>1</v>
      </c>
      <c r="M232">
        <v>1</v>
      </c>
      <c r="N232">
        <v>1</v>
      </c>
      <c r="O232">
        <v>100</v>
      </c>
      <c r="P232" t="b">
        <f t="shared" si="3"/>
        <v>0</v>
      </c>
    </row>
    <row r="233" spans="1:16" x14ac:dyDescent="0.2">
      <c r="A233" t="s">
        <v>127</v>
      </c>
      <c r="B233" t="s">
        <v>128</v>
      </c>
      <c r="C233">
        <v>253</v>
      </c>
      <c r="D233">
        <v>126583</v>
      </c>
      <c r="E233" t="s">
        <v>263</v>
      </c>
      <c r="F233" t="s">
        <v>9</v>
      </c>
      <c r="G233" t="s">
        <v>452</v>
      </c>
      <c r="H233" t="s">
        <v>8</v>
      </c>
      <c r="I233" t="s">
        <v>95</v>
      </c>
      <c r="J233">
        <v>13</v>
      </c>
      <c r="K233">
        <v>0.03</v>
      </c>
      <c r="L233">
        <v>1</v>
      </c>
      <c r="M233">
        <v>1</v>
      </c>
      <c r="N233">
        <v>1</v>
      </c>
      <c r="O233">
        <v>100</v>
      </c>
      <c r="P233" t="b">
        <f t="shared" si="3"/>
        <v>0</v>
      </c>
    </row>
    <row r="234" spans="1:16" x14ac:dyDescent="0.2">
      <c r="A234" t="s">
        <v>127</v>
      </c>
      <c r="B234" t="s">
        <v>128</v>
      </c>
      <c r="C234">
        <v>254</v>
      </c>
      <c r="D234">
        <v>130830</v>
      </c>
      <c r="E234" t="s">
        <v>193</v>
      </c>
      <c r="F234" t="s">
        <v>66</v>
      </c>
      <c r="G234" t="s">
        <v>10</v>
      </c>
      <c r="H234" t="s">
        <v>5</v>
      </c>
      <c r="I234" t="s">
        <v>95</v>
      </c>
      <c r="J234">
        <v>13</v>
      </c>
      <c r="K234">
        <v>0.03</v>
      </c>
      <c r="L234">
        <v>1</v>
      </c>
      <c r="M234">
        <v>1</v>
      </c>
      <c r="N234">
        <v>1</v>
      </c>
      <c r="O234">
        <v>100</v>
      </c>
      <c r="P234" t="b">
        <f t="shared" si="3"/>
        <v>0</v>
      </c>
    </row>
    <row r="235" spans="1:16" x14ac:dyDescent="0.2">
      <c r="A235" t="s">
        <v>127</v>
      </c>
      <c r="B235" t="s">
        <v>128</v>
      </c>
      <c r="C235">
        <v>255</v>
      </c>
      <c r="D235">
        <v>126099</v>
      </c>
      <c r="E235" t="s">
        <v>206</v>
      </c>
      <c r="F235" t="s">
        <v>21</v>
      </c>
      <c r="G235" t="s">
        <v>452</v>
      </c>
      <c r="H235" t="s">
        <v>5</v>
      </c>
      <c r="I235" t="s">
        <v>95</v>
      </c>
      <c r="J235">
        <v>6</v>
      </c>
      <c r="K235">
        <v>0.03</v>
      </c>
      <c r="L235">
        <v>1</v>
      </c>
      <c r="M235">
        <v>1</v>
      </c>
      <c r="N235">
        <v>1</v>
      </c>
      <c r="O235">
        <v>100</v>
      </c>
      <c r="P235" t="b">
        <f t="shared" si="3"/>
        <v>0</v>
      </c>
    </row>
    <row r="236" spans="1:16" x14ac:dyDescent="0.2">
      <c r="A236" t="s">
        <v>127</v>
      </c>
      <c r="B236" t="s">
        <v>128</v>
      </c>
      <c r="C236">
        <v>256</v>
      </c>
      <c r="D236">
        <v>130874</v>
      </c>
      <c r="E236" t="s">
        <v>208</v>
      </c>
      <c r="F236" t="s">
        <v>64</v>
      </c>
      <c r="G236" t="s">
        <v>10</v>
      </c>
      <c r="H236" t="s">
        <v>6</v>
      </c>
      <c r="I236" t="s">
        <v>91</v>
      </c>
      <c r="J236">
        <v>36</v>
      </c>
      <c r="K236">
        <v>3</v>
      </c>
      <c r="L236">
        <v>1</v>
      </c>
      <c r="M236">
        <v>1</v>
      </c>
      <c r="N236">
        <v>1</v>
      </c>
      <c r="O236">
        <v>1</v>
      </c>
      <c r="P236" t="b">
        <f t="shared" si="3"/>
        <v>0</v>
      </c>
    </row>
    <row r="237" spans="1:16" x14ac:dyDescent="0.2">
      <c r="A237" t="s">
        <v>127</v>
      </c>
      <c r="B237" t="s">
        <v>128</v>
      </c>
      <c r="C237">
        <v>257</v>
      </c>
      <c r="D237">
        <v>59256</v>
      </c>
      <c r="E237" t="s">
        <v>181</v>
      </c>
      <c r="F237" t="s">
        <v>47</v>
      </c>
      <c r="G237" t="s">
        <v>452</v>
      </c>
      <c r="H237" t="s">
        <v>12</v>
      </c>
      <c r="I237" t="s">
        <v>91</v>
      </c>
      <c r="J237">
        <v>3</v>
      </c>
      <c r="K237">
        <v>0.03</v>
      </c>
      <c r="L237">
        <v>1</v>
      </c>
      <c r="M237">
        <v>1</v>
      </c>
      <c r="N237">
        <v>1</v>
      </c>
      <c r="O237">
        <v>100</v>
      </c>
      <c r="P237" t="b">
        <f t="shared" si="3"/>
        <v>0</v>
      </c>
    </row>
    <row r="238" spans="1:16" x14ac:dyDescent="0.2">
      <c r="A238" t="s">
        <v>127</v>
      </c>
      <c r="B238" t="s">
        <v>128</v>
      </c>
      <c r="C238">
        <v>258</v>
      </c>
      <c r="D238">
        <v>130079</v>
      </c>
      <c r="E238" t="s">
        <v>665</v>
      </c>
      <c r="F238" t="s">
        <v>71</v>
      </c>
      <c r="G238" t="s">
        <v>10</v>
      </c>
      <c r="H238" t="s">
        <v>12</v>
      </c>
      <c r="I238" t="s">
        <v>91</v>
      </c>
      <c r="J238">
        <v>7</v>
      </c>
      <c r="K238">
        <v>0.03</v>
      </c>
      <c r="L238">
        <v>1</v>
      </c>
      <c r="M238">
        <v>1</v>
      </c>
      <c r="N238">
        <v>1</v>
      </c>
      <c r="O238">
        <v>100</v>
      </c>
      <c r="P238" t="b">
        <f t="shared" si="3"/>
        <v>0</v>
      </c>
    </row>
    <row r="239" spans="1:16" x14ac:dyDescent="0.2">
      <c r="A239" t="s">
        <v>127</v>
      </c>
      <c r="B239" t="s">
        <v>128</v>
      </c>
      <c r="C239">
        <v>259</v>
      </c>
      <c r="D239">
        <v>125545</v>
      </c>
      <c r="E239" t="s">
        <v>269</v>
      </c>
      <c r="F239" t="s">
        <v>9</v>
      </c>
      <c r="G239" t="s">
        <v>452</v>
      </c>
      <c r="H239" t="s">
        <v>8</v>
      </c>
      <c r="I239" t="s">
        <v>91</v>
      </c>
      <c r="J239">
        <v>14</v>
      </c>
      <c r="K239">
        <v>0.08</v>
      </c>
      <c r="L239">
        <v>5</v>
      </c>
      <c r="M239">
        <v>2</v>
      </c>
      <c r="N239">
        <v>1</v>
      </c>
      <c r="O239">
        <v>100</v>
      </c>
      <c r="P239" t="b">
        <f t="shared" si="3"/>
        <v>0</v>
      </c>
    </row>
    <row r="240" spans="1:16" x14ac:dyDescent="0.2">
      <c r="A240" t="s">
        <v>127</v>
      </c>
      <c r="B240" t="s">
        <v>128</v>
      </c>
      <c r="C240">
        <v>260</v>
      </c>
      <c r="D240">
        <v>130078</v>
      </c>
      <c r="E240" t="s">
        <v>666</v>
      </c>
      <c r="F240" t="s">
        <v>70</v>
      </c>
      <c r="G240" t="s">
        <v>10</v>
      </c>
      <c r="H240" t="s">
        <v>8</v>
      </c>
      <c r="I240" t="s">
        <v>91</v>
      </c>
      <c r="J240">
        <v>33</v>
      </c>
      <c r="K240">
        <v>0.03</v>
      </c>
      <c r="L240">
        <v>1</v>
      </c>
      <c r="M240">
        <v>1</v>
      </c>
      <c r="N240">
        <v>1</v>
      </c>
      <c r="O240">
        <v>100</v>
      </c>
      <c r="P240" t="b">
        <f t="shared" si="3"/>
        <v>0</v>
      </c>
    </row>
    <row r="241" spans="1:16" x14ac:dyDescent="0.2">
      <c r="A241" t="s">
        <v>127</v>
      </c>
      <c r="B241" t="s">
        <v>128</v>
      </c>
      <c r="C241">
        <v>261</v>
      </c>
      <c r="D241">
        <v>123648</v>
      </c>
      <c r="E241" t="s">
        <v>865</v>
      </c>
      <c r="F241" t="s">
        <v>23</v>
      </c>
      <c r="G241" t="s">
        <v>452</v>
      </c>
      <c r="H241" t="s">
        <v>5</v>
      </c>
      <c r="I241" t="s">
        <v>91</v>
      </c>
      <c r="J241">
        <v>7</v>
      </c>
      <c r="K241">
        <v>0.03</v>
      </c>
      <c r="L241">
        <v>1</v>
      </c>
      <c r="M241">
        <v>1</v>
      </c>
      <c r="N241">
        <v>1</v>
      </c>
      <c r="O241">
        <v>100</v>
      </c>
      <c r="P241" t="b">
        <f t="shared" si="3"/>
        <v>0</v>
      </c>
    </row>
    <row r="242" spans="1:16" x14ac:dyDescent="0.2">
      <c r="A242" t="s">
        <v>127</v>
      </c>
      <c r="B242" t="s">
        <v>128</v>
      </c>
      <c r="C242">
        <v>262</v>
      </c>
      <c r="D242">
        <v>130694</v>
      </c>
      <c r="E242" t="s">
        <v>190</v>
      </c>
      <c r="F242" t="s">
        <v>68</v>
      </c>
      <c r="G242" t="s">
        <v>10</v>
      </c>
      <c r="H242" t="s">
        <v>5</v>
      </c>
      <c r="I242" t="s">
        <v>95</v>
      </c>
      <c r="J242">
        <v>11</v>
      </c>
      <c r="K242">
        <v>0.03</v>
      </c>
      <c r="L242">
        <v>1</v>
      </c>
      <c r="M242">
        <v>1</v>
      </c>
      <c r="N242">
        <v>1</v>
      </c>
      <c r="O242">
        <v>100</v>
      </c>
      <c r="P242" t="b">
        <f t="shared" si="3"/>
        <v>0</v>
      </c>
    </row>
    <row r="243" spans="1:16" x14ac:dyDescent="0.2">
      <c r="A243" t="s">
        <v>127</v>
      </c>
      <c r="B243" t="s">
        <v>128</v>
      </c>
      <c r="C243">
        <v>263</v>
      </c>
      <c r="D243">
        <v>96602</v>
      </c>
      <c r="E243" t="s">
        <v>900</v>
      </c>
      <c r="F243" t="s">
        <v>48</v>
      </c>
      <c r="G243" t="s">
        <v>452</v>
      </c>
      <c r="H243" t="s">
        <v>12</v>
      </c>
      <c r="I243" t="s">
        <v>91</v>
      </c>
      <c r="J243">
        <v>3</v>
      </c>
      <c r="K243">
        <v>0.03</v>
      </c>
      <c r="L243">
        <v>1</v>
      </c>
      <c r="M243">
        <v>1</v>
      </c>
      <c r="N243">
        <v>1</v>
      </c>
      <c r="O243">
        <v>100</v>
      </c>
      <c r="P243" t="b">
        <f t="shared" si="3"/>
        <v>0</v>
      </c>
    </row>
    <row r="244" spans="1:16" x14ac:dyDescent="0.2">
      <c r="A244" t="s">
        <v>127</v>
      </c>
      <c r="B244" t="s">
        <v>128</v>
      </c>
      <c r="C244">
        <v>264</v>
      </c>
      <c r="D244">
        <v>129599</v>
      </c>
      <c r="E244" t="s">
        <v>727</v>
      </c>
      <c r="F244" t="s">
        <v>64</v>
      </c>
      <c r="G244" t="s">
        <v>10</v>
      </c>
      <c r="H244" t="s">
        <v>6</v>
      </c>
      <c r="I244" t="s">
        <v>95</v>
      </c>
      <c r="J244">
        <v>37</v>
      </c>
      <c r="K244">
        <v>0.03</v>
      </c>
      <c r="L244">
        <v>1</v>
      </c>
      <c r="M244">
        <v>1</v>
      </c>
      <c r="N244">
        <v>1</v>
      </c>
      <c r="O244">
        <v>100</v>
      </c>
      <c r="P244" t="b">
        <f t="shared" si="3"/>
        <v>0</v>
      </c>
    </row>
    <row r="245" spans="1:16" x14ac:dyDescent="0.2">
      <c r="A245" t="s">
        <v>127</v>
      </c>
      <c r="B245" t="s">
        <v>128</v>
      </c>
      <c r="C245">
        <v>265</v>
      </c>
      <c r="D245">
        <v>125694</v>
      </c>
      <c r="E245" t="s">
        <v>856</v>
      </c>
      <c r="F245" t="s">
        <v>9</v>
      </c>
      <c r="G245" t="s">
        <v>452</v>
      </c>
      <c r="H245" t="s">
        <v>8</v>
      </c>
      <c r="I245" t="s">
        <v>95</v>
      </c>
      <c r="J245">
        <v>15</v>
      </c>
      <c r="K245">
        <v>0.03</v>
      </c>
      <c r="L245">
        <v>1</v>
      </c>
      <c r="M245">
        <v>1</v>
      </c>
      <c r="N245">
        <v>1</v>
      </c>
      <c r="O245">
        <v>100</v>
      </c>
      <c r="P245" t="b">
        <f t="shared" si="3"/>
        <v>0</v>
      </c>
    </row>
    <row r="246" spans="1:16" x14ac:dyDescent="0.2">
      <c r="A246" t="s">
        <v>127</v>
      </c>
      <c r="B246" t="s">
        <v>128</v>
      </c>
      <c r="C246">
        <v>266</v>
      </c>
      <c r="D246">
        <v>129960</v>
      </c>
      <c r="E246" t="s">
        <v>196</v>
      </c>
      <c r="F246" t="s">
        <v>67</v>
      </c>
      <c r="G246" t="s">
        <v>10</v>
      </c>
      <c r="H246" t="s">
        <v>12</v>
      </c>
      <c r="I246" t="s">
        <v>95</v>
      </c>
      <c r="J246">
        <v>15</v>
      </c>
      <c r="K246">
        <v>0.03</v>
      </c>
      <c r="L246">
        <v>1</v>
      </c>
      <c r="M246">
        <v>1</v>
      </c>
      <c r="N246">
        <v>1</v>
      </c>
      <c r="O246">
        <v>100</v>
      </c>
      <c r="P246" t="b">
        <f t="shared" si="3"/>
        <v>0</v>
      </c>
    </row>
    <row r="247" spans="1:16" x14ac:dyDescent="0.2">
      <c r="A247" t="s">
        <v>127</v>
      </c>
      <c r="B247" t="s">
        <v>128</v>
      </c>
      <c r="C247">
        <v>267</v>
      </c>
      <c r="D247">
        <v>126480</v>
      </c>
      <c r="E247" t="s">
        <v>842</v>
      </c>
      <c r="F247" t="s">
        <v>36</v>
      </c>
      <c r="G247" t="s">
        <v>452</v>
      </c>
      <c r="H247" t="s">
        <v>5</v>
      </c>
      <c r="I247" t="s">
        <v>96</v>
      </c>
      <c r="J247">
        <v>6</v>
      </c>
      <c r="K247">
        <v>7</v>
      </c>
      <c r="L247">
        <v>3</v>
      </c>
      <c r="M247">
        <v>2</v>
      </c>
      <c r="N247">
        <v>2</v>
      </c>
      <c r="O247">
        <v>1</v>
      </c>
      <c r="P247" t="b">
        <f t="shared" si="3"/>
        <v>0</v>
      </c>
    </row>
    <row r="248" spans="1:16" x14ac:dyDescent="0.2">
      <c r="A248" t="s">
        <v>127</v>
      </c>
      <c r="B248" t="s">
        <v>128</v>
      </c>
      <c r="C248">
        <v>268</v>
      </c>
      <c r="D248">
        <v>129502</v>
      </c>
      <c r="E248" t="s">
        <v>755</v>
      </c>
      <c r="F248" t="s">
        <v>70</v>
      </c>
      <c r="G248" t="s">
        <v>10</v>
      </c>
      <c r="H248" t="s">
        <v>8</v>
      </c>
      <c r="I248" t="s">
        <v>97</v>
      </c>
      <c r="J248">
        <v>34</v>
      </c>
      <c r="K248">
        <v>0.03</v>
      </c>
      <c r="L248">
        <v>1</v>
      </c>
      <c r="M248">
        <v>1</v>
      </c>
      <c r="N248">
        <v>1</v>
      </c>
      <c r="O248">
        <v>100</v>
      </c>
      <c r="P248" t="b">
        <f t="shared" si="3"/>
        <v>0</v>
      </c>
    </row>
    <row r="249" spans="1:16" x14ac:dyDescent="0.2">
      <c r="A249" t="s">
        <v>127</v>
      </c>
      <c r="B249" t="s">
        <v>128</v>
      </c>
      <c r="C249">
        <v>269</v>
      </c>
      <c r="D249">
        <v>70736</v>
      </c>
      <c r="E249" t="s">
        <v>946</v>
      </c>
      <c r="F249" t="s">
        <v>98</v>
      </c>
      <c r="G249" t="s">
        <v>452</v>
      </c>
      <c r="H249" t="s">
        <v>12</v>
      </c>
      <c r="I249" t="s">
        <v>94</v>
      </c>
      <c r="J249">
        <v>3</v>
      </c>
      <c r="K249">
        <v>0.03</v>
      </c>
      <c r="L249">
        <v>1</v>
      </c>
      <c r="M249">
        <v>1</v>
      </c>
      <c r="N249">
        <v>1</v>
      </c>
      <c r="O249">
        <v>100</v>
      </c>
      <c r="P249" t="b">
        <f t="shared" si="3"/>
        <v>0</v>
      </c>
    </row>
    <row r="250" spans="1:16" x14ac:dyDescent="0.2">
      <c r="A250" t="s">
        <v>127</v>
      </c>
      <c r="B250" t="s">
        <v>128</v>
      </c>
      <c r="C250">
        <v>270</v>
      </c>
      <c r="D250">
        <v>129676</v>
      </c>
      <c r="E250" t="s">
        <v>714</v>
      </c>
      <c r="F250" t="s">
        <v>65</v>
      </c>
      <c r="G250" t="s">
        <v>10</v>
      </c>
      <c r="H250" t="s">
        <v>5</v>
      </c>
      <c r="I250" t="s">
        <v>97</v>
      </c>
      <c r="J250">
        <v>18</v>
      </c>
      <c r="K250">
        <v>0.03</v>
      </c>
      <c r="L250">
        <v>1</v>
      </c>
      <c r="M250">
        <v>1</v>
      </c>
      <c r="N250">
        <v>1</v>
      </c>
      <c r="O250">
        <v>100</v>
      </c>
      <c r="P250" t="b">
        <f t="shared" si="3"/>
        <v>0</v>
      </c>
    </row>
    <row r="251" spans="1:16" x14ac:dyDescent="0.2">
      <c r="A251" t="s">
        <v>127</v>
      </c>
      <c r="B251" t="s">
        <v>128</v>
      </c>
      <c r="C251">
        <v>271</v>
      </c>
      <c r="D251">
        <v>32064</v>
      </c>
      <c r="E251" t="s">
        <v>1060</v>
      </c>
      <c r="F251" t="s">
        <v>34</v>
      </c>
      <c r="G251" t="s">
        <v>452</v>
      </c>
      <c r="H251" t="s">
        <v>8</v>
      </c>
      <c r="I251" t="s">
        <v>91</v>
      </c>
      <c r="J251">
        <v>6</v>
      </c>
      <c r="K251">
        <v>0.03</v>
      </c>
      <c r="L251">
        <v>1</v>
      </c>
      <c r="M251">
        <v>1</v>
      </c>
      <c r="N251">
        <v>1</v>
      </c>
      <c r="O251">
        <v>100</v>
      </c>
      <c r="P251" t="b">
        <f t="shared" si="3"/>
        <v>0</v>
      </c>
    </row>
    <row r="252" spans="1:16" x14ac:dyDescent="0.2">
      <c r="A252" t="s">
        <v>127</v>
      </c>
      <c r="B252" t="s">
        <v>128</v>
      </c>
      <c r="C252">
        <v>272</v>
      </c>
      <c r="D252">
        <v>129601</v>
      </c>
      <c r="E252" t="s">
        <v>726</v>
      </c>
      <c r="F252" t="s">
        <v>64</v>
      </c>
      <c r="G252" t="s">
        <v>10</v>
      </c>
      <c r="H252" t="s">
        <v>6</v>
      </c>
      <c r="I252" t="s">
        <v>95</v>
      </c>
      <c r="J252">
        <v>38</v>
      </c>
      <c r="K252">
        <v>0.03</v>
      </c>
      <c r="L252">
        <v>1</v>
      </c>
      <c r="M252">
        <v>1</v>
      </c>
      <c r="N252">
        <v>1</v>
      </c>
      <c r="O252">
        <v>100</v>
      </c>
      <c r="P252" t="b">
        <f t="shared" si="3"/>
        <v>0</v>
      </c>
    </row>
    <row r="253" spans="1:16" x14ac:dyDescent="0.2">
      <c r="A253" t="s">
        <v>127</v>
      </c>
      <c r="B253" t="s">
        <v>128</v>
      </c>
      <c r="C253">
        <v>273</v>
      </c>
      <c r="D253">
        <v>126656</v>
      </c>
      <c r="E253" t="s">
        <v>830</v>
      </c>
      <c r="F253" t="s">
        <v>38</v>
      </c>
      <c r="G253" t="s">
        <v>452</v>
      </c>
      <c r="H253" t="s">
        <v>5</v>
      </c>
      <c r="I253" t="s">
        <v>138</v>
      </c>
      <c r="J253">
        <v>4</v>
      </c>
      <c r="K253">
        <v>4</v>
      </c>
      <c r="L253">
        <v>3</v>
      </c>
      <c r="M253">
        <v>3</v>
      </c>
      <c r="N253">
        <v>2</v>
      </c>
      <c r="O253">
        <v>2</v>
      </c>
      <c r="P253" t="b">
        <f t="shared" si="3"/>
        <v>0</v>
      </c>
    </row>
    <row r="254" spans="1:16" x14ac:dyDescent="0.2">
      <c r="A254" t="s">
        <v>127</v>
      </c>
      <c r="B254" t="s">
        <v>128</v>
      </c>
      <c r="C254">
        <v>274</v>
      </c>
      <c r="D254">
        <v>129479</v>
      </c>
      <c r="E254" t="s">
        <v>199</v>
      </c>
      <c r="F254" t="s">
        <v>69</v>
      </c>
      <c r="G254" t="s">
        <v>10</v>
      </c>
      <c r="H254" t="s">
        <v>12</v>
      </c>
      <c r="I254" t="s">
        <v>131</v>
      </c>
      <c r="J254">
        <v>14</v>
      </c>
      <c r="K254">
        <v>0.03</v>
      </c>
      <c r="L254">
        <v>1</v>
      </c>
      <c r="M254">
        <v>1</v>
      </c>
      <c r="N254">
        <v>1</v>
      </c>
      <c r="O254">
        <v>100</v>
      </c>
      <c r="P254" t="b">
        <f t="shared" si="3"/>
        <v>0</v>
      </c>
    </row>
    <row r="255" spans="1:16" x14ac:dyDescent="0.2">
      <c r="A255" t="s">
        <v>127</v>
      </c>
      <c r="B255" t="s">
        <v>128</v>
      </c>
      <c r="C255">
        <v>275</v>
      </c>
      <c r="D255">
        <v>46214</v>
      </c>
      <c r="E255" t="s">
        <v>1018</v>
      </c>
      <c r="F255" t="s">
        <v>44</v>
      </c>
      <c r="G255" t="s">
        <v>452</v>
      </c>
      <c r="H255" t="s">
        <v>12</v>
      </c>
      <c r="I255" t="s">
        <v>91</v>
      </c>
      <c r="J255">
        <v>4</v>
      </c>
      <c r="K255">
        <v>0.03</v>
      </c>
      <c r="L255">
        <v>1</v>
      </c>
      <c r="M255">
        <v>1</v>
      </c>
      <c r="N255">
        <v>1</v>
      </c>
      <c r="O255">
        <v>100</v>
      </c>
      <c r="P255" t="b">
        <f t="shared" si="3"/>
        <v>0</v>
      </c>
    </row>
    <row r="256" spans="1:16" x14ac:dyDescent="0.2">
      <c r="A256" t="s">
        <v>127</v>
      </c>
      <c r="B256" t="s">
        <v>128</v>
      </c>
      <c r="C256">
        <v>276</v>
      </c>
      <c r="D256">
        <v>129504</v>
      </c>
      <c r="E256" t="s">
        <v>753</v>
      </c>
      <c r="F256" t="s">
        <v>70</v>
      </c>
      <c r="G256" t="s">
        <v>10</v>
      </c>
      <c r="H256" t="s">
        <v>8</v>
      </c>
      <c r="I256" t="s">
        <v>95</v>
      </c>
      <c r="J256">
        <v>35</v>
      </c>
      <c r="K256">
        <v>0.03</v>
      </c>
      <c r="L256">
        <v>1</v>
      </c>
      <c r="M256">
        <v>1</v>
      </c>
      <c r="N256">
        <v>1</v>
      </c>
      <c r="O256">
        <v>100</v>
      </c>
      <c r="P256" t="b">
        <f t="shared" si="3"/>
        <v>0</v>
      </c>
    </row>
    <row r="257" spans="1:16" x14ac:dyDescent="0.2">
      <c r="A257" t="s">
        <v>127</v>
      </c>
      <c r="B257" t="s">
        <v>128</v>
      </c>
      <c r="C257">
        <v>277</v>
      </c>
      <c r="D257">
        <v>32116</v>
      </c>
      <c r="E257" t="s">
        <v>1054</v>
      </c>
      <c r="F257" t="s">
        <v>58</v>
      </c>
      <c r="G257" t="s">
        <v>452</v>
      </c>
      <c r="H257" t="s">
        <v>8</v>
      </c>
      <c r="I257" t="s">
        <v>95</v>
      </c>
      <c r="J257">
        <v>6</v>
      </c>
      <c r="K257">
        <v>0.03</v>
      </c>
      <c r="L257">
        <v>1</v>
      </c>
      <c r="M257">
        <v>1</v>
      </c>
      <c r="N257">
        <v>1</v>
      </c>
      <c r="O257">
        <v>100</v>
      </c>
      <c r="P257" t="b">
        <f t="shared" si="3"/>
        <v>0</v>
      </c>
    </row>
    <row r="258" spans="1:16" x14ac:dyDescent="0.2">
      <c r="A258" t="s">
        <v>127</v>
      </c>
      <c r="B258" t="s">
        <v>128</v>
      </c>
      <c r="C258">
        <v>278</v>
      </c>
      <c r="D258">
        <v>129868</v>
      </c>
      <c r="E258" t="s">
        <v>692</v>
      </c>
      <c r="F258" t="s">
        <v>66</v>
      </c>
      <c r="G258" t="s">
        <v>10</v>
      </c>
      <c r="H258" t="s">
        <v>5</v>
      </c>
      <c r="I258" t="s">
        <v>95</v>
      </c>
      <c r="J258">
        <v>14</v>
      </c>
      <c r="K258">
        <v>0.03</v>
      </c>
      <c r="L258">
        <v>1</v>
      </c>
      <c r="M258">
        <v>1</v>
      </c>
      <c r="N258">
        <v>1</v>
      </c>
      <c r="O258">
        <v>100</v>
      </c>
      <c r="P258" t="b">
        <f t="shared" si="3"/>
        <v>0</v>
      </c>
    </row>
    <row r="259" spans="1:16" x14ac:dyDescent="0.2">
      <c r="A259" t="s">
        <v>127</v>
      </c>
      <c r="B259" t="s">
        <v>128</v>
      </c>
      <c r="C259">
        <v>279</v>
      </c>
      <c r="D259">
        <v>44136</v>
      </c>
      <c r="E259" t="s">
        <v>1023</v>
      </c>
      <c r="F259" t="s">
        <v>37</v>
      </c>
      <c r="G259" t="s">
        <v>452</v>
      </c>
      <c r="H259" t="s">
        <v>5</v>
      </c>
      <c r="I259" t="s">
        <v>95</v>
      </c>
      <c r="J259">
        <v>5</v>
      </c>
      <c r="K259">
        <v>0.03</v>
      </c>
      <c r="L259">
        <v>1</v>
      </c>
      <c r="M259">
        <v>1</v>
      </c>
      <c r="N259">
        <v>1</v>
      </c>
      <c r="O259">
        <v>100</v>
      </c>
      <c r="P259" t="b">
        <f t="shared" ref="P259:P322" si="4">AND(C259&lt;$Q$1,IF(ISBLANK(C259),0,C259)&gt;0)</f>
        <v>0</v>
      </c>
    </row>
    <row r="260" spans="1:16" x14ac:dyDescent="0.2">
      <c r="A260" t="s">
        <v>127</v>
      </c>
      <c r="B260" t="s">
        <v>128</v>
      </c>
      <c r="C260">
        <v>280</v>
      </c>
      <c r="D260">
        <v>129497</v>
      </c>
      <c r="E260" t="s">
        <v>758</v>
      </c>
      <c r="F260" t="s">
        <v>64</v>
      </c>
      <c r="G260" t="s">
        <v>10</v>
      </c>
      <c r="H260" t="s">
        <v>6</v>
      </c>
      <c r="I260" t="s">
        <v>95</v>
      </c>
      <c r="J260">
        <v>39</v>
      </c>
      <c r="K260">
        <v>0.03</v>
      </c>
      <c r="L260">
        <v>1</v>
      </c>
      <c r="M260">
        <v>1</v>
      </c>
      <c r="N260">
        <v>1</v>
      </c>
      <c r="O260">
        <v>100</v>
      </c>
      <c r="P260" t="b">
        <f t="shared" si="4"/>
        <v>0</v>
      </c>
    </row>
    <row r="261" spans="1:16" x14ac:dyDescent="0.2">
      <c r="A261" t="s">
        <v>127</v>
      </c>
      <c r="B261" t="s">
        <v>128</v>
      </c>
      <c r="C261">
        <v>281</v>
      </c>
      <c r="D261">
        <v>88638</v>
      </c>
      <c r="E261" t="s">
        <v>916</v>
      </c>
      <c r="F261" t="s">
        <v>22</v>
      </c>
      <c r="G261" t="s">
        <v>452</v>
      </c>
      <c r="H261" t="s">
        <v>12</v>
      </c>
      <c r="I261" t="s">
        <v>91</v>
      </c>
      <c r="J261">
        <v>4</v>
      </c>
      <c r="K261">
        <v>0.03</v>
      </c>
      <c r="L261">
        <v>1</v>
      </c>
      <c r="M261">
        <v>1</v>
      </c>
      <c r="N261">
        <v>1</v>
      </c>
      <c r="O261">
        <v>100</v>
      </c>
      <c r="P261" t="b">
        <f t="shared" si="4"/>
        <v>0</v>
      </c>
    </row>
    <row r="262" spans="1:16" x14ac:dyDescent="0.2">
      <c r="A262" t="s">
        <v>127</v>
      </c>
      <c r="B262" t="s">
        <v>128</v>
      </c>
      <c r="C262">
        <v>282</v>
      </c>
      <c r="D262">
        <v>129503</v>
      </c>
      <c r="E262" t="s">
        <v>754</v>
      </c>
      <c r="F262" t="s">
        <v>67</v>
      </c>
      <c r="G262" t="s">
        <v>10</v>
      </c>
      <c r="H262" t="s">
        <v>12</v>
      </c>
      <c r="I262" t="s">
        <v>95</v>
      </c>
      <c r="J262">
        <v>16</v>
      </c>
      <c r="K262">
        <v>0.03</v>
      </c>
      <c r="L262">
        <v>1</v>
      </c>
      <c r="M262">
        <v>1</v>
      </c>
      <c r="N262">
        <v>1</v>
      </c>
      <c r="O262">
        <v>100</v>
      </c>
      <c r="P262" t="b">
        <f t="shared" si="4"/>
        <v>0</v>
      </c>
    </row>
    <row r="263" spans="1:16" x14ac:dyDescent="0.2">
      <c r="A263" t="s">
        <v>127</v>
      </c>
      <c r="B263" t="s">
        <v>128</v>
      </c>
      <c r="C263">
        <v>283</v>
      </c>
      <c r="D263">
        <v>50234</v>
      </c>
      <c r="E263" t="s">
        <v>1005</v>
      </c>
      <c r="F263" t="s">
        <v>59</v>
      </c>
      <c r="G263" t="s">
        <v>452</v>
      </c>
      <c r="H263" t="s">
        <v>8</v>
      </c>
      <c r="I263" t="s">
        <v>95</v>
      </c>
      <c r="J263">
        <v>6</v>
      </c>
      <c r="K263">
        <v>0.03</v>
      </c>
      <c r="L263">
        <v>1</v>
      </c>
      <c r="M263">
        <v>1</v>
      </c>
      <c r="N263">
        <v>1</v>
      </c>
      <c r="O263">
        <v>100</v>
      </c>
      <c r="P263" t="b">
        <f t="shared" si="4"/>
        <v>0</v>
      </c>
    </row>
    <row r="264" spans="1:16" x14ac:dyDescent="0.2">
      <c r="A264" t="s">
        <v>127</v>
      </c>
      <c r="B264" t="s">
        <v>128</v>
      </c>
      <c r="C264">
        <v>284</v>
      </c>
      <c r="D264">
        <v>130480</v>
      </c>
      <c r="E264" t="s">
        <v>594</v>
      </c>
      <c r="F264" t="s">
        <v>70</v>
      </c>
      <c r="G264" t="s">
        <v>10</v>
      </c>
      <c r="H264" t="s">
        <v>8</v>
      </c>
      <c r="I264" t="s">
        <v>91</v>
      </c>
      <c r="J264">
        <v>36</v>
      </c>
      <c r="K264">
        <v>0.03</v>
      </c>
      <c r="L264">
        <v>1</v>
      </c>
      <c r="M264">
        <v>1</v>
      </c>
      <c r="N264">
        <v>1</v>
      </c>
      <c r="O264">
        <v>100</v>
      </c>
      <c r="P264" t="b">
        <f t="shared" si="4"/>
        <v>0</v>
      </c>
    </row>
    <row r="265" spans="1:16" x14ac:dyDescent="0.2">
      <c r="A265" t="s">
        <v>127</v>
      </c>
      <c r="B265" t="s">
        <v>128</v>
      </c>
      <c r="C265">
        <v>285</v>
      </c>
      <c r="D265">
        <v>76082</v>
      </c>
      <c r="E265" t="s">
        <v>935</v>
      </c>
      <c r="F265" t="s">
        <v>25</v>
      </c>
      <c r="G265" t="s">
        <v>452</v>
      </c>
      <c r="H265" t="s">
        <v>5</v>
      </c>
      <c r="I265" t="s">
        <v>91</v>
      </c>
      <c r="J265">
        <v>4</v>
      </c>
      <c r="K265">
        <v>0.03</v>
      </c>
      <c r="L265">
        <v>1</v>
      </c>
      <c r="M265">
        <v>1</v>
      </c>
      <c r="N265">
        <v>1</v>
      </c>
      <c r="O265">
        <v>100</v>
      </c>
      <c r="P265" t="b">
        <f t="shared" si="4"/>
        <v>0</v>
      </c>
    </row>
    <row r="266" spans="1:16" x14ac:dyDescent="0.2">
      <c r="A266" t="s">
        <v>127</v>
      </c>
      <c r="B266" t="s">
        <v>128</v>
      </c>
      <c r="C266">
        <v>286</v>
      </c>
      <c r="D266">
        <v>130149</v>
      </c>
      <c r="E266" t="s">
        <v>650</v>
      </c>
      <c r="F266" t="s">
        <v>68</v>
      </c>
      <c r="G266" t="s">
        <v>10</v>
      </c>
      <c r="H266" t="s">
        <v>5</v>
      </c>
      <c r="I266" t="s">
        <v>95</v>
      </c>
      <c r="J266">
        <v>12</v>
      </c>
      <c r="K266">
        <v>0.03</v>
      </c>
      <c r="L266">
        <v>1</v>
      </c>
      <c r="M266">
        <v>1</v>
      </c>
      <c r="N266">
        <v>1</v>
      </c>
      <c r="O266">
        <v>100</v>
      </c>
      <c r="P266" t="b">
        <f t="shared" si="4"/>
        <v>0</v>
      </c>
    </row>
    <row r="267" spans="1:16" x14ac:dyDescent="0.2">
      <c r="A267" t="s">
        <v>127</v>
      </c>
      <c r="B267" t="s">
        <v>128</v>
      </c>
      <c r="C267">
        <v>287</v>
      </c>
      <c r="D267">
        <v>55326</v>
      </c>
      <c r="E267" t="s">
        <v>989</v>
      </c>
      <c r="F267" t="s">
        <v>45</v>
      </c>
      <c r="G267" t="s">
        <v>452</v>
      </c>
      <c r="H267" t="s">
        <v>12</v>
      </c>
      <c r="I267" t="s">
        <v>95</v>
      </c>
      <c r="J267">
        <v>4</v>
      </c>
      <c r="K267">
        <v>0.03</v>
      </c>
      <c r="L267">
        <v>1</v>
      </c>
      <c r="M267">
        <v>1</v>
      </c>
      <c r="N267">
        <v>1</v>
      </c>
      <c r="O267">
        <v>100</v>
      </c>
      <c r="P267" t="b">
        <f t="shared" si="4"/>
        <v>0</v>
      </c>
    </row>
    <row r="268" spans="1:16" x14ac:dyDescent="0.2">
      <c r="A268" t="s">
        <v>127</v>
      </c>
      <c r="B268" t="s">
        <v>128</v>
      </c>
      <c r="C268">
        <v>288</v>
      </c>
      <c r="D268">
        <v>130036</v>
      </c>
      <c r="E268" t="s">
        <v>289</v>
      </c>
      <c r="F268" t="s">
        <v>64</v>
      </c>
      <c r="G268" t="s">
        <v>10</v>
      </c>
      <c r="H268" t="s">
        <v>6</v>
      </c>
      <c r="I268" t="s">
        <v>97</v>
      </c>
      <c r="J268">
        <v>40</v>
      </c>
      <c r="K268">
        <v>0.03</v>
      </c>
      <c r="L268">
        <v>1</v>
      </c>
      <c r="M268">
        <v>1</v>
      </c>
      <c r="N268">
        <v>1</v>
      </c>
      <c r="O268">
        <v>100</v>
      </c>
      <c r="P268" t="b">
        <f t="shared" si="4"/>
        <v>0</v>
      </c>
    </row>
    <row r="269" spans="1:16" x14ac:dyDescent="0.2">
      <c r="A269" t="s">
        <v>127</v>
      </c>
      <c r="B269" t="s">
        <v>128</v>
      </c>
      <c r="C269">
        <v>289</v>
      </c>
      <c r="D269">
        <v>126577</v>
      </c>
      <c r="E269" t="s">
        <v>840</v>
      </c>
      <c r="F269" t="s">
        <v>9</v>
      </c>
      <c r="G269" t="s">
        <v>452</v>
      </c>
      <c r="H269" t="s">
        <v>8</v>
      </c>
      <c r="I269" t="s">
        <v>95</v>
      </c>
      <c r="J269">
        <v>16</v>
      </c>
      <c r="K269">
        <v>0.03</v>
      </c>
      <c r="L269">
        <v>1</v>
      </c>
      <c r="M269">
        <v>1</v>
      </c>
      <c r="N269">
        <v>1</v>
      </c>
      <c r="O269">
        <v>100</v>
      </c>
      <c r="P269" t="b">
        <f t="shared" si="4"/>
        <v>0</v>
      </c>
    </row>
    <row r="270" spans="1:16" x14ac:dyDescent="0.2">
      <c r="A270" t="s">
        <v>127</v>
      </c>
      <c r="B270" t="s">
        <v>128</v>
      </c>
      <c r="C270">
        <v>290</v>
      </c>
      <c r="D270">
        <v>129553</v>
      </c>
      <c r="E270" t="s">
        <v>741</v>
      </c>
      <c r="F270" t="s">
        <v>69</v>
      </c>
      <c r="G270" t="s">
        <v>10</v>
      </c>
      <c r="H270" t="s">
        <v>12</v>
      </c>
      <c r="I270" t="s">
        <v>131</v>
      </c>
      <c r="J270">
        <v>15</v>
      </c>
      <c r="K270">
        <v>0.03</v>
      </c>
      <c r="L270">
        <v>1</v>
      </c>
      <c r="M270">
        <v>1</v>
      </c>
      <c r="N270">
        <v>1</v>
      </c>
      <c r="O270">
        <v>100</v>
      </c>
      <c r="P270" t="b">
        <f t="shared" si="4"/>
        <v>0</v>
      </c>
    </row>
    <row r="271" spans="1:16" x14ac:dyDescent="0.2">
      <c r="A271" t="s">
        <v>127</v>
      </c>
      <c r="B271" t="s">
        <v>128</v>
      </c>
      <c r="C271">
        <v>291</v>
      </c>
      <c r="D271">
        <v>76554</v>
      </c>
      <c r="E271" t="s">
        <v>933</v>
      </c>
      <c r="F271" t="s">
        <v>24</v>
      </c>
      <c r="G271" t="s">
        <v>452</v>
      </c>
      <c r="H271" t="s">
        <v>5</v>
      </c>
      <c r="I271" t="s">
        <v>91</v>
      </c>
      <c r="J271">
        <v>4</v>
      </c>
      <c r="K271">
        <v>0.03</v>
      </c>
      <c r="L271">
        <v>1</v>
      </c>
      <c r="M271">
        <v>1</v>
      </c>
      <c r="N271">
        <v>1</v>
      </c>
      <c r="O271">
        <v>100</v>
      </c>
      <c r="P271" t="b">
        <f t="shared" si="4"/>
        <v>0</v>
      </c>
    </row>
    <row r="272" spans="1:16" x14ac:dyDescent="0.2">
      <c r="A272" t="s">
        <v>127</v>
      </c>
      <c r="B272" t="s">
        <v>128</v>
      </c>
      <c r="C272">
        <v>292</v>
      </c>
      <c r="D272">
        <v>129679</v>
      </c>
      <c r="E272" t="s">
        <v>711</v>
      </c>
      <c r="F272" t="s">
        <v>70</v>
      </c>
      <c r="G272" t="s">
        <v>10</v>
      </c>
      <c r="H272" t="s">
        <v>8</v>
      </c>
      <c r="I272" t="s">
        <v>97</v>
      </c>
      <c r="J272">
        <v>37</v>
      </c>
      <c r="K272">
        <v>0.03</v>
      </c>
      <c r="L272">
        <v>1</v>
      </c>
      <c r="M272">
        <v>1</v>
      </c>
      <c r="N272">
        <v>1</v>
      </c>
      <c r="O272">
        <v>100</v>
      </c>
      <c r="P272" t="b">
        <f t="shared" si="4"/>
        <v>0</v>
      </c>
    </row>
    <row r="273" spans="1:16" x14ac:dyDescent="0.2">
      <c r="A273" t="s">
        <v>127</v>
      </c>
      <c r="B273" t="s">
        <v>128</v>
      </c>
      <c r="C273">
        <v>293</v>
      </c>
      <c r="D273">
        <v>78003</v>
      </c>
      <c r="E273" t="s">
        <v>163</v>
      </c>
      <c r="F273" t="s">
        <v>46</v>
      </c>
      <c r="G273" t="s">
        <v>452</v>
      </c>
      <c r="H273" t="s">
        <v>12</v>
      </c>
      <c r="I273" t="s">
        <v>91</v>
      </c>
      <c r="J273">
        <v>4</v>
      </c>
      <c r="K273">
        <v>0.03</v>
      </c>
      <c r="L273">
        <v>1</v>
      </c>
      <c r="M273">
        <v>1</v>
      </c>
      <c r="N273">
        <v>1</v>
      </c>
      <c r="O273">
        <v>100</v>
      </c>
      <c r="P273" t="b">
        <f t="shared" si="4"/>
        <v>0</v>
      </c>
    </row>
    <row r="274" spans="1:16" x14ac:dyDescent="0.2">
      <c r="A274" t="s">
        <v>127</v>
      </c>
      <c r="B274" t="s">
        <v>128</v>
      </c>
      <c r="C274">
        <v>294</v>
      </c>
      <c r="D274">
        <v>130543</v>
      </c>
      <c r="E274" t="s">
        <v>578</v>
      </c>
      <c r="F274" t="s">
        <v>65</v>
      </c>
      <c r="G274" t="s">
        <v>10</v>
      </c>
      <c r="H274" t="s">
        <v>5</v>
      </c>
      <c r="I274" t="s">
        <v>97</v>
      </c>
      <c r="J274">
        <v>19</v>
      </c>
      <c r="K274">
        <v>0.03</v>
      </c>
      <c r="L274">
        <v>1</v>
      </c>
      <c r="M274">
        <v>1</v>
      </c>
      <c r="N274">
        <v>1</v>
      </c>
      <c r="O274">
        <v>100</v>
      </c>
      <c r="P274" t="b">
        <f t="shared" si="4"/>
        <v>0</v>
      </c>
    </row>
    <row r="275" spans="1:16" x14ac:dyDescent="0.2">
      <c r="A275" t="s">
        <v>127</v>
      </c>
      <c r="B275" t="s">
        <v>128</v>
      </c>
      <c r="C275">
        <v>295</v>
      </c>
      <c r="D275">
        <v>125692</v>
      </c>
      <c r="E275" t="s">
        <v>857</v>
      </c>
      <c r="F275" t="s">
        <v>9</v>
      </c>
      <c r="G275" t="s">
        <v>452</v>
      </c>
      <c r="H275" t="s">
        <v>8</v>
      </c>
      <c r="I275" t="s">
        <v>94</v>
      </c>
      <c r="J275">
        <v>17</v>
      </c>
      <c r="K275">
        <v>11</v>
      </c>
      <c r="L275">
        <v>3</v>
      </c>
      <c r="M275">
        <v>4</v>
      </c>
      <c r="N275">
        <v>4</v>
      </c>
      <c r="O275">
        <v>1</v>
      </c>
      <c r="P275" t="b">
        <f t="shared" si="4"/>
        <v>0</v>
      </c>
    </row>
    <row r="276" spans="1:16" x14ac:dyDescent="0.2">
      <c r="A276" t="s">
        <v>127</v>
      </c>
      <c r="B276" t="s">
        <v>128</v>
      </c>
      <c r="C276">
        <v>296</v>
      </c>
      <c r="D276">
        <v>131085</v>
      </c>
      <c r="E276" t="s">
        <v>488</v>
      </c>
      <c r="F276" t="s">
        <v>64</v>
      </c>
      <c r="G276" t="s">
        <v>10</v>
      </c>
      <c r="H276" t="s">
        <v>6</v>
      </c>
      <c r="I276" t="s">
        <v>91</v>
      </c>
      <c r="J276">
        <v>41</v>
      </c>
      <c r="K276">
        <v>0.03</v>
      </c>
      <c r="L276">
        <v>1</v>
      </c>
      <c r="M276">
        <v>1</v>
      </c>
      <c r="N276">
        <v>1</v>
      </c>
      <c r="O276">
        <v>100</v>
      </c>
      <c r="P276" t="b">
        <f t="shared" si="4"/>
        <v>0</v>
      </c>
    </row>
    <row r="277" spans="1:16" x14ac:dyDescent="0.2">
      <c r="A277" t="s">
        <v>127</v>
      </c>
      <c r="B277" t="s">
        <v>128</v>
      </c>
      <c r="C277">
        <v>297</v>
      </c>
      <c r="D277">
        <v>68236</v>
      </c>
      <c r="E277" t="s">
        <v>962</v>
      </c>
      <c r="F277" t="s">
        <v>21</v>
      </c>
      <c r="G277" t="s">
        <v>452</v>
      </c>
      <c r="H277" t="s">
        <v>5</v>
      </c>
      <c r="I277" t="s">
        <v>95</v>
      </c>
      <c r="J277">
        <v>7</v>
      </c>
      <c r="K277">
        <v>0.03</v>
      </c>
      <c r="L277">
        <v>1</v>
      </c>
      <c r="M277">
        <v>1</v>
      </c>
      <c r="N277">
        <v>1</v>
      </c>
      <c r="O277">
        <v>100</v>
      </c>
      <c r="P277" t="b">
        <f t="shared" si="4"/>
        <v>0</v>
      </c>
    </row>
    <row r="278" spans="1:16" x14ac:dyDescent="0.2">
      <c r="A278" t="s">
        <v>127</v>
      </c>
      <c r="B278" t="s">
        <v>128</v>
      </c>
      <c r="C278">
        <v>298</v>
      </c>
      <c r="D278">
        <v>130068</v>
      </c>
      <c r="E278" t="s">
        <v>675</v>
      </c>
      <c r="F278" t="s">
        <v>71</v>
      </c>
      <c r="G278" t="s">
        <v>10</v>
      </c>
      <c r="H278" t="s">
        <v>12</v>
      </c>
      <c r="I278" t="s">
        <v>91</v>
      </c>
      <c r="J278">
        <v>8</v>
      </c>
      <c r="K278">
        <v>0.03</v>
      </c>
      <c r="L278">
        <v>1</v>
      </c>
      <c r="M278">
        <v>1</v>
      </c>
      <c r="N278">
        <v>1</v>
      </c>
      <c r="O278">
        <v>100</v>
      </c>
      <c r="P278" t="b">
        <f t="shared" si="4"/>
        <v>0</v>
      </c>
    </row>
    <row r="279" spans="1:16" x14ac:dyDescent="0.2">
      <c r="A279" t="s">
        <v>127</v>
      </c>
      <c r="B279" t="s">
        <v>128</v>
      </c>
      <c r="C279">
        <v>299</v>
      </c>
      <c r="D279">
        <v>66475</v>
      </c>
      <c r="E279" t="s">
        <v>966</v>
      </c>
      <c r="F279" t="s">
        <v>35</v>
      </c>
      <c r="G279" t="s">
        <v>452</v>
      </c>
      <c r="H279" t="s">
        <v>12</v>
      </c>
      <c r="I279" t="s">
        <v>91</v>
      </c>
      <c r="J279">
        <v>6</v>
      </c>
      <c r="K279">
        <v>0.03</v>
      </c>
      <c r="L279">
        <v>1</v>
      </c>
      <c r="M279">
        <v>1</v>
      </c>
      <c r="N279">
        <v>1</v>
      </c>
      <c r="O279">
        <v>100</v>
      </c>
      <c r="P279" t="b">
        <f t="shared" si="4"/>
        <v>0</v>
      </c>
    </row>
    <row r="280" spans="1:16" x14ac:dyDescent="0.2">
      <c r="A280" t="s">
        <v>127</v>
      </c>
      <c r="B280" t="s">
        <v>128</v>
      </c>
      <c r="C280">
        <v>300</v>
      </c>
      <c r="D280">
        <v>130713</v>
      </c>
      <c r="E280" t="s">
        <v>549</v>
      </c>
      <c r="F280" t="s">
        <v>70</v>
      </c>
      <c r="G280" t="s">
        <v>10</v>
      </c>
      <c r="H280" t="s">
        <v>8</v>
      </c>
      <c r="I280" t="s">
        <v>97</v>
      </c>
      <c r="J280">
        <v>38</v>
      </c>
      <c r="K280">
        <v>0.03</v>
      </c>
      <c r="L280">
        <v>1</v>
      </c>
      <c r="M280">
        <v>1</v>
      </c>
      <c r="N280">
        <v>1</v>
      </c>
      <c r="O280">
        <v>100</v>
      </c>
      <c r="P280" t="b">
        <f t="shared" si="4"/>
        <v>0</v>
      </c>
    </row>
    <row r="281" spans="1:16" x14ac:dyDescent="0.2">
      <c r="A281" t="s">
        <v>127</v>
      </c>
      <c r="B281" t="s">
        <v>128</v>
      </c>
      <c r="C281">
        <v>301</v>
      </c>
      <c r="D281">
        <v>58133</v>
      </c>
      <c r="E281" t="s">
        <v>982</v>
      </c>
      <c r="F281" t="s">
        <v>34</v>
      </c>
      <c r="G281" t="s">
        <v>452</v>
      </c>
      <c r="H281" t="s">
        <v>8</v>
      </c>
      <c r="I281" t="s">
        <v>95</v>
      </c>
      <c r="J281">
        <v>7</v>
      </c>
      <c r="K281">
        <v>0.03</v>
      </c>
      <c r="L281">
        <v>1</v>
      </c>
      <c r="M281">
        <v>1</v>
      </c>
      <c r="N281">
        <v>1</v>
      </c>
      <c r="O281">
        <v>100</v>
      </c>
      <c r="P281" t="b">
        <f t="shared" si="4"/>
        <v>0</v>
      </c>
    </row>
    <row r="282" spans="1:16" x14ac:dyDescent="0.2">
      <c r="A282" t="s">
        <v>127</v>
      </c>
      <c r="B282" t="s">
        <v>128</v>
      </c>
      <c r="C282">
        <v>302</v>
      </c>
      <c r="D282">
        <v>130431</v>
      </c>
      <c r="E282" t="s">
        <v>610</v>
      </c>
      <c r="F282" t="s">
        <v>65</v>
      </c>
      <c r="G282" t="s">
        <v>10</v>
      </c>
      <c r="H282" t="s">
        <v>5</v>
      </c>
      <c r="I282" t="s">
        <v>93</v>
      </c>
      <c r="J282">
        <v>20</v>
      </c>
      <c r="K282">
        <v>0.03</v>
      </c>
      <c r="L282">
        <v>1</v>
      </c>
      <c r="M282">
        <v>1</v>
      </c>
      <c r="N282">
        <v>1</v>
      </c>
      <c r="O282">
        <v>100</v>
      </c>
      <c r="P282" t="b">
        <f t="shared" si="4"/>
        <v>0</v>
      </c>
    </row>
    <row r="283" spans="1:16" x14ac:dyDescent="0.2">
      <c r="A283" t="s">
        <v>127</v>
      </c>
      <c r="B283" t="s">
        <v>128</v>
      </c>
      <c r="C283">
        <v>303</v>
      </c>
      <c r="D283">
        <v>126044</v>
      </c>
      <c r="E283" t="s">
        <v>182</v>
      </c>
      <c r="F283" t="s">
        <v>23</v>
      </c>
      <c r="G283" t="s">
        <v>452</v>
      </c>
      <c r="H283" t="s">
        <v>5</v>
      </c>
      <c r="I283" t="s">
        <v>95</v>
      </c>
      <c r="J283">
        <v>8</v>
      </c>
      <c r="K283">
        <v>0.03</v>
      </c>
      <c r="L283">
        <v>1</v>
      </c>
      <c r="M283">
        <v>1</v>
      </c>
      <c r="N283">
        <v>1</v>
      </c>
      <c r="O283">
        <v>100</v>
      </c>
      <c r="P283" t="b">
        <f t="shared" si="4"/>
        <v>0</v>
      </c>
    </row>
    <row r="284" spans="1:16" x14ac:dyDescent="0.2">
      <c r="A284" t="s">
        <v>127</v>
      </c>
      <c r="B284" t="s">
        <v>128</v>
      </c>
      <c r="C284">
        <v>304</v>
      </c>
      <c r="D284">
        <v>136127</v>
      </c>
      <c r="E284" t="s">
        <v>461</v>
      </c>
      <c r="F284" t="s">
        <v>64</v>
      </c>
      <c r="G284" t="s">
        <v>10</v>
      </c>
      <c r="H284" t="s">
        <v>6</v>
      </c>
      <c r="I284" t="s">
        <v>95</v>
      </c>
      <c r="J284">
        <v>44</v>
      </c>
      <c r="K284">
        <v>5</v>
      </c>
      <c r="L284">
        <v>2</v>
      </c>
      <c r="M284">
        <v>2</v>
      </c>
      <c r="N284">
        <v>1</v>
      </c>
      <c r="O284">
        <v>1</v>
      </c>
      <c r="P284" t="b">
        <f t="shared" si="4"/>
        <v>0</v>
      </c>
    </row>
    <row r="285" spans="1:16" x14ac:dyDescent="0.2">
      <c r="A285" t="s">
        <v>127</v>
      </c>
      <c r="B285" t="s">
        <v>128</v>
      </c>
      <c r="C285">
        <v>305</v>
      </c>
      <c r="D285">
        <v>59257</v>
      </c>
      <c r="E285" t="s">
        <v>191</v>
      </c>
      <c r="F285" t="s">
        <v>47</v>
      </c>
      <c r="G285" t="s">
        <v>452</v>
      </c>
      <c r="H285" t="s">
        <v>12</v>
      </c>
      <c r="I285" t="s">
        <v>91</v>
      </c>
      <c r="J285">
        <v>4</v>
      </c>
      <c r="K285">
        <v>0.03</v>
      </c>
      <c r="L285">
        <v>1</v>
      </c>
      <c r="M285">
        <v>1</v>
      </c>
      <c r="N285">
        <v>1</v>
      </c>
      <c r="O285">
        <v>100</v>
      </c>
      <c r="P285" t="b">
        <f t="shared" si="4"/>
        <v>0</v>
      </c>
    </row>
    <row r="286" spans="1:16" x14ac:dyDescent="0.2">
      <c r="A286" t="s">
        <v>127</v>
      </c>
      <c r="B286" t="s">
        <v>128</v>
      </c>
      <c r="C286">
        <v>306</v>
      </c>
      <c r="D286">
        <v>129736</v>
      </c>
      <c r="E286" t="s">
        <v>707</v>
      </c>
      <c r="F286" t="s">
        <v>67</v>
      </c>
      <c r="G286" t="s">
        <v>10</v>
      </c>
      <c r="H286" t="s">
        <v>12</v>
      </c>
      <c r="I286" t="s">
        <v>95</v>
      </c>
      <c r="J286">
        <v>17</v>
      </c>
      <c r="K286">
        <v>0.03</v>
      </c>
      <c r="L286">
        <v>1</v>
      </c>
      <c r="M286">
        <v>1</v>
      </c>
      <c r="N286">
        <v>1</v>
      </c>
      <c r="O286">
        <v>100</v>
      </c>
      <c r="P286" t="b">
        <f t="shared" si="4"/>
        <v>0</v>
      </c>
    </row>
    <row r="287" spans="1:16" x14ac:dyDescent="0.2">
      <c r="A287" t="s">
        <v>127</v>
      </c>
      <c r="B287" t="s">
        <v>128</v>
      </c>
      <c r="C287">
        <v>307</v>
      </c>
      <c r="D287">
        <v>100092</v>
      </c>
      <c r="E287" t="s">
        <v>896</v>
      </c>
      <c r="F287" t="s">
        <v>58</v>
      </c>
      <c r="G287" t="s">
        <v>452</v>
      </c>
      <c r="H287" t="s">
        <v>8</v>
      </c>
      <c r="I287" t="s">
        <v>91</v>
      </c>
      <c r="J287">
        <v>7</v>
      </c>
      <c r="K287">
        <v>0.03</v>
      </c>
      <c r="L287">
        <v>1</v>
      </c>
      <c r="M287">
        <v>1</v>
      </c>
      <c r="N287">
        <v>1</v>
      </c>
      <c r="O287">
        <v>100</v>
      </c>
      <c r="P287" t="b">
        <f t="shared" si="4"/>
        <v>0</v>
      </c>
    </row>
    <row r="288" spans="1:16" x14ac:dyDescent="0.2">
      <c r="A288" t="s">
        <v>127</v>
      </c>
      <c r="B288" t="s">
        <v>128</v>
      </c>
      <c r="C288">
        <v>308</v>
      </c>
      <c r="D288">
        <v>129776</v>
      </c>
      <c r="E288" t="s">
        <v>702</v>
      </c>
      <c r="F288" t="s">
        <v>70</v>
      </c>
      <c r="G288" t="s">
        <v>10</v>
      </c>
      <c r="H288" t="s">
        <v>8</v>
      </c>
      <c r="I288" t="s">
        <v>97</v>
      </c>
      <c r="J288">
        <v>39</v>
      </c>
      <c r="K288">
        <v>0.03</v>
      </c>
      <c r="L288">
        <v>1</v>
      </c>
      <c r="M288">
        <v>1</v>
      </c>
      <c r="N288">
        <v>1</v>
      </c>
      <c r="O288">
        <v>100</v>
      </c>
      <c r="P288" t="b">
        <f t="shared" si="4"/>
        <v>0</v>
      </c>
    </row>
    <row r="289" spans="1:16" x14ac:dyDescent="0.2">
      <c r="A289" t="s">
        <v>127</v>
      </c>
      <c r="B289" t="s">
        <v>128</v>
      </c>
      <c r="C289">
        <v>309</v>
      </c>
      <c r="D289">
        <v>48991</v>
      </c>
      <c r="E289" t="s">
        <v>202</v>
      </c>
      <c r="F289" t="s">
        <v>36</v>
      </c>
      <c r="G289" t="s">
        <v>452</v>
      </c>
      <c r="H289" t="s">
        <v>5</v>
      </c>
      <c r="I289" t="s">
        <v>91</v>
      </c>
      <c r="J289">
        <v>7</v>
      </c>
      <c r="K289">
        <v>0.03</v>
      </c>
      <c r="L289">
        <v>1</v>
      </c>
      <c r="M289">
        <v>1</v>
      </c>
      <c r="N289">
        <v>1</v>
      </c>
      <c r="O289">
        <v>100</v>
      </c>
      <c r="P289" t="b">
        <f t="shared" si="4"/>
        <v>0</v>
      </c>
    </row>
    <row r="290" spans="1:16" x14ac:dyDescent="0.2">
      <c r="A290" t="s">
        <v>127</v>
      </c>
      <c r="B290" t="s">
        <v>128</v>
      </c>
      <c r="C290">
        <v>310</v>
      </c>
      <c r="D290">
        <v>130506</v>
      </c>
      <c r="E290" t="s">
        <v>586</v>
      </c>
      <c r="F290" t="s">
        <v>66</v>
      </c>
      <c r="G290" t="s">
        <v>10</v>
      </c>
      <c r="H290" t="s">
        <v>5</v>
      </c>
      <c r="I290" t="s">
        <v>95</v>
      </c>
      <c r="J290">
        <v>16</v>
      </c>
      <c r="K290">
        <v>0.03</v>
      </c>
      <c r="L290">
        <v>1</v>
      </c>
      <c r="M290">
        <v>1</v>
      </c>
      <c r="N290">
        <v>1</v>
      </c>
      <c r="O290">
        <v>100</v>
      </c>
      <c r="P290" t="b">
        <f t="shared" si="4"/>
        <v>0</v>
      </c>
    </row>
    <row r="291" spans="1:16" x14ac:dyDescent="0.2">
      <c r="A291" t="s">
        <v>127</v>
      </c>
      <c r="B291" t="s">
        <v>128</v>
      </c>
      <c r="C291">
        <v>311</v>
      </c>
      <c r="D291">
        <v>32011</v>
      </c>
      <c r="E291" t="s">
        <v>1070</v>
      </c>
      <c r="F291" t="s">
        <v>48</v>
      </c>
      <c r="G291" t="s">
        <v>452</v>
      </c>
      <c r="H291" t="s">
        <v>12</v>
      </c>
      <c r="I291" t="s">
        <v>91</v>
      </c>
      <c r="J291">
        <v>4</v>
      </c>
      <c r="K291">
        <v>0.03</v>
      </c>
      <c r="L291">
        <v>1</v>
      </c>
      <c r="M291">
        <v>1</v>
      </c>
      <c r="N291">
        <v>1</v>
      </c>
      <c r="O291">
        <v>100</v>
      </c>
      <c r="P291" t="b">
        <f t="shared" si="4"/>
        <v>0</v>
      </c>
    </row>
    <row r="292" spans="1:16" x14ac:dyDescent="0.2">
      <c r="A292" t="s">
        <v>127</v>
      </c>
      <c r="B292" t="s">
        <v>128</v>
      </c>
      <c r="C292">
        <v>312</v>
      </c>
      <c r="D292">
        <v>135612</v>
      </c>
      <c r="E292" t="s">
        <v>462</v>
      </c>
      <c r="F292" t="s">
        <v>64</v>
      </c>
      <c r="G292" t="s">
        <v>10</v>
      </c>
      <c r="H292" t="s">
        <v>6</v>
      </c>
      <c r="I292" t="s">
        <v>91</v>
      </c>
      <c r="J292">
        <v>45</v>
      </c>
      <c r="K292">
        <v>0.03</v>
      </c>
      <c r="L292">
        <v>1</v>
      </c>
      <c r="M292">
        <v>1</v>
      </c>
      <c r="N292">
        <v>1</v>
      </c>
      <c r="O292">
        <v>100</v>
      </c>
      <c r="P292" t="b">
        <f t="shared" si="4"/>
        <v>0</v>
      </c>
    </row>
    <row r="293" spans="1:16" x14ac:dyDescent="0.2">
      <c r="A293" t="s">
        <v>127</v>
      </c>
      <c r="B293" t="s">
        <v>128</v>
      </c>
      <c r="C293">
        <v>313</v>
      </c>
      <c r="D293">
        <v>126584</v>
      </c>
      <c r="E293" t="s">
        <v>281</v>
      </c>
      <c r="F293" t="s">
        <v>9</v>
      </c>
      <c r="G293" t="s">
        <v>452</v>
      </c>
      <c r="H293" t="s">
        <v>8</v>
      </c>
      <c r="I293" t="s">
        <v>91</v>
      </c>
      <c r="J293">
        <v>18</v>
      </c>
      <c r="K293">
        <v>0.03</v>
      </c>
      <c r="L293">
        <v>1</v>
      </c>
      <c r="M293">
        <v>1</v>
      </c>
      <c r="N293">
        <v>1</v>
      </c>
      <c r="O293">
        <v>100</v>
      </c>
      <c r="P293" t="b">
        <f t="shared" si="4"/>
        <v>0</v>
      </c>
    </row>
    <row r="294" spans="1:16" x14ac:dyDescent="0.2">
      <c r="A294" t="s">
        <v>127</v>
      </c>
      <c r="B294" t="s">
        <v>128</v>
      </c>
      <c r="C294">
        <v>314</v>
      </c>
      <c r="D294">
        <v>129469</v>
      </c>
      <c r="E294" t="s">
        <v>395</v>
      </c>
      <c r="F294" t="s">
        <v>69</v>
      </c>
      <c r="G294" t="s">
        <v>10</v>
      </c>
      <c r="H294" t="s">
        <v>12</v>
      </c>
      <c r="I294" t="s">
        <v>91</v>
      </c>
      <c r="J294">
        <v>16</v>
      </c>
      <c r="K294">
        <v>0.03</v>
      </c>
      <c r="L294">
        <v>1</v>
      </c>
      <c r="M294">
        <v>1</v>
      </c>
      <c r="N294">
        <v>1</v>
      </c>
      <c r="O294">
        <v>100</v>
      </c>
      <c r="P294" t="b">
        <f t="shared" si="4"/>
        <v>0</v>
      </c>
    </row>
    <row r="295" spans="1:16" x14ac:dyDescent="0.2">
      <c r="A295" t="s">
        <v>127</v>
      </c>
      <c r="B295" t="s">
        <v>128</v>
      </c>
      <c r="C295">
        <v>315</v>
      </c>
      <c r="D295">
        <v>31797</v>
      </c>
      <c r="E295" t="s">
        <v>1110</v>
      </c>
      <c r="F295" t="s">
        <v>38</v>
      </c>
      <c r="G295" t="s">
        <v>452</v>
      </c>
      <c r="H295" t="s">
        <v>5</v>
      </c>
      <c r="I295" t="s">
        <v>95</v>
      </c>
      <c r="J295">
        <v>5</v>
      </c>
      <c r="K295">
        <v>0.03</v>
      </c>
      <c r="L295">
        <v>1</v>
      </c>
      <c r="M295">
        <v>1</v>
      </c>
      <c r="N295">
        <v>1</v>
      </c>
      <c r="O295">
        <v>100</v>
      </c>
      <c r="P295" t="b">
        <f t="shared" si="4"/>
        <v>0</v>
      </c>
    </row>
    <row r="296" spans="1:16" x14ac:dyDescent="0.2">
      <c r="A296" t="s">
        <v>127</v>
      </c>
      <c r="B296" t="s">
        <v>128</v>
      </c>
      <c r="C296">
        <v>316</v>
      </c>
      <c r="D296">
        <v>130239</v>
      </c>
      <c r="E296" t="s">
        <v>641</v>
      </c>
      <c r="F296" t="s">
        <v>70</v>
      </c>
      <c r="G296" t="s">
        <v>10</v>
      </c>
      <c r="H296" t="s">
        <v>8</v>
      </c>
      <c r="I296" t="s">
        <v>95</v>
      </c>
      <c r="J296">
        <v>40</v>
      </c>
      <c r="K296">
        <v>0.03</v>
      </c>
      <c r="L296">
        <v>1</v>
      </c>
      <c r="M296">
        <v>1</v>
      </c>
      <c r="N296">
        <v>1</v>
      </c>
      <c r="O296">
        <v>100</v>
      </c>
      <c r="P296" t="b">
        <f t="shared" si="4"/>
        <v>0</v>
      </c>
    </row>
    <row r="297" spans="1:16" x14ac:dyDescent="0.2">
      <c r="A297" t="s">
        <v>127</v>
      </c>
      <c r="B297" t="s">
        <v>128</v>
      </c>
      <c r="C297">
        <v>317</v>
      </c>
      <c r="D297">
        <v>35445</v>
      </c>
      <c r="E297" t="s">
        <v>394</v>
      </c>
      <c r="F297" t="s">
        <v>98</v>
      </c>
      <c r="G297" t="s">
        <v>452</v>
      </c>
      <c r="H297" t="s">
        <v>12</v>
      </c>
      <c r="I297" t="s">
        <v>131</v>
      </c>
      <c r="J297">
        <v>4</v>
      </c>
      <c r="K297">
        <v>0.03</v>
      </c>
      <c r="L297">
        <v>1</v>
      </c>
      <c r="M297">
        <v>1</v>
      </c>
      <c r="N297">
        <v>1</v>
      </c>
      <c r="O297">
        <v>100</v>
      </c>
      <c r="P297" t="b">
        <f t="shared" si="4"/>
        <v>0</v>
      </c>
    </row>
    <row r="298" spans="1:16" x14ac:dyDescent="0.2">
      <c r="A298" t="s">
        <v>127</v>
      </c>
      <c r="B298" t="s">
        <v>128</v>
      </c>
      <c r="C298">
        <v>318</v>
      </c>
      <c r="D298">
        <v>130360</v>
      </c>
      <c r="E298" t="s">
        <v>621</v>
      </c>
      <c r="F298" t="s">
        <v>68</v>
      </c>
      <c r="G298" t="s">
        <v>10</v>
      </c>
      <c r="H298" t="s">
        <v>5</v>
      </c>
      <c r="I298" t="s">
        <v>95</v>
      </c>
      <c r="J298">
        <v>13</v>
      </c>
      <c r="K298">
        <v>0.03</v>
      </c>
      <c r="L298">
        <v>1</v>
      </c>
      <c r="M298">
        <v>1</v>
      </c>
      <c r="N298">
        <v>1</v>
      </c>
      <c r="O298">
        <v>100</v>
      </c>
      <c r="P298" t="b">
        <f t="shared" si="4"/>
        <v>0</v>
      </c>
    </row>
    <row r="299" spans="1:16" x14ac:dyDescent="0.2">
      <c r="A299" t="s">
        <v>127</v>
      </c>
      <c r="B299" t="s">
        <v>128</v>
      </c>
      <c r="C299">
        <v>319</v>
      </c>
      <c r="D299">
        <v>131992</v>
      </c>
      <c r="E299" t="s">
        <v>815</v>
      </c>
      <c r="F299" t="s">
        <v>9</v>
      </c>
      <c r="G299" t="s">
        <v>452</v>
      </c>
      <c r="H299" t="s">
        <v>8</v>
      </c>
      <c r="I299" t="s">
        <v>95</v>
      </c>
      <c r="J299">
        <v>19</v>
      </c>
      <c r="K299">
        <v>0.03</v>
      </c>
      <c r="L299">
        <v>1</v>
      </c>
      <c r="M299">
        <v>1</v>
      </c>
      <c r="N299">
        <v>1</v>
      </c>
      <c r="O299">
        <v>100</v>
      </c>
      <c r="P299" t="b">
        <f t="shared" si="4"/>
        <v>0</v>
      </c>
    </row>
    <row r="300" spans="1:16" x14ac:dyDescent="0.2">
      <c r="A300" t="s">
        <v>127</v>
      </c>
      <c r="B300" t="s">
        <v>128</v>
      </c>
      <c r="C300">
        <v>320</v>
      </c>
      <c r="D300">
        <v>135153</v>
      </c>
      <c r="E300" t="s">
        <v>465</v>
      </c>
      <c r="F300" t="s">
        <v>64</v>
      </c>
      <c r="G300" t="s">
        <v>10</v>
      </c>
      <c r="H300" t="s">
        <v>6</v>
      </c>
      <c r="I300" t="s">
        <v>95</v>
      </c>
      <c r="J300">
        <v>46</v>
      </c>
      <c r="K300">
        <v>2.5</v>
      </c>
      <c r="L300">
        <v>3</v>
      </c>
      <c r="M300">
        <v>1</v>
      </c>
      <c r="N300">
        <v>1</v>
      </c>
      <c r="O300">
        <v>2</v>
      </c>
      <c r="P300" t="b">
        <f t="shared" si="4"/>
        <v>0</v>
      </c>
    </row>
    <row r="301" spans="1:16" x14ac:dyDescent="0.2">
      <c r="A301" t="s">
        <v>127</v>
      </c>
      <c r="B301" t="s">
        <v>128</v>
      </c>
      <c r="C301">
        <v>321</v>
      </c>
      <c r="D301">
        <v>127396</v>
      </c>
      <c r="E301" t="s">
        <v>822</v>
      </c>
      <c r="F301" t="s">
        <v>37</v>
      </c>
      <c r="G301" t="s">
        <v>452</v>
      </c>
      <c r="H301" t="s">
        <v>5</v>
      </c>
      <c r="I301" t="s">
        <v>94</v>
      </c>
      <c r="J301">
        <v>6</v>
      </c>
      <c r="K301">
        <v>0.03</v>
      </c>
      <c r="L301">
        <v>1</v>
      </c>
      <c r="M301">
        <v>1</v>
      </c>
      <c r="N301">
        <v>1</v>
      </c>
      <c r="O301">
        <v>100</v>
      </c>
      <c r="P301" t="b">
        <f t="shared" si="4"/>
        <v>0</v>
      </c>
    </row>
    <row r="302" spans="1:16" x14ac:dyDescent="0.2">
      <c r="A302" t="s">
        <v>127</v>
      </c>
      <c r="B302" t="s">
        <v>128</v>
      </c>
      <c r="C302">
        <v>322</v>
      </c>
      <c r="D302">
        <v>129508</v>
      </c>
      <c r="E302" t="s">
        <v>752</v>
      </c>
      <c r="F302" t="s">
        <v>67</v>
      </c>
      <c r="G302" t="s">
        <v>10</v>
      </c>
      <c r="H302" t="s">
        <v>12</v>
      </c>
      <c r="I302" t="s">
        <v>95</v>
      </c>
      <c r="J302">
        <v>18</v>
      </c>
      <c r="K302">
        <v>0.03</v>
      </c>
      <c r="L302">
        <v>1</v>
      </c>
      <c r="M302">
        <v>1</v>
      </c>
      <c r="N302">
        <v>1</v>
      </c>
      <c r="O302">
        <v>100</v>
      </c>
      <c r="P302" t="b">
        <f t="shared" si="4"/>
        <v>0</v>
      </c>
    </row>
    <row r="303" spans="1:16" x14ac:dyDescent="0.2">
      <c r="A303" t="s">
        <v>127</v>
      </c>
      <c r="B303" t="s">
        <v>128</v>
      </c>
      <c r="C303">
        <v>323</v>
      </c>
      <c r="D303">
        <v>88857</v>
      </c>
      <c r="E303" t="s">
        <v>915</v>
      </c>
      <c r="F303" t="s">
        <v>22</v>
      </c>
      <c r="G303" t="s">
        <v>452</v>
      </c>
      <c r="H303" t="s">
        <v>12</v>
      </c>
      <c r="I303" t="s">
        <v>91</v>
      </c>
      <c r="J303">
        <v>5</v>
      </c>
      <c r="K303">
        <v>0.03</v>
      </c>
      <c r="L303">
        <v>1</v>
      </c>
      <c r="M303">
        <v>1</v>
      </c>
      <c r="N303">
        <v>1</v>
      </c>
      <c r="O303">
        <v>100</v>
      </c>
      <c r="P303" t="b">
        <f t="shared" si="4"/>
        <v>0</v>
      </c>
    </row>
    <row r="304" spans="1:16" x14ac:dyDescent="0.2">
      <c r="A304" t="s">
        <v>127</v>
      </c>
      <c r="B304" t="s">
        <v>128</v>
      </c>
      <c r="C304">
        <v>324</v>
      </c>
      <c r="D304">
        <v>129721</v>
      </c>
      <c r="E304" t="s">
        <v>299</v>
      </c>
      <c r="F304" t="s">
        <v>70</v>
      </c>
      <c r="G304" t="s">
        <v>10</v>
      </c>
      <c r="H304" t="s">
        <v>8</v>
      </c>
      <c r="I304" t="s">
        <v>97</v>
      </c>
      <c r="J304">
        <v>41</v>
      </c>
      <c r="K304">
        <v>0.03</v>
      </c>
      <c r="L304">
        <v>1</v>
      </c>
      <c r="M304">
        <v>1</v>
      </c>
      <c r="N304">
        <v>1</v>
      </c>
      <c r="O304">
        <v>100</v>
      </c>
      <c r="P304" t="b">
        <f t="shared" si="4"/>
        <v>0</v>
      </c>
    </row>
    <row r="305" spans="1:16" x14ac:dyDescent="0.2">
      <c r="A305" t="s">
        <v>127</v>
      </c>
      <c r="B305" t="s">
        <v>128</v>
      </c>
      <c r="C305">
        <v>325</v>
      </c>
      <c r="D305">
        <v>132060</v>
      </c>
      <c r="E305" t="s">
        <v>806</v>
      </c>
      <c r="F305" t="s">
        <v>9</v>
      </c>
      <c r="G305" t="s">
        <v>452</v>
      </c>
      <c r="H305" t="s">
        <v>8</v>
      </c>
      <c r="I305" t="s">
        <v>91</v>
      </c>
      <c r="J305">
        <v>20</v>
      </c>
      <c r="K305">
        <v>8</v>
      </c>
      <c r="L305">
        <v>2</v>
      </c>
      <c r="M305">
        <v>3</v>
      </c>
      <c r="N305">
        <v>3</v>
      </c>
      <c r="O305">
        <v>1</v>
      </c>
      <c r="P305" t="b">
        <f t="shared" si="4"/>
        <v>0</v>
      </c>
    </row>
    <row r="306" spans="1:16" x14ac:dyDescent="0.2">
      <c r="A306" t="s">
        <v>127</v>
      </c>
      <c r="B306" t="s">
        <v>128</v>
      </c>
      <c r="C306">
        <v>326</v>
      </c>
      <c r="D306">
        <v>130451</v>
      </c>
      <c r="E306" t="s">
        <v>600</v>
      </c>
      <c r="F306" t="s">
        <v>65</v>
      </c>
      <c r="G306" t="s">
        <v>10</v>
      </c>
      <c r="H306" t="s">
        <v>5</v>
      </c>
      <c r="I306" t="s">
        <v>93</v>
      </c>
      <c r="J306">
        <v>21</v>
      </c>
      <c r="K306">
        <v>0.03</v>
      </c>
      <c r="L306">
        <v>1</v>
      </c>
      <c r="M306">
        <v>1</v>
      </c>
      <c r="N306">
        <v>1</v>
      </c>
      <c r="O306">
        <v>100</v>
      </c>
      <c r="P306" t="b">
        <f t="shared" si="4"/>
        <v>0</v>
      </c>
    </row>
    <row r="307" spans="1:16" x14ac:dyDescent="0.2">
      <c r="A307" t="s">
        <v>127</v>
      </c>
      <c r="B307" t="s">
        <v>128</v>
      </c>
      <c r="C307">
        <v>327</v>
      </c>
      <c r="D307">
        <v>135288</v>
      </c>
      <c r="E307" t="s">
        <v>794</v>
      </c>
      <c r="F307" t="s">
        <v>21</v>
      </c>
      <c r="G307" t="s">
        <v>452</v>
      </c>
      <c r="H307" t="s">
        <v>5</v>
      </c>
      <c r="I307" t="s">
        <v>95</v>
      </c>
      <c r="J307">
        <v>8</v>
      </c>
      <c r="K307">
        <v>0.03</v>
      </c>
      <c r="L307">
        <v>1</v>
      </c>
      <c r="M307">
        <v>1</v>
      </c>
      <c r="N307">
        <v>1</v>
      </c>
      <c r="O307">
        <v>100</v>
      </c>
      <c r="P307" t="b">
        <f t="shared" si="4"/>
        <v>0</v>
      </c>
    </row>
    <row r="308" spans="1:16" x14ac:dyDescent="0.2">
      <c r="A308" t="s">
        <v>127</v>
      </c>
      <c r="B308" t="s">
        <v>128</v>
      </c>
      <c r="C308">
        <v>328</v>
      </c>
      <c r="D308">
        <v>134467</v>
      </c>
      <c r="E308" t="s">
        <v>471</v>
      </c>
      <c r="F308" t="s">
        <v>64</v>
      </c>
      <c r="G308" t="s">
        <v>10</v>
      </c>
      <c r="H308" t="s">
        <v>6</v>
      </c>
      <c r="I308" t="s">
        <v>95</v>
      </c>
      <c r="J308">
        <v>47</v>
      </c>
      <c r="K308">
        <v>6</v>
      </c>
      <c r="L308">
        <v>3</v>
      </c>
      <c r="M308">
        <v>2</v>
      </c>
      <c r="N308">
        <v>1</v>
      </c>
      <c r="O308">
        <v>1</v>
      </c>
      <c r="P308" t="b">
        <f t="shared" si="4"/>
        <v>0</v>
      </c>
    </row>
    <row r="309" spans="1:16" x14ac:dyDescent="0.2">
      <c r="A309" t="s">
        <v>127</v>
      </c>
      <c r="B309" t="s">
        <v>128</v>
      </c>
      <c r="C309">
        <v>329</v>
      </c>
      <c r="D309">
        <v>61947</v>
      </c>
      <c r="E309" t="s">
        <v>974</v>
      </c>
      <c r="F309" t="s">
        <v>45</v>
      </c>
      <c r="G309" t="s">
        <v>452</v>
      </c>
      <c r="H309" t="s">
        <v>12</v>
      </c>
      <c r="I309" t="s">
        <v>91</v>
      </c>
      <c r="J309">
        <v>5</v>
      </c>
      <c r="K309">
        <v>0.03</v>
      </c>
      <c r="L309">
        <v>1</v>
      </c>
      <c r="M309">
        <v>1</v>
      </c>
      <c r="N309">
        <v>1</v>
      </c>
      <c r="O309">
        <v>100</v>
      </c>
      <c r="P309" t="b">
        <f t="shared" si="4"/>
        <v>0</v>
      </c>
    </row>
    <row r="310" spans="1:16" x14ac:dyDescent="0.2">
      <c r="A310" t="s">
        <v>127</v>
      </c>
      <c r="B310" t="s">
        <v>128</v>
      </c>
      <c r="C310">
        <v>330</v>
      </c>
      <c r="D310">
        <v>129485</v>
      </c>
      <c r="E310" t="s">
        <v>210</v>
      </c>
      <c r="F310" t="s">
        <v>69</v>
      </c>
      <c r="G310" t="s">
        <v>10</v>
      </c>
      <c r="H310" t="s">
        <v>12</v>
      </c>
      <c r="I310" t="s">
        <v>91</v>
      </c>
      <c r="J310">
        <v>17</v>
      </c>
      <c r="K310">
        <v>0.03</v>
      </c>
      <c r="L310">
        <v>1</v>
      </c>
      <c r="M310">
        <v>1</v>
      </c>
      <c r="N310">
        <v>1</v>
      </c>
      <c r="O310">
        <v>100</v>
      </c>
      <c r="P310" t="b">
        <f t="shared" si="4"/>
        <v>0</v>
      </c>
    </row>
    <row r="311" spans="1:16" x14ac:dyDescent="0.2">
      <c r="A311" t="s">
        <v>127</v>
      </c>
      <c r="B311" t="s">
        <v>128</v>
      </c>
      <c r="C311">
        <v>331</v>
      </c>
      <c r="D311">
        <v>31919</v>
      </c>
      <c r="E311" t="s">
        <v>1090</v>
      </c>
      <c r="F311" t="s">
        <v>34</v>
      </c>
      <c r="G311" t="s">
        <v>452</v>
      </c>
      <c r="H311" t="s">
        <v>8</v>
      </c>
      <c r="I311" t="s">
        <v>91</v>
      </c>
      <c r="J311">
        <v>8</v>
      </c>
      <c r="K311">
        <v>0.03</v>
      </c>
      <c r="L311">
        <v>1</v>
      </c>
      <c r="M311">
        <v>1</v>
      </c>
      <c r="N311">
        <v>1</v>
      </c>
      <c r="O311">
        <v>100</v>
      </c>
      <c r="P311" t="b">
        <f t="shared" si="4"/>
        <v>0</v>
      </c>
    </row>
    <row r="312" spans="1:16" x14ac:dyDescent="0.2">
      <c r="A312" t="s">
        <v>127</v>
      </c>
      <c r="B312" t="s">
        <v>128</v>
      </c>
      <c r="C312">
        <v>332</v>
      </c>
      <c r="D312">
        <v>129492</v>
      </c>
      <c r="E312" t="s">
        <v>761</v>
      </c>
      <c r="F312" t="s">
        <v>70</v>
      </c>
      <c r="G312" t="s">
        <v>10</v>
      </c>
      <c r="H312" t="s">
        <v>8</v>
      </c>
      <c r="I312" t="s">
        <v>91</v>
      </c>
      <c r="J312">
        <v>42</v>
      </c>
      <c r="K312">
        <v>0.03</v>
      </c>
      <c r="L312">
        <v>1</v>
      </c>
      <c r="M312">
        <v>1</v>
      </c>
      <c r="N312">
        <v>1</v>
      </c>
      <c r="O312">
        <v>100</v>
      </c>
      <c r="P312" t="b">
        <f t="shared" si="4"/>
        <v>0</v>
      </c>
    </row>
    <row r="313" spans="1:16" x14ac:dyDescent="0.2">
      <c r="A313" t="s">
        <v>127</v>
      </c>
      <c r="B313" t="s">
        <v>128</v>
      </c>
      <c r="C313">
        <v>333</v>
      </c>
      <c r="D313">
        <v>84860</v>
      </c>
      <c r="E313" t="s">
        <v>924</v>
      </c>
      <c r="F313" t="s">
        <v>23</v>
      </c>
      <c r="G313" t="s">
        <v>452</v>
      </c>
      <c r="H313" t="s">
        <v>5</v>
      </c>
      <c r="I313" t="s">
        <v>91</v>
      </c>
      <c r="J313">
        <v>9</v>
      </c>
      <c r="K313">
        <v>0.03</v>
      </c>
      <c r="L313">
        <v>1</v>
      </c>
      <c r="M313">
        <v>1</v>
      </c>
      <c r="N313">
        <v>1</v>
      </c>
      <c r="O313">
        <v>100</v>
      </c>
      <c r="P313" t="b">
        <f t="shared" si="4"/>
        <v>0</v>
      </c>
    </row>
    <row r="314" spans="1:16" x14ac:dyDescent="0.2">
      <c r="A314" t="s">
        <v>127</v>
      </c>
      <c r="B314" t="s">
        <v>128</v>
      </c>
      <c r="C314">
        <v>334</v>
      </c>
      <c r="D314">
        <v>129509</v>
      </c>
      <c r="E314" t="s">
        <v>751</v>
      </c>
      <c r="F314" t="s">
        <v>66</v>
      </c>
      <c r="G314" t="s">
        <v>10</v>
      </c>
      <c r="H314" t="s">
        <v>5</v>
      </c>
      <c r="I314" t="s">
        <v>95</v>
      </c>
      <c r="J314">
        <v>17</v>
      </c>
      <c r="K314">
        <v>0.03</v>
      </c>
      <c r="L314">
        <v>1</v>
      </c>
      <c r="M314">
        <v>1</v>
      </c>
      <c r="N314">
        <v>1</v>
      </c>
      <c r="O314">
        <v>100</v>
      </c>
      <c r="P314" t="b">
        <f t="shared" si="4"/>
        <v>0</v>
      </c>
    </row>
    <row r="315" spans="1:16" x14ac:dyDescent="0.2">
      <c r="A315" t="s">
        <v>127</v>
      </c>
      <c r="B315" t="s">
        <v>128</v>
      </c>
      <c r="C315">
        <v>335</v>
      </c>
      <c r="D315">
        <v>78001</v>
      </c>
      <c r="E315" t="s">
        <v>170</v>
      </c>
      <c r="F315" t="s">
        <v>46</v>
      </c>
      <c r="G315" t="s">
        <v>452</v>
      </c>
      <c r="H315" t="s">
        <v>12</v>
      </c>
      <c r="I315" t="s">
        <v>91</v>
      </c>
      <c r="J315">
        <v>5</v>
      </c>
      <c r="K315">
        <v>0.03</v>
      </c>
      <c r="L315">
        <v>1</v>
      </c>
      <c r="M315">
        <v>1</v>
      </c>
      <c r="N315">
        <v>1</v>
      </c>
      <c r="O315">
        <v>100</v>
      </c>
      <c r="P315" t="b">
        <f t="shared" si="4"/>
        <v>0</v>
      </c>
    </row>
    <row r="316" spans="1:16" x14ac:dyDescent="0.2">
      <c r="A316" t="s">
        <v>127</v>
      </c>
      <c r="B316" t="s">
        <v>128</v>
      </c>
      <c r="C316">
        <v>336</v>
      </c>
      <c r="D316">
        <v>133185</v>
      </c>
      <c r="E316" t="s">
        <v>298</v>
      </c>
      <c r="F316" t="s">
        <v>64</v>
      </c>
      <c r="G316" t="s">
        <v>10</v>
      </c>
      <c r="H316" t="s">
        <v>6</v>
      </c>
      <c r="I316" t="s">
        <v>91</v>
      </c>
      <c r="J316">
        <v>48</v>
      </c>
      <c r="K316">
        <v>0.03</v>
      </c>
      <c r="L316">
        <v>1</v>
      </c>
      <c r="M316">
        <v>1</v>
      </c>
      <c r="N316">
        <v>1</v>
      </c>
      <c r="O316">
        <v>100</v>
      </c>
      <c r="P316" t="b">
        <f t="shared" si="4"/>
        <v>0</v>
      </c>
    </row>
    <row r="317" spans="1:16" x14ac:dyDescent="0.2">
      <c r="A317" t="s">
        <v>127</v>
      </c>
      <c r="B317" t="s">
        <v>128</v>
      </c>
      <c r="C317">
        <v>337</v>
      </c>
      <c r="D317">
        <v>126023</v>
      </c>
      <c r="E317" t="s">
        <v>850</v>
      </c>
      <c r="F317" t="s">
        <v>58</v>
      </c>
      <c r="G317" t="s">
        <v>452</v>
      </c>
      <c r="H317" t="s">
        <v>8</v>
      </c>
      <c r="I317" t="s">
        <v>95</v>
      </c>
      <c r="J317">
        <v>8</v>
      </c>
      <c r="K317">
        <v>0.04</v>
      </c>
      <c r="L317">
        <v>1</v>
      </c>
      <c r="M317">
        <v>2</v>
      </c>
      <c r="N317">
        <v>1</v>
      </c>
      <c r="O317">
        <v>100</v>
      </c>
      <c r="P317" t="b">
        <f t="shared" si="4"/>
        <v>0</v>
      </c>
    </row>
    <row r="318" spans="1:16" x14ac:dyDescent="0.2">
      <c r="A318" t="s">
        <v>127</v>
      </c>
      <c r="B318" t="s">
        <v>128</v>
      </c>
      <c r="C318">
        <v>338</v>
      </c>
      <c r="D318">
        <v>129972</v>
      </c>
      <c r="E318" t="s">
        <v>681</v>
      </c>
      <c r="F318" t="s">
        <v>71</v>
      </c>
      <c r="G318" t="s">
        <v>10</v>
      </c>
      <c r="H318" t="s">
        <v>12</v>
      </c>
      <c r="I318" t="s">
        <v>91</v>
      </c>
      <c r="J318">
        <v>9</v>
      </c>
      <c r="K318">
        <v>0.03</v>
      </c>
      <c r="L318">
        <v>1</v>
      </c>
      <c r="M318">
        <v>1</v>
      </c>
      <c r="N318">
        <v>1</v>
      </c>
      <c r="O318">
        <v>100</v>
      </c>
      <c r="P318" t="b">
        <f t="shared" si="4"/>
        <v>0</v>
      </c>
    </row>
    <row r="319" spans="1:16" x14ac:dyDescent="0.2">
      <c r="A319" t="s">
        <v>127</v>
      </c>
      <c r="B319" t="s">
        <v>128</v>
      </c>
      <c r="C319">
        <v>339</v>
      </c>
      <c r="D319">
        <v>49552</v>
      </c>
      <c r="E319" t="s">
        <v>1008</v>
      </c>
      <c r="F319" t="s">
        <v>36</v>
      </c>
      <c r="G319" t="s">
        <v>452</v>
      </c>
      <c r="H319" t="s">
        <v>5</v>
      </c>
      <c r="I319" t="s">
        <v>91</v>
      </c>
      <c r="J319">
        <v>8</v>
      </c>
      <c r="K319">
        <v>0.03</v>
      </c>
      <c r="L319">
        <v>1</v>
      </c>
      <c r="M319">
        <v>1</v>
      </c>
      <c r="N319">
        <v>1</v>
      </c>
      <c r="O319">
        <v>100</v>
      </c>
      <c r="P319" t="b">
        <f t="shared" si="4"/>
        <v>0</v>
      </c>
    </row>
    <row r="320" spans="1:16" x14ac:dyDescent="0.2">
      <c r="A320" t="s">
        <v>127</v>
      </c>
      <c r="B320" t="s">
        <v>128</v>
      </c>
      <c r="C320">
        <v>340</v>
      </c>
      <c r="D320">
        <v>130492</v>
      </c>
      <c r="E320" t="s">
        <v>590</v>
      </c>
      <c r="F320" t="s">
        <v>70</v>
      </c>
      <c r="G320" t="s">
        <v>10</v>
      </c>
      <c r="H320" t="s">
        <v>8</v>
      </c>
      <c r="I320" t="s">
        <v>97</v>
      </c>
      <c r="J320">
        <v>43</v>
      </c>
      <c r="K320">
        <v>0.03</v>
      </c>
      <c r="L320">
        <v>1</v>
      </c>
      <c r="M320">
        <v>1</v>
      </c>
      <c r="N320">
        <v>1</v>
      </c>
      <c r="O320">
        <v>100</v>
      </c>
      <c r="P320" t="b">
        <f t="shared" si="4"/>
        <v>0</v>
      </c>
    </row>
    <row r="321" spans="1:16" x14ac:dyDescent="0.2">
      <c r="A321" t="s">
        <v>127</v>
      </c>
      <c r="B321" t="s">
        <v>128</v>
      </c>
      <c r="C321">
        <v>341</v>
      </c>
      <c r="D321">
        <v>67561</v>
      </c>
      <c r="E321" t="s">
        <v>964</v>
      </c>
      <c r="F321" t="s">
        <v>35</v>
      </c>
      <c r="G321" t="s">
        <v>452</v>
      </c>
      <c r="H321" t="s">
        <v>12</v>
      </c>
      <c r="I321" t="s">
        <v>91</v>
      </c>
      <c r="J321">
        <v>7</v>
      </c>
      <c r="K321">
        <v>0.03</v>
      </c>
      <c r="L321">
        <v>1</v>
      </c>
      <c r="M321">
        <v>1</v>
      </c>
      <c r="N321">
        <v>1</v>
      </c>
      <c r="O321">
        <v>100</v>
      </c>
      <c r="P321" t="b">
        <f t="shared" si="4"/>
        <v>0</v>
      </c>
    </row>
    <row r="322" spans="1:16" x14ac:dyDescent="0.2">
      <c r="A322" t="s">
        <v>127</v>
      </c>
      <c r="B322" t="s">
        <v>128</v>
      </c>
      <c r="C322">
        <v>342</v>
      </c>
      <c r="D322">
        <v>130504</v>
      </c>
      <c r="E322" t="s">
        <v>587</v>
      </c>
      <c r="F322" t="s">
        <v>68</v>
      </c>
      <c r="G322" t="s">
        <v>10</v>
      </c>
      <c r="H322" t="s">
        <v>5</v>
      </c>
      <c r="I322" t="s">
        <v>91</v>
      </c>
      <c r="J322">
        <v>14</v>
      </c>
      <c r="K322">
        <v>0.03</v>
      </c>
      <c r="L322">
        <v>1</v>
      </c>
      <c r="M322">
        <v>1</v>
      </c>
      <c r="N322">
        <v>1</v>
      </c>
      <c r="O322">
        <v>100</v>
      </c>
      <c r="P322" t="b">
        <f t="shared" si="4"/>
        <v>0</v>
      </c>
    </row>
    <row r="323" spans="1:16" x14ac:dyDescent="0.2">
      <c r="A323" t="s">
        <v>127</v>
      </c>
      <c r="B323" t="s">
        <v>128</v>
      </c>
      <c r="C323">
        <v>343</v>
      </c>
      <c r="D323">
        <v>127624</v>
      </c>
      <c r="E323" t="s">
        <v>821</v>
      </c>
      <c r="F323" t="s">
        <v>9</v>
      </c>
      <c r="G323" t="s">
        <v>452</v>
      </c>
      <c r="H323" t="s">
        <v>8</v>
      </c>
      <c r="I323" t="s">
        <v>91</v>
      </c>
      <c r="J323">
        <v>21</v>
      </c>
      <c r="K323">
        <v>0.03</v>
      </c>
      <c r="L323">
        <v>1</v>
      </c>
      <c r="M323">
        <v>1</v>
      </c>
      <c r="N323">
        <v>1</v>
      </c>
      <c r="O323">
        <v>100</v>
      </c>
      <c r="P323" t="b">
        <f t="shared" ref="P323:P386" si="5">AND(C323&lt;$Q$1,IF(ISBLANK(C323),0,C323)&gt;0)</f>
        <v>0</v>
      </c>
    </row>
    <row r="324" spans="1:16" x14ac:dyDescent="0.2">
      <c r="A324" t="s">
        <v>127</v>
      </c>
      <c r="B324" t="s">
        <v>128</v>
      </c>
      <c r="C324">
        <v>344</v>
      </c>
      <c r="D324">
        <v>131086</v>
      </c>
      <c r="E324" t="s">
        <v>487</v>
      </c>
      <c r="F324" t="s">
        <v>64</v>
      </c>
      <c r="G324" t="s">
        <v>10</v>
      </c>
      <c r="H324" t="s">
        <v>6</v>
      </c>
      <c r="I324" t="s">
        <v>91</v>
      </c>
      <c r="J324">
        <v>49</v>
      </c>
      <c r="K324">
        <v>0.03</v>
      </c>
      <c r="L324">
        <v>1</v>
      </c>
      <c r="M324">
        <v>1</v>
      </c>
      <c r="N324">
        <v>1</v>
      </c>
      <c r="O324">
        <v>100</v>
      </c>
      <c r="P324" t="b">
        <f t="shared" si="5"/>
        <v>0</v>
      </c>
    </row>
    <row r="325" spans="1:16" x14ac:dyDescent="0.2">
      <c r="A325" t="s">
        <v>127</v>
      </c>
      <c r="B325" t="s">
        <v>128</v>
      </c>
      <c r="C325">
        <v>345</v>
      </c>
      <c r="D325">
        <v>32017</v>
      </c>
      <c r="E325" t="s">
        <v>1067</v>
      </c>
      <c r="F325" t="s">
        <v>25</v>
      </c>
      <c r="G325" t="s">
        <v>452</v>
      </c>
      <c r="H325" t="s">
        <v>5</v>
      </c>
      <c r="I325" t="s">
        <v>91</v>
      </c>
      <c r="J325">
        <v>5</v>
      </c>
      <c r="K325">
        <v>0.03</v>
      </c>
      <c r="L325">
        <v>1</v>
      </c>
      <c r="M325">
        <v>1</v>
      </c>
      <c r="N325">
        <v>1</v>
      </c>
      <c r="O325">
        <v>100</v>
      </c>
      <c r="P325" t="b">
        <f t="shared" si="5"/>
        <v>0</v>
      </c>
    </row>
    <row r="326" spans="1:16" x14ac:dyDescent="0.2">
      <c r="A326" t="s">
        <v>127</v>
      </c>
      <c r="B326" t="s">
        <v>128</v>
      </c>
      <c r="C326">
        <v>346</v>
      </c>
      <c r="D326">
        <v>129878</v>
      </c>
      <c r="E326" t="s">
        <v>212</v>
      </c>
      <c r="F326" t="s">
        <v>67</v>
      </c>
      <c r="G326" t="s">
        <v>10</v>
      </c>
      <c r="H326" t="s">
        <v>12</v>
      </c>
      <c r="I326" t="s">
        <v>95</v>
      </c>
      <c r="J326">
        <v>19</v>
      </c>
      <c r="K326">
        <v>0.03</v>
      </c>
      <c r="L326">
        <v>1</v>
      </c>
      <c r="M326">
        <v>1</v>
      </c>
      <c r="N326">
        <v>1</v>
      </c>
      <c r="O326">
        <v>100</v>
      </c>
      <c r="P326" t="b">
        <f t="shared" si="5"/>
        <v>0</v>
      </c>
    </row>
    <row r="327" spans="1:16" x14ac:dyDescent="0.2">
      <c r="A327" t="s">
        <v>127</v>
      </c>
      <c r="B327" t="s">
        <v>128</v>
      </c>
      <c r="C327">
        <v>347</v>
      </c>
      <c r="D327">
        <v>120278</v>
      </c>
      <c r="E327" t="s">
        <v>871</v>
      </c>
      <c r="F327" t="s">
        <v>98</v>
      </c>
      <c r="G327" t="s">
        <v>452</v>
      </c>
      <c r="H327" t="s">
        <v>12</v>
      </c>
      <c r="I327" t="s">
        <v>91</v>
      </c>
      <c r="J327">
        <v>5</v>
      </c>
      <c r="K327">
        <v>0.03</v>
      </c>
      <c r="L327">
        <v>1</v>
      </c>
      <c r="M327">
        <v>1</v>
      </c>
      <c r="N327">
        <v>1</v>
      </c>
      <c r="O327">
        <v>100</v>
      </c>
      <c r="P327" t="b">
        <f t="shared" si="5"/>
        <v>0</v>
      </c>
    </row>
    <row r="328" spans="1:16" x14ac:dyDescent="0.2">
      <c r="A328" t="s">
        <v>127</v>
      </c>
      <c r="B328" t="s">
        <v>128</v>
      </c>
      <c r="C328">
        <v>348</v>
      </c>
      <c r="D328">
        <v>130166</v>
      </c>
      <c r="E328" t="s">
        <v>649</v>
      </c>
      <c r="F328" t="s">
        <v>70</v>
      </c>
      <c r="G328" t="s">
        <v>10</v>
      </c>
      <c r="H328" t="s">
        <v>8</v>
      </c>
      <c r="I328" t="s">
        <v>91</v>
      </c>
      <c r="J328">
        <v>44</v>
      </c>
      <c r="K328">
        <v>0.03</v>
      </c>
      <c r="L328">
        <v>1</v>
      </c>
      <c r="M328">
        <v>1</v>
      </c>
      <c r="N328">
        <v>1</v>
      </c>
      <c r="O328">
        <v>100</v>
      </c>
      <c r="P328" t="b">
        <f t="shared" si="5"/>
        <v>0</v>
      </c>
    </row>
    <row r="329" spans="1:16" x14ac:dyDescent="0.2">
      <c r="A329" t="s">
        <v>127</v>
      </c>
      <c r="B329" t="s">
        <v>128</v>
      </c>
      <c r="C329">
        <v>349</v>
      </c>
      <c r="D329">
        <v>132054</v>
      </c>
      <c r="E329" t="s">
        <v>292</v>
      </c>
      <c r="F329" t="s">
        <v>9</v>
      </c>
      <c r="G329" t="s">
        <v>452</v>
      </c>
      <c r="H329" t="s">
        <v>8</v>
      </c>
      <c r="I329" t="s">
        <v>91</v>
      </c>
      <c r="J329">
        <v>22</v>
      </c>
      <c r="K329">
        <v>8</v>
      </c>
      <c r="L329">
        <v>5</v>
      </c>
      <c r="M329">
        <v>2</v>
      </c>
      <c r="N329">
        <v>1</v>
      </c>
      <c r="O329">
        <v>1</v>
      </c>
      <c r="P329" t="b">
        <f t="shared" si="5"/>
        <v>0</v>
      </c>
    </row>
    <row r="330" spans="1:16" x14ac:dyDescent="0.2">
      <c r="A330" t="s">
        <v>127</v>
      </c>
      <c r="B330" t="s">
        <v>128</v>
      </c>
      <c r="C330">
        <v>350</v>
      </c>
      <c r="D330">
        <v>130348</v>
      </c>
      <c r="E330" t="s">
        <v>220</v>
      </c>
      <c r="F330" t="s">
        <v>65</v>
      </c>
      <c r="G330" t="s">
        <v>10</v>
      </c>
      <c r="H330" t="s">
        <v>5</v>
      </c>
      <c r="I330" t="s">
        <v>91</v>
      </c>
      <c r="J330">
        <v>22</v>
      </c>
      <c r="K330">
        <v>0.03</v>
      </c>
      <c r="L330">
        <v>1</v>
      </c>
      <c r="M330">
        <v>1</v>
      </c>
      <c r="N330">
        <v>1</v>
      </c>
      <c r="O330">
        <v>100</v>
      </c>
      <c r="P330" t="b">
        <f t="shared" si="5"/>
        <v>0</v>
      </c>
    </row>
    <row r="331" spans="1:16" x14ac:dyDescent="0.2">
      <c r="A331" t="s">
        <v>127</v>
      </c>
      <c r="B331" t="s">
        <v>128</v>
      </c>
      <c r="C331">
        <v>351</v>
      </c>
      <c r="D331">
        <v>95774</v>
      </c>
      <c r="E331" t="s">
        <v>902</v>
      </c>
      <c r="F331" t="s">
        <v>24</v>
      </c>
      <c r="G331" t="s">
        <v>452</v>
      </c>
      <c r="H331" t="s">
        <v>5</v>
      </c>
      <c r="I331" t="s">
        <v>95</v>
      </c>
      <c r="J331">
        <v>5</v>
      </c>
      <c r="K331">
        <v>0.03</v>
      </c>
      <c r="L331">
        <v>1</v>
      </c>
      <c r="M331">
        <v>1</v>
      </c>
      <c r="N331">
        <v>1</v>
      </c>
      <c r="O331">
        <v>100</v>
      </c>
      <c r="P331" t="b">
        <f t="shared" si="5"/>
        <v>0</v>
      </c>
    </row>
    <row r="332" spans="1:16" x14ac:dyDescent="0.2">
      <c r="A332" t="s">
        <v>127</v>
      </c>
      <c r="B332" t="s">
        <v>128</v>
      </c>
      <c r="C332">
        <v>352</v>
      </c>
      <c r="D332">
        <v>130794</v>
      </c>
      <c r="E332" t="s">
        <v>538</v>
      </c>
      <c r="F332" t="s">
        <v>64</v>
      </c>
      <c r="G332" t="s">
        <v>10</v>
      </c>
      <c r="H332" t="s">
        <v>6</v>
      </c>
      <c r="I332" t="s">
        <v>97</v>
      </c>
      <c r="J332">
        <v>51</v>
      </c>
      <c r="K332">
        <v>0.03</v>
      </c>
      <c r="L332">
        <v>1</v>
      </c>
      <c r="M332">
        <v>1</v>
      </c>
      <c r="N332">
        <v>1</v>
      </c>
      <c r="O332">
        <v>100</v>
      </c>
      <c r="P332" t="b">
        <f t="shared" si="5"/>
        <v>0</v>
      </c>
    </row>
    <row r="333" spans="1:16" x14ac:dyDescent="0.2">
      <c r="A333" t="s">
        <v>127</v>
      </c>
      <c r="B333" t="s">
        <v>128</v>
      </c>
      <c r="C333">
        <v>353</v>
      </c>
      <c r="D333">
        <v>50788</v>
      </c>
      <c r="E333" t="s">
        <v>1001</v>
      </c>
      <c r="F333" t="s">
        <v>22</v>
      </c>
      <c r="G333" t="s">
        <v>452</v>
      </c>
      <c r="H333" t="s">
        <v>12</v>
      </c>
      <c r="I333" t="s">
        <v>91</v>
      </c>
      <c r="J333">
        <v>6</v>
      </c>
      <c r="K333">
        <v>0.03</v>
      </c>
      <c r="L333">
        <v>1</v>
      </c>
      <c r="M333">
        <v>1</v>
      </c>
      <c r="N333">
        <v>1</v>
      </c>
      <c r="O333">
        <v>100</v>
      </c>
      <c r="P333" t="b">
        <f t="shared" si="5"/>
        <v>0</v>
      </c>
    </row>
    <row r="334" spans="1:16" x14ac:dyDescent="0.2">
      <c r="A334" t="s">
        <v>127</v>
      </c>
      <c r="B334" t="s">
        <v>128</v>
      </c>
      <c r="C334">
        <v>354</v>
      </c>
      <c r="D334">
        <v>129795</v>
      </c>
      <c r="E334" t="s">
        <v>213</v>
      </c>
      <c r="F334" t="s">
        <v>69</v>
      </c>
      <c r="G334" t="s">
        <v>10</v>
      </c>
      <c r="H334" t="s">
        <v>12</v>
      </c>
      <c r="I334" t="s">
        <v>97</v>
      </c>
      <c r="J334">
        <v>18</v>
      </c>
      <c r="K334">
        <v>0.03</v>
      </c>
      <c r="L334">
        <v>1</v>
      </c>
      <c r="M334">
        <v>1</v>
      </c>
      <c r="N334">
        <v>1</v>
      </c>
      <c r="O334">
        <v>100</v>
      </c>
      <c r="P334" t="b">
        <f t="shared" si="5"/>
        <v>0</v>
      </c>
    </row>
    <row r="335" spans="1:16" x14ac:dyDescent="0.2">
      <c r="A335" t="s">
        <v>127</v>
      </c>
      <c r="B335" t="s">
        <v>128</v>
      </c>
      <c r="C335">
        <v>355</v>
      </c>
      <c r="D335">
        <v>132956</v>
      </c>
      <c r="E335" t="s">
        <v>296</v>
      </c>
      <c r="F335" t="s">
        <v>9</v>
      </c>
      <c r="G335" t="s">
        <v>452</v>
      </c>
      <c r="H335" t="s">
        <v>8</v>
      </c>
      <c r="I335" t="s">
        <v>93</v>
      </c>
      <c r="J335">
        <v>23</v>
      </c>
      <c r="K335">
        <v>0.03</v>
      </c>
      <c r="L335">
        <v>1</v>
      </c>
      <c r="M335">
        <v>1</v>
      </c>
      <c r="N335">
        <v>1</v>
      </c>
      <c r="O335">
        <v>100</v>
      </c>
      <c r="P335" t="b">
        <f t="shared" si="5"/>
        <v>0</v>
      </c>
    </row>
    <row r="336" spans="1:16" x14ac:dyDescent="0.2">
      <c r="A336" t="s">
        <v>127</v>
      </c>
      <c r="B336" t="s">
        <v>128</v>
      </c>
      <c r="C336">
        <v>356</v>
      </c>
      <c r="D336">
        <v>130076</v>
      </c>
      <c r="E336" t="s">
        <v>668</v>
      </c>
      <c r="F336" t="s">
        <v>70</v>
      </c>
      <c r="G336" t="s">
        <v>10</v>
      </c>
      <c r="H336" t="s">
        <v>8</v>
      </c>
      <c r="I336" t="s">
        <v>91</v>
      </c>
      <c r="J336">
        <v>45</v>
      </c>
      <c r="K336">
        <v>0.03</v>
      </c>
      <c r="L336">
        <v>1</v>
      </c>
      <c r="M336">
        <v>1</v>
      </c>
      <c r="N336">
        <v>1</v>
      </c>
      <c r="O336">
        <v>100</v>
      </c>
      <c r="P336" t="b">
        <f t="shared" si="5"/>
        <v>0</v>
      </c>
    </row>
    <row r="337" spans="1:16" x14ac:dyDescent="0.2">
      <c r="A337" t="s">
        <v>127</v>
      </c>
      <c r="B337" t="s">
        <v>128</v>
      </c>
      <c r="C337">
        <v>357</v>
      </c>
      <c r="D337">
        <v>108370</v>
      </c>
      <c r="E337" t="s">
        <v>228</v>
      </c>
      <c r="F337" t="s">
        <v>21</v>
      </c>
      <c r="G337" t="s">
        <v>452</v>
      </c>
      <c r="H337" t="s">
        <v>5</v>
      </c>
      <c r="I337" t="s">
        <v>91</v>
      </c>
      <c r="J337">
        <v>9</v>
      </c>
      <c r="K337">
        <v>0.03</v>
      </c>
      <c r="L337">
        <v>1</v>
      </c>
      <c r="M337">
        <v>1</v>
      </c>
      <c r="N337">
        <v>1</v>
      </c>
      <c r="O337">
        <v>100</v>
      </c>
      <c r="P337" t="b">
        <f t="shared" si="5"/>
        <v>0</v>
      </c>
    </row>
    <row r="338" spans="1:16" x14ac:dyDescent="0.2">
      <c r="A338" t="s">
        <v>127</v>
      </c>
      <c r="B338" t="s">
        <v>128</v>
      </c>
      <c r="C338">
        <v>358</v>
      </c>
      <c r="D338">
        <v>129896</v>
      </c>
      <c r="E338" t="s">
        <v>223</v>
      </c>
      <c r="F338" t="s">
        <v>65</v>
      </c>
      <c r="G338" t="s">
        <v>10</v>
      </c>
      <c r="H338" t="s">
        <v>5</v>
      </c>
      <c r="I338" t="s">
        <v>97</v>
      </c>
      <c r="J338">
        <v>23</v>
      </c>
      <c r="K338">
        <v>3</v>
      </c>
      <c r="L338">
        <v>3</v>
      </c>
      <c r="M338">
        <v>1</v>
      </c>
      <c r="N338">
        <v>2</v>
      </c>
      <c r="O338">
        <v>2</v>
      </c>
      <c r="P338" t="b">
        <f t="shared" si="5"/>
        <v>0</v>
      </c>
    </row>
    <row r="339" spans="1:16" x14ac:dyDescent="0.2">
      <c r="A339" t="s">
        <v>127</v>
      </c>
      <c r="B339" t="s">
        <v>128</v>
      </c>
      <c r="C339">
        <v>359</v>
      </c>
      <c r="D339">
        <v>58934</v>
      </c>
      <c r="E339" t="s">
        <v>980</v>
      </c>
      <c r="F339" t="s">
        <v>45</v>
      </c>
      <c r="G339" t="s">
        <v>452</v>
      </c>
      <c r="H339" t="s">
        <v>12</v>
      </c>
      <c r="I339" t="s">
        <v>95</v>
      </c>
      <c r="J339">
        <v>6</v>
      </c>
      <c r="K339">
        <v>0.03</v>
      </c>
      <c r="L339">
        <v>1</v>
      </c>
      <c r="M339">
        <v>1</v>
      </c>
      <c r="N339">
        <v>1</v>
      </c>
      <c r="O339">
        <v>100</v>
      </c>
      <c r="P339" t="b">
        <f t="shared" si="5"/>
        <v>0</v>
      </c>
    </row>
    <row r="340" spans="1:16" x14ac:dyDescent="0.2">
      <c r="A340" t="s">
        <v>127</v>
      </c>
      <c r="B340" t="s">
        <v>128</v>
      </c>
      <c r="C340">
        <v>360</v>
      </c>
      <c r="D340">
        <v>131065</v>
      </c>
      <c r="E340" t="s">
        <v>499</v>
      </c>
      <c r="F340" t="s">
        <v>71</v>
      </c>
      <c r="G340" t="s">
        <v>10</v>
      </c>
      <c r="H340" t="s">
        <v>12</v>
      </c>
      <c r="I340" t="s">
        <v>91</v>
      </c>
      <c r="J340">
        <v>10</v>
      </c>
      <c r="K340">
        <v>0.03</v>
      </c>
      <c r="L340">
        <v>1</v>
      </c>
      <c r="M340">
        <v>1</v>
      </c>
      <c r="N340">
        <v>1</v>
      </c>
      <c r="O340">
        <v>100</v>
      </c>
      <c r="P340" t="b">
        <f t="shared" si="5"/>
        <v>0</v>
      </c>
    </row>
    <row r="341" spans="1:16" x14ac:dyDescent="0.2">
      <c r="A341" t="s">
        <v>127</v>
      </c>
      <c r="B341" t="s">
        <v>128</v>
      </c>
      <c r="C341">
        <v>361</v>
      </c>
      <c r="D341">
        <v>31695</v>
      </c>
      <c r="E341" t="s">
        <v>244</v>
      </c>
      <c r="F341" t="s">
        <v>34</v>
      </c>
      <c r="G341" t="s">
        <v>452</v>
      </c>
      <c r="H341" t="s">
        <v>8</v>
      </c>
      <c r="I341" t="s">
        <v>91</v>
      </c>
      <c r="J341">
        <v>9</v>
      </c>
      <c r="K341">
        <v>0.03</v>
      </c>
      <c r="L341">
        <v>1</v>
      </c>
      <c r="M341">
        <v>1</v>
      </c>
      <c r="N341">
        <v>1</v>
      </c>
      <c r="O341">
        <v>100</v>
      </c>
      <c r="P341" t="b">
        <f t="shared" si="5"/>
        <v>0</v>
      </c>
    </row>
    <row r="342" spans="1:16" x14ac:dyDescent="0.2">
      <c r="A342" t="s">
        <v>127</v>
      </c>
      <c r="B342" t="s">
        <v>128</v>
      </c>
      <c r="C342">
        <v>362</v>
      </c>
      <c r="D342">
        <v>130489</v>
      </c>
      <c r="E342" t="s">
        <v>307</v>
      </c>
      <c r="F342" t="s">
        <v>70</v>
      </c>
      <c r="G342" t="s">
        <v>10</v>
      </c>
      <c r="H342" t="s">
        <v>8</v>
      </c>
      <c r="I342" t="s">
        <v>91</v>
      </c>
      <c r="J342">
        <v>46</v>
      </c>
      <c r="K342">
        <v>0.03</v>
      </c>
      <c r="L342">
        <v>1</v>
      </c>
      <c r="M342">
        <v>1</v>
      </c>
      <c r="N342">
        <v>1</v>
      </c>
      <c r="O342">
        <v>100</v>
      </c>
      <c r="P342" t="b">
        <f t="shared" si="5"/>
        <v>0</v>
      </c>
    </row>
    <row r="343" spans="1:16" x14ac:dyDescent="0.2">
      <c r="A343" t="s">
        <v>127</v>
      </c>
      <c r="B343" t="s">
        <v>128</v>
      </c>
      <c r="C343">
        <v>363</v>
      </c>
      <c r="D343">
        <v>118750</v>
      </c>
      <c r="E343" t="s">
        <v>876</v>
      </c>
      <c r="F343" t="s">
        <v>23</v>
      </c>
      <c r="G343" t="s">
        <v>452</v>
      </c>
      <c r="H343" t="s">
        <v>5</v>
      </c>
      <c r="I343" t="s">
        <v>91</v>
      </c>
      <c r="J343">
        <v>10</v>
      </c>
      <c r="K343">
        <v>0.03</v>
      </c>
      <c r="L343">
        <v>1</v>
      </c>
      <c r="M343">
        <v>1</v>
      </c>
      <c r="N343">
        <v>1</v>
      </c>
      <c r="O343">
        <v>100</v>
      </c>
      <c r="P343" t="b">
        <f t="shared" si="5"/>
        <v>0</v>
      </c>
    </row>
    <row r="344" spans="1:16" x14ac:dyDescent="0.2">
      <c r="A344" t="s">
        <v>127</v>
      </c>
      <c r="B344" t="s">
        <v>128</v>
      </c>
      <c r="C344">
        <v>364</v>
      </c>
      <c r="D344">
        <v>129490</v>
      </c>
      <c r="E344" t="s">
        <v>211</v>
      </c>
      <c r="F344" t="s">
        <v>66</v>
      </c>
      <c r="G344" t="s">
        <v>10</v>
      </c>
      <c r="H344" t="s">
        <v>5</v>
      </c>
      <c r="I344" t="s">
        <v>95</v>
      </c>
      <c r="J344">
        <v>18</v>
      </c>
      <c r="K344">
        <v>0.03</v>
      </c>
      <c r="L344">
        <v>1</v>
      </c>
      <c r="M344">
        <v>1</v>
      </c>
      <c r="N344">
        <v>1</v>
      </c>
      <c r="O344">
        <v>100</v>
      </c>
      <c r="P344" t="b">
        <f t="shared" si="5"/>
        <v>0</v>
      </c>
    </row>
    <row r="345" spans="1:16" x14ac:dyDescent="0.2">
      <c r="A345" t="s">
        <v>127</v>
      </c>
      <c r="B345" t="s">
        <v>128</v>
      </c>
      <c r="C345">
        <v>365</v>
      </c>
      <c r="D345">
        <v>78005</v>
      </c>
      <c r="E345" t="s">
        <v>176</v>
      </c>
      <c r="F345" t="s">
        <v>46</v>
      </c>
      <c r="G345" t="s">
        <v>452</v>
      </c>
      <c r="H345" t="s">
        <v>12</v>
      </c>
      <c r="I345" t="s">
        <v>91</v>
      </c>
      <c r="J345">
        <v>6</v>
      </c>
      <c r="K345">
        <v>0.03</v>
      </c>
      <c r="L345">
        <v>1</v>
      </c>
      <c r="M345">
        <v>1</v>
      </c>
      <c r="N345">
        <v>1</v>
      </c>
      <c r="O345">
        <v>100</v>
      </c>
      <c r="P345" t="b">
        <f t="shared" si="5"/>
        <v>0</v>
      </c>
    </row>
    <row r="346" spans="1:16" x14ac:dyDescent="0.2">
      <c r="A346" t="s">
        <v>127</v>
      </c>
      <c r="B346" t="s">
        <v>128</v>
      </c>
      <c r="C346">
        <v>366</v>
      </c>
      <c r="D346">
        <v>130921</v>
      </c>
      <c r="E346" t="s">
        <v>518</v>
      </c>
      <c r="F346" t="s">
        <v>67</v>
      </c>
      <c r="G346" t="s">
        <v>10</v>
      </c>
      <c r="H346" t="s">
        <v>12</v>
      </c>
      <c r="I346" t="s">
        <v>91</v>
      </c>
      <c r="J346">
        <v>20</v>
      </c>
      <c r="K346">
        <v>0.03</v>
      </c>
      <c r="L346">
        <v>1</v>
      </c>
      <c r="M346">
        <v>1</v>
      </c>
      <c r="N346">
        <v>1</v>
      </c>
      <c r="O346">
        <v>100</v>
      </c>
      <c r="P346" t="b">
        <f t="shared" si="5"/>
        <v>0</v>
      </c>
    </row>
    <row r="347" spans="1:16" x14ac:dyDescent="0.2">
      <c r="A347" t="s">
        <v>127</v>
      </c>
      <c r="B347" t="s">
        <v>128</v>
      </c>
      <c r="C347">
        <v>367</v>
      </c>
      <c r="D347">
        <v>100093</v>
      </c>
      <c r="E347" t="s">
        <v>895</v>
      </c>
      <c r="F347" t="s">
        <v>58</v>
      </c>
      <c r="G347" t="s">
        <v>452</v>
      </c>
      <c r="H347" t="s">
        <v>8</v>
      </c>
      <c r="I347" t="s">
        <v>91</v>
      </c>
      <c r="J347">
        <v>9</v>
      </c>
      <c r="K347">
        <v>0.03</v>
      </c>
      <c r="L347">
        <v>1</v>
      </c>
      <c r="M347">
        <v>1</v>
      </c>
      <c r="N347">
        <v>1</v>
      </c>
      <c r="O347">
        <v>100</v>
      </c>
      <c r="P347" t="b">
        <f t="shared" si="5"/>
        <v>0</v>
      </c>
    </row>
    <row r="348" spans="1:16" x14ac:dyDescent="0.2">
      <c r="A348" t="s">
        <v>127</v>
      </c>
      <c r="B348" t="s">
        <v>128</v>
      </c>
      <c r="C348">
        <v>368</v>
      </c>
      <c r="D348">
        <v>130490</v>
      </c>
      <c r="E348" t="s">
        <v>310</v>
      </c>
      <c r="F348" t="s">
        <v>70</v>
      </c>
      <c r="G348" t="s">
        <v>10</v>
      </c>
      <c r="H348" t="s">
        <v>8</v>
      </c>
      <c r="I348" t="s">
        <v>91</v>
      </c>
      <c r="J348">
        <v>47</v>
      </c>
      <c r="K348">
        <v>0.03</v>
      </c>
      <c r="L348">
        <v>1</v>
      </c>
      <c r="M348">
        <v>1</v>
      </c>
      <c r="N348">
        <v>1</v>
      </c>
      <c r="O348">
        <v>100</v>
      </c>
      <c r="P348" t="b">
        <f t="shared" si="5"/>
        <v>0</v>
      </c>
    </row>
    <row r="349" spans="1:16" x14ac:dyDescent="0.2">
      <c r="A349" t="s">
        <v>127</v>
      </c>
      <c r="B349" t="s">
        <v>128</v>
      </c>
      <c r="C349">
        <v>369</v>
      </c>
      <c r="D349">
        <v>31685</v>
      </c>
      <c r="E349" t="s">
        <v>222</v>
      </c>
      <c r="F349" t="s">
        <v>36</v>
      </c>
      <c r="G349" t="s">
        <v>452</v>
      </c>
      <c r="H349" t="s">
        <v>5</v>
      </c>
      <c r="I349" t="s">
        <v>91</v>
      </c>
      <c r="J349">
        <v>9</v>
      </c>
      <c r="K349">
        <v>0.03</v>
      </c>
      <c r="L349">
        <v>1</v>
      </c>
      <c r="M349">
        <v>1</v>
      </c>
      <c r="N349">
        <v>1</v>
      </c>
      <c r="O349">
        <v>100</v>
      </c>
      <c r="P349" t="b">
        <f t="shared" si="5"/>
        <v>0</v>
      </c>
    </row>
    <row r="350" spans="1:16" x14ac:dyDescent="0.2">
      <c r="A350" t="s">
        <v>127</v>
      </c>
      <c r="B350" t="s">
        <v>128</v>
      </c>
      <c r="C350">
        <v>370</v>
      </c>
      <c r="D350">
        <v>136233</v>
      </c>
      <c r="E350" t="s">
        <v>205</v>
      </c>
      <c r="F350" t="s">
        <v>68</v>
      </c>
      <c r="G350" t="s">
        <v>10</v>
      </c>
      <c r="H350" t="s">
        <v>5</v>
      </c>
      <c r="I350" t="s">
        <v>95</v>
      </c>
      <c r="J350">
        <v>15</v>
      </c>
      <c r="K350">
        <v>0.03</v>
      </c>
      <c r="L350">
        <v>1</v>
      </c>
      <c r="M350">
        <v>1</v>
      </c>
      <c r="N350">
        <v>1</v>
      </c>
      <c r="O350">
        <v>100</v>
      </c>
      <c r="P350" t="b">
        <f t="shared" si="5"/>
        <v>0</v>
      </c>
    </row>
    <row r="351" spans="1:16" x14ac:dyDescent="0.2">
      <c r="A351" t="s">
        <v>127</v>
      </c>
      <c r="B351" t="s">
        <v>128</v>
      </c>
      <c r="C351">
        <v>371</v>
      </c>
      <c r="D351">
        <v>126661</v>
      </c>
      <c r="E351" t="s">
        <v>396</v>
      </c>
      <c r="F351" t="s">
        <v>35</v>
      </c>
      <c r="G351" t="s">
        <v>452</v>
      </c>
      <c r="H351" t="s">
        <v>12</v>
      </c>
      <c r="I351" t="s">
        <v>95</v>
      </c>
      <c r="J351">
        <v>8</v>
      </c>
      <c r="K351">
        <v>3.5</v>
      </c>
      <c r="L351">
        <v>3</v>
      </c>
      <c r="M351">
        <v>2</v>
      </c>
      <c r="N351">
        <v>2</v>
      </c>
      <c r="O351">
        <v>2</v>
      </c>
      <c r="P351" t="b">
        <f t="shared" si="5"/>
        <v>0</v>
      </c>
    </row>
    <row r="352" spans="1:16" x14ac:dyDescent="0.2">
      <c r="A352" t="s">
        <v>127</v>
      </c>
      <c r="B352" t="s">
        <v>128</v>
      </c>
      <c r="C352">
        <v>372</v>
      </c>
      <c r="D352">
        <v>129477</v>
      </c>
      <c r="E352" t="s">
        <v>218</v>
      </c>
      <c r="F352" t="s">
        <v>69</v>
      </c>
      <c r="G352" t="s">
        <v>10</v>
      </c>
      <c r="H352" t="s">
        <v>12</v>
      </c>
      <c r="I352" t="s">
        <v>91</v>
      </c>
      <c r="J352">
        <v>19</v>
      </c>
      <c r="K352">
        <v>0.03</v>
      </c>
      <c r="L352">
        <v>1</v>
      </c>
      <c r="M352">
        <v>1</v>
      </c>
      <c r="N352">
        <v>1</v>
      </c>
      <c r="O352">
        <v>100</v>
      </c>
      <c r="P352" t="b">
        <f t="shared" si="5"/>
        <v>0</v>
      </c>
    </row>
    <row r="353" spans="1:16" x14ac:dyDescent="0.2">
      <c r="A353" t="s">
        <v>127</v>
      </c>
      <c r="B353" t="s">
        <v>128</v>
      </c>
      <c r="C353">
        <v>373</v>
      </c>
      <c r="D353">
        <v>31898</v>
      </c>
      <c r="E353" t="s">
        <v>1093</v>
      </c>
      <c r="F353" t="s">
        <v>9</v>
      </c>
      <c r="G353" t="s">
        <v>452</v>
      </c>
      <c r="H353" t="s">
        <v>8</v>
      </c>
      <c r="I353" t="s">
        <v>91</v>
      </c>
      <c r="J353">
        <v>24</v>
      </c>
      <c r="K353">
        <v>0.03</v>
      </c>
      <c r="L353">
        <v>1</v>
      </c>
      <c r="M353">
        <v>1</v>
      </c>
      <c r="N353">
        <v>1</v>
      </c>
      <c r="O353">
        <v>100</v>
      </c>
      <c r="P353" t="b">
        <f t="shared" si="5"/>
        <v>0</v>
      </c>
    </row>
    <row r="354" spans="1:16" x14ac:dyDescent="0.2">
      <c r="A354" t="s">
        <v>127</v>
      </c>
      <c r="B354" t="s">
        <v>128</v>
      </c>
      <c r="C354">
        <v>374</v>
      </c>
      <c r="D354">
        <v>130349</v>
      </c>
      <c r="E354" t="s">
        <v>624</v>
      </c>
      <c r="F354" t="s">
        <v>70</v>
      </c>
      <c r="G354" t="s">
        <v>10</v>
      </c>
      <c r="H354" t="s">
        <v>8</v>
      </c>
      <c r="I354" t="s">
        <v>91</v>
      </c>
      <c r="J354">
        <v>48</v>
      </c>
      <c r="K354">
        <v>0.03</v>
      </c>
      <c r="L354">
        <v>1</v>
      </c>
      <c r="M354">
        <v>1</v>
      </c>
      <c r="N354">
        <v>1</v>
      </c>
      <c r="O354">
        <v>100</v>
      </c>
      <c r="P354" t="b">
        <f t="shared" si="5"/>
        <v>0</v>
      </c>
    </row>
    <row r="355" spans="1:16" x14ac:dyDescent="0.2">
      <c r="A355" t="s">
        <v>127</v>
      </c>
      <c r="B355" t="s">
        <v>128</v>
      </c>
      <c r="C355">
        <v>375</v>
      </c>
      <c r="D355">
        <v>101572</v>
      </c>
      <c r="E355" t="s">
        <v>188</v>
      </c>
      <c r="F355" t="s">
        <v>37</v>
      </c>
      <c r="G355" t="s">
        <v>452</v>
      </c>
      <c r="H355" t="s">
        <v>5</v>
      </c>
      <c r="I355" t="s">
        <v>95</v>
      </c>
      <c r="J355">
        <v>7</v>
      </c>
      <c r="K355">
        <v>0.03</v>
      </c>
      <c r="L355">
        <v>1</v>
      </c>
      <c r="M355">
        <v>1</v>
      </c>
      <c r="N355">
        <v>1</v>
      </c>
      <c r="O355">
        <v>100</v>
      </c>
      <c r="P355" t="b">
        <f t="shared" si="5"/>
        <v>0</v>
      </c>
    </row>
    <row r="356" spans="1:16" x14ac:dyDescent="0.2">
      <c r="A356" t="s">
        <v>127</v>
      </c>
      <c r="B356" t="s">
        <v>128</v>
      </c>
      <c r="C356">
        <v>376</v>
      </c>
      <c r="D356">
        <v>129449</v>
      </c>
      <c r="E356" t="s">
        <v>231</v>
      </c>
      <c r="F356" t="s">
        <v>65</v>
      </c>
      <c r="G356" t="s">
        <v>10</v>
      </c>
      <c r="H356" t="s">
        <v>5</v>
      </c>
      <c r="I356" t="s">
        <v>95</v>
      </c>
      <c r="J356">
        <v>24</v>
      </c>
      <c r="K356">
        <v>0.03</v>
      </c>
      <c r="L356">
        <v>1</v>
      </c>
      <c r="M356">
        <v>1</v>
      </c>
      <c r="N356">
        <v>1</v>
      </c>
      <c r="O356">
        <v>100</v>
      </c>
      <c r="P356" t="b">
        <f t="shared" si="5"/>
        <v>0</v>
      </c>
    </row>
    <row r="357" spans="1:16" x14ac:dyDescent="0.2">
      <c r="A357" t="s">
        <v>127</v>
      </c>
      <c r="B357" t="s">
        <v>128</v>
      </c>
      <c r="C357">
        <v>377</v>
      </c>
      <c r="D357">
        <v>70695</v>
      </c>
      <c r="E357" t="s">
        <v>145</v>
      </c>
      <c r="F357" t="s">
        <v>98</v>
      </c>
      <c r="G357" t="s">
        <v>452</v>
      </c>
      <c r="H357" t="s">
        <v>12</v>
      </c>
      <c r="I357" t="s">
        <v>95</v>
      </c>
      <c r="J357">
        <v>6</v>
      </c>
      <c r="K357">
        <v>0.03</v>
      </c>
      <c r="L357">
        <v>1</v>
      </c>
      <c r="M357">
        <v>1</v>
      </c>
      <c r="N357">
        <v>1</v>
      </c>
      <c r="O357">
        <v>100</v>
      </c>
      <c r="P357" t="b">
        <f t="shared" si="5"/>
        <v>0</v>
      </c>
    </row>
    <row r="358" spans="1:16" x14ac:dyDescent="0.2">
      <c r="A358" t="s">
        <v>127</v>
      </c>
      <c r="B358" t="s">
        <v>128</v>
      </c>
      <c r="C358">
        <v>378</v>
      </c>
      <c r="D358">
        <v>130104</v>
      </c>
      <c r="E358" t="s">
        <v>662</v>
      </c>
      <c r="F358" t="s">
        <v>67</v>
      </c>
      <c r="G358" t="s">
        <v>10</v>
      </c>
      <c r="H358" t="s">
        <v>12</v>
      </c>
      <c r="I358" t="s">
        <v>95</v>
      </c>
      <c r="J358">
        <v>21</v>
      </c>
      <c r="K358">
        <v>0.03</v>
      </c>
      <c r="L358">
        <v>1</v>
      </c>
      <c r="M358">
        <v>1</v>
      </c>
      <c r="N358">
        <v>1</v>
      </c>
      <c r="O358">
        <v>100</v>
      </c>
      <c r="P358" t="b">
        <f t="shared" si="5"/>
        <v>0</v>
      </c>
    </row>
    <row r="359" spans="1:16" x14ac:dyDescent="0.2">
      <c r="A359" t="s">
        <v>127</v>
      </c>
      <c r="B359" t="s">
        <v>128</v>
      </c>
      <c r="C359">
        <v>379</v>
      </c>
      <c r="D359">
        <v>131994</v>
      </c>
      <c r="E359" t="s">
        <v>813</v>
      </c>
      <c r="F359" t="s">
        <v>9</v>
      </c>
      <c r="G359" t="s">
        <v>452</v>
      </c>
      <c r="H359" t="s">
        <v>8</v>
      </c>
      <c r="I359" t="s">
        <v>91</v>
      </c>
      <c r="J359">
        <v>25</v>
      </c>
      <c r="K359">
        <v>0.03</v>
      </c>
      <c r="L359">
        <v>1</v>
      </c>
      <c r="M359">
        <v>1</v>
      </c>
      <c r="N359">
        <v>1</v>
      </c>
      <c r="O359">
        <v>100</v>
      </c>
      <c r="P359" t="b">
        <f t="shared" si="5"/>
        <v>0</v>
      </c>
    </row>
    <row r="360" spans="1:16" x14ac:dyDescent="0.2">
      <c r="A360" t="s">
        <v>127</v>
      </c>
      <c r="B360" t="s">
        <v>128</v>
      </c>
      <c r="C360">
        <v>380</v>
      </c>
      <c r="D360">
        <v>130350</v>
      </c>
      <c r="E360" t="s">
        <v>623</v>
      </c>
      <c r="F360" t="s">
        <v>70</v>
      </c>
      <c r="G360" t="s">
        <v>10</v>
      </c>
      <c r="H360" t="s">
        <v>8</v>
      </c>
      <c r="I360" t="s">
        <v>91</v>
      </c>
      <c r="J360">
        <v>49</v>
      </c>
      <c r="K360">
        <v>0.03</v>
      </c>
      <c r="L360">
        <v>1</v>
      </c>
      <c r="M360">
        <v>1</v>
      </c>
      <c r="N360">
        <v>1</v>
      </c>
      <c r="O360">
        <v>100</v>
      </c>
      <c r="P360" t="b">
        <f t="shared" si="5"/>
        <v>0</v>
      </c>
    </row>
    <row r="361" spans="1:16" x14ac:dyDescent="0.2">
      <c r="A361" t="s">
        <v>127</v>
      </c>
      <c r="B361" t="s">
        <v>128</v>
      </c>
      <c r="C361">
        <v>381</v>
      </c>
      <c r="D361">
        <v>31909</v>
      </c>
      <c r="E361" t="s">
        <v>1091</v>
      </c>
      <c r="F361" t="s">
        <v>38</v>
      </c>
      <c r="G361" t="s">
        <v>452</v>
      </c>
      <c r="H361" t="s">
        <v>5</v>
      </c>
      <c r="I361" t="s">
        <v>91</v>
      </c>
      <c r="J361">
        <v>6</v>
      </c>
      <c r="K361">
        <v>0.03</v>
      </c>
      <c r="L361">
        <v>1</v>
      </c>
      <c r="M361">
        <v>1</v>
      </c>
      <c r="N361">
        <v>1</v>
      </c>
      <c r="O361">
        <v>100</v>
      </c>
      <c r="P361" t="b">
        <f t="shared" si="5"/>
        <v>0</v>
      </c>
    </row>
    <row r="362" spans="1:16" x14ac:dyDescent="0.2">
      <c r="A362" t="s">
        <v>127</v>
      </c>
      <c r="B362" t="s">
        <v>128</v>
      </c>
      <c r="C362">
        <v>382</v>
      </c>
      <c r="D362">
        <v>129505</v>
      </c>
      <c r="E362" t="s">
        <v>215</v>
      </c>
      <c r="F362" t="s">
        <v>66</v>
      </c>
      <c r="G362" t="s">
        <v>10</v>
      </c>
      <c r="H362" t="s">
        <v>5</v>
      </c>
      <c r="I362" t="s">
        <v>95</v>
      </c>
      <c r="J362">
        <v>19</v>
      </c>
      <c r="K362">
        <v>0.03</v>
      </c>
      <c r="L362">
        <v>1</v>
      </c>
      <c r="M362">
        <v>1</v>
      </c>
      <c r="N362">
        <v>1</v>
      </c>
      <c r="O362">
        <v>100</v>
      </c>
      <c r="P362" t="b">
        <f t="shared" si="5"/>
        <v>0</v>
      </c>
    </row>
    <row r="363" spans="1:16" x14ac:dyDescent="0.2">
      <c r="A363" t="s">
        <v>127</v>
      </c>
      <c r="B363" t="s">
        <v>128</v>
      </c>
      <c r="C363">
        <v>383</v>
      </c>
      <c r="D363">
        <v>126643</v>
      </c>
      <c r="E363" t="s">
        <v>833</v>
      </c>
      <c r="F363" t="s">
        <v>22</v>
      </c>
      <c r="G363" t="s">
        <v>452</v>
      </c>
      <c r="H363" t="s">
        <v>12</v>
      </c>
      <c r="I363" t="s">
        <v>91</v>
      </c>
      <c r="J363">
        <v>7</v>
      </c>
      <c r="K363">
        <v>10</v>
      </c>
      <c r="L363">
        <v>3</v>
      </c>
      <c r="M363">
        <v>3</v>
      </c>
      <c r="N363">
        <v>4</v>
      </c>
      <c r="O363">
        <v>1</v>
      </c>
      <c r="P363" t="b">
        <f t="shared" si="5"/>
        <v>0</v>
      </c>
    </row>
    <row r="364" spans="1:16" x14ac:dyDescent="0.2">
      <c r="A364" t="s">
        <v>127</v>
      </c>
      <c r="B364" t="s">
        <v>128</v>
      </c>
      <c r="C364">
        <v>384</v>
      </c>
      <c r="D364">
        <v>129459</v>
      </c>
      <c r="E364" t="s">
        <v>783</v>
      </c>
      <c r="F364" t="s">
        <v>69</v>
      </c>
      <c r="G364" t="s">
        <v>10</v>
      </c>
      <c r="H364" t="s">
        <v>12</v>
      </c>
      <c r="I364" t="s">
        <v>91</v>
      </c>
      <c r="J364">
        <v>20</v>
      </c>
      <c r="K364">
        <v>0.03</v>
      </c>
      <c r="L364">
        <v>1</v>
      </c>
      <c r="M364">
        <v>1</v>
      </c>
      <c r="N364">
        <v>1</v>
      </c>
      <c r="O364">
        <v>100</v>
      </c>
      <c r="P364" t="b">
        <f t="shared" si="5"/>
        <v>0</v>
      </c>
    </row>
    <row r="365" spans="1:16" x14ac:dyDescent="0.2">
      <c r="A365" t="s">
        <v>127</v>
      </c>
      <c r="B365" t="s">
        <v>128</v>
      </c>
      <c r="C365">
        <v>385</v>
      </c>
      <c r="D365">
        <v>31945</v>
      </c>
      <c r="E365" t="s">
        <v>1085</v>
      </c>
      <c r="F365" t="s">
        <v>34</v>
      </c>
      <c r="G365" t="s">
        <v>452</v>
      </c>
      <c r="H365" t="s">
        <v>8</v>
      </c>
      <c r="I365" t="s">
        <v>91</v>
      </c>
      <c r="J365">
        <v>11</v>
      </c>
      <c r="K365">
        <v>0.03</v>
      </c>
      <c r="L365">
        <v>1</v>
      </c>
      <c r="M365">
        <v>1</v>
      </c>
      <c r="N365">
        <v>1</v>
      </c>
      <c r="O365">
        <v>100</v>
      </c>
      <c r="P365" t="b">
        <f t="shared" si="5"/>
        <v>0</v>
      </c>
    </row>
    <row r="366" spans="1:16" x14ac:dyDescent="0.2">
      <c r="A366" t="s">
        <v>127</v>
      </c>
      <c r="B366" t="s">
        <v>128</v>
      </c>
      <c r="C366">
        <v>386</v>
      </c>
      <c r="D366">
        <v>130440</v>
      </c>
      <c r="E366" t="s">
        <v>606</v>
      </c>
      <c r="F366" t="s">
        <v>70</v>
      </c>
      <c r="G366" t="s">
        <v>10</v>
      </c>
      <c r="H366" t="s">
        <v>8</v>
      </c>
      <c r="I366" t="s">
        <v>91</v>
      </c>
      <c r="J366">
        <v>50</v>
      </c>
      <c r="K366">
        <v>0.03</v>
      </c>
      <c r="L366">
        <v>1</v>
      </c>
      <c r="M366">
        <v>1</v>
      </c>
      <c r="N366">
        <v>1</v>
      </c>
      <c r="O366">
        <v>100</v>
      </c>
      <c r="P366" t="b">
        <f t="shared" si="5"/>
        <v>0</v>
      </c>
    </row>
    <row r="367" spans="1:16" x14ac:dyDescent="0.2">
      <c r="A367" t="s">
        <v>127</v>
      </c>
      <c r="B367" t="s">
        <v>128</v>
      </c>
      <c r="C367">
        <v>387</v>
      </c>
      <c r="D367">
        <v>132425</v>
      </c>
      <c r="E367" t="s">
        <v>397</v>
      </c>
      <c r="F367" t="s">
        <v>21</v>
      </c>
      <c r="G367" t="s">
        <v>452</v>
      </c>
      <c r="H367" t="s">
        <v>5</v>
      </c>
      <c r="I367" t="s">
        <v>95</v>
      </c>
      <c r="J367">
        <v>10</v>
      </c>
      <c r="K367">
        <v>4.5</v>
      </c>
      <c r="L367">
        <v>3</v>
      </c>
      <c r="M367">
        <v>3</v>
      </c>
      <c r="N367">
        <v>3</v>
      </c>
      <c r="O367">
        <v>2</v>
      </c>
      <c r="P367" t="b">
        <f t="shared" si="5"/>
        <v>0</v>
      </c>
    </row>
    <row r="368" spans="1:16" x14ac:dyDescent="0.2">
      <c r="A368" t="s">
        <v>127</v>
      </c>
      <c r="B368" t="s">
        <v>128</v>
      </c>
      <c r="C368">
        <v>388</v>
      </c>
      <c r="D368">
        <v>130587</v>
      </c>
      <c r="E368" t="s">
        <v>207</v>
      </c>
      <c r="F368" t="s">
        <v>68</v>
      </c>
      <c r="G368" t="s">
        <v>10</v>
      </c>
      <c r="H368" t="s">
        <v>5</v>
      </c>
      <c r="I368" t="s">
        <v>95</v>
      </c>
      <c r="J368">
        <v>16</v>
      </c>
      <c r="K368">
        <v>0.03</v>
      </c>
      <c r="L368">
        <v>1</v>
      </c>
      <c r="M368">
        <v>1</v>
      </c>
      <c r="N368">
        <v>1</v>
      </c>
      <c r="O368">
        <v>100</v>
      </c>
      <c r="P368" t="b">
        <f t="shared" si="5"/>
        <v>0</v>
      </c>
    </row>
    <row r="369" spans="1:16" x14ac:dyDescent="0.2">
      <c r="A369" t="s">
        <v>127</v>
      </c>
      <c r="B369" t="s">
        <v>128</v>
      </c>
      <c r="C369">
        <v>389</v>
      </c>
      <c r="D369">
        <v>39126</v>
      </c>
      <c r="E369" t="s">
        <v>166</v>
      </c>
      <c r="F369" t="s">
        <v>46</v>
      </c>
      <c r="G369" t="s">
        <v>452</v>
      </c>
      <c r="H369" t="s">
        <v>12</v>
      </c>
      <c r="I369" t="s">
        <v>91</v>
      </c>
      <c r="J369">
        <v>7</v>
      </c>
      <c r="K369">
        <v>0.03</v>
      </c>
      <c r="L369">
        <v>1</v>
      </c>
      <c r="M369">
        <v>1</v>
      </c>
      <c r="N369">
        <v>1</v>
      </c>
      <c r="O369">
        <v>100</v>
      </c>
      <c r="P369" t="b">
        <f t="shared" si="5"/>
        <v>0</v>
      </c>
    </row>
    <row r="370" spans="1:16" x14ac:dyDescent="0.2">
      <c r="A370" t="s">
        <v>127</v>
      </c>
      <c r="B370" t="s">
        <v>128</v>
      </c>
      <c r="C370">
        <v>390</v>
      </c>
      <c r="D370">
        <v>130519</v>
      </c>
      <c r="E370" t="s">
        <v>583</v>
      </c>
      <c r="F370" t="s">
        <v>67</v>
      </c>
      <c r="G370" t="s">
        <v>10</v>
      </c>
      <c r="H370" t="s">
        <v>12</v>
      </c>
      <c r="I370" t="s">
        <v>97</v>
      </c>
      <c r="J370">
        <v>22</v>
      </c>
      <c r="K370">
        <v>0.03</v>
      </c>
      <c r="L370">
        <v>1</v>
      </c>
      <c r="M370">
        <v>1</v>
      </c>
      <c r="N370">
        <v>1</v>
      </c>
      <c r="O370">
        <v>100</v>
      </c>
      <c r="P370" t="b">
        <f t="shared" si="5"/>
        <v>0</v>
      </c>
    </row>
    <row r="371" spans="1:16" x14ac:dyDescent="0.2">
      <c r="A371" t="s">
        <v>127</v>
      </c>
      <c r="B371" t="s">
        <v>128</v>
      </c>
      <c r="C371">
        <v>391</v>
      </c>
      <c r="D371">
        <v>126772</v>
      </c>
      <c r="E371" t="s">
        <v>828</v>
      </c>
      <c r="F371" t="s">
        <v>58</v>
      </c>
      <c r="G371" t="s">
        <v>452</v>
      </c>
      <c r="H371" t="s">
        <v>8</v>
      </c>
      <c r="I371" t="s">
        <v>91</v>
      </c>
      <c r="J371">
        <v>10</v>
      </c>
      <c r="K371">
        <v>0.03</v>
      </c>
      <c r="L371">
        <v>1</v>
      </c>
      <c r="M371">
        <v>1</v>
      </c>
      <c r="N371">
        <v>1</v>
      </c>
      <c r="O371">
        <v>100</v>
      </c>
      <c r="P371" t="b">
        <f t="shared" si="5"/>
        <v>0</v>
      </c>
    </row>
    <row r="372" spans="1:16" x14ac:dyDescent="0.2">
      <c r="A372" t="s">
        <v>127</v>
      </c>
      <c r="B372" t="s">
        <v>128</v>
      </c>
      <c r="C372">
        <v>392</v>
      </c>
      <c r="D372">
        <v>130573</v>
      </c>
      <c r="E372" t="s">
        <v>572</v>
      </c>
      <c r="F372" t="s">
        <v>70</v>
      </c>
      <c r="G372" t="s">
        <v>10</v>
      </c>
      <c r="H372" t="s">
        <v>8</v>
      </c>
      <c r="I372" t="s">
        <v>91</v>
      </c>
      <c r="J372">
        <v>51</v>
      </c>
      <c r="K372">
        <v>0.03</v>
      </c>
      <c r="L372">
        <v>1</v>
      </c>
      <c r="M372">
        <v>1</v>
      </c>
      <c r="N372">
        <v>1</v>
      </c>
      <c r="O372">
        <v>100</v>
      </c>
      <c r="P372" t="b">
        <f t="shared" si="5"/>
        <v>0</v>
      </c>
    </row>
    <row r="373" spans="1:16" x14ac:dyDescent="0.2">
      <c r="A373" t="s">
        <v>127</v>
      </c>
      <c r="B373" t="s">
        <v>128</v>
      </c>
      <c r="C373">
        <v>393</v>
      </c>
      <c r="D373">
        <v>134801</v>
      </c>
      <c r="E373" t="s">
        <v>799</v>
      </c>
      <c r="F373" t="s">
        <v>23</v>
      </c>
      <c r="G373" t="s">
        <v>452</v>
      </c>
      <c r="H373" t="s">
        <v>5</v>
      </c>
      <c r="I373" t="s">
        <v>91</v>
      </c>
      <c r="J373">
        <v>11</v>
      </c>
      <c r="K373">
        <v>0.03</v>
      </c>
      <c r="L373">
        <v>1</v>
      </c>
      <c r="M373">
        <v>1</v>
      </c>
      <c r="N373">
        <v>1</v>
      </c>
      <c r="O373">
        <v>100</v>
      </c>
      <c r="P373" t="b">
        <f t="shared" si="5"/>
        <v>0</v>
      </c>
    </row>
    <row r="374" spans="1:16" x14ac:dyDescent="0.2">
      <c r="A374" t="s">
        <v>127</v>
      </c>
      <c r="B374" t="s">
        <v>128</v>
      </c>
      <c r="C374">
        <v>394</v>
      </c>
      <c r="D374">
        <v>130958</v>
      </c>
      <c r="E374" t="s">
        <v>514</v>
      </c>
      <c r="F374" t="s">
        <v>65</v>
      </c>
      <c r="G374" t="s">
        <v>10</v>
      </c>
      <c r="H374" t="s">
        <v>5</v>
      </c>
      <c r="I374" t="s">
        <v>97</v>
      </c>
      <c r="J374">
        <v>25</v>
      </c>
      <c r="K374">
        <v>0.03</v>
      </c>
      <c r="L374">
        <v>1</v>
      </c>
      <c r="M374">
        <v>1</v>
      </c>
      <c r="N374">
        <v>1</v>
      </c>
      <c r="O374">
        <v>100</v>
      </c>
      <c r="P374" t="b">
        <f t="shared" si="5"/>
        <v>0</v>
      </c>
    </row>
    <row r="375" spans="1:16" x14ac:dyDescent="0.2">
      <c r="A375" t="s">
        <v>127</v>
      </c>
      <c r="B375" t="s">
        <v>128</v>
      </c>
      <c r="C375">
        <v>395</v>
      </c>
      <c r="D375">
        <v>69344</v>
      </c>
      <c r="E375" t="s">
        <v>224</v>
      </c>
      <c r="F375" t="s">
        <v>35</v>
      </c>
      <c r="G375" t="s">
        <v>452</v>
      </c>
      <c r="H375" t="s">
        <v>12</v>
      </c>
      <c r="I375" t="s">
        <v>91</v>
      </c>
      <c r="J375">
        <v>9</v>
      </c>
      <c r="K375">
        <v>0.03</v>
      </c>
      <c r="L375">
        <v>1</v>
      </c>
      <c r="M375">
        <v>1</v>
      </c>
      <c r="N375">
        <v>1</v>
      </c>
      <c r="O375">
        <v>100</v>
      </c>
      <c r="P375" t="b">
        <f t="shared" si="5"/>
        <v>0</v>
      </c>
    </row>
    <row r="376" spans="1:16" x14ac:dyDescent="0.2">
      <c r="A376" t="s">
        <v>127</v>
      </c>
      <c r="B376" t="s">
        <v>128</v>
      </c>
      <c r="C376">
        <v>396</v>
      </c>
      <c r="D376">
        <v>129518</v>
      </c>
      <c r="E376" t="s">
        <v>229</v>
      </c>
      <c r="F376" t="s">
        <v>69</v>
      </c>
      <c r="G376" t="s">
        <v>10</v>
      </c>
      <c r="H376" t="s">
        <v>12</v>
      </c>
      <c r="I376" t="s">
        <v>91</v>
      </c>
      <c r="J376">
        <v>21</v>
      </c>
      <c r="K376">
        <v>0.03</v>
      </c>
      <c r="L376">
        <v>1</v>
      </c>
      <c r="M376">
        <v>1</v>
      </c>
      <c r="N376">
        <v>1</v>
      </c>
      <c r="O376">
        <v>100</v>
      </c>
      <c r="P376" t="b">
        <f t="shared" si="5"/>
        <v>0</v>
      </c>
    </row>
    <row r="377" spans="1:16" x14ac:dyDescent="0.2">
      <c r="A377" t="s">
        <v>127</v>
      </c>
      <c r="B377" t="s">
        <v>128</v>
      </c>
      <c r="C377">
        <v>397</v>
      </c>
      <c r="D377">
        <v>71332</v>
      </c>
      <c r="E377" t="s">
        <v>943</v>
      </c>
      <c r="F377" t="s">
        <v>9</v>
      </c>
      <c r="G377" t="s">
        <v>452</v>
      </c>
      <c r="H377" t="s">
        <v>8</v>
      </c>
      <c r="I377" t="s">
        <v>91</v>
      </c>
      <c r="J377">
        <v>26</v>
      </c>
      <c r="K377">
        <v>0.03</v>
      </c>
      <c r="L377">
        <v>1</v>
      </c>
      <c r="M377">
        <v>1</v>
      </c>
      <c r="N377">
        <v>1</v>
      </c>
      <c r="O377">
        <v>100</v>
      </c>
      <c r="P377" t="b">
        <f t="shared" si="5"/>
        <v>0</v>
      </c>
    </row>
    <row r="378" spans="1:16" x14ac:dyDescent="0.2">
      <c r="A378" t="s">
        <v>127</v>
      </c>
      <c r="B378" t="s">
        <v>128</v>
      </c>
      <c r="C378">
        <v>398</v>
      </c>
      <c r="D378">
        <v>130622</v>
      </c>
      <c r="E378" t="s">
        <v>315</v>
      </c>
      <c r="F378" t="s">
        <v>70</v>
      </c>
      <c r="G378" t="s">
        <v>10</v>
      </c>
      <c r="H378" t="s">
        <v>8</v>
      </c>
      <c r="I378" t="s">
        <v>91</v>
      </c>
      <c r="J378">
        <v>52</v>
      </c>
      <c r="K378">
        <v>0.03</v>
      </c>
      <c r="L378">
        <v>1</v>
      </c>
      <c r="M378">
        <v>1</v>
      </c>
      <c r="N378">
        <v>1</v>
      </c>
      <c r="O378">
        <v>100</v>
      </c>
      <c r="P378" t="b">
        <f t="shared" si="5"/>
        <v>0</v>
      </c>
    </row>
    <row r="379" spans="1:16" x14ac:dyDescent="0.2">
      <c r="A379" t="s">
        <v>127</v>
      </c>
      <c r="B379" t="s">
        <v>128</v>
      </c>
      <c r="C379">
        <v>399</v>
      </c>
      <c r="D379">
        <v>31878</v>
      </c>
      <c r="E379" t="s">
        <v>234</v>
      </c>
      <c r="F379" t="s">
        <v>36</v>
      </c>
      <c r="G379" t="s">
        <v>452</v>
      </c>
      <c r="H379" t="s">
        <v>5</v>
      </c>
      <c r="I379" t="s">
        <v>91</v>
      </c>
      <c r="J379">
        <v>10</v>
      </c>
      <c r="K379">
        <v>0.03</v>
      </c>
      <c r="L379">
        <v>1</v>
      </c>
      <c r="M379">
        <v>1</v>
      </c>
      <c r="N379">
        <v>1</v>
      </c>
      <c r="O379">
        <v>100</v>
      </c>
      <c r="P379" t="b">
        <f t="shared" si="5"/>
        <v>0</v>
      </c>
    </row>
    <row r="380" spans="1:16" x14ac:dyDescent="0.2">
      <c r="A380" t="s">
        <v>127</v>
      </c>
      <c r="B380" t="s">
        <v>128</v>
      </c>
      <c r="C380">
        <v>400</v>
      </c>
      <c r="D380">
        <v>129672</v>
      </c>
      <c r="E380" t="s">
        <v>716</v>
      </c>
      <c r="F380" t="s">
        <v>65</v>
      </c>
      <c r="G380" t="s">
        <v>10</v>
      </c>
      <c r="H380" t="s">
        <v>5</v>
      </c>
      <c r="I380" t="s">
        <v>97</v>
      </c>
      <c r="J380">
        <v>26</v>
      </c>
      <c r="K380">
        <v>0.03</v>
      </c>
      <c r="L380">
        <v>1</v>
      </c>
      <c r="M380">
        <v>1</v>
      </c>
      <c r="N380">
        <v>1</v>
      </c>
      <c r="O380">
        <v>100</v>
      </c>
      <c r="P380" t="b">
        <f t="shared" si="5"/>
        <v>0</v>
      </c>
    </row>
    <row r="381" spans="1:16" x14ac:dyDescent="0.2">
      <c r="A381" t="s">
        <v>127</v>
      </c>
      <c r="B381" t="s">
        <v>128</v>
      </c>
      <c r="C381">
        <v>401</v>
      </c>
      <c r="D381">
        <v>126735</v>
      </c>
      <c r="E381" t="s">
        <v>214</v>
      </c>
      <c r="F381" t="s">
        <v>98</v>
      </c>
      <c r="G381" t="s">
        <v>452</v>
      </c>
      <c r="H381" t="s">
        <v>12</v>
      </c>
      <c r="I381" t="s">
        <v>91</v>
      </c>
      <c r="J381">
        <v>7</v>
      </c>
      <c r="K381">
        <v>0.05</v>
      </c>
      <c r="L381">
        <v>3</v>
      </c>
      <c r="M381">
        <v>1</v>
      </c>
      <c r="N381">
        <v>1</v>
      </c>
      <c r="O381">
        <v>100</v>
      </c>
      <c r="P381" t="b">
        <f t="shared" si="5"/>
        <v>0</v>
      </c>
    </row>
    <row r="382" spans="1:16" x14ac:dyDescent="0.2">
      <c r="A382" t="s">
        <v>127</v>
      </c>
      <c r="B382" t="s">
        <v>128</v>
      </c>
      <c r="C382">
        <v>402</v>
      </c>
      <c r="D382">
        <v>129543</v>
      </c>
      <c r="E382" t="s">
        <v>744</v>
      </c>
      <c r="F382" t="s">
        <v>67</v>
      </c>
      <c r="G382" t="s">
        <v>10</v>
      </c>
      <c r="H382" t="s">
        <v>12</v>
      </c>
      <c r="I382" t="s">
        <v>95</v>
      </c>
      <c r="J382">
        <v>23</v>
      </c>
      <c r="K382">
        <v>0.03</v>
      </c>
      <c r="L382">
        <v>1</v>
      </c>
      <c r="M382">
        <v>1</v>
      </c>
      <c r="N382">
        <v>1</v>
      </c>
      <c r="O382">
        <v>100</v>
      </c>
      <c r="P382" t="b">
        <f t="shared" si="5"/>
        <v>0</v>
      </c>
    </row>
    <row r="383" spans="1:16" x14ac:dyDescent="0.2">
      <c r="A383" t="s">
        <v>127</v>
      </c>
      <c r="B383" t="s">
        <v>128</v>
      </c>
      <c r="C383">
        <v>403</v>
      </c>
      <c r="D383">
        <v>132062</v>
      </c>
      <c r="E383" t="s">
        <v>302</v>
      </c>
      <c r="F383" t="s">
        <v>9</v>
      </c>
      <c r="G383" t="s">
        <v>452</v>
      </c>
      <c r="H383" t="s">
        <v>8</v>
      </c>
      <c r="I383" t="s">
        <v>91</v>
      </c>
      <c r="J383">
        <v>27</v>
      </c>
      <c r="K383">
        <v>7</v>
      </c>
      <c r="L383">
        <v>3</v>
      </c>
      <c r="M383">
        <v>2</v>
      </c>
      <c r="N383">
        <v>2</v>
      </c>
      <c r="O383">
        <v>1</v>
      </c>
      <c r="P383" t="b">
        <f t="shared" si="5"/>
        <v>0</v>
      </c>
    </row>
    <row r="384" spans="1:16" x14ac:dyDescent="0.2">
      <c r="A384" t="s">
        <v>127</v>
      </c>
      <c r="B384" t="s">
        <v>128</v>
      </c>
      <c r="C384">
        <v>404</v>
      </c>
      <c r="D384">
        <v>130625</v>
      </c>
      <c r="E384" t="s">
        <v>317</v>
      </c>
      <c r="F384" t="s">
        <v>70</v>
      </c>
      <c r="G384" t="s">
        <v>10</v>
      </c>
      <c r="H384" t="s">
        <v>8</v>
      </c>
      <c r="I384" t="s">
        <v>91</v>
      </c>
      <c r="J384">
        <v>53</v>
      </c>
      <c r="K384">
        <v>0.03</v>
      </c>
      <c r="L384">
        <v>1</v>
      </c>
      <c r="M384">
        <v>1</v>
      </c>
      <c r="N384">
        <v>1</v>
      </c>
      <c r="O384">
        <v>100</v>
      </c>
      <c r="P384" t="b">
        <f t="shared" si="5"/>
        <v>0</v>
      </c>
    </row>
    <row r="385" spans="1:16" x14ac:dyDescent="0.2">
      <c r="A385" t="s">
        <v>127</v>
      </c>
      <c r="B385" t="s">
        <v>128</v>
      </c>
      <c r="C385">
        <v>405</v>
      </c>
      <c r="D385">
        <v>44675</v>
      </c>
      <c r="E385" t="s">
        <v>1020</v>
      </c>
      <c r="F385" t="s">
        <v>25</v>
      </c>
      <c r="G385" t="s">
        <v>452</v>
      </c>
      <c r="H385" t="s">
        <v>5</v>
      </c>
      <c r="I385" t="s">
        <v>91</v>
      </c>
      <c r="J385">
        <v>6</v>
      </c>
      <c r="K385">
        <v>0.03</v>
      </c>
      <c r="L385">
        <v>1</v>
      </c>
      <c r="M385">
        <v>1</v>
      </c>
      <c r="N385">
        <v>1</v>
      </c>
      <c r="O385">
        <v>100</v>
      </c>
      <c r="P385" t="b">
        <f t="shared" si="5"/>
        <v>0</v>
      </c>
    </row>
    <row r="386" spans="1:16" x14ac:dyDescent="0.2">
      <c r="A386" t="s">
        <v>127</v>
      </c>
      <c r="B386" t="s">
        <v>128</v>
      </c>
      <c r="C386">
        <v>406</v>
      </c>
      <c r="D386">
        <v>130775</v>
      </c>
      <c r="E386" t="s">
        <v>221</v>
      </c>
      <c r="F386" t="s">
        <v>66</v>
      </c>
      <c r="G386" t="s">
        <v>10</v>
      </c>
      <c r="H386" t="s">
        <v>5</v>
      </c>
      <c r="I386" t="s">
        <v>95</v>
      </c>
      <c r="J386">
        <v>20</v>
      </c>
      <c r="K386">
        <v>0.03</v>
      </c>
      <c r="L386">
        <v>1</v>
      </c>
      <c r="M386">
        <v>1</v>
      </c>
      <c r="N386">
        <v>1</v>
      </c>
      <c r="O386">
        <v>100</v>
      </c>
      <c r="P386" t="b">
        <f t="shared" si="5"/>
        <v>0</v>
      </c>
    </row>
    <row r="387" spans="1:16" x14ac:dyDescent="0.2">
      <c r="A387" t="s">
        <v>127</v>
      </c>
      <c r="B387" t="s">
        <v>128</v>
      </c>
      <c r="C387">
        <v>407</v>
      </c>
      <c r="D387">
        <v>59177</v>
      </c>
      <c r="E387" t="s">
        <v>230</v>
      </c>
      <c r="F387" t="s">
        <v>22</v>
      </c>
      <c r="G387" t="s">
        <v>452</v>
      </c>
      <c r="H387" t="s">
        <v>12</v>
      </c>
      <c r="I387" t="s">
        <v>91</v>
      </c>
      <c r="J387">
        <v>8</v>
      </c>
      <c r="K387">
        <v>0.03</v>
      </c>
      <c r="L387">
        <v>1</v>
      </c>
      <c r="M387">
        <v>1</v>
      </c>
      <c r="N387">
        <v>1</v>
      </c>
      <c r="O387">
        <v>100</v>
      </c>
      <c r="P387" t="b">
        <f t="shared" ref="P387:P450" si="6">AND(C387&lt;$Q$1,IF(ISBLANK(C387),0,C387)&gt;0)</f>
        <v>0</v>
      </c>
    </row>
    <row r="388" spans="1:16" x14ac:dyDescent="0.2">
      <c r="A388" t="s">
        <v>127</v>
      </c>
      <c r="B388" t="s">
        <v>128</v>
      </c>
      <c r="C388">
        <v>408</v>
      </c>
      <c r="D388">
        <v>129481</v>
      </c>
      <c r="E388" t="s">
        <v>235</v>
      </c>
      <c r="F388" t="s">
        <v>69</v>
      </c>
      <c r="G388" t="s">
        <v>10</v>
      </c>
      <c r="H388" t="s">
        <v>12</v>
      </c>
      <c r="I388" t="s">
        <v>91</v>
      </c>
      <c r="J388">
        <v>22</v>
      </c>
      <c r="K388">
        <v>0.03</v>
      </c>
      <c r="L388">
        <v>1</v>
      </c>
      <c r="M388">
        <v>1</v>
      </c>
      <c r="N388">
        <v>1</v>
      </c>
      <c r="O388">
        <v>100</v>
      </c>
      <c r="P388" t="b">
        <f t="shared" si="6"/>
        <v>0</v>
      </c>
    </row>
    <row r="389" spans="1:16" x14ac:dyDescent="0.2">
      <c r="A389" t="s">
        <v>127</v>
      </c>
      <c r="B389" t="s">
        <v>128</v>
      </c>
      <c r="C389">
        <v>409</v>
      </c>
      <c r="D389">
        <v>132278</v>
      </c>
      <c r="E389" t="s">
        <v>803</v>
      </c>
      <c r="F389" t="s">
        <v>9</v>
      </c>
      <c r="G389" t="s">
        <v>452</v>
      </c>
      <c r="H389" t="s">
        <v>8</v>
      </c>
      <c r="I389" t="s">
        <v>131</v>
      </c>
      <c r="J389">
        <v>28</v>
      </c>
      <c r="K389">
        <v>0.03</v>
      </c>
      <c r="L389">
        <v>1</v>
      </c>
      <c r="M389">
        <v>1</v>
      </c>
      <c r="N389">
        <v>1</v>
      </c>
      <c r="O389">
        <v>100</v>
      </c>
      <c r="P389" t="b">
        <f t="shared" si="6"/>
        <v>0</v>
      </c>
    </row>
    <row r="390" spans="1:16" x14ac:dyDescent="0.2">
      <c r="A390" t="s">
        <v>127</v>
      </c>
      <c r="B390" t="s">
        <v>128</v>
      </c>
      <c r="C390">
        <v>410</v>
      </c>
      <c r="D390">
        <v>130647</v>
      </c>
      <c r="E390" t="s">
        <v>565</v>
      </c>
      <c r="F390" t="s">
        <v>70</v>
      </c>
      <c r="G390" t="s">
        <v>10</v>
      </c>
      <c r="H390" t="s">
        <v>8</v>
      </c>
      <c r="I390" t="s">
        <v>91</v>
      </c>
      <c r="J390">
        <v>54</v>
      </c>
      <c r="K390">
        <v>0.03</v>
      </c>
      <c r="L390">
        <v>1</v>
      </c>
      <c r="M390">
        <v>1</v>
      </c>
      <c r="N390">
        <v>1</v>
      </c>
      <c r="O390">
        <v>100</v>
      </c>
      <c r="P390" t="b">
        <f t="shared" si="6"/>
        <v>0</v>
      </c>
    </row>
    <row r="391" spans="1:16" x14ac:dyDescent="0.2">
      <c r="A391" t="s">
        <v>127</v>
      </c>
      <c r="B391" t="s">
        <v>128</v>
      </c>
      <c r="C391">
        <v>411</v>
      </c>
      <c r="D391">
        <v>53781</v>
      </c>
      <c r="E391" t="s">
        <v>993</v>
      </c>
      <c r="F391" t="s">
        <v>24</v>
      </c>
      <c r="G391" t="s">
        <v>452</v>
      </c>
      <c r="H391" t="s">
        <v>5</v>
      </c>
      <c r="I391" t="s">
        <v>95</v>
      </c>
      <c r="J391">
        <v>6</v>
      </c>
      <c r="K391">
        <v>0.03</v>
      </c>
      <c r="L391">
        <v>1</v>
      </c>
      <c r="M391">
        <v>1</v>
      </c>
      <c r="N391">
        <v>1</v>
      </c>
      <c r="O391">
        <v>100</v>
      </c>
      <c r="P391" t="b">
        <f t="shared" si="6"/>
        <v>0</v>
      </c>
    </row>
    <row r="392" spans="1:16" x14ac:dyDescent="0.2">
      <c r="A392" t="s">
        <v>127</v>
      </c>
      <c r="B392" t="s">
        <v>128</v>
      </c>
      <c r="C392">
        <v>412</v>
      </c>
      <c r="D392">
        <v>130249</v>
      </c>
      <c r="E392" t="s">
        <v>216</v>
      </c>
      <c r="F392" t="s">
        <v>68</v>
      </c>
      <c r="G392" t="s">
        <v>10</v>
      </c>
      <c r="H392" t="s">
        <v>5</v>
      </c>
      <c r="I392" t="s">
        <v>91</v>
      </c>
      <c r="J392">
        <v>18</v>
      </c>
      <c r="K392">
        <v>0.03</v>
      </c>
      <c r="L392">
        <v>1</v>
      </c>
      <c r="M392">
        <v>1</v>
      </c>
      <c r="N392">
        <v>1</v>
      </c>
      <c r="O392">
        <v>100</v>
      </c>
      <c r="P392" t="b">
        <f t="shared" si="6"/>
        <v>0</v>
      </c>
    </row>
    <row r="393" spans="1:16" x14ac:dyDescent="0.2">
      <c r="A393" t="s">
        <v>127</v>
      </c>
      <c r="B393" t="s">
        <v>128</v>
      </c>
      <c r="C393">
        <v>413</v>
      </c>
      <c r="D393">
        <v>32209</v>
      </c>
      <c r="E393" t="s">
        <v>1041</v>
      </c>
      <c r="F393" t="s">
        <v>46</v>
      </c>
      <c r="G393" t="s">
        <v>452</v>
      </c>
      <c r="H393" t="s">
        <v>12</v>
      </c>
      <c r="I393" t="s">
        <v>95</v>
      </c>
      <c r="J393">
        <v>8</v>
      </c>
      <c r="K393">
        <v>0.03</v>
      </c>
      <c r="L393">
        <v>1</v>
      </c>
      <c r="M393">
        <v>1</v>
      </c>
      <c r="N393">
        <v>1</v>
      </c>
      <c r="O393">
        <v>100</v>
      </c>
      <c r="P393" t="b">
        <f t="shared" si="6"/>
        <v>0</v>
      </c>
    </row>
    <row r="394" spans="1:16" x14ac:dyDescent="0.2">
      <c r="A394" t="s">
        <v>127</v>
      </c>
      <c r="B394" t="s">
        <v>128</v>
      </c>
      <c r="C394">
        <v>414</v>
      </c>
      <c r="D394">
        <v>129569</v>
      </c>
      <c r="E394" t="s">
        <v>734</v>
      </c>
      <c r="F394" t="s">
        <v>67</v>
      </c>
      <c r="G394" t="s">
        <v>10</v>
      </c>
      <c r="H394" t="s">
        <v>12</v>
      </c>
      <c r="I394" t="s">
        <v>91</v>
      </c>
      <c r="J394">
        <v>24</v>
      </c>
      <c r="K394">
        <v>0.03</v>
      </c>
      <c r="L394">
        <v>1</v>
      </c>
      <c r="M394">
        <v>1</v>
      </c>
      <c r="N394">
        <v>1</v>
      </c>
      <c r="O394">
        <v>100</v>
      </c>
      <c r="P394" t="b">
        <f t="shared" si="6"/>
        <v>0</v>
      </c>
    </row>
    <row r="395" spans="1:16" x14ac:dyDescent="0.2">
      <c r="A395" t="s">
        <v>127</v>
      </c>
      <c r="B395" t="s">
        <v>128</v>
      </c>
      <c r="C395">
        <v>415</v>
      </c>
      <c r="D395">
        <v>31896</v>
      </c>
      <c r="E395" t="s">
        <v>1095</v>
      </c>
      <c r="F395" t="s">
        <v>34</v>
      </c>
      <c r="G395" t="s">
        <v>452</v>
      </c>
      <c r="H395" t="s">
        <v>8</v>
      </c>
      <c r="I395" t="s">
        <v>91</v>
      </c>
      <c r="J395">
        <v>12</v>
      </c>
      <c r="K395">
        <v>0.03</v>
      </c>
      <c r="L395">
        <v>1</v>
      </c>
      <c r="M395">
        <v>1</v>
      </c>
      <c r="N395">
        <v>1</v>
      </c>
      <c r="O395">
        <v>100</v>
      </c>
      <c r="P395" t="b">
        <f t="shared" si="6"/>
        <v>0</v>
      </c>
    </row>
    <row r="396" spans="1:16" x14ac:dyDescent="0.2">
      <c r="A396" t="s">
        <v>127</v>
      </c>
      <c r="B396" t="s">
        <v>128</v>
      </c>
      <c r="C396">
        <v>416</v>
      </c>
      <c r="D396">
        <v>130021</v>
      </c>
      <c r="E396" t="s">
        <v>678</v>
      </c>
      <c r="F396" t="s">
        <v>70</v>
      </c>
      <c r="G396" t="s">
        <v>10</v>
      </c>
      <c r="H396" t="s">
        <v>8</v>
      </c>
      <c r="I396" t="s">
        <v>91</v>
      </c>
      <c r="J396">
        <v>55</v>
      </c>
      <c r="K396">
        <v>0.03</v>
      </c>
      <c r="L396">
        <v>1</v>
      </c>
      <c r="M396">
        <v>1</v>
      </c>
      <c r="N396">
        <v>1</v>
      </c>
      <c r="O396">
        <v>100</v>
      </c>
      <c r="P396" t="b">
        <f t="shared" si="6"/>
        <v>0</v>
      </c>
    </row>
    <row r="397" spans="1:16" x14ac:dyDescent="0.2">
      <c r="A397" t="s">
        <v>127</v>
      </c>
      <c r="B397" t="s">
        <v>128</v>
      </c>
      <c r="C397">
        <v>417</v>
      </c>
      <c r="D397">
        <v>85670</v>
      </c>
      <c r="E397" t="s">
        <v>201</v>
      </c>
      <c r="F397" t="s">
        <v>37</v>
      </c>
      <c r="G397" t="s">
        <v>452</v>
      </c>
      <c r="H397" t="s">
        <v>5</v>
      </c>
      <c r="I397" t="s">
        <v>95</v>
      </c>
      <c r="J397">
        <v>8</v>
      </c>
      <c r="K397">
        <v>0.03</v>
      </c>
      <c r="L397">
        <v>1</v>
      </c>
      <c r="M397">
        <v>1</v>
      </c>
      <c r="N397">
        <v>1</v>
      </c>
      <c r="O397">
        <v>100</v>
      </c>
      <c r="P397" t="b">
        <f t="shared" si="6"/>
        <v>0</v>
      </c>
    </row>
    <row r="398" spans="1:16" x14ac:dyDescent="0.2">
      <c r="A398" t="s">
        <v>127</v>
      </c>
      <c r="B398" t="s">
        <v>128</v>
      </c>
      <c r="C398">
        <v>418</v>
      </c>
      <c r="D398">
        <v>129507</v>
      </c>
      <c r="E398" t="s">
        <v>243</v>
      </c>
      <c r="F398" t="s">
        <v>65</v>
      </c>
      <c r="G398" t="s">
        <v>10</v>
      </c>
      <c r="H398" t="s">
        <v>5</v>
      </c>
      <c r="I398" t="s">
        <v>91</v>
      </c>
      <c r="J398">
        <v>27</v>
      </c>
      <c r="K398">
        <v>0.03</v>
      </c>
      <c r="L398">
        <v>1</v>
      </c>
      <c r="M398">
        <v>1</v>
      </c>
      <c r="N398">
        <v>1</v>
      </c>
      <c r="O398">
        <v>100</v>
      </c>
      <c r="P398" t="b">
        <f t="shared" si="6"/>
        <v>0</v>
      </c>
    </row>
    <row r="399" spans="1:16" x14ac:dyDescent="0.2">
      <c r="A399" t="s">
        <v>127</v>
      </c>
      <c r="B399" t="s">
        <v>128</v>
      </c>
      <c r="C399">
        <v>419</v>
      </c>
      <c r="D399">
        <v>62476</v>
      </c>
      <c r="E399" t="s">
        <v>973</v>
      </c>
      <c r="F399" t="s">
        <v>35</v>
      </c>
      <c r="G399" t="s">
        <v>452</v>
      </c>
      <c r="H399" t="s">
        <v>12</v>
      </c>
      <c r="I399" t="s">
        <v>91</v>
      </c>
      <c r="J399">
        <v>10</v>
      </c>
      <c r="K399">
        <v>0.03</v>
      </c>
      <c r="L399">
        <v>1</v>
      </c>
      <c r="M399">
        <v>1</v>
      </c>
      <c r="N399">
        <v>1</v>
      </c>
      <c r="O399">
        <v>100</v>
      </c>
      <c r="P399" t="b">
        <f t="shared" si="6"/>
        <v>0</v>
      </c>
    </row>
    <row r="400" spans="1:16" x14ac:dyDescent="0.2">
      <c r="A400" t="s">
        <v>127</v>
      </c>
      <c r="B400" t="s">
        <v>128</v>
      </c>
      <c r="C400">
        <v>420</v>
      </c>
      <c r="D400">
        <v>129483</v>
      </c>
      <c r="E400" t="s">
        <v>766</v>
      </c>
      <c r="F400" t="s">
        <v>69</v>
      </c>
      <c r="G400" t="s">
        <v>10</v>
      </c>
      <c r="H400" t="s">
        <v>12</v>
      </c>
      <c r="I400" t="s">
        <v>91</v>
      </c>
      <c r="J400">
        <v>23</v>
      </c>
      <c r="K400">
        <v>0.03</v>
      </c>
      <c r="L400">
        <v>1</v>
      </c>
      <c r="M400">
        <v>1</v>
      </c>
      <c r="N400">
        <v>1</v>
      </c>
      <c r="O400">
        <v>100</v>
      </c>
      <c r="P400" t="b">
        <f t="shared" si="6"/>
        <v>0</v>
      </c>
    </row>
    <row r="401" spans="1:16" x14ac:dyDescent="0.2">
      <c r="A401" t="s">
        <v>127</v>
      </c>
      <c r="B401" t="s">
        <v>128</v>
      </c>
      <c r="C401">
        <v>421</v>
      </c>
      <c r="D401">
        <v>100104</v>
      </c>
      <c r="E401" t="s">
        <v>893</v>
      </c>
      <c r="F401" t="s">
        <v>58</v>
      </c>
      <c r="G401" t="s">
        <v>452</v>
      </c>
      <c r="H401" t="s">
        <v>8</v>
      </c>
      <c r="I401" t="s">
        <v>91</v>
      </c>
      <c r="J401">
        <v>11</v>
      </c>
      <c r="K401">
        <v>0.03</v>
      </c>
      <c r="L401">
        <v>1</v>
      </c>
      <c r="M401">
        <v>1</v>
      </c>
      <c r="N401">
        <v>1</v>
      </c>
      <c r="O401">
        <v>100</v>
      </c>
      <c r="P401" t="b">
        <f t="shared" si="6"/>
        <v>0</v>
      </c>
    </row>
    <row r="402" spans="1:16" x14ac:dyDescent="0.2">
      <c r="A402" t="s">
        <v>127</v>
      </c>
      <c r="B402" t="s">
        <v>128</v>
      </c>
      <c r="C402">
        <v>422</v>
      </c>
      <c r="D402">
        <v>130662</v>
      </c>
      <c r="E402" t="s">
        <v>562</v>
      </c>
      <c r="F402" t="s">
        <v>70</v>
      </c>
      <c r="G402" t="s">
        <v>10</v>
      </c>
      <c r="H402" t="s">
        <v>8</v>
      </c>
      <c r="I402" t="s">
        <v>95</v>
      </c>
      <c r="J402">
        <v>56</v>
      </c>
      <c r="K402">
        <v>0.03</v>
      </c>
      <c r="L402">
        <v>1</v>
      </c>
      <c r="M402">
        <v>1</v>
      </c>
      <c r="N402">
        <v>1</v>
      </c>
      <c r="O402">
        <v>100</v>
      </c>
      <c r="P402" t="b">
        <f t="shared" si="6"/>
        <v>0</v>
      </c>
    </row>
    <row r="403" spans="1:16" x14ac:dyDescent="0.2">
      <c r="A403" t="s">
        <v>127</v>
      </c>
      <c r="B403" t="s">
        <v>128</v>
      </c>
      <c r="C403">
        <v>423</v>
      </c>
      <c r="D403">
        <v>31655</v>
      </c>
      <c r="E403" t="s">
        <v>1130</v>
      </c>
      <c r="F403" t="s">
        <v>38</v>
      </c>
      <c r="G403" t="s">
        <v>452</v>
      </c>
      <c r="H403" t="s">
        <v>5</v>
      </c>
      <c r="I403" t="s">
        <v>91</v>
      </c>
      <c r="J403">
        <v>7</v>
      </c>
      <c r="K403">
        <v>0.03</v>
      </c>
      <c r="L403">
        <v>1</v>
      </c>
      <c r="M403">
        <v>1</v>
      </c>
      <c r="N403">
        <v>1</v>
      </c>
      <c r="O403">
        <v>100</v>
      </c>
      <c r="P403" t="b">
        <f t="shared" si="6"/>
        <v>0</v>
      </c>
    </row>
    <row r="404" spans="1:16" x14ac:dyDescent="0.2">
      <c r="A404" t="s">
        <v>127</v>
      </c>
      <c r="B404" t="s">
        <v>128</v>
      </c>
      <c r="C404">
        <v>424</v>
      </c>
      <c r="D404">
        <v>129729</v>
      </c>
      <c r="E404" t="s">
        <v>708</v>
      </c>
      <c r="F404" t="s">
        <v>66</v>
      </c>
      <c r="G404" t="s">
        <v>10</v>
      </c>
      <c r="H404" t="s">
        <v>5</v>
      </c>
      <c r="I404" t="s">
        <v>91</v>
      </c>
      <c r="J404">
        <v>21</v>
      </c>
      <c r="K404">
        <v>0.03</v>
      </c>
      <c r="L404">
        <v>1</v>
      </c>
      <c r="M404">
        <v>1</v>
      </c>
      <c r="N404">
        <v>1</v>
      </c>
      <c r="O404">
        <v>100</v>
      </c>
      <c r="P404" t="b">
        <f t="shared" si="6"/>
        <v>0</v>
      </c>
    </row>
    <row r="405" spans="1:16" x14ac:dyDescent="0.2">
      <c r="A405" t="s">
        <v>127</v>
      </c>
      <c r="B405" t="s">
        <v>128</v>
      </c>
      <c r="C405">
        <v>425</v>
      </c>
      <c r="D405">
        <v>32005</v>
      </c>
      <c r="E405" t="s">
        <v>152</v>
      </c>
      <c r="F405" t="s">
        <v>98</v>
      </c>
      <c r="G405" t="s">
        <v>452</v>
      </c>
      <c r="H405" t="s">
        <v>12</v>
      </c>
      <c r="I405" t="s">
        <v>95</v>
      </c>
      <c r="J405">
        <v>8</v>
      </c>
      <c r="K405">
        <v>0.03</v>
      </c>
      <c r="L405">
        <v>1</v>
      </c>
      <c r="M405">
        <v>1</v>
      </c>
      <c r="N405">
        <v>1</v>
      </c>
      <c r="O405">
        <v>100</v>
      </c>
      <c r="P405" t="b">
        <f t="shared" si="6"/>
        <v>0</v>
      </c>
    </row>
    <row r="406" spans="1:16" x14ac:dyDescent="0.2">
      <c r="A406" t="s">
        <v>127</v>
      </c>
      <c r="B406" t="s">
        <v>128</v>
      </c>
      <c r="C406">
        <v>426</v>
      </c>
      <c r="D406">
        <v>129506</v>
      </c>
      <c r="E406" t="s">
        <v>238</v>
      </c>
      <c r="F406" t="s">
        <v>67</v>
      </c>
      <c r="G406" t="s">
        <v>10</v>
      </c>
      <c r="H406" t="s">
        <v>12</v>
      </c>
      <c r="I406" t="s">
        <v>95</v>
      </c>
      <c r="J406">
        <v>25</v>
      </c>
      <c r="K406">
        <v>0.03</v>
      </c>
      <c r="L406">
        <v>1</v>
      </c>
      <c r="M406">
        <v>1</v>
      </c>
      <c r="N406">
        <v>1</v>
      </c>
      <c r="O406">
        <v>100</v>
      </c>
      <c r="P406" t="b">
        <f t="shared" si="6"/>
        <v>0</v>
      </c>
    </row>
    <row r="407" spans="1:16" x14ac:dyDescent="0.2">
      <c r="A407" t="s">
        <v>127</v>
      </c>
      <c r="B407" t="s">
        <v>128</v>
      </c>
      <c r="C407">
        <v>427</v>
      </c>
      <c r="D407">
        <v>127619</v>
      </c>
      <c r="E407" t="s">
        <v>304</v>
      </c>
      <c r="F407" t="s">
        <v>9</v>
      </c>
      <c r="G407" t="s">
        <v>452</v>
      </c>
      <c r="H407" t="s">
        <v>8</v>
      </c>
      <c r="I407" t="s">
        <v>95</v>
      </c>
      <c r="J407">
        <v>29</v>
      </c>
      <c r="K407">
        <v>0.03</v>
      </c>
      <c r="L407">
        <v>1</v>
      </c>
      <c r="M407">
        <v>1</v>
      </c>
      <c r="N407">
        <v>1</v>
      </c>
      <c r="O407">
        <v>100</v>
      </c>
      <c r="P407" t="b">
        <f t="shared" si="6"/>
        <v>0</v>
      </c>
    </row>
    <row r="408" spans="1:16" x14ac:dyDescent="0.2">
      <c r="A408" t="s">
        <v>127</v>
      </c>
      <c r="B408" t="s">
        <v>128</v>
      </c>
      <c r="C408">
        <v>428</v>
      </c>
      <c r="D408">
        <v>130843</v>
      </c>
      <c r="E408" t="s">
        <v>530</v>
      </c>
      <c r="F408" t="s">
        <v>70</v>
      </c>
      <c r="G408" t="s">
        <v>10</v>
      </c>
      <c r="H408" t="s">
        <v>8</v>
      </c>
      <c r="I408" t="s">
        <v>91</v>
      </c>
      <c r="J408">
        <v>57</v>
      </c>
      <c r="K408">
        <v>0.03</v>
      </c>
      <c r="L408">
        <v>1</v>
      </c>
      <c r="M408">
        <v>1</v>
      </c>
      <c r="N408">
        <v>1</v>
      </c>
      <c r="O408">
        <v>100</v>
      </c>
      <c r="P408" t="b">
        <f t="shared" si="6"/>
        <v>0</v>
      </c>
    </row>
    <row r="409" spans="1:16" x14ac:dyDescent="0.2">
      <c r="A409" t="s">
        <v>127</v>
      </c>
      <c r="B409" t="s">
        <v>128</v>
      </c>
      <c r="C409">
        <v>429</v>
      </c>
      <c r="D409">
        <v>134997</v>
      </c>
      <c r="E409" t="s">
        <v>796</v>
      </c>
      <c r="F409" t="s">
        <v>21</v>
      </c>
      <c r="G409" t="s">
        <v>452</v>
      </c>
      <c r="H409" t="s">
        <v>5</v>
      </c>
      <c r="I409" t="s">
        <v>95</v>
      </c>
      <c r="J409">
        <v>11</v>
      </c>
      <c r="K409">
        <v>0.03</v>
      </c>
      <c r="L409">
        <v>1</v>
      </c>
      <c r="M409">
        <v>1</v>
      </c>
      <c r="N409">
        <v>1</v>
      </c>
      <c r="O409">
        <v>100</v>
      </c>
      <c r="P409" t="b">
        <f t="shared" si="6"/>
        <v>0</v>
      </c>
    </row>
    <row r="410" spans="1:16" x14ac:dyDescent="0.2">
      <c r="A410" t="s">
        <v>127</v>
      </c>
      <c r="B410" t="s">
        <v>128</v>
      </c>
      <c r="C410">
        <v>430</v>
      </c>
      <c r="D410">
        <v>130201</v>
      </c>
      <c r="E410" t="s">
        <v>645</v>
      </c>
      <c r="F410" t="s">
        <v>68</v>
      </c>
      <c r="G410" t="s">
        <v>10</v>
      </c>
      <c r="H410" t="s">
        <v>5</v>
      </c>
      <c r="I410" t="s">
        <v>91</v>
      </c>
      <c r="J410">
        <v>19</v>
      </c>
      <c r="K410">
        <v>0.03</v>
      </c>
      <c r="L410">
        <v>1</v>
      </c>
      <c r="M410">
        <v>1</v>
      </c>
      <c r="N410">
        <v>1</v>
      </c>
      <c r="O410">
        <v>100</v>
      </c>
      <c r="P410" t="b">
        <f t="shared" si="6"/>
        <v>0</v>
      </c>
    </row>
    <row r="411" spans="1:16" x14ac:dyDescent="0.2">
      <c r="A411" t="s">
        <v>127</v>
      </c>
      <c r="B411" t="s">
        <v>128</v>
      </c>
      <c r="C411">
        <v>431</v>
      </c>
      <c r="D411">
        <v>124133</v>
      </c>
      <c r="E411" t="s">
        <v>237</v>
      </c>
      <c r="F411" t="s">
        <v>22</v>
      </c>
      <c r="G411" t="s">
        <v>452</v>
      </c>
      <c r="H411" t="s">
        <v>12</v>
      </c>
      <c r="I411" t="s">
        <v>91</v>
      </c>
      <c r="J411">
        <v>9</v>
      </c>
      <c r="K411">
        <v>0.03</v>
      </c>
      <c r="L411">
        <v>1</v>
      </c>
      <c r="M411">
        <v>1</v>
      </c>
      <c r="N411">
        <v>1</v>
      </c>
      <c r="O411">
        <v>100</v>
      </c>
      <c r="P411" t="b">
        <f t="shared" si="6"/>
        <v>0</v>
      </c>
    </row>
    <row r="412" spans="1:16" x14ac:dyDescent="0.2">
      <c r="A412" t="s">
        <v>127</v>
      </c>
      <c r="B412" t="s">
        <v>128</v>
      </c>
      <c r="C412">
        <v>432</v>
      </c>
      <c r="D412">
        <v>130367</v>
      </c>
      <c r="E412" t="s">
        <v>617</v>
      </c>
      <c r="F412" t="s">
        <v>69</v>
      </c>
      <c r="G412" t="s">
        <v>10</v>
      </c>
      <c r="H412" t="s">
        <v>12</v>
      </c>
      <c r="I412" t="s">
        <v>91</v>
      </c>
      <c r="J412">
        <v>24</v>
      </c>
      <c r="K412">
        <v>0.03</v>
      </c>
      <c r="L412">
        <v>1</v>
      </c>
      <c r="M412">
        <v>1</v>
      </c>
      <c r="N412">
        <v>1</v>
      </c>
      <c r="O412">
        <v>100</v>
      </c>
      <c r="P412" t="b">
        <f t="shared" si="6"/>
        <v>0</v>
      </c>
    </row>
    <row r="413" spans="1:16" x14ac:dyDescent="0.2">
      <c r="A413" t="s">
        <v>127</v>
      </c>
      <c r="B413" t="s">
        <v>128</v>
      </c>
      <c r="C413">
        <v>433</v>
      </c>
      <c r="D413">
        <v>125693</v>
      </c>
      <c r="E413" t="s">
        <v>309</v>
      </c>
      <c r="F413" t="s">
        <v>9</v>
      </c>
      <c r="G413" t="s">
        <v>452</v>
      </c>
      <c r="H413" t="s">
        <v>8</v>
      </c>
      <c r="I413" t="s">
        <v>94</v>
      </c>
      <c r="J413">
        <v>31</v>
      </c>
      <c r="K413">
        <v>11</v>
      </c>
      <c r="L413">
        <v>3</v>
      </c>
      <c r="M413">
        <v>4</v>
      </c>
      <c r="N413">
        <v>4</v>
      </c>
      <c r="O413">
        <v>1</v>
      </c>
      <c r="P413" t="b">
        <f t="shared" si="6"/>
        <v>0</v>
      </c>
    </row>
    <row r="414" spans="1:16" x14ac:dyDescent="0.2">
      <c r="A414" t="s">
        <v>127</v>
      </c>
      <c r="B414" t="s">
        <v>128</v>
      </c>
      <c r="C414">
        <v>434</v>
      </c>
      <c r="D414">
        <v>130853</v>
      </c>
      <c r="E414" t="s">
        <v>528</v>
      </c>
      <c r="F414" t="s">
        <v>70</v>
      </c>
      <c r="G414" t="s">
        <v>10</v>
      </c>
      <c r="H414" t="s">
        <v>8</v>
      </c>
      <c r="I414" t="s">
        <v>91</v>
      </c>
      <c r="J414">
        <v>58</v>
      </c>
      <c r="K414">
        <v>0.03</v>
      </c>
      <c r="L414">
        <v>1</v>
      </c>
      <c r="M414">
        <v>1</v>
      </c>
      <c r="N414">
        <v>1</v>
      </c>
      <c r="O414">
        <v>100</v>
      </c>
      <c r="P414" t="b">
        <f t="shared" si="6"/>
        <v>0</v>
      </c>
    </row>
    <row r="415" spans="1:16" x14ac:dyDescent="0.2">
      <c r="A415" t="s">
        <v>127</v>
      </c>
      <c r="B415" t="s">
        <v>128</v>
      </c>
      <c r="C415">
        <v>435</v>
      </c>
      <c r="D415">
        <v>123004</v>
      </c>
      <c r="E415" t="s">
        <v>867</v>
      </c>
      <c r="F415" t="s">
        <v>23</v>
      </c>
      <c r="G415" t="s">
        <v>452</v>
      </c>
      <c r="H415" t="s">
        <v>5</v>
      </c>
      <c r="I415" t="s">
        <v>91</v>
      </c>
      <c r="J415">
        <v>12</v>
      </c>
      <c r="K415">
        <v>0.03</v>
      </c>
      <c r="L415">
        <v>1</v>
      </c>
      <c r="M415">
        <v>1</v>
      </c>
      <c r="N415">
        <v>1</v>
      </c>
      <c r="O415">
        <v>100</v>
      </c>
      <c r="P415" t="b">
        <f t="shared" si="6"/>
        <v>0</v>
      </c>
    </row>
    <row r="416" spans="1:16" x14ac:dyDescent="0.2">
      <c r="A416" t="s">
        <v>127</v>
      </c>
      <c r="B416" t="s">
        <v>128</v>
      </c>
      <c r="C416">
        <v>436</v>
      </c>
      <c r="D416">
        <v>130341</v>
      </c>
      <c r="E416" t="s">
        <v>625</v>
      </c>
      <c r="F416" t="s">
        <v>65</v>
      </c>
      <c r="G416" t="s">
        <v>10</v>
      </c>
      <c r="H416" t="s">
        <v>5</v>
      </c>
      <c r="I416" t="s">
        <v>95</v>
      </c>
      <c r="J416">
        <v>28</v>
      </c>
      <c r="K416">
        <v>0.03</v>
      </c>
      <c r="L416">
        <v>1</v>
      </c>
      <c r="M416">
        <v>1</v>
      </c>
      <c r="N416">
        <v>1</v>
      </c>
      <c r="O416">
        <v>100</v>
      </c>
      <c r="P416" t="b">
        <f t="shared" si="6"/>
        <v>0</v>
      </c>
    </row>
    <row r="417" spans="1:16" x14ac:dyDescent="0.2">
      <c r="A417" t="s">
        <v>127</v>
      </c>
      <c r="B417" t="s">
        <v>128</v>
      </c>
      <c r="C417">
        <v>437</v>
      </c>
      <c r="D417">
        <v>31661</v>
      </c>
      <c r="E417" t="s">
        <v>1128</v>
      </c>
      <c r="F417" t="s">
        <v>46</v>
      </c>
      <c r="G417" t="s">
        <v>452</v>
      </c>
      <c r="H417" t="s">
        <v>12</v>
      </c>
      <c r="I417" t="s">
        <v>95</v>
      </c>
      <c r="J417">
        <v>9</v>
      </c>
      <c r="K417">
        <v>0.03</v>
      </c>
      <c r="L417">
        <v>1</v>
      </c>
      <c r="M417">
        <v>1</v>
      </c>
      <c r="N417">
        <v>1</v>
      </c>
      <c r="O417">
        <v>100</v>
      </c>
      <c r="P417" t="b">
        <f t="shared" si="6"/>
        <v>0</v>
      </c>
    </row>
    <row r="418" spans="1:16" x14ac:dyDescent="0.2">
      <c r="A418" t="s">
        <v>127</v>
      </c>
      <c r="B418" t="s">
        <v>128</v>
      </c>
      <c r="C418">
        <v>438</v>
      </c>
      <c r="D418">
        <v>130331</v>
      </c>
      <c r="E418" t="s">
        <v>627</v>
      </c>
      <c r="F418" t="s">
        <v>67</v>
      </c>
      <c r="G418" t="s">
        <v>10</v>
      </c>
      <c r="H418" t="s">
        <v>12</v>
      </c>
      <c r="I418" t="s">
        <v>91</v>
      </c>
      <c r="J418">
        <v>27</v>
      </c>
      <c r="K418">
        <v>0.03</v>
      </c>
      <c r="L418">
        <v>1</v>
      </c>
      <c r="M418">
        <v>1</v>
      </c>
      <c r="N418">
        <v>1</v>
      </c>
      <c r="O418">
        <v>100</v>
      </c>
      <c r="P418" t="b">
        <f t="shared" si="6"/>
        <v>0</v>
      </c>
    </row>
    <row r="419" spans="1:16" x14ac:dyDescent="0.2">
      <c r="A419" t="s">
        <v>127</v>
      </c>
      <c r="B419" t="s">
        <v>128</v>
      </c>
      <c r="C419">
        <v>439</v>
      </c>
      <c r="D419">
        <v>127626</v>
      </c>
      <c r="E419" t="s">
        <v>311</v>
      </c>
      <c r="F419" t="s">
        <v>9</v>
      </c>
      <c r="G419" t="s">
        <v>452</v>
      </c>
      <c r="H419" t="s">
        <v>8</v>
      </c>
      <c r="I419" t="s">
        <v>91</v>
      </c>
      <c r="J419">
        <v>34</v>
      </c>
      <c r="K419">
        <v>0.03</v>
      </c>
      <c r="L419">
        <v>1</v>
      </c>
      <c r="M419">
        <v>1</v>
      </c>
      <c r="N419">
        <v>1</v>
      </c>
      <c r="O419">
        <v>100</v>
      </c>
      <c r="P419" t="b">
        <f t="shared" si="6"/>
        <v>0</v>
      </c>
    </row>
    <row r="420" spans="1:16" x14ac:dyDescent="0.2">
      <c r="A420" t="s">
        <v>127</v>
      </c>
      <c r="B420" t="s">
        <v>128</v>
      </c>
      <c r="C420">
        <v>440</v>
      </c>
      <c r="D420">
        <v>130967</v>
      </c>
      <c r="E420" t="s">
        <v>513</v>
      </c>
      <c r="F420" t="s">
        <v>70</v>
      </c>
      <c r="G420" t="s">
        <v>10</v>
      </c>
      <c r="H420" t="s">
        <v>8</v>
      </c>
      <c r="I420" t="s">
        <v>95</v>
      </c>
      <c r="J420">
        <v>59</v>
      </c>
      <c r="K420">
        <v>0.03</v>
      </c>
      <c r="L420">
        <v>1</v>
      </c>
      <c r="M420">
        <v>1</v>
      </c>
      <c r="N420">
        <v>1</v>
      </c>
      <c r="O420">
        <v>100</v>
      </c>
      <c r="P420" t="b">
        <f t="shared" si="6"/>
        <v>0</v>
      </c>
    </row>
    <row r="421" spans="1:16" x14ac:dyDescent="0.2">
      <c r="A421" t="s">
        <v>127</v>
      </c>
      <c r="B421" t="s">
        <v>128</v>
      </c>
      <c r="C421">
        <v>441</v>
      </c>
      <c r="D421">
        <v>31927</v>
      </c>
      <c r="E421" t="s">
        <v>1087</v>
      </c>
      <c r="F421" t="s">
        <v>36</v>
      </c>
      <c r="G421" t="s">
        <v>452</v>
      </c>
      <c r="H421" t="s">
        <v>5</v>
      </c>
      <c r="I421" t="s">
        <v>91</v>
      </c>
      <c r="J421">
        <v>11</v>
      </c>
      <c r="K421">
        <v>0.03</v>
      </c>
      <c r="L421">
        <v>1</v>
      </c>
      <c r="M421">
        <v>1</v>
      </c>
      <c r="N421">
        <v>1</v>
      </c>
      <c r="O421">
        <v>100</v>
      </c>
      <c r="P421" t="b">
        <f t="shared" si="6"/>
        <v>0</v>
      </c>
    </row>
    <row r="422" spans="1:16" x14ac:dyDescent="0.2">
      <c r="A422" t="s">
        <v>127</v>
      </c>
      <c r="B422" t="s">
        <v>128</v>
      </c>
      <c r="C422">
        <v>442</v>
      </c>
      <c r="D422">
        <v>129534</v>
      </c>
      <c r="E422" t="s">
        <v>746</v>
      </c>
      <c r="F422" t="s">
        <v>65</v>
      </c>
      <c r="G422" t="s">
        <v>10</v>
      </c>
      <c r="H422" t="s">
        <v>5</v>
      </c>
      <c r="I422" t="s">
        <v>95</v>
      </c>
      <c r="J422">
        <v>30</v>
      </c>
      <c r="K422">
        <v>0.03</v>
      </c>
      <c r="L422">
        <v>1</v>
      </c>
      <c r="M422">
        <v>1</v>
      </c>
      <c r="N422">
        <v>1</v>
      </c>
      <c r="O422">
        <v>100</v>
      </c>
      <c r="P422" t="b">
        <f t="shared" si="6"/>
        <v>0</v>
      </c>
    </row>
    <row r="423" spans="1:16" x14ac:dyDescent="0.2">
      <c r="A423" t="s">
        <v>127</v>
      </c>
      <c r="B423" t="s">
        <v>128</v>
      </c>
      <c r="C423">
        <v>443</v>
      </c>
      <c r="D423">
        <v>32070</v>
      </c>
      <c r="E423" t="s">
        <v>226</v>
      </c>
      <c r="F423" t="s">
        <v>98</v>
      </c>
      <c r="G423" t="s">
        <v>452</v>
      </c>
      <c r="H423" t="s">
        <v>12</v>
      </c>
      <c r="I423" t="s">
        <v>91</v>
      </c>
      <c r="J423">
        <v>9</v>
      </c>
      <c r="K423">
        <v>0.03</v>
      </c>
      <c r="L423">
        <v>1</v>
      </c>
      <c r="M423">
        <v>1</v>
      </c>
      <c r="N423">
        <v>1</v>
      </c>
      <c r="O423">
        <v>100</v>
      </c>
      <c r="P423" t="b">
        <f t="shared" si="6"/>
        <v>0</v>
      </c>
    </row>
    <row r="424" spans="1:16" x14ac:dyDescent="0.2">
      <c r="A424" t="s">
        <v>127</v>
      </c>
      <c r="B424" t="s">
        <v>128</v>
      </c>
      <c r="C424">
        <v>444</v>
      </c>
      <c r="D424">
        <v>129444</v>
      </c>
      <c r="E424" t="s">
        <v>792</v>
      </c>
      <c r="F424" t="s">
        <v>69</v>
      </c>
      <c r="G424" t="s">
        <v>10</v>
      </c>
      <c r="H424" t="s">
        <v>12</v>
      </c>
      <c r="I424" t="s">
        <v>91</v>
      </c>
      <c r="J424">
        <v>25</v>
      </c>
      <c r="K424">
        <v>0.03</v>
      </c>
      <c r="L424">
        <v>1</v>
      </c>
      <c r="M424">
        <v>1</v>
      </c>
      <c r="N424">
        <v>1</v>
      </c>
      <c r="O424">
        <v>100</v>
      </c>
      <c r="P424" t="b">
        <f t="shared" si="6"/>
        <v>0</v>
      </c>
    </row>
    <row r="425" spans="1:16" x14ac:dyDescent="0.2">
      <c r="A425" t="s">
        <v>127</v>
      </c>
      <c r="B425" t="s">
        <v>128</v>
      </c>
      <c r="C425">
        <v>445</v>
      </c>
      <c r="D425">
        <v>70015</v>
      </c>
      <c r="E425" t="s">
        <v>948</v>
      </c>
      <c r="F425" t="s">
        <v>34</v>
      </c>
      <c r="G425" t="s">
        <v>452</v>
      </c>
      <c r="H425" t="s">
        <v>8</v>
      </c>
      <c r="I425" t="s">
        <v>91</v>
      </c>
      <c r="J425">
        <v>13</v>
      </c>
      <c r="K425">
        <v>0.03</v>
      </c>
      <c r="L425">
        <v>1</v>
      </c>
      <c r="M425">
        <v>1</v>
      </c>
      <c r="N425">
        <v>1</v>
      </c>
      <c r="O425">
        <v>100</v>
      </c>
      <c r="P425" t="b">
        <f t="shared" si="6"/>
        <v>0</v>
      </c>
    </row>
    <row r="426" spans="1:16" x14ac:dyDescent="0.2">
      <c r="A426" t="s">
        <v>127</v>
      </c>
      <c r="B426" t="s">
        <v>128</v>
      </c>
      <c r="C426">
        <v>446</v>
      </c>
      <c r="D426">
        <v>130730</v>
      </c>
      <c r="E426" t="s">
        <v>546</v>
      </c>
      <c r="F426" t="s">
        <v>70</v>
      </c>
      <c r="G426" t="s">
        <v>10</v>
      </c>
      <c r="H426" t="s">
        <v>8</v>
      </c>
      <c r="I426" t="s">
        <v>91</v>
      </c>
      <c r="J426">
        <v>60</v>
      </c>
      <c r="K426">
        <v>0.03</v>
      </c>
      <c r="L426">
        <v>1</v>
      </c>
      <c r="M426">
        <v>1</v>
      </c>
      <c r="N426">
        <v>1</v>
      </c>
      <c r="O426">
        <v>100</v>
      </c>
      <c r="P426" t="b">
        <f t="shared" si="6"/>
        <v>0</v>
      </c>
    </row>
    <row r="427" spans="1:16" x14ac:dyDescent="0.2">
      <c r="A427" t="s">
        <v>127</v>
      </c>
      <c r="B427" t="s">
        <v>128</v>
      </c>
      <c r="C427">
        <v>447</v>
      </c>
      <c r="D427">
        <v>107435</v>
      </c>
      <c r="E427" t="s">
        <v>885</v>
      </c>
      <c r="F427" t="s">
        <v>37</v>
      </c>
      <c r="G427" t="s">
        <v>452</v>
      </c>
      <c r="H427" t="s">
        <v>5</v>
      </c>
      <c r="I427" t="s">
        <v>91</v>
      </c>
      <c r="J427">
        <v>9</v>
      </c>
      <c r="K427">
        <v>0.03</v>
      </c>
      <c r="L427">
        <v>1</v>
      </c>
      <c r="M427">
        <v>1</v>
      </c>
      <c r="N427">
        <v>1</v>
      </c>
      <c r="O427">
        <v>100</v>
      </c>
      <c r="P427" t="b">
        <f t="shared" si="6"/>
        <v>0</v>
      </c>
    </row>
    <row r="428" spans="1:16" x14ac:dyDescent="0.2">
      <c r="A428" t="s">
        <v>127</v>
      </c>
      <c r="B428" t="s">
        <v>128</v>
      </c>
      <c r="C428">
        <v>448</v>
      </c>
      <c r="D428">
        <v>130804</v>
      </c>
      <c r="E428" t="s">
        <v>232</v>
      </c>
      <c r="F428" t="s">
        <v>66</v>
      </c>
      <c r="G428" t="s">
        <v>10</v>
      </c>
      <c r="H428" t="s">
        <v>5</v>
      </c>
      <c r="I428" t="s">
        <v>91</v>
      </c>
      <c r="J428">
        <v>22</v>
      </c>
      <c r="K428">
        <v>0.03</v>
      </c>
      <c r="L428">
        <v>1</v>
      </c>
      <c r="M428">
        <v>1</v>
      </c>
      <c r="N428">
        <v>1</v>
      </c>
      <c r="O428">
        <v>100</v>
      </c>
      <c r="P428" t="b">
        <f t="shared" si="6"/>
        <v>0</v>
      </c>
    </row>
    <row r="429" spans="1:16" x14ac:dyDescent="0.2">
      <c r="A429" t="s">
        <v>127</v>
      </c>
      <c r="B429" t="s">
        <v>128</v>
      </c>
      <c r="C429">
        <v>449</v>
      </c>
      <c r="D429">
        <v>125766</v>
      </c>
      <c r="E429" t="s">
        <v>248</v>
      </c>
      <c r="F429" t="s">
        <v>22</v>
      </c>
      <c r="G429" t="s">
        <v>452</v>
      </c>
      <c r="H429" t="s">
        <v>12</v>
      </c>
      <c r="I429" t="s">
        <v>91</v>
      </c>
      <c r="J429">
        <v>10</v>
      </c>
      <c r="K429">
        <v>3</v>
      </c>
      <c r="L429">
        <v>1</v>
      </c>
      <c r="M429">
        <v>1</v>
      </c>
      <c r="N429">
        <v>1</v>
      </c>
      <c r="O429">
        <v>1</v>
      </c>
      <c r="P429" t="b">
        <f t="shared" si="6"/>
        <v>0</v>
      </c>
    </row>
    <row r="430" spans="1:16" x14ac:dyDescent="0.2">
      <c r="A430" t="s">
        <v>127</v>
      </c>
      <c r="B430" t="s">
        <v>128</v>
      </c>
      <c r="C430">
        <v>450</v>
      </c>
      <c r="D430">
        <v>130468</v>
      </c>
      <c r="E430" t="s">
        <v>253</v>
      </c>
      <c r="F430" t="s">
        <v>67</v>
      </c>
      <c r="G430" t="s">
        <v>10</v>
      </c>
      <c r="H430" t="s">
        <v>12</v>
      </c>
      <c r="I430" t="s">
        <v>91</v>
      </c>
      <c r="J430">
        <v>28</v>
      </c>
      <c r="K430">
        <v>0.03</v>
      </c>
      <c r="L430">
        <v>1</v>
      </c>
      <c r="M430">
        <v>1</v>
      </c>
      <c r="N430">
        <v>1</v>
      </c>
      <c r="O430">
        <v>100</v>
      </c>
      <c r="P430" t="b">
        <f t="shared" si="6"/>
        <v>0</v>
      </c>
    </row>
    <row r="431" spans="1:16" x14ac:dyDescent="0.2">
      <c r="A431" t="s">
        <v>127</v>
      </c>
      <c r="B431" t="s">
        <v>128</v>
      </c>
      <c r="C431">
        <v>451</v>
      </c>
      <c r="D431">
        <v>107975</v>
      </c>
      <c r="E431" t="s">
        <v>884</v>
      </c>
      <c r="F431" t="s">
        <v>58</v>
      </c>
      <c r="G431" t="s">
        <v>452</v>
      </c>
      <c r="H431" t="s">
        <v>8</v>
      </c>
      <c r="I431" t="s">
        <v>91</v>
      </c>
      <c r="J431">
        <v>12</v>
      </c>
      <c r="K431">
        <v>0.03</v>
      </c>
      <c r="L431">
        <v>1</v>
      </c>
      <c r="M431">
        <v>1</v>
      </c>
      <c r="N431">
        <v>1</v>
      </c>
      <c r="O431">
        <v>100</v>
      </c>
      <c r="P431" t="b">
        <f t="shared" si="6"/>
        <v>0</v>
      </c>
    </row>
    <row r="432" spans="1:16" x14ac:dyDescent="0.2">
      <c r="A432" t="s">
        <v>127</v>
      </c>
      <c r="B432" t="s">
        <v>128</v>
      </c>
      <c r="C432">
        <v>452</v>
      </c>
      <c r="D432">
        <v>130793</v>
      </c>
      <c r="E432" t="s">
        <v>539</v>
      </c>
      <c r="F432" t="s">
        <v>70</v>
      </c>
      <c r="G432" t="s">
        <v>10</v>
      </c>
      <c r="H432" t="s">
        <v>8</v>
      </c>
      <c r="I432" t="s">
        <v>91</v>
      </c>
      <c r="J432">
        <v>61</v>
      </c>
      <c r="K432">
        <v>0.03</v>
      </c>
      <c r="L432">
        <v>1</v>
      </c>
      <c r="M432">
        <v>1</v>
      </c>
      <c r="N432">
        <v>1</v>
      </c>
      <c r="O432">
        <v>100</v>
      </c>
      <c r="P432" t="b">
        <f t="shared" si="6"/>
        <v>0</v>
      </c>
    </row>
    <row r="433" spans="1:16" x14ac:dyDescent="0.2">
      <c r="A433" t="s">
        <v>127</v>
      </c>
      <c r="B433" t="s">
        <v>128</v>
      </c>
      <c r="C433">
        <v>453</v>
      </c>
      <c r="D433">
        <v>133470</v>
      </c>
      <c r="E433" t="s">
        <v>140</v>
      </c>
      <c r="F433" t="s">
        <v>21</v>
      </c>
      <c r="G433" t="s">
        <v>452</v>
      </c>
      <c r="H433" t="s">
        <v>5</v>
      </c>
      <c r="I433" t="s">
        <v>91</v>
      </c>
      <c r="J433">
        <v>12</v>
      </c>
      <c r="K433">
        <v>0.03</v>
      </c>
      <c r="L433">
        <v>1</v>
      </c>
      <c r="M433">
        <v>1</v>
      </c>
      <c r="N433">
        <v>1</v>
      </c>
      <c r="O433">
        <v>100</v>
      </c>
      <c r="P433" t="b">
        <f t="shared" si="6"/>
        <v>0</v>
      </c>
    </row>
    <row r="434" spans="1:16" x14ac:dyDescent="0.2">
      <c r="A434" t="s">
        <v>127</v>
      </c>
      <c r="B434" t="s">
        <v>128</v>
      </c>
      <c r="C434">
        <v>454</v>
      </c>
      <c r="D434">
        <v>131110</v>
      </c>
      <c r="E434" t="s">
        <v>225</v>
      </c>
      <c r="F434" t="s">
        <v>68</v>
      </c>
      <c r="G434" t="s">
        <v>10</v>
      </c>
      <c r="H434" t="s">
        <v>5</v>
      </c>
      <c r="I434" t="s">
        <v>91</v>
      </c>
      <c r="J434">
        <v>20</v>
      </c>
      <c r="K434">
        <v>0.03</v>
      </c>
      <c r="L434">
        <v>1</v>
      </c>
      <c r="M434">
        <v>1</v>
      </c>
      <c r="N434">
        <v>1</v>
      </c>
      <c r="O434">
        <v>100</v>
      </c>
      <c r="P434" t="b">
        <f t="shared" si="6"/>
        <v>0</v>
      </c>
    </row>
    <row r="435" spans="1:16" x14ac:dyDescent="0.2">
      <c r="A435" t="s">
        <v>127</v>
      </c>
      <c r="B435" t="s">
        <v>128</v>
      </c>
      <c r="C435">
        <v>455</v>
      </c>
      <c r="D435">
        <v>50544</v>
      </c>
      <c r="E435" t="s">
        <v>1003</v>
      </c>
      <c r="F435" t="s">
        <v>46</v>
      </c>
      <c r="G435" t="s">
        <v>452</v>
      </c>
      <c r="H435" t="s">
        <v>12</v>
      </c>
      <c r="I435" t="s">
        <v>91</v>
      </c>
      <c r="J435">
        <v>10</v>
      </c>
      <c r="K435">
        <v>0.03</v>
      </c>
      <c r="L435">
        <v>1</v>
      </c>
      <c r="M435">
        <v>1</v>
      </c>
      <c r="N435">
        <v>1</v>
      </c>
      <c r="O435">
        <v>100</v>
      </c>
      <c r="P435" t="b">
        <f t="shared" si="6"/>
        <v>0</v>
      </c>
    </row>
    <row r="436" spans="1:16" x14ac:dyDescent="0.2">
      <c r="A436" t="s">
        <v>127</v>
      </c>
      <c r="B436" t="s">
        <v>128</v>
      </c>
      <c r="C436">
        <v>456</v>
      </c>
      <c r="D436">
        <v>129455</v>
      </c>
      <c r="E436" t="s">
        <v>786</v>
      </c>
      <c r="F436" t="s">
        <v>69</v>
      </c>
      <c r="G436" t="s">
        <v>10</v>
      </c>
      <c r="H436" t="s">
        <v>12</v>
      </c>
      <c r="I436" t="s">
        <v>97</v>
      </c>
      <c r="J436">
        <v>26</v>
      </c>
      <c r="K436">
        <v>0.03</v>
      </c>
      <c r="L436">
        <v>1</v>
      </c>
      <c r="M436">
        <v>1</v>
      </c>
      <c r="N436">
        <v>1</v>
      </c>
      <c r="O436">
        <v>100</v>
      </c>
      <c r="P436" t="b">
        <f t="shared" si="6"/>
        <v>0</v>
      </c>
    </row>
    <row r="437" spans="1:16" x14ac:dyDescent="0.2">
      <c r="A437" t="s">
        <v>127</v>
      </c>
      <c r="B437" t="s">
        <v>128</v>
      </c>
      <c r="C437">
        <v>457</v>
      </c>
      <c r="D437">
        <v>132063</v>
      </c>
      <c r="E437" t="s">
        <v>804</v>
      </c>
      <c r="F437" t="s">
        <v>9</v>
      </c>
      <c r="G437" t="s">
        <v>452</v>
      </c>
      <c r="H437" t="s">
        <v>8</v>
      </c>
      <c r="I437" t="s">
        <v>91</v>
      </c>
      <c r="J437">
        <v>35</v>
      </c>
      <c r="K437">
        <v>7</v>
      </c>
      <c r="L437">
        <v>3</v>
      </c>
      <c r="M437">
        <v>2</v>
      </c>
      <c r="N437">
        <v>2</v>
      </c>
      <c r="O437">
        <v>1</v>
      </c>
      <c r="P437" t="b">
        <f t="shared" si="6"/>
        <v>0</v>
      </c>
    </row>
    <row r="438" spans="1:16" x14ac:dyDescent="0.2">
      <c r="A438" t="s">
        <v>127</v>
      </c>
      <c r="B438" t="s">
        <v>128</v>
      </c>
      <c r="C438">
        <v>458</v>
      </c>
      <c r="D438">
        <v>130796</v>
      </c>
      <c r="E438" t="s">
        <v>537</v>
      </c>
      <c r="F438" t="s">
        <v>70</v>
      </c>
      <c r="G438" t="s">
        <v>10</v>
      </c>
      <c r="H438" t="s">
        <v>8</v>
      </c>
      <c r="I438" t="s">
        <v>91</v>
      </c>
      <c r="J438">
        <v>62</v>
      </c>
      <c r="K438">
        <v>0.03</v>
      </c>
      <c r="L438">
        <v>1</v>
      </c>
      <c r="M438">
        <v>1</v>
      </c>
      <c r="N438">
        <v>1</v>
      </c>
      <c r="O438">
        <v>100</v>
      </c>
      <c r="P438" t="b">
        <f t="shared" si="6"/>
        <v>0</v>
      </c>
    </row>
    <row r="439" spans="1:16" x14ac:dyDescent="0.2">
      <c r="A439" t="s">
        <v>127</v>
      </c>
      <c r="B439" t="s">
        <v>128</v>
      </c>
      <c r="C439">
        <v>459</v>
      </c>
      <c r="D439">
        <v>105944</v>
      </c>
      <c r="E439" t="s">
        <v>888</v>
      </c>
      <c r="F439" t="s">
        <v>23</v>
      </c>
      <c r="G439" t="s">
        <v>452</v>
      </c>
      <c r="H439" t="s">
        <v>5</v>
      </c>
      <c r="I439" t="s">
        <v>95</v>
      </c>
      <c r="J439">
        <v>13</v>
      </c>
      <c r="K439">
        <v>0.03</v>
      </c>
      <c r="L439">
        <v>1</v>
      </c>
      <c r="M439">
        <v>1</v>
      </c>
      <c r="N439">
        <v>1</v>
      </c>
      <c r="O439">
        <v>100</v>
      </c>
      <c r="P439" t="b">
        <f t="shared" si="6"/>
        <v>0</v>
      </c>
    </row>
    <row r="440" spans="1:16" x14ac:dyDescent="0.2">
      <c r="A440" t="s">
        <v>127</v>
      </c>
      <c r="B440" t="s">
        <v>128</v>
      </c>
      <c r="C440">
        <v>460</v>
      </c>
      <c r="D440">
        <v>131081</v>
      </c>
      <c r="E440" t="s">
        <v>490</v>
      </c>
      <c r="F440" t="s">
        <v>65</v>
      </c>
      <c r="G440" t="s">
        <v>10</v>
      </c>
      <c r="H440" t="s">
        <v>5</v>
      </c>
      <c r="I440" t="s">
        <v>91</v>
      </c>
      <c r="J440">
        <v>31</v>
      </c>
      <c r="K440">
        <v>0.03</v>
      </c>
      <c r="L440">
        <v>1</v>
      </c>
      <c r="M440">
        <v>1</v>
      </c>
      <c r="N440">
        <v>1</v>
      </c>
      <c r="O440">
        <v>100</v>
      </c>
      <c r="P440" t="b">
        <f t="shared" si="6"/>
        <v>0</v>
      </c>
    </row>
    <row r="441" spans="1:16" x14ac:dyDescent="0.2">
      <c r="A441" t="s">
        <v>127</v>
      </c>
      <c r="B441" t="s">
        <v>128</v>
      </c>
      <c r="C441">
        <v>461</v>
      </c>
      <c r="D441">
        <v>31741</v>
      </c>
      <c r="E441" t="s">
        <v>1119</v>
      </c>
      <c r="F441" t="s">
        <v>98</v>
      </c>
      <c r="G441" t="s">
        <v>452</v>
      </c>
      <c r="H441" t="s">
        <v>12</v>
      </c>
      <c r="I441" t="s">
        <v>91</v>
      </c>
      <c r="J441">
        <v>10</v>
      </c>
      <c r="K441">
        <v>0.03</v>
      </c>
      <c r="L441">
        <v>1</v>
      </c>
      <c r="M441">
        <v>1</v>
      </c>
      <c r="N441">
        <v>1</v>
      </c>
      <c r="O441">
        <v>100</v>
      </c>
      <c r="P441" t="b">
        <f t="shared" si="6"/>
        <v>0</v>
      </c>
    </row>
    <row r="442" spans="1:16" x14ac:dyDescent="0.2">
      <c r="A442" t="s">
        <v>127</v>
      </c>
      <c r="B442" t="s">
        <v>128</v>
      </c>
      <c r="C442">
        <v>462</v>
      </c>
      <c r="D442">
        <v>129654</v>
      </c>
      <c r="E442" t="s">
        <v>723</v>
      </c>
      <c r="F442" t="s">
        <v>67</v>
      </c>
      <c r="G442" t="s">
        <v>10</v>
      </c>
      <c r="H442" t="s">
        <v>12</v>
      </c>
      <c r="I442" t="s">
        <v>91</v>
      </c>
      <c r="J442">
        <v>30</v>
      </c>
      <c r="K442">
        <v>0.03</v>
      </c>
      <c r="L442">
        <v>1</v>
      </c>
      <c r="M442">
        <v>1</v>
      </c>
      <c r="N442">
        <v>1</v>
      </c>
      <c r="O442">
        <v>100</v>
      </c>
      <c r="P442" t="b">
        <f t="shared" si="6"/>
        <v>0</v>
      </c>
    </row>
    <row r="443" spans="1:16" x14ac:dyDescent="0.2">
      <c r="A443" t="s">
        <v>127</v>
      </c>
      <c r="B443" t="s">
        <v>128</v>
      </c>
      <c r="C443">
        <v>463</v>
      </c>
      <c r="D443">
        <v>98564</v>
      </c>
      <c r="E443" t="s">
        <v>312</v>
      </c>
      <c r="F443" t="s">
        <v>9</v>
      </c>
      <c r="G443" t="s">
        <v>452</v>
      </c>
      <c r="H443" t="s">
        <v>8</v>
      </c>
      <c r="I443" t="s">
        <v>91</v>
      </c>
      <c r="J443">
        <v>36</v>
      </c>
      <c r="K443">
        <v>0.03</v>
      </c>
      <c r="L443">
        <v>1</v>
      </c>
      <c r="M443">
        <v>1</v>
      </c>
      <c r="N443">
        <v>1</v>
      </c>
      <c r="O443">
        <v>100</v>
      </c>
      <c r="P443" t="b">
        <f t="shared" si="6"/>
        <v>0</v>
      </c>
    </row>
    <row r="444" spans="1:16" x14ac:dyDescent="0.2">
      <c r="A444" t="s">
        <v>127</v>
      </c>
      <c r="B444" t="s">
        <v>128</v>
      </c>
      <c r="C444">
        <v>464</v>
      </c>
      <c r="D444">
        <v>130815</v>
      </c>
      <c r="E444" t="s">
        <v>535</v>
      </c>
      <c r="F444" t="s">
        <v>70</v>
      </c>
      <c r="G444" t="s">
        <v>10</v>
      </c>
      <c r="H444" t="s">
        <v>8</v>
      </c>
      <c r="I444" t="s">
        <v>91</v>
      </c>
      <c r="J444">
        <v>63</v>
      </c>
      <c r="K444">
        <v>0.03</v>
      </c>
      <c r="L444">
        <v>1</v>
      </c>
      <c r="M444">
        <v>1</v>
      </c>
      <c r="N444">
        <v>1</v>
      </c>
      <c r="O444">
        <v>100</v>
      </c>
      <c r="P444" t="b">
        <f t="shared" si="6"/>
        <v>0</v>
      </c>
    </row>
    <row r="445" spans="1:16" x14ac:dyDescent="0.2">
      <c r="A445" t="s">
        <v>127</v>
      </c>
      <c r="B445" t="s">
        <v>128</v>
      </c>
      <c r="C445">
        <v>465</v>
      </c>
      <c r="D445">
        <v>31928</v>
      </c>
      <c r="E445" t="s">
        <v>1086</v>
      </c>
      <c r="F445" t="s">
        <v>36</v>
      </c>
      <c r="G445" t="s">
        <v>452</v>
      </c>
      <c r="H445" t="s">
        <v>5</v>
      </c>
      <c r="I445" t="s">
        <v>91</v>
      </c>
      <c r="J445">
        <v>12</v>
      </c>
      <c r="K445">
        <v>0.03</v>
      </c>
      <c r="L445">
        <v>1</v>
      </c>
      <c r="M445">
        <v>1</v>
      </c>
      <c r="N445">
        <v>1</v>
      </c>
      <c r="O445">
        <v>100</v>
      </c>
      <c r="P445" t="b">
        <f t="shared" si="6"/>
        <v>0</v>
      </c>
    </row>
    <row r="446" spans="1:16" x14ac:dyDescent="0.2">
      <c r="A446" t="s">
        <v>127</v>
      </c>
      <c r="B446" t="s">
        <v>128</v>
      </c>
      <c r="C446">
        <v>466</v>
      </c>
      <c r="D446">
        <v>129752</v>
      </c>
      <c r="E446" t="s">
        <v>706</v>
      </c>
      <c r="F446" t="s">
        <v>66</v>
      </c>
      <c r="G446" t="s">
        <v>10</v>
      </c>
      <c r="H446" t="s">
        <v>5</v>
      </c>
      <c r="I446" t="s">
        <v>91</v>
      </c>
      <c r="J446">
        <v>23</v>
      </c>
      <c r="K446">
        <v>0.03</v>
      </c>
      <c r="L446">
        <v>1</v>
      </c>
      <c r="M446">
        <v>1</v>
      </c>
      <c r="N446">
        <v>1</v>
      </c>
      <c r="O446">
        <v>100</v>
      </c>
      <c r="P446" t="b">
        <f t="shared" si="6"/>
        <v>0</v>
      </c>
    </row>
    <row r="447" spans="1:16" x14ac:dyDescent="0.2">
      <c r="A447" t="s">
        <v>127</v>
      </c>
      <c r="B447" t="s">
        <v>128</v>
      </c>
      <c r="C447">
        <v>467</v>
      </c>
      <c r="D447">
        <v>71501</v>
      </c>
      <c r="E447" t="s">
        <v>942</v>
      </c>
      <c r="F447" t="s">
        <v>22</v>
      </c>
      <c r="G447" t="s">
        <v>452</v>
      </c>
      <c r="H447" t="s">
        <v>12</v>
      </c>
      <c r="I447" t="s">
        <v>95</v>
      </c>
      <c r="J447">
        <v>11</v>
      </c>
      <c r="K447">
        <v>0.03</v>
      </c>
      <c r="L447">
        <v>1</v>
      </c>
      <c r="M447">
        <v>1</v>
      </c>
      <c r="N447">
        <v>1</v>
      </c>
      <c r="O447">
        <v>100</v>
      </c>
      <c r="P447" t="b">
        <f t="shared" si="6"/>
        <v>0</v>
      </c>
    </row>
    <row r="448" spans="1:16" x14ac:dyDescent="0.2">
      <c r="A448" t="s">
        <v>127</v>
      </c>
      <c r="B448" t="s">
        <v>128</v>
      </c>
      <c r="C448">
        <v>468</v>
      </c>
      <c r="D448">
        <v>130483</v>
      </c>
      <c r="E448" t="s">
        <v>593</v>
      </c>
      <c r="F448" t="s">
        <v>69</v>
      </c>
      <c r="G448" t="s">
        <v>10</v>
      </c>
      <c r="H448" t="s">
        <v>12</v>
      </c>
      <c r="I448" t="s">
        <v>91</v>
      </c>
      <c r="J448">
        <v>27</v>
      </c>
      <c r="K448">
        <v>0.03</v>
      </c>
      <c r="L448">
        <v>1</v>
      </c>
      <c r="M448">
        <v>1</v>
      </c>
      <c r="N448">
        <v>1</v>
      </c>
      <c r="O448">
        <v>100</v>
      </c>
      <c r="P448" t="b">
        <f t="shared" si="6"/>
        <v>0</v>
      </c>
    </row>
    <row r="449" spans="1:16" x14ac:dyDescent="0.2">
      <c r="A449" t="s">
        <v>127</v>
      </c>
      <c r="B449" t="s">
        <v>128</v>
      </c>
      <c r="C449">
        <v>469</v>
      </c>
      <c r="D449">
        <v>31889</v>
      </c>
      <c r="E449" t="s">
        <v>1096</v>
      </c>
      <c r="F449" t="s">
        <v>34</v>
      </c>
      <c r="G449" t="s">
        <v>452</v>
      </c>
      <c r="H449" t="s">
        <v>8</v>
      </c>
      <c r="I449" t="s">
        <v>91</v>
      </c>
      <c r="J449">
        <v>14</v>
      </c>
      <c r="K449">
        <v>0.03</v>
      </c>
      <c r="L449">
        <v>1</v>
      </c>
      <c r="M449">
        <v>1</v>
      </c>
      <c r="N449">
        <v>1</v>
      </c>
      <c r="O449">
        <v>100</v>
      </c>
      <c r="P449" t="b">
        <f t="shared" si="6"/>
        <v>0</v>
      </c>
    </row>
    <row r="450" spans="1:16" x14ac:dyDescent="0.2">
      <c r="A450" t="s">
        <v>127</v>
      </c>
      <c r="B450" t="s">
        <v>128</v>
      </c>
      <c r="C450">
        <v>470</v>
      </c>
      <c r="D450">
        <v>130829</v>
      </c>
      <c r="E450" t="s">
        <v>339</v>
      </c>
      <c r="F450" t="s">
        <v>70</v>
      </c>
      <c r="G450" t="s">
        <v>10</v>
      </c>
      <c r="H450" t="s">
        <v>8</v>
      </c>
      <c r="I450" t="s">
        <v>91</v>
      </c>
      <c r="J450">
        <v>64</v>
      </c>
      <c r="K450">
        <v>0.03</v>
      </c>
      <c r="L450">
        <v>1</v>
      </c>
      <c r="M450">
        <v>1</v>
      </c>
      <c r="N450">
        <v>1</v>
      </c>
      <c r="O450">
        <v>100</v>
      </c>
      <c r="P450" t="b">
        <f t="shared" si="6"/>
        <v>0</v>
      </c>
    </row>
    <row r="451" spans="1:16" x14ac:dyDescent="0.2">
      <c r="A451" t="s">
        <v>127</v>
      </c>
      <c r="B451" t="s">
        <v>128</v>
      </c>
      <c r="C451">
        <v>471</v>
      </c>
      <c r="D451">
        <v>31630</v>
      </c>
      <c r="E451" t="s">
        <v>1138</v>
      </c>
      <c r="F451" t="s">
        <v>25</v>
      </c>
      <c r="G451" t="s">
        <v>452</v>
      </c>
      <c r="H451" t="s">
        <v>5</v>
      </c>
      <c r="I451" t="s">
        <v>91</v>
      </c>
      <c r="J451">
        <v>7</v>
      </c>
      <c r="K451">
        <v>0.03</v>
      </c>
      <c r="L451">
        <v>1</v>
      </c>
      <c r="M451">
        <v>1</v>
      </c>
      <c r="N451">
        <v>1</v>
      </c>
      <c r="O451">
        <v>100</v>
      </c>
      <c r="P451" t="b">
        <f t="shared" ref="P451:P514" si="7">AND(C451&lt;$Q$1,IF(ISBLANK(C451),0,C451)&gt;0)</f>
        <v>0</v>
      </c>
    </row>
    <row r="452" spans="1:16" x14ac:dyDescent="0.2">
      <c r="A452" t="s">
        <v>127</v>
      </c>
      <c r="B452" t="s">
        <v>128</v>
      </c>
      <c r="C452">
        <v>472</v>
      </c>
      <c r="D452">
        <v>130773</v>
      </c>
      <c r="E452" t="s">
        <v>233</v>
      </c>
      <c r="F452" t="s">
        <v>68</v>
      </c>
      <c r="G452" t="s">
        <v>10</v>
      </c>
      <c r="H452" t="s">
        <v>5</v>
      </c>
      <c r="I452" t="s">
        <v>97</v>
      </c>
      <c r="J452">
        <v>21</v>
      </c>
      <c r="K452">
        <v>0.03</v>
      </c>
      <c r="L452">
        <v>1</v>
      </c>
      <c r="M452">
        <v>1</v>
      </c>
      <c r="N452">
        <v>1</v>
      </c>
      <c r="O452">
        <v>100</v>
      </c>
      <c r="P452" t="b">
        <f t="shared" si="7"/>
        <v>0</v>
      </c>
    </row>
    <row r="453" spans="1:16" x14ac:dyDescent="0.2">
      <c r="A453" t="s">
        <v>127</v>
      </c>
      <c r="B453" t="s">
        <v>128</v>
      </c>
      <c r="C453">
        <v>473</v>
      </c>
      <c r="D453">
        <v>47391</v>
      </c>
      <c r="E453" t="s">
        <v>1016</v>
      </c>
      <c r="F453" t="s">
        <v>46</v>
      </c>
      <c r="G453" t="s">
        <v>452</v>
      </c>
      <c r="H453" t="s">
        <v>12</v>
      </c>
      <c r="I453" t="s">
        <v>91</v>
      </c>
      <c r="J453">
        <v>11</v>
      </c>
      <c r="K453">
        <v>0.03</v>
      </c>
      <c r="L453">
        <v>1</v>
      </c>
      <c r="M453">
        <v>1</v>
      </c>
      <c r="N453">
        <v>1</v>
      </c>
      <c r="O453">
        <v>100</v>
      </c>
      <c r="P453" t="b">
        <f t="shared" si="7"/>
        <v>0</v>
      </c>
    </row>
    <row r="454" spans="1:16" x14ac:dyDescent="0.2">
      <c r="A454" t="s">
        <v>127</v>
      </c>
      <c r="B454" t="s">
        <v>128</v>
      </c>
      <c r="C454">
        <v>474</v>
      </c>
      <c r="D454">
        <v>130320</v>
      </c>
      <c r="E454" t="s">
        <v>260</v>
      </c>
      <c r="F454" t="s">
        <v>69</v>
      </c>
      <c r="G454" t="s">
        <v>10</v>
      </c>
      <c r="H454" t="s">
        <v>12</v>
      </c>
      <c r="I454" t="s">
        <v>91</v>
      </c>
      <c r="J454">
        <v>28</v>
      </c>
      <c r="K454">
        <v>0.03</v>
      </c>
      <c r="L454">
        <v>1</v>
      </c>
      <c r="M454">
        <v>1</v>
      </c>
      <c r="N454">
        <v>1</v>
      </c>
      <c r="O454">
        <v>100</v>
      </c>
      <c r="P454" t="b">
        <f t="shared" si="7"/>
        <v>0</v>
      </c>
    </row>
    <row r="455" spans="1:16" x14ac:dyDescent="0.2">
      <c r="A455" t="s">
        <v>127</v>
      </c>
      <c r="B455" t="s">
        <v>128</v>
      </c>
      <c r="C455">
        <v>475</v>
      </c>
      <c r="D455">
        <v>123596</v>
      </c>
      <c r="E455" t="s">
        <v>866</v>
      </c>
      <c r="F455" t="s">
        <v>58</v>
      </c>
      <c r="G455" t="s">
        <v>452</v>
      </c>
      <c r="H455" t="s">
        <v>8</v>
      </c>
      <c r="I455" t="s">
        <v>91</v>
      </c>
      <c r="J455">
        <v>13</v>
      </c>
      <c r="K455">
        <v>0.03</v>
      </c>
      <c r="L455">
        <v>1</v>
      </c>
      <c r="M455">
        <v>1</v>
      </c>
      <c r="N455">
        <v>1</v>
      </c>
      <c r="O455">
        <v>100</v>
      </c>
      <c r="P455" t="b">
        <f t="shared" si="7"/>
        <v>0</v>
      </c>
    </row>
    <row r="456" spans="1:16" x14ac:dyDescent="0.2">
      <c r="A456" t="s">
        <v>127</v>
      </c>
      <c r="B456" t="s">
        <v>128</v>
      </c>
      <c r="C456">
        <v>476</v>
      </c>
      <c r="D456">
        <v>130871</v>
      </c>
      <c r="E456" t="s">
        <v>525</v>
      </c>
      <c r="F456" t="s">
        <v>70</v>
      </c>
      <c r="G456" t="s">
        <v>10</v>
      </c>
      <c r="H456" t="s">
        <v>8</v>
      </c>
      <c r="I456" t="s">
        <v>95</v>
      </c>
      <c r="J456">
        <v>65</v>
      </c>
      <c r="K456">
        <v>0.03</v>
      </c>
      <c r="L456">
        <v>1</v>
      </c>
      <c r="M456">
        <v>1</v>
      </c>
      <c r="N456">
        <v>1</v>
      </c>
      <c r="O456">
        <v>100</v>
      </c>
      <c r="P456" t="b">
        <f t="shared" si="7"/>
        <v>0</v>
      </c>
    </row>
    <row r="457" spans="1:16" x14ac:dyDescent="0.2">
      <c r="A457" t="s">
        <v>127</v>
      </c>
      <c r="B457" t="s">
        <v>128</v>
      </c>
      <c r="C457">
        <v>477</v>
      </c>
      <c r="D457">
        <v>111689</v>
      </c>
      <c r="E457" t="s">
        <v>881</v>
      </c>
      <c r="F457" t="s">
        <v>24</v>
      </c>
      <c r="G457" t="s">
        <v>452</v>
      </c>
      <c r="H457" t="s">
        <v>5</v>
      </c>
      <c r="I457" t="s">
        <v>91</v>
      </c>
      <c r="J457">
        <v>7</v>
      </c>
      <c r="K457">
        <v>0.03</v>
      </c>
      <c r="L457">
        <v>1</v>
      </c>
      <c r="M457">
        <v>1</v>
      </c>
      <c r="N457">
        <v>1</v>
      </c>
      <c r="O457">
        <v>100</v>
      </c>
      <c r="P457" t="b">
        <f t="shared" si="7"/>
        <v>0</v>
      </c>
    </row>
    <row r="458" spans="1:16" x14ac:dyDescent="0.2">
      <c r="A458" t="s">
        <v>127</v>
      </c>
      <c r="B458" t="s">
        <v>128</v>
      </c>
      <c r="C458">
        <v>478</v>
      </c>
      <c r="D458">
        <v>130487</v>
      </c>
      <c r="E458" t="s">
        <v>592</v>
      </c>
      <c r="F458" t="s">
        <v>65</v>
      </c>
      <c r="G458" t="s">
        <v>10</v>
      </c>
      <c r="H458" t="s">
        <v>5</v>
      </c>
      <c r="I458" t="s">
        <v>91</v>
      </c>
      <c r="J458">
        <v>32</v>
      </c>
      <c r="K458">
        <v>0.03</v>
      </c>
      <c r="L458">
        <v>1</v>
      </c>
      <c r="M458">
        <v>1</v>
      </c>
      <c r="N458">
        <v>1</v>
      </c>
      <c r="O458">
        <v>100</v>
      </c>
      <c r="P458" t="b">
        <f t="shared" si="7"/>
        <v>0</v>
      </c>
    </row>
    <row r="459" spans="1:16" x14ac:dyDescent="0.2">
      <c r="A459" t="s">
        <v>127</v>
      </c>
      <c r="B459" t="s">
        <v>128</v>
      </c>
      <c r="C459">
        <v>479</v>
      </c>
      <c r="D459">
        <v>31807</v>
      </c>
      <c r="E459" t="s">
        <v>1109</v>
      </c>
      <c r="F459" t="s">
        <v>98</v>
      </c>
      <c r="G459" t="s">
        <v>452</v>
      </c>
      <c r="H459" t="s">
        <v>12</v>
      </c>
      <c r="I459" t="s">
        <v>91</v>
      </c>
      <c r="J459">
        <v>11</v>
      </c>
      <c r="K459">
        <v>0.03</v>
      </c>
      <c r="L459">
        <v>1</v>
      </c>
      <c r="M459">
        <v>1</v>
      </c>
      <c r="N459">
        <v>1</v>
      </c>
      <c r="O459">
        <v>100</v>
      </c>
      <c r="P459" t="b">
        <f t="shared" si="7"/>
        <v>0</v>
      </c>
    </row>
    <row r="460" spans="1:16" x14ac:dyDescent="0.2">
      <c r="A460" t="s">
        <v>127</v>
      </c>
      <c r="B460" t="s">
        <v>128</v>
      </c>
      <c r="C460">
        <v>480</v>
      </c>
      <c r="D460">
        <v>129445</v>
      </c>
      <c r="E460" t="s">
        <v>267</v>
      </c>
      <c r="F460" t="s">
        <v>69</v>
      </c>
      <c r="G460" t="s">
        <v>10</v>
      </c>
      <c r="H460" t="s">
        <v>12</v>
      </c>
      <c r="I460" t="s">
        <v>91</v>
      </c>
      <c r="J460">
        <v>29</v>
      </c>
      <c r="K460">
        <v>0.03</v>
      </c>
      <c r="L460">
        <v>1</v>
      </c>
      <c r="M460">
        <v>1</v>
      </c>
      <c r="N460">
        <v>1</v>
      </c>
      <c r="O460">
        <v>100</v>
      </c>
      <c r="P460" t="b">
        <f t="shared" si="7"/>
        <v>0</v>
      </c>
    </row>
    <row r="461" spans="1:16" x14ac:dyDescent="0.2">
      <c r="A461" t="s">
        <v>127</v>
      </c>
      <c r="B461" t="s">
        <v>128</v>
      </c>
      <c r="C461">
        <v>481</v>
      </c>
      <c r="D461">
        <v>126578</v>
      </c>
      <c r="E461" t="s">
        <v>839</v>
      </c>
      <c r="F461" t="s">
        <v>9</v>
      </c>
      <c r="G461" t="s">
        <v>452</v>
      </c>
      <c r="H461" t="s">
        <v>8</v>
      </c>
      <c r="I461" t="s">
        <v>91</v>
      </c>
      <c r="J461">
        <v>37</v>
      </c>
      <c r="K461">
        <v>0.03</v>
      </c>
      <c r="L461">
        <v>1</v>
      </c>
      <c r="M461">
        <v>1</v>
      </c>
      <c r="N461">
        <v>1</v>
      </c>
      <c r="O461">
        <v>100</v>
      </c>
      <c r="P461" t="b">
        <f t="shared" si="7"/>
        <v>0</v>
      </c>
    </row>
    <row r="462" spans="1:16" x14ac:dyDescent="0.2">
      <c r="A462" t="s">
        <v>127</v>
      </c>
      <c r="B462" t="s">
        <v>128</v>
      </c>
      <c r="C462">
        <v>482</v>
      </c>
      <c r="D462">
        <v>130700</v>
      </c>
      <c r="E462" t="s">
        <v>342</v>
      </c>
      <c r="F462" t="s">
        <v>70</v>
      </c>
      <c r="G462" t="s">
        <v>10</v>
      </c>
      <c r="H462" t="s">
        <v>8</v>
      </c>
      <c r="I462" t="s">
        <v>91</v>
      </c>
      <c r="J462">
        <v>66</v>
      </c>
      <c r="K462">
        <v>0.03</v>
      </c>
      <c r="L462">
        <v>1</v>
      </c>
      <c r="M462">
        <v>1</v>
      </c>
      <c r="N462">
        <v>1</v>
      </c>
      <c r="O462">
        <v>100</v>
      </c>
      <c r="P462" t="b">
        <f t="shared" si="7"/>
        <v>0</v>
      </c>
    </row>
    <row r="463" spans="1:16" x14ac:dyDescent="0.2">
      <c r="A463" t="s">
        <v>127</v>
      </c>
      <c r="B463" t="s">
        <v>128</v>
      </c>
      <c r="C463">
        <v>483</v>
      </c>
      <c r="D463">
        <v>70559</v>
      </c>
      <c r="E463" t="s">
        <v>947</v>
      </c>
      <c r="F463" t="s">
        <v>38</v>
      </c>
      <c r="G463" t="s">
        <v>452</v>
      </c>
      <c r="H463" t="s">
        <v>5</v>
      </c>
      <c r="I463" t="s">
        <v>91</v>
      </c>
      <c r="J463">
        <v>8</v>
      </c>
      <c r="K463">
        <v>0.03</v>
      </c>
      <c r="L463">
        <v>1</v>
      </c>
      <c r="M463">
        <v>1</v>
      </c>
      <c r="N463">
        <v>1</v>
      </c>
      <c r="O463">
        <v>100</v>
      </c>
      <c r="P463" t="b">
        <f t="shared" si="7"/>
        <v>0</v>
      </c>
    </row>
    <row r="464" spans="1:16" x14ac:dyDescent="0.2">
      <c r="A464" t="s">
        <v>127</v>
      </c>
      <c r="B464" t="s">
        <v>128</v>
      </c>
      <c r="C464">
        <v>484</v>
      </c>
      <c r="D464">
        <v>130634</v>
      </c>
      <c r="E464" t="s">
        <v>271</v>
      </c>
      <c r="F464" t="s">
        <v>65</v>
      </c>
      <c r="G464" t="s">
        <v>10</v>
      </c>
      <c r="H464" t="s">
        <v>5</v>
      </c>
      <c r="I464" t="s">
        <v>95</v>
      </c>
      <c r="J464">
        <v>33</v>
      </c>
      <c r="K464">
        <v>0.03</v>
      </c>
      <c r="L464">
        <v>1</v>
      </c>
      <c r="M464">
        <v>1</v>
      </c>
      <c r="N464">
        <v>1</v>
      </c>
      <c r="O464">
        <v>100</v>
      </c>
      <c r="P464" t="b">
        <f t="shared" si="7"/>
        <v>0</v>
      </c>
    </row>
    <row r="465" spans="1:16" x14ac:dyDescent="0.2">
      <c r="A465" t="s">
        <v>127</v>
      </c>
      <c r="B465" t="s">
        <v>128</v>
      </c>
      <c r="C465">
        <v>485</v>
      </c>
      <c r="D465">
        <v>69337</v>
      </c>
      <c r="E465" t="s">
        <v>261</v>
      </c>
      <c r="F465" t="s">
        <v>22</v>
      </c>
      <c r="G465" t="s">
        <v>452</v>
      </c>
      <c r="H465" t="s">
        <v>12</v>
      </c>
      <c r="I465" t="s">
        <v>91</v>
      </c>
      <c r="J465">
        <v>12</v>
      </c>
      <c r="K465">
        <v>0.03</v>
      </c>
      <c r="L465">
        <v>1</v>
      </c>
      <c r="M465">
        <v>1</v>
      </c>
      <c r="N465">
        <v>1</v>
      </c>
      <c r="O465">
        <v>100</v>
      </c>
      <c r="P465" t="b">
        <f t="shared" si="7"/>
        <v>0</v>
      </c>
    </row>
    <row r="466" spans="1:16" x14ac:dyDescent="0.2">
      <c r="A466" t="s">
        <v>127</v>
      </c>
      <c r="B466" t="s">
        <v>128</v>
      </c>
      <c r="C466">
        <v>486</v>
      </c>
      <c r="D466">
        <v>130111</v>
      </c>
      <c r="E466" t="s">
        <v>661</v>
      </c>
      <c r="F466" t="s">
        <v>69</v>
      </c>
      <c r="G466" t="s">
        <v>10</v>
      </c>
      <c r="H466" t="s">
        <v>12</v>
      </c>
      <c r="I466" t="s">
        <v>91</v>
      </c>
      <c r="J466">
        <v>30</v>
      </c>
      <c r="K466">
        <v>0.03</v>
      </c>
      <c r="L466">
        <v>1</v>
      </c>
      <c r="M466">
        <v>1</v>
      </c>
      <c r="N466">
        <v>1</v>
      </c>
      <c r="O466">
        <v>100</v>
      </c>
      <c r="P466" t="b">
        <f t="shared" si="7"/>
        <v>0</v>
      </c>
    </row>
    <row r="467" spans="1:16" x14ac:dyDescent="0.2">
      <c r="A467" t="s">
        <v>127</v>
      </c>
      <c r="B467" t="s">
        <v>128</v>
      </c>
      <c r="C467">
        <v>487</v>
      </c>
      <c r="D467">
        <v>127817</v>
      </c>
      <c r="E467" t="s">
        <v>401</v>
      </c>
      <c r="F467" t="s">
        <v>9</v>
      </c>
      <c r="G467" t="s">
        <v>452</v>
      </c>
      <c r="H467" t="s">
        <v>8</v>
      </c>
      <c r="I467" t="s">
        <v>91</v>
      </c>
      <c r="J467">
        <v>38</v>
      </c>
      <c r="K467">
        <v>3.5</v>
      </c>
      <c r="L467">
        <v>5</v>
      </c>
      <c r="M467">
        <v>1</v>
      </c>
      <c r="N467">
        <v>1</v>
      </c>
      <c r="O467">
        <v>2</v>
      </c>
      <c r="P467" t="b">
        <f t="shared" si="7"/>
        <v>0</v>
      </c>
    </row>
    <row r="468" spans="1:16" x14ac:dyDescent="0.2">
      <c r="A468" t="s">
        <v>127</v>
      </c>
      <c r="B468" t="s">
        <v>128</v>
      </c>
      <c r="C468">
        <v>488</v>
      </c>
      <c r="D468">
        <v>130709</v>
      </c>
      <c r="E468" t="s">
        <v>551</v>
      </c>
      <c r="F468" t="s">
        <v>70</v>
      </c>
      <c r="G468" t="s">
        <v>10</v>
      </c>
      <c r="H468" t="s">
        <v>8</v>
      </c>
      <c r="I468" t="s">
        <v>95</v>
      </c>
      <c r="J468">
        <v>67</v>
      </c>
      <c r="K468">
        <v>0.03</v>
      </c>
      <c r="L468">
        <v>1</v>
      </c>
      <c r="M468">
        <v>1</v>
      </c>
      <c r="N468">
        <v>1</v>
      </c>
      <c r="O468">
        <v>100</v>
      </c>
      <c r="P468" t="b">
        <f t="shared" si="7"/>
        <v>0</v>
      </c>
    </row>
    <row r="469" spans="1:16" x14ac:dyDescent="0.2">
      <c r="A469" t="s">
        <v>127</v>
      </c>
      <c r="B469" t="s">
        <v>128</v>
      </c>
      <c r="C469">
        <v>489</v>
      </c>
      <c r="D469">
        <v>127256</v>
      </c>
      <c r="E469" t="s">
        <v>247</v>
      </c>
      <c r="F469" t="s">
        <v>21</v>
      </c>
      <c r="G469" t="s">
        <v>452</v>
      </c>
      <c r="H469" t="s">
        <v>5</v>
      </c>
      <c r="I469" t="s">
        <v>91</v>
      </c>
      <c r="J469">
        <v>13</v>
      </c>
      <c r="K469">
        <v>0.03</v>
      </c>
      <c r="L469">
        <v>1</v>
      </c>
      <c r="M469">
        <v>1</v>
      </c>
      <c r="N469">
        <v>1</v>
      </c>
      <c r="O469">
        <v>100</v>
      </c>
      <c r="P469" t="b">
        <f t="shared" si="7"/>
        <v>0</v>
      </c>
    </row>
    <row r="470" spans="1:16" x14ac:dyDescent="0.2">
      <c r="A470" t="s">
        <v>127</v>
      </c>
      <c r="B470" t="s">
        <v>128</v>
      </c>
      <c r="C470">
        <v>490</v>
      </c>
      <c r="D470">
        <v>129867</v>
      </c>
      <c r="E470" t="s">
        <v>693</v>
      </c>
      <c r="F470" t="s">
        <v>66</v>
      </c>
      <c r="G470" t="s">
        <v>10</v>
      </c>
      <c r="H470" t="s">
        <v>5</v>
      </c>
      <c r="I470" t="s">
        <v>91</v>
      </c>
      <c r="J470">
        <v>24</v>
      </c>
      <c r="K470">
        <v>0.03</v>
      </c>
      <c r="L470">
        <v>1</v>
      </c>
      <c r="M470">
        <v>1</v>
      </c>
      <c r="N470">
        <v>1</v>
      </c>
      <c r="O470">
        <v>100</v>
      </c>
      <c r="P470" t="b">
        <f t="shared" si="7"/>
        <v>0</v>
      </c>
    </row>
    <row r="471" spans="1:16" x14ac:dyDescent="0.2">
      <c r="A471" t="s">
        <v>127</v>
      </c>
      <c r="B471" t="s">
        <v>128</v>
      </c>
      <c r="C471">
        <v>491</v>
      </c>
      <c r="D471">
        <v>31923</v>
      </c>
      <c r="E471" t="s">
        <v>1088</v>
      </c>
      <c r="F471" t="s">
        <v>98</v>
      </c>
      <c r="G471" t="s">
        <v>452</v>
      </c>
      <c r="H471" t="s">
        <v>12</v>
      </c>
      <c r="I471" t="s">
        <v>91</v>
      </c>
      <c r="J471">
        <v>12</v>
      </c>
      <c r="K471">
        <v>0.03</v>
      </c>
      <c r="L471">
        <v>1</v>
      </c>
      <c r="M471">
        <v>1</v>
      </c>
      <c r="N471">
        <v>1</v>
      </c>
      <c r="O471">
        <v>100</v>
      </c>
      <c r="P471" t="b">
        <f t="shared" si="7"/>
        <v>0</v>
      </c>
    </row>
    <row r="472" spans="1:16" x14ac:dyDescent="0.2">
      <c r="A472" t="s">
        <v>127</v>
      </c>
      <c r="B472" t="s">
        <v>128</v>
      </c>
      <c r="C472">
        <v>492</v>
      </c>
      <c r="D472">
        <v>130143</v>
      </c>
      <c r="E472" t="s">
        <v>653</v>
      </c>
      <c r="F472" t="s">
        <v>69</v>
      </c>
      <c r="G472" t="s">
        <v>10</v>
      </c>
      <c r="H472" t="s">
        <v>12</v>
      </c>
      <c r="I472" t="s">
        <v>91</v>
      </c>
      <c r="J472">
        <v>31</v>
      </c>
      <c r="K472">
        <v>0.03</v>
      </c>
      <c r="L472">
        <v>1</v>
      </c>
      <c r="M472">
        <v>1</v>
      </c>
      <c r="N472">
        <v>1</v>
      </c>
      <c r="O472">
        <v>100</v>
      </c>
      <c r="P472" t="b">
        <f t="shared" si="7"/>
        <v>0</v>
      </c>
    </row>
    <row r="473" spans="1:16" x14ac:dyDescent="0.2">
      <c r="A473" t="s">
        <v>127</v>
      </c>
      <c r="B473" t="s">
        <v>128</v>
      </c>
      <c r="C473">
        <v>493</v>
      </c>
      <c r="D473">
        <v>95633</v>
      </c>
      <c r="E473" t="s">
        <v>314</v>
      </c>
      <c r="F473" t="s">
        <v>9</v>
      </c>
      <c r="G473" t="s">
        <v>452</v>
      </c>
      <c r="H473" t="s">
        <v>8</v>
      </c>
      <c r="I473" t="s">
        <v>91</v>
      </c>
      <c r="J473">
        <v>39</v>
      </c>
      <c r="K473">
        <v>0.03</v>
      </c>
      <c r="L473">
        <v>1</v>
      </c>
      <c r="M473">
        <v>1</v>
      </c>
      <c r="N473">
        <v>1</v>
      </c>
      <c r="O473">
        <v>100</v>
      </c>
      <c r="P473" t="b">
        <f t="shared" si="7"/>
        <v>0</v>
      </c>
    </row>
    <row r="474" spans="1:16" x14ac:dyDescent="0.2">
      <c r="A474" t="s">
        <v>127</v>
      </c>
      <c r="B474" t="s">
        <v>128</v>
      </c>
      <c r="C474">
        <v>494</v>
      </c>
      <c r="D474">
        <v>130675</v>
      </c>
      <c r="E474" t="s">
        <v>554</v>
      </c>
      <c r="F474" t="s">
        <v>70</v>
      </c>
      <c r="G474" t="s">
        <v>10</v>
      </c>
      <c r="H474" t="s">
        <v>8</v>
      </c>
      <c r="I474" t="s">
        <v>91</v>
      </c>
      <c r="J474">
        <v>68</v>
      </c>
      <c r="K474">
        <v>0.03</v>
      </c>
      <c r="L474">
        <v>1</v>
      </c>
      <c r="M474">
        <v>1</v>
      </c>
      <c r="N474">
        <v>1</v>
      </c>
      <c r="O474">
        <v>100</v>
      </c>
      <c r="P474" t="b">
        <f t="shared" si="7"/>
        <v>0</v>
      </c>
    </row>
    <row r="475" spans="1:16" x14ac:dyDescent="0.2">
      <c r="A475" t="s">
        <v>127</v>
      </c>
      <c r="B475" t="s">
        <v>128</v>
      </c>
      <c r="C475">
        <v>495</v>
      </c>
      <c r="D475">
        <v>126166</v>
      </c>
      <c r="E475" t="s">
        <v>203</v>
      </c>
      <c r="F475" t="s">
        <v>23</v>
      </c>
      <c r="G475" t="s">
        <v>452</v>
      </c>
      <c r="H475" t="s">
        <v>5</v>
      </c>
      <c r="I475" t="s">
        <v>95</v>
      </c>
      <c r="J475">
        <v>14</v>
      </c>
      <c r="K475">
        <v>10</v>
      </c>
      <c r="L475">
        <v>4</v>
      </c>
      <c r="M475">
        <v>3</v>
      </c>
      <c r="N475">
        <v>3</v>
      </c>
      <c r="O475">
        <v>1</v>
      </c>
      <c r="P475" t="b">
        <f t="shared" si="7"/>
        <v>0</v>
      </c>
    </row>
    <row r="476" spans="1:16" x14ac:dyDescent="0.2">
      <c r="A476" t="s">
        <v>127</v>
      </c>
      <c r="B476" t="s">
        <v>128</v>
      </c>
      <c r="C476">
        <v>496</v>
      </c>
      <c r="D476">
        <v>130631</v>
      </c>
      <c r="E476" t="s">
        <v>236</v>
      </c>
      <c r="F476" t="s">
        <v>68</v>
      </c>
      <c r="G476" t="s">
        <v>10</v>
      </c>
      <c r="H476" t="s">
        <v>5</v>
      </c>
      <c r="I476" t="s">
        <v>95</v>
      </c>
      <c r="J476">
        <v>22</v>
      </c>
      <c r="K476">
        <v>0.03</v>
      </c>
      <c r="L476">
        <v>1</v>
      </c>
      <c r="M476">
        <v>1</v>
      </c>
      <c r="N476">
        <v>1</v>
      </c>
      <c r="O476">
        <v>100</v>
      </c>
      <c r="P476" t="b">
        <f t="shared" si="7"/>
        <v>0</v>
      </c>
    </row>
    <row r="477" spans="1:16" x14ac:dyDescent="0.2">
      <c r="A477" t="s">
        <v>127</v>
      </c>
      <c r="B477" t="s">
        <v>128</v>
      </c>
      <c r="C477">
        <v>497</v>
      </c>
      <c r="D477">
        <v>69341</v>
      </c>
      <c r="E477" t="s">
        <v>951</v>
      </c>
      <c r="F477" t="s">
        <v>22</v>
      </c>
      <c r="G477" t="s">
        <v>452</v>
      </c>
      <c r="H477" t="s">
        <v>12</v>
      </c>
      <c r="I477" t="s">
        <v>91</v>
      </c>
      <c r="J477">
        <v>13</v>
      </c>
      <c r="K477">
        <v>0.03</v>
      </c>
      <c r="L477">
        <v>1</v>
      </c>
      <c r="M477">
        <v>1</v>
      </c>
      <c r="N477">
        <v>1</v>
      </c>
      <c r="O477">
        <v>100</v>
      </c>
      <c r="P477" t="b">
        <f t="shared" si="7"/>
        <v>0</v>
      </c>
    </row>
    <row r="478" spans="1:16" x14ac:dyDescent="0.2">
      <c r="A478" t="s">
        <v>127</v>
      </c>
      <c r="B478" t="s">
        <v>128</v>
      </c>
      <c r="C478">
        <v>498</v>
      </c>
      <c r="D478">
        <v>129475</v>
      </c>
      <c r="E478" t="s">
        <v>770</v>
      </c>
      <c r="F478" t="s">
        <v>69</v>
      </c>
      <c r="G478" t="s">
        <v>10</v>
      </c>
      <c r="H478" t="s">
        <v>12</v>
      </c>
      <c r="I478" t="s">
        <v>91</v>
      </c>
      <c r="J478">
        <v>32</v>
      </c>
      <c r="K478">
        <v>0.03</v>
      </c>
      <c r="L478">
        <v>1</v>
      </c>
      <c r="M478">
        <v>1</v>
      </c>
      <c r="N478">
        <v>1</v>
      </c>
      <c r="O478">
        <v>100</v>
      </c>
      <c r="P478" t="b">
        <f t="shared" si="7"/>
        <v>0</v>
      </c>
    </row>
    <row r="479" spans="1:16" x14ac:dyDescent="0.2">
      <c r="A479" t="s">
        <v>127</v>
      </c>
      <c r="B479" t="s">
        <v>128</v>
      </c>
      <c r="C479">
        <v>499</v>
      </c>
      <c r="D479">
        <v>31961</v>
      </c>
      <c r="E479" t="s">
        <v>1080</v>
      </c>
      <c r="F479" t="s">
        <v>58</v>
      </c>
      <c r="G479" t="s">
        <v>452</v>
      </c>
      <c r="H479" t="s">
        <v>8</v>
      </c>
      <c r="I479" t="s">
        <v>91</v>
      </c>
      <c r="J479">
        <v>14</v>
      </c>
      <c r="K479">
        <v>0.03</v>
      </c>
      <c r="L479">
        <v>1</v>
      </c>
      <c r="M479">
        <v>1</v>
      </c>
      <c r="N479">
        <v>1</v>
      </c>
      <c r="O479">
        <v>100</v>
      </c>
      <c r="P479" t="b">
        <f t="shared" si="7"/>
        <v>0</v>
      </c>
    </row>
    <row r="480" spans="1:16" x14ac:dyDescent="0.2">
      <c r="A480" t="s">
        <v>127</v>
      </c>
      <c r="B480" t="s">
        <v>128</v>
      </c>
      <c r="C480">
        <v>500</v>
      </c>
      <c r="D480">
        <v>130219</v>
      </c>
      <c r="E480" t="s">
        <v>644</v>
      </c>
      <c r="F480" t="s">
        <v>70</v>
      </c>
      <c r="G480" t="s">
        <v>10</v>
      </c>
      <c r="H480" t="s">
        <v>8</v>
      </c>
      <c r="I480" t="s">
        <v>91</v>
      </c>
      <c r="J480">
        <v>69</v>
      </c>
      <c r="K480">
        <v>0.03</v>
      </c>
      <c r="L480">
        <v>1</v>
      </c>
      <c r="M480">
        <v>1</v>
      </c>
      <c r="N480">
        <v>1</v>
      </c>
      <c r="O480">
        <v>100</v>
      </c>
      <c r="P480" t="b">
        <f t="shared" si="7"/>
        <v>0</v>
      </c>
    </row>
    <row r="481" spans="1:16" x14ac:dyDescent="0.2">
      <c r="A481" t="s">
        <v>127</v>
      </c>
      <c r="B481" t="s">
        <v>128</v>
      </c>
      <c r="C481">
        <v>501</v>
      </c>
      <c r="D481">
        <v>32142</v>
      </c>
      <c r="E481" t="s">
        <v>1050</v>
      </c>
      <c r="F481" t="s">
        <v>36</v>
      </c>
      <c r="G481" t="s">
        <v>452</v>
      </c>
      <c r="H481" t="s">
        <v>5</v>
      </c>
      <c r="I481" t="s">
        <v>91</v>
      </c>
      <c r="J481">
        <v>13</v>
      </c>
      <c r="K481">
        <v>0.03</v>
      </c>
      <c r="L481">
        <v>1</v>
      </c>
      <c r="M481">
        <v>1</v>
      </c>
      <c r="N481">
        <v>1</v>
      </c>
      <c r="O481">
        <v>100</v>
      </c>
      <c r="P481" t="b">
        <f t="shared" si="7"/>
        <v>0</v>
      </c>
    </row>
    <row r="482" spans="1:16" x14ac:dyDescent="0.2">
      <c r="A482" t="s">
        <v>127</v>
      </c>
      <c r="B482" t="s">
        <v>128</v>
      </c>
      <c r="C482">
        <v>502</v>
      </c>
      <c r="D482">
        <v>130824</v>
      </c>
      <c r="E482" t="s">
        <v>533</v>
      </c>
      <c r="F482" t="s">
        <v>65</v>
      </c>
      <c r="G482" t="s">
        <v>10</v>
      </c>
      <c r="H482" t="s">
        <v>5</v>
      </c>
      <c r="I482" t="s">
        <v>91</v>
      </c>
      <c r="J482">
        <v>34</v>
      </c>
      <c r="K482">
        <v>0.03</v>
      </c>
      <c r="L482">
        <v>1</v>
      </c>
      <c r="M482">
        <v>1</v>
      </c>
      <c r="N482">
        <v>1</v>
      </c>
      <c r="O482">
        <v>100</v>
      </c>
      <c r="P482" t="b">
        <f t="shared" si="7"/>
        <v>0</v>
      </c>
    </row>
    <row r="483" spans="1:16" x14ac:dyDescent="0.2">
      <c r="A483" t="s">
        <v>127</v>
      </c>
      <c r="B483" t="s">
        <v>128</v>
      </c>
      <c r="C483">
        <v>503</v>
      </c>
      <c r="D483">
        <v>31863</v>
      </c>
      <c r="E483" t="s">
        <v>1100</v>
      </c>
      <c r="F483" t="s">
        <v>98</v>
      </c>
      <c r="G483" t="s">
        <v>452</v>
      </c>
      <c r="H483" t="s">
        <v>12</v>
      </c>
      <c r="I483" t="s">
        <v>91</v>
      </c>
      <c r="J483">
        <v>13</v>
      </c>
      <c r="K483">
        <v>0.03</v>
      </c>
      <c r="L483">
        <v>1</v>
      </c>
      <c r="M483">
        <v>1</v>
      </c>
      <c r="N483">
        <v>1</v>
      </c>
      <c r="O483">
        <v>100</v>
      </c>
      <c r="P483" t="b">
        <f t="shared" si="7"/>
        <v>0</v>
      </c>
    </row>
    <row r="484" spans="1:16" x14ac:dyDescent="0.2">
      <c r="A484" t="s">
        <v>127</v>
      </c>
      <c r="B484" t="s">
        <v>128</v>
      </c>
      <c r="C484">
        <v>504</v>
      </c>
      <c r="D484">
        <v>129472</v>
      </c>
      <c r="E484" t="s">
        <v>773</v>
      </c>
      <c r="F484" t="s">
        <v>69</v>
      </c>
      <c r="G484" t="s">
        <v>10</v>
      </c>
      <c r="H484" t="s">
        <v>12</v>
      </c>
      <c r="I484" t="s">
        <v>91</v>
      </c>
      <c r="J484">
        <v>33</v>
      </c>
      <c r="K484">
        <v>0.03</v>
      </c>
      <c r="L484">
        <v>1</v>
      </c>
      <c r="M484">
        <v>1</v>
      </c>
      <c r="N484">
        <v>1</v>
      </c>
      <c r="O484">
        <v>100</v>
      </c>
      <c r="P484" t="b">
        <f t="shared" si="7"/>
        <v>0</v>
      </c>
    </row>
    <row r="485" spans="1:16" x14ac:dyDescent="0.2">
      <c r="A485" t="s">
        <v>127</v>
      </c>
      <c r="B485" t="s">
        <v>128</v>
      </c>
      <c r="C485">
        <v>505</v>
      </c>
      <c r="D485">
        <v>126580</v>
      </c>
      <c r="E485" t="s">
        <v>316</v>
      </c>
      <c r="F485" t="s">
        <v>9</v>
      </c>
      <c r="G485" t="s">
        <v>452</v>
      </c>
      <c r="H485" t="s">
        <v>8</v>
      </c>
      <c r="I485" t="s">
        <v>95</v>
      </c>
      <c r="J485">
        <v>40</v>
      </c>
      <c r="K485">
        <v>0.03</v>
      </c>
      <c r="L485">
        <v>1</v>
      </c>
      <c r="M485">
        <v>1</v>
      </c>
      <c r="N485">
        <v>1</v>
      </c>
      <c r="O485">
        <v>100</v>
      </c>
      <c r="P485" t="b">
        <f t="shared" si="7"/>
        <v>0</v>
      </c>
    </row>
    <row r="486" spans="1:16" x14ac:dyDescent="0.2">
      <c r="A486" t="s">
        <v>127</v>
      </c>
      <c r="B486" t="s">
        <v>128</v>
      </c>
      <c r="C486">
        <v>506</v>
      </c>
      <c r="D486">
        <v>131059</v>
      </c>
      <c r="E486" t="s">
        <v>500</v>
      </c>
      <c r="F486" t="s">
        <v>70</v>
      </c>
      <c r="G486" t="s">
        <v>10</v>
      </c>
      <c r="H486" t="s">
        <v>8</v>
      </c>
      <c r="I486" t="s">
        <v>95</v>
      </c>
      <c r="J486">
        <v>70</v>
      </c>
      <c r="K486">
        <v>0.03</v>
      </c>
      <c r="L486">
        <v>1</v>
      </c>
      <c r="M486">
        <v>1</v>
      </c>
      <c r="N486">
        <v>1</v>
      </c>
      <c r="O486">
        <v>100</v>
      </c>
      <c r="P486" t="b">
        <f t="shared" si="7"/>
        <v>0</v>
      </c>
    </row>
    <row r="487" spans="1:16" x14ac:dyDescent="0.2">
      <c r="A487" t="s">
        <v>127</v>
      </c>
      <c r="B487" t="s">
        <v>128</v>
      </c>
      <c r="C487">
        <v>507</v>
      </c>
      <c r="D487">
        <v>60584</v>
      </c>
      <c r="E487" t="s">
        <v>167</v>
      </c>
      <c r="F487" t="s">
        <v>37</v>
      </c>
      <c r="G487" t="s">
        <v>452</v>
      </c>
      <c r="H487" t="s">
        <v>5</v>
      </c>
      <c r="I487" t="s">
        <v>95</v>
      </c>
      <c r="J487">
        <v>10</v>
      </c>
      <c r="K487">
        <v>0.03</v>
      </c>
      <c r="L487">
        <v>1</v>
      </c>
      <c r="M487">
        <v>1</v>
      </c>
      <c r="N487">
        <v>1</v>
      </c>
      <c r="O487">
        <v>100</v>
      </c>
      <c r="P487" t="b">
        <f t="shared" si="7"/>
        <v>0</v>
      </c>
    </row>
    <row r="488" spans="1:16" x14ac:dyDescent="0.2">
      <c r="A488" t="s">
        <v>127</v>
      </c>
      <c r="B488" t="s">
        <v>128</v>
      </c>
      <c r="C488">
        <v>508</v>
      </c>
      <c r="D488">
        <v>130826</v>
      </c>
      <c r="E488" t="s">
        <v>532</v>
      </c>
      <c r="F488" t="s">
        <v>66</v>
      </c>
      <c r="G488" t="s">
        <v>10</v>
      </c>
      <c r="H488" t="s">
        <v>5</v>
      </c>
      <c r="I488" t="s">
        <v>91</v>
      </c>
      <c r="J488">
        <v>25</v>
      </c>
      <c r="K488">
        <v>0.03</v>
      </c>
      <c r="L488">
        <v>1</v>
      </c>
      <c r="M488">
        <v>1</v>
      </c>
      <c r="N488">
        <v>1</v>
      </c>
      <c r="O488">
        <v>100</v>
      </c>
      <c r="P488" t="b">
        <f t="shared" si="7"/>
        <v>0</v>
      </c>
    </row>
    <row r="489" spans="1:16" x14ac:dyDescent="0.2">
      <c r="A489" t="s">
        <v>127</v>
      </c>
      <c r="B489" t="s">
        <v>128</v>
      </c>
      <c r="C489">
        <v>509</v>
      </c>
      <c r="D489">
        <v>68267</v>
      </c>
      <c r="E489" t="s">
        <v>245</v>
      </c>
      <c r="F489" t="s">
        <v>98</v>
      </c>
      <c r="G489" t="s">
        <v>452</v>
      </c>
      <c r="H489" t="s">
        <v>12</v>
      </c>
      <c r="I489" t="s">
        <v>91</v>
      </c>
      <c r="J489">
        <v>14</v>
      </c>
      <c r="K489">
        <v>0.03</v>
      </c>
      <c r="L489">
        <v>1</v>
      </c>
      <c r="M489">
        <v>1</v>
      </c>
      <c r="N489">
        <v>1</v>
      </c>
      <c r="O489">
        <v>100</v>
      </c>
      <c r="P489" t="b">
        <f t="shared" si="7"/>
        <v>0</v>
      </c>
    </row>
    <row r="490" spans="1:16" x14ac:dyDescent="0.2">
      <c r="A490" t="s">
        <v>127</v>
      </c>
      <c r="B490" t="s">
        <v>128</v>
      </c>
      <c r="C490">
        <v>510</v>
      </c>
      <c r="D490">
        <v>129456</v>
      </c>
      <c r="E490" t="s">
        <v>785</v>
      </c>
      <c r="F490" t="s">
        <v>69</v>
      </c>
      <c r="G490" t="s">
        <v>10</v>
      </c>
      <c r="H490" t="s">
        <v>12</v>
      </c>
      <c r="I490" t="s">
        <v>91</v>
      </c>
      <c r="J490">
        <v>34</v>
      </c>
      <c r="K490">
        <v>0.03</v>
      </c>
      <c r="L490">
        <v>1</v>
      </c>
      <c r="M490">
        <v>1</v>
      </c>
      <c r="N490">
        <v>1</v>
      </c>
      <c r="O490">
        <v>100</v>
      </c>
      <c r="P490" t="b">
        <f t="shared" si="7"/>
        <v>0</v>
      </c>
    </row>
    <row r="491" spans="1:16" x14ac:dyDescent="0.2">
      <c r="A491" t="s">
        <v>127</v>
      </c>
      <c r="B491" t="s">
        <v>128</v>
      </c>
      <c r="C491">
        <v>511</v>
      </c>
      <c r="D491">
        <v>131989</v>
      </c>
      <c r="E491" t="s">
        <v>818</v>
      </c>
      <c r="F491" t="s">
        <v>9</v>
      </c>
      <c r="G491" t="s">
        <v>452</v>
      </c>
      <c r="H491" t="s">
        <v>8</v>
      </c>
      <c r="I491" t="s">
        <v>91</v>
      </c>
      <c r="J491">
        <v>41</v>
      </c>
      <c r="K491">
        <v>0.03</v>
      </c>
      <c r="L491">
        <v>1</v>
      </c>
      <c r="M491">
        <v>1</v>
      </c>
      <c r="N491">
        <v>1</v>
      </c>
      <c r="O491">
        <v>100</v>
      </c>
      <c r="P491" t="b">
        <f t="shared" si="7"/>
        <v>0</v>
      </c>
    </row>
    <row r="492" spans="1:16" x14ac:dyDescent="0.2">
      <c r="A492" t="s">
        <v>127</v>
      </c>
      <c r="B492" t="s">
        <v>128</v>
      </c>
      <c r="C492">
        <v>512</v>
      </c>
      <c r="D492">
        <v>131070</v>
      </c>
      <c r="E492" t="s">
        <v>350</v>
      </c>
      <c r="F492" t="s">
        <v>70</v>
      </c>
      <c r="G492" t="s">
        <v>10</v>
      </c>
      <c r="H492" t="s">
        <v>8</v>
      </c>
      <c r="I492" t="s">
        <v>95</v>
      </c>
      <c r="J492">
        <v>71</v>
      </c>
      <c r="K492">
        <v>0.03</v>
      </c>
      <c r="L492">
        <v>1</v>
      </c>
      <c r="M492">
        <v>1</v>
      </c>
      <c r="N492">
        <v>1</v>
      </c>
      <c r="O492">
        <v>100</v>
      </c>
      <c r="P492" t="b">
        <f t="shared" si="7"/>
        <v>0</v>
      </c>
    </row>
    <row r="493" spans="1:16" x14ac:dyDescent="0.2">
      <c r="A493" t="s">
        <v>127</v>
      </c>
      <c r="B493" t="s">
        <v>128</v>
      </c>
      <c r="C493">
        <v>513</v>
      </c>
      <c r="D493">
        <v>32014</v>
      </c>
      <c r="E493" t="s">
        <v>1069</v>
      </c>
      <c r="F493" t="s">
        <v>25</v>
      </c>
      <c r="G493" t="s">
        <v>452</v>
      </c>
      <c r="H493" t="s">
        <v>5</v>
      </c>
      <c r="I493" t="s">
        <v>95</v>
      </c>
      <c r="J493">
        <v>8</v>
      </c>
      <c r="K493">
        <v>0.03</v>
      </c>
      <c r="L493">
        <v>1</v>
      </c>
      <c r="M493">
        <v>1</v>
      </c>
      <c r="N493">
        <v>1</v>
      </c>
      <c r="O493">
        <v>100</v>
      </c>
      <c r="P493" t="b">
        <f t="shared" si="7"/>
        <v>0</v>
      </c>
    </row>
    <row r="494" spans="1:16" x14ac:dyDescent="0.2">
      <c r="A494" t="s">
        <v>127</v>
      </c>
      <c r="B494" t="s">
        <v>128</v>
      </c>
      <c r="C494">
        <v>514</v>
      </c>
      <c r="D494">
        <v>130359</v>
      </c>
      <c r="E494" t="s">
        <v>240</v>
      </c>
      <c r="F494" t="s">
        <v>68</v>
      </c>
      <c r="G494" t="s">
        <v>10</v>
      </c>
      <c r="H494" t="s">
        <v>5</v>
      </c>
      <c r="I494" t="s">
        <v>91</v>
      </c>
      <c r="J494">
        <v>23</v>
      </c>
      <c r="K494">
        <v>0.03</v>
      </c>
      <c r="L494">
        <v>1</v>
      </c>
      <c r="M494">
        <v>1</v>
      </c>
      <c r="N494">
        <v>1</v>
      </c>
      <c r="O494">
        <v>100</v>
      </c>
      <c r="P494" t="b">
        <f t="shared" si="7"/>
        <v>0</v>
      </c>
    </row>
    <row r="495" spans="1:16" x14ac:dyDescent="0.2">
      <c r="A495" t="s">
        <v>127</v>
      </c>
      <c r="B495" t="s">
        <v>128</v>
      </c>
      <c r="C495">
        <v>515</v>
      </c>
      <c r="D495">
        <v>32201</v>
      </c>
      <c r="E495" t="s">
        <v>180</v>
      </c>
      <c r="F495" t="s">
        <v>98</v>
      </c>
      <c r="G495" t="s">
        <v>452</v>
      </c>
      <c r="H495" t="s">
        <v>12</v>
      </c>
      <c r="I495" t="s">
        <v>91</v>
      </c>
      <c r="J495">
        <v>15</v>
      </c>
      <c r="K495">
        <v>0.03</v>
      </c>
      <c r="L495">
        <v>1</v>
      </c>
      <c r="M495">
        <v>1</v>
      </c>
      <c r="N495">
        <v>1</v>
      </c>
      <c r="O495">
        <v>100</v>
      </c>
      <c r="P495" t="b">
        <f t="shared" si="7"/>
        <v>0</v>
      </c>
    </row>
    <row r="496" spans="1:16" x14ac:dyDescent="0.2">
      <c r="A496" t="s">
        <v>127</v>
      </c>
      <c r="B496" t="s">
        <v>128</v>
      </c>
      <c r="C496">
        <v>516</v>
      </c>
      <c r="D496">
        <v>129442</v>
      </c>
      <c r="E496" t="s">
        <v>282</v>
      </c>
      <c r="F496" t="s">
        <v>69</v>
      </c>
      <c r="G496" t="s">
        <v>10</v>
      </c>
      <c r="H496" t="s">
        <v>12</v>
      </c>
      <c r="I496" t="s">
        <v>91</v>
      </c>
      <c r="J496">
        <v>35</v>
      </c>
      <c r="K496">
        <v>0.03</v>
      </c>
      <c r="L496">
        <v>1</v>
      </c>
      <c r="M496">
        <v>1</v>
      </c>
      <c r="N496">
        <v>1</v>
      </c>
      <c r="O496">
        <v>100</v>
      </c>
      <c r="P496" t="b">
        <f t="shared" si="7"/>
        <v>0</v>
      </c>
    </row>
    <row r="497" spans="1:16" x14ac:dyDescent="0.2">
      <c r="A497" t="s">
        <v>127</v>
      </c>
      <c r="B497" t="s">
        <v>128</v>
      </c>
      <c r="C497">
        <v>517</v>
      </c>
      <c r="D497">
        <v>32098</v>
      </c>
      <c r="E497" t="s">
        <v>318</v>
      </c>
      <c r="F497" t="s">
        <v>9</v>
      </c>
      <c r="G497" t="s">
        <v>452</v>
      </c>
      <c r="H497" t="s">
        <v>8</v>
      </c>
      <c r="I497" t="s">
        <v>91</v>
      </c>
      <c r="J497">
        <v>42</v>
      </c>
      <c r="K497">
        <v>0.03</v>
      </c>
      <c r="L497">
        <v>1</v>
      </c>
      <c r="M497">
        <v>1</v>
      </c>
      <c r="N497">
        <v>1</v>
      </c>
      <c r="O497">
        <v>100</v>
      </c>
      <c r="P497" t="b">
        <f t="shared" si="7"/>
        <v>0</v>
      </c>
    </row>
    <row r="498" spans="1:16" x14ac:dyDescent="0.2">
      <c r="A498" t="s">
        <v>127</v>
      </c>
      <c r="B498" t="s">
        <v>128</v>
      </c>
      <c r="C498">
        <v>518</v>
      </c>
      <c r="D498">
        <v>129663</v>
      </c>
      <c r="E498" t="s">
        <v>721</v>
      </c>
      <c r="F498" t="s">
        <v>70</v>
      </c>
      <c r="G498" t="s">
        <v>10</v>
      </c>
      <c r="H498" t="s">
        <v>8</v>
      </c>
      <c r="I498" t="s">
        <v>91</v>
      </c>
      <c r="J498">
        <v>72</v>
      </c>
      <c r="K498">
        <v>0.03</v>
      </c>
      <c r="L498">
        <v>1</v>
      </c>
      <c r="M498">
        <v>1</v>
      </c>
      <c r="N498">
        <v>1</v>
      </c>
      <c r="O498">
        <v>100</v>
      </c>
      <c r="P498" t="b">
        <f t="shared" si="7"/>
        <v>0</v>
      </c>
    </row>
    <row r="499" spans="1:16" x14ac:dyDescent="0.2">
      <c r="A499" t="s">
        <v>127</v>
      </c>
      <c r="B499" t="s">
        <v>128</v>
      </c>
      <c r="C499">
        <v>519</v>
      </c>
      <c r="D499">
        <v>31719</v>
      </c>
      <c r="E499" t="s">
        <v>155</v>
      </c>
      <c r="F499" t="s">
        <v>24</v>
      </c>
      <c r="G499" t="s">
        <v>452</v>
      </c>
      <c r="H499" t="s">
        <v>5</v>
      </c>
      <c r="I499" t="s">
        <v>91</v>
      </c>
      <c r="J499">
        <v>8</v>
      </c>
      <c r="K499">
        <v>0.03</v>
      </c>
      <c r="L499">
        <v>1</v>
      </c>
      <c r="M499">
        <v>1</v>
      </c>
      <c r="N499">
        <v>1</v>
      </c>
      <c r="O499">
        <v>100</v>
      </c>
      <c r="P499" t="b">
        <f t="shared" si="7"/>
        <v>0</v>
      </c>
    </row>
    <row r="500" spans="1:16" x14ac:dyDescent="0.2">
      <c r="A500" t="s">
        <v>127</v>
      </c>
      <c r="B500" t="s">
        <v>128</v>
      </c>
      <c r="C500">
        <v>520</v>
      </c>
      <c r="D500">
        <v>130498</v>
      </c>
      <c r="E500" t="s">
        <v>277</v>
      </c>
      <c r="F500" t="s">
        <v>65</v>
      </c>
      <c r="G500" t="s">
        <v>10</v>
      </c>
      <c r="H500" t="s">
        <v>5</v>
      </c>
      <c r="I500" t="s">
        <v>95</v>
      </c>
      <c r="J500">
        <v>35</v>
      </c>
      <c r="K500">
        <v>0.03</v>
      </c>
      <c r="L500">
        <v>1</v>
      </c>
      <c r="M500">
        <v>1</v>
      </c>
      <c r="N500">
        <v>1</v>
      </c>
      <c r="O500">
        <v>100</v>
      </c>
      <c r="P500" t="b">
        <f t="shared" si="7"/>
        <v>0</v>
      </c>
    </row>
    <row r="501" spans="1:16" x14ac:dyDescent="0.2">
      <c r="A501" t="s">
        <v>127</v>
      </c>
      <c r="B501" t="s">
        <v>128</v>
      </c>
      <c r="C501">
        <v>521</v>
      </c>
      <c r="D501">
        <v>32152</v>
      </c>
      <c r="E501" t="s">
        <v>1047</v>
      </c>
      <c r="F501" t="s">
        <v>98</v>
      </c>
      <c r="G501" t="s">
        <v>452</v>
      </c>
      <c r="H501" t="s">
        <v>12</v>
      </c>
      <c r="I501" t="s">
        <v>91</v>
      </c>
      <c r="J501">
        <v>16</v>
      </c>
      <c r="K501">
        <v>0.03</v>
      </c>
      <c r="L501">
        <v>1</v>
      </c>
      <c r="M501">
        <v>1</v>
      </c>
      <c r="N501">
        <v>1</v>
      </c>
      <c r="O501">
        <v>100</v>
      </c>
      <c r="P501" t="b">
        <f t="shared" si="7"/>
        <v>0</v>
      </c>
    </row>
    <row r="502" spans="1:16" x14ac:dyDescent="0.2">
      <c r="A502" t="s">
        <v>127</v>
      </c>
      <c r="B502" t="s">
        <v>128</v>
      </c>
      <c r="C502">
        <v>522</v>
      </c>
      <c r="D502">
        <v>129452</v>
      </c>
      <c r="E502" t="s">
        <v>286</v>
      </c>
      <c r="F502" t="s">
        <v>69</v>
      </c>
      <c r="G502" t="s">
        <v>10</v>
      </c>
      <c r="H502" t="s">
        <v>12</v>
      </c>
      <c r="I502" t="s">
        <v>91</v>
      </c>
      <c r="J502">
        <v>36</v>
      </c>
      <c r="K502">
        <v>0.03</v>
      </c>
      <c r="L502">
        <v>1</v>
      </c>
      <c r="M502">
        <v>1</v>
      </c>
      <c r="N502">
        <v>1</v>
      </c>
      <c r="O502">
        <v>100</v>
      </c>
      <c r="P502" t="b">
        <f t="shared" si="7"/>
        <v>0</v>
      </c>
    </row>
    <row r="503" spans="1:16" x14ac:dyDescent="0.2">
      <c r="A503" t="s">
        <v>127</v>
      </c>
      <c r="B503" t="s">
        <v>128</v>
      </c>
      <c r="C503">
        <v>523</v>
      </c>
      <c r="D503">
        <v>32022</v>
      </c>
      <c r="E503" t="s">
        <v>1063</v>
      </c>
      <c r="F503" t="s">
        <v>58</v>
      </c>
      <c r="G503" t="s">
        <v>452</v>
      </c>
      <c r="H503" t="s">
        <v>8</v>
      </c>
      <c r="I503" t="s">
        <v>91</v>
      </c>
      <c r="J503">
        <v>15</v>
      </c>
      <c r="K503">
        <v>0.03</v>
      </c>
      <c r="L503">
        <v>1</v>
      </c>
      <c r="M503">
        <v>1</v>
      </c>
      <c r="N503">
        <v>1</v>
      </c>
      <c r="O503">
        <v>100</v>
      </c>
      <c r="P503" t="b">
        <f t="shared" si="7"/>
        <v>0</v>
      </c>
    </row>
    <row r="504" spans="1:16" x14ac:dyDescent="0.2">
      <c r="A504" t="s">
        <v>127</v>
      </c>
      <c r="B504" t="s">
        <v>128</v>
      </c>
      <c r="C504">
        <v>524</v>
      </c>
      <c r="D504">
        <v>130161</v>
      </c>
      <c r="E504" t="s">
        <v>351</v>
      </c>
      <c r="F504" t="s">
        <v>70</v>
      </c>
      <c r="G504" t="s">
        <v>10</v>
      </c>
      <c r="H504" t="s">
        <v>8</v>
      </c>
      <c r="I504" t="s">
        <v>91</v>
      </c>
      <c r="J504">
        <v>73</v>
      </c>
      <c r="K504">
        <v>0.03</v>
      </c>
      <c r="L504">
        <v>1</v>
      </c>
      <c r="M504">
        <v>1</v>
      </c>
      <c r="N504">
        <v>1</v>
      </c>
      <c r="O504">
        <v>100</v>
      </c>
      <c r="P504" t="b">
        <f t="shared" si="7"/>
        <v>0</v>
      </c>
    </row>
    <row r="505" spans="1:16" x14ac:dyDescent="0.2">
      <c r="A505" t="s">
        <v>127</v>
      </c>
      <c r="B505" t="s">
        <v>128</v>
      </c>
      <c r="C505">
        <v>525</v>
      </c>
      <c r="D505">
        <v>32147</v>
      </c>
      <c r="E505" t="s">
        <v>1048</v>
      </c>
      <c r="F505" t="s">
        <v>21</v>
      </c>
      <c r="G505" t="s">
        <v>452</v>
      </c>
      <c r="H505" t="s">
        <v>5</v>
      </c>
      <c r="I505" t="s">
        <v>91</v>
      </c>
      <c r="J505">
        <v>14</v>
      </c>
      <c r="K505">
        <v>0.03</v>
      </c>
      <c r="L505">
        <v>1</v>
      </c>
      <c r="M505">
        <v>1</v>
      </c>
      <c r="N505">
        <v>1</v>
      </c>
      <c r="O505">
        <v>100</v>
      </c>
      <c r="P505" t="b">
        <f t="shared" si="7"/>
        <v>0</v>
      </c>
    </row>
    <row r="506" spans="1:16" x14ac:dyDescent="0.2">
      <c r="A506" t="s">
        <v>127</v>
      </c>
      <c r="B506" t="s">
        <v>128</v>
      </c>
      <c r="C506">
        <v>526</v>
      </c>
      <c r="D506">
        <v>129697</v>
      </c>
      <c r="E506" t="s">
        <v>279</v>
      </c>
      <c r="F506" t="s">
        <v>65</v>
      </c>
      <c r="G506" t="s">
        <v>10</v>
      </c>
      <c r="H506" t="s">
        <v>5</v>
      </c>
      <c r="I506" t="s">
        <v>95</v>
      </c>
      <c r="J506">
        <v>36</v>
      </c>
      <c r="K506">
        <v>0.03</v>
      </c>
      <c r="L506">
        <v>1</v>
      </c>
      <c r="M506">
        <v>1</v>
      </c>
      <c r="N506">
        <v>1</v>
      </c>
      <c r="O506">
        <v>100</v>
      </c>
      <c r="P506" t="b">
        <f t="shared" si="7"/>
        <v>0</v>
      </c>
    </row>
    <row r="507" spans="1:16" x14ac:dyDescent="0.2">
      <c r="A507" t="s">
        <v>127</v>
      </c>
      <c r="B507" t="s">
        <v>128</v>
      </c>
      <c r="C507">
        <v>527</v>
      </c>
      <c r="D507">
        <v>32153</v>
      </c>
      <c r="E507" t="s">
        <v>259</v>
      </c>
      <c r="F507" t="s">
        <v>98</v>
      </c>
      <c r="G507" t="s">
        <v>452</v>
      </c>
      <c r="H507" t="s">
        <v>12</v>
      </c>
      <c r="I507" t="s">
        <v>91</v>
      </c>
      <c r="J507">
        <v>17</v>
      </c>
      <c r="K507">
        <v>0.03</v>
      </c>
      <c r="L507">
        <v>1</v>
      </c>
      <c r="M507">
        <v>1</v>
      </c>
      <c r="N507">
        <v>1</v>
      </c>
      <c r="O507">
        <v>100</v>
      </c>
      <c r="P507" t="b">
        <f t="shared" si="7"/>
        <v>0</v>
      </c>
    </row>
    <row r="508" spans="1:16" x14ac:dyDescent="0.2">
      <c r="A508" t="s">
        <v>127</v>
      </c>
      <c r="B508" t="s">
        <v>128</v>
      </c>
      <c r="C508">
        <v>528</v>
      </c>
      <c r="D508">
        <v>129529</v>
      </c>
      <c r="E508" t="s">
        <v>749</v>
      </c>
      <c r="F508" t="s">
        <v>69</v>
      </c>
      <c r="G508" t="s">
        <v>10</v>
      </c>
      <c r="H508" t="s">
        <v>12</v>
      </c>
      <c r="I508" t="s">
        <v>91</v>
      </c>
      <c r="J508">
        <v>37</v>
      </c>
      <c r="K508">
        <v>0.03</v>
      </c>
      <c r="L508">
        <v>1</v>
      </c>
      <c r="M508">
        <v>1</v>
      </c>
      <c r="N508">
        <v>1</v>
      </c>
      <c r="O508">
        <v>100</v>
      </c>
      <c r="P508" t="b">
        <f t="shared" si="7"/>
        <v>0</v>
      </c>
    </row>
    <row r="509" spans="1:16" x14ac:dyDescent="0.2">
      <c r="A509" t="s">
        <v>127</v>
      </c>
      <c r="B509" t="s">
        <v>128</v>
      </c>
      <c r="C509">
        <v>529</v>
      </c>
      <c r="D509">
        <v>132059</v>
      </c>
      <c r="E509" t="s">
        <v>807</v>
      </c>
      <c r="F509" t="s">
        <v>9</v>
      </c>
      <c r="G509" t="s">
        <v>452</v>
      </c>
      <c r="H509" t="s">
        <v>8</v>
      </c>
      <c r="I509" t="s">
        <v>91</v>
      </c>
      <c r="J509">
        <v>43</v>
      </c>
      <c r="K509">
        <v>3</v>
      </c>
      <c r="L509">
        <v>3</v>
      </c>
      <c r="M509">
        <v>3</v>
      </c>
      <c r="N509">
        <v>3</v>
      </c>
      <c r="O509">
        <v>3</v>
      </c>
      <c r="P509" t="b">
        <f t="shared" si="7"/>
        <v>0</v>
      </c>
    </row>
    <row r="510" spans="1:16" x14ac:dyDescent="0.2">
      <c r="A510" t="s">
        <v>127</v>
      </c>
      <c r="B510" t="s">
        <v>128</v>
      </c>
      <c r="C510">
        <v>530</v>
      </c>
      <c r="D510">
        <v>130366</v>
      </c>
      <c r="E510" t="s">
        <v>618</v>
      </c>
      <c r="F510" t="s">
        <v>70</v>
      </c>
      <c r="G510" t="s">
        <v>10</v>
      </c>
      <c r="H510" t="s">
        <v>8</v>
      </c>
      <c r="I510" t="s">
        <v>91</v>
      </c>
      <c r="J510">
        <v>74</v>
      </c>
      <c r="K510">
        <v>0.03</v>
      </c>
      <c r="L510">
        <v>1</v>
      </c>
      <c r="M510">
        <v>1</v>
      </c>
      <c r="N510">
        <v>1</v>
      </c>
      <c r="O510">
        <v>100</v>
      </c>
      <c r="P510" t="b">
        <f t="shared" si="7"/>
        <v>0</v>
      </c>
    </row>
    <row r="511" spans="1:16" x14ac:dyDescent="0.2">
      <c r="A511" t="s">
        <v>127</v>
      </c>
      <c r="B511" t="s">
        <v>128</v>
      </c>
      <c r="C511">
        <v>531</v>
      </c>
      <c r="D511">
        <v>124000</v>
      </c>
      <c r="E511" t="s">
        <v>864</v>
      </c>
      <c r="F511" t="s">
        <v>23</v>
      </c>
      <c r="G511" t="s">
        <v>452</v>
      </c>
      <c r="H511" t="s">
        <v>5</v>
      </c>
      <c r="I511" t="s">
        <v>91</v>
      </c>
      <c r="J511">
        <v>15</v>
      </c>
      <c r="K511">
        <v>0.03</v>
      </c>
      <c r="L511">
        <v>1</v>
      </c>
      <c r="M511">
        <v>1</v>
      </c>
      <c r="N511">
        <v>1</v>
      </c>
      <c r="O511">
        <v>100</v>
      </c>
      <c r="P511" t="b">
        <f t="shared" si="7"/>
        <v>0</v>
      </c>
    </row>
    <row r="512" spans="1:16" x14ac:dyDescent="0.2">
      <c r="A512" t="s">
        <v>127</v>
      </c>
      <c r="B512" t="s">
        <v>128</v>
      </c>
      <c r="C512">
        <v>532</v>
      </c>
      <c r="D512">
        <v>130301</v>
      </c>
      <c r="E512" t="s">
        <v>631</v>
      </c>
      <c r="F512" t="s">
        <v>66</v>
      </c>
      <c r="G512" t="s">
        <v>10</v>
      </c>
      <c r="H512" t="s">
        <v>5</v>
      </c>
      <c r="I512" t="s">
        <v>91</v>
      </c>
      <c r="J512">
        <v>26</v>
      </c>
      <c r="K512">
        <v>0.03</v>
      </c>
      <c r="L512">
        <v>1</v>
      </c>
      <c r="M512">
        <v>1</v>
      </c>
      <c r="N512">
        <v>1</v>
      </c>
      <c r="O512">
        <v>100</v>
      </c>
      <c r="P512" t="b">
        <f t="shared" si="7"/>
        <v>0</v>
      </c>
    </row>
    <row r="513" spans="1:16" x14ac:dyDescent="0.2">
      <c r="A513" t="s">
        <v>127</v>
      </c>
      <c r="B513" t="s">
        <v>128</v>
      </c>
      <c r="C513">
        <v>533</v>
      </c>
      <c r="D513">
        <v>32234</v>
      </c>
      <c r="E513" t="s">
        <v>268</v>
      </c>
      <c r="F513" t="s">
        <v>98</v>
      </c>
      <c r="G513" t="s">
        <v>452</v>
      </c>
      <c r="H513" t="s">
        <v>12</v>
      </c>
      <c r="I513" t="s">
        <v>91</v>
      </c>
      <c r="J513">
        <v>18</v>
      </c>
      <c r="K513">
        <v>0.03</v>
      </c>
      <c r="L513">
        <v>1</v>
      </c>
      <c r="M513">
        <v>1</v>
      </c>
      <c r="N513">
        <v>1</v>
      </c>
      <c r="O513">
        <v>100</v>
      </c>
      <c r="P513" t="b">
        <f t="shared" si="7"/>
        <v>0</v>
      </c>
    </row>
    <row r="514" spans="1:16" x14ac:dyDescent="0.2">
      <c r="A514" t="s">
        <v>127</v>
      </c>
      <c r="B514" t="s">
        <v>128</v>
      </c>
      <c r="C514">
        <v>534</v>
      </c>
      <c r="D514">
        <v>129450</v>
      </c>
      <c r="E514" t="s">
        <v>290</v>
      </c>
      <c r="F514" t="s">
        <v>69</v>
      </c>
      <c r="G514" t="s">
        <v>10</v>
      </c>
      <c r="H514" t="s">
        <v>12</v>
      </c>
      <c r="I514" t="s">
        <v>91</v>
      </c>
      <c r="J514">
        <v>38</v>
      </c>
      <c r="K514">
        <v>0.03</v>
      </c>
      <c r="L514">
        <v>1</v>
      </c>
      <c r="M514">
        <v>1</v>
      </c>
      <c r="N514">
        <v>1</v>
      </c>
      <c r="O514">
        <v>100</v>
      </c>
      <c r="P514" t="b">
        <f t="shared" si="7"/>
        <v>0</v>
      </c>
    </row>
    <row r="515" spans="1:16" x14ac:dyDescent="0.2">
      <c r="A515" t="s">
        <v>127</v>
      </c>
      <c r="B515" t="s">
        <v>128</v>
      </c>
      <c r="C515">
        <v>535</v>
      </c>
      <c r="D515">
        <v>132219</v>
      </c>
      <c r="E515" t="s">
        <v>323</v>
      </c>
      <c r="F515" t="s">
        <v>9</v>
      </c>
      <c r="G515" t="s">
        <v>452</v>
      </c>
      <c r="H515" t="s">
        <v>8</v>
      </c>
      <c r="I515" t="s">
        <v>91</v>
      </c>
      <c r="J515">
        <v>44</v>
      </c>
      <c r="K515">
        <v>3.5</v>
      </c>
      <c r="L515">
        <v>3</v>
      </c>
      <c r="M515">
        <v>2</v>
      </c>
      <c r="N515">
        <v>2</v>
      </c>
      <c r="O515">
        <v>2</v>
      </c>
      <c r="P515" t="b">
        <f t="shared" ref="P515:P578" si="8">AND(C515&lt;$Q$1,IF(ISBLANK(C515),0,C515)&gt;0)</f>
        <v>0</v>
      </c>
    </row>
    <row r="516" spans="1:16" x14ac:dyDescent="0.2">
      <c r="A516" t="s">
        <v>127</v>
      </c>
      <c r="B516" t="s">
        <v>128</v>
      </c>
      <c r="C516">
        <v>536</v>
      </c>
      <c r="D516">
        <v>130300</v>
      </c>
      <c r="E516" t="s">
        <v>246</v>
      </c>
      <c r="F516" t="s">
        <v>68</v>
      </c>
      <c r="G516" t="s">
        <v>10</v>
      </c>
      <c r="H516" t="s">
        <v>5</v>
      </c>
      <c r="I516" t="s">
        <v>91</v>
      </c>
      <c r="J516">
        <v>24</v>
      </c>
      <c r="K516">
        <v>0.03</v>
      </c>
      <c r="L516">
        <v>1</v>
      </c>
      <c r="M516">
        <v>1</v>
      </c>
      <c r="N516">
        <v>1</v>
      </c>
      <c r="O516">
        <v>100</v>
      </c>
      <c r="P516" t="b">
        <f t="shared" si="8"/>
        <v>0</v>
      </c>
    </row>
    <row r="517" spans="1:16" x14ac:dyDescent="0.2">
      <c r="A517" t="s">
        <v>127</v>
      </c>
      <c r="B517" t="s">
        <v>128</v>
      </c>
      <c r="C517">
        <v>537</v>
      </c>
      <c r="D517">
        <v>31902</v>
      </c>
      <c r="E517" t="s">
        <v>242</v>
      </c>
      <c r="F517" t="s">
        <v>38</v>
      </c>
      <c r="G517" t="s">
        <v>452</v>
      </c>
      <c r="H517" t="s">
        <v>5</v>
      </c>
      <c r="I517" t="s">
        <v>91</v>
      </c>
      <c r="J517">
        <v>9</v>
      </c>
      <c r="K517">
        <v>0.03</v>
      </c>
      <c r="L517">
        <v>1</v>
      </c>
      <c r="M517">
        <v>1</v>
      </c>
      <c r="N517">
        <v>1</v>
      </c>
      <c r="O517">
        <v>100</v>
      </c>
      <c r="P517" t="b">
        <f t="shared" si="8"/>
        <v>0</v>
      </c>
    </row>
    <row r="518" spans="1:16" x14ac:dyDescent="0.2">
      <c r="A518" t="s">
        <v>127</v>
      </c>
      <c r="B518" t="s">
        <v>128</v>
      </c>
      <c r="C518">
        <v>538</v>
      </c>
      <c r="D518">
        <v>129476</v>
      </c>
      <c r="E518" t="s">
        <v>769</v>
      </c>
      <c r="F518" t="s">
        <v>69</v>
      </c>
      <c r="G518" t="s">
        <v>10</v>
      </c>
      <c r="H518" t="s">
        <v>12</v>
      </c>
      <c r="I518" t="s">
        <v>91</v>
      </c>
      <c r="J518">
        <v>39</v>
      </c>
      <c r="K518">
        <v>0.03</v>
      </c>
      <c r="L518">
        <v>1</v>
      </c>
      <c r="M518">
        <v>1</v>
      </c>
      <c r="N518">
        <v>1</v>
      </c>
      <c r="O518">
        <v>100</v>
      </c>
      <c r="P518" t="b">
        <f t="shared" si="8"/>
        <v>0</v>
      </c>
    </row>
    <row r="519" spans="1:16" x14ac:dyDescent="0.2">
      <c r="A519" t="s">
        <v>127</v>
      </c>
      <c r="B519" t="s">
        <v>128</v>
      </c>
      <c r="C519">
        <v>539</v>
      </c>
      <c r="D519">
        <v>32199</v>
      </c>
      <c r="E519" t="s">
        <v>1044</v>
      </c>
      <c r="F519" t="s">
        <v>58</v>
      </c>
      <c r="G519" t="s">
        <v>452</v>
      </c>
      <c r="H519" t="s">
        <v>8</v>
      </c>
      <c r="I519" t="s">
        <v>91</v>
      </c>
      <c r="J519">
        <v>16</v>
      </c>
      <c r="K519">
        <v>0.03</v>
      </c>
      <c r="L519">
        <v>1</v>
      </c>
      <c r="M519">
        <v>1</v>
      </c>
      <c r="N519">
        <v>1</v>
      </c>
      <c r="O519">
        <v>100</v>
      </c>
      <c r="P519" t="b">
        <f t="shared" si="8"/>
        <v>0</v>
      </c>
    </row>
    <row r="520" spans="1:16" x14ac:dyDescent="0.2">
      <c r="A520" t="s">
        <v>127</v>
      </c>
      <c r="B520" t="s">
        <v>128</v>
      </c>
      <c r="C520">
        <v>540</v>
      </c>
      <c r="D520">
        <v>130183</v>
      </c>
      <c r="E520" t="s">
        <v>646</v>
      </c>
      <c r="F520" t="s">
        <v>65</v>
      </c>
      <c r="G520" t="s">
        <v>10</v>
      </c>
      <c r="H520" t="s">
        <v>5</v>
      </c>
      <c r="I520" t="s">
        <v>91</v>
      </c>
      <c r="J520">
        <v>38</v>
      </c>
      <c r="K520">
        <v>0.03</v>
      </c>
      <c r="L520">
        <v>1</v>
      </c>
      <c r="M520">
        <v>1</v>
      </c>
      <c r="N520">
        <v>1</v>
      </c>
      <c r="O520">
        <v>100</v>
      </c>
      <c r="P520" t="b">
        <f t="shared" si="8"/>
        <v>0</v>
      </c>
    </row>
    <row r="521" spans="1:16" x14ac:dyDescent="0.2">
      <c r="A521" t="s">
        <v>127</v>
      </c>
      <c r="B521" t="s">
        <v>128</v>
      </c>
      <c r="C521">
        <v>541</v>
      </c>
      <c r="D521">
        <v>76382</v>
      </c>
      <c r="E521" t="s">
        <v>209</v>
      </c>
      <c r="F521" t="s">
        <v>37</v>
      </c>
      <c r="G521" t="s">
        <v>452</v>
      </c>
      <c r="H521" t="s">
        <v>5</v>
      </c>
      <c r="I521" t="s">
        <v>95</v>
      </c>
      <c r="J521">
        <v>11</v>
      </c>
      <c r="K521">
        <v>0.03</v>
      </c>
      <c r="L521">
        <v>1</v>
      </c>
      <c r="M521">
        <v>1</v>
      </c>
      <c r="N521">
        <v>1</v>
      </c>
      <c r="O521">
        <v>100</v>
      </c>
      <c r="P521" t="b">
        <f t="shared" si="8"/>
        <v>0</v>
      </c>
    </row>
    <row r="522" spans="1:16" x14ac:dyDescent="0.2">
      <c r="A522" t="s">
        <v>127</v>
      </c>
      <c r="B522" t="s">
        <v>128</v>
      </c>
      <c r="C522">
        <v>542</v>
      </c>
      <c r="D522">
        <v>129474</v>
      </c>
      <c r="E522" t="s">
        <v>771</v>
      </c>
      <c r="F522" t="s">
        <v>69</v>
      </c>
      <c r="G522" t="s">
        <v>10</v>
      </c>
      <c r="H522" t="s">
        <v>12</v>
      </c>
      <c r="I522" t="s">
        <v>91</v>
      </c>
      <c r="J522">
        <v>40</v>
      </c>
      <c r="K522">
        <v>0.03</v>
      </c>
      <c r="L522">
        <v>1</v>
      </c>
      <c r="M522">
        <v>1</v>
      </c>
      <c r="N522">
        <v>1</v>
      </c>
      <c r="O522">
        <v>100</v>
      </c>
      <c r="P522" t="b">
        <f t="shared" si="8"/>
        <v>0</v>
      </c>
    </row>
    <row r="523" spans="1:16" x14ac:dyDescent="0.2">
      <c r="A523" t="s">
        <v>127</v>
      </c>
      <c r="B523" t="s">
        <v>128</v>
      </c>
      <c r="C523">
        <v>543</v>
      </c>
      <c r="D523">
        <v>126588</v>
      </c>
      <c r="E523" t="s">
        <v>834</v>
      </c>
      <c r="F523" t="s">
        <v>9</v>
      </c>
      <c r="G523" t="s">
        <v>452</v>
      </c>
      <c r="H523" t="s">
        <v>8</v>
      </c>
      <c r="I523" t="s">
        <v>91</v>
      </c>
      <c r="J523">
        <v>45</v>
      </c>
      <c r="K523">
        <v>0.03</v>
      </c>
      <c r="L523">
        <v>1</v>
      </c>
      <c r="M523">
        <v>1</v>
      </c>
      <c r="N523">
        <v>1</v>
      </c>
      <c r="O523">
        <v>100</v>
      </c>
      <c r="P523" t="b">
        <f t="shared" si="8"/>
        <v>0</v>
      </c>
    </row>
    <row r="524" spans="1:16" x14ac:dyDescent="0.2">
      <c r="A524" t="s">
        <v>127</v>
      </c>
      <c r="B524" t="s">
        <v>128</v>
      </c>
      <c r="C524">
        <v>544</v>
      </c>
      <c r="D524">
        <v>130001</v>
      </c>
      <c r="E524" t="s">
        <v>252</v>
      </c>
      <c r="F524" t="s">
        <v>66</v>
      </c>
      <c r="G524" t="s">
        <v>10</v>
      </c>
      <c r="H524" t="s">
        <v>5</v>
      </c>
      <c r="I524" t="s">
        <v>91</v>
      </c>
      <c r="J524">
        <v>27</v>
      </c>
      <c r="K524">
        <v>0.03</v>
      </c>
      <c r="L524">
        <v>1</v>
      </c>
      <c r="M524">
        <v>1</v>
      </c>
      <c r="N524">
        <v>1</v>
      </c>
      <c r="O524">
        <v>100</v>
      </c>
      <c r="P524" t="b">
        <f t="shared" si="8"/>
        <v>0</v>
      </c>
    </row>
    <row r="525" spans="1:16" x14ac:dyDescent="0.2">
      <c r="A525" t="s">
        <v>127</v>
      </c>
      <c r="B525" t="s">
        <v>128</v>
      </c>
      <c r="C525">
        <v>545</v>
      </c>
      <c r="D525">
        <v>134943</v>
      </c>
      <c r="E525" t="s">
        <v>797</v>
      </c>
      <c r="F525" t="s">
        <v>21</v>
      </c>
      <c r="G525" t="s">
        <v>452</v>
      </c>
      <c r="H525" t="s">
        <v>5</v>
      </c>
      <c r="I525" t="s">
        <v>131</v>
      </c>
      <c r="J525">
        <v>15</v>
      </c>
      <c r="K525">
        <v>2.6669999999999998</v>
      </c>
      <c r="L525">
        <v>4</v>
      </c>
      <c r="M525">
        <v>1</v>
      </c>
      <c r="N525">
        <v>3</v>
      </c>
      <c r="O525">
        <v>3</v>
      </c>
      <c r="P525" t="b">
        <f t="shared" si="8"/>
        <v>0</v>
      </c>
    </row>
    <row r="526" spans="1:16" x14ac:dyDescent="0.2">
      <c r="A526" t="s">
        <v>127</v>
      </c>
      <c r="B526" t="s">
        <v>128</v>
      </c>
      <c r="C526">
        <v>546</v>
      </c>
      <c r="D526">
        <v>129478</v>
      </c>
      <c r="E526" t="s">
        <v>768</v>
      </c>
      <c r="F526" t="s">
        <v>69</v>
      </c>
      <c r="G526" t="s">
        <v>10</v>
      </c>
      <c r="H526" t="s">
        <v>12</v>
      </c>
      <c r="I526" t="s">
        <v>91</v>
      </c>
      <c r="J526">
        <v>41</v>
      </c>
      <c r="K526">
        <v>0.03</v>
      </c>
      <c r="L526">
        <v>1</v>
      </c>
      <c r="M526">
        <v>1</v>
      </c>
      <c r="N526">
        <v>1</v>
      </c>
      <c r="O526">
        <v>100</v>
      </c>
      <c r="P526" t="b">
        <f t="shared" si="8"/>
        <v>0</v>
      </c>
    </row>
    <row r="527" spans="1:16" x14ac:dyDescent="0.2">
      <c r="A527" t="s">
        <v>127</v>
      </c>
      <c r="B527" t="s">
        <v>128</v>
      </c>
      <c r="C527">
        <v>547</v>
      </c>
      <c r="D527">
        <v>124021</v>
      </c>
      <c r="E527" t="s">
        <v>863</v>
      </c>
      <c r="F527" t="s">
        <v>9</v>
      </c>
      <c r="G527" t="s">
        <v>452</v>
      </c>
      <c r="H527" t="s">
        <v>8</v>
      </c>
      <c r="I527" t="s">
        <v>93</v>
      </c>
      <c r="J527">
        <v>46</v>
      </c>
      <c r="K527">
        <v>0.03</v>
      </c>
      <c r="L527">
        <v>1</v>
      </c>
      <c r="M527">
        <v>1</v>
      </c>
      <c r="N527">
        <v>1</v>
      </c>
      <c r="O527">
        <v>100</v>
      </c>
      <c r="P527" t="b">
        <f t="shared" si="8"/>
        <v>0</v>
      </c>
    </row>
    <row r="528" spans="1:16" x14ac:dyDescent="0.2">
      <c r="A528" t="s">
        <v>127</v>
      </c>
      <c r="B528" t="s">
        <v>128</v>
      </c>
      <c r="C528">
        <v>548</v>
      </c>
      <c r="D528">
        <v>130655</v>
      </c>
      <c r="E528" t="s">
        <v>254</v>
      </c>
      <c r="F528" t="s">
        <v>68</v>
      </c>
      <c r="G528" t="s">
        <v>10</v>
      </c>
      <c r="H528" t="s">
        <v>5</v>
      </c>
      <c r="I528" t="s">
        <v>91</v>
      </c>
      <c r="J528">
        <v>26</v>
      </c>
      <c r="K528">
        <v>0.03</v>
      </c>
      <c r="L528">
        <v>1</v>
      </c>
      <c r="M528">
        <v>1</v>
      </c>
      <c r="N528">
        <v>1</v>
      </c>
      <c r="O528">
        <v>100</v>
      </c>
      <c r="P528" t="b">
        <f t="shared" si="8"/>
        <v>0</v>
      </c>
    </row>
    <row r="529" spans="1:16" x14ac:dyDescent="0.2">
      <c r="A529" t="s">
        <v>127</v>
      </c>
      <c r="B529" t="s">
        <v>128</v>
      </c>
      <c r="C529">
        <v>549</v>
      </c>
      <c r="D529">
        <v>78453</v>
      </c>
      <c r="E529" t="s">
        <v>930</v>
      </c>
      <c r="F529" t="s">
        <v>23</v>
      </c>
      <c r="G529" t="s">
        <v>452</v>
      </c>
      <c r="H529" t="s">
        <v>5</v>
      </c>
      <c r="I529" t="s">
        <v>91</v>
      </c>
      <c r="J529">
        <v>16</v>
      </c>
      <c r="K529">
        <v>0.03</v>
      </c>
      <c r="L529">
        <v>1</v>
      </c>
      <c r="M529">
        <v>1</v>
      </c>
      <c r="N529">
        <v>1</v>
      </c>
      <c r="O529">
        <v>100</v>
      </c>
      <c r="P529" t="b">
        <f t="shared" si="8"/>
        <v>0</v>
      </c>
    </row>
    <row r="530" spans="1:16" x14ac:dyDescent="0.2">
      <c r="A530" t="s">
        <v>127</v>
      </c>
      <c r="B530" t="s">
        <v>128</v>
      </c>
      <c r="C530">
        <v>550</v>
      </c>
      <c r="D530">
        <v>129473</v>
      </c>
      <c r="E530" t="s">
        <v>772</v>
      </c>
      <c r="F530" t="s">
        <v>69</v>
      </c>
      <c r="G530" t="s">
        <v>10</v>
      </c>
      <c r="H530" t="s">
        <v>12</v>
      </c>
      <c r="I530" t="s">
        <v>91</v>
      </c>
      <c r="J530">
        <v>42</v>
      </c>
      <c r="K530">
        <v>0.03</v>
      </c>
      <c r="L530">
        <v>1</v>
      </c>
      <c r="M530">
        <v>1</v>
      </c>
      <c r="N530">
        <v>1</v>
      </c>
      <c r="O530">
        <v>100</v>
      </c>
      <c r="P530" t="b">
        <f t="shared" si="8"/>
        <v>0</v>
      </c>
    </row>
    <row r="531" spans="1:16" x14ac:dyDescent="0.2">
      <c r="A531" t="s">
        <v>127</v>
      </c>
      <c r="B531" t="s">
        <v>128</v>
      </c>
      <c r="C531">
        <v>551</v>
      </c>
      <c r="D531">
        <v>132022</v>
      </c>
      <c r="E531" t="s">
        <v>810</v>
      </c>
      <c r="F531" t="s">
        <v>9</v>
      </c>
      <c r="G531" t="s">
        <v>452</v>
      </c>
      <c r="H531" t="s">
        <v>8</v>
      </c>
      <c r="I531" t="s">
        <v>91</v>
      </c>
      <c r="J531">
        <v>47</v>
      </c>
      <c r="K531">
        <v>0.03</v>
      </c>
      <c r="L531">
        <v>1</v>
      </c>
      <c r="M531">
        <v>1</v>
      </c>
      <c r="N531">
        <v>1</v>
      </c>
      <c r="O531">
        <v>100</v>
      </c>
      <c r="P531" t="b">
        <f t="shared" si="8"/>
        <v>0</v>
      </c>
    </row>
    <row r="532" spans="1:16" x14ac:dyDescent="0.2">
      <c r="A532" t="s">
        <v>127</v>
      </c>
      <c r="B532" t="s">
        <v>128</v>
      </c>
      <c r="C532">
        <v>552</v>
      </c>
      <c r="D532">
        <v>129669</v>
      </c>
      <c r="E532" t="s">
        <v>718</v>
      </c>
      <c r="F532" t="s">
        <v>65</v>
      </c>
      <c r="G532" t="s">
        <v>10</v>
      </c>
      <c r="H532" t="s">
        <v>5</v>
      </c>
      <c r="I532" t="s">
        <v>95</v>
      </c>
      <c r="J532">
        <v>39</v>
      </c>
      <c r="K532">
        <v>0.03</v>
      </c>
      <c r="L532">
        <v>1</v>
      </c>
      <c r="M532">
        <v>1</v>
      </c>
      <c r="N532">
        <v>1</v>
      </c>
      <c r="O532">
        <v>100</v>
      </c>
      <c r="P532" t="b">
        <f t="shared" si="8"/>
        <v>0</v>
      </c>
    </row>
    <row r="533" spans="1:16" x14ac:dyDescent="0.2">
      <c r="A533" t="s">
        <v>127</v>
      </c>
      <c r="B533" t="s">
        <v>128</v>
      </c>
      <c r="C533">
        <v>553</v>
      </c>
      <c r="D533">
        <v>31633</v>
      </c>
      <c r="E533" t="s">
        <v>1136</v>
      </c>
      <c r="F533" t="s">
        <v>25</v>
      </c>
      <c r="G533" t="s">
        <v>452</v>
      </c>
      <c r="H533" t="s">
        <v>5</v>
      </c>
      <c r="I533" t="s">
        <v>91</v>
      </c>
      <c r="J533">
        <v>9</v>
      </c>
      <c r="K533">
        <v>0.03</v>
      </c>
      <c r="L533">
        <v>1</v>
      </c>
      <c r="M533">
        <v>1</v>
      </c>
      <c r="N533">
        <v>1</v>
      </c>
      <c r="O533">
        <v>100</v>
      </c>
      <c r="P533" t="b">
        <f t="shared" si="8"/>
        <v>0</v>
      </c>
    </row>
    <row r="534" spans="1:16" x14ac:dyDescent="0.2">
      <c r="A534" t="s">
        <v>127</v>
      </c>
      <c r="B534" t="s">
        <v>128</v>
      </c>
      <c r="C534">
        <v>554</v>
      </c>
      <c r="D534">
        <v>129803</v>
      </c>
      <c r="E534" t="s">
        <v>701</v>
      </c>
      <c r="F534" t="s">
        <v>69</v>
      </c>
      <c r="G534" t="s">
        <v>10</v>
      </c>
      <c r="H534" t="s">
        <v>12</v>
      </c>
      <c r="I534" t="s">
        <v>91</v>
      </c>
      <c r="J534">
        <v>43</v>
      </c>
      <c r="K534">
        <v>0.03</v>
      </c>
      <c r="L534">
        <v>1</v>
      </c>
      <c r="M534">
        <v>1</v>
      </c>
      <c r="N534">
        <v>1</v>
      </c>
      <c r="O534">
        <v>100</v>
      </c>
      <c r="P534" t="b">
        <f t="shared" si="8"/>
        <v>0</v>
      </c>
    </row>
    <row r="535" spans="1:16" x14ac:dyDescent="0.2">
      <c r="A535" t="s">
        <v>127</v>
      </c>
      <c r="B535" t="s">
        <v>128</v>
      </c>
      <c r="C535">
        <v>555</v>
      </c>
      <c r="D535">
        <v>49198</v>
      </c>
      <c r="E535" t="s">
        <v>1010</v>
      </c>
      <c r="F535" t="s">
        <v>58</v>
      </c>
      <c r="G535" t="s">
        <v>452</v>
      </c>
      <c r="H535" t="s">
        <v>8</v>
      </c>
      <c r="I535" t="s">
        <v>91</v>
      </c>
      <c r="J535">
        <v>17</v>
      </c>
      <c r="K535">
        <v>0.03</v>
      </c>
      <c r="L535">
        <v>1</v>
      </c>
      <c r="M535">
        <v>1</v>
      </c>
      <c r="N535">
        <v>1</v>
      </c>
      <c r="O535">
        <v>100</v>
      </c>
      <c r="P535" t="b">
        <f t="shared" si="8"/>
        <v>0</v>
      </c>
    </row>
    <row r="536" spans="1:16" x14ac:dyDescent="0.2">
      <c r="A536" t="s">
        <v>127</v>
      </c>
      <c r="B536" t="s">
        <v>128</v>
      </c>
      <c r="C536">
        <v>556</v>
      </c>
      <c r="D536">
        <v>130805</v>
      </c>
      <c r="E536" t="s">
        <v>536</v>
      </c>
      <c r="F536" t="s">
        <v>65</v>
      </c>
      <c r="G536" t="s">
        <v>10</v>
      </c>
      <c r="H536" t="s">
        <v>5</v>
      </c>
      <c r="I536" t="s">
        <v>91</v>
      </c>
      <c r="J536">
        <v>40</v>
      </c>
      <c r="K536">
        <v>0.03</v>
      </c>
      <c r="L536">
        <v>1</v>
      </c>
      <c r="M536">
        <v>1</v>
      </c>
      <c r="N536">
        <v>1</v>
      </c>
      <c r="O536">
        <v>100</v>
      </c>
      <c r="P536" t="b">
        <f t="shared" si="8"/>
        <v>0</v>
      </c>
    </row>
    <row r="537" spans="1:16" x14ac:dyDescent="0.2">
      <c r="A537" t="s">
        <v>127</v>
      </c>
      <c r="B537" t="s">
        <v>128</v>
      </c>
      <c r="C537">
        <v>557</v>
      </c>
      <c r="D537">
        <v>31816</v>
      </c>
      <c r="E537" t="s">
        <v>1108</v>
      </c>
      <c r="F537" t="s">
        <v>24</v>
      </c>
      <c r="G537" t="s">
        <v>452</v>
      </c>
      <c r="H537" t="s">
        <v>5</v>
      </c>
      <c r="I537" t="s">
        <v>91</v>
      </c>
      <c r="J537">
        <v>9</v>
      </c>
      <c r="K537">
        <v>0.03</v>
      </c>
      <c r="L537">
        <v>1</v>
      </c>
      <c r="M537">
        <v>1</v>
      </c>
      <c r="N537">
        <v>1</v>
      </c>
      <c r="O537">
        <v>100</v>
      </c>
      <c r="P537" t="b">
        <f t="shared" si="8"/>
        <v>0</v>
      </c>
    </row>
    <row r="538" spans="1:16" x14ac:dyDescent="0.2">
      <c r="A538" t="s">
        <v>127</v>
      </c>
      <c r="B538" t="s">
        <v>128</v>
      </c>
      <c r="C538">
        <v>558</v>
      </c>
      <c r="D538">
        <v>129471</v>
      </c>
      <c r="E538" t="s">
        <v>774</v>
      </c>
      <c r="F538" t="s">
        <v>69</v>
      </c>
      <c r="G538" t="s">
        <v>10</v>
      </c>
      <c r="H538" t="s">
        <v>12</v>
      </c>
      <c r="I538" t="s">
        <v>91</v>
      </c>
      <c r="J538">
        <v>44</v>
      </c>
      <c r="K538">
        <v>0.03</v>
      </c>
      <c r="L538">
        <v>1</v>
      </c>
      <c r="M538">
        <v>1</v>
      </c>
      <c r="N538">
        <v>1</v>
      </c>
      <c r="O538">
        <v>100</v>
      </c>
      <c r="P538" t="b">
        <f t="shared" si="8"/>
        <v>0</v>
      </c>
    </row>
    <row r="539" spans="1:16" x14ac:dyDescent="0.2">
      <c r="A539" t="s">
        <v>127</v>
      </c>
      <c r="B539" t="s">
        <v>128</v>
      </c>
      <c r="C539">
        <v>559</v>
      </c>
      <c r="D539">
        <v>48157</v>
      </c>
      <c r="E539" t="s">
        <v>1014</v>
      </c>
      <c r="F539" t="s">
        <v>9</v>
      </c>
      <c r="G539" t="s">
        <v>452</v>
      </c>
      <c r="H539" t="s">
        <v>8</v>
      </c>
      <c r="I539" t="s">
        <v>91</v>
      </c>
      <c r="J539">
        <v>48</v>
      </c>
      <c r="K539">
        <v>0.03</v>
      </c>
      <c r="L539">
        <v>1</v>
      </c>
      <c r="M539">
        <v>1</v>
      </c>
      <c r="N539">
        <v>1</v>
      </c>
      <c r="O539">
        <v>100</v>
      </c>
      <c r="P539" t="b">
        <f t="shared" si="8"/>
        <v>0</v>
      </c>
    </row>
    <row r="540" spans="1:16" x14ac:dyDescent="0.2">
      <c r="A540" t="s">
        <v>127</v>
      </c>
      <c r="B540" t="s">
        <v>128</v>
      </c>
      <c r="C540">
        <v>560</v>
      </c>
      <c r="D540">
        <v>130368</v>
      </c>
      <c r="E540" t="s">
        <v>256</v>
      </c>
      <c r="F540" t="s">
        <v>66</v>
      </c>
      <c r="G540" t="s">
        <v>10</v>
      </c>
      <c r="H540" t="s">
        <v>5</v>
      </c>
      <c r="I540" t="s">
        <v>138</v>
      </c>
      <c r="J540">
        <v>28</v>
      </c>
      <c r="K540">
        <v>0.03</v>
      </c>
      <c r="L540">
        <v>1</v>
      </c>
      <c r="M540">
        <v>1</v>
      </c>
      <c r="N540">
        <v>1</v>
      </c>
      <c r="O540">
        <v>100</v>
      </c>
      <c r="P540" t="b">
        <f t="shared" si="8"/>
        <v>0</v>
      </c>
    </row>
    <row r="541" spans="1:16" x14ac:dyDescent="0.2">
      <c r="A541" t="s">
        <v>127</v>
      </c>
      <c r="B541" t="s">
        <v>128</v>
      </c>
      <c r="C541">
        <v>561</v>
      </c>
      <c r="D541">
        <v>31903</v>
      </c>
      <c r="E541" t="s">
        <v>250</v>
      </c>
      <c r="F541" t="s">
        <v>38</v>
      </c>
      <c r="G541" t="s">
        <v>452</v>
      </c>
      <c r="H541" t="s">
        <v>5</v>
      </c>
      <c r="I541" t="s">
        <v>91</v>
      </c>
      <c r="J541">
        <v>10</v>
      </c>
      <c r="K541">
        <v>0.03</v>
      </c>
      <c r="L541">
        <v>1</v>
      </c>
      <c r="M541">
        <v>1</v>
      </c>
      <c r="N541">
        <v>1</v>
      </c>
      <c r="O541">
        <v>100</v>
      </c>
      <c r="P541" t="b">
        <f t="shared" si="8"/>
        <v>0</v>
      </c>
    </row>
    <row r="542" spans="1:16" x14ac:dyDescent="0.2">
      <c r="A542" t="s">
        <v>127</v>
      </c>
      <c r="B542" t="s">
        <v>128</v>
      </c>
      <c r="C542">
        <v>562</v>
      </c>
      <c r="D542">
        <v>129443</v>
      </c>
      <c r="E542" t="s">
        <v>303</v>
      </c>
      <c r="F542" t="s">
        <v>69</v>
      </c>
      <c r="G542" t="s">
        <v>10</v>
      </c>
      <c r="H542" t="s">
        <v>12</v>
      </c>
      <c r="I542" t="s">
        <v>91</v>
      </c>
      <c r="J542">
        <v>45</v>
      </c>
      <c r="K542">
        <v>0.03</v>
      </c>
      <c r="L542">
        <v>1</v>
      </c>
      <c r="M542">
        <v>1</v>
      </c>
      <c r="N542">
        <v>1</v>
      </c>
      <c r="O542">
        <v>100</v>
      </c>
      <c r="P542" t="b">
        <f t="shared" si="8"/>
        <v>0</v>
      </c>
    </row>
    <row r="543" spans="1:16" x14ac:dyDescent="0.2">
      <c r="A543" t="s">
        <v>127</v>
      </c>
      <c r="B543" t="s">
        <v>128</v>
      </c>
      <c r="C543">
        <v>563</v>
      </c>
      <c r="D543">
        <v>131991</v>
      </c>
      <c r="E543" t="s">
        <v>816</v>
      </c>
      <c r="F543" t="s">
        <v>9</v>
      </c>
      <c r="G543" t="s">
        <v>452</v>
      </c>
      <c r="H543" t="s">
        <v>8</v>
      </c>
      <c r="I543" t="s">
        <v>91</v>
      </c>
      <c r="J543">
        <v>49</v>
      </c>
      <c r="K543">
        <v>0.03</v>
      </c>
      <c r="L543">
        <v>1</v>
      </c>
      <c r="M543">
        <v>1</v>
      </c>
      <c r="N543">
        <v>1</v>
      </c>
      <c r="O543">
        <v>100</v>
      </c>
      <c r="P543" t="b">
        <f t="shared" si="8"/>
        <v>0</v>
      </c>
    </row>
    <row r="544" spans="1:16" x14ac:dyDescent="0.2">
      <c r="A544" t="s">
        <v>127</v>
      </c>
      <c r="B544" t="s">
        <v>128</v>
      </c>
      <c r="C544">
        <v>564</v>
      </c>
      <c r="D544">
        <v>130473</v>
      </c>
      <c r="E544" t="s">
        <v>258</v>
      </c>
      <c r="F544" t="s">
        <v>68</v>
      </c>
      <c r="G544" t="s">
        <v>10</v>
      </c>
      <c r="H544" t="s">
        <v>5</v>
      </c>
      <c r="I544" t="s">
        <v>95</v>
      </c>
      <c r="J544">
        <v>27</v>
      </c>
      <c r="K544">
        <v>0.03</v>
      </c>
      <c r="L544">
        <v>1</v>
      </c>
      <c r="M544">
        <v>1</v>
      </c>
      <c r="N544">
        <v>1</v>
      </c>
      <c r="O544">
        <v>100</v>
      </c>
      <c r="P544" t="b">
        <f t="shared" si="8"/>
        <v>0</v>
      </c>
    </row>
    <row r="545" spans="1:16" x14ac:dyDescent="0.2">
      <c r="A545" t="s">
        <v>127</v>
      </c>
      <c r="B545" t="s">
        <v>128</v>
      </c>
      <c r="C545">
        <v>565</v>
      </c>
      <c r="D545">
        <v>127066</v>
      </c>
      <c r="E545" t="s">
        <v>824</v>
      </c>
      <c r="F545" t="s">
        <v>37</v>
      </c>
      <c r="G545" t="s">
        <v>452</v>
      </c>
      <c r="H545" t="s">
        <v>5</v>
      </c>
      <c r="I545" t="s">
        <v>97</v>
      </c>
      <c r="J545">
        <v>12</v>
      </c>
      <c r="K545">
        <v>1.75</v>
      </c>
      <c r="L545">
        <v>3</v>
      </c>
      <c r="M545">
        <v>2</v>
      </c>
      <c r="N545">
        <v>2</v>
      </c>
      <c r="O545">
        <v>4</v>
      </c>
      <c r="P545" t="b">
        <f t="shared" si="8"/>
        <v>0</v>
      </c>
    </row>
    <row r="546" spans="1:16" x14ac:dyDescent="0.2">
      <c r="A546" t="s">
        <v>127</v>
      </c>
      <c r="B546" t="s">
        <v>128</v>
      </c>
      <c r="C546">
        <v>566</v>
      </c>
      <c r="D546">
        <v>129468</v>
      </c>
      <c r="E546" t="s">
        <v>306</v>
      </c>
      <c r="F546" t="s">
        <v>69</v>
      </c>
      <c r="G546" t="s">
        <v>10</v>
      </c>
      <c r="H546" t="s">
        <v>12</v>
      </c>
      <c r="I546" t="s">
        <v>91</v>
      </c>
      <c r="J546">
        <v>46</v>
      </c>
      <c r="K546">
        <v>0.03</v>
      </c>
      <c r="L546">
        <v>1</v>
      </c>
      <c r="M546">
        <v>1</v>
      </c>
      <c r="N546">
        <v>1</v>
      </c>
      <c r="O546">
        <v>100</v>
      </c>
      <c r="P546" t="b">
        <f t="shared" si="8"/>
        <v>0</v>
      </c>
    </row>
    <row r="547" spans="1:16" x14ac:dyDescent="0.2">
      <c r="A547" t="s">
        <v>127</v>
      </c>
      <c r="B547" t="s">
        <v>128</v>
      </c>
      <c r="C547">
        <v>567</v>
      </c>
      <c r="D547">
        <v>31979</v>
      </c>
      <c r="E547" t="s">
        <v>1077</v>
      </c>
      <c r="F547" t="s">
        <v>9</v>
      </c>
      <c r="G547" t="s">
        <v>452</v>
      </c>
      <c r="H547" t="s">
        <v>8</v>
      </c>
      <c r="I547" t="s">
        <v>91</v>
      </c>
      <c r="J547">
        <v>50</v>
      </c>
      <c r="K547">
        <v>0.03</v>
      </c>
      <c r="L547">
        <v>1</v>
      </c>
      <c r="M547">
        <v>1</v>
      </c>
      <c r="N547">
        <v>1</v>
      </c>
      <c r="O547">
        <v>100</v>
      </c>
      <c r="P547" t="b">
        <f t="shared" si="8"/>
        <v>0</v>
      </c>
    </row>
    <row r="548" spans="1:16" x14ac:dyDescent="0.2">
      <c r="A548" t="s">
        <v>127</v>
      </c>
      <c r="B548" t="s">
        <v>128</v>
      </c>
      <c r="C548">
        <v>568</v>
      </c>
      <c r="D548">
        <v>129928</v>
      </c>
      <c r="E548" t="s">
        <v>687</v>
      </c>
      <c r="F548" t="s">
        <v>65</v>
      </c>
      <c r="G548" t="s">
        <v>10</v>
      </c>
      <c r="H548" t="s">
        <v>5</v>
      </c>
      <c r="I548" t="s">
        <v>91</v>
      </c>
      <c r="J548">
        <v>41</v>
      </c>
      <c r="K548">
        <v>0.03</v>
      </c>
      <c r="L548">
        <v>1</v>
      </c>
      <c r="M548">
        <v>1</v>
      </c>
      <c r="N548">
        <v>1</v>
      </c>
      <c r="O548">
        <v>100</v>
      </c>
      <c r="P548" t="b">
        <f t="shared" si="8"/>
        <v>0</v>
      </c>
    </row>
    <row r="549" spans="1:16" x14ac:dyDescent="0.2">
      <c r="A549" t="s">
        <v>127</v>
      </c>
      <c r="B549" t="s">
        <v>128</v>
      </c>
      <c r="C549">
        <v>569</v>
      </c>
      <c r="D549">
        <v>84849</v>
      </c>
      <c r="E549" t="s">
        <v>925</v>
      </c>
      <c r="F549" t="s">
        <v>21</v>
      </c>
      <c r="G549" t="s">
        <v>452</v>
      </c>
      <c r="H549" t="s">
        <v>5</v>
      </c>
      <c r="I549" t="s">
        <v>91</v>
      </c>
      <c r="J549">
        <v>16</v>
      </c>
      <c r="K549">
        <v>0.03</v>
      </c>
      <c r="L549">
        <v>1</v>
      </c>
      <c r="M549">
        <v>1</v>
      </c>
      <c r="N549">
        <v>1</v>
      </c>
      <c r="O549">
        <v>100</v>
      </c>
      <c r="P549" t="b">
        <f t="shared" si="8"/>
        <v>0</v>
      </c>
    </row>
    <row r="550" spans="1:16" x14ac:dyDescent="0.2">
      <c r="A550" t="s">
        <v>127</v>
      </c>
      <c r="B550" t="s">
        <v>128</v>
      </c>
      <c r="C550">
        <v>570</v>
      </c>
      <c r="D550">
        <v>129446</v>
      </c>
      <c r="E550" t="s">
        <v>791</v>
      </c>
      <c r="F550" t="s">
        <v>69</v>
      </c>
      <c r="G550" t="s">
        <v>10</v>
      </c>
      <c r="H550" t="s">
        <v>12</v>
      </c>
      <c r="I550" t="s">
        <v>91</v>
      </c>
      <c r="J550">
        <v>47</v>
      </c>
      <c r="K550">
        <v>0.03</v>
      </c>
      <c r="L550">
        <v>1</v>
      </c>
      <c r="M550">
        <v>1</v>
      </c>
      <c r="N550">
        <v>1</v>
      </c>
      <c r="O550">
        <v>100</v>
      </c>
      <c r="P550" t="b">
        <f t="shared" si="8"/>
        <v>0</v>
      </c>
    </row>
    <row r="551" spans="1:16" x14ac:dyDescent="0.2">
      <c r="A551" t="s">
        <v>127</v>
      </c>
      <c r="B551" t="s">
        <v>128</v>
      </c>
      <c r="C551">
        <v>571</v>
      </c>
      <c r="D551">
        <v>36549</v>
      </c>
      <c r="E551" t="s">
        <v>1028</v>
      </c>
      <c r="F551" t="s">
        <v>58</v>
      </c>
      <c r="G551" t="s">
        <v>452</v>
      </c>
      <c r="H551" t="s">
        <v>8</v>
      </c>
      <c r="I551" t="s">
        <v>91</v>
      </c>
      <c r="J551">
        <v>18</v>
      </c>
      <c r="K551">
        <v>0.03</v>
      </c>
      <c r="L551">
        <v>1</v>
      </c>
      <c r="M551">
        <v>1</v>
      </c>
      <c r="N551">
        <v>1</v>
      </c>
      <c r="O551">
        <v>100</v>
      </c>
      <c r="P551" t="b">
        <f t="shared" si="8"/>
        <v>0</v>
      </c>
    </row>
    <row r="552" spans="1:16" x14ac:dyDescent="0.2">
      <c r="A552" t="s">
        <v>127</v>
      </c>
      <c r="B552" t="s">
        <v>128</v>
      </c>
      <c r="C552">
        <v>572</v>
      </c>
      <c r="D552">
        <v>130407</v>
      </c>
      <c r="E552" t="s">
        <v>262</v>
      </c>
      <c r="F552" t="s">
        <v>66</v>
      </c>
      <c r="G552" t="s">
        <v>10</v>
      </c>
      <c r="H552" t="s">
        <v>5</v>
      </c>
      <c r="I552" t="s">
        <v>91</v>
      </c>
      <c r="J552">
        <v>29</v>
      </c>
      <c r="K552">
        <v>0.03</v>
      </c>
      <c r="L552">
        <v>1</v>
      </c>
      <c r="M552">
        <v>1</v>
      </c>
      <c r="N552">
        <v>1</v>
      </c>
      <c r="O552">
        <v>100</v>
      </c>
      <c r="P552" t="b">
        <f t="shared" si="8"/>
        <v>0</v>
      </c>
    </row>
    <row r="553" spans="1:16" x14ac:dyDescent="0.2">
      <c r="A553" t="s">
        <v>127</v>
      </c>
      <c r="B553" t="s">
        <v>128</v>
      </c>
      <c r="C553">
        <v>573</v>
      </c>
      <c r="D553">
        <v>94164</v>
      </c>
      <c r="E553" t="s">
        <v>907</v>
      </c>
      <c r="F553" t="s">
        <v>23</v>
      </c>
      <c r="G553" t="s">
        <v>452</v>
      </c>
      <c r="H553" t="s">
        <v>5</v>
      </c>
      <c r="I553" t="s">
        <v>91</v>
      </c>
      <c r="J553">
        <v>17</v>
      </c>
      <c r="K553">
        <v>0.03</v>
      </c>
      <c r="L553">
        <v>1</v>
      </c>
      <c r="M553">
        <v>1</v>
      </c>
      <c r="N553">
        <v>1</v>
      </c>
      <c r="O553">
        <v>100</v>
      </c>
      <c r="P553" t="b">
        <f t="shared" si="8"/>
        <v>0</v>
      </c>
    </row>
    <row r="554" spans="1:16" x14ac:dyDescent="0.2">
      <c r="A554" t="s">
        <v>127</v>
      </c>
      <c r="B554" t="s">
        <v>128</v>
      </c>
      <c r="C554">
        <v>574</v>
      </c>
      <c r="D554">
        <v>129447</v>
      </c>
      <c r="E554" t="s">
        <v>790</v>
      </c>
      <c r="F554" t="s">
        <v>69</v>
      </c>
      <c r="G554" t="s">
        <v>10</v>
      </c>
      <c r="H554" t="s">
        <v>12</v>
      </c>
      <c r="I554" t="s">
        <v>91</v>
      </c>
      <c r="J554">
        <v>48</v>
      </c>
      <c r="K554">
        <v>0.03</v>
      </c>
      <c r="L554">
        <v>1</v>
      </c>
      <c r="M554">
        <v>1</v>
      </c>
      <c r="N554">
        <v>1</v>
      </c>
      <c r="O554">
        <v>100</v>
      </c>
      <c r="P554" t="b">
        <f t="shared" si="8"/>
        <v>0</v>
      </c>
    </row>
    <row r="555" spans="1:16" x14ac:dyDescent="0.2">
      <c r="A555" t="s">
        <v>127</v>
      </c>
      <c r="B555" t="s">
        <v>128</v>
      </c>
      <c r="C555">
        <v>575</v>
      </c>
      <c r="D555">
        <v>132058</v>
      </c>
      <c r="E555" t="s">
        <v>331</v>
      </c>
      <c r="F555" t="s">
        <v>9</v>
      </c>
      <c r="G555" t="s">
        <v>452</v>
      </c>
      <c r="H555" t="s">
        <v>8</v>
      </c>
      <c r="I555" t="s">
        <v>91</v>
      </c>
      <c r="J555">
        <v>51</v>
      </c>
      <c r="K555">
        <v>4</v>
      </c>
      <c r="L555">
        <v>2</v>
      </c>
      <c r="M555">
        <v>1</v>
      </c>
      <c r="N555">
        <v>1</v>
      </c>
      <c r="O555">
        <v>1</v>
      </c>
      <c r="P555" t="b">
        <f t="shared" si="8"/>
        <v>0</v>
      </c>
    </row>
    <row r="556" spans="1:16" x14ac:dyDescent="0.2">
      <c r="A556" t="s">
        <v>127</v>
      </c>
      <c r="B556" t="s">
        <v>128</v>
      </c>
      <c r="C556">
        <v>576</v>
      </c>
      <c r="D556">
        <v>129566</v>
      </c>
      <c r="E556" t="s">
        <v>264</v>
      </c>
      <c r="F556" t="s">
        <v>68</v>
      </c>
      <c r="G556" t="s">
        <v>10</v>
      </c>
      <c r="H556" t="s">
        <v>5</v>
      </c>
      <c r="I556" t="s">
        <v>91</v>
      </c>
      <c r="J556">
        <v>28</v>
      </c>
      <c r="K556">
        <v>0.03</v>
      </c>
      <c r="L556">
        <v>1</v>
      </c>
      <c r="M556">
        <v>1</v>
      </c>
      <c r="N556">
        <v>1</v>
      </c>
      <c r="O556">
        <v>100</v>
      </c>
      <c r="P556" t="b">
        <f t="shared" si="8"/>
        <v>0</v>
      </c>
    </row>
    <row r="557" spans="1:16" x14ac:dyDescent="0.2">
      <c r="A557" t="s">
        <v>127</v>
      </c>
      <c r="B557" t="s">
        <v>128</v>
      </c>
      <c r="C557">
        <v>577</v>
      </c>
      <c r="D557">
        <v>103865</v>
      </c>
      <c r="E557" t="s">
        <v>891</v>
      </c>
      <c r="F557" t="s">
        <v>21</v>
      </c>
      <c r="G557" t="s">
        <v>452</v>
      </c>
      <c r="H557" t="s">
        <v>5</v>
      </c>
      <c r="I557" t="s">
        <v>91</v>
      </c>
      <c r="J557">
        <v>17</v>
      </c>
      <c r="K557">
        <v>0.03</v>
      </c>
      <c r="L557">
        <v>1</v>
      </c>
      <c r="M557">
        <v>1</v>
      </c>
      <c r="N557">
        <v>1</v>
      </c>
      <c r="O557">
        <v>100</v>
      </c>
      <c r="P557" t="b">
        <f t="shared" si="8"/>
        <v>0</v>
      </c>
    </row>
    <row r="558" spans="1:16" x14ac:dyDescent="0.2">
      <c r="A558" t="s">
        <v>127</v>
      </c>
      <c r="B558" t="s">
        <v>128</v>
      </c>
      <c r="C558">
        <v>578</v>
      </c>
      <c r="D558">
        <v>129448</v>
      </c>
      <c r="E558" t="s">
        <v>789</v>
      </c>
      <c r="F558" t="s">
        <v>69</v>
      </c>
      <c r="G558" t="s">
        <v>10</v>
      </c>
      <c r="H558" t="s">
        <v>12</v>
      </c>
      <c r="I558" t="s">
        <v>91</v>
      </c>
      <c r="J558">
        <v>49</v>
      </c>
      <c r="K558">
        <v>0.03</v>
      </c>
      <c r="L558">
        <v>1</v>
      </c>
      <c r="M558">
        <v>1</v>
      </c>
      <c r="N558">
        <v>1</v>
      </c>
      <c r="O558">
        <v>100</v>
      </c>
      <c r="P558" t="b">
        <f t="shared" si="8"/>
        <v>0</v>
      </c>
    </row>
    <row r="559" spans="1:16" x14ac:dyDescent="0.2">
      <c r="A559" t="s">
        <v>127</v>
      </c>
      <c r="B559" t="s">
        <v>128</v>
      </c>
      <c r="C559">
        <v>579</v>
      </c>
      <c r="D559">
        <v>106746</v>
      </c>
      <c r="E559" t="s">
        <v>402</v>
      </c>
      <c r="F559" t="s">
        <v>9</v>
      </c>
      <c r="G559" t="s">
        <v>452</v>
      </c>
      <c r="H559" t="s">
        <v>8</v>
      </c>
      <c r="I559" t="s">
        <v>91</v>
      </c>
      <c r="J559">
        <v>52</v>
      </c>
      <c r="K559">
        <v>0.03</v>
      </c>
      <c r="L559">
        <v>1</v>
      </c>
      <c r="M559">
        <v>1</v>
      </c>
      <c r="N559">
        <v>1</v>
      </c>
      <c r="O559">
        <v>100</v>
      </c>
      <c r="P559" t="b">
        <f t="shared" si="8"/>
        <v>0</v>
      </c>
    </row>
    <row r="560" spans="1:16" x14ac:dyDescent="0.2">
      <c r="A560" t="s">
        <v>127</v>
      </c>
      <c r="B560" t="s">
        <v>128</v>
      </c>
      <c r="C560">
        <v>580</v>
      </c>
      <c r="D560">
        <v>130255</v>
      </c>
      <c r="E560" t="s">
        <v>637</v>
      </c>
      <c r="F560" t="s">
        <v>65</v>
      </c>
      <c r="G560" t="s">
        <v>10</v>
      </c>
      <c r="H560" t="s">
        <v>5</v>
      </c>
      <c r="I560" t="s">
        <v>91</v>
      </c>
      <c r="J560">
        <v>42</v>
      </c>
      <c r="K560">
        <v>0.03</v>
      </c>
      <c r="L560">
        <v>1</v>
      </c>
      <c r="M560">
        <v>1</v>
      </c>
      <c r="N560">
        <v>1</v>
      </c>
      <c r="O560">
        <v>100</v>
      </c>
      <c r="P560" t="b">
        <f t="shared" si="8"/>
        <v>0</v>
      </c>
    </row>
    <row r="561" spans="1:16" x14ac:dyDescent="0.2">
      <c r="A561" t="s">
        <v>127</v>
      </c>
      <c r="B561" t="s">
        <v>128</v>
      </c>
      <c r="C561">
        <v>581</v>
      </c>
      <c r="D561">
        <v>123999</v>
      </c>
      <c r="E561" t="s">
        <v>217</v>
      </c>
      <c r="F561" t="s">
        <v>23</v>
      </c>
      <c r="G561" t="s">
        <v>452</v>
      </c>
      <c r="H561" t="s">
        <v>5</v>
      </c>
      <c r="I561" t="s">
        <v>95</v>
      </c>
      <c r="J561">
        <v>18</v>
      </c>
      <c r="K561">
        <v>0.03</v>
      </c>
      <c r="L561">
        <v>1</v>
      </c>
      <c r="M561">
        <v>1</v>
      </c>
      <c r="N561">
        <v>1</v>
      </c>
      <c r="O561">
        <v>100</v>
      </c>
      <c r="P561" t="b">
        <f t="shared" si="8"/>
        <v>0</v>
      </c>
    </row>
    <row r="562" spans="1:16" x14ac:dyDescent="0.2">
      <c r="A562" t="s">
        <v>127</v>
      </c>
      <c r="B562" t="s">
        <v>128</v>
      </c>
      <c r="C562">
        <v>582</v>
      </c>
      <c r="D562">
        <v>129482</v>
      </c>
      <c r="E562" t="s">
        <v>767</v>
      </c>
      <c r="F562" t="s">
        <v>69</v>
      </c>
      <c r="G562" t="s">
        <v>10</v>
      </c>
      <c r="H562" t="s">
        <v>12</v>
      </c>
      <c r="I562" t="s">
        <v>91</v>
      </c>
      <c r="J562">
        <v>50</v>
      </c>
      <c r="K562">
        <v>0.03</v>
      </c>
      <c r="L562">
        <v>1</v>
      </c>
      <c r="M562">
        <v>1</v>
      </c>
      <c r="N562">
        <v>1</v>
      </c>
      <c r="O562">
        <v>100</v>
      </c>
      <c r="P562" t="b">
        <f t="shared" si="8"/>
        <v>0</v>
      </c>
    </row>
    <row r="563" spans="1:16" x14ac:dyDescent="0.2">
      <c r="A563" t="s">
        <v>127</v>
      </c>
      <c r="B563" t="s">
        <v>128</v>
      </c>
      <c r="C563">
        <v>583</v>
      </c>
      <c r="D563">
        <v>36196</v>
      </c>
      <c r="E563" t="s">
        <v>1030</v>
      </c>
      <c r="F563" t="s">
        <v>58</v>
      </c>
      <c r="G563" t="s">
        <v>452</v>
      </c>
      <c r="H563" t="s">
        <v>8</v>
      </c>
      <c r="I563" t="s">
        <v>91</v>
      </c>
      <c r="J563">
        <v>19</v>
      </c>
      <c r="K563">
        <v>0.03</v>
      </c>
      <c r="L563">
        <v>1</v>
      </c>
      <c r="M563">
        <v>1</v>
      </c>
      <c r="N563">
        <v>1</v>
      </c>
      <c r="O563">
        <v>100</v>
      </c>
      <c r="P563" t="b">
        <f t="shared" si="8"/>
        <v>0</v>
      </c>
    </row>
    <row r="564" spans="1:16" x14ac:dyDescent="0.2">
      <c r="A564" t="s">
        <v>127</v>
      </c>
      <c r="B564" t="s">
        <v>128</v>
      </c>
      <c r="C564">
        <v>584</v>
      </c>
      <c r="D564">
        <v>129939</v>
      </c>
      <c r="E564" t="s">
        <v>684</v>
      </c>
      <c r="F564" t="s">
        <v>65</v>
      </c>
      <c r="G564" t="s">
        <v>10</v>
      </c>
      <c r="H564" t="s">
        <v>5</v>
      </c>
      <c r="I564" t="s">
        <v>95</v>
      </c>
      <c r="J564">
        <v>43</v>
      </c>
      <c r="K564">
        <v>0.03</v>
      </c>
      <c r="L564">
        <v>1</v>
      </c>
      <c r="M564">
        <v>1</v>
      </c>
      <c r="N564">
        <v>1</v>
      </c>
      <c r="O564">
        <v>100</v>
      </c>
      <c r="P564" t="b">
        <f t="shared" si="8"/>
        <v>0</v>
      </c>
    </row>
    <row r="565" spans="1:16" x14ac:dyDescent="0.2">
      <c r="A565" t="s">
        <v>127</v>
      </c>
      <c r="B565" t="s">
        <v>128</v>
      </c>
      <c r="C565">
        <v>585</v>
      </c>
      <c r="D565">
        <v>76670</v>
      </c>
      <c r="E565" t="s">
        <v>932</v>
      </c>
      <c r="F565" t="s">
        <v>37</v>
      </c>
      <c r="G565" t="s">
        <v>452</v>
      </c>
      <c r="H565" t="s">
        <v>5</v>
      </c>
      <c r="I565" t="s">
        <v>95</v>
      </c>
      <c r="J565">
        <v>13</v>
      </c>
      <c r="K565">
        <v>0.03</v>
      </c>
      <c r="L565">
        <v>1</v>
      </c>
      <c r="M565">
        <v>1</v>
      </c>
      <c r="N565">
        <v>1</v>
      </c>
      <c r="O565">
        <v>100</v>
      </c>
      <c r="P565" t="b">
        <f t="shared" si="8"/>
        <v>0</v>
      </c>
    </row>
    <row r="566" spans="1:16" x14ac:dyDescent="0.2">
      <c r="A566" t="s">
        <v>127</v>
      </c>
      <c r="B566" t="s">
        <v>128</v>
      </c>
      <c r="C566">
        <v>586</v>
      </c>
      <c r="D566">
        <v>129467</v>
      </c>
      <c r="E566" t="s">
        <v>776</v>
      </c>
      <c r="F566" t="s">
        <v>69</v>
      </c>
      <c r="G566" t="s">
        <v>10</v>
      </c>
      <c r="H566" t="s">
        <v>12</v>
      </c>
      <c r="I566" t="s">
        <v>91</v>
      </c>
      <c r="J566">
        <v>51</v>
      </c>
      <c r="K566">
        <v>0.03</v>
      </c>
      <c r="L566">
        <v>1</v>
      </c>
      <c r="M566">
        <v>1</v>
      </c>
      <c r="N566">
        <v>1</v>
      </c>
      <c r="O566">
        <v>100</v>
      </c>
      <c r="P566" t="b">
        <f t="shared" si="8"/>
        <v>0</v>
      </c>
    </row>
    <row r="567" spans="1:16" x14ac:dyDescent="0.2">
      <c r="A567" t="s">
        <v>127</v>
      </c>
      <c r="B567" t="s">
        <v>128</v>
      </c>
      <c r="C567">
        <v>587</v>
      </c>
      <c r="D567">
        <v>50641</v>
      </c>
      <c r="E567" t="s">
        <v>336</v>
      </c>
      <c r="F567" t="s">
        <v>9</v>
      </c>
      <c r="G567" t="s">
        <v>452</v>
      </c>
      <c r="H567" t="s">
        <v>8</v>
      </c>
      <c r="I567" t="s">
        <v>91</v>
      </c>
      <c r="J567">
        <v>53</v>
      </c>
      <c r="K567">
        <v>0.03</v>
      </c>
      <c r="L567">
        <v>1</v>
      </c>
      <c r="M567">
        <v>1</v>
      </c>
      <c r="N567">
        <v>1</v>
      </c>
      <c r="O567">
        <v>100</v>
      </c>
      <c r="P567" t="b">
        <f t="shared" si="8"/>
        <v>0</v>
      </c>
    </row>
    <row r="568" spans="1:16" x14ac:dyDescent="0.2">
      <c r="A568" t="s">
        <v>127</v>
      </c>
      <c r="B568" t="s">
        <v>128</v>
      </c>
      <c r="C568">
        <v>588</v>
      </c>
      <c r="D568">
        <v>129533</v>
      </c>
      <c r="E568" t="s">
        <v>747</v>
      </c>
      <c r="F568" t="s">
        <v>66</v>
      </c>
      <c r="G568" t="s">
        <v>10</v>
      </c>
      <c r="H568" t="s">
        <v>5</v>
      </c>
      <c r="I568" t="s">
        <v>97</v>
      </c>
      <c r="J568">
        <v>30</v>
      </c>
      <c r="K568">
        <v>0.03</v>
      </c>
      <c r="L568">
        <v>1</v>
      </c>
      <c r="M568">
        <v>1</v>
      </c>
      <c r="N568">
        <v>1</v>
      </c>
      <c r="O568">
        <v>100</v>
      </c>
      <c r="P568" t="b">
        <f t="shared" si="8"/>
        <v>0</v>
      </c>
    </row>
    <row r="569" spans="1:16" x14ac:dyDescent="0.2">
      <c r="A569" t="s">
        <v>127</v>
      </c>
      <c r="B569" t="s">
        <v>128</v>
      </c>
      <c r="C569">
        <v>589</v>
      </c>
      <c r="D569">
        <v>31899</v>
      </c>
      <c r="E569" t="s">
        <v>257</v>
      </c>
      <c r="F569" t="s">
        <v>38</v>
      </c>
      <c r="G569" t="s">
        <v>452</v>
      </c>
      <c r="H569" t="s">
        <v>5</v>
      </c>
      <c r="I569" t="s">
        <v>91</v>
      </c>
      <c r="J569">
        <v>11</v>
      </c>
      <c r="K569">
        <v>0.03</v>
      </c>
      <c r="L569">
        <v>1</v>
      </c>
      <c r="M569">
        <v>1</v>
      </c>
      <c r="N569">
        <v>1</v>
      </c>
      <c r="O569">
        <v>100</v>
      </c>
      <c r="P569" t="b">
        <f t="shared" si="8"/>
        <v>0</v>
      </c>
    </row>
    <row r="570" spans="1:16" x14ac:dyDescent="0.2">
      <c r="A570" t="s">
        <v>127</v>
      </c>
      <c r="B570" t="s">
        <v>128</v>
      </c>
      <c r="C570">
        <v>590</v>
      </c>
      <c r="D570">
        <v>129480</v>
      </c>
      <c r="E570" t="s">
        <v>404</v>
      </c>
      <c r="F570" t="s">
        <v>69</v>
      </c>
      <c r="G570" t="s">
        <v>10</v>
      </c>
      <c r="H570" t="s">
        <v>12</v>
      </c>
      <c r="I570" t="s">
        <v>91</v>
      </c>
      <c r="J570">
        <v>52</v>
      </c>
      <c r="K570">
        <v>0.03</v>
      </c>
      <c r="L570">
        <v>1</v>
      </c>
      <c r="M570">
        <v>1</v>
      </c>
      <c r="N570">
        <v>1</v>
      </c>
      <c r="O570">
        <v>100</v>
      </c>
      <c r="P570" t="b">
        <f t="shared" si="8"/>
        <v>0</v>
      </c>
    </row>
    <row r="571" spans="1:16" x14ac:dyDescent="0.2">
      <c r="A571" t="s">
        <v>127</v>
      </c>
      <c r="B571" t="s">
        <v>128</v>
      </c>
      <c r="C571">
        <v>591</v>
      </c>
      <c r="D571">
        <v>96334</v>
      </c>
      <c r="E571" t="s">
        <v>403</v>
      </c>
      <c r="F571" t="s">
        <v>9</v>
      </c>
      <c r="G571" t="s">
        <v>452</v>
      </c>
      <c r="H571" t="s">
        <v>8</v>
      </c>
      <c r="I571" t="s">
        <v>91</v>
      </c>
      <c r="J571">
        <v>54</v>
      </c>
      <c r="K571">
        <v>0.03</v>
      </c>
      <c r="L571">
        <v>1</v>
      </c>
      <c r="M571">
        <v>1</v>
      </c>
      <c r="N571">
        <v>1</v>
      </c>
      <c r="O571">
        <v>100</v>
      </c>
      <c r="P571" t="b">
        <f t="shared" si="8"/>
        <v>0</v>
      </c>
    </row>
    <row r="572" spans="1:16" x14ac:dyDescent="0.2">
      <c r="A572" t="s">
        <v>127</v>
      </c>
      <c r="B572" t="s">
        <v>128</v>
      </c>
      <c r="C572">
        <v>592</v>
      </c>
      <c r="D572">
        <v>129725</v>
      </c>
      <c r="E572" t="s">
        <v>710</v>
      </c>
      <c r="F572" t="s">
        <v>68</v>
      </c>
      <c r="G572" t="s">
        <v>10</v>
      </c>
      <c r="H572" t="s">
        <v>5</v>
      </c>
      <c r="I572" t="s">
        <v>91</v>
      </c>
      <c r="J572">
        <v>29</v>
      </c>
      <c r="K572">
        <v>0.03</v>
      </c>
      <c r="L572">
        <v>1</v>
      </c>
      <c r="M572">
        <v>1</v>
      </c>
      <c r="N572">
        <v>1</v>
      </c>
      <c r="O572">
        <v>100</v>
      </c>
      <c r="P572" t="b">
        <f t="shared" si="8"/>
        <v>0</v>
      </c>
    </row>
    <row r="573" spans="1:16" x14ac:dyDescent="0.2">
      <c r="A573" t="s">
        <v>127</v>
      </c>
      <c r="B573" t="s">
        <v>128</v>
      </c>
      <c r="C573">
        <v>593</v>
      </c>
      <c r="D573">
        <v>31827</v>
      </c>
      <c r="E573" t="s">
        <v>1106</v>
      </c>
      <c r="F573" t="s">
        <v>25</v>
      </c>
      <c r="G573" t="s">
        <v>452</v>
      </c>
      <c r="H573" t="s">
        <v>5</v>
      </c>
      <c r="I573" t="s">
        <v>91</v>
      </c>
      <c r="J573">
        <v>10</v>
      </c>
      <c r="K573">
        <v>0.03</v>
      </c>
      <c r="L573">
        <v>1</v>
      </c>
      <c r="M573">
        <v>1</v>
      </c>
      <c r="N573">
        <v>1</v>
      </c>
      <c r="O573">
        <v>100</v>
      </c>
      <c r="P573" t="b">
        <f t="shared" si="8"/>
        <v>0</v>
      </c>
    </row>
    <row r="574" spans="1:16" x14ac:dyDescent="0.2">
      <c r="A574" t="s">
        <v>127</v>
      </c>
      <c r="B574" t="s">
        <v>128</v>
      </c>
      <c r="C574">
        <v>594</v>
      </c>
      <c r="D574">
        <v>129466</v>
      </c>
      <c r="E574" t="s">
        <v>777</v>
      </c>
      <c r="F574" t="s">
        <v>69</v>
      </c>
      <c r="G574" t="s">
        <v>10</v>
      </c>
      <c r="H574" t="s">
        <v>12</v>
      </c>
      <c r="I574" t="s">
        <v>91</v>
      </c>
      <c r="J574">
        <v>53</v>
      </c>
      <c r="K574">
        <v>0.03</v>
      </c>
      <c r="L574">
        <v>1</v>
      </c>
      <c r="M574">
        <v>1</v>
      </c>
      <c r="N574">
        <v>1</v>
      </c>
      <c r="O574">
        <v>100</v>
      </c>
      <c r="P574" t="b">
        <f t="shared" si="8"/>
        <v>0</v>
      </c>
    </row>
    <row r="575" spans="1:16" x14ac:dyDescent="0.2">
      <c r="A575" t="s">
        <v>127</v>
      </c>
      <c r="B575" t="s">
        <v>128</v>
      </c>
      <c r="C575">
        <v>595</v>
      </c>
      <c r="D575">
        <v>131990</v>
      </c>
      <c r="E575" t="s">
        <v>817</v>
      </c>
      <c r="F575" t="s">
        <v>9</v>
      </c>
      <c r="G575" t="s">
        <v>452</v>
      </c>
      <c r="H575" t="s">
        <v>8</v>
      </c>
      <c r="I575" t="s">
        <v>91</v>
      </c>
      <c r="J575">
        <v>55</v>
      </c>
      <c r="K575">
        <v>0.03</v>
      </c>
      <c r="L575">
        <v>1</v>
      </c>
      <c r="M575">
        <v>1</v>
      </c>
      <c r="N575">
        <v>1</v>
      </c>
      <c r="O575">
        <v>100</v>
      </c>
      <c r="P575" t="b">
        <f t="shared" si="8"/>
        <v>0</v>
      </c>
    </row>
    <row r="576" spans="1:16" x14ac:dyDescent="0.2">
      <c r="A576" t="s">
        <v>127</v>
      </c>
      <c r="B576" t="s">
        <v>128</v>
      </c>
      <c r="C576">
        <v>596</v>
      </c>
      <c r="D576">
        <v>129758</v>
      </c>
      <c r="E576" t="s">
        <v>704</v>
      </c>
      <c r="F576" t="s">
        <v>65</v>
      </c>
      <c r="G576" t="s">
        <v>10</v>
      </c>
      <c r="H576" t="s">
        <v>5</v>
      </c>
      <c r="I576" t="s">
        <v>93</v>
      </c>
      <c r="J576">
        <v>45</v>
      </c>
      <c r="K576">
        <v>0.03</v>
      </c>
      <c r="L576">
        <v>1</v>
      </c>
      <c r="M576">
        <v>1</v>
      </c>
      <c r="N576">
        <v>1</v>
      </c>
      <c r="O576">
        <v>100</v>
      </c>
      <c r="P576" t="b">
        <f t="shared" si="8"/>
        <v>0</v>
      </c>
    </row>
    <row r="577" spans="1:16" x14ac:dyDescent="0.2">
      <c r="A577" t="s">
        <v>127</v>
      </c>
      <c r="B577" t="s">
        <v>128</v>
      </c>
      <c r="C577">
        <v>597</v>
      </c>
      <c r="D577">
        <v>56652</v>
      </c>
      <c r="E577" t="s">
        <v>985</v>
      </c>
      <c r="F577" t="s">
        <v>24</v>
      </c>
      <c r="G577" t="s">
        <v>452</v>
      </c>
      <c r="H577" t="s">
        <v>5</v>
      </c>
      <c r="I577" t="s">
        <v>95</v>
      </c>
      <c r="J577">
        <v>10</v>
      </c>
      <c r="K577">
        <v>0.03</v>
      </c>
      <c r="L577">
        <v>1</v>
      </c>
      <c r="M577">
        <v>1</v>
      </c>
      <c r="N577">
        <v>1</v>
      </c>
      <c r="O577">
        <v>100</v>
      </c>
      <c r="P577" t="b">
        <f t="shared" si="8"/>
        <v>0</v>
      </c>
    </row>
    <row r="578" spans="1:16" x14ac:dyDescent="0.2">
      <c r="A578" t="s">
        <v>127</v>
      </c>
      <c r="B578" t="s">
        <v>128</v>
      </c>
      <c r="C578">
        <v>598</v>
      </c>
      <c r="D578">
        <v>129464</v>
      </c>
      <c r="E578" t="s">
        <v>319</v>
      </c>
      <c r="F578" t="s">
        <v>69</v>
      </c>
      <c r="G578" t="s">
        <v>10</v>
      </c>
      <c r="H578" t="s">
        <v>12</v>
      </c>
      <c r="I578" t="s">
        <v>91</v>
      </c>
      <c r="J578">
        <v>54</v>
      </c>
      <c r="K578">
        <v>0.03</v>
      </c>
      <c r="L578">
        <v>1</v>
      </c>
      <c r="M578">
        <v>1</v>
      </c>
      <c r="N578">
        <v>1</v>
      </c>
      <c r="O578">
        <v>100</v>
      </c>
      <c r="P578" t="b">
        <f t="shared" si="8"/>
        <v>0</v>
      </c>
    </row>
    <row r="579" spans="1:16" x14ac:dyDescent="0.2">
      <c r="A579" t="s">
        <v>127</v>
      </c>
      <c r="B579" t="s">
        <v>128</v>
      </c>
      <c r="C579">
        <v>599</v>
      </c>
      <c r="D579">
        <v>100094</v>
      </c>
      <c r="E579" t="s">
        <v>894</v>
      </c>
      <c r="F579" t="s">
        <v>58</v>
      </c>
      <c r="G579" t="s">
        <v>452</v>
      </c>
      <c r="H579" t="s">
        <v>8</v>
      </c>
      <c r="I579" t="s">
        <v>91</v>
      </c>
      <c r="J579">
        <v>20</v>
      </c>
      <c r="K579">
        <v>0.03</v>
      </c>
      <c r="L579">
        <v>1</v>
      </c>
      <c r="M579">
        <v>1</v>
      </c>
      <c r="N579">
        <v>1</v>
      </c>
      <c r="O579">
        <v>100</v>
      </c>
      <c r="P579" t="b">
        <f t="shared" ref="P579:P642" si="9">AND(C579&lt;$Q$1,IF(ISBLANK(C579),0,C579)&gt;0)</f>
        <v>0</v>
      </c>
    </row>
    <row r="580" spans="1:16" x14ac:dyDescent="0.2">
      <c r="A580" t="s">
        <v>127</v>
      </c>
      <c r="B580" t="s">
        <v>128</v>
      </c>
      <c r="C580">
        <v>600</v>
      </c>
      <c r="D580">
        <v>130266</v>
      </c>
      <c r="E580" t="s">
        <v>272</v>
      </c>
      <c r="F580" t="s">
        <v>66</v>
      </c>
      <c r="G580" t="s">
        <v>10</v>
      </c>
      <c r="H580" t="s">
        <v>5</v>
      </c>
      <c r="I580" t="s">
        <v>91</v>
      </c>
      <c r="J580">
        <v>31</v>
      </c>
      <c r="K580">
        <v>0.03</v>
      </c>
      <c r="L580">
        <v>1</v>
      </c>
      <c r="M580">
        <v>1</v>
      </c>
      <c r="N580">
        <v>1</v>
      </c>
      <c r="O580">
        <v>100</v>
      </c>
      <c r="P580" t="b">
        <f t="shared" si="9"/>
        <v>0</v>
      </c>
    </row>
    <row r="581" spans="1:16" x14ac:dyDescent="0.2">
      <c r="A581" t="s">
        <v>127</v>
      </c>
      <c r="B581" t="s">
        <v>128</v>
      </c>
      <c r="C581">
        <v>601</v>
      </c>
      <c r="D581">
        <v>125912</v>
      </c>
      <c r="E581" t="s">
        <v>854</v>
      </c>
      <c r="F581" t="s">
        <v>21</v>
      </c>
      <c r="G581" t="s">
        <v>452</v>
      </c>
      <c r="H581" t="s">
        <v>5</v>
      </c>
      <c r="I581" t="s">
        <v>91</v>
      </c>
      <c r="J581">
        <v>18</v>
      </c>
      <c r="K581">
        <v>3.5</v>
      </c>
      <c r="L581">
        <v>2</v>
      </c>
      <c r="M581">
        <v>2</v>
      </c>
      <c r="N581">
        <v>3</v>
      </c>
      <c r="O581">
        <v>2</v>
      </c>
      <c r="P581" t="b">
        <f t="shared" si="9"/>
        <v>0</v>
      </c>
    </row>
    <row r="582" spans="1:16" x14ac:dyDescent="0.2">
      <c r="A582" t="s">
        <v>127</v>
      </c>
      <c r="B582" t="s">
        <v>128</v>
      </c>
      <c r="C582">
        <v>602</v>
      </c>
      <c r="D582">
        <v>129462</v>
      </c>
      <c r="E582" t="s">
        <v>780</v>
      </c>
      <c r="F582" t="s">
        <v>69</v>
      </c>
      <c r="G582" t="s">
        <v>10</v>
      </c>
      <c r="H582" t="s">
        <v>12</v>
      </c>
      <c r="I582" t="s">
        <v>91</v>
      </c>
      <c r="J582">
        <v>55</v>
      </c>
      <c r="K582">
        <v>0.03</v>
      </c>
      <c r="L582">
        <v>1</v>
      </c>
      <c r="M582">
        <v>1</v>
      </c>
      <c r="N582">
        <v>1</v>
      </c>
      <c r="O582">
        <v>100</v>
      </c>
      <c r="P582" t="b">
        <f t="shared" si="9"/>
        <v>0</v>
      </c>
    </row>
    <row r="583" spans="1:16" x14ac:dyDescent="0.2">
      <c r="A583" t="s">
        <v>127</v>
      </c>
      <c r="B583" t="s">
        <v>128</v>
      </c>
      <c r="C583">
        <v>603</v>
      </c>
      <c r="D583">
        <v>131995</v>
      </c>
      <c r="E583" t="s">
        <v>812</v>
      </c>
      <c r="F583" t="s">
        <v>9</v>
      </c>
      <c r="G583" t="s">
        <v>452</v>
      </c>
      <c r="H583" t="s">
        <v>8</v>
      </c>
      <c r="I583" t="s">
        <v>91</v>
      </c>
      <c r="J583">
        <v>56</v>
      </c>
      <c r="K583">
        <v>0.03</v>
      </c>
      <c r="L583">
        <v>1</v>
      </c>
      <c r="M583">
        <v>1</v>
      </c>
      <c r="N583">
        <v>1</v>
      </c>
      <c r="O583">
        <v>100</v>
      </c>
      <c r="P583" t="b">
        <f t="shared" si="9"/>
        <v>0</v>
      </c>
    </row>
    <row r="584" spans="1:16" x14ac:dyDescent="0.2">
      <c r="A584" t="s">
        <v>127</v>
      </c>
      <c r="B584" t="s">
        <v>128</v>
      </c>
      <c r="C584">
        <v>604</v>
      </c>
      <c r="D584">
        <v>130163</v>
      </c>
      <c r="E584" t="s">
        <v>273</v>
      </c>
      <c r="F584" t="s">
        <v>68</v>
      </c>
      <c r="G584" t="s">
        <v>10</v>
      </c>
      <c r="H584" t="s">
        <v>5</v>
      </c>
      <c r="I584" t="s">
        <v>91</v>
      </c>
      <c r="J584">
        <v>30</v>
      </c>
      <c r="K584">
        <v>0.03</v>
      </c>
      <c r="L584">
        <v>1</v>
      </c>
      <c r="M584">
        <v>1</v>
      </c>
      <c r="N584">
        <v>1</v>
      </c>
      <c r="O584">
        <v>100</v>
      </c>
      <c r="P584" t="b">
        <f t="shared" si="9"/>
        <v>0</v>
      </c>
    </row>
    <row r="585" spans="1:16" x14ac:dyDescent="0.2">
      <c r="A585" t="s">
        <v>127</v>
      </c>
      <c r="B585" t="s">
        <v>128</v>
      </c>
      <c r="C585">
        <v>605</v>
      </c>
      <c r="D585">
        <v>105938</v>
      </c>
      <c r="E585" t="s">
        <v>889</v>
      </c>
      <c r="F585" t="s">
        <v>23</v>
      </c>
      <c r="G585" t="s">
        <v>452</v>
      </c>
      <c r="H585" t="s">
        <v>5</v>
      </c>
      <c r="I585" t="s">
        <v>91</v>
      </c>
      <c r="J585">
        <v>19</v>
      </c>
      <c r="K585">
        <v>0.03</v>
      </c>
      <c r="L585">
        <v>1</v>
      </c>
      <c r="M585">
        <v>1</v>
      </c>
      <c r="N585">
        <v>1</v>
      </c>
      <c r="O585">
        <v>100</v>
      </c>
      <c r="P585" t="b">
        <f t="shared" si="9"/>
        <v>0</v>
      </c>
    </row>
    <row r="586" spans="1:16" x14ac:dyDescent="0.2">
      <c r="A586" t="s">
        <v>127</v>
      </c>
      <c r="B586" t="s">
        <v>128</v>
      </c>
      <c r="C586">
        <v>606</v>
      </c>
      <c r="D586">
        <v>129461</v>
      </c>
      <c r="E586" t="s">
        <v>781</v>
      </c>
      <c r="F586" t="s">
        <v>69</v>
      </c>
      <c r="G586" t="s">
        <v>10</v>
      </c>
      <c r="H586" t="s">
        <v>12</v>
      </c>
      <c r="I586" t="s">
        <v>91</v>
      </c>
      <c r="J586">
        <v>56</v>
      </c>
      <c r="K586">
        <v>0.03</v>
      </c>
      <c r="L586">
        <v>1</v>
      </c>
      <c r="M586">
        <v>1</v>
      </c>
      <c r="N586">
        <v>1</v>
      </c>
      <c r="O586">
        <v>100</v>
      </c>
      <c r="P586" t="b">
        <f t="shared" si="9"/>
        <v>0</v>
      </c>
    </row>
    <row r="587" spans="1:16" x14ac:dyDescent="0.2">
      <c r="A587" t="s">
        <v>127</v>
      </c>
      <c r="B587" t="s">
        <v>128</v>
      </c>
      <c r="C587">
        <v>607</v>
      </c>
      <c r="D587">
        <v>132222</v>
      </c>
      <c r="E587" t="s">
        <v>340</v>
      </c>
      <c r="F587" t="s">
        <v>9</v>
      </c>
      <c r="G587" t="s">
        <v>452</v>
      </c>
      <c r="H587" t="s">
        <v>8</v>
      </c>
      <c r="I587" t="s">
        <v>91</v>
      </c>
      <c r="J587">
        <v>57</v>
      </c>
      <c r="K587">
        <v>0.03</v>
      </c>
      <c r="L587">
        <v>1</v>
      </c>
      <c r="M587">
        <v>1</v>
      </c>
      <c r="N587">
        <v>1</v>
      </c>
      <c r="O587">
        <v>100</v>
      </c>
      <c r="P587" t="b">
        <f t="shared" si="9"/>
        <v>0</v>
      </c>
    </row>
    <row r="588" spans="1:16" x14ac:dyDescent="0.2">
      <c r="A588" t="s">
        <v>127</v>
      </c>
      <c r="B588" t="s">
        <v>128</v>
      </c>
      <c r="C588">
        <v>608</v>
      </c>
      <c r="D588">
        <v>130443</v>
      </c>
      <c r="E588" t="s">
        <v>604</v>
      </c>
      <c r="F588" t="s">
        <v>65</v>
      </c>
      <c r="G588" t="s">
        <v>10</v>
      </c>
      <c r="H588" t="s">
        <v>5</v>
      </c>
      <c r="I588" t="s">
        <v>91</v>
      </c>
      <c r="J588">
        <v>46</v>
      </c>
      <c r="K588">
        <v>0.03</v>
      </c>
      <c r="L588">
        <v>1</v>
      </c>
      <c r="M588">
        <v>1</v>
      </c>
      <c r="N588">
        <v>1</v>
      </c>
      <c r="O588">
        <v>100</v>
      </c>
      <c r="P588" t="b">
        <f t="shared" si="9"/>
        <v>0</v>
      </c>
    </row>
    <row r="589" spans="1:16" x14ac:dyDescent="0.2">
      <c r="A589" t="s">
        <v>127</v>
      </c>
      <c r="B589" t="s">
        <v>128</v>
      </c>
      <c r="C589">
        <v>609</v>
      </c>
      <c r="D589">
        <v>76398</v>
      </c>
      <c r="E589" t="s">
        <v>934</v>
      </c>
      <c r="F589" t="s">
        <v>37</v>
      </c>
      <c r="G589" t="s">
        <v>452</v>
      </c>
      <c r="H589" t="s">
        <v>5</v>
      </c>
      <c r="I589" t="s">
        <v>95</v>
      </c>
      <c r="J589">
        <v>14</v>
      </c>
      <c r="K589">
        <v>0.03</v>
      </c>
      <c r="L589">
        <v>1</v>
      </c>
      <c r="M589">
        <v>1</v>
      </c>
      <c r="N589">
        <v>1</v>
      </c>
      <c r="O589">
        <v>100</v>
      </c>
      <c r="P589" t="b">
        <f t="shared" si="9"/>
        <v>0</v>
      </c>
    </row>
    <row r="590" spans="1:16" x14ac:dyDescent="0.2">
      <c r="A590" t="s">
        <v>127</v>
      </c>
      <c r="B590" t="s">
        <v>128</v>
      </c>
      <c r="C590">
        <v>610</v>
      </c>
      <c r="D590">
        <v>129460</v>
      </c>
      <c r="E590" t="s">
        <v>782</v>
      </c>
      <c r="F590" t="s">
        <v>69</v>
      </c>
      <c r="G590" t="s">
        <v>10</v>
      </c>
      <c r="H590" t="s">
        <v>12</v>
      </c>
      <c r="I590" t="s">
        <v>91</v>
      </c>
      <c r="J590">
        <v>57</v>
      </c>
      <c r="K590">
        <v>0.03</v>
      </c>
      <c r="L590">
        <v>1</v>
      </c>
      <c r="M590">
        <v>1</v>
      </c>
      <c r="N590">
        <v>1</v>
      </c>
      <c r="O590">
        <v>100</v>
      </c>
      <c r="P590" t="b">
        <f t="shared" si="9"/>
        <v>0</v>
      </c>
    </row>
    <row r="591" spans="1:16" x14ac:dyDescent="0.2">
      <c r="A591" t="s">
        <v>127</v>
      </c>
      <c r="B591" t="s">
        <v>128</v>
      </c>
      <c r="C591">
        <v>611</v>
      </c>
      <c r="D591">
        <v>116026</v>
      </c>
      <c r="E591" t="s">
        <v>879</v>
      </c>
      <c r="F591" t="s">
        <v>9</v>
      </c>
      <c r="G591" t="s">
        <v>452</v>
      </c>
      <c r="H591" t="s">
        <v>8</v>
      </c>
      <c r="I591" t="s">
        <v>96</v>
      </c>
      <c r="J591">
        <v>58</v>
      </c>
      <c r="K591">
        <v>0.03</v>
      </c>
      <c r="L591">
        <v>1</v>
      </c>
      <c r="M591">
        <v>1</v>
      </c>
      <c r="N591">
        <v>1</v>
      </c>
      <c r="O591">
        <v>100</v>
      </c>
      <c r="P591" t="b">
        <f t="shared" si="9"/>
        <v>0</v>
      </c>
    </row>
    <row r="592" spans="1:16" x14ac:dyDescent="0.2">
      <c r="A592" t="s">
        <v>127</v>
      </c>
      <c r="B592" t="s">
        <v>128</v>
      </c>
      <c r="C592">
        <v>612</v>
      </c>
      <c r="D592">
        <v>130732</v>
      </c>
      <c r="E592" t="s">
        <v>545</v>
      </c>
      <c r="F592" t="s">
        <v>65</v>
      </c>
      <c r="G592" t="s">
        <v>10</v>
      </c>
      <c r="H592" t="s">
        <v>5</v>
      </c>
      <c r="I592" t="s">
        <v>91</v>
      </c>
      <c r="J592">
        <v>47</v>
      </c>
      <c r="K592">
        <v>0.03</v>
      </c>
      <c r="L592">
        <v>1</v>
      </c>
      <c r="M592">
        <v>1</v>
      </c>
      <c r="N592">
        <v>1</v>
      </c>
      <c r="O592">
        <v>100</v>
      </c>
      <c r="P592" t="b">
        <f t="shared" si="9"/>
        <v>0</v>
      </c>
    </row>
    <row r="593" spans="1:16" x14ac:dyDescent="0.2">
      <c r="A593" t="s">
        <v>127</v>
      </c>
      <c r="B593" t="s">
        <v>128</v>
      </c>
      <c r="C593">
        <v>613</v>
      </c>
      <c r="D593">
        <v>74510</v>
      </c>
      <c r="E593" t="s">
        <v>939</v>
      </c>
      <c r="F593" t="s">
        <v>38</v>
      </c>
      <c r="G593" t="s">
        <v>452</v>
      </c>
      <c r="H593" t="s">
        <v>5</v>
      </c>
      <c r="I593" t="s">
        <v>91</v>
      </c>
      <c r="J593">
        <v>12</v>
      </c>
      <c r="K593">
        <v>0.03</v>
      </c>
      <c r="L593">
        <v>1</v>
      </c>
      <c r="M593">
        <v>1</v>
      </c>
      <c r="N593">
        <v>1</v>
      </c>
      <c r="O593">
        <v>100</v>
      </c>
      <c r="P593" t="b">
        <f t="shared" si="9"/>
        <v>0</v>
      </c>
    </row>
    <row r="594" spans="1:16" x14ac:dyDescent="0.2">
      <c r="A594" t="s">
        <v>127</v>
      </c>
      <c r="B594" t="s">
        <v>128</v>
      </c>
      <c r="C594">
        <v>614</v>
      </c>
      <c r="D594">
        <v>129454</v>
      </c>
      <c r="E594" t="s">
        <v>787</v>
      </c>
      <c r="F594" t="s">
        <v>69</v>
      </c>
      <c r="G594" t="s">
        <v>10</v>
      </c>
      <c r="H594" t="s">
        <v>12</v>
      </c>
      <c r="I594" t="s">
        <v>91</v>
      </c>
      <c r="J594">
        <v>58</v>
      </c>
      <c r="K594">
        <v>0.03</v>
      </c>
      <c r="L594">
        <v>1</v>
      </c>
      <c r="M594">
        <v>1</v>
      </c>
      <c r="N594">
        <v>1</v>
      </c>
      <c r="O594">
        <v>100</v>
      </c>
      <c r="P594" t="b">
        <f t="shared" si="9"/>
        <v>0</v>
      </c>
    </row>
    <row r="595" spans="1:16" x14ac:dyDescent="0.2">
      <c r="A595" t="s">
        <v>127</v>
      </c>
      <c r="B595" t="s">
        <v>128</v>
      </c>
      <c r="C595">
        <v>615</v>
      </c>
      <c r="D595">
        <v>132023</v>
      </c>
      <c r="E595" t="s">
        <v>809</v>
      </c>
      <c r="F595" t="s">
        <v>9</v>
      </c>
      <c r="G595" t="s">
        <v>452</v>
      </c>
      <c r="H595" t="s">
        <v>8</v>
      </c>
      <c r="I595" t="s">
        <v>91</v>
      </c>
      <c r="J595">
        <v>59</v>
      </c>
      <c r="K595">
        <v>0.03</v>
      </c>
      <c r="L595">
        <v>1</v>
      </c>
      <c r="M595">
        <v>1</v>
      </c>
      <c r="N595">
        <v>1</v>
      </c>
      <c r="O595">
        <v>100</v>
      </c>
      <c r="P595" t="b">
        <f t="shared" si="9"/>
        <v>0</v>
      </c>
    </row>
    <row r="596" spans="1:16" x14ac:dyDescent="0.2">
      <c r="A596" t="s">
        <v>127</v>
      </c>
      <c r="B596" t="s">
        <v>128</v>
      </c>
      <c r="C596">
        <v>616</v>
      </c>
      <c r="D596">
        <v>130409</v>
      </c>
      <c r="E596" t="s">
        <v>613</v>
      </c>
      <c r="F596" t="s">
        <v>66</v>
      </c>
      <c r="G596" t="s">
        <v>10</v>
      </c>
      <c r="H596" t="s">
        <v>5</v>
      </c>
      <c r="I596" t="s">
        <v>91</v>
      </c>
      <c r="J596">
        <v>32</v>
      </c>
      <c r="K596">
        <v>0.03</v>
      </c>
      <c r="L596">
        <v>1</v>
      </c>
      <c r="M596">
        <v>1</v>
      </c>
      <c r="N596">
        <v>1</v>
      </c>
      <c r="O596">
        <v>100</v>
      </c>
      <c r="P596" t="b">
        <f t="shared" si="9"/>
        <v>0</v>
      </c>
    </row>
    <row r="597" spans="1:16" x14ac:dyDescent="0.2">
      <c r="A597" t="s">
        <v>127</v>
      </c>
      <c r="B597" t="s">
        <v>128</v>
      </c>
      <c r="C597">
        <v>617</v>
      </c>
      <c r="D597">
        <v>32016</v>
      </c>
      <c r="E597" t="s">
        <v>1068</v>
      </c>
      <c r="F597" t="s">
        <v>21</v>
      </c>
      <c r="G597" t="s">
        <v>452</v>
      </c>
      <c r="H597" t="s">
        <v>5</v>
      </c>
      <c r="I597" t="s">
        <v>91</v>
      </c>
      <c r="J597">
        <v>19</v>
      </c>
      <c r="K597">
        <v>0.03</v>
      </c>
      <c r="L597">
        <v>1</v>
      </c>
      <c r="M597">
        <v>1</v>
      </c>
      <c r="N597">
        <v>1</v>
      </c>
      <c r="O597">
        <v>100</v>
      </c>
      <c r="P597" t="b">
        <f t="shared" si="9"/>
        <v>0</v>
      </c>
    </row>
    <row r="598" spans="1:16" x14ac:dyDescent="0.2">
      <c r="A598" t="s">
        <v>127</v>
      </c>
      <c r="B598" t="s">
        <v>128</v>
      </c>
      <c r="C598">
        <v>618</v>
      </c>
      <c r="D598">
        <v>129458</v>
      </c>
      <c r="E598" t="s">
        <v>326</v>
      </c>
      <c r="F598" t="s">
        <v>69</v>
      </c>
      <c r="G598" t="s">
        <v>10</v>
      </c>
      <c r="H598" t="s">
        <v>12</v>
      </c>
      <c r="I598" t="s">
        <v>91</v>
      </c>
      <c r="J598">
        <v>59</v>
      </c>
      <c r="K598">
        <v>0.03</v>
      </c>
      <c r="L598">
        <v>1</v>
      </c>
      <c r="M598">
        <v>1</v>
      </c>
      <c r="N598">
        <v>1</v>
      </c>
      <c r="O598">
        <v>100</v>
      </c>
      <c r="P598" t="b">
        <f t="shared" si="9"/>
        <v>0</v>
      </c>
    </row>
    <row r="599" spans="1:16" x14ac:dyDescent="0.2">
      <c r="A599" t="s">
        <v>127</v>
      </c>
      <c r="B599" t="s">
        <v>128</v>
      </c>
      <c r="C599">
        <v>619</v>
      </c>
      <c r="D599">
        <v>131993</v>
      </c>
      <c r="E599" t="s">
        <v>814</v>
      </c>
      <c r="F599" t="s">
        <v>9</v>
      </c>
      <c r="G599" t="s">
        <v>452</v>
      </c>
      <c r="H599" t="s">
        <v>8</v>
      </c>
      <c r="I599" t="s">
        <v>91</v>
      </c>
      <c r="J599">
        <v>60</v>
      </c>
      <c r="K599">
        <v>0.03</v>
      </c>
      <c r="L599">
        <v>1</v>
      </c>
      <c r="M599">
        <v>1</v>
      </c>
      <c r="N599">
        <v>1</v>
      </c>
      <c r="O599">
        <v>100</v>
      </c>
      <c r="P599" t="b">
        <f t="shared" si="9"/>
        <v>0</v>
      </c>
    </row>
    <row r="600" spans="1:16" x14ac:dyDescent="0.2">
      <c r="A600" t="s">
        <v>127</v>
      </c>
      <c r="B600" t="s">
        <v>128</v>
      </c>
      <c r="C600">
        <v>620</v>
      </c>
      <c r="D600">
        <v>130045</v>
      </c>
      <c r="E600" t="s">
        <v>275</v>
      </c>
      <c r="F600" t="s">
        <v>68</v>
      </c>
      <c r="G600" t="s">
        <v>10</v>
      </c>
      <c r="H600" t="s">
        <v>5</v>
      </c>
      <c r="I600" t="s">
        <v>91</v>
      </c>
      <c r="J600">
        <v>31</v>
      </c>
      <c r="K600">
        <v>0.03</v>
      </c>
      <c r="L600">
        <v>1</v>
      </c>
      <c r="M600">
        <v>1</v>
      </c>
      <c r="N600">
        <v>1</v>
      </c>
      <c r="O600">
        <v>100</v>
      </c>
      <c r="P600" t="b">
        <f t="shared" si="9"/>
        <v>0</v>
      </c>
    </row>
    <row r="601" spans="1:16" x14ac:dyDescent="0.2">
      <c r="A601" t="s">
        <v>127</v>
      </c>
      <c r="B601" t="s">
        <v>128</v>
      </c>
      <c r="C601">
        <v>621</v>
      </c>
      <c r="D601">
        <v>31851</v>
      </c>
      <c r="E601" t="s">
        <v>227</v>
      </c>
      <c r="F601" t="s">
        <v>23</v>
      </c>
      <c r="G601" t="s">
        <v>452</v>
      </c>
      <c r="H601" t="s">
        <v>5</v>
      </c>
      <c r="I601" t="s">
        <v>91</v>
      </c>
      <c r="J601">
        <v>20</v>
      </c>
      <c r="K601">
        <v>0.03</v>
      </c>
      <c r="L601">
        <v>1</v>
      </c>
      <c r="M601">
        <v>1</v>
      </c>
      <c r="N601">
        <v>1</v>
      </c>
      <c r="O601">
        <v>100</v>
      </c>
      <c r="P601" t="b">
        <f t="shared" si="9"/>
        <v>0</v>
      </c>
    </row>
    <row r="602" spans="1:16" x14ac:dyDescent="0.2">
      <c r="A602" t="s">
        <v>127</v>
      </c>
      <c r="B602" t="s">
        <v>128</v>
      </c>
      <c r="C602">
        <v>622</v>
      </c>
      <c r="D602">
        <v>129486</v>
      </c>
      <c r="E602" t="s">
        <v>764</v>
      </c>
      <c r="F602" t="s">
        <v>69</v>
      </c>
      <c r="G602" t="s">
        <v>10</v>
      </c>
      <c r="H602" t="s">
        <v>12</v>
      </c>
      <c r="I602" t="s">
        <v>91</v>
      </c>
      <c r="J602">
        <v>60</v>
      </c>
      <c r="K602">
        <v>0.03</v>
      </c>
      <c r="L602">
        <v>1</v>
      </c>
      <c r="M602">
        <v>1</v>
      </c>
      <c r="N602">
        <v>1</v>
      </c>
      <c r="O602">
        <v>100</v>
      </c>
      <c r="P602" t="b">
        <f t="shared" si="9"/>
        <v>0</v>
      </c>
    </row>
    <row r="603" spans="1:16" x14ac:dyDescent="0.2">
      <c r="A603" t="s">
        <v>127</v>
      </c>
      <c r="B603" t="s">
        <v>128</v>
      </c>
      <c r="C603">
        <v>623</v>
      </c>
      <c r="D603">
        <v>50994</v>
      </c>
      <c r="E603" t="s">
        <v>998</v>
      </c>
      <c r="F603" t="s">
        <v>9</v>
      </c>
      <c r="G603" t="s">
        <v>452</v>
      </c>
      <c r="H603" t="s">
        <v>8</v>
      </c>
      <c r="I603" t="s">
        <v>91</v>
      </c>
      <c r="J603">
        <v>61</v>
      </c>
      <c r="K603">
        <v>0.03</v>
      </c>
      <c r="L603">
        <v>1</v>
      </c>
      <c r="M603">
        <v>1</v>
      </c>
      <c r="N603">
        <v>1</v>
      </c>
      <c r="O603">
        <v>100</v>
      </c>
      <c r="P603" t="b">
        <f t="shared" si="9"/>
        <v>0</v>
      </c>
    </row>
    <row r="604" spans="1:16" x14ac:dyDescent="0.2">
      <c r="A604" t="s">
        <v>127</v>
      </c>
      <c r="B604" t="s">
        <v>128</v>
      </c>
      <c r="C604">
        <v>624</v>
      </c>
      <c r="D604">
        <v>130676</v>
      </c>
      <c r="E604" t="s">
        <v>305</v>
      </c>
      <c r="F604" t="s">
        <v>65</v>
      </c>
      <c r="G604" t="s">
        <v>10</v>
      </c>
      <c r="H604" t="s">
        <v>5</v>
      </c>
      <c r="I604" t="s">
        <v>91</v>
      </c>
      <c r="J604">
        <v>48</v>
      </c>
      <c r="K604">
        <v>0.03</v>
      </c>
      <c r="L604">
        <v>1</v>
      </c>
      <c r="M604">
        <v>1</v>
      </c>
      <c r="N604">
        <v>1</v>
      </c>
      <c r="O604">
        <v>100</v>
      </c>
      <c r="P604" t="b">
        <f t="shared" si="9"/>
        <v>0</v>
      </c>
    </row>
    <row r="605" spans="1:16" x14ac:dyDescent="0.2">
      <c r="A605" t="s">
        <v>127</v>
      </c>
      <c r="B605" t="s">
        <v>128</v>
      </c>
      <c r="C605">
        <v>625</v>
      </c>
      <c r="D605">
        <v>48167</v>
      </c>
      <c r="E605" t="s">
        <v>1012</v>
      </c>
      <c r="F605" t="s">
        <v>25</v>
      </c>
      <c r="G605" t="s">
        <v>452</v>
      </c>
      <c r="H605" t="s">
        <v>5</v>
      </c>
      <c r="I605" t="s">
        <v>91</v>
      </c>
      <c r="J605">
        <v>11</v>
      </c>
      <c r="K605">
        <v>0.03</v>
      </c>
      <c r="L605">
        <v>1</v>
      </c>
      <c r="M605">
        <v>1</v>
      </c>
      <c r="N605">
        <v>1</v>
      </c>
      <c r="O605">
        <v>100</v>
      </c>
      <c r="P605" t="b">
        <f t="shared" si="9"/>
        <v>0</v>
      </c>
    </row>
    <row r="606" spans="1:16" x14ac:dyDescent="0.2">
      <c r="A606" t="s">
        <v>127</v>
      </c>
      <c r="B606" t="s">
        <v>128</v>
      </c>
      <c r="C606">
        <v>626</v>
      </c>
      <c r="D606">
        <v>130069</v>
      </c>
      <c r="E606" t="s">
        <v>674</v>
      </c>
      <c r="F606" t="s">
        <v>69</v>
      </c>
      <c r="G606" t="s">
        <v>10</v>
      </c>
      <c r="H606" t="s">
        <v>12</v>
      </c>
      <c r="I606" t="s">
        <v>91</v>
      </c>
      <c r="J606">
        <v>61</v>
      </c>
      <c r="K606">
        <v>0.03</v>
      </c>
      <c r="L606">
        <v>1</v>
      </c>
      <c r="M606">
        <v>1</v>
      </c>
      <c r="N606">
        <v>1</v>
      </c>
      <c r="O606">
        <v>100</v>
      </c>
      <c r="P606" t="b">
        <f t="shared" si="9"/>
        <v>0</v>
      </c>
    </row>
    <row r="607" spans="1:16" x14ac:dyDescent="0.2">
      <c r="A607" t="s">
        <v>127</v>
      </c>
      <c r="B607" t="s">
        <v>128</v>
      </c>
      <c r="C607">
        <v>627</v>
      </c>
      <c r="D607">
        <v>132220</v>
      </c>
      <c r="E607" t="s">
        <v>406</v>
      </c>
      <c r="F607" t="s">
        <v>9</v>
      </c>
      <c r="G607" t="s">
        <v>452</v>
      </c>
      <c r="H607" t="s">
        <v>8</v>
      </c>
      <c r="I607" t="s">
        <v>91</v>
      </c>
      <c r="J607">
        <v>62</v>
      </c>
      <c r="K607">
        <v>0.03</v>
      </c>
      <c r="L607">
        <v>1</v>
      </c>
      <c r="M607">
        <v>1</v>
      </c>
      <c r="N607">
        <v>1</v>
      </c>
      <c r="O607">
        <v>100</v>
      </c>
      <c r="P607" t="b">
        <f t="shared" si="9"/>
        <v>0</v>
      </c>
    </row>
    <row r="608" spans="1:16" x14ac:dyDescent="0.2">
      <c r="A608" t="s">
        <v>127</v>
      </c>
      <c r="B608" t="s">
        <v>128</v>
      </c>
      <c r="C608">
        <v>628</v>
      </c>
      <c r="D608">
        <v>129547</v>
      </c>
      <c r="E608" t="s">
        <v>743</v>
      </c>
      <c r="F608" t="s">
        <v>66</v>
      </c>
      <c r="G608" t="s">
        <v>10</v>
      </c>
      <c r="H608" t="s">
        <v>5</v>
      </c>
      <c r="I608" t="s">
        <v>91</v>
      </c>
      <c r="J608">
        <v>33</v>
      </c>
      <c r="K608">
        <v>0.03</v>
      </c>
      <c r="L608">
        <v>1</v>
      </c>
      <c r="M608">
        <v>1</v>
      </c>
      <c r="N608">
        <v>1</v>
      </c>
      <c r="O608">
        <v>100</v>
      </c>
      <c r="P608" t="b">
        <f t="shared" si="9"/>
        <v>0</v>
      </c>
    </row>
    <row r="609" spans="1:16" x14ac:dyDescent="0.2">
      <c r="A609" t="s">
        <v>127</v>
      </c>
      <c r="B609" t="s">
        <v>128</v>
      </c>
      <c r="C609">
        <v>629</v>
      </c>
      <c r="D609">
        <v>32006</v>
      </c>
      <c r="E609" t="s">
        <v>1071</v>
      </c>
      <c r="F609" t="s">
        <v>24</v>
      </c>
      <c r="G609" t="s">
        <v>452</v>
      </c>
      <c r="H609" t="s">
        <v>5</v>
      </c>
      <c r="I609" t="s">
        <v>91</v>
      </c>
      <c r="J609">
        <v>11</v>
      </c>
      <c r="K609">
        <v>0.03</v>
      </c>
      <c r="L609">
        <v>1</v>
      </c>
      <c r="M609">
        <v>1</v>
      </c>
      <c r="N609">
        <v>1</v>
      </c>
      <c r="O609">
        <v>100</v>
      </c>
      <c r="P609" t="b">
        <f t="shared" si="9"/>
        <v>0</v>
      </c>
    </row>
    <row r="610" spans="1:16" x14ac:dyDescent="0.2">
      <c r="A610" t="s">
        <v>127</v>
      </c>
      <c r="B610" t="s">
        <v>128</v>
      </c>
      <c r="C610">
        <v>630</v>
      </c>
      <c r="D610">
        <v>130306</v>
      </c>
      <c r="E610" t="s">
        <v>407</v>
      </c>
      <c r="F610" t="s">
        <v>69</v>
      </c>
      <c r="G610" t="s">
        <v>10</v>
      </c>
      <c r="H610" t="s">
        <v>12</v>
      </c>
      <c r="I610" t="s">
        <v>91</v>
      </c>
      <c r="J610">
        <v>62</v>
      </c>
      <c r="K610">
        <v>0.03</v>
      </c>
      <c r="L610">
        <v>1</v>
      </c>
      <c r="M610">
        <v>1</v>
      </c>
      <c r="N610">
        <v>1</v>
      </c>
      <c r="O610">
        <v>100</v>
      </c>
      <c r="P610" t="b">
        <f t="shared" si="9"/>
        <v>0</v>
      </c>
    </row>
    <row r="611" spans="1:16" x14ac:dyDescent="0.2">
      <c r="A611" t="s">
        <v>127</v>
      </c>
      <c r="B611" t="s">
        <v>128</v>
      </c>
      <c r="C611">
        <v>631</v>
      </c>
      <c r="D611">
        <v>49513</v>
      </c>
      <c r="E611" t="s">
        <v>1009</v>
      </c>
      <c r="F611" t="s">
        <v>9</v>
      </c>
      <c r="G611" t="s">
        <v>452</v>
      </c>
      <c r="H611" t="s">
        <v>8</v>
      </c>
      <c r="I611" t="s">
        <v>91</v>
      </c>
      <c r="J611">
        <v>63</v>
      </c>
      <c r="K611">
        <v>0.03</v>
      </c>
      <c r="L611">
        <v>1</v>
      </c>
      <c r="M611">
        <v>1</v>
      </c>
      <c r="N611">
        <v>1</v>
      </c>
      <c r="O611">
        <v>100</v>
      </c>
      <c r="P611" t="b">
        <f t="shared" si="9"/>
        <v>0</v>
      </c>
    </row>
    <row r="612" spans="1:16" x14ac:dyDescent="0.2">
      <c r="A612" t="s">
        <v>127</v>
      </c>
      <c r="B612" t="s">
        <v>128</v>
      </c>
      <c r="C612">
        <v>632</v>
      </c>
      <c r="D612">
        <v>129850</v>
      </c>
      <c r="E612" t="s">
        <v>695</v>
      </c>
      <c r="F612" t="s">
        <v>68</v>
      </c>
      <c r="G612" t="s">
        <v>10</v>
      </c>
      <c r="H612" t="s">
        <v>5</v>
      </c>
      <c r="I612" t="s">
        <v>95</v>
      </c>
      <c r="J612">
        <v>32</v>
      </c>
      <c r="K612">
        <v>0.03</v>
      </c>
      <c r="L612">
        <v>1</v>
      </c>
      <c r="M612">
        <v>1</v>
      </c>
      <c r="N612">
        <v>1</v>
      </c>
      <c r="O612">
        <v>100</v>
      </c>
      <c r="P612" t="b">
        <f t="shared" si="9"/>
        <v>0</v>
      </c>
    </row>
    <row r="613" spans="1:16" x14ac:dyDescent="0.2">
      <c r="A613" t="s">
        <v>127</v>
      </c>
      <c r="B613" t="s">
        <v>128</v>
      </c>
      <c r="C613">
        <v>633</v>
      </c>
      <c r="D613">
        <v>32245</v>
      </c>
      <c r="E613" t="s">
        <v>241</v>
      </c>
      <c r="F613" t="s">
        <v>37</v>
      </c>
      <c r="G613" t="s">
        <v>452</v>
      </c>
      <c r="H613" t="s">
        <v>5</v>
      </c>
      <c r="I613" t="s">
        <v>91</v>
      </c>
      <c r="J613">
        <v>15</v>
      </c>
      <c r="K613">
        <v>0.03</v>
      </c>
      <c r="L613">
        <v>1</v>
      </c>
      <c r="M613">
        <v>1</v>
      </c>
      <c r="N613">
        <v>1</v>
      </c>
      <c r="O613">
        <v>100</v>
      </c>
      <c r="P613" t="b">
        <f t="shared" si="9"/>
        <v>0</v>
      </c>
    </row>
    <row r="614" spans="1:16" x14ac:dyDescent="0.2">
      <c r="A614" t="s">
        <v>127</v>
      </c>
      <c r="B614" t="s">
        <v>128</v>
      </c>
      <c r="C614">
        <v>634</v>
      </c>
      <c r="D614">
        <v>130071</v>
      </c>
      <c r="E614" t="s">
        <v>672</v>
      </c>
      <c r="F614" t="s">
        <v>69</v>
      </c>
      <c r="G614" t="s">
        <v>10</v>
      </c>
      <c r="H614" t="s">
        <v>12</v>
      </c>
      <c r="I614" t="s">
        <v>91</v>
      </c>
      <c r="J614">
        <v>63</v>
      </c>
      <c r="K614">
        <v>0.03</v>
      </c>
      <c r="L614">
        <v>1</v>
      </c>
      <c r="M614">
        <v>1</v>
      </c>
      <c r="N614">
        <v>1</v>
      </c>
      <c r="O614">
        <v>100</v>
      </c>
      <c r="P614" t="b">
        <f t="shared" si="9"/>
        <v>0</v>
      </c>
    </row>
    <row r="615" spans="1:16" x14ac:dyDescent="0.2">
      <c r="A615" t="s">
        <v>127</v>
      </c>
      <c r="B615" t="s">
        <v>128</v>
      </c>
      <c r="C615">
        <v>635</v>
      </c>
      <c r="D615">
        <v>132218</v>
      </c>
      <c r="E615" t="s">
        <v>344</v>
      </c>
      <c r="F615" t="s">
        <v>9</v>
      </c>
      <c r="G615" t="s">
        <v>452</v>
      </c>
      <c r="H615" t="s">
        <v>8</v>
      </c>
      <c r="I615" t="s">
        <v>91</v>
      </c>
      <c r="J615">
        <v>64</v>
      </c>
      <c r="K615">
        <v>6</v>
      </c>
      <c r="L615">
        <v>3</v>
      </c>
      <c r="M615">
        <v>2</v>
      </c>
      <c r="N615">
        <v>1</v>
      </c>
      <c r="O615">
        <v>1</v>
      </c>
      <c r="P615" t="b">
        <f t="shared" si="9"/>
        <v>0</v>
      </c>
    </row>
    <row r="616" spans="1:16" x14ac:dyDescent="0.2">
      <c r="A616" t="s">
        <v>127</v>
      </c>
      <c r="B616" t="s">
        <v>128</v>
      </c>
      <c r="C616">
        <v>636</v>
      </c>
      <c r="D616">
        <v>130351</v>
      </c>
      <c r="E616" t="s">
        <v>308</v>
      </c>
      <c r="F616" t="s">
        <v>65</v>
      </c>
      <c r="G616" t="s">
        <v>10</v>
      </c>
      <c r="H616" t="s">
        <v>5</v>
      </c>
      <c r="I616" t="s">
        <v>97</v>
      </c>
      <c r="J616">
        <v>49</v>
      </c>
      <c r="K616">
        <v>0.03</v>
      </c>
      <c r="L616">
        <v>1</v>
      </c>
      <c r="M616">
        <v>1</v>
      </c>
      <c r="N616">
        <v>1</v>
      </c>
      <c r="O616">
        <v>100</v>
      </c>
      <c r="P616" t="b">
        <f t="shared" si="9"/>
        <v>0</v>
      </c>
    </row>
    <row r="617" spans="1:16" x14ac:dyDescent="0.2">
      <c r="A617" t="s">
        <v>127</v>
      </c>
      <c r="B617" t="s">
        <v>128</v>
      </c>
      <c r="C617">
        <v>637</v>
      </c>
      <c r="D617">
        <v>31913</v>
      </c>
      <c r="E617" t="s">
        <v>276</v>
      </c>
      <c r="F617" t="s">
        <v>21</v>
      </c>
      <c r="G617" t="s">
        <v>452</v>
      </c>
      <c r="H617" t="s">
        <v>5</v>
      </c>
      <c r="I617" t="s">
        <v>91</v>
      </c>
      <c r="J617">
        <v>20</v>
      </c>
      <c r="K617">
        <v>0.03</v>
      </c>
      <c r="L617">
        <v>1</v>
      </c>
      <c r="M617">
        <v>1</v>
      </c>
      <c r="N617">
        <v>1</v>
      </c>
      <c r="O617">
        <v>100</v>
      </c>
      <c r="P617" t="b">
        <f t="shared" si="9"/>
        <v>0</v>
      </c>
    </row>
    <row r="618" spans="1:16" x14ac:dyDescent="0.2">
      <c r="A618" t="s">
        <v>127</v>
      </c>
      <c r="B618" t="s">
        <v>128</v>
      </c>
      <c r="C618">
        <v>638</v>
      </c>
      <c r="D618">
        <v>130072</v>
      </c>
      <c r="E618" t="s">
        <v>338</v>
      </c>
      <c r="F618" t="s">
        <v>69</v>
      </c>
      <c r="G618" t="s">
        <v>10</v>
      </c>
      <c r="H618" t="s">
        <v>12</v>
      </c>
      <c r="I618" t="s">
        <v>91</v>
      </c>
      <c r="J618">
        <v>64</v>
      </c>
      <c r="K618">
        <v>0.03</v>
      </c>
      <c r="L618">
        <v>1</v>
      </c>
      <c r="M618">
        <v>1</v>
      </c>
      <c r="N618">
        <v>1</v>
      </c>
      <c r="O618">
        <v>100</v>
      </c>
      <c r="P618" t="b">
        <f t="shared" si="9"/>
        <v>0</v>
      </c>
    </row>
    <row r="619" spans="1:16" x14ac:dyDescent="0.2">
      <c r="A619" t="s">
        <v>127</v>
      </c>
      <c r="B619" t="s">
        <v>128</v>
      </c>
      <c r="C619">
        <v>639</v>
      </c>
      <c r="D619">
        <v>31835</v>
      </c>
      <c r="E619" t="s">
        <v>346</v>
      </c>
      <c r="F619" t="s">
        <v>9</v>
      </c>
      <c r="G619" t="s">
        <v>452</v>
      </c>
      <c r="H619" t="s">
        <v>8</v>
      </c>
      <c r="I619" t="s">
        <v>91</v>
      </c>
      <c r="J619">
        <v>65</v>
      </c>
      <c r="K619">
        <v>0.03</v>
      </c>
      <c r="L619">
        <v>1</v>
      </c>
      <c r="M619">
        <v>1</v>
      </c>
      <c r="N619">
        <v>1</v>
      </c>
      <c r="O619">
        <v>100</v>
      </c>
      <c r="P619" t="b">
        <f t="shared" si="9"/>
        <v>0</v>
      </c>
    </row>
    <row r="620" spans="1:16" x14ac:dyDescent="0.2">
      <c r="A620" t="s">
        <v>127</v>
      </c>
      <c r="B620" t="s">
        <v>128</v>
      </c>
      <c r="C620">
        <v>640</v>
      </c>
      <c r="D620">
        <v>129881</v>
      </c>
      <c r="E620" t="s">
        <v>690</v>
      </c>
      <c r="F620" t="s">
        <v>65</v>
      </c>
      <c r="G620" t="s">
        <v>10</v>
      </c>
      <c r="H620" t="s">
        <v>5</v>
      </c>
      <c r="I620" t="s">
        <v>95</v>
      </c>
      <c r="J620">
        <v>51</v>
      </c>
      <c r="K620">
        <v>0.03</v>
      </c>
      <c r="L620">
        <v>1</v>
      </c>
      <c r="M620">
        <v>1</v>
      </c>
      <c r="N620">
        <v>1</v>
      </c>
      <c r="O620">
        <v>100</v>
      </c>
      <c r="P620" t="b">
        <f t="shared" si="9"/>
        <v>0</v>
      </c>
    </row>
    <row r="621" spans="1:16" x14ac:dyDescent="0.2">
      <c r="A621" t="s">
        <v>127</v>
      </c>
      <c r="B621" t="s">
        <v>128</v>
      </c>
      <c r="C621">
        <v>641</v>
      </c>
      <c r="D621">
        <v>32216</v>
      </c>
      <c r="E621" t="s">
        <v>1039</v>
      </c>
      <c r="F621" t="s">
        <v>23</v>
      </c>
      <c r="G621" t="s">
        <v>452</v>
      </c>
      <c r="H621" t="s">
        <v>5</v>
      </c>
      <c r="I621" t="s">
        <v>91</v>
      </c>
      <c r="J621">
        <v>21</v>
      </c>
      <c r="K621">
        <v>0.03</v>
      </c>
      <c r="L621">
        <v>1</v>
      </c>
      <c r="M621">
        <v>1</v>
      </c>
      <c r="N621">
        <v>1</v>
      </c>
      <c r="O621">
        <v>100</v>
      </c>
      <c r="P621" t="b">
        <f t="shared" si="9"/>
        <v>0</v>
      </c>
    </row>
    <row r="622" spans="1:16" x14ac:dyDescent="0.2">
      <c r="A622" t="s">
        <v>127</v>
      </c>
      <c r="B622" t="s">
        <v>128</v>
      </c>
      <c r="C622">
        <v>642</v>
      </c>
      <c r="D622">
        <v>130073</v>
      </c>
      <c r="E622" t="s">
        <v>671</v>
      </c>
      <c r="F622" t="s">
        <v>69</v>
      </c>
      <c r="G622" t="s">
        <v>10</v>
      </c>
      <c r="H622" t="s">
        <v>12</v>
      </c>
      <c r="I622" t="s">
        <v>91</v>
      </c>
      <c r="J622">
        <v>65</v>
      </c>
      <c r="K622">
        <v>0.03</v>
      </c>
      <c r="L622">
        <v>1</v>
      </c>
      <c r="M622">
        <v>1</v>
      </c>
      <c r="N622">
        <v>1</v>
      </c>
      <c r="O622">
        <v>100</v>
      </c>
      <c r="P622" t="b">
        <f t="shared" si="9"/>
        <v>0</v>
      </c>
    </row>
    <row r="623" spans="1:16" x14ac:dyDescent="0.2">
      <c r="A623" t="s">
        <v>127</v>
      </c>
      <c r="B623" t="s">
        <v>128</v>
      </c>
      <c r="C623">
        <v>643</v>
      </c>
      <c r="D623">
        <v>132021</v>
      </c>
      <c r="E623" t="s">
        <v>811</v>
      </c>
      <c r="F623" t="s">
        <v>9</v>
      </c>
      <c r="G623" t="s">
        <v>452</v>
      </c>
      <c r="H623" t="s">
        <v>8</v>
      </c>
      <c r="I623" t="s">
        <v>91</v>
      </c>
      <c r="J623">
        <v>66</v>
      </c>
      <c r="K623">
        <v>0.03</v>
      </c>
      <c r="L623">
        <v>1</v>
      </c>
      <c r="M623">
        <v>1</v>
      </c>
      <c r="N623">
        <v>1</v>
      </c>
      <c r="O623">
        <v>100</v>
      </c>
      <c r="P623" t="b">
        <f t="shared" si="9"/>
        <v>0</v>
      </c>
    </row>
    <row r="624" spans="1:16" x14ac:dyDescent="0.2">
      <c r="A624" t="s">
        <v>127</v>
      </c>
      <c r="B624" t="s">
        <v>128</v>
      </c>
      <c r="C624">
        <v>644</v>
      </c>
      <c r="D624">
        <v>129494</v>
      </c>
      <c r="E624" t="s">
        <v>760</v>
      </c>
      <c r="F624" t="s">
        <v>66</v>
      </c>
      <c r="G624" t="s">
        <v>10</v>
      </c>
      <c r="H624" t="s">
        <v>5</v>
      </c>
      <c r="I624" t="s">
        <v>138</v>
      </c>
      <c r="J624">
        <v>34</v>
      </c>
      <c r="K624">
        <v>0.03</v>
      </c>
      <c r="L624">
        <v>1</v>
      </c>
      <c r="M624">
        <v>1</v>
      </c>
      <c r="N624">
        <v>1</v>
      </c>
      <c r="O624">
        <v>100</v>
      </c>
      <c r="P624" t="b">
        <f t="shared" si="9"/>
        <v>0</v>
      </c>
    </row>
    <row r="625" spans="1:16" x14ac:dyDescent="0.2">
      <c r="A625" t="s">
        <v>127</v>
      </c>
      <c r="B625" t="s">
        <v>128</v>
      </c>
      <c r="C625">
        <v>645</v>
      </c>
      <c r="D625">
        <v>36274</v>
      </c>
      <c r="E625" t="s">
        <v>1029</v>
      </c>
      <c r="F625" t="s">
        <v>38</v>
      </c>
      <c r="G625" t="s">
        <v>452</v>
      </c>
      <c r="H625" t="s">
        <v>5</v>
      </c>
      <c r="I625" t="s">
        <v>95</v>
      </c>
      <c r="J625">
        <v>13</v>
      </c>
      <c r="K625">
        <v>0.03</v>
      </c>
      <c r="L625">
        <v>1</v>
      </c>
      <c r="M625">
        <v>1</v>
      </c>
      <c r="N625">
        <v>1</v>
      </c>
      <c r="O625">
        <v>100</v>
      </c>
      <c r="P625" t="b">
        <f t="shared" si="9"/>
        <v>0</v>
      </c>
    </row>
    <row r="626" spans="1:16" x14ac:dyDescent="0.2">
      <c r="A626" t="s">
        <v>127</v>
      </c>
      <c r="B626" t="s">
        <v>128</v>
      </c>
      <c r="C626">
        <v>646</v>
      </c>
      <c r="D626">
        <v>130074</v>
      </c>
      <c r="E626" t="s">
        <v>670</v>
      </c>
      <c r="F626" t="s">
        <v>69</v>
      </c>
      <c r="G626" t="s">
        <v>10</v>
      </c>
      <c r="H626" t="s">
        <v>12</v>
      </c>
      <c r="I626" t="s">
        <v>91</v>
      </c>
      <c r="J626">
        <v>66</v>
      </c>
      <c r="K626">
        <v>0.03</v>
      </c>
      <c r="L626">
        <v>1</v>
      </c>
      <c r="M626">
        <v>1</v>
      </c>
      <c r="N626">
        <v>1</v>
      </c>
      <c r="O626">
        <v>100</v>
      </c>
      <c r="P626" t="b">
        <f t="shared" si="9"/>
        <v>0</v>
      </c>
    </row>
    <row r="627" spans="1:16" x14ac:dyDescent="0.2">
      <c r="A627" t="s">
        <v>127</v>
      </c>
      <c r="B627" t="s">
        <v>128</v>
      </c>
      <c r="C627">
        <v>647</v>
      </c>
      <c r="D627">
        <v>48156</v>
      </c>
      <c r="E627" t="s">
        <v>1015</v>
      </c>
      <c r="F627" t="s">
        <v>9</v>
      </c>
      <c r="G627" t="s">
        <v>452</v>
      </c>
      <c r="H627" t="s">
        <v>8</v>
      </c>
      <c r="I627" t="s">
        <v>91</v>
      </c>
      <c r="J627">
        <v>67</v>
      </c>
      <c r="K627">
        <v>0.03</v>
      </c>
      <c r="L627">
        <v>1</v>
      </c>
      <c r="M627">
        <v>1</v>
      </c>
      <c r="N627">
        <v>1</v>
      </c>
      <c r="O627">
        <v>100</v>
      </c>
      <c r="P627" t="b">
        <f t="shared" si="9"/>
        <v>0</v>
      </c>
    </row>
    <row r="628" spans="1:16" x14ac:dyDescent="0.2">
      <c r="A628" t="s">
        <v>127</v>
      </c>
      <c r="B628" t="s">
        <v>128</v>
      </c>
      <c r="C628">
        <v>648</v>
      </c>
      <c r="D628">
        <v>129510</v>
      </c>
      <c r="E628" t="s">
        <v>750</v>
      </c>
      <c r="F628" t="s">
        <v>68</v>
      </c>
      <c r="G628" t="s">
        <v>10</v>
      </c>
      <c r="H628" t="s">
        <v>5</v>
      </c>
      <c r="I628" t="s">
        <v>95</v>
      </c>
      <c r="J628">
        <v>33</v>
      </c>
      <c r="K628">
        <v>0.03</v>
      </c>
      <c r="L628">
        <v>1</v>
      </c>
      <c r="M628">
        <v>1</v>
      </c>
      <c r="N628">
        <v>1</v>
      </c>
      <c r="O628">
        <v>100</v>
      </c>
      <c r="P628" t="b">
        <f t="shared" si="9"/>
        <v>0</v>
      </c>
    </row>
    <row r="629" spans="1:16" x14ac:dyDescent="0.2">
      <c r="A629" t="s">
        <v>127</v>
      </c>
      <c r="B629" t="s">
        <v>128</v>
      </c>
      <c r="C629">
        <v>649</v>
      </c>
      <c r="D629">
        <v>124599</v>
      </c>
      <c r="E629" t="s">
        <v>862</v>
      </c>
      <c r="F629" t="s">
        <v>25</v>
      </c>
      <c r="G629" t="s">
        <v>452</v>
      </c>
      <c r="H629" t="s">
        <v>5</v>
      </c>
      <c r="I629" t="s">
        <v>95</v>
      </c>
      <c r="J629">
        <v>12</v>
      </c>
      <c r="K629">
        <v>0.03</v>
      </c>
      <c r="L629">
        <v>1</v>
      </c>
      <c r="M629">
        <v>1</v>
      </c>
      <c r="N629">
        <v>1</v>
      </c>
      <c r="O629">
        <v>100</v>
      </c>
      <c r="P629" t="b">
        <f t="shared" si="9"/>
        <v>0</v>
      </c>
    </row>
    <row r="630" spans="1:16" x14ac:dyDescent="0.2">
      <c r="A630" t="s">
        <v>127</v>
      </c>
      <c r="B630" t="s">
        <v>128</v>
      </c>
      <c r="C630">
        <v>650</v>
      </c>
      <c r="D630">
        <v>130653</v>
      </c>
      <c r="E630" t="s">
        <v>563</v>
      </c>
      <c r="F630" t="s">
        <v>69</v>
      </c>
      <c r="G630" t="s">
        <v>10</v>
      </c>
      <c r="H630" t="s">
        <v>12</v>
      </c>
      <c r="I630" t="s">
        <v>91</v>
      </c>
      <c r="J630">
        <v>67</v>
      </c>
      <c r="K630">
        <v>0.03</v>
      </c>
      <c r="L630">
        <v>1</v>
      </c>
      <c r="M630">
        <v>1</v>
      </c>
      <c r="N630">
        <v>1</v>
      </c>
      <c r="O630">
        <v>100</v>
      </c>
      <c r="P630" t="b">
        <f t="shared" si="9"/>
        <v>0</v>
      </c>
    </row>
    <row r="631" spans="1:16" x14ac:dyDescent="0.2">
      <c r="A631" t="s">
        <v>127</v>
      </c>
      <c r="B631" t="s">
        <v>128</v>
      </c>
      <c r="C631">
        <v>651</v>
      </c>
      <c r="D631">
        <v>65266</v>
      </c>
      <c r="E631" t="s">
        <v>968</v>
      </c>
      <c r="F631" t="s">
        <v>9</v>
      </c>
      <c r="G631" t="s">
        <v>452</v>
      </c>
      <c r="H631" t="s">
        <v>8</v>
      </c>
      <c r="I631" t="s">
        <v>91</v>
      </c>
      <c r="J631">
        <v>69</v>
      </c>
      <c r="K631">
        <v>0.03</v>
      </c>
      <c r="L631">
        <v>1</v>
      </c>
      <c r="M631">
        <v>1</v>
      </c>
      <c r="N631">
        <v>1</v>
      </c>
      <c r="O631">
        <v>100</v>
      </c>
      <c r="P631" t="b">
        <f t="shared" si="9"/>
        <v>0</v>
      </c>
    </row>
    <row r="632" spans="1:16" x14ac:dyDescent="0.2">
      <c r="A632" t="s">
        <v>127</v>
      </c>
      <c r="B632" t="s">
        <v>128</v>
      </c>
      <c r="C632">
        <v>652</v>
      </c>
      <c r="D632">
        <v>129530</v>
      </c>
      <c r="E632" t="s">
        <v>748</v>
      </c>
      <c r="F632" t="s">
        <v>65</v>
      </c>
      <c r="G632" t="s">
        <v>10</v>
      </c>
      <c r="H632" t="s">
        <v>5</v>
      </c>
      <c r="I632" t="s">
        <v>91</v>
      </c>
      <c r="J632">
        <v>52</v>
      </c>
      <c r="K632">
        <v>0.03</v>
      </c>
      <c r="L632">
        <v>1</v>
      </c>
      <c r="M632">
        <v>1</v>
      </c>
      <c r="N632">
        <v>1</v>
      </c>
      <c r="O632">
        <v>100</v>
      </c>
      <c r="P632" t="b">
        <f t="shared" si="9"/>
        <v>0</v>
      </c>
    </row>
    <row r="633" spans="1:16" x14ac:dyDescent="0.2">
      <c r="A633" t="s">
        <v>127</v>
      </c>
      <c r="B633" t="s">
        <v>128</v>
      </c>
      <c r="C633">
        <v>653</v>
      </c>
      <c r="D633">
        <v>32207</v>
      </c>
      <c r="E633" t="s">
        <v>1042</v>
      </c>
      <c r="F633" t="s">
        <v>24</v>
      </c>
      <c r="G633" t="s">
        <v>452</v>
      </c>
      <c r="H633" t="s">
        <v>5</v>
      </c>
      <c r="I633" t="s">
        <v>91</v>
      </c>
      <c r="J633">
        <v>12</v>
      </c>
      <c r="K633">
        <v>0.03</v>
      </c>
      <c r="L633">
        <v>1</v>
      </c>
      <c r="M633">
        <v>1</v>
      </c>
      <c r="N633">
        <v>1</v>
      </c>
      <c r="O633">
        <v>100</v>
      </c>
      <c r="P633" t="b">
        <f t="shared" si="9"/>
        <v>0</v>
      </c>
    </row>
    <row r="634" spans="1:16" x14ac:dyDescent="0.2">
      <c r="A634" t="s">
        <v>127</v>
      </c>
      <c r="B634" t="s">
        <v>128</v>
      </c>
      <c r="C634">
        <v>654</v>
      </c>
      <c r="D634">
        <v>130742</v>
      </c>
      <c r="E634" t="s">
        <v>543</v>
      </c>
      <c r="F634" t="s">
        <v>69</v>
      </c>
      <c r="G634" t="s">
        <v>10</v>
      </c>
      <c r="H634" t="s">
        <v>12</v>
      </c>
      <c r="I634" t="s">
        <v>91</v>
      </c>
      <c r="J634">
        <v>68</v>
      </c>
      <c r="K634">
        <v>0.03</v>
      </c>
      <c r="L634">
        <v>1</v>
      </c>
      <c r="M634">
        <v>1</v>
      </c>
      <c r="N634">
        <v>1</v>
      </c>
      <c r="O634">
        <v>100</v>
      </c>
      <c r="P634" t="b">
        <f t="shared" si="9"/>
        <v>0</v>
      </c>
    </row>
    <row r="635" spans="1:16" x14ac:dyDescent="0.2">
      <c r="A635" t="s">
        <v>127</v>
      </c>
      <c r="B635" t="s">
        <v>128</v>
      </c>
      <c r="C635">
        <v>655</v>
      </c>
      <c r="D635">
        <v>132024</v>
      </c>
      <c r="E635" t="s">
        <v>808</v>
      </c>
      <c r="F635" t="s">
        <v>9</v>
      </c>
      <c r="G635" t="s">
        <v>452</v>
      </c>
      <c r="H635" t="s">
        <v>8</v>
      </c>
      <c r="I635" t="s">
        <v>91</v>
      </c>
      <c r="J635">
        <v>70</v>
      </c>
      <c r="K635">
        <v>0.03</v>
      </c>
      <c r="L635">
        <v>1</v>
      </c>
      <c r="M635">
        <v>1</v>
      </c>
      <c r="N635">
        <v>1</v>
      </c>
      <c r="O635">
        <v>100</v>
      </c>
      <c r="P635" t="b">
        <f t="shared" si="9"/>
        <v>0</v>
      </c>
    </row>
    <row r="636" spans="1:16" x14ac:dyDescent="0.2">
      <c r="A636" t="s">
        <v>127</v>
      </c>
      <c r="B636" t="s">
        <v>128</v>
      </c>
      <c r="C636">
        <v>656</v>
      </c>
      <c r="D636">
        <v>129836</v>
      </c>
      <c r="E636" t="s">
        <v>696</v>
      </c>
      <c r="F636" t="s">
        <v>66</v>
      </c>
      <c r="G636" t="s">
        <v>10</v>
      </c>
      <c r="H636" t="s">
        <v>5</v>
      </c>
      <c r="I636" t="s">
        <v>91</v>
      </c>
      <c r="J636">
        <v>35</v>
      </c>
      <c r="K636">
        <v>0.03</v>
      </c>
      <c r="L636">
        <v>1</v>
      </c>
      <c r="M636">
        <v>1</v>
      </c>
      <c r="N636">
        <v>1</v>
      </c>
      <c r="O636">
        <v>100</v>
      </c>
      <c r="P636" t="b">
        <f t="shared" si="9"/>
        <v>0</v>
      </c>
    </row>
    <row r="637" spans="1:16" x14ac:dyDescent="0.2">
      <c r="A637" t="s">
        <v>127</v>
      </c>
      <c r="B637" t="s">
        <v>128</v>
      </c>
      <c r="C637">
        <v>657</v>
      </c>
      <c r="D637">
        <v>63424</v>
      </c>
      <c r="E637" t="s">
        <v>972</v>
      </c>
      <c r="F637" t="s">
        <v>21</v>
      </c>
      <c r="G637" t="s">
        <v>452</v>
      </c>
      <c r="H637" t="s">
        <v>5</v>
      </c>
      <c r="I637" t="s">
        <v>95</v>
      </c>
      <c r="J637">
        <v>21</v>
      </c>
      <c r="K637">
        <v>0.03</v>
      </c>
      <c r="L637">
        <v>1</v>
      </c>
      <c r="M637">
        <v>1</v>
      </c>
      <c r="N637">
        <v>1</v>
      </c>
      <c r="O637">
        <v>100</v>
      </c>
      <c r="P637" t="b">
        <f t="shared" si="9"/>
        <v>0</v>
      </c>
    </row>
    <row r="638" spans="1:16" x14ac:dyDescent="0.2">
      <c r="A638" t="s">
        <v>127</v>
      </c>
      <c r="B638" t="s">
        <v>128</v>
      </c>
      <c r="C638">
        <v>658</v>
      </c>
      <c r="D638">
        <v>131143</v>
      </c>
      <c r="E638" t="s">
        <v>345</v>
      </c>
      <c r="F638" t="s">
        <v>69</v>
      </c>
      <c r="G638" t="s">
        <v>10</v>
      </c>
      <c r="H638" t="s">
        <v>12</v>
      </c>
      <c r="I638" t="s">
        <v>91</v>
      </c>
      <c r="J638">
        <v>69</v>
      </c>
      <c r="K638">
        <v>0.03</v>
      </c>
      <c r="L638">
        <v>1</v>
      </c>
      <c r="M638">
        <v>1</v>
      </c>
      <c r="N638">
        <v>1</v>
      </c>
      <c r="O638">
        <v>100</v>
      </c>
      <c r="P638" t="b">
        <f t="shared" si="9"/>
        <v>0</v>
      </c>
    </row>
    <row r="639" spans="1:16" x14ac:dyDescent="0.2">
      <c r="A639" t="s">
        <v>127</v>
      </c>
      <c r="B639" t="s">
        <v>128</v>
      </c>
      <c r="C639">
        <v>659</v>
      </c>
      <c r="D639">
        <v>31951</v>
      </c>
      <c r="E639" t="s">
        <v>1081</v>
      </c>
      <c r="F639" t="s">
        <v>9</v>
      </c>
      <c r="G639" t="s">
        <v>452</v>
      </c>
      <c r="H639" t="s">
        <v>8</v>
      </c>
      <c r="I639" t="s">
        <v>91</v>
      </c>
      <c r="J639">
        <v>71</v>
      </c>
      <c r="K639">
        <v>0.03</v>
      </c>
      <c r="L639">
        <v>1</v>
      </c>
      <c r="M639">
        <v>1</v>
      </c>
      <c r="N639">
        <v>1</v>
      </c>
      <c r="O639">
        <v>100</v>
      </c>
      <c r="P639" t="b">
        <f t="shared" si="9"/>
        <v>0</v>
      </c>
    </row>
    <row r="640" spans="1:16" x14ac:dyDescent="0.2">
      <c r="A640" t="s">
        <v>127</v>
      </c>
      <c r="B640" t="s">
        <v>128</v>
      </c>
      <c r="C640">
        <v>660</v>
      </c>
      <c r="D640">
        <v>130178</v>
      </c>
      <c r="E640" t="s">
        <v>647</v>
      </c>
      <c r="F640" t="s">
        <v>68</v>
      </c>
      <c r="G640" t="s">
        <v>10</v>
      </c>
      <c r="H640" t="s">
        <v>5</v>
      </c>
      <c r="I640" t="s">
        <v>91</v>
      </c>
      <c r="J640">
        <v>34</v>
      </c>
      <c r="K640">
        <v>0.03</v>
      </c>
      <c r="L640">
        <v>1</v>
      </c>
      <c r="M640">
        <v>1</v>
      </c>
      <c r="N640">
        <v>1</v>
      </c>
      <c r="O640">
        <v>100</v>
      </c>
      <c r="P640" t="b">
        <f t="shared" si="9"/>
        <v>0</v>
      </c>
    </row>
    <row r="641" spans="1:16" x14ac:dyDescent="0.2">
      <c r="A641" t="s">
        <v>127</v>
      </c>
      <c r="B641" t="s">
        <v>128</v>
      </c>
      <c r="C641">
        <v>661</v>
      </c>
      <c r="D641">
        <v>31965</v>
      </c>
      <c r="E641" t="s">
        <v>1079</v>
      </c>
      <c r="F641" t="s">
        <v>23</v>
      </c>
      <c r="G641" t="s">
        <v>452</v>
      </c>
      <c r="H641" t="s">
        <v>5</v>
      </c>
      <c r="I641" t="s">
        <v>91</v>
      </c>
      <c r="J641">
        <v>22</v>
      </c>
      <c r="K641">
        <v>0.03</v>
      </c>
      <c r="L641">
        <v>1</v>
      </c>
      <c r="M641">
        <v>1</v>
      </c>
      <c r="N641">
        <v>1</v>
      </c>
      <c r="O641">
        <v>100</v>
      </c>
      <c r="P641" t="b">
        <f t="shared" si="9"/>
        <v>0</v>
      </c>
    </row>
    <row r="642" spans="1:16" x14ac:dyDescent="0.2">
      <c r="A642" t="s">
        <v>127</v>
      </c>
      <c r="B642" t="s">
        <v>128</v>
      </c>
      <c r="C642">
        <v>662</v>
      </c>
      <c r="D642">
        <v>130858</v>
      </c>
      <c r="E642" t="s">
        <v>347</v>
      </c>
      <c r="F642" t="s">
        <v>69</v>
      </c>
      <c r="G642" t="s">
        <v>10</v>
      </c>
      <c r="H642" t="s">
        <v>12</v>
      </c>
      <c r="I642" t="s">
        <v>95</v>
      </c>
      <c r="J642">
        <v>70</v>
      </c>
      <c r="K642">
        <v>0.03</v>
      </c>
      <c r="L642">
        <v>1</v>
      </c>
      <c r="M642">
        <v>1</v>
      </c>
      <c r="N642">
        <v>1</v>
      </c>
      <c r="O642">
        <v>100</v>
      </c>
      <c r="P642" t="b">
        <f t="shared" si="9"/>
        <v>0</v>
      </c>
    </row>
    <row r="643" spans="1:16" x14ac:dyDescent="0.2">
      <c r="A643" t="s">
        <v>127</v>
      </c>
      <c r="B643" t="s">
        <v>128</v>
      </c>
      <c r="C643">
        <v>663</v>
      </c>
      <c r="D643">
        <v>31947</v>
      </c>
      <c r="E643" t="s">
        <v>1084</v>
      </c>
      <c r="F643" t="s">
        <v>9</v>
      </c>
      <c r="G643" t="s">
        <v>452</v>
      </c>
      <c r="H643" t="s">
        <v>8</v>
      </c>
      <c r="I643" t="s">
        <v>91</v>
      </c>
      <c r="J643">
        <v>72</v>
      </c>
      <c r="K643">
        <v>0.03</v>
      </c>
      <c r="L643">
        <v>1</v>
      </c>
      <c r="M643">
        <v>1</v>
      </c>
      <c r="N643">
        <v>1</v>
      </c>
      <c r="O643">
        <v>100</v>
      </c>
      <c r="P643" t="b">
        <f t="shared" ref="P643:P706" si="10">AND(C643&lt;$Q$1,IF(ISBLANK(C643),0,C643)&gt;0)</f>
        <v>0</v>
      </c>
    </row>
    <row r="644" spans="1:16" x14ac:dyDescent="0.2">
      <c r="A644" t="s">
        <v>127</v>
      </c>
      <c r="B644" t="s">
        <v>128</v>
      </c>
      <c r="C644">
        <v>664</v>
      </c>
      <c r="D644">
        <v>129674</v>
      </c>
      <c r="E644" t="s">
        <v>313</v>
      </c>
      <c r="F644" t="s">
        <v>65</v>
      </c>
      <c r="G644" t="s">
        <v>10</v>
      </c>
      <c r="H644" t="s">
        <v>5</v>
      </c>
      <c r="I644" t="s">
        <v>91</v>
      </c>
      <c r="J644">
        <v>53</v>
      </c>
      <c r="K644">
        <v>0.03</v>
      </c>
      <c r="L644">
        <v>1</v>
      </c>
      <c r="M644">
        <v>1</v>
      </c>
      <c r="N644">
        <v>1</v>
      </c>
      <c r="O644">
        <v>100</v>
      </c>
      <c r="P644" t="b">
        <f t="shared" si="10"/>
        <v>0</v>
      </c>
    </row>
    <row r="645" spans="1:16" x14ac:dyDescent="0.2">
      <c r="A645" t="s">
        <v>127</v>
      </c>
      <c r="B645" t="s">
        <v>128</v>
      </c>
      <c r="C645">
        <v>665</v>
      </c>
      <c r="D645">
        <v>32163</v>
      </c>
      <c r="E645" t="s">
        <v>249</v>
      </c>
      <c r="F645" t="s">
        <v>37</v>
      </c>
      <c r="G645" t="s">
        <v>452</v>
      </c>
      <c r="H645" t="s">
        <v>5</v>
      </c>
      <c r="I645" t="s">
        <v>91</v>
      </c>
      <c r="J645">
        <v>16</v>
      </c>
      <c r="K645">
        <v>0.03</v>
      </c>
      <c r="L645">
        <v>1</v>
      </c>
      <c r="M645">
        <v>1</v>
      </c>
      <c r="N645">
        <v>1</v>
      </c>
      <c r="O645">
        <v>100</v>
      </c>
      <c r="P645" t="b">
        <f t="shared" si="10"/>
        <v>0</v>
      </c>
    </row>
    <row r="646" spans="1:16" x14ac:dyDescent="0.2">
      <c r="A646" t="s">
        <v>127</v>
      </c>
      <c r="B646" t="s">
        <v>128</v>
      </c>
      <c r="C646">
        <v>666</v>
      </c>
      <c r="D646">
        <v>130336</v>
      </c>
      <c r="E646" t="s">
        <v>349</v>
      </c>
      <c r="F646" t="s">
        <v>69</v>
      </c>
      <c r="G646" t="s">
        <v>10</v>
      </c>
      <c r="H646" t="s">
        <v>12</v>
      </c>
      <c r="I646" t="s">
        <v>131</v>
      </c>
      <c r="J646">
        <v>71</v>
      </c>
      <c r="K646">
        <v>0.03</v>
      </c>
      <c r="L646">
        <v>1</v>
      </c>
      <c r="M646">
        <v>1</v>
      </c>
      <c r="N646">
        <v>1</v>
      </c>
      <c r="O646">
        <v>100</v>
      </c>
      <c r="P646" t="b">
        <f t="shared" si="10"/>
        <v>0</v>
      </c>
    </row>
    <row r="647" spans="1:16" x14ac:dyDescent="0.2">
      <c r="A647" t="s">
        <v>127</v>
      </c>
      <c r="B647" t="s">
        <v>128</v>
      </c>
      <c r="C647">
        <v>667</v>
      </c>
      <c r="D647">
        <v>31950</v>
      </c>
      <c r="E647" t="s">
        <v>1082</v>
      </c>
      <c r="F647" t="s">
        <v>9</v>
      </c>
      <c r="G647" t="s">
        <v>452</v>
      </c>
      <c r="H647" t="s">
        <v>8</v>
      </c>
      <c r="I647" t="s">
        <v>91</v>
      </c>
      <c r="J647">
        <v>73</v>
      </c>
      <c r="K647">
        <v>0.03</v>
      </c>
      <c r="L647">
        <v>1</v>
      </c>
      <c r="M647">
        <v>1</v>
      </c>
      <c r="N647">
        <v>1</v>
      </c>
      <c r="O647">
        <v>100</v>
      </c>
      <c r="P647" t="b">
        <f t="shared" si="10"/>
        <v>0</v>
      </c>
    </row>
    <row r="648" spans="1:16" x14ac:dyDescent="0.2">
      <c r="A648" t="s">
        <v>127</v>
      </c>
      <c r="B648" t="s">
        <v>128</v>
      </c>
      <c r="C648">
        <v>668</v>
      </c>
      <c r="D648">
        <v>129675</v>
      </c>
      <c r="E648" t="s">
        <v>715</v>
      </c>
      <c r="F648" t="s">
        <v>65</v>
      </c>
      <c r="G648" t="s">
        <v>10</v>
      </c>
      <c r="H648" t="s">
        <v>5</v>
      </c>
      <c r="I648" t="s">
        <v>91</v>
      </c>
      <c r="J648">
        <v>54</v>
      </c>
      <c r="K648">
        <v>0.03</v>
      </c>
      <c r="L648">
        <v>1</v>
      </c>
      <c r="M648">
        <v>1</v>
      </c>
      <c r="N648">
        <v>1</v>
      </c>
      <c r="O648">
        <v>100</v>
      </c>
      <c r="P648" t="b">
        <f t="shared" si="10"/>
        <v>0</v>
      </c>
    </row>
    <row r="649" spans="1:16" x14ac:dyDescent="0.2">
      <c r="A649" t="s">
        <v>127</v>
      </c>
      <c r="B649" t="s">
        <v>128</v>
      </c>
      <c r="C649">
        <v>669</v>
      </c>
      <c r="D649">
        <v>31788</v>
      </c>
      <c r="E649" t="s">
        <v>1112</v>
      </c>
      <c r="F649" t="s">
        <v>21</v>
      </c>
      <c r="G649" t="s">
        <v>452</v>
      </c>
      <c r="H649" t="s">
        <v>5</v>
      </c>
      <c r="I649" t="s">
        <v>91</v>
      </c>
      <c r="J649">
        <v>22</v>
      </c>
      <c r="K649">
        <v>0.03</v>
      </c>
      <c r="L649">
        <v>1</v>
      </c>
      <c r="M649">
        <v>1</v>
      </c>
      <c r="N649">
        <v>1</v>
      </c>
      <c r="O649">
        <v>100</v>
      </c>
      <c r="P649" t="b">
        <f t="shared" si="10"/>
        <v>0</v>
      </c>
    </row>
    <row r="650" spans="1:16" x14ac:dyDescent="0.2">
      <c r="A650" t="s">
        <v>127</v>
      </c>
      <c r="B650" t="s">
        <v>128</v>
      </c>
      <c r="C650">
        <v>670</v>
      </c>
      <c r="D650">
        <v>129592</v>
      </c>
      <c r="E650" t="s">
        <v>729</v>
      </c>
      <c r="F650" t="s">
        <v>69</v>
      </c>
      <c r="G650" t="s">
        <v>10</v>
      </c>
      <c r="H650" t="s">
        <v>12</v>
      </c>
      <c r="I650" t="s">
        <v>95</v>
      </c>
      <c r="J650">
        <v>72</v>
      </c>
      <c r="K650">
        <v>0.03</v>
      </c>
      <c r="L650">
        <v>1</v>
      </c>
      <c r="M650">
        <v>1</v>
      </c>
      <c r="N650">
        <v>1</v>
      </c>
      <c r="O650">
        <v>100</v>
      </c>
      <c r="P650" t="b">
        <f t="shared" si="10"/>
        <v>0</v>
      </c>
    </row>
    <row r="651" spans="1:16" x14ac:dyDescent="0.2">
      <c r="A651" t="s">
        <v>127</v>
      </c>
      <c r="B651" t="s">
        <v>128</v>
      </c>
      <c r="C651">
        <v>671</v>
      </c>
      <c r="D651">
        <v>35914</v>
      </c>
      <c r="E651" t="s">
        <v>1032</v>
      </c>
      <c r="F651" t="s">
        <v>9</v>
      </c>
      <c r="G651" t="s">
        <v>452</v>
      </c>
      <c r="H651" t="s">
        <v>8</v>
      </c>
      <c r="I651" t="s">
        <v>91</v>
      </c>
      <c r="J651">
        <v>74</v>
      </c>
      <c r="K651">
        <v>0.03</v>
      </c>
      <c r="L651">
        <v>1</v>
      </c>
      <c r="M651">
        <v>1</v>
      </c>
      <c r="N651">
        <v>1</v>
      </c>
      <c r="O651">
        <v>100</v>
      </c>
      <c r="P651" t="b">
        <f t="shared" si="10"/>
        <v>0</v>
      </c>
    </row>
    <row r="652" spans="1:16" x14ac:dyDescent="0.2">
      <c r="A652" t="s">
        <v>127</v>
      </c>
      <c r="B652" t="s">
        <v>128</v>
      </c>
      <c r="C652">
        <v>672</v>
      </c>
      <c r="D652">
        <v>130289</v>
      </c>
      <c r="E652" t="s">
        <v>283</v>
      </c>
      <c r="F652" t="s">
        <v>66</v>
      </c>
      <c r="G652" t="s">
        <v>10</v>
      </c>
      <c r="H652" t="s">
        <v>5</v>
      </c>
      <c r="I652" t="s">
        <v>131</v>
      </c>
      <c r="J652">
        <v>36</v>
      </c>
      <c r="K652">
        <v>3</v>
      </c>
      <c r="L652">
        <v>1</v>
      </c>
      <c r="M652">
        <v>1</v>
      </c>
      <c r="N652">
        <v>1</v>
      </c>
      <c r="O652">
        <v>1</v>
      </c>
      <c r="P652" t="b">
        <f t="shared" si="10"/>
        <v>0</v>
      </c>
    </row>
    <row r="653" spans="1:16" x14ac:dyDescent="0.2">
      <c r="A653" t="s">
        <v>127</v>
      </c>
      <c r="B653" t="s">
        <v>128</v>
      </c>
      <c r="C653">
        <v>673</v>
      </c>
      <c r="D653">
        <v>31640</v>
      </c>
      <c r="E653" t="s">
        <v>1134</v>
      </c>
      <c r="F653" t="s">
        <v>23</v>
      </c>
      <c r="G653" t="s">
        <v>452</v>
      </c>
      <c r="H653" t="s">
        <v>5</v>
      </c>
      <c r="I653" t="s">
        <v>91</v>
      </c>
      <c r="J653">
        <v>23</v>
      </c>
      <c r="K653">
        <v>0.03</v>
      </c>
      <c r="L653">
        <v>1</v>
      </c>
      <c r="M653">
        <v>1</v>
      </c>
      <c r="N653">
        <v>1</v>
      </c>
      <c r="O653">
        <v>100</v>
      </c>
      <c r="P653" t="b">
        <f t="shared" si="10"/>
        <v>0</v>
      </c>
    </row>
    <row r="654" spans="1:16" x14ac:dyDescent="0.2">
      <c r="A654" t="s">
        <v>127</v>
      </c>
      <c r="B654" t="s">
        <v>128</v>
      </c>
      <c r="C654">
        <v>674</v>
      </c>
      <c r="D654">
        <v>130357</v>
      </c>
      <c r="E654" t="s">
        <v>284</v>
      </c>
      <c r="F654" t="s">
        <v>68</v>
      </c>
      <c r="G654" t="s">
        <v>10</v>
      </c>
      <c r="H654" t="s">
        <v>5</v>
      </c>
      <c r="I654" t="s">
        <v>91</v>
      </c>
      <c r="J654">
        <v>35</v>
      </c>
      <c r="K654">
        <v>0.03</v>
      </c>
      <c r="L654">
        <v>1</v>
      </c>
      <c r="M654">
        <v>1</v>
      </c>
      <c r="N654">
        <v>1</v>
      </c>
      <c r="O654">
        <v>100</v>
      </c>
      <c r="P654" t="b">
        <f t="shared" si="10"/>
        <v>0</v>
      </c>
    </row>
    <row r="655" spans="1:16" x14ac:dyDescent="0.2">
      <c r="A655" t="s">
        <v>127</v>
      </c>
      <c r="B655" t="s">
        <v>128</v>
      </c>
      <c r="C655">
        <v>675</v>
      </c>
      <c r="D655">
        <v>48158</v>
      </c>
      <c r="E655" t="s">
        <v>1013</v>
      </c>
      <c r="F655" t="s">
        <v>9</v>
      </c>
      <c r="G655" t="s">
        <v>452</v>
      </c>
      <c r="H655" t="s">
        <v>8</v>
      </c>
      <c r="I655" t="s">
        <v>91</v>
      </c>
      <c r="J655">
        <v>75</v>
      </c>
      <c r="K655">
        <v>0.03</v>
      </c>
      <c r="L655">
        <v>1</v>
      </c>
      <c r="M655">
        <v>1</v>
      </c>
      <c r="N655">
        <v>1</v>
      </c>
      <c r="O655">
        <v>100</v>
      </c>
      <c r="P655" t="b">
        <f t="shared" si="10"/>
        <v>0</v>
      </c>
    </row>
    <row r="656" spans="1:16" x14ac:dyDescent="0.2">
      <c r="A656" t="s">
        <v>127</v>
      </c>
      <c r="B656" t="s">
        <v>128</v>
      </c>
      <c r="C656">
        <v>676</v>
      </c>
      <c r="D656">
        <v>130442</v>
      </c>
      <c r="E656" t="s">
        <v>605</v>
      </c>
      <c r="F656" t="s">
        <v>65</v>
      </c>
      <c r="G656" t="s">
        <v>10</v>
      </c>
      <c r="H656" t="s">
        <v>5</v>
      </c>
      <c r="I656" t="s">
        <v>91</v>
      </c>
      <c r="J656">
        <v>55</v>
      </c>
      <c r="K656">
        <v>0.03</v>
      </c>
      <c r="L656">
        <v>1</v>
      </c>
      <c r="M656">
        <v>1</v>
      </c>
      <c r="N656">
        <v>1</v>
      </c>
      <c r="O656">
        <v>100</v>
      </c>
      <c r="P656" t="b">
        <f t="shared" si="10"/>
        <v>0</v>
      </c>
    </row>
    <row r="657" spans="1:16" x14ac:dyDescent="0.2">
      <c r="A657" t="s">
        <v>127</v>
      </c>
      <c r="B657" t="s">
        <v>128</v>
      </c>
      <c r="C657">
        <v>677</v>
      </c>
      <c r="D657">
        <v>31905</v>
      </c>
      <c r="E657" t="s">
        <v>274</v>
      </c>
      <c r="F657" t="s">
        <v>38</v>
      </c>
      <c r="G657" t="s">
        <v>452</v>
      </c>
      <c r="H657" t="s">
        <v>5</v>
      </c>
      <c r="I657" t="s">
        <v>91</v>
      </c>
      <c r="J657">
        <v>14</v>
      </c>
      <c r="K657">
        <v>0.03</v>
      </c>
      <c r="L657">
        <v>1</v>
      </c>
      <c r="M657">
        <v>1</v>
      </c>
      <c r="N657">
        <v>1</v>
      </c>
      <c r="O657">
        <v>100</v>
      </c>
      <c r="P657" t="b">
        <f t="shared" si="10"/>
        <v>0</v>
      </c>
    </row>
    <row r="658" spans="1:16" x14ac:dyDescent="0.2">
      <c r="A658" t="s">
        <v>127</v>
      </c>
      <c r="B658" t="s">
        <v>128</v>
      </c>
      <c r="C658">
        <v>678</v>
      </c>
      <c r="D658">
        <v>130275</v>
      </c>
      <c r="E658" t="s">
        <v>287</v>
      </c>
      <c r="F658" t="s">
        <v>66</v>
      </c>
      <c r="G658" t="s">
        <v>10</v>
      </c>
      <c r="H658" t="s">
        <v>5</v>
      </c>
      <c r="I658" t="s">
        <v>91</v>
      </c>
      <c r="J658">
        <v>37</v>
      </c>
      <c r="K658">
        <v>0.03</v>
      </c>
      <c r="L658">
        <v>1</v>
      </c>
      <c r="M658">
        <v>1</v>
      </c>
      <c r="N658">
        <v>1</v>
      </c>
      <c r="O658">
        <v>100</v>
      </c>
      <c r="P658" t="b">
        <f t="shared" si="10"/>
        <v>0</v>
      </c>
    </row>
    <row r="659" spans="1:16" x14ac:dyDescent="0.2">
      <c r="A659" t="s">
        <v>127</v>
      </c>
      <c r="B659" t="s">
        <v>128</v>
      </c>
      <c r="C659">
        <v>679</v>
      </c>
      <c r="D659">
        <v>32066</v>
      </c>
      <c r="E659" t="s">
        <v>1059</v>
      </c>
      <c r="F659" t="s">
        <v>9</v>
      </c>
      <c r="G659" t="s">
        <v>452</v>
      </c>
      <c r="H659" t="s">
        <v>8</v>
      </c>
      <c r="I659" t="s">
        <v>91</v>
      </c>
      <c r="J659">
        <v>76</v>
      </c>
      <c r="K659">
        <v>0.03</v>
      </c>
      <c r="L659">
        <v>1</v>
      </c>
      <c r="M659">
        <v>1</v>
      </c>
      <c r="N659">
        <v>1</v>
      </c>
      <c r="O659">
        <v>100</v>
      </c>
      <c r="P659" t="b">
        <f t="shared" si="10"/>
        <v>0</v>
      </c>
    </row>
    <row r="660" spans="1:16" x14ac:dyDescent="0.2">
      <c r="A660" t="s">
        <v>127</v>
      </c>
      <c r="B660" t="s">
        <v>128</v>
      </c>
      <c r="C660">
        <v>680</v>
      </c>
      <c r="D660">
        <v>129757</v>
      </c>
      <c r="E660" t="s">
        <v>705</v>
      </c>
      <c r="F660" t="s">
        <v>68</v>
      </c>
      <c r="G660" t="s">
        <v>10</v>
      </c>
      <c r="H660" t="s">
        <v>5</v>
      </c>
      <c r="I660" t="s">
        <v>95</v>
      </c>
      <c r="J660">
        <v>36</v>
      </c>
      <c r="K660">
        <v>0.03</v>
      </c>
      <c r="L660">
        <v>1</v>
      </c>
      <c r="M660">
        <v>1</v>
      </c>
      <c r="N660">
        <v>1</v>
      </c>
      <c r="O660">
        <v>100</v>
      </c>
      <c r="P660" t="b">
        <f t="shared" si="10"/>
        <v>0</v>
      </c>
    </row>
    <row r="661" spans="1:16" x14ac:dyDescent="0.2">
      <c r="A661" t="s">
        <v>127</v>
      </c>
      <c r="B661" t="s">
        <v>128</v>
      </c>
      <c r="C661">
        <v>681</v>
      </c>
      <c r="D661">
        <v>54059</v>
      </c>
      <c r="E661" t="s">
        <v>991</v>
      </c>
      <c r="F661" t="s">
        <v>37</v>
      </c>
      <c r="G661" t="s">
        <v>452</v>
      </c>
      <c r="H661" t="s">
        <v>5</v>
      </c>
      <c r="I661" t="s">
        <v>95</v>
      </c>
      <c r="J661">
        <v>17</v>
      </c>
      <c r="K661">
        <v>0.03</v>
      </c>
      <c r="L661">
        <v>1</v>
      </c>
      <c r="M661">
        <v>1</v>
      </c>
      <c r="N661">
        <v>1</v>
      </c>
      <c r="O661">
        <v>100</v>
      </c>
      <c r="P661" t="b">
        <f t="shared" si="10"/>
        <v>0</v>
      </c>
    </row>
    <row r="662" spans="1:16" x14ac:dyDescent="0.2">
      <c r="A662" t="s">
        <v>127</v>
      </c>
      <c r="B662" t="s">
        <v>128</v>
      </c>
      <c r="C662">
        <v>682</v>
      </c>
      <c r="D662">
        <v>129862</v>
      </c>
      <c r="E662" t="s">
        <v>694</v>
      </c>
      <c r="F662" t="s">
        <v>65</v>
      </c>
      <c r="G662" t="s">
        <v>10</v>
      </c>
      <c r="H662" t="s">
        <v>5</v>
      </c>
      <c r="I662" t="s">
        <v>95</v>
      </c>
      <c r="J662">
        <v>56</v>
      </c>
      <c r="K662">
        <v>0.03</v>
      </c>
      <c r="L662">
        <v>1</v>
      </c>
      <c r="M662">
        <v>1</v>
      </c>
      <c r="N662">
        <v>1</v>
      </c>
      <c r="O662">
        <v>100</v>
      </c>
      <c r="P662" t="b">
        <f t="shared" si="10"/>
        <v>0</v>
      </c>
    </row>
    <row r="663" spans="1:16" x14ac:dyDescent="0.2">
      <c r="A663" t="s">
        <v>127</v>
      </c>
      <c r="B663" t="s">
        <v>128</v>
      </c>
      <c r="C663">
        <v>683</v>
      </c>
      <c r="D663">
        <v>69196</v>
      </c>
      <c r="E663" t="s">
        <v>354</v>
      </c>
      <c r="F663" t="s">
        <v>9</v>
      </c>
      <c r="G663" t="s">
        <v>452</v>
      </c>
      <c r="H663" t="s">
        <v>8</v>
      </c>
      <c r="I663" t="s">
        <v>91</v>
      </c>
      <c r="J663">
        <v>78</v>
      </c>
      <c r="K663">
        <v>0.03</v>
      </c>
      <c r="L663">
        <v>1</v>
      </c>
      <c r="M663">
        <v>1</v>
      </c>
      <c r="N663">
        <v>1</v>
      </c>
      <c r="O663">
        <v>100</v>
      </c>
      <c r="P663" t="b">
        <f t="shared" si="10"/>
        <v>0</v>
      </c>
    </row>
    <row r="664" spans="1:16" x14ac:dyDescent="0.2">
      <c r="A664" t="s">
        <v>127</v>
      </c>
      <c r="B664" t="s">
        <v>128</v>
      </c>
      <c r="C664">
        <v>684</v>
      </c>
      <c r="D664">
        <v>130741</v>
      </c>
      <c r="E664" t="s">
        <v>544</v>
      </c>
      <c r="F664" t="s">
        <v>65</v>
      </c>
      <c r="G664" t="s">
        <v>10</v>
      </c>
      <c r="H664" t="s">
        <v>5</v>
      </c>
      <c r="I664" t="s">
        <v>93</v>
      </c>
      <c r="J664">
        <v>58</v>
      </c>
      <c r="K664">
        <v>0.03</v>
      </c>
      <c r="L664">
        <v>1</v>
      </c>
      <c r="M664">
        <v>1</v>
      </c>
      <c r="N664">
        <v>1</v>
      </c>
      <c r="O664">
        <v>100</v>
      </c>
      <c r="P664" t="b">
        <f t="shared" si="10"/>
        <v>0</v>
      </c>
    </row>
    <row r="665" spans="1:16" x14ac:dyDescent="0.2">
      <c r="A665" t="s">
        <v>127</v>
      </c>
      <c r="B665" t="s">
        <v>128</v>
      </c>
      <c r="C665">
        <v>685</v>
      </c>
      <c r="D665">
        <v>31678</v>
      </c>
      <c r="E665" t="s">
        <v>1125</v>
      </c>
      <c r="F665" t="s">
        <v>25</v>
      </c>
      <c r="G665" t="s">
        <v>452</v>
      </c>
      <c r="H665" t="s">
        <v>5</v>
      </c>
      <c r="I665" t="s">
        <v>91</v>
      </c>
      <c r="J665">
        <v>13</v>
      </c>
      <c r="K665">
        <v>0.03</v>
      </c>
      <c r="L665">
        <v>1</v>
      </c>
      <c r="M665">
        <v>1</v>
      </c>
      <c r="N665">
        <v>1</v>
      </c>
      <c r="O665">
        <v>100</v>
      </c>
      <c r="P665" t="b">
        <f t="shared" si="10"/>
        <v>0</v>
      </c>
    </row>
    <row r="666" spans="1:16" x14ac:dyDescent="0.2">
      <c r="A666" t="s">
        <v>127</v>
      </c>
      <c r="B666" t="s">
        <v>128</v>
      </c>
      <c r="C666">
        <v>686</v>
      </c>
      <c r="D666">
        <v>129545</v>
      </c>
      <c r="E666" t="s">
        <v>288</v>
      </c>
      <c r="F666" t="s">
        <v>66</v>
      </c>
      <c r="G666" t="s">
        <v>10</v>
      </c>
      <c r="H666" t="s">
        <v>5</v>
      </c>
      <c r="I666" t="s">
        <v>91</v>
      </c>
      <c r="J666">
        <v>38</v>
      </c>
      <c r="K666">
        <v>0.03</v>
      </c>
      <c r="L666">
        <v>1</v>
      </c>
      <c r="M666">
        <v>1</v>
      </c>
      <c r="N666">
        <v>1</v>
      </c>
      <c r="O666">
        <v>100</v>
      </c>
      <c r="P666" t="b">
        <f t="shared" si="10"/>
        <v>0</v>
      </c>
    </row>
    <row r="667" spans="1:16" x14ac:dyDescent="0.2">
      <c r="A667" t="s">
        <v>127</v>
      </c>
      <c r="B667" t="s">
        <v>128</v>
      </c>
      <c r="C667">
        <v>687</v>
      </c>
      <c r="D667">
        <v>74950</v>
      </c>
      <c r="E667" t="s">
        <v>937</v>
      </c>
      <c r="F667" t="s">
        <v>9</v>
      </c>
      <c r="G667" t="s">
        <v>452</v>
      </c>
      <c r="H667" t="s">
        <v>8</v>
      </c>
      <c r="I667" t="s">
        <v>91</v>
      </c>
      <c r="J667">
        <v>79</v>
      </c>
      <c r="K667">
        <v>0.03</v>
      </c>
      <c r="L667">
        <v>1</v>
      </c>
      <c r="M667">
        <v>1</v>
      </c>
      <c r="N667">
        <v>1</v>
      </c>
      <c r="O667">
        <v>100</v>
      </c>
      <c r="P667" t="b">
        <f t="shared" si="10"/>
        <v>0</v>
      </c>
    </row>
    <row r="668" spans="1:16" x14ac:dyDescent="0.2">
      <c r="A668" t="s">
        <v>127</v>
      </c>
      <c r="B668" t="s">
        <v>128</v>
      </c>
      <c r="C668">
        <v>688</v>
      </c>
      <c r="D668">
        <v>129408</v>
      </c>
      <c r="E668" t="s">
        <v>793</v>
      </c>
      <c r="F668" t="s">
        <v>68</v>
      </c>
      <c r="G668" t="s">
        <v>10</v>
      </c>
      <c r="H668" t="s">
        <v>5</v>
      </c>
      <c r="I668" t="s">
        <v>95</v>
      </c>
      <c r="J668">
        <v>37</v>
      </c>
      <c r="K668">
        <v>0.03</v>
      </c>
      <c r="L668">
        <v>1</v>
      </c>
      <c r="M668">
        <v>1</v>
      </c>
      <c r="N668">
        <v>1</v>
      </c>
      <c r="O668">
        <v>100</v>
      </c>
      <c r="P668" t="b">
        <f t="shared" si="10"/>
        <v>0</v>
      </c>
    </row>
    <row r="669" spans="1:16" x14ac:dyDescent="0.2">
      <c r="A669" t="s">
        <v>127</v>
      </c>
      <c r="B669" t="s">
        <v>128</v>
      </c>
      <c r="C669">
        <v>689</v>
      </c>
      <c r="D669">
        <v>32000</v>
      </c>
      <c r="E669" t="s">
        <v>1072</v>
      </c>
      <c r="F669" t="s">
        <v>21</v>
      </c>
      <c r="G669" t="s">
        <v>452</v>
      </c>
      <c r="H669" t="s">
        <v>5</v>
      </c>
      <c r="I669" t="s">
        <v>91</v>
      </c>
      <c r="J669">
        <v>23</v>
      </c>
      <c r="K669">
        <v>0.03</v>
      </c>
      <c r="L669">
        <v>1</v>
      </c>
      <c r="M669">
        <v>1</v>
      </c>
      <c r="N669">
        <v>1</v>
      </c>
      <c r="O669">
        <v>100</v>
      </c>
      <c r="P669" t="b">
        <f t="shared" si="10"/>
        <v>0</v>
      </c>
    </row>
    <row r="670" spans="1:16" x14ac:dyDescent="0.2">
      <c r="A670" t="s">
        <v>127</v>
      </c>
      <c r="B670" t="s">
        <v>128</v>
      </c>
      <c r="C670">
        <v>690</v>
      </c>
      <c r="D670">
        <v>129491</v>
      </c>
      <c r="E670" t="s">
        <v>762</v>
      </c>
      <c r="F670" t="s">
        <v>65</v>
      </c>
      <c r="G670" t="s">
        <v>10</v>
      </c>
      <c r="H670" t="s">
        <v>5</v>
      </c>
      <c r="I670" t="s">
        <v>91</v>
      </c>
      <c r="J670">
        <v>59</v>
      </c>
      <c r="K670">
        <v>0.03</v>
      </c>
      <c r="L670">
        <v>1</v>
      </c>
      <c r="M670">
        <v>1</v>
      </c>
      <c r="N670">
        <v>1</v>
      </c>
      <c r="O670">
        <v>100</v>
      </c>
      <c r="P670" t="b">
        <f t="shared" si="10"/>
        <v>0</v>
      </c>
    </row>
    <row r="671" spans="1:16" x14ac:dyDescent="0.2">
      <c r="A671" t="s">
        <v>127</v>
      </c>
      <c r="B671" t="s">
        <v>128</v>
      </c>
      <c r="C671">
        <v>691</v>
      </c>
      <c r="D671">
        <v>31948</v>
      </c>
      <c r="E671" t="s">
        <v>1083</v>
      </c>
      <c r="F671" t="s">
        <v>9</v>
      </c>
      <c r="G671" t="s">
        <v>452</v>
      </c>
      <c r="H671" t="s">
        <v>8</v>
      </c>
      <c r="I671" t="s">
        <v>91</v>
      </c>
      <c r="J671">
        <v>80</v>
      </c>
      <c r="K671">
        <v>0.03</v>
      </c>
      <c r="L671">
        <v>1</v>
      </c>
      <c r="M671">
        <v>1</v>
      </c>
      <c r="N671">
        <v>1</v>
      </c>
      <c r="O671">
        <v>100</v>
      </c>
      <c r="P671" t="b">
        <f t="shared" si="10"/>
        <v>0</v>
      </c>
    </row>
    <row r="672" spans="1:16" x14ac:dyDescent="0.2">
      <c r="A672" t="s">
        <v>127</v>
      </c>
      <c r="B672" t="s">
        <v>128</v>
      </c>
      <c r="C672">
        <v>692</v>
      </c>
      <c r="D672">
        <v>129544</v>
      </c>
      <c r="E672" t="s">
        <v>291</v>
      </c>
      <c r="F672" t="s">
        <v>66</v>
      </c>
      <c r="G672" t="s">
        <v>10</v>
      </c>
      <c r="H672" t="s">
        <v>5</v>
      </c>
      <c r="I672" t="s">
        <v>91</v>
      </c>
      <c r="J672">
        <v>39</v>
      </c>
      <c r="K672">
        <v>0.03</v>
      </c>
      <c r="L672">
        <v>1</v>
      </c>
      <c r="M672">
        <v>1</v>
      </c>
      <c r="N672">
        <v>1</v>
      </c>
      <c r="O672">
        <v>100</v>
      </c>
      <c r="P672" t="b">
        <f t="shared" si="10"/>
        <v>0</v>
      </c>
    </row>
    <row r="673" spans="1:16" x14ac:dyDescent="0.2">
      <c r="A673" t="s">
        <v>127</v>
      </c>
      <c r="B673" t="s">
        <v>128</v>
      </c>
      <c r="C673">
        <v>693</v>
      </c>
      <c r="D673">
        <v>31831</v>
      </c>
      <c r="E673" t="s">
        <v>1104</v>
      </c>
      <c r="F673" t="s">
        <v>23</v>
      </c>
      <c r="G673" t="s">
        <v>452</v>
      </c>
      <c r="H673" t="s">
        <v>5</v>
      </c>
      <c r="I673" t="s">
        <v>91</v>
      </c>
      <c r="J673">
        <v>24</v>
      </c>
      <c r="K673">
        <v>0.03</v>
      </c>
      <c r="L673">
        <v>1</v>
      </c>
      <c r="M673">
        <v>1</v>
      </c>
      <c r="N673">
        <v>1</v>
      </c>
      <c r="O673">
        <v>100</v>
      </c>
      <c r="P673" t="b">
        <f t="shared" si="10"/>
        <v>0</v>
      </c>
    </row>
    <row r="674" spans="1:16" x14ac:dyDescent="0.2">
      <c r="A674" t="s">
        <v>127</v>
      </c>
      <c r="B674" t="s">
        <v>128</v>
      </c>
      <c r="C674">
        <v>694</v>
      </c>
      <c r="D674">
        <v>130293</v>
      </c>
      <c r="E674" t="s">
        <v>293</v>
      </c>
      <c r="F674" t="s">
        <v>68</v>
      </c>
      <c r="G674" t="s">
        <v>10</v>
      </c>
      <c r="H674" t="s">
        <v>5</v>
      </c>
      <c r="I674" t="s">
        <v>97</v>
      </c>
      <c r="J674">
        <v>38</v>
      </c>
      <c r="K674">
        <v>0.03</v>
      </c>
      <c r="L674">
        <v>1</v>
      </c>
      <c r="M674">
        <v>1</v>
      </c>
      <c r="N674">
        <v>1</v>
      </c>
      <c r="O674">
        <v>100</v>
      </c>
      <c r="P674" t="b">
        <f t="shared" si="10"/>
        <v>0</v>
      </c>
    </row>
    <row r="675" spans="1:16" x14ac:dyDescent="0.2">
      <c r="A675" t="s">
        <v>127</v>
      </c>
      <c r="B675" t="s">
        <v>128</v>
      </c>
      <c r="C675">
        <v>695</v>
      </c>
      <c r="D675">
        <v>31978</v>
      </c>
      <c r="E675" t="s">
        <v>1078</v>
      </c>
      <c r="F675" t="s">
        <v>9</v>
      </c>
      <c r="G675" t="s">
        <v>452</v>
      </c>
      <c r="H675" t="s">
        <v>8</v>
      </c>
      <c r="I675" t="s">
        <v>91</v>
      </c>
      <c r="J675">
        <v>81</v>
      </c>
      <c r="K675">
        <v>0.03</v>
      </c>
      <c r="L675">
        <v>1</v>
      </c>
      <c r="M675">
        <v>1</v>
      </c>
      <c r="N675">
        <v>1</v>
      </c>
      <c r="O675">
        <v>100</v>
      </c>
      <c r="P675" t="b">
        <f t="shared" si="10"/>
        <v>0</v>
      </c>
    </row>
    <row r="676" spans="1:16" x14ac:dyDescent="0.2">
      <c r="A676" t="s">
        <v>127</v>
      </c>
      <c r="B676" t="s">
        <v>128</v>
      </c>
      <c r="C676">
        <v>696</v>
      </c>
      <c r="D676">
        <v>129912</v>
      </c>
      <c r="E676" t="s">
        <v>688</v>
      </c>
      <c r="F676" t="s">
        <v>65</v>
      </c>
      <c r="G676" t="s">
        <v>10</v>
      </c>
      <c r="H676" t="s">
        <v>5</v>
      </c>
      <c r="I676" t="s">
        <v>95</v>
      </c>
      <c r="J676">
        <v>60</v>
      </c>
      <c r="K676">
        <v>0.03</v>
      </c>
      <c r="L676">
        <v>1</v>
      </c>
      <c r="M676">
        <v>1</v>
      </c>
      <c r="N676">
        <v>1</v>
      </c>
      <c r="O676">
        <v>100</v>
      </c>
      <c r="P676" t="b">
        <f t="shared" si="10"/>
        <v>0</v>
      </c>
    </row>
    <row r="677" spans="1:16" x14ac:dyDescent="0.2">
      <c r="A677" t="s">
        <v>127</v>
      </c>
      <c r="B677" t="s">
        <v>128</v>
      </c>
      <c r="C677">
        <v>697</v>
      </c>
      <c r="D677">
        <v>31900</v>
      </c>
      <c r="E677" t="s">
        <v>278</v>
      </c>
      <c r="F677" t="s">
        <v>38</v>
      </c>
      <c r="G677" t="s">
        <v>452</v>
      </c>
      <c r="H677" t="s">
        <v>5</v>
      </c>
      <c r="I677" t="s">
        <v>91</v>
      </c>
      <c r="J677">
        <v>15</v>
      </c>
      <c r="K677">
        <v>0.03</v>
      </c>
      <c r="L677">
        <v>1</v>
      </c>
      <c r="M677">
        <v>1</v>
      </c>
      <c r="N677">
        <v>1</v>
      </c>
      <c r="O677">
        <v>100</v>
      </c>
      <c r="P677" t="b">
        <f t="shared" si="10"/>
        <v>0</v>
      </c>
    </row>
    <row r="678" spans="1:16" x14ac:dyDescent="0.2">
      <c r="A678" t="s">
        <v>127</v>
      </c>
      <c r="B678" t="s">
        <v>128</v>
      </c>
      <c r="C678">
        <v>698</v>
      </c>
      <c r="D678">
        <v>130174</v>
      </c>
      <c r="E678" t="s">
        <v>648</v>
      </c>
      <c r="F678" t="s">
        <v>65</v>
      </c>
      <c r="G678" t="s">
        <v>10</v>
      </c>
      <c r="H678" t="s">
        <v>5</v>
      </c>
      <c r="I678" t="s">
        <v>91</v>
      </c>
      <c r="J678">
        <v>61</v>
      </c>
      <c r="K678">
        <v>0.03</v>
      </c>
      <c r="L678">
        <v>1</v>
      </c>
      <c r="M678">
        <v>1</v>
      </c>
      <c r="N678">
        <v>1</v>
      </c>
      <c r="O678">
        <v>100</v>
      </c>
      <c r="P678" t="b">
        <f t="shared" si="10"/>
        <v>0</v>
      </c>
    </row>
    <row r="679" spans="1:16" x14ac:dyDescent="0.2">
      <c r="A679" t="s">
        <v>127</v>
      </c>
      <c r="B679" t="s">
        <v>128</v>
      </c>
      <c r="C679">
        <v>699</v>
      </c>
      <c r="D679">
        <v>32020</v>
      </c>
      <c r="E679" t="s">
        <v>1065</v>
      </c>
      <c r="F679" t="s">
        <v>37</v>
      </c>
      <c r="G679" t="s">
        <v>452</v>
      </c>
      <c r="H679" t="s">
        <v>5</v>
      </c>
      <c r="I679" t="s">
        <v>95</v>
      </c>
      <c r="J679">
        <v>18</v>
      </c>
      <c r="K679">
        <v>0.03</v>
      </c>
      <c r="L679">
        <v>1</v>
      </c>
      <c r="M679">
        <v>1</v>
      </c>
      <c r="N679">
        <v>1</v>
      </c>
      <c r="O679">
        <v>100</v>
      </c>
      <c r="P679" t="b">
        <f t="shared" si="10"/>
        <v>0</v>
      </c>
    </row>
    <row r="680" spans="1:16" x14ac:dyDescent="0.2">
      <c r="A680" t="s">
        <v>127</v>
      </c>
      <c r="B680" t="s">
        <v>128</v>
      </c>
      <c r="C680">
        <v>700</v>
      </c>
      <c r="D680">
        <v>129548</v>
      </c>
      <c r="E680" t="s">
        <v>400</v>
      </c>
      <c r="F680" t="s">
        <v>66</v>
      </c>
      <c r="G680" t="s">
        <v>10</v>
      </c>
      <c r="H680" t="s">
        <v>5</v>
      </c>
      <c r="I680" t="s">
        <v>91</v>
      </c>
      <c r="J680">
        <v>42</v>
      </c>
      <c r="K680">
        <v>0.03</v>
      </c>
      <c r="L680">
        <v>1</v>
      </c>
      <c r="M680">
        <v>1</v>
      </c>
      <c r="N680">
        <v>1</v>
      </c>
      <c r="O680">
        <v>100</v>
      </c>
      <c r="P680" t="b">
        <f t="shared" si="10"/>
        <v>0</v>
      </c>
    </row>
    <row r="681" spans="1:16" x14ac:dyDescent="0.2">
      <c r="A681" t="s">
        <v>127</v>
      </c>
      <c r="B681" t="s">
        <v>128</v>
      </c>
      <c r="C681">
        <v>701</v>
      </c>
      <c r="D681">
        <v>90947</v>
      </c>
      <c r="E681" t="s">
        <v>914</v>
      </c>
      <c r="F681" t="s">
        <v>21</v>
      </c>
      <c r="G681" t="s">
        <v>452</v>
      </c>
      <c r="H681" t="s">
        <v>5</v>
      </c>
      <c r="I681" t="s">
        <v>91</v>
      </c>
      <c r="J681">
        <v>24</v>
      </c>
      <c r="K681">
        <v>0.03</v>
      </c>
      <c r="L681">
        <v>1</v>
      </c>
      <c r="M681">
        <v>1</v>
      </c>
      <c r="N681">
        <v>1</v>
      </c>
      <c r="O681">
        <v>100</v>
      </c>
      <c r="P681" t="b">
        <f t="shared" si="10"/>
        <v>0</v>
      </c>
    </row>
    <row r="682" spans="1:16" x14ac:dyDescent="0.2">
      <c r="A682" t="s">
        <v>127</v>
      </c>
      <c r="B682" t="s">
        <v>128</v>
      </c>
      <c r="C682">
        <v>702</v>
      </c>
      <c r="D682">
        <v>129863</v>
      </c>
      <c r="E682" t="s">
        <v>295</v>
      </c>
      <c r="F682" t="s">
        <v>68</v>
      </c>
      <c r="G682" t="s">
        <v>10</v>
      </c>
      <c r="H682" t="s">
        <v>5</v>
      </c>
      <c r="I682" t="s">
        <v>95</v>
      </c>
      <c r="J682">
        <v>39</v>
      </c>
      <c r="K682">
        <v>0.03</v>
      </c>
      <c r="L682">
        <v>1</v>
      </c>
      <c r="M682">
        <v>1</v>
      </c>
      <c r="N682">
        <v>1</v>
      </c>
      <c r="O682">
        <v>100</v>
      </c>
      <c r="P682" t="b">
        <f t="shared" si="10"/>
        <v>0</v>
      </c>
    </row>
    <row r="683" spans="1:16" x14ac:dyDescent="0.2">
      <c r="A683" t="s">
        <v>127</v>
      </c>
      <c r="B683" t="s">
        <v>128</v>
      </c>
      <c r="C683">
        <v>703</v>
      </c>
      <c r="D683">
        <v>31779</v>
      </c>
      <c r="E683" t="s">
        <v>1113</v>
      </c>
      <c r="F683" t="s">
        <v>23</v>
      </c>
      <c r="G683" t="s">
        <v>452</v>
      </c>
      <c r="H683" t="s">
        <v>5</v>
      </c>
      <c r="I683" t="s">
        <v>91</v>
      </c>
      <c r="J683">
        <v>25</v>
      </c>
      <c r="K683">
        <v>0.03</v>
      </c>
      <c r="L683">
        <v>1</v>
      </c>
      <c r="M683">
        <v>1</v>
      </c>
      <c r="N683">
        <v>1</v>
      </c>
      <c r="O683">
        <v>100</v>
      </c>
      <c r="P683" t="b">
        <f t="shared" si="10"/>
        <v>0</v>
      </c>
    </row>
    <row r="684" spans="1:16" x14ac:dyDescent="0.2">
      <c r="A684" t="s">
        <v>127</v>
      </c>
      <c r="B684" t="s">
        <v>128</v>
      </c>
      <c r="C684">
        <v>704</v>
      </c>
      <c r="D684">
        <v>130101</v>
      </c>
      <c r="E684" t="s">
        <v>664</v>
      </c>
      <c r="F684" t="s">
        <v>65</v>
      </c>
      <c r="G684" t="s">
        <v>10</v>
      </c>
      <c r="H684" t="s">
        <v>5</v>
      </c>
      <c r="I684" t="s">
        <v>91</v>
      </c>
      <c r="J684">
        <v>62</v>
      </c>
      <c r="K684">
        <v>0.03</v>
      </c>
      <c r="L684">
        <v>1</v>
      </c>
      <c r="M684">
        <v>1</v>
      </c>
      <c r="N684">
        <v>1</v>
      </c>
      <c r="O684">
        <v>100</v>
      </c>
      <c r="P684" t="b">
        <f t="shared" si="10"/>
        <v>0</v>
      </c>
    </row>
    <row r="685" spans="1:16" x14ac:dyDescent="0.2">
      <c r="A685" t="s">
        <v>127</v>
      </c>
      <c r="B685" t="s">
        <v>128</v>
      </c>
      <c r="C685">
        <v>705</v>
      </c>
      <c r="D685">
        <v>92336</v>
      </c>
      <c r="E685" t="s">
        <v>911</v>
      </c>
      <c r="F685" t="s">
        <v>25</v>
      </c>
      <c r="G685" t="s">
        <v>452</v>
      </c>
      <c r="H685" t="s">
        <v>5</v>
      </c>
      <c r="I685" t="s">
        <v>91</v>
      </c>
      <c r="J685">
        <v>14</v>
      </c>
      <c r="K685">
        <v>0.03</v>
      </c>
      <c r="L685">
        <v>1</v>
      </c>
      <c r="M685">
        <v>1</v>
      </c>
      <c r="N685">
        <v>1</v>
      </c>
      <c r="O685">
        <v>100</v>
      </c>
      <c r="P685" t="b">
        <f t="shared" si="10"/>
        <v>0</v>
      </c>
    </row>
    <row r="686" spans="1:16" x14ac:dyDescent="0.2">
      <c r="A686" t="s">
        <v>127</v>
      </c>
      <c r="B686" t="s">
        <v>128</v>
      </c>
      <c r="C686">
        <v>706</v>
      </c>
      <c r="D686">
        <v>136973</v>
      </c>
      <c r="E686" t="s">
        <v>458</v>
      </c>
      <c r="F686" t="s">
        <v>66</v>
      </c>
      <c r="G686" t="s">
        <v>10</v>
      </c>
      <c r="H686" t="s">
        <v>5</v>
      </c>
      <c r="I686" t="s">
        <v>91</v>
      </c>
      <c r="J686">
        <v>47</v>
      </c>
      <c r="K686">
        <v>0.03</v>
      </c>
      <c r="L686">
        <v>1</v>
      </c>
      <c r="M686">
        <v>1</v>
      </c>
      <c r="N686">
        <v>1</v>
      </c>
      <c r="O686">
        <v>100</v>
      </c>
      <c r="P686" t="b">
        <f t="shared" si="10"/>
        <v>0</v>
      </c>
    </row>
    <row r="687" spans="1:16" x14ac:dyDescent="0.2">
      <c r="A687" t="s">
        <v>127</v>
      </c>
      <c r="B687" t="s">
        <v>128</v>
      </c>
      <c r="C687">
        <v>707</v>
      </c>
      <c r="D687">
        <v>31662</v>
      </c>
      <c r="E687" t="s">
        <v>1127</v>
      </c>
      <c r="F687" t="s">
        <v>21</v>
      </c>
      <c r="G687" t="s">
        <v>452</v>
      </c>
      <c r="H687" t="s">
        <v>5</v>
      </c>
      <c r="I687" t="s">
        <v>91</v>
      </c>
      <c r="J687">
        <v>25</v>
      </c>
      <c r="K687">
        <v>0.03</v>
      </c>
      <c r="L687">
        <v>1</v>
      </c>
      <c r="M687">
        <v>1</v>
      </c>
      <c r="N687">
        <v>1</v>
      </c>
      <c r="O687">
        <v>100</v>
      </c>
      <c r="P687" t="b">
        <f t="shared" si="10"/>
        <v>0</v>
      </c>
    </row>
    <row r="688" spans="1:16" x14ac:dyDescent="0.2">
      <c r="A688" t="s">
        <v>127</v>
      </c>
      <c r="B688" t="s">
        <v>128</v>
      </c>
      <c r="C688">
        <v>708</v>
      </c>
      <c r="D688">
        <v>129549</v>
      </c>
      <c r="E688" t="s">
        <v>742</v>
      </c>
      <c r="F688" t="s">
        <v>68</v>
      </c>
      <c r="G688" t="s">
        <v>10</v>
      </c>
      <c r="H688" t="s">
        <v>5</v>
      </c>
      <c r="I688" t="s">
        <v>95</v>
      </c>
      <c r="J688">
        <v>40</v>
      </c>
      <c r="K688">
        <v>0.03</v>
      </c>
      <c r="L688">
        <v>1</v>
      </c>
      <c r="M688">
        <v>1</v>
      </c>
      <c r="N688">
        <v>1</v>
      </c>
      <c r="O688">
        <v>100</v>
      </c>
      <c r="P688" t="b">
        <f t="shared" si="10"/>
        <v>0</v>
      </c>
    </row>
    <row r="689" spans="1:16" x14ac:dyDescent="0.2">
      <c r="A689" t="s">
        <v>127</v>
      </c>
      <c r="B689" t="s">
        <v>128</v>
      </c>
      <c r="C689">
        <v>709</v>
      </c>
      <c r="D689">
        <v>31753</v>
      </c>
      <c r="E689" t="s">
        <v>255</v>
      </c>
      <c r="F689" t="s">
        <v>23</v>
      </c>
      <c r="G689" t="s">
        <v>452</v>
      </c>
      <c r="H689" t="s">
        <v>5</v>
      </c>
      <c r="I689" t="s">
        <v>91</v>
      </c>
      <c r="J689">
        <v>26</v>
      </c>
      <c r="K689">
        <v>0.03</v>
      </c>
      <c r="L689">
        <v>1</v>
      </c>
      <c r="M689">
        <v>1</v>
      </c>
      <c r="N689">
        <v>1</v>
      </c>
      <c r="O689">
        <v>100</v>
      </c>
      <c r="P689" t="b">
        <f t="shared" si="10"/>
        <v>0</v>
      </c>
    </row>
    <row r="690" spans="1:16" x14ac:dyDescent="0.2">
      <c r="A690" t="s">
        <v>127</v>
      </c>
      <c r="B690" t="s">
        <v>128</v>
      </c>
      <c r="C690">
        <v>710</v>
      </c>
      <c r="D690">
        <v>130284</v>
      </c>
      <c r="E690" t="s">
        <v>635</v>
      </c>
      <c r="F690" t="s">
        <v>65</v>
      </c>
      <c r="G690" t="s">
        <v>10</v>
      </c>
      <c r="H690" t="s">
        <v>5</v>
      </c>
      <c r="I690" t="s">
        <v>91</v>
      </c>
      <c r="J690">
        <v>63</v>
      </c>
      <c r="K690">
        <v>0.03</v>
      </c>
      <c r="L690">
        <v>1</v>
      </c>
      <c r="M690">
        <v>1</v>
      </c>
      <c r="N690">
        <v>1</v>
      </c>
      <c r="O690">
        <v>100</v>
      </c>
      <c r="P690" t="b">
        <f t="shared" si="10"/>
        <v>0</v>
      </c>
    </row>
    <row r="691" spans="1:16" x14ac:dyDescent="0.2">
      <c r="A691" t="s">
        <v>127</v>
      </c>
      <c r="B691" t="s">
        <v>128</v>
      </c>
      <c r="C691">
        <v>711</v>
      </c>
      <c r="D691">
        <v>32004</v>
      </c>
      <c r="E691" t="s">
        <v>265</v>
      </c>
      <c r="F691" t="s">
        <v>37</v>
      </c>
      <c r="G691" t="s">
        <v>452</v>
      </c>
      <c r="H691" t="s">
        <v>5</v>
      </c>
      <c r="I691" t="s">
        <v>95</v>
      </c>
      <c r="J691">
        <v>19</v>
      </c>
      <c r="K691">
        <v>0.03</v>
      </c>
      <c r="L691">
        <v>1</v>
      </c>
      <c r="M691">
        <v>1</v>
      </c>
      <c r="N691">
        <v>1</v>
      </c>
      <c r="O691">
        <v>100</v>
      </c>
      <c r="P691" t="b">
        <f t="shared" si="10"/>
        <v>0</v>
      </c>
    </row>
    <row r="692" spans="1:16" x14ac:dyDescent="0.2">
      <c r="A692" t="s">
        <v>127</v>
      </c>
      <c r="B692" t="s">
        <v>128</v>
      </c>
      <c r="C692">
        <v>712</v>
      </c>
      <c r="D692">
        <v>130253</v>
      </c>
      <c r="E692" t="s">
        <v>638</v>
      </c>
      <c r="F692" t="s">
        <v>65</v>
      </c>
      <c r="G692" t="s">
        <v>10</v>
      </c>
      <c r="H692" t="s">
        <v>5</v>
      </c>
      <c r="I692" t="s">
        <v>91</v>
      </c>
      <c r="J692">
        <v>64</v>
      </c>
      <c r="K692">
        <v>0.03</v>
      </c>
      <c r="L692">
        <v>1</v>
      </c>
      <c r="M692">
        <v>1</v>
      </c>
      <c r="N692">
        <v>1</v>
      </c>
      <c r="O692">
        <v>100</v>
      </c>
      <c r="P692" t="b">
        <f t="shared" si="10"/>
        <v>0</v>
      </c>
    </row>
    <row r="693" spans="1:16" x14ac:dyDescent="0.2">
      <c r="A693" t="s">
        <v>127</v>
      </c>
      <c r="B693" t="s">
        <v>128</v>
      </c>
      <c r="C693">
        <v>713</v>
      </c>
      <c r="D693">
        <v>31901</v>
      </c>
      <c r="E693" t="s">
        <v>280</v>
      </c>
      <c r="F693" t="s">
        <v>38</v>
      </c>
      <c r="G693" t="s">
        <v>452</v>
      </c>
      <c r="H693" t="s">
        <v>5</v>
      </c>
      <c r="I693" t="s">
        <v>91</v>
      </c>
      <c r="J693">
        <v>16</v>
      </c>
      <c r="K693">
        <v>0.03</v>
      </c>
      <c r="L693">
        <v>1</v>
      </c>
      <c r="M693">
        <v>1</v>
      </c>
      <c r="N693">
        <v>1</v>
      </c>
      <c r="O693">
        <v>100</v>
      </c>
      <c r="P693" t="b">
        <f t="shared" si="10"/>
        <v>0</v>
      </c>
    </row>
    <row r="694" spans="1:16" x14ac:dyDescent="0.2">
      <c r="A694" t="s">
        <v>127</v>
      </c>
      <c r="B694" t="s">
        <v>128</v>
      </c>
      <c r="C694">
        <v>714</v>
      </c>
      <c r="D694">
        <v>136913</v>
      </c>
      <c r="E694" t="s">
        <v>459</v>
      </c>
      <c r="F694" t="s">
        <v>66</v>
      </c>
      <c r="G694" t="s">
        <v>10</v>
      </c>
      <c r="H694" t="s">
        <v>5</v>
      </c>
      <c r="I694" t="s">
        <v>91</v>
      </c>
      <c r="J694">
        <v>48</v>
      </c>
      <c r="K694">
        <v>0.04</v>
      </c>
      <c r="L694">
        <v>2</v>
      </c>
      <c r="M694">
        <v>1</v>
      </c>
      <c r="N694">
        <v>1</v>
      </c>
      <c r="O694">
        <v>100</v>
      </c>
      <c r="P694" t="b">
        <f t="shared" si="10"/>
        <v>0</v>
      </c>
    </row>
    <row r="695" spans="1:16" x14ac:dyDescent="0.2">
      <c r="A695" t="s">
        <v>127</v>
      </c>
      <c r="B695" t="s">
        <v>128</v>
      </c>
      <c r="C695">
        <v>715</v>
      </c>
      <c r="D695">
        <v>31649</v>
      </c>
      <c r="E695" t="s">
        <v>1132</v>
      </c>
      <c r="F695" t="s">
        <v>21</v>
      </c>
      <c r="G695" t="s">
        <v>452</v>
      </c>
      <c r="H695" t="s">
        <v>5</v>
      </c>
      <c r="I695" t="s">
        <v>91</v>
      </c>
      <c r="J695">
        <v>26</v>
      </c>
      <c r="K695">
        <v>0.03</v>
      </c>
      <c r="L695">
        <v>1</v>
      </c>
      <c r="M695">
        <v>1</v>
      </c>
      <c r="N695">
        <v>1</v>
      </c>
      <c r="O695">
        <v>100</v>
      </c>
      <c r="P695" t="b">
        <f t="shared" si="10"/>
        <v>0</v>
      </c>
    </row>
    <row r="696" spans="1:16" x14ac:dyDescent="0.2">
      <c r="A696" t="s">
        <v>127</v>
      </c>
      <c r="B696" t="s">
        <v>128</v>
      </c>
      <c r="C696">
        <v>716</v>
      </c>
      <c r="D696">
        <v>130024</v>
      </c>
      <c r="E696" t="s">
        <v>677</v>
      </c>
      <c r="F696" t="s">
        <v>68</v>
      </c>
      <c r="G696" t="s">
        <v>10</v>
      </c>
      <c r="H696" t="s">
        <v>5</v>
      </c>
      <c r="I696" t="s">
        <v>95</v>
      </c>
      <c r="J696">
        <v>41</v>
      </c>
      <c r="K696">
        <v>0.03</v>
      </c>
      <c r="L696">
        <v>1</v>
      </c>
      <c r="M696">
        <v>1</v>
      </c>
      <c r="N696">
        <v>1</v>
      </c>
      <c r="O696">
        <v>100</v>
      </c>
      <c r="P696" t="b">
        <f t="shared" si="10"/>
        <v>0</v>
      </c>
    </row>
    <row r="697" spans="1:16" x14ac:dyDescent="0.2">
      <c r="A697" t="s">
        <v>127</v>
      </c>
      <c r="B697" t="s">
        <v>128</v>
      </c>
      <c r="C697">
        <v>717</v>
      </c>
      <c r="D697">
        <v>31697</v>
      </c>
      <c r="E697" t="s">
        <v>1124</v>
      </c>
      <c r="F697" t="s">
        <v>23</v>
      </c>
      <c r="G697" t="s">
        <v>452</v>
      </c>
      <c r="H697" t="s">
        <v>5</v>
      </c>
      <c r="I697" t="s">
        <v>91</v>
      </c>
      <c r="J697">
        <v>27</v>
      </c>
      <c r="K697">
        <v>0.03</v>
      </c>
      <c r="L697">
        <v>1</v>
      </c>
      <c r="M697">
        <v>1</v>
      </c>
      <c r="N697">
        <v>1</v>
      </c>
      <c r="O697">
        <v>100</v>
      </c>
      <c r="P697" t="b">
        <f t="shared" si="10"/>
        <v>0</v>
      </c>
    </row>
    <row r="698" spans="1:16" x14ac:dyDescent="0.2">
      <c r="A698" t="s">
        <v>127</v>
      </c>
      <c r="B698" t="s">
        <v>128</v>
      </c>
      <c r="C698">
        <v>718</v>
      </c>
      <c r="D698">
        <v>129979</v>
      </c>
      <c r="E698" t="s">
        <v>334</v>
      </c>
      <c r="F698" t="s">
        <v>65</v>
      </c>
      <c r="G698" t="s">
        <v>10</v>
      </c>
      <c r="H698" t="s">
        <v>5</v>
      </c>
      <c r="I698" t="s">
        <v>91</v>
      </c>
      <c r="J698">
        <v>65</v>
      </c>
      <c r="K698">
        <v>0.03</v>
      </c>
      <c r="L698">
        <v>1</v>
      </c>
      <c r="M698">
        <v>1</v>
      </c>
      <c r="N698">
        <v>1</v>
      </c>
      <c r="O698">
        <v>100</v>
      </c>
      <c r="P698" t="b">
        <f t="shared" si="10"/>
        <v>0</v>
      </c>
    </row>
    <row r="699" spans="1:16" x14ac:dyDescent="0.2">
      <c r="A699" t="s">
        <v>127</v>
      </c>
      <c r="B699" t="s">
        <v>128</v>
      </c>
      <c r="C699">
        <v>719</v>
      </c>
      <c r="D699">
        <v>133243</v>
      </c>
      <c r="E699" t="s">
        <v>801</v>
      </c>
      <c r="F699" t="s">
        <v>37</v>
      </c>
      <c r="G699" t="s">
        <v>452</v>
      </c>
      <c r="H699" t="s">
        <v>5</v>
      </c>
      <c r="I699" t="s">
        <v>91</v>
      </c>
      <c r="J699">
        <v>20</v>
      </c>
      <c r="K699">
        <v>0.03</v>
      </c>
      <c r="L699">
        <v>1</v>
      </c>
      <c r="M699">
        <v>1</v>
      </c>
      <c r="N699">
        <v>1</v>
      </c>
      <c r="O699">
        <v>100</v>
      </c>
      <c r="P699" t="b">
        <f t="shared" si="10"/>
        <v>0</v>
      </c>
    </row>
    <row r="700" spans="1:16" x14ac:dyDescent="0.2">
      <c r="A700" t="s">
        <v>127</v>
      </c>
      <c r="B700" t="s">
        <v>128</v>
      </c>
      <c r="C700">
        <v>720</v>
      </c>
      <c r="D700">
        <v>135029</v>
      </c>
      <c r="E700" t="s">
        <v>467</v>
      </c>
      <c r="F700" t="s">
        <v>66</v>
      </c>
      <c r="G700" t="s">
        <v>10</v>
      </c>
      <c r="H700" t="s">
        <v>5</v>
      </c>
      <c r="I700" t="s">
        <v>91</v>
      </c>
      <c r="J700">
        <v>49</v>
      </c>
      <c r="K700">
        <v>2.6</v>
      </c>
      <c r="L700">
        <v>3</v>
      </c>
      <c r="M700">
        <v>5</v>
      </c>
      <c r="N700">
        <v>5</v>
      </c>
      <c r="O700">
        <v>5</v>
      </c>
      <c r="P700" t="b">
        <f t="shared" si="10"/>
        <v>0</v>
      </c>
    </row>
    <row r="701" spans="1:16" x14ac:dyDescent="0.2">
      <c r="A701" t="s">
        <v>127</v>
      </c>
      <c r="B701" t="s">
        <v>128</v>
      </c>
      <c r="C701">
        <v>721</v>
      </c>
      <c r="D701">
        <v>32106</v>
      </c>
      <c r="E701" t="s">
        <v>1055</v>
      </c>
      <c r="F701" t="s">
        <v>38</v>
      </c>
      <c r="G701" t="s">
        <v>452</v>
      </c>
      <c r="H701" t="s">
        <v>5</v>
      </c>
      <c r="I701" t="s">
        <v>91</v>
      </c>
      <c r="J701">
        <v>17</v>
      </c>
      <c r="K701">
        <v>0.03</v>
      </c>
      <c r="L701">
        <v>1</v>
      </c>
      <c r="M701">
        <v>1</v>
      </c>
      <c r="N701">
        <v>1</v>
      </c>
      <c r="O701">
        <v>100</v>
      </c>
      <c r="P701" t="b">
        <f t="shared" si="10"/>
        <v>0</v>
      </c>
    </row>
    <row r="702" spans="1:16" x14ac:dyDescent="0.2">
      <c r="A702" t="s">
        <v>127</v>
      </c>
      <c r="B702" t="s">
        <v>128</v>
      </c>
      <c r="C702">
        <v>722</v>
      </c>
      <c r="D702">
        <v>130145</v>
      </c>
      <c r="E702" t="s">
        <v>652</v>
      </c>
      <c r="F702" t="s">
        <v>68</v>
      </c>
      <c r="G702" t="s">
        <v>10</v>
      </c>
      <c r="H702" t="s">
        <v>5</v>
      </c>
      <c r="I702" t="s">
        <v>91</v>
      </c>
      <c r="J702">
        <v>42</v>
      </c>
      <c r="K702">
        <v>0.03</v>
      </c>
      <c r="L702">
        <v>1</v>
      </c>
      <c r="M702">
        <v>1</v>
      </c>
      <c r="N702">
        <v>1</v>
      </c>
      <c r="O702">
        <v>100</v>
      </c>
      <c r="P702" t="b">
        <f t="shared" si="10"/>
        <v>0</v>
      </c>
    </row>
    <row r="703" spans="1:16" x14ac:dyDescent="0.2">
      <c r="A703" t="s">
        <v>127</v>
      </c>
      <c r="B703" t="s">
        <v>128</v>
      </c>
      <c r="C703">
        <v>723</v>
      </c>
      <c r="D703">
        <v>31646</v>
      </c>
      <c r="E703" t="s">
        <v>1133</v>
      </c>
      <c r="F703" t="s">
        <v>21</v>
      </c>
      <c r="G703" t="s">
        <v>452</v>
      </c>
      <c r="H703" t="s">
        <v>5</v>
      </c>
      <c r="I703" t="s">
        <v>91</v>
      </c>
      <c r="J703">
        <v>27</v>
      </c>
      <c r="K703">
        <v>0.03</v>
      </c>
      <c r="L703">
        <v>1</v>
      </c>
      <c r="M703">
        <v>1</v>
      </c>
      <c r="N703">
        <v>1</v>
      </c>
      <c r="O703">
        <v>100</v>
      </c>
      <c r="P703" t="b">
        <f t="shared" si="10"/>
        <v>0</v>
      </c>
    </row>
    <row r="704" spans="1:16" x14ac:dyDescent="0.2">
      <c r="A704" t="s">
        <v>127</v>
      </c>
      <c r="B704" t="s">
        <v>128</v>
      </c>
      <c r="C704">
        <v>724</v>
      </c>
      <c r="D704">
        <v>130318</v>
      </c>
      <c r="E704" t="s">
        <v>628</v>
      </c>
      <c r="F704" t="s">
        <v>65</v>
      </c>
      <c r="G704" t="s">
        <v>10</v>
      </c>
      <c r="H704" t="s">
        <v>5</v>
      </c>
      <c r="I704" t="s">
        <v>91</v>
      </c>
      <c r="J704">
        <v>66</v>
      </c>
      <c r="K704">
        <v>0.03</v>
      </c>
      <c r="L704">
        <v>1</v>
      </c>
      <c r="M704">
        <v>1</v>
      </c>
      <c r="N704">
        <v>1</v>
      </c>
      <c r="O704">
        <v>100</v>
      </c>
      <c r="P704" t="b">
        <f t="shared" si="10"/>
        <v>0</v>
      </c>
    </row>
    <row r="705" spans="1:16" x14ac:dyDescent="0.2">
      <c r="A705" t="s">
        <v>127</v>
      </c>
      <c r="B705" t="s">
        <v>128</v>
      </c>
      <c r="C705">
        <v>725</v>
      </c>
      <c r="D705">
        <v>31675</v>
      </c>
      <c r="E705" t="s">
        <v>266</v>
      </c>
      <c r="F705" t="s">
        <v>23</v>
      </c>
      <c r="G705" t="s">
        <v>452</v>
      </c>
      <c r="H705" t="s">
        <v>5</v>
      </c>
      <c r="I705" t="s">
        <v>91</v>
      </c>
      <c r="J705">
        <v>28</v>
      </c>
      <c r="K705">
        <v>0.03</v>
      </c>
      <c r="L705">
        <v>1</v>
      </c>
      <c r="M705">
        <v>1</v>
      </c>
      <c r="N705">
        <v>1</v>
      </c>
      <c r="O705">
        <v>100</v>
      </c>
      <c r="P705" t="b">
        <f t="shared" si="10"/>
        <v>0</v>
      </c>
    </row>
    <row r="706" spans="1:16" x14ac:dyDescent="0.2">
      <c r="A706" t="s">
        <v>127</v>
      </c>
      <c r="B706" t="s">
        <v>128</v>
      </c>
      <c r="C706">
        <v>726</v>
      </c>
      <c r="D706">
        <v>130399</v>
      </c>
      <c r="E706" t="s">
        <v>341</v>
      </c>
      <c r="F706" t="s">
        <v>65</v>
      </c>
      <c r="G706" t="s">
        <v>10</v>
      </c>
      <c r="H706" t="s">
        <v>5</v>
      </c>
      <c r="I706" t="s">
        <v>91</v>
      </c>
      <c r="J706">
        <v>68</v>
      </c>
      <c r="K706">
        <v>0.03</v>
      </c>
      <c r="L706">
        <v>1</v>
      </c>
      <c r="M706">
        <v>1</v>
      </c>
      <c r="N706">
        <v>1</v>
      </c>
      <c r="O706">
        <v>100</v>
      </c>
      <c r="P706" t="b">
        <f t="shared" si="10"/>
        <v>0</v>
      </c>
    </row>
    <row r="707" spans="1:16" x14ac:dyDescent="0.2">
      <c r="A707" t="s">
        <v>127</v>
      </c>
      <c r="B707" t="s">
        <v>128</v>
      </c>
      <c r="C707">
        <v>727</v>
      </c>
      <c r="D707">
        <v>46567</v>
      </c>
      <c r="E707" t="s">
        <v>399</v>
      </c>
      <c r="F707" t="s">
        <v>37</v>
      </c>
      <c r="G707" t="s">
        <v>452</v>
      </c>
      <c r="H707" t="s">
        <v>5</v>
      </c>
      <c r="I707" t="s">
        <v>91</v>
      </c>
      <c r="J707">
        <v>21</v>
      </c>
      <c r="K707">
        <v>0.03</v>
      </c>
      <c r="L707">
        <v>1</v>
      </c>
      <c r="M707">
        <v>1</v>
      </c>
      <c r="N707">
        <v>1</v>
      </c>
      <c r="O707">
        <v>100</v>
      </c>
      <c r="P707" t="b">
        <f t="shared" ref="P707:P770" si="11">AND(C707&lt;$Q$1,IF(ISBLANK(C707),0,C707)&gt;0)</f>
        <v>0</v>
      </c>
    </row>
    <row r="708" spans="1:16" x14ac:dyDescent="0.2">
      <c r="A708" t="s">
        <v>127</v>
      </c>
      <c r="B708" t="s">
        <v>128</v>
      </c>
      <c r="C708">
        <v>728</v>
      </c>
      <c r="D708">
        <v>130278</v>
      </c>
      <c r="E708" t="s">
        <v>636</v>
      </c>
      <c r="F708" t="s">
        <v>66</v>
      </c>
      <c r="G708" t="s">
        <v>10</v>
      </c>
      <c r="H708" t="s">
        <v>5</v>
      </c>
      <c r="I708" t="s">
        <v>91</v>
      </c>
      <c r="J708">
        <v>51</v>
      </c>
      <c r="K708">
        <v>0.03</v>
      </c>
      <c r="L708">
        <v>1</v>
      </c>
      <c r="M708">
        <v>1</v>
      </c>
      <c r="N708">
        <v>1</v>
      </c>
      <c r="O708">
        <v>100</v>
      </c>
      <c r="P708" t="b">
        <f t="shared" si="11"/>
        <v>0</v>
      </c>
    </row>
    <row r="709" spans="1:16" x14ac:dyDescent="0.2">
      <c r="A709" t="s">
        <v>127</v>
      </c>
      <c r="B709" t="s">
        <v>128</v>
      </c>
      <c r="C709">
        <v>729</v>
      </c>
      <c r="D709">
        <v>31620</v>
      </c>
      <c r="E709" t="s">
        <v>1139</v>
      </c>
      <c r="F709" t="s">
        <v>21</v>
      </c>
      <c r="G709" t="s">
        <v>452</v>
      </c>
      <c r="H709" t="s">
        <v>5</v>
      </c>
      <c r="I709" t="s">
        <v>91</v>
      </c>
      <c r="J709">
        <v>28</v>
      </c>
      <c r="K709">
        <v>0.03</v>
      </c>
      <c r="L709">
        <v>1</v>
      </c>
      <c r="M709">
        <v>1</v>
      </c>
      <c r="N709">
        <v>1</v>
      </c>
      <c r="O709">
        <v>100</v>
      </c>
      <c r="P709" t="b">
        <f t="shared" si="11"/>
        <v>0</v>
      </c>
    </row>
    <row r="710" spans="1:16" x14ac:dyDescent="0.2">
      <c r="A710" t="s">
        <v>127</v>
      </c>
      <c r="B710" t="s">
        <v>128</v>
      </c>
      <c r="C710">
        <v>730</v>
      </c>
      <c r="D710">
        <v>129535</v>
      </c>
      <c r="E710" t="s">
        <v>745</v>
      </c>
      <c r="F710" t="s">
        <v>68</v>
      </c>
      <c r="G710" t="s">
        <v>10</v>
      </c>
      <c r="H710" t="s">
        <v>5</v>
      </c>
      <c r="I710" t="s">
        <v>97</v>
      </c>
      <c r="J710">
        <v>43</v>
      </c>
      <c r="K710">
        <v>0.03</v>
      </c>
      <c r="L710">
        <v>1</v>
      </c>
      <c r="M710">
        <v>1</v>
      </c>
      <c r="N710">
        <v>1</v>
      </c>
      <c r="O710">
        <v>100</v>
      </c>
      <c r="P710" t="b">
        <f t="shared" si="11"/>
        <v>0</v>
      </c>
    </row>
    <row r="711" spans="1:16" x14ac:dyDescent="0.2">
      <c r="A711" t="s">
        <v>127</v>
      </c>
      <c r="B711" t="s">
        <v>128</v>
      </c>
      <c r="C711">
        <v>731</v>
      </c>
      <c r="D711">
        <v>126476</v>
      </c>
      <c r="E711" t="s">
        <v>398</v>
      </c>
      <c r="F711" t="s">
        <v>23</v>
      </c>
      <c r="G711" t="s">
        <v>452</v>
      </c>
      <c r="H711" t="s">
        <v>5</v>
      </c>
      <c r="I711" t="s">
        <v>93</v>
      </c>
      <c r="J711">
        <v>30</v>
      </c>
      <c r="K711">
        <v>0.03</v>
      </c>
      <c r="L711">
        <v>1</v>
      </c>
      <c r="M711">
        <v>1</v>
      </c>
      <c r="N711">
        <v>1</v>
      </c>
      <c r="O711">
        <v>100</v>
      </c>
      <c r="P711" t="b">
        <f t="shared" si="11"/>
        <v>0</v>
      </c>
    </row>
    <row r="712" spans="1:16" x14ac:dyDescent="0.2">
      <c r="A712" t="s">
        <v>127</v>
      </c>
      <c r="B712" t="s">
        <v>128</v>
      </c>
      <c r="C712">
        <v>732</v>
      </c>
      <c r="D712">
        <v>130247</v>
      </c>
      <c r="E712" t="s">
        <v>639</v>
      </c>
      <c r="F712" t="s">
        <v>65</v>
      </c>
      <c r="G712" t="s">
        <v>10</v>
      </c>
      <c r="H712" t="s">
        <v>5</v>
      </c>
      <c r="I712" t="s">
        <v>91</v>
      </c>
      <c r="J712">
        <v>69</v>
      </c>
      <c r="K712">
        <v>0.03</v>
      </c>
      <c r="L712">
        <v>1</v>
      </c>
      <c r="M712">
        <v>1</v>
      </c>
      <c r="N712">
        <v>1</v>
      </c>
      <c r="O712">
        <v>100</v>
      </c>
      <c r="P712" t="b">
        <f t="shared" si="11"/>
        <v>0</v>
      </c>
    </row>
    <row r="713" spans="1:16" x14ac:dyDescent="0.2">
      <c r="A713" t="s">
        <v>127</v>
      </c>
      <c r="B713" t="s">
        <v>128</v>
      </c>
      <c r="C713">
        <v>733</v>
      </c>
      <c r="D713">
        <v>94489</v>
      </c>
      <c r="E713" t="s">
        <v>906</v>
      </c>
      <c r="F713" t="s">
        <v>38</v>
      </c>
      <c r="G713" t="s">
        <v>452</v>
      </c>
      <c r="H713" t="s">
        <v>5</v>
      </c>
      <c r="I713" t="s">
        <v>91</v>
      </c>
      <c r="J713">
        <v>18</v>
      </c>
      <c r="K713">
        <v>0.03</v>
      </c>
      <c r="L713">
        <v>1</v>
      </c>
      <c r="M713">
        <v>1</v>
      </c>
      <c r="N713">
        <v>1</v>
      </c>
      <c r="O713">
        <v>100</v>
      </c>
      <c r="P713" t="b">
        <f t="shared" si="11"/>
        <v>0</v>
      </c>
    </row>
    <row r="714" spans="1:16" x14ac:dyDescent="0.2">
      <c r="A714" t="s">
        <v>127</v>
      </c>
      <c r="B714" t="s">
        <v>128</v>
      </c>
      <c r="C714">
        <v>734</v>
      </c>
      <c r="D714">
        <v>129662</v>
      </c>
      <c r="E714" t="s">
        <v>722</v>
      </c>
      <c r="F714" t="s">
        <v>66</v>
      </c>
      <c r="G714" t="s">
        <v>10</v>
      </c>
      <c r="H714" t="s">
        <v>5</v>
      </c>
      <c r="I714" t="s">
        <v>91</v>
      </c>
      <c r="J714">
        <v>52</v>
      </c>
      <c r="K714">
        <v>0.03</v>
      </c>
      <c r="L714">
        <v>1</v>
      </c>
      <c r="M714">
        <v>1</v>
      </c>
      <c r="N714">
        <v>1</v>
      </c>
      <c r="O714">
        <v>100</v>
      </c>
      <c r="P714" t="b">
        <f t="shared" si="11"/>
        <v>0</v>
      </c>
    </row>
    <row r="715" spans="1:16" x14ac:dyDescent="0.2">
      <c r="A715" t="s">
        <v>127</v>
      </c>
      <c r="B715" t="s">
        <v>128</v>
      </c>
      <c r="C715">
        <v>735</v>
      </c>
      <c r="D715">
        <v>31778</v>
      </c>
      <c r="E715" t="s">
        <v>1114</v>
      </c>
      <c r="F715" t="s">
        <v>21</v>
      </c>
      <c r="G715" t="s">
        <v>452</v>
      </c>
      <c r="H715" t="s">
        <v>5</v>
      </c>
      <c r="I715" t="s">
        <v>91</v>
      </c>
      <c r="J715">
        <v>29</v>
      </c>
      <c r="K715">
        <v>0.03</v>
      </c>
      <c r="L715">
        <v>1</v>
      </c>
      <c r="M715">
        <v>1</v>
      </c>
      <c r="N715">
        <v>1</v>
      </c>
      <c r="O715">
        <v>100</v>
      </c>
      <c r="P715" t="b">
        <f t="shared" si="11"/>
        <v>0</v>
      </c>
    </row>
    <row r="716" spans="1:16" x14ac:dyDescent="0.2">
      <c r="A716" t="s">
        <v>127</v>
      </c>
      <c r="B716" t="s">
        <v>128</v>
      </c>
      <c r="C716">
        <v>736</v>
      </c>
      <c r="D716">
        <v>129554</v>
      </c>
      <c r="E716" t="s">
        <v>740</v>
      </c>
      <c r="F716" t="s">
        <v>68</v>
      </c>
      <c r="G716" t="s">
        <v>10</v>
      </c>
      <c r="H716" t="s">
        <v>5</v>
      </c>
      <c r="I716" t="s">
        <v>91</v>
      </c>
      <c r="J716">
        <v>44</v>
      </c>
      <c r="K716">
        <v>0.03</v>
      </c>
      <c r="L716">
        <v>1</v>
      </c>
      <c r="M716">
        <v>1</v>
      </c>
      <c r="N716">
        <v>1</v>
      </c>
      <c r="O716">
        <v>100</v>
      </c>
      <c r="P716" t="b">
        <f t="shared" si="11"/>
        <v>0</v>
      </c>
    </row>
    <row r="717" spans="1:16" x14ac:dyDescent="0.2">
      <c r="A717" t="s">
        <v>127</v>
      </c>
      <c r="B717" t="s">
        <v>128</v>
      </c>
      <c r="C717">
        <v>737</v>
      </c>
      <c r="D717">
        <v>32123</v>
      </c>
      <c r="E717" t="s">
        <v>1053</v>
      </c>
      <c r="F717" t="s">
        <v>37</v>
      </c>
      <c r="G717" t="s">
        <v>452</v>
      </c>
      <c r="H717" t="s">
        <v>5</v>
      </c>
      <c r="I717" t="s">
        <v>91</v>
      </c>
      <c r="J717">
        <v>22</v>
      </c>
      <c r="K717">
        <v>0.03</v>
      </c>
      <c r="L717">
        <v>1</v>
      </c>
      <c r="M717">
        <v>1</v>
      </c>
      <c r="N717">
        <v>1</v>
      </c>
      <c r="O717">
        <v>100</v>
      </c>
      <c r="P717" t="b">
        <f t="shared" si="11"/>
        <v>0</v>
      </c>
    </row>
    <row r="718" spans="1:16" x14ac:dyDescent="0.2">
      <c r="A718" t="s">
        <v>127</v>
      </c>
      <c r="B718" t="s">
        <v>128</v>
      </c>
      <c r="C718">
        <v>738</v>
      </c>
      <c r="D718">
        <v>129941</v>
      </c>
      <c r="E718" t="s">
        <v>683</v>
      </c>
      <c r="F718" t="s">
        <v>65</v>
      </c>
      <c r="G718" t="s">
        <v>10</v>
      </c>
      <c r="H718" t="s">
        <v>5</v>
      </c>
      <c r="I718" t="s">
        <v>91</v>
      </c>
      <c r="J718">
        <v>70</v>
      </c>
      <c r="K718">
        <v>0.03</v>
      </c>
      <c r="L718">
        <v>1</v>
      </c>
      <c r="M718">
        <v>1</v>
      </c>
      <c r="N718">
        <v>1</v>
      </c>
      <c r="O718">
        <v>100</v>
      </c>
      <c r="P718" t="b">
        <f t="shared" si="11"/>
        <v>0</v>
      </c>
    </row>
    <row r="719" spans="1:16" x14ac:dyDescent="0.2">
      <c r="A719" t="s">
        <v>127</v>
      </c>
      <c r="B719" t="s">
        <v>128</v>
      </c>
      <c r="C719">
        <v>739</v>
      </c>
      <c r="D719">
        <v>31638</v>
      </c>
      <c r="E719" t="s">
        <v>1135</v>
      </c>
      <c r="F719" t="s">
        <v>21</v>
      </c>
      <c r="G719" t="s">
        <v>452</v>
      </c>
      <c r="H719" t="s">
        <v>5</v>
      </c>
      <c r="I719" t="s">
        <v>91</v>
      </c>
      <c r="J719">
        <v>30</v>
      </c>
      <c r="K719">
        <v>0.03</v>
      </c>
      <c r="L719">
        <v>1</v>
      </c>
      <c r="M719">
        <v>1</v>
      </c>
      <c r="N719">
        <v>1</v>
      </c>
      <c r="O719">
        <v>100</v>
      </c>
      <c r="P719" t="b">
        <f t="shared" si="11"/>
        <v>0</v>
      </c>
    </row>
    <row r="720" spans="1:16" x14ac:dyDescent="0.2">
      <c r="A720" t="s">
        <v>127</v>
      </c>
      <c r="B720" t="s">
        <v>128</v>
      </c>
      <c r="C720">
        <v>740</v>
      </c>
      <c r="D720">
        <v>130472</v>
      </c>
      <c r="E720" t="s">
        <v>343</v>
      </c>
      <c r="F720" t="s">
        <v>65</v>
      </c>
      <c r="G720" t="s">
        <v>10</v>
      </c>
      <c r="H720" t="s">
        <v>5</v>
      </c>
      <c r="I720" t="s">
        <v>91</v>
      </c>
      <c r="J720">
        <v>71</v>
      </c>
      <c r="K720">
        <v>0.03</v>
      </c>
      <c r="L720">
        <v>1</v>
      </c>
      <c r="M720">
        <v>1</v>
      </c>
      <c r="N720">
        <v>1</v>
      </c>
      <c r="O720">
        <v>100</v>
      </c>
      <c r="P720" t="b">
        <f t="shared" si="11"/>
        <v>0</v>
      </c>
    </row>
    <row r="721" spans="1:16" x14ac:dyDescent="0.2">
      <c r="A721" t="s">
        <v>127</v>
      </c>
      <c r="B721" t="s">
        <v>128</v>
      </c>
      <c r="C721">
        <v>741</v>
      </c>
      <c r="D721">
        <v>94915</v>
      </c>
      <c r="E721" t="s">
        <v>905</v>
      </c>
      <c r="F721" t="s">
        <v>38</v>
      </c>
      <c r="G721" t="s">
        <v>452</v>
      </c>
      <c r="H721" t="s">
        <v>5</v>
      </c>
      <c r="I721" t="s">
        <v>91</v>
      </c>
      <c r="J721">
        <v>19</v>
      </c>
      <c r="K721">
        <v>0.03</v>
      </c>
      <c r="L721">
        <v>1</v>
      </c>
      <c r="M721">
        <v>1</v>
      </c>
      <c r="N721">
        <v>1</v>
      </c>
      <c r="O721">
        <v>100</v>
      </c>
      <c r="P721" t="b">
        <f t="shared" si="11"/>
        <v>0</v>
      </c>
    </row>
    <row r="722" spans="1:16" x14ac:dyDescent="0.2">
      <c r="A722" t="s">
        <v>127</v>
      </c>
      <c r="B722" t="s">
        <v>128</v>
      </c>
      <c r="C722">
        <v>742</v>
      </c>
      <c r="D722">
        <v>129653</v>
      </c>
      <c r="E722" t="s">
        <v>724</v>
      </c>
      <c r="F722" t="s">
        <v>66</v>
      </c>
      <c r="G722" t="s">
        <v>10</v>
      </c>
      <c r="H722" t="s">
        <v>5</v>
      </c>
      <c r="I722" t="s">
        <v>91</v>
      </c>
      <c r="J722">
        <v>53</v>
      </c>
      <c r="K722">
        <v>0.03</v>
      </c>
      <c r="L722">
        <v>1</v>
      </c>
      <c r="M722">
        <v>1</v>
      </c>
      <c r="N722">
        <v>1</v>
      </c>
      <c r="O722">
        <v>100</v>
      </c>
      <c r="P722" t="b">
        <f t="shared" si="11"/>
        <v>0</v>
      </c>
    </row>
    <row r="723" spans="1:16" x14ac:dyDescent="0.2">
      <c r="A723" t="s">
        <v>127</v>
      </c>
      <c r="B723" t="s">
        <v>128</v>
      </c>
      <c r="C723">
        <v>743</v>
      </c>
      <c r="D723">
        <v>32224</v>
      </c>
      <c r="E723" t="s">
        <v>1037</v>
      </c>
      <c r="F723" t="s">
        <v>37</v>
      </c>
      <c r="G723" t="s">
        <v>452</v>
      </c>
      <c r="H723" t="s">
        <v>5</v>
      </c>
      <c r="I723" t="s">
        <v>91</v>
      </c>
      <c r="J723">
        <v>23</v>
      </c>
      <c r="K723">
        <v>0.03</v>
      </c>
      <c r="L723">
        <v>1</v>
      </c>
      <c r="M723">
        <v>1</v>
      </c>
      <c r="N723">
        <v>1</v>
      </c>
      <c r="O723">
        <v>100</v>
      </c>
      <c r="P723" t="b">
        <f t="shared" si="11"/>
        <v>0</v>
      </c>
    </row>
    <row r="724" spans="1:16" x14ac:dyDescent="0.2">
      <c r="A724" t="s">
        <v>127</v>
      </c>
      <c r="B724" t="s">
        <v>128</v>
      </c>
      <c r="C724">
        <v>744</v>
      </c>
      <c r="D724">
        <v>129555</v>
      </c>
      <c r="E724" t="s">
        <v>739</v>
      </c>
      <c r="F724" t="s">
        <v>68</v>
      </c>
      <c r="G724" t="s">
        <v>10</v>
      </c>
      <c r="H724" t="s">
        <v>5</v>
      </c>
      <c r="I724" t="s">
        <v>97</v>
      </c>
      <c r="J724">
        <v>45</v>
      </c>
      <c r="K724">
        <v>0.03</v>
      </c>
      <c r="L724">
        <v>1</v>
      </c>
      <c r="M724">
        <v>1</v>
      </c>
      <c r="N724">
        <v>1</v>
      </c>
      <c r="O724">
        <v>100</v>
      </c>
      <c r="P724" t="b">
        <f t="shared" si="11"/>
        <v>0</v>
      </c>
    </row>
    <row r="725" spans="1:16" x14ac:dyDescent="0.2">
      <c r="A725" t="s">
        <v>127</v>
      </c>
      <c r="B725" t="s">
        <v>128</v>
      </c>
      <c r="C725">
        <v>745</v>
      </c>
      <c r="D725">
        <v>31651</v>
      </c>
      <c r="E725" t="s">
        <v>1131</v>
      </c>
      <c r="F725" t="s">
        <v>38</v>
      </c>
      <c r="G725" t="s">
        <v>452</v>
      </c>
      <c r="H725" t="s">
        <v>5</v>
      </c>
      <c r="I725" t="s">
        <v>91</v>
      </c>
      <c r="J725">
        <v>20</v>
      </c>
      <c r="K725">
        <v>0.03</v>
      </c>
      <c r="L725">
        <v>1</v>
      </c>
      <c r="M725">
        <v>1</v>
      </c>
      <c r="N725">
        <v>1</v>
      </c>
      <c r="O725">
        <v>100</v>
      </c>
      <c r="P725" t="b">
        <f t="shared" si="11"/>
        <v>0</v>
      </c>
    </row>
    <row r="726" spans="1:16" x14ac:dyDescent="0.2">
      <c r="A726" t="s">
        <v>127</v>
      </c>
      <c r="B726" t="s">
        <v>128</v>
      </c>
      <c r="C726">
        <v>746</v>
      </c>
      <c r="D726">
        <v>129668</v>
      </c>
      <c r="E726" t="s">
        <v>719</v>
      </c>
      <c r="F726" t="s">
        <v>65</v>
      </c>
      <c r="G726" t="s">
        <v>10</v>
      </c>
      <c r="H726" t="s">
        <v>5</v>
      </c>
      <c r="I726" t="s">
        <v>91</v>
      </c>
      <c r="J726">
        <v>72</v>
      </c>
      <c r="K726">
        <v>0.03</v>
      </c>
      <c r="L726">
        <v>1</v>
      </c>
      <c r="M726">
        <v>1</v>
      </c>
      <c r="N726">
        <v>1</v>
      </c>
      <c r="O726">
        <v>100</v>
      </c>
      <c r="P726" t="b">
        <f t="shared" si="11"/>
        <v>0</v>
      </c>
    </row>
    <row r="727" spans="1:16" x14ac:dyDescent="0.2">
      <c r="A727" t="s">
        <v>127</v>
      </c>
      <c r="B727" t="s">
        <v>128</v>
      </c>
      <c r="C727">
        <v>747</v>
      </c>
      <c r="D727">
        <v>32211</v>
      </c>
      <c r="E727" t="s">
        <v>1040</v>
      </c>
      <c r="F727" t="s">
        <v>37</v>
      </c>
      <c r="G727" t="s">
        <v>452</v>
      </c>
      <c r="H727" t="s">
        <v>5</v>
      </c>
      <c r="I727" t="s">
        <v>91</v>
      </c>
      <c r="J727">
        <v>24</v>
      </c>
      <c r="K727">
        <v>0.03</v>
      </c>
      <c r="L727">
        <v>1</v>
      </c>
      <c r="M727">
        <v>1</v>
      </c>
      <c r="N727">
        <v>1</v>
      </c>
      <c r="O727">
        <v>100</v>
      </c>
      <c r="P727" t="b">
        <f t="shared" si="11"/>
        <v>0</v>
      </c>
    </row>
    <row r="728" spans="1:16" x14ac:dyDescent="0.2">
      <c r="A728" t="s">
        <v>127</v>
      </c>
      <c r="B728" t="s">
        <v>128</v>
      </c>
      <c r="C728">
        <v>748</v>
      </c>
      <c r="D728">
        <v>129562</v>
      </c>
      <c r="E728" t="s">
        <v>736</v>
      </c>
      <c r="F728" t="s">
        <v>66</v>
      </c>
      <c r="G728" t="s">
        <v>10</v>
      </c>
      <c r="H728" t="s">
        <v>5</v>
      </c>
      <c r="I728" t="s">
        <v>91</v>
      </c>
      <c r="J728">
        <v>54</v>
      </c>
      <c r="K728">
        <v>0.03</v>
      </c>
      <c r="L728">
        <v>1</v>
      </c>
      <c r="M728">
        <v>1</v>
      </c>
      <c r="N728">
        <v>1</v>
      </c>
      <c r="O728">
        <v>100</v>
      </c>
      <c r="P728" t="b">
        <f t="shared" si="11"/>
        <v>0</v>
      </c>
    </row>
    <row r="729" spans="1:16" x14ac:dyDescent="0.2">
      <c r="A729" t="s">
        <v>127</v>
      </c>
      <c r="B729" t="s">
        <v>128</v>
      </c>
      <c r="C729">
        <v>749</v>
      </c>
      <c r="D729">
        <v>43204</v>
      </c>
      <c r="E729" t="s">
        <v>1024</v>
      </c>
      <c r="F729" t="s">
        <v>37</v>
      </c>
      <c r="G729" t="s">
        <v>452</v>
      </c>
      <c r="H729" t="s">
        <v>5</v>
      </c>
      <c r="I729" t="s">
        <v>95</v>
      </c>
      <c r="J729">
        <v>25</v>
      </c>
      <c r="K729">
        <v>0.03</v>
      </c>
      <c r="L729">
        <v>1</v>
      </c>
      <c r="M729">
        <v>1</v>
      </c>
      <c r="N729">
        <v>1</v>
      </c>
      <c r="O729">
        <v>100</v>
      </c>
      <c r="P729" t="b">
        <f t="shared" si="11"/>
        <v>0</v>
      </c>
    </row>
    <row r="730" spans="1:16" x14ac:dyDescent="0.2">
      <c r="A730" t="s">
        <v>127</v>
      </c>
      <c r="B730" t="s">
        <v>128</v>
      </c>
      <c r="C730">
        <v>750</v>
      </c>
      <c r="D730">
        <v>130567</v>
      </c>
      <c r="E730" t="s">
        <v>574</v>
      </c>
      <c r="F730" t="s">
        <v>68</v>
      </c>
      <c r="G730" t="s">
        <v>10</v>
      </c>
      <c r="H730" t="s">
        <v>5</v>
      </c>
      <c r="I730" t="s">
        <v>91</v>
      </c>
      <c r="J730">
        <v>46</v>
      </c>
      <c r="K730">
        <v>0.03</v>
      </c>
      <c r="L730">
        <v>1</v>
      </c>
      <c r="M730">
        <v>1</v>
      </c>
      <c r="N730">
        <v>1</v>
      </c>
      <c r="O730">
        <v>100</v>
      </c>
      <c r="P730" t="b">
        <f t="shared" si="11"/>
        <v>0</v>
      </c>
    </row>
    <row r="731" spans="1:16" x14ac:dyDescent="0.2">
      <c r="A731" t="s">
        <v>127</v>
      </c>
      <c r="B731" t="s">
        <v>128</v>
      </c>
      <c r="C731">
        <v>751</v>
      </c>
      <c r="D731">
        <v>31879</v>
      </c>
      <c r="E731" t="s">
        <v>1098</v>
      </c>
      <c r="F731" t="s">
        <v>38</v>
      </c>
      <c r="G731" t="s">
        <v>452</v>
      </c>
      <c r="H731" t="s">
        <v>5</v>
      </c>
      <c r="I731" t="s">
        <v>91</v>
      </c>
      <c r="J731">
        <v>21</v>
      </c>
      <c r="K731">
        <v>0.03</v>
      </c>
      <c r="L731">
        <v>1</v>
      </c>
      <c r="M731">
        <v>1</v>
      </c>
      <c r="N731">
        <v>1</v>
      </c>
      <c r="O731">
        <v>100</v>
      </c>
      <c r="P731" t="b">
        <f t="shared" si="11"/>
        <v>0</v>
      </c>
    </row>
    <row r="732" spans="1:16" x14ac:dyDescent="0.2">
      <c r="A732" t="s">
        <v>127</v>
      </c>
      <c r="B732" t="s">
        <v>128</v>
      </c>
      <c r="C732">
        <v>752</v>
      </c>
      <c r="D732">
        <v>130602</v>
      </c>
      <c r="E732" t="s">
        <v>348</v>
      </c>
      <c r="F732" t="s">
        <v>65</v>
      </c>
      <c r="G732" t="s">
        <v>10</v>
      </c>
      <c r="H732" t="s">
        <v>5</v>
      </c>
      <c r="I732" t="s">
        <v>91</v>
      </c>
      <c r="J732">
        <v>73</v>
      </c>
      <c r="K732">
        <v>0.03</v>
      </c>
      <c r="L732">
        <v>1</v>
      </c>
      <c r="M732">
        <v>1</v>
      </c>
      <c r="N732">
        <v>1</v>
      </c>
      <c r="O732">
        <v>100</v>
      </c>
      <c r="P732" t="b">
        <f t="shared" si="11"/>
        <v>0</v>
      </c>
    </row>
    <row r="733" spans="1:16" x14ac:dyDescent="0.2">
      <c r="A733" t="s">
        <v>127</v>
      </c>
      <c r="B733" t="s">
        <v>128</v>
      </c>
      <c r="C733">
        <v>753</v>
      </c>
      <c r="D733">
        <v>50738</v>
      </c>
      <c r="E733" t="s">
        <v>285</v>
      </c>
      <c r="F733" t="s">
        <v>37</v>
      </c>
      <c r="G733" t="s">
        <v>452</v>
      </c>
      <c r="H733" t="s">
        <v>5</v>
      </c>
      <c r="I733" t="s">
        <v>91</v>
      </c>
      <c r="J733">
        <v>26</v>
      </c>
      <c r="K733">
        <v>0.03</v>
      </c>
      <c r="L733">
        <v>1</v>
      </c>
      <c r="M733">
        <v>1</v>
      </c>
      <c r="N733">
        <v>1</v>
      </c>
      <c r="O733">
        <v>100</v>
      </c>
      <c r="P733" t="b">
        <f t="shared" si="11"/>
        <v>0</v>
      </c>
    </row>
    <row r="734" spans="1:16" x14ac:dyDescent="0.2">
      <c r="A734" t="s">
        <v>127</v>
      </c>
      <c r="B734" t="s">
        <v>128</v>
      </c>
      <c r="C734">
        <v>754</v>
      </c>
      <c r="D734">
        <v>130452</v>
      </c>
      <c r="E734" t="s">
        <v>599</v>
      </c>
      <c r="F734" t="s">
        <v>65</v>
      </c>
      <c r="G734" t="s">
        <v>10</v>
      </c>
      <c r="H734" t="s">
        <v>5</v>
      </c>
      <c r="I734" t="s">
        <v>91</v>
      </c>
      <c r="J734">
        <v>74</v>
      </c>
      <c r="K734">
        <v>0.03</v>
      </c>
      <c r="L734">
        <v>1</v>
      </c>
      <c r="M734">
        <v>1</v>
      </c>
      <c r="N734">
        <v>1</v>
      </c>
      <c r="O734">
        <v>100</v>
      </c>
      <c r="P734" t="b">
        <f t="shared" si="11"/>
        <v>0</v>
      </c>
    </row>
    <row r="735" spans="1:16" x14ac:dyDescent="0.2">
      <c r="A735" t="s">
        <v>127</v>
      </c>
      <c r="B735" t="s">
        <v>128</v>
      </c>
      <c r="C735">
        <v>755</v>
      </c>
      <c r="D735">
        <v>31783</v>
      </c>
      <c r="E735" t="s">
        <v>297</v>
      </c>
      <c r="F735" t="s">
        <v>38</v>
      </c>
      <c r="G735" t="s">
        <v>452</v>
      </c>
      <c r="H735" t="s">
        <v>5</v>
      </c>
      <c r="I735" t="s">
        <v>91</v>
      </c>
      <c r="J735">
        <v>22</v>
      </c>
      <c r="K735">
        <v>0.03</v>
      </c>
      <c r="L735">
        <v>1</v>
      </c>
      <c r="M735">
        <v>1</v>
      </c>
      <c r="N735">
        <v>1</v>
      </c>
      <c r="O735">
        <v>100</v>
      </c>
      <c r="P735" t="b">
        <f t="shared" si="11"/>
        <v>0</v>
      </c>
    </row>
    <row r="736" spans="1:16" x14ac:dyDescent="0.2">
      <c r="A736" t="s">
        <v>127</v>
      </c>
      <c r="B736" t="s">
        <v>128</v>
      </c>
      <c r="C736">
        <v>756</v>
      </c>
      <c r="D736">
        <v>129560</v>
      </c>
      <c r="E736" t="s">
        <v>737</v>
      </c>
      <c r="F736" t="s">
        <v>66</v>
      </c>
      <c r="G736" t="s">
        <v>10</v>
      </c>
      <c r="H736" t="s">
        <v>5</v>
      </c>
      <c r="I736" t="s">
        <v>91</v>
      </c>
      <c r="J736">
        <v>55</v>
      </c>
      <c r="K736">
        <v>0.03</v>
      </c>
      <c r="L736">
        <v>1</v>
      </c>
      <c r="M736">
        <v>1</v>
      </c>
      <c r="N736">
        <v>1</v>
      </c>
      <c r="O736">
        <v>100</v>
      </c>
      <c r="P736" t="b">
        <f t="shared" si="11"/>
        <v>0</v>
      </c>
    </row>
    <row r="737" spans="1:16" x14ac:dyDescent="0.2">
      <c r="A737" t="s">
        <v>127</v>
      </c>
      <c r="B737" t="s">
        <v>128</v>
      </c>
      <c r="C737">
        <v>757</v>
      </c>
      <c r="D737">
        <v>55478</v>
      </c>
      <c r="E737" t="s">
        <v>987</v>
      </c>
      <c r="F737" t="s">
        <v>37</v>
      </c>
      <c r="G737" t="s">
        <v>452</v>
      </c>
      <c r="H737" t="s">
        <v>5</v>
      </c>
      <c r="I737" t="s">
        <v>95</v>
      </c>
      <c r="J737">
        <v>27</v>
      </c>
      <c r="K737">
        <v>0.03</v>
      </c>
      <c r="L737">
        <v>1</v>
      </c>
      <c r="M737">
        <v>1</v>
      </c>
      <c r="N737">
        <v>1</v>
      </c>
      <c r="O737">
        <v>100</v>
      </c>
      <c r="P737" t="b">
        <f t="shared" si="11"/>
        <v>0</v>
      </c>
    </row>
    <row r="738" spans="1:16" x14ac:dyDescent="0.2">
      <c r="A738" t="s">
        <v>127</v>
      </c>
      <c r="B738" t="s">
        <v>128</v>
      </c>
      <c r="C738">
        <v>758</v>
      </c>
      <c r="D738">
        <v>130340</v>
      </c>
      <c r="E738" t="s">
        <v>626</v>
      </c>
      <c r="F738" t="s">
        <v>68</v>
      </c>
      <c r="G738" t="s">
        <v>10</v>
      </c>
      <c r="H738" t="s">
        <v>5</v>
      </c>
      <c r="I738" t="s">
        <v>91</v>
      </c>
      <c r="J738">
        <v>47</v>
      </c>
      <c r="K738">
        <v>0.03</v>
      </c>
      <c r="L738">
        <v>1</v>
      </c>
      <c r="M738">
        <v>1</v>
      </c>
      <c r="N738">
        <v>1</v>
      </c>
      <c r="O738">
        <v>100</v>
      </c>
      <c r="P738" t="b">
        <f t="shared" si="11"/>
        <v>0</v>
      </c>
    </row>
    <row r="739" spans="1:16" x14ac:dyDescent="0.2">
      <c r="A739" t="s">
        <v>127</v>
      </c>
      <c r="B739" t="s">
        <v>128</v>
      </c>
      <c r="C739">
        <v>759</v>
      </c>
      <c r="D739">
        <v>31843</v>
      </c>
      <c r="E739" t="s">
        <v>300</v>
      </c>
      <c r="F739" t="s">
        <v>38</v>
      </c>
      <c r="G739" t="s">
        <v>452</v>
      </c>
      <c r="H739" t="s">
        <v>5</v>
      </c>
      <c r="I739" t="s">
        <v>91</v>
      </c>
      <c r="J739">
        <v>23</v>
      </c>
      <c r="K739">
        <v>0.03</v>
      </c>
      <c r="L739">
        <v>1</v>
      </c>
      <c r="M739">
        <v>1</v>
      </c>
      <c r="N739">
        <v>1</v>
      </c>
      <c r="O739">
        <v>100</v>
      </c>
      <c r="P739" t="b">
        <f t="shared" si="11"/>
        <v>0</v>
      </c>
    </row>
    <row r="740" spans="1:16" x14ac:dyDescent="0.2">
      <c r="A740" t="s">
        <v>127</v>
      </c>
      <c r="B740" t="s">
        <v>128</v>
      </c>
      <c r="C740">
        <v>760</v>
      </c>
      <c r="D740">
        <v>130454</v>
      </c>
      <c r="E740" t="s">
        <v>598</v>
      </c>
      <c r="F740" t="s">
        <v>65</v>
      </c>
      <c r="G740" t="s">
        <v>10</v>
      </c>
      <c r="H740" t="s">
        <v>5</v>
      </c>
      <c r="I740" t="s">
        <v>95</v>
      </c>
      <c r="J740">
        <v>76</v>
      </c>
      <c r="K740">
        <v>0.03</v>
      </c>
      <c r="L740">
        <v>1</v>
      </c>
      <c r="M740">
        <v>1</v>
      </c>
      <c r="N740">
        <v>1</v>
      </c>
      <c r="O740">
        <v>100</v>
      </c>
      <c r="P740" t="b">
        <f t="shared" si="11"/>
        <v>0</v>
      </c>
    </row>
    <row r="741" spans="1:16" x14ac:dyDescent="0.2">
      <c r="A741" t="s">
        <v>127</v>
      </c>
      <c r="B741" t="s">
        <v>128</v>
      </c>
      <c r="C741">
        <v>761</v>
      </c>
      <c r="D741">
        <v>60938</v>
      </c>
      <c r="E741" t="s">
        <v>975</v>
      </c>
      <c r="F741" t="s">
        <v>37</v>
      </c>
      <c r="G741" t="s">
        <v>452</v>
      </c>
      <c r="H741" t="s">
        <v>5</v>
      </c>
      <c r="I741" t="s">
        <v>91</v>
      </c>
      <c r="J741">
        <v>28</v>
      </c>
      <c r="K741">
        <v>0.03</v>
      </c>
      <c r="L741">
        <v>1</v>
      </c>
      <c r="M741">
        <v>1</v>
      </c>
      <c r="N741">
        <v>1</v>
      </c>
      <c r="O741">
        <v>100</v>
      </c>
      <c r="P741" t="b">
        <f t="shared" si="11"/>
        <v>0</v>
      </c>
    </row>
    <row r="742" spans="1:16" x14ac:dyDescent="0.2">
      <c r="A742" t="s">
        <v>127</v>
      </c>
      <c r="B742" t="s">
        <v>128</v>
      </c>
      <c r="C742">
        <v>762</v>
      </c>
      <c r="D742">
        <v>129557</v>
      </c>
      <c r="E742" t="s">
        <v>738</v>
      </c>
      <c r="F742" t="s">
        <v>66</v>
      </c>
      <c r="G742" t="s">
        <v>10</v>
      </c>
      <c r="H742" t="s">
        <v>5</v>
      </c>
      <c r="I742" t="s">
        <v>91</v>
      </c>
      <c r="J742">
        <v>56</v>
      </c>
      <c r="K742">
        <v>0.03</v>
      </c>
      <c r="L742">
        <v>1</v>
      </c>
      <c r="M742">
        <v>1</v>
      </c>
      <c r="N742">
        <v>1</v>
      </c>
      <c r="O742">
        <v>100</v>
      </c>
      <c r="P742" t="b">
        <f t="shared" si="11"/>
        <v>0</v>
      </c>
    </row>
    <row r="743" spans="1:16" x14ac:dyDescent="0.2">
      <c r="A743" t="s">
        <v>127</v>
      </c>
      <c r="B743" t="s">
        <v>128</v>
      </c>
      <c r="C743">
        <v>763</v>
      </c>
      <c r="D743">
        <v>32100</v>
      </c>
      <c r="E743" t="s">
        <v>1057</v>
      </c>
      <c r="F743" t="s">
        <v>38</v>
      </c>
      <c r="G743" t="s">
        <v>452</v>
      </c>
      <c r="H743" t="s">
        <v>5</v>
      </c>
      <c r="I743" t="s">
        <v>91</v>
      </c>
      <c r="J743">
        <v>24</v>
      </c>
      <c r="K743">
        <v>0.03</v>
      </c>
      <c r="L743">
        <v>1</v>
      </c>
      <c r="M743">
        <v>1</v>
      </c>
      <c r="N743">
        <v>1</v>
      </c>
      <c r="O743">
        <v>100</v>
      </c>
      <c r="P743" t="b">
        <f t="shared" si="11"/>
        <v>0</v>
      </c>
    </row>
    <row r="744" spans="1:16" x14ac:dyDescent="0.2">
      <c r="A744" t="s">
        <v>127</v>
      </c>
      <c r="B744" t="s">
        <v>128</v>
      </c>
      <c r="C744">
        <v>764</v>
      </c>
      <c r="D744">
        <v>130475</v>
      </c>
      <c r="E744" t="s">
        <v>595</v>
      </c>
      <c r="F744" t="s">
        <v>68</v>
      </c>
      <c r="G744" t="s">
        <v>10</v>
      </c>
      <c r="H744" t="s">
        <v>5</v>
      </c>
      <c r="I744" t="s">
        <v>91</v>
      </c>
      <c r="J744">
        <v>48</v>
      </c>
      <c r="K744">
        <v>0.03</v>
      </c>
      <c r="L744">
        <v>1</v>
      </c>
      <c r="M744">
        <v>1</v>
      </c>
      <c r="N744">
        <v>1</v>
      </c>
      <c r="O744">
        <v>100</v>
      </c>
      <c r="P744" t="b">
        <f t="shared" si="11"/>
        <v>0</v>
      </c>
    </row>
    <row r="745" spans="1:16" x14ac:dyDescent="0.2">
      <c r="A745" t="s">
        <v>127</v>
      </c>
      <c r="B745" t="s">
        <v>128</v>
      </c>
      <c r="C745">
        <v>765</v>
      </c>
      <c r="D745">
        <v>65058</v>
      </c>
      <c r="E745" t="s">
        <v>969</v>
      </c>
      <c r="F745" t="s">
        <v>37</v>
      </c>
      <c r="G745" t="s">
        <v>452</v>
      </c>
      <c r="H745" t="s">
        <v>5</v>
      </c>
      <c r="I745" t="s">
        <v>95</v>
      </c>
      <c r="J745">
        <v>29</v>
      </c>
      <c r="K745">
        <v>0.03</v>
      </c>
      <c r="L745">
        <v>1</v>
      </c>
      <c r="M745">
        <v>1</v>
      </c>
      <c r="N745">
        <v>1</v>
      </c>
      <c r="O745">
        <v>100</v>
      </c>
      <c r="P745" t="b">
        <f t="shared" si="11"/>
        <v>0</v>
      </c>
    </row>
    <row r="746" spans="1:16" x14ac:dyDescent="0.2">
      <c r="A746" t="s">
        <v>127</v>
      </c>
      <c r="B746" t="s">
        <v>128</v>
      </c>
      <c r="C746">
        <v>766</v>
      </c>
      <c r="D746">
        <v>130285</v>
      </c>
      <c r="E746" t="s">
        <v>634</v>
      </c>
      <c r="F746" t="s">
        <v>65</v>
      </c>
      <c r="G746" t="s">
        <v>10</v>
      </c>
      <c r="H746" t="s">
        <v>5</v>
      </c>
      <c r="I746" t="s">
        <v>91</v>
      </c>
      <c r="J746">
        <v>78</v>
      </c>
      <c r="K746">
        <v>0.03</v>
      </c>
      <c r="L746">
        <v>1</v>
      </c>
      <c r="M746">
        <v>1</v>
      </c>
      <c r="N746">
        <v>1</v>
      </c>
      <c r="O746">
        <v>100</v>
      </c>
      <c r="P746" t="b">
        <f t="shared" si="11"/>
        <v>0</v>
      </c>
    </row>
    <row r="747" spans="1:16" x14ac:dyDescent="0.2">
      <c r="A747" t="s">
        <v>127</v>
      </c>
      <c r="B747" t="s">
        <v>128</v>
      </c>
      <c r="C747">
        <v>767</v>
      </c>
      <c r="D747">
        <v>31755</v>
      </c>
      <c r="E747" t="s">
        <v>1117</v>
      </c>
      <c r="F747" t="s">
        <v>38</v>
      </c>
      <c r="G747" t="s">
        <v>452</v>
      </c>
      <c r="H747" t="s">
        <v>5</v>
      </c>
      <c r="I747" t="s">
        <v>91</v>
      </c>
      <c r="J747">
        <v>25</v>
      </c>
      <c r="K747">
        <v>0.03</v>
      </c>
      <c r="L747">
        <v>1</v>
      </c>
      <c r="M747">
        <v>1</v>
      </c>
      <c r="N747">
        <v>1</v>
      </c>
      <c r="O747">
        <v>100</v>
      </c>
      <c r="P747" t="b">
        <f t="shared" si="11"/>
        <v>0</v>
      </c>
    </row>
    <row r="748" spans="1:16" x14ac:dyDescent="0.2">
      <c r="A748" t="s">
        <v>127</v>
      </c>
      <c r="B748" t="s">
        <v>128</v>
      </c>
      <c r="C748">
        <v>768</v>
      </c>
      <c r="D748">
        <v>130290</v>
      </c>
      <c r="E748" t="s">
        <v>633</v>
      </c>
      <c r="F748" t="s">
        <v>65</v>
      </c>
      <c r="G748" t="s">
        <v>10</v>
      </c>
      <c r="H748" t="s">
        <v>5</v>
      </c>
      <c r="I748" t="s">
        <v>91</v>
      </c>
      <c r="J748">
        <v>79</v>
      </c>
      <c r="K748">
        <v>0.03</v>
      </c>
      <c r="L748">
        <v>1</v>
      </c>
      <c r="M748">
        <v>1</v>
      </c>
      <c r="N748">
        <v>1</v>
      </c>
      <c r="O748">
        <v>100</v>
      </c>
      <c r="P748" t="b">
        <f t="shared" si="11"/>
        <v>0</v>
      </c>
    </row>
    <row r="749" spans="1:16" x14ac:dyDescent="0.2">
      <c r="A749" t="s">
        <v>127</v>
      </c>
      <c r="B749" t="s">
        <v>128</v>
      </c>
      <c r="C749">
        <v>769</v>
      </c>
      <c r="D749">
        <v>85248</v>
      </c>
      <c r="E749" t="s">
        <v>923</v>
      </c>
      <c r="F749" t="s">
        <v>37</v>
      </c>
      <c r="G749" t="s">
        <v>452</v>
      </c>
      <c r="H749" t="s">
        <v>5</v>
      </c>
      <c r="I749" t="s">
        <v>91</v>
      </c>
      <c r="J749">
        <v>30</v>
      </c>
      <c r="K749">
        <v>0.03</v>
      </c>
      <c r="L749">
        <v>1</v>
      </c>
      <c r="M749">
        <v>1</v>
      </c>
      <c r="N749">
        <v>1</v>
      </c>
      <c r="O749">
        <v>100</v>
      </c>
      <c r="P749" t="b">
        <f t="shared" si="11"/>
        <v>0</v>
      </c>
    </row>
    <row r="750" spans="1:16" x14ac:dyDescent="0.2">
      <c r="A750" t="s">
        <v>127</v>
      </c>
      <c r="B750" t="s">
        <v>128</v>
      </c>
      <c r="C750">
        <v>770</v>
      </c>
      <c r="D750">
        <v>130556</v>
      </c>
      <c r="E750" t="s">
        <v>575</v>
      </c>
      <c r="F750" t="s">
        <v>68</v>
      </c>
      <c r="G750" t="s">
        <v>10</v>
      </c>
      <c r="H750" t="s">
        <v>5</v>
      </c>
      <c r="I750" t="s">
        <v>91</v>
      </c>
      <c r="J750">
        <v>49</v>
      </c>
      <c r="K750">
        <v>0.03</v>
      </c>
      <c r="L750">
        <v>1</v>
      </c>
      <c r="M750">
        <v>1</v>
      </c>
      <c r="N750">
        <v>1</v>
      </c>
      <c r="O750">
        <v>100</v>
      </c>
      <c r="P750" t="b">
        <f t="shared" si="11"/>
        <v>0</v>
      </c>
    </row>
    <row r="751" spans="1:16" x14ac:dyDescent="0.2">
      <c r="A751" t="s">
        <v>127</v>
      </c>
      <c r="B751" t="s">
        <v>128</v>
      </c>
      <c r="C751">
        <v>771</v>
      </c>
      <c r="D751">
        <v>88579</v>
      </c>
      <c r="E751" t="s">
        <v>917</v>
      </c>
      <c r="F751" t="s">
        <v>37</v>
      </c>
      <c r="G751" t="s">
        <v>452</v>
      </c>
      <c r="H751" t="s">
        <v>5</v>
      </c>
      <c r="I751" t="s">
        <v>95</v>
      </c>
      <c r="J751">
        <v>31</v>
      </c>
      <c r="K751">
        <v>0.03</v>
      </c>
      <c r="L751">
        <v>1</v>
      </c>
      <c r="M751">
        <v>1</v>
      </c>
      <c r="N751">
        <v>1</v>
      </c>
      <c r="O751">
        <v>100</v>
      </c>
      <c r="P751" t="b">
        <f t="shared" si="11"/>
        <v>0</v>
      </c>
    </row>
    <row r="752" spans="1:16" x14ac:dyDescent="0.2">
      <c r="A752" t="s">
        <v>127</v>
      </c>
      <c r="B752" t="s">
        <v>128</v>
      </c>
      <c r="C752">
        <v>772</v>
      </c>
      <c r="D752">
        <v>130142</v>
      </c>
      <c r="E752" t="s">
        <v>654</v>
      </c>
      <c r="F752" t="s">
        <v>65</v>
      </c>
      <c r="G752" t="s">
        <v>10</v>
      </c>
      <c r="H752" t="s">
        <v>5</v>
      </c>
      <c r="I752" t="s">
        <v>95</v>
      </c>
      <c r="J752">
        <v>80</v>
      </c>
      <c r="K752">
        <v>0.03</v>
      </c>
      <c r="L752">
        <v>1</v>
      </c>
      <c r="M752">
        <v>1</v>
      </c>
      <c r="N752">
        <v>1</v>
      </c>
      <c r="O752">
        <v>100</v>
      </c>
      <c r="P752" t="b">
        <f t="shared" si="11"/>
        <v>0</v>
      </c>
    </row>
    <row r="753" spans="1:16" x14ac:dyDescent="0.2">
      <c r="A753" t="s">
        <v>127</v>
      </c>
      <c r="B753" t="s">
        <v>128</v>
      </c>
      <c r="C753">
        <v>773</v>
      </c>
      <c r="D753">
        <v>91539</v>
      </c>
      <c r="E753" t="s">
        <v>913</v>
      </c>
      <c r="F753" t="s">
        <v>37</v>
      </c>
      <c r="G753" t="s">
        <v>452</v>
      </c>
      <c r="H753" t="s">
        <v>5</v>
      </c>
      <c r="I753" t="s">
        <v>91</v>
      </c>
      <c r="J753">
        <v>32</v>
      </c>
      <c r="K753">
        <v>0.03</v>
      </c>
      <c r="L753">
        <v>1</v>
      </c>
      <c r="M753">
        <v>1</v>
      </c>
      <c r="N753">
        <v>1</v>
      </c>
      <c r="O753">
        <v>100</v>
      </c>
      <c r="P753" t="b">
        <f t="shared" si="11"/>
        <v>0</v>
      </c>
    </row>
    <row r="754" spans="1:16" x14ac:dyDescent="0.2">
      <c r="A754" t="s">
        <v>127</v>
      </c>
      <c r="B754" t="s">
        <v>128</v>
      </c>
      <c r="C754">
        <v>774</v>
      </c>
      <c r="D754">
        <v>130885</v>
      </c>
      <c r="E754" t="s">
        <v>523</v>
      </c>
      <c r="F754" t="s">
        <v>68</v>
      </c>
      <c r="G754" t="s">
        <v>10</v>
      </c>
      <c r="H754" t="s">
        <v>5</v>
      </c>
      <c r="I754" t="s">
        <v>91</v>
      </c>
      <c r="J754">
        <v>50</v>
      </c>
      <c r="K754">
        <v>0.03</v>
      </c>
      <c r="L754">
        <v>1</v>
      </c>
      <c r="M754">
        <v>1</v>
      </c>
      <c r="N754">
        <v>1</v>
      </c>
      <c r="O754">
        <v>100</v>
      </c>
      <c r="P754" t="b">
        <f t="shared" si="11"/>
        <v>0</v>
      </c>
    </row>
    <row r="755" spans="1:16" x14ac:dyDescent="0.2">
      <c r="A755" t="s">
        <v>127</v>
      </c>
      <c r="B755" t="s">
        <v>128</v>
      </c>
      <c r="C755">
        <v>775</v>
      </c>
      <c r="D755">
        <v>87975</v>
      </c>
      <c r="E755" t="s">
        <v>918</v>
      </c>
      <c r="F755" t="s">
        <v>37</v>
      </c>
      <c r="G755" t="s">
        <v>452</v>
      </c>
      <c r="H755" t="s">
        <v>5</v>
      </c>
      <c r="I755" t="s">
        <v>91</v>
      </c>
      <c r="J755">
        <v>33</v>
      </c>
      <c r="K755">
        <v>0.03</v>
      </c>
      <c r="L755">
        <v>1</v>
      </c>
      <c r="M755">
        <v>1</v>
      </c>
      <c r="N755">
        <v>1</v>
      </c>
      <c r="O755">
        <v>100</v>
      </c>
      <c r="P755" t="b">
        <f t="shared" si="11"/>
        <v>0</v>
      </c>
    </row>
    <row r="756" spans="1:16" x14ac:dyDescent="0.2">
      <c r="A756" t="s">
        <v>127</v>
      </c>
      <c r="B756" t="s">
        <v>128</v>
      </c>
      <c r="C756">
        <v>776</v>
      </c>
      <c r="D756">
        <v>130342</v>
      </c>
      <c r="E756" t="s">
        <v>352</v>
      </c>
      <c r="F756" t="s">
        <v>65</v>
      </c>
      <c r="G756" t="s">
        <v>10</v>
      </c>
      <c r="H756" t="s">
        <v>5</v>
      </c>
      <c r="I756" t="s">
        <v>91</v>
      </c>
      <c r="J756">
        <v>81</v>
      </c>
      <c r="K756">
        <v>0.03</v>
      </c>
      <c r="L756">
        <v>1</v>
      </c>
      <c r="M756">
        <v>1</v>
      </c>
      <c r="N756">
        <v>1</v>
      </c>
      <c r="O756">
        <v>100</v>
      </c>
      <c r="P756" t="b">
        <f t="shared" si="11"/>
        <v>0</v>
      </c>
    </row>
    <row r="757" spans="1:16" x14ac:dyDescent="0.2">
      <c r="A757" t="s">
        <v>127</v>
      </c>
      <c r="B757" t="s">
        <v>128</v>
      </c>
      <c r="C757">
        <v>777</v>
      </c>
      <c r="D757">
        <v>76303</v>
      </c>
      <c r="E757" t="s">
        <v>301</v>
      </c>
      <c r="F757" t="s">
        <v>37</v>
      </c>
      <c r="G757" t="s">
        <v>452</v>
      </c>
      <c r="H757" t="s">
        <v>5</v>
      </c>
      <c r="I757" t="s">
        <v>91</v>
      </c>
      <c r="J757">
        <v>34</v>
      </c>
      <c r="K757">
        <v>0.03</v>
      </c>
      <c r="L757">
        <v>1</v>
      </c>
      <c r="M757">
        <v>1</v>
      </c>
      <c r="N757">
        <v>1</v>
      </c>
      <c r="O757">
        <v>100</v>
      </c>
      <c r="P757" t="b">
        <f t="shared" si="11"/>
        <v>0</v>
      </c>
    </row>
    <row r="758" spans="1:16" x14ac:dyDescent="0.2">
      <c r="A758" t="s">
        <v>127</v>
      </c>
      <c r="B758" t="s">
        <v>128</v>
      </c>
      <c r="C758">
        <v>778</v>
      </c>
      <c r="D758">
        <v>130347</v>
      </c>
      <c r="E758" t="s">
        <v>353</v>
      </c>
      <c r="F758" t="s">
        <v>65</v>
      </c>
      <c r="G758" t="s">
        <v>10</v>
      </c>
      <c r="H758" t="s">
        <v>5</v>
      </c>
      <c r="I758" t="s">
        <v>91</v>
      </c>
      <c r="J758">
        <v>82</v>
      </c>
      <c r="K758">
        <v>0.03</v>
      </c>
      <c r="L758">
        <v>1</v>
      </c>
      <c r="M758">
        <v>1</v>
      </c>
      <c r="N758">
        <v>1</v>
      </c>
      <c r="O758">
        <v>100</v>
      </c>
      <c r="P758" t="b">
        <f t="shared" si="11"/>
        <v>0</v>
      </c>
    </row>
    <row r="759" spans="1:16" x14ac:dyDescent="0.2">
      <c r="A759" t="s">
        <v>127</v>
      </c>
      <c r="B759" t="s">
        <v>128</v>
      </c>
      <c r="C759">
        <v>779</v>
      </c>
      <c r="D759">
        <v>68919</v>
      </c>
      <c r="E759" t="s">
        <v>952</v>
      </c>
      <c r="F759" t="s">
        <v>37</v>
      </c>
      <c r="G759" t="s">
        <v>452</v>
      </c>
      <c r="H759" t="s">
        <v>5</v>
      </c>
      <c r="I759" t="s">
        <v>95</v>
      </c>
      <c r="J759">
        <v>35</v>
      </c>
      <c r="K759">
        <v>0.03</v>
      </c>
      <c r="L759">
        <v>1</v>
      </c>
      <c r="M759">
        <v>1</v>
      </c>
      <c r="N759">
        <v>1</v>
      </c>
      <c r="O759">
        <v>100</v>
      </c>
      <c r="P759" t="b">
        <f t="shared" si="11"/>
        <v>0</v>
      </c>
    </row>
    <row r="760" spans="1:16" x14ac:dyDescent="0.2">
      <c r="A760" t="s">
        <v>127</v>
      </c>
      <c r="B760" t="s">
        <v>128</v>
      </c>
      <c r="C760">
        <v>780</v>
      </c>
      <c r="D760">
        <v>130888</v>
      </c>
      <c r="E760" t="s">
        <v>522</v>
      </c>
      <c r="F760" t="s">
        <v>68</v>
      </c>
      <c r="G760" t="s">
        <v>10</v>
      </c>
      <c r="H760" t="s">
        <v>5</v>
      </c>
      <c r="I760" t="s">
        <v>91</v>
      </c>
      <c r="J760">
        <v>51</v>
      </c>
      <c r="K760">
        <v>0.03</v>
      </c>
      <c r="L760">
        <v>1</v>
      </c>
      <c r="M760">
        <v>1</v>
      </c>
      <c r="N760">
        <v>1</v>
      </c>
      <c r="O760">
        <v>100</v>
      </c>
      <c r="P760" t="b">
        <f t="shared" si="11"/>
        <v>0</v>
      </c>
    </row>
    <row r="761" spans="1:16" x14ac:dyDescent="0.2">
      <c r="A761" t="s">
        <v>127</v>
      </c>
      <c r="B761" t="s">
        <v>128</v>
      </c>
      <c r="C761">
        <v>781</v>
      </c>
      <c r="D761">
        <v>63944</v>
      </c>
      <c r="E761" t="s">
        <v>970</v>
      </c>
      <c r="F761" t="s">
        <v>37</v>
      </c>
      <c r="G761" t="s">
        <v>452</v>
      </c>
      <c r="H761" t="s">
        <v>5</v>
      </c>
      <c r="I761" t="s">
        <v>95</v>
      </c>
      <c r="J761">
        <v>36</v>
      </c>
      <c r="K761">
        <v>0.03</v>
      </c>
      <c r="L761">
        <v>1</v>
      </c>
      <c r="M761">
        <v>1</v>
      </c>
      <c r="N761">
        <v>1</v>
      </c>
      <c r="O761">
        <v>100</v>
      </c>
      <c r="P761" t="b">
        <f t="shared" si="11"/>
        <v>0</v>
      </c>
    </row>
    <row r="762" spans="1:16" x14ac:dyDescent="0.2">
      <c r="A762" t="s">
        <v>127</v>
      </c>
      <c r="B762" t="s">
        <v>128</v>
      </c>
      <c r="C762">
        <v>782</v>
      </c>
      <c r="D762">
        <v>130305</v>
      </c>
      <c r="E762" t="s">
        <v>630</v>
      </c>
      <c r="F762" t="s">
        <v>65</v>
      </c>
      <c r="G762" t="s">
        <v>10</v>
      </c>
      <c r="H762" t="s">
        <v>5</v>
      </c>
      <c r="I762" t="s">
        <v>91</v>
      </c>
      <c r="J762">
        <v>83</v>
      </c>
      <c r="K762">
        <v>0.03</v>
      </c>
      <c r="L762">
        <v>1</v>
      </c>
      <c r="M762">
        <v>1</v>
      </c>
      <c r="N762">
        <v>1</v>
      </c>
      <c r="O762">
        <v>100</v>
      </c>
      <c r="P762" t="b">
        <f t="shared" si="11"/>
        <v>0</v>
      </c>
    </row>
    <row r="763" spans="1:16" x14ac:dyDescent="0.2">
      <c r="A763" t="s">
        <v>127</v>
      </c>
      <c r="B763" t="s">
        <v>128</v>
      </c>
      <c r="C763">
        <v>783</v>
      </c>
      <c r="D763">
        <v>31631</v>
      </c>
      <c r="E763" t="s">
        <v>1137</v>
      </c>
      <c r="F763" t="s">
        <v>37</v>
      </c>
      <c r="G763" t="s">
        <v>452</v>
      </c>
      <c r="H763" t="s">
        <v>5</v>
      </c>
      <c r="I763" t="s">
        <v>91</v>
      </c>
      <c r="J763">
        <v>37</v>
      </c>
      <c r="K763">
        <v>0.03</v>
      </c>
      <c r="L763">
        <v>1</v>
      </c>
      <c r="M763">
        <v>1</v>
      </c>
      <c r="N763">
        <v>1</v>
      </c>
      <c r="O763">
        <v>100</v>
      </c>
      <c r="P763" t="b">
        <f t="shared" si="11"/>
        <v>0</v>
      </c>
    </row>
    <row r="764" spans="1:16" x14ac:dyDescent="0.2">
      <c r="A764" t="s">
        <v>127</v>
      </c>
      <c r="B764" t="s">
        <v>128</v>
      </c>
      <c r="C764">
        <v>784</v>
      </c>
      <c r="D764">
        <v>130902</v>
      </c>
      <c r="E764" t="s">
        <v>519</v>
      </c>
      <c r="F764" t="s">
        <v>68</v>
      </c>
      <c r="G764" t="s">
        <v>10</v>
      </c>
      <c r="H764" t="s">
        <v>5</v>
      </c>
      <c r="I764" t="s">
        <v>91</v>
      </c>
      <c r="J764">
        <v>53</v>
      </c>
      <c r="K764">
        <v>0.03</v>
      </c>
      <c r="L764">
        <v>1</v>
      </c>
      <c r="M764">
        <v>1</v>
      </c>
      <c r="N764">
        <v>1</v>
      </c>
      <c r="O764">
        <v>100</v>
      </c>
      <c r="P764" t="b">
        <f t="shared" si="11"/>
        <v>0</v>
      </c>
    </row>
    <row r="765" spans="1:16" x14ac:dyDescent="0.2">
      <c r="A765" t="s">
        <v>127</v>
      </c>
      <c r="B765" t="s">
        <v>128</v>
      </c>
      <c r="C765">
        <v>785</v>
      </c>
      <c r="D765">
        <v>50206</v>
      </c>
      <c r="E765" t="s">
        <v>1006</v>
      </c>
      <c r="F765" t="s">
        <v>37</v>
      </c>
      <c r="G765" t="s">
        <v>452</v>
      </c>
      <c r="H765" t="s">
        <v>5</v>
      </c>
      <c r="I765" t="s">
        <v>91</v>
      </c>
      <c r="J765">
        <v>38</v>
      </c>
      <c r="K765">
        <v>0.03</v>
      </c>
      <c r="L765">
        <v>1</v>
      </c>
      <c r="M765">
        <v>1</v>
      </c>
      <c r="N765">
        <v>1</v>
      </c>
      <c r="O765">
        <v>100</v>
      </c>
      <c r="P765" t="b">
        <f t="shared" si="11"/>
        <v>0</v>
      </c>
    </row>
    <row r="766" spans="1:16" x14ac:dyDescent="0.2">
      <c r="A766" t="s">
        <v>127</v>
      </c>
      <c r="B766" t="s">
        <v>128</v>
      </c>
      <c r="C766">
        <v>786</v>
      </c>
      <c r="D766">
        <v>129667</v>
      </c>
      <c r="E766" t="s">
        <v>720</v>
      </c>
      <c r="F766" t="s">
        <v>65</v>
      </c>
      <c r="G766" t="s">
        <v>10</v>
      </c>
      <c r="H766" t="s">
        <v>5</v>
      </c>
      <c r="I766" t="s">
        <v>91</v>
      </c>
      <c r="J766">
        <v>84</v>
      </c>
      <c r="K766">
        <v>0.03</v>
      </c>
      <c r="L766">
        <v>1</v>
      </c>
      <c r="M766">
        <v>1</v>
      </c>
      <c r="N766">
        <v>1</v>
      </c>
      <c r="O766">
        <v>100</v>
      </c>
      <c r="P766" t="b">
        <f t="shared" si="11"/>
        <v>0</v>
      </c>
    </row>
    <row r="767" spans="1:16" x14ac:dyDescent="0.2">
      <c r="A767" t="s">
        <v>127</v>
      </c>
      <c r="B767" t="s">
        <v>128</v>
      </c>
      <c r="C767">
        <v>787</v>
      </c>
      <c r="D767">
        <v>46558</v>
      </c>
      <c r="E767" t="s">
        <v>1017</v>
      </c>
      <c r="F767" t="s">
        <v>37</v>
      </c>
      <c r="G767" t="s">
        <v>452</v>
      </c>
      <c r="H767" t="s">
        <v>5</v>
      </c>
      <c r="I767" t="s">
        <v>91</v>
      </c>
      <c r="J767">
        <v>39</v>
      </c>
      <c r="K767">
        <v>0.03</v>
      </c>
      <c r="L767">
        <v>1</v>
      </c>
      <c r="M767">
        <v>1</v>
      </c>
      <c r="N767">
        <v>1</v>
      </c>
      <c r="O767">
        <v>100</v>
      </c>
      <c r="P767" t="b">
        <f t="shared" si="11"/>
        <v>0</v>
      </c>
    </row>
    <row r="768" spans="1:16" x14ac:dyDescent="0.2">
      <c r="A768" t="s">
        <v>127</v>
      </c>
      <c r="B768" t="s">
        <v>128</v>
      </c>
      <c r="C768">
        <v>788</v>
      </c>
      <c r="D768">
        <v>130465</v>
      </c>
      <c r="E768" t="s">
        <v>596</v>
      </c>
      <c r="F768" t="s">
        <v>65</v>
      </c>
      <c r="G768" t="s">
        <v>10</v>
      </c>
      <c r="H768" t="s">
        <v>5</v>
      </c>
      <c r="I768" t="s">
        <v>91</v>
      </c>
      <c r="J768">
        <v>85</v>
      </c>
      <c r="K768">
        <v>0.03</v>
      </c>
      <c r="L768">
        <v>1</v>
      </c>
      <c r="M768">
        <v>1</v>
      </c>
      <c r="N768">
        <v>1</v>
      </c>
      <c r="O768">
        <v>100</v>
      </c>
      <c r="P768" t="b">
        <f t="shared" si="11"/>
        <v>0</v>
      </c>
    </row>
    <row r="769" spans="1:16" x14ac:dyDescent="0.2">
      <c r="A769" t="s">
        <v>127</v>
      </c>
      <c r="B769" t="s">
        <v>128</v>
      </c>
      <c r="C769">
        <v>789</v>
      </c>
      <c r="D769">
        <v>113960</v>
      </c>
      <c r="E769" t="s">
        <v>880</v>
      </c>
      <c r="F769" t="s">
        <v>37</v>
      </c>
      <c r="G769" t="s">
        <v>452</v>
      </c>
      <c r="H769" t="s">
        <v>5</v>
      </c>
      <c r="I769" t="s">
        <v>91</v>
      </c>
      <c r="J769">
        <v>40</v>
      </c>
      <c r="K769">
        <v>0.03</v>
      </c>
      <c r="L769">
        <v>1</v>
      </c>
      <c r="M769">
        <v>1</v>
      </c>
      <c r="N769">
        <v>1</v>
      </c>
      <c r="O769">
        <v>100</v>
      </c>
      <c r="P769" t="b">
        <f t="shared" si="11"/>
        <v>0</v>
      </c>
    </row>
    <row r="770" spans="1:16" x14ac:dyDescent="0.2">
      <c r="A770" t="s">
        <v>127</v>
      </c>
      <c r="B770" t="s">
        <v>128</v>
      </c>
      <c r="C770">
        <v>790</v>
      </c>
      <c r="D770">
        <v>130931</v>
      </c>
      <c r="E770" t="s">
        <v>321</v>
      </c>
      <c r="F770" t="s">
        <v>68</v>
      </c>
      <c r="G770" t="s">
        <v>10</v>
      </c>
      <c r="H770" t="s">
        <v>5</v>
      </c>
      <c r="I770" t="s">
        <v>95</v>
      </c>
      <c r="J770">
        <v>54</v>
      </c>
      <c r="K770">
        <v>0.03</v>
      </c>
      <c r="L770">
        <v>1</v>
      </c>
      <c r="M770">
        <v>1</v>
      </c>
      <c r="N770">
        <v>1</v>
      </c>
      <c r="O770">
        <v>100</v>
      </c>
      <c r="P770" t="b">
        <f t="shared" si="11"/>
        <v>0</v>
      </c>
    </row>
    <row r="771" spans="1:16" x14ac:dyDescent="0.2">
      <c r="A771" t="s">
        <v>127</v>
      </c>
      <c r="B771" t="s">
        <v>128</v>
      </c>
      <c r="C771">
        <v>791</v>
      </c>
      <c r="D771">
        <v>32126</v>
      </c>
      <c r="E771" t="s">
        <v>1052</v>
      </c>
      <c r="F771" t="s">
        <v>37</v>
      </c>
      <c r="G771" t="s">
        <v>452</v>
      </c>
      <c r="H771" t="s">
        <v>5</v>
      </c>
      <c r="I771" t="s">
        <v>91</v>
      </c>
      <c r="J771">
        <v>41</v>
      </c>
      <c r="K771">
        <v>0.03</v>
      </c>
      <c r="L771">
        <v>1</v>
      </c>
      <c r="M771">
        <v>1</v>
      </c>
      <c r="N771">
        <v>1</v>
      </c>
      <c r="O771">
        <v>100</v>
      </c>
      <c r="P771" t="b">
        <f t="shared" ref="P771:P834" si="12">AND(C771&lt;$Q$1,IF(ISBLANK(C771),0,C771)&gt;0)</f>
        <v>0</v>
      </c>
    </row>
    <row r="772" spans="1:16" x14ac:dyDescent="0.2">
      <c r="A772" t="s">
        <v>127</v>
      </c>
      <c r="B772" t="s">
        <v>128</v>
      </c>
      <c r="C772">
        <v>792</v>
      </c>
      <c r="D772">
        <v>130456</v>
      </c>
      <c r="E772" t="s">
        <v>597</v>
      </c>
      <c r="F772" t="s">
        <v>65</v>
      </c>
      <c r="G772" t="s">
        <v>10</v>
      </c>
      <c r="H772" t="s">
        <v>5</v>
      </c>
      <c r="I772" t="s">
        <v>91</v>
      </c>
      <c r="J772">
        <v>86</v>
      </c>
      <c r="K772">
        <v>0.03</v>
      </c>
      <c r="L772">
        <v>1</v>
      </c>
      <c r="M772">
        <v>1</v>
      </c>
      <c r="N772">
        <v>1</v>
      </c>
      <c r="O772">
        <v>100</v>
      </c>
      <c r="P772" t="b">
        <f t="shared" si="12"/>
        <v>0</v>
      </c>
    </row>
    <row r="773" spans="1:16" x14ac:dyDescent="0.2">
      <c r="A773" t="s">
        <v>127</v>
      </c>
      <c r="B773" t="s">
        <v>128</v>
      </c>
      <c r="C773">
        <v>793</v>
      </c>
      <c r="D773">
        <v>32024</v>
      </c>
      <c r="E773" t="s">
        <v>1062</v>
      </c>
      <c r="F773" t="s">
        <v>37</v>
      </c>
      <c r="G773" t="s">
        <v>452</v>
      </c>
      <c r="H773" t="s">
        <v>5</v>
      </c>
      <c r="I773" t="s">
        <v>91</v>
      </c>
      <c r="J773">
        <v>42</v>
      </c>
      <c r="K773">
        <v>0.03</v>
      </c>
      <c r="L773">
        <v>1</v>
      </c>
      <c r="M773">
        <v>1</v>
      </c>
      <c r="N773">
        <v>1</v>
      </c>
      <c r="O773">
        <v>100</v>
      </c>
      <c r="P773" t="b">
        <f t="shared" si="12"/>
        <v>0</v>
      </c>
    </row>
    <row r="774" spans="1:16" x14ac:dyDescent="0.2">
      <c r="A774" t="s">
        <v>127</v>
      </c>
      <c r="B774" t="s">
        <v>128</v>
      </c>
      <c r="C774">
        <v>794</v>
      </c>
      <c r="D774">
        <v>130523</v>
      </c>
      <c r="E774" t="s">
        <v>582</v>
      </c>
      <c r="F774" t="s">
        <v>68</v>
      </c>
      <c r="G774" t="s">
        <v>10</v>
      </c>
      <c r="H774" t="s">
        <v>5</v>
      </c>
      <c r="I774" t="s">
        <v>95</v>
      </c>
      <c r="J774">
        <v>55</v>
      </c>
      <c r="K774">
        <v>0.03</v>
      </c>
      <c r="L774">
        <v>1</v>
      </c>
      <c r="M774">
        <v>1</v>
      </c>
      <c r="N774">
        <v>1</v>
      </c>
      <c r="O774">
        <v>100</v>
      </c>
      <c r="P774" t="b">
        <f t="shared" si="12"/>
        <v>0</v>
      </c>
    </row>
    <row r="775" spans="1:16" x14ac:dyDescent="0.2">
      <c r="A775" t="s">
        <v>127</v>
      </c>
      <c r="B775" t="s">
        <v>128</v>
      </c>
      <c r="C775">
        <v>795</v>
      </c>
      <c r="D775">
        <v>32021</v>
      </c>
      <c r="E775" t="s">
        <v>1064</v>
      </c>
      <c r="F775" t="s">
        <v>37</v>
      </c>
      <c r="G775" t="s">
        <v>452</v>
      </c>
      <c r="H775" t="s">
        <v>5</v>
      </c>
      <c r="I775" t="s">
        <v>91</v>
      </c>
      <c r="J775">
        <v>43</v>
      </c>
      <c r="K775">
        <v>0.03</v>
      </c>
      <c r="L775">
        <v>1</v>
      </c>
      <c r="M775">
        <v>1</v>
      </c>
      <c r="N775">
        <v>1</v>
      </c>
      <c r="O775">
        <v>100</v>
      </c>
      <c r="P775" t="b">
        <f t="shared" si="12"/>
        <v>0</v>
      </c>
    </row>
    <row r="776" spans="1:16" x14ac:dyDescent="0.2">
      <c r="A776" t="s">
        <v>127</v>
      </c>
      <c r="B776" t="s">
        <v>128</v>
      </c>
      <c r="C776">
        <v>796</v>
      </c>
      <c r="D776">
        <v>130476</v>
      </c>
      <c r="E776" t="s">
        <v>405</v>
      </c>
      <c r="F776" t="s">
        <v>65</v>
      </c>
      <c r="G776" t="s">
        <v>10</v>
      </c>
      <c r="H776" t="s">
        <v>5</v>
      </c>
      <c r="I776" t="s">
        <v>91</v>
      </c>
      <c r="J776">
        <v>87</v>
      </c>
      <c r="K776">
        <v>0.03</v>
      </c>
      <c r="L776">
        <v>1</v>
      </c>
      <c r="M776">
        <v>1</v>
      </c>
      <c r="N776">
        <v>1</v>
      </c>
      <c r="O776">
        <v>100</v>
      </c>
      <c r="P776" t="b">
        <f t="shared" si="12"/>
        <v>0</v>
      </c>
    </row>
    <row r="777" spans="1:16" x14ac:dyDescent="0.2">
      <c r="A777" t="s">
        <v>127</v>
      </c>
      <c r="B777" t="s">
        <v>128</v>
      </c>
      <c r="C777">
        <v>797</v>
      </c>
      <c r="D777">
        <v>31998</v>
      </c>
      <c r="E777" t="s">
        <v>1073</v>
      </c>
      <c r="F777" t="s">
        <v>37</v>
      </c>
      <c r="G777" t="s">
        <v>452</v>
      </c>
      <c r="H777" t="s">
        <v>5</v>
      </c>
      <c r="I777" t="s">
        <v>91</v>
      </c>
      <c r="J777">
        <v>44</v>
      </c>
      <c r="K777">
        <v>0.03</v>
      </c>
      <c r="L777">
        <v>1</v>
      </c>
      <c r="M777">
        <v>1</v>
      </c>
      <c r="N777">
        <v>1</v>
      </c>
      <c r="O777">
        <v>100</v>
      </c>
      <c r="P777" t="b">
        <f t="shared" si="12"/>
        <v>0</v>
      </c>
    </row>
    <row r="778" spans="1:16" x14ac:dyDescent="0.2">
      <c r="A778" t="s">
        <v>127</v>
      </c>
      <c r="B778" t="s">
        <v>128</v>
      </c>
      <c r="C778">
        <v>798</v>
      </c>
      <c r="D778">
        <v>130509</v>
      </c>
      <c r="E778" t="s">
        <v>585</v>
      </c>
      <c r="F778" t="s">
        <v>65</v>
      </c>
      <c r="G778" t="s">
        <v>10</v>
      </c>
      <c r="H778" t="s">
        <v>5</v>
      </c>
      <c r="I778" t="s">
        <v>91</v>
      </c>
      <c r="J778">
        <v>88</v>
      </c>
      <c r="K778">
        <v>0.03</v>
      </c>
      <c r="L778">
        <v>1</v>
      </c>
      <c r="M778">
        <v>1</v>
      </c>
      <c r="N778">
        <v>1</v>
      </c>
      <c r="O778">
        <v>100</v>
      </c>
      <c r="P778" t="b">
        <f t="shared" si="12"/>
        <v>0</v>
      </c>
    </row>
    <row r="779" spans="1:16" x14ac:dyDescent="0.2">
      <c r="A779" t="s">
        <v>127</v>
      </c>
      <c r="B779" t="s">
        <v>128</v>
      </c>
      <c r="C779">
        <v>799</v>
      </c>
      <c r="D779">
        <v>31906</v>
      </c>
      <c r="E779" t="s">
        <v>1092</v>
      </c>
      <c r="F779" t="s">
        <v>37</v>
      </c>
      <c r="G779" t="s">
        <v>452</v>
      </c>
      <c r="H779" t="s">
        <v>5</v>
      </c>
      <c r="I779" t="s">
        <v>91</v>
      </c>
      <c r="J779">
        <v>45</v>
      </c>
      <c r="K779">
        <v>0.03</v>
      </c>
      <c r="L779">
        <v>1</v>
      </c>
      <c r="M779">
        <v>1</v>
      </c>
      <c r="N779">
        <v>1</v>
      </c>
      <c r="O779">
        <v>100</v>
      </c>
      <c r="P779" t="b">
        <f t="shared" si="12"/>
        <v>0</v>
      </c>
    </row>
    <row r="780" spans="1:16" x14ac:dyDescent="0.2">
      <c r="A780" t="s">
        <v>127</v>
      </c>
      <c r="B780" t="s">
        <v>128</v>
      </c>
      <c r="C780">
        <v>800</v>
      </c>
      <c r="D780">
        <v>130358</v>
      </c>
      <c r="E780" t="s">
        <v>622</v>
      </c>
      <c r="F780" t="s">
        <v>68</v>
      </c>
      <c r="G780" t="s">
        <v>10</v>
      </c>
      <c r="H780" t="s">
        <v>5</v>
      </c>
      <c r="I780" t="s">
        <v>91</v>
      </c>
      <c r="J780">
        <v>56</v>
      </c>
      <c r="K780">
        <v>0.03</v>
      </c>
      <c r="L780">
        <v>1</v>
      </c>
      <c r="M780">
        <v>1</v>
      </c>
      <c r="N780">
        <v>1</v>
      </c>
      <c r="O780">
        <v>100</v>
      </c>
      <c r="P780" t="b">
        <f t="shared" si="12"/>
        <v>0</v>
      </c>
    </row>
    <row r="781" spans="1:16" x14ac:dyDescent="0.2">
      <c r="A781" t="s">
        <v>127</v>
      </c>
      <c r="B781" t="s">
        <v>128</v>
      </c>
      <c r="C781">
        <v>801</v>
      </c>
      <c r="D781">
        <v>31844</v>
      </c>
      <c r="E781" t="s">
        <v>1101</v>
      </c>
      <c r="F781" t="s">
        <v>37</v>
      </c>
      <c r="G781" t="s">
        <v>452</v>
      </c>
      <c r="H781" t="s">
        <v>5</v>
      </c>
      <c r="I781" t="s">
        <v>91</v>
      </c>
      <c r="J781">
        <v>46</v>
      </c>
      <c r="K781">
        <v>0.03</v>
      </c>
      <c r="L781">
        <v>1</v>
      </c>
      <c r="M781">
        <v>1</v>
      </c>
      <c r="N781">
        <v>1</v>
      </c>
      <c r="O781">
        <v>100</v>
      </c>
      <c r="P781" t="b">
        <f t="shared" si="12"/>
        <v>0</v>
      </c>
    </row>
    <row r="782" spans="1:16" x14ac:dyDescent="0.2">
      <c r="A782" t="s">
        <v>127</v>
      </c>
      <c r="B782" t="s">
        <v>128</v>
      </c>
      <c r="C782">
        <v>802</v>
      </c>
      <c r="D782">
        <v>130518</v>
      </c>
      <c r="E782" t="s">
        <v>584</v>
      </c>
      <c r="F782" t="s">
        <v>65</v>
      </c>
      <c r="G782" t="s">
        <v>10</v>
      </c>
      <c r="H782" t="s">
        <v>5</v>
      </c>
      <c r="I782" t="s">
        <v>91</v>
      </c>
      <c r="J782">
        <v>89</v>
      </c>
      <c r="K782">
        <v>0.03</v>
      </c>
      <c r="L782">
        <v>1</v>
      </c>
      <c r="M782">
        <v>1</v>
      </c>
      <c r="N782">
        <v>1</v>
      </c>
      <c r="O782">
        <v>100</v>
      </c>
      <c r="P782" t="b">
        <f t="shared" si="12"/>
        <v>0</v>
      </c>
    </row>
    <row r="783" spans="1:16" x14ac:dyDescent="0.2">
      <c r="A783" t="s">
        <v>127</v>
      </c>
      <c r="B783" t="s">
        <v>128</v>
      </c>
      <c r="C783">
        <v>803</v>
      </c>
      <c r="D783">
        <v>31837</v>
      </c>
      <c r="E783" t="s">
        <v>1102</v>
      </c>
      <c r="F783" t="s">
        <v>37</v>
      </c>
      <c r="G783" t="s">
        <v>452</v>
      </c>
      <c r="H783" t="s">
        <v>5</v>
      </c>
      <c r="I783" t="s">
        <v>91</v>
      </c>
      <c r="J783">
        <v>47</v>
      </c>
      <c r="K783">
        <v>0.03</v>
      </c>
      <c r="L783">
        <v>1</v>
      </c>
      <c r="M783">
        <v>1</v>
      </c>
      <c r="N783">
        <v>1</v>
      </c>
      <c r="O783">
        <v>100</v>
      </c>
      <c r="P783" t="b">
        <f t="shared" si="12"/>
        <v>0</v>
      </c>
    </row>
    <row r="784" spans="1:16" x14ac:dyDescent="0.2">
      <c r="A784" t="s">
        <v>127</v>
      </c>
      <c r="B784" t="s">
        <v>128</v>
      </c>
      <c r="C784">
        <v>804</v>
      </c>
      <c r="D784">
        <v>130970</v>
      </c>
      <c r="E784" t="s">
        <v>512</v>
      </c>
      <c r="F784" t="s">
        <v>68</v>
      </c>
      <c r="G784" t="s">
        <v>10</v>
      </c>
      <c r="H784" t="s">
        <v>5</v>
      </c>
      <c r="I784" t="s">
        <v>91</v>
      </c>
      <c r="J784">
        <v>57</v>
      </c>
      <c r="K784">
        <v>0.03</v>
      </c>
      <c r="L784">
        <v>1</v>
      </c>
      <c r="M784">
        <v>1</v>
      </c>
      <c r="N784">
        <v>1</v>
      </c>
      <c r="O784">
        <v>100</v>
      </c>
      <c r="P784" t="b">
        <f t="shared" si="12"/>
        <v>0</v>
      </c>
    </row>
    <row r="785" spans="1:16" x14ac:dyDescent="0.2">
      <c r="A785" t="s">
        <v>127</v>
      </c>
      <c r="B785" t="s">
        <v>128</v>
      </c>
      <c r="C785">
        <v>805</v>
      </c>
      <c r="D785">
        <v>31791</v>
      </c>
      <c r="E785" t="s">
        <v>1111</v>
      </c>
      <c r="F785" t="s">
        <v>37</v>
      </c>
      <c r="G785" t="s">
        <v>452</v>
      </c>
      <c r="H785" t="s">
        <v>5</v>
      </c>
      <c r="I785" t="s">
        <v>91</v>
      </c>
      <c r="J785">
        <v>48</v>
      </c>
      <c r="K785">
        <v>0.03</v>
      </c>
      <c r="L785">
        <v>1</v>
      </c>
      <c r="M785">
        <v>1</v>
      </c>
      <c r="N785">
        <v>1</v>
      </c>
      <c r="O785">
        <v>100</v>
      </c>
      <c r="P785" t="b">
        <f t="shared" si="12"/>
        <v>0</v>
      </c>
    </row>
    <row r="786" spans="1:16" x14ac:dyDescent="0.2">
      <c r="A786" t="s">
        <v>127</v>
      </c>
      <c r="B786" t="s">
        <v>128</v>
      </c>
      <c r="C786">
        <v>806</v>
      </c>
      <c r="D786">
        <v>130546</v>
      </c>
      <c r="E786" t="s">
        <v>577</v>
      </c>
      <c r="F786" t="s">
        <v>65</v>
      </c>
      <c r="G786" t="s">
        <v>10</v>
      </c>
      <c r="H786" t="s">
        <v>5</v>
      </c>
      <c r="I786" t="s">
        <v>91</v>
      </c>
      <c r="J786">
        <v>90</v>
      </c>
      <c r="K786">
        <v>0.03</v>
      </c>
      <c r="L786">
        <v>1</v>
      </c>
      <c r="M786">
        <v>1</v>
      </c>
      <c r="N786">
        <v>1</v>
      </c>
      <c r="O786">
        <v>100</v>
      </c>
      <c r="P786" t="b">
        <f t="shared" si="12"/>
        <v>0</v>
      </c>
    </row>
    <row r="787" spans="1:16" x14ac:dyDescent="0.2">
      <c r="A787" t="s">
        <v>127</v>
      </c>
      <c r="B787" t="s">
        <v>128</v>
      </c>
      <c r="C787">
        <v>807</v>
      </c>
      <c r="D787">
        <v>31756</v>
      </c>
      <c r="E787" t="s">
        <v>1116</v>
      </c>
      <c r="F787" t="s">
        <v>37</v>
      </c>
      <c r="G787" t="s">
        <v>452</v>
      </c>
      <c r="H787" t="s">
        <v>5</v>
      </c>
      <c r="I787" t="s">
        <v>91</v>
      </c>
      <c r="J787">
        <v>49</v>
      </c>
      <c r="K787">
        <v>0.03</v>
      </c>
      <c r="L787">
        <v>1</v>
      </c>
      <c r="M787">
        <v>1</v>
      </c>
      <c r="N787">
        <v>1</v>
      </c>
      <c r="O787">
        <v>100</v>
      </c>
      <c r="P787" t="b">
        <f t="shared" si="12"/>
        <v>0</v>
      </c>
    </row>
    <row r="788" spans="1:16" x14ac:dyDescent="0.2">
      <c r="A788" t="s">
        <v>127</v>
      </c>
      <c r="B788" t="s">
        <v>128</v>
      </c>
      <c r="C788">
        <v>808</v>
      </c>
      <c r="D788">
        <v>130547</v>
      </c>
      <c r="E788" t="s">
        <v>355</v>
      </c>
      <c r="F788" t="s">
        <v>65</v>
      </c>
      <c r="G788" t="s">
        <v>10</v>
      </c>
      <c r="H788" t="s">
        <v>5</v>
      </c>
      <c r="I788" t="s">
        <v>91</v>
      </c>
      <c r="J788">
        <v>91</v>
      </c>
      <c r="K788">
        <v>0.03</v>
      </c>
      <c r="L788">
        <v>1</v>
      </c>
      <c r="M788">
        <v>1</v>
      </c>
      <c r="N788">
        <v>1</v>
      </c>
      <c r="O788">
        <v>100</v>
      </c>
      <c r="P788" t="b">
        <f t="shared" si="12"/>
        <v>0</v>
      </c>
    </row>
    <row r="789" spans="1:16" x14ac:dyDescent="0.2">
      <c r="A789" t="s">
        <v>127</v>
      </c>
      <c r="B789" t="s">
        <v>128</v>
      </c>
      <c r="C789">
        <v>809</v>
      </c>
      <c r="D789">
        <v>31736</v>
      </c>
      <c r="E789" t="s">
        <v>1121</v>
      </c>
      <c r="F789" t="s">
        <v>37</v>
      </c>
      <c r="G789" t="s">
        <v>452</v>
      </c>
      <c r="H789" t="s">
        <v>5</v>
      </c>
      <c r="I789" t="s">
        <v>95</v>
      </c>
      <c r="J789">
        <v>50</v>
      </c>
      <c r="K789">
        <v>0.03</v>
      </c>
      <c r="L789">
        <v>1</v>
      </c>
      <c r="M789">
        <v>1</v>
      </c>
      <c r="N789">
        <v>1</v>
      </c>
      <c r="O789">
        <v>100</v>
      </c>
      <c r="P789" t="b">
        <f t="shared" si="12"/>
        <v>0</v>
      </c>
    </row>
    <row r="790" spans="1:16" x14ac:dyDescent="0.2">
      <c r="A790" t="s">
        <v>127</v>
      </c>
      <c r="B790" t="s">
        <v>128</v>
      </c>
      <c r="C790">
        <v>810</v>
      </c>
      <c r="D790">
        <v>130807</v>
      </c>
      <c r="E790" t="s">
        <v>325</v>
      </c>
      <c r="F790" t="s">
        <v>68</v>
      </c>
      <c r="G790" t="s">
        <v>10</v>
      </c>
      <c r="H790" t="s">
        <v>5</v>
      </c>
      <c r="I790" t="s">
        <v>95</v>
      </c>
      <c r="J790">
        <v>58</v>
      </c>
      <c r="K790">
        <v>0.03</v>
      </c>
      <c r="L790">
        <v>1</v>
      </c>
      <c r="M790">
        <v>1</v>
      </c>
      <c r="N790">
        <v>1</v>
      </c>
      <c r="O790">
        <v>100</v>
      </c>
      <c r="P790" t="b">
        <f t="shared" si="12"/>
        <v>0</v>
      </c>
    </row>
    <row r="791" spans="1:16" x14ac:dyDescent="0.2">
      <c r="A791" t="s">
        <v>127</v>
      </c>
      <c r="B791" t="s">
        <v>128</v>
      </c>
      <c r="C791">
        <v>811</v>
      </c>
      <c r="D791">
        <v>31672</v>
      </c>
      <c r="E791" t="s">
        <v>1126</v>
      </c>
      <c r="F791" t="s">
        <v>37</v>
      </c>
      <c r="G791" t="s">
        <v>452</v>
      </c>
      <c r="H791" t="s">
        <v>5</v>
      </c>
      <c r="I791" t="s">
        <v>91</v>
      </c>
      <c r="J791">
        <v>51</v>
      </c>
      <c r="K791">
        <v>0.03</v>
      </c>
      <c r="L791">
        <v>1</v>
      </c>
      <c r="M791">
        <v>1</v>
      </c>
      <c r="N791">
        <v>1</v>
      </c>
      <c r="O791">
        <v>100</v>
      </c>
      <c r="P791" t="b">
        <f t="shared" si="12"/>
        <v>0</v>
      </c>
    </row>
    <row r="792" spans="1:16" x14ac:dyDescent="0.2">
      <c r="A792" t="s">
        <v>127</v>
      </c>
      <c r="B792" t="s">
        <v>128</v>
      </c>
      <c r="C792">
        <v>812</v>
      </c>
      <c r="D792">
        <v>130576</v>
      </c>
      <c r="E792" t="s">
        <v>356</v>
      </c>
      <c r="F792" t="s">
        <v>65</v>
      </c>
      <c r="G792" t="s">
        <v>10</v>
      </c>
      <c r="H792" t="s">
        <v>5</v>
      </c>
      <c r="I792" t="s">
        <v>91</v>
      </c>
      <c r="J792">
        <v>92</v>
      </c>
      <c r="K792">
        <v>0.03</v>
      </c>
      <c r="L792">
        <v>1</v>
      </c>
      <c r="M792">
        <v>1</v>
      </c>
      <c r="N792">
        <v>1</v>
      </c>
      <c r="O792">
        <v>100</v>
      </c>
      <c r="P792" t="b">
        <f t="shared" si="12"/>
        <v>0</v>
      </c>
    </row>
    <row r="793" spans="1:16" x14ac:dyDescent="0.2">
      <c r="A793" t="s">
        <v>127</v>
      </c>
      <c r="B793" t="s">
        <v>128</v>
      </c>
      <c r="C793">
        <v>813</v>
      </c>
      <c r="D793">
        <v>31658</v>
      </c>
      <c r="E793" t="s">
        <v>391</v>
      </c>
      <c r="F793" t="s">
        <v>37</v>
      </c>
      <c r="G793" t="s">
        <v>452</v>
      </c>
      <c r="H793" t="s">
        <v>5</v>
      </c>
      <c r="I793" t="s">
        <v>91</v>
      </c>
      <c r="J793">
        <v>52</v>
      </c>
      <c r="K793">
        <v>0.03</v>
      </c>
      <c r="L793">
        <v>1</v>
      </c>
      <c r="M793">
        <v>1</v>
      </c>
      <c r="N793">
        <v>1</v>
      </c>
      <c r="O793">
        <v>100</v>
      </c>
      <c r="P793" t="b">
        <f t="shared" si="12"/>
        <v>0</v>
      </c>
    </row>
    <row r="794" spans="1:16" x14ac:dyDescent="0.2">
      <c r="A794" t="s">
        <v>127</v>
      </c>
      <c r="B794" t="s">
        <v>128</v>
      </c>
      <c r="C794">
        <v>814</v>
      </c>
      <c r="D794">
        <v>136234</v>
      </c>
      <c r="E794" t="s">
        <v>327</v>
      </c>
      <c r="F794" t="s">
        <v>68</v>
      </c>
      <c r="G794" t="s">
        <v>10</v>
      </c>
      <c r="H794" t="s">
        <v>5</v>
      </c>
      <c r="I794" t="s">
        <v>95</v>
      </c>
      <c r="J794">
        <v>59</v>
      </c>
      <c r="K794">
        <v>0.03</v>
      </c>
      <c r="L794">
        <v>1</v>
      </c>
      <c r="M794">
        <v>1</v>
      </c>
      <c r="N794">
        <v>1</v>
      </c>
      <c r="O794">
        <v>100</v>
      </c>
      <c r="P794" t="b">
        <f t="shared" si="12"/>
        <v>0</v>
      </c>
    </row>
    <row r="795" spans="1:16" x14ac:dyDescent="0.2">
      <c r="A795" t="s">
        <v>127</v>
      </c>
      <c r="B795" t="s">
        <v>128</v>
      </c>
      <c r="C795">
        <v>815</v>
      </c>
      <c r="D795">
        <v>31657</v>
      </c>
      <c r="E795" t="s">
        <v>1129</v>
      </c>
      <c r="F795" t="s">
        <v>37</v>
      </c>
      <c r="G795" t="s">
        <v>452</v>
      </c>
      <c r="H795" t="s">
        <v>5</v>
      </c>
      <c r="I795" t="s">
        <v>91</v>
      </c>
      <c r="J795">
        <v>53</v>
      </c>
      <c r="K795">
        <v>0.03</v>
      </c>
      <c r="L795">
        <v>1</v>
      </c>
      <c r="M795">
        <v>1</v>
      </c>
      <c r="N795">
        <v>1</v>
      </c>
      <c r="O795">
        <v>100</v>
      </c>
      <c r="P795" t="b">
        <f t="shared" si="12"/>
        <v>0</v>
      </c>
    </row>
    <row r="796" spans="1:16" x14ac:dyDescent="0.2">
      <c r="A796" t="s">
        <v>127</v>
      </c>
      <c r="B796" t="s">
        <v>128</v>
      </c>
      <c r="C796">
        <v>816</v>
      </c>
      <c r="D796">
        <v>130572</v>
      </c>
      <c r="E796" t="s">
        <v>573</v>
      </c>
      <c r="F796" t="s">
        <v>65</v>
      </c>
      <c r="G796" t="s">
        <v>10</v>
      </c>
      <c r="H796" t="s">
        <v>5</v>
      </c>
      <c r="I796" t="s">
        <v>91</v>
      </c>
      <c r="J796">
        <v>93</v>
      </c>
      <c r="K796">
        <v>0.03</v>
      </c>
      <c r="L796">
        <v>1</v>
      </c>
      <c r="M796">
        <v>1</v>
      </c>
      <c r="N796">
        <v>1</v>
      </c>
      <c r="O796">
        <v>100</v>
      </c>
      <c r="P796" t="b">
        <f t="shared" si="12"/>
        <v>0</v>
      </c>
    </row>
    <row r="797" spans="1:16" x14ac:dyDescent="0.2">
      <c r="A797" t="s">
        <v>127</v>
      </c>
      <c r="B797" t="s">
        <v>128</v>
      </c>
      <c r="C797">
        <v>817</v>
      </c>
      <c r="D797">
        <v>31653</v>
      </c>
      <c r="E797" t="s">
        <v>320</v>
      </c>
      <c r="F797" t="s">
        <v>37</v>
      </c>
      <c r="G797" t="s">
        <v>452</v>
      </c>
      <c r="H797" t="s">
        <v>5</v>
      </c>
      <c r="I797" t="s">
        <v>91</v>
      </c>
      <c r="J797">
        <v>54</v>
      </c>
      <c r="K797">
        <v>0.03</v>
      </c>
      <c r="L797">
        <v>1</v>
      </c>
      <c r="M797">
        <v>1</v>
      </c>
      <c r="N797">
        <v>1</v>
      </c>
      <c r="O797">
        <v>100</v>
      </c>
      <c r="P797" t="b">
        <f t="shared" si="12"/>
        <v>0</v>
      </c>
    </row>
    <row r="798" spans="1:16" x14ac:dyDescent="0.2">
      <c r="A798" t="s">
        <v>127</v>
      </c>
      <c r="B798" t="s">
        <v>128</v>
      </c>
      <c r="C798">
        <v>818</v>
      </c>
      <c r="D798">
        <v>130488</v>
      </c>
      <c r="E798" t="s">
        <v>591</v>
      </c>
      <c r="F798" t="s">
        <v>65</v>
      </c>
      <c r="G798" t="s">
        <v>10</v>
      </c>
      <c r="H798" t="s">
        <v>5</v>
      </c>
      <c r="I798" t="s">
        <v>91</v>
      </c>
      <c r="J798">
        <v>94</v>
      </c>
      <c r="K798">
        <v>0.03</v>
      </c>
      <c r="L798">
        <v>1</v>
      </c>
      <c r="M798">
        <v>1</v>
      </c>
      <c r="N798">
        <v>1</v>
      </c>
      <c r="O798">
        <v>100</v>
      </c>
      <c r="P798" t="b">
        <f t="shared" si="12"/>
        <v>0</v>
      </c>
    </row>
    <row r="799" spans="1:16" x14ac:dyDescent="0.2">
      <c r="A799" t="s">
        <v>127</v>
      </c>
      <c r="B799" t="s">
        <v>128</v>
      </c>
      <c r="C799">
        <v>819</v>
      </c>
      <c r="D799">
        <v>31618</v>
      </c>
      <c r="E799" t="s">
        <v>322</v>
      </c>
      <c r="F799" t="s">
        <v>37</v>
      </c>
      <c r="G799" t="s">
        <v>452</v>
      </c>
      <c r="H799" t="s">
        <v>5</v>
      </c>
      <c r="I799" t="s">
        <v>91</v>
      </c>
      <c r="J799">
        <v>55</v>
      </c>
      <c r="K799">
        <v>0.03</v>
      </c>
      <c r="L799">
        <v>1</v>
      </c>
      <c r="M799">
        <v>1</v>
      </c>
      <c r="N799">
        <v>1</v>
      </c>
      <c r="O799">
        <v>100</v>
      </c>
      <c r="P799" t="b">
        <f t="shared" si="12"/>
        <v>0</v>
      </c>
    </row>
    <row r="800" spans="1:16" x14ac:dyDescent="0.2">
      <c r="A800" t="s">
        <v>127</v>
      </c>
      <c r="B800" t="s">
        <v>128</v>
      </c>
      <c r="C800">
        <v>820</v>
      </c>
      <c r="D800">
        <v>136179</v>
      </c>
      <c r="E800" t="s">
        <v>329</v>
      </c>
      <c r="F800" t="s">
        <v>68</v>
      </c>
      <c r="G800" t="s">
        <v>10</v>
      </c>
      <c r="H800" t="s">
        <v>5</v>
      </c>
      <c r="I800" t="s">
        <v>95</v>
      </c>
      <c r="J800">
        <v>60</v>
      </c>
      <c r="K800">
        <v>0.03</v>
      </c>
      <c r="L800">
        <v>1</v>
      </c>
      <c r="M800">
        <v>1</v>
      </c>
      <c r="N800">
        <v>1</v>
      </c>
      <c r="O800">
        <v>100</v>
      </c>
      <c r="P800" t="b">
        <f t="shared" si="12"/>
        <v>0</v>
      </c>
    </row>
    <row r="801" spans="1:16" x14ac:dyDescent="0.2">
      <c r="A801" t="s">
        <v>127</v>
      </c>
      <c r="B801" t="s">
        <v>128</v>
      </c>
      <c r="C801">
        <v>821</v>
      </c>
      <c r="D801">
        <v>31619</v>
      </c>
      <c r="E801" t="s">
        <v>1140</v>
      </c>
      <c r="F801" t="s">
        <v>37</v>
      </c>
      <c r="G801" t="s">
        <v>452</v>
      </c>
      <c r="H801" t="s">
        <v>5</v>
      </c>
      <c r="I801" t="s">
        <v>91</v>
      </c>
      <c r="J801">
        <v>56</v>
      </c>
      <c r="K801">
        <v>0.03</v>
      </c>
      <c r="L801">
        <v>1</v>
      </c>
      <c r="M801">
        <v>1</v>
      </c>
      <c r="N801">
        <v>1</v>
      </c>
      <c r="O801">
        <v>100</v>
      </c>
      <c r="P801" t="b">
        <f t="shared" si="12"/>
        <v>0</v>
      </c>
    </row>
    <row r="802" spans="1:16" x14ac:dyDescent="0.2">
      <c r="A802" t="s">
        <v>127</v>
      </c>
      <c r="B802" t="s">
        <v>128</v>
      </c>
      <c r="C802">
        <v>822</v>
      </c>
      <c r="D802">
        <v>130635</v>
      </c>
      <c r="E802" t="s">
        <v>568</v>
      </c>
      <c r="F802" t="s">
        <v>65</v>
      </c>
      <c r="G802" t="s">
        <v>10</v>
      </c>
      <c r="H802" t="s">
        <v>5</v>
      </c>
      <c r="I802" t="s">
        <v>95</v>
      </c>
      <c r="J802">
        <v>95</v>
      </c>
      <c r="K802">
        <v>0.03</v>
      </c>
      <c r="L802">
        <v>1</v>
      </c>
      <c r="M802">
        <v>1</v>
      </c>
      <c r="N802">
        <v>1</v>
      </c>
      <c r="O802">
        <v>100</v>
      </c>
      <c r="P802" t="b">
        <f t="shared" si="12"/>
        <v>0</v>
      </c>
    </row>
    <row r="803" spans="1:16" x14ac:dyDescent="0.2">
      <c r="A803" t="s">
        <v>127</v>
      </c>
      <c r="B803" t="s">
        <v>128</v>
      </c>
      <c r="C803">
        <v>823</v>
      </c>
      <c r="D803">
        <v>31830</v>
      </c>
      <c r="E803" t="s">
        <v>1105</v>
      </c>
      <c r="F803" t="s">
        <v>37</v>
      </c>
      <c r="G803" t="s">
        <v>452</v>
      </c>
      <c r="H803" t="s">
        <v>5</v>
      </c>
      <c r="I803" t="s">
        <v>91</v>
      </c>
      <c r="J803">
        <v>57</v>
      </c>
      <c r="K803">
        <v>0.03</v>
      </c>
      <c r="L803">
        <v>1</v>
      </c>
      <c r="M803">
        <v>1</v>
      </c>
      <c r="N803">
        <v>1</v>
      </c>
      <c r="O803">
        <v>100</v>
      </c>
      <c r="P803" t="b">
        <f t="shared" si="12"/>
        <v>0</v>
      </c>
    </row>
    <row r="804" spans="1:16" x14ac:dyDescent="0.2">
      <c r="A804" t="s">
        <v>127</v>
      </c>
      <c r="B804" t="s">
        <v>128</v>
      </c>
      <c r="C804">
        <v>824</v>
      </c>
      <c r="D804">
        <v>136177</v>
      </c>
      <c r="E804" t="s">
        <v>332</v>
      </c>
      <c r="F804" t="s">
        <v>68</v>
      </c>
      <c r="G804" t="s">
        <v>10</v>
      </c>
      <c r="H804" t="s">
        <v>5</v>
      </c>
      <c r="I804" t="s">
        <v>95</v>
      </c>
      <c r="J804">
        <v>61</v>
      </c>
      <c r="K804">
        <v>0.03</v>
      </c>
      <c r="L804">
        <v>1</v>
      </c>
      <c r="M804">
        <v>1</v>
      </c>
      <c r="N804">
        <v>1</v>
      </c>
      <c r="O804">
        <v>100</v>
      </c>
      <c r="P804" t="b">
        <f t="shared" si="12"/>
        <v>0</v>
      </c>
    </row>
    <row r="805" spans="1:16" x14ac:dyDescent="0.2">
      <c r="A805" t="s">
        <v>127</v>
      </c>
      <c r="B805" t="s">
        <v>128</v>
      </c>
      <c r="C805">
        <v>825</v>
      </c>
      <c r="D805">
        <v>31767</v>
      </c>
      <c r="E805" t="s">
        <v>1115</v>
      </c>
      <c r="F805" t="s">
        <v>37</v>
      </c>
      <c r="G805" t="s">
        <v>452</v>
      </c>
      <c r="H805" t="s">
        <v>5</v>
      </c>
      <c r="I805" t="s">
        <v>91</v>
      </c>
      <c r="J805">
        <v>58</v>
      </c>
      <c r="K805">
        <v>0.03</v>
      </c>
      <c r="L805">
        <v>1</v>
      </c>
      <c r="M805">
        <v>1</v>
      </c>
      <c r="N805">
        <v>1</v>
      </c>
      <c r="O805">
        <v>100</v>
      </c>
      <c r="P805" t="b">
        <f t="shared" si="12"/>
        <v>0</v>
      </c>
    </row>
    <row r="806" spans="1:16" x14ac:dyDescent="0.2">
      <c r="A806" t="s">
        <v>127</v>
      </c>
      <c r="B806" t="s">
        <v>128</v>
      </c>
      <c r="C806">
        <v>826</v>
      </c>
      <c r="D806">
        <v>130599</v>
      </c>
      <c r="E806" t="s">
        <v>569</v>
      </c>
      <c r="F806" t="s">
        <v>65</v>
      </c>
      <c r="G806" t="s">
        <v>10</v>
      </c>
      <c r="H806" t="s">
        <v>5</v>
      </c>
      <c r="I806" t="s">
        <v>91</v>
      </c>
      <c r="J806">
        <v>95</v>
      </c>
      <c r="K806">
        <v>0.03</v>
      </c>
      <c r="L806">
        <v>1</v>
      </c>
      <c r="M806">
        <v>1</v>
      </c>
      <c r="N806">
        <v>1</v>
      </c>
      <c r="O806">
        <v>100</v>
      </c>
      <c r="P806" t="b">
        <f t="shared" si="12"/>
        <v>0</v>
      </c>
    </row>
    <row r="807" spans="1:16" x14ac:dyDescent="0.2">
      <c r="A807" t="s">
        <v>127</v>
      </c>
      <c r="B807" t="s">
        <v>128</v>
      </c>
      <c r="C807">
        <v>827</v>
      </c>
      <c r="D807">
        <v>31768</v>
      </c>
      <c r="E807" t="s">
        <v>324</v>
      </c>
      <c r="F807" t="s">
        <v>37</v>
      </c>
      <c r="G807" t="s">
        <v>452</v>
      </c>
      <c r="H807" t="s">
        <v>5</v>
      </c>
      <c r="I807" t="s">
        <v>91</v>
      </c>
      <c r="J807">
        <v>59</v>
      </c>
      <c r="K807">
        <v>0.03</v>
      </c>
      <c r="L807">
        <v>1</v>
      </c>
      <c r="M807">
        <v>1</v>
      </c>
      <c r="N807">
        <v>1</v>
      </c>
      <c r="O807">
        <v>100</v>
      </c>
      <c r="P807" t="b">
        <f t="shared" si="12"/>
        <v>0</v>
      </c>
    </row>
    <row r="808" spans="1:16" x14ac:dyDescent="0.2">
      <c r="A808" t="s">
        <v>127</v>
      </c>
      <c r="B808" t="s">
        <v>128</v>
      </c>
      <c r="C808">
        <v>828</v>
      </c>
      <c r="D808">
        <v>130997</v>
      </c>
      <c r="E808" t="s">
        <v>506</v>
      </c>
      <c r="F808" t="s">
        <v>65</v>
      </c>
      <c r="G808" t="s">
        <v>10</v>
      </c>
      <c r="H808" t="s">
        <v>5</v>
      </c>
      <c r="I808" t="s">
        <v>91</v>
      </c>
      <c r="J808">
        <v>97</v>
      </c>
      <c r="K808">
        <v>0.03</v>
      </c>
      <c r="L808">
        <v>1</v>
      </c>
      <c r="M808">
        <v>1</v>
      </c>
      <c r="N808">
        <v>1</v>
      </c>
      <c r="O808">
        <v>100</v>
      </c>
      <c r="P808" t="b">
        <f t="shared" si="12"/>
        <v>0</v>
      </c>
    </row>
    <row r="809" spans="1:16" x14ac:dyDescent="0.2">
      <c r="A809" t="s">
        <v>127</v>
      </c>
      <c r="B809" t="s">
        <v>128</v>
      </c>
      <c r="C809">
        <v>829</v>
      </c>
      <c r="D809">
        <v>31712</v>
      </c>
      <c r="E809" t="s">
        <v>1122</v>
      </c>
      <c r="F809" t="s">
        <v>37</v>
      </c>
      <c r="G809" t="s">
        <v>452</v>
      </c>
      <c r="H809" t="s">
        <v>5</v>
      </c>
      <c r="I809" t="s">
        <v>91</v>
      </c>
      <c r="J809">
        <v>60</v>
      </c>
      <c r="K809">
        <v>0.03</v>
      </c>
      <c r="L809">
        <v>1</v>
      </c>
      <c r="M809">
        <v>1</v>
      </c>
      <c r="N809">
        <v>1</v>
      </c>
      <c r="O809">
        <v>100</v>
      </c>
      <c r="P809" t="b">
        <f t="shared" si="12"/>
        <v>0</v>
      </c>
    </row>
    <row r="810" spans="1:16" x14ac:dyDescent="0.2">
      <c r="A810" t="s">
        <v>127</v>
      </c>
      <c r="B810" t="s">
        <v>128</v>
      </c>
      <c r="C810">
        <v>830</v>
      </c>
      <c r="D810">
        <v>136173</v>
      </c>
      <c r="E810" t="s">
        <v>335</v>
      </c>
      <c r="F810" t="s">
        <v>68</v>
      </c>
      <c r="G810" t="s">
        <v>10</v>
      </c>
      <c r="H810" t="s">
        <v>5</v>
      </c>
      <c r="I810" t="s">
        <v>95</v>
      </c>
      <c r="J810">
        <v>62</v>
      </c>
      <c r="K810">
        <v>0.03</v>
      </c>
      <c r="L810">
        <v>1</v>
      </c>
      <c r="M810">
        <v>1</v>
      </c>
      <c r="N810">
        <v>1</v>
      </c>
      <c r="O810">
        <v>100</v>
      </c>
      <c r="P810" t="b">
        <f t="shared" si="12"/>
        <v>0</v>
      </c>
    </row>
    <row r="811" spans="1:16" x14ac:dyDescent="0.2">
      <c r="A811" t="s">
        <v>127</v>
      </c>
      <c r="B811" t="s">
        <v>128</v>
      </c>
      <c r="C811">
        <v>831</v>
      </c>
      <c r="D811">
        <v>31769</v>
      </c>
      <c r="E811" t="s">
        <v>328</v>
      </c>
      <c r="F811" t="s">
        <v>37</v>
      </c>
      <c r="G811" t="s">
        <v>452</v>
      </c>
      <c r="H811" t="s">
        <v>5</v>
      </c>
      <c r="I811" t="s">
        <v>91</v>
      </c>
      <c r="J811">
        <v>61</v>
      </c>
      <c r="K811">
        <v>0.03</v>
      </c>
      <c r="L811">
        <v>1</v>
      </c>
      <c r="M811">
        <v>1</v>
      </c>
      <c r="N811">
        <v>1</v>
      </c>
      <c r="O811">
        <v>100</v>
      </c>
      <c r="P811" t="b">
        <f t="shared" si="12"/>
        <v>0</v>
      </c>
    </row>
    <row r="812" spans="1:16" x14ac:dyDescent="0.2">
      <c r="A812" t="s">
        <v>127</v>
      </c>
      <c r="B812" t="s">
        <v>128</v>
      </c>
      <c r="C812">
        <v>832</v>
      </c>
      <c r="D812">
        <v>130870</v>
      </c>
      <c r="E812" t="s">
        <v>526</v>
      </c>
      <c r="F812" t="s">
        <v>65</v>
      </c>
      <c r="G812" t="s">
        <v>10</v>
      </c>
      <c r="H812" t="s">
        <v>5</v>
      </c>
      <c r="I812" t="s">
        <v>91</v>
      </c>
      <c r="J812">
        <v>98</v>
      </c>
      <c r="K812">
        <v>0.03</v>
      </c>
      <c r="L812">
        <v>1</v>
      </c>
      <c r="M812">
        <v>1</v>
      </c>
      <c r="N812">
        <v>1</v>
      </c>
      <c r="O812">
        <v>100</v>
      </c>
      <c r="P812" t="b">
        <f t="shared" si="12"/>
        <v>0</v>
      </c>
    </row>
    <row r="813" spans="1:16" x14ac:dyDescent="0.2">
      <c r="A813" t="s">
        <v>127</v>
      </c>
      <c r="B813" t="s">
        <v>128</v>
      </c>
      <c r="C813">
        <v>833</v>
      </c>
      <c r="D813">
        <v>31842</v>
      </c>
      <c r="E813" t="s">
        <v>330</v>
      </c>
      <c r="F813" t="s">
        <v>37</v>
      </c>
      <c r="G813" t="s">
        <v>452</v>
      </c>
      <c r="H813" t="s">
        <v>5</v>
      </c>
      <c r="I813" t="s">
        <v>91</v>
      </c>
      <c r="J813">
        <v>62</v>
      </c>
      <c r="K813">
        <v>0.03</v>
      </c>
      <c r="L813">
        <v>1</v>
      </c>
      <c r="M813">
        <v>1</v>
      </c>
      <c r="N813">
        <v>1</v>
      </c>
      <c r="O813">
        <v>100</v>
      </c>
      <c r="P813" t="b">
        <f t="shared" si="12"/>
        <v>0</v>
      </c>
    </row>
    <row r="814" spans="1:16" x14ac:dyDescent="0.2">
      <c r="A814" t="s">
        <v>127</v>
      </c>
      <c r="B814" t="s">
        <v>128</v>
      </c>
      <c r="C814">
        <v>834</v>
      </c>
      <c r="D814">
        <v>135956</v>
      </c>
      <c r="E814" t="s">
        <v>337</v>
      </c>
      <c r="F814" t="s">
        <v>68</v>
      </c>
      <c r="G814" t="s">
        <v>10</v>
      </c>
      <c r="H814" t="s">
        <v>5</v>
      </c>
      <c r="I814" t="s">
        <v>95</v>
      </c>
      <c r="J814">
        <v>63</v>
      </c>
      <c r="K814">
        <v>0.05</v>
      </c>
      <c r="L814">
        <v>3</v>
      </c>
      <c r="M814">
        <v>1</v>
      </c>
      <c r="N814">
        <v>1</v>
      </c>
      <c r="O814">
        <v>100</v>
      </c>
      <c r="P814" t="b">
        <f t="shared" si="12"/>
        <v>0</v>
      </c>
    </row>
    <row r="815" spans="1:16" x14ac:dyDescent="0.2">
      <c r="A815" t="s">
        <v>127</v>
      </c>
      <c r="B815" t="s">
        <v>128</v>
      </c>
      <c r="C815">
        <v>835</v>
      </c>
      <c r="D815">
        <v>31825</v>
      </c>
      <c r="E815" t="s">
        <v>183</v>
      </c>
      <c r="F815" t="s">
        <v>37</v>
      </c>
      <c r="G815" t="s">
        <v>452</v>
      </c>
      <c r="H815" t="s">
        <v>5</v>
      </c>
      <c r="I815" t="s">
        <v>91</v>
      </c>
      <c r="J815">
        <v>63</v>
      </c>
      <c r="K815">
        <v>0.03</v>
      </c>
      <c r="L815">
        <v>1</v>
      </c>
      <c r="M815">
        <v>1</v>
      </c>
      <c r="N815">
        <v>1</v>
      </c>
      <c r="O815">
        <v>100</v>
      </c>
      <c r="P815" t="b">
        <f t="shared" si="12"/>
        <v>0</v>
      </c>
    </row>
    <row r="816" spans="1:16" x14ac:dyDescent="0.2">
      <c r="A816" t="s">
        <v>127</v>
      </c>
      <c r="B816" t="s">
        <v>128</v>
      </c>
      <c r="C816">
        <v>836</v>
      </c>
      <c r="D816">
        <v>130447</v>
      </c>
      <c r="E816" t="s">
        <v>603</v>
      </c>
      <c r="F816" t="s">
        <v>65</v>
      </c>
      <c r="G816" t="s">
        <v>10</v>
      </c>
      <c r="H816" t="s">
        <v>5</v>
      </c>
      <c r="I816" t="s">
        <v>91</v>
      </c>
      <c r="J816">
        <v>99</v>
      </c>
      <c r="K816">
        <v>0.03</v>
      </c>
      <c r="L816">
        <v>1</v>
      </c>
      <c r="M816">
        <v>1</v>
      </c>
      <c r="N816">
        <v>1</v>
      </c>
      <c r="O816">
        <v>100</v>
      </c>
      <c r="P816" t="b">
        <f t="shared" si="12"/>
        <v>0</v>
      </c>
    </row>
    <row r="817" spans="1:16" x14ac:dyDescent="0.2">
      <c r="A817" t="s">
        <v>127</v>
      </c>
      <c r="B817" t="s">
        <v>128</v>
      </c>
      <c r="C817">
        <v>837</v>
      </c>
      <c r="D817">
        <v>31824</v>
      </c>
      <c r="E817" t="s">
        <v>1107</v>
      </c>
      <c r="F817" t="s">
        <v>37</v>
      </c>
      <c r="G817" t="s">
        <v>452</v>
      </c>
      <c r="H817" t="s">
        <v>5</v>
      </c>
      <c r="I817" t="s">
        <v>91</v>
      </c>
      <c r="J817">
        <v>64</v>
      </c>
      <c r="K817">
        <v>0.03</v>
      </c>
      <c r="L817">
        <v>1</v>
      </c>
      <c r="M817">
        <v>1</v>
      </c>
      <c r="N817">
        <v>1</v>
      </c>
      <c r="O817">
        <v>100</v>
      </c>
      <c r="P817" t="b">
        <f t="shared" si="12"/>
        <v>0</v>
      </c>
    </row>
    <row r="818" spans="1:16" x14ac:dyDescent="0.2">
      <c r="A818" t="s">
        <v>127</v>
      </c>
      <c r="B818" t="s">
        <v>128</v>
      </c>
      <c r="C818">
        <v>838</v>
      </c>
      <c r="D818">
        <v>130916</v>
      </c>
      <c r="E818" t="s">
        <v>357</v>
      </c>
      <c r="F818" t="s">
        <v>65</v>
      </c>
      <c r="G818" t="s">
        <v>10</v>
      </c>
      <c r="H818" t="s">
        <v>5</v>
      </c>
      <c r="I818" t="s">
        <v>91</v>
      </c>
      <c r="J818">
        <v>101</v>
      </c>
      <c r="K818">
        <v>0.03</v>
      </c>
      <c r="L818">
        <v>1</v>
      </c>
      <c r="M818">
        <v>1</v>
      </c>
      <c r="N818">
        <v>1</v>
      </c>
      <c r="O818">
        <v>100</v>
      </c>
      <c r="P818" t="b">
        <f t="shared" si="12"/>
        <v>0</v>
      </c>
    </row>
    <row r="819" spans="1:16" x14ac:dyDescent="0.2">
      <c r="A819" t="s">
        <v>127</v>
      </c>
      <c r="B819" t="s">
        <v>128</v>
      </c>
      <c r="C819">
        <v>839</v>
      </c>
      <c r="D819">
        <v>31760</v>
      </c>
      <c r="E819" t="s">
        <v>333</v>
      </c>
      <c r="F819" t="s">
        <v>37</v>
      </c>
      <c r="G819" t="s">
        <v>452</v>
      </c>
      <c r="H819" t="s">
        <v>5</v>
      </c>
      <c r="I819" t="s">
        <v>91</v>
      </c>
      <c r="J819">
        <v>65</v>
      </c>
      <c r="K819">
        <v>0.03</v>
      </c>
      <c r="L819">
        <v>1</v>
      </c>
      <c r="M819">
        <v>1</v>
      </c>
      <c r="N819">
        <v>1</v>
      </c>
      <c r="O819">
        <v>100</v>
      </c>
      <c r="P819" t="b">
        <f t="shared" si="12"/>
        <v>0</v>
      </c>
    </row>
    <row r="820" spans="1:16" x14ac:dyDescent="0.2">
      <c r="A820" t="s">
        <v>127</v>
      </c>
      <c r="B820" t="s">
        <v>128</v>
      </c>
      <c r="C820">
        <v>840</v>
      </c>
      <c r="D820">
        <v>132736</v>
      </c>
      <c r="E820" t="s">
        <v>474</v>
      </c>
      <c r="F820" t="s">
        <v>68</v>
      </c>
      <c r="G820" t="s">
        <v>10</v>
      </c>
      <c r="H820" t="s">
        <v>5</v>
      </c>
      <c r="I820" t="s">
        <v>95</v>
      </c>
      <c r="J820">
        <v>64</v>
      </c>
      <c r="K820">
        <v>0.03</v>
      </c>
      <c r="L820">
        <v>1</v>
      </c>
      <c r="M820">
        <v>1</v>
      </c>
      <c r="N820">
        <v>1</v>
      </c>
      <c r="O820">
        <v>100</v>
      </c>
      <c r="P820" t="b">
        <f t="shared" si="12"/>
        <v>0</v>
      </c>
    </row>
    <row r="821" spans="1:16" x14ac:dyDescent="0.2">
      <c r="A821" t="s">
        <v>127</v>
      </c>
      <c r="B821" t="s">
        <v>128</v>
      </c>
      <c r="C821">
        <v>841</v>
      </c>
      <c r="D821">
        <v>32027</v>
      </c>
      <c r="E821" t="s">
        <v>1061</v>
      </c>
      <c r="F821" t="s">
        <v>37</v>
      </c>
      <c r="G821" t="s">
        <v>452</v>
      </c>
      <c r="H821" t="s">
        <v>5</v>
      </c>
      <c r="I821" t="s">
        <v>91</v>
      </c>
      <c r="J821">
        <v>66</v>
      </c>
      <c r="K821">
        <v>0.03</v>
      </c>
      <c r="L821">
        <v>1</v>
      </c>
      <c r="M821">
        <v>1</v>
      </c>
      <c r="N821">
        <v>1</v>
      </c>
      <c r="O821">
        <v>100</v>
      </c>
      <c r="P821" t="b">
        <f t="shared" si="12"/>
        <v>0</v>
      </c>
    </row>
    <row r="822" spans="1:16" x14ac:dyDescent="0.2">
      <c r="A822" t="s">
        <v>127</v>
      </c>
      <c r="B822" t="s">
        <v>128</v>
      </c>
      <c r="C822">
        <v>842</v>
      </c>
      <c r="D822">
        <v>130935</v>
      </c>
      <c r="E822" t="s">
        <v>517</v>
      </c>
      <c r="F822" t="s">
        <v>65</v>
      </c>
      <c r="G822" t="s">
        <v>10</v>
      </c>
      <c r="H822" t="s">
        <v>5</v>
      </c>
      <c r="I822" t="s">
        <v>91</v>
      </c>
      <c r="J822">
        <v>102</v>
      </c>
      <c r="K822">
        <v>0.03</v>
      </c>
      <c r="L822">
        <v>1</v>
      </c>
      <c r="M822">
        <v>1</v>
      </c>
      <c r="N822">
        <v>1</v>
      </c>
      <c r="O822">
        <v>100</v>
      </c>
      <c r="P822" t="b">
        <f t="shared" si="12"/>
        <v>0</v>
      </c>
    </row>
    <row r="823" spans="1:16" x14ac:dyDescent="0.2">
      <c r="A823" t="s">
        <v>127</v>
      </c>
      <c r="B823" t="s">
        <v>128</v>
      </c>
      <c r="C823">
        <v>843</v>
      </c>
      <c r="D823">
        <v>32254</v>
      </c>
      <c r="E823" t="s">
        <v>1035</v>
      </c>
      <c r="F823" t="s">
        <v>37</v>
      </c>
      <c r="G823" t="s">
        <v>452</v>
      </c>
      <c r="H823" t="s">
        <v>5</v>
      </c>
      <c r="I823" t="s">
        <v>91</v>
      </c>
      <c r="J823">
        <v>68</v>
      </c>
      <c r="K823">
        <v>0.03</v>
      </c>
      <c r="L823">
        <v>1</v>
      </c>
      <c r="M823">
        <v>1</v>
      </c>
      <c r="N823">
        <v>1</v>
      </c>
      <c r="O823">
        <v>100</v>
      </c>
      <c r="P823" t="b">
        <f t="shared" si="12"/>
        <v>0</v>
      </c>
    </row>
    <row r="824" spans="1:16" x14ac:dyDescent="0.2">
      <c r="A824" t="s">
        <v>127</v>
      </c>
      <c r="B824" t="s">
        <v>128</v>
      </c>
      <c r="C824">
        <v>844</v>
      </c>
      <c r="D824">
        <v>130844</v>
      </c>
      <c r="E824" t="s">
        <v>529</v>
      </c>
      <c r="F824" t="s">
        <v>65</v>
      </c>
      <c r="G824" t="s">
        <v>10</v>
      </c>
      <c r="H824" t="s">
        <v>5</v>
      </c>
      <c r="I824" t="s">
        <v>97</v>
      </c>
      <c r="J824">
        <v>105</v>
      </c>
      <c r="K824">
        <v>0.03</v>
      </c>
      <c r="L824">
        <v>1</v>
      </c>
      <c r="M824">
        <v>1</v>
      </c>
      <c r="N824">
        <v>1</v>
      </c>
      <c r="O824">
        <v>100</v>
      </c>
      <c r="P824" t="b">
        <f t="shared" si="12"/>
        <v>0</v>
      </c>
    </row>
    <row r="825" spans="1:16" x14ac:dyDescent="0.2">
      <c r="A825" t="s">
        <v>127</v>
      </c>
      <c r="B825" t="s">
        <v>128</v>
      </c>
      <c r="C825">
        <v>845</v>
      </c>
      <c r="D825">
        <v>136610</v>
      </c>
      <c r="E825" t="s">
        <v>358</v>
      </c>
      <c r="F825" t="s">
        <v>65</v>
      </c>
      <c r="G825" t="s">
        <v>10</v>
      </c>
      <c r="H825" t="s">
        <v>5</v>
      </c>
      <c r="I825" t="s">
        <v>93</v>
      </c>
      <c r="J825">
        <v>113</v>
      </c>
      <c r="K825">
        <v>6</v>
      </c>
      <c r="L825">
        <v>3</v>
      </c>
      <c r="M825">
        <v>1</v>
      </c>
      <c r="N825">
        <v>2</v>
      </c>
      <c r="O825">
        <v>1</v>
      </c>
      <c r="P825" t="b">
        <f t="shared" si="12"/>
        <v>0</v>
      </c>
    </row>
    <row r="826" spans="1:16" x14ac:dyDescent="0.2">
      <c r="A826" t="s">
        <v>127</v>
      </c>
      <c r="B826" t="s">
        <v>128</v>
      </c>
      <c r="C826">
        <v>846</v>
      </c>
      <c r="D826">
        <v>136346</v>
      </c>
      <c r="E826" t="s">
        <v>460</v>
      </c>
      <c r="F826" t="s">
        <v>65</v>
      </c>
      <c r="G826" t="s">
        <v>10</v>
      </c>
      <c r="H826" t="s">
        <v>5</v>
      </c>
      <c r="I826" t="s">
        <v>91</v>
      </c>
      <c r="J826">
        <v>115</v>
      </c>
      <c r="K826">
        <v>0.03</v>
      </c>
      <c r="L826">
        <v>1</v>
      </c>
      <c r="M826">
        <v>1</v>
      </c>
      <c r="N826">
        <v>1</v>
      </c>
      <c r="O826">
        <v>100</v>
      </c>
      <c r="P826" t="b">
        <f t="shared" si="12"/>
        <v>0</v>
      </c>
    </row>
    <row r="827" spans="1:16" x14ac:dyDescent="0.2">
      <c r="A827" t="s">
        <v>127</v>
      </c>
      <c r="B827" t="s">
        <v>128</v>
      </c>
      <c r="C827">
        <v>847</v>
      </c>
      <c r="D827">
        <v>135524</v>
      </c>
      <c r="E827" t="s">
        <v>463</v>
      </c>
      <c r="F827" t="s">
        <v>65</v>
      </c>
      <c r="G827" t="s">
        <v>10</v>
      </c>
      <c r="H827" t="s">
        <v>5</v>
      </c>
      <c r="I827" t="s">
        <v>91</v>
      </c>
      <c r="J827">
        <v>116</v>
      </c>
      <c r="K827">
        <v>0.03</v>
      </c>
      <c r="L827">
        <v>1</v>
      </c>
      <c r="M827">
        <v>1</v>
      </c>
      <c r="N827">
        <v>1</v>
      </c>
      <c r="O827">
        <v>100</v>
      </c>
      <c r="P827" t="b">
        <f t="shared" si="12"/>
        <v>0</v>
      </c>
    </row>
    <row r="828" spans="1:16" x14ac:dyDescent="0.2">
      <c r="A828" t="s">
        <v>127</v>
      </c>
      <c r="B828" t="s">
        <v>128</v>
      </c>
      <c r="C828">
        <v>848</v>
      </c>
      <c r="D828">
        <v>135345</v>
      </c>
      <c r="E828" t="s">
        <v>464</v>
      </c>
      <c r="F828" t="s">
        <v>65</v>
      </c>
      <c r="G828" t="s">
        <v>10</v>
      </c>
      <c r="H828" t="s">
        <v>5</v>
      </c>
      <c r="I828" t="s">
        <v>91</v>
      </c>
      <c r="J828">
        <v>117</v>
      </c>
      <c r="K828">
        <v>0.03</v>
      </c>
      <c r="L828">
        <v>1</v>
      </c>
      <c r="M828">
        <v>1</v>
      </c>
      <c r="N828">
        <v>1</v>
      </c>
      <c r="O828">
        <v>100</v>
      </c>
      <c r="P828" t="b">
        <f t="shared" si="12"/>
        <v>0</v>
      </c>
    </row>
    <row r="829" spans="1:16" x14ac:dyDescent="0.2">
      <c r="A829" t="s">
        <v>127</v>
      </c>
      <c r="B829" t="s">
        <v>128</v>
      </c>
      <c r="C829">
        <v>849</v>
      </c>
      <c r="D829">
        <v>135097</v>
      </c>
      <c r="E829" t="s">
        <v>466</v>
      </c>
      <c r="F829" t="s">
        <v>65</v>
      </c>
      <c r="G829" t="s">
        <v>10</v>
      </c>
      <c r="H829" t="s">
        <v>5</v>
      </c>
      <c r="I829" t="s">
        <v>91</v>
      </c>
      <c r="J829">
        <v>118</v>
      </c>
      <c r="K829">
        <v>0.03</v>
      </c>
      <c r="L829">
        <v>1</v>
      </c>
      <c r="M829">
        <v>1</v>
      </c>
      <c r="N829">
        <v>1</v>
      </c>
      <c r="O829">
        <v>100</v>
      </c>
      <c r="P829" t="b">
        <f t="shared" si="12"/>
        <v>0</v>
      </c>
    </row>
    <row r="830" spans="1:16" x14ac:dyDescent="0.2">
      <c r="A830" t="s">
        <v>127</v>
      </c>
      <c r="B830" t="s">
        <v>128</v>
      </c>
      <c r="C830">
        <v>850</v>
      </c>
      <c r="D830">
        <v>134746</v>
      </c>
      <c r="E830" t="s">
        <v>359</v>
      </c>
      <c r="F830" t="s">
        <v>65</v>
      </c>
      <c r="G830" t="s">
        <v>10</v>
      </c>
      <c r="H830" t="s">
        <v>5</v>
      </c>
      <c r="I830" t="s">
        <v>91</v>
      </c>
      <c r="J830">
        <v>119</v>
      </c>
      <c r="K830">
        <v>0.03</v>
      </c>
      <c r="L830">
        <v>1</v>
      </c>
      <c r="M830">
        <v>1</v>
      </c>
      <c r="N830">
        <v>1</v>
      </c>
      <c r="O830">
        <v>100</v>
      </c>
      <c r="P830" t="b">
        <f t="shared" si="12"/>
        <v>0</v>
      </c>
    </row>
    <row r="831" spans="1:16" x14ac:dyDescent="0.2">
      <c r="A831" t="s">
        <v>127</v>
      </c>
      <c r="B831" t="s">
        <v>128</v>
      </c>
      <c r="C831">
        <v>851</v>
      </c>
      <c r="D831">
        <v>134614</v>
      </c>
      <c r="E831" t="s">
        <v>360</v>
      </c>
      <c r="F831" t="s">
        <v>65</v>
      </c>
      <c r="G831" t="s">
        <v>10</v>
      </c>
      <c r="H831" t="s">
        <v>5</v>
      </c>
      <c r="I831" t="s">
        <v>91</v>
      </c>
      <c r="J831">
        <v>120</v>
      </c>
      <c r="K831">
        <v>0.03</v>
      </c>
      <c r="L831">
        <v>1</v>
      </c>
      <c r="M831">
        <v>1</v>
      </c>
      <c r="N831">
        <v>1</v>
      </c>
      <c r="O831">
        <v>100</v>
      </c>
      <c r="P831" t="b">
        <f t="shared" si="12"/>
        <v>0</v>
      </c>
    </row>
    <row r="832" spans="1:16" x14ac:dyDescent="0.2">
      <c r="A832" t="s">
        <v>127</v>
      </c>
      <c r="B832" t="s">
        <v>128</v>
      </c>
      <c r="C832">
        <v>852</v>
      </c>
      <c r="D832">
        <v>134613</v>
      </c>
      <c r="E832" t="s">
        <v>469</v>
      </c>
      <c r="F832" t="s">
        <v>65</v>
      </c>
      <c r="G832" t="s">
        <v>10</v>
      </c>
      <c r="H832" t="s">
        <v>5</v>
      </c>
      <c r="I832" t="s">
        <v>91</v>
      </c>
      <c r="J832">
        <v>121</v>
      </c>
      <c r="K832">
        <v>0.03</v>
      </c>
      <c r="L832">
        <v>1</v>
      </c>
      <c r="M832">
        <v>1</v>
      </c>
      <c r="N832">
        <v>1</v>
      </c>
      <c r="O832">
        <v>100</v>
      </c>
      <c r="P832" t="b">
        <f t="shared" si="12"/>
        <v>0</v>
      </c>
    </row>
    <row r="833" spans="1:16" x14ac:dyDescent="0.2">
      <c r="A833" t="s">
        <v>127</v>
      </c>
      <c r="B833" t="s">
        <v>128</v>
      </c>
      <c r="C833">
        <v>853</v>
      </c>
      <c r="D833">
        <v>134602</v>
      </c>
      <c r="E833" t="s">
        <v>470</v>
      </c>
      <c r="F833" t="s">
        <v>65</v>
      </c>
      <c r="G833" t="s">
        <v>10</v>
      </c>
      <c r="H833" t="s">
        <v>5</v>
      </c>
      <c r="I833" t="s">
        <v>91</v>
      </c>
      <c r="J833">
        <v>122</v>
      </c>
      <c r="K833">
        <v>0.03</v>
      </c>
      <c r="L833">
        <v>1</v>
      </c>
      <c r="M833">
        <v>1</v>
      </c>
      <c r="N833">
        <v>1</v>
      </c>
      <c r="O833">
        <v>100</v>
      </c>
      <c r="P833" t="b">
        <f t="shared" si="12"/>
        <v>0</v>
      </c>
    </row>
    <row r="834" spans="1:16" x14ac:dyDescent="0.2">
      <c r="A834" t="s">
        <v>127</v>
      </c>
      <c r="B834" t="s">
        <v>128</v>
      </c>
      <c r="C834">
        <v>854</v>
      </c>
      <c r="D834">
        <v>133992</v>
      </c>
      <c r="E834" t="s">
        <v>408</v>
      </c>
      <c r="F834" t="s">
        <v>65</v>
      </c>
      <c r="G834" t="s">
        <v>10</v>
      </c>
      <c r="H834" t="s">
        <v>5</v>
      </c>
      <c r="I834" t="s">
        <v>91</v>
      </c>
      <c r="J834">
        <v>123</v>
      </c>
      <c r="K834">
        <v>0.03</v>
      </c>
      <c r="L834">
        <v>1</v>
      </c>
      <c r="M834">
        <v>1</v>
      </c>
      <c r="N834">
        <v>1</v>
      </c>
      <c r="O834">
        <v>100</v>
      </c>
      <c r="P834" t="b">
        <f t="shared" si="12"/>
        <v>0</v>
      </c>
    </row>
    <row r="835" spans="1:16" x14ac:dyDescent="0.2">
      <c r="A835" t="s">
        <v>127</v>
      </c>
      <c r="B835" t="s">
        <v>128</v>
      </c>
      <c r="C835">
        <v>855</v>
      </c>
      <c r="D835">
        <v>133988</v>
      </c>
      <c r="E835" t="s">
        <v>472</v>
      </c>
      <c r="F835" t="s">
        <v>65</v>
      </c>
      <c r="G835" t="s">
        <v>10</v>
      </c>
      <c r="H835" t="s">
        <v>5</v>
      </c>
      <c r="I835" t="s">
        <v>91</v>
      </c>
      <c r="J835">
        <v>124</v>
      </c>
      <c r="K835">
        <v>0.03</v>
      </c>
      <c r="L835">
        <v>1</v>
      </c>
      <c r="M835">
        <v>1</v>
      </c>
      <c r="N835">
        <v>1</v>
      </c>
      <c r="O835">
        <v>100</v>
      </c>
      <c r="P835" t="b">
        <f t="shared" ref="P835:P898" si="13">AND(C835&lt;$Q$1,IF(ISBLANK(C835),0,C835)&gt;0)</f>
        <v>0</v>
      </c>
    </row>
    <row r="836" spans="1:16" x14ac:dyDescent="0.2">
      <c r="A836" t="s">
        <v>127</v>
      </c>
      <c r="B836" t="s">
        <v>128</v>
      </c>
      <c r="C836">
        <v>856</v>
      </c>
      <c r="D836">
        <v>133834</v>
      </c>
      <c r="E836" t="s">
        <v>473</v>
      </c>
      <c r="F836" t="s">
        <v>65</v>
      </c>
      <c r="G836" t="s">
        <v>10</v>
      </c>
      <c r="H836" t="s">
        <v>5</v>
      </c>
      <c r="I836" t="s">
        <v>93</v>
      </c>
      <c r="J836">
        <v>126</v>
      </c>
      <c r="K836">
        <v>0.03</v>
      </c>
      <c r="L836">
        <v>1</v>
      </c>
      <c r="M836">
        <v>1</v>
      </c>
      <c r="N836">
        <v>1</v>
      </c>
      <c r="O836">
        <v>100</v>
      </c>
      <c r="P836" t="b">
        <f t="shared" si="13"/>
        <v>0</v>
      </c>
    </row>
    <row r="837" spans="1:16" x14ac:dyDescent="0.2">
      <c r="A837" t="s">
        <v>127</v>
      </c>
      <c r="B837" t="s">
        <v>128</v>
      </c>
      <c r="C837">
        <v>857</v>
      </c>
      <c r="D837">
        <v>131162</v>
      </c>
      <c r="E837" t="s">
        <v>478</v>
      </c>
      <c r="F837" t="s">
        <v>65</v>
      </c>
      <c r="G837" t="s">
        <v>10</v>
      </c>
      <c r="H837" t="s">
        <v>5</v>
      </c>
      <c r="I837" t="s">
        <v>91</v>
      </c>
      <c r="J837">
        <v>127</v>
      </c>
      <c r="K837">
        <v>0.03</v>
      </c>
      <c r="L837">
        <v>1</v>
      </c>
      <c r="M837">
        <v>1</v>
      </c>
      <c r="N837">
        <v>1</v>
      </c>
      <c r="O837">
        <v>100</v>
      </c>
      <c r="P837" t="b">
        <f t="shared" si="13"/>
        <v>0</v>
      </c>
    </row>
    <row r="838" spans="1:16" x14ac:dyDescent="0.2">
      <c r="A838" t="s">
        <v>127</v>
      </c>
      <c r="B838" t="s">
        <v>128</v>
      </c>
      <c r="C838">
        <v>858</v>
      </c>
      <c r="D838">
        <v>131157</v>
      </c>
      <c r="E838" t="s">
        <v>361</v>
      </c>
      <c r="F838" t="s">
        <v>65</v>
      </c>
      <c r="G838" t="s">
        <v>10</v>
      </c>
      <c r="H838" t="s">
        <v>5</v>
      </c>
      <c r="I838" t="s">
        <v>91</v>
      </c>
      <c r="J838">
        <v>128</v>
      </c>
      <c r="K838">
        <v>0.03</v>
      </c>
      <c r="L838">
        <v>1</v>
      </c>
      <c r="M838">
        <v>1</v>
      </c>
      <c r="N838">
        <v>1</v>
      </c>
      <c r="O838">
        <v>100</v>
      </c>
      <c r="P838" t="b">
        <f t="shared" si="13"/>
        <v>0</v>
      </c>
    </row>
    <row r="839" spans="1:16" x14ac:dyDescent="0.2">
      <c r="A839" t="s">
        <v>127</v>
      </c>
      <c r="B839" t="s">
        <v>128</v>
      </c>
      <c r="C839">
        <v>859</v>
      </c>
      <c r="D839">
        <v>131132</v>
      </c>
      <c r="E839" t="s">
        <v>481</v>
      </c>
      <c r="F839" t="s">
        <v>65</v>
      </c>
      <c r="G839" t="s">
        <v>10</v>
      </c>
      <c r="H839" t="s">
        <v>5</v>
      </c>
      <c r="I839" t="s">
        <v>91</v>
      </c>
      <c r="J839">
        <v>129</v>
      </c>
      <c r="K839">
        <v>0.03</v>
      </c>
      <c r="L839">
        <v>1</v>
      </c>
      <c r="M839">
        <v>1</v>
      </c>
      <c r="N839">
        <v>1</v>
      </c>
      <c r="O839">
        <v>100</v>
      </c>
      <c r="P839" t="b">
        <f t="shared" si="13"/>
        <v>0</v>
      </c>
    </row>
    <row r="840" spans="1:16" x14ac:dyDescent="0.2">
      <c r="A840" t="s">
        <v>127</v>
      </c>
      <c r="B840" t="s">
        <v>128</v>
      </c>
      <c r="C840">
        <v>860</v>
      </c>
      <c r="D840">
        <v>131130</v>
      </c>
      <c r="E840" t="s">
        <v>362</v>
      </c>
      <c r="F840" t="s">
        <v>65</v>
      </c>
      <c r="G840" t="s">
        <v>10</v>
      </c>
      <c r="H840" t="s">
        <v>5</v>
      </c>
      <c r="I840" t="s">
        <v>91</v>
      </c>
      <c r="J840">
        <v>130</v>
      </c>
      <c r="K840">
        <v>0.03</v>
      </c>
      <c r="L840">
        <v>1</v>
      </c>
      <c r="M840">
        <v>1</v>
      </c>
      <c r="N840">
        <v>1</v>
      </c>
      <c r="O840">
        <v>100</v>
      </c>
      <c r="P840" t="b">
        <f t="shared" si="13"/>
        <v>0</v>
      </c>
    </row>
    <row r="841" spans="1:16" x14ac:dyDescent="0.2">
      <c r="A841" t="s">
        <v>127</v>
      </c>
      <c r="B841" t="s">
        <v>128</v>
      </c>
      <c r="C841">
        <v>861</v>
      </c>
      <c r="D841">
        <v>131128</v>
      </c>
      <c r="E841" t="s">
        <v>363</v>
      </c>
      <c r="F841" t="s">
        <v>65</v>
      </c>
      <c r="G841" t="s">
        <v>10</v>
      </c>
      <c r="H841" t="s">
        <v>5</v>
      </c>
      <c r="I841" t="s">
        <v>91</v>
      </c>
      <c r="J841">
        <v>131</v>
      </c>
      <c r="K841">
        <v>0.03</v>
      </c>
      <c r="L841">
        <v>1</v>
      </c>
      <c r="M841">
        <v>1</v>
      </c>
      <c r="N841">
        <v>1</v>
      </c>
      <c r="O841">
        <v>100</v>
      </c>
      <c r="P841" t="b">
        <f t="shared" si="13"/>
        <v>0</v>
      </c>
    </row>
    <row r="842" spans="1:16" x14ac:dyDescent="0.2">
      <c r="A842" t="s">
        <v>127</v>
      </c>
      <c r="B842" t="s">
        <v>128</v>
      </c>
      <c r="C842">
        <v>862</v>
      </c>
      <c r="D842">
        <v>131126</v>
      </c>
      <c r="E842" t="s">
        <v>482</v>
      </c>
      <c r="F842" t="s">
        <v>65</v>
      </c>
      <c r="G842" t="s">
        <v>10</v>
      </c>
      <c r="H842" t="s">
        <v>5</v>
      </c>
      <c r="I842" t="s">
        <v>91</v>
      </c>
      <c r="J842">
        <v>132</v>
      </c>
      <c r="K842">
        <v>0.03</v>
      </c>
      <c r="L842">
        <v>1</v>
      </c>
      <c r="M842">
        <v>1</v>
      </c>
      <c r="N842">
        <v>1</v>
      </c>
      <c r="O842">
        <v>100</v>
      </c>
      <c r="P842" t="b">
        <f t="shared" si="13"/>
        <v>0</v>
      </c>
    </row>
    <row r="843" spans="1:16" x14ac:dyDescent="0.2">
      <c r="A843" t="s">
        <v>127</v>
      </c>
      <c r="B843" t="s">
        <v>128</v>
      </c>
      <c r="C843">
        <v>863</v>
      </c>
      <c r="D843">
        <v>131124</v>
      </c>
      <c r="E843" t="s">
        <v>483</v>
      </c>
      <c r="F843" t="s">
        <v>65</v>
      </c>
      <c r="G843" t="s">
        <v>10</v>
      </c>
      <c r="H843" t="s">
        <v>5</v>
      </c>
      <c r="I843" t="s">
        <v>91</v>
      </c>
      <c r="J843">
        <v>133</v>
      </c>
      <c r="K843">
        <v>0.03</v>
      </c>
      <c r="L843">
        <v>1</v>
      </c>
      <c r="M843">
        <v>1</v>
      </c>
      <c r="N843">
        <v>1</v>
      </c>
      <c r="O843">
        <v>100</v>
      </c>
      <c r="P843" t="b">
        <f t="shared" si="13"/>
        <v>0</v>
      </c>
    </row>
    <row r="844" spans="1:16" x14ac:dyDescent="0.2">
      <c r="A844" t="s">
        <v>127</v>
      </c>
      <c r="B844" t="s">
        <v>128</v>
      </c>
      <c r="C844">
        <v>864</v>
      </c>
      <c r="D844">
        <v>129726</v>
      </c>
      <c r="E844" t="s">
        <v>709</v>
      </c>
      <c r="F844" t="s">
        <v>65</v>
      </c>
      <c r="G844" t="s">
        <v>10</v>
      </c>
      <c r="H844" t="s">
        <v>5</v>
      </c>
      <c r="I844" t="s">
        <v>97</v>
      </c>
      <c r="J844">
        <v>134</v>
      </c>
      <c r="K844">
        <v>0.03</v>
      </c>
      <c r="L844">
        <v>1</v>
      </c>
      <c r="M844">
        <v>1</v>
      </c>
      <c r="N844">
        <v>1</v>
      </c>
      <c r="O844">
        <v>100</v>
      </c>
      <c r="P844" t="b">
        <f t="shared" si="13"/>
        <v>0</v>
      </c>
    </row>
    <row r="845" spans="1:16" x14ac:dyDescent="0.2">
      <c r="A845" t="s">
        <v>127</v>
      </c>
      <c r="B845" t="s">
        <v>128</v>
      </c>
      <c r="C845">
        <v>865</v>
      </c>
      <c r="D845">
        <v>131122</v>
      </c>
      <c r="E845" t="s">
        <v>484</v>
      </c>
      <c r="F845" t="s">
        <v>65</v>
      </c>
      <c r="G845" t="s">
        <v>10</v>
      </c>
      <c r="H845" t="s">
        <v>5</v>
      </c>
      <c r="I845" t="s">
        <v>91</v>
      </c>
      <c r="J845">
        <v>135</v>
      </c>
      <c r="K845">
        <v>0.03</v>
      </c>
      <c r="L845">
        <v>1</v>
      </c>
      <c r="M845">
        <v>1</v>
      </c>
      <c r="N845">
        <v>1</v>
      </c>
      <c r="O845">
        <v>100</v>
      </c>
      <c r="P845" t="b">
        <f t="shared" si="13"/>
        <v>0</v>
      </c>
    </row>
    <row r="846" spans="1:16" x14ac:dyDescent="0.2">
      <c r="A846" t="s">
        <v>127</v>
      </c>
      <c r="B846" t="s">
        <v>128</v>
      </c>
      <c r="C846">
        <v>866</v>
      </c>
      <c r="D846">
        <v>131115</v>
      </c>
      <c r="E846" t="s">
        <v>485</v>
      </c>
      <c r="F846" t="s">
        <v>65</v>
      </c>
      <c r="G846" t="s">
        <v>10</v>
      </c>
      <c r="H846" t="s">
        <v>5</v>
      </c>
      <c r="I846" t="s">
        <v>91</v>
      </c>
      <c r="J846">
        <v>136</v>
      </c>
      <c r="K846">
        <v>0.03</v>
      </c>
      <c r="L846">
        <v>1</v>
      </c>
      <c r="M846">
        <v>1</v>
      </c>
      <c r="N846">
        <v>1</v>
      </c>
      <c r="O846">
        <v>100</v>
      </c>
      <c r="P846" t="b">
        <f t="shared" si="13"/>
        <v>0</v>
      </c>
    </row>
    <row r="847" spans="1:16" x14ac:dyDescent="0.2">
      <c r="A847" t="s">
        <v>127</v>
      </c>
      <c r="B847" t="s">
        <v>128</v>
      </c>
      <c r="C847">
        <v>867</v>
      </c>
      <c r="D847">
        <v>131105</v>
      </c>
      <c r="E847" t="s">
        <v>486</v>
      </c>
      <c r="F847" t="s">
        <v>65</v>
      </c>
      <c r="G847" t="s">
        <v>10</v>
      </c>
      <c r="H847" t="s">
        <v>5</v>
      </c>
      <c r="I847" t="s">
        <v>91</v>
      </c>
      <c r="J847">
        <v>137</v>
      </c>
      <c r="K847">
        <v>0.03</v>
      </c>
      <c r="L847">
        <v>1</v>
      </c>
      <c r="M847">
        <v>1</v>
      </c>
      <c r="N847">
        <v>1</v>
      </c>
      <c r="O847">
        <v>100</v>
      </c>
      <c r="P847" t="b">
        <f t="shared" si="13"/>
        <v>0</v>
      </c>
    </row>
    <row r="848" spans="1:16" x14ac:dyDescent="0.2">
      <c r="A848" t="s">
        <v>127</v>
      </c>
      <c r="B848" t="s">
        <v>128</v>
      </c>
      <c r="C848">
        <v>868</v>
      </c>
      <c r="D848">
        <v>131082</v>
      </c>
      <c r="E848" t="s">
        <v>489</v>
      </c>
      <c r="F848" t="s">
        <v>65</v>
      </c>
      <c r="G848" t="s">
        <v>10</v>
      </c>
      <c r="H848" t="s">
        <v>5</v>
      </c>
      <c r="I848" t="s">
        <v>91</v>
      </c>
      <c r="J848">
        <v>138</v>
      </c>
      <c r="K848">
        <v>0.03</v>
      </c>
      <c r="L848">
        <v>1</v>
      </c>
      <c r="M848">
        <v>1</v>
      </c>
      <c r="N848">
        <v>1</v>
      </c>
      <c r="O848">
        <v>100</v>
      </c>
      <c r="P848" t="b">
        <f t="shared" si="13"/>
        <v>0</v>
      </c>
    </row>
    <row r="849" spans="1:16" x14ac:dyDescent="0.2">
      <c r="A849" t="s">
        <v>127</v>
      </c>
      <c r="B849" t="s">
        <v>128</v>
      </c>
      <c r="C849">
        <v>869</v>
      </c>
      <c r="D849">
        <v>131080</v>
      </c>
      <c r="E849" t="s">
        <v>364</v>
      </c>
      <c r="F849" t="s">
        <v>65</v>
      </c>
      <c r="G849" t="s">
        <v>10</v>
      </c>
      <c r="H849" t="s">
        <v>5</v>
      </c>
      <c r="I849" t="s">
        <v>91</v>
      </c>
      <c r="J849">
        <v>139</v>
      </c>
      <c r="K849">
        <v>0.03</v>
      </c>
      <c r="L849">
        <v>1</v>
      </c>
      <c r="M849">
        <v>1</v>
      </c>
      <c r="N849">
        <v>1</v>
      </c>
      <c r="O849">
        <v>100</v>
      </c>
      <c r="P849" t="b">
        <f t="shared" si="13"/>
        <v>0</v>
      </c>
    </row>
    <row r="850" spans="1:16" x14ac:dyDescent="0.2">
      <c r="A850" t="s">
        <v>127</v>
      </c>
      <c r="B850" t="s">
        <v>128</v>
      </c>
      <c r="C850">
        <v>870</v>
      </c>
      <c r="D850">
        <v>131079</v>
      </c>
      <c r="E850" t="s">
        <v>491</v>
      </c>
      <c r="F850" t="s">
        <v>65</v>
      </c>
      <c r="G850" t="s">
        <v>10</v>
      </c>
      <c r="H850" t="s">
        <v>5</v>
      </c>
      <c r="I850" t="s">
        <v>91</v>
      </c>
      <c r="J850">
        <v>140</v>
      </c>
      <c r="K850">
        <v>0.03</v>
      </c>
      <c r="L850">
        <v>1</v>
      </c>
      <c r="M850">
        <v>1</v>
      </c>
      <c r="N850">
        <v>1</v>
      </c>
      <c r="O850">
        <v>100</v>
      </c>
      <c r="P850" t="b">
        <f t="shared" si="13"/>
        <v>0</v>
      </c>
    </row>
    <row r="851" spans="1:16" x14ac:dyDescent="0.2">
      <c r="A851" t="s">
        <v>127</v>
      </c>
      <c r="B851" t="s">
        <v>128</v>
      </c>
      <c r="C851">
        <v>871</v>
      </c>
      <c r="D851">
        <v>131018</v>
      </c>
      <c r="E851" t="s">
        <v>504</v>
      </c>
      <c r="F851" t="s">
        <v>65</v>
      </c>
      <c r="G851" t="s">
        <v>10</v>
      </c>
      <c r="H851" t="s">
        <v>5</v>
      </c>
      <c r="I851" t="s">
        <v>91</v>
      </c>
      <c r="J851">
        <v>142</v>
      </c>
      <c r="K851">
        <v>0.03</v>
      </c>
      <c r="L851">
        <v>1</v>
      </c>
      <c r="M851">
        <v>1</v>
      </c>
      <c r="N851">
        <v>1</v>
      </c>
      <c r="O851">
        <v>100</v>
      </c>
      <c r="P851" t="b">
        <f t="shared" si="13"/>
        <v>0</v>
      </c>
    </row>
    <row r="852" spans="1:16" x14ac:dyDescent="0.2">
      <c r="A852" t="s">
        <v>127</v>
      </c>
      <c r="B852" t="s">
        <v>128</v>
      </c>
      <c r="C852">
        <v>872</v>
      </c>
      <c r="D852">
        <v>131008</v>
      </c>
      <c r="E852" t="s">
        <v>365</v>
      </c>
      <c r="F852" t="s">
        <v>65</v>
      </c>
      <c r="G852" t="s">
        <v>10</v>
      </c>
      <c r="H852" t="s">
        <v>5</v>
      </c>
      <c r="I852" t="s">
        <v>91</v>
      </c>
      <c r="J852">
        <v>143</v>
      </c>
      <c r="K852">
        <v>0.03</v>
      </c>
      <c r="L852">
        <v>1</v>
      </c>
      <c r="M852">
        <v>1</v>
      </c>
      <c r="N852">
        <v>1</v>
      </c>
      <c r="O852">
        <v>100</v>
      </c>
      <c r="P852" t="b">
        <f t="shared" si="13"/>
        <v>0</v>
      </c>
    </row>
    <row r="853" spans="1:16" x14ac:dyDescent="0.2">
      <c r="A853" t="s">
        <v>127</v>
      </c>
      <c r="B853" t="s">
        <v>128</v>
      </c>
      <c r="C853">
        <v>873</v>
      </c>
      <c r="D853">
        <v>130817</v>
      </c>
      <c r="E853" t="s">
        <v>534</v>
      </c>
      <c r="F853" t="s">
        <v>65</v>
      </c>
      <c r="G853" t="s">
        <v>10</v>
      </c>
      <c r="H853" t="s">
        <v>5</v>
      </c>
      <c r="I853" t="s">
        <v>95</v>
      </c>
      <c r="J853">
        <v>145</v>
      </c>
      <c r="K853">
        <v>0.03</v>
      </c>
      <c r="L853">
        <v>1</v>
      </c>
      <c r="M853">
        <v>1</v>
      </c>
      <c r="N853">
        <v>1</v>
      </c>
      <c r="O853">
        <v>100</v>
      </c>
      <c r="P853" t="b">
        <f t="shared" si="13"/>
        <v>0</v>
      </c>
    </row>
    <row r="854" spans="1:16" x14ac:dyDescent="0.2">
      <c r="A854" t="s">
        <v>127</v>
      </c>
      <c r="B854" t="s">
        <v>128</v>
      </c>
      <c r="C854">
        <v>874</v>
      </c>
      <c r="D854">
        <v>130639</v>
      </c>
      <c r="E854" t="s">
        <v>567</v>
      </c>
      <c r="F854" t="s">
        <v>65</v>
      </c>
      <c r="G854" t="s">
        <v>10</v>
      </c>
      <c r="H854" t="s">
        <v>5</v>
      </c>
      <c r="I854" t="s">
        <v>97</v>
      </c>
      <c r="J854">
        <v>146</v>
      </c>
      <c r="K854">
        <v>0.03</v>
      </c>
      <c r="L854">
        <v>1</v>
      </c>
      <c r="M854">
        <v>1</v>
      </c>
      <c r="N854">
        <v>1</v>
      </c>
      <c r="O854">
        <v>100</v>
      </c>
      <c r="P854" t="b">
        <f t="shared" si="13"/>
        <v>0</v>
      </c>
    </row>
    <row r="855" spans="1:16" x14ac:dyDescent="0.2">
      <c r="A855" t="s">
        <v>127</v>
      </c>
      <c r="B855" t="s">
        <v>128</v>
      </c>
      <c r="C855">
        <v>875</v>
      </c>
      <c r="D855">
        <v>129938</v>
      </c>
      <c r="E855" t="s">
        <v>685</v>
      </c>
      <c r="F855" t="s">
        <v>65</v>
      </c>
      <c r="G855" t="s">
        <v>10</v>
      </c>
      <c r="H855" t="s">
        <v>5</v>
      </c>
      <c r="I855" t="s">
        <v>91</v>
      </c>
      <c r="J855">
        <v>147</v>
      </c>
      <c r="K855">
        <v>0.03</v>
      </c>
      <c r="L855">
        <v>1</v>
      </c>
      <c r="M855">
        <v>1</v>
      </c>
      <c r="N855">
        <v>1</v>
      </c>
      <c r="O855">
        <v>100</v>
      </c>
      <c r="P855" t="b">
        <f t="shared" si="13"/>
        <v>0</v>
      </c>
    </row>
    <row r="856" spans="1:16" x14ac:dyDescent="0.2">
      <c r="A856" t="s">
        <v>127</v>
      </c>
      <c r="B856" t="s">
        <v>128</v>
      </c>
      <c r="C856">
        <v>876</v>
      </c>
      <c r="D856">
        <v>129934</v>
      </c>
      <c r="E856" t="s">
        <v>686</v>
      </c>
      <c r="F856" t="s">
        <v>65</v>
      </c>
      <c r="G856" t="s">
        <v>10</v>
      </c>
      <c r="H856" t="s">
        <v>5</v>
      </c>
      <c r="I856" t="s">
        <v>91</v>
      </c>
      <c r="J856">
        <v>148</v>
      </c>
      <c r="K856">
        <v>0.03</v>
      </c>
      <c r="L856">
        <v>1</v>
      </c>
      <c r="M856">
        <v>1</v>
      </c>
      <c r="N856">
        <v>1</v>
      </c>
      <c r="O856">
        <v>100</v>
      </c>
      <c r="P856" t="b">
        <f t="shared" si="13"/>
        <v>0</v>
      </c>
    </row>
    <row r="857" spans="1:16" x14ac:dyDescent="0.2">
      <c r="A857" t="s">
        <v>127</v>
      </c>
      <c r="B857" t="s">
        <v>128</v>
      </c>
      <c r="C857">
        <v>877</v>
      </c>
      <c r="D857">
        <v>129671</v>
      </c>
      <c r="E857" t="s">
        <v>717</v>
      </c>
      <c r="F857" t="s">
        <v>65</v>
      </c>
      <c r="G857" t="s">
        <v>10</v>
      </c>
      <c r="H857" t="s">
        <v>5</v>
      </c>
      <c r="I857" t="s">
        <v>95</v>
      </c>
      <c r="J857">
        <v>150</v>
      </c>
      <c r="K857">
        <v>0.03</v>
      </c>
      <c r="L857">
        <v>1</v>
      </c>
      <c r="M857">
        <v>1</v>
      </c>
      <c r="N857">
        <v>1</v>
      </c>
      <c r="O857">
        <v>100</v>
      </c>
      <c r="P857" t="b">
        <f t="shared" si="13"/>
        <v>0</v>
      </c>
    </row>
    <row r="858" spans="1:16" x14ac:dyDescent="0.2">
      <c r="A858" t="s">
        <v>127</v>
      </c>
      <c r="B858" t="s">
        <v>128</v>
      </c>
      <c r="C858">
        <v>878</v>
      </c>
      <c r="D858">
        <v>129649</v>
      </c>
      <c r="E858" t="s">
        <v>366</v>
      </c>
      <c r="F858" t="s">
        <v>65</v>
      </c>
      <c r="G858" t="s">
        <v>10</v>
      </c>
      <c r="H858" t="s">
        <v>5</v>
      </c>
      <c r="I858" t="s">
        <v>91</v>
      </c>
      <c r="J858">
        <v>151</v>
      </c>
      <c r="K858">
        <v>0.03</v>
      </c>
      <c r="L858">
        <v>1</v>
      </c>
      <c r="M858">
        <v>1</v>
      </c>
      <c r="N858">
        <v>1</v>
      </c>
      <c r="O858">
        <v>100</v>
      </c>
      <c r="P858" t="b">
        <f t="shared" si="13"/>
        <v>0</v>
      </c>
    </row>
    <row r="859" spans="1:16" x14ac:dyDescent="0.2">
      <c r="A859" t="s">
        <v>127</v>
      </c>
      <c r="B859" t="s">
        <v>128</v>
      </c>
      <c r="C859">
        <v>879</v>
      </c>
      <c r="D859">
        <v>129648</v>
      </c>
      <c r="E859" t="s">
        <v>725</v>
      </c>
      <c r="F859" t="s">
        <v>65</v>
      </c>
      <c r="G859" t="s">
        <v>10</v>
      </c>
      <c r="H859" t="s">
        <v>5</v>
      </c>
      <c r="I859" t="s">
        <v>91</v>
      </c>
      <c r="J859">
        <v>152</v>
      </c>
      <c r="K859">
        <v>0.03</v>
      </c>
      <c r="L859">
        <v>1</v>
      </c>
      <c r="M859">
        <v>1</v>
      </c>
      <c r="N859">
        <v>1</v>
      </c>
      <c r="O859">
        <v>100</v>
      </c>
      <c r="P859" t="b">
        <f t="shared" si="13"/>
        <v>0</v>
      </c>
    </row>
    <row r="860" spans="1:16" x14ac:dyDescent="0.2">
      <c r="A860" t="s">
        <v>127</v>
      </c>
      <c r="B860" t="s">
        <v>128</v>
      </c>
      <c r="C860">
        <v>880</v>
      </c>
      <c r="D860">
        <v>129593</v>
      </c>
      <c r="E860" t="s">
        <v>728</v>
      </c>
      <c r="F860" t="s">
        <v>65</v>
      </c>
      <c r="G860" t="s">
        <v>10</v>
      </c>
      <c r="H860" t="s">
        <v>5</v>
      </c>
      <c r="I860" t="s">
        <v>95</v>
      </c>
      <c r="J860">
        <v>153</v>
      </c>
      <c r="K860">
        <v>0.03</v>
      </c>
      <c r="L860">
        <v>1</v>
      </c>
      <c r="M860">
        <v>1</v>
      </c>
      <c r="N860">
        <v>1</v>
      </c>
      <c r="O860">
        <v>100</v>
      </c>
      <c r="P860" t="b">
        <f t="shared" si="13"/>
        <v>0</v>
      </c>
    </row>
    <row r="861" spans="1:16" x14ac:dyDescent="0.2">
      <c r="A861" t="s">
        <v>382</v>
      </c>
      <c r="B861" t="s">
        <v>368</v>
      </c>
      <c r="C861">
        <v>1</v>
      </c>
      <c r="D861">
        <v>126587</v>
      </c>
      <c r="E861" t="s">
        <v>835</v>
      </c>
      <c r="F861" t="s">
        <v>9</v>
      </c>
      <c r="G861" t="s">
        <v>452</v>
      </c>
      <c r="H861" t="s">
        <v>8</v>
      </c>
      <c r="I861" t="s">
        <v>89</v>
      </c>
      <c r="J861">
        <v>32</v>
      </c>
      <c r="K861">
        <v>11</v>
      </c>
      <c r="L861">
        <v>3</v>
      </c>
      <c r="M861">
        <v>4</v>
      </c>
      <c r="N861">
        <v>4</v>
      </c>
      <c r="O861">
        <v>1</v>
      </c>
      <c r="P861" t="b">
        <f t="shared" si="13"/>
        <v>1</v>
      </c>
    </row>
    <row r="862" spans="1:16" x14ac:dyDescent="0.2">
      <c r="A862" t="s">
        <v>382</v>
      </c>
      <c r="B862" t="s">
        <v>368</v>
      </c>
      <c r="C862">
        <v>2</v>
      </c>
      <c r="D862">
        <v>130941</v>
      </c>
      <c r="E862" t="s">
        <v>516</v>
      </c>
      <c r="F862" t="s">
        <v>64</v>
      </c>
      <c r="G862" t="s">
        <v>10</v>
      </c>
      <c r="H862" t="s">
        <v>6</v>
      </c>
      <c r="I862" t="s">
        <v>383</v>
      </c>
      <c r="J862">
        <v>9</v>
      </c>
      <c r="K862">
        <v>2</v>
      </c>
      <c r="L862">
        <v>1</v>
      </c>
      <c r="M862">
        <v>4</v>
      </c>
      <c r="N862">
        <v>1</v>
      </c>
      <c r="O862">
        <v>3</v>
      </c>
      <c r="P862" t="b">
        <f t="shared" si="13"/>
        <v>1</v>
      </c>
    </row>
    <row r="863" spans="1:16" x14ac:dyDescent="0.2">
      <c r="A863" t="s">
        <v>382</v>
      </c>
      <c r="B863" t="s">
        <v>368</v>
      </c>
      <c r="C863">
        <v>3</v>
      </c>
      <c r="D863">
        <v>130719</v>
      </c>
      <c r="E863" t="s">
        <v>386</v>
      </c>
      <c r="F863" t="s">
        <v>64</v>
      </c>
      <c r="G863" t="s">
        <v>10</v>
      </c>
      <c r="H863" t="s">
        <v>6</v>
      </c>
      <c r="I863" t="s">
        <v>89</v>
      </c>
      <c r="J863">
        <v>17</v>
      </c>
      <c r="K863">
        <v>2</v>
      </c>
      <c r="L863">
        <v>2</v>
      </c>
      <c r="M863">
        <v>1</v>
      </c>
      <c r="N863">
        <v>1</v>
      </c>
      <c r="O863">
        <v>2</v>
      </c>
      <c r="P863" t="b">
        <f t="shared" si="13"/>
        <v>1</v>
      </c>
    </row>
    <row r="864" spans="1:16" x14ac:dyDescent="0.2">
      <c r="A864" t="s">
        <v>382</v>
      </c>
      <c r="B864" t="s">
        <v>368</v>
      </c>
      <c r="C864">
        <v>4</v>
      </c>
      <c r="D864">
        <v>129833</v>
      </c>
      <c r="E864" t="s">
        <v>697</v>
      </c>
      <c r="F864" t="s">
        <v>64</v>
      </c>
      <c r="G864" t="s">
        <v>10</v>
      </c>
      <c r="H864" t="s">
        <v>6</v>
      </c>
      <c r="I864" t="s">
        <v>90</v>
      </c>
      <c r="J864">
        <v>14</v>
      </c>
      <c r="K864">
        <v>2</v>
      </c>
      <c r="L864">
        <v>2</v>
      </c>
      <c r="M864">
        <v>2</v>
      </c>
      <c r="N864">
        <v>2</v>
      </c>
      <c r="O864">
        <v>3</v>
      </c>
      <c r="P864" t="b">
        <f t="shared" si="13"/>
        <v>1</v>
      </c>
    </row>
    <row r="865" spans="1:16" x14ac:dyDescent="0.2">
      <c r="A865" t="s">
        <v>382</v>
      </c>
      <c r="B865" t="s">
        <v>368</v>
      </c>
      <c r="C865">
        <v>5</v>
      </c>
      <c r="D865">
        <v>120240</v>
      </c>
      <c r="E865" t="s">
        <v>872</v>
      </c>
      <c r="F865" t="s">
        <v>9</v>
      </c>
      <c r="G865" t="s">
        <v>452</v>
      </c>
      <c r="H865" t="s">
        <v>8</v>
      </c>
      <c r="I865" t="s">
        <v>89</v>
      </c>
      <c r="J865">
        <v>33</v>
      </c>
      <c r="K865">
        <v>2.6669999999999998</v>
      </c>
      <c r="L865">
        <v>4</v>
      </c>
      <c r="M865">
        <v>2</v>
      </c>
      <c r="N865">
        <v>2</v>
      </c>
      <c r="O865">
        <v>3</v>
      </c>
      <c r="P865" t="b">
        <f t="shared" si="13"/>
        <v>1</v>
      </c>
    </row>
    <row r="866" spans="1:16" x14ac:dyDescent="0.2">
      <c r="A866" t="s">
        <v>382</v>
      </c>
      <c r="B866" t="s">
        <v>368</v>
      </c>
      <c r="C866">
        <v>6</v>
      </c>
      <c r="D866">
        <v>130595</v>
      </c>
      <c r="E866" t="s">
        <v>387</v>
      </c>
      <c r="F866" t="s">
        <v>65</v>
      </c>
      <c r="G866" t="s">
        <v>10</v>
      </c>
      <c r="H866" t="s">
        <v>5</v>
      </c>
      <c r="I866" t="s">
        <v>89</v>
      </c>
      <c r="J866">
        <v>2</v>
      </c>
      <c r="K866">
        <v>2</v>
      </c>
      <c r="L866">
        <v>5</v>
      </c>
      <c r="M866">
        <v>1</v>
      </c>
      <c r="N866">
        <v>2</v>
      </c>
      <c r="O866">
        <v>4</v>
      </c>
      <c r="P866" t="b">
        <f t="shared" si="13"/>
        <v>1</v>
      </c>
    </row>
    <row r="867" spans="1:16" x14ac:dyDescent="0.2">
      <c r="A867" t="s">
        <v>382</v>
      </c>
      <c r="B867" t="s">
        <v>368</v>
      </c>
      <c r="C867">
        <v>7</v>
      </c>
      <c r="D867">
        <v>99510</v>
      </c>
      <c r="E867" t="s">
        <v>897</v>
      </c>
      <c r="F867" t="s">
        <v>35</v>
      </c>
      <c r="G867" t="s">
        <v>452</v>
      </c>
      <c r="H867" t="s">
        <v>12</v>
      </c>
      <c r="I867" t="s">
        <v>89</v>
      </c>
      <c r="J867">
        <v>2</v>
      </c>
      <c r="K867">
        <v>7</v>
      </c>
      <c r="L867">
        <v>3</v>
      </c>
      <c r="M867">
        <v>2</v>
      </c>
      <c r="N867">
        <v>2</v>
      </c>
      <c r="O867">
        <v>1</v>
      </c>
      <c r="P867" t="b">
        <f t="shared" si="13"/>
        <v>1</v>
      </c>
    </row>
    <row r="868" spans="1:16" x14ac:dyDescent="0.2">
      <c r="A868" t="s">
        <v>382</v>
      </c>
      <c r="B868" t="s">
        <v>368</v>
      </c>
      <c r="C868">
        <v>8</v>
      </c>
      <c r="D868">
        <v>98651</v>
      </c>
      <c r="E868" t="s">
        <v>899</v>
      </c>
      <c r="F868" t="s">
        <v>35</v>
      </c>
      <c r="G868" t="s">
        <v>452</v>
      </c>
      <c r="H868" t="s">
        <v>12</v>
      </c>
      <c r="I868" t="s">
        <v>89</v>
      </c>
      <c r="J868">
        <v>1</v>
      </c>
      <c r="K868">
        <v>6</v>
      </c>
      <c r="L868">
        <v>2</v>
      </c>
      <c r="M868">
        <v>2</v>
      </c>
      <c r="N868">
        <v>2</v>
      </c>
      <c r="O868">
        <v>1</v>
      </c>
      <c r="P868" t="b">
        <f t="shared" si="13"/>
        <v>1</v>
      </c>
    </row>
    <row r="869" spans="1:16" x14ac:dyDescent="0.2">
      <c r="A869" t="s">
        <v>382</v>
      </c>
      <c r="B869" t="s">
        <v>368</v>
      </c>
      <c r="C869">
        <v>9</v>
      </c>
      <c r="D869">
        <v>50852</v>
      </c>
      <c r="E869" t="s">
        <v>1000</v>
      </c>
      <c r="F869" t="s">
        <v>11</v>
      </c>
      <c r="G869" t="s">
        <v>452</v>
      </c>
      <c r="H869" t="s">
        <v>11</v>
      </c>
      <c r="I869" t="s">
        <v>89</v>
      </c>
      <c r="J869">
        <v>1</v>
      </c>
      <c r="K869">
        <v>0.03</v>
      </c>
      <c r="L869">
        <v>1</v>
      </c>
      <c r="M869">
        <v>1</v>
      </c>
      <c r="N869">
        <v>1</v>
      </c>
      <c r="O869">
        <v>100</v>
      </c>
      <c r="P869" t="b">
        <f t="shared" si="13"/>
        <v>1</v>
      </c>
    </row>
    <row r="870" spans="1:16" x14ac:dyDescent="0.2">
      <c r="A870" t="s">
        <v>382</v>
      </c>
      <c r="B870" t="s">
        <v>368</v>
      </c>
      <c r="C870">
        <v>10</v>
      </c>
      <c r="D870">
        <v>130699</v>
      </c>
      <c r="E870" t="s">
        <v>294</v>
      </c>
      <c r="F870" t="s">
        <v>64</v>
      </c>
      <c r="G870" t="s">
        <v>10</v>
      </c>
      <c r="H870" t="s">
        <v>6</v>
      </c>
      <c r="I870" t="s">
        <v>92</v>
      </c>
      <c r="J870">
        <v>43</v>
      </c>
      <c r="K870">
        <v>0.03</v>
      </c>
      <c r="L870">
        <v>1</v>
      </c>
      <c r="M870">
        <v>1</v>
      </c>
      <c r="N870">
        <v>1</v>
      </c>
      <c r="O870">
        <v>100</v>
      </c>
      <c r="P870" t="b">
        <f t="shared" si="13"/>
        <v>1</v>
      </c>
    </row>
    <row r="871" spans="1:16" x14ac:dyDescent="0.2">
      <c r="A871" t="s">
        <v>382</v>
      </c>
      <c r="B871" t="s">
        <v>368</v>
      </c>
      <c r="C871">
        <v>11</v>
      </c>
      <c r="D871">
        <v>130434</v>
      </c>
      <c r="E871" t="s">
        <v>608</v>
      </c>
      <c r="F871" t="s">
        <v>64</v>
      </c>
      <c r="G871" t="s">
        <v>10</v>
      </c>
      <c r="H871" t="s">
        <v>6</v>
      </c>
      <c r="I871" t="s">
        <v>89</v>
      </c>
      <c r="J871">
        <v>15</v>
      </c>
      <c r="K871">
        <v>0.03</v>
      </c>
      <c r="L871">
        <v>1</v>
      </c>
      <c r="M871">
        <v>1</v>
      </c>
      <c r="N871">
        <v>1</v>
      </c>
      <c r="O871">
        <v>100</v>
      </c>
      <c r="P871" t="b">
        <f t="shared" si="13"/>
        <v>1</v>
      </c>
    </row>
    <row r="872" spans="1:16" x14ac:dyDescent="0.2">
      <c r="A872" t="s">
        <v>382</v>
      </c>
      <c r="B872" t="s">
        <v>368</v>
      </c>
      <c r="C872">
        <v>12</v>
      </c>
      <c r="D872">
        <v>130223</v>
      </c>
      <c r="E872" t="s">
        <v>643</v>
      </c>
      <c r="F872" t="s">
        <v>64</v>
      </c>
      <c r="G872" t="s">
        <v>10</v>
      </c>
      <c r="H872" t="s">
        <v>6</v>
      </c>
      <c r="I872" t="s">
        <v>90</v>
      </c>
      <c r="J872">
        <v>4</v>
      </c>
      <c r="K872">
        <v>0.03</v>
      </c>
      <c r="L872">
        <v>1</v>
      </c>
      <c r="M872">
        <v>1</v>
      </c>
      <c r="N872">
        <v>1</v>
      </c>
      <c r="O872">
        <v>100</v>
      </c>
      <c r="P872" t="b">
        <f t="shared" si="13"/>
        <v>1</v>
      </c>
    </row>
    <row r="873" spans="1:16" x14ac:dyDescent="0.2">
      <c r="A873" t="s">
        <v>382</v>
      </c>
      <c r="B873" t="s">
        <v>368</v>
      </c>
      <c r="C873">
        <v>13</v>
      </c>
      <c r="D873">
        <v>130532</v>
      </c>
      <c r="E873" t="s">
        <v>580</v>
      </c>
      <c r="F873" t="s">
        <v>70</v>
      </c>
      <c r="G873" t="s">
        <v>10</v>
      </c>
      <c r="H873" t="s">
        <v>8</v>
      </c>
      <c r="I873" t="s">
        <v>89</v>
      </c>
      <c r="J873">
        <v>23</v>
      </c>
      <c r="K873">
        <v>0.03</v>
      </c>
      <c r="L873">
        <v>1</v>
      </c>
      <c r="M873">
        <v>1</v>
      </c>
      <c r="N873">
        <v>1</v>
      </c>
      <c r="O873">
        <v>100</v>
      </c>
      <c r="P873" t="b">
        <f t="shared" si="13"/>
        <v>1</v>
      </c>
    </row>
    <row r="874" spans="1:16" x14ac:dyDescent="0.2">
      <c r="A874" t="s">
        <v>382</v>
      </c>
      <c r="B874" t="s">
        <v>368</v>
      </c>
      <c r="C874">
        <v>14</v>
      </c>
      <c r="D874">
        <v>130992</v>
      </c>
      <c r="E874" t="s">
        <v>509</v>
      </c>
      <c r="F874" t="s">
        <v>65</v>
      </c>
      <c r="G874" t="s">
        <v>10</v>
      </c>
      <c r="H874" t="s">
        <v>5</v>
      </c>
      <c r="I874" t="s">
        <v>383</v>
      </c>
      <c r="J874">
        <v>3</v>
      </c>
      <c r="K874">
        <v>0.03</v>
      </c>
      <c r="L874">
        <v>1</v>
      </c>
      <c r="M874">
        <v>1</v>
      </c>
      <c r="N874">
        <v>1</v>
      </c>
      <c r="O874">
        <v>100</v>
      </c>
      <c r="P874" t="b">
        <f t="shared" si="13"/>
        <v>1</v>
      </c>
    </row>
    <row r="875" spans="1:16" x14ac:dyDescent="0.2">
      <c r="A875" t="s">
        <v>382</v>
      </c>
      <c r="B875" t="s">
        <v>368</v>
      </c>
      <c r="C875">
        <v>15</v>
      </c>
      <c r="D875">
        <v>130450</v>
      </c>
      <c r="E875" t="s">
        <v>601</v>
      </c>
      <c r="F875" t="s">
        <v>65</v>
      </c>
      <c r="G875" t="s">
        <v>10</v>
      </c>
      <c r="H875" t="s">
        <v>5</v>
      </c>
      <c r="I875" t="s">
        <v>89</v>
      </c>
      <c r="J875">
        <v>1</v>
      </c>
      <c r="K875">
        <v>0.03</v>
      </c>
      <c r="L875">
        <v>1</v>
      </c>
      <c r="M875">
        <v>1</v>
      </c>
      <c r="N875">
        <v>1</v>
      </c>
      <c r="O875">
        <v>100</v>
      </c>
      <c r="P875" t="b">
        <f t="shared" si="13"/>
        <v>1</v>
      </c>
    </row>
    <row r="876" spans="1:16" x14ac:dyDescent="0.2">
      <c r="A876" t="s">
        <v>382</v>
      </c>
      <c r="B876" t="s">
        <v>368</v>
      </c>
      <c r="C876">
        <v>16</v>
      </c>
      <c r="D876">
        <v>129488</v>
      </c>
      <c r="E876" t="s">
        <v>384</v>
      </c>
      <c r="F876" t="s">
        <v>65</v>
      </c>
      <c r="G876" t="s">
        <v>10</v>
      </c>
      <c r="H876" t="s">
        <v>5</v>
      </c>
      <c r="I876" t="s">
        <v>89</v>
      </c>
      <c r="J876">
        <v>0</v>
      </c>
      <c r="K876">
        <v>0.03</v>
      </c>
      <c r="L876">
        <v>1</v>
      </c>
      <c r="M876">
        <v>1</v>
      </c>
      <c r="N876">
        <v>1</v>
      </c>
      <c r="O876">
        <v>100</v>
      </c>
      <c r="P876" t="b">
        <f t="shared" si="13"/>
        <v>1</v>
      </c>
    </row>
    <row r="877" spans="1:16" x14ac:dyDescent="0.2">
      <c r="A877" t="s">
        <v>382</v>
      </c>
      <c r="B877" t="s">
        <v>368</v>
      </c>
      <c r="C877">
        <v>17</v>
      </c>
      <c r="D877">
        <v>130416</v>
      </c>
      <c r="E877" t="s">
        <v>611</v>
      </c>
      <c r="F877" t="s">
        <v>67</v>
      </c>
      <c r="G877" t="s">
        <v>10</v>
      </c>
      <c r="H877" t="s">
        <v>12</v>
      </c>
      <c r="I877" t="s">
        <v>383</v>
      </c>
      <c r="J877">
        <v>2</v>
      </c>
      <c r="K877">
        <v>0.03</v>
      </c>
      <c r="L877">
        <v>1</v>
      </c>
      <c r="M877">
        <v>1</v>
      </c>
      <c r="N877">
        <v>1</v>
      </c>
      <c r="O877">
        <v>100</v>
      </c>
      <c r="P877" t="b">
        <f t="shared" si="13"/>
        <v>1</v>
      </c>
    </row>
    <row r="878" spans="1:16" x14ac:dyDescent="0.2">
      <c r="A878" t="s">
        <v>382</v>
      </c>
      <c r="B878" t="s">
        <v>368</v>
      </c>
      <c r="C878">
        <v>18</v>
      </c>
      <c r="D878">
        <v>129587</v>
      </c>
      <c r="E878" t="s">
        <v>731</v>
      </c>
      <c r="F878" t="s">
        <v>67</v>
      </c>
      <c r="G878" t="s">
        <v>10</v>
      </c>
      <c r="H878" t="s">
        <v>12</v>
      </c>
      <c r="I878" t="s">
        <v>90</v>
      </c>
      <c r="J878">
        <v>7</v>
      </c>
      <c r="K878">
        <v>0.03</v>
      </c>
      <c r="L878">
        <v>1</v>
      </c>
      <c r="M878">
        <v>1</v>
      </c>
      <c r="N878">
        <v>1</v>
      </c>
      <c r="O878">
        <v>100</v>
      </c>
      <c r="P878" t="b">
        <f t="shared" si="13"/>
        <v>1</v>
      </c>
    </row>
    <row r="879" spans="1:16" x14ac:dyDescent="0.2">
      <c r="A879" t="s">
        <v>382</v>
      </c>
      <c r="B879" t="s">
        <v>368</v>
      </c>
      <c r="C879">
        <v>19</v>
      </c>
      <c r="D879">
        <v>129457</v>
      </c>
      <c r="E879" t="s">
        <v>784</v>
      </c>
      <c r="F879" t="s">
        <v>69</v>
      </c>
      <c r="G879" t="s">
        <v>10</v>
      </c>
      <c r="H879" t="s">
        <v>12</v>
      </c>
      <c r="I879" t="s">
        <v>383</v>
      </c>
      <c r="J879">
        <v>1</v>
      </c>
      <c r="K879">
        <v>0.03</v>
      </c>
      <c r="L879">
        <v>1</v>
      </c>
      <c r="M879">
        <v>1</v>
      </c>
      <c r="N879">
        <v>1</v>
      </c>
      <c r="O879">
        <v>100</v>
      </c>
      <c r="P879" t="b">
        <f t="shared" si="13"/>
        <v>1</v>
      </c>
    </row>
    <row r="880" spans="1:16" x14ac:dyDescent="0.2">
      <c r="A880" t="s">
        <v>382</v>
      </c>
      <c r="B880" t="s">
        <v>368</v>
      </c>
      <c r="C880">
        <v>20</v>
      </c>
      <c r="D880">
        <v>130370</v>
      </c>
      <c r="E880" t="s">
        <v>385</v>
      </c>
      <c r="F880" t="s">
        <v>66</v>
      </c>
      <c r="G880" t="s">
        <v>10</v>
      </c>
      <c r="H880" t="s">
        <v>5</v>
      </c>
      <c r="I880" t="s">
        <v>89</v>
      </c>
      <c r="J880">
        <v>2</v>
      </c>
      <c r="K880">
        <v>0.03</v>
      </c>
      <c r="L880">
        <v>1</v>
      </c>
      <c r="M880">
        <v>1</v>
      </c>
      <c r="N880">
        <v>1</v>
      </c>
      <c r="O880">
        <v>100</v>
      </c>
      <c r="P880" t="b">
        <f t="shared" si="13"/>
        <v>1</v>
      </c>
    </row>
    <row r="881" spans="1:16" x14ac:dyDescent="0.2">
      <c r="A881" t="s">
        <v>367</v>
      </c>
      <c r="B881" t="s">
        <v>368</v>
      </c>
      <c r="C881">
        <v>21</v>
      </c>
      <c r="D881">
        <v>130343</v>
      </c>
      <c r="E881" t="s">
        <v>148</v>
      </c>
      <c r="F881" t="s">
        <v>65</v>
      </c>
      <c r="G881" t="s">
        <v>10</v>
      </c>
      <c r="H881" t="s">
        <v>5</v>
      </c>
      <c r="I881" t="s">
        <v>369</v>
      </c>
      <c r="J881">
        <v>4</v>
      </c>
      <c r="K881">
        <v>0.03</v>
      </c>
      <c r="L881">
        <v>1</v>
      </c>
      <c r="M881">
        <v>1</v>
      </c>
      <c r="N881">
        <v>1</v>
      </c>
      <c r="O881">
        <v>100</v>
      </c>
      <c r="P881" t="b">
        <f t="shared" si="13"/>
        <v>1</v>
      </c>
    </row>
    <row r="882" spans="1:16" x14ac:dyDescent="0.2">
      <c r="A882" t="s">
        <v>409</v>
      </c>
      <c r="B882" t="s">
        <v>410</v>
      </c>
      <c r="D882">
        <v>132113</v>
      </c>
      <c r="E882" t="s">
        <v>411</v>
      </c>
      <c r="F882" t="s">
        <v>70</v>
      </c>
      <c r="G882" t="s">
        <v>10</v>
      </c>
      <c r="H882" t="s">
        <v>8</v>
      </c>
      <c r="I882" t="s">
        <v>412</v>
      </c>
      <c r="J882">
        <v>999</v>
      </c>
      <c r="L882">
        <v>4</v>
      </c>
      <c r="M882">
        <v>1</v>
      </c>
      <c r="N882">
        <v>3</v>
      </c>
      <c r="O882">
        <v>1</v>
      </c>
      <c r="P882" t="b">
        <f t="shared" si="13"/>
        <v>0</v>
      </c>
    </row>
    <row r="883" spans="1:16" x14ac:dyDescent="0.2">
      <c r="A883" t="s">
        <v>409</v>
      </c>
      <c r="B883" t="s">
        <v>410</v>
      </c>
      <c r="D883">
        <v>131163</v>
      </c>
      <c r="E883" t="s">
        <v>477</v>
      </c>
      <c r="F883" t="s">
        <v>65</v>
      </c>
      <c r="G883" t="s">
        <v>10</v>
      </c>
      <c r="H883" t="s">
        <v>5</v>
      </c>
      <c r="I883" t="s">
        <v>412</v>
      </c>
      <c r="J883">
        <v>999</v>
      </c>
      <c r="L883">
        <v>1</v>
      </c>
      <c r="M883">
        <v>1</v>
      </c>
      <c r="N883">
        <v>1</v>
      </c>
      <c r="O883">
        <v>100</v>
      </c>
      <c r="P883" t="b">
        <f t="shared" si="13"/>
        <v>0</v>
      </c>
    </row>
    <row r="884" spans="1:16" x14ac:dyDescent="0.2">
      <c r="A884" t="s">
        <v>409</v>
      </c>
      <c r="B884" t="s">
        <v>410</v>
      </c>
      <c r="D884">
        <v>131144</v>
      </c>
      <c r="E884" t="s">
        <v>479</v>
      </c>
      <c r="F884" t="s">
        <v>70</v>
      </c>
      <c r="G884" t="s">
        <v>10</v>
      </c>
      <c r="H884" t="s">
        <v>8</v>
      </c>
      <c r="I884" t="s">
        <v>412</v>
      </c>
      <c r="J884">
        <v>999</v>
      </c>
      <c r="L884">
        <v>2</v>
      </c>
      <c r="M884">
        <v>1</v>
      </c>
      <c r="N884">
        <v>1</v>
      </c>
      <c r="O884">
        <v>1</v>
      </c>
      <c r="P884" t="b">
        <f t="shared" si="13"/>
        <v>0</v>
      </c>
    </row>
    <row r="885" spans="1:16" x14ac:dyDescent="0.2">
      <c r="A885" t="s">
        <v>409</v>
      </c>
      <c r="B885" t="s">
        <v>410</v>
      </c>
      <c r="D885">
        <v>131138</v>
      </c>
      <c r="E885" t="s">
        <v>480</v>
      </c>
      <c r="F885" t="s">
        <v>73</v>
      </c>
      <c r="G885" t="s">
        <v>10</v>
      </c>
      <c r="H885" t="s">
        <v>12</v>
      </c>
      <c r="I885" t="s">
        <v>412</v>
      </c>
      <c r="J885">
        <v>999</v>
      </c>
      <c r="L885">
        <v>1</v>
      </c>
      <c r="M885">
        <v>1</v>
      </c>
      <c r="N885">
        <v>1</v>
      </c>
      <c r="O885">
        <v>100</v>
      </c>
      <c r="P885" t="b">
        <f t="shared" si="13"/>
        <v>0</v>
      </c>
    </row>
    <row r="886" spans="1:16" x14ac:dyDescent="0.2">
      <c r="A886" t="s">
        <v>409</v>
      </c>
      <c r="B886" t="s">
        <v>410</v>
      </c>
      <c r="D886">
        <v>131009</v>
      </c>
      <c r="E886" t="s">
        <v>413</v>
      </c>
      <c r="F886" t="s">
        <v>64</v>
      </c>
      <c r="G886" t="s">
        <v>10</v>
      </c>
      <c r="H886" t="s">
        <v>6</v>
      </c>
      <c r="I886" t="s">
        <v>412</v>
      </c>
      <c r="J886">
        <v>42</v>
      </c>
      <c r="L886">
        <v>1</v>
      </c>
      <c r="M886">
        <v>1</v>
      </c>
      <c r="N886">
        <v>1</v>
      </c>
      <c r="O886">
        <v>100</v>
      </c>
      <c r="P886" t="b">
        <f t="shared" si="13"/>
        <v>0</v>
      </c>
    </row>
    <row r="887" spans="1:16" x14ac:dyDescent="0.2">
      <c r="A887" t="s">
        <v>409</v>
      </c>
      <c r="B887" t="s">
        <v>410</v>
      </c>
      <c r="D887">
        <v>130965</v>
      </c>
      <c r="E887" t="s">
        <v>414</v>
      </c>
      <c r="F887" t="s">
        <v>66</v>
      </c>
      <c r="G887" t="s">
        <v>10</v>
      </c>
      <c r="H887" t="s">
        <v>5</v>
      </c>
      <c r="I887" t="s">
        <v>412</v>
      </c>
      <c r="J887">
        <v>42</v>
      </c>
      <c r="L887">
        <v>1</v>
      </c>
      <c r="M887">
        <v>1</v>
      </c>
      <c r="N887">
        <v>1</v>
      </c>
      <c r="O887">
        <v>100</v>
      </c>
      <c r="P887" t="b">
        <f t="shared" si="13"/>
        <v>0</v>
      </c>
    </row>
    <row r="888" spans="1:16" x14ac:dyDescent="0.2">
      <c r="A888" t="s">
        <v>409</v>
      </c>
      <c r="B888" t="s">
        <v>410</v>
      </c>
      <c r="D888">
        <v>130928</v>
      </c>
      <c r="E888" t="s">
        <v>370</v>
      </c>
      <c r="F888" t="s">
        <v>70</v>
      </c>
      <c r="G888" t="s">
        <v>10</v>
      </c>
      <c r="H888" t="s">
        <v>8</v>
      </c>
      <c r="I888" t="s">
        <v>412</v>
      </c>
      <c r="J888">
        <v>7</v>
      </c>
      <c r="L888">
        <v>3</v>
      </c>
      <c r="M888">
        <v>3</v>
      </c>
      <c r="N888">
        <v>1</v>
      </c>
      <c r="O888">
        <v>100</v>
      </c>
      <c r="P888" t="b">
        <f t="shared" si="13"/>
        <v>0</v>
      </c>
    </row>
    <row r="889" spans="1:16" x14ac:dyDescent="0.2">
      <c r="A889" t="s">
        <v>409</v>
      </c>
      <c r="B889" t="s">
        <v>410</v>
      </c>
      <c r="D889">
        <v>130906</v>
      </c>
      <c r="E889" t="s">
        <v>415</v>
      </c>
      <c r="F889" t="s">
        <v>64</v>
      </c>
      <c r="G889" t="s">
        <v>10</v>
      </c>
      <c r="H889" t="s">
        <v>6</v>
      </c>
      <c r="I889" t="s">
        <v>412</v>
      </c>
      <c r="J889">
        <v>5</v>
      </c>
      <c r="L889">
        <v>1</v>
      </c>
      <c r="M889">
        <v>1</v>
      </c>
      <c r="N889">
        <v>1</v>
      </c>
      <c r="O889">
        <v>100</v>
      </c>
      <c r="P889" t="b">
        <f t="shared" si="13"/>
        <v>0</v>
      </c>
    </row>
    <row r="890" spans="1:16" x14ac:dyDescent="0.2">
      <c r="A890" t="s">
        <v>409</v>
      </c>
      <c r="B890" t="s">
        <v>410</v>
      </c>
      <c r="D890">
        <v>130776</v>
      </c>
      <c r="E890" t="s">
        <v>541</v>
      </c>
      <c r="F890" t="s">
        <v>64</v>
      </c>
      <c r="G890" t="s">
        <v>10</v>
      </c>
      <c r="H890" t="s">
        <v>6</v>
      </c>
      <c r="I890" t="s">
        <v>412</v>
      </c>
      <c r="J890">
        <v>0</v>
      </c>
      <c r="L890">
        <v>1</v>
      </c>
      <c r="M890">
        <v>1</v>
      </c>
      <c r="N890">
        <v>1</v>
      </c>
      <c r="O890">
        <v>100</v>
      </c>
      <c r="P890" t="b">
        <f t="shared" si="13"/>
        <v>0</v>
      </c>
    </row>
    <row r="891" spans="1:16" x14ac:dyDescent="0.2">
      <c r="A891" t="s">
        <v>409</v>
      </c>
      <c r="B891" t="s">
        <v>410</v>
      </c>
      <c r="D891">
        <v>130725</v>
      </c>
      <c r="E891" t="s">
        <v>547</v>
      </c>
      <c r="F891" t="s">
        <v>68</v>
      </c>
      <c r="G891" t="s">
        <v>10</v>
      </c>
      <c r="H891" t="s">
        <v>5</v>
      </c>
      <c r="I891" t="s">
        <v>412</v>
      </c>
      <c r="J891">
        <v>1</v>
      </c>
      <c r="L891">
        <v>1</v>
      </c>
      <c r="M891">
        <v>1</v>
      </c>
      <c r="N891">
        <v>1</v>
      </c>
      <c r="O891">
        <v>100</v>
      </c>
      <c r="P891" t="b">
        <f t="shared" si="13"/>
        <v>0</v>
      </c>
    </row>
    <row r="892" spans="1:16" x14ac:dyDescent="0.2">
      <c r="A892" t="s">
        <v>409</v>
      </c>
      <c r="B892" t="s">
        <v>410</v>
      </c>
      <c r="D892">
        <v>130712</v>
      </c>
      <c r="E892" t="s">
        <v>550</v>
      </c>
      <c r="F892" t="s">
        <v>65</v>
      </c>
      <c r="G892" t="s">
        <v>10</v>
      </c>
      <c r="H892" t="s">
        <v>5</v>
      </c>
      <c r="I892" t="s">
        <v>412</v>
      </c>
      <c r="J892">
        <v>0</v>
      </c>
      <c r="L892">
        <v>1</v>
      </c>
      <c r="M892">
        <v>1</v>
      </c>
      <c r="N892">
        <v>1</v>
      </c>
      <c r="O892">
        <v>100</v>
      </c>
      <c r="P892" t="b">
        <f t="shared" si="13"/>
        <v>0</v>
      </c>
    </row>
    <row r="893" spans="1:16" x14ac:dyDescent="0.2">
      <c r="A893" t="s">
        <v>409</v>
      </c>
      <c r="B893" t="s">
        <v>410</v>
      </c>
      <c r="D893">
        <v>130640</v>
      </c>
      <c r="E893" t="s">
        <v>566</v>
      </c>
      <c r="F893" t="s">
        <v>64</v>
      </c>
      <c r="G893" t="s">
        <v>10</v>
      </c>
      <c r="H893" t="s">
        <v>6</v>
      </c>
      <c r="I893" t="s">
        <v>412</v>
      </c>
      <c r="J893">
        <v>0</v>
      </c>
      <c r="L893">
        <v>1</v>
      </c>
      <c r="M893">
        <v>1</v>
      </c>
      <c r="N893">
        <v>1</v>
      </c>
      <c r="O893">
        <v>100</v>
      </c>
      <c r="P893" t="b">
        <f t="shared" si="13"/>
        <v>0</v>
      </c>
    </row>
    <row r="894" spans="1:16" x14ac:dyDescent="0.2">
      <c r="A894" t="s">
        <v>409</v>
      </c>
      <c r="B894" t="s">
        <v>410</v>
      </c>
      <c r="D894">
        <v>122024</v>
      </c>
      <c r="E894" t="s">
        <v>416</v>
      </c>
      <c r="F894" t="s">
        <v>60</v>
      </c>
      <c r="G894" t="s">
        <v>452</v>
      </c>
      <c r="H894" t="s">
        <v>8</v>
      </c>
      <c r="I894" t="s">
        <v>412</v>
      </c>
      <c r="J894">
        <v>999</v>
      </c>
      <c r="L894">
        <v>1</v>
      </c>
      <c r="M894">
        <v>1</v>
      </c>
      <c r="N894">
        <v>1</v>
      </c>
      <c r="O894">
        <v>100</v>
      </c>
      <c r="P894" t="b">
        <f t="shared" si="13"/>
        <v>0</v>
      </c>
    </row>
    <row r="895" spans="1:16" x14ac:dyDescent="0.2">
      <c r="A895" t="s">
        <v>409</v>
      </c>
      <c r="B895" t="s">
        <v>410</v>
      </c>
      <c r="D895">
        <v>120213</v>
      </c>
      <c r="E895" t="s">
        <v>873</v>
      </c>
      <c r="F895" t="s">
        <v>59</v>
      </c>
      <c r="G895" t="s">
        <v>452</v>
      </c>
      <c r="H895" t="s">
        <v>8</v>
      </c>
      <c r="I895" t="s">
        <v>412</v>
      </c>
      <c r="J895">
        <v>999</v>
      </c>
      <c r="L895">
        <v>1</v>
      </c>
      <c r="M895">
        <v>1</v>
      </c>
      <c r="N895">
        <v>1</v>
      </c>
      <c r="O895">
        <v>100</v>
      </c>
      <c r="P895" t="b">
        <f t="shared" si="13"/>
        <v>0</v>
      </c>
    </row>
    <row r="896" spans="1:16" x14ac:dyDescent="0.2">
      <c r="A896" t="s">
        <v>409</v>
      </c>
      <c r="B896" t="s">
        <v>410</v>
      </c>
      <c r="D896">
        <v>119659</v>
      </c>
      <c r="E896" t="s">
        <v>874</v>
      </c>
      <c r="F896" t="s">
        <v>59</v>
      </c>
      <c r="G896" t="s">
        <v>452</v>
      </c>
      <c r="H896" t="s">
        <v>8</v>
      </c>
      <c r="I896" t="s">
        <v>412</v>
      </c>
      <c r="J896">
        <v>999</v>
      </c>
      <c r="L896">
        <v>1</v>
      </c>
      <c r="M896">
        <v>1</v>
      </c>
      <c r="N896">
        <v>1</v>
      </c>
      <c r="O896">
        <v>100</v>
      </c>
      <c r="P896" t="b">
        <f t="shared" si="13"/>
        <v>0</v>
      </c>
    </row>
    <row r="897" spans="1:16" x14ac:dyDescent="0.2">
      <c r="A897" t="s">
        <v>409</v>
      </c>
      <c r="B897" t="s">
        <v>410</v>
      </c>
      <c r="D897">
        <v>119486</v>
      </c>
      <c r="E897" t="s">
        <v>417</v>
      </c>
      <c r="F897" t="s">
        <v>59</v>
      </c>
      <c r="G897" t="s">
        <v>452</v>
      </c>
      <c r="H897" t="s">
        <v>8</v>
      </c>
      <c r="I897" t="s">
        <v>412</v>
      </c>
      <c r="J897">
        <v>999</v>
      </c>
      <c r="L897">
        <v>1</v>
      </c>
      <c r="M897">
        <v>1</v>
      </c>
      <c r="N897">
        <v>1</v>
      </c>
      <c r="O897">
        <v>100</v>
      </c>
      <c r="P897" t="b">
        <f t="shared" si="13"/>
        <v>0</v>
      </c>
    </row>
    <row r="898" spans="1:16" x14ac:dyDescent="0.2">
      <c r="A898" t="s">
        <v>409</v>
      </c>
      <c r="B898" t="s">
        <v>410</v>
      </c>
      <c r="D898">
        <v>112480</v>
      </c>
      <c r="E898" t="s">
        <v>418</v>
      </c>
      <c r="F898" t="s">
        <v>37</v>
      </c>
      <c r="G898" t="s">
        <v>452</v>
      </c>
      <c r="H898" t="s">
        <v>5</v>
      </c>
      <c r="I898" t="s">
        <v>412</v>
      </c>
      <c r="J898">
        <v>999</v>
      </c>
      <c r="L898">
        <v>1</v>
      </c>
      <c r="M898">
        <v>1</v>
      </c>
      <c r="N898">
        <v>1</v>
      </c>
      <c r="O898">
        <v>100</v>
      </c>
      <c r="P898" t="b">
        <f t="shared" si="13"/>
        <v>0</v>
      </c>
    </row>
    <row r="899" spans="1:16" x14ac:dyDescent="0.2">
      <c r="A899" t="s">
        <v>409</v>
      </c>
      <c r="B899" t="s">
        <v>410</v>
      </c>
      <c r="D899">
        <v>111606</v>
      </c>
      <c r="E899" t="s">
        <v>419</v>
      </c>
      <c r="F899" t="s">
        <v>9</v>
      </c>
      <c r="G899" t="s">
        <v>452</v>
      </c>
      <c r="H899" t="s">
        <v>8</v>
      </c>
      <c r="I899" t="s">
        <v>412</v>
      </c>
      <c r="J899">
        <v>999</v>
      </c>
      <c r="L899">
        <v>1</v>
      </c>
      <c r="M899">
        <v>1</v>
      </c>
      <c r="N899">
        <v>1</v>
      </c>
      <c r="O899">
        <v>100</v>
      </c>
      <c r="P899" t="b">
        <f t="shared" ref="P899:P962" si="14">AND(C899&lt;$Q$1,IF(ISBLANK(C899),0,C899)&gt;0)</f>
        <v>0</v>
      </c>
    </row>
    <row r="900" spans="1:16" x14ac:dyDescent="0.2">
      <c r="A900" t="s">
        <v>409</v>
      </c>
      <c r="B900" t="s">
        <v>410</v>
      </c>
      <c r="D900">
        <v>108257</v>
      </c>
      <c r="E900" t="s">
        <v>883</v>
      </c>
      <c r="F900" t="s">
        <v>50</v>
      </c>
      <c r="G900" t="s">
        <v>452</v>
      </c>
      <c r="H900" t="s">
        <v>12</v>
      </c>
      <c r="I900" t="s">
        <v>412</v>
      </c>
      <c r="J900">
        <v>999</v>
      </c>
      <c r="L900">
        <v>1</v>
      </c>
      <c r="M900">
        <v>1</v>
      </c>
      <c r="N900">
        <v>1</v>
      </c>
      <c r="O900">
        <v>100</v>
      </c>
      <c r="P900" t="b">
        <f t="shared" si="14"/>
        <v>0</v>
      </c>
    </row>
    <row r="901" spans="1:16" x14ac:dyDescent="0.2">
      <c r="A901" t="s">
        <v>409</v>
      </c>
      <c r="B901" t="s">
        <v>410</v>
      </c>
      <c r="D901">
        <v>107420</v>
      </c>
      <c r="E901" t="s">
        <v>886</v>
      </c>
      <c r="F901" t="s">
        <v>59</v>
      </c>
      <c r="G901" t="s">
        <v>452</v>
      </c>
      <c r="H901" t="s">
        <v>8</v>
      </c>
      <c r="I901" t="s">
        <v>412</v>
      </c>
      <c r="J901">
        <v>999</v>
      </c>
      <c r="L901">
        <v>1</v>
      </c>
      <c r="M901">
        <v>1</v>
      </c>
      <c r="N901">
        <v>1</v>
      </c>
      <c r="O901">
        <v>100</v>
      </c>
      <c r="P901" t="b">
        <f t="shared" si="14"/>
        <v>0</v>
      </c>
    </row>
    <row r="902" spans="1:16" x14ac:dyDescent="0.2">
      <c r="A902" t="s">
        <v>409</v>
      </c>
      <c r="B902" t="s">
        <v>410</v>
      </c>
      <c r="D902">
        <v>106422</v>
      </c>
      <c r="E902" t="s">
        <v>887</v>
      </c>
      <c r="F902" t="s">
        <v>7</v>
      </c>
      <c r="G902" t="s">
        <v>452</v>
      </c>
      <c r="H902" t="s">
        <v>6</v>
      </c>
      <c r="I902" t="s">
        <v>412</v>
      </c>
      <c r="J902">
        <v>999</v>
      </c>
      <c r="L902">
        <v>1</v>
      </c>
      <c r="M902">
        <v>1</v>
      </c>
      <c r="N902">
        <v>1</v>
      </c>
      <c r="O902">
        <v>100</v>
      </c>
      <c r="P902" t="b">
        <f t="shared" si="14"/>
        <v>0</v>
      </c>
    </row>
    <row r="903" spans="1:16" x14ac:dyDescent="0.2">
      <c r="A903" t="s">
        <v>409</v>
      </c>
      <c r="B903" t="s">
        <v>410</v>
      </c>
      <c r="D903">
        <v>105880</v>
      </c>
      <c r="E903" t="s">
        <v>420</v>
      </c>
      <c r="F903" t="s">
        <v>22</v>
      </c>
      <c r="G903" t="s">
        <v>452</v>
      </c>
      <c r="H903" t="s">
        <v>12</v>
      </c>
      <c r="I903" t="s">
        <v>412</v>
      </c>
      <c r="J903">
        <v>999</v>
      </c>
      <c r="L903">
        <v>1</v>
      </c>
      <c r="M903">
        <v>1</v>
      </c>
      <c r="N903">
        <v>1</v>
      </c>
      <c r="O903">
        <v>100</v>
      </c>
      <c r="P903" t="b">
        <f t="shared" si="14"/>
        <v>0</v>
      </c>
    </row>
    <row r="904" spans="1:16" x14ac:dyDescent="0.2">
      <c r="A904" t="s">
        <v>409</v>
      </c>
      <c r="B904" t="s">
        <v>410</v>
      </c>
      <c r="D904">
        <v>105781</v>
      </c>
      <c r="E904" t="s">
        <v>421</v>
      </c>
      <c r="F904" t="s">
        <v>26</v>
      </c>
      <c r="G904" t="s">
        <v>452</v>
      </c>
      <c r="H904" t="s">
        <v>6</v>
      </c>
      <c r="I904" t="s">
        <v>412</v>
      </c>
      <c r="J904">
        <v>999</v>
      </c>
      <c r="L904">
        <v>1</v>
      </c>
      <c r="M904">
        <v>1</v>
      </c>
      <c r="N904">
        <v>1</v>
      </c>
      <c r="O904">
        <v>100</v>
      </c>
      <c r="P904" t="b">
        <f t="shared" si="14"/>
        <v>0</v>
      </c>
    </row>
    <row r="905" spans="1:16" x14ac:dyDescent="0.2">
      <c r="A905" t="s">
        <v>409</v>
      </c>
      <c r="B905" t="s">
        <v>410</v>
      </c>
      <c r="D905">
        <v>102656</v>
      </c>
      <c r="E905" t="s">
        <v>422</v>
      </c>
      <c r="F905" t="s">
        <v>37</v>
      </c>
      <c r="G905" t="s">
        <v>452</v>
      </c>
      <c r="H905" t="s">
        <v>5</v>
      </c>
      <c r="I905" t="s">
        <v>412</v>
      </c>
      <c r="J905">
        <v>999</v>
      </c>
      <c r="L905">
        <v>1</v>
      </c>
      <c r="M905">
        <v>1</v>
      </c>
      <c r="N905">
        <v>1</v>
      </c>
      <c r="O905">
        <v>100</v>
      </c>
      <c r="P905" t="b">
        <f t="shared" si="14"/>
        <v>0</v>
      </c>
    </row>
    <row r="906" spans="1:16" x14ac:dyDescent="0.2">
      <c r="A906" t="s">
        <v>409</v>
      </c>
      <c r="B906" t="s">
        <v>410</v>
      </c>
      <c r="D906">
        <v>100594</v>
      </c>
      <c r="E906" t="s">
        <v>892</v>
      </c>
      <c r="F906" t="s">
        <v>23</v>
      </c>
      <c r="G906" t="s">
        <v>452</v>
      </c>
      <c r="H906" t="s">
        <v>5</v>
      </c>
      <c r="I906" t="s">
        <v>412</v>
      </c>
      <c r="J906">
        <v>999</v>
      </c>
      <c r="L906">
        <v>1</v>
      </c>
      <c r="M906">
        <v>1</v>
      </c>
      <c r="N906">
        <v>1</v>
      </c>
      <c r="O906">
        <v>100</v>
      </c>
      <c r="P906" t="b">
        <f t="shared" si="14"/>
        <v>0</v>
      </c>
    </row>
    <row r="907" spans="1:16" x14ac:dyDescent="0.2">
      <c r="A907" t="s">
        <v>409</v>
      </c>
      <c r="B907" t="s">
        <v>410</v>
      </c>
      <c r="D907">
        <v>99490</v>
      </c>
      <c r="E907" t="s">
        <v>898</v>
      </c>
      <c r="F907" t="s">
        <v>9</v>
      </c>
      <c r="G907" t="s">
        <v>452</v>
      </c>
      <c r="H907" t="s">
        <v>8</v>
      </c>
      <c r="I907" t="s">
        <v>412</v>
      </c>
      <c r="J907">
        <v>999</v>
      </c>
      <c r="L907">
        <v>1</v>
      </c>
      <c r="M907">
        <v>1</v>
      </c>
      <c r="N907">
        <v>1</v>
      </c>
      <c r="O907">
        <v>100</v>
      </c>
      <c r="P907" t="b">
        <f t="shared" si="14"/>
        <v>0</v>
      </c>
    </row>
    <row r="908" spans="1:16" x14ac:dyDescent="0.2">
      <c r="A908" t="s">
        <v>409</v>
      </c>
      <c r="B908" t="s">
        <v>410</v>
      </c>
      <c r="D908">
        <v>98222</v>
      </c>
      <c r="E908" t="s">
        <v>423</v>
      </c>
      <c r="F908" t="s">
        <v>60</v>
      </c>
      <c r="G908" t="s">
        <v>452</v>
      </c>
      <c r="H908" t="s">
        <v>8</v>
      </c>
      <c r="I908" t="s">
        <v>412</v>
      </c>
      <c r="J908">
        <v>999</v>
      </c>
      <c r="L908">
        <v>1</v>
      </c>
      <c r="M908">
        <v>1</v>
      </c>
      <c r="N908">
        <v>1</v>
      </c>
      <c r="O908">
        <v>100</v>
      </c>
      <c r="P908" t="b">
        <f t="shared" si="14"/>
        <v>0</v>
      </c>
    </row>
    <row r="909" spans="1:16" x14ac:dyDescent="0.2">
      <c r="A909" t="s">
        <v>409</v>
      </c>
      <c r="B909" t="s">
        <v>410</v>
      </c>
      <c r="D909">
        <v>96350</v>
      </c>
      <c r="E909" t="s">
        <v>901</v>
      </c>
      <c r="F909" t="s">
        <v>37</v>
      </c>
      <c r="G909" t="s">
        <v>452</v>
      </c>
      <c r="H909" t="s">
        <v>5</v>
      </c>
      <c r="I909" t="s">
        <v>412</v>
      </c>
      <c r="J909">
        <v>999</v>
      </c>
      <c r="L909">
        <v>1</v>
      </c>
      <c r="M909">
        <v>1</v>
      </c>
      <c r="N909">
        <v>1</v>
      </c>
      <c r="O909">
        <v>100</v>
      </c>
      <c r="P909" t="b">
        <f t="shared" si="14"/>
        <v>0</v>
      </c>
    </row>
    <row r="910" spans="1:16" x14ac:dyDescent="0.2">
      <c r="A910" t="s">
        <v>409</v>
      </c>
      <c r="B910" t="s">
        <v>410</v>
      </c>
      <c r="D910">
        <v>95275</v>
      </c>
      <c r="E910" t="s">
        <v>903</v>
      </c>
      <c r="F910" t="s">
        <v>9</v>
      </c>
      <c r="G910" t="s">
        <v>452</v>
      </c>
      <c r="H910" t="s">
        <v>8</v>
      </c>
      <c r="I910" t="s">
        <v>412</v>
      </c>
      <c r="J910">
        <v>999</v>
      </c>
      <c r="L910">
        <v>1</v>
      </c>
      <c r="M910">
        <v>1</v>
      </c>
      <c r="N910">
        <v>1</v>
      </c>
      <c r="O910">
        <v>100</v>
      </c>
      <c r="P910" t="b">
        <f t="shared" si="14"/>
        <v>0</v>
      </c>
    </row>
    <row r="911" spans="1:16" x14ac:dyDescent="0.2">
      <c r="A911" t="s">
        <v>409</v>
      </c>
      <c r="B911" t="s">
        <v>410</v>
      </c>
      <c r="D911">
        <v>95267</v>
      </c>
      <c r="E911" t="s">
        <v>904</v>
      </c>
      <c r="F911" t="s">
        <v>44</v>
      </c>
      <c r="G911" t="s">
        <v>452</v>
      </c>
      <c r="H911" t="s">
        <v>12</v>
      </c>
      <c r="I911" t="s">
        <v>412</v>
      </c>
      <c r="J911">
        <v>999</v>
      </c>
      <c r="L911">
        <v>1</v>
      </c>
      <c r="M911">
        <v>1</v>
      </c>
      <c r="N911">
        <v>1</v>
      </c>
      <c r="O911">
        <v>100</v>
      </c>
      <c r="P911" t="b">
        <f t="shared" si="14"/>
        <v>0</v>
      </c>
    </row>
    <row r="912" spans="1:16" x14ac:dyDescent="0.2">
      <c r="A912" t="s">
        <v>409</v>
      </c>
      <c r="B912" t="s">
        <v>410</v>
      </c>
      <c r="D912">
        <v>94033</v>
      </c>
      <c r="E912" t="s">
        <v>908</v>
      </c>
      <c r="F912" t="s">
        <v>47</v>
      </c>
      <c r="G912" t="s">
        <v>452</v>
      </c>
      <c r="H912" t="s">
        <v>12</v>
      </c>
      <c r="I912" t="s">
        <v>412</v>
      </c>
      <c r="J912">
        <v>999</v>
      </c>
      <c r="L912">
        <v>1</v>
      </c>
      <c r="M912">
        <v>1</v>
      </c>
      <c r="N912">
        <v>1</v>
      </c>
      <c r="O912">
        <v>100</v>
      </c>
      <c r="P912" t="b">
        <f t="shared" si="14"/>
        <v>0</v>
      </c>
    </row>
    <row r="913" spans="1:16" x14ac:dyDescent="0.2">
      <c r="A913" t="s">
        <v>409</v>
      </c>
      <c r="B913" t="s">
        <v>410</v>
      </c>
      <c r="D913">
        <v>91165</v>
      </c>
      <c r="E913" t="s">
        <v>424</v>
      </c>
      <c r="F913" t="s">
        <v>9</v>
      </c>
      <c r="G913" t="s">
        <v>452</v>
      </c>
      <c r="H913" t="s">
        <v>8</v>
      </c>
      <c r="I913" t="s">
        <v>412</v>
      </c>
      <c r="J913">
        <v>999</v>
      </c>
      <c r="L913">
        <v>1</v>
      </c>
      <c r="M913">
        <v>1</v>
      </c>
      <c r="N913">
        <v>1</v>
      </c>
      <c r="O913">
        <v>100</v>
      </c>
      <c r="P913" t="b">
        <f t="shared" si="14"/>
        <v>0</v>
      </c>
    </row>
    <row r="914" spans="1:16" x14ac:dyDescent="0.2">
      <c r="A914" t="s">
        <v>409</v>
      </c>
      <c r="B914" t="s">
        <v>410</v>
      </c>
      <c r="D914">
        <v>88751</v>
      </c>
      <c r="E914" t="s">
        <v>425</v>
      </c>
      <c r="F914" t="s">
        <v>21</v>
      </c>
      <c r="G914" t="s">
        <v>452</v>
      </c>
      <c r="H914" t="s">
        <v>5</v>
      </c>
      <c r="I914" t="s">
        <v>412</v>
      </c>
      <c r="J914">
        <v>999</v>
      </c>
      <c r="L914">
        <v>1</v>
      </c>
      <c r="M914">
        <v>1</v>
      </c>
      <c r="N914">
        <v>1</v>
      </c>
      <c r="O914">
        <v>100</v>
      </c>
      <c r="P914" t="b">
        <f t="shared" si="14"/>
        <v>0</v>
      </c>
    </row>
    <row r="915" spans="1:16" x14ac:dyDescent="0.2">
      <c r="A915" t="s">
        <v>409</v>
      </c>
      <c r="B915" t="s">
        <v>410</v>
      </c>
      <c r="D915">
        <v>87705</v>
      </c>
      <c r="E915" t="s">
        <v>920</v>
      </c>
      <c r="F915" t="s">
        <v>36</v>
      </c>
      <c r="G915" t="s">
        <v>452</v>
      </c>
      <c r="H915" t="s">
        <v>5</v>
      </c>
      <c r="I915" t="s">
        <v>412</v>
      </c>
      <c r="J915">
        <v>999</v>
      </c>
      <c r="L915">
        <v>1</v>
      </c>
      <c r="M915">
        <v>1</v>
      </c>
      <c r="N915">
        <v>1</v>
      </c>
      <c r="O915">
        <v>100</v>
      </c>
      <c r="P915" t="b">
        <f t="shared" si="14"/>
        <v>0</v>
      </c>
    </row>
    <row r="916" spans="1:16" x14ac:dyDescent="0.2">
      <c r="A916" t="s">
        <v>409</v>
      </c>
      <c r="B916" t="s">
        <v>410</v>
      </c>
      <c r="D916">
        <v>87620</v>
      </c>
      <c r="E916" t="s">
        <v>921</v>
      </c>
      <c r="F916" t="s">
        <v>21</v>
      </c>
      <c r="G916" t="s">
        <v>452</v>
      </c>
      <c r="H916" t="s">
        <v>5</v>
      </c>
      <c r="I916" t="s">
        <v>412</v>
      </c>
      <c r="J916">
        <v>999</v>
      </c>
      <c r="L916">
        <v>1</v>
      </c>
      <c r="M916">
        <v>1</v>
      </c>
      <c r="N916">
        <v>1</v>
      </c>
      <c r="O916">
        <v>100</v>
      </c>
      <c r="P916" t="b">
        <f t="shared" si="14"/>
        <v>0</v>
      </c>
    </row>
    <row r="917" spans="1:16" x14ac:dyDescent="0.2">
      <c r="A917" t="s">
        <v>409</v>
      </c>
      <c r="B917" t="s">
        <v>410</v>
      </c>
      <c r="D917">
        <v>85743</v>
      </c>
      <c r="E917" t="s">
        <v>922</v>
      </c>
      <c r="F917" t="s">
        <v>7</v>
      </c>
      <c r="G917" t="s">
        <v>452</v>
      </c>
      <c r="H917" t="s">
        <v>6</v>
      </c>
      <c r="I917" t="s">
        <v>412</v>
      </c>
      <c r="J917">
        <v>999</v>
      </c>
      <c r="L917">
        <v>1</v>
      </c>
      <c r="M917">
        <v>1</v>
      </c>
      <c r="N917">
        <v>1</v>
      </c>
      <c r="O917">
        <v>100</v>
      </c>
      <c r="P917" t="b">
        <f t="shared" si="14"/>
        <v>0</v>
      </c>
    </row>
    <row r="918" spans="1:16" x14ac:dyDescent="0.2">
      <c r="A918" t="s">
        <v>409</v>
      </c>
      <c r="B918" t="s">
        <v>410</v>
      </c>
      <c r="D918">
        <v>84842</v>
      </c>
      <c r="E918" t="s">
        <v>426</v>
      </c>
      <c r="F918" t="s">
        <v>23</v>
      </c>
      <c r="G918" t="s">
        <v>452</v>
      </c>
      <c r="H918" t="s">
        <v>5</v>
      </c>
      <c r="I918" t="s">
        <v>412</v>
      </c>
      <c r="J918">
        <v>999</v>
      </c>
      <c r="L918">
        <v>1</v>
      </c>
      <c r="M918">
        <v>1</v>
      </c>
      <c r="N918">
        <v>1</v>
      </c>
      <c r="O918">
        <v>100</v>
      </c>
      <c r="P918" t="b">
        <f t="shared" si="14"/>
        <v>0</v>
      </c>
    </row>
    <row r="919" spans="1:16" x14ac:dyDescent="0.2">
      <c r="A919" t="s">
        <v>409</v>
      </c>
      <c r="B919" t="s">
        <v>410</v>
      </c>
      <c r="D919">
        <v>83666</v>
      </c>
      <c r="E919" t="s">
        <v>926</v>
      </c>
      <c r="F919" t="s">
        <v>59</v>
      </c>
      <c r="G919" t="s">
        <v>452</v>
      </c>
      <c r="H919" t="s">
        <v>8</v>
      </c>
      <c r="I919" t="s">
        <v>412</v>
      </c>
      <c r="J919">
        <v>999</v>
      </c>
      <c r="L919">
        <v>1</v>
      </c>
      <c r="M919">
        <v>1</v>
      </c>
      <c r="N919">
        <v>1</v>
      </c>
      <c r="O919">
        <v>100</v>
      </c>
      <c r="P919" t="b">
        <f t="shared" si="14"/>
        <v>0</v>
      </c>
    </row>
    <row r="920" spans="1:16" x14ac:dyDescent="0.2">
      <c r="A920" t="s">
        <v>409</v>
      </c>
      <c r="B920" t="s">
        <v>410</v>
      </c>
      <c r="D920">
        <v>83663</v>
      </c>
      <c r="E920" t="s">
        <v>427</v>
      </c>
      <c r="F920" t="s">
        <v>59</v>
      </c>
      <c r="G920" t="s">
        <v>452</v>
      </c>
      <c r="H920" t="s">
        <v>8</v>
      </c>
      <c r="I920" t="s">
        <v>412</v>
      </c>
      <c r="J920">
        <v>999</v>
      </c>
      <c r="L920">
        <v>1</v>
      </c>
      <c r="M920">
        <v>1</v>
      </c>
      <c r="N920">
        <v>1</v>
      </c>
      <c r="O920">
        <v>100</v>
      </c>
      <c r="P920" t="b">
        <f t="shared" si="14"/>
        <v>0</v>
      </c>
    </row>
    <row r="921" spans="1:16" x14ac:dyDescent="0.2">
      <c r="A921" t="s">
        <v>409</v>
      </c>
      <c r="B921" t="s">
        <v>410</v>
      </c>
      <c r="D921">
        <v>83640</v>
      </c>
      <c r="E921" t="s">
        <v>428</v>
      </c>
      <c r="F921" t="s">
        <v>37</v>
      </c>
      <c r="G921" t="s">
        <v>452</v>
      </c>
      <c r="H921" t="s">
        <v>5</v>
      </c>
      <c r="I921" t="s">
        <v>412</v>
      </c>
      <c r="J921">
        <v>999</v>
      </c>
      <c r="L921">
        <v>1</v>
      </c>
      <c r="M921">
        <v>1</v>
      </c>
      <c r="N921">
        <v>1</v>
      </c>
      <c r="O921">
        <v>100</v>
      </c>
      <c r="P921" t="b">
        <f t="shared" si="14"/>
        <v>0</v>
      </c>
    </row>
    <row r="922" spans="1:16" x14ac:dyDescent="0.2">
      <c r="A922" t="s">
        <v>409</v>
      </c>
      <c r="B922" t="s">
        <v>410</v>
      </c>
      <c r="D922">
        <v>82500</v>
      </c>
      <c r="E922" t="s">
        <v>927</v>
      </c>
      <c r="F922" t="s">
        <v>26</v>
      </c>
      <c r="G922" t="s">
        <v>452</v>
      </c>
      <c r="H922" t="s">
        <v>6</v>
      </c>
      <c r="I922" t="s">
        <v>412</v>
      </c>
      <c r="J922">
        <v>999</v>
      </c>
      <c r="L922">
        <v>1</v>
      </c>
      <c r="M922">
        <v>1</v>
      </c>
      <c r="N922">
        <v>1</v>
      </c>
      <c r="O922">
        <v>100</v>
      </c>
      <c r="P922" t="b">
        <f t="shared" si="14"/>
        <v>0</v>
      </c>
    </row>
    <row r="923" spans="1:16" x14ac:dyDescent="0.2">
      <c r="A923" t="s">
        <v>409</v>
      </c>
      <c r="B923" t="s">
        <v>410</v>
      </c>
      <c r="D923">
        <v>82371</v>
      </c>
      <c r="E923" t="s">
        <v>928</v>
      </c>
      <c r="F923" t="s">
        <v>24</v>
      </c>
      <c r="G923" t="s">
        <v>452</v>
      </c>
      <c r="H923" t="s">
        <v>5</v>
      </c>
      <c r="I923" t="s">
        <v>412</v>
      </c>
      <c r="J923">
        <v>999</v>
      </c>
      <c r="L923">
        <v>1</v>
      </c>
      <c r="M923">
        <v>1</v>
      </c>
      <c r="N923">
        <v>1</v>
      </c>
      <c r="O923">
        <v>100</v>
      </c>
      <c r="P923" t="b">
        <f t="shared" si="14"/>
        <v>0</v>
      </c>
    </row>
    <row r="924" spans="1:16" x14ac:dyDescent="0.2">
      <c r="A924" t="s">
        <v>409</v>
      </c>
      <c r="B924" t="s">
        <v>410</v>
      </c>
      <c r="D924">
        <v>81335</v>
      </c>
      <c r="E924" t="s">
        <v>429</v>
      </c>
      <c r="F924" t="s">
        <v>26</v>
      </c>
      <c r="G924" t="s">
        <v>452</v>
      </c>
      <c r="H924" t="s">
        <v>6</v>
      </c>
      <c r="I924" t="s">
        <v>412</v>
      </c>
      <c r="J924">
        <v>999</v>
      </c>
      <c r="L924">
        <v>1</v>
      </c>
      <c r="M924">
        <v>1</v>
      </c>
      <c r="N924">
        <v>1</v>
      </c>
      <c r="O924">
        <v>100</v>
      </c>
      <c r="P924" t="b">
        <f t="shared" si="14"/>
        <v>0</v>
      </c>
    </row>
    <row r="925" spans="1:16" x14ac:dyDescent="0.2">
      <c r="A925" t="s">
        <v>409</v>
      </c>
      <c r="B925" t="s">
        <v>410</v>
      </c>
      <c r="D925">
        <v>77171</v>
      </c>
      <c r="E925" t="s">
        <v>430</v>
      </c>
      <c r="F925" t="s">
        <v>34</v>
      </c>
      <c r="G925" t="s">
        <v>452</v>
      </c>
      <c r="H925" t="s">
        <v>8</v>
      </c>
      <c r="I925" t="s">
        <v>412</v>
      </c>
      <c r="J925">
        <v>999</v>
      </c>
      <c r="L925">
        <v>1</v>
      </c>
      <c r="M925">
        <v>1</v>
      </c>
      <c r="N925">
        <v>1</v>
      </c>
      <c r="O925">
        <v>100</v>
      </c>
      <c r="P925" t="b">
        <f t="shared" si="14"/>
        <v>0</v>
      </c>
    </row>
    <row r="926" spans="1:16" x14ac:dyDescent="0.2">
      <c r="A926" t="s">
        <v>409</v>
      </c>
      <c r="B926" t="s">
        <v>410</v>
      </c>
      <c r="D926">
        <v>75691</v>
      </c>
      <c r="E926" t="s">
        <v>936</v>
      </c>
      <c r="F926" t="s">
        <v>36</v>
      </c>
      <c r="G926" t="s">
        <v>452</v>
      </c>
      <c r="H926" t="s">
        <v>5</v>
      </c>
      <c r="I926" t="s">
        <v>412</v>
      </c>
      <c r="J926">
        <v>999</v>
      </c>
      <c r="L926">
        <v>1</v>
      </c>
      <c r="M926">
        <v>1</v>
      </c>
      <c r="N926">
        <v>1</v>
      </c>
      <c r="O926">
        <v>100</v>
      </c>
      <c r="P926" t="b">
        <f t="shared" si="14"/>
        <v>0</v>
      </c>
    </row>
    <row r="927" spans="1:16" x14ac:dyDescent="0.2">
      <c r="A927" t="s">
        <v>409</v>
      </c>
      <c r="B927" t="s">
        <v>410</v>
      </c>
      <c r="D927">
        <v>75690</v>
      </c>
      <c r="E927" t="s">
        <v>431</v>
      </c>
      <c r="F927" t="s">
        <v>36</v>
      </c>
      <c r="G927" t="s">
        <v>452</v>
      </c>
      <c r="H927" t="s">
        <v>5</v>
      </c>
      <c r="I927" t="s">
        <v>412</v>
      </c>
      <c r="J927">
        <v>999</v>
      </c>
      <c r="L927">
        <v>1</v>
      </c>
      <c r="M927">
        <v>1</v>
      </c>
      <c r="N927">
        <v>1</v>
      </c>
      <c r="O927">
        <v>100</v>
      </c>
      <c r="P927" t="b">
        <f t="shared" si="14"/>
        <v>0</v>
      </c>
    </row>
    <row r="928" spans="1:16" x14ac:dyDescent="0.2">
      <c r="A928" t="s">
        <v>409</v>
      </c>
      <c r="B928" t="s">
        <v>410</v>
      </c>
      <c r="D928">
        <v>74738</v>
      </c>
      <c r="E928" t="s">
        <v>938</v>
      </c>
      <c r="F928" t="s">
        <v>7</v>
      </c>
      <c r="G928" t="s">
        <v>452</v>
      </c>
      <c r="H928" t="s">
        <v>6</v>
      </c>
      <c r="I928" t="s">
        <v>412</v>
      </c>
      <c r="J928">
        <v>999</v>
      </c>
      <c r="L928">
        <v>1</v>
      </c>
      <c r="M928">
        <v>1</v>
      </c>
      <c r="N928">
        <v>1</v>
      </c>
      <c r="O928">
        <v>100</v>
      </c>
      <c r="P928" t="b">
        <f t="shared" si="14"/>
        <v>0</v>
      </c>
    </row>
    <row r="929" spans="1:16" x14ac:dyDescent="0.2">
      <c r="A929" t="s">
        <v>409</v>
      </c>
      <c r="B929" t="s">
        <v>410</v>
      </c>
      <c r="D929">
        <v>72102</v>
      </c>
      <c r="E929" t="s">
        <v>940</v>
      </c>
      <c r="F929" t="s">
        <v>9</v>
      </c>
      <c r="G929" t="s">
        <v>452</v>
      </c>
      <c r="H929" t="s">
        <v>8</v>
      </c>
      <c r="I929" t="s">
        <v>412</v>
      </c>
      <c r="J929">
        <v>999</v>
      </c>
      <c r="L929">
        <v>1</v>
      </c>
      <c r="M929">
        <v>1</v>
      </c>
      <c r="N929">
        <v>1</v>
      </c>
      <c r="O929">
        <v>100</v>
      </c>
      <c r="P929" t="b">
        <f t="shared" si="14"/>
        <v>0</v>
      </c>
    </row>
    <row r="930" spans="1:16" x14ac:dyDescent="0.2">
      <c r="A930" t="s">
        <v>409</v>
      </c>
      <c r="B930" t="s">
        <v>410</v>
      </c>
      <c r="D930">
        <v>71920</v>
      </c>
      <c r="E930" t="s">
        <v>941</v>
      </c>
      <c r="F930" t="s">
        <v>36</v>
      </c>
      <c r="G930" t="s">
        <v>452</v>
      </c>
      <c r="H930" t="s">
        <v>5</v>
      </c>
      <c r="I930" t="s">
        <v>412</v>
      </c>
      <c r="J930">
        <v>999</v>
      </c>
      <c r="L930">
        <v>1</v>
      </c>
      <c r="M930">
        <v>1</v>
      </c>
      <c r="N930">
        <v>1</v>
      </c>
      <c r="O930">
        <v>100</v>
      </c>
      <c r="P930" t="b">
        <f t="shared" si="14"/>
        <v>0</v>
      </c>
    </row>
    <row r="931" spans="1:16" x14ac:dyDescent="0.2">
      <c r="A931" t="s">
        <v>409</v>
      </c>
      <c r="B931" t="s">
        <v>410</v>
      </c>
      <c r="D931">
        <v>70903</v>
      </c>
      <c r="E931" t="s">
        <v>432</v>
      </c>
      <c r="F931" t="s">
        <v>22</v>
      </c>
      <c r="G931" t="s">
        <v>452</v>
      </c>
      <c r="H931" t="s">
        <v>12</v>
      </c>
      <c r="I931" t="s">
        <v>412</v>
      </c>
      <c r="J931">
        <v>999</v>
      </c>
      <c r="L931">
        <v>1</v>
      </c>
      <c r="M931">
        <v>1</v>
      </c>
      <c r="N931">
        <v>1</v>
      </c>
      <c r="O931">
        <v>100</v>
      </c>
      <c r="P931" t="b">
        <f t="shared" si="14"/>
        <v>0</v>
      </c>
    </row>
    <row r="932" spans="1:16" x14ac:dyDescent="0.2">
      <c r="A932" t="s">
        <v>409</v>
      </c>
      <c r="B932" t="s">
        <v>410</v>
      </c>
      <c r="D932">
        <v>70871</v>
      </c>
      <c r="E932" t="s">
        <v>945</v>
      </c>
      <c r="F932" t="s">
        <v>48</v>
      </c>
      <c r="G932" t="s">
        <v>452</v>
      </c>
      <c r="H932" t="s">
        <v>12</v>
      </c>
      <c r="I932" t="s">
        <v>412</v>
      </c>
      <c r="J932">
        <v>999</v>
      </c>
      <c r="L932">
        <v>1</v>
      </c>
      <c r="M932">
        <v>1</v>
      </c>
      <c r="N932">
        <v>1</v>
      </c>
      <c r="O932">
        <v>100</v>
      </c>
      <c r="P932" t="b">
        <f t="shared" si="14"/>
        <v>0</v>
      </c>
    </row>
    <row r="933" spans="1:16" x14ac:dyDescent="0.2">
      <c r="A933" t="s">
        <v>409</v>
      </c>
      <c r="B933" t="s">
        <v>410</v>
      </c>
      <c r="D933">
        <v>70737</v>
      </c>
      <c r="E933" t="s">
        <v>433</v>
      </c>
      <c r="F933" t="s">
        <v>98</v>
      </c>
      <c r="G933" t="s">
        <v>452</v>
      </c>
      <c r="H933" t="s">
        <v>12</v>
      </c>
      <c r="I933" t="s">
        <v>412</v>
      </c>
      <c r="J933">
        <v>999</v>
      </c>
      <c r="L933">
        <v>1</v>
      </c>
      <c r="M933">
        <v>1</v>
      </c>
      <c r="N933">
        <v>1</v>
      </c>
      <c r="O933">
        <v>100</v>
      </c>
      <c r="P933" t="b">
        <f t="shared" si="14"/>
        <v>0</v>
      </c>
    </row>
    <row r="934" spans="1:16" x14ac:dyDescent="0.2">
      <c r="A934" t="s">
        <v>409</v>
      </c>
      <c r="B934" t="s">
        <v>410</v>
      </c>
      <c r="D934">
        <v>69063</v>
      </c>
      <c r="E934" t="s">
        <v>434</v>
      </c>
      <c r="F934" t="s">
        <v>98</v>
      </c>
      <c r="G934" t="s">
        <v>452</v>
      </c>
      <c r="H934" t="s">
        <v>12</v>
      </c>
      <c r="I934" t="s">
        <v>412</v>
      </c>
      <c r="J934">
        <v>999</v>
      </c>
      <c r="L934">
        <v>1</v>
      </c>
      <c r="M934">
        <v>1</v>
      </c>
      <c r="N934">
        <v>1</v>
      </c>
      <c r="O934">
        <v>100</v>
      </c>
      <c r="P934" t="b">
        <f t="shared" si="14"/>
        <v>0</v>
      </c>
    </row>
    <row r="935" spans="1:16" x14ac:dyDescent="0.2">
      <c r="A935" t="s">
        <v>409</v>
      </c>
      <c r="B935" t="s">
        <v>410</v>
      </c>
      <c r="D935">
        <v>68897</v>
      </c>
      <c r="E935" t="s">
        <v>954</v>
      </c>
      <c r="F935" t="s">
        <v>9</v>
      </c>
      <c r="G935" t="s">
        <v>452</v>
      </c>
      <c r="H935" t="s">
        <v>8</v>
      </c>
      <c r="I935" t="s">
        <v>412</v>
      </c>
      <c r="J935">
        <v>999</v>
      </c>
      <c r="L935">
        <v>1</v>
      </c>
      <c r="M935">
        <v>1</v>
      </c>
      <c r="N935">
        <v>1</v>
      </c>
      <c r="O935">
        <v>100</v>
      </c>
      <c r="P935" t="b">
        <f t="shared" si="14"/>
        <v>0</v>
      </c>
    </row>
    <row r="936" spans="1:16" x14ac:dyDescent="0.2">
      <c r="A936" t="s">
        <v>409</v>
      </c>
      <c r="B936" t="s">
        <v>410</v>
      </c>
      <c r="D936">
        <v>68893</v>
      </c>
      <c r="E936" t="s">
        <v>955</v>
      </c>
      <c r="F936" t="s">
        <v>22</v>
      </c>
      <c r="G936" t="s">
        <v>452</v>
      </c>
      <c r="H936" t="s">
        <v>12</v>
      </c>
      <c r="I936" t="s">
        <v>412</v>
      </c>
      <c r="J936">
        <v>999</v>
      </c>
      <c r="L936">
        <v>1</v>
      </c>
      <c r="M936">
        <v>1</v>
      </c>
      <c r="N936">
        <v>1</v>
      </c>
      <c r="O936">
        <v>100</v>
      </c>
      <c r="P936" t="b">
        <f t="shared" si="14"/>
        <v>0</v>
      </c>
    </row>
    <row r="937" spans="1:16" x14ac:dyDescent="0.2">
      <c r="A937" t="s">
        <v>409</v>
      </c>
      <c r="B937" t="s">
        <v>410</v>
      </c>
      <c r="D937">
        <v>68847</v>
      </c>
      <c r="E937" t="s">
        <v>956</v>
      </c>
      <c r="F937" t="s">
        <v>36</v>
      </c>
      <c r="G937" t="s">
        <v>452</v>
      </c>
      <c r="H937" t="s">
        <v>5</v>
      </c>
      <c r="I937" t="s">
        <v>412</v>
      </c>
      <c r="J937">
        <v>999</v>
      </c>
      <c r="L937">
        <v>1</v>
      </c>
      <c r="M937">
        <v>1</v>
      </c>
      <c r="N937">
        <v>1</v>
      </c>
      <c r="O937">
        <v>100</v>
      </c>
      <c r="P937" t="b">
        <f t="shared" si="14"/>
        <v>0</v>
      </c>
    </row>
    <row r="938" spans="1:16" x14ac:dyDescent="0.2">
      <c r="A938" t="s">
        <v>409</v>
      </c>
      <c r="B938" t="s">
        <v>410</v>
      </c>
      <c r="D938">
        <v>68846</v>
      </c>
      <c r="E938" t="s">
        <v>957</v>
      </c>
      <c r="F938" t="s">
        <v>36</v>
      </c>
      <c r="G938" t="s">
        <v>452</v>
      </c>
      <c r="H938" t="s">
        <v>5</v>
      </c>
      <c r="I938" t="s">
        <v>412</v>
      </c>
      <c r="J938">
        <v>999</v>
      </c>
      <c r="L938">
        <v>1</v>
      </c>
      <c r="M938">
        <v>1</v>
      </c>
      <c r="N938">
        <v>1</v>
      </c>
      <c r="O938">
        <v>100</v>
      </c>
      <c r="P938" t="b">
        <f t="shared" si="14"/>
        <v>0</v>
      </c>
    </row>
    <row r="939" spans="1:16" x14ac:dyDescent="0.2">
      <c r="A939" t="s">
        <v>409</v>
      </c>
      <c r="B939" t="s">
        <v>410</v>
      </c>
      <c r="D939">
        <v>68764</v>
      </c>
      <c r="E939" t="s">
        <v>960</v>
      </c>
      <c r="F939" t="s">
        <v>7</v>
      </c>
      <c r="G939" t="s">
        <v>452</v>
      </c>
      <c r="H939" t="s">
        <v>6</v>
      </c>
      <c r="I939" t="s">
        <v>412</v>
      </c>
      <c r="J939">
        <v>999</v>
      </c>
      <c r="L939">
        <v>1</v>
      </c>
      <c r="M939">
        <v>1</v>
      </c>
      <c r="N939">
        <v>1</v>
      </c>
      <c r="O939">
        <v>100</v>
      </c>
      <c r="P939" t="b">
        <f t="shared" si="14"/>
        <v>0</v>
      </c>
    </row>
    <row r="940" spans="1:16" x14ac:dyDescent="0.2">
      <c r="A940" t="s">
        <v>409</v>
      </c>
      <c r="B940" t="s">
        <v>410</v>
      </c>
      <c r="D940">
        <v>68329</v>
      </c>
      <c r="E940" t="s">
        <v>961</v>
      </c>
      <c r="F940" t="s">
        <v>7</v>
      </c>
      <c r="G940" t="s">
        <v>452</v>
      </c>
      <c r="H940" t="s">
        <v>6</v>
      </c>
      <c r="I940" t="s">
        <v>412</v>
      </c>
      <c r="J940">
        <v>999</v>
      </c>
      <c r="L940">
        <v>1</v>
      </c>
      <c r="M940">
        <v>1</v>
      </c>
      <c r="N940">
        <v>1</v>
      </c>
      <c r="O940">
        <v>100</v>
      </c>
      <c r="P940" t="b">
        <f t="shared" si="14"/>
        <v>0</v>
      </c>
    </row>
    <row r="941" spans="1:16" x14ac:dyDescent="0.2">
      <c r="A941" t="s">
        <v>409</v>
      </c>
      <c r="B941" t="s">
        <v>410</v>
      </c>
      <c r="D941">
        <v>67339</v>
      </c>
      <c r="E941" t="s">
        <v>965</v>
      </c>
      <c r="F941" t="s">
        <v>37</v>
      </c>
      <c r="G941" t="s">
        <v>452</v>
      </c>
      <c r="H941" t="s">
        <v>5</v>
      </c>
      <c r="I941" t="s">
        <v>412</v>
      </c>
      <c r="J941">
        <v>999</v>
      </c>
      <c r="L941">
        <v>1</v>
      </c>
      <c r="M941">
        <v>1</v>
      </c>
      <c r="N941">
        <v>1</v>
      </c>
      <c r="O941">
        <v>100</v>
      </c>
      <c r="P941" t="b">
        <f t="shared" si="14"/>
        <v>0</v>
      </c>
    </row>
    <row r="942" spans="1:16" x14ac:dyDescent="0.2">
      <c r="A942" t="s">
        <v>409</v>
      </c>
      <c r="B942" t="s">
        <v>410</v>
      </c>
      <c r="D942">
        <v>66745</v>
      </c>
      <c r="E942" t="s">
        <v>435</v>
      </c>
      <c r="F942" t="s">
        <v>44</v>
      </c>
      <c r="G942" t="s">
        <v>452</v>
      </c>
      <c r="H942" t="s">
        <v>12</v>
      </c>
      <c r="I942" t="s">
        <v>412</v>
      </c>
      <c r="J942">
        <v>999</v>
      </c>
      <c r="L942">
        <v>1</v>
      </c>
      <c r="M942">
        <v>1</v>
      </c>
      <c r="N942">
        <v>1</v>
      </c>
      <c r="O942">
        <v>100</v>
      </c>
      <c r="P942" t="b">
        <f t="shared" si="14"/>
        <v>0</v>
      </c>
    </row>
    <row r="943" spans="1:16" x14ac:dyDescent="0.2">
      <c r="A943" t="s">
        <v>409</v>
      </c>
      <c r="B943" t="s">
        <v>410</v>
      </c>
      <c r="D943">
        <v>65950</v>
      </c>
      <c r="E943" t="s">
        <v>967</v>
      </c>
      <c r="F943" t="s">
        <v>98</v>
      </c>
      <c r="G943" t="s">
        <v>452</v>
      </c>
      <c r="H943" t="s">
        <v>12</v>
      </c>
      <c r="I943" t="s">
        <v>412</v>
      </c>
      <c r="J943">
        <v>999</v>
      </c>
      <c r="L943">
        <v>1</v>
      </c>
      <c r="M943">
        <v>1</v>
      </c>
      <c r="N943">
        <v>1</v>
      </c>
      <c r="O943">
        <v>100</v>
      </c>
      <c r="P943" t="b">
        <f t="shared" si="14"/>
        <v>0</v>
      </c>
    </row>
    <row r="944" spans="1:16" x14ac:dyDescent="0.2">
      <c r="A944" t="s">
        <v>409</v>
      </c>
      <c r="B944" t="s">
        <v>410</v>
      </c>
      <c r="D944">
        <v>63792</v>
      </c>
      <c r="E944" t="s">
        <v>971</v>
      </c>
      <c r="F944" t="s">
        <v>36</v>
      </c>
      <c r="G944" t="s">
        <v>452</v>
      </c>
      <c r="H944" t="s">
        <v>5</v>
      </c>
      <c r="I944" t="s">
        <v>412</v>
      </c>
      <c r="J944">
        <v>999</v>
      </c>
      <c r="L944">
        <v>1</v>
      </c>
      <c r="M944">
        <v>1</v>
      </c>
      <c r="N944">
        <v>1</v>
      </c>
      <c r="O944">
        <v>100</v>
      </c>
      <c r="P944" t="b">
        <f t="shared" si="14"/>
        <v>0</v>
      </c>
    </row>
    <row r="945" spans="1:16" x14ac:dyDescent="0.2">
      <c r="A945" t="s">
        <v>409</v>
      </c>
      <c r="B945" t="s">
        <v>410</v>
      </c>
      <c r="D945">
        <v>63467</v>
      </c>
      <c r="E945" t="s">
        <v>436</v>
      </c>
      <c r="F945" t="s">
        <v>59</v>
      </c>
      <c r="G945" t="s">
        <v>452</v>
      </c>
      <c r="H945" t="s">
        <v>8</v>
      </c>
      <c r="I945" t="s">
        <v>412</v>
      </c>
      <c r="J945">
        <v>999</v>
      </c>
      <c r="L945">
        <v>1</v>
      </c>
      <c r="M945">
        <v>1</v>
      </c>
      <c r="N945">
        <v>1</v>
      </c>
      <c r="O945">
        <v>100</v>
      </c>
      <c r="P945" t="b">
        <f t="shared" si="14"/>
        <v>0</v>
      </c>
    </row>
    <row r="946" spans="1:16" x14ac:dyDescent="0.2">
      <c r="A946" t="s">
        <v>409</v>
      </c>
      <c r="B946" t="s">
        <v>410</v>
      </c>
      <c r="D946">
        <v>60769</v>
      </c>
      <c r="E946" t="s">
        <v>437</v>
      </c>
      <c r="F946" t="s">
        <v>23</v>
      </c>
      <c r="G946" t="s">
        <v>452</v>
      </c>
      <c r="H946" t="s">
        <v>5</v>
      </c>
      <c r="I946" t="s">
        <v>412</v>
      </c>
      <c r="J946">
        <v>999</v>
      </c>
      <c r="L946">
        <v>1</v>
      </c>
      <c r="M946">
        <v>1</v>
      </c>
      <c r="N946">
        <v>1</v>
      </c>
      <c r="O946">
        <v>100</v>
      </c>
      <c r="P946" t="b">
        <f t="shared" si="14"/>
        <v>0</v>
      </c>
    </row>
    <row r="947" spans="1:16" x14ac:dyDescent="0.2">
      <c r="A947" t="s">
        <v>409</v>
      </c>
      <c r="B947" t="s">
        <v>410</v>
      </c>
      <c r="D947">
        <v>60675</v>
      </c>
      <c r="E947" t="s">
        <v>976</v>
      </c>
      <c r="F947" t="s">
        <v>39</v>
      </c>
      <c r="G947" t="s">
        <v>452</v>
      </c>
      <c r="H947" t="s">
        <v>5</v>
      </c>
      <c r="I947" t="s">
        <v>412</v>
      </c>
      <c r="J947">
        <v>999</v>
      </c>
      <c r="L947">
        <v>1</v>
      </c>
      <c r="M947">
        <v>1</v>
      </c>
      <c r="N947">
        <v>1</v>
      </c>
      <c r="O947">
        <v>100</v>
      </c>
      <c r="P947" t="b">
        <f t="shared" si="14"/>
        <v>0</v>
      </c>
    </row>
    <row r="948" spans="1:16" x14ac:dyDescent="0.2">
      <c r="A948" t="s">
        <v>409</v>
      </c>
      <c r="B948" t="s">
        <v>410</v>
      </c>
      <c r="D948">
        <v>59624</v>
      </c>
      <c r="E948" t="s">
        <v>979</v>
      </c>
      <c r="F948" t="s">
        <v>21</v>
      </c>
      <c r="G948" t="s">
        <v>452</v>
      </c>
      <c r="H948" t="s">
        <v>5</v>
      </c>
      <c r="I948" t="s">
        <v>412</v>
      </c>
      <c r="J948">
        <v>999</v>
      </c>
      <c r="L948">
        <v>1</v>
      </c>
      <c r="M948">
        <v>1</v>
      </c>
      <c r="N948">
        <v>1</v>
      </c>
      <c r="O948">
        <v>100</v>
      </c>
      <c r="P948" t="b">
        <f t="shared" si="14"/>
        <v>0</v>
      </c>
    </row>
    <row r="949" spans="1:16" x14ac:dyDescent="0.2">
      <c r="A949" t="s">
        <v>409</v>
      </c>
      <c r="B949" t="s">
        <v>410</v>
      </c>
      <c r="D949">
        <v>59176</v>
      </c>
      <c r="E949" t="s">
        <v>438</v>
      </c>
      <c r="F949" t="s">
        <v>22</v>
      </c>
      <c r="G949" t="s">
        <v>452</v>
      </c>
      <c r="H949" t="s">
        <v>12</v>
      </c>
      <c r="I949" t="s">
        <v>412</v>
      </c>
      <c r="J949">
        <v>999</v>
      </c>
      <c r="L949">
        <v>1</v>
      </c>
      <c r="M949">
        <v>1</v>
      </c>
      <c r="N949">
        <v>1</v>
      </c>
      <c r="O949">
        <v>100</v>
      </c>
      <c r="P949" t="b">
        <f t="shared" si="14"/>
        <v>0</v>
      </c>
    </row>
    <row r="950" spans="1:16" x14ac:dyDescent="0.2">
      <c r="A950" t="s">
        <v>409</v>
      </c>
      <c r="B950" t="s">
        <v>410</v>
      </c>
      <c r="D950">
        <v>58922</v>
      </c>
      <c r="E950" t="s">
        <v>981</v>
      </c>
      <c r="F950" t="s">
        <v>45</v>
      </c>
      <c r="G950" t="s">
        <v>452</v>
      </c>
      <c r="H950" t="s">
        <v>12</v>
      </c>
      <c r="I950" t="s">
        <v>412</v>
      </c>
      <c r="J950">
        <v>999</v>
      </c>
      <c r="L950">
        <v>1</v>
      </c>
      <c r="M950">
        <v>1</v>
      </c>
      <c r="N950">
        <v>1</v>
      </c>
      <c r="O950">
        <v>100</v>
      </c>
      <c r="P950" t="b">
        <f t="shared" si="14"/>
        <v>0</v>
      </c>
    </row>
    <row r="951" spans="1:16" x14ac:dyDescent="0.2">
      <c r="A951" t="s">
        <v>409</v>
      </c>
      <c r="B951" t="s">
        <v>410</v>
      </c>
      <c r="D951">
        <v>57642</v>
      </c>
      <c r="E951" t="s">
        <v>983</v>
      </c>
      <c r="F951" t="s">
        <v>44</v>
      </c>
      <c r="G951" t="s">
        <v>452</v>
      </c>
      <c r="H951" t="s">
        <v>12</v>
      </c>
      <c r="I951" t="s">
        <v>412</v>
      </c>
      <c r="J951">
        <v>999</v>
      </c>
      <c r="L951">
        <v>1</v>
      </c>
      <c r="M951">
        <v>1</v>
      </c>
      <c r="N951">
        <v>1</v>
      </c>
      <c r="O951">
        <v>100</v>
      </c>
      <c r="P951" t="b">
        <f t="shared" si="14"/>
        <v>0</v>
      </c>
    </row>
    <row r="952" spans="1:16" x14ac:dyDescent="0.2">
      <c r="A952" t="s">
        <v>409</v>
      </c>
      <c r="B952" t="s">
        <v>410</v>
      </c>
      <c r="D952">
        <v>57198</v>
      </c>
      <c r="E952" t="s">
        <v>439</v>
      </c>
      <c r="F952" t="s">
        <v>7</v>
      </c>
      <c r="G952" t="s">
        <v>452</v>
      </c>
      <c r="H952" t="s">
        <v>6</v>
      </c>
      <c r="I952" t="s">
        <v>412</v>
      </c>
      <c r="J952">
        <v>999</v>
      </c>
      <c r="L952">
        <v>1</v>
      </c>
      <c r="M952">
        <v>1</v>
      </c>
      <c r="N952">
        <v>1</v>
      </c>
      <c r="O952">
        <v>100</v>
      </c>
      <c r="P952" t="b">
        <f t="shared" si="14"/>
        <v>0</v>
      </c>
    </row>
    <row r="953" spans="1:16" x14ac:dyDescent="0.2">
      <c r="A953" t="s">
        <v>409</v>
      </c>
      <c r="B953" t="s">
        <v>410</v>
      </c>
      <c r="D953">
        <v>57196</v>
      </c>
      <c r="E953" t="s">
        <v>440</v>
      </c>
      <c r="F953" t="s">
        <v>7</v>
      </c>
      <c r="G953" t="s">
        <v>452</v>
      </c>
      <c r="H953" t="s">
        <v>6</v>
      </c>
      <c r="I953" t="s">
        <v>412</v>
      </c>
      <c r="J953">
        <v>999</v>
      </c>
      <c r="L953">
        <v>1</v>
      </c>
      <c r="M953">
        <v>1</v>
      </c>
      <c r="N953">
        <v>1</v>
      </c>
      <c r="O953">
        <v>100</v>
      </c>
      <c r="P953" t="b">
        <f t="shared" si="14"/>
        <v>0</v>
      </c>
    </row>
    <row r="954" spans="1:16" x14ac:dyDescent="0.2">
      <c r="A954" t="s">
        <v>409</v>
      </c>
      <c r="B954" t="s">
        <v>410</v>
      </c>
      <c r="D954">
        <v>57075</v>
      </c>
      <c r="E954" t="s">
        <v>984</v>
      </c>
      <c r="F954" t="s">
        <v>36</v>
      </c>
      <c r="G954" t="s">
        <v>452</v>
      </c>
      <c r="H954" t="s">
        <v>5</v>
      </c>
      <c r="I954" t="s">
        <v>412</v>
      </c>
      <c r="J954">
        <v>999</v>
      </c>
      <c r="L954">
        <v>1</v>
      </c>
      <c r="M954">
        <v>1</v>
      </c>
      <c r="N954">
        <v>1</v>
      </c>
      <c r="O954">
        <v>100</v>
      </c>
      <c r="P954" t="b">
        <f t="shared" si="14"/>
        <v>0</v>
      </c>
    </row>
    <row r="955" spans="1:16" x14ac:dyDescent="0.2">
      <c r="A955" t="s">
        <v>409</v>
      </c>
      <c r="B955" t="s">
        <v>410</v>
      </c>
      <c r="D955">
        <v>55749</v>
      </c>
      <c r="E955" t="s">
        <v>986</v>
      </c>
      <c r="F955" t="s">
        <v>98</v>
      </c>
      <c r="G955" t="s">
        <v>452</v>
      </c>
      <c r="H955" t="s">
        <v>12</v>
      </c>
      <c r="I955" t="s">
        <v>412</v>
      </c>
      <c r="J955">
        <v>999</v>
      </c>
      <c r="L955">
        <v>1</v>
      </c>
      <c r="M955">
        <v>1</v>
      </c>
      <c r="N955">
        <v>1</v>
      </c>
      <c r="O955">
        <v>100</v>
      </c>
      <c r="P955" t="b">
        <f t="shared" si="14"/>
        <v>0</v>
      </c>
    </row>
    <row r="956" spans="1:16" x14ac:dyDescent="0.2">
      <c r="A956" t="s">
        <v>409</v>
      </c>
      <c r="B956" t="s">
        <v>410</v>
      </c>
      <c r="D956">
        <v>54550</v>
      </c>
      <c r="E956" t="s">
        <v>990</v>
      </c>
      <c r="F956" t="s">
        <v>45</v>
      </c>
      <c r="G956" t="s">
        <v>452</v>
      </c>
      <c r="H956" t="s">
        <v>12</v>
      </c>
      <c r="I956" t="s">
        <v>412</v>
      </c>
      <c r="J956">
        <v>999</v>
      </c>
      <c r="L956">
        <v>1</v>
      </c>
      <c r="M956">
        <v>1</v>
      </c>
      <c r="N956">
        <v>1</v>
      </c>
      <c r="O956">
        <v>100</v>
      </c>
      <c r="P956" t="b">
        <f t="shared" si="14"/>
        <v>0</v>
      </c>
    </row>
    <row r="957" spans="1:16" x14ac:dyDescent="0.2">
      <c r="A957" t="s">
        <v>409</v>
      </c>
      <c r="B957" t="s">
        <v>410</v>
      </c>
      <c r="D957">
        <v>51070</v>
      </c>
      <c r="E957" t="s">
        <v>996</v>
      </c>
      <c r="F957" t="s">
        <v>9</v>
      </c>
      <c r="G957" t="s">
        <v>452</v>
      </c>
      <c r="H957" t="s">
        <v>8</v>
      </c>
      <c r="I957" t="s">
        <v>412</v>
      </c>
      <c r="J957">
        <v>999</v>
      </c>
      <c r="L957">
        <v>1</v>
      </c>
      <c r="M957">
        <v>1</v>
      </c>
      <c r="N957">
        <v>1</v>
      </c>
      <c r="O957">
        <v>100</v>
      </c>
      <c r="P957" t="b">
        <f t="shared" si="14"/>
        <v>0</v>
      </c>
    </row>
    <row r="958" spans="1:16" x14ac:dyDescent="0.2">
      <c r="A958" t="s">
        <v>409</v>
      </c>
      <c r="B958" t="s">
        <v>410</v>
      </c>
      <c r="D958">
        <v>50638</v>
      </c>
      <c r="E958" t="s">
        <v>1002</v>
      </c>
      <c r="F958" t="s">
        <v>60</v>
      </c>
      <c r="G958" t="s">
        <v>452</v>
      </c>
      <c r="H958" t="s">
        <v>8</v>
      </c>
      <c r="I958" t="s">
        <v>412</v>
      </c>
      <c r="J958">
        <v>999</v>
      </c>
      <c r="L958">
        <v>1</v>
      </c>
      <c r="M958">
        <v>1</v>
      </c>
      <c r="N958">
        <v>1</v>
      </c>
      <c r="O958">
        <v>100</v>
      </c>
      <c r="P958" t="b">
        <f t="shared" si="14"/>
        <v>0</v>
      </c>
    </row>
    <row r="959" spans="1:16" x14ac:dyDescent="0.2">
      <c r="A959" t="s">
        <v>409</v>
      </c>
      <c r="B959" t="s">
        <v>410</v>
      </c>
      <c r="D959">
        <v>50317</v>
      </c>
      <c r="E959" t="s">
        <v>1004</v>
      </c>
      <c r="F959" t="s">
        <v>98</v>
      </c>
      <c r="G959" t="s">
        <v>452</v>
      </c>
      <c r="H959" t="s">
        <v>12</v>
      </c>
      <c r="I959" t="s">
        <v>412</v>
      </c>
      <c r="J959">
        <v>999</v>
      </c>
      <c r="L959">
        <v>1</v>
      </c>
      <c r="M959">
        <v>1</v>
      </c>
      <c r="N959">
        <v>1</v>
      </c>
      <c r="O959">
        <v>100</v>
      </c>
      <c r="P959" t="b">
        <f t="shared" si="14"/>
        <v>0</v>
      </c>
    </row>
    <row r="960" spans="1:16" x14ac:dyDescent="0.2">
      <c r="A960" t="s">
        <v>409</v>
      </c>
      <c r="B960" t="s">
        <v>410</v>
      </c>
      <c r="D960">
        <v>50223</v>
      </c>
      <c r="E960" t="s">
        <v>441</v>
      </c>
      <c r="F960" t="s">
        <v>7</v>
      </c>
      <c r="G960" t="s">
        <v>452</v>
      </c>
      <c r="H960" t="s">
        <v>6</v>
      </c>
      <c r="I960" t="s">
        <v>412</v>
      </c>
      <c r="J960">
        <v>999</v>
      </c>
      <c r="L960">
        <v>1</v>
      </c>
      <c r="M960">
        <v>1</v>
      </c>
      <c r="N960">
        <v>1</v>
      </c>
      <c r="O960">
        <v>100</v>
      </c>
      <c r="P960" t="b">
        <f t="shared" si="14"/>
        <v>0</v>
      </c>
    </row>
    <row r="961" spans="1:16" x14ac:dyDescent="0.2">
      <c r="A961" t="s">
        <v>409</v>
      </c>
      <c r="B961" t="s">
        <v>410</v>
      </c>
      <c r="D961">
        <v>49881</v>
      </c>
      <c r="E961" t="s">
        <v>1007</v>
      </c>
      <c r="F961" t="s">
        <v>21</v>
      </c>
      <c r="G961" t="s">
        <v>452</v>
      </c>
      <c r="H961" t="s">
        <v>5</v>
      </c>
      <c r="I961" t="s">
        <v>412</v>
      </c>
      <c r="J961">
        <v>999</v>
      </c>
      <c r="L961">
        <v>1</v>
      </c>
      <c r="M961">
        <v>1</v>
      </c>
      <c r="N961">
        <v>1</v>
      </c>
      <c r="O961">
        <v>100</v>
      </c>
      <c r="P961" t="b">
        <f t="shared" si="14"/>
        <v>0</v>
      </c>
    </row>
    <row r="962" spans="1:16" x14ac:dyDescent="0.2">
      <c r="A962" t="s">
        <v>409</v>
      </c>
      <c r="B962" t="s">
        <v>410</v>
      </c>
      <c r="D962">
        <v>48781</v>
      </c>
      <c r="E962" t="s">
        <v>442</v>
      </c>
      <c r="F962" t="s">
        <v>7</v>
      </c>
      <c r="G962" t="s">
        <v>452</v>
      </c>
      <c r="H962" t="s">
        <v>6</v>
      </c>
      <c r="I962" t="s">
        <v>412</v>
      </c>
      <c r="J962">
        <v>999</v>
      </c>
      <c r="L962">
        <v>1</v>
      </c>
      <c r="M962">
        <v>1</v>
      </c>
      <c r="N962">
        <v>1</v>
      </c>
      <c r="O962">
        <v>100</v>
      </c>
      <c r="P962" t="b">
        <f t="shared" si="14"/>
        <v>0</v>
      </c>
    </row>
    <row r="963" spans="1:16" x14ac:dyDescent="0.2">
      <c r="A963" t="s">
        <v>409</v>
      </c>
      <c r="B963" t="s">
        <v>410</v>
      </c>
      <c r="D963">
        <v>44381</v>
      </c>
      <c r="E963" t="s">
        <v>1021</v>
      </c>
      <c r="F963" t="s">
        <v>26</v>
      </c>
      <c r="G963" t="s">
        <v>452</v>
      </c>
      <c r="H963" t="s">
        <v>6</v>
      </c>
      <c r="I963" t="s">
        <v>412</v>
      </c>
      <c r="J963">
        <v>999</v>
      </c>
      <c r="L963">
        <v>1</v>
      </c>
      <c r="M963">
        <v>1</v>
      </c>
      <c r="N963">
        <v>1</v>
      </c>
      <c r="O963">
        <v>100</v>
      </c>
      <c r="P963" t="b">
        <f t="shared" ref="P963:P999" si="15">AND(C963&lt;$Q$1,IF(ISBLANK(C963),0,C963)&gt;0)</f>
        <v>0</v>
      </c>
    </row>
    <row r="964" spans="1:16" x14ac:dyDescent="0.2">
      <c r="A964" t="s">
        <v>409</v>
      </c>
      <c r="B964" t="s">
        <v>410</v>
      </c>
      <c r="D964">
        <v>44380</v>
      </c>
      <c r="E964" t="s">
        <v>1022</v>
      </c>
      <c r="F964" t="s">
        <v>26</v>
      </c>
      <c r="G964" t="s">
        <v>452</v>
      </c>
      <c r="H964" t="s">
        <v>6</v>
      </c>
      <c r="I964" t="s">
        <v>412</v>
      </c>
      <c r="J964">
        <v>999</v>
      </c>
      <c r="L964">
        <v>1</v>
      </c>
      <c r="M964">
        <v>1</v>
      </c>
      <c r="N964">
        <v>1</v>
      </c>
      <c r="O964">
        <v>100</v>
      </c>
      <c r="P964" t="b">
        <f t="shared" si="15"/>
        <v>0</v>
      </c>
    </row>
    <row r="965" spans="1:16" x14ac:dyDescent="0.2">
      <c r="A965" t="s">
        <v>409</v>
      </c>
      <c r="B965" t="s">
        <v>410</v>
      </c>
      <c r="D965">
        <v>40816</v>
      </c>
      <c r="E965" t="s">
        <v>443</v>
      </c>
      <c r="F965" t="s">
        <v>23</v>
      </c>
      <c r="G965" t="s">
        <v>452</v>
      </c>
      <c r="H965" t="s">
        <v>5</v>
      </c>
      <c r="I965" t="s">
        <v>412</v>
      </c>
      <c r="J965">
        <v>999</v>
      </c>
      <c r="L965">
        <v>1</v>
      </c>
      <c r="M965">
        <v>1</v>
      </c>
      <c r="N965">
        <v>1</v>
      </c>
      <c r="O965">
        <v>100</v>
      </c>
      <c r="P965" t="b">
        <f t="shared" si="15"/>
        <v>0</v>
      </c>
    </row>
    <row r="966" spans="1:16" x14ac:dyDescent="0.2">
      <c r="A966" t="s">
        <v>409</v>
      </c>
      <c r="B966" t="s">
        <v>410</v>
      </c>
      <c r="D966">
        <v>37500</v>
      </c>
      <c r="E966" t="s">
        <v>1027</v>
      </c>
      <c r="F966" t="s">
        <v>21</v>
      </c>
      <c r="G966" t="s">
        <v>452</v>
      </c>
      <c r="H966" t="s">
        <v>5</v>
      </c>
      <c r="I966" t="s">
        <v>412</v>
      </c>
      <c r="J966">
        <v>999</v>
      </c>
      <c r="L966">
        <v>1</v>
      </c>
      <c r="M966">
        <v>1</v>
      </c>
      <c r="N966">
        <v>1</v>
      </c>
      <c r="O966">
        <v>100</v>
      </c>
      <c r="P966" t="b">
        <f t="shared" si="15"/>
        <v>0</v>
      </c>
    </row>
    <row r="967" spans="1:16" x14ac:dyDescent="0.2">
      <c r="A967" t="s">
        <v>409</v>
      </c>
      <c r="B967" t="s">
        <v>410</v>
      </c>
      <c r="D967">
        <v>36017</v>
      </c>
      <c r="E967" t="s">
        <v>1031</v>
      </c>
      <c r="F967" t="s">
        <v>21</v>
      </c>
      <c r="G967" t="s">
        <v>452</v>
      </c>
      <c r="H967" t="s">
        <v>5</v>
      </c>
      <c r="I967" t="s">
        <v>412</v>
      </c>
      <c r="J967">
        <v>999</v>
      </c>
      <c r="L967">
        <v>1</v>
      </c>
      <c r="M967">
        <v>1</v>
      </c>
      <c r="N967">
        <v>1</v>
      </c>
      <c r="O967">
        <v>100</v>
      </c>
      <c r="P967" t="b">
        <f t="shared" si="15"/>
        <v>0</v>
      </c>
    </row>
    <row r="968" spans="1:16" x14ac:dyDescent="0.2">
      <c r="A968" t="s">
        <v>409</v>
      </c>
      <c r="B968" t="s">
        <v>410</v>
      </c>
      <c r="D968">
        <v>35908</v>
      </c>
      <c r="E968" t="s">
        <v>444</v>
      </c>
      <c r="F968" t="s">
        <v>37</v>
      </c>
      <c r="G968" t="s">
        <v>452</v>
      </c>
      <c r="H968" t="s">
        <v>5</v>
      </c>
      <c r="I968" t="s">
        <v>412</v>
      </c>
      <c r="J968">
        <v>999</v>
      </c>
      <c r="L968">
        <v>1</v>
      </c>
      <c r="M968">
        <v>1</v>
      </c>
      <c r="N968">
        <v>1</v>
      </c>
      <c r="O968">
        <v>100</v>
      </c>
      <c r="P968" t="b">
        <f t="shared" si="15"/>
        <v>0</v>
      </c>
    </row>
    <row r="969" spans="1:16" x14ac:dyDescent="0.2">
      <c r="A969" t="s">
        <v>409</v>
      </c>
      <c r="B969" t="s">
        <v>410</v>
      </c>
      <c r="D969">
        <v>35637</v>
      </c>
      <c r="E969" t="s">
        <v>1033</v>
      </c>
      <c r="F969" t="s">
        <v>37</v>
      </c>
      <c r="G969" t="s">
        <v>452</v>
      </c>
      <c r="H969" t="s">
        <v>5</v>
      </c>
      <c r="I969" t="s">
        <v>412</v>
      </c>
      <c r="J969">
        <v>999</v>
      </c>
      <c r="L969">
        <v>1</v>
      </c>
      <c r="M969">
        <v>1</v>
      </c>
      <c r="N969">
        <v>1</v>
      </c>
      <c r="O969">
        <v>100</v>
      </c>
      <c r="P969" t="b">
        <f t="shared" si="15"/>
        <v>0</v>
      </c>
    </row>
    <row r="970" spans="1:16" x14ac:dyDescent="0.2">
      <c r="A970" t="s">
        <v>409</v>
      </c>
      <c r="B970" t="s">
        <v>410</v>
      </c>
      <c r="D970">
        <v>35481</v>
      </c>
      <c r="E970" t="s">
        <v>1034</v>
      </c>
      <c r="F970" t="s">
        <v>9</v>
      </c>
      <c r="G970" t="s">
        <v>452</v>
      </c>
      <c r="H970" t="s">
        <v>8</v>
      </c>
      <c r="I970" t="s">
        <v>412</v>
      </c>
      <c r="J970">
        <v>999</v>
      </c>
      <c r="L970">
        <v>1</v>
      </c>
      <c r="M970">
        <v>1</v>
      </c>
      <c r="N970">
        <v>1</v>
      </c>
      <c r="O970">
        <v>100</v>
      </c>
      <c r="P970" t="b">
        <f t="shared" si="15"/>
        <v>0</v>
      </c>
    </row>
    <row r="971" spans="1:16" x14ac:dyDescent="0.2">
      <c r="A971" t="s">
        <v>409</v>
      </c>
      <c r="B971" t="s">
        <v>410</v>
      </c>
      <c r="D971">
        <v>35141</v>
      </c>
      <c r="E971" t="s">
        <v>445</v>
      </c>
      <c r="F971" t="s">
        <v>22</v>
      </c>
      <c r="G971" t="s">
        <v>452</v>
      </c>
      <c r="H971" t="s">
        <v>12</v>
      </c>
      <c r="I971" t="s">
        <v>412</v>
      </c>
      <c r="J971">
        <v>999</v>
      </c>
      <c r="L971">
        <v>1</v>
      </c>
      <c r="M971">
        <v>1</v>
      </c>
      <c r="N971">
        <v>1</v>
      </c>
      <c r="O971">
        <v>100</v>
      </c>
      <c r="P971" t="b">
        <f t="shared" si="15"/>
        <v>0</v>
      </c>
    </row>
    <row r="972" spans="1:16" x14ac:dyDescent="0.2">
      <c r="A972" t="s">
        <v>409</v>
      </c>
      <c r="B972" t="s">
        <v>410</v>
      </c>
      <c r="D972">
        <v>34846</v>
      </c>
      <c r="E972" t="s">
        <v>446</v>
      </c>
      <c r="F972" t="s">
        <v>9</v>
      </c>
      <c r="G972" t="s">
        <v>452</v>
      </c>
      <c r="H972" t="s">
        <v>8</v>
      </c>
      <c r="I972" t="s">
        <v>412</v>
      </c>
      <c r="J972">
        <v>999</v>
      </c>
      <c r="L972">
        <v>1</v>
      </c>
      <c r="M972">
        <v>1</v>
      </c>
      <c r="N972">
        <v>1</v>
      </c>
      <c r="O972">
        <v>100</v>
      </c>
      <c r="P972" t="b">
        <f t="shared" si="15"/>
        <v>0</v>
      </c>
    </row>
    <row r="973" spans="1:16" x14ac:dyDescent="0.2">
      <c r="A973" t="s">
        <v>409</v>
      </c>
      <c r="B973" t="s">
        <v>410</v>
      </c>
      <c r="D973">
        <v>32260</v>
      </c>
      <c r="E973" t="s">
        <v>447</v>
      </c>
      <c r="F973" t="s">
        <v>21</v>
      </c>
      <c r="G973" t="s">
        <v>452</v>
      </c>
      <c r="H973" t="s">
        <v>5</v>
      </c>
      <c r="I973" t="s">
        <v>412</v>
      </c>
      <c r="J973">
        <v>999</v>
      </c>
      <c r="L973">
        <v>1</v>
      </c>
      <c r="M973">
        <v>1</v>
      </c>
      <c r="N973">
        <v>1</v>
      </c>
      <c r="O973">
        <v>100</v>
      </c>
      <c r="P973" t="b">
        <f t="shared" si="15"/>
        <v>0</v>
      </c>
    </row>
    <row r="974" spans="1:16" x14ac:dyDescent="0.2">
      <c r="A974" t="s">
        <v>409</v>
      </c>
      <c r="B974" t="s">
        <v>410</v>
      </c>
      <c r="D974">
        <v>32248</v>
      </c>
      <c r="E974" t="s">
        <v>1036</v>
      </c>
      <c r="F974" t="s">
        <v>37</v>
      </c>
      <c r="G974" t="s">
        <v>452</v>
      </c>
      <c r="H974" t="s">
        <v>5</v>
      </c>
      <c r="I974" t="s">
        <v>412</v>
      </c>
      <c r="J974">
        <v>999</v>
      </c>
      <c r="L974">
        <v>1</v>
      </c>
      <c r="M974">
        <v>1</v>
      </c>
      <c r="N974">
        <v>1</v>
      </c>
      <c r="O974">
        <v>100</v>
      </c>
      <c r="P974" t="b">
        <f t="shared" si="15"/>
        <v>0</v>
      </c>
    </row>
    <row r="975" spans="1:16" x14ac:dyDescent="0.2">
      <c r="A975" t="s">
        <v>409</v>
      </c>
      <c r="B975" t="s">
        <v>410</v>
      </c>
      <c r="D975">
        <v>32219</v>
      </c>
      <c r="E975" t="s">
        <v>448</v>
      </c>
      <c r="F975" t="s">
        <v>37</v>
      </c>
      <c r="G975" t="s">
        <v>452</v>
      </c>
      <c r="H975" t="s">
        <v>5</v>
      </c>
      <c r="I975" t="s">
        <v>412</v>
      </c>
      <c r="J975">
        <v>999</v>
      </c>
      <c r="L975">
        <v>1</v>
      </c>
      <c r="M975">
        <v>1</v>
      </c>
      <c r="N975">
        <v>1</v>
      </c>
      <c r="O975">
        <v>100</v>
      </c>
      <c r="P975" t="b">
        <f t="shared" si="15"/>
        <v>0</v>
      </c>
    </row>
    <row r="976" spans="1:16" x14ac:dyDescent="0.2">
      <c r="A976" t="s">
        <v>409</v>
      </c>
      <c r="B976" t="s">
        <v>410</v>
      </c>
      <c r="D976">
        <v>32204</v>
      </c>
      <c r="E976" t="s">
        <v>1043</v>
      </c>
      <c r="F976" t="s">
        <v>46</v>
      </c>
      <c r="G976" t="s">
        <v>452</v>
      </c>
      <c r="H976" t="s">
        <v>12</v>
      </c>
      <c r="I976" t="s">
        <v>412</v>
      </c>
      <c r="J976">
        <v>999</v>
      </c>
      <c r="L976">
        <v>1</v>
      </c>
      <c r="M976">
        <v>1</v>
      </c>
      <c r="N976">
        <v>1</v>
      </c>
      <c r="O976">
        <v>100</v>
      </c>
      <c r="P976" t="b">
        <f t="shared" si="15"/>
        <v>0</v>
      </c>
    </row>
    <row r="977" spans="1:16" x14ac:dyDescent="0.2">
      <c r="A977" t="s">
        <v>409</v>
      </c>
      <c r="B977" t="s">
        <v>410</v>
      </c>
      <c r="D977">
        <v>32197</v>
      </c>
      <c r="E977" t="s">
        <v>1045</v>
      </c>
      <c r="F977" t="s">
        <v>98</v>
      </c>
      <c r="G977" t="s">
        <v>452</v>
      </c>
      <c r="H977" t="s">
        <v>12</v>
      </c>
      <c r="I977" t="s">
        <v>412</v>
      </c>
      <c r="J977">
        <v>999</v>
      </c>
      <c r="L977">
        <v>1</v>
      </c>
      <c r="M977">
        <v>1</v>
      </c>
      <c r="N977">
        <v>1</v>
      </c>
      <c r="O977">
        <v>100</v>
      </c>
      <c r="P977" t="b">
        <f t="shared" si="15"/>
        <v>0</v>
      </c>
    </row>
    <row r="978" spans="1:16" x14ac:dyDescent="0.2">
      <c r="A978" t="s">
        <v>409</v>
      </c>
      <c r="B978" t="s">
        <v>410</v>
      </c>
      <c r="D978">
        <v>32195</v>
      </c>
      <c r="E978" t="s">
        <v>449</v>
      </c>
      <c r="F978" t="s">
        <v>26</v>
      </c>
      <c r="G978" t="s">
        <v>452</v>
      </c>
      <c r="H978" t="s">
        <v>6</v>
      </c>
      <c r="I978" t="s">
        <v>412</v>
      </c>
      <c r="J978">
        <v>999</v>
      </c>
      <c r="L978">
        <v>1</v>
      </c>
      <c r="M978">
        <v>1</v>
      </c>
      <c r="N978">
        <v>1</v>
      </c>
      <c r="O978">
        <v>100</v>
      </c>
      <c r="P978" t="b">
        <f t="shared" si="15"/>
        <v>0</v>
      </c>
    </row>
    <row r="979" spans="1:16" x14ac:dyDescent="0.2">
      <c r="A979" t="s">
        <v>409</v>
      </c>
      <c r="B979" t="s">
        <v>410</v>
      </c>
      <c r="D979">
        <v>32159</v>
      </c>
      <c r="E979" t="s">
        <v>1046</v>
      </c>
      <c r="F979" t="s">
        <v>36</v>
      </c>
      <c r="G979" t="s">
        <v>452</v>
      </c>
      <c r="H979" t="s">
        <v>5</v>
      </c>
      <c r="I979" t="s">
        <v>412</v>
      </c>
      <c r="J979">
        <v>999</v>
      </c>
      <c r="L979">
        <v>1</v>
      </c>
      <c r="M979">
        <v>1</v>
      </c>
      <c r="N979">
        <v>1</v>
      </c>
      <c r="O979">
        <v>100</v>
      </c>
      <c r="P979" t="b">
        <f t="shared" si="15"/>
        <v>0</v>
      </c>
    </row>
    <row r="980" spans="1:16" x14ac:dyDescent="0.2">
      <c r="A980" t="s">
        <v>409</v>
      </c>
      <c r="B980" t="s">
        <v>410</v>
      </c>
      <c r="D980">
        <v>32143</v>
      </c>
      <c r="E980" t="s">
        <v>1049</v>
      </c>
      <c r="F980" t="s">
        <v>37</v>
      </c>
      <c r="G980" t="s">
        <v>452</v>
      </c>
      <c r="H980" t="s">
        <v>5</v>
      </c>
      <c r="I980" t="s">
        <v>412</v>
      </c>
      <c r="J980">
        <v>999</v>
      </c>
      <c r="L980">
        <v>1</v>
      </c>
      <c r="M980">
        <v>1</v>
      </c>
      <c r="N980">
        <v>1</v>
      </c>
      <c r="O980">
        <v>100</v>
      </c>
      <c r="P980" t="b">
        <f t="shared" si="15"/>
        <v>0</v>
      </c>
    </row>
    <row r="981" spans="1:16" x14ac:dyDescent="0.2">
      <c r="A981" t="s">
        <v>409</v>
      </c>
      <c r="B981" t="s">
        <v>410</v>
      </c>
      <c r="D981">
        <v>32135</v>
      </c>
      <c r="E981" t="s">
        <v>1051</v>
      </c>
      <c r="F981" t="s">
        <v>7</v>
      </c>
      <c r="G981" t="s">
        <v>452</v>
      </c>
      <c r="H981" t="s">
        <v>6</v>
      </c>
      <c r="I981" t="s">
        <v>412</v>
      </c>
      <c r="J981">
        <v>999</v>
      </c>
      <c r="L981">
        <v>1</v>
      </c>
      <c r="M981">
        <v>1</v>
      </c>
      <c r="N981">
        <v>1</v>
      </c>
      <c r="O981">
        <v>100</v>
      </c>
      <c r="P981" t="b">
        <f t="shared" si="15"/>
        <v>0</v>
      </c>
    </row>
    <row r="982" spans="1:16" x14ac:dyDescent="0.2">
      <c r="A982" t="s">
        <v>409</v>
      </c>
      <c r="B982" t="s">
        <v>410</v>
      </c>
      <c r="D982">
        <v>32018</v>
      </c>
      <c r="E982" t="s">
        <v>1066</v>
      </c>
      <c r="F982" t="s">
        <v>39</v>
      </c>
      <c r="G982" t="s">
        <v>452</v>
      </c>
      <c r="H982" t="s">
        <v>5</v>
      </c>
      <c r="I982" t="s">
        <v>412</v>
      </c>
      <c r="J982">
        <v>999</v>
      </c>
      <c r="L982">
        <v>1</v>
      </c>
      <c r="M982">
        <v>1</v>
      </c>
      <c r="N982">
        <v>1</v>
      </c>
      <c r="O982">
        <v>100</v>
      </c>
      <c r="P982" t="b">
        <f t="shared" si="15"/>
        <v>0</v>
      </c>
    </row>
    <row r="983" spans="1:16" x14ac:dyDescent="0.2">
      <c r="A983" t="s">
        <v>409</v>
      </c>
      <c r="B983" t="s">
        <v>410</v>
      </c>
      <c r="D983">
        <v>31982</v>
      </c>
      <c r="E983" t="s">
        <v>1075</v>
      </c>
      <c r="F983" t="s">
        <v>37</v>
      </c>
      <c r="G983" t="s">
        <v>452</v>
      </c>
      <c r="H983" t="s">
        <v>5</v>
      </c>
      <c r="I983" t="s">
        <v>412</v>
      </c>
      <c r="J983">
        <v>999</v>
      </c>
      <c r="L983">
        <v>1</v>
      </c>
      <c r="M983">
        <v>1</v>
      </c>
      <c r="N983">
        <v>1</v>
      </c>
      <c r="O983">
        <v>100</v>
      </c>
      <c r="P983" t="b">
        <f t="shared" si="15"/>
        <v>0</v>
      </c>
    </row>
    <row r="984" spans="1:16" x14ac:dyDescent="0.2">
      <c r="A984" t="s">
        <v>409</v>
      </c>
      <c r="B984" t="s">
        <v>410</v>
      </c>
      <c r="D984">
        <v>31933</v>
      </c>
      <c r="E984" t="s">
        <v>450</v>
      </c>
      <c r="F984" t="s">
        <v>36</v>
      </c>
      <c r="G984" t="s">
        <v>452</v>
      </c>
      <c r="H984" t="s">
        <v>5</v>
      </c>
      <c r="I984" t="s">
        <v>412</v>
      </c>
      <c r="J984">
        <v>999</v>
      </c>
      <c r="L984">
        <v>1</v>
      </c>
      <c r="M984">
        <v>1</v>
      </c>
      <c r="N984">
        <v>1</v>
      </c>
      <c r="O984">
        <v>100</v>
      </c>
      <c r="P984" t="b">
        <f t="shared" si="15"/>
        <v>0</v>
      </c>
    </row>
    <row r="985" spans="1:16" x14ac:dyDescent="0.2">
      <c r="A985" t="s">
        <v>409</v>
      </c>
      <c r="B985" t="s">
        <v>410</v>
      </c>
      <c r="D985">
        <v>31888</v>
      </c>
      <c r="E985" t="s">
        <v>1097</v>
      </c>
      <c r="F985" t="s">
        <v>22</v>
      </c>
      <c r="G985" t="s">
        <v>452</v>
      </c>
      <c r="H985" t="s">
        <v>12</v>
      </c>
      <c r="I985" t="s">
        <v>412</v>
      </c>
      <c r="J985">
        <v>999</v>
      </c>
      <c r="L985">
        <v>1</v>
      </c>
      <c r="M985">
        <v>1</v>
      </c>
      <c r="N985">
        <v>1</v>
      </c>
      <c r="O985">
        <v>100</v>
      </c>
      <c r="P985" t="b">
        <f t="shared" si="15"/>
        <v>0</v>
      </c>
    </row>
    <row r="986" spans="1:16" x14ac:dyDescent="0.2">
      <c r="A986" t="s">
        <v>409</v>
      </c>
      <c r="B986" t="s">
        <v>410</v>
      </c>
      <c r="D986">
        <v>31868</v>
      </c>
      <c r="E986" t="s">
        <v>451</v>
      </c>
      <c r="F986" t="s">
        <v>38</v>
      </c>
      <c r="G986" t="s">
        <v>452</v>
      </c>
      <c r="H986" t="s">
        <v>5</v>
      </c>
      <c r="I986" t="s">
        <v>412</v>
      </c>
      <c r="J986">
        <v>999</v>
      </c>
      <c r="L986">
        <v>1</v>
      </c>
      <c r="M986">
        <v>1</v>
      </c>
      <c r="N986">
        <v>1</v>
      </c>
      <c r="O986">
        <v>100</v>
      </c>
      <c r="P986" t="b">
        <f t="shared" si="15"/>
        <v>0</v>
      </c>
    </row>
    <row r="987" spans="1:16" x14ac:dyDescent="0.2">
      <c r="A987" t="s">
        <v>409</v>
      </c>
      <c r="B987" t="s">
        <v>410</v>
      </c>
      <c r="D987">
        <v>31832</v>
      </c>
      <c r="E987" t="s">
        <v>1103</v>
      </c>
      <c r="F987" t="s">
        <v>22</v>
      </c>
      <c r="G987" t="s">
        <v>452</v>
      </c>
      <c r="H987" t="s">
        <v>12</v>
      </c>
      <c r="I987" t="s">
        <v>412</v>
      </c>
      <c r="J987">
        <v>999</v>
      </c>
      <c r="L987">
        <v>1</v>
      </c>
      <c r="M987">
        <v>1</v>
      </c>
      <c r="N987">
        <v>1</v>
      </c>
      <c r="O987">
        <v>100</v>
      </c>
      <c r="P987" t="b">
        <f t="shared" si="15"/>
        <v>0</v>
      </c>
    </row>
    <row r="988" spans="1:16" x14ac:dyDescent="0.2">
      <c r="P988" t="b">
        <f t="shared" si="15"/>
        <v>0</v>
      </c>
    </row>
    <row r="989" spans="1:16" x14ac:dyDescent="0.2">
      <c r="P989" t="b">
        <f t="shared" si="15"/>
        <v>0</v>
      </c>
    </row>
    <row r="990" spans="1:16" x14ac:dyDescent="0.2">
      <c r="P990" t="b">
        <f t="shared" si="15"/>
        <v>0</v>
      </c>
    </row>
    <row r="991" spans="1:16" x14ac:dyDescent="0.2">
      <c r="P991" t="b">
        <f t="shared" si="15"/>
        <v>0</v>
      </c>
    </row>
    <row r="992" spans="1:16" x14ac:dyDescent="0.2">
      <c r="P992" t="b">
        <f t="shared" si="15"/>
        <v>0</v>
      </c>
    </row>
    <row r="993" spans="16:16" x14ac:dyDescent="0.2">
      <c r="P993" t="b">
        <f t="shared" si="15"/>
        <v>0</v>
      </c>
    </row>
    <row r="994" spans="16:16" x14ac:dyDescent="0.2">
      <c r="P994" t="b">
        <f t="shared" si="15"/>
        <v>0</v>
      </c>
    </row>
    <row r="995" spans="16:16" x14ac:dyDescent="0.2">
      <c r="P995" t="b">
        <f t="shared" si="15"/>
        <v>0</v>
      </c>
    </row>
    <row r="996" spans="16:16" x14ac:dyDescent="0.2">
      <c r="P996" t="b">
        <f t="shared" si="15"/>
        <v>0</v>
      </c>
    </row>
    <row r="997" spans="16:16" x14ac:dyDescent="0.2">
      <c r="P997" t="b">
        <f t="shared" si="15"/>
        <v>0</v>
      </c>
    </row>
    <row r="998" spans="16:16" x14ac:dyDescent="0.2">
      <c r="P998" t="b">
        <f t="shared" si="15"/>
        <v>0</v>
      </c>
    </row>
    <row r="999" spans="16:16" x14ac:dyDescent="0.2">
      <c r="P999" t="b">
        <f t="shared" si="15"/>
        <v>0</v>
      </c>
    </row>
  </sheetData>
  <autoFilter ref="A1:K953" xr:uid="{25D437AB-C2CB-8D43-BD8D-11D3278E662B}">
    <sortState xmlns:xlrd2="http://schemas.microsoft.com/office/spreadsheetml/2017/richdata2" ref="A2:K21">
      <sortCondition ref="A1:A21"/>
    </sortState>
  </autoFilter>
  <phoneticPr fontId="9" type="noConversion"/>
  <conditionalFormatting sqref="N1">
    <cfRule type="cellIs" dxfId="17" priority="1" operator="equal">
      <formula>"ALERT"</formula>
    </cfRule>
  </conditionalFormatting>
  <conditionalFormatting sqref="P1 O1:O1048576">
    <cfRule type="cellIs" dxfId="16" priority="2" operator="equal">
      <formula>"ALERT"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567E-D622-634E-B542-C92E3813531E}">
  <dimension ref="A3:D32"/>
  <sheetViews>
    <sheetView workbookViewId="0">
      <selection activeCell="B20" sqref="B20"/>
    </sheetView>
  </sheetViews>
  <sheetFormatPr baseColWidth="10" defaultRowHeight="16" x14ac:dyDescent="0.2"/>
  <cols>
    <col min="1" max="1" width="17.1640625" bestFit="1" customWidth="1"/>
    <col min="2" max="2" width="16" bestFit="1" customWidth="1"/>
    <col min="3" max="3" width="6.33203125" bestFit="1" customWidth="1"/>
    <col min="4" max="4" width="10.5" bestFit="1" customWidth="1"/>
    <col min="5" max="5" width="11.1640625" bestFit="1" customWidth="1"/>
    <col min="6" max="6" width="9.6640625" bestFit="1" customWidth="1"/>
    <col min="7" max="7" width="5.5" bestFit="1" customWidth="1"/>
    <col min="8" max="8" width="16.5" bestFit="1" customWidth="1"/>
    <col min="9" max="9" width="20.33203125" bestFit="1" customWidth="1"/>
    <col min="10" max="10" width="15.83203125" bestFit="1" customWidth="1"/>
    <col min="11" max="11" width="10.5" bestFit="1" customWidth="1"/>
  </cols>
  <sheetData>
    <row r="3" spans="1:4" x14ac:dyDescent="0.2">
      <c r="A3" s="27" t="s">
        <v>375</v>
      </c>
      <c r="B3" s="27" t="s">
        <v>377</v>
      </c>
    </row>
    <row r="4" spans="1:4" x14ac:dyDescent="0.2">
      <c r="A4" s="27" t="s">
        <v>372</v>
      </c>
      <c r="B4" t="s">
        <v>376</v>
      </c>
      <c r="C4" t="s">
        <v>378</v>
      </c>
      <c r="D4" t="s">
        <v>374</v>
      </c>
    </row>
    <row r="5" spans="1:4" x14ac:dyDescent="0.2">
      <c r="A5" s="28" t="s">
        <v>127</v>
      </c>
      <c r="B5">
        <v>100</v>
      </c>
      <c r="C5">
        <v>759</v>
      </c>
      <c r="D5">
        <v>859</v>
      </c>
    </row>
    <row r="6" spans="1:4" x14ac:dyDescent="0.2">
      <c r="A6" s="29" t="s">
        <v>10</v>
      </c>
      <c r="B6">
        <v>50</v>
      </c>
      <c r="C6">
        <v>398</v>
      </c>
      <c r="D6">
        <v>448</v>
      </c>
    </row>
    <row r="7" spans="1:4" x14ac:dyDescent="0.2">
      <c r="A7" s="30" t="s">
        <v>5</v>
      </c>
      <c r="B7">
        <v>13</v>
      </c>
      <c r="C7">
        <v>216</v>
      </c>
      <c r="D7">
        <v>229</v>
      </c>
    </row>
    <row r="8" spans="1:4" x14ac:dyDescent="0.2">
      <c r="A8" s="30" t="s">
        <v>12</v>
      </c>
      <c r="B8">
        <v>12</v>
      </c>
      <c r="C8">
        <v>94</v>
      </c>
      <c r="D8">
        <v>106</v>
      </c>
    </row>
    <row r="9" spans="1:4" x14ac:dyDescent="0.2">
      <c r="A9" s="30" t="s">
        <v>6</v>
      </c>
      <c r="B9">
        <v>13</v>
      </c>
      <c r="C9">
        <v>29</v>
      </c>
      <c r="D9">
        <v>42</v>
      </c>
    </row>
    <row r="10" spans="1:4" x14ac:dyDescent="0.2">
      <c r="A10" s="30" t="s">
        <v>8</v>
      </c>
      <c r="B10">
        <v>12</v>
      </c>
      <c r="C10">
        <v>59</v>
      </c>
      <c r="D10">
        <v>71</v>
      </c>
    </row>
    <row r="11" spans="1:4" x14ac:dyDescent="0.2">
      <c r="A11" s="29" t="s">
        <v>452</v>
      </c>
      <c r="B11">
        <v>50</v>
      </c>
      <c r="C11">
        <v>361</v>
      </c>
      <c r="D11">
        <v>411</v>
      </c>
    </row>
    <row r="12" spans="1:4" x14ac:dyDescent="0.2">
      <c r="A12" s="30" t="s">
        <v>11</v>
      </c>
      <c r="B12">
        <v>6</v>
      </c>
      <c r="C12">
        <v>2</v>
      </c>
      <c r="D12">
        <v>8</v>
      </c>
    </row>
    <row r="13" spans="1:4" x14ac:dyDescent="0.2">
      <c r="A13" s="30" t="s">
        <v>5</v>
      </c>
      <c r="B13">
        <v>11</v>
      </c>
      <c r="C13">
        <v>178</v>
      </c>
      <c r="D13">
        <v>189</v>
      </c>
    </row>
    <row r="14" spans="1:4" x14ac:dyDescent="0.2">
      <c r="A14" s="30" t="s">
        <v>12</v>
      </c>
      <c r="B14">
        <v>11</v>
      </c>
      <c r="C14">
        <v>64</v>
      </c>
      <c r="D14">
        <v>75</v>
      </c>
    </row>
    <row r="15" spans="1:4" x14ac:dyDescent="0.2">
      <c r="A15" s="30" t="s">
        <v>6</v>
      </c>
      <c r="B15">
        <v>11</v>
      </c>
      <c r="C15">
        <v>13</v>
      </c>
      <c r="D15">
        <v>24</v>
      </c>
    </row>
    <row r="16" spans="1:4" x14ac:dyDescent="0.2">
      <c r="A16" s="30" t="s">
        <v>8</v>
      </c>
      <c r="B16">
        <v>11</v>
      </c>
      <c r="C16">
        <v>104</v>
      </c>
      <c r="D16">
        <v>115</v>
      </c>
    </row>
    <row r="17" spans="1:4" x14ac:dyDescent="0.2">
      <c r="A17" s="28" t="s">
        <v>367</v>
      </c>
      <c r="B17">
        <v>1</v>
      </c>
      <c r="D17">
        <v>1</v>
      </c>
    </row>
    <row r="18" spans="1:4" x14ac:dyDescent="0.2">
      <c r="A18" s="29" t="s">
        <v>10</v>
      </c>
      <c r="B18">
        <v>1</v>
      </c>
      <c r="D18">
        <v>1</v>
      </c>
    </row>
    <row r="19" spans="1:4" x14ac:dyDescent="0.2">
      <c r="A19" s="30" t="s">
        <v>5</v>
      </c>
      <c r="B19">
        <v>1</v>
      </c>
      <c r="D19">
        <v>1</v>
      </c>
    </row>
    <row r="20" spans="1:4" x14ac:dyDescent="0.2">
      <c r="A20" s="28" t="s">
        <v>382</v>
      </c>
      <c r="B20">
        <v>20</v>
      </c>
      <c r="D20">
        <v>20</v>
      </c>
    </row>
    <row r="21" spans="1:4" x14ac:dyDescent="0.2">
      <c r="A21" s="29" t="s">
        <v>10</v>
      </c>
      <c r="B21">
        <v>15</v>
      </c>
      <c r="D21">
        <v>15</v>
      </c>
    </row>
    <row r="22" spans="1:4" x14ac:dyDescent="0.2">
      <c r="A22" s="30" t="s">
        <v>5</v>
      </c>
      <c r="B22">
        <v>5</v>
      </c>
      <c r="D22">
        <v>5</v>
      </c>
    </row>
    <row r="23" spans="1:4" x14ac:dyDescent="0.2">
      <c r="A23" s="30" t="s">
        <v>12</v>
      </c>
      <c r="B23">
        <v>3</v>
      </c>
      <c r="D23">
        <v>3</v>
      </c>
    </row>
    <row r="24" spans="1:4" x14ac:dyDescent="0.2">
      <c r="A24" s="30" t="s">
        <v>6</v>
      </c>
      <c r="B24">
        <v>6</v>
      </c>
      <c r="D24">
        <v>6</v>
      </c>
    </row>
    <row r="25" spans="1:4" x14ac:dyDescent="0.2">
      <c r="A25" s="30" t="s">
        <v>8</v>
      </c>
      <c r="B25">
        <v>1</v>
      </c>
      <c r="D25">
        <v>1</v>
      </c>
    </row>
    <row r="26" spans="1:4" x14ac:dyDescent="0.2">
      <c r="A26" s="29" t="s">
        <v>452</v>
      </c>
      <c r="B26">
        <v>5</v>
      </c>
      <c r="D26">
        <v>5</v>
      </c>
    </row>
    <row r="27" spans="1:4" x14ac:dyDescent="0.2">
      <c r="A27" s="30" t="s">
        <v>11</v>
      </c>
      <c r="B27">
        <v>1</v>
      </c>
      <c r="D27">
        <v>1</v>
      </c>
    </row>
    <row r="28" spans="1:4" x14ac:dyDescent="0.2">
      <c r="A28" s="30" t="s">
        <v>12</v>
      </c>
      <c r="B28">
        <v>2</v>
      </c>
      <c r="D28">
        <v>2</v>
      </c>
    </row>
    <row r="29" spans="1:4" x14ac:dyDescent="0.2">
      <c r="A29" s="30" t="s">
        <v>8</v>
      </c>
      <c r="B29">
        <v>2</v>
      </c>
      <c r="D29">
        <v>2</v>
      </c>
    </row>
    <row r="30" spans="1:4" x14ac:dyDescent="0.2">
      <c r="A30" s="28" t="s">
        <v>409</v>
      </c>
      <c r="C30">
        <v>106</v>
      </c>
      <c r="D30">
        <v>106</v>
      </c>
    </row>
    <row r="31" spans="1:4" x14ac:dyDescent="0.2">
      <c r="A31" s="28" t="s">
        <v>373</v>
      </c>
    </row>
    <row r="32" spans="1:4" x14ac:dyDescent="0.2">
      <c r="A32" s="28" t="s">
        <v>374</v>
      </c>
      <c r="B32">
        <v>121</v>
      </c>
      <c r="C32">
        <v>865</v>
      </c>
      <c r="D32">
        <v>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A33C-DAAE-D94D-8B41-438A219D4B6A}">
  <sheetPr>
    <tabColor rgb="FFC00000"/>
  </sheetPr>
  <dimension ref="A1"/>
  <sheetViews>
    <sheetView workbookViewId="0">
      <selection activeCell="C7" sqref="C7:C8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2580-9999-2F4B-A555-53976565DB12}">
  <sheetPr filterMode="1"/>
  <dimension ref="A1:AD204"/>
  <sheetViews>
    <sheetView zoomScale="120" zoomScaleNormal="120" workbookViewId="0">
      <pane ySplit="2" topLeftCell="A34" activePane="bottomLeft" state="frozen"/>
      <selection pane="bottomLeft" activeCell="E35" sqref="E35:E46"/>
    </sheetView>
  </sheetViews>
  <sheetFormatPr baseColWidth="10" defaultColWidth="8.83203125" defaultRowHeight="16" x14ac:dyDescent="0.2"/>
  <cols>
    <col min="1" max="1" width="3" customWidth="1"/>
    <col min="2" max="2" width="14.33203125" bestFit="1" customWidth="1"/>
    <col min="3" max="3" width="19.83203125" bestFit="1" customWidth="1"/>
    <col min="4" max="4" width="15.5" bestFit="1" customWidth="1"/>
    <col min="5" max="5" width="12.1640625" bestFit="1" customWidth="1"/>
    <col min="6" max="6" width="13.33203125" bestFit="1" customWidth="1"/>
    <col min="7" max="7" width="11.83203125" bestFit="1" customWidth="1"/>
    <col min="8" max="8" width="5.33203125" customWidth="1"/>
    <col min="9" max="9" width="16.33203125" bestFit="1" customWidth="1"/>
    <col min="10" max="10" width="15.1640625" customWidth="1"/>
    <col min="11" max="11" width="7" bestFit="1" customWidth="1"/>
    <col min="12" max="12" width="6.5" bestFit="1" customWidth="1"/>
    <col min="13" max="13" width="4" customWidth="1"/>
    <col min="14" max="14" width="23.33203125" bestFit="1" customWidth="1"/>
    <col min="15" max="15" width="11.83203125" bestFit="1" customWidth="1"/>
    <col min="16" max="16" width="7.1640625" customWidth="1"/>
    <col min="17" max="17" width="2.83203125" customWidth="1"/>
    <col min="18" max="18" width="12" bestFit="1" customWidth="1"/>
    <col min="19" max="19" width="6.5" bestFit="1" customWidth="1"/>
    <col min="20" max="20" width="3" customWidth="1"/>
    <col min="21" max="21" width="14.33203125" bestFit="1" customWidth="1"/>
    <col min="22" max="22" width="6.5" bestFit="1" customWidth="1"/>
    <col min="23" max="23" width="12.5" bestFit="1" customWidth="1"/>
    <col min="24" max="24" width="2.33203125" customWidth="1"/>
    <col min="25" max="25" width="14.33203125" bestFit="1" customWidth="1"/>
    <col min="26" max="26" width="15.5" bestFit="1" customWidth="1"/>
    <col min="28" max="28" width="28" bestFit="1" customWidth="1"/>
    <col min="29" max="29" width="20.1640625" bestFit="1" customWidth="1"/>
    <col min="30" max="30" width="21" bestFit="1" customWidth="1"/>
  </cols>
  <sheetData>
    <row r="1" spans="1:30" x14ac:dyDescent="0.2">
      <c r="B1" s="19" t="s">
        <v>99</v>
      </c>
      <c r="C1" s="17" t="s">
        <v>118</v>
      </c>
      <c r="D1" s="17"/>
      <c r="E1" s="17"/>
      <c r="I1" s="1" t="s">
        <v>117</v>
      </c>
      <c r="L1" s="1"/>
      <c r="M1" s="1"/>
      <c r="N1" s="19" t="s">
        <v>99</v>
      </c>
      <c r="O1" s="17" t="s">
        <v>119</v>
      </c>
      <c r="S1" s="7"/>
      <c r="V1" s="7"/>
      <c r="Y1" s="22" t="s">
        <v>102</v>
      </c>
      <c r="Z1" s="21"/>
      <c r="AB1" s="22" t="s">
        <v>102</v>
      </c>
      <c r="AC1" s="21"/>
      <c r="AD1" s="21"/>
    </row>
    <row r="2" spans="1:30" x14ac:dyDescent="0.2">
      <c r="A2" s="1"/>
      <c r="B2" s="5" t="s">
        <v>2</v>
      </c>
      <c r="C2" s="5" t="s">
        <v>0</v>
      </c>
      <c r="D2" s="5" t="s">
        <v>1</v>
      </c>
      <c r="E2" s="5" t="s">
        <v>3</v>
      </c>
      <c r="F2" s="20" t="s">
        <v>101</v>
      </c>
      <c r="G2" s="20" t="s">
        <v>100</v>
      </c>
      <c r="I2" s="6" t="s">
        <v>0</v>
      </c>
      <c r="J2" s="6" t="s">
        <v>1</v>
      </c>
      <c r="K2" s="6" t="s">
        <v>3</v>
      </c>
      <c r="L2" s="6" t="s">
        <v>20</v>
      </c>
      <c r="M2" s="1"/>
      <c r="N2" s="4" t="s">
        <v>0</v>
      </c>
      <c r="O2" s="4" t="s">
        <v>3</v>
      </c>
      <c r="P2" s="6" t="s">
        <v>20</v>
      </c>
      <c r="Q2" s="1"/>
      <c r="R2" s="6" t="str" cm="1">
        <f t="array" ref="R2:R9">_xlfn.UNIQUE(D2:D1000)</f>
        <v>BudgetGroup</v>
      </c>
      <c r="S2" s="6" t="s">
        <v>20</v>
      </c>
      <c r="T2" s="1"/>
      <c r="U2" s="6" t="str" cm="1">
        <f t="array" ref="U2:U45">_xlfn.UNIQUE(B2:B1000)</f>
        <v>RequestingArea</v>
      </c>
      <c r="V2" s="6" t="s">
        <v>20</v>
      </c>
      <c r="W2" s="1" t="s">
        <v>103</v>
      </c>
      <c r="X2" s="1"/>
      <c r="Y2" s="6" t="s">
        <v>2</v>
      </c>
      <c r="Z2" s="6" t="s">
        <v>1</v>
      </c>
      <c r="AA2" s="1"/>
      <c r="AB2" s="6" t="s">
        <v>104</v>
      </c>
      <c r="AC2" s="6" t="s">
        <v>105</v>
      </c>
      <c r="AD2" s="6" t="s">
        <v>106</v>
      </c>
    </row>
    <row r="3" spans="1:30" hidden="1" x14ac:dyDescent="0.2">
      <c r="B3" t="s">
        <v>11</v>
      </c>
      <c r="C3" t="s">
        <v>4</v>
      </c>
      <c r="D3" s="18" t="str">
        <f t="shared" ref="D3:D66" si="0">VLOOKUP($B3,$Y:$Z,2,FALSE)</f>
        <v>CISO</v>
      </c>
      <c r="E3" s="18">
        <f t="shared" ref="E3:E66" si="1">G3*SUMIFS($K:$K,$I:$I,C3,$J:$J,D3)/F3</f>
        <v>5</v>
      </c>
      <c r="F3" s="18">
        <f t="shared" ref="F3:F66" si="2">SUMIFS($G$2:$G$1000,$D$2:$D$1000,D3,$C$2:$C$1000,C3)</f>
        <v>5</v>
      </c>
      <c r="G3" s="8">
        <v>5</v>
      </c>
      <c r="I3" t="s">
        <v>10</v>
      </c>
      <c r="J3" t="s">
        <v>11</v>
      </c>
      <c r="K3">
        <v>5</v>
      </c>
      <c r="L3" s="17">
        <f>SUMIF($I:$I,I3,$K:$K)</f>
        <v>100</v>
      </c>
      <c r="N3" s="2" t="s">
        <v>10</v>
      </c>
      <c r="O3">
        <v>26</v>
      </c>
      <c r="P3" s="17">
        <f>SUM(O3:O18)</f>
        <v>100</v>
      </c>
      <c r="R3" s="18" t="str">
        <v>CISO</v>
      </c>
      <c r="S3" s="3">
        <f t="shared" ref="S3:S14" si="3">SUMIF($D:$D,R3,$E:$E)</f>
        <v>30</v>
      </c>
      <c r="U3" s="18" t="str">
        <v>CISO</v>
      </c>
      <c r="V3" s="3">
        <f t="shared" ref="V3:V44" si="4">SUMIF($B:$B,U3,$E:$E)</f>
        <v>30</v>
      </c>
      <c r="W3" s="18" t="str">
        <f>VLOOKUP(U3,$Y:$Z,2,FALSE)</f>
        <v>CISO</v>
      </c>
      <c r="Y3" t="s">
        <v>11</v>
      </c>
      <c r="Z3" t="s">
        <v>11</v>
      </c>
      <c r="AB3" s="23" t="s">
        <v>107</v>
      </c>
      <c r="AC3" t="str" cm="1">
        <f t="array" ref="AC3:AD3">_xlfn.TEXTSPLIT(AB3,"&gt;",)</f>
        <v xml:space="preserve"> IDEA </v>
      </c>
      <c r="AD3" t="str">
        <v xml:space="preserve"> Backlog</v>
      </c>
    </row>
    <row r="4" spans="1:30" hidden="1" x14ac:dyDescent="0.2">
      <c r="B4" t="s">
        <v>38</v>
      </c>
      <c r="C4" t="s">
        <v>4</v>
      </c>
      <c r="D4" s="18" t="str">
        <f t="shared" si="0"/>
        <v>Commercial</v>
      </c>
      <c r="E4" s="18">
        <f t="shared" si="1"/>
        <v>4</v>
      </c>
      <c r="F4" s="18">
        <f t="shared" si="2"/>
        <v>100</v>
      </c>
      <c r="G4" s="8">
        <v>10</v>
      </c>
      <c r="I4" t="s">
        <v>10</v>
      </c>
      <c r="J4" t="s">
        <v>5</v>
      </c>
      <c r="K4">
        <v>25</v>
      </c>
      <c r="L4" s="17">
        <f t="shared" ref="L4:L38" si="5">SUMIF($I:$I,I4,$K:$K)</f>
        <v>100</v>
      </c>
      <c r="N4" s="2" t="s">
        <v>15</v>
      </c>
      <c r="O4">
        <v>22</v>
      </c>
      <c r="R4" s="18" t="str">
        <v>Commercial</v>
      </c>
      <c r="S4" s="3">
        <f t="shared" si="3"/>
        <v>184.99999999999997</v>
      </c>
      <c r="U4" s="18" t="str">
        <v>CSI</v>
      </c>
      <c r="V4" s="3">
        <f t="shared" si="4"/>
        <v>16.652406417112299</v>
      </c>
      <c r="W4" s="18" t="str">
        <f t="shared" ref="W4:W44" si="6">VLOOKUP(U4,$Y:$Z,2,FALSE)</f>
        <v>Commercial</v>
      </c>
      <c r="Y4" t="s">
        <v>66</v>
      </c>
      <c r="Z4" t="s">
        <v>5</v>
      </c>
      <c r="AB4" s="23" t="s">
        <v>108</v>
      </c>
      <c r="AC4" t="str" cm="1">
        <f t="array" ref="AC4:AD4">_xlfn.TEXTSPLIT(AB4,"&gt;",)</f>
        <v xml:space="preserve"> IDEA </v>
      </c>
      <c r="AD4" t="str">
        <v xml:space="preserve"> Pitch</v>
      </c>
    </row>
    <row r="5" spans="1:30" hidden="1" x14ac:dyDescent="0.2">
      <c r="B5" t="s">
        <v>39</v>
      </c>
      <c r="C5" t="s">
        <v>4</v>
      </c>
      <c r="D5" s="18" t="str">
        <f t="shared" si="0"/>
        <v>Commercial</v>
      </c>
      <c r="E5" s="18">
        <f t="shared" si="1"/>
        <v>4</v>
      </c>
      <c r="F5" s="18">
        <f t="shared" si="2"/>
        <v>100</v>
      </c>
      <c r="G5" s="8">
        <v>10</v>
      </c>
      <c r="I5" t="s">
        <v>10</v>
      </c>
      <c r="J5" t="s">
        <v>12</v>
      </c>
      <c r="K5">
        <v>20</v>
      </c>
      <c r="L5" s="17">
        <f t="shared" si="5"/>
        <v>100</v>
      </c>
      <c r="N5" s="2" t="s">
        <v>4</v>
      </c>
      <c r="O5">
        <v>16</v>
      </c>
      <c r="R5" s="18" t="str">
        <v>Corporate</v>
      </c>
      <c r="S5" s="3">
        <f t="shared" si="3"/>
        <v>135.00000000000006</v>
      </c>
      <c r="U5" s="18" t="str">
        <v>CTTE</v>
      </c>
      <c r="V5" s="3">
        <f t="shared" si="4"/>
        <v>16.652406417112299</v>
      </c>
      <c r="W5" s="18" t="str">
        <f t="shared" si="6"/>
        <v>Commercial</v>
      </c>
      <c r="Y5" t="s">
        <v>65</v>
      </c>
      <c r="Z5" t="s">
        <v>5</v>
      </c>
      <c r="AB5" s="23" t="s">
        <v>109</v>
      </c>
      <c r="AC5" t="str" cm="1">
        <f t="array" ref="AC5:AD5">_xlfn.TEXTSPLIT(AB5,"&gt;",)</f>
        <v xml:space="preserve"> IDEA </v>
      </c>
      <c r="AD5" t="str">
        <v xml:space="preserve"> In Definition</v>
      </c>
    </row>
    <row r="6" spans="1:30" hidden="1" x14ac:dyDescent="0.2">
      <c r="B6" t="s">
        <v>36</v>
      </c>
      <c r="C6" t="s">
        <v>4</v>
      </c>
      <c r="D6" s="18" t="str">
        <f t="shared" si="0"/>
        <v>Commercial</v>
      </c>
      <c r="E6" s="18">
        <f t="shared" si="1"/>
        <v>4</v>
      </c>
      <c r="F6" s="18">
        <f t="shared" si="2"/>
        <v>100</v>
      </c>
      <c r="G6" s="8">
        <v>10</v>
      </c>
      <c r="I6" t="s">
        <v>10</v>
      </c>
      <c r="J6" t="s">
        <v>6</v>
      </c>
      <c r="K6">
        <v>25</v>
      </c>
      <c r="L6" s="17">
        <f t="shared" si="5"/>
        <v>100</v>
      </c>
      <c r="N6" s="2" t="s">
        <v>17</v>
      </c>
      <c r="O6">
        <v>14</v>
      </c>
      <c r="R6" s="18" t="str">
        <v>Operations</v>
      </c>
      <c r="S6" s="3">
        <f t="shared" si="3"/>
        <v>104.99999999999997</v>
      </c>
      <c r="U6" s="18" t="str">
        <v>DNI</v>
      </c>
      <c r="V6" s="3">
        <f t="shared" si="4"/>
        <v>16.652406417112299</v>
      </c>
      <c r="W6" s="18" t="str">
        <f t="shared" si="6"/>
        <v>Commercial</v>
      </c>
      <c r="Y6" t="s">
        <v>38</v>
      </c>
      <c r="Z6" t="s">
        <v>5</v>
      </c>
      <c r="AB6" s="23" t="s">
        <v>110</v>
      </c>
      <c r="AC6" t="str" cm="1">
        <f t="array" ref="AC6:AD6">_xlfn.TEXTSPLIT(AB6,"&gt;",)</f>
        <v xml:space="preserve"> SOLUTION </v>
      </c>
      <c r="AD6" t="str">
        <v xml:space="preserve"> In Approval</v>
      </c>
    </row>
    <row r="7" spans="1:30" hidden="1" x14ac:dyDescent="0.2">
      <c r="B7" t="s">
        <v>40</v>
      </c>
      <c r="C7" t="s">
        <v>4</v>
      </c>
      <c r="D7" s="18" t="str">
        <f t="shared" si="0"/>
        <v>Commercial</v>
      </c>
      <c r="E7" s="18">
        <f t="shared" si="1"/>
        <v>4</v>
      </c>
      <c r="F7" s="18">
        <f t="shared" si="2"/>
        <v>100</v>
      </c>
      <c r="G7" s="8">
        <v>10</v>
      </c>
      <c r="I7" t="s">
        <v>10</v>
      </c>
      <c r="J7" t="s">
        <v>8</v>
      </c>
      <c r="K7">
        <v>15</v>
      </c>
      <c r="L7" s="17">
        <f t="shared" si="5"/>
        <v>100</v>
      </c>
      <c r="N7" s="2" t="s">
        <v>16</v>
      </c>
      <c r="O7">
        <v>12</v>
      </c>
      <c r="R7" s="18" t="str">
        <v>Technology</v>
      </c>
      <c r="S7" s="3">
        <f t="shared" si="3"/>
        <v>110</v>
      </c>
      <c r="U7" s="18" t="str">
        <v>ECM</v>
      </c>
      <c r="V7" s="3">
        <f t="shared" si="4"/>
        <v>16.652406417112299</v>
      </c>
      <c r="W7" s="18" t="str">
        <f t="shared" si="6"/>
        <v>Commercial</v>
      </c>
      <c r="Y7" t="s">
        <v>39</v>
      </c>
      <c r="Z7" t="s">
        <v>5</v>
      </c>
      <c r="AB7" s="23" t="s">
        <v>111</v>
      </c>
      <c r="AC7" t="str" cm="1">
        <f t="array" ref="AC7:AD7">_xlfn.TEXTSPLIT(AB7,"&gt;",)</f>
        <v xml:space="preserve"> SOLUTION </v>
      </c>
      <c r="AD7" t="str">
        <v xml:space="preserve"> Ready for Approval</v>
      </c>
    </row>
    <row r="8" spans="1:30" hidden="1" x14ac:dyDescent="0.2">
      <c r="B8" t="s">
        <v>21</v>
      </c>
      <c r="C8" t="s">
        <v>4</v>
      </c>
      <c r="D8" s="18" t="str">
        <f t="shared" si="0"/>
        <v>Commercial</v>
      </c>
      <c r="E8" s="18">
        <f t="shared" si="1"/>
        <v>8</v>
      </c>
      <c r="F8" s="18">
        <f t="shared" si="2"/>
        <v>100</v>
      </c>
      <c r="G8" s="8">
        <v>20</v>
      </c>
      <c r="I8" s="24" t="s">
        <v>10</v>
      </c>
      <c r="J8" s="24" t="s">
        <v>74</v>
      </c>
      <c r="K8" s="24">
        <v>10</v>
      </c>
      <c r="L8" s="17">
        <f t="shared" si="5"/>
        <v>100</v>
      </c>
      <c r="N8" s="2" t="s">
        <v>14</v>
      </c>
      <c r="O8">
        <v>10</v>
      </c>
      <c r="R8" s="18" t="str">
        <v>Data &amp; AI</v>
      </c>
      <c r="S8" s="3">
        <f t="shared" si="3"/>
        <v>35</v>
      </c>
      <c r="U8" s="18" t="str">
        <v>GP B2B</v>
      </c>
      <c r="V8" s="3">
        <f t="shared" si="4"/>
        <v>23.379679144385026</v>
      </c>
      <c r="W8" s="18" t="str">
        <f t="shared" si="6"/>
        <v>Commercial</v>
      </c>
      <c r="Y8" t="s">
        <v>36</v>
      </c>
      <c r="Z8" t="s">
        <v>5</v>
      </c>
      <c r="AB8" s="23" t="s">
        <v>112</v>
      </c>
      <c r="AC8" t="str" cm="1">
        <f t="array" ref="AC8:AD8">_xlfn.TEXTSPLIT(AB8,"&gt;",)</f>
        <v xml:space="preserve"> IDEA </v>
      </c>
      <c r="AD8" t="str">
        <v xml:space="preserve"> Ready for Solution</v>
      </c>
    </row>
    <row r="9" spans="1:30" hidden="1" x14ac:dyDescent="0.2">
      <c r="B9" t="s">
        <v>25</v>
      </c>
      <c r="C9" t="s">
        <v>4</v>
      </c>
      <c r="D9" s="18" t="str">
        <f t="shared" si="0"/>
        <v>Commercial</v>
      </c>
      <c r="E9" s="18">
        <f t="shared" si="1"/>
        <v>4</v>
      </c>
      <c r="F9" s="18">
        <f t="shared" si="2"/>
        <v>100</v>
      </c>
      <c r="G9" s="8">
        <v>10</v>
      </c>
      <c r="I9" t="s">
        <v>15</v>
      </c>
      <c r="J9" t="s">
        <v>11</v>
      </c>
      <c r="K9">
        <v>5</v>
      </c>
      <c r="L9" s="17">
        <f t="shared" si="5"/>
        <v>100</v>
      </c>
      <c r="N9" s="13" t="s">
        <v>18</v>
      </c>
      <c r="O9" s="14">
        <v>0</v>
      </c>
      <c r="R9">
        <v>0</v>
      </c>
      <c r="S9" s="3">
        <f t="shared" si="3"/>
        <v>0</v>
      </c>
      <c r="U9" s="18" t="str">
        <v>GP B2C</v>
      </c>
      <c r="V9" s="3">
        <f t="shared" si="4"/>
        <v>19.379679144385026</v>
      </c>
      <c r="W9" s="18" t="str">
        <f t="shared" si="6"/>
        <v>Commercial</v>
      </c>
      <c r="Y9" t="s">
        <v>40</v>
      </c>
      <c r="Z9" t="s">
        <v>5</v>
      </c>
      <c r="AB9" s="23" t="s">
        <v>113</v>
      </c>
      <c r="AC9" t="str" cm="1">
        <f t="array" ref="AC9:AD9">_xlfn.TEXTSPLIT(AB9,"&gt;",)</f>
        <v xml:space="preserve"> SOLUTION </v>
      </c>
      <c r="AD9" t="str">
        <v xml:space="preserve"> High Level Design</v>
      </c>
    </row>
    <row r="10" spans="1:30" hidden="1" x14ac:dyDescent="0.2">
      <c r="B10" t="s">
        <v>23</v>
      </c>
      <c r="C10" t="s">
        <v>4</v>
      </c>
      <c r="D10" s="18" t="str">
        <f t="shared" si="0"/>
        <v>Commercial</v>
      </c>
      <c r="E10" s="18">
        <f t="shared" si="1"/>
        <v>4</v>
      </c>
      <c r="F10" s="18">
        <f t="shared" si="2"/>
        <v>100</v>
      </c>
      <c r="G10" s="8">
        <v>10</v>
      </c>
      <c r="I10" t="s">
        <v>15</v>
      </c>
      <c r="J10" t="s">
        <v>5</v>
      </c>
      <c r="K10">
        <v>30</v>
      </c>
      <c r="L10" s="17">
        <f t="shared" si="5"/>
        <v>100</v>
      </c>
      <c r="S10" s="3">
        <f t="shared" si="3"/>
        <v>0</v>
      </c>
      <c r="U10" s="18" t="str">
        <v>GP ECL</v>
      </c>
      <c r="V10" s="3">
        <f t="shared" si="4"/>
        <v>21.122994652406415</v>
      </c>
      <c r="W10" s="18" t="str">
        <f t="shared" si="6"/>
        <v>Commercial</v>
      </c>
      <c r="Y10" t="s">
        <v>21</v>
      </c>
      <c r="Z10" t="s">
        <v>5</v>
      </c>
      <c r="AB10" s="23" t="s">
        <v>114</v>
      </c>
      <c r="AC10" t="str" cm="1">
        <f t="array" ref="AC10:AD10">_xlfn.TEXTSPLIT(AB10,"&gt;",)</f>
        <v xml:space="preserve"> SOLUTION </v>
      </c>
      <c r="AD10" t="str">
        <v xml:space="preserve"> Ready for Development</v>
      </c>
    </row>
    <row r="11" spans="1:30" hidden="1" x14ac:dyDescent="0.2">
      <c r="B11" t="s">
        <v>24</v>
      </c>
      <c r="C11" t="s">
        <v>4</v>
      </c>
      <c r="D11" s="18" t="str">
        <f t="shared" si="0"/>
        <v>Commercial</v>
      </c>
      <c r="E11" s="18">
        <f t="shared" si="1"/>
        <v>4</v>
      </c>
      <c r="F11" s="18">
        <f t="shared" si="2"/>
        <v>100</v>
      </c>
      <c r="G11" s="8">
        <v>10</v>
      </c>
      <c r="I11" t="s">
        <v>15</v>
      </c>
      <c r="J11" t="s">
        <v>12</v>
      </c>
      <c r="K11">
        <v>20</v>
      </c>
      <c r="L11" s="17">
        <f t="shared" si="5"/>
        <v>100</v>
      </c>
      <c r="S11" s="3">
        <f t="shared" si="3"/>
        <v>0</v>
      </c>
      <c r="U11" s="18" t="str">
        <v>GPG</v>
      </c>
      <c r="V11" s="3">
        <f t="shared" si="4"/>
        <v>19.379679144385026</v>
      </c>
      <c r="W11" s="18" t="str">
        <f t="shared" si="6"/>
        <v>Commercial</v>
      </c>
      <c r="Y11" t="s">
        <v>25</v>
      </c>
      <c r="Z11" t="s">
        <v>5</v>
      </c>
      <c r="AB11" s="23" t="s">
        <v>115</v>
      </c>
      <c r="AC11" t="str" cm="1">
        <f t="array" ref="AC11:AD11">_xlfn.TEXTSPLIT(AB11,"&gt;",)</f>
        <v xml:space="preserve"> SOLUTION </v>
      </c>
      <c r="AD11" t="str">
        <v xml:space="preserve"> In Definition</v>
      </c>
    </row>
    <row r="12" spans="1:30" hidden="1" x14ac:dyDescent="0.2">
      <c r="B12" t="s">
        <v>37</v>
      </c>
      <c r="C12" t="s">
        <v>4</v>
      </c>
      <c r="D12" s="18" t="str">
        <f t="shared" si="0"/>
        <v>Commercial</v>
      </c>
      <c r="E12" s="18">
        <f t="shared" si="1"/>
        <v>4</v>
      </c>
      <c r="F12" s="18">
        <f t="shared" si="2"/>
        <v>100</v>
      </c>
      <c r="G12" s="8">
        <v>10</v>
      </c>
      <c r="I12" t="s">
        <v>15</v>
      </c>
      <c r="J12" t="s">
        <v>6</v>
      </c>
      <c r="K12">
        <v>20</v>
      </c>
      <c r="L12" s="17">
        <f t="shared" si="5"/>
        <v>100</v>
      </c>
      <c r="S12" s="3">
        <f t="shared" si="3"/>
        <v>0</v>
      </c>
      <c r="U12" s="18" t="str">
        <v>GS</v>
      </c>
      <c r="V12" s="3">
        <f t="shared" si="4"/>
        <v>26.304812834224595</v>
      </c>
      <c r="W12" s="18" t="str">
        <f t="shared" si="6"/>
        <v>Commercial</v>
      </c>
      <c r="Y12" t="s">
        <v>23</v>
      </c>
      <c r="Z12" t="s">
        <v>5</v>
      </c>
    </row>
    <row r="13" spans="1:30" hidden="1" x14ac:dyDescent="0.2">
      <c r="B13" t="s">
        <v>44</v>
      </c>
      <c r="C13" t="s">
        <v>4</v>
      </c>
      <c r="D13" s="18" t="str">
        <f t="shared" si="0"/>
        <v>Corporate</v>
      </c>
      <c r="E13" s="18">
        <f t="shared" si="1"/>
        <v>1.4285714285714286</v>
      </c>
      <c r="F13" s="18">
        <f t="shared" si="2"/>
        <v>140</v>
      </c>
      <c r="G13" s="8">
        <v>10</v>
      </c>
      <c r="I13" t="s">
        <v>15</v>
      </c>
      <c r="J13" t="s">
        <v>8</v>
      </c>
      <c r="K13">
        <v>20</v>
      </c>
      <c r="L13" s="17">
        <f t="shared" si="5"/>
        <v>100</v>
      </c>
      <c r="S13" s="3">
        <f t="shared" si="3"/>
        <v>0</v>
      </c>
      <c r="U13" s="18" t="str">
        <v>ACR</v>
      </c>
      <c r="V13" s="3">
        <f t="shared" si="4"/>
        <v>9.1233766233766236</v>
      </c>
      <c r="W13" s="18" t="str">
        <f t="shared" si="6"/>
        <v>Corporate</v>
      </c>
      <c r="Y13" t="s">
        <v>24</v>
      </c>
      <c r="Z13" t="s">
        <v>5</v>
      </c>
    </row>
    <row r="14" spans="1:30" hidden="1" x14ac:dyDescent="0.2">
      <c r="B14" t="s">
        <v>46</v>
      </c>
      <c r="C14" t="s">
        <v>4</v>
      </c>
      <c r="D14" s="18" t="str">
        <f t="shared" si="0"/>
        <v>Corporate</v>
      </c>
      <c r="E14" s="18">
        <f t="shared" si="1"/>
        <v>1.4285714285714286</v>
      </c>
      <c r="F14" s="18">
        <f t="shared" si="2"/>
        <v>140</v>
      </c>
      <c r="G14" s="8">
        <v>10</v>
      </c>
      <c r="I14" s="24" t="s">
        <v>15</v>
      </c>
      <c r="J14" s="24" t="s">
        <v>74</v>
      </c>
      <c r="K14" s="24">
        <v>5</v>
      </c>
      <c r="L14" s="17">
        <f t="shared" si="5"/>
        <v>100</v>
      </c>
      <c r="S14" s="3">
        <f t="shared" si="3"/>
        <v>0</v>
      </c>
      <c r="U14" s="18" t="str">
        <v>AVC</v>
      </c>
      <c r="V14" s="3">
        <f t="shared" si="4"/>
        <v>9.1233766233766236</v>
      </c>
      <c r="W14" s="18" t="str">
        <f t="shared" si="6"/>
        <v>Corporate</v>
      </c>
      <c r="Y14" t="s">
        <v>37</v>
      </c>
      <c r="Z14" t="s">
        <v>5</v>
      </c>
    </row>
    <row r="15" spans="1:30" hidden="1" x14ac:dyDescent="0.2">
      <c r="B15" t="s">
        <v>22</v>
      </c>
      <c r="C15" t="s">
        <v>4</v>
      </c>
      <c r="D15" s="18" t="str">
        <f t="shared" si="0"/>
        <v>Corporate</v>
      </c>
      <c r="E15" s="18">
        <f t="shared" si="1"/>
        <v>2.8571428571428572</v>
      </c>
      <c r="F15" s="18">
        <f t="shared" si="2"/>
        <v>140</v>
      </c>
      <c r="G15" s="8">
        <v>20</v>
      </c>
      <c r="I15" s="25" t="s">
        <v>4</v>
      </c>
      <c r="J15" s="25" t="s">
        <v>11</v>
      </c>
      <c r="K15" s="25">
        <v>5</v>
      </c>
      <c r="L15" s="17">
        <f t="shared" si="5"/>
        <v>100</v>
      </c>
      <c r="S15" s="7"/>
      <c r="U15" s="18" t="str">
        <v>CF</v>
      </c>
      <c r="V15" s="3">
        <f t="shared" si="4"/>
        <v>18.246753246753247</v>
      </c>
      <c r="W15" s="18" t="str">
        <f t="shared" si="6"/>
        <v>Corporate</v>
      </c>
      <c r="Y15" t="s">
        <v>68</v>
      </c>
      <c r="Z15" t="s">
        <v>5</v>
      </c>
    </row>
    <row r="16" spans="1:30" hidden="1" x14ac:dyDescent="0.2">
      <c r="B16" t="s">
        <v>48</v>
      </c>
      <c r="C16" t="s">
        <v>4</v>
      </c>
      <c r="D16" s="18" t="str">
        <f t="shared" si="0"/>
        <v>Corporate</v>
      </c>
      <c r="E16" s="18">
        <f t="shared" si="1"/>
        <v>1.4285714285714286</v>
      </c>
      <c r="F16" s="18">
        <f t="shared" si="2"/>
        <v>140</v>
      </c>
      <c r="G16" s="8">
        <v>10</v>
      </c>
      <c r="I16" t="s">
        <v>4</v>
      </c>
      <c r="J16" t="s">
        <v>5</v>
      </c>
      <c r="K16">
        <v>40</v>
      </c>
      <c r="L16" s="17">
        <f t="shared" si="5"/>
        <v>100</v>
      </c>
      <c r="S16" s="7"/>
      <c r="U16" s="18" t="str">
        <v>CL</v>
      </c>
      <c r="V16" s="3">
        <f t="shared" si="4"/>
        <v>9.1233766233766236</v>
      </c>
      <c r="W16" s="18" t="str">
        <f t="shared" si="6"/>
        <v>Corporate</v>
      </c>
      <c r="Y16" t="s">
        <v>44</v>
      </c>
      <c r="Z16" t="s">
        <v>12</v>
      </c>
    </row>
    <row r="17" spans="2:26" hidden="1" x14ac:dyDescent="0.2">
      <c r="B17" t="s">
        <v>50</v>
      </c>
      <c r="C17" t="s">
        <v>4</v>
      </c>
      <c r="D17" s="18" t="str">
        <f t="shared" si="0"/>
        <v>Corporate</v>
      </c>
      <c r="E17" s="18">
        <f t="shared" si="1"/>
        <v>1.4285714285714286</v>
      </c>
      <c r="F17" s="18">
        <f t="shared" si="2"/>
        <v>140</v>
      </c>
      <c r="G17" s="8">
        <v>10</v>
      </c>
      <c r="I17" t="s">
        <v>4</v>
      </c>
      <c r="J17" t="s">
        <v>12</v>
      </c>
      <c r="K17">
        <v>20</v>
      </c>
      <c r="L17" s="17">
        <f t="shared" si="5"/>
        <v>100</v>
      </c>
      <c r="S17" s="7"/>
      <c r="U17" s="18" t="str">
        <v>CMP</v>
      </c>
      <c r="V17" s="3">
        <f t="shared" si="4"/>
        <v>9.1233766233766236</v>
      </c>
      <c r="W17" s="18" t="str">
        <f t="shared" si="6"/>
        <v>Corporate</v>
      </c>
      <c r="Y17" t="s">
        <v>67</v>
      </c>
      <c r="Z17" t="s">
        <v>12</v>
      </c>
    </row>
    <row r="18" spans="2:26" hidden="1" x14ac:dyDescent="0.2">
      <c r="B18" t="s">
        <v>54</v>
      </c>
      <c r="C18" t="s">
        <v>4</v>
      </c>
      <c r="D18" s="18" t="str">
        <f t="shared" si="0"/>
        <v>Corporate</v>
      </c>
      <c r="E18" s="18">
        <f t="shared" si="1"/>
        <v>1.4285714285714286</v>
      </c>
      <c r="F18" s="18">
        <f t="shared" si="2"/>
        <v>140</v>
      </c>
      <c r="G18" s="8">
        <v>10</v>
      </c>
      <c r="I18" t="s">
        <v>4</v>
      </c>
      <c r="J18" t="s">
        <v>6</v>
      </c>
      <c r="K18">
        <v>10</v>
      </c>
      <c r="L18" s="17">
        <f t="shared" si="5"/>
        <v>100</v>
      </c>
      <c r="S18" s="7"/>
      <c r="U18" s="18" t="str">
        <v>DPO</v>
      </c>
      <c r="V18" s="3">
        <f t="shared" si="4"/>
        <v>9.1233766233766236</v>
      </c>
      <c r="W18" s="18" t="str">
        <f t="shared" si="6"/>
        <v>Corporate</v>
      </c>
      <c r="Y18" t="s">
        <v>46</v>
      </c>
      <c r="Z18" t="s">
        <v>12</v>
      </c>
    </row>
    <row r="19" spans="2:26" hidden="1" x14ac:dyDescent="0.2">
      <c r="B19" t="s">
        <v>56</v>
      </c>
      <c r="C19" t="s">
        <v>4</v>
      </c>
      <c r="D19" s="18" t="str">
        <f t="shared" si="0"/>
        <v>Corporate</v>
      </c>
      <c r="E19" s="18">
        <f t="shared" si="1"/>
        <v>1.4285714285714286</v>
      </c>
      <c r="F19" s="18">
        <f t="shared" si="2"/>
        <v>140</v>
      </c>
      <c r="G19" s="8">
        <v>10</v>
      </c>
      <c r="I19" t="s">
        <v>4</v>
      </c>
      <c r="J19" t="s">
        <v>8</v>
      </c>
      <c r="K19">
        <v>20</v>
      </c>
      <c r="L19" s="17">
        <f t="shared" si="5"/>
        <v>100</v>
      </c>
      <c r="S19" s="7"/>
      <c r="U19" s="18" t="str">
        <v>FL</v>
      </c>
      <c r="V19" s="3">
        <f t="shared" si="4"/>
        <v>9.1233766233766236</v>
      </c>
      <c r="W19" s="18" t="str">
        <f t="shared" si="6"/>
        <v>Corporate</v>
      </c>
      <c r="Y19" t="s">
        <v>22</v>
      </c>
      <c r="Z19" t="s">
        <v>12</v>
      </c>
    </row>
    <row r="20" spans="2:26" hidden="1" x14ac:dyDescent="0.2">
      <c r="B20" t="s">
        <v>35</v>
      </c>
      <c r="C20" t="s">
        <v>4</v>
      </c>
      <c r="D20" s="18" t="str">
        <f t="shared" si="0"/>
        <v>Corporate</v>
      </c>
      <c r="E20" s="18">
        <f t="shared" si="1"/>
        <v>1.4285714285714286</v>
      </c>
      <c r="F20" s="18">
        <f t="shared" si="2"/>
        <v>140</v>
      </c>
      <c r="G20" s="8">
        <v>10</v>
      </c>
      <c r="I20" s="24" t="s">
        <v>4</v>
      </c>
      <c r="J20" s="24" t="s">
        <v>74</v>
      </c>
      <c r="K20" s="24">
        <v>5</v>
      </c>
      <c r="L20" s="17">
        <f t="shared" si="5"/>
        <v>100</v>
      </c>
      <c r="S20" s="7"/>
      <c r="U20" s="18" t="str">
        <v>GRH</v>
      </c>
      <c r="V20" s="3">
        <f t="shared" si="4"/>
        <v>9.1233766233766236</v>
      </c>
      <c r="W20" s="18" t="str">
        <f t="shared" si="6"/>
        <v>Corporate</v>
      </c>
      <c r="Y20" t="s">
        <v>69</v>
      </c>
      <c r="Z20" t="s">
        <v>12</v>
      </c>
    </row>
    <row r="21" spans="2:26" hidden="1" x14ac:dyDescent="0.2">
      <c r="B21" t="s">
        <v>47</v>
      </c>
      <c r="C21" t="s">
        <v>4</v>
      </c>
      <c r="D21" s="18" t="str">
        <f t="shared" si="0"/>
        <v>Corporate</v>
      </c>
      <c r="E21" s="18">
        <f t="shared" si="1"/>
        <v>1.4285714285714286</v>
      </c>
      <c r="F21" s="18">
        <f t="shared" si="2"/>
        <v>140</v>
      </c>
      <c r="G21" s="8">
        <v>10</v>
      </c>
      <c r="I21" s="25" t="s">
        <v>17</v>
      </c>
      <c r="J21" s="25" t="s">
        <v>11</v>
      </c>
      <c r="K21" s="25">
        <v>5</v>
      </c>
      <c r="L21" s="17">
        <f t="shared" si="5"/>
        <v>100</v>
      </c>
      <c r="S21" s="7"/>
      <c r="U21" s="18" t="str">
        <v>GT</v>
      </c>
      <c r="V21" s="3">
        <f t="shared" si="4"/>
        <v>9.1233766233766236</v>
      </c>
      <c r="W21" s="18" t="str">
        <f t="shared" si="6"/>
        <v>Corporate</v>
      </c>
      <c r="Y21" t="s">
        <v>72</v>
      </c>
      <c r="Z21" t="s">
        <v>12</v>
      </c>
    </row>
    <row r="22" spans="2:26" hidden="1" x14ac:dyDescent="0.2">
      <c r="B22" t="s">
        <v>98</v>
      </c>
      <c r="C22" t="s">
        <v>4</v>
      </c>
      <c r="D22" s="18" t="str">
        <f t="shared" si="0"/>
        <v>Corporate</v>
      </c>
      <c r="E22" s="18">
        <f t="shared" si="1"/>
        <v>1.4285714285714286</v>
      </c>
      <c r="F22" s="18">
        <f t="shared" si="2"/>
        <v>140</v>
      </c>
      <c r="G22" s="8">
        <v>10</v>
      </c>
      <c r="I22" t="s">
        <v>17</v>
      </c>
      <c r="J22" t="s">
        <v>5</v>
      </c>
      <c r="K22">
        <v>30</v>
      </c>
      <c r="L22" s="17">
        <f t="shared" si="5"/>
        <v>100</v>
      </c>
      <c r="S22" s="7"/>
      <c r="U22" s="18" t="str">
        <v>PC</v>
      </c>
      <c r="V22" s="3">
        <f t="shared" si="4"/>
        <v>10.032467532467532</v>
      </c>
      <c r="W22" s="18" t="str">
        <f t="shared" si="6"/>
        <v>Corporate</v>
      </c>
      <c r="Y22" t="s">
        <v>48</v>
      </c>
      <c r="Z22" t="s">
        <v>12</v>
      </c>
    </row>
    <row r="23" spans="2:26" hidden="1" x14ac:dyDescent="0.2">
      <c r="B23" t="s">
        <v>45</v>
      </c>
      <c r="C23" t="s">
        <v>4</v>
      </c>
      <c r="D23" s="18" t="str">
        <f t="shared" si="0"/>
        <v>Corporate</v>
      </c>
      <c r="E23" s="18">
        <f t="shared" si="1"/>
        <v>1.4285714285714286</v>
      </c>
      <c r="F23" s="18">
        <f t="shared" si="2"/>
        <v>140</v>
      </c>
      <c r="G23" s="8">
        <v>10</v>
      </c>
      <c r="I23" t="s">
        <v>17</v>
      </c>
      <c r="J23" t="s">
        <v>12</v>
      </c>
      <c r="K23">
        <v>30</v>
      </c>
      <c r="L23" s="17">
        <f t="shared" si="5"/>
        <v>100</v>
      </c>
      <c r="S23" s="7"/>
      <c r="U23" s="18" t="str">
        <v>RS</v>
      </c>
      <c r="V23" s="3">
        <f t="shared" si="4"/>
        <v>9.1233766233766236</v>
      </c>
      <c r="W23" s="18" t="str">
        <f t="shared" si="6"/>
        <v>Corporate</v>
      </c>
      <c r="Y23" t="s">
        <v>50</v>
      </c>
      <c r="Z23" t="s">
        <v>12</v>
      </c>
    </row>
    <row r="24" spans="2:26" hidden="1" x14ac:dyDescent="0.2">
      <c r="B24" t="s">
        <v>51</v>
      </c>
      <c r="C24" t="s">
        <v>4</v>
      </c>
      <c r="D24" s="18" t="str">
        <f t="shared" si="0"/>
        <v>Corporate</v>
      </c>
      <c r="E24" s="18">
        <f t="shared" si="1"/>
        <v>1.4285714285714286</v>
      </c>
      <c r="F24" s="18">
        <f t="shared" si="2"/>
        <v>140</v>
      </c>
      <c r="G24" s="8">
        <v>10</v>
      </c>
      <c r="I24" t="s">
        <v>17</v>
      </c>
      <c r="J24" t="s">
        <v>6</v>
      </c>
      <c r="K24">
        <v>10</v>
      </c>
      <c r="L24" s="17">
        <f t="shared" si="5"/>
        <v>100</v>
      </c>
      <c r="S24" s="7"/>
      <c r="U24" s="18" t="str">
        <v>ST</v>
      </c>
      <c r="V24" s="3">
        <f t="shared" si="4"/>
        <v>9.1233766233766236</v>
      </c>
      <c r="W24" s="18" t="str">
        <f t="shared" si="6"/>
        <v>Corporate</v>
      </c>
      <c r="Y24" t="s">
        <v>73</v>
      </c>
      <c r="Z24" t="s">
        <v>12</v>
      </c>
    </row>
    <row r="25" spans="2:26" hidden="1" x14ac:dyDescent="0.2">
      <c r="B25" t="s">
        <v>53</v>
      </c>
      <c r="C25" t="s">
        <v>4</v>
      </c>
      <c r="D25" s="18" t="str">
        <f t="shared" si="0"/>
        <v>Corporate</v>
      </c>
      <c r="E25" s="18">
        <f t="shared" si="1"/>
        <v>1.4285714285714286</v>
      </c>
      <c r="F25" s="18">
        <f t="shared" si="2"/>
        <v>140</v>
      </c>
      <c r="G25" s="8">
        <v>10</v>
      </c>
      <c r="I25" t="s">
        <v>17</v>
      </c>
      <c r="J25" t="s">
        <v>8</v>
      </c>
      <c r="K25">
        <v>20</v>
      </c>
      <c r="L25" s="17">
        <f t="shared" si="5"/>
        <v>100</v>
      </c>
      <c r="S25" s="7"/>
      <c r="U25" s="18" t="str">
        <v>TF</v>
      </c>
      <c r="V25" s="3">
        <f t="shared" si="4"/>
        <v>9.1233766233766236</v>
      </c>
      <c r="W25" s="18" t="str">
        <f t="shared" si="6"/>
        <v>Corporate</v>
      </c>
      <c r="Y25" t="s">
        <v>54</v>
      </c>
      <c r="Z25" t="s">
        <v>12</v>
      </c>
    </row>
    <row r="26" spans="2:26" hidden="1" x14ac:dyDescent="0.2">
      <c r="B26" t="s">
        <v>7</v>
      </c>
      <c r="C26" t="s">
        <v>4</v>
      </c>
      <c r="D26" s="18" t="str">
        <f t="shared" si="0"/>
        <v>Operations</v>
      </c>
      <c r="E26" s="18">
        <f t="shared" si="1"/>
        <v>3.3333333333333335</v>
      </c>
      <c r="F26" s="18">
        <f t="shared" si="2"/>
        <v>30</v>
      </c>
      <c r="G26" s="8">
        <v>10</v>
      </c>
      <c r="I26" s="24" t="s">
        <v>17</v>
      </c>
      <c r="J26" s="24" t="s">
        <v>74</v>
      </c>
      <c r="K26" s="24">
        <v>5</v>
      </c>
      <c r="L26" s="17">
        <f t="shared" si="5"/>
        <v>100</v>
      </c>
      <c r="S26" s="7"/>
      <c r="U26" s="18" t="str">
        <v>EDO</v>
      </c>
      <c r="V26" s="3">
        <f t="shared" si="4"/>
        <v>36.333333333333336</v>
      </c>
      <c r="W26" s="18" t="str">
        <f t="shared" si="6"/>
        <v>Operations</v>
      </c>
      <c r="Y26" t="s">
        <v>56</v>
      </c>
      <c r="Z26" t="s">
        <v>12</v>
      </c>
    </row>
    <row r="27" spans="2:26" hidden="1" x14ac:dyDescent="0.2">
      <c r="B27" t="s">
        <v>42</v>
      </c>
      <c r="C27" t="s">
        <v>4</v>
      </c>
      <c r="D27" s="18" t="str">
        <f t="shared" si="0"/>
        <v>Operations</v>
      </c>
      <c r="E27" s="18">
        <f t="shared" si="1"/>
        <v>3.3333333333333335</v>
      </c>
      <c r="F27" s="18">
        <f t="shared" si="2"/>
        <v>30</v>
      </c>
      <c r="G27" s="8">
        <v>10</v>
      </c>
      <c r="I27" s="25" t="s">
        <v>16</v>
      </c>
      <c r="J27" s="25" t="s">
        <v>11</v>
      </c>
      <c r="K27" s="25">
        <v>5</v>
      </c>
      <c r="L27" s="17">
        <f t="shared" si="5"/>
        <v>100</v>
      </c>
      <c r="S27" s="7"/>
      <c r="U27" s="18" t="str">
        <v>EM</v>
      </c>
      <c r="V27" s="3">
        <f t="shared" si="4"/>
        <v>28.166666666666664</v>
      </c>
      <c r="W27" s="18" t="str">
        <f t="shared" si="6"/>
        <v>Operations</v>
      </c>
      <c r="Y27" t="s">
        <v>35</v>
      </c>
      <c r="Z27" t="s">
        <v>12</v>
      </c>
    </row>
    <row r="28" spans="2:26" hidden="1" x14ac:dyDescent="0.2">
      <c r="B28" t="s">
        <v>26</v>
      </c>
      <c r="C28" t="s">
        <v>4</v>
      </c>
      <c r="D28" s="18" t="str">
        <f t="shared" si="0"/>
        <v>Operations</v>
      </c>
      <c r="E28" s="18">
        <f t="shared" si="1"/>
        <v>3.3333333333333335</v>
      </c>
      <c r="F28" s="18">
        <f t="shared" si="2"/>
        <v>30</v>
      </c>
      <c r="G28" s="8">
        <v>10</v>
      </c>
      <c r="I28" t="s">
        <v>16</v>
      </c>
      <c r="J28" t="s">
        <v>5</v>
      </c>
      <c r="K28">
        <v>30</v>
      </c>
      <c r="L28" s="17">
        <f t="shared" si="5"/>
        <v>100</v>
      </c>
      <c r="S28" s="7"/>
      <c r="U28" s="18" t="str">
        <v>SEO</v>
      </c>
      <c r="V28" s="3">
        <f t="shared" si="4"/>
        <v>32.166666666666664</v>
      </c>
      <c r="W28" s="18" t="str">
        <f t="shared" si="6"/>
        <v>Operations</v>
      </c>
      <c r="Y28" t="s">
        <v>47</v>
      </c>
      <c r="Z28" t="s">
        <v>12</v>
      </c>
    </row>
    <row r="29" spans="2:26" hidden="1" x14ac:dyDescent="0.2">
      <c r="B29" t="s">
        <v>34</v>
      </c>
      <c r="C29" t="s">
        <v>4</v>
      </c>
      <c r="D29" s="18" t="str">
        <f t="shared" si="0"/>
        <v>Technology</v>
      </c>
      <c r="E29" s="18">
        <f t="shared" si="1"/>
        <v>4</v>
      </c>
      <c r="F29" s="18">
        <f t="shared" si="2"/>
        <v>50</v>
      </c>
      <c r="G29" s="8">
        <v>10</v>
      </c>
      <c r="I29" t="s">
        <v>16</v>
      </c>
      <c r="J29" t="s">
        <v>12</v>
      </c>
      <c r="K29">
        <v>25</v>
      </c>
      <c r="L29" s="17">
        <f t="shared" si="5"/>
        <v>100</v>
      </c>
      <c r="S29" s="7"/>
      <c r="U29" s="18" t="str">
        <v>BCTT</v>
      </c>
      <c r="V29" s="3">
        <f t="shared" si="4"/>
        <v>18.375</v>
      </c>
      <c r="W29" s="18" t="str">
        <f t="shared" si="6"/>
        <v>Technology</v>
      </c>
      <c r="Y29" t="s">
        <v>98</v>
      </c>
      <c r="Z29" t="s">
        <v>12</v>
      </c>
    </row>
    <row r="30" spans="2:26" hidden="1" x14ac:dyDescent="0.2">
      <c r="B30" t="s">
        <v>9</v>
      </c>
      <c r="C30" t="s">
        <v>4</v>
      </c>
      <c r="D30" s="18" t="str">
        <f t="shared" si="0"/>
        <v>Technology</v>
      </c>
      <c r="E30" s="18">
        <f t="shared" si="1"/>
        <v>4</v>
      </c>
      <c r="F30" s="18">
        <f t="shared" si="2"/>
        <v>50</v>
      </c>
      <c r="G30" s="8">
        <v>10</v>
      </c>
      <c r="I30" t="s">
        <v>16</v>
      </c>
      <c r="J30" t="s">
        <v>6</v>
      </c>
      <c r="K30">
        <v>10</v>
      </c>
      <c r="L30" s="17">
        <f t="shared" si="5"/>
        <v>100</v>
      </c>
      <c r="S30" s="7"/>
      <c r="U30" s="18" t="str">
        <v>SI</v>
      </c>
      <c r="V30" s="3">
        <f t="shared" si="4"/>
        <v>32.75</v>
      </c>
      <c r="W30" s="18" t="str">
        <f t="shared" si="6"/>
        <v>Technology</v>
      </c>
      <c r="Y30" t="s">
        <v>71</v>
      </c>
      <c r="Z30" t="s">
        <v>12</v>
      </c>
    </row>
    <row r="31" spans="2:26" hidden="1" x14ac:dyDescent="0.2">
      <c r="B31" t="s">
        <v>60</v>
      </c>
      <c r="C31" t="s">
        <v>4</v>
      </c>
      <c r="D31" s="18" t="str">
        <f t="shared" si="0"/>
        <v>Technology</v>
      </c>
      <c r="E31" s="18">
        <f t="shared" si="1"/>
        <v>4</v>
      </c>
      <c r="F31" s="18">
        <f t="shared" si="2"/>
        <v>50</v>
      </c>
      <c r="G31" s="8">
        <v>10</v>
      </c>
      <c r="I31" t="s">
        <v>16</v>
      </c>
      <c r="J31" t="s">
        <v>8</v>
      </c>
      <c r="K31">
        <v>25</v>
      </c>
      <c r="L31" s="17">
        <f t="shared" si="5"/>
        <v>100</v>
      </c>
      <c r="S31" s="7"/>
      <c r="U31" s="18" t="str">
        <v>SI-CRP</v>
      </c>
      <c r="V31" s="3">
        <f t="shared" si="4"/>
        <v>18.375</v>
      </c>
      <c r="W31" s="18" t="str">
        <f t="shared" si="6"/>
        <v>Technology</v>
      </c>
      <c r="Y31" t="s">
        <v>45</v>
      </c>
      <c r="Z31" t="s">
        <v>12</v>
      </c>
    </row>
    <row r="32" spans="2:26" hidden="1" x14ac:dyDescent="0.2">
      <c r="B32" t="s">
        <v>59</v>
      </c>
      <c r="C32" t="s">
        <v>4</v>
      </c>
      <c r="D32" s="18" t="str">
        <f t="shared" si="0"/>
        <v>Technology</v>
      </c>
      <c r="E32" s="18">
        <f t="shared" si="1"/>
        <v>4</v>
      </c>
      <c r="F32" s="18">
        <f t="shared" si="2"/>
        <v>50</v>
      </c>
      <c r="G32" s="8">
        <v>10</v>
      </c>
      <c r="I32" s="24" t="s">
        <v>16</v>
      </c>
      <c r="J32" s="24" t="s">
        <v>74</v>
      </c>
      <c r="K32" s="24">
        <v>5</v>
      </c>
      <c r="L32" s="17">
        <f t="shared" si="5"/>
        <v>100</v>
      </c>
      <c r="S32" s="7"/>
      <c r="U32" s="18" t="str">
        <v>SI-OPS</v>
      </c>
      <c r="V32" s="3">
        <f t="shared" si="4"/>
        <v>18.375</v>
      </c>
      <c r="W32" s="18" t="str">
        <f t="shared" si="6"/>
        <v>Technology</v>
      </c>
      <c r="Y32" t="s">
        <v>51</v>
      </c>
      <c r="Z32" t="s">
        <v>12</v>
      </c>
    </row>
    <row r="33" spans="2:26" hidden="1" x14ac:dyDescent="0.2">
      <c r="B33" t="s">
        <v>58</v>
      </c>
      <c r="C33" t="s">
        <v>4</v>
      </c>
      <c r="D33" s="18" t="str">
        <f t="shared" si="0"/>
        <v>Technology</v>
      </c>
      <c r="E33" s="18">
        <f t="shared" si="1"/>
        <v>4</v>
      </c>
      <c r="F33" s="18">
        <f t="shared" si="2"/>
        <v>50</v>
      </c>
      <c r="G33" s="8">
        <v>10</v>
      </c>
      <c r="I33" s="25" t="s">
        <v>14</v>
      </c>
      <c r="J33" s="25" t="s">
        <v>11</v>
      </c>
      <c r="K33" s="25">
        <v>5</v>
      </c>
      <c r="L33" s="17">
        <f t="shared" si="5"/>
        <v>100</v>
      </c>
      <c r="S33" s="7"/>
      <c r="U33" s="18" t="str">
        <v>SI-PRD</v>
      </c>
      <c r="V33" s="3">
        <f t="shared" si="4"/>
        <v>18.375</v>
      </c>
      <c r="W33" s="18" t="str">
        <f t="shared" si="6"/>
        <v>Technology</v>
      </c>
      <c r="Y33" t="s">
        <v>53</v>
      </c>
      <c r="Z33" t="s">
        <v>12</v>
      </c>
    </row>
    <row r="34" spans="2:26" x14ac:dyDescent="0.2">
      <c r="B34" t="s">
        <v>11</v>
      </c>
      <c r="C34" t="s">
        <v>10</v>
      </c>
      <c r="D34" s="18" t="str">
        <f t="shared" si="0"/>
        <v>CISO</v>
      </c>
      <c r="E34" s="18">
        <f t="shared" si="1"/>
        <v>5</v>
      </c>
      <c r="F34" s="18">
        <f t="shared" si="2"/>
        <v>5</v>
      </c>
      <c r="G34" s="8">
        <v>5</v>
      </c>
      <c r="I34" t="s">
        <v>14</v>
      </c>
      <c r="J34" t="s">
        <v>5</v>
      </c>
      <c r="K34">
        <v>30</v>
      </c>
      <c r="L34" s="17">
        <f t="shared" si="5"/>
        <v>100</v>
      </c>
      <c r="S34" s="7"/>
      <c r="U34" s="18" t="str">
        <v>CCO</v>
      </c>
      <c r="V34" s="3">
        <f t="shared" si="4"/>
        <v>2.9411764705882355</v>
      </c>
      <c r="W34" s="18" t="str">
        <f t="shared" si="6"/>
        <v>Commercial</v>
      </c>
      <c r="Y34" t="s">
        <v>64</v>
      </c>
      <c r="Z34" t="s">
        <v>6</v>
      </c>
    </row>
    <row r="35" spans="2:26" x14ac:dyDescent="0.2">
      <c r="B35" t="s">
        <v>66</v>
      </c>
      <c r="C35" t="s">
        <v>10</v>
      </c>
      <c r="D35" s="18" t="str">
        <f t="shared" si="0"/>
        <v>Commercial</v>
      </c>
      <c r="E35" s="18">
        <f t="shared" si="1"/>
        <v>2.9411764705882355</v>
      </c>
      <c r="F35" s="18">
        <f t="shared" si="2"/>
        <v>170</v>
      </c>
      <c r="G35" s="8">
        <v>20</v>
      </c>
      <c r="I35" t="s">
        <v>14</v>
      </c>
      <c r="J35" t="s">
        <v>12</v>
      </c>
      <c r="K35">
        <v>20</v>
      </c>
      <c r="L35" s="17">
        <f t="shared" si="5"/>
        <v>100</v>
      </c>
      <c r="S35" s="7"/>
      <c r="U35" s="18" t="str">
        <v>CMO</v>
      </c>
      <c r="V35" s="3">
        <f t="shared" si="4"/>
        <v>2.9411764705882355</v>
      </c>
      <c r="W35" s="18" t="str">
        <f t="shared" si="6"/>
        <v>Commercial</v>
      </c>
      <c r="Y35" t="s">
        <v>7</v>
      </c>
      <c r="Z35" t="s">
        <v>6</v>
      </c>
    </row>
    <row r="36" spans="2:26" x14ac:dyDescent="0.2">
      <c r="B36" t="s">
        <v>65</v>
      </c>
      <c r="C36" t="s">
        <v>10</v>
      </c>
      <c r="D36" s="18" t="str">
        <f t="shared" si="0"/>
        <v>Commercial</v>
      </c>
      <c r="E36" s="18">
        <f t="shared" si="1"/>
        <v>2.9411764705882355</v>
      </c>
      <c r="F36" s="18">
        <f t="shared" si="2"/>
        <v>170</v>
      </c>
      <c r="G36" s="8">
        <v>20</v>
      </c>
      <c r="I36" t="s">
        <v>14</v>
      </c>
      <c r="J36" t="s">
        <v>6</v>
      </c>
      <c r="K36">
        <v>30</v>
      </c>
      <c r="L36" s="17">
        <f t="shared" si="5"/>
        <v>100</v>
      </c>
      <c r="S36" s="7"/>
      <c r="U36" s="18" t="str">
        <v>IDC</v>
      </c>
      <c r="V36" s="3">
        <f t="shared" si="4"/>
        <v>2.9411764705882355</v>
      </c>
      <c r="W36" s="18" t="str">
        <f t="shared" si="6"/>
        <v>Commercial</v>
      </c>
      <c r="Y36" t="s">
        <v>42</v>
      </c>
      <c r="Z36" t="s">
        <v>6</v>
      </c>
    </row>
    <row r="37" spans="2:26" x14ac:dyDescent="0.2">
      <c r="B37" t="s">
        <v>38</v>
      </c>
      <c r="C37" t="s">
        <v>10</v>
      </c>
      <c r="D37" s="18" t="str">
        <f t="shared" si="0"/>
        <v>Commercial</v>
      </c>
      <c r="E37" s="18">
        <f t="shared" si="1"/>
        <v>1.4705882352941178</v>
      </c>
      <c r="F37" s="18">
        <f t="shared" si="2"/>
        <v>170</v>
      </c>
      <c r="G37" s="8">
        <v>10</v>
      </c>
      <c r="I37" t="s">
        <v>14</v>
      </c>
      <c r="J37" t="s">
        <v>8</v>
      </c>
      <c r="K37">
        <v>10</v>
      </c>
      <c r="L37" s="17">
        <f t="shared" si="5"/>
        <v>100</v>
      </c>
      <c r="S37" s="7"/>
      <c r="U37" s="18" t="str">
        <v>ATC</v>
      </c>
      <c r="V37" s="3">
        <f t="shared" si="4"/>
        <v>1.8181818181818181</v>
      </c>
      <c r="W37" s="18" t="str">
        <f t="shared" si="6"/>
        <v>Corporate</v>
      </c>
      <c r="Y37" t="s">
        <v>42</v>
      </c>
      <c r="Z37" t="s">
        <v>6</v>
      </c>
    </row>
    <row r="38" spans="2:26" x14ac:dyDescent="0.2">
      <c r="B38" t="s">
        <v>39</v>
      </c>
      <c r="C38" t="s">
        <v>10</v>
      </c>
      <c r="D38" s="18" t="str">
        <f t="shared" si="0"/>
        <v>Commercial</v>
      </c>
      <c r="E38" s="18">
        <f t="shared" si="1"/>
        <v>1.4705882352941178</v>
      </c>
      <c r="F38" s="18">
        <f t="shared" si="2"/>
        <v>170</v>
      </c>
      <c r="G38" s="8">
        <v>10</v>
      </c>
      <c r="I38" s="24" t="s">
        <v>14</v>
      </c>
      <c r="J38" s="24" t="s">
        <v>74</v>
      </c>
      <c r="K38" s="24">
        <v>5</v>
      </c>
      <c r="L38" s="17">
        <f t="shared" si="5"/>
        <v>100</v>
      </c>
      <c r="S38" s="7"/>
      <c r="U38" s="18" t="str">
        <v>CFO</v>
      </c>
      <c r="V38" s="3">
        <f t="shared" si="4"/>
        <v>1.8181818181818181</v>
      </c>
      <c r="W38" s="18" t="str">
        <f t="shared" si="6"/>
        <v>Corporate</v>
      </c>
      <c r="Y38" t="s">
        <v>26</v>
      </c>
      <c r="Z38" t="s">
        <v>6</v>
      </c>
    </row>
    <row r="39" spans="2:26" x14ac:dyDescent="0.2">
      <c r="B39" t="s">
        <v>36</v>
      </c>
      <c r="C39" t="s">
        <v>10</v>
      </c>
      <c r="D39" s="18" t="str">
        <f t="shared" si="0"/>
        <v>Commercial</v>
      </c>
      <c r="E39" s="18">
        <f t="shared" si="1"/>
        <v>1.4705882352941178</v>
      </c>
      <c r="F39" s="18">
        <f t="shared" si="2"/>
        <v>170</v>
      </c>
      <c r="G39" s="8">
        <v>10</v>
      </c>
      <c r="S39" s="7"/>
      <c r="U39" s="18" t="str">
        <v>CHR</v>
      </c>
      <c r="V39" s="3">
        <f t="shared" si="4"/>
        <v>0.90909090909090906</v>
      </c>
      <c r="W39" s="18" t="str">
        <f t="shared" si="6"/>
        <v>Corporate</v>
      </c>
      <c r="Y39" t="s">
        <v>34</v>
      </c>
      <c r="Z39" t="s">
        <v>8</v>
      </c>
    </row>
    <row r="40" spans="2:26" x14ac:dyDescent="0.2">
      <c r="B40" t="s">
        <v>40</v>
      </c>
      <c r="C40" t="s">
        <v>10</v>
      </c>
      <c r="D40" s="18" t="str">
        <f t="shared" si="0"/>
        <v>Commercial</v>
      </c>
      <c r="E40" s="18">
        <f t="shared" si="1"/>
        <v>1.4705882352941178</v>
      </c>
      <c r="F40" s="18">
        <f t="shared" si="2"/>
        <v>170</v>
      </c>
      <c r="G40" s="8">
        <v>10</v>
      </c>
      <c r="S40" s="7"/>
      <c r="U40" s="18" t="str">
        <v>COM</v>
      </c>
      <c r="V40" s="3">
        <f t="shared" si="4"/>
        <v>0.90909090909090906</v>
      </c>
      <c r="W40" s="18" t="str">
        <f t="shared" si="6"/>
        <v>Corporate</v>
      </c>
      <c r="Y40" t="s">
        <v>70</v>
      </c>
      <c r="Z40" t="s">
        <v>8</v>
      </c>
    </row>
    <row r="41" spans="2:26" x14ac:dyDescent="0.2">
      <c r="B41" t="s">
        <v>21</v>
      </c>
      <c r="C41" t="s">
        <v>10</v>
      </c>
      <c r="D41" s="18" t="str">
        <f t="shared" si="0"/>
        <v>Commercial</v>
      </c>
      <c r="E41" s="18">
        <f t="shared" si="1"/>
        <v>1.4705882352941178</v>
      </c>
      <c r="F41" s="18">
        <f t="shared" si="2"/>
        <v>170</v>
      </c>
      <c r="G41" s="8">
        <v>10</v>
      </c>
      <c r="S41" s="7"/>
      <c r="U41" s="18" t="str">
        <v>PRO</v>
      </c>
      <c r="V41" s="3">
        <f t="shared" si="4"/>
        <v>0.90909090909090906</v>
      </c>
      <c r="W41" s="18" t="str">
        <f t="shared" si="6"/>
        <v>Corporate</v>
      </c>
      <c r="Y41" t="s">
        <v>9</v>
      </c>
      <c r="Z41" t="s">
        <v>8</v>
      </c>
    </row>
    <row r="42" spans="2:26" x14ac:dyDescent="0.2">
      <c r="B42" t="s">
        <v>25</v>
      </c>
      <c r="C42" t="s">
        <v>10</v>
      </c>
      <c r="D42" s="18" t="str">
        <f t="shared" si="0"/>
        <v>Commercial</v>
      </c>
      <c r="E42" s="18">
        <f t="shared" si="1"/>
        <v>1.4705882352941178</v>
      </c>
      <c r="F42" s="18">
        <f t="shared" si="2"/>
        <v>170</v>
      </c>
      <c r="G42" s="8">
        <v>10</v>
      </c>
      <c r="S42" s="7"/>
      <c r="U42" s="18" t="str">
        <v>COO</v>
      </c>
      <c r="V42" s="3">
        <f t="shared" si="4"/>
        <v>8.3333333333333339</v>
      </c>
      <c r="W42" s="18" t="str">
        <f t="shared" si="6"/>
        <v>Operations</v>
      </c>
      <c r="Y42" t="s">
        <v>60</v>
      </c>
      <c r="Z42" t="s">
        <v>8</v>
      </c>
    </row>
    <row r="43" spans="2:26" x14ac:dyDescent="0.2">
      <c r="B43" t="s">
        <v>23</v>
      </c>
      <c r="C43" t="s">
        <v>10</v>
      </c>
      <c r="D43" s="18" t="str">
        <f t="shared" si="0"/>
        <v>Commercial</v>
      </c>
      <c r="E43" s="18">
        <f t="shared" si="1"/>
        <v>2.9411764705882355</v>
      </c>
      <c r="F43" s="18">
        <f t="shared" si="2"/>
        <v>170</v>
      </c>
      <c r="G43" s="8">
        <v>20</v>
      </c>
      <c r="S43" s="7"/>
      <c r="U43" s="18" t="str">
        <v>CIO</v>
      </c>
      <c r="V43" s="3">
        <f t="shared" si="4"/>
        <v>3.75</v>
      </c>
      <c r="W43" s="18" t="str">
        <f t="shared" si="6"/>
        <v>Technology</v>
      </c>
      <c r="Y43" t="s">
        <v>59</v>
      </c>
      <c r="Z43" t="s">
        <v>8</v>
      </c>
    </row>
    <row r="44" spans="2:26" x14ac:dyDescent="0.2">
      <c r="B44" t="s">
        <v>24</v>
      </c>
      <c r="C44" t="s">
        <v>10</v>
      </c>
      <c r="D44" s="18" t="str">
        <f t="shared" si="0"/>
        <v>Commercial</v>
      </c>
      <c r="E44" s="18">
        <f t="shared" si="1"/>
        <v>1.4705882352941178</v>
      </c>
      <c r="F44" s="18">
        <f t="shared" si="2"/>
        <v>170</v>
      </c>
      <c r="G44" s="8">
        <v>10</v>
      </c>
      <c r="S44" s="7"/>
      <c r="U44" s="18" t="str">
        <v>IAD</v>
      </c>
      <c r="V44" s="3">
        <f t="shared" si="4"/>
        <v>35</v>
      </c>
      <c r="W44" s="18" t="str">
        <f t="shared" si="6"/>
        <v>Data &amp; AI</v>
      </c>
      <c r="Y44" t="s">
        <v>58</v>
      </c>
      <c r="Z44" t="s">
        <v>8</v>
      </c>
    </row>
    <row r="45" spans="2:26" x14ac:dyDescent="0.2">
      <c r="B45" t="s">
        <v>37</v>
      </c>
      <c r="C45" t="s">
        <v>10</v>
      </c>
      <c r="D45" s="18" t="str">
        <f t="shared" si="0"/>
        <v>Commercial</v>
      </c>
      <c r="E45" s="18">
        <f t="shared" si="1"/>
        <v>2.9411764705882355</v>
      </c>
      <c r="F45" s="18">
        <f t="shared" si="2"/>
        <v>170</v>
      </c>
      <c r="G45" s="8">
        <v>20</v>
      </c>
      <c r="S45" s="7"/>
      <c r="U45">
        <v>0</v>
      </c>
      <c r="V45" s="7"/>
      <c r="Y45" t="s">
        <v>116</v>
      </c>
      <c r="Z45" t="s">
        <v>74</v>
      </c>
    </row>
    <row r="46" spans="2:26" x14ac:dyDescent="0.2">
      <c r="B46" t="s">
        <v>68</v>
      </c>
      <c r="C46" t="s">
        <v>10</v>
      </c>
      <c r="D46" s="18" t="str">
        <f t="shared" si="0"/>
        <v>Commercial</v>
      </c>
      <c r="E46" s="18">
        <f t="shared" si="1"/>
        <v>2.9411764705882355</v>
      </c>
      <c r="F46" s="18">
        <f t="shared" si="2"/>
        <v>170</v>
      </c>
      <c r="G46" s="8">
        <v>20</v>
      </c>
      <c r="S46" s="7"/>
      <c r="V46" s="7"/>
    </row>
    <row r="47" spans="2:26" x14ac:dyDescent="0.2">
      <c r="B47" t="s">
        <v>44</v>
      </c>
      <c r="C47" t="s">
        <v>10</v>
      </c>
      <c r="D47" s="18" t="str">
        <f t="shared" si="0"/>
        <v>Corporate</v>
      </c>
      <c r="E47" s="18">
        <f t="shared" si="1"/>
        <v>0.90909090909090906</v>
      </c>
      <c r="F47" s="18">
        <f t="shared" si="2"/>
        <v>220</v>
      </c>
      <c r="G47" s="8">
        <v>10</v>
      </c>
      <c r="S47" s="7"/>
      <c r="V47" s="7"/>
    </row>
    <row r="48" spans="2:26" x14ac:dyDescent="0.2">
      <c r="B48" t="s">
        <v>67</v>
      </c>
      <c r="C48" t="s">
        <v>10</v>
      </c>
      <c r="D48" s="18" t="str">
        <f t="shared" si="0"/>
        <v>Corporate</v>
      </c>
      <c r="E48" s="18">
        <f t="shared" si="1"/>
        <v>1.8181818181818181</v>
      </c>
      <c r="F48" s="18">
        <f t="shared" si="2"/>
        <v>220</v>
      </c>
      <c r="G48" s="8">
        <v>20</v>
      </c>
      <c r="S48" s="7"/>
      <c r="V48" s="7"/>
    </row>
    <row r="49" spans="2:22" x14ac:dyDescent="0.2">
      <c r="B49" t="s">
        <v>46</v>
      </c>
      <c r="C49" t="s">
        <v>10</v>
      </c>
      <c r="D49" s="18" t="str">
        <f t="shared" si="0"/>
        <v>Corporate</v>
      </c>
      <c r="E49" s="18">
        <f t="shared" si="1"/>
        <v>0.90909090909090906</v>
      </c>
      <c r="F49" s="18">
        <f t="shared" si="2"/>
        <v>220</v>
      </c>
      <c r="G49" s="8">
        <v>10</v>
      </c>
      <c r="S49" s="7"/>
      <c r="V49" s="7"/>
    </row>
    <row r="50" spans="2:22" x14ac:dyDescent="0.2">
      <c r="B50" t="s">
        <v>22</v>
      </c>
      <c r="C50" t="s">
        <v>10</v>
      </c>
      <c r="D50" s="18" t="str">
        <f t="shared" si="0"/>
        <v>Corporate</v>
      </c>
      <c r="E50" s="18">
        <f t="shared" si="1"/>
        <v>1.8181818181818181</v>
      </c>
      <c r="F50" s="18">
        <f t="shared" si="2"/>
        <v>220</v>
      </c>
      <c r="G50" s="8">
        <v>20</v>
      </c>
      <c r="S50" s="7"/>
      <c r="V50" s="7"/>
    </row>
    <row r="51" spans="2:22" x14ac:dyDescent="0.2">
      <c r="B51" t="s">
        <v>69</v>
      </c>
      <c r="C51" t="s">
        <v>10</v>
      </c>
      <c r="D51" s="18" t="str">
        <f t="shared" si="0"/>
        <v>Corporate</v>
      </c>
      <c r="E51" s="18">
        <f t="shared" si="1"/>
        <v>1.8181818181818181</v>
      </c>
      <c r="F51" s="18">
        <f t="shared" si="2"/>
        <v>220</v>
      </c>
      <c r="G51" s="8">
        <v>20</v>
      </c>
      <c r="S51" s="7"/>
      <c r="V51" s="7"/>
    </row>
    <row r="52" spans="2:22" x14ac:dyDescent="0.2">
      <c r="B52" t="s">
        <v>72</v>
      </c>
      <c r="C52" t="s">
        <v>10</v>
      </c>
      <c r="D52" s="18" t="str">
        <f t="shared" si="0"/>
        <v>Corporate</v>
      </c>
      <c r="E52" s="18">
        <f t="shared" si="1"/>
        <v>0.90909090909090906</v>
      </c>
      <c r="F52" s="18">
        <f t="shared" si="2"/>
        <v>220</v>
      </c>
      <c r="G52" s="8">
        <v>10</v>
      </c>
      <c r="S52" s="7"/>
      <c r="V52" s="7"/>
    </row>
    <row r="53" spans="2:22" x14ac:dyDescent="0.2">
      <c r="B53" t="s">
        <v>48</v>
      </c>
      <c r="C53" t="s">
        <v>10</v>
      </c>
      <c r="D53" s="18" t="str">
        <f t="shared" si="0"/>
        <v>Corporate</v>
      </c>
      <c r="E53" s="18">
        <f t="shared" si="1"/>
        <v>0.90909090909090906</v>
      </c>
      <c r="F53" s="18">
        <f t="shared" si="2"/>
        <v>220</v>
      </c>
      <c r="G53" s="8">
        <v>10</v>
      </c>
      <c r="S53" s="7"/>
      <c r="V53" s="7"/>
    </row>
    <row r="54" spans="2:22" x14ac:dyDescent="0.2">
      <c r="B54" t="s">
        <v>50</v>
      </c>
      <c r="C54" t="s">
        <v>10</v>
      </c>
      <c r="D54" s="18" t="str">
        <f t="shared" si="0"/>
        <v>Corporate</v>
      </c>
      <c r="E54" s="18">
        <f t="shared" si="1"/>
        <v>0.90909090909090906</v>
      </c>
      <c r="F54" s="18">
        <f t="shared" si="2"/>
        <v>220</v>
      </c>
      <c r="G54" s="8">
        <v>10</v>
      </c>
      <c r="S54" s="7"/>
      <c r="V54" s="7"/>
    </row>
    <row r="55" spans="2:22" x14ac:dyDescent="0.2">
      <c r="B55" t="s">
        <v>73</v>
      </c>
      <c r="C55" t="s">
        <v>10</v>
      </c>
      <c r="D55" s="18" t="str">
        <f t="shared" si="0"/>
        <v>Corporate</v>
      </c>
      <c r="E55" s="18">
        <f t="shared" si="1"/>
        <v>0.90909090909090906</v>
      </c>
      <c r="F55" s="18">
        <f t="shared" si="2"/>
        <v>220</v>
      </c>
      <c r="G55" s="8">
        <v>10</v>
      </c>
      <c r="S55" s="7"/>
      <c r="V55" s="7"/>
    </row>
    <row r="56" spans="2:22" x14ac:dyDescent="0.2">
      <c r="B56" t="s">
        <v>54</v>
      </c>
      <c r="C56" t="s">
        <v>10</v>
      </c>
      <c r="D56" s="18" t="str">
        <f t="shared" si="0"/>
        <v>Corporate</v>
      </c>
      <c r="E56" s="18">
        <f t="shared" si="1"/>
        <v>0.90909090909090906</v>
      </c>
      <c r="F56" s="18">
        <f t="shared" si="2"/>
        <v>220</v>
      </c>
      <c r="G56" s="8">
        <v>10</v>
      </c>
      <c r="S56" s="7"/>
      <c r="V56" s="7"/>
    </row>
    <row r="57" spans="2:22" x14ac:dyDescent="0.2">
      <c r="B57" t="s">
        <v>56</v>
      </c>
      <c r="C57" t="s">
        <v>10</v>
      </c>
      <c r="D57" s="18" t="str">
        <f t="shared" si="0"/>
        <v>Corporate</v>
      </c>
      <c r="E57" s="18">
        <f t="shared" si="1"/>
        <v>0.90909090909090906</v>
      </c>
      <c r="F57" s="18">
        <f t="shared" si="2"/>
        <v>220</v>
      </c>
      <c r="G57" s="8">
        <v>10</v>
      </c>
      <c r="S57" s="7"/>
      <c r="V57" s="7"/>
    </row>
    <row r="58" spans="2:22" x14ac:dyDescent="0.2">
      <c r="B58" t="s">
        <v>35</v>
      </c>
      <c r="C58" t="s">
        <v>10</v>
      </c>
      <c r="D58" s="18" t="str">
        <f t="shared" si="0"/>
        <v>Corporate</v>
      </c>
      <c r="E58" s="18">
        <f t="shared" si="1"/>
        <v>0.90909090909090906</v>
      </c>
      <c r="F58" s="18">
        <f t="shared" si="2"/>
        <v>220</v>
      </c>
      <c r="G58" s="8">
        <v>10</v>
      </c>
      <c r="S58" s="7"/>
      <c r="V58" s="7"/>
    </row>
    <row r="59" spans="2:22" x14ac:dyDescent="0.2">
      <c r="B59" t="s">
        <v>47</v>
      </c>
      <c r="C59" t="s">
        <v>10</v>
      </c>
      <c r="D59" s="18" t="str">
        <f t="shared" si="0"/>
        <v>Corporate</v>
      </c>
      <c r="E59" s="18">
        <f t="shared" si="1"/>
        <v>0.90909090909090906</v>
      </c>
      <c r="F59" s="18">
        <f t="shared" si="2"/>
        <v>220</v>
      </c>
      <c r="G59" s="8">
        <v>10</v>
      </c>
      <c r="S59" s="7"/>
      <c r="V59" s="7"/>
    </row>
    <row r="60" spans="2:22" x14ac:dyDescent="0.2">
      <c r="B60" t="s">
        <v>98</v>
      </c>
      <c r="C60" t="s">
        <v>10</v>
      </c>
      <c r="D60" s="18" t="str">
        <f t="shared" si="0"/>
        <v>Corporate</v>
      </c>
      <c r="E60" s="18">
        <f t="shared" si="1"/>
        <v>1.8181818181818181</v>
      </c>
      <c r="F60" s="18">
        <f t="shared" si="2"/>
        <v>220</v>
      </c>
      <c r="G60" s="8">
        <v>20</v>
      </c>
      <c r="S60" s="7"/>
      <c r="V60" s="7"/>
    </row>
    <row r="61" spans="2:22" x14ac:dyDescent="0.2">
      <c r="B61" t="s">
        <v>71</v>
      </c>
      <c r="C61" t="s">
        <v>10</v>
      </c>
      <c r="D61" s="18" t="str">
        <f t="shared" si="0"/>
        <v>Corporate</v>
      </c>
      <c r="E61" s="18">
        <f t="shared" si="1"/>
        <v>0.90909090909090906</v>
      </c>
      <c r="F61" s="18">
        <f t="shared" si="2"/>
        <v>220</v>
      </c>
      <c r="G61" s="8">
        <v>10</v>
      </c>
      <c r="S61" s="7"/>
      <c r="V61" s="7"/>
    </row>
    <row r="62" spans="2:22" x14ac:dyDescent="0.2">
      <c r="B62" t="s">
        <v>45</v>
      </c>
      <c r="C62" t="s">
        <v>10</v>
      </c>
      <c r="D62" s="18" t="str">
        <f t="shared" si="0"/>
        <v>Corporate</v>
      </c>
      <c r="E62" s="18">
        <f t="shared" si="1"/>
        <v>0.90909090909090906</v>
      </c>
      <c r="F62" s="18">
        <f t="shared" si="2"/>
        <v>220</v>
      </c>
      <c r="G62" s="8">
        <v>10</v>
      </c>
      <c r="S62" s="7"/>
      <c r="V62" s="7"/>
    </row>
    <row r="63" spans="2:22" x14ac:dyDescent="0.2">
      <c r="B63" t="s">
        <v>51</v>
      </c>
      <c r="C63" t="s">
        <v>10</v>
      </c>
      <c r="D63" s="18" t="str">
        <f t="shared" si="0"/>
        <v>Corporate</v>
      </c>
      <c r="E63" s="18">
        <f t="shared" si="1"/>
        <v>0.90909090909090906</v>
      </c>
      <c r="F63" s="18">
        <f t="shared" si="2"/>
        <v>220</v>
      </c>
      <c r="G63" s="8">
        <v>10</v>
      </c>
      <c r="S63" s="7"/>
      <c r="V63" s="7"/>
    </row>
    <row r="64" spans="2:22" x14ac:dyDescent="0.2">
      <c r="B64" t="s">
        <v>53</v>
      </c>
      <c r="C64" t="s">
        <v>10</v>
      </c>
      <c r="D64" s="18" t="str">
        <f t="shared" si="0"/>
        <v>Corporate</v>
      </c>
      <c r="E64" s="18">
        <f t="shared" si="1"/>
        <v>0.90909090909090906</v>
      </c>
      <c r="F64" s="18">
        <f t="shared" si="2"/>
        <v>220</v>
      </c>
      <c r="G64" s="8">
        <v>10</v>
      </c>
      <c r="S64" s="7"/>
      <c r="V64" s="7"/>
    </row>
    <row r="65" spans="2:22" x14ac:dyDescent="0.2">
      <c r="B65" t="s">
        <v>64</v>
      </c>
      <c r="C65" t="s">
        <v>10</v>
      </c>
      <c r="D65" s="18" t="str">
        <f t="shared" si="0"/>
        <v>Operations</v>
      </c>
      <c r="E65" s="18">
        <f t="shared" si="1"/>
        <v>8.3333333333333339</v>
      </c>
      <c r="F65" s="18">
        <f t="shared" si="2"/>
        <v>60</v>
      </c>
      <c r="G65" s="8">
        <v>20</v>
      </c>
      <c r="S65" s="7"/>
      <c r="V65" s="7"/>
    </row>
    <row r="66" spans="2:22" x14ac:dyDescent="0.2">
      <c r="B66" t="s">
        <v>7</v>
      </c>
      <c r="C66" t="s">
        <v>10</v>
      </c>
      <c r="D66" s="18" t="str">
        <f t="shared" si="0"/>
        <v>Operations</v>
      </c>
      <c r="E66" s="18">
        <f t="shared" si="1"/>
        <v>8.3333333333333339</v>
      </c>
      <c r="F66" s="18">
        <f t="shared" si="2"/>
        <v>60</v>
      </c>
      <c r="G66" s="8">
        <v>20</v>
      </c>
      <c r="S66" s="7"/>
      <c r="V66" s="7"/>
    </row>
    <row r="67" spans="2:22" x14ac:dyDescent="0.2">
      <c r="B67" t="s">
        <v>42</v>
      </c>
      <c r="C67" t="s">
        <v>10</v>
      </c>
      <c r="D67" s="18" t="str">
        <f t="shared" ref="D67:D130" si="7">VLOOKUP($B67,$Y:$Z,2,FALSE)</f>
        <v>Operations</v>
      </c>
      <c r="E67" s="18">
        <f t="shared" ref="E67:E130" si="8">G67*SUMIFS($K:$K,$I:$I,C67,$J:$J,D67)/F67</f>
        <v>4.166666666666667</v>
      </c>
      <c r="F67" s="18">
        <f t="shared" ref="F67:F130" si="9">SUMIFS($G$2:$G$1000,$D$2:$D$1000,D67,$C$2:$C$1000,C67)</f>
        <v>60</v>
      </c>
      <c r="G67" s="8">
        <v>10</v>
      </c>
      <c r="S67" s="7"/>
      <c r="V67" s="7"/>
    </row>
    <row r="68" spans="2:22" x14ac:dyDescent="0.2">
      <c r="B68" t="s">
        <v>26</v>
      </c>
      <c r="C68" t="s">
        <v>10</v>
      </c>
      <c r="D68" s="18" t="str">
        <f t="shared" si="7"/>
        <v>Operations</v>
      </c>
      <c r="E68" s="18">
        <f t="shared" si="8"/>
        <v>4.166666666666667</v>
      </c>
      <c r="F68" s="18">
        <f t="shared" si="9"/>
        <v>60</v>
      </c>
      <c r="G68" s="8">
        <v>10</v>
      </c>
      <c r="S68" s="7"/>
      <c r="V68" s="7"/>
    </row>
    <row r="69" spans="2:22" x14ac:dyDescent="0.2">
      <c r="B69" t="s">
        <v>34</v>
      </c>
      <c r="C69" t="s">
        <v>10</v>
      </c>
      <c r="D69" s="18" t="str">
        <f t="shared" si="7"/>
        <v>Technology</v>
      </c>
      <c r="E69" s="18">
        <f t="shared" si="8"/>
        <v>1.875</v>
      </c>
      <c r="F69" s="18">
        <f t="shared" si="9"/>
        <v>80</v>
      </c>
      <c r="G69" s="8">
        <v>10</v>
      </c>
      <c r="S69" s="7"/>
      <c r="V69" s="7"/>
    </row>
    <row r="70" spans="2:22" x14ac:dyDescent="0.2">
      <c r="B70" t="s">
        <v>70</v>
      </c>
      <c r="C70" t="s">
        <v>10</v>
      </c>
      <c r="D70" s="18" t="str">
        <f t="shared" si="7"/>
        <v>Technology</v>
      </c>
      <c r="E70" s="18">
        <f t="shared" si="8"/>
        <v>3.75</v>
      </c>
      <c r="F70" s="18">
        <f t="shared" si="9"/>
        <v>80</v>
      </c>
      <c r="G70" s="8">
        <v>20</v>
      </c>
      <c r="S70" s="7"/>
      <c r="V70" s="7"/>
    </row>
    <row r="71" spans="2:22" x14ac:dyDescent="0.2">
      <c r="B71" t="s">
        <v>9</v>
      </c>
      <c r="C71" t="s">
        <v>10</v>
      </c>
      <c r="D71" s="18" t="str">
        <f t="shared" si="7"/>
        <v>Technology</v>
      </c>
      <c r="E71" s="18">
        <f t="shared" si="8"/>
        <v>3.75</v>
      </c>
      <c r="F71" s="18">
        <f t="shared" si="9"/>
        <v>80</v>
      </c>
      <c r="G71" s="8">
        <v>20</v>
      </c>
      <c r="S71" s="7"/>
      <c r="V71" s="7"/>
    </row>
    <row r="72" spans="2:22" x14ac:dyDescent="0.2">
      <c r="B72" t="s">
        <v>60</v>
      </c>
      <c r="C72" t="s">
        <v>10</v>
      </c>
      <c r="D72" s="18" t="str">
        <f t="shared" si="7"/>
        <v>Technology</v>
      </c>
      <c r="E72" s="18">
        <f t="shared" si="8"/>
        <v>1.875</v>
      </c>
      <c r="F72" s="18">
        <f t="shared" si="9"/>
        <v>80</v>
      </c>
      <c r="G72" s="8">
        <v>10</v>
      </c>
      <c r="S72" s="7"/>
      <c r="V72" s="7"/>
    </row>
    <row r="73" spans="2:22" x14ac:dyDescent="0.2">
      <c r="B73" t="s">
        <v>59</v>
      </c>
      <c r="C73" t="s">
        <v>10</v>
      </c>
      <c r="D73" s="18" t="str">
        <f t="shared" si="7"/>
        <v>Technology</v>
      </c>
      <c r="E73" s="18">
        <f t="shared" si="8"/>
        <v>1.875</v>
      </c>
      <c r="F73" s="18">
        <f t="shared" si="9"/>
        <v>80</v>
      </c>
      <c r="G73" s="8">
        <v>10</v>
      </c>
      <c r="S73" s="7"/>
      <c r="V73" s="7"/>
    </row>
    <row r="74" spans="2:22" x14ac:dyDescent="0.2">
      <c r="B74" t="s">
        <v>58</v>
      </c>
      <c r="C74" t="s">
        <v>10</v>
      </c>
      <c r="D74" s="18" t="str">
        <f t="shared" si="7"/>
        <v>Technology</v>
      </c>
      <c r="E74" s="18">
        <f t="shared" si="8"/>
        <v>1.875</v>
      </c>
      <c r="F74" s="18">
        <f t="shared" si="9"/>
        <v>80</v>
      </c>
      <c r="G74" s="8">
        <v>10</v>
      </c>
      <c r="S74" s="7"/>
      <c r="V74" s="7"/>
    </row>
    <row r="75" spans="2:22" hidden="1" x14ac:dyDescent="0.2">
      <c r="B75" t="s">
        <v>11</v>
      </c>
      <c r="C75" t="s">
        <v>14</v>
      </c>
      <c r="D75" s="18" t="str">
        <f t="shared" si="7"/>
        <v>CISO</v>
      </c>
      <c r="E75" s="18">
        <f t="shared" si="8"/>
        <v>5</v>
      </c>
      <c r="F75" s="18">
        <f t="shared" si="9"/>
        <v>20</v>
      </c>
      <c r="G75" s="8">
        <v>20</v>
      </c>
      <c r="S75" s="7"/>
      <c r="V75" s="7"/>
    </row>
    <row r="76" spans="2:22" hidden="1" x14ac:dyDescent="0.2">
      <c r="B76" t="s">
        <v>38</v>
      </c>
      <c r="C76" t="s">
        <v>14</v>
      </c>
      <c r="D76" s="18" t="str">
        <f t="shared" si="7"/>
        <v>Commercial</v>
      </c>
      <c r="E76" s="18">
        <f t="shared" si="8"/>
        <v>3</v>
      </c>
      <c r="F76" s="18">
        <f t="shared" si="9"/>
        <v>100</v>
      </c>
      <c r="G76" s="8">
        <v>10</v>
      </c>
      <c r="S76" s="7"/>
      <c r="V76" s="7"/>
    </row>
    <row r="77" spans="2:22" hidden="1" x14ac:dyDescent="0.2">
      <c r="B77" t="s">
        <v>39</v>
      </c>
      <c r="C77" t="s">
        <v>14</v>
      </c>
      <c r="D77" s="18" t="str">
        <f t="shared" si="7"/>
        <v>Commercial</v>
      </c>
      <c r="E77" s="18">
        <f t="shared" si="8"/>
        <v>3</v>
      </c>
      <c r="F77" s="18">
        <f t="shared" si="9"/>
        <v>100</v>
      </c>
      <c r="G77" s="8">
        <v>10</v>
      </c>
      <c r="S77" s="7"/>
      <c r="V77" s="7"/>
    </row>
    <row r="78" spans="2:22" hidden="1" x14ac:dyDescent="0.2">
      <c r="B78" t="s">
        <v>36</v>
      </c>
      <c r="C78" t="s">
        <v>14</v>
      </c>
      <c r="D78" s="18" t="str">
        <f t="shared" si="7"/>
        <v>Commercial</v>
      </c>
      <c r="E78" s="18">
        <f t="shared" si="8"/>
        <v>3</v>
      </c>
      <c r="F78" s="18">
        <f t="shared" si="9"/>
        <v>100</v>
      </c>
      <c r="G78" s="8">
        <v>10</v>
      </c>
      <c r="S78" s="7"/>
      <c r="V78" s="7"/>
    </row>
    <row r="79" spans="2:22" hidden="1" x14ac:dyDescent="0.2">
      <c r="B79" t="s">
        <v>40</v>
      </c>
      <c r="C79" t="s">
        <v>14</v>
      </c>
      <c r="D79" s="18" t="str">
        <f t="shared" si="7"/>
        <v>Commercial</v>
      </c>
      <c r="E79" s="18">
        <f t="shared" si="8"/>
        <v>3</v>
      </c>
      <c r="F79" s="18">
        <f t="shared" si="9"/>
        <v>100</v>
      </c>
      <c r="G79" s="8">
        <v>10</v>
      </c>
      <c r="S79" s="7"/>
      <c r="V79" s="7"/>
    </row>
    <row r="80" spans="2:22" hidden="1" x14ac:dyDescent="0.2">
      <c r="B80" t="s">
        <v>21</v>
      </c>
      <c r="C80" t="s">
        <v>14</v>
      </c>
      <c r="D80" s="18" t="str">
        <f t="shared" si="7"/>
        <v>Commercial</v>
      </c>
      <c r="E80" s="18">
        <f t="shared" si="8"/>
        <v>3</v>
      </c>
      <c r="F80" s="18">
        <f t="shared" si="9"/>
        <v>100</v>
      </c>
      <c r="G80" s="8">
        <v>10</v>
      </c>
      <c r="S80" s="7"/>
      <c r="V80" s="7"/>
    </row>
    <row r="81" spans="2:22" hidden="1" x14ac:dyDescent="0.2">
      <c r="B81" t="s">
        <v>25</v>
      </c>
      <c r="C81" t="s">
        <v>14</v>
      </c>
      <c r="D81" s="18" t="str">
        <f t="shared" si="7"/>
        <v>Commercial</v>
      </c>
      <c r="E81" s="18">
        <f t="shared" si="8"/>
        <v>3</v>
      </c>
      <c r="F81" s="18">
        <f t="shared" si="9"/>
        <v>100</v>
      </c>
      <c r="G81" s="8">
        <v>10</v>
      </c>
      <c r="S81" s="7"/>
      <c r="V81" s="7"/>
    </row>
    <row r="82" spans="2:22" hidden="1" x14ac:dyDescent="0.2">
      <c r="B82" t="s">
        <v>23</v>
      </c>
      <c r="C82" t="s">
        <v>14</v>
      </c>
      <c r="D82" s="18" t="str">
        <f t="shared" si="7"/>
        <v>Commercial</v>
      </c>
      <c r="E82" s="18">
        <f t="shared" si="8"/>
        <v>6</v>
      </c>
      <c r="F82" s="18">
        <f t="shared" si="9"/>
        <v>100</v>
      </c>
      <c r="G82" s="8">
        <v>20</v>
      </c>
      <c r="S82" s="7"/>
      <c r="V82" s="7"/>
    </row>
    <row r="83" spans="2:22" hidden="1" x14ac:dyDescent="0.2">
      <c r="B83" t="s">
        <v>24</v>
      </c>
      <c r="C83" t="s">
        <v>14</v>
      </c>
      <c r="D83" s="18" t="str">
        <f t="shared" si="7"/>
        <v>Commercial</v>
      </c>
      <c r="E83" s="18">
        <f t="shared" si="8"/>
        <v>3</v>
      </c>
      <c r="F83" s="18">
        <f t="shared" si="9"/>
        <v>100</v>
      </c>
      <c r="G83" s="8">
        <v>10</v>
      </c>
      <c r="S83" s="7"/>
      <c r="V83" s="7"/>
    </row>
    <row r="84" spans="2:22" hidden="1" x14ac:dyDescent="0.2">
      <c r="B84" t="s">
        <v>37</v>
      </c>
      <c r="C84" t="s">
        <v>14</v>
      </c>
      <c r="D84" s="18" t="str">
        <f t="shared" si="7"/>
        <v>Commercial</v>
      </c>
      <c r="E84" s="18">
        <f t="shared" si="8"/>
        <v>3</v>
      </c>
      <c r="F84" s="18">
        <f t="shared" si="9"/>
        <v>100</v>
      </c>
      <c r="G84" s="8">
        <v>10</v>
      </c>
      <c r="S84" s="7"/>
      <c r="V84" s="7"/>
    </row>
    <row r="85" spans="2:22" hidden="1" x14ac:dyDescent="0.2">
      <c r="B85" t="s">
        <v>44</v>
      </c>
      <c r="C85" t="s">
        <v>14</v>
      </c>
      <c r="D85" s="18" t="str">
        <f t="shared" si="7"/>
        <v>Corporate</v>
      </c>
      <c r="E85" s="18">
        <f t="shared" si="8"/>
        <v>1.4285714285714286</v>
      </c>
      <c r="F85" s="18">
        <f t="shared" si="9"/>
        <v>140</v>
      </c>
      <c r="G85" s="8">
        <v>10</v>
      </c>
      <c r="S85" s="7"/>
      <c r="V85" s="7"/>
    </row>
    <row r="86" spans="2:22" hidden="1" x14ac:dyDescent="0.2">
      <c r="B86" t="s">
        <v>46</v>
      </c>
      <c r="C86" t="s">
        <v>14</v>
      </c>
      <c r="D86" s="18" t="str">
        <f t="shared" si="7"/>
        <v>Corporate</v>
      </c>
      <c r="E86" s="18">
        <f t="shared" si="8"/>
        <v>1.4285714285714286</v>
      </c>
      <c r="F86" s="18">
        <f t="shared" si="9"/>
        <v>140</v>
      </c>
      <c r="G86" s="8">
        <v>10</v>
      </c>
      <c r="S86" s="7"/>
      <c r="V86" s="7"/>
    </row>
    <row r="87" spans="2:22" hidden="1" x14ac:dyDescent="0.2">
      <c r="B87" t="s">
        <v>22</v>
      </c>
      <c r="C87" t="s">
        <v>14</v>
      </c>
      <c r="D87" s="18" t="str">
        <f t="shared" si="7"/>
        <v>Corporate</v>
      </c>
      <c r="E87" s="18">
        <f t="shared" si="8"/>
        <v>2.8571428571428572</v>
      </c>
      <c r="F87" s="18">
        <f t="shared" si="9"/>
        <v>140</v>
      </c>
      <c r="G87" s="8">
        <v>20</v>
      </c>
      <c r="S87" s="7"/>
      <c r="V87" s="7"/>
    </row>
    <row r="88" spans="2:22" hidden="1" x14ac:dyDescent="0.2">
      <c r="B88" t="s">
        <v>48</v>
      </c>
      <c r="C88" t="s">
        <v>14</v>
      </c>
      <c r="D88" s="18" t="str">
        <f t="shared" si="7"/>
        <v>Corporate</v>
      </c>
      <c r="E88" s="18">
        <f t="shared" si="8"/>
        <v>1.4285714285714286</v>
      </c>
      <c r="F88" s="18">
        <f t="shared" si="9"/>
        <v>140</v>
      </c>
      <c r="G88" s="8">
        <v>10</v>
      </c>
      <c r="S88" s="7"/>
      <c r="V88" s="7"/>
    </row>
    <row r="89" spans="2:22" hidden="1" x14ac:dyDescent="0.2">
      <c r="B89" t="s">
        <v>50</v>
      </c>
      <c r="C89" t="s">
        <v>14</v>
      </c>
      <c r="D89" s="18" t="str">
        <f t="shared" si="7"/>
        <v>Corporate</v>
      </c>
      <c r="E89" s="18">
        <f t="shared" si="8"/>
        <v>1.4285714285714286</v>
      </c>
      <c r="F89" s="18">
        <f t="shared" si="9"/>
        <v>140</v>
      </c>
      <c r="G89" s="8">
        <v>10</v>
      </c>
      <c r="S89" s="7"/>
      <c r="V89" s="7"/>
    </row>
    <row r="90" spans="2:22" hidden="1" x14ac:dyDescent="0.2">
      <c r="B90" t="s">
        <v>54</v>
      </c>
      <c r="C90" t="s">
        <v>14</v>
      </c>
      <c r="D90" s="18" t="str">
        <f t="shared" si="7"/>
        <v>Corporate</v>
      </c>
      <c r="E90" s="18">
        <f t="shared" si="8"/>
        <v>1.4285714285714286</v>
      </c>
      <c r="F90" s="18">
        <f t="shared" si="9"/>
        <v>140</v>
      </c>
      <c r="G90" s="8">
        <v>10</v>
      </c>
      <c r="S90" s="7"/>
      <c r="V90" s="7"/>
    </row>
    <row r="91" spans="2:22" hidden="1" x14ac:dyDescent="0.2">
      <c r="B91" t="s">
        <v>56</v>
      </c>
      <c r="C91" t="s">
        <v>14</v>
      </c>
      <c r="D91" s="18" t="str">
        <f t="shared" si="7"/>
        <v>Corporate</v>
      </c>
      <c r="E91" s="18">
        <f t="shared" si="8"/>
        <v>1.4285714285714286</v>
      </c>
      <c r="F91" s="18">
        <f t="shared" si="9"/>
        <v>140</v>
      </c>
      <c r="G91" s="8">
        <v>10</v>
      </c>
      <c r="S91" s="7"/>
      <c r="V91" s="7"/>
    </row>
    <row r="92" spans="2:22" hidden="1" x14ac:dyDescent="0.2">
      <c r="B92" t="s">
        <v>35</v>
      </c>
      <c r="C92" t="s">
        <v>14</v>
      </c>
      <c r="D92" s="18" t="str">
        <f t="shared" si="7"/>
        <v>Corporate</v>
      </c>
      <c r="E92" s="18">
        <f t="shared" si="8"/>
        <v>1.4285714285714286</v>
      </c>
      <c r="F92" s="18">
        <f t="shared" si="9"/>
        <v>140</v>
      </c>
      <c r="G92" s="8">
        <v>10</v>
      </c>
      <c r="S92" s="7"/>
      <c r="V92" s="7"/>
    </row>
    <row r="93" spans="2:22" hidden="1" x14ac:dyDescent="0.2">
      <c r="B93" t="s">
        <v>47</v>
      </c>
      <c r="C93" t="s">
        <v>14</v>
      </c>
      <c r="D93" s="18" t="str">
        <f t="shared" si="7"/>
        <v>Corporate</v>
      </c>
      <c r="E93" s="18">
        <f t="shared" si="8"/>
        <v>1.4285714285714286</v>
      </c>
      <c r="F93" s="18">
        <f t="shared" si="9"/>
        <v>140</v>
      </c>
      <c r="G93" s="8">
        <v>10</v>
      </c>
      <c r="S93" s="7"/>
      <c r="V93" s="7"/>
    </row>
    <row r="94" spans="2:22" hidden="1" x14ac:dyDescent="0.2">
      <c r="B94" t="s">
        <v>98</v>
      </c>
      <c r="C94" t="s">
        <v>14</v>
      </c>
      <c r="D94" s="18" t="str">
        <f t="shared" si="7"/>
        <v>Corporate</v>
      </c>
      <c r="E94" s="18">
        <f t="shared" si="8"/>
        <v>1.4285714285714286</v>
      </c>
      <c r="F94" s="18">
        <f t="shared" si="9"/>
        <v>140</v>
      </c>
      <c r="G94" s="8">
        <v>10</v>
      </c>
      <c r="S94" s="7"/>
      <c r="V94" s="7"/>
    </row>
    <row r="95" spans="2:22" hidden="1" x14ac:dyDescent="0.2">
      <c r="B95" t="s">
        <v>45</v>
      </c>
      <c r="C95" t="s">
        <v>14</v>
      </c>
      <c r="D95" s="18" t="str">
        <f t="shared" si="7"/>
        <v>Corporate</v>
      </c>
      <c r="E95" s="18">
        <f t="shared" si="8"/>
        <v>1.4285714285714286</v>
      </c>
      <c r="F95" s="18">
        <f t="shared" si="9"/>
        <v>140</v>
      </c>
      <c r="G95" s="8">
        <v>10</v>
      </c>
      <c r="S95" s="7"/>
      <c r="V95" s="7"/>
    </row>
    <row r="96" spans="2:22" hidden="1" x14ac:dyDescent="0.2">
      <c r="B96" t="s">
        <v>51</v>
      </c>
      <c r="C96" t="s">
        <v>14</v>
      </c>
      <c r="D96" s="18" t="str">
        <f t="shared" si="7"/>
        <v>Corporate</v>
      </c>
      <c r="E96" s="18">
        <f t="shared" si="8"/>
        <v>1.4285714285714286</v>
      </c>
      <c r="F96" s="18">
        <f t="shared" si="9"/>
        <v>140</v>
      </c>
      <c r="G96" s="8">
        <v>10</v>
      </c>
      <c r="S96" s="7"/>
      <c r="V96" s="7"/>
    </row>
    <row r="97" spans="2:22" hidden="1" x14ac:dyDescent="0.2">
      <c r="B97" t="s">
        <v>53</v>
      </c>
      <c r="C97" t="s">
        <v>14</v>
      </c>
      <c r="D97" s="18" t="str">
        <f t="shared" si="7"/>
        <v>Corporate</v>
      </c>
      <c r="E97" s="18">
        <f t="shared" si="8"/>
        <v>1.4285714285714286</v>
      </c>
      <c r="F97" s="18">
        <f t="shared" si="9"/>
        <v>140</v>
      </c>
      <c r="G97" s="8">
        <v>10</v>
      </c>
      <c r="S97" s="7"/>
      <c r="V97" s="7"/>
    </row>
    <row r="98" spans="2:22" hidden="1" x14ac:dyDescent="0.2">
      <c r="B98" t="s">
        <v>7</v>
      </c>
      <c r="C98" t="s">
        <v>14</v>
      </c>
      <c r="D98" s="18" t="str">
        <f t="shared" si="7"/>
        <v>Operations</v>
      </c>
      <c r="E98" s="18">
        <f t="shared" si="8"/>
        <v>10</v>
      </c>
      <c r="F98" s="18">
        <f t="shared" si="9"/>
        <v>30</v>
      </c>
      <c r="G98" s="8">
        <v>10</v>
      </c>
      <c r="S98" s="7"/>
      <c r="V98" s="7"/>
    </row>
    <row r="99" spans="2:22" hidden="1" x14ac:dyDescent="0.2">
      <c r="B99" t="s">
        <v>42</v>
      </c>
      <c r="C99" t="s">
        <v>14</v>
      </c>
      <c r="D99" s="18" t="str">
        <f t="shared" si="7"/>
        <v>Operations</v>
      </c>
      <c r="E99" s="18">
        <f t="shared" si="8"/>
        <v>10</v>
      </c>
      <c r="F99" s="18">
        <f t="shared" si="9"/>
        <v>30</v>
      </c>
      <c r="G99" s="8">
        <v>10</v>
      </c>
      <c r="S99" s="7"/>
      <c r="V99" s="7"/>
    </row>
    <row r="100" spans="2:22" hidden="1" x14ac:dyDescent="0.2">
      <c r="B100" t="s">
        <v>26</v>
      </c>
      <c r="C100" t="s">
        <v>14</v>
      </c>
      <c r="D100" s="18" t="str">
        <f t="shared" si="7"/>
        <v>Operations</v>
      </c>
      <c r="E100" s="18">
        <f t="shared" si="8"/>
        <v>10</v>
      </c>
      <c r="F100" s="18">
        <f t="shared" si="9"/>
        <v>30</v>
      </c>
      <c r="G100" s="8">
        <v>10</v>
      </c>
      <c r="S100" s="7"/>
      <c r="V100" s="7"/>
    </row>
    <row r="101" spans="2:22" hidden="1" x14ac:dyDescent="0.2">
      <c r="B101" t="s">
        <v>34</v>
      </c>
      <c r="C101" t="s">
        <v>14</v>
      </c>
      <c r="D101" s="18" t="str">
        <f t="shared" si="7"/>
        <v>Technology</v>
      </c>
      <c r="E101" s="18">
        <f t="shared" si="8"/>
        <v>1.6666666666666667</v>
      </c>
      <c r="F101" s="18">
        <f t="shared" si="9"/>
        <v>60</v>
      </c>
      <c r="G101" s="8">
        <v>10</v>
      </c>
      <c r="S101" s="7"/>
      <c r="V101" s="7"/>
    </row>
    <row r="102" spans="2:22" hidden="1" x14ac:dyDescent="0.2">
      <c r="B102" t="s">
        <v>9</v>
      </c>
      <c r="C102" t="s">
        <v>14</v>
      </c>
      <c r="D102" s="18" t="str">
        <f t="shared" si="7"/>
        <v>Technology</v>
      </c>
      <c r="E102" s="18">
        <f t="shared" si="8"/>
        <v>3.3333333333333335</v>
      </c>
      <c r="F102" s="18">
        <f t="shared" si="9"/>
        <v>60</v>
      </c>
      <c r="G102" s="8">
        <v>20</v>
      </c>
      <c r="S102" s="7"/>
      <c r="V102" s="7"/>
    </row>
    <row r="103" spans="2:22" hidden="1" x14ac:dyDescent="0.2">
      <c r="B103" t="s">
        <v>60</v>
      </c>
      <c r="C103" t="s">
        <v>14</v>
      </c>
      <c r="D103" s="18" t="str">
        <f t="shared" si="7"/>
        <v>Technology</v>
      </c>
      <c r="E103" s="18">
        <f t="shared" si="8"/>
        <v>1.6666666666666667</v>
      </c>
      <c r="F103" s="18">
        <f t="shared" si="9"/>
        <v>60</v>
      </c>
      <c r="G103" s="8">
        <v>10</v>
      </c>
      <c r="S103" s="7"/>
      <c r="V103" s="7"/>
    </row>
    <row r="104" spans="2:22" hidden="1" x14ac:dyDescent="0.2">
      <c r="B104" t="s">
        <v>59</v>
      </c>
      <c r="C104" t="s">
        <v>14</v>
      </c>
      <c r="D104" s="18" t="str">
        <f t="shared" si="7"/>
        <v>Technology</v>
      </c>
      <c r="E104" s="18">
        <f t="shared" si="8"/>
        <v>1.6666666666666667</v>
      </c>
      <c r="F104" s="18">
        <f t="shared" si="9"/>
        <v>60</v>
      </c>
      <c r="G104" s="8">
        <v>10</v>
      </c>
      <c r="S104" s="7"/>
      <c r="V104" s="7"/>
    </row>
    <row r="105" spans="2:22" hidden="1" x14ac:dyDescent="0.2">
      <c r="B105" t="s">
        <v>58</v>
      </c>
      <c r="C105" t="s">
        <v>14</v>
      </c>
      <c r="D105" s="18" t="str">
        <f t="shared" si="7"/>
        <v>Technology</v>
      </c>
      <c r="E105" s="18">
        <f t="shared" si="8"/>
        <v>1.6666666666666667</v>
      </c>
      <c r="F105" s="18">
        <f t="shared" si="9"/>
        <v>60</v>
      </c>
      <c r="G105" s="8">
        <v>10</v>
      </c>
      <c r="S105" s="7"/>
      <c r="V105" s="7"/>
    </row>
    <row r="106" spans="2:22" hidden="1" x14ac:dyDescent="0.2">
      <c r="B106" t="s">
        <v>11</v>
      </c>
      <c r="C106" t="s">
        <v>15</v>
      </c>
      <c r="D106" s="18" t="str">
        <f t="shared" si="7"/>
        <v>CISO</v>
      </c>
      <c r="E106" s="18">
        <f t="shared" si="8"/>
        <v>5</v>
      </c>
      <c r="F106" s="18">
        <f t="shared" si="9"/>
        <v>20</v>
      </c>
      <c r="G106" s="8">
        <v>20</v>
      </c>
      <c r="S106" s="7"/>
      <c r="V106" s="7"/>
    </row>
    <row r="107" spans="2:22" hidden="1" x14ac:dyDescent="0.2">
      <c r="B107" t="s">
        <v>38</v>
      </c>
      <c r="C107" t="s">
        <v>15</v>
      </c>
      <c r="D107" s="18" t="str">
        <f t="shared" si="7"/>
        <v>Commercial</v>
      </c>
      <c r="E107" s="18">
        <f t="shared" si="8"/>
        <v>2.7272727272727271</v>
      </c>
      <c r="F107" s="18">
        <f t="shared" si="9"/>
        <v>110</v>
      </c>
      <c r="G107" s="8">
        <v>10</v>
      </c>
      <c r="S107" s="7"/>
      <c r="V107" s="7"/>
    </row>
    <row r="108" spans="2:22" hidden="1" x14ac:dyDescent="0.2">
      <c r="B108" t="s">
        <v>39</v>
      </c>
      <c r="C108" t="s">
        <v>15</v>
      </c>
      <c r="D108" s="18" t="str">
        <f t="shared" si="7"/>
        <v>Commercial</v>
      </c>
      <c r="E108" s="18">
        <f t="shared" si="8"/>
        <v>2.7272727272727271</v>
      </c>
      <c r="F108" s="18">
        <f t="shared" si="9"/>
        <v>110</v>
      </c>
      <c r="G108" s="8">
        <v>10</v>
      </c>
      <c r="S108" s="7"/>
      <c r="V108" s="7"/>
    </row>
    <row r="109" spans="2:22" hidden="1" x14ac:dyDescent="0.2">
      <c r="B109" t="s">
        <v>36</v>
      </c>
      <c r="C109" t="s">
        <v>15</v>
      </c>
      <c r="D109" s="18" t="str">
        <f t="shared" si="7"/>
        <v>Commercial</v>
      </c>
      <c r="E109" s="18">
        <f t="shared" si="8"/>
        <v>2.7272727272727271</v>
      </c>
      <c r="F109" s="18">
        <f t="shared" si="9"/>
        <v>110</v>
      </c>
      <c r="G109" s="8">
        <v>10</v>
      </c>
      <c r="S109" s="7"/>
      <c r="V109" s="7"/>
    </row>
    <row r="110" spans="2:22" hidden="1" x14ac:dyDescent="0.2">
      <c r="B110" t="s">
        <v>40</v>
      </c>
      <c r="C110" t="s">
        <v>15</v>
      </c>
      <c r="D110" s="18" t="str">
        <f t="shared" si="7"/>
        <v>Commercial</v>
      </c>
      <c r="E110" s="18">
        <f t="shared" si="8"/>
        <v>2.7272727272727271</v>
      </c>
      <c r="F110" s="18">
        <f t="shared" si="9"/>
        <v>110</v>
      </c>
      <c r="G110" s="8">
        <v>10</v>
      </c>
      <c r="S110" s="7"/>
      <c r="V110" s="7"/>
    </row>
    <row r="111" spans="2:22" hidden="1" x14ac:dyDescent="0.2">
      <c r="B111" t="s">
        <v>21</v>
      </c>
      <c r="C111" t="s">
        <v>15</v>
      </c>
      <c r="D111" s="18" t="str">
        <f t="shared" si="7"/>
        <v>Commercial</v>
      </c>
      <c r="E111" s="18">
        <f t="shared" si="8"/>
        <v>5.4545454545454541</v>
      </c>
      <c r="F111" s="18">
        <f t="shared" si="9"/>
        <v>110</v>
      </c>
      <c r="G111" s="8">
        <v>20</v>
      </c>
      <c r="S111" s="7"/>
      <c r="V111" s="7"/>
    </row>
    <row r="112" spans="2:22" hidden="1" x14ac:dyDescent="0.2">
      <c r="B112" t="s">
        <v>25</v>
      </c>
      <c r="C112" t="s">
        <v>15</v>
      </c>
      <c r="D112" s="18" t="str">
        <f t="shared" si="7"/>
        <v>Commercial</v>
      </c>
      <c r="E112" s="18">
        <f t="shared" si="8"/>
        <v>2.7272727272727271</v>
      </c>
      <c r="F112" s="18">
        <f t="shared" si="9"/>
        <v>110</v>
      </c>
      <c r="G112" s="8">
        <v>10</v>
      </c>
      <c r="S112" s="7"/>
      <c r="V112" s="7"/>
    </row>
    <row r="113" spans="2:22" hidden="1" x14ac:dyDescent="0.2">
      <c r="B113" t="s">
        <v>23</v>
      </c>
      <c r="C113" t="s">
        <v>15</v>
      </c>
      <c r="D113" s="18" t="str">
        <f t="shared" si="7"/>
        <v>Commercial</v>
      </c>
      <c r="E113" s="18">
        <f t="shared" si="8"/>
        <v>2.7272727272727271</v>
      </c>
      <c r="F113" s="18">
        <f t="shared" si="9"/>
        <v>110</v>
      </c>
      <c r="G113" s="8">
        <v>10</v>
      </c>
      <c r="S113" s="7"/>
      <c r="V113" s="7"/>
    </row>
    <row r="114" spans="2:22" hidden="1" x14ac:dyDescent="0.2">
      <c r="B114" t="s">
        <v>24</v>
      </c>
      <c r="C114" t="s">
        <v>15</v>
      </c>
      <c r="D114" s="18" t="str">
        <f t="shared" si="7"/>
        <v>Commercial</v>
      </c>
      <c r="E114" s="18">
        <f t="shared" si="8"/>
        <v>2.7272727272727271</v>
      </c>
      <c r="F114" s="18">
        <f t="shared" si="9"/>
        <v>110</v>
      </c>
      <c r="G114" s="8">
        <v>10</v>
      </c>
      <c r="S114" s="7"/>
      <c r="V114" s="7"/>
    </row>
    <row r="115" spans="2:22" hidden="1" x14ac:dyDescent="0.2">
      <c r="B115" t="s">
        <v>37</v>
      </c>
      <c r="C115" t="s">
        <v>15</v>
      </c>
      <c r="D115" s="18" t="str">
        <f t="shared" si="7"/>
        <v>Commercial</v>
      </c>
      <c r="E115" s="18">
        <f t="shared" si="8"/>
        <v>5.4545454545454541</v>
      </c>
      <c r="F115" s="18">
        <f t="shared" si="9"/>
        <v>110</v>
      </c>
      <c r="G115" s="8">
        <v>20</v>
      </c>
      <c r="S115" s="7"/>
      <c r="V115" s="7"/>
    </row>
    <row r="116" spans="2:22" hidden="1" x14ac:dyDescent="0.2">
      <c r="B116" t="s">
        <v>44</v>
      </c>
      <c r="C116" t="s">
        <v>15</v>
      </c>
      <c r="D116" s="18" t="str">
        <f t="shared" si="7"/>
        <v>Corporate</v>
      </c>
      <c r="E116" s="18">
        <f t="shared" si="8"/>
        <v>1.4285714285714286</v>
      </c>
      <c r="F116" s="18">
        <f t="shared" si="9"/>
        <v>140</v>
      </c>
      <c r="G116" s="8">
        <v>10</v>
      </c>
      <c r="S116" s="7"/>
      <c r="V116" s="7"/>
    </row>
    <row r="117" spans="2:22" hidden="1" x14ac:dyDescent="0.2">
      <c r="B117" t="s">
        <v>46</v>
      </c>
      <c r="C117" t="s">
        <v>15</v>
      </c>
      <c r="D117" s="18" t="str">
        <f t="shared" si="7"/>
        <v>Corporate</v>
      </c>
      <c r="E117" s="18">
        <f t="shared" si="8"/>
        <v>1.4285714285714286</v>
      </c>
      <c r="F117" s="18">
        <f t="shared" si="9"/>
        <v>140</v>
      </c>
      <c r="G117" s="8">
        <v>10</v>
      </c>
      <c r="S117" s="7"/>
      <c r="V117" s="7"/>
    </row>
    <row r="118" spans="2:22" hidden="1" x14ac:dyDescent="0.2">
      <c r="B118" t="s">
        <v>22</v>
      </c>
      <c r="C118" t="s">
        <v>15</v>
      </c>
      <c r="D118" s="18" t="str">
        <f t="shared" si="7"/>
        <v>Corporate</v>
      </c>
      <c r="E118" s="18">
        <f t="shared" si="8"/>
        <v>2.8571428571428572</v>
      </c>
      <c r="F118" s="18">
        <f t="shared" si="9"/>
        <v>140</v>
      </c>
      <c r="G118" s="8">
        <v>20</v>
      </c>
      <c r="S118" s="7"/>
      <c r="V118" s="7"/>
    </row>
    <row r="119" spans="2:22" hidden="1" x14ac:dyDescent="0.2">
      <c r="B119" t="s">
        <v>48</v>
      </c>
      <c r="C119" t="s">
        <v>15</v>
      </c>
      <c r="D119" s="18" t="str">
        <f t="shared" si="7"/>
        <v>Corporate</v>
      </c>
      <c r="E119" s="18">
        <f t="shared" si="8"/>
        <v>1.4285714285714286</v>
      </c>
      <c r="F119" s="18">
        <f t="shared" si="9"/>
        <v>140</v>
      </c>
      <c r="G119" s="8">
        <v>10</v>
      </c>
      <c r="S119" s="7"/>
      <c r="V119" s="7"/>
    </row>
    <row r="120" spans="2:22" hidden="1" x14ac:dyDescent="0.2">
      <c r="B120" t="s">
        <v>50</v>
      </c>
      <c r="C120" t="s">
        <v>15</v>
      </c>
      <c r="D120" s="18" t="str">
        <f t="shared" si="7"/>
        <v>Corporate</v>
      </c>
      <c r="E120" s="18">
        <f t="shared" si="8"/>
        <v>1.4285714285714286</v>
      </c>
      <c r="F120" s="18">
        <f t="shared" si="9"/>
        <v>140</v>
      </c>
      <c r="G120" s="8">
        <v>10</v>
      </c>
      <c r="S120" s="7"/>
      <c r="V120" s="7"/>
    </row>
    <row r="121" spans="2:22" hidden="1" x14ac:dyDescent="0.2">
      <c r="B121" t="s">
        <v>54</v>
      </c>
      <c r="C121" t="s">
        <v>15</v>
      </c>
      <c r="D121" s="18" t="str">
        <f t="shared" si="7"/>
        <v>Corporate</v>
      </c>
      <c r="E121" s="18">
        <f t="shared" si="8"/>
        <v>1.4285714285714286</v>
      </c>
      <c r="F121" s="18">
        <f t="shared" si="9"/>
        <v>140</v>
      </c>
      <c r="G121" s="8">
        <v>10</v>
      </c>
      <c r="S121" s="7"/>
      <c r="V121" s="7"/>
    </row>
    <row r="122" spans="2:22" hidden="1" x14ac:dyDescent="0.2">
      <c r="B122" t="s">
        <v>56</v>
      </c>
      <c r="C122" t="s">
        <v>15</v>
      </c>
      <c r="D122" s="18" t="str">
        <f t="shared" si="7"/>
        <v>Corporate</v>
      </c>
      <c r="E122" s="18">
        <f t="shared" si="8"/>
        <v>1.4285714285714286</v>
      </c>
      <c r="F122" s="18">
        <f t="shared" si="9"/>
        <v>140</v>
      </c>
      <c r="G122" s="8">
        <v>10</v>
      </c>
      <c r="S122" s="7"/>
      <c r="V122" s="7"/>
    </row>
    <row r="123" spans="2:22" hidden="1" x14ac:dyDescent="0.2">
      <c r="B123" t="s">
        <v>35</v>
      </c>
      <c r="C123" t="s">
        <v>15</v>
      </c>
      <c r="D123" s="18" t="str">
        <f t="shared" si="7"/>
        <v>Corporate</v>
      </c>
      <c r="E123" s="18">
        <f t="shared" si="8"/>
        <v>1.4285714285714286</v>
      </c>
      <c r="F123" s="18">
        <f t="shared" si="9"/>
        <v>140</v>
      </c>
      <c r="G123" s="8">
        <v>10</v>
      </c>
      <c r="S123" s="7"/>
      <c r="V123" s="7"/>
    </row>
    <row r="124" spans="2:22" hidden="1" x14ac:dyDescent="0.2">
      <c r="B124" t="s">
        <v>47</v>
      </c>
      <c r="C124" t="s">
        <v>15</v>
      </c>
      <c r="D124" s="18" t="str">
        <f t="shared" si="7"/>
        <v>Corporate</v>
      </c>
      <c r="E124" s="18">
        <f t="shared" si="8"/>
        <v>1.4285714285714286</v>
      </c>
      <c r="F124" s="18">
        <f t="shared" si="9"/>
        <v>140</v>
      </c>
      <c r="G124" s="8">
        <v>10</v>
      </c>
      <c r="S124" s="7"/>
      <c r="V124" s="7"/>
    </row>
    <row r="125" spans="2:22" hidden="1" x14ac:dyDescent="0.2">
      <c r="B125" t="s">
        <v>98</v>
      </c>
      <c r="C125" t="s">
        <v>15</v>
      </c>
      <c r="D125" s="18" t="str">
        <f t="shared" si="7"/>
        <v>Corporate</v>
      </c>
      <c r="E125" s="18">
        <f t="shared" si="8"/>
        <v>1.4285714285714286</v>
      </c>
      <c r="F125" s="18">
        <f t="shared" si="9"/>
        <v>140</v>
      </c>
      <c r="G125" s="8">
        <v>10</v>
      </c>
      <c r="S125" s="7"/>
      <c r="V125" s="7"/>
    </row>
    <row r="126" spans="2:22" hidden="1" x14ac:dyDescent="0.2">
      <c r="B126" t="s">
        <v>45</v>
      </c>
      <c r="C126" t="s">
        <v>15</v>
      </c>
      <c r="D126" s="18" t="str">
        <f t="shared" si="7"/>
        <v>Corporate</v>
      </c>
      <c r="E126" s="18">
        <f t="shared" si="8"/>
        <v>1.4285714285714286</v>
      </c>
      <c r="F126" s="18">
        <f t="shared" si="9"/>
        <v>140</v>
      </c>
      <c r="G126" s="8">
        <v>10</v>
      </c>
      <c r="S126" s="7"/>
      <c r="V126" s="7"/>
    </row>
    <row r="127" spans="2:22" hidden="1" x14ac:dyDescent="0.2">
      <c r="B127" t="s">
        <v>51</v>
      </c>
      <c r="C127" t="s">
        <v>15</v>
      </c>
      <c r="D127" s="18" t="str">
        <f t="shared" si="7"/>
        <v>Corporate</v>
      </c>
      <c r="E127" s="18">
        <f t="shared" si="8"/>
        <v>1.4285714285714286</v>
      </c>
      <c r="F127" s="18">
        <f t="shared" si="9"/>
        <v>140</v>
      </c>
      <c r="G127" s="8">
        <v>10</v>
      </c>
      <c r="S127" s="7"/>
      <c r="V127" s="7"/>
    </row>
    <row r="128" spans="2:22" hidden="1" x14ac:dyDescent="0.2">
      <c r="B128" t="s">
        <v>53</v>
      </c>
      <c r="C128" t="s">
        <v>15</v>
      </c>
      <c r="D128" s="18" t="str">
        <f t="shared" si="7"/>
        <v>Corporate</v>
      </c>
      <c r="E128" s="18">
        <f t="shared" si="8"/>
        <v>1.4285714285714286</v>
      </c>
      <c r="F128" s="18">
        <f t="shared" si="9"/>
        <v>140</v>
      </c>
      <c r="G128" s="8">
        <v>10</v>
      </c>
      <c r="S128" s="7"/>
      <c r="V128" s="7"/>
    </row>
    <row r="129" spans="2:22" hidden="1" x14ac:dyDescent="0.2">
      <c r="B129" t="s">
        <v>7</v>
      </c>
      <c r="C129" t="s">
        <v>15</v>
      </c>
      <c r="D129" s="18" t="str">
        <f t="shared" si="7"/>
        <v>Operations</v>
      </c>
      <c r="E129" s="18">
        <f t="shared" si="8"/>
        <v>8</v>
      </c>
      <c r="F129" s="18">
        <f t="shared" si="9"/>
        <v>50</v>
      </c>
      <c r="G129" s="8">
        <v>20</v>
      </c>
      <c r="S129" s="7"/>
      <c r="V129" s="7"/>
    </row>
    <row r="130" spans="2:22" hidden="1" x14ac:dyDescent="0.2">
      <c r="B130" t="s">
        <v>42</v>
      </c>
      <c r="C130" t="s">
        <v>15</v>
      </c>
      <c r="D130" s="18" t="str">
        <f t="shared" si="7"/>
        <v>Operations</v>
      </c>
      <c r="E130" s="18">
        <f t="shared" si="8"/>
        <v>4</v>
      </c>
      <c r="F130" s="18">
        <f t="shared" si="9"/>
        <v>50</v>
      </c>
      <c r="G130" s="8">
        <v>10</v>
      </c>
      <c r="S130" s="7"/>
      <c r="V130" s="7"/>
    </row>
    <row r="131" spans="2:22" hidden="1" x14ac:dyDescent="0.2">
      <c r="B131" t="s">
        <v>26</v>
      </c>
      <c r="C131" t="s">
        <v>15</v>
      </c>
      <c r="D131" s="18" t="str">
        <f t="shared" ref="D131:D194" si="10">VLOOKUP($B131,$Y:$Z,2,FALSE)</f>
        <v>Operations</v>
      </c>
      <c r="E131" s="18">
        <f t="shared" ref="E131:E194" si="11">G131*SUMIFS($K:$K,$I:$I,C131,$J:$J,D131)/F131</f>
        <v>8</v>
      </c>
      <c r="F131" s="18">
        <f t="shared" ref="F131:F194" si="12">SUMIFS($G$2:$G$1000,$D$2:$D$1000,D131,$C$2:$C$1000,C131)</f>
        <v>50</v>
      </c>
      <c r="G131" s="8">
        <v>20</v>
      </c>
      <c r="S131" s="7"/>
      <c r="V131" s="7"/>
    </row>
    <row r="132" spans="2:22" hidden="1" x14ac:dyDescent="0.2">
      <c r="B132" t="s">
        <v>34</v>
      </c>
      <c r="C132" t="s">
        <v>15</v>
      </c>
      <c r="D132" s="18" t="str">
        <f t="shared" si="10"/>
        <v>Technology</v>
      </c>
      <c r="E132" s="18">
        <f t="shared" si="11"/>
        <v>3.3333333333333335</v>
      </c>
      <c r="F132" s="18">
        <f t="shared" si="12"/>
        <v>60</v>
      </c>
      <c r="G132" s="8">
        <v>10</v>
      </c>
      <c r="S132" s="7"/>
      <c r="V132" s="7"/>
    </row>
    <row r="133" spans="2:22" hidden="1" x14ac:dyDescent="0.2">
      <c r="B133" t="s">
        <v>9</v>
      </c>
      <c r="C133" t="s">
        <v>15</v>
      </c>
      <c r="D133" s="18" t="str">
        <f t="shared" si="10"/>
        <v>Technology</v>
      </c>
      <c r="E133" s="18">
        <f t="shared" si="11"/>
        <v>6.666666666666667</v>
      </c>
      <c r="F133" s="18">
        <f t="shared" si="12"/>
        <v>60</v>
      </c>
      <c r="G133" s="8">
        <v>20</v>
      </c>
      <c r="S133" s="7"/>
      <c r="V133" s="7"/>
    </row>
    <row r="134" spans="2:22" hidden="1" x14ac:dyDescent="0.2">
      <c r="B134" t="s">
        <v>60</v>
      </c>
      <c r="C134" t="s">
        <v>15</v>
      </c>
      <c r="D134" s="18" t="str">
        <f t="shared" si="10"/>
        <v>Technology</v>
      </c>
      <c r="E134" s="18">
        <f t="shared" si="11"/>
        <v>3.3333333333333335</v>
      </c>
      <c r="F134" s="18">
        <f t="shared" si="12"/>
        <v>60</v>
      </c>
      <c r="G134" s="8">
        <v>10</v>
      </c>
      <c r="S134" s="7"/>
      <c r="V134" s="7"/>
    </row>
    <row r="135" spans="2:22" hidden="1" x14ac:dyDescent="0.2">
      <c r="B135" t="s">
        <v>59</v>
      </c>
      <c r="C135" t="s">
        <v>15</v>
      </c>
      <c r="D135" s="18" t="str">
        <f t="shared" si="10"/>
        <v>Technology</v>
      </c>
      <c r="E135" s="18">
        <f t="shared" si="11"/>
        <v>3.3333333333333335</v>
      </c>
      <c r="F135" s="18">
        <f t="shared" si="12"/>
        <v>60</v>
      </c>
      <c r="G135" s="8">
        <v>10</v>
      </c>
      <c r="S135" s="7"/>
      <c r="V135" s="7"/>
    </row>
    <row r="136" spans="2:22" hidden="1" x14ac:dyDescent="0.2">
      <c r="B136" t="s">
        <v>58</v>
      </c>
      <c r="C136" t="s">
        <v>15</v>
      </c>
      <c r="D136" s="18" t="str">
        <f t="shared" si="10"/>
        <v>Technology</v>
      </c>
      <c r="E136" s="18">
        <f t="shared" si="11"/>
        <v>3.3333333333333335</v>
      </c>
      <c r="F136" s="18">
        <f t="shared" si="12"/>
        <v>60</v>
      </c>
      <c r="G136" s="8">
        <v>10</v>
      </c>
      <c r="S136" s="7"/>
      <c r="V136" s="7"/>
    </row>
    <row r="137" spans="2:22" hidden="1" x14ac:dyDescent="0.2">
      <c r="B137" t="s">
        <v>11</v>
      </c>
      <c r="C137" t="s">
        <v>16</v>
      </c>
      <c r="D137" s="18" t="str">
        <f t="shared" si="10"/>
        <v>CISO</v>
      </c>
      <c r="E137" s="18">
        <f t="shared" si="11"/>
        <v>5</v>
      </c>
      <c r="F137" s="18">
        <f t="shared" si="12"/>
        <v>20</v>
      </c>
      <c r="G137" s="8">
        <v>20</v>
      </c>
      <c r="S137" s="7"/>
      <c r="V137" s="7"/>
    </row>
    <row r="138" spans="2:22" hidden="1" x14ac:dyDescent="0.2">
      <c r="B138" t="s">
        <v>38</v>
      </c>
      <c r="C138" t="s">
        <v>16</v>
      </c>
      <c r="D138" s="18" t="str">
        <f t="shared" si="10"/>
        <v>Commercial</v>
      </c>
      <c r="E138" s="18">
        <f t="shared" si="11"/>
        <v>2.7272727272727271</v>
      </c>
      <c r="F138" s="18">
        <f t="shared" si="12"/>
        <v>110</v>
      </c>
      <c r="G138" s="8">
        <v>10</v>
      </c>
      <c r="S138" s="7"/>
      <c r="V138" s="7"/>
    </row>
    <row r="139" spans="2:22" hidden="1" x14ac:dyDescent="0.2">
      <c r="B139" t="s">
        <v>39</v>
      </c>
      <c r="C139" t="s">
        <v>16</v>
      </c>
      <c r="D139" s="18" t="str">
        <f t="shared" si="10"/>
        <v>Commercial</v>
      </c>
      <c r="E139" s="18">
        <f t="shared" si="11"/>
        <v>2.7272727272727271</v>
      </c>
      <c r="F139" s="18">
        <f t="shared" si="12"/>
        <v>110</v>
      </c>
      <c r="G139" s="8">
        <v>10</v>
      </c>
      <c r="S139" s="7"/>
      <c r="V139" s="7"/>
    </row>
    <row r="140" spans="2:22" hidden="1" x14ac:dyDescent="0.2">
      <c r="B140" t="s">
        <v>36</v>
      </c>
      <c r="C140" t="s">
        <v>16</v>
      </c>
      <c r="D140" s="18" t="str">
        <f t="shared" si="10"/>
        <v>Commercial</v>
      </c>
      <c r="E140" s="18">
        <f t="shared" si="11"/>
        <v>2.7272727272727271</v>
      </c>
      <c r="F140" s="18">
        <f t="shared" si="12"/>
        <v>110</v>
      </c>
      <c r="G140" s="8">
        <v>10</v>
      </c>
      <c r="S140" s="7"/>
      <c r="V140" s="7"/>
    </row>
    <row r="141" spans="2:22" hidden="1" x14ac:dyDescent="0.2">
      <c r="B141" t="s">
        <v>40</v>
      </c>
      <c r="C141" t="s">
        <v>16</v>
      </c>
      <c r="D141" s="18" t="str">
        <f t="shared" si="10"/>
        <v>Commercial</v>
      </c>
      <c r="E141" s="18">
        <f t="shared" si="11"/>
        <v>2.7272727272727271</v>
      </c>
      <c r="F141" s="18">
        <f t="shared" si="12"/>
        <v>110</v>
      </c>
      <c r="G141" s="8">
        <v>10</v>
      </c>
      <c r="S141" s="7"/>
      <c r="V141" s="7"/>
    </row>
    <row r="142" spans="2:22" hidden="1" x14ac:dyDescent="0.2">
      <c r="B142" t="s">
        <v>21</v>
      </c>
      <c r="C142" t="s">
        <v>16</v>
      </c>
      <c r="D142" s="18" t="str">
        <f t="shared" si="10"/>
        <v>Commercial</v>
      </c>
      <c r="E142" s="18">
        <f t="shared" si="11"/>
        <v>2.7272727272727271</v>
      </c>
      <c r="F142" s="18">
        <f t="shared" si="12"/>
        <v>110</v>
      </c>
      <c r="G142" s="8">
        <v>10</v>
      </c>
      <c r="S142" s="7"/>
      <c r="V142" s="7"/>
    </row>
    <row r="143" spans="2:22" hidden="1" x14ac:dyDescent="0.2">
      <c r="B143" t="s">
        <v>25</v>
      </c>
      <c r="C143" t="s">
        <v>16</v>
      </c>
      <c r="D143" s="18" t="str">
        <f t="shared" si="10"/>
        <v>Commercial</v>
      </c>
      <c r="E143" s="18">
        <f t="shared" si="11"/>
        <v>2.7272727272727271</v>
      </c>
      <c r="F143" s="18">
        <f t="shared" si="12"/>
        <v>110</v>
      </c>
      <c r="G143" s="8">
        <v>10</v>
      </c>
      <c r="S143" s="7"/>
      <c r="V143" s="7"/>
    </row>
    <row r="144" spans="2:22" hidden="1" x14ac:dyDescent="0.2">
      <c r="B144" t="s">
        <v>23</v>
      </c>
      <c r="C144" t="s">
        <v>16</v>
      </c>
      <c r="D144" s="18" t="str">
        <f t="shared" si="10"/>
        <v>Commercial</v>
      </c>
      <c r="E144" s="18">
        <f t="shared" si="11"/>
        <v>2.7272727272727271</v>
      </c>
      <c r="F144" s="18">
        <f t="shared" si="12"/>
        <v>110</v>
      </c>
      <c r="G144" s="8">
        <v>10</v>
      </c>
      <c r="S144" s="7"/>
      <c r="V144" s="7"/>
    </row>
    <row r="145" spans="2:22" hidden="1" x14ac:dyDescent="0.2">
      <c r="B145" t="s">
        <v>24</v>
      </c>
      <c r="C145" t="s">
        <v>16</v>
      </c>
      <c r="D145" s="18" t="str">
        <f t="shared" si="10"/>
        <v>Commercial</v>
      </c>
      <c r="E145" s="18">
        <f t="shared" si="11"/>
        <v>5.4545454545454541</v>
      </c>
      <c r="F145" s="18">
        <f t="shared" si="12"/>
        <v>110</v>
      </c>
      <c r="G145" s="8">
        <v>20</v>
      </c>
      <c r="S145" s="7"/>
      <c r="V145" s="7"/>
    </row>
    <row r="146" spans="2:22" hidden="1" x14ac:dyDescent="0.2">
      <c r="B146" t="s">
        <v>37</v>
      </c>
      <c r="C146" t="s">
        <v>16</v>
      </c>
      <c r="D146" s="18" t="str">
        <f t="shared" si="10"/>
        <v>Commercial</v>
      </c>
      <c r="E146" s="18">
        <f t="shared" si="11"/>
        <v>5.4545454545454541</v>
      </c>
      <c r="F146" s="18">
        <f t="shared" si="12"/>
        <v>110</v>
      </c>
      <c r="G146" s="8">
        <v>20</v>
      </c>
      <c r="S146" s="7"/>
      <c r="V146" s="7"/>
    </row>
    <row r="147" spans="2:22" hidden="1" x14ac:dyDescent="0.2">
      <c r="B147" t="s">
        <v>44</v>
      </c>
      <c r="C147" t="s">
        <v>16</v>
      </c>
      <c r="D147" s="18" t="str">
        <f t="shared" si="10"/>
        <v>Corporate</v>
      </c>
      <c r="E147" s="18">
        <f t="shared" si="11"/>
        <v>1.7857142857142858</v>
      </c>
      <c r="F147" s="18">
        <f t="shared" si="12"/>
        <v>140</v>
      </c>
      <c r="G147" s="8">
        <v>10</v>
      </c>
      <c r="S147" s="7"/>
      <c r="V147" s="7"/>
    </row>
    <row r="148" spans="2:22" hidden="1" x14ac:dyDescent="0.2">
      <c r="B148" t="s">
        <v>46</v>
      </c>
      <c r="C148" t="s">
        <v>16</v>
      </c>
      <c r="D148" s="18" t="str">
        <f t="shared" si="10"/>
        <v>Corporate</v>
      </c>
      <c r="E148" s="18">
        <f t="shared" si="11"/>
        <v>1.7857142857142858</v>
      </c>
      <c r="F148" s="18">
        <f t="shared" si="12"/>
        <v>140</v>
      </c>
      <c r="G148" s="8">
        <v>10</v>
      </c>
      <c r="S148" s="7"/>
      <c r="V148" s="7"/>
    </row>
    <row r="149" spans="2:22" hidden="1" x14ac:dyDescent="0.2">
      <c r="B149" t="s">
        <v>22</v>
      </c>
      <c r="C149" t="s">
        <v>16</v>
      </c>
      <c r="D149" s="18" t="str">
        <f t="shared" si="10"/>
        <v>Corporate</v>
      </c>
      <c r="E149" s="18">
        <f t="shared" si="11"/>
        <v>3.5714285714285716</v>
      </c>
      <c r="F149" s="18">
        <f t="shared" si="12"/>
        <v>140</v>
      </c>
      <c r="G149" s="8">
        <v>20</v>
      </c>
      <c r="S149" s="7"/>
      <c r="V149" s="7"/>
    </row>
    <row r="150" spans="2:22" hidden="1" x14ac:dyDescent="0.2">
      <c r="B150" t="s">
        <v>48</v>
      </c>
      <c r="C150" t="s">
        <v>16</v>
      </c>
      <c r="D150" s="18" t="str">
        <f t="shared" si="10"/>
        <v>Corporate</v>
      </c>
      <c r="E150" s="18">
        <f t="shared" si="11"/>
        <v>1.7857142857142858</v>
      </c>
      <c r="F150" s="18">
        <f t="shared" si="12"/>
        <v>140</v>
      </c>
      <c r="G150" s="8">
        <v>10</v>
      </c>
      <c r="S150" s="7"/>
      <c r="V150" s="7"/>
    </row>
    <row r="151" spans="2:22" hidden="1" x14ac:dyDescent="0.2">
      <c r="B151" t="s">
        <v>50</v>
      </c>
      <c r="C151" t="s">
        <v>16</v>
      </c>
      <c r="D151" s="18" t="str">
        <f t="shared" si="10"/>
        <v>Corporate</v>
      </c>
      <c r="E151" s="18">
        <f t="shared" si="11"/>
        <v>1.7857142857142858</v>
      </c>
      <c r="F151" s="18">
        <f t="shared" si="12"/>
        <v>140</v>
      </c>
      <c r="G151" s="8">
        <v>10</v>
      </c>
      <c r="S151" s="7"/>
      <c r="V151" s="7"/>
    </row>
    <row r="152" spans="2:22" hidden="1" x14ac:dyDescent="0.2">
      <c r="B152" t="s">
        <v>54</v>
      </c>
      <c r="C152" t="s">
        <v>16</v>
      </c>
      <c r="D152" s="18" t="str">
        <f t="shared" si="10"/>
        <v>Corporate</v>
      </c>
      <c r="E152" s="18">
        <f t="shared" si="11"/>
        <v>1.7857142857142858</v>
      </c>
      <c r="F152" s="18">
        <f t="shared" si="12"/>
        <v>140</v>
      </c>
      <c r="G152" s="8">
        <v>10</v>
      </c>
      <c r="S152" s="7"/>
      <c r="V152" s="7"/>
    </row>
    <row r="153" spans="2:22" hidden="1" x14ac:dyDescent="0.2">
      <c r="B153" t="s">
        <v>56</v>
      </c>
      <c r="C153" t="s">
        <v>16</v>
      </c>
      <c r="D153" s="18" t="str">
        <f t="shared" si="10"/>
        <v>Corporate</v>
      </c>
      <c r="E153" s="18">
        <f t="shared" si="11"/>
        <v>1.7857142857142858</v>
      </c>
      <c r="F153" s="18">
        <f t="shared" si="12"/>
        <v>140</v>
      </c>
      <c r="G153" s="8">
        <v>10</v>
      </c>
      <c r="S153" s="7"/>
      <c r="V153" s="7"/>
    </row>
    <row r="154" spans="2:22" hidden="1" x14ac:dyDescent="0.2">
      <c r="B154" t="s">
        <v>35</v>
      </c>
      <c r="C154" t="s">
        <v>16</v>
      </c>
      <c r="D154" s="18" t="str">
        <f t="shared" si="10"/>
        <v>Corporate</v>
      </c>
      <c r="E154" s="18">
        <f t="shared" si="11"/>
        <v>1.7857142857142858</v>
      </c>
      <c r="F154" s="18">
        <f t="shared" si="12"/>
        <v>140</v>
      </c>
      <c r="G154" s="8">
        <v>10</v>
      </c>
      <c r="S154" s="7"/>
      <c r="V154" s="7"/>
    </row>
    <row r="155" spans="2:22" hidden="1" x14ac:dyDescent="0.2">
      <c r="B155" t="s">
        <v>47</v>
      </c>
      <c r="C155" t="s">
        <v>16</v>
      </c>
      <c r="D155" s="18" t="str">
        <f t="shared" si="10"/>
        <v>Corporate</v>
      </c>
      <c r="E155" s="18">
        <f t="shared" si="11"/>
        <v>1.7857142857142858</v>
      </c>
      <c r="F155" s="18">
        <f t="shared" si="12"/>
        <v>140</v>
      </c>
      <c r="G155" s="8">
        <v>10</v>
      </c>
      <c r="S155" s="7"/>
      <c r="V155" s="7"/>
    </row>
    <row r="156" spans="2:22" hidden="1" x14ac:dyDescent="0.2">
      <c r="B156" t="s">
        <v>98</v>
      </c>
      <c r="C156" t="s">
        <v>16</v>
      </c>
      <c r="D156" s="18" t="str">
        <f t="shared" si="10"/>
        <v>Corporate</v>
      </c>
      <c r="E156" s="18">
        <f t="shared" si="11"/>
        <v>1.7857142857142858</v>
      </c>
      <c r="F156" s="18">
        <f t="shared" si="12"/>
        <v>140</v>
      </c>
      <c r="G156" s="8">
        <v>10</v>
      </c>
      <c r="S156" s="7"/>
      <c r="V156" s="7"/>
    </row>
    <row r="157" spans="2:22" hidden="1" x14ac:dyDescent="0.2">
      <c r="B157" t="s">
        <v>45</v>
      </c>
      <c r="C157" t="s">
        <v>16</v>
      </c>
      <c r="D157" s="18" t="str">
        <f t="shared" si="10"/>
        <v>Corporate</v>
      </c>
      <c r="E157" s="18">
        <f t="shared" si="11"/>
        <v>1.7857142857142858</v>
      </c>
      <c r="F157" s="18">
        <f t="shared" si="12"/>
        <v>140</v>
      </c>
      <c r="G157" s="8">
        <v>10</v>
      </c>
      <c r="S157" s="7"/>
      <c r="V157" s="7"/>
    </row>
    <row r="158" spans="2:22" hidden="1" x14ac:dyDescent="0.2">
      <c r="B158" t="s">
        <v>51</v>
      </c>
      <c r="C158" t="s">
        <v>16</v>
      </c>
      <c r="D158" s="18" t="str">
        <f t="shared" si="10"/>
        <v>Corporate</v>
      </c>
      <c r="E158" s="18">
        <f t="shared" si="11"/>
        <v>1.7857142857142858</v>
      </c>
      <c r="F158" s="18">
        <f t="shared" si="12"/>
        <v>140</v>
      </c>
      <c r="G158" s="8">
        <v>10</v>
      </c>
      <c r="S158" s="7"/>
      <c r="V158" s="7"/>
    </row>
    <row r="159" spans="2:22" hidden="1" x14ac:dyDescent="0.2">
      <c r="B159" t="s">
        <v>53</v>
      </c>
      <c r="C159" t="s">
        <v>16</v>
      </c>
      <c r="D159" s="18" t="str">
        <f t="shared" si="10"/>
        <v>Corporate</v>
      </c>
      <c r="E159" s="18">
        <f t="shared" si="11"/>
        <v>1.7857142857142858</v>
      </c>
      <c r="F159" s="18">
        <f t="shared" si="12"/>
        <v>140</v>
      </c>
      <c r="G159" s="8">
        <v>10</v>
      </c>
      <c r="S159" s="7"/>
      <c r="V159" s="7"/>
    </row>
    <row r="160" spans="2:22" hidden="1" x14ac:dyDescent="0.2">
      <c r="B160" t="s">
        <v>7</v>
      </c>
      <c r="C160" t="s">
        <v>16</v>
      </c>
      <c r="D160" s="18" t="str">
        <f t="shared" si="10"/>
        <v>Operations</v>
      </c>
      <c r="E160" s="18">
        <f t="shared" si="11"/>
        <v>3.3333333333333335</v>
      </c>
      <c r="F160" s="18">
        <f t="shared" si="12"/>
        <v>30</v>
      </c>
      <c r="G160" s="8">
        <v>10</v>
      </c>
      <c r="S160" s="7"/>
      <c r="V160" s="7"/>
    </row>
    <row r="161" spans="2:22" hidden="1" x14ac:dyDescent="0.2">
      <c r="B161" t="s">
        <v>42</v>
      </c>
      <c r="C161" t="s">
        <v>16</v>
      </c>
      <c r="D161" s="18" t="str">
        <f t="shared" si="10"/>
        <v>Operations</v>
      </c>
      <c r="E161" s="18">
        <f t="shared" si="11"/>
        <v>3.3333333333333335</v>
      </c>
      <c r="F161" s="18">
        <f t="shared" si="12"/>
        <v>30</v>
      </c>
      <c r="G161" s="8">
        <v>10</v>
      </c>
      <c r="S161" s="7"/>
      <c r="V161" s="7"/>
    </row>
    <row r="162" spans="2:22" hidden="1" x14ac:dyDescent="0.2">
      <c r="B162" t="s">
        <v>26</v>
      </c>
      <c r="C162" t="s">
        <v>16</v>
      </c>
      <c r="D162" s="18" t="str">
        <f t="shared" si="10"/>
        <v>Operations</v>
      </c>
      <c r="E162" s="18">
        <f t="shared" si="11"/>
        <v>3.3333333333333335</v>
      </c>
      <c r="F162" s="18">
        <f t="shared" si="12"/>
        <v>30</v>
      </c>
      <c r="G162" s="8">
        <v>10</v>
      </c>
      <c r="S162" s="7"/>
      <c r="V162" s="7"/>
    </row>
    <row r="163" spans="2:22" hidden="1" x14ac:dyDescent="0.2">
      <c r="B163" t="s">
        <v>34</v>
      </c>
      <c r="C163" t="s">
        <v>16</v>
      </c>
      <c r="D163" s="18" t="str">
        <f t="shared" si="10"/>
        <v>Technology</v>
      </c>
      <c r="E163" s="18">
        <f t="shared" si="11"/>
        <v>4.166666666666667</v>
      </c>
      <c r="F163" s="18">
        <f t="shared" si="12"/>
        <v>60</v>
      </c>
      <c r="G163" s="8">
        <v>10</v>
      </c>
      <c r="S163" s="7"/>
      <c r="V163" s="7"/>
    </row>
    <row r="164" spans="2:22" hidden="1" x14ac:dyDescent="0.2">
      <c r="B164" t="s">
        <v>9</v>
      </c>
      <c r="C164" t="s">
        <v>16</v>
      </c>
      <c r="D164" s="18" t="str">
        <f t="shared" si="10"/>
        <v>Technology</v>
      </c>
      <c r="E164" s="18">
        <f t="shared" si="11"/>
        <v>8.3333333333333339</v>
      </c>
      <c r="F164" s="18">
        <f t="shared" si="12"/>
        <v>60</v>
      </c>
      <c r="G164" s="8">
        <v>20</v>
      </c>
      <c r="S164" s="7"/>
      <c r="V164" s="7"/>
    </row>
    <row r="165" spans="2:22" hidden="1" x14ac:dyDescent="0.2">
      <c r="B165" t="s">
        <v>60</v>
      </c>
      <c r="C165" t="s">
        <v>16</v>
      </c>
      <c r="D165" s="18" t="str">
        <f t="shared" si="10"/>
        <v>Technology</v>
      </c>
      <c r="E165" s="18">
        <f t="shared" si="11"/>
        <v>4.166666666666667</v>
      </c>
      <c r="F165" s="18">
        <f t="shared" si="12"/>
        <v>60</v>
      </c>
      <c r="G165" s="8">
        <v>10</v>
      </c>
      <c r="S165" s="7"/>
      <c r="V165" s="7"/>
    </row>
    <row r="166" spans="2:22" hidden="1" x14ac:dyDescent="0.2">
      <c r="B166" t="s">
        <v>59</v>
      </c>
      <c r="C166" t="s">
        <v>16</v>
      </c>
      <c r="D166" s="18" t="str">
        <f t="shared" si="10"/>
        <v>Technology</v>
      </c>
      <c r="E166" s="18">
        <f t="shared" si="11"/>
        <v>4.166666666666667</v>
      </c>
      <c r="F166" s="18">
        <f t="shared" si="12"/>
        <v>60</v>
      </c>
      <c r="G166" s="8">
        <v>10</v>
      </c>
      <c r="S166" s="7"/>
      <c r="V166" s="7"/>
    </row>
    <row r="167" spans="2:22" hidden="1" x14ac:dyDescent="0.2">
      <c r="B167" t="s">
        <v>58</v>
      </c>
      <c r="C167" t="s">
        <v>16</v>
      </c>
      <c r="D167" s="18" t="str">
        <f t="shared" si="10"/>
        <v>Technology</v>
      </c>
      <c r="E167" s="18">
        <f t="shared" si="11"/>
        <v>4.166666666666667</v>
      </c>
      <c r="F167" s="18">
        <f t="shared" si="12"/>
        <v>60</v>
      </c>
      <c r="G167" s="8">
        <v>10</v>
      </c>
      <c r="S167" s="7"/>
      <c r="V167" s="7"/>
    </row>
    <row r="168" spans="2:22" hidden="1" x14ac:dyDescent="0.2">
      <c r="B168" t="s">
        <v>11</v>
      </c>
      <c r="C168" t="s">
        <v>17</v>
      </c>
      <c r="D168" s="18" t="str">
        <f t="shared" si="10"/>
        <v>CISO</v>
      </c>
      <c r="E168" s="18">
        <f t="shared" si="11"/>
        <v>5</v>
      </c>
      <c r="F168" s="18">
        <f t="shared" si="12"/>
        <v>20</v>
      </c>
      <c r="G168" s="8">
        <v>20</v>
      </c>
      <c r="S168" s="7"/>
      <c r="V168" s="7"/>
    </row>
    <row r="169" spans="2:22" hidden="1" x14ac:dyDescent="0.2">
      <c r="B169" t="s">
        <v>38</v>
      </c>
      <c r="C169" t="s">
        <v>17</v>
      </c>
      <c r="D169" s="18" t="str">
        <f t="shared" si="10"/>
        <v>Commercial</v>
      </c>
      <c r="E169" s="18">
        <f t="shared" si="11"/>
        <v>2.7272727272727271</v>
      </c>
      <c r="F169" s="18">
        <f t="shared" si="12"/>
        <v>110</v>
      </c>
      <c r="G169" s="8">
        <v>10</v>
      </c>
      <c r="S169" s="7"/>
      <c r="V169" s="7"/>
    </row>
    <row r="170" spans="2:22" hidden="1" x14ac:dyDescent="0.2">
      <c r="B170" t="s">
        <v>39</v>
      </c>
      <c r="C170" t="s">
        <v>17</v>
      </c>
      <c r="D170" s="18" t="str">
        <f t="shared" si="10"/>
        <v>Commercial</v>
      </c>
      <c r="E170" s="18">
        <f t="shared" si="11"/>
        <v>2.7272727272727271</v>
      </c>
      <c r="F170" s="18">
        <f t="shared" si="12"/>
        <v>110</v>
      </c>
      <c r="G170" s="8">
        <v>10</v>
      </c>
      <c r="S170" s="7"/>
      <c r="V170" s="7"/>
    </row>
    <row r="171" spans="2:22" hidden="1" x14ac:dyDescent="0.2">
      <c r="B171" t="s">
        <v>36</v>
      </c>
      <c r="C171" t="s">
        <v>17</v>
      </c>
      <c r="D171" s="18" t="str">
        <f t="shared" si="10"/>
        <v>Commercial</v>
      </c>
      <c r="E171" s="18">
        <f t="shared" si="11"/>
        <v>2.7272727272727271</v>
      </c>
      <c r="F171" s="18">
        <f t="shared" si="12"/>
        <v>110</v>
      </c>
      <c r="G171" s="8">
        <v>10</v>
      </c>
      <c r="S171" s="7"/>
      <c r="V171" s="7"/>
    </row>
    <row r="172" spans="2:22" hidden="1" x14ac:dyDescent="0.2">
      <c r="B172" t="s">
        <v>40</v>
      </c>
      <c r="C172" t="s">
        <v>17</v>
      </c>
      <c r="D172" s="18" t="str">
        <f t="shared" si="10"/>
        <v>Commercial</v>
      </c>
      <c r="E172" s="18">
        <f t="shared" si="11"/>
        <v>2.7272727272727271</v>
      </c>
      <c r="F172" s="18">
        <f t="shared" si="12"/>
        <v>110</v>
      </c>
      <c r="G172" s="8">
        <v>10</v>
      </c>
      <c r="S172" s="7"/>
      <c r="V172" s="7"/>
    </row>
    <row r="173" spans="2:22" hidden="1" x14ac:dyDescent="0.2">
      <c r="B173" t="s">
        <v>21</v>
      </c>
      <c r="C173" t="s">
        <v>17</v>
      </c>
      <c r="D173" s="18" t="str">
        <f t="shared" si="10"/>
        <v>Commercial</v>
      </c>
      <c r="E173" s="18">
        <f t="shared" si="11"/>
        <v>2.7272727272727271</v>
      </c>
      <c r="F173" s="18">
        <f t="shared" si="12"/>
        <v>110</v>
      </c>
      <c r="G173" s="8">
        <v>10</v>
      </c>
      <c r="S173" s="7"/>
      <c r="V173" s="7"/>
    </row>
    <row r="174" spans="2:22" hidden="1" x14ac:dyDescent="0.2">
      <c r="B174" t="s">
        <v>25</v>
      </c>
      <c r="C174" t="s">
        <v>17</v>
      </c>
      <c r="D174" s="18" t="str">
        <f t="shared" si="10"/>
        <v>Commercial</v>
      </c>
      <c r="E174" s="18">
        <f t="shared" si="11"/>
        <v>5.4545454545454541</v>
      </c>
      <c r="F174" s="18">
        <f t="shared" si="12"/>
        <v>110</v>
      </c>
      <c r="G174" s="8">
        <v>20</v>
      </c>
      <c r="S174" s="7"/>
      <c r="V174" s="7"/>
    </row>
    <row r="175" spans="2:22" hidden="1" x14ac:dyDescent="0.2">
      <c r="B175" t="s">
        <v>23</v>
      </c>
      <c r="C175" t="s">
        <v>17</v>
      </c>
      <c r="D175" s="18" t="str">
        <f t="shared" si="10"/>
        <v>Commercial</v>
      </c>
      <c r="E175" s="18">
        <f t="shared" si="11"/>
        <v>2.7272727272727271</v>
      </c>
      <c r="F175" s="18">
        <f t="shared" si="12"/>
        <v>110</v>
      </c>
      <c r="G175" s="8">
        <v>10</v>
      </c>
      <c r="S175" s="7"/>
      <c r="V175" s="7"/>
    </row>
    <row r="176" spans="2:22" hidden="1" x14ac:dyDescent="0.2">
      <c r="B176" t="s">
        <v>24</v>
      </c>
      <c r="C176" t="s">
        <v>17</v>
      </c>
      <c r="D176" s="18" t="str">
        <f t="shared" si="10"/>
        <v>Commercial</v>
      </c>
      <c r="E176" s="18">
        <f t="shared" si="11"/>
        <v>2.7272727272727271</v>
      </c>
      <c r="F176" s="18">
        <f t="shared" si="12"/>
        <v>110</v>
      </c>
      <c r="G176" s="8">
        <v>10</v>
      </c>
      <c r="S176" s="7"/>
      <c r="V176" s="7"/>
    </row>
    <row r="177" spans="2:22" hidden="1" x14ac:dyDescent="0.2">
      <c r="B177" t="s">
        <v>37</v>
      </c>
      <c r="C177" t="s">
        <v>17</v>
      </c>
      <c r="D177" s="18" t="str">
        <f t="shared" si="10"/>
        <v>Commercial</v>
      </c>
      <c r="E177" s="18">
        <f t="shared" si="11"/>
        <v>5.4545454545454541</v>
      </c>
      <c r="F177" s="18">
        <f t="shared" si="12"/>
        <v>110</v>
      </c>
      <c r="G177" s="8">
        <v>20</v>
      </c>
      <c r="S177" s="7"/>
      <c r="V177" s="7"/>
    </row>
    <row r="178" spans="2:22" hidden="1" x14ac:dyDescent="0.2">
      <c r="B178" t="s">
        <v>44</v>
      </c>
      <c r="C178" t="s">
        <v>17</v>
      </c>
      <c r="D178" s="18" t="str">
        <f t="shared" si="10"/>
        <v>Corporate</v>
      </c>
      <c r="E178" s="18">
        <f t="shared" si="11"/>
        <v>2.1428571428571428</v>
      </c>
      <c r="F178" s="18">
        <f t="shared" si="12"/>
        <v>140</v>
      </c>
      <c r="G178" s="8">
        <v>10</v>
      </c>
      <c r="S178" s="7"/>
      <c r="V178" s="7"/>
    </row>
    <row r="179" spans="2:22" hidden="1" x14ac:dyDescent="0.2">
      <c r="B179" t="s">
        <v>46</v>
      </c>
      <c r="C179" t="s">
        <v>17</v>
      </c>
      <c r="D179" s="18" t="str">
        <f t="shared" si="10"/>
        <v>Corporate</v>
      </c>
      <c r="E179" s="18">
        <f t="shared" si="11"/>
        <v>2.1428571428571428</v>
      </c>
      <c r="F179" s="18">
        <f t="shared" si="12"/>
        <v>140</v>
      </c>
      <c r="G179" s="8">
        <v>10</v>
      </c>
      <c r="S179" s="7"/>
      <c r="V179" s="7"/>
    </row>
    <row r="180" spans="2:22" hidden="1" x14ac:dyDescent="0.2">
      <c r="B180" t="s">
        <v>22</v>
      </c>
      <c r="C180" t="s">
        <v>17</v>
      </c>
      <c r="D180" s="18" t="str">
        <f t="shared" si="10"/>
        <v>Corporate</v>
      </c>
      <c r="E180" s="18">
        <f t="shared" si="11"/>
        <v>4.2857142857142856</v>
      </c>
      <c r="F180" s="18">
        <f t="shared" si="12"/>
        <v>140</v>
      </c>
      <c r="G180" s="8">
        <v>20</v>
      </c>
      <c r="S180" s="7"/>
      <c r="V180" s="7"/>
    </row>
    <row r="181" spans="2:22" hidden="1" x14ac:dyDescent="0.2">
      <c r="B181" t="s">
        <v>48</v>
      </c>
      <c r="C181" t="s">
        <v>17</v>
      </c>
      <c r="D181" s="18" t="str">
        <f t="shared" si="10"/>
        <v>Corporate</v>
      </c>
      <c r="E181" s="18">
        <f t="shared" si="11"/>
        <v>2.1428571428571428</v>
      </c>
      <c r="F181" s="18">
        <f t="shared" si="12"/>
        <v>140</v>
      </c>
      <c r="G181" s="8">
        <v>10</v>
      </c>
      <c r="S181" s="7"/>
      <c r="V181" s="7"/>
    </row>
    <row r="182" spans="2:22" hidden="1" x14ac:dyDescent="0.2">
      <c r="B182" t="s">
        <v>50</v>
      </c>
      <c r="C182" t="s">
        <v>17</v>
      </c>
      <c r="D182" s="18" t="str">
        <f t="shared" si="10"/>
        <v>Corporate</v>
      </c>
      <c r="E182" s="18">
        <f t="shared" si="11"/>
        <v>2.1428571428571428</v>
      </c>
      <c r="F182" s="18">
        <f t="shared" si="12"/>
        <v>140</v>
      </c>
      <c r="G182" s="8">
        <v>10</v>
      </c>
      <c r="S182" s="7"/>
      <c r="V182" s="7"/>
    </row>
    <row r="183" spans="2:22" hidden="1" x14ac:dyDescent="0.2">
      <c r="B183" t="s">
        <v>54</v>
      </c>
      <c r="C183" t="s">
        <v>17</v>
      </c>
      <c r="D183" s="18" t="str">
        <f t="shared" si="10"/>
        <v>Corporate</v>
      </c>
      <c r="E183" s="18">
        <f t="shared" si="11"/>
        <v>2.1428571428571428</v>
      </c>
      <c r="F183" s="18">
        <f t="shared" si="12"/>
        <v>140</v>
      </c>
      <c r="G183" s="8">
        <v>10</v>
      </c>
      <c r="S183" s="7"/>
      <c r="V183" s="7"/>
    </row>
    <row r="184" spans="2:22" hidden="1" x14ac:dyDescent="0.2">
      <c r="B184" t="s">
        <v>56</v>
      </c>
      <c r="C184" t="s">
        <v>17</v>
      </c>
      <c r="D184" s="18" t="str">
        <f t="shared" si="10"/>
        <v>Corporate</v>
      </c>
      <c r="E184" s="18">
        <f t="shared" si="11"/>
        <v>2.1428571428571428</v>
      </c>
      <c r="F184" s="18">
        <f t="shared" si="12"/>
        <v>140</v>
      </c>
      <c r="G184" s="8">
        <v>10</v>
      </c>
      <c r="S184" s="7"/>
      <c r="V184" s="7"/>
    </row>
    <row r="185" spans="2:22" hidden="1" x14ac:dyDescent="0.2">
      <c r="B185" t="s">
        <v>35</v>
      </c>
      <c r="C185" t="s">
        <v>17</v>
      </c>
      <c r="D185" s="18" t="str">
        <f t="shared" si="10"/>
        <v>Corporate</v>
      </c>
      <c r="E185" s="18">
        <f t="shared" si="11"/>
        <v>2.1428571428571428</v>
      </c>
      <c r="F185" s="18">
        <f t="shared" si="12"/>
        <v>140</v>
      </c>
      <c r="G185" s="8">
        <v>10</v>
      </c>
      <c r="S185" s="7"/>
      <c r="V185" s="7"/>
    </row>
    <row r="186" spans="2:22" hidden="1" x14ac:dyDescent="0.2">
      <c r="B186" t="s">
        <v>47</v>
      </c>
      <c r="C186" t="s">
        <v>17</v>
      </c>
      <c r="D186" s="18" t="str">
        <f t="shared" si="10"/>
        <v>Corporate</v>
      </c>
      <c r="E186" s="18">
        <f t="shared" si="11"/>
        <v>2.1428571428571428</v>
      </c>
      <c r="F186" s="18">
        <f t="shared" si="12"/>
        <v>140</v>
      </c>
      <c r="G186" s="8">
        <v>10</v>
      </c>
      <c r="S186" s="7"/>
      <c r="V186" s="7"/>
    </row>
    <row r="187" spans="2:22" hidden="1" x14ac:dyDescent="0.2">
      <c r="B187" t="s">
        <v>98</v>
      </c>
      <c r="C187" t="s">
        <v>17</v>
      </c>
      <c r="D187" s="18" t="str">
        <f t="shared" si="10"/>
        <v>Corporate</v>
      </c>
      <c r="E187" s="18">
        <f t="shared" si="11"/>
        <v>2.1428571428571428</v>
      </c>
      <c r="F187" s="18">
        <f t="shared" si="12"/>
        <v>140</v>
      </c>
      <c r="G187" s="8">
        <v>10</v>
      </c>
      <c r="S187" s="7"/>
      <c r="V187" s="7"/>
    </row>
    <row r="188" spans="2:22" hidden="1" x14ac:dyDescent="0.2">
      <c r="B188" t="s">
        <v>45</v>
      </c>
      <c r="C188" t="s">
        <v>17</v>
      </c>
      <c r="D188" s="18" t="str">
        <f t="shared" si="10"/>
        <v>Corporate</v>
      </c>
      <c r="E188" s="18">
        <f t="shared" si="11"/>
        <v>2.1428571428571428</v>
      </c>
      <c r="F188" s="18">
        <f t="shared" si="12"/>
        <v>140</v>
      </c>
      <c r="G188" s="8">
        <v>10</v>
      </c>
      <c r="S188" s="7"/>
      <c r="V188" s="7"/>
    </row>
    <row r="189" spans="2:22" hidden="1" x14ac:dyDescent="0.2">
      <c r="B189" t="s">
        <v>51</v>
      </c>
      <c r="C189" t="s">
        <v>17</v>
      </c>
      <c r="D189" s="18" t="str">
        <f t="shared" si="10"/>
        <v>Corporate</v>
      </c>
      <c r="E189" s="18">
        <f t="shared" si="11"/>
        <v>2.1428571428571428</v>
      </c>
      <c r="F189" s="18">
        <f t="shared" si="12"/>
        <v>140</v>
      </c>
      <c r="G189" s="8">
        <v>10</v>
      </c>
      <c r="S189" s="7"/>
      <c r="V189" s="7"/>
    </row>
    <row r="190" spans="2:22" hidden="1" x14ac:dyDescent="0.2">
      <c r="B190" t="s">
        <v>53</v>
      </c>
      <c r="C190" t="s">
        <v>17</v>
      </c>
      <c r="D190" s="18" t="str">
        <f t="shared" si="10"/>
        <v>Corporate</v>
      </c>
      <c r="E190" s="18">
        <f t="shared" si="11"/>
        <v>2.1428571428571428</v>
      </c>
      <c r="F190" s="18">
        <f t="shared" si="12"/>
        <v>140</v>
      </c>
      <c r="G190" s="8">
        <v>10</v>
      </c>
      <c r="S190" s="7"/>
      <c r="V190" s="7"/>
    </row>
    <row r="191" spans="2:22" hidden="1" x14ac:dyDescent="0.2">
      <c r="B191" t="s">
        <v>7</v>
      </c>
      <c r="C191" t="s">
        <v>17</v>
      </c>
      <c r="D191" s="18" t="str">
        <f t="shared" si="10"/>
        <v>Operations</v>
      </c>
      <c r="E191" s="18">
        <f t="shared" si="11"/>
        <v>3.3333333333333335</v>
      </c>
      <c r="F191" s="18">
        <f t="shared" si="12"/>
        <v>30</v>
      </c>
      <c r="G191" s="8">
        <v>10</v>
      </c>
      <c r="S191" s="7"/>
      <c r="V191" s="7"/>
    </row>
    <row r="192" spans="2:22" hidden="1" x14ac:dyDescent="0.2">
      <c r="B192" t="s">
        <v>42</v>
      </c>
      <c r="C192" t="s">
        <v>17</v>
      </c>
      <c r="D192" s="18" t="str">
        <f t="shared" si="10"/>
        <v>Operations</v>
      </c>
      <c r="E192" s="18">
        <f t="shared" si="11"/>
        <v>3.3333333333333335</v>
      </c>
      <c r="F192" s="18">
        <f t="shared" si="12"/>
        <v>30</v>
      </c>
      <c r="G192" s="8">
        <v>10</v>
      </c>
      <c r="S192" s="7"/>
      <c r="V192" s="7"/>
    </row>
    <row r="193" spans="2:22" hidden="1" x14ac:dyDescent="0.2">
      <c r="B193" t="s">
        <v>26</v>
      </c>
      <c r="C193" t="s">
        <v>17</v>
      </c>
      <c r="D193" s="18" t="str">
        <f t="shared" si="10"/>
        <v>Operations</v>
      </c>
      <c r="E193" s="18">
        <f t="shared" si="11"/>
        <v>3.3333333333333335</v>
      </c>
      <c r="F193" s="18">
        <f t="shared" si="12"/>
        <v>30</v>
      </c>
      <c r="G193" s="8">
        <v>10</v>
      </c>
      <c r="S193" s="7"/>
      <c r="V193" s="7"/>
    </row>
    <row r="194" spans="2:22" hidden="1" x14ac:dyDescent="0.2">
      <c r="B194" t="s">
        <v>34</v>
      </c>
      <c r="C194" t="s">
        <v>17</v>
      </c>
      <c r="D194" s="18" t="str">
        <f t="shared" si="10"/>
        <v>Technology</v>
      </c>
      <c r="E194" s="18">
        <f t="shared" si="11"/>
        <v>3.3333333333333335</v>
      </c>
      <c r="F194" s="18">
        <f t="shared" si="12"/>
        <v>60</v>
      </c>
      <c r="G194" s="8">
        <v>10</v>
      </c>
      <c r="S194" s="7"/>
      <c r="V194" s="7"/>
    </row>
    <row r="195" spans="2:22" hidden="1" x14ac:dyDescent="0.2">
      <c r="B195" t="s">
        <v>9</v>
      </c>
      <c r="C195" t="s">
        <v>17</v>
      </c>
      <c r="D195" s="18" t="str">
        <f t="shared" ref="D195:D198" si="13">VLOOKUP($B195,$Y:$Z,2,FALSE)</f>
        <v>Technology</v>
      </c>
      <c r="E195" s="18">
        <f t="shared" ref="E195:E204" si="14">G195*SUMIFS($K:$K,$I:$I,C195,$J:$J,D195)/F195</f>
        <v>6.666666666666667</v>
      </c>
      <c r="F195" s="18">
        <f t="shared" ref="F195:F204" si="15">SUMIFS($G$2:$G$1000,$D$2:$D$1000,D195,$C$2:$C$1000,C195)</f>
        <v>60</v>
      </c>
      <c r="G195" s="8">
        <v>20</v>
      </c>
      <c r="S195" s="7"/>
      <c r="V195" s="7"/>
    </row>
    <row r="196" spans="2:22" hidden="1" x14ac:dyDescent="0.2">
      <c r="B196" t="s">
        <v>60</v>
      </c>
      <c r="C196" t="s">
        <v>17</v>
      </c>
      <c r="D196" s="18" t="str">
        <f t="shared" si="13"/>
        <v>Technology</v>
      </c>
      <c r="E196" s="18">
        <f t="shared" si="14"/>
        <v>3.3333333333333335</v>
      </c>
      <c r="F196" s="18">
        <f t="shared" si="15"/>
        <v>60</v>
      </c>
      <c r="G196" s="8">
        <v>10</v>
      </c>
      <c r="S196" s="7"/>
      <c r="V196" s="7"/>
    </row>
    <row r="197" spans="2:22" hidden="1" x14ac:dyDescent="0.2">
      <c r="B197" t="s">
        <v>59</v>
      </c>
      <c r="C197" t="s">
        <v>17</v>
      </c>
      <c r="D197" s="18" t="str">
        <f t="shared" si="13"/>
        <v>Technology</v>
      </c>
      <c r="E197" s="18">
        <f t="shared" si="14"/>
        <v>3.3333333333333335</v>
      </c>
      <c r="F197" s="18">
        <f t="shared" si="15"/>
        <v>60</v>
      </c>
      <c r="G197" s="8">
        <v>10</v>
      </c>
      <c r="S197" s="7"/>
      <c r="V197" s="7"/>
    </row>
    <row r="198" spans="2:22" hidden="1" x14ac:dyDescent="0.2">
      <c r="B198" t="s">
        <v>58</v>
      </c>
      <c r="C198" t="s">
        <v>17</v>
      </c>
      <c r="D198" s="18" t="str">
        <f t="shared" si="13"/>
        <v>Technology</v>
      </c>
      <c r="E198" s="18">
        <f t="shared" si="14"/>
        <v>3.3333333333333335</v>
      </c>
      <c r="F198" s="18">
        <f t="shared" si="15"/>
        <v>60</v>
      </c>
      <c r="G198" s="8">
        <v>10</v>
      </c>
      <c r="S198" s="7"/>
      <c r="V198" s="7"/>
    </row>
    <row r="199" spans="2:22" hidden="1" x14ac:dyDescent="0.2">
      <c r="B199" t="s">
        <v>116</v>
      </c>
      <c r="C199" t="s">
        <v>4</v>
      </c>
      <c r="D199" s="18" t="s">
        <v>74</v>
      </c>
      <c r="E199" s="18">
        <f t="shared" si="14"/>
        <v>5</v>
      </c>
      <c r="F199" s="18">
        <f t="shared" si="15"/>
        <v>20</v>
      </c>
      <c r="G199" s="8">
        <v>20</v>
      </c>
      <c r="S199" s="7"/>
      <c r="V199" s="7"/>
    </row>
    <row r="200" spans="2:22" x14ac:dyDescent="0.2">
      <c r="B200" t="s">
        <v>116</v>
      </c>
      <c r="C200" t="s">
        <v>10</v>
      </c>
      <c r="D200" s="18" t="s">
        <v>74</v>
      </c>
      <c r="E200" s="18">
        <f t="shared" si="14"/>
        <v>10</v>
      </c>
      <c r="F200" s="18">
        <f t="shared" si="15"/>
        <v>20</v>
      </c>
      <c r="G200" s="8">
        <v>20</v>
      </c>
      <c r="S200" s="7"/>
      <c r="V200" s="7"/>
    </row>
    <row r="201" spans="2:22" hidden="1" x14ac:dyDescent="0.2">
      <c r="B201" t="s">
        <v>116</v>
      </c>
      <c r="C201" t="s">
        <v>14</v>
      </c>
      <c r="D201" s="18" t="s">
        <v>74</v>
      </c>
      <c r="E201" s="18">
        <f t="shared" si="14"/>
        <v>5</v>
      </c>
      <c r="F201" s="18">
        <f t="shared" si="15"/>
        <v>20</v>
      </c>
      <c r="G201" s="8">
        <v>20</v>
      </c>
      <c r="S201" s="7"/>
      <c r="V201" s="7"/>
    </row>
    <row r="202" spans="2:22" hidden="1" x14ac:dyDescent="0.2">
      <c r="B202" t="s">
        <v>116</v>
      </c>
      <c r="C202" t="s">
        <v>15</v>
      </c>
      <c r="D202" s="18" t="s">
        <v>74</v>
      </c>
      <c r="E202" s="18">
        <f t="shared" si="14"/>
        <v>5</v>
      </c>
      <c r="F202" s="18">
        <f t="shared" si="15"/>
        <v>20</v>
      </c>
      <c r="G202" s="8">
        <v>20</v>
      </c>
      <c r="S202" s="7"/>
      <c r="V202" s="7"/>
    </row>
    <row r="203" spans="2:22" hidden="1" x14ac:dyDescent="0.2">
      <c r="B203" t="s">
        <v>116</v>
      </c>
      <c r="C203" t="s">
        <v>16</v>
      </c>
      <c r="D203" s="18" t="s">
        <v>74</v>
      </c>
      <c r="E203" s="18">
        <f t="shared" si="14"/>
        <v>5</v>
      </c>
      <c r="F203" s="18">
        <f t="shared" si="15"/>
        <v>20</v>
      </c>
      <c r="G203" s="8">
        <v>20</v>
      </c>
      <c r="S203" s="7"/>
      <c r="V203" s="7"/>
    </row>
    <row r="204" spans="2:22" hidden="1" x14ac:dyDescent="0.2">
      <c r="B204" t="s">
        <v>116</v>
      </c>
      <c r="C204" t="s">
        <v>17</v>
      </c>
      <c r="D204" s="18" t="s">
        <v>74</v>
      </c>
      <c r="E204" s="18">
        <f t="shared" si="14"/>
        <v>5</v>
      </c>
      <c r="F204" s="18">
        <f t="shared" si="15"/>
        <v>20</v>
      </c>
      <c r="G204" s="8">
        <v>20</v>
      </c>
      <c r="S204" s="7"/>
      <c r="V204" s="7"/>
    </row>
  </sheetData>
  <autoFilter ref="B2:D204" xr:uid="{D521F980-2E5F-EC49-B62F-4F6A4A27A40F}">
    <filterColumn colId="1">
      <filters>
        <filter val="eCommerce"/>
      </filters>
    </filterColumn>
    <sortState xmlns:xlrd2="http://schemas.microsoft.com/office/spreadsheetml/2017/richdata2" ref="B3:D62">
      <sortCondition ref="D2:D62"/>
    </sortState>
  </autoFilter>
  <conditionalFormatting sqref="G1:G1048576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8">
    <cfRule type="colorScale" priority="3">
      <colorScale>
        <cfvo type="min"/>
        <cfvo type="max"/>
        <color rgb="FFFFEF9C"/>
        <color rgb="FF63BE7B"/>
      </colorScale>
    </cfRule>
  </conditionalFormatting>
  <conditionalFormatting sqref="L3:L38">
    <cfRule type="notContainsText" dxfId="15" priority="1" operator="notContains" text="100">
      <formula>ISERROR(SEARCH("100",L3))</formula>
    </cfRule>
  </conditionalFormatting>
  <conditionalFormatting sqref="P3">
    <cfRule type="notContainsText" dxfId="14" priority="2" operator="notContains" text="100">
      <formula>ISERROR(SEARCH("100",P3))</formula>
    </cfRule>
  </conditionalFormatting>
  <conditionalFormatting sqref="S3:S14">
    <cfRule type="colorScale" priority="7">
      <colorScale>
        <cfvo type="min"/>
        <cfvo type="max"/>
        <color rgb="FFFFEF9C"/>
        <color rgb="FF63BE7B"/>
      </colorScale>
    </cfRule>
    <cfRule type="cellIs" dxfId="13" priority="9" operator="equal">
      <formula>100</formula>
    </cfRule>
  </conditionalFormatting>
  <conditionalFormatting sqref="V3:V44">
    <cfRule type="colorScale" priority="6">
      <colorScale>
        <cfvo type="min"/>
        <cfvo type="max"/>
        <color rgb="FFFFEF9C"/>
        <color rgb="FF63BE7B"/>
      </colorScale>
    </cfRule>
    <cfRule type="cellIs" dxfId="12" priority="8" operator="equal">
      <formula>100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DFD-45B9-6B4E-99A1-FC80C2C804E6}">
  <dimension ref="A1:AJ88"/>
  <sheetViews>
    <sheetView zoomScale="132" zoomScaleNormal="130" workbookViewId="0">
      <selection activeCell="AB5" activeCellId="4" sqref="Y5 AD5 AE5 AF5 AB5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10" bestFit="1" customWidth="1"/>
    <col min="24" max="24" width="11.1640625" bestFit="1" customWidth="1"/>
    <col min="25" max="25" width="9.1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6" x14ac:dyDescent="0.2">
      <c r="A1" s="9" t="s">
        <v>81</v>
      </c>
    </row>
    <row r="2" spans="1:36" s="1" customFormat="1" x14ac:dyDescent="0.2">
      <c r="A2" s="11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80</v>
      </c>
      <c r="X2" s="11"/>
      <c r="Y2" s="11"/>
      <c r="Z2" s="11"/>
      <c r="AA2" s="11"/>
      <c r="AB2" s="11"/>
      <c r="AC2" s="11"/>
      <c r="AD2" s="11"/>
      <c r="AE2" s="11"/>
      <c r="AF2" s="11"/>
    </row>
    <row r="3" spans="1:36" s="1" customFormat="1" x14ac:dyDescent="0.2">
      <c r="A3" s="11" t="s">
        <v>41</v>
      </c>
      <c r="B3" s="11">
        <v>0.38</v>
      </c>
      <c r="C3" s="11"/>
      <c r="D3" s="11"/>
      <c r="E3" s="11" t="s">
        <v>43</v>
      </c>
      <c r="F3" s="11">
        <v>0.19</v>
      </c>
      <c r="G3" s="11"/>
      <c r="H3" s="11"/>
      <c r="I3" s="11" t="s">
        <v>57</v>
      </c>
      <c r="J3" s="11">
        <v>0.19</v>
      </c>
      <c r="K3" s="11"/>
      <c r="L3" s="11"/>
      <c r="M3" s="11" t="s">
        <v>61</v>
      </c>
      <c r="N3" s="11">
        <v>0.19</v>
      </c>
      <c r="O3" s="11"/>
      <c r="P3" s="11"/>
      <c r="Q3" s="11" t="s">
        <v>62</v>
      </c>
      <c r="R3" s="11">
        <v>0.05</v>
      </c>
      <c r="S3" s="11"/>
      <c r="T3" s="11"/>
      <c r="U3" s="11"/>
      <c r="V3" s="11"/>
      <c r="W3" s="11" t="s">
        <v>76</v>
      </c>
      <c r="X3" s="11" t="s">
        <v>75</v>
      </c>
      <c r="Y3" s="11" t="s">
        <v>77</v>
      </c>
      <c r="Z3" s="11" t="s">
        <v>75</v>
      </c>
      <c r="AA3" s="11" t="s">
        <v>75</v>
      </c>
      <c r="AB3" s="11" t="s">
        <v>77</v>
      </c>
      <c r="AC3" s="11" t="s">
        <v>78</v>
      </c>
      <c r="AD3" s="11" t="s">
        <v>77</v>
      </c>
      <c r="AE3" s="11" t="s">
        <v>77</v>
      </c>
      <c r="AF3" s="11" t="s">
        <v>77</v>
      </c>
    </row>
    <row r="4" spans="1:36" x14ac:dyDescent="0.2">
      <c r="A4" s="10" t="s">
        <v>23</v>
      </c>
      <c r="B4" s="10">
        <v>0.16</v>
      </c>
      <c r="C4" s="10"/>
      <c r="D4" s="10"/>
      <c r="E4" s="10" t="s">
        <v>7</v>
      </c>
      <c r="F4" s="10">
        <v>0.35</v>
      </c>
      <c r="G4" s="10"/>
      <c r="H4" s="10"/>
      <c r="I4" s="10" t="s">
        <v>44</v>
      </c>
      <c r="J4" s="16">
        <v>6.6666666666666666E-2</v>
      </c>
      <c r="K4" s="10">
        <f>J4*100</f>
        <v>6.666666666666667</v>
      </c>
      <c r="L4" s="10"/>
      <c r="M4" s="10" t="s">
        <v>9</v>
      </c>
      <c r="N4" s="10">
        <v>0.3</v>
      </c>
      <c r="O4" s="10"/>
      <c r="P4" s="10"/>
      <c r="Q4" s="10"/>
      <c r="R4" s="10"/>
      <c r="S4" s="10"/>
      <c r="T4" s="10"/>
      <c r="U4" s="10"/>
      <c r="V4" s="10"/>
      <c r="W4" s="10" t="s">
        <v>64</v>
      </c>
      <c r="X4" s="10" t="s">
        <v>65</v>
      </c>
      <c r="Y4" s="10" t="s">
        <v>67</v>
      </c>
      <c r="Z4" s="10" t="s">
        <v>66</v>
      </c>
      <c r="AA4" s="10" t="s">
        <v>68</v>
      </c>
      <c r="AB4" s="10" t="s">
        <v>69</v>
      </c>
      <c r="AC4" s="10" t="s">
        <v>70</v>
      </c>
      <c r="AD4" s="10" t="s">
        <v>71</v>
      </c>
      <c r="AE4" s="10" t="s">
        <v>72</v>
      </c>
      <c r="AF4" s="10" t="s">
        <v>73</v>
      </c>
      <c r="AH4" s="10" t="s">
        <v>64</v>
      </c>
      <c r="AI4">
        <f>AJ4*100</f>
        <v>20</v>
      </c>
      <c r="AJ4" s="12">
        <v>0.2</v>
      </c>
    </row>
    <row r="5" spans="1:36" x14ac:dyDescent="0.2">
      <c r="A5" s="10" t="s">
        <v>21</v>
      </c>
      <c r="B5" s="10">
        <v>0.16</v>
      </c>
      <c r="C5" s="10"/>
      <c r="D5" s="10"/>
      <c r="E5" s="10" t="s">
        <v>26</v>
      </c>
      <c r="F5" s="10">
        <v>0.35</v>
      </c>
      <c r="G5" s="10"/>
      <c r="H5" s="10"/>
      <c r="I5" s="10" t="s">
        <v>22</v>
      </c>
      <c r="J5" s="16">
        <v>6.6666666666666666E-2</v>
      </c>
      <c r="K5" s="10">
        <f t="shared" ref="K5:K18" si="0">J5*100</f>
        <v>6.666666666666667</v>
      </c>
      <c r="L5" s="10"/>
      <c r="M5" s="10" t="s">
        <v>11</v>
      </c>
      <c r="N5" s="10">
        <v>0.2</v>
      </c>
      <c r="O5" s="10"/>
      <c r="P5" s="10"/>
      <c r="Q5" s="10"/>
      <c r="R5" s="10"/>
      <c r="S5" s="10"/>
      <c r="T5" s="10"/>
      <c r="U5" s="10"/>
      <c r="V5" s="10"/>
      <c r="W5" s="12">
        <v>0.2</v>
      </c>
      <c r="X5" s="12">
        <v>0.12</v>
      </c>
      <c r="Y5" s="12">
        <v>0.12</v>
      </c>
      <c r="Z5" s="12">
        <v>0.08</v>
      </c>
      <c r="AA5" s="12">
        <v>0.08</v>
      </c>
      <c r="AB5" s="12">
        <v>0.12</v>
      </c>
      <c r="AC5" s="12">
        <v>0.15</v>
      </c>
      <c r="AD5" s="12">
        <v>7.0000000000000007E-2</v>
      </c>
      <c r="AE5" s="12">
        <v>0.03</v>
      </c>
      <c r="AF5" s="12">
        <v>0.03</v>
      </c>
      <c r="AH5" s="10" t="s">
        <v>65</v>
      </c>
      <c r="AI5">
        <f t="shared" ref="AI5:AI13" si="1">AJ5*100</f>
        <v>12</v>
      </c>
      <c r="AJ5" s="12">
        <v>0.12</v>
      </c>
    </row>
    <row r="6" spans="1:36" x14ac:dyDescent="0.2">
      <c r="A6" s="10" t="s">
        <v>36</v>
      </c>
      <c r="B6" s="10">
        <v>0.16</v>
      </c>
      <c r="C6" s="10"/>
      <c r="D6" s="10"/>
      <c r="E6" s="10" t="s">
        <v>42</v>
      </c>
      <c r="F6" s="10">
        <v>0.3</v>
      </c>
      <c r="G6" s="10"/>
      <c r="H6" s="10"/>
      <c r="I6" s="10" t="s">
        <v>45</v>
      </c>
      <c r="J6" s="16">
        <v>6.6666666666666666E-2</v>
      </c>
      <c r="K6" s="10">
        <f t="shared" si="0"/>
        <v>6.666666666666667</v>
      </c>
      <c r="L6" s="10"/>
      <c r="M6" s="10" t="s">
        <v>34</v>
      </c>
      <c r="N6" s="10">
        <v>0.2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H6" s="10" t="s">
        <v>67</v>
      </c>
      <c r="AI6">
        <f t="shared" si="1"/>
        <v>12</v>
      </c>
      <c r="AJ6" s="12">
        <v>0.12</v>
      </c>
    </row>
    <row r="7" spans="1:36" x14ac:dyDescent="0.2">
      <c r="A7" s="10" t="s">
        <v>37</v>
      </c>
      <c r="B7" s="10">
        <v>0.12</v>
      </c>
      <c r="C7" s="10"/>
      <c r="D7" s="10"/>
      <c r="E7" s="10"/>
      <c r="F7" s="10"/>
      <c r="G7" s="10"/>
      <c r="H7" s="10"/>
      <c r="I7" s="10" t="s">
        <v>46</v>
      </c>
      <c r="J7" s="16">
        <v>6.6666666666666666E-2</v>
      </c>
      <c r="K7" s="10">
        <f t="shared" si="0"/>
        <v>6.666666666666667</v>
      </c>
      <c r="L7" s="10"/>
      <c r="M7" s="10" t="s">
        <v>58</v>
      </c>
      <c r="N7" s="10">
        <v>0.1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H7" s="10" t="s">
        <v>66</v>
      </c>
      <c r="AI7">
        <f t="shared" si="1"/>
        <v>8</v>
      </c>
      <c r="AJ7" s="12">
        <v>0.08</v>
      </c>
    </row>
    <row r="8" spans="1:36" x14ac:dyDescent="0.2">
      <c r="A8" s="10" t="s">
        <v>38</v>
      </c>
      <c r="B8" s="10">
        <v>0.1</v>
      </c>
      <c r="C8" s="10"/>
      <c r="D8" s="10"/>
      <c r="E8" s="10"/>
      <c r="F8" s="10"/>
      <c r="G8" s="10"/>
      <c r="H8" s="10"/>
      <c r="I8" s="10" t="s">
        <v>35</v>
      </c>
      <c r="J8" s="16">
        <v>6.6666666666666666E-2</v>
      </c>
      <c r="K8" s="10">
        <f t="shared" si="0"/>
        <v>6.666666666666667</v>
      </c>
      <c r="L8" s="10"/>
      <c r="M8" s="10" t="s">
        <v>59</v>
      </c>
      <c r="N8" s="10">
        <v>0.1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H8" s="10" t="s">
        <v>68</v>
      </c>
      <c r="AI8">
        <f t="shared" si="1"/>
        <v>8</v>
      </c>
      <c r="AJ8" s="12">
        <v>0.08</v>
      </c>
    </row>
    <row r="9" spans="1:36" x14ac:dyDescent="0.2">
      <c r="A9" s="10" t="s">
        <v>25</v>
      </c>
      <c r="B9" s="10">
        <v>0.09</v>
      </c>
      <c r="C9" s="10"/>
      <c r="D9" s="10"/>
      <c r="E9" s="10"/>
      <c r="F9" s="10"/>
      <c r="G9" s="10"/>
      <c r="H9" s="10"/>
      <c r="I9" s="10" t="s">
        <v>47</v>
      </c>
      <c r="J9" s="16">
        <v>6.6666666666666666E-2</v>
      </c>
      <c r="K9" s="10">
        <f t="shared" si="0"/>
        <v>6.666666666666667</v>
      </c>
      <c r="L9" s="10"/>
      <c r="M9" s="10" t="s">
        <v>60</v>
      </c>
      <c r="N9" s="10">
        <v>0.1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H9" s="10" t="s">
        <v>69</v>
      </c>
      <c r="AI9">
        <f t="shared" si="1"/>
        <v>12</v>
      </c>
      <c r="AJ9" s="12">
        <v>0.12</v>
      </c>
    </row>
    <row r="10" spans="1:36" x14ac:dyDescent="0.2">
      <c r="A10" s="10" t="s">
        <v>39</v>
      </c>
      <c r="B10" s="10">
        <v>0.09</v>
      </c>
      <c r="C10" s="10"/>
      <c r="D10" s="10"/>
      <c r="E10" s="10"/>
      <c r="F10" s="10"/>
      <c r="G10" s="10"/>
      <c r="H10" s="10"/>
      <c r="I10" s="10" t="s">
        <v>48</v>
      </c>
      <c r="J10" s="16">
        <v>6.6666666666666666E-2</v>
      </c>
      <c r="K10" s="10">
        <f t="shared" si="0"/>
        <v>6.666666666666667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H10" s="10" t="s">
        <v>70</v>
      </c>
      <c r="AI10">
        <f t="shared" si="1"/>
        <v>15</v>
      </c>
      <c r="AJ10" s="12">
        <v>0.15</v>
      </c>
    </row>
    <row r="11" spans="1:36" x14ac:dyDescent="0.2">
      <c r="A11" s="10" t="s">
        <v>24</v>
      </c>
      <c r="B11" s="10">
        <v>0.09</v>
      </c>
      <c r="C11" s="10"/>
      <c r="D11" s="10"/>
      <c r="E11" s="10"/>
      <c r="F11" s="10"/>
      <c r="G11" s="10"/>
      <c r="H11" s="10"/>
      <c r="I11" s="10" t="s">
        <v>49</v>
      </c>
      <c r="J11" s="16">
        <v>6.6666666666666666E-2</v>
      </c>
      <c r="K11" s="10">
        <f t="shared" si="0"/>
        <v>6.666666666666667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H11" s="10" t="s">
        <v>71</v>
      </c>
      <c r="AI11">
        <f t="shared" si="1"/>
        <v>7.0000000000000009</v>
      </c>
      <c r="AJ11" s="12">
        <v>7.0000000000000007E-2</v>
      </c>
    </row>
    <row r="12" spans="1:36" x14ac:dyDescent="0.2">
      <c r="A12" s="10" t="s">
        <v>40</v>
      </c>
      <c r="B12" s="10">
        <v>0.03</v>
      </c>
      <c r="C12" s="10"/>
      <c r="D12" s="10"/>
      <c r="E12" s="10"/>
      <c r="F12" s="10"/>
      <c r="G12" s="10"/>
      <c r="H12" s="10"/>
      <c r="I12" s="10" t="s">
        <v>50</v>
      </c>
      <c r="J12" s="16">
        <v>6.6666666666666666E-2</v>
      </c>
      <c r="K12" s="10">
        <f t="shared" si="0"/>
        <v>6.666666666666667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H12" s="10" t="s">
        <v>72</v>
      </c>
      <c r="AI12">
        <f t="shared" si="1"/>
        <v>3</v>
      </c>
      <c r="AJ12" s="12">
        <v>0.03</v>
      </c>
    </row>
    <row r="13" spans="1:36" x14ac:dyDescent="0.2">
      <c r="A13" s="10"/>
      <c r="B13" s="10"/>
      <c r="C13" s="10"/>
      <c r="D13" s="10"/>
      <c r="E13" s="10"/>
      <c r="F13" s="10"/>
      <c r="G13" s="10"/>
      <c r="H13" s="10"/>
      <c r="I13" s="10" t="s">
        <v>51</v>
      </c>
      <c r="J13" s="16">
        <v>6.6666666666666666E-2</v>
      </c>
      <c r="K13" s="10">
        <f t="shared" si="0"/>
        <v>6.666666666666667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H13" s="10" t="s">
        <v>73</v>
      </c>
      <c r="AI13">
        <f t="shared" si="1"/>
        <v>3</v>
      </c>
      <c r="AJ13" s="12">
        <v>0.03</v>
      </c>
    </row>
    <row r="14" spans="1:36" x14ac:dyDescent="0.2">
      <c r="A14" s="10"/>
      <c r="B14" s="10"/>
      <c r="C14" s="10"/>
      <c r="D14" s="10"/>
      <c r="E14" s="10"/>
      <c r="F14" s="10"/>
      <c r="G14" s="10"/>
      <c r="H14" s="10"/>
      <c r="I14" s="10" t="s">
        <v>52</v>
      </c>
      <c r="J14" s="16">
        <v>6.6666666666666666E-2</v>
      </c>
      <c r="K14" s="10">
        <f t="shared" si="0"/>
        <v>6.666666666666667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6" x14ac:dyDescent="0.2">
      <c r="A15" s="10"/>
      <c r="B15" s="10"/>
      <c r="C15" s="10"/>
      <c r="D15" s="10"/>
      <c r="E15" s="10"/>
      <c r="F15" s="10"/>
      <c r="G15" s="10"/>
      <c r="H15" s="10"/>
      <c r="I15" s="10" t="s">
        <v>53</v>
      </c>
      <c r="J15" s="16">
        <v>6.6666666666666666E-2</v>
      </c>
      <c r="K15" s="10">
        <f t="shared" si="0"/>
        <v>6.666666666666667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6" x14ac:dyDescent="0.2">
      <c r="A16" s="10"/>
      <c r="B16" s="10"/>
      <c r="C16" s="10"/>
      <c r="D16" s="10"/>
      <c r="E16" s="10"/>
      <c r="F16" s="10"/>
      <c r="G16" s="10"/>
      <c r="H16" s="10"/>
      <c r="I16" s="10" t="s">
        <v>54</v>
      </c>
      <c r="J16" s="16">
        <v>6.6666666666666666E-2</v>
      </c>
      <c r="K16" s="10">
        <f t="shared" si="0"/>
        <v>6.666666666666667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">
      <c r="A17" s="10"/>
      <c r="B17" s="10"/>
      <c r="C17" s="10"/>
      <c r="D17" s="10"/>
      <c r="E17" s="10"/>
      <c r="F17" s="10"/>
      <c r="G17" s="10"/>
      <c r="H17" s="10"/>
      <c r="I17" s="10" t="s">
        <v>55</v>
      </c>
      <c r="J17" s="16">
        <v>6.6666666666666666E-2</v>
      </c>
      <c r="K17" s="10">
        <f t="shared" si="0"/>
        <v>6.666666666666667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">
      <c r="A18" s="10"/>
      <c r="B18" s="10"/>
      <c r="C18" s="10"/>
      <c r="D18" s="10"/>
      <c r="E18" s="10"/>
      <c r="F18" s="10"/>
      <c r="G18" s="10"/>
      <c r="H18" s="10"/>
      <c r="I18" s="10" t="s">
        <v>56</v>
      </c>
      <c r="J18" s="16">
        <v>6.6666666666666666E-2</v>
      </c>
      <c r="K18" s="10">
        <f t="shared" si="0"/>
        <v>6.666666666666667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20" spans="1:32" x14ac:dyDescent="0.2">
      <c r="A20" s="9" t="s">
        <v>82</v>
      </c>
    </row>
    <row r="21" spans="1:32" x14ac:dyDescent="0.2">
      <c r="A21" s="1" t="s">
        <v>63</v>
      </c>
      <c r="B21" s="15">
        <f>VLOOKUP(A21,tom_demand_setup!$S:$T,2,FALSE)</f>
        <v>40</v>
      </c>
      <c r="C21" s="6" t="b">
        <f>(B23+F23+J23+N23+R23+V23)=100</f>
        <v>1</v>
      </c>
    </row>
    <row r="22" spans="1:32" x14ac:dyDescent="0.2">
      <c r="A22" s="8" t="s">
        <v>19</v>
      </c>
      <c r="B22" s="6" t="b">
        <f>B23=SUM(B24:B32)</f>
        <v>1</v>
      </c>
      <c r="E22" s="8" t="s">
        <v>19</v>
      </c>
      <c r="F22" s="6" t="b">
        <f>F23=SUM(F24:F32)</f>
        <v>1</v>
      </c>
      <c r="I22" s="8" t="s">
        <v>19</v>
      </c>
      <c r="J22" s="6" t="b">
        <f>J23=SUM(J24:J32)</f>
        <v>1</v>
      </c>
      <c r="M22" s="8" t="s">
        <v>19</v>
      </c>
      <c r="N22" s="6" t="b">
        <f>N23=SUM(N24:N32)</f>
        <v>1</v>
      </c>
      <c r="Q22" s="8" t="s">
        <v>19</v>
      </c>
      <c r="R22" s="6" t="b">
        <f>R23=SUM(R24:R32)</f>
        <v>1</v>
      </c>
      <c r="U22" s="8" t="s">
        <v>19</v>
      </c>
      <c r="V22" s="6" t="b">
        <f>V23=SUM(V24:V32)</f>
        <v>1</v>
      </c>
    </row>
    <row r="23" spans="1:32" s="1" customFormat="1" x14ac:dyDescent="0.2">
      <c r="A23" s="1" t="s">
        <v>5</v>
      </c>
      <c r="B23" s="11">
        <v>25</v>
      </c>
      <c r="C23" s="1">
        <f>B23*($B$21/100)</f>
        <v>10</v>
      </c>
      <c r="E23" s="1" t="s">
        <v>6</v>
      </c>
      <c r="F23" s="11">
        <v>25</v>
      </c>
      <c r="G23" s="1">
        <f>F23*($B$21/100)</f>
        <v>10</v>
      </c>
      <c r="I23" s="1" t="s">
        <v>12</v>
      </c>
      <c r="J23" s="11">
        <v>20</v>
      </c>
      <c r="K23" s="1">
        <f>J23*($B$21/100)</f>
        <v>8</v>
      </c>
      <c r="M23" s="1" t="s">
        <v>8</v>
      </c>
      <c r="N23" s="11">
        <v>20</v>
      </c>
      <c r="O23" s="1">
        <f>N23*($B$21/100)</f>
        <v>8</v>
      </c>
      <c r="Q23" s="1" t="s">
        <v>74</v>
      </c>
      <c r="R23" s="11">
        <v>5</v>
      </c>
      <c r="S23" s="1">
        <f>R23*($B$21/100)</f>
        <v>2</v>
      </c>
      <c r="U23" s="1" t="s">
        <v>11</v>
      </c>
      <c r="V23" s="11">
        <v>5</v>
      </c>
      <c r="W23" s="1">
        <f>V23*($B$21/100)</f>
        <v>2</v>
      </c>
      <c r="X23">
        <v>25</v>
      </c>
      <c r="Y23"/>
      <c r="Z23"/>
      <c r="AA23"/>
    </row>
    <row r="24" spans="1:32" x14ac:dyDescent="0.2">
      <c r="A24" t="s">
        <v>65</v>
      </c>
      <c r="B24" s="10">
        <v>4</v>
      </c>
      <c r="C24" s="1">
        <f t="shared" ref="C24:C31" si="2">B24*($B$21/100)</f>
        <v>1.6</v>
      </c>
      <c r="E24" s="17" t="s">
        <v>64</v>
      </c>
      <c r="F24" s="10">
        <v>8</v>
      </c>
      <c r="G24" s="1">
        <f t="shared" ref="G24:G31" si="3">F24*($B$21/100)</f>
        <v>3.2</v>
      </c>
      <c r="I24" s="17" t="s">
        <v>67</v>
      </c>
      <c r="J24" s="10">
        <v>8</v>
      </c>
      <c r="K24" s="1">
        <f t="shared" ref="K24:K31" si="4">J24*($B$21/100)</f>
        <v>3.2</v>
      </c>
      <c r="M24" s="17" t="s">
        <v>70</v>
      </c>
      <c r="N24" s="10">
        <v>20</v>
      </c>
      <c r="O24" s="1">
        <f t="shared" ref="O24:O31" si="5">N24*($B$21/100)</f>
        <v>8</v>
      </c>
      <c r="Q24" s="17" t="s">
        <v>13</v>
      </c>
      <c r="R24" s="10">
        <v>5</v>
      </c>
      <c r="S24" s="1">
        <f t="shared" ref="S24:S31" si="6">R24*($B$21/100)</f>
        <v>2</v>
      </c>
      <c r="U24" s="17" t="s">
        <v>11</v>
      </c>
      <c r="V24" s="10">
        <v>5</v>
      </c>
      <c r="W24" s="1">
        <f t="shared" ref="W24:W31" si="7">V24*($B$21/100)</f>
        <v>2</v>
      </c>
      <c r="X24">
        <v>25</v>
      </c>
    </row>
    <row r="25" spans="1:32" x14ac:dyDescent="0.2">
      <c r="A25" t="s">
        <v>66</v>
      </c>
      <c r="B25" s="10">
        <v>4</v>
      </c>
      <c r="C25" s="1">
        <f t="shared" si="2"/>
        <v>1.6</v>
      </c>
      <c r="E25" s="17" t="s">
        <v>7</v>
      </c>
      <c r="F25" s="10">
        <v>8</v>
      </c>
      <c r="G25" s="1">
        <f t="shared" si="3"/>
        <v>3.2</v>
      </c>
      <c r="I25" s="17" t="s">
        <v>69</v>
      </c>
      <c r="J25" s="10">
        <v>8</v>
      </c>
      <c r="K25" s="1">
        <f t="shared" si="4"/>
        <v>3.2</v>
      </c>
      <c r="N25" s="10"/>
      <c r="O25" s="1">
        <f t="shared" si="5"/>
        <v>0</v>
      </c>
      <c r="R25" s="10"/>
      <c r="S25" s="1">
        <f t="shared" si="6"/>
        <v>0</v>
      </c>
      <c r="V25" s="10"/>
      <c r="W25" s="1">
        <f t="shared" si="7"/>
        <v>0</v>
      </c>
      <c r="X25">
        <v>20</v>
      </c>
    </row>
    <row r="26" spans="1:32" x14ac:dyDescent="0.2">
      <c r="A26" t="s">
        <v>68</v>
      </c>
      <c r="B26" s="10">
        <v>4</v>
      </c>
      <c r="C26" s="1">
        <f t="shared" si="2"/>
        <v>1.6</v>
      </c>
      <c r="E26" t="s">
        <v>26</v>
      </c>
      <c r="F26" s="10">
        <v>8</v>
      </c>
      <c r="G26" s="1">
        <f t="shared" si="3"/>
        <v>3.2</v>
      </c>
      <c r="I26" s="17" t="s">
        <v>71</v>
      </c>
      <c r="J26" s="10">
        <v>2</v>
      </c>
      <c r="K26" s="1">
        <f t="shared" si="4"/>
        <v>0.8</v>
      </c>
      <c r="N26" s="10"/>
      <c r="O26" s="1">
        <f t="shared" si="5"/>
        <v>0</v>
      </c>
      <c r="R26" s="10"/>
      <c r="S26" s="1">
        <f t="shared" si="6"/>
        <v>0</v>
      </c>
      <c r="V26" s="10"/>
      <c r="W26" s="1">
        <f t="shared" si="7"/>
        <v>0</v>
      </c>
      <c r="X26">
        <v>20</v>
      </c>
    </row>
    <row r="27" spans="1:32" x14ac:dyDescent="0.2">
      <c r="A27" t="s">
        <v>23</v>
      </c>
      <c r="B27" s="10">
        <v>5</v>
      </c>
      <c r="C27" s="1">
        <f t="shared" si="2"/>
        <v>2</v>
      </c>
      <c r="E27" t="s">
        <v>42</v>
      </c>
      <c r="F27" s="10">
        <v>1</v>
      </c>
      <c r="G27" s="1">
        <f t="shared" si="3"/>
        <v>0.4</v>
      </c>
      <c r="I27" s="17" t="s">
        <v>72</v>
      </c>
      <c r="J27" s="10">
        <v>1</v>
      </c>
      <c r="K27" s="1">
        <f t="shared" si="4"/>
        <v>0.4</v>
      </c>
      <c r="N27" s="10"/>
      <c r="O27" s="1">
        <f t="shared" si="5"/>
        <v>0</v>
      </c>
      <c r="R27" s="10"/>
      <c r="S27" s="1">
        <f t="shared" si="6"/>
        <v>0</v>
      </c>
      <c r="V27" s="10"/>
      <c r="W27" s="1">
        <f t="shared" si="7"/>
        <v>0</v>
      </c>
      <c r="X27">
        <v>5</v>
      </c>
    </row>
    <row r="28" spans="1:32" x14ac:dyDescent="0.2">
      <c r="A28" t="s">
        <v>36</v>
      </c>
      <c r="B28" s="10">
        <v>2</v>
      </c>
      <c r="C28" s="1">
        <f t="shared" si="2"/>
        <v>0.8</v>
      </c>
      <c r="F28" s="10"/>
      <c r="G28" s="1">
        <f t="shared" si="3"/>
        <v>0</v>
      </c>
      <c r="I28" s="17" t="s">
        <v>73</v>
      </c>
      <c r="J28" s="10">
        <v>1</v>
      </c>
      <c r="K28" s="1">
        <f t="shared" si="4"/>
        <v>0.4</v>
      </c>
      <c r="N28" s="10"/>
      <c r="O28" s="1">
        <f t="shared" si="5"/>
        <v>0</v>
      </c>
      <c r="R28" s="10"/>
      <c r="S28" s="1">
        <f t="shared" si="6"/>
        <v>0</v>
      </c>
      <c r="V28" s="10"/>
      <c r="W28" s="1">
        <f t="shared" si="7"/>
        <v>0</v>
      </c>
      <c r="X28">
        <v>5</v>
      </c>
    </row>
    <row r="29" spans="1:32" x14ac:dyDescent="0.2">
      <c r="A29" s="17" t="s">
        <v>37</v>
      </c>
      <c r="B29" s="10">
        <v>2</v>
      </c>
      <c r="C29" s="1">
        <f t="shared" si="2"/>
        <v>0.8</v>
      </c>
      <c r="F29" s="10"/>
      <c r="G29" s="1">
        <f t="shared" si="3"/>
        <v>0</v>
      </c>
      <c r="J29" s="10"/>
      <c r="K29" s="1">
        <f t="shared" si="4"/>
        <v>0</v>
      </c>
      <c r="N29" s="10"/>
      <c r="O29" s="1">
        <f t="shared" si="5"/>
        <v>0</v>
      </c>
      <c r="R29" s="10"/>
      <c r="S29" s="1">
        <f t="shared" si="6"/>
        <v>0</v>
      </c>
      <c r="V29" s="10"/>
      <c r="W29" s="1">
        <f t="shared" si="7"/>
        <v>0</v>
      </c>
    </row>
    <row r="30" spans="1:32" x14ac:dyDescent="0.2">
      <c r="A30" t="s">
        <v>38</v>
      </c>
      <c r="B30" s="10">
        <v>2</v>
      </c>
      <c r="C30" s="1">
        <f t="shared" si="2"/>
        <v>0.8</v>
      </c>
      <c r="F30" s="10"/>
      <c r="G30" s="1">
        <f t="shared" si="3"/>
        <v>0</v>
      </c>
      <c r="J30" s="10"/>
      <c r="K30" s="1">
        <f t="shared" si="4"/>
        <v>0</v>
      </c>
      <c r="N30" s="10"/>
      <c r="O30" s="1">
        <f t="shared" si="5"/>
        <v>0</v>
      </c>
      <c r="R30" s="10"/>
      <c r="S30" s="1">
        <f t="shared" si="6"/>
        <v>0</v>
      </c>
      <c r="V30" s="10"/>
      <c r="W30" s="1">
        <f t="shared" si="7"/>
        <v>0</v>
      </c>
    </row>
    <row r="31" spans="1:32" x14ac:dyDescent="0.2">
      <c r="A31" t="s">
        <v>25</v>
      </c>
      <c r="B31" s="10">
        <v>2</v>
      </c>
      <c r="C31" s="1">
        <f t="shared" si="2"/>
        <v>0.8</v>
      </c>
      <c r="F31" s="10"/>
      <c r="G31" s="1">
        <f t="shared" si="3"/>
        <v>0</v>
      </c>
      <c r="J31" s="10"/>
      <c r="K31" s="1">
        <f t="shared" si="4"/>
        <v>0</v>
      </c>
      <c r="N31" s="10"/>
      <c r="O31" s="1">
        <f t="shared" si="5"/>
        <v>0</v>
      </c>
      <c r="R31" s="10"/>
      <c r="S31" s="1">
        <f t="shared" si="6"/>
        <v>0</v>
      </c>
      <c r="V31" s="10"/>
      <c r="W31" s="1">
        <f t="shared" si="7"/>
        <v>0</v>
      </c>
    </row>
    <row r="32" spans="1:32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4" spans="1:24" x14ac:dyDescent="0.2">
      <c r="A34" s="1" t="s">
        <v>83</v>
      </c>
      <c r="B34" s="15">
        <f>VLOOKUP(A34,tom_demand_setup!$S:$T,2,FALSE)</f>
        <v>22</v>
      </c>
      <c r="C34" s="6" t="b">
        <f>(B36+F36+J36+N36+R36+V36)=100</f>
        <v>1</v>
      </c>
    </row>
    <row r="35" spans="1:24" x14ac:dyDescent="0.2">
      <c r="A35" s="8" t="s">
        <v>19</v>
      </c>
      <c r="B35" s="6" t="b">
        <f>B36=SUM(B37:B52)</f>
        <v>1</v>
      </c>
      <c r="E35" s="8" t="s">
        <v>19</v>
      </c>
      <c r="F35" s="6" t="b">
        <f>F36=SUM(F37:F52)</f>
        <v>1</v>
      </c>
      <c r="I35" s="8" t="s">
        <v>19</v>
      </c>
      <c r="J35" s="6" t="b">
        <f>J36=SUM(J37:J52)</f>
        <v>1</v>
      </c>
      <c r="M35" s="8" t="s">
        <v>19</v>
      </c>
      <c r="N35" s="6" t="b">
        <f>N36=SUM(N37:N52)</f>
        <v>1</v>
      </c>
      <c r="Q35" s="8" t="s">
        <v>19</v>
      </c>
      <c r="R35" s="6" t="b">
        <f>R36=SUM(R37:R52)</f>
        <v>1</v>
      </c>
      <c r="U35" s="8" t="s">
        <v>19</v>
      </c>
      <c r="V35" s="6" t="b">
        <f>V36=SUM(V37:V52)</f>
        <v>1</v>
      </c>
    </row>
    <row r="36" spans="1:24" s="1" customFormat="1" x14ac:dyDescent="0.2">
      <c r="A36" s="1" t="s">
        <v>5</v>
      </c>
      <c r="B36" s="1">
        <v>25</v>
      </c>
      <c r="C36" s="1">
        <f>B36*($B$34/100)</f>
        <v>5.5</v>
      </c>
      <c r="E36" s="1" t="s">
        <v>6</v>
      </c>
      <c r="F36" s="1">
        <v>25</v>
      </c>
      <c r="G36" s="1">
        <f>F36*($B$34/100)</f>
        <v>5.5</v>
      </c>
      <c r="I36" s="1" t="s">
        <v>12</v>
      </c>
      <c r="J36" s="1">
        <v>20</v>
      </c>
      <c r="K36" s="1">
        <f>J36*($B$34/100)</f>
        <v>4.4000000000000004</v>
      </c>
      <c r="M36" s="1" t="s">
        <v>8</v>
      </c>
      <c r="N36" s="1">
        <v>20</v>
      </c>
      <c r="O36" s="1">
        <f>N36*($B$34/100)</f>
        <v>4.4000000000000004</v>
      </c>
      <c r="Q36" s="1" t="s">
        <v>74</v>
      </c>
      <c r="R36" s="1">
        <v>5</v>
      </c>
      <c r="S36" s="1">
        <f>R36*($B$34/100)</f>
        <v>1.1000000000000001</v>
      </c>
      <c r="U36" s="1" t="s">
        <v>11</v>
      </c>
      <c r="V36" s="1">
        <v>5</v>
      </c>
      <c r="W36" s="1">
        <f>V36*($B$34/100)</f>
        <v>1.1000000000000001</v>
      </c>
      <c r="X36" s="1">
        <v>25</v>
      </c>
    </row>
    <row r="37" spans="1:24" x14ac:dyDescent="0.2">
      <c r="A37" s="17" t="s">
        <v>21</v>
      </c>
      <c r="B37">
        <v>5</v>
      </c>
      <c r="C37" s="1">
        <f t="shared" ref="C37:C51" si="8">B37*($B$34/100)</f>
        <v>1.1000000000000001</v>
      </c>
      <c r="E37" s="17" t="s">
        <v>7</v>
      </c>
      <c r="F37">
        <v>10</v>
      </c>
      <c r="G37" s="1">
        <f t="shared" ref="G37:G51" si="9">F37*($B$34/100)</f>
        <v>2.2000000000000002</v>
      </c>
      <c r="I37" s="17" t="s">
        <v>44</v>
      </c>
      <c r="J37">
        <v>2</v>
      </c>
      <c r="K37" s="1">
        <f t="shared" ref="K37:K51" si="10">J37*($B$34/100)</f>
        <v>0.44</v>
      </c>
      <c r="M37" s="17" t="s">
        <v>9</v>
      </c>
      <c r="N37">
        <v>10</v>
      </c>
      <c r="O37" s="1">
        <f t="shared" ref="O37:O51" si="11">N37*($B$34/100)</f>
        <v>2.2000000000000002</v>
      </c>
      <c r="Q37" s="17" t="s">
        <v>13</v>
      </c>
      <c r="R37">
        <v>5</v>
      </c>
      <c r="S37" s="1">
        <f t="shared" ref="S37:S51" si="12">R37*($B$34/100)</f>
        <v>1.1000000000000001</v>
      </c>
      <c r="U37" s="17" t="s">
        <v>11</v>
      </c>
      <c r="V37">
        <v>5</v>
      </c>
      <c r="W37" s="1">
        <f t="shared" ref="W37:W51" si="13">V37*($B$34/100)</f>
        <v>1.1000000000000001</v>
      </c>
      <c r="X37">
        <v>25</v>
      </c>
    </row>
    <row r="38" spans="1:24" x14ac:dyDescent="0.2">
      <c r="A38" t="s">
        <v>36</v>
      </c>
      <c r="B38">
        <v>5</v>
      </c>
      <c r="C38" s="1">
        <f t="shared" si="8"/>
        <v>1.1000000000000001</v>
      </c>
      <c r="E38" s="17" t="s">
        <v>26</v>
      </c>
      <c r="F38">
        <v>10</v>
      </c>
      <c r="G38" s="1">
        <f t="shared" si="9"/>
        <v>2.2000000000000002</v>
      </c>
      <c r="I38" t="s">
        <v>22</v>
      </c>
      <c r="J38">
        <v>2</v>
      </c>
      <c r="K38" s="1">
        <f t="shared" si="10"/>
        <v>0.44</v>
      </c>
      <c r="M38" s="17" t="s">
        <v>34</v>
      </c>
      <c r="N38">
        <v>10</v>
      </c>
      <c r="O38" s="1">
        <f t="shared" si="11"/>
        <v>2.2000000000000002</v>
      </c>
      <c r="S38" s="1">
        <f t="shared" si="12"/>
        <v>0</v>
      </c>
      <c r="W38" s="1">
        <f t="shared" si="13"/>
        <v>0</v>
      </c>
    </row>
    <row r="39" spans="1:24" x14ac:dyDescent="0.2">
      <c r="A39" s="17" t="s">
        <v>37</v>
      </c>
      <c r="B39">
        <v>5</v>
      </c>
      <c r="C39" s="1">
        <f t="shared" si="8"/>
        <v>1.1000000000000001</v>
      </c>
      <c r="E39" t="s">
        <v>42</v>
      </c>
      <c r="F39">
        <v>5</v>
      </c>
      <c r="G39" s="1">
        <f t="shared" si="9"/>
        <v>1.1000000000000001</v>
      </c>
      <c r="I39" t="s">
        <v>45</v>
      </c>
      <c r="J39">
        <v>1</v>
      </c>
      <c r="K39" s="1">
        <f t="shared" si="10"/>
        <v>0.22</v>
      </c>
      <c r="O39" s="1">
        <f t="shared" si="11"/>
        <v>0</v>
      </c>
      <c r="S39" s="1">
        <f t="shared" si="12"/>
        <v>0</v>
      </c>
      <c r="W39" s="1">
        <f t="shared" si="13"/>
        <v>0</v>
      </c>
    </row>
    <row r="40" spans="1:24" x14ac:dyDescent="0.2">
      <c r="A40" t="s">
        <v>38</v>
      </c>
      <c r="B40">
        <v>5</v>
      </c>
      <c r="C40" s="1">
        <f t="shared" si="8"/>
        <v>1.1000000000000001</v>
      </c>
      <c r="G40" s="1">
        <f t="shared" si="9"/>
        <v>0</v>
      </c>
      <c r="I40" s="17" t="s">
        <v>46</v>
      </c>
      <c r="J40">
        <v>2</v>
      </c>
      <c r="K40" s="1">
        <f t="shared" si="10"/>
        <v>0.44</v>
      </c>
      <c r="O40" s="1">
        <f t="shared" si="11"/>
        <v>0</v>
      </c>
      <c r="S40" s="1">
        <f t="shared" si="12"/>
        <v>0</v>
      </c>
      <c r="W40" s="1">
        <f t="shared" si="13"/>
        <v>0</v>
      </c>
    </row>
    <row r="41" spans="1:24" x14ac:dyDescent="0.2">
      <c r="A41" t="s">
        <v>25</v>
      </c>
      <c r="B41">
        <v>5</v>
      </c>
      <c r="C41" s="1">
        <f t="shared" si="8"/>
        <v>1.1000000000000001</v>
      </c>
      <c r="G41" s="1">
        <f t="shared" si="9"/>
        <v>0</v>
      </c>
      <c r="I41" s="17" t="s">
        <v>35</v>
      </c>
      <c r="J41">
        <v>2</v>
      </c>
      <c r="K41" s="1">
        <f t="shared" si="10"/>
        <v>0.44</v>
      </c>
      <c r="O41" s="1">
        <f t="shared" si="11"/>
        <v>0</v>
      </c>
      <c r="S41" s="1">
        <f t="shared" si="12"/>
        <v>0</v>
      </c>
      <c r="W41" s="1">
        <f t="shared" si="13"/>
        <v>0</v>
      </c>
    </row>
    <row r="42" spans="1:24" x14ac:dyDescent="0.2">
      <c r="C42" s="1">
        <f t="shared" si="8"/>
        <v>0</v>
      </c>
      <c r="G42" s="1">
        <f t="shared" si="9"/>
        <v>0</v>
      </c>
      <c r="I42" s="17" t="s">
        <v>47</v>
      </c>
      <c r="J42">
        <v>2</v>
      </c>
      <c r="K42" s="1">
        <f t="shared" si="10"/>
        <v>0.44</v>
      </c>
      <c r="O42" s="1">
        <f t="shared" si="11"/>
        <v>0</v>
      </c>
      <c r="S42" s="1">
        <f t="shared" si="12"/>
        <v>0</v>
      </c>
      <c r="W42" s="1">
        <f t="shared" si="13"/>
        <v>0</v>
      </c>
    </row>
    <row r="43" spans="1:24" x14ac:dyDescent="0.2">
      <c r="C43" s="1">
        <f t="shared" si="8"/>
        <v>0</v>
      </c>
      <c r="G43" s="1">
        <f t="shared" si="9"/>
        <v>0</v>
      </c>
      <c r="I43" t="s">
        <v>48</v>
      </c>
      <c r="J43">
        <v>1</v>
      </c>
      <c r="K43" s="1">
        <f t="shared" si="10"/>
        <v>0.22</v>
      </c>
      <c r="O43" s="1">
        <f t="shared" si="11"/>
        <v>0</v>
      </c>
      <c r="S43" s="1">
        <f t="shared" si="12"/>
        <v>0</v>
      </c>
      <c r="W43" s="1">
        <f t="shared" si="13"/>
        <v>0</v>
      </c>
    </row>
    <row r="44" spans="1:24" x14ac:dyDescent="0.2">
      <c r="C44" s="1">
        <f t="shared" si="8"/>
        <v>0</v>
      </c>
      <c r="G44" s="1">
        <f t="shared" si="9"/>
        <v>0</v>
      </c>
      <c r="I44" t="s">
        <v>49</v>
      </c>
      <c r="J44">
        <v>1</v>
      </c>
      <c r="K44" s="1">
        <f t="shared" si="10"/>
        <v>0.22</v>
      </c>
      <c r="O44" s="1">
        <f t="shared" si="11"/>
        <v>0</v>
      </c>
      <c r="S44" s="1">
        <f t="shared" si="12"/>
        <v>0</v>
      </c>
      <c r="W44" s="1">
        <f t="shared" si="13"/>
        <v>0</v>
      </c>
    </row>
    <row r="45" spans="1:24" x14ac:dyDescent="0.2">
      <c r="C45" s="1">
        <f t="shared" si="8"/>
        <v>0</v>
      </c>
      <c r="G45" s="1">
        <f t="shared" si="9"/>
        <v>0</v>
      </c>
      <c r="I45" t="s">
        <v>50</v>
      </c>
      <c r="J45">
        <v>1</v>
      </c>
      <c r="K45" s="1">
        <f t="shared" si="10"/>
        <v>0.22</v>
      </c>
      <c r="O45" s="1">
        <f t="shared" si="11"/>
        <v>0</v>
      </c>
      <c r="S45" s="1">
        <f t="shared" si="12"/>
        <v>0</v>
      </c>
      <c r="W45" s="1">
        <f t="shared" si="13"/>
        <v>0</v>
      </c>
    </row>
    <row r="46" spans="1:24" x14ac:dyDescent="0.2">
      <c r="C46" s="1">
        <f t="shared" si="8"/>
        <v>0</v>
      </c>
      <c r="G46" s="1">
        <f t="shared" si="9"/>
        <v>0</v>
      </c>
      <c r="I46" t="s">
        <v>51</v>
      </c>
      <c r="J46">
        <v>1</v>
      </c>
      <c r="K46" s="1">
        <f t="shared" si="10"/>
        <v>0.22</v>
      </c>
      <c r="O46" s="1">
        <f t="shared" si="11"/>
        <v>0</v>
      </c>
      <c r="S46" s="1">
        <f t="shared" si="12"/>
        <v>0</v>
      </c>
      <c r="W46" s="1">
        <f t="shared" si="13"/>
        <v>0</v>
      </c>
    </row>
    <row r="47" spans="1:24" x14ac:dyDescent="0.2">
      <c r="C47" s="1">
        <f t="shared" si="8"/>
        <v>0</v>
      </c>
      <c r="G47" s="1">
        <f t="shared" si="9"/>
        <v>0</v>
      </c>
      <c r="I47" t="s">
        <v>52</v>
      </c>
      <c r="J47">
        <v>1</v>
      </c>
      <c r="K47" s="1">
        <f t="shared" si="10"/>
        <v>0.22</v>
      </c>
      <c r="O47" s="1">
        <f t="shared" si="11"/>
        <v>0</v>
      </c>
      <c r="S47" s="1">
        <f t="shared" si="12"/>
        <v>0</v>
      </c>
      <c r="W47" s="1">
        <f t="shared" si="13"/>
        <v>0</v>
      </c>
    </row>
    <row r="48" spans="1:24" x14ac:dyDescent="0.2">
      <c r="C48" s="1">
        <f t="shared" si="8"/>
        <v>0</v>
      </c>
      <c r="G48" s="1">
        <f t="shared" si="9"/>
        <v>0</v>
      </c>
      <c r="I48" s="17" t="s">
        <v>53</v>
      </c>
      <c r="J48">
        <v>1</v>
      </c>
      <c r="K48" s="1">
        <f t="shared" si="10"/>
        <v>0.22</v>
      </c>
      <c r="O48" s="1">
        <f t="shared" si="11"/>
        <v>0</v>
      </c>
      <c r="S48" s="1">
        <f t="shared" si="12"/>
        <v>0</v>
      </c>
      <c r="W48" s="1">
        <f t="shared" si="13"/>
        <v>0</v>
      </c>
    </row>
    <row r="49" spans="1:23" x14ac:dyDescent="0.2">
      <c r="C49" s="1">
        <f t="shared" si="8"/>
        <v>0</v>
      </c>
      <c r="G49" s="1">
        <f t="shared" si="9"/>
        <v>0</v>
      </c>
      <c r="I49" t="s">
        <v>54</v>
      </c>
      <c r="J49">
        <v>1</v>
      </c>
      <c r="K49" s="1">
        <f t="shared" si="10"/>
        <v>0.22</v>
      </c>
      <c r="O49" s="1">
        <f t="shared" si="11"/>
        <v>0</v>
      </c>
      <c r="S49" s="1">
        <f t="shared" si="12"/>
        <v>0</v>
      </c>
      <c r="W49" s="1">
        <f t="shared" si="13"/>
        <v>0</v>
      </c>
    </row>
    <row r="50" spans="1:23" x14ac:dyDescent="0.2">
      <c r="C50" s="1">
        <f t="shared" si="8"/>
        <v>0</v>
      </c>
      <c r="G50" s="1">
        <f t="shared" si="9"/>
        <v>0</v>
      </c>
      <c r="I50" t="s">
        <v>55</v>
      </c>
      <c r="J50">
        <v>1</v>
      </c>
      <c r="K50" s="1">
        <f t="shared" si="10"/>
        <v>0.22</v>
      </c>
      <c r="O50" s="1">
        <f t="shared" si="11"/>
        <v>0</v>
      </c>
      <c r="S50" s="1">
        <f t="shared" si="12"/>
        <v>0</v>
      </c>
      <c r="W50" s="1">
        <f t="shared" si="13"/>
        <v>0</v>
      </c>
    </row>
    <row r="51" spans="1:23" x14ac:dyDescent="0.2">
      <c r="C51" s="1">
        <f t="shared" si="8"/>
        <v>0</v>
      </c>
      <c r="G51" s="1">
        <f t="shared" si="9"/>
        <v>0</v>
      </c>
      <c r="I51" s="17" t="s">
        <v>98</v>
      </c>
      <c r="J51">
        <v>1</v>
      </c>
      <c r="K51" s="1">
        <f t="shared" si="10"/>
        <v>0.22</v>
      </c>
      <c r="O51" s="1">
        <f t="shared" si="11"/>
        <v>0</v>
      </c>
      <c r="S51" s="1">
        <f t="shared" si="12"/>
        <v>0</v>
      </c>
      <c r="W51" s="1">
        <f t="shared" si="13"/>
        <v>0</v>
      </c>
    </row>
    <row r="52" spans="1:23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4" spans="1:23" x14ac:dyDescent="0.2">
      <c r="A54" s="1" t="s">
        <v>87</v>
      </c>
      <c r="B54" s="15">
        <f>VLOOKUP(A54,tom_demand_setup!$S:$T,2,FALSE)</f>
        <v>16</v>
      </c>
      <c r="C54" s="6" t="b">
        <f>(B56+F56+J56+N56+R56+V56)=100</f>
        <v>0</v>
      </c>
    </row>
    <row r="55" spans="1:23" x14ac:dyDescent="0.2">
      <c r="A55" s="8" t="s">
        <v>19</v>
      </c>
      <c r="B55" s="6" t="b">
        <f>B56=SUM(B57:B61)</f>
        <v>1</v>
      </c>
      <c r="E55" s="8" t="s">
        <v>19</v>
      </c>
      <c r="F55" s="6" t="b">
        <f>F56=SUM(F57:F61)</f>
        <v>0</v>
      </c>
      <c r="I55" s="8" t="s">
        <v>19</v>
      </c>
      <c r="J55" s="6" t="b">
        <f>J56=SUM(J57:J61)</f>
        <v>0</v>
      </c>
      <c r="M55" s="8" t="s">
        <v>19</v>
      </c>
      <c r="N55" s="6" t="b">
        <f>N56=SUM(N57:N61)</f>
        <v>1</v>
      </c>
      <c r="Q55" s="8" t="s">
        <v>19</v>
      </c>
      <c r="R55" s="6" t="b">
        <f>R56=SUM(R57:R61)</f>
        <v>1</v>
      </c>
      <c r="U55" s="8" t="s">
        <v>19</v>
      </c>
      <c r="V55" s="6" t="b">
        <f>V56=SUM(V57:V61)</f>
        <v>1</v>
      </c>
    </row>
    <row r="56" spans="1:23" s="1" customFormat="1" x14ac:dyDescent="0.2">
      <c r="A56" s="1" t="s">
        <v>5</v>
      </c>
      <c r="B56" s="1">
        <v>50</v>
      </c>
      <c r="C56" s="1">
        <f>B56*($B$72/100)</f>
        <v>4</v>
      </c>
      <c r="E56" s="1" t="s">
        <v>6</v>
      </c>
      <c r="F56" s="1">
        <v>20</v>
      </c>
      <c r="G56" s="1">
        <f>F56*($B$72/100)</f>
        <v>1.6</v>
      </c>
      <c r="I56" s="1" t="s">
        <v>12</v>
      </c>
      <c r="J56" s="1">
        <v>20</v>
      </c>
      <c r="K56" s="1">
        <f>J56*($B$72/100)</f>
        <v>1.6</v>
      </c>
      <c r="M56" s="1" t="s">
        <v>8</v>
      </c>
      <c r="N56" s="1">
        <v>20</v>
      </c>
      <c r="O56" s="1">
        <f>N56*($B$72/100)</f>
        <v>1.6</v>
      </c>
      <c r="Q56" s="1" t="s">
        <v>74</v>
      </c>
      <c r="R56" s="1">
        <v>5</v>
      </c>
      <c r="S56" s="1">
        <f>R56*($B$72/100)</f>
        <v>0.4</v>
      </c>
      <c r="U56" s="1" t="s">
        <v>11</v>
      </c>
      <c r="V56" s="1">
        <v>5</v>
      </c>
      <c r="W56" s="1">
        <f>V56*($B$72/100)</f>
        <v>0.4</v>
      </c>
    </row>
    <row r="57" spans="1:23" x14ac:dyDescent="0.2">
      <c r="A57" s="17" t="s">
        <v>21</v>
      </c>
      <c r="B57">
        <v>50</v>
      </c>
      <c r="C57" s="1">
        <f t="shared" ref="C57" si="14">B57*($B$72/100)</f>
        <v>4</v>
      </c>
      <c r="G57" s="1">
        <f t="shared" ref="G57" si="15">F57*($B$72/100)</f>
        <v>0</v>
      </c>
      <c r="J57">
        <v>0</v>
      </c>
      <c r="K57" s="1">
        <f t="shared" ref="K57" si="16">J57*($B$72/100)</f>
        <v>0</v>
      </c>
      <c r="M57" t="s">
        <v>9</v>
      </c>
      <c r="N57">
        <v>20</v>
      </c>
      <c r="O57" s="1">
        <f t="shared" ref="O57" si="17">N57*($B$72/100)</f>
        <v>1.6</v>
      </c>
      <c r="Q57" t="s">
        <v>13</v>
      </c>
      <c r="R57">
        <v>5</v>
      </c>
      <c r="S57" s="1">
        <f t="shared" ref="S57" si="18">R57*($B$72/100)</f>
        <v>0.4</v>
      </c>
      <c r="U57" t="s">
        <v>11</v>
      </c>
      <c r="V57">
        <v>5</v>
      </c>
      <c r="W57" s="1">
        <f t="shared" ref="W57" si="19">V57*($B$72/100)</f>
        <v>0.4</v>
      </c>
    </row>
    <row r="58" spans="1:23" x14ac:dyDescent="0.2">
      <c r="C58" s="1">
        <f t="shared" ref="C58:C60" si="20">B58*($B$54/100)</f>
        <v>0</v>
      </c>
      <c r="G58" s="1">
        <f t="shared" ref="G58:G60" si="21">F58*($B$54/100)</f>
        <v>0</v>
      </c>
      <c r="K58" s="1">
        <f t="shared" ref="K58:K60" si="22">J58*($B$54/100)</f>
        <v>0</v>
      </c>
      <c r="O58" s="1">
        <f t="shared" ref="O58:O60" si="23">N58*($B$54/100)</f>
        <v>0</v>
      </c>
      <c r="S58" s="1">
        <f t="shared" ref="S58:S60" si="24">R58*($B$54/100)</f>
        <v>0</v>
      </c>
      <c r="W58" s="1">
        <f t="shared" ref="W58:W60" si="25">V58*($B$54/100)</f>
        <v>0</v>
      </c>
    </row>
    <row r="59" spans="1:23" x14ac:dyDescent="0.2">
      <c r="C59" s="1">
        <f t="shared" si="20"/>
        <v>0</v>
      </c>
      <c r="G59" s="1">
        <f t="shared" si="21"/>
        <v>0</v>
      </c>
      <c r="K59" s="1">
        <f t="shared" si="22"/>
        <v>0</v>
      </c>
      <c r="O59" s="1">
        <f t="shared" si="23"/>
        <v>0</v>
      </c>
      <c r="S59" s="1">
        <f t="shared" si="24"/>
        <v>0</v>
      </c>
      <c r="W59" s="1">
        <f t="shared" si="25"/>
        <v>0</v>
      </c>
    </row>
    <row r="60" spans="1:23" x14ac:dyDescent="0.2">
      <c r="C60" s="1">
        <f t="shared" si="20"/>
        <v>0</v>
      </c>
      <c r="G60" s="1">
        <f t="shared" si="21"/>
        <v>0</v>
      </c>
      <c r="K60" s="1">
        <f t="shared" si="22"/>
        <v>0</v>
      </c>
      <c r="O60" s="1">
        <f t="shared" si="23"/>
        <v>0</v>
      </c>
      <c r="S60" s="1">
        <f t="shared" si="24"/>
        <v>0</v>
      </c>
      <c r="W60" s="1">
        <f t="shared" si="25"/>
        <v>0</v>
      </c>
    </row>
    <row r="61" spans="1:23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3" spans="1:23" x14ac:dyDescent="0.2">
      <c r="A63" s="1" t="s">
        <v>84</v>
      </c>
      <c r="B63" s="15">
        <f>VLOOKUP(A63,tom_demand_setup!$S:$T,2,FALSE)</f>
        <v>4</v>
      </c>
      <c r="C63" s="6" t="b">
        <f>(B65+F65+J65+N65+R65+V65)=100</f>
        <v>1</v>
      </c>
    </row>
    <row r="64" spans="1:23" x14ac:dyDescent="0.2">
      <c r="A64" s="8" t="s">
        <v>19</v>
      </c>
      <c r="B64" s="6" t="b">
        <f>B65=SUM(B66:B70)</f>
        <v>1</v>
      </c>
      <c r="E64" s="8" t="s">
        <v>19</v>
      </c>
      <c r="F64" s="6" t="b">
        <f>F65=SUM(F66:F70)</f>
        <v>1</v>
      </c>
      <c r="I64" s="8" t="s">
        <v>19</v>
      </c>
      <c r="J64" s="6" t="b">
        <f>J65=SUM(J66:J70)</f>
        <v>1</v>
      </c>
      <c r="M64" s="8" t="s">
        <v>19</v>
      </c>
      <c r="N64" s="6" t="b">
        <f>N65=SUM(N66:N70)</f>
        <v>1</v>
      </c>
      <c r="Q64" s="8" t="s">
        <v>19</v>
      </c>
      <c r="R64" s="6" t="b">
        <f>R65=SUM(R66:R70)</f>
        <v>1</v>
      </c>
      <c r="U64" s="8" t="s">
        <v>19</v>
      </c>
      <c r="V64" s="6" t="b">
        <f>V65=SUM(V66:V70)</f>
        <v>1</v>
      </c>
    </row>
    <row r="65" spans="1:23" s="1" customFormat="1" x14ac:dyDescent="0.2">
      <c r="A65" s="1" t="s">
        <v>5</v>
      </c>
      <c r="B65" s="1">
        <v>45</v>
      </c>
      <c r="C65" s="1">
        <f>B65*($B$63/100)</f>
        <v>1.8</v>
      </c>
      <c r="E65" s="1" t="s">
        <v>6</v>
      </c>
      <c r="F65" s="1">
        <v>25</v>
      </c>
      <c r="G65" s="1">
        <f>F65*($B$63/100)</f>
        <v>1</v>
      </c>
      <c r="I65" s="1" t="s">
        <v>12</v>
      </c>
      <c r="J65" s="1">
        <v>0</v>
      </c>
      <c r="K65" s="1">
        <f>J65*($B$63/100)</f>
        <v>0</v>
      </c>
      <c r="M65" s="1" t="s">
        <v>8</v>
      </c>
      <c r="N65" s="1">
        <v>20</v>
      </c>
      <c r="O65" s="1">
        <f>N65*($B$63/100)</f>
        <v>0.8</v>
      </c>
      <c r="Q65" s="1" t="s">
        <v>74</v>
      </c>
      <c r="R65" s="1">
        <v>5</v>
      </c>
      <c r="S65" s="1">
        <f>R65*($B$63/100)</f>
        <v>0.2</v>
      </c>
      <c r="U65" s="1" t="s">
        <v>11</v>
      </c>
      <c r="V65" s="1">
        <v>5</v>
      </c>
      <c r="W65" s="1">
        <f>V65*($B$63/100)</f>
        <v>0.2</v>
      </c>
    </row>
    <row r="66" spans="1:23" x14ac:dyDescent="0.2">
      <c r="A66" s="17" t="s">
        <v>23</v>
      </c>
      <c r="B66">
        <v>45</v>
      </c>
      <c r="C66" s="1">
        <f t="shared" ref="C66:C69" si="26">B66*($B$63/100)</f>
        <v>1.8</v>
      </c>
      <c r="E66" t="s">
        <v>7</v>
      </c>
      <c r="F66">
        <v>13</v>
      </c>
      <c r="G66" s="1">
        <f t="shared" ref="G66:G69" si="27">F66*($B$63/100)</f>
        <v>0.52</v>
      </c>
      <c r="K66" s="1">
        <f t="shared" ref="K66:K69" si="28">J66*($B$63/100)</f>
        <v>0</v>
      </c>
      <c r="M66" t="s">
        <v>9</v>
      </c>
      <c r="N66">
        <v>20</v>
      </c>
      <c r="O66" s="1">
        <f t="shared" ref="O66:O69" si="29">N66*($B$63/100)</f>
        <v>0.8</v>
      </c>
      <c r="Q66" t="s">
        <v>13</v>
      </c>
      <c r="R66">
        <v>5</v>
      </c>
      <c r="S66" s="1">
        <f t="shared" ref="S66:S69" si="30">R66*($B$63/100)</f>
        <v>0.2</v>
      </c>
      <c r="U66" t="s">
        <v>11</v>
      </c>
      <c r="V66">
        <v>5</v>
      </c>
      <c r="W66" s="1">
        <f t="shared" ref="W66:W69" si="31">V66*($B$63/100)</f>
        <v>0.2</v>
      </c>
    </row>
    <row r="67" spans="1:23" x14ac:dyDescent="0.2">
      <c r="C67" s="1">
        <f t="shared" si="26"/>
        <v>0</v>
      </c>
      <c r="E67" t="s">
        <v>26</v>
      </c>
      <c r="F67">
        <v>12</v>
      </c>
      <c r="G67" s="1">
        <f t="shared" si="27"/>
        <v>0.48</v>
      </c>
      <c r="K67" s="1">
        <f t="shared" si="28"/>
        <v>0</v>
      </c>
      <c r="O67" s="1">
        <f t="shared" si="29"/>
        <v>0</v>
      </c>
      <c r="S67" s="1">
        <f t="shared" si="30"/>
        <v>0</v>
      </c>
      <c r="W67" s="1">
        <f t="shared" si="31"/>
        <v>0</v>
      </c>
    </row>
    <row r="68" spans="1:23" x14ac:dyDescent="0.2">
      <c r="C68" s="1">
        <f t="shared" si="26"/>
        <v>0</v>
      </c>
      <c r="G68" s="1">
        <f t="shared" si="27"/>
        <v>0</v>
      </c>
      <c r="K68" s="1">
        <f t="shared" si="28"/>
        <v>0</v>
      </c>
      <c r="O68" s="1">
        <f t="shared" si="29"/>
        <v>0</v>
      </c>
      <c r="S68" s="1">
        <f t="shared" si="30"/>
        <v>0</v>
      </c>
      <c r="W68" s="1">
        <f t="shared" si="31"/>
        <v>0</v>
      </c>
    </row>
    <row r="69" spans="1:23" x14ac:dyDescent="0.2">
      <c r="C69" s="1">
        <f t="shared" si="26"/>
        <v>0</v>
      </c>
      <c r="G69" s="1">
        <f t="shared" si="27"/>
        <v>0</v>
      </c>
      <c r="K69" s="1">
        <f t="shared" si="28"/>
        <v>0</v>
      </c>
      <c r="O69" s="1">
        <f t="shared" si="29"/>
        <v>0</v>
      </c>
      <c r="S69" s="1">
        <f t="shared" si="30"/>
        <v>0</v>
      </c>
      <c r="W69" s="1">
        <f t="shared" si="31"/>
        <v>0</v>
      </c>
    </row>
    <row r="70" spans="1:23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2" spans="1:23" x14ac:dyDescent="0.2">
      <c r="A72" s="1" t="s">
        <v>85</v>
      </c>
      <c r="B72" s="15">
        <f>VLOOKUP(A72,tom_demand_setup!$S:$T,2,FALSE)</f>
        <v>8</v>
      </c>
      <c r="C72" s="6" t="b">
        <f>(B74+F74+J74+N74+R74+V74)=100</f>
        <v>1</v>
      </c>
    </row>
    <row r="73" spans="1:23" x14ac:dyDescent="0.2">
      <c r="A73" s="8" t="s">
        <v>19</v>
      </c>
      <c r="B73" s="6" t="b">
        <f>B74=SUM(B75:B79)</f>
        <v>1</v>
      </c>
      <c r="E73" s="8" t="s">
        <v>19</v>
      </c>
      <c r="F73" s="6" t="b">
        <f>F74=SUM(F75:F79)</f>
        <v>1</v>
      </c>
      <c r="I73" s="8" t="s">
        <v>19</v>
      </c>
      <c r="J73" s="6" t="b">
        <f>J74=SUM(J75:J79)</f>
        <v>1</v>
      </c>
      <c r="M73" s="8" t="s">
        <v>19</v>
      </c>
      <c r="N73" s="6" t="b">
        <f>N74=SUM(N75:N79)</f>
        <v>1</v>
      </c>
      <c r="Q73" s="8" t="s">
        <v>19</v>
      </c>
      <c r="R73" s="6" t="b">
        <f>R74=SUM(R75:R79)</f>
        <v>1</v>
      </c>
      <c r="U73" s="8" t="s">
        <v>19</v>
      </c>
      <c r="V73" s="6" t="b">
        <f>V74=SUM(V75:V79)</f>
        <v>1</v>
      </c>
    </row>
    <row r="74" spans="1:23" s="1" customFormat="1" x14ac:dyDescent="0.2">
      <c r="A74" s="1" t="s">
        <v>5</v>
      </c>
      <c r="B74" s="1">
        <v>80</v>
      </c>
      <c r="C74" s="1">
        <f>B74*($B$72/100)</f>
        <v>6.4</v>
      </c>
      <c r="E74" s="1" t="s">
        <v>6</v>
      </c>
      <c r="F74" s="1">
        <v>0</v>
      </c>
      <c r="G74" s="1">
        <f>F74*($B$72/100)</f>
        <v>0</v>
      </c>
      <c r="I74" s="1" t="s">
        <v>12</v>
      </c>
      <c r="J74" s="1">
        <v>0</v>
      </c>
      <c r="K74" s="1">
        <f>J74*($B$72/100)</f>
        <v>0</v>
      </c>
      <c r="M74" s="1" t="s">
        <v>8</v>
      </c>
      <c r="N74" s="1">
        <v>10</v>
      </c>
      <c r="O74" s="1">
        <f>N74*($B$72/100)</f>
        <v>0.8</v>
      </c>
      <c r="Q74" s="1" t="s">
        <v>74</v>
      </c>
      <c r="R74" s="1">
        <v>5</v>
      </c>
      <c r="S74" s="1">
        <f>R74*($B$72/100)</f>
        <v>0.4</v>
      </c>
      <c r="U74" s="1" t="s">
        <v>11</v>
      </c>
      <c r="V74" s="1">
        <v>5</v>
      </c>
      <c r="W74" s="1">
        <f>V74*($B$72/100)</f>
        <v>0.4</v>
      </c>
    </row>
    <row r="75" spans="1:23" x14ac:dyDescent="0.2">
      <c r="A75" s="17" t="s">
        <v>24</v>
      </c>
      <c r="B75">
        <v>80</v>
      </c>
      <c r="C75" s="1">
        <f t="shared" ref="C75:C78" si="32">B75*($B$72/100)</f>
        <v>6.4</v>
      </c>
      <c r="G75" s="1">
        <f t="shared" ref="G75:G78" si="33">F75*($B$72/100)</f>
        <v>0</v>
      </c>
      <c r="J75">
        <v>0</v>
      </c>
      <c r="K75" s="1">
        <f t="shared" ref="K75:K78" si="34">J75*($B$72/100)</f>
        <v>0</v>
      </c>
      <c r="M75" t="s">
        <v>9</v>
      </c>
      <c r="N75">
        <v>10</v>
      </c>
      <c r="O75" s="1">
        <f t="shared" ref="O75:O78" si="35">N75*($B$72/100)</f>
        <v>0.8</v>
      </c>
      <c r="Q75" t="s">
        <v>13</v>
      </c>
      <c r="R75">
        <v>5</v>
      </c>
      <c r="S75" s="1">
        <f t="shared" ref="S75:S78" si="36">R75*($B$72/100)</f>
        <v>0.4</v>
      </c>
      <c r="U75" t="s">
        <v>11</v>
      </c>
      <c r="V75">
        <v>5</v>
      </c>
      <c r="W75" s="1">
        <f t="shared" ref="W75:W78" si="37">V75*($B$72/100)</f>
        <v>0.4</v>
      </c>
    </row>
    <row r="76" spans="1:23" x14ac:dyDescent="0.2">
      <c r="C76" s="1">
        <f t="shared" si="32"/>
        <v>0</v>
      </c>
      <c r="G76" s="1">
        <f t="shared" si="33"/>
        <v>0</v>
      </c>
      <c r="K76" s="1">
        <f t="shared" si="34"/>
        <v>0</v>
      </c>
      <c r="O76" s="1">
        <f t="shared" si="35"/>
        <v>0</v>
      </c>
      <c r="S76" s="1">
        <f t="shared" si="36"/>
        <v>0</v>
      </c>
      <c r="W76" s="1">
        <f t="shared" si="37"/>
        <v>0</v>
      </c>
    </row>
    <row r="77" spans="1:23" x14ac:dyDescent="0.2">
      <c r="C77" s="1">
        <f t="shared" si="32"/>
        <v>0</v>
      </c>
      <c r="G77" s="1">
        <f t="shared" si="33"/>
        <v>0</v>
      </c>
      <c r="K77" s="1">
        <f t="shared" si="34"/>
        <v>0</v>
      </c>
      <c r="O77" s="1">
        <f t="shared" si="35"/>
        <v>0</v>
      </c>
      <c r="S77" s="1">
        <f t="shared" si="36"/>
        <v>0</v>
      </c>
      <c r="W77" s="1">
        <f t="shared" si="37"/>
        <v>0</v>
      </c>
    </row>
    <row r="78" spans="1:23" x14ac:dyDescent="0.2">
      <c r="C78" s="1">
        <f t="shared" si="32"/>
        <v>0</v>
      </c>
      <c r="G78" s="1">
        <f t="shared" si="33"/>
        <v>0</v>
      </c>
      <c r="K78" s="1">
        <f t="shared" si="34"/>
        <v>0</v>
      </c>
      <c r="O78" s="1">
        <f t="shared" si="35"/>
        <v>0</v>
      </c>
      <c r="S78" s="1">
        <f t="shared" si="36"/>
        <v>0</v>
      </c>
      <c r="W78" s="1">
        <f t="shared" si="37"/>
        <v>0</v>
      </c>
    </row>
    <row r="79" spans="1:23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1" spans="1:23" x14ac:dyDescent="0.2">
      <c r="A81" s="1" t="s">
        <v>86</v>
      </c>
      <c r="B81" s="15">
        <f>VLOOKUP(A81,tom_demand_setup!$S:$T,2,FALSE)</f>
        <v>10</v>
      </c>
      <c r="C81" s="6" t="b">
        <f>(B83+F83+J83+N83+R83+V83)=100</f>
        <v>1</v>
      </c>
    </row>
    <row r="82" spans="1:23" x14ac:dyDescent="0.2">
      <c r="A82" s="8" t="s">
        <v>19</v>
      </c>
      <c r="B82" s="6" t="b">
        <f>B83=SUM(B84:B88)</f>
        <v>1</v>
      </c>
      <c r="E82" s="8" t="s">
        <v>19</v>
      </c>
      <c r="F82" s="6" t="b">
        <f>F83=SUM(F84:F88)</f>
        <v>1</v>
      </c>
      <c r="I82" s="8" t="s">
        <v>19</v>
      </c>
      <c r="J82" s="6" t="b">
        <f>J83=SUM(J84:J88)</f>
        <v>1</v>
      </c>
      <c r="M82" s="8" t="s">
        <v>19</v>
      </c>
      <c r="N82" s="6" t="b">
        <f>N83=SUM(N84:N88)</f>
        <v>1</v>
      </c>
      <c r="Q82" s="8" t="s">
        <v>19</v>
      </c>
      <c r="R82" s="6" t="b">
        <f>R83=SUM(R84:R88)</f>
        <v>1</v>
      </c>
      <c r="U82" s="8" t="s">
        <v>19</v>
      </c>
      <c r="V82" s="6" t="b">
        <f>V83=SUM(V84:V88)</f>
        <v>1</v>
      </c>
    </row>
    <row r="83" spans="1:23" s="1" customFormat="1" x14ac:dyDescent="0.2">
      <c r="A83" s="1" t="s">
        <v>5</v>
      </c>
      <c r="B83" s="1">
        <v>50</v>
      </c>
      <c r="C83" s="1">
        <f>B83*($B$81/100)</f>
        <v>5</v>
      </c>
      <c r="E83" s="1" t="s">
        <v>6</v>
      </c>
      <c r="F83" s="1">
        <v>0</v>
      </c>
      <c r="G83" s="1">
        <f>F83*($B$81/100)</f>
        <v>0</v>
      </c>
      <c r="I83" s="1" t="s">
        <v>12</v>
      </c>
      <c r="J83" s="1">
        <v>20</v>
      </c>
      <c r="K83" s="1">
        <f>J83*($B$81/100)</f>
        <v>2</v>
      </c>
      <c r="M83" s="1" t="s">
        <v>8</v>
      </c>
      <c r="N83" s="1">
        <v>20</v>
      </c>
      <c r="O83" s="1">
        <f>N83*($B$81/100)</f>
        <v>2</v>
      </c>
      <c r="Q83" s="1" t="s">
        <v>74</v>
      </c>
      <c r="R83" s="1">
        <v>5</v>
      </c>
      <c r="S83" s="1">
        <f>R83*($B$81/100)</f>
        <v>0.5</v>
      </c>
      <c r="U83" s="1" t="s">
        <v>11</v>
      </c>
      <c r="V83" s="1">
        <v>5</v>
      </c>
      <c r="W83" s="1">
        <f>V83*($B$81/100)</f>
        <v>0.5</v>
      </c>
    </row>
    <row r="84" spans="1:23" x14ac:dyDescent="0.2">
      <c r="A84" s="17" t="s">
        <v>25</v>
      </c>
      <c r="B84">
        <v>25</v>
      </c>
      <c r="C84" s="1">
        <f t="shared" ref="C84:C87" si="38">B84*($B$81/100)</f>
        <v>2.5</v>
      </c>
      <c r="G84" s="1">
        <f t="shared" ref="G84:G87" si="39">F84*($B$81/100)</f>
        <v>0</v>
      </c>
      <c r="I84" t="s">
        <v>22</v>
      </c>
      <c r="J84">
        <v>20</v>
      </c>
      <c r="K84" s="1">
        <f t="shared" ref="K84:K87" si="40">J84*($B$81/100)</f>
        <v>2</v>
      </c>
      <c r="M84" t="s">
        <v>9</v>
      </c>
      <c r="N84">
        <v>20</v>
      </c>
      <c r="O84" s="1">
        <f t="shared" ref="O84:O87" si="41">N84*($B$81/100)</f>
        <v>2</v>
      </c>
      <c r="Q84" t="s">
        <v>13</v>
      </c>
      <c r="R84">
        <v>5</v>
      </c>
      <c r="S84" s="1">
        <f t="shared" ref="S84:S87" si="42">R84*($B$81/100)</f>
        <v>0.5</v>
      </c>
      <c r="U84" t="s">
        <v>11</v>
      </c>
      <c r="V84">
        <v>5</v>
      </c>
      <c r="W84" s="1">
        <f t="shared" ref="W84:W87" si="43">V84*($B$81/100)</f>
        <v>0.5</v>
      </c>
    </row>
    <row r="85" spans="1:23" x14ac:dyDescent="0.2">
      <c r="C85" s="1">
        <f t="shared" si="38"/>
        <v>0</v>
      </c>
      <c r="G85" s="1">
        <f t="shared" si="39"/>
        <v>0</v>
      </c>
      <c r="K85" s="1">
        <f t="shared" si="40"/>
        <v>0</v>
      </c>
      <c r="O85" s="1">
        <f t="shared" si="41"/>
        <v>0</v>
      </c>
      <c r="S85" s="1">
        <f t="shared" si="42"/>
        <v>0</v>
      </c>
      <c r="W85" s="1">
        <f t="shared" si="43"/>
        <v>0</v>
      </c>
    </row>
    <row r="86" spans="1:23" x14ac:dyDescent="0.2">
      <c r="A86" s="17" t="s">
        <v>37</v>
      </c>
      <c r="B86">
        <v>25</v>
      </c>
      <c r="C86" s="1">
        <f t="shared" si="38"/>
        <v>2.5</v>
      </c>
      <c r="G86" s="1">
        <f t="shared" si="39"/>
        <v>0</v>
      </c>
      <c r="K86" s="1">
        <f t="shared" si="40"/>
        <v>0</v>
      </c>
      <c r="O86" s="1">
        <f t="shared" si="41"/>
        <v>0</v>
      </c>
      <c r="S86" s="1">
        <f t="shared" si="42"/>
        <v>0</v>
      </c>
      <c r="W86" s="1">
        <f t="shared" si="43"/>
        <v>0</v>
      </c>
    </row>
    <row r="87" spans="1:23" x14ac:dyDescent="0.2">
      <c r="C87" s="1">
        <f t="shared" si="38"/>
        <v>0</v>
      </c>
      <c r="G87" s="1">
        <f t="shared" si="39"/>
        <v>0</v>
      </c>
      <c r="K87" s="1">
        <f t="shared" si="40"/>
        <v>0</v>
      </c>
      <c r="O87" s="1">
        <f t="shared" si="41"/>
        <v>0</v>
      </c>
      <c r="S87" s="1">
        <f t="shared" si="42"/>
        <v>0</v>
      </c>
      <c r="W87" s="1">
        <f t="shared" si="43"/>
        <v>0</v>
      </c>
    </row>
    <row r="88" spans="1:2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</sheetData>
  <conditionalFormatting sqref="B22 F22 J22 N22 R22 V22 B35 F35 J35 N35 R35 V35 B64 F64 J64 N64 R64 V64 B73 F73 J73 N73 R73 V73 B82 F82 J82 N82 R82 V82">
    <cfRule type="cellIs" dxfId="11" priority="9" operator="equal">
      <formula>TRUE</formula>
    </cfRule>
  </conditionalFormatting>
  <conditionalFormatting sqref="B55 F55 J55 N55 R55 V55">
    <cfRule type="cellIs" dxfId="10" priority="2" operator="equal">
      <formula>TRUE</formula>
    </cfRule>
  </conditionalFormatting>
  <conditionalFormatting sqref="C21">
    <cfRule type="cellIs" dxfId="9" priority="8" operator="equal">
      <formula>TRUE</formula>
    </cfRule>
  </conditionalFormatting>
  <conditionalFormatting sqref="C34">
    <cfRule type="cellIs" dxfId="8" priority="7" operator="equal">
      <formula>TRUE</formula>
    </cfRule>
  </conditionalFormatting>
  <conditionalFormatting sqref="C54">
    <cfRule type="cellIs" dxfId="7" priority="1" operator="equal">
      <formula>TRUE</formula>
    </cfRule>
  </conditionalFormatting>
  <conditionalFormatting sqref="C63">
    <cfRule type="cellIs" dxfId="6" priority="3" operator="equal">
      <formula>TRUE</formula>
    </cfRule>
  </conditionalFormatting>
  <conditionalFormatting sqref="C72">
    <cfRule type="cellIs" dxfId="5" priority="5" operator="equal">
      <formula>TRUE</formula>
    </cfRule>
  </conditionalFormatting>
  <conditionalFormatting sqref="C81">
    <cfRule type="cellIs" dxfId="4" priority="4" operator="equal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B90F-3A03-854A-8D6E-5FA8647D11EC}">
  <dimension ref="A1:AG204"/>
  <sheetViews>
    <sheetView topLeftCell="B1" zoomScale="120" zoomScaleNormal="120" workbookViewId="0">
      <pane ySplit="2" topLeftCell="A3" activePane="bottomLeft" state="frozen"/>
      <selection pane="bottomLeft" activeCell="F3" sqref="F3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1" width="15.1640625" customWidth="1"/>
    <col min="12" max="12" width="7" bestFit="1" customWidth="1"/>
    <col min="13" max="13" width="6.5" bestFit="1" customWidth="1"/>
    <col min="14" max="14" width="7" bestFit="1" customWidth="1"/>
    <col min="15" max="15" width="6.5" bestFit="1" customWidth="1"/>
    <col min="16" max="16" width="4" customWidth="1"/>
    <col min="17" max="17" width="23.33203125" bestFit="1" customWidth="1"/>
    <col min="18" max="18" width="11.83203125" bestFit="1" customWidth="1"/>
    <col min="19" max="19" width="7.1640625" customWidth="1"/>
    <col min="20" max="20" width="2.83203125" customWidth="1"/>
    <col min="21" max="21" width="12" bestFit="1" customWidth="1"/>
    <col min="22" max="22" width="6.5" bestFit="1" customWidth="1"/>
    <col min="23" max="23" width="3" customWidth="1"/>
    <col min="24" max="24" width="14.33203125" bestFit="1" customWidth="1"/>
    <col min="25" max="25" width="6.5" bestFit="1" customWidth="1"/>
    <col min="26" max="26" width="12.5" bestFit="1" customWidth="1"/>
    <col min="27" max="27" width="2.33203125" customWidth="1"/>
    <col min="28" max="28" width="14.33203125" bestFit="1" customWidth="1"/>
    <col min="29" max="29" width="15.5" bestFit="1" customWidth="1"/>
    <col min="31" max="31" width="28" bestFit="1" customWidth="1"/>
    <col min="32" max="32" width="20.1640625" bestFit="1" customWidth="1"/>
    <col min="33" max="33" width="21" bestFit="1" customWidth="1"/>
  </cols>
  <sheetData>
    <row r="1" spans="1:33" x14ac:dyDescent="0.2">
      <c r="B1" t="s">
        <v>122</v>
      </c>
      <c r="C1" s="19" t="s">
        <v>99</v>
      </c>
      <c r="D1" s="17" t="s">
        <v>118</v>
      </c>
      <c r="E1" s="17"/>
      <c r="F1" s="17"/>
      <c r="J1" s="1" t="s">
        <v>117</v>
      </c>
      <c r="M1" s="1"/>
      <c r="O1" s="1"/>
      <c r="P1" s="1"/>
      <c r="Q1" s="19" t="s">
        <v>99</v>
      </c>
      <c r="R1" s="17" t="s">
        <v>119</v>
      </c>
      <c r="V1" s="7"/>
      <c r="Y1" s="7"/>
      <c r="AB1" s="22" t="s">
        <v>102</v>
      </c>
      <c r="AC1" s="21"/>
      <c r="AE1" s="22" t="s">
        <v>102</v>
      </c>
      <c r="AF1" s="21"/>
      <c r="AG1" s="21"/>
    </row>
    <row r="2" spans="1:33" x14ac:dyDescent="0.2">
      <c r="A2" s="1"/>
      <c r="B2" s="20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20" t="s">
        <v>101</v>
      </c>
      <c r="H2" s="20" t="s">
        <v>100</v>
      </c>
      <c r="J2" s="6" t="s">
        <v>0</v>
      </c>
      <c r="K2" s="6" t="s">
        <v>1</v>
      </c>
      <c r="L2" s="6" t="s">
        <v>379</v>
      </c>
      <c r="M2" s="6" t="s">
        <v>20</v>
      </c>
      <c r="N2" s="6" t="s">
        <v>3</v>
      </c>
      <c r="O2" s="6" t="s">
        <v>20</v>
      </c>
      <c r="P2" s="1"/>
      <c r="Q2" s="4" t="s">
        <v>0</v>
      </c>
      <c r="R2" s="4" t="s">
        <v>3</v>
      </c>
      <c r="S2" s="6" t="s">
        <v>20</v>
      </c>
      <c r="T2" s="1"/>
      <c r="U2" s="6" t="str" cm="1">
        <f t="array" ref="U2:U9">_xlfn.UNIQUE(E2:E1000)</f>
        <v>BudgetGroup</v>
      </c>
      <c r="V2" s="6" t="s">
        <v>20</v>
      </c>
      <c r="W2" s="1"/>
      <c r="X2" s="6" t="str" cm="1">
        <f t="array" ref="X2:X45">_xlfn.UNIQUE(C2:C1000)</f>
        <v>RequestingArea</v>
      </c>
      <c r="Y2" s="6" t="s">
        <v>20</v>
      </c>
      <c r="Z2" s="1" t="s">
        <v>103</v>
      </c>
      <c r="AA2" s="1"/>
      <c r="AB2" s="6" t="s">
        <v>2</v>
      </c>
      <c r="AC2" s="6" t="s">
        <v>1</v>
      </c>
      <c r="AD2" s="1"/>
      <c r="AE2" s="6" t="s">
        <v>104</v>
      </c>
      <c r="AF2" s="6" t="s">
        <v>105</v>
      </c>
      <c r="AG2" s="6" t="s">
        <v>106</v>
      </c>
    </row>
    <row r="3" spans="1:33" x14ac:dyDescent="0.2">
      <c r="B3">
        <v>1</v>
      </c>
      <c r="C3" t="s">
        <v>21</v>
      </c>
      <c r="D3" t="s">
        <v>4</v>
      </c>
      <c r="E3" s="18" t="str">
        <f t="shared" ref="E3:E66" si="0">VLOOKUP($C3,$AB:$AC,2,FALSE)</f>
        <v>Commercial</v>
      </c>
      <c r="F3" s="18">
        <f>H3*SUMIFS($L:$L,$J:$J,D3,$K:$K,E3)/G3</f>
        <v>1</v>
      </c>
      <c r="G3" s="18">
        <f t="shared" ref="G3:G66" si="1">SUMIFS($H$2:$H$1000,$E$2:$E$1000,E3,$D$2:$D$1000,D3)</f>
        <v>9</v>
      </c>
      <c r="H3" s="8">
        <v>1</v>
      </c>
      <c r="J3" t="s">
        <v>10</v>
      </c>
      <c r="K3" t="s">
        <v>11</v>
      </c>
      <c r="L3">
        <f>COUNTIFS(E:E,K3,D:D,J3)</f>
        <v>1</v>
      </c>
      <c r="M3" s="17">
        <f>SUMIF($J:$J,J3,$L:$L)</f>
        <v>42</v>
      </c>
      <c r="N3">
        <f>SUMIFS(F:F,E:E,K3,D:D,J3)</f>
        <v>1</v>
      </c>
      <c r="O3" s="17">
        <f>SUMIF($J:$J,L3,$L:$L)</f>
        <v>0</v>
      </c>
      <c r="Q3" s="2" t="s">
        <v>10</v>
      </c>
      <c r="R3">
        <v>40</v>
      </c>
      <c r="S3" s="17">
        <f>SUM(R3:R18)</f>
        <v>100</v>
      </c>
      <c r="U3" s="18" t="str">
        <v>Commercial</v>
      </c>
      <c r="V3" s="3">
        <f t="shared" ref="V3:V14" si="2">SUMIF($E:$E,U3,$F:$F)</f>
        <v>56</v>
      </c>
      <c r="X3" s="18" t="str">
        <v>GP B2B</v>
      </c>
      <c r="Y3" s="3">
        <f t="shared" ref="Y3:Y44" si="3">SUMIF($C:$C,X3,$F:$F)</f>
        <v>6</v>
      </c>
      <c r="Z3" s="18" t="str">
        <f>VLOOKUP(X3,$AB:$AC,2,FALSE)</f>
        <v>Commercial</v>
      </c>
      <c r="AB3" t="s">
        <v>11</v>
      </c>
      <c r="AC3" t="s">
        <v>11</v>
      </c>
      <c r="AE3" s="23" t="s">
        <v>107</v>
      </c>
      <c r="AF3" t="str" cm="1">
        <f t="array" ref="AF3:AG3">_xlfn.TEXTSPLIT(AE3,"&gt;",)</f>
        <v xml:space="preserve"> IDEA </v>
      </c>
      <c r="AG3" t="str">
        <v xml:space="preserve"> Backlog</v>
      </c>
    </row>
    <row r="4" spans="1:33" x14ac:dyDescent="0.2">
      <c r="B4">
        <v>2</v>
      </c>
      <c r="C4" t="s">
        <v>26</v>
      </c>
      <c r="D4" t="s">
        <v>4</v>
      </c>
      <c r="E4" s="18" t="str">
        <f t="shared" si="0"/>
        <v>Operations</v>
      </c>
      <c r="F4" s="18">
        <f t="shared" ref="F4:F67" si="4">H4*SUMIFS($L:$L,$J:$J,D4,$K:$K,E4)/G4</f>
        <v>1</v>
      </c>
      <c r="G4" s="18">
        <f t="shared" si="1"/>
        <v>3</v>
      </c>
      <c r="H4" s="8">
        <v>1</v>
      </c>
      <c r="J4" t="s">
        <v>10</v>
      </c>
      <c r="K4" t="s">
        <v>5</v>
      </c>
      <c r="L4">
        <f t="shared" ref="L4" si="5">COUNTIFS(E:E,K4,D:D,J4)</f>
        <v>12</v>
      </c>
      <c r="M4" s="17">
        <f t="shared" ref="M4" si="6">SUMIF($J:$J,J4,$L:$L)</f>
        <v>42</v>
      </c>
      <c r="N4">
        <f t="shared" ref="N4:N38" si="7">SUMIFS(F:F,E:E,K4,D:D,J4)</f>
        <v>12</v>
      </c>
      <c r="O4" s="17">
        <f t="shared" ref="O4" si="8">SUMIF($J:$J,L4,$L:$L)</f>
        <v>0</v>
      </c>
      <c r="Q4" s="2" t="s">
        <v>15</v>
      </c>
      <c r="R4">
        <v>22</v>
      </c>
      <c r="U4" s="18" t="str">
        <v>Operations</v>
      </c>
      <c r="V4" s="3">
        <f t="shared" si="2"/>
        <v>22</v>
      </c>
      <c r="X4" s="18" t="str">
        <v>SEO</v>
      </c>
      <c r="Y4" s="3">
        <f t="shared" si="3"/>
        <v>7</v>
      </c>
      <c r="Z4" s="18" t="str">
        <f t="shared" ref="Z4:Z44" si="9">VLOOKUP(X4,$AB:$AC,2,FALSE)</f>
        <v>Operations</v>
      </c>
      <c r="AB4" t="s">
        <v>66</v>
      </c>
      <c r="AC4" t="s">
        <v>5</v>
      </c>
      <c r="AE4" s="23" t="s">
        <v>108</v>
      </c>
      <c r="AF4" t="str" cm="1">
        <f t="array" ref="AF4:AG4">_xlfn.TEXTSPLIT(AE4,"&gt;",)</f>
        <v xml:space="preserve"> IDEA </v>
      </c>
      <c r="AG4" t="str">
        <v xml:space="preserve"> Pitch</v>
      </c>
    </row>
    <row r="5" spans="1:33" x14ac:dyDescent="0.2">
      <c r="B5">
        <v>3</v>
      </c>
      <c r="C5" t="s">
        <v>22</v>
      </c>
      <c r="D5" t="s">
        <v>4</v>
      </c>
      <c r="E5" s="18" t="str">
        <f t="shared" si="0"/>
        <v>Corporate</v>
      </c>
      <c r="F5" s="18">
        <f t="shared" si="4"/>
        <v>1</v>
      </c>
      <c r="G5" s="18">
        <f t="shared" si="1"/>
        <v>13</v>
      </c>
      <c r="H5" s="8">
        <v>1</v>
      </c>
      <c r="J5" t="s">
        <v>10</v>
      </c>
      <c r="K5" t="s">
        <v>12</v>
      </c>
      <c r="L5">
        <f>COUNTIFS(E:E,K5,D:D,J5)</f>
        <v>18</v>
      </c>
      <c r="M5" s="17">
        <f>SUMIF($J:$J,J5,$L:$L)</f>
        <v>42</v>
      </c>
      <c r="N5">
        <f t="shared" si="7"/>
        <v>18</v>
      </c>
      <c r="O5" s="17">
        <f>SUMIF($J:$J,L5,$L:$L)</f>
        <v>0</v>
      </c>
      <c r="Q5" s="2" t="s">
        <v>4</v>
      </c>
      <c r="R5">
        <v>16</v>
      </c>
      <c r="U5" s="18" t="str">
        <v>Corporate</v>
      </c>
      <c r="V5" s="3">
        <f t="shared" si="2"/>
        <v>78</v>
      </c>
      <c r="X5" s="18" t="str">
        <v>CF</v>
      </c>
      <c r="Y5" s="3">
        <f t="shared" si="3"/>
        <v>6</v>
      </c>
      <c r="Z5" s="18" t="str">
        <f t="shared" si="9"/>
        <v>Corporate</v>
      </c>
      <c r="AB5" t="s">
        <v>65</v>
      </c>
      <c r="AC5" t="s">
        <v>5</v>
      </c>
      <c r="AE5" s="23" t="s">
        <v>109</v>
      </c>
      <c r="AF5" t="str" cm="1">
        <f t="array" ref="AF5:AG5">_xlfn.TEXTSPLIT(AE5,"&gt;",)</f>
        <v xml:space="preserve"> IDEA </v>
      </c>
      <c r="AG5" t="str">
        <v xml:space="preserve"> In Definition</v>
      </c>
    </row>
    <row r="6" spans="1:33" x14ac:dyDescent="0.2">
      <c r="B6">
        <v>4</v>
      </c>
      <c r="C6" t="s">
        <v>9</v>
      </c>
      <c r="D6" t="s">
        <v>4</v>
      </c>
      <c r="E6" s="18" t="str">
        <f t="shared" si="0"/>
        <v>Technology</v>
      </c>
      <c r="F6" s="18">
        <f t="shared" si="4"/>
        <v>1</v>
      </c>
      <c r="G6" s="18">
        <f t="shared" si="1"/>
        <v>5</v>
      </c>
      <c r="H6" s="8">
        <v>1</v>
      </c>
      <c r="J6" t="s">
        <v>10</v>
      </c>
      <c r="K6" t="s">
        <v>6</v>
      </c>
      <c r="L6">
        <f t="shared" ref="L6:L13" si="10">COUNTIFS(E:E,K6,D:D,J6)</f>
        <v>4</v>
      </c>
      <c r="M6" s="17">
        <f t="shared" ref="M6:M38" si="11">SUMIF($J:$J,J6,$L:$L)</f>
        <v>42</v>
      </c>
      <c r="N6">
        <f t="shared" si="7"/>
        <v>7</v>
      </c>
      <c r="O6" s="17">
        <f t="shared" ref="O6:O38" si="12">SUMIF($J:$J,L6,$L:$L)</f>
        <v>0</v>
      </c>
      <c r="Q6" s="2" t="s">
        <v>17</v>
      </c>
      <c r="R6">
        <v>10</v>
      </c>
      <c r="U6" s="18" t="str">
        <v>Technology</v>
      </c>
      <c r="V6" s="3">
        <f t="shared" si="2"/>
        <v>31</v>
      </c>
      <c r="X6" s="18" t="str">
        <v>SI</v>
      </c>
      <c r="Y6" s="3">
        <f t="shared" si="3"/>
        <v>6</v>
      </c>
      <c r="Z6" s="18" t="str">
        <f t="shared" si="9"/>
        <v>Technology</v>
      </c>
      <c r="AB6" t="s">
        <v>38</v>
      </c>
      <c r="AC6" t="s">
        <v>5</v>
      </c>
      <c r="AE6" s="23" t="s">
        <v>110</v>
      </c>
      <c r="AF6" t="str" cm="1">
        <f t="array" ref="AF6:AG6">_xlfn.TEXTSPLIT(AE6,"&gt;",)</f>
        <v xml:space="preserve"> SOLUTION </v>
      </c>
      <c r="AG6" t="str">
        <v xml:space="preserve"> In Approval</v>
      </c>
    </row>
    <row r="7" spans="1:33" x14ac:dyDescent="0.2">
      <c r="B7">
        <v>5</v>
      </c>
      <c r="C7" t="s">
        <v>11</v>
      </c>
      <c r="D7" t="s">
        <v>4</v>
      </c>
      <c r="E7" s="18" t="str">
        <f t="shared" si="0"/>
        <v>CISO</v>
      </c>
      <c r="F7" s="18">
        <f t="shared" si="4"/>
        <v>1</v>
      </c>
      <c r="G7" s="18">
        <f t="shared" si="1"/>
        <v>1</v>
      </c>
      <c r="H7" s="8">
        <v>1</v>
      </c>
      <c r="J7" t="s">
        <v>10</v>
      </c>
      <c r="K7" t="s">
        <v>8</v>
      </c>
      <c r="L7">
        <f t="shared" si="10"/>
        <v>6</v>
      </c>
      <c r="M7" s="17">
        <f t="shared" si="11"/>
        <v>42</v>
      </c>
      <c r="N7">
        <f t="shared" si="7"/>
        <v>6</v>
      </c>
      <c r="O7" s="17">
        <f t="shared" si="12"/>
        <v>0</v>
      </c>
      <c r="Q7" s="2" t="s">
        <v>16</v>
      </c>
      <c r="R7">
        <v>8</v>
      </c>
      <c r="U7" s="18" t="str">
        <v>CISO</v>
      </c>
      <c r="V7" s="3">
        <f t="shared" si="2"/>
        <v>6</v>
      </c>
      <c r="X7" s="18" t="str">
        <v>CISO</v>
      </c>
      <c r="Y7" s="3">
        <f t="shared" si="3"/>
        <v>6</v>
      </c>
      <c r="Z7" s="18" t="str">
        <f t="shared" si="9"/>
        <v>CISO</v>
      </c>
      <c r="AB7" t="s">
        <v>39</v>
      </c>
      <c r="AC7" t="s">
        <v>5</v>
      </c>
      <c r="AE7" s="23" t="s">
        <v>111</v>
      </c>
      <c r="AF7" t="str" cm="1">
        <f t="array" ref="AF7:AG7">_xlfn.TEXTSPLIT(AE7,"&gt;",)</f>
        <v xml:space="preserve"> SOLUTION </v>
      </c>
      <c r="AG7" t="str">
        <v xml:space="preserve"> Ready for Approval</v>
      </c>
    </row>
    <row r="8" spans="1:33" x14ac:dyDescent="0.2">
      <c r="B8">
        <v>6</v>
      </c>
      <c r="C8" t="s">
        <v>116</v>
      </c>
      <c r="D8" t="s">
        <v>4</v>
      </c>
      <c r="E8" s="18" t="str">
        <f t="shared" si="0"/>
        <v>Data &amp; AI</v>
      </c>
      <c r="F8" s="18">
        <f t="shared" si="4"/>
        <v>1</v>
      </c>
      <c r="G8" s="18">
        <f t="shared" si="1"/>
        <v>1</v>
      </c>
      <c r="H8" s="8">
        <v>1</v>
      </c>
      <c r="J8" s="24" t="s">
        <v>10</v>
      </c>
      <c r="K8" s="24" t="s">
        <v>74</v>
      </c>
      <c r="L8" s="24">
        <f t="shared" si="10"/>
        <v>1</v>
      </c>
      <c r="M8" s="17">
        <f t="shared" si="11"/>
        <v>42</v>
      </c>
      <c r="N8">
        <f t="shared" si="7"/>
        <v>1</v>
      </c>
      <c r="O8" s="17">
        <f t="shared" si="12"/>
        <v>0</v>
      </c>
      <c r="Q8" s="2" t="s">
        <v>14</v>
      </c>
      <c r="R8">
        <v>4</v>
      </c>
      <c r="U8" s="18" t="str">
        <v>Data &amp; AI</v>
      </c>
      <c r="V8" s="3">
        <f t="shared" si="2"/>
        <v>12</v>
      </c>
      <c r="X8" s="18" t="str">
        <v>IAD</v>
      </c>
      <c r="Y8" s="3">
        <f t="shared" si="3"/>
        <v>6</v>
      </c>
      <c r="Z8" s="18" t="str">
        <f t="shared" si="9"/>
        <v>Data &amp; AI</v>
      </c>
      <c r="AB8" t="s">
        <v>36</v>
      </c>
      <c r="AC8" t="s">
        <v>5</v>
      </c>
      <c r="AE8" s="23" t="s">
        <v>112</v>
      </c>
      <c r="AF8" t="str" cm="1">
        <f t="array" ref="AF8:AG8">_xlfn.TEXTSPLIT(AE8,"&gt;",)</f>
        <v xml:space="preserve"> IDEA </v>
      </c>
      <c r="AG8" t="str">
        <v xml:space="preserve"> Ready for Solution</v>
      </c>
    </row>
    <row r="9" spans="1:33" x14ac:dyDescent="0.2">
      <c r="B9">
        <v>7</v>
      </c>
      <c r="C9" t="s">
        <v>37</v>
      </c>
      <c r="D9" t="s">
        <v>4</v>
      </c>
      <c r="E9" s="18" t="str">
        <f t="shared" si="0"/>
        <v>Commercial</v>
      </c>
      <c r="F9" s="18">
        <f t="shared" si="4"/>
        <v>1</v>
      </c>
      <c r="G9" s="18">
        <f t="shared" si="1"/>
        <v>9</v>
      </c>
      <c r="H9" s="8">
        <v>1</v>
      </c>
      <c r="J9" t="s">
        <v>15</v>
      </c>
      <c r="K9" t="s">
        <v>11</v>
      </c>
      <c r="L9">
        <f t="shared" si="10"/>
        <v>1</v>
      </c>
      <c r="M9" s="17">
        <f t="shared" si="11"/>
        <v>32</v>
      </c>
      <c r="N9">
        <f t="shared" si="7"/>
        <v>1</v>
      </c>
      <c r="O9" s="17">
        <f t="shared" si="12"/>
        <v>0</v>
      </c>
      <c r="Q9" s="13" t="s">
        <v>18</v>
      </c>
      <c r="R9" s="14">
        <v>0</v>
      </c>
      <c r="U9">
        <v>0</v>
      </c>
      <c r="V9" s="3">
        <f t="shared" si="2"/>
        <v>0</v>
      </c>
      <c r="X9" s="18" t="str">
        <v>GS</v>
      </c>
      <c r="Y9" s="3">
        <f t="shared" si="3"/>
        <v>6</v>
      </c>
      <c r="Z9" s="18" t="str">
        <f t="shared" si="9"/>
        <v>Commercial</v>
      </c>
      <c r="AB9" t="s">
        <v>40</v>
      </c>
      <c r="AC9" t="s">
        <v>5</v>
      </c>
      <c r="AE9" s="23" t="s">
        <v>113</v>
      </c>
      <c r="AF9" t="str" cm="1">
        <f t="array" ref="AF9:AG9">_xlfn.TEXTSPLIT(AE9,"&gt;",)</f>
        <v xml:space="preserve"> SOLUTION </v>
      </c>
      <c r="AG9" t="str">
        <v xml:space="preserve"> High Level Design</v>
      </c>
    </row>
    <row r="10" spans="1:33" x14ac:dyDescent="0.2">
      <c r="B10">
        <v>8</v>
      </c>
      <c r="C10" t="s">
        <v>44</v>
      </c>
      <c r="D10" t="s">
        <v>4</v>
      </c>
      <c r="E10" s="18" t="str">
        <f t="shared" si="0"/>
        <v>Corporate</v>
      </c>
      <c r="F10" s="18">
        <f t="shared" si="4"/>
        <v>1</v>
      </c>
      <c r="G10" s="18">
        <f t="shared" si="1"/>
        <v>13</v>
      </c>
      <c r="H10" s="8">
        <v>1</v>
      </c>
      <c r="J10" t="s">
        <v>15</v>
      </c>
      <c r="K10" t="s">
        <v>5</v>
      </c>
      <c r="L10">
        <f t="shared" si="10"/>
        <v>9</v>
      </c>
      <c r="M10" s="17">
        <f t="shared" si="11"/>
        <v>32</v>
      </c>
      <c r="N10">
        <f t="shared" si="7"/>
        <v>9</v>
      </c>
      <c r="O10" s="17">
        <f t="shared" si="12"/>
        <v>0</v>
      </c>
      <c r="V10" s="3">
        <f t="shared" si="2"/>
        <v>0</v>
      </c>
      <c r="X10" s="18" t="str">
        <v>ACR</v>
      </c>
      <c r="Y10" s="3">
        <f t="shared" si="3"/>
        <v>6</v>
      </c>
      <c r="Z10" s="18" t="str">
        <f t="shared" si="9"/>
        <v>Corporate</v>
      </c>
      <c r="AB10" t="s">
        <v>21</v>
      </c>
      <c r="AC10" t="s">
        <v>5</v>
      </c>
      <c r="AE10" s="23" t="s">
        <v>114</v>
      </c>
      <c r="AF10" t="str" cm="1">
        <f t="array" ref="AF10:AG10">_xlfn.TEXTSPLIT(AE10,"&gt;",)</f>
        <v xml:space="preserve"> SOLUTION </v>
      </c>
      <c r="AG10" t="str">
        <v xml:space="preserve"> Ready for Development</v>
      </c>
    </row>
    <row r="11" spans="1:33" x14ac:dyDescent="0.2">
      <c r="B11">
        <v>9</v>
      </c>
      <c r="C11" t="s">
        <v>7</v>
      </c>
      <c r="D11" t="s">
        <v>4</v>
      </c>
      <c r="E11" s="18" t="str">
        <f t="shared" si="0"/>
        <v>Operations</v>
      </c>
      <c r="F11" s="18">
        <f t="shared" si="4"/>
        <v>1</v>
      </c>
      <c r="G11" s="18">
        <f t="shared" si="1"/>
        <v>3</v>
      </c>
      <c r="H11" s="8">
        <v>1</v>
      </c>
      <c r="J11" t="s">
        <v>15</v>
      </c>
      <c r="K11" t="s">
        <v>12</v>
      </c>
      <c r="L11">
        <f t="shared" si="10"/>
        <v>13</v>
      </c>
      <c r="M11" s="17">
        <f t="shared" si="11"/>
        <v>32</v>
      </c>
      <c r="N11">
        <f t="shared" si="7"/>
        <v>13</v>
      </c>
      <c r="O11" s="17">
        <f t="shared" si="12"/>
        <v>0</v>
      </c>
      <c r="V11" s="3">
        <f t="shared" si="2"/>
        <v>0</v>
      </c>
      <c r="X11" s="18" t="str">
        <v>EDO</v>
      </c>
      <c r="Y11" s="3">
        <f t="shared" si="3"/>
        <v>7</v>
      </c>
      <c r="Z11" s="18" t="str">
        <f t="shared" si="9"/>
        <v>Operations</v>
      </c>
      <c r="AB11" t="s">
        <v>25</v>
      </c>
      <c r="AC11" t="s">
        <v>5</v>
      </c>
      <c r="AE11" s="23" t="s">
        <v>115</v>
      </c>
      <c r="AF11" t="str" cm="1">
        <f t="array" ref="AF11:AG11">_xlfn.TEXTSPLIT(AE11,"&gt;",)</f>
        <v xml:space="preserve"> SOLUTION </v>
      </c>
      <c r="AG11" t="str">
        <v xml:space="preserve"> In Definition</v>
      </c>
    </row>
    <row r="12" spans="1:33" x14ac:dyDescent="0.2">
      <c r="B12">
        <v>10</v>
      </c>
      <c r="C12" t="s">
        <v>59</v>
      </c>
      <c r="D12" t="s">
        <v>4</v>
      </c>
      <c r="E12" s="18" t="str">
        <f t="shared" si="0"/>
        <v>Technology</v>
      </c>
      <c r="F12" s="18">
        <f t="shared" si="4"/>
        <v>1</v>
      </c>
      <c r="G12" s="18">
        <f t="shared" si="1"/>
        <v>5</v>
      </c>
      <c r="H12" s="8">
        <v>1</v>
      </c>
      <c r="J12" t="s">
        <v>15</v>
      </c>
      <c r="K12" t="s">
        <v>6</v>
      </c>
      <c r="L12">
        <f t="shared" si="10"/>
        <v>3</v>
      </c>
      <c r="M12" s="17">
        <f t="shared" si="11"/>
        <v>32</v>
      </c>
      <c r="N12">
        <f t="shared" si="7"/>
        <v>3</v>
      </c>
      <c r="O12" s="17">
        <f t="shared" si="12"/>
        <v>0</v>
      </c>
      <c r="V12" s="3">
        <f t="shared" si="2"/>
        <v>0</v>
      </c>
      <c r="X12" s="18" t="str">
        <v>SI-OPS</v>
      </c>
      <c r="Y12" s="3">
        <f t="shared" si="3"/>
        <v>6</v>
      </c>
      <c r="Z12" s="18" t="str">
        <f t="shared" si="9"/>
        <v>Technology</v>
      </c>
      <c r="AB12" t="s">
        <v>23</v>
      </c>
      <c r="AC12" t="s">
        <v>5</v>
      </c>
    </row>
    <row r="13" spans="1:33" x14ac:dyDescent="0.2">
      <c r="B13">
        <v>11</v>
      </c>
      <c r="C13" t="s">
        <v>36</v>
      </c>
      <c r="D13" t="s">
        <v>4</v>
      </c>
      <c r="E13" s="18" t="str">
        <f t="shared" si="0"/>
        <v>Commercial</v>
      </c>
      <c r="F13" s="18">
        <f t="shared" si="4"/>
        <v>1</v>
      </c>
      <c r="G13" s="18">
        <f t="shared" si="1"/>
        <v>9</v>
      </c>
      <c r="H13" s="8">
        <v>1</v>
      </c>
      <c r="J13" t="s">
        <v>15</v>
      </c>
      <c r="K13" t="s">
        <v>8</v>
      </c>
      <c r="L13">
        <f t="shared" si="10"/>
        <v>5</v>
      </c>
      <c r="M13" s="17">
        <f t="shared" si="11"/>
        <v>32</v>
      </c>
      <c r="N13">
        <f t="shared" si="7"/>
        <v>5</v>
      </c>
      <c r="O13" s="17">
        <f t="shared" si="12"/>
        <v>0</v>
      </c>
      <c r="V13" s="3">
        <f t="shared" si="2"/>
        <v>0</v>
      </c>
      <c r="X13" s="18" t="str">
        <v>DNI</v>
      </c>
      <c r="Y13" s="3">
        <f t="shared" si="3"/>
        <v>6</v>
      </c>
      <c r="Z13" s="18" t="str">
        <f t="shared" si="9"/>
        <v>Commercial</v>
      </c>
      <c r="AB13" t="s">
        <v>24</v>
      </c>
      <c r="AC13" t="s">
        <v>5</v>
      </c>
    </row>
    <row r="14" spans="1:33" x14ac:dyDescent="0.2">
      <c r="B14">
        <v>12</v>
      </c>
      <c r="C14" t="s">
        <v>46</v>
      </c>
      <c r="D14" t="s">
        <v>4</v>
      </c>
      <c r="E14" s="18" t="str">
        <f t="shared" si="0"/>
        <v>Corporate</v>
      </c>
      <c r="F14" s="18">
        <f t="shared" si="4"/>
        <v>1</v>
      </c>
      <c r="G14" s="18">
        <f t="shared" si="1"/>
        <v>13</v>
      </c>
      <c r="H14" s="8">
        <v>1</v>
      </c>
      <c r="J14" s="24" t="s">
        <v>15</v>
      </c>
      <c r="K14" s="24" t="s">
        <v>74</v>
      </c>
      <c r="L14" s="24">
        <f>COUNTIFS(E:E,K14,D:D,J14)</f>
        <v>1</v>
      </c>
      <c r="M14" s="17">
        <f t="shared" si="11"/>
        <v>32</v>
      </c>
      <c r="N14">
        <f t="shared" si="7"/>
        <v>1</v>
      </c>
      <c r="O14" s="17">
        <f t="shared" si="12"/>
        <v>0</v>
      </c>
      <c r="V14" s="3">
        <f t="shared" si="2"/>
        <v>0</v>
      </c>
      <c r="X14" s="18" t="str">
        <v>AVC</v>
      </c>
      <c r="Y14" s="3">
        <f t="shared" si="3"/>
        <v>6</v>
      </c>
      <c r="Z14" s="18" t="str">
        <f t="shared" si="9"/>
        <v>Corporate</v>
      </c>
      <c r="AB14" t="s">
        <v>37</v>
      </c>
      <c r="AC14" t="s">
        <v>5</v>
      </c>
    </row>
    <row r="15" spans="1:33" x14ac:dyDescent="0.2">
      <c r="B15">
        <v>13</v>
      </c>
      <c r="C15" t="s">
        <v>42</v>
      </c>
      <c r="D15" t="s">
        <v>4</v>
      </c>
      <c r="E15" s="18" t="str">
        <f t="shared" si="0"/>
        <v>Operations</v>
      </c>
      <c r="F15" s="18">
        <f t="shared" si="4"/>
        <v>1</v>
      </c>
      <c r="G15" s="18">
        <f t="shared" si="1"/>
        <v>3</v>
      </c>
      <c r="H15" s="8">
        <v>1</v>
      </c>
      <c r="J15" s="25" t="s">
        <v>4</v>
      </c>
      <c r="K15" s="25" t="s">
        <v>11</v>
      </c>
      <c r="L15">
        <f t="shared" ref="L15:L38" si="13">COUNTIFS(E:E,K15,D:D,J15)</f>
        <v>1</v>
      </c>
      <c r="M15" s="17">
        <f t="shared" si="11"/>
        <v>32</v>
      </c>
      <c r="N15">
        <f t="shared" si="7"/>
        <v>1</v>
      </c>
      <c r="O15" s="17">
        <f t="shared" si="12"/>
        <v>0</v>
      </c>
      <c r="V15" s="7"/>
      <c r="X15" s="18" t="str">
        <v>EM</v>
      </c>
      <c r="Y15" s="3">
        <f t="shared" si="3"/>
        <v>6</v>
      </c>
      <c r="Z15" s="18" t="str">
        <f t="shared" si="9"/>
        <v>Operations</v>
      </c>
      <c r="AB15" t="s">
        <v>68</v>
      </c>
      <c r="AC15" t="s">
        <v>5</v>
      </c>
    </row>
    <row r="16" spans="1:33" x14ac:dyDescent="0.2">
      <c r="B16">
        <v>14</v>
      </c>
      <c r="C16" t="s">
        <v>58</v>
      </c>
      <c r="D16" t="s">
        <v>4</v>
      </c>
      <c r="E16" s="18" t="str">
        <f t="shared" si="0"/>
        <v>Technology</v>
      </c>
      <c r="F16" s="18">
        <f t="shared" si="4"/>
        <v>1</v>
      </c>
      <c r="G16" s="18">
        <f t="shared" si="1"/>
        <v>5</v>
      </c>
      <c r="H16" s="8">
        <v>1</v>
      </c>
      <c r="J16" t="s">
        <v>4</v>
      </c>
      <c r="K16" t="s">
        <v>5</v>
      </c>
      <c r="L16">
        <f>COUNTIFS(E:E,K16,D:D,J16)</f>
        <v>9</v>
      </c>
      <c r="M16" s="17">
        <f t="shared" si="11"/>
        <v>32</v>
      </c>
      <c r="N16">
        <f t="shared" si="7"/>
        <v>9</v>
      </c>
      <c r="O16" s="17">
        <f t="shared" si="12"/>
        <v>0</v>
      </c>
      <c r="V16" s="7"/>
      <c r="X16" s="18" t="str">
        <v>SI-PRD</v>
      </c>
      <c r="Y16" s="3">
        <f t="shared" si="3"/>
        <v>6</v>
      </c>
      <c r="Z16" s="18" t="str">
        <f t="shared" si="9"/>
        <v>Technology</v>
      </c>
      <c r="AB16" t="s">
        <v>44</v>
      </c>
      <c r="AC16" t="s">
        <v>12</v>
      </c>
    </row>
    <row r="17" spans="2:29" x14ac:dyDescent="0.2">
      <c r="B17">
        <v>15</v>
      </c>
      <c r="C17" t="s">
        <v>38</v>
      </c>
      <c r="D17" t="s">
        <v>4</v>
      </c>
      <c r="E17" s="18" t="str">
        <f t="shared" si="0"/>
        <v>Commercial</v>
      </c>
      <c r="F17" s="18">
        <f t="shared" si="4"/>
        <v>1</v>
      </c>
      <c r="G17" s="18">
        <f t="shared" si="1"/>
        <v>9</v>
      </c>
      <c r="H17" s="8">
        <v>1</v>
      </c>
      <c r="J17" t="s">
        <v>4</v>
      </c>
      <c r="K17" t="s">
        <v>12</v>
      </c>
      <c r="L17">
        <f t="shared" si="13"/>
        <v>13</v>
      </c>
      <c r="M17" s="17">
        <f t="shared" si="11"/>
        <v>32</v>
      </c>
      <c r="N17">
        <f t="shared" si="7"/>
        <v>13</v>
      </c>
      <c r="O17" s="17">
        <f t="shared" si="12"/>
        <v>0</v>
      </c>
      <c r="V17" s="7"/>
      <c r="X17" s="18" t="str">
        <v>CSI</v>
      </c>
      <c r="Y17" s="3">
        <f t="shared" si="3"/>
        <v>6</v>
      </c>
      <c r="Z17" s="18" t="str">
        <f t="shared" si="9"/>
        <v>Commercial</v>
      </c>
      <c r="AB17" t="s">
        <v>67</v>
      </c>
      <c r="AC17" t="s">
        <v>12</v>
      </c>
    </row>
    <row r="18" spans="2:29" x14ac:dyDescent="0.2">
      <c r="B18">
        <v>16</v>
      </c>
      <c r="C18" t="s">
        <v>47</v>
      </c>
      <c r="D18" t="s">
        <v>4</v>
      </c>
      <c r="E18" s="18" t="str">
        <f t="shared" si="0"/>
        <v>Corporate</v>
      </c>
      <c r="F18" s="18">
        <f t="shared" si="4"/>
        <v>1</v>
      </c>
      <c r="G18" s="18">
        <f t="shared" si="1"/>
        <v>13</v>
      </c>
      <c r="H18" s="8">
        <v>1</v>
      </c>
      <c r="J18" t="s">
        <v>4</v>
      </c>
      <c r="K18" t="s">
        <v>6</v>
      </c>
      <c r="L18">
        <f t="shared" si="13"/>
        <v>3</v>
      </c>
      <c r="M18" s="17">
        <f t="shared" si="11"/>
        <v>32</v>
      </c>
      <c r="N18">
        <f t="shared" si="7"/>
        <v>3</v>
      </c>
      <c r="O18" s="17">
        <f t="shared" si="12"/>
        <v>0</v>
      </c>
      <c r="V18" s="7"/>
      <c r="X18" s="18" t="str">
        <v>GT</v>
      </c>
      <c r="Y18" s="3">
        <f t="shared" si="3"/>
        <v>6</v>
      </c>
      <c r="Z18" s="18" t="str">
        <f t="shared" si="9"/>
        <v>Corporate</v>
      </c>
      <c r="AB18" t="s">
        <v>46</v>
      </c>
      <c r="AC18" t="s">
        <v>12</v>
      </c>
    </row>
    <row r="19" spans="2:29" x14ac:dyDescent="0.2">
      <c r="B19">
        <v>17</v>
      </c>
      <c r="C19" t="s">
        <v>34</v>
      </c>
      <c r="D19" t="s">
        <v>4</v>
      </c>
      <c r="E19" s="18" t="str">
        <f t="shared" si="0"/>
        <v>Technology</v>
      </c>
      <c r="F19" s="18">
        <f t="shared" si="4"/>
        <v>1</v>
      </c>
      <c r="G19" s="18">
        <f t="shared" si="1"/>
        <v>5</v>
      </c>
      <c r="H19" s="8">
        <v>1</v>
      </c>
      <c r="J19" t="s">
        <v>4</v>
      </c>
      <c r="K19" t="s">
        <v>8</v>
      </c>
      <c r="L19">
        <f t="shared" si="13"/>
        <v>5</v>
      </c>
      <c r="M19" s="17">
        <f t="shared" si="11"/>
        <v>32</v>
      </c>
      <c r="N19">
        <f t="shared" si="7"/>
        <v>5</v>
      </c>
      <c r="O19" s="17">
        <f t="shared" si="12"/>
        <v>0</v>
      </c>
      <c r="V19" s="7"/>
      <c r="X19" s="18" t="str">
        <v>BCTT</v>
      </c>
      <c r="Y19" s="3">
        <f t="shared" si="3"/>
        <v>6</v>
      </c>
      <c r="Z19" s="18" t="str">
        <f t="shared" si="9"/>
        <v>Technology</v>
      </c>
      <c r="AB19" t="s">
        <v>22</v>
      </c>
      <c r="AC19" t="s">
        <v>12</v>
      </c>
    </row>
    <row r="20" spans="2:29" x14ac:dyDescent="0.2">
      <c r="B20">
        <v>18</v>
      </c>
      <c r="C20" t="s">
        <v>25</v>
      </c>
      <c r="D20" t="s">
        <v>4</v>
      </c>
      <c r="E20" s="18" t="str">
        <f t="shared" si="0"/>
        <v>Commercial</v>
      </c>
      <c r="F20" s="18">
        <f t="shared" si="4"/>
        <v>1</v>
      </c>
      <c r="G20" s="18">
        <f t="shared" si="1"/>
        <v>9</v>
      </c>
      <c r="H20" s="8">
        <v>1</v>
      </c>
      <c r="J20" s="24" t="s">
        <v>4</v>
      </c>
      <c r="K20" s="24" t="s">
        <v>74</v>
      </c>
      <c r="L20" s="24">
        <f t="shared" si="13"/>
        <v>1</v>
      </c>
      <c r="M20" s="17">
        <f t="shared" si="11"/>
        <v>32</v>
      </c>
      <c r="N20">
        <f t="shared" si="7"/>
        <v>1</v>
      </c>
      <c r="O20" s="17">
        <f t="shared" si="12"/>
        <v>0</v>
      </c>
      <c r="V20" s="7"/>
      <c r="X20" s="18" t="str">
        <v>GP B2C</v>
      </c>
      <c r="Y20" s="3">
        <f t="shared" si="3"/>
        <v>6</v>
      </c>
      <c r="Z20" s="18" t="str">
        <f t="shared" si="9"/>
        <v>Commercial</v>
      </c>
      <c r="AB20" t="s">
        <v>69</v>
      </c>
      <c r="AC20" t="s">
        <v>12</v>
      </c>
    </row>
    <row r="21" spans="2:29" x14ac:dyDescent="0.2">
      <c r="B21">
        <v>19</v>
      </c>
      <c r="C21" t="s">
        <v>35</v>
      </c>
      <c r="D21" t="s">
        <v>4</v>
      </c>
      <c r="E21" s="18" t="str">
        <f t="shared" si="0"/>
        <v>Corporate</v>
      </c>
      <c r="F21" s="18">
        <f t="shared" si="4"/>
        <v>1</v>
      </c>
      <c r="G21" s="18">
        <f t="shared" si="1"/>
        <v>13</v>
      </c>
      <c r="H21" s="8">
        <v>1</v>
      </c>
      <c r="J21" s="25" t="s">
        <v>17</v>
      </c>
      <c r="K21" s="25" t="s">
        <v>11</v>
      </c>
      <c r="L21">
        <f t="shared" si="13"/>
        <v>1</v>
      </c>
      <c r="M21" s="17">
        <f t="shared" si="11"/>
        <v>32</v>
      </c>
      <c r="N21">
        <f t="shared" si="7"/>
        <v>1</v>
      </c>
      <c r="O21" s="17">
        <f t="shared" si="12"/>
        <v>0</v>
      </c>
      <c r="V21" s="7"/>
      <c r="X21" s="18" t="str">
        <v>GRH</v>
      </c>
      <c r="Y21" s="3">
        <f t="shared" si="3"/>
        <v>6</v>
      </c>
      <c r="Z21" s="18" t="str">
        <f t="shared" si="9"/>
        <v>Corporate</v>
      </c>
      <c r="AB21" t="s">
        <v>72</v>
      </c>
      <c r="AC21" t="s">
        <v>12</v>
      </c>
    </row>
    <row r="22" spans="2:29" x14ac:dyDescent="0.2">
      <c r="B22">
        <v>20</v>
      </c>
      <c r="C22" t="s">
        <v>60</v>
      </c>
      <c r="D22" t="s">
        <v>4</v>
      </c>
      <c r="E22" s="18" t="str">
        <f t="shared" si="0"/>
        <v>Technology</v>
      </c>
      <c r="F22" s="18">
        <f t="shared" si="4"/>
        <v>1</v>
      </c>
      <c r="G22" s="18">
        <f t="shared" si="1"/>
        <v>5</v>
      </c>
      <c r="H22" s="8">
        <v>1</v>
      </c>
      <c r="J22" t="s">
        <v>17</v>
      </c>
      <c r="K22" t="s">
        <v>5</v>
      </c>
      <c r="L22">
        <f t="shared" si="13"/>
        <v>8</v>
      </c>
      <c r="M22" s="17">
        <f t="shared" si="11"/>
        <v>32</v>
      </c>
      <c r="N22">
        <f t="shared" si="7"/>
        <v>8</v>
      </c>
      <c r="O22" s="17">
        <f t="shared" si="12"/>
        <v>0</v>
      </c>
      <c r="V22" s="7"/>
      <c r="X22" s="18" t="str">
        <v>SI-CRP</v>
      </c>
      <c r="Y22" s="3">
        <f t="shared" si="3"/>
        <v>6</v>
      </c>
      <c r="Z22" s="18" t="str">
        <f t="shared" si="9"/>
        <v>Technology</v>
      </c>
      <c r="AB22" t="s">
        <v>48</v>
      </c>
      <c r="AC22" t="s">
        <v>12</v>
      </c>
    </row>
    <row r="23" spans="2:29" x14ac:dyDescent="0.2">
      <c r="B23">
        <v>21</v>
      </c>
      <c r="C23" t="s">
        <v>23</v>
      </c>
      <c r="D23" t="s">
        <v>4</v>
      </c>
      <c r="E23" s="18" t="str">
        <f t="shared" si="0"/>
        <v>Commercial</v>
      </c>
      <c r="F23" s="18">
        <f t="shared" si="4"/>
        <v>1</v>
      </c>
      <c r="G23" s="18">
        <f t="shared" si="1"/>
        <v>9</v>
      </c>
      <c r="H23" s="8">
        <v>1</v>
      </c>
      <c r="J23" t="s">
        <v>17</v>
      </c>
      <c r="K23" t="s">
        <v>12</v>
      </c>
      <c r="L23">
        <f t="shared" si="13"/>
        <v>8</v>
      </c>
      <c r="M23" s="17">
        <f t="shared" si="11"/>
        <v>32</v>
      </c>
      <c r="N23">
        <f t="shared" si="7"/>
        <v>8</v>
      </c>
      <c r="O23" s="17">
        <f t="shared" si="12"/>
        <v>0</v>
      </c>
      <c r="V23" s="7"/>
      <c r="X23" s="18" t="str">
        <v>GP ECL</v>
      </c>
      <c r="Y23" s="3">
        <f t="shared" si="3"/>
        <v>6</v>
      </c>
      <c r="Z23" s="18" t="str">
        <f t="shared" si="9"/>
        <v>Commercial</v>
      </c>
      <c r="AB23" t="s">
        <v>50</v>
      </c>
      <c r="AC23" t="s">
        <v>12</v>
      </c>
    </row>
    <row r="24" spans="2:29" x14ac:dyDescent="0.2">
      <c r="B24">
        <v>22</v>
      </c>
      <c r="C24" t="s">
        <v>98</v>
      </c>
      <c r="D24" t="s">
        <v>4</v>
      </c>
      <c r="E24" s="18" t="str">
        <f t="shared" si="0"/>
        <v>Corporate</v>
      </c>
      <c r="F24" s="18">
        <f t="shared" si="4"/>
        <v>1</v>
      </c>
      <c r="G24" s="18">
        <f t="shared" si="1"/>
        <v>13</v>
      </c>
      <c r="H24" s="8">
        <v>1</v>
      </c>
      <c r="J24" t="s">
        <v>17</v>
      </c>
      <c r="K24" t="s">
        <v>6</v>
      </c>
      <c r="L24">
        <f t="shared" si="13"/>
        <v>3</v>
      </c>
      <c r="M24" s="17">
        <f t="shared" si="11"/>
        <v>32</v>
      </c>
      <c r="N24">
        <f t="shared" si="7"/>
        <v>3</v>
      </c>
      <c r="O24" s="17">
        <f t="shared" si="12"/>
        <v>0</v>
      </c>
      <c r="V24" s="7"/>
      <c r="X24" s="18" t="str">
        <v>PC</v>
      </c>
      <c r="Y24" s="3">
        <f t="shared" si="3"/>
        <v>6</v>
      </c>
      <c r="Z24" s="18" t="str">
        <f t="shared" si="9"/>
        <v>Corporate</v>
      </c>
      <c r="AB24" t="s">
        <v>73</v>
      </c>
      <c r="AC24" t="s">
        <v>12</v>
      </c>
    </row>
    <row r="25" spans="2:29" x14ac:dyDescent="0.2">
      <c r="B25">
        <v>23</v>
      </c>
      <c r="C25" t="s">
        <v>24</v>
      </c>
      <c r="D25" t="s">
        <v>4</v>
      </c>
      <c r="E25" s="18" t="str">
        <f t="shared" si="0"/>
        <v>Commercial</v>
      </c>
      <c r="F25" s="18">
        <f t="shared" si="4"/>
        <v>1</v>
      </c>
      <c r="G25" s="18">
        <f t="shared" si="1"/>
        <v>9</v>
      </c>
      <c r="H25" s="8">
        <v>1</v>
      </c>
      <c r="J25" t="s">
        <v>17</v>
      </c>
      <c r="K25" t="s">
        <v>8</v>
      </c>
      <c r="L25">
        <f t="shared" si="13"/>
        <v>5</v>
      </c>
      <c r="M25" s="17">
        <f t="shared" si="11"/>
        <v>32</v>
      </c>
      <c r="N25">
        <f t="shared" si="7"/>
        <v>5</v>
      </c>
      <c r="O25" s="17">
        <f t="shared" si="12"/>
        <v>0</v>
      </c>
      <c r="V25" s="7"/>
      <c r="X25" s="18" t="str">
        <v>GPG</v>
      </c>
      <c r="Y25" s="3">
        <f t="shared" si="3"/>
        <v>6</v>
      </c>
      <c r="Z25" s="18" t="str">
        <f t="shared" si="9"/>
        <v>Commercial</v>
      </c>
      <c r="AB25" t="s">
        <v>54</v>
      </c>
      <c r="AC25" t="s">
        <v>12</v>
      </c>
    </row>
    <row r="26" spans="2:29" x14ac:dyDescent="0.2">
      <c r="B26">
        <v>24</v>
      </c>
      <c r="C26" t="s">
        <v>45</v>
      </c>
      <c r="D26" t="s">
        <v>4</v>
      </c>
      <c r="E26" s="18" t="str">
        <f t="shared" si="0"/>
        <v>Corporate</v>
      </c>
      <c r="F26" s="18">
        <f t="shared" si="4"/>
        <v>1</v>
      </c>
      <c r="G26" s="18">
        <f t="shared" si="1"/>
        <v>13</v>
      </c>
      <c r="H26" s="8">
        <v>1</v>
      </c>
      <c r="J26" s="24" t="s">
        <v>17</v>
      </c>
      <c r="K26" s="24" t="s">
        <v>74</v>
      </c>
      <c r="L26" s="24">
        <f t="shared" si="13"/>
        <v>7</v>
      </c>
      <c r="M26" s="17">
        <f t="shared" si="11"/>
        <v>32</v>
      </c>
      <c r="N26">
        <f t="shared" si="7"/>
        <v>7</v>
      </c>
      <c r="O26" s="17">
        <f t="shared" si="12"/>
        <v>0</v>
      </c>
      <c r="V26" s="7"/>
      <c r="X26" s="18" t="str">
        <v>RS</v>
      </c>
      <c r="Y26" s="3">
        <f t="shared" si="3"/>
        <v>6</v>
      </c>
      <c r="Z26" s="18" t="str">
        <f t="shared" si="9"/>
        <v>Corporate</v>
      </c>
      <c r="AB26" t="s">
        <v>56</v>
      </c>
      <c r="AC26" t="s">
        <v>12</v>
      </c>
    </row>
    <row r="27" spans="2:29" x14ac:dyDescent="0.2">
      <c r="B27">
        <v>25</v>
      </c>
      <c r="C27" t="s">
        <v>40</v>
      </c>
      <c r="D27" t="s">
        <v>4</v>
      </c>
      <c r="E27" s="18" t="str">
        <f t="shared" si="0"/>
        <v>Commercial</v>
      </c>
      <c r="F27" s="18">
        <f t="shared" si="4"/>
        <v>1</v>
      </c>
      <c r="G27" s="18">
        <f t="shared" si="1"/>
        <v>9</v>
      </c>
      <c r="H27" s="8">
        <v>1</v>
      </c>
      <c r="J27" s="25" t="s">
        <v>16</v>
      </c>
      <c r="K27" s="25" t="s">
        <v>11</v>
      </c>
      <c r="L27">
        <f t="shared" si="13"/>
        <v>1</v>
      </c>
      <c r="M27" s="17">
        <f t="shared" si="11"/>
        <v>32</v>
      </c>
      <c r="N27">
        <f t="shared" si="7"/>
        <v>1</v>
      </c>
      <c r="O27" s="17">
        <f t="shared" si="12"/>
        <v>0</v>
      </c>
      <c r="V27" s="7"/>
      <c r="X27" s="18" t="str">
        <v>ECM</v>
      </c>
      <c r="Y27" s="3">
        <f t="shared" si="3"/>
        <v>6</v>
      </c>
      <c r="Z27" s="18" t="str">
        <f t="shared" si="9"/>
        <v>Commercial</v>
      </c>
      <c r="AB27" t="s">
        <v>35</v>
      </c>
      <c r="AC27" t="s">
        <v>12</v>
      </c>
    </row>
    <row r="28" spans="2:29" x14ac:dyDescent="0.2">
      <c r="B28">
        <v>26</v>
      </c>
      <c r="C28" t="s">
        <v>48</v>
      </c>
      <c r="D28" t="s">
        <v>4</v>
      </c>
      <c r="E28" s="18" t="str">
        <f t="shared" si="0"/>
        <v>Corporate</v>
      </c>
      <c r="F28" s="18">
        <f t="shared" si="4"/>
        <v>1</v>
      </c>
      <c r="G28" s="18">
        <f t="shared" si="1"/>
        <v>13</v>
      </c>
      <c r="H28" s="8">
        <v>1</v>
      </c>
      <c r="J28" t="s">
        <v>16</v>
      </c>
      <c r="K28" t="s">
        <v>5</v>
      </c>
      <c r="L28">
        <f t="shared" si="13"/>
        <v>9</v>
      </c>
      <c r="M28" s="17">
        <f t="shared" si="11"/>
        <v>32</v>
      </c>
      <c r="N28">
        <f t="shared" si="7"/>
        <v>9</v>
      </c>
      <c r="O28" s="17">
        <f t="shared" si="12"/>
        <v>0</v>
      </c>
      <c r="V28" s="7"/>
      <c r="X28" s="18" t="str">
        <v>CL</v>
      </c>
      <c r="Y28" s="3">
        <f t="shared" si="3"/>
        <v>6</v>
      </c>
      <c r="Z28" s="18" t="str">
        <f t="shared" si="9"/>
        <v>Corporate</v>
      </c>
      <c r="AB28" t="s">
        <v>47</v>
      </c>
      <c r="AC28" t="s">
        <v>12</v>
      </c>
    </row>
    <row r="29" spans="2:29" x14ac:dyDescent="0.2">
      <c r="B29">
        <v>27</v>
      </c>
      <c r="C29" t="s">
        <v>39</v>
      </c>
      <c r="D29" t="s">
        <v>4</v>
      </c>
      <c r="E29" s="18" t="str">
        <f t="shared" si="0"/>
        <v>Commercial</v>
      </c>
      <c r="F29" s="18">
        <f t="shared" si="4"/>
        <v>1</v>
      </c>
      <c r="G29" s="18">
        <f t="shared" si="1"/>
        <v>9</v>
      </c>
      <c r="H29" s="8">
        <v>1</v>
      </c>
      <c r="J29" t="s">
        <v>16</v>
      </c>
      <c r="K29" t="s">
        <v>12</v>
      </c>
      <c r="L29">
        <f t="shared" si="13"/>
        <v>13</v>
      </c>
      <c r="M29" s="17">
        <f t="shared" si="11"/>
        <v>32</v>
      </c>
      <c r="N29">
        <f t="shared" si="7"/>
        <v>13</v>
      </c>
      <c r="O29" s="17">
        <f t="shared" si="12"/>
        <v>0</v>
      </c>
      <c r="V29" s="7"/>
      <c r="X29" s="18" t="str">
        <v>CTTE</v>
      </c>
      <c r="Y29" s="3">
        <f t="shared" si="3"/>
        <v>6</v>
      </c>
      <c r="Z29" s="18" t="str">
        <f t="shared" si="9"/>
        <v>Commercial</v>
      </c>
      <c r="AB29" t="s">
        <v>98</v>
      </c>
      <c r="AC29" t="s">
        <v>12</v>
      </c>
    </row>
    <row r="30" spans="2:29" x14ac:dyDescent="0.2">
      <c r="B30">
        <v>28</v>
      </c>
      <c r="C30" t="s">
        <v>54</v>
      </c>
      <c r="D30" t="s">
        <v>4</v>
      </c>
      <c r="E30" s="18" t="str">
        <f t="shared" si="0"/>
        <v>Corporate</v>
      </c>
      <c r="F30" s="18">
        <f t="shared" si="4"/>
        <v>1</v>
      </c>
      <c r="G30" s="18">
        <f t="shared" si="1"/>
        <v>13</v>
      </c>
      <c r="H30" s="8">
        <v>1</v>
      </c>
      <c r="J30" t="s">
        <v>16</v>
      </c>
      <c r="K30" t="s">
        <v>6</v>
      </c>
      <c r="L30">
        <f t="shared" si="13"/>
        <v>3</v>
      </c>
      <c r="M30" s="17">
        <f t="shared" si="11"/>
        <v>32</v>
      </c>
      <c r="N30">
        <f t="shared" si="7"/>
        <v>3</v>
      </c>
      <c r="O30" s="17">
        <f t="shared" si="12"/>
        <v>0</v>
      </c>
      <c r="V30" s="7"/>
      <c r="X30" s="18" t="str">
        <v>DPO</v>
      </c>
      <c r="Y30" s="3">
        <f t="shared" si="3"/>
        <v>6</v>
      </c>
      <c r="Z30" s="18" t="str">
        <f t="shared" si="9"/>
        <v>Corporate</v>
      </c>
      <c r="AB30" t="s">
        <v>71</v>
      </c>
      <c r="AC30" t="s">
        <v>12</v>
      </c>
    </row>
    <row r="31" spans="2:29" x14ac:dyDescent="0.2">
      <c r="B31">
        <v>29</v>
      </c>
      <c r="C31" t="s">
        <v>50</v>
      </c>
      <c r="D31" t="s">
        <v>4</v>
      </c>
      <c r="E31" s="18" t="str">
        <f t="shared" si="0"/>
        <v>Corporate</v>
      </c>
      <c r="F31" s="18">
        <f t="shared" si="4"/>
        <v>1</v>
      </c>
      <c r="G31" s="18">
        <f t="shared" si="1"/>
        <v>13</v>
      </c>
      <c r="H31" s="8">
        <v>1</v>
      </c>
      <c r="J31" t="s">
        <v>16</v>
      </c>
      <c r="K31" t="s">
        <v>8</v>
      </c>
      <c r="L31">
        <f t="shared" si="13"/>
        <v>5</v>
      </c>
      <c r="M31" s="17">
        <f t="shared" si="11"/>
        <v>32</v>
      </c>
      <c r="N31">
        <f t="shared" si="7"/>
        <v>5</v>
      </c>
      <c r="O31" s="17">
        <f t="shared" si="12"/>
        <v>0</v>
      </c>
      <c r="V31" s="7"/>
      <c r="X31" s="18" t="str">
        <v>CMP</v>
      </c>
      <c r="Y31" s="3">
        <f t="shared" si="3"/>
        <v>6</v>
      </c>
      <c r="Z31" s="18" t="str">
        <f t="shared" si="9"/>
        <v>Corporate</v>
      </c>
      <c r="AB31" t="s">
        <v>45</v>
      </c>
      <c r="AC31" t="s">
        <v>12</v>
      </c>
    </row>
    <row r="32" spans="2:29" x14ac:dyDescent="0.2">
      <c r="B32">
        <v>30</v>
      </c>
      <c r="C32" t="s">
        <v>51</v>
      </c>
      <c r="D32" t="s">
        <v>4</v>
      </c>
      <c r="E32" s="18" t="str">
        <f t="shared" si="0"/>
        <v>Corporate</v>
      </c>
      <c r="F32" s="18">
        <f t="shared" si="4"/>
        <v>1</v>
      </c>
      <c r="G32" s="18">
        <f t="shared" si="1"/>
        <v>13</v>
      </c>
      <c r="H32" s="8">
        <v>1</v>
      </c>
      <c r="J32" s="24" t="s">
        <v>16</v>
      </c>
      <c r="K32" s="24" t="s">
        <v>74</v>
      </c>
      <c r="L32" s="24">
        <f t="shared" si="13"/>
        <v>1</v>
      </c>
      <c r="M32" s="17">
        <f t="shared" si="11"/>
        <v>32</v>
      </c>
      <c r="N32">
        <f t="shared" si="7"/>
        <v>1</v>
      </c>
      <c r="O32" s="17">
        <f t="shared" si="12"/>
        <v>0</v>
      </c>
      <c r="V32" s="7"/>
      <c r="X32" s="18" t="str">
        <v>ST</v>
      </c>
      <c r="Y32" s="3">
        <f t="shared" si="3"/>
        <v>6</v>
      </c>
      <c r="Z32" s="18" t="str">
        <f t="shared" si="9"/>
        <v>Corporate</v>
      </c>
      <c r="AB32" t="s">
        <v>51</v>
      </c>
      <c r="AC32" t="s">
        <v>12</v>
      </c>
    </row>
    <row r="33" spans="2:29" x14ac:dyDescent="0.2">
      <c r="B33">
        <v>31</v>
      </c>
      <c r="C33" t="s">
        <v>56</v>
      </c>
      <c r="D33" t="s">
        <v>4</v>
      </c>
      <c r="E33" s="18" t="str">
        <f t="shared" si="0"/>
        <v>Corporate</v>
      </c>
      <c r="F33" s="18">
        <f t="shared" si="4"/>
        <v>1</v>
      </c>
      <c r="G33" s="18">
        <f t="shared" si="1"/>
        <v>13</v>
      </c>
      <c r="H33" s="8">
        <v>1</v>
      </c>
      <c r="J33" s="25" t="s">
        <v>14</v>
      </c>
      <c r="K33" s="25" t="s">
        <v>11</v>
      </c>
      <c r="L33">
        <f t="shared" si="13"/>
        <v>1</v>
      </c>
      <c r="M33" s="17">
        <f t="shared" si="11"/>
        <v>32</v>
      </c>
      <c r="N33">
        <f t="shared" si="7"/>
        <v>1</v>
      </c>
      <c r="O33" s="17">
        <f t="shared" si="12"/>
        <v>0</v>
      </c>
      <c r="V33" s="7"/>
      <c r="X33" s="18" t="str">
        <v>FL</v>
      </c>
      <c r="Y33" s="3">
        <f t="shared" si="3"/>
        <v>6</v>
      </c>
      <c r="Z33" s="18" t="str">
        <f t="shared" si="9"/>
        <v>Corporate</v>
      </c>
      <c r="AB33" t="s">
        <v>53</v>
      </c>
      <c r="AC33" t="s">
        <v>12</v>
      </c>
    </row>
    <row r="34" spans="2:29" x14ac:dyDescent="0.2">
      <c r="B34">
        <v>32</v>
      </c>
      <c r="C34" t="s">
        <v>53</v>
      </c>
      <c r="D34" t="s">
        <v>4</v>
      </c>
      <c r="E34" s="18" t="str">
        <f t="shared" si="0"/>
        <v>Corporate</v>
      </c>
      <c r="F34" s="18">
        <f t="shared" si="4"/>
        <v>1</v>
      </c>
      <c r="G34" s="18">
        <f t="shared" si="1"/>
        <v>13</v>
      </c>
      <c r="H34" s="8">
        <v>1</v>
      </c>
      <c r="J34" t="s">
        <v>14</v>
      </c>
      <c r="K34" t="s">
        <v>5</v>
      </c>
      <c r="L34">
        <f t="shared" si="13"/>
        <v>9</v>
      </c>
      <c r="M34" s="17">
        <f t="shared" si="11"/>
        <v>32</v>
      </c>
      <c r="N34">
        <f t="shared" si="7"/>
        <v>9</v>
      </c>
      <c r="O34" s="17">
        <f t="shared" si="12"/>
        <v>0</v>
      </c>
      <c r="V34" s="7"/>
      <c r="X34" s="18" t="str">
        <v>TF</v>
      </c>
      <c r="Y34" s="3">
        <f t="shared" si="3"/>
        <v>6</v>
      </c>
      <c r="Z34" s="18" t="str">
        <f t="shared" si="9"/>
        <v>Corporate</v>
      </c>
      <c r="AB34" t="s">
        <v>64</v>
      </c>
      <c r="AC34" t="s">
        <v>6</v>
      </c>
    </row>
    <row r="35" spans="2:29" x14ac:dyDescent="0.2">
      <c r="B35">
        <v>1</v>
      </c>
      <c r="C35" t="s">
        <v>64</v>
      </c>
      <c r="D35" t="s">
        <v>10</v>
      </c>
      <c r="E35" s="18" t="str">
        <f t="shared" si="0"/>
        <v>Operations</v>
      </c>
      <c r="F35" s="26">
        <v>2</v>
      </c>
      <c r="G35" s="18">
        <f>SUMIFS($H$2:$H$1000,$E$2:$E$1000,E35,$D$2:$D$1000,D35)</f>
        <v>7</v>
      </c>
      <c r="H35" s="8">
        <v>2</v>
      </c>
      <c r="J35" t="s">
        <v>14</v>
      </c>
      <c r="K35" t="s">
        <v>12</v>
      </c>
      <c r="L35">
        <f t="shared" si="13"/>
        <v>13</v>
      </c>
      <c r="M35" s="17">
        <f t="shared" si="11"/>
        <v>32</v>
      </c>
      <c r="N35">
        <f t="shared" si="7"/>
        <v>13</v>
      </c>
      <c r="O35" s="17">
        <f t="shared" si="12"/>
        <v>0</v>
      </c>
      <c r="V35" s="7"/>
      <c r="X35" s="18" t="str">
        <v>COO</v>
      </c>
      <c r="Y35" s="3">
        <f t="shared" si="3"/>
        <v>2</v>
      </c>
      <c r="Z35" s="18" t="str">
        <f t="shared" si="9"/>
        <v>Operations</v>
      </c>
      <c r="AB35" t="s">
        <v>7</v>
      </c>
      <c r="AC35" t="s">
        <v>6</v>
      </c>
    </row>
    <row r="36" spans="2:29" x14ac:dyDescent="0.2">
      <c r="B36">
        <v>2</v>
      </c>
      <c r="C36" t="s">
        <v>23</v>
      </c>
      <c r="D36" t="s">
        <v>10</v>
      </c>
      <c r="E36" s="18" t="str">
        <f t="shared" si="0"/>
        <v>Commercial</v>
      </c>
      <c r="F36" s="18">
        <f t="shared" si="4"/>
        <v>1</v>
      </c>
      <c r="G36" s="18">
        <f t="shared" si="1"/>
        <v>12</v>
      </c>
      <c r="H36" s="8">
        <v>1</v>
      </c>
      <c r="J36" t="s">
        <v>14</v>
      </c>
      <c r="K36" t="s">
        <v>6</v>
      </c>
      <c r="L36">
        <f t="shared" si="13"/>
        <v>3</v>
      </c>
      <c r="M36" s="17">
        <f t="shared" si="11"/>
        <v>32</v>
      </c>
      <c r="N36">
        <f t="shared" si="7"/>
        <v>3</v>
      </c>
      <c r="O36" s="17">
        <f t="shared" si="12"/>
        <v>0</v>
      </c>
      <c r="V36" s="7"/>
      <c r="X36" s="18" t="str">
        <v>CFO</v>
      </c>
      <c r="Y36" s="3">
        <f t="shared" si="3"/>
        <v>1</v>
      </c>
      <c r="Z36" s="18" t="str">
        <f t="shared" si="9"/>
        <v>Corporate</v>
      </c>
      <c r="AB36" t="s">
        <v>42</v>
      </c>
      <c r="AC36" t="s">
        <v>6</v>
      </c>
    </row>
    <row r="37" spans="2:29" x14ac:dyDescent="0.2">
      <c r="B37">
        <v>3</v>
      </c>
      <c r="C37" t="s">
        <v>69</v>
      </c>
      <c r="D37" t="s">
        <v>10</v>
      </c>
      <c r="E37" s="18" t="str">
        <f t="shared" si="0"/>
        <v>Corporate</v>
      </c>
      <c r="F37" s="18">
        <f t="shared" si="4"/>
        <v>1</v>
      </c>
      <c r="G37" s="18">
        <f t="shared" si="1"/>
        <v>18</v>
      </c>
      <c r="H37" s="8">
        <v>1</v>
      </c>
      <c r="J37" t="s">
        <v>14</v>
      </c>
      <c r="K37" t="s">
        <v>8</v>
      </c>
      <c r="L37">
        <f t="shared" si="13"/>
        <v>5</v>
      </c>
      <c r="M37" s="17">
        <f t="shared" si="11"/>
        <v>32</v>
      </c>
      <c r="N37">
        <f t="shared" si="7"/>
        <v>5</v>
      </c>
      <c r="O37" s="17">
        <f t="shared" si="12"/>
        <v>0</v>
      </c>
      <c r="V37" s="7"/>
      <c r="X37" s="18" t="str">
        <v>CIO</v>
      </c>
      <c r="Y37" s="3">
        <f t="shared" si="3"/>
        <v>1</v>
      </c>
      <c r="Z37" s="18" t="str">
        <f t="shared" si="9"/>
        <v>Technology</v>
      </c>
      <c r="AB37" t="s">
        <v>42</v>
      </c>
      <c r="AC37" t="s">
        <v>6</v>
      </c>
    </row>
    <row r="38" spans="2:29" x14ac:dyDescent="0.2">
      <c r="B38">
        <v>4</v>
      </c>
      <c r="C38" t="s">
        <v>70</v>
      </c>
      <c r="D38" t="s">
        <v>10</v>
      </c>
      <c r="E38" s="18" t="str">
        <f t="shared" si="0"/>
        <v>Technology</v>
      </c>
      <c r="F38" s="18">
        <f t="shared" si="4"/>
        <v>1</v>
      </c>
      <c r="G38" s="18">
        <f t="shared" si="1"/>
        <v>6</v>
      </c>
      <c r="H38" s="8">
        <v>1</v>
      </c>
      <c r="J38" s="24" t="s">
        <v>14</v>
      </c>
      <c r="K38" s="24" t="s">
        <v>74</v>
      </c>
      <c r="L38" s="24">
        <f t="shared" si="13"/>
        <v>1</v>
      </c>
      <c r="M38" s="17">
        <f t="shared" si="11"/>
        <v>32</v>
      </c>
      <c r="N38">
        <f t="shared" si="7"/>
        <v>1</v>
      </c>
      <c r="O38" s="17">
        <f t="shared" si="12"/>
        <v>0</v>
      </c>
      <c r="V38" s="7"/>
      <c r="X38" s="18" t="str">
        <v>CMO</v>
      </c>
      <c r="Y38" s="3">
        <f t="shared" si="3"/>
        <v>1</v>
      </c>
      <c r="Z38" s="18" t="str">
        <f t="shared" si="9"/>
        <v>Commercial</v>
      </c>
      <c r="AB38" t="s">
        <v>26</v>
      </c>
      <c r="AC38" t="s">
        <v>6</v>
      </c>
    </row>
    <row r="39" spans="2:29" x14ac:dyDescent="0.2">
      <c r="B39">
        <v>5</v>
      </c>
      <c r="C39" t="s">
        <v>11</v>
      </c>
      <c r="D39" t="s">
        <v>10</v>
      </c>
      <c r="E39" s="18" t="str">
        <f t="shared" si="0"/>
        <v>CISO</v>
      </c>
      <c r="F39" s="18">
        <f t="shared" si="4"/>
        <v>1</v>
      </c>
      <c r="G39" s="18">
        <f t="shared" si="1"/>
        <v>1</v>
      </c>
      <c r="H39" s="8">
        <v>1</v>
      </c>
      <c r="V39" s="7"/>
      <c r="X39" s="18" t="str">
        <v>CCO</v>
      </c>
      <c r="Y39" s="3">
        <f t="shared" si="3"/>
        <v>1</v>
      </c>
      <c r="Z39" s="18" t="str">
        <f t="shared" si="9"/>
        <v>Commercial</v>
      </c>
      <c r="AB39" t="s">
        <v>34</v>
      </c>
      <c r="AC39" t="s">
        <v>8</v>
      </c>
    </row>
    <row r="40" spans="2:29" x14ac:dyDescent="0.2">
      <c r="B40">
        <v>6</v>
      </c>
      <c r="C40" t="s">
        <v>116</v>
      </c>
      <c r="D40" t="s">
        <v>10</v>
      </c>
      <c r="E40" s="18" t="str">
        <f t="shared" si="0"/>
        <v>Data &amp; AI</v>
      </c>
      <c r="F40" s="18">
        <f t="shared" si="4"/>
        <v>1</v>
      </c>
      <c r="G40" s="18">
        <f t="shared" si="1"/>
        <v>1</v>
      </c>
      <c r="H40" s="8">
        <v>1</v>
      </c>
      <c r="V40" s="7"/>
      <c r="X40" s="18" t="str">
        <v>ATC</v>
      </c>
      <c r="Y40" s="3">
        <f t="shared" si="3"/>
        <v>1</v>
      </c>
      <c r="Z40" s="18" t="str">
        <f t="shared" si="9"/>
        <v>Corporate</v>
      </c>
      <c r="AB40" t="s">
        <v>70</v>
      </c>
      <c r="AC40" t="s">
        <v>8</v>
      </c>
    </row>
    <row r="41" spans="2:29" x14ac:dyDescent="0.2">
      <c r="B41">
        <v>7</v>
      </c>
      <c r="C41" t="s">
        <v>37</v>
      </c>
      <c r="D41" t="s">
        <v>10</v>
      </c>
      <c r="E41" s="18" t="str">
        <f t="shared" si="0"/>
        <v>Commercial</v>
      </c>
      <c r="F41" s="18">
        <f t="shared" si="4"/>
        <v>1</v>
      </c>
      <c r="G41" s="18">
        <f t="shared" si="1"/>
        <v>12</v>
      </c>
      <c r="H41" s="8">
        <v>1</v>
      </c>
      <c r="V41" s="7"/>
      <c r="X41" s="18" t="str">
        <v>IDC</v>
      </c>
      <c r="Y41" s="3">
        <f t="shared" si="3"/>
        <v>1</v>
      </c>
      <c r="Z41" s="18" t="str">
        <f t="shared" si="9"/>
        <v>Commercial</v>
      </c>
      <c r="AB41" t="s">
        <v>9</v>
      </c>
      <c r="AC41" t="s">
        <v>8</v>
      </c>
    </row>
    <row r="42" spans="2:29" x14ac:dyDescent="0.2">
      <c r="B42">
        <v>8</v>
      </c>
      <c r="C42" t="s">
        <v>7</v>
      </c>
      <c r="D42" t="s">
        <v>10</v>
      </c>
      <c r="E42" s="18" t="str">
        <f t="shared" si="0"/>
        <v>Operations</v>
      </c>
      <c r="F42" s="26">
        <v>2</v>
      </c>
      <c r="G42" s="18">
        <f t="shared" si="1"/>
        <v>7</v>
      </c>
      <c r="H42" s="8">
        <v>2</v>
      </c>
      <c r="V42" s="7"/>
      <c r="X42" s="18" t="str">
        <v>CHR</v>
      </c>
      <c r="Y42" s="3">
        <f t="shared" si="3"/>
        <v>1</v>
      </c>
      <c r="Z42" s="18" t="str">
        <f t="shared" si="9"/>
        <v>Corporate</v>
      </c>
      <c r="AB42" t="s">
        <v>60</v>
      </c>
      <c r="AC42" t="s">
        <v>8</v>
      </c>
    </row>
    <row r="43" spans="2:29" x14ac:dyDescent="0.2">
      <c r="B43">
        <v>9</v>
      </c>
      <c r="C43" t="s">
        <v>44</v>
      </c>
      <c r="D43" t="s">
        <v>10</v>
      </c>
      <c r="E43" s="18" t="str">
        <f t="shared" si="0"/>
        <v>Corporate</v>
      </c>
      <c r="F43" s="18">
        <f t="shared" si="4"/>
        <v>1</v>
      </c>
      <c r="G43" s="18">
        <f t="shared" si="1"/>
        <v>18</v>
      </c>
      <c r="H43" s="8">
        <v>1</v>
      </c>
      <c r="V43" s="7"/>
      <c r="X43" s="18" t="str">
        <v>PRO</v>
      </c>
      <c r="Y43" s="3">
        <f t="shared" si="3"/>
        <v>1</v>
      </c>
      <c r="Z43" s="18" t="str">
        <f t="shared" si="9"/>
        <v>Corporate</v>
      </c>
      <c r="AB43" t="s">
        <v>59</v>
      </c>
      <c r="AC43" t="s">
        <v>8</v>
      </c>
    </row>
    <row r="44" spans="2:29" x14ac:dyDescent="0.2">
      <c r="B44">
        <v>10</v>
      </c>
      <c r="C44" t="s">
        <v>9</v>
      </c>
      <c r="D44" t="s">
        <v>10</v>
      </c>
      <c r="E44" s="18" t="str">
        <f t="shared" si="0"/>
        <v>Technology</v>
      </c>
      <c r="F44" s="18">
        <f t="shared" si="4"/>
        <v>1</v>
      </c>
      <c r="G44" s="18">
        <f t="shared" si="1"/>
        <v>6</v>
      </c>
      <c r="H44" s="8">
        <v>1</v>
      </c>
      <c r="V44" s="7"/>
      <c r="X44" s="18" t="str">
        <v>COM</v>
      </c>
      <c r="Y44" s="3">
        <f t="shared" si="3"/>
        <v>1</v>
      </c>
      <c r="Z44" s="18" t="str">
        <f t="shared" si="9"/>
        <v>Corporate</v>
      </c>
      <c r="AB44" t="s">
        <v>58</v>
      </c>
      <c r="AC44" t="s">
        <v>8</v>
      </c>
    </row>
    <row r="45" spans="2:29" x14ac:dyDescent="0.2">
      <c r="B45">
        <v>11</v>
      </c>
      <c r="C45" t="s">
        <v>65</v>
      </c>
      <c r="D45" t="s">
        <v>10</v>
      </c>
      <c r="E45" s="18" t="str">
        <f t="shared" si="0"/>
        <v>Commercial</v>
      </c>
      <c r="F45" s="18">
        <f t="shared" si="4"/>
        <v>1</v>
      </c>
      <c r="G45" s="18">
        <f t="shared" si="1"/>
        <v>12</v>
      </c>
      <c r="H45" s="8">
        <v>1</v>
      </c>
      <c r="V45" s="7"/>
      <c r="X45">
        <v>0</v>
      </c>
      <c r="Y45" s="7"/>
      <c r="AB45" t="s">
        <v>116</v>
      </c>
      <c r="AC45" t="s">
        <v>74</v>
      </c>
    </row>
    <row r="46" spans="2:29" x14ac:dyDescent="0.2">
      <c r="B46">
        <v>12</v>
      </c>
      <c r="C46" t="s">
        <v>26</v>
      </c>
      <c r="D46" t="s">
        <v>10</v>
      </c>
      <c r="E46" s="18" t="str">
        <f t="shared" si="0"/>
        <v>Operations</v>
      </c>
      <c r="F46" s="26">
        <v>2</v>
      </c>
      <c r="G46" s="18">
        <f t="shared" si="1"/>
        <v>7</v>
      </c>
      <c r="H46" s="8">
        <v>2</v>
      </c>
      <c r="V46" s="7"/>
      <c r="Y46" s="7"/>
    </row>
    <row r="47" spans="2:29" x14ac:dyDescent="0.2">
      <c r="B47">
        <v>13</v>
      </c>
      <c r="C47" t="s">
        <v>22</v>
      </c>
      <c r="D47" t="s">
        <v>10</v>
      </c>
      <c r="E47" s="18" t="str">
        <f t="shared" si="0"/>
        <v>Corporate</v>
      </c>
      <c r="F47" s="18">
        <f t="shared" si="4"/>
        <v>1</v>
      </c>
      <c r="G47" s="18">
        <f t="shared" si="1"/>
        <v>18</v>
      </c>
      <c r="H47" s="8">
        <v>1</v>
      </c>
      <c r="V47" s="7"/>
      <c r="Y47" s="7"/>
    </row>
    <row r="48" spans="2:29" x14ac:dyDescent="0.2">
      <c r="B48">
        <v>14</v>
      </c>
      <c r="C48" t="s">
        <v>59</v>
      </c>
      <c r="D48" t="s">
        <v>10</v>
      </c>
      <c r="E48" s="18" t="str">
        <f t="shared" si="0"/>
        <v>Technology</v>
      </c>
      <c r="F48" s="18">
        <f t="shared" si="4"/>
        <v>1</v>
      </c>
      <c r="G48" s="18">
        <f t="shared" si="1"/>
        <v>6</v>
      </c>
      <c r="H48" s="8">
        <v>1</v>
      </c>
      <c r="V48" s="7"/>
      <c r="Y48" s="7"/>
    </row>
    <row r="49" spans="2:25" x14ac:dyDescent="0.2">
      <c r="B49">
        <v>15</v>
      </c>
      <c r="C49" t="s">
        <v>66</v>
      </c>
      <c r="D49" t="s">
        <v>10</v>
      </c>
      <c r="E49" s="18" t="str">
        <f t="shared" si="0"/>
        <v>Commercial</v>
      </c>
      <c r="F49" s="18">
        <f t="shared" si="4"/>
        <v>1</v>
      </c>
      <c r="G49" s="18">
        <f t="shared" si="1"/>
        <v>12</v>
      </c>
      <c r="H49" s="8">
        <v>1</v>
      </c>
      <c r="V49" s="7"/>
      <c r="Y49" s="7"/>
    </row>
    <row r="50" spans="2:25" x14ac:dyDescent="0.2">
      <c r="B50">
        <v>17</v>
      </c>
      <c r="C50" t="s">
        <v>34</v>
      </c>
      <c r="D50" t="s">
        <v>10</v>
      </c>
      <c r="E50" s="18" t="str">
        <f t="shared" si="0"/>
        <v>Technology</v>
      </c>
      <c r="F50" s="18">
        <f t="shared" si="4"/>
        <v>1</v>
      </c>
      <c r="G50" s="18">
        <f t="shared" si="1"/>
        <v>6</v>
      </c>
      <c r="H50" s="8">
        <v>1</v>
      </c>
      <c r="V50" s="7"/>
      <c r="Y50" s="7"/>
    </row>
    <row r="51" spans="2:25" x14ac:dyDescent="0.2">
      <c r="B51">
        <v>18</v>
      </c>
      <c r="C51" t="s">
        <v>67</v>
      </c>
      <c r="D51" t="s">
        <v>10</v>
      </c>
      <c r="E51" s="18" t="str">
        <f t="shared" si="0"/>
        <v>Corporate</v>
      </c>
      <c r="F51" s="18">
        <f t="shared" si="4"/>
        <v>1</v>
      </c>
      <c r="G51" s="18">
        <f t="shared" si="1"/>
        <v>18</v>
      </c>
      <c r="H51" s="8">
        <v>1</v>
      </c>
      <c r="V51" s="7"/>
      <c r="Y51" s="7"/>
    </row>
    <row r="52" spans="2:25" x14ac:dyDescent="0.2">
      <c r="B52">
        <v>19</v>
      </c>
      <c r="C52" t="s">
        <v>58</v>
      </c>
      <c r="D52" t="s">
        <v>10</v>
      </c>
      <c r="E52" s="18" t="str">
        <f t="shared" si="0"/>
        <v>Technology</v>
      </c>
      <c r="F52" s="18">
        <f t="shared" si="4"/>
        <v>1</v>
      </c>
      <c r="G52" s="18">
        <f t="shared" si="1"/>
        <v>6</v>
      </c>
      <c r="H52" s="8">
        <v>1</v>
      </c>
      <c r="V52" s="7"/>
      <c r="Y52" s="7"/>
    </row>
    <row r="53" spans="2:25" x14ac:dyDescent="0.2">
      <c r="B53">
        <v>20</v>
      </c>
      <c r="C53" t="s">
        <v>68</v>
      </c>
      <c r="D53" t="s">
        <v>10</v>
      </c>
      <c r="E53" s="18" t="str">
        <f t="shared" si="0"/>
        <v>Commercial</v>
      </c>
      <c r="F53" s="18">
        <f t="shared" si="4"/>
        <v>1</v>
      </c>
      <c r="G53" s="18">
        <f t="shared" si="1"/>
        <v>12</v>
      </c>
      <c r="H53" s="8">
        <v>1</v>
      </c>
      <c r="V53" s="7"/>
      <c r="Y53" s="7"/>
    </row>
    <row r="54" spans="2:25" x14ac:dyDescent="0.2">
      <c r="B54">
        <v>21</v>
      </c>
      <c r="C54" t="s">
        <v>46</v>
      </c>
      <c r="D54" t="s">
        <v>10</v>
      </c>
      <c r="E54" s="18" t="str">
        <f t="shared" si="0"/>
        <v>Corporate</v>
      </c>
      <c r="F54" s="18">
        <f t="shared" si="4"/>
        <v>1</v>
      </c>
      <c r="G54" s="18">
        <f t="shared" si="1"/>
        <v>18</v>
      </c>
      <c r="H54" s="8">
        <v>1</v>
      </c>
      <c r="V54" s="7"/>
      <c r="Y54" s="7"/>
    </row>
    <row r="55" spans="2:25" x14ac:dyDescent="0.2">
      <c r="B55">
        <v>22</v>
      </c>
      <c r="C55" t="s">
        <v>42</v>
      </c>
      <c r="D55" t="s">
        <v>10</v>
      </c>
      <c r="E55" s="18" t="str">
        <f t="shared" si="0"/>
        <v>Operations</v>
      </c>
      <c r="F55" s="26">
        <v>1</v>
      </c>
      <c r="G55" s="18">
        <f t="shared" si="1"/>
        <v>7</v>
      </c>
      <c r="H55" s="8">
        <v>1</v>
      </c>
      <c r="V55" s="7"/>
      <c r="Y55" s="7"/>
    </row>
    <row r="56" spans="2:25" x14ac:dyDescent="0.2">
      <c r="B56">
        <v>23</v>
      </c>
      <c r="C56" t="s">
        <v>36</v>
      </c>
      <c r="D56" t="s">
        <v>10</v>
      </c>
      <c r="E56" s="18" t="str">
        <f t="shared" si="0"/>
        <v>Commercial</v>
      </c>
      <c r="F56" s="18">
        <f t="shared" si="4"/>
        <v>1</v>
      </c>
      <c r="G56" s="18">
        <f t="shared" si="1"/>
        <v>12</v>
      </c>
      <c r="H56" s="8">
        <v>1</v>
      </c>
      <c r="V56" s="7"/>
      <c r="Y56" s="7"/>
    </row>
    <row r="57" spans="2:25" x14ac:dyDescent="0.2">
      <c r="B57">
        <v>24</v>
      </c>
      <c r="C57" t="s">
        <v>72</v>
      </c>
      <c r="D57" t="s">
        <v>10</v>
      </c>
      <c r="E57" s="18" t="str">
        <f t="shared" si="0"/>
        <v>Corporate</v>
      </c>
      <c r="F57" s="18">
        <f t="shared" si="4"/>
        <v>1</v>
      </c>
      <c r="G57" s="18">
        <f t="shared" si="1"/>
        <v>18</v>
      </c>
      <c r="H57" s="8">
        <v>1</v>
      </c>
      <c r="V57" s="7"/>
      <c r="Y57" s="7"/>
    </row>
    <row r="58" spans="2:25" x14ac:dyDescent="0.2">
      <c r="B58">
        <v>25</v>
      </c>
      <c r="C58" t="s">
        <v>60</v>
      </c>
      <c r="D58" t="s">
        <v>10</v>
      </c>
      <c r="E58" s="18" t="str">
        <f t="shared" si="0"/>
        <v>Technology</v>
      </c>
      <c r="F58" s="18">
        <f t="shared" si="4"/>
        <v>1</v>
      </c>
      <c r="G58" s="18">
        <f t="shared" si="1"/>
        <v>6</v>
      </c>
      <c r="H58" s="8">
        <v>1</v>
      </c>
      <c r="V58" s="7"/>
      <c r="Y58" s="7"/>
    </row>
    <row r="59" spans="2:25" x14ac:dyDescent="0.2">
      <c r="B59">
        <v>26</v>
      </c>
      <c r="C59" t="s">
        <v>38</v>
      </c>
      <c r="D59" t="s">
        <v>10</v>
      </c>
      <c r="E59" s="18" t="str">
        <f t="shared" si="0"/>
        <v>Commercial</v>
      </c>
      <c r="F59" s="18">
        <f t="shared" si="4"/>
        <v>1</v>
      </c>
      <c r="G59" s="18">
        <f t="shared" si="1"/>
        <v>12</v>
      </c>
      <c r="H59" s="8">
        <v>1</v>
      </c>
      <c r="V59" s="7"/>
      <c r="Y59" s="7"/>
    </row>
    <row r="60" spans="2:25" x14ac:dyDescent="0.2">
      <c r="B60">
        <v>27</v>
      </c>
      <c r="C60" t="s">
        <v>71</v>
      </c>
      <c r="D60" t="s">
        <v>10</v>
      </c>
      <c r="E60" s="18" t="str">
        <f t="shared" si="0"/>
        <v>Corporate</v>
      </c>
      <c r="F60" s="18">
        <f t="shared" si="4"/>
        <v>1</v>
      </c>
      <c r="G60" s="18">
        <f t="shared" si="1"/>
        <v>18</v>
      </c>
      <c r="H60" s="8">
        <v>1</v>
      </c>
      <c r="V60" s="7"/>
      <c r="Y60" s="7"/>
    </row>
    <row r="61" spans="2:25" x14ac:dyDescent="0.2">
      <c r="B61">
        <v>28</v>
      </c>
      <c r="C61" t="s">
        <v>21</v>
      </c>
      <c r="D61" t="s">
        <v>10</v>
      </c>
      <c r="E61" s="18" t="str">
        <f t="shared" si="0"/>
        <v>Commercial</v>
      </c>
      <c r="F61" s="18">
        <f t="shared" si="4"/>
        <v>1</v>
      </c>
      <c r="G61" s="18">
        <f t="shared" si="1"/>
        <v>12</v>
      </c>
      <c r="H61" s="8">
        <v>1</v>
      </c>
      <c r="V61" s="7"/>
      <c r="Y61" s="7"/>
    </row>
    <row r="62" spans="2:25" x14ac:dyDescent="0.2">
      <c r="B62">
        <v>29</v>
      </c>
      <c r="C62" t="s">
        <v>54</v>
      </c>
      <c r="D62" t="s">
        <v>10</v>
      </c>
      <c r="E62" s="18" t="str">
        <f t="shared" si="0"/>
        <v>Corporate</v>
      </c>
      <c r="F62" s="18">
        <f t="shared" si="4"/>
        <v>1</v>
      </c>
      <c r="G62" s="18">
        <f t="shared" si="1"/>
        <v>18</v>
      </c>
      <c r="H62" s="8">
        <v>1</v>
      </c>
      <c r="V62" s="7"/>
      <c r="Y62" s="7"/>
    </row>
    <row r="63" spans="2:25" x14ac:dyDescent="0.2">
      <c r="B63">
        <v>30</v>
      </c>
      <c r="C63" t="s">
        <v>25</v>
      </c>
      <c r="D63" t="s">
        <v>10</v>
      </c>
      <c r="E63" s="18" t="str">
        <f t="shared" si="0"/>
        <v>Commercial</v>
      </c>
      <c r="F63" s="18">
        <f t="shared" si="4"/>
        <v>1</v>
      </c>
      <c r="G63" s="18">
        <f t="shared" si="1"/>
        <v>12</v>
      </c>
      <c r="H63" s="8">
        <v>1</v>
      </c>
      <c r="V63" s="7"/>
      <c r="Y63" s="7"/>
    </row>
    <row r="64" spans="2:25" x14ac:dyDescent="0.2">
      <c r="B64">
        <v>31</v>
      </c>
      <c r="C64" t="s">
        <v>47</v>
      </c>
      <c r="D64" t="s">
        <v>10</v>
      </c>
      <c r="E64" s="18" t="str">
        <f t="shared" si="0"/>
        <v>Corporate</v>
      </c>
      <c r="F64" s="18">
        <f t="shared" si="4"/>
        <v>1</v>
      </c>
      <c r="G64" s="18">
        <f t="shared" si="1"/>
        <v>18</v>
      </c>
      <c r="H64" s="8">
        <v>1</v>
      </c>
      <c r="V64" s="7"/>
      <c r="Y64" s="7"/>
    </row>
    <row r="65" spans="2:25" x14ac:dyDescent="0.2">
      <c r="B65">
        <v>32</v>
      </c>
      <c r="C65" t="s">
        <v>24</v>
      </c>
      <c r="D65" t="s">
        <v>10</v>
      </c>
      <c r="E65" s="18" t="str">
        <f t="shared" si="0"/>
        <v>Commercial</v>
      </c>
      <c r="F65" s="18">
        <f t="shared" si="4"/>
        <v>1</v>
      </c>
      <c r="G65" s="18">
        <f t="shared" si="1"/>
        <v>12</v>
      </c>
      <c r="H65" s="8">
        <v>1</v>
      </c>
      <c r="V65" s="7"/>
      <c r="Y65" s="7"/>
    </row>
    <row r="66" spans="2:25" x14ac:dyDescent="0.2">
      <c r="B66">
        <v>35</v>
      </c>
      <c r="C66" t="s">
        <v>35</v>
      </c>
      <c r="D66" t="s">
        <v>10</v>
      </c>
      <c r="E66" s="18" t="str">
        <f t="shared" si="0"/>
        <v>Corporate</v>
      </c>
      <c r="F66" s="18">
        <f t="shared" si="4"/>
        <v>1</v>
      </c>
      <c r="G66" s="18">
        <f t="shared" si="1"/>
        <v>18</v>
      </c>
      <c r="H66" s="8">
        <v>1</v>
      </c>
      <c r="V66" s="7"/>
      <c r="Y66" s="7"/>
    </row>
    <row r="67" spans="2:25" x14ac:dyDescent="0.2">
      <c r="B67">
        <v>36</v>
      </c>
      <c r="C67" t="s">
        <v>40</v>
      </c>
      <c r="D67" t="s">
        <v>10</v>
      </c>
      <c r="E67" s="18" t="str">
        <f t="shared" ref="E67:E130" si="14">VLOOKUP($C67,$AB:$AC,2,FALSE)</f>
        <v>Commercial</v>
      </c>
      <c r="F67" s="18">
        <f t="shared" si="4"/>
        <v>1</v>
      </c>
      <c r="G67" s="18">
        <f t="shared" ref="G67:G130" si="15">SUMIFS($H$2:$H$1000,$E$2:$E$1000,E67,$D$2:$D$1000,D67)</f>
        <v>12</v>
      </c>
      <c r="H67" s="8">
        <v>1</v>
      </c>
      <c r="V67" s="7"/>
      <c r="Y67" s="7"/>
    </row>
    <row r="68" spans="2:25" x14ac:dyDescent="0.2">
      <c r="B68">
        <v>37</v>
      </c>
      <c r="C68" t="s">
        <v>98</v>
      </c>
      <c r="D68" t="s">
        <v>10</v>
      </c>
      <c r="E68" s="18" t="str">
        <f t="shared" si="14"/>
        <v>Corporate</v>
      </c>
      <c r="F68" s="18">
        <f t="shared" ref="F68:F131" si="16">H68*SUMIFS($L:$L,$J:$J,D68,$K:$K,E68)/G68</f>
        <v>1</v>
      </c>
      <c r="G68" s="18">
        <f t="shared" si="15"/>
        <v>18</v>
      </c>
      <c r="H68" s="8">
        <v>1</v>
      </c>
      <c r="V68" s="7"/>
      <c r="Y68" s="7"/>
    </row>
    <row r="69" spans="2:25" x14ac:dyDescent="0.2">
      <c r="B69">
        <v>38</v>
      </c>
      <c r="C69" t="s">
        <v>45</v>
      </c>
      <c r="D69" t="s">
        <v>10</v>
      </c>
      <c r="E69" s="18" t="str">
        <f t="shared" si="14"/>
        <v>Corporate</v>
      </c>
      <c r="F69" s="18">
        <f t="shared" si="16"/>
        <v>1</v>
      </c>
      <c r="G69" s="18">
        <f t="shared" si="15"/>
        <v>18</v>
      </c>
      <c r="H69" s="8">
        <v>1</v>
      </c>
      <c r="V69" s="7"/>
      <c r="Y69" s="7"/>
    </row>
    <row r="70" spans="2:25" x14ac:dyDescent="0.2">
      <c r="B70">
        <v>39</v>
      </c>
      <c r="C70" t="s">
        <v>51</v>
      </c>
      <c r="D70" t="s">
        <v>10</v>
      </c>
      <c r="E70" s="18" t="str">
        <f t="shared" si="14"/>
        <v>Corporate</v>
      </c>
      <c r="F70" s="18">
        <f t="shared" si="16"/>
        <v>1</v>
      </c>
      <c r="G70" s="18">
        <f t="shared" si="15"/>
        <v>18</v>
      </c>
      <c r="H70" s="8">
        <v>1</v>
      </c>
      <c r="V70" s="7"/>
      <c r="Y70" s="7"/>
    </row>
    <row r="71" spans="2:25" x14ac:dyDescent="0.2">
      <c r="B71">
        <v>40</v>
      </c>
      <c r="C71" t="s">
        <v>48</v>
      </c>
      <c r="D71" t="s">
        <v>10</v>
      </c>
      <c r="E71" s="18" t="str">
        <f t="shared" si="14"/>
        <v>Corporate</v>
      </c>
      <c r="F71" s="18">
        <f t="shared" si="16"/>
        <v>1</v>
      </c>
      <c r="G71" s="18">
        <f t="shared" si="15"/>
        <v>18</v>
      </c>
      <c r="H71" s="8">
        <v>1</v>
      </c>
      <c r="V71" s="7"/>
      <c r="Y71" s="7"/>
    </row>
    <row r="72" spans="2:25" x14ac:dyDescent="0.2">
      <c r="B72">
        <v>41</v>
      </c>
      <c r="C72" t="s">
        <v>50</v>
      </c>
      <c r="D72" t="s">
        <v>10</v>
      </c>
      <c r="E72" s="18" t="str">
        <f t="shared" si="14"/>
        <v>Corporate</v>
      </c>
      <c r="F72" s="18">
        <f t="shared" si="16"/>
        <v>1</v>
      </c>
      <c r="G72" s="18">
        <f t="shared" si="15"/>
        <v>18</v>
      </c>
      <c r="H72" s="8">
        <v>1</v>
      </c>
      <c r="V72" s="7"/>
      <c r="Y72" s="7"/>
    </row>
    <row r="73" spans="2:25" x14ac:dyDescent="0.2">
      <c r="B73">
        <v>42</v>
      </c>
      <c r="C73" t="s">
        <v>73</v>
      </c>
      <c r="D73" t="s">
        <v>10</v>
      </c>
      <c r="E73" s="18" t="str">
        <f t="shared" si="14"/>
        <v>Corporate</v>
      </c>
      <c r="F73" s="18">
        <f t="shared" si="16"/>
        <v>1</v>
      </c>
      <c r="G73" s="18">
        <f t="shared" si="15"/>
        <v>18</v>
      </c>
      <c r="H73" s="8">
        <v>1</v>
      </c>
      <c r="V73" s="7"/>
      <c r="Y73" s="7"/>
    </row>
    <row r="74" spans="2:25" x14ac:dyDescent="0.2">
      <c r="B74">
        <v>43</v>
      </c>
      <c r="C74" t="s">
        <v>56</v>
      </c>
      <c r="D74" t="s">
        <v>10</v>
      </c>
      <c r="E74" s="18" t="str">
        <f t="shared" si="14"/>
        <v>Corporate</v>
      </c>
      <c r="F74" s="18">
        <f t="shared" si="16"/>
        <v>1</v>
      </c>
      <c r="G74" s="18">
        <f t="shared" si="15"/>
        <v>18</v>
      </c>
      <c r="H74" s="8">
        <v>1</v>
      </c>
      <c r="V74" s="7"/>
      <c r="Y74" s="7"/>
    </row>
    <row r="75" spans="2:25" x14ac:dyDescent="0.2">
      <c r="B75">
        <v>44</v>
      </c>
      <c r="C75" t="s">
        <v>53</v>
      </c>
      <c r="D75" t="s">
        <v>10</v>
      </c>
      <c r="E75" s="18" t="str">
        <f t="shared" si="14"/>
        <v>Corporate</v>
      </c>
      <c r="F75" s="18">
        <f t="shared" si="16"/>
        <v>1</v>
      </c>
      <c r="G75" s="18">
        <f t="shared" si="15"/>
        <v>18</v>
      </c>
      <c r="H75" s="8">
        <v>1</v>
      </c>
      <c r="V75" s="7"/>
      <c r="Y75" s="7"/>
    </row>
    <row r="76" spans="2:25" x14ac:dyDescent="0.2">
      <c r="B76">
        <v>45</v>
      </c>
      <c r="C76" t="s">
        <v>39</v>
      </c>
      <c r="D76" t="s">
        <v>10</v>
      </c>
      <c r="E76" s="18" t="str">
        <f t="shared" si="14"/>
        <v>Commercial</v>
      </c>
      <c r="F76" s="18">
        <f t="shared" si="16"/>
        <v>1</v>
      </c>
      <c r="G76" s="18">
        <f t="shared" si="15"/>
        <v>12</v>
      </c>
      <c r="H76" s="8">
        <v>1</v>
      </c>
      <c r="V76" s="7"/>
      <c r="Y76" s="7"/>
    </row>
    <row r="77" spans="2:25" x14ac:dyDescent="0.2">
      <c r="B77">
        <v>1</v>
      </c>
      <c r="C77" t="s">
        <v>23</v>
      </c>
      <c r="D77" t="s">
        <v>14</v>
      </c>
      <c r="E77" s="18" t="str">
        <f t="shared" si="14"/>
        <v>Commercial</v>
      </c>
      <c r="F77" s="18">
        <f t="shared" si="16"/>
        <v>1</v>
      </c>
      <c r="G77" s="18">
        <f t="shared" si="15"/>
        <v>9</v>
      </c>
      <c r="H77" s="8">
        <v>1</v>
      </c>
      <c r="V77" s="7"/>
      <c r="Y77" s="7"/>
    </row>
    <row r="78" spans="2:25" x14ac:dyDescent="0.2">
      <c r="B78">
        <v>2</v>
      </c>
      <c r="C78" t="s">
        <v>26</v>
      </c>
      <c r="D78" t="s">
        <v>14</v>
      </c>
      <c r="E78" s="18" t="str">
        <f t="shared" si="14"/>
        <v>Operations</v>
      </c>
      <c r="F78" s="18">
        <f t="shared" si="16"/>
        <v>1</v>
      </c>
      <c r="G78" s="18">
        <f t="shared" si="15"/>
        <v>3</v>
      </c>
      <c r="H78" s="8">
        <v>1</v>
      </c>
      <c r="V78" s="7"/>
      <c r="Y78" s="7"/>
    </row>
    <row r="79" spans="2:25" x14ac:dyDescent="0.2">
      <c r="B79">
        <v>3</v>
      </c>
      <c r="C79" t="s">
        <v>22</v>
      </c>
      <c r="D79" t="s">
        <v>14</v>
      </c>
      <c r="E79" s="18" t="str">
        <f t="shared" si="14"/>
        <v>Corporate</v>
      </c>
      <c r="F79" s="18">
        <f t="shared" si="16"/>
        <v>1</v>
      </c>
      <c r="G79" s="18">
        <f t="shared" si="15"/>
        <v>13</v>
      </c>
      <c r="H79" s="8">
        <v>1</v>
      </c>
      <c r="V79" s="7"/>
      <c r="Y79" s="7"/>
    </row>
    <row r="80" spans="2:25" x14ac:dyDescent="0.2">
      <c r="B80">
        <v>4</v>
      </c>
      <c r="C80" t="s">
        <v>9</v>
      </c>
      <c r="D80" t="s">
        <v>14</v>
      </c>
      <c r="E80" s="18" t="str">
        <f t="shared" si="14"/>
        <v>Technology</v>
      </c>
      <c r="F80" s="18">
        <f t="shared" si="16"/>
        <v>1</v>
      </c>
      <c r="G80" s="18">
        <f t="shared" si="15"/>
        <v>5</v>
      </c>
      <c r="H80" s="8">
        <v>1</v>
      </c>
      <c r="V80" s="7"/>
      <c r="Y80" s="7"/>
    </row>
    <row r="81" spans="2:25" x14ac:dyDescent="0.2">
      <c r="B81">
        <v>5</v>
      </c>
      <c r="C81" t="s">
        <v>11</v>
      </c>
      <c r="D81" t="s">
        <v>14</v>
      </c>
      <c r="E81" s="18" t="str">
        <f t="shared" si="14"/>
        <v>CISO</v>
      </c>
      <c r="F81" s="18">
        <f t="shared" si="16"/>
        <v>1</v>
      </c>
      <c r="G81" s="18">
        <f t="shared" si="15"/>
        <v>1</v>
      </c>
      <c r="H81" s="8">
        <v>1</v>
      </c>
      <c r="V81" s="7"/>
      <c r="Y81" s="7"/>
    </row>
    <row r="82" spans="2:25" x14ac:dyDescent="0.2">
      <c r="B82">
        <v>6</v>
      </c>
      <c r="C82" t="s">
        <v>116</v>
      </c>
      <c r="D82" t="s">
        <v>14</v>
      </c>
      <c r="E82" s="18" t="str">
        <f t="shared" si="14"/>
        <v>Data &amp; AI</v>
      </c>
      <c r="F82" s="18">
        <f t="shared" si="16"/>
        <v>1</v>
      </c>
      <c r="G82" s="18">
        <f t="shared" si="15"/>
        <v>1</v>
      </c>
      <c r="H82" s="8">
        <v>1</v>
      </c>
      <c r="V82" s="7"/>
      <c r="Y82" s="7"/>
    </row>
    <row r="83" spans="2:25" x14ac:dyDescent="0.2">
      <c r="B83">
        <v>7</v>
      </c>
      <c r="C83" t="s">
        <v>37</v>
      </c>
      <c r="D83" t="s">
        <v>14</v>
      </c>
      <c r="E83" s="18" t="str">
        <f t="shared" si="14"/>
        <v>Commercial</v>
      </c>
      <c r="F83" s="18">
        <f t="shared" si="16"/>
        <v>1</v>
      </c>
      <c r="G83" s="18">
        <f t="shared" si="15"/>
        <v>9</v>
      </c>
      <c r="H83" s="8">
        <v>1</v>
      </c>
      <c r="V83" s="7"/>
      <c r="Y83" s="7"/>
    </row>
    <row r="84" spans="2:25" x14ac:dyDescent="0.2">
      <c r="B84">
        <v>8</v>
      </c>
      <c r="C84" t="s">
        <v>44</v>
      </c>
      <c r="D84" t="s">
        <v>14</v>
      </c>
      <c r="E84" s="18" t="str">
        <f t="shared" si="14"/>
        <v>Corporate</v>
      </c>
      <c r="F84" s="18">
        <f t="shared" si="16"/>
        <v>1</v>
      </c>
      <c r="G84" s="18">
        <f t="shared" si="15"/>
        <v>13</v>
      </c>
      <c r="H84" s="8">
        <v>1</v>
      </c>
      <c r="V84" s="7"/>
      <c r="Y84" s="7"/>
    </row>
    <row r="85" spans="2:25" x14ac:dyDescent="0.2">
      <c r="B85">
        <v>9</v>
      </c>
      <c r="C85" t="s">
        <v>7</v>
      </c>
      <c r="D85" t="s">
        <v>14</v>
      </c>
      <c r="E85" s="18" t="str">
        <f t="shared" si="14"/>
        <v>Operations</v>
      </c>
      <c r="F85" s="18">
        <f t="shared" si="16"/>
        <v>1</v>
      </c>
      <c r="G85" s="18">
        <f t="shared" si="15"/>
        <v>3</v>
      </c>
      <c r="H85" s="8">
        <v>1</v>
      </c>
      <c r="V85" s="7"/>
      <c r="Y85" s="7"/>
    </row>
    <row r="86" spans="2:25" x14ac:dyDescent="0.2">
      <c r="B86">
        <v>10</v>
      </c>
      <c r="C86" t="s">
        <v>59</v>
      </c>
      <c r="D86" t="s">
        <v>14</v>
      </c>
      <c r="E86" s="18" t="str">
        <f t="shared" si="14"/>
        <v>Technology</v>
      </c>
      <c r="F86" s="18">
        <f t="shared" si="16"/>
        <v>1</v>
      </c>
      <c r="G86" s="18">
        <f t="shared" si="15"/>
        <v>5</v>
      </c>
      <c r="H86" s="8">
        <v>1</v>
      </c>
      <c r="V86" s="7"/>
      <c r="Y86" s="7"/>
    </row>
    <row r="87" spans="2:25" x14ac:dyDescent="0.2">
      <c r="B87">
        <v>11</v>
      </c>
      <c r="C87" t="s">
        <v>36</v>
      </c>
      <c r="D87" t="s">
        <v>14</v>
      </c>
      <c r="E87" s="18" t="str">
        <f t="shared" si="14"/>
        <v>Commercial</v>
      </c>
      <c r="F87" s="18">
        <f t="shared" si="16"/>
        <v>1</v>
      </c>
      <c r="G87" s="18">
        <f t="shared" si="15"/>
        <v>9</v>
      </c>
      <c r="H87" s="8">
        <v>1</v>
      </c>
      <c r="V87" s="7"/>
      <c r="Y87" s="7"/>
    </row>
    <row r="88" spans="2:25" x14ac:dyDescent="0.2">
      <c r="B88">
        <v>12</v>
      </c>
      <c r="C88" t="s">
        <v>46</v>
      </c>
      <c r="D88" t="s">
        <v>14</v>
      </c>
      <c r="E88" s="18" t="str">
        <f t="shared" si="14"/>
        <v>Corporate</v>
      </c>
      <c r="F88" s="18">
        <f t="shared" si="16"/>
        <v>1</v>
      </c>
      <c r="G88" s="18">
        <f t="shared" si="15"/>
        <v>13</v>
      </c>
      <c r="H88" s="8">
        <v>1</v>
      </c>
      <c r="V88" s="7"/>
      <c r="Y88" s="7"/>
    </row>
    <row r="89" spans="2:25" x14ac:dyDescent="0.2">
      <c r="B89">
        <v>13</v>
      </c>
      <c r="C89" t="s">
        <v>42</v>
      </c>
      <c r="D89" t="s">
        <v>14</v>
      </c>
      <c r="E89" s="18" t="str">
        <f t="shared" si="14"/>
        <v>Operations</v>
      </c>
      <c r="F89" s="18">
        <f t="shared" si="16"/>
        <v>1</v>
      </c>
      <c r="G89" s="18">
        <f t="shared" si="15"/>
        <v>3</v>
      </c>
      <c r="H89" s="8">
        <v>1</v>
      </c>
      <c r="V89" s="7"/>
      <c r="Y89" s="7"/>
    </row>
    <row r="90" spans="2:25" x14ac:dyDescent="0.2">
      <c r="B90">
        <v>14</v>
      </c>
      <c r="C90" t="s">
        <v>58</v>
      </c>
      <c r="D90" t="s">
        <v>14</v>
      </c>
      <c r="E90" s="18" t="str">
        <f t="shared" si="14"/>
        <v>Technology</v>
      </c>
      <c r="F90" s="18">
        <f t="shared" si="16"/>
        <v>1</v>
      </c>
      <c r="G90" s="18">
        <f t="shared" si="15"/>
        <v>5</v>
      </c>
      <c r="H90" s="8">
        <v>1</v>
      </c>
      <c r="V90" s="7"/>
      <c r="Y90" s="7"/>
    </row>
    <row r="91" spans="2:25" x14ac:dyDescent="0.2">
      <c r="B91">
        <v>15</v>
      </c>
      <c r="C91" t="s">
        <v>38</v>
      </c>
      <c r="D91" t="s">
        <v>14</v>
      </c>
      <c r="E91" s="18" t="str">
        <f t="shared" si="14"/>
        <v>Commercial</v>
      </c>
      <c r="F91" s="18">
        <f t="shared" si="16"/>
        <v>1</v>
      </c>
      <c r="G91" s="18">
        <f t="shared" si="15"/>
        <v>9</v>
      </c>
      <c r="H91" s="8">
        <v>1</v>
      </c>
      <c r="V91" s="7"/>
      <c r="Y91" s="7"/>
    </row>
    <row r="92" spans="2:25" x14ac:dyDescent="0.2">
      <c r="B92">
        <v>16</v>
      </c>
      <c r="C92" t="s">
        <v>47</v>
      </c>
      <c r="D92" t="s">
        <v>14</v>
      </c>
      <c r="E92" s="18" t="str">
        <f t="shared" si="14"/>
        <v>Corporate</v>
      </c>
      <c r="F92" s="18">
        <f t="shared" si="16"/>
        <v>1</v>
      </c>
      <c r="G92" s="18">
        <f t="shared" si="15"/>
        <v>13</v>
      </c>
      <c r="H92" s="8">
        <v>1</v>
      </c>
      <c r="V92" s="7"/>
      <c r="Y92" s="7"/>
    </row>
    <row r="93" spans="2:25" x14ac:dyDescent="0.2">
      <c r="B93">
        <v>17</v>
      </c>
      <c r="C93" t="s">
        <v>34</v>
      </c>
      <c r="D93" t="s">
        <v>14</v>
      </c>
      <c r="E93" s="18" t="str">
        <f t="shared" si="14"/>
        <v>Technology</v>
      </c>
      <c r="F93" s="18">
        <f t="shared" si="16"/>
        <v>1</v>
      </c>
      <c r="G93" s="18">
        <f t="shared" si="15"/>
        <v>5</v>
      </c>
      <c r="H93" s="8">
        <v>1</v>
      </c>
      <c r="V93" s="7"/>
      <c r="Y93" s="7"/>
    </row>
    <row r="94" spans="2:25" x14ac:dyDescent="0.2">
      <c r="B94">
        <v>18</v>
      </c>
      <c r="C94" t="s">
        <v>25</v>
      </c>
      <c r="D94" t="s">
        <v>14</v>
      </c>
      <c r="E94" s="18" t="str">
        <f t="shared" si="14"/>
        <v>Commercial</v>
      </c>
      <c r="F94" s="18">
        <f t="shared" si="16"/>
        <v>1</v>
      </c>
      <c r="G94" s="18">
        <f t="shared" si="15"/>
        <v>9</v>
      </c>
      <c r="H94" s="8">
        <v>1</v>
      </c>
      <c r="V94" s="7"/>
      <c r="Y94" s="7"/>
    </row>
    <row r="95" spans="2:25" x14ac:dyDescent="0.2">
      <c r="B95">
        <v>19</v>
      </c>
      <c r="C95" t="s">
        <v>35</v>
      </c>
      <c r="D95" t="s">
        <v>14</v>
      </c>
      <c r="E95" s="18" t="str">
        <f t="shared" si="14"/>
        <v>Corporate</v>
      </c>
      <c r="F95" s="18">
        <f t="shared" si="16"/>
        <v>1</v>
      </c>
      <c r="G95" s="18">
        <f t="shared" si="15"/>
        <v>13</v>
      </c>
      <c r="H95" s="8">
        <v>1</v>
      </c>
      <c r="V95" s="7"/>
      <c r="Y95" s="7"/>
    </row>
    <row r="96" spans="2:25" x14ac:dyDescent="0.2">
      <c r="B96">
        <v>20</v>
      </c>
      <c r="C96" t="s">
        <v>60</v>
      </c>
      <c r="D96" t="s">
        <v>14</v>
      </c>
      <c r="E96" s="18" t="str">
        <f t="shared" si="14"/>
        <v>Technology</v>
      </c>
      <c r="F96" s="18">
        <f t="shared" si="16"/>
        <v>1</v>
      </c>
      <c r="G96" s="18">
        <f t="shared" si="15"/>
        <v>5</v>
      </c>
      <c r="H96" s="8">
        <v>1</v>
      </c>
      <c r="V96" s="7"/>
      <c r="Y96" s="7"/>
    </row>
    <row r="97" spans="2:25" x14ac:dyDescent="0.2">
      <c r="B97">
        <v>21</v>
      </c>
      <c r="C97" t="s">
        <v>21</v>
      </c>
      <c r="D97" t="s">
        <v>14</v>
      </c>
      <c r="E97" s="18" t="str">
        <f t="shared" si="14"/>
        <v>Commercial</v>
      </c>
      <c r="F97" s="18">
        <f t="shared" si="16"/>
        <v>1</v>
      </c>
      <c r="G97" s="18">
        <f t="shared" si="15"/>
        <v>9</v>
      </c>
      <c r="H97" s="8">
        <v>1</v>
      </c>
      <c r="V97" s="7"/>
      <c r="Y97" s="7"/>
    </row>
    <row r="98" spans="2:25" x14ac:dyDescent="0.2">
      <c r="B98">
        <v>22</v>
      </c>
      <c r="C98" t="s">
        <v>98</v>
      </c>
      <c r="D98" t="s">
        <v>14</v>
      </c>
      <c r="E98" s="18" t="str">
        <f t="shared" si="14"/>
        <v>Corporate</v>
      </c>
      <c r="F98" s="18">
        <f t="shared" si="16"/>
        <v>1</v>
      </c>
      <c r="G98" s="18">
        <f t="shared" si="15"/>
        <v>13</v>
      </c>
      <c r="H98" s="8">
        <v>1</v>
      </c>
      <c r="V98" s="7"/>
      <c r="Y98" s="7"/>
    </row>
    <row r="99" spans="2:25" x14ac:dyDescent="0.2">
      <c r="B99">
        <v>23</v>
      </c>
      <c r="C99" t="s">
        <v>24</v>
      </c>
      <c r="D99" t="s">
        <v>14</v>
      </c>
      <c r="E99" s="18" t="str">
        <f t="shared" si="14"/>
        <v>Commercial</v>
      </c>
      <c r="F99" s="18">
        <f t="shared" si="16"/>
        <v>1</v>
      </c>
      <c r="G99" s="18">
        <f t="shared" si="15"/>
        <v>9</v>
      </c>
      <c r="H99" s="8">
        <v>1</v>
      </c>
      <c r="V99" s="7"/>
      <c r="Y99" s="7"/>
    </row>
    <row r="100" spans="2:25" x14ac:dyDescent="0.2">
      <c r="B100">
        <v>24</v>
      </c>
      <c r="C100" t="s">
        <v>45</v>
      </c>
      <c r="D100" t="s">
        <v>14</v>
      </c>
      <c r="E100" s="18" t="str">
        <f t="shared" si="14"/>
        <v>Corporate</v>
      </c>
      <c r="F100" s="18">
        <f t="shared" si="16"/>
        <v>1</v>
      </c>
      <c r="G100" s="18">
        <f t="shared" si="15"/>
        <v>13</v>
      </c>
      <c r="H100" s="8">
        <v>1</v>
      </c>
      <c r="V100" s="7"/>
      <c r="Y100" s="7"/>
    </row>
    <row r="101" spans="2:25" x14ac:dyDescent="0.2">
      <c r="B101">
        <v>25</v>
      </c>
      <c r="C101" t="s">
        <v>40</v>
      </c>
      <c r="D101" t="s">
        <v>14</v>
      </c>
      <c r="E101" s="18" t="str">
        <f t="shared" si="14"/>
        <v>Commercial</v>
      </c>
      <c r="F101" s="18">
        <f t="shared" si="16"/>
        <v>1</v>
      </c>
      <c r="G101" s="18">
        <f t="shared" si="15"/>
        <v>9</v>
      </c>
      <c r="H101" s="8">
        <v>1</v>
      </c>
      <c r="V101" s="7"/>
      <c r="Y101" s="7"/>
    </row>
    <row r="102" spans="2:25" x14ac:dyDescent="0.2">
      <c r="B102">
        <v>26</v>
      </c>
      <c r="C102" t="s">
        <v>48</v>
      </c>
      <c r="D102" t="s">
        <v>14</v>
      </c>
      <c r="E102" s="18" t="str">
        <f t="shared" si="14"/>
        <v>Corporate</v>
      </c>
      <c r="F102" s="18">
        <f t="shared" si="16"/>
        <v>1</v>
      </c>
      <c r="G102" s="18">
        <f t="shared" si="15"/>
        <v>13</v>
      </c>
      <c r="H102" s="8">
        <v>1</v>
      </c>
      <c r="V102" s="7"/>
      <c r="Y102" s="7"/>
    </row>
    <row r="103" spans="2:25" x14ac:dyDescent="0.2">
      <c r="B103">
        <v>27</v>
      </c>
      <c r="C103" t="s">
        <v>39</v>
      </c>
      <c r="D103" t="s">
        <v>14</v>
      </c>
      <c r="E103" s="18" t="str">
        <f t="shared" si="14"/>
        <v>Commercial</v>
      </c>
      <c r="F103" s="18">
        <f t="shared" si="16"/>
        <v>1</v>
      </c>
      <c r="G103" s="18">
        <f t="shared" si="15"/>
        <v>9</v>
      </c>
      <c r="H103" s="8">
        <v>1</v>
      </c>
      <c r="V103" s="7"/>
      <c r="Y103" s="7"/>
    </row>
    <row r="104" spans="2:25" x14ac:dyDescent="0.2">
      <c r="B104">
        <v>28</v>
      </c>
      <c r="C104" t="s">
        <v>54</v>
      </c>
      <c r="D104" t="s">
        <v>14</v>
      </c>
      <c r="E104" s="18" t="str">
        <f t="shared" si="14"/>
        <v>Corporate</v>
      </c>
      <c r="F104" s="18">
        <f t="shared" si="16"/>
        <v>1</v>
      </c>
      <c r="G104" s="18">
        <f t="shared" si="15"/>
        <v>13</v>
      </c>
      <c r="H104" s="8">
        <v>1</v>
      </c>
      <c r="V104" s="7"/>
      <c r="Y104" s="7"/>
    </row>
    <row r="105" spans="2:25" x14ac:dyDescent="0.2">
      <c r="B105">
        <v>29</v>
      </c>
      <c r="C105" t="s">
        <v>50</v>
      </c>
      <c r="D105" t="s">
        <v>14</v>
      </c>
      <c r="E105" s="18" t="str">
        <f t="shared" si="14"/>
        <v>Corporate</v>
      </c>
      <c r="F105" s="18">
        <f t="shared" si="16"/>
        <v>1</v>
      </c>
      <c r="G105" s="18">
        <f t="shared" si="15"/>
        <v>13</v>
      </c>
      <c r="H105" s="8">
        <v>1</v>
      </c>
      <c r="V105" s="7"/>
      <c r="Y105" s="7"/>
    </row>
    <row r="106" spans="2:25" x14ac:dyDescent="0.2">
      <c r="B106">
        <v>30</v>
      </c>
      <c r="C106" t="s">
        <v>51</v>
      </c>
      <c r="D106" t="s">
        <v>14</v>
      </c>
      <c r="E106" s="18" t="str">
        <f t="shared" si="14"/>
        <v>Corporate</v>
      </c>
      <c r="F106" s="18">
        <f t="shared" si="16"/>
        <v>1</v>
      </c>
      <c r="G106" s="18">
        <f t="shared" si="15"/>
        <v>13</v>
      </c>
      <c r="H106" s="8">
        <v>1</v>
      </c>
      <c r="V106" s="7"/>
      <c r="Y106" s="7"/>
    </row>
    <row r="107" spans="2:25" x14ac:dyDescent="0.2">
      <c r="B107">
        <v>31</v>
      </c>
      <c r="C107" t="s">
        <v>56</v>
      </c>
      <c r="D107" t="s">
        <v>14</v>
      </c>
      <c r="E107" s="18" t="str">
        <f t="shared" si="14"/>
        <v>Corporate</v>
      </c>
      <c r="F107" s="18">
        <f t="shared" si="16"/>
        <v>1</v>
      </c>
      <c r="G107" s="18">
        <f t="shared" si="15"/>
        <v>13</v>
      </c>
      <c r="H107" s="8">
        <v>1</v>
      </c>
      <c r="V107" s="7"/>
      <c r="Y107" s="7"/>
    </row>
    <row r="108" spans="2:25" x14ac:dyDescent="0.2">
      <c r="B108">
        <v>32</v>
      </c>
      <c r="C108" t="s">
        <v>53</v>
      </c>
      <c r="D108" t="s">
        <v>14</v>
      </c>
      <c r="E108" s="18" t="str">
        <f t="shared" si="14"/>
        <v>Corporate</v>
      </c>
      <c r="F108" s="18">
        <f t="shared" si="16"/>
        <v>1</v>
      </c>
      <c r="G108" s="18">
        <f t="shared" si="15"/>
        <v>13</v>
      </c>
      <c r="H108" s="8">
        <v>1</v>
      </c>
      <c r="V108" s="7"/>
      <c r="Y108" s="7"/>
    </row>
    <row r="109" spans="2:25" x14ac:dyDescent="0.2">
      <c r="B109">
        <v>1</v>
      </c>
      <c r="C109" t="s">
        <v>21</v>
      </c>
      <c r="D109" t="s">
        <v>15</v>
      </c>
      <c r="E109" s="18" t="str">
        <f t="shared" si="14"/>
        <v>Commercial</v>
      </c>
      <c r="F109" s="18">
        <f t="shared" si="16"/>
        <v>1</v>
      </c>
      <c r="G109" s="18">
        <f t="shared" si="15"/>
        <v>9</v>
      </c>
      <c r="H109" s="8">
        <v>1</v>
      </c>
      <c r="V109" s="7"/>
      <c r="Y109" s="7"/>
    </row>
    <row r="110" spans="2:25" x14ac:dyDescent="0.2">
      <c r="B110">
        <v>2</v>
      </c>
      <c r="C110" t="s">
        <v>26</v>
      </c>
      <c r="D110" t="s">
        <v>15</v>
      </c>
      <c r="E110" s="18" t="str">
        <f t="shared" si="14"/>
        <v>Operations</v>
      </c>
      <c r="F110" s="18">
        <f t="shared" si="16"/>
        <v>1</v>
      </c>
      <c r="G110" s="18">
        <f t="shared" si="15"/>
        <v>3</v>
      </c>
      <c r="H110" s="8">
        <v>1</v>
      </c>
      <c r="V110" s="7"/>
      <c r="Y110" s="7"/>
    </row>
    <row r="111" spans="2:25" x14ac:dyDescent="0.2">
      <c r="B111">
        <v>3</v>
      </c>
      <c r="C111" t="s">
        <v>22</v>
      </c>
      <c r="D111" t="s">
        <v>15</v>
      </c>
      <c r="E111" s="18" t="str">
        <f t="shared" si="14"/>
        <v>Corporate</v>
      </c>
      <c r="F111" s="18">
        <f t="shared" si="16"/>
        <v>1</v>
      </c>
      <c r="G111" s="18">
        <f t="shared" si="15"/>
        <v>13</v>
      </c>
      <c r="H111" s="8">
        <v>1</v>
      </c>
      <c r="V111" s="7"/>
      <c r="Y111" s="7"/>
    </row>
    <row r="112" spans="2:25" x14ac:dyDescent="0.2">
      <c r="B112">
        <v>4</v>
      </c>
      <c r="C112" t="s">
        <v>9</v>
      </c>
      <c r="D112" t="s">
        <v>15</v>
      </c>
      <c r="E112" s="18" t="str">
        <f t="shared" si="14"/>
        <v>Technology</v>
      </c>
      <c r="F112" s="18">
        <f t="shared" si="16"/>
        <v>1</v>
      </c>
      <c r="G112" s="18">
        <f t="shared" si="15"/>
        <v>5</v>
      </c>
      <c r="H112" s="8">
        <v>1</v>
      </c>
      <c r="V112" s="7"/>
      <c r="Y112" s="7"/>
    </row>
    <row r="113" spans="2:25" x14ac:dyDescent="0.2">
      <c r="B113">
        <v>5</v>
      </c>
      <c r="C113" t="s">
        <v>11</v>
      </c>
      <c r="D113" t="s">
        <v>15</v>
      </c>
      <c r="E113" s="18" t="str">
        <f t="shared" si="14"/>
        <v>CISO</v>
      </c>
      <c r="F113" s="18">
        <f t="shared" si="16"/>
        <v>1</v>
      </c>
      <c r="G113" s="18">
        <f t="shared" si="15"/>
        <v>1</v>
      </c>
      <c r="H113" s="8">
        <v>1</v>
      </c>
      <c r="V113" s="7"/>
      <c r="Y113" s="7"/>
    </row>
    <row r="114" spans="2:25" x14ac:dyDescent="0.2">
      <c r="B114">
        <v>6</v>
      </c>
      <c r="C114" t="s">
        <v>116</v>
      </c>
      <c r="D114" t="s">
        <v>15</v>
      </c>
      <c r="E114" s="18" t="str">
        <f t="shared" si="14"/>
        <v>Data &amp; AI</v>
      </c>
      <c r="F114" s="18">
        <f t="shared" si="16"/>
        <v>1</v>
      </c>
      <c r="G114" s="18">
        <f t="shared" si="15"/>
        <v>1</v>
      </c>
      <c r="H114" s="8">
        <v>1</v>
      </c>
      <c r="V114" s="7"/>
      <c r="Y114" s="7"/>
    </row>
    <row r="115" spans="2:25" x14ac:dyDescent="0.2">
      <c r="B115">
        <v>7</v>
      </c>
      <c r="C115" t="s">
        <v>37</v>
      </c>
      <c r="D115" t="s">
        <v>15</v>
      </c>
      <c r="E115" s="18" t="str">
        <f t="shared" si="14"/>
        <v>Commercial</v>
      </c>
      <c r="F115" s="18">
        <f t="shared" si="16"/>
        <v>1</v>
      </c>
      <c r="G115" s="18">
        <f t="shared" si="15"/>
        <v>9</v>
      </c>
      <c r="H115" s="8">
        <v>1</v>
      </c>
      <c r="V115" s="7"/>
      <c r="Y115" s="7"/>
    </row>
    <row r="116" spans="2:25" x14ac:dyDescent="0.2">
      <c r="B116">
        <v>8</v>
      </c>
      <c r="C116" t="s">
        <v>44</v>
      </c>
      <c r="D116" t="s">
        <v>15</v>
      </c>
      <c r="E116" s="18" t="str">
        <f t="shared" si="14"/>
        <v>Corporate</v>
      </c>
      <c r="F116" s="18">
        <f t="shared" si="16"/>
        <v>1</v>
      </c>
      <c r="G116" s="18">
        <f t="shared" si="15"/>
        <v>13</v>
      </c>
      <c r="H116" s="8">
        <v>1</v>
      </c>
      <c r="V116" s="7"/>
      <c r="Y116" s="7"/>
    </row>
    <row r="117" spans="2:25" x14ac:dyDescent="0.2">
      <c r="B117">
        <v>9</v>
      </c>
      <c r="C117" t="s">
        <v>7</v>
      </c>
      <c r="D117" t="s">
        <v>15</v>
      </c>
      <c r="E117" s="18" t="str">
        <f t="shared" si="14"/>
        <v>Operations</v>
      </c>
      <c r="F117" s="18">
        <f t="shared" si="16"/>
        <v>1</v>
      </c>
      <c r="G117" s="18">
        <f t="shared" si="15"/>
        <v>3</v>
      </c>
      <c r="H117" s="8">
        <v>1</v>
      </c>
      <c r="V117" s="7"/>
      <c r="Y117" s="7"/>
    </row>
    <row r="118" spans="2:25" x14ac:dyDescent="0.2">
      <c r="B118">
        <v>10</v>
      </c>
      <c r="C118" t="s">
        <v>59</v>
      </c>
      <c r="D118" t="s">
        <v>15</v>
      </c>
      <c r="E118" s="18" t="str">
        <f t="shared" si="14"/>
        <v>Technology</v>
      </c>
      <c r="F118" s="18">
        <f t="shared" si="16"/>
        <v>1</v>
      </c>
      <c r="G118" s="18">
        <f t="shared" si="15"/>
        <v>5</v>
      </c>
      <c r="H118" s="8">
        <v>1</v>
      </c>
      <c r="V118" s="7"/>
      <c r="Y118" s="7"/>
    </row>
    <row r="119" spans="2:25" x14ac:dyDescent="0.2">
      <c r="B119">
        <v>11</v>
      </c>
      <c r="C119" t="s">
        <v>36</v>
      </c>
      <c r="D119" t="s">
        <v>15</v>
      </c>
      <c r="E119" s="18" t="str">
        <f t="shared" si="14"/>
        <v>Commercial</v>
      </c>
      <c r="F119" s="18">
        <f t="shared" si="16"/>
        <v>1</v>
      </c>
      <c r="G119" s="18">
        <f t="shared" si="15"/>
        <v>9</v>
      </c>
      <c r="H119" s="8">
        <v>1</v>
      </c>
      <c r="V119" s="7"/>
      <c r="Y119" s="7"/>
    </row>
    <row r="120" spans="2:25" x14ac:dyDescent="0.2">
      <c r="B120">
        <v>12</v>
      </c>
      <c r="C120" t="s">
        <v>46</v>
      </c>
      <c r="D120" t="s">
        <v>15</v>
      </c>
      <c r="E120" s="18" t="str">
        <f t="shared" si="14"/>
        <v>Corporate</v>
      </c>
      <c r="F120" s="18">
        <f t="shared" si="16"/>
        <v>1</v>
      </c>
      <c r="G120" s="18">
        <f t="shared" si="15"/>
        <v>13</v>
      </c>
      <c r="H120" s="8">
        <v>1</v>
      </c>
      <c r="V120" s="7"/>
      <c r="Y120" s="7"/>
    </row>
    <row r="121" spans="2:25" x14ac:dyDescent="0.2">
      <c r="B121">
        <v>13</v>
      </c>
      <c r="C121" t="s">
        <v>42</v>
      </c>
      <c r="D121" t="s">
        <v>15</v>
      </c>
      <c r="E121" s="18" t="str">
        <f t="shared" si="14"/>
        <v>Operations</v>
      </c>
      <c r="F121" s="18">
        <f t="shared" si="16"/>
        <v>1</v>
      </c>
      <c r="G121" s="18">
        <f t="shared" si="15"/>
        <v>3</v>
      </c>
      <c r="H121" s="8">
        <v>1</v>
      </c>
      <c r="V121" s="7"/>
      <c r="Y121" s="7"/>
    </row>
    <row r="122" spans="2:25" x14ac:dyDescent="0.2">
      <c r="B122">
        <v>14</v>
      </c>
      <c r="C122" t="s">
        <v>58</v>
      </c>
      <c r="D122" t="s">
        <v>15</v>
      </c>
      <c r="E122" s="18" t="str">
        <f t="shared" si="14"/>
        <v>Technology</v>
      </c>
      <c r="F122" s="18">
        <f t="shared" si="16"/>
        <v>1</v>
      </c>
      <c r="G122" s="18">
        <f t="shared" si="15"/>
        <v>5</v>
      </c>
      <c r="H122" s="8">
        <v>1</v>
      </c>
      <c r="V122" s="7"/>
      <c r="Y122" s="7"/>
    </row>
    <row r="123" spans="2:25" x14ac:dyDescent="0.2">
      <c r="B123">
        <v>15</v>
      </c>
      <c r="C123" t="s">
        <v>38</v>
      </c>
      <c r="D123" t="s">
        <v>15</v>
      </c>
      <c r="E123" s="18" t="str">
        <f t="shared" si="14"/>
        <v>Commercial</v>
      </c>
      <c r="F123" s="18">
        <f t="shared" si="16"/>
        <v>1</v>
      </c>
      <c r="G123" s="18">
        <f t="shared" si="15"/>
        <v>9</v>
      </c>
      <c r="H123" s="8">
        <v>1</v>
      </c>
      <c r="V123" s="7"/>
      <c r="Y123" s="7"/>
    </row>
    <row r="124" spans="2:25" x14ac:dyDescent="0.2">
      <c r="B124">
        <v>16</v>
      </c>
      <c r="C124" t="s">
        <v>47</v>
      </c>
      <c r="D124" t="s">
        <v>15</v>
      </c>
      <c r="E124" s="18" t="str">
        <f t="shared" si="14"/>
        <v>Corporate</v>
      </c>
      <c r="F124" s="18">
        <f t="shared" si="16"/>
        <v>1</v>
      </c>
      <c r="G124" s="18">
        <f t="shared" si="15"/>
        <v>13</v>
      </c>
      <c r="H124" s="8">
        <v>1</v>
      </c>
      <c r="V124" s="7"/>
      <c r="Y124" s="7"/>
    </row>
    <row r="125" spans="2:25" x14ac:dyDescent="0.2">
      <c r="B125">
        <v>17</v>
      </c>
      <c r="C125" t="s">
        <v>34</v>
      </c>
      <c r="D125" t="s">
        <v>15</v>
      </c>
      <c r="E125" s="18" t="str">
        <f t="shared" si="14"/>
        <v>Technology</v>
      </c>
      <c r="F125" s="18">
        <f t="shared" si="16"/>
        <v>1</v>
      </c>
      <c r="G125" s="18">
        <f t="shared" si="15"/>
        <v>5</v>
      </c>
      <c r="H125" s="8">
        <v>1</v>
      </c>
      <c r="V125" s="7"/>
      <c r="Y125" s="7"/>
    </row>
    <row r="126" spans="2:25" x14ac:dyDescent="0.2">
      <c r="B126">
        <v>18</v>
      </c>
      <c r="C126" t="s">
        <v>25</v>
      </c>
      <c r="D126" t="s">
        <v>15</v>
      </c>
      <c r="E126" s="18" t="str">
        <f t="shared" si="14"/>
        <v>Commercial</v>
      </c>
      <c r="F126" s="18">
        <f t="shared" si="16"/>
        <v>1</v>
      </c>
      <c r="G126" s="18">
        <f t="shared" si="15"/>
        <v>9</v>
      </c>
      <c r="H126" s="8">
        <v>1</v>
      </c>
      <c r="V126" s="7"/>
      <c r="Y126" s="7"/>
    </row>
    <row r="127" spans="2:25" x14ac:dyDescent="0.2">
      <c r="B127">
        <v>19</v>
      </c>
      <c r="C127" t="s">
        <v>35</v>
      </c>
      <c r="D127" t="s">
        <v>15</v>
      </c>
      <c r="E127" s="18" t="str">
        <f t="shared" si="14"/>
        <v>Corporate</v>
      </c>
      <c r="F127" s="18">
        <f t="shared" si="16"/>
        <v>1</v>
      </c>
      <c r="G127" s="18">
        <f t="shared" si="15"/>
        <v>13</v>
      </c>
      <c r="H127" s="8">
        <v>1</v>
      </c>
      <c r="V127" s="7"/>
      <c r="Y127" s="7"/>
    </row>
    <row r="128" spans="2:25" x14ac:dyDescent="0.2">
      <c r="B128">
        <v>20</v>
      </c>
      <c r="C128" t="s">
        <v>60</v>
      </c>
      <c r="D128" t="s">
        <v>15</v>
      </c>
      <c r="E128" s="18" t="str">
        <f t="shared" si="14"/>
        <v>Technology</v>
      </c>
      <c r="F128" s="18">
        <f t="shared" si="16"/>
        <v>1</v>
      </c>
      <c r="G128" s="18">
        <f t="shared" si="15"/>
        <v>5</v>
      </c>
      <c r="H128" s="8">
        <v>1</v>
      </c>
      <c r="V128" s="7"/>
      <c r="Y128" s="7"/>
    </row>
    <row r="129" spans="2:25" x14ac:dyDescent="0.2">
      <c r="B129">
        <v>21</v>
      </c>
      <c r="C129" t="s">
        <v>23</v>
      </c>
      <c r="D129" t="s">
        <v>15</v>
      </c>
      <c r="E129" s="18" t="str">
        <f t="shared" si="14"/>
        <v>Commercial</v>
      </c>
      <c r="F129" s="18">
        <f t="shared" si="16"/>
        <v>1</v>
      </c>
      <c r="G129" s="18">
        <f t="shared" si="15"/>
        <v>9</v>
      </c>
      <c r="H129" s="8">
        <v>1</v>
      </c>
      <c r="V129" s="7"/>
      <c r="Y129" s="7"/>
    </row>
    <row r="130" spans="2:25" x14ac:dyDescent="0.2">
      <c r="B130">
        <v>22</v>
      </c>
      <c r="C130" t="s">
        <v>98</v>
      </c>
      <c r="D130" t="s">
        <v>15</v>
      </c>
      <c r="E130" s="18" t="str">
        <f t="shared" si="14"/>
        <v>Corporate</v>
      </c>
      <c r="F130" s="18">
        <f t="shared" si="16"/>
        <v>1</v>
      </c>
      <c r="G130" s="18">
        <f t="shared" si="15"/>
        <v>13</v>
      </c>
      <c r="H130" s="8">
        <v>1</v>
      </c>
      <c r="V130" s="7"/>
      <c r="Y130" s="7"/>
    </row>
    <row r="131" spans="2:25" x14ac:dyDescent="0.2">
      <c r="B131">
        <v>23</v>
      </c>
      <c r="C131" t="s">
        <v>24</v>
      </c>
      <c r="D131" t="s">
        <v>15</v>
      </c>
      <c r="E131" s="18" t="str">
        <f t="shared" ref="E131:E194" si="17">VLOOKUP($C131,$AB:$AC,2,FALSE)</f>
        <v>Commercial</v>
      </c>
      <c r="F131" s="18">
        <f t="shared" si="16"/>
        <v>1</v>
      </c>
      <c r="G131" s="18">
        <f t="shared" ref="G131:G194" si="18">SUMIFS($H$2:$H$1000,$E$2:$E$1000,E131,$D$2:$D$1000,D131)</f>
        <v>9</v>
      </c>
      <c r="H131" s="8">
        <v>1</v>
      </c>
      <c r="V131" s="7"/>
      <c r="Y131" s="7"/>
    </row>
    <row r="132" spans="2:25" x14ac:dyDescent="0.2">
      <c r="B132">
        <v>24</v>
      </c>
      <c r="C132" t="s">
        <v>45</v>
      </c>
      <c r="D132" t="s">
        <v>15</v>
      </c>
      <c r="E132" s="18" t="str">
        <f t="shared" si="17"/>
        <v>Corporate</v>
      </c>
      <c r="F132" s="18">
        <f t="shared" ref="F132:F195" si="19">H132*SUMIFS($L:$L,$J:$J,D132,$K:$K,E132)/G132</f>
        <v>1</v>
      </c>
      <c r="G132" s="18">
        <f t="shared" si="18"/>
        <v>13</v>
      </c>
      <c r="H132" s="8">
        <v>1</v>
      </c>
      <c r="V132" s="7"/>
      <c r="Y132" s="7"/>
    </row>
    <row r="133" spans="2:25" x14ac:dyDescent="0.2">
      <c r="B133">
        <v>25</v>
      </c>
      <c r="C133" t="s">
        <v>40</v>
      </c>
      <c r="D133" t="s">
        <v>15</v>
      </c>
      <c r="E133" s="18" t="str">
        <f t="shared" si="17"/>
        <v>Commercial</v>
      </c>
      <c r="F133" s="18">
        <f t="shared" si="19"/>
        <v>1</v>
      </c>
      <c r="G133" s="18">
        <f t="shared" si="18"/>
        <v>9</v>
      </c>
      <c r="H133" s="8">
        <v>1</v>
      </c>
      <c r="V133" s="7"/>
      <c r="Y133" s="7"/>
    </row>
    <row r="134" spans="2:25" x14ac:dyDescent="0.2">
      <c r="B134">
        <v>26</v>
      </c>
      <c r="C134" t="s">
        <v>48</v>
      </c>
      <c r="D134" t="s">
        <v>15</v>
      </c>
      <c r="E134" s="18" t="str">
        <f t="shared" si="17"/>
        <v>Corporate</v>
      </c>
      <c r="F134" s="18">
        <f t="shared" si="19"/>
        <v>1</v>
      </c>
      <c r="G134" s="18">
        <f t="shared" si="18"/>
        <v>13</v>
      </c>
      <c r="H134" s="8">
        <v>1</v>
      </c>
      <c r="V134" s="7"/>
      <c r="Y134" s="7"/>
    </row>
    <row r="135" spans="2:25" x14ac:dyDescent="0.2">
      <c r="B135">
        <v>27</v>
      </c>
      <c r="C135" t="s">
        <v>39</v>
      </c>
      <c r="D135" t="s">
        <v>15</v>
      </c>
      <c r="E135" s="18" t="str">
        <f t="shared" si="17"/>
        <v>Commercial</v>
      </c>
      <c r="F135" s="18">
        <f t="shared" si="19"/>
        <v>1</v>
      </c>
      <c r="G135" s="18">
        <f t="shared" si="18"/>
        <v>9</v>
      </c>
      <c r="H135" s="8">
        <v>1</v>
      </c>
      <c r="V135" s="7"/>
      <c r="Y135" s="7"/>
    </row>
    <row r="136" spans="2:25" x14ac:dyDescent="0.2">
      <c r="B136">
        <v>28</v>
      </c>
      <c r="C136" t="s">
        <v>54</v>
      </c>
      <c r="D136" t="s">
        <v>15</v>
      </c>
      <c r="E136" s="18" t="str">
        <f t="shared" si="17"/>
        <v>Corporate</v>
      </c>
      <c r="F136" s="18">
        <f t="shared" si="19"/>
        <v>1</v>
      </c>
      <c r="G136" s="18">
        <f t="shared" si="18"/>
        <v>13</v>
      </c>
      <c r="H136" s="8">
        <v>1</v>
      </c>
      <c r="V136" s="7"/>
      <c r="Y136" s="7"/>
    </row>
    <row r="137" spans="2:25" x14ac:dyDescent="0.2">
      <c r="B137">
        <v>29</v>
      </c>
      <c r="C137" t="s">
        <v>50</v>
      </c>
      <c r="D137" t="s">
        <v>15</v>
      </c>
      <c r="E137" s="18" t="str">
        <f t="shared" si="17"/>
        <v>Corporate</v>
      </c>
      <c r="F137" s="18">
        <f t="shared" si="19"/>
        <v>1</v>
      </c>
      <c r="G137" s="18">
        <f t="shared" si="18"/>
        <v>13</v>
      </c>
      <c r="H137" s="8">
        <v>1</v>
      </c>
      <c r="V137" s="7"/>
      <c r="Y137" s="7"/>
    </row>
    <row r="138" spans="2:25" x14ac:dyDescent="0.2">
      <c r="B138">
        <v>30</v>
      </c>
      <c r="C138" t="s">
        <v>51</v>
      </c>
      <c r="D138" t="s">
        <v>15</v>
      </c>
      <c r="E138" s="18" t="str">
        <f t="shared" si="17"/>
        <v>Corporate</v>
      </c>
      <c r="F138" s="18">
        <f t="shared" si="19"/>
        <v>1</v>
      </c>
      <c r="G138" s="18">
        <f t="shared" si="18"/>
        <v>13</v>
      </c>
      <c r="H138" s="8">
        <v>1</v>
      </c>
      <c r="V138" s="7"/>
      <c r="Y138" s="7"/>
    </row>
    <row r="139" spans="2:25" x14ac:dyDescent="0.2">
      <c r="B139">
        <v>31</v>
      </c>
      <c r="C139" t="s">
        <v>56</v>
      </c>
      <c r="D139" t="s">
        <v>15</v>
      </c>
      <c r="E139" s="18" t="str">
        <f t="shared" si="17"/>
        <v>Corporate</v>
      </c>
      <c r="F139" s="18">
        <f t="shared" si="19"/>
        <v>1</v>
      </c>
      <c r="G139" s="18">
        <f t="shared" si="18"/>
        <v>13</v>
      </c>
      <c r="H139" s="8">
        <v>1</v>
      </c>
      <c r="V139" s="7"/>
      <c r="Y139" s="7"/>
    </row>
    <row r="140" spans="2:25" x14ac:dyDescent="0.2">
      <c r="B140">
        <v>32</v>
      </c>
      <c r="C140" t="s">
        <v>53</v>
      </c>
      <c r="D140" t="s">
        <v>15</v>
      </c>
      <c r="E140" s="18" t="str">
        <f t="shared" si="17"/>
        <v>Corporate</v>
      </c>
      <c r="F140" s="18">
        <f t="shared" si="19"/>
        <v>1</v>
      </c>
      <c r="G140" s="18">
        <f t="shared" si="18"/>
        <v>13</v>
      </c>
      <c r="H140" s="8">
        <v>1</v>
      </c>
      <c r="V140" s="7"/>
      <c r="Y140" s="7"/>
    </row>
    <row r="141" spans="2:25" x14ac:dyDescent="0.2">
      <c r="B141">
        <v>1</v>
      </c>
      <c r="C141" t="s">
        <v>24</v>
      </c>
      <c r="D141" t="s">
        <v>16</v>
      </c>
      <c r="E141" s="18" t="str">
        <f t="shared" si="17"/>
        <v>Commercial</v>
      </c>
      <c r="F141" s="18">
        <f t="shared" si="19"/>
        <v>1</v>
      </c>
      <c r="G141" s="18">
        <f t="shared" si="18"/>
        <v>9</v>
      </c>
      <c r="H141" s="8">
        <v>1</v>
      </c>
      <c r="V141" s="7"/>
      <c r="Y141" s="7"/>
    </row>
    <row r="142" spans="2:25" x14ac:dyDescent="0.2">
      <c r="B142">
        <v>2</v>
      </c>
      <c r="C142" t="s">
        <v>26</v>
      </c>
      <c r="D142" t="s">
        <v>16</v>
      </c>
      <c r="E142" s="18" t="str">
        <f t="shared" si="17"/>
        <v>Operations</v>
      </c>
      <c r="F142" s="18">
        <f t="shared" si="19"/>
        <v>1</v>
      </c>
      <c r="G142" s="18">
        <f t="shared" si="18"/>
        <v>3</v>
      </c>
      <c r="H142" s="8">
        <v>1</v>
      </c>
      <c r="V142" s="7"/>
      <c r="Y142" s="7"/>
    </row>
    <row r="143" spans="2:25" x14ac:dyDescent="0.2">
      <c r="B143">
        <v>3</v>
      </c>
      <c r="C143" t="s">
        <v>22</v>
      </c>
      <c r="D143" t="s">
        <v>16</v>
      </c>
      <c r="E143" s="18" t="str">
        <f t="shared" si="17"/>
        <v>Corporate</v>
      </c>
      <c r="F143" s="18">
        <f t="shared" si="19"/>
        <v>1</v>
      </c>
      <c r="G143" s="18">
        <f t="shared" si="18"/>
        <v>13</v>
      </c>
      <c r="H143" s="8">
        <v>1</v>
      </c>
      <c r="V143" s="7"/>
      <c r="Y143" s="7"/>
    </row>
    <row r="144" spans="2:25" x14ac:dyDescent="0.2">
      <c r="B144">
        <v>4</v>
      </c>
      <c r="C144" t="s">
        <v>9</v>
      </c>
      <c r="D144" t="s">
        <v>16</v>
      </c>
      <c r="E144" s="18" t="str">
        <f t="shared" si="17"/>
        <v>Technology</v>
      </c>
      <c r="F144" s="18">
        <f t="shared" si="19"/>
        <v>1</v>
      </c>
      <c r="G144" s="18">
        <f t="shared" si="18"/>
        <v>5</v>
      </c>
      <c r="H144" s="8">
        <v>1</v>
      </c>
      <c r="V144" s="7"/>
      <c r="Y144" s="7"/>
    </row>
    <row r="145" spans="2:25" x14ac:dyDescent="0.2">
      <c r="B145">
        <v>5</v>
      </c>
      <c r="C145" t="s">
        <v>11</v>
      </c>
      <c r="D145" t="s">
        <v>16</v>
      </c>
      <c r="E145" s="18" t="str">
        <f t="shared" si="17"/>
        <v>CISO</v>
      </c>
      <c r="F145" s="18">
        <f t="shared" si="19"/>
        <v>1</v>
      </c>
      <c r="G145" s="18">
        <f t="shared" si="18"/>
        <v>1</v>
      </c>
      <c r="H145" s="8">
        <v>1</v>
      </c>
      <c r="V145" s="7"/>
      <c r="Y145" s="7"/>
    </row>
    <row r="146" spans="2:25" x14ac:dyDescent="0.2">
      <c r="B146">
        <v>6</v>
      </c>
      <c r="C146" t="s">
        <v>116</v>
      </c>
      <c r="D146" t="s">
        <v>16</v>
      </c>
      <c r="E146" s="18" t="str">
        <f t="shared" si="17"/>
        <v>Data &amp; AI</v>
      </c>
      <c r="F146" s="18">
        <f t="shared" si="19"/>
        <v>1</v>
      </c>
      <c r="G146" s="18">
        <f t="shared" si="18"/>
        <v>1</v>
      </c>
      <c r="H146" s="8">
        <v>1</v>
      </c>
      <c r="V146" s="7"/>
      <c r="Y146" s="7"/>
    </row>
    <row r="147" spans="2:25" x14ac:dyDescent="0.2">
      <c r="B147">
        <v>7</v>
      </c>
      <c r="C147" t="s">
        <v>37</v>
      </c>
      <c r="D147" t="s">
        <v>16</v>
      </c>
      <c r="E147" s="18" t="str">
        <f t="shared" si="17"/>
        <v>Commercial</v>
      </c>
      <c r="F147" s="18">
        <f t="shared" si="19"/>
        <v>1</v>
      </c>
      <c r="G147" s="18">
        <f t="shared" si="18"/>
        <v>9</v>
      </c>
      <c r="H147" s="8">
        <v>1</v>
      </c>
      <c r="V147" s="7"/>
      <c r="Y147" s="7"/>
    </row>
    <row r="148" spans="2:25" x14ac:dyDescent="0.2">
      <c r="B148">
        <v>8</v>
      </c>
      <c r="C148" t="s">
        <v>44</v>
      </c>
      <c r="D148" t="s">
        <v>16</v>
      </c>
      <c r="E148" s="18" t="str">
        <f t="shared" si="17"/>
        <v>Corporate</v>
      </c>
      <c r="F148" s="18">
        <f t="shared" si="19"/>
        <v>1</v>
      </c>
      <c r="G148" s="18">
        <f t="shared" si="18"/>
        <v>13</v>
      </c>
      <c r="H148" s="8">
        <v>1</v>
      </c>
      <c r="V148" s="7"/>
      <c r="Y148" s="7"/>
    </row>
    <row r="149" spans="2:25" x14ac:dyDescent="0.2">
      <c r="B149">
        <v>9</v>
      </c>
      <c r="C149" t="s">
        <v>7</v>
      </c>
      <c r="D149" t="s">
        <v>16</v>
      </c>
      <c r="E149" s="18" t="str">
        <f t="shared" si="17"/>
        <v>Operations</v>
      </c>
      <c r="F149" s="18">
        <f t="shared" si="19"/>
        <v>1</v>
      </c>
      <c r="G149" s="18">
        <f t="shared" si="18"/>
        <v>3</v>
      </c>
      <c r="H149" s="8">
        <v>1</v>
      </c>
      <c r="V149" s="7"/>
      <c r="Y149" s="7"/>
    </row>
    <row r="150" spans="2:25" x14ac:dyDescent="0.2">
      <c r="B150">
        <v>10</v>
      </c>
      <c r="C150" t="s">
        <v>59</v>
      </c>
      <c r="D150" t="s">
        <v>16</v>
      </c>
      <c r="E150" s="18" t="str">
        <f t="shared" si="17"/>
        <v>Technology</v>
      </c>
      <c r="F150" s="18">
        <f t="shared" si="19"/>
        <v>1</v>
      </c>
      <c r="G150" s="18">
        <f t="shared" si="18"/>
        <v>5</v>
      </c>
      <c r="H150" s="8">
        <v>1</v>
      </c>
      <c r="V150" s="7"/>
      <c r="Y150" s="7"/>
    </row>
    <row r="151" spans="2:25" x14ac:dyDescent="0.2">
      <c r="B151">
        <v>11</v>
      </c>
      <c r="C151" t="s">
        <v>36</v>
      </c>
      <c r="D151" t="s">
        <v>16</v>
      </c>
      <c r="E151" s="18" t="str">
        <f t="shared" si="17"/>
        <v>Commercial</v>
      </c>
      <c r="F151" s="18">
        <f t="shared" si="19"/>
        <v>1</v>
      </c>
      <c r="G151" s="18">
        <f t="shared" si="18"/>
        <v>9</v>
      </c>
      <c r="H151" s="8">
        <v>1</v>
      </c>
      <c r="V151" s="7"/>
      <c r="Y151" s="7"/>
    </row>
    <row r="152" spans="2:25" x14ac:dyDescent="0.2">
      <c r="B152">
        <v>12</v>
      </c>
      <c r="C152" t="s">
        <v>46</v>
      </c>
      <c r="D152" t="s">
        <v>16</v>
      </c>
      <c r="E152" s="18" t="str">
        <f t="shared" si="17"/>
        <v>Corporate</v>
      </c>
      <c r="F152" s="18">
        <f t="shared" si="19"/>
        <v>1</v>
      </c>
      <c r="G152" s="18">
        <f t="shared" si="18"/>
        <v>13</v>
      </c>
      <c r="H152" s="8">
        <v>1</v>
      </c>
      <c r="V152" s="7"/>
      <c r="Y152" s="7"/>
    </row>
    <row r="153" spans="2:25" x14ac:dyDescent="0.2">
      <c r="B153">
        <v>13</v>
      </c>
      <c r="C153" t="s">
        <v>42</v>
      </c>
      <c r="D153" t="s">
        <v>16</v>
      </c>
      <c r="E153" s="18" t="str">
        <f t="shared" si="17"/>
        <v>Operations</v>
      </c>
      <c r="F153" s="18">
        <f t="shared" si="19"/>
        <v>1</v>
      </c>
      <c r="G153" s="18">
        <f t="shared" si="18"/>
        <v>3</v>
      </c>
      <c r="H153" s="8">
        <v>1</v>
      </c>
      <c r="V153" s="7"/>
      <c r="Y153" s="7"/>
    </row>
    <row r="154" spans="2:25" x14ac:dyDescent="0.2">
      <c r="B154">
        <v>14</v>
      </c>
      <c r="C154" t="s">
        <v>58</v>
      </c>
      <c r="D154" t="s">
        <v>16</v>
      </c>
      <c r="E154" s="18" t="str">
        <f t="shared" si="17"/>
        <v>Technology</v>
      </c>
      <c r="F154" s="18">
        <f t="shared" si="19"/>
        <v>1</v>
      </c>
      <c r="G154" s="18">
        <f t="shared" si="18"/>
        <v>5</v>
      </c>
      <c r="H154" s="8">
        <v>1</v>
      </c>
      <c r="V154" s="7"/>
      <c r="Y154" s="7"/>
    </row>
    <row r="155" spans="2:25" x14ac:dyDescent="0.2">
      <c r="B155">
        <v>15</v>
      </c>
      <c r="C155" t="s">
        <v>38</v>
      </c>
      <c r="D155" t="s">
        <v>16</v>
      </c>
      <c r="E155" s="18" t="str">
        <f t="shared" si="17"/>
        <v>Commercial</v>
      </c>
      <c r="F155" s="18">
        <f t="shared" si="19"/>
        <v>1</v>
      </c>
      <c r="G155" s="18">
        <f t="shared" si="18"/>
        <v>9</v>
      </c>
      <c r="H155" s="8">
        <v>1</v>
      </c>
      <c r="V155" s="7"/>
      <c r="Y155" s="7"/>
    </row>
    <row r="156" spans="2:25" x14ac:dyDescent="0.2">
      <c r="B156">
        <v>16</v>
      </c>
      <c r="C156" t="s">
        <v>47</v>
      </c>
      <c r="D156" t="s">
        <v>16</v>
      </c>
      <c r="E156" s="18" t="str">
        <f t="shared" si="17"/>
        <v>Corporate</v>
      </c>
      <c r="F156" s="18">
        <f t="shared" si="19"/>
        <v>1</v>
      </c>
      <c r="G156" s="18">
        <f t="shared" si="18"/>
        <v>13</v>
      </c>
      <c r="H156" s="8">
        <v>1</v>
      </c>
      <c r="V156" s="7"/>
      <c r="Y156" s="7"/>
    </row>
    <row r="157" spans="2:25" x14ac:dyDescent="0.2">
      <c r="B157">
        <v>17</v>
      </c>
      <c r="C157" t="s">
        <v>34</v>
      </c>
      <c r="D157" t="s">
        <v>16</v>
      </c>
      <c r="E157" s="18" t="str">
        <f t="shared" si="17"/>
        <v>Technology</v>
      </c>
      <c r="F157" s="18">
        <f t="shared" si="19"/>
        <v>1</v>
      </c>
      <c r="G157" s="18">
        <f t="shared" si="18"/>
        <v>5</v>
      </c>
      <c r="H157" s="8">
        <v>1</v>
      </c>
      <c r="V157" s="7"/>
      <c r="Y157" s="7"/>
    </row>
    <row r="158" spans="2:25" x14ac:dyDescent="0.2">
      <c r="B158">
        <v>18</v>
      </c>
      <c r="C158" t="s">
        <v>25</v>
      </c>
      <c r="D158" t="s">
        <v>16</v>
      </c>
      <c r="E158" s="18" t="str">
        <f t="shared" si="17"/>
        <v>Commercial</v>
      </c>
      <c r="F158" s="18">
        <f t="shared" si="19"/>
        <v>1</v>
      </c>
      <c r="G158" s="18">
        <f t="shared" si="18"/>
        <v>9</v>
      </c>
      <c r="H158" s="8">
        <v>1</v>
      </c>
      <c r="V158" s="7"/>
      <c r="Y158" s="7"/>
    </row>
    <row r="159" spans="2:25" x14ac:dyDescent="0.2">
      <c r="B159">
        <v>19</v>
      </c>
      <c r="C159" t="s">
        <v>35</v>
      </c>
      <c r="D159" t="s">
        <v>16</v>
      </c>
      <c r="E159" s="18" t="str">
        <f t="shared" si="17"/>
        <v>Corporate</v>
      </c>
      <c r="F159" s="18">
        <f t="shared" si="19"/>
        <v>1</v>
      </c>
      <c r="G159" s="18">
        <f t="shared" si="18"/>
        <v>13</v>
      </c>
      <c r="H159" s="8">
        <v>1</v>
      </c>
      <c r="V159" s="7"/>
      <c r="Y159" s="7"/>
    </row>
    <row r="160" spans="2:25" x14ac:dyDescent="0.2">
      <c r="B160">
        <v>20</v>
      </c>
      <c r="C160" t="s">
        <v>60</v>
      </c>
      <c r="D160" t="s">
        <v>16</v>
      </c>
      <c r="E160" s="18" t="str">
        <f t="shared" si="17"/>
        <v>Technology</v>
      </c>
      <c r="F160" s="18">
        <f t="shared" si="19"/>
        <v>1</v>
      </c>
      <c r="G160" s="18">
        <f t="shared" si="18"/>
        <v>5</v>
      </c>
      <c r="H160" s="8">
        <v>1</v>
      </c>
      <c r="V160" s="7"/>
      <c r="Y160" s="7"/>
    </row>
    <row r="161" spans="2:25" x14ac:dyDescent="0.2">
      <c r="B161">
        <v>21</v>
      </c>
      <c r="C161" t="s">
        <v>23</v>
      </c>
      <c r="D161" t="s">
        <v>16</v>
      </c>
      <c r="E161" s="18" t="str">
        <f t="shared" si="17"/>
        <v>Commercial</v>
      </c>
      <c r="F161" s="18">
        <f t="shared" si="19"/>
        <v>1</v>
      </c>
      <c r="G161" s="18">
        <f t="shared" si="18"/>
        <v>9</v>
      </c>
      <c r="H161" s="8">
        <v>1</v>
      </c>
      <c r="V161" s="7"/>
      <c r="Y161" s="7"/>
    </row>
    <row r="162" spans="2:25" x14ac:dyDescent="0.2">
      <c r="B162">
        <v>22</v>
      </c>
      <c r="C162" t="s">
        <v>98</v>
      </c>
      <c r="D162" t="s">
        <v>16</v>
      </c>
      <c r="E162" s="18" t="str">
        <f t="shared" si="17"/>
        <v>Corporate</v>
      </c>
      <c r="F162" s="18">
        <f t="shared" si="19"/>
        <v>1</v>
      </c>
      <c r="G162" s="18">
        <f t="shared" si="18"/>
        <v>13</v>
      </c>
      <c r="H162" s="8">
        <v>1</v>
      </c>
      <c r="V162" s="7"/>
      <c r="Y162" s="7"/>
    </row>
    <row r="163" spans="2:25" x14ac:dyDescent="0.2">
      <c r="B163">
        <v>23</v>
      </c>
      <c r="C163" t="s">
        <v>21</v>
      </c>
      <c r="D163" t="s">
        <v>16</v>
      </c>
      <c r="E163" s="18" t="str">
        <f t="shared" si="17"/>
        <v>Commercial</v>
      </c>
      <c r="F163" s="18">
        <f t="shared" si="19"/>
        <v>1</v>
      </c>
      <c r="G163" s="18">
        <f t="shared" si="18"/>
        <v>9</v>
      </c>
      <c r="H163" s="8">
        <v>1</v>
      </c>
      <c r="V163" s="7"/>
      <c r="Y163" s="7"/>
    </row>
    <row r="164" spans="2:25" x14ac:dyDescent="0.2">
      <c r="B164">
        <v>24</v>
      </c>
      <c r="C164" t="s">
        <v>45</v>
      </c>
      <c r="D164" t="s">
        <v>16</v>
      </c>
      <c r="E164" s="18" t="str">
        <f t="shared" si="17"/>
        <v>Corporate</v>
      </c>
      <c r="F164" s="18">
        <f t="shared" si="19"/>
        <v>1</v>
      </c>
      <c r="G164" s="18">
        <f t="shared" si="18"/>
        <v>13</v>
      </c>
      <c r="H164" s="8">
        <v>1</v>
      </c>
      <c r="V164" s="7"/>
      <c r="Y164" s="7"/>
    </row>
    <row r="165" spans="2:25" x14ac:dyDescent="0.2">
      <c r="B165">
        <v>25</v>
      </c>
      <c r="C165" t="s">
        <v>40</v>
      </c>
      <c r="D165" t="s">
        <v>16</v>
      </c>
      <c r="E165" s="18" t="str">
        <f t="shared" si="17"/>
        <v>Commercial</v>
      </c>
      <c r="F165" s="18">
        <f t="shared" si="19"/>
        <v>1</v>
      </c>
      <c r="G165" s="18">
        <f t="shared" si="18"/>
        <v>9</v>
      </c>
      <c r="H165" s="8">
        <v>1</v>
      </c>
      <c r="V165" s="7"/>
      <c r="Y165" s="7"/>
    </row>
    <row r="166" spans="2:25" x14ac:dyDescent="0.2">
      <c r="B166">
        <v>26</v>
      </c>
      <c r="C166" t="s">
        <v>48</v>
      </c>
      <c r="D166" t="s">
        <v>16</v>
      </c>
      <c r="E166" s="18" t="str">
        <f t="shared" si="17"/>
        <v>Corporate</v>
      </c>
      <c r="F166" s="18">
        <f t="shared" si="19"/>
        <v>1</v>
      </c>
      <c r="G166" s="18">
        <f t="shared" si="18"/>
        <v>13</v>
      </c>
      <c r="H166" s="8">
        <v>1</v>
      </c>
      <c r="V166" s="7"/>
      <c r="Y166" s="7"/>
    </row>
    <row r="167" spans="2:25" x14ac:dyDescent="0.2">
      <c r="B167">
        <v>27</v>
      </c>
      <c r="C167" t="s">
        <v>39</v>
      </c>
      <c r="D167" t="s">
        <v>16</v>
      </c>
      <c r="E167" s="18" t="str">
        <f t="shared" si="17"/>
        <v>Commercial</v>
      </c>
      <c r="F167" s="18">
        <f t="shared" si="19"/>
        <v>1</v>
      </c>
      <c r="G167" s="18">
        <f t="shared" si="18"/>
        <v>9</v>
      </c>
      <c r="H167" s="8">
        <v>1</v>
      </c>
      <c r="V167" s="7"/>
      <c r="Y167" s="7"/>
    </row>
    <row r="168" spans="2:25" x14ac:dyDescent="0.2">
      <c r="B168">
        <v>28</v>
      </c>
      <c r="C168" t="s">
        <v>54</v>
      </c>
      <c r="D168" t="s">
        <v>16</v>
      </c>
      <c r="E168" s="18" t="str">
        <f t="shared" si="17"/>
        <v>Corporate</v>
      </c>
      <c r="F168" s="18">
        <f t="shared" si="19"/>
        <v>1</v>
      </c>
      <c r="G168" s="18">
        <f t="shared" si="18"/>
        <v>13</v>
      </c>
      <c r="H168" s="8">
        <v>1</v>
      </c>
      <c r="V168" s="7"/>
      <c r="Y168" s="7"/>
    </row>
    <row r="169" spans="2:25" x14ac:dyDescent="0.2">
      <c r="B169">
        <v>29</v>
      </c>
      <c r="C169" t="s">
        <v>50</v>
      </c>
      <c r="D169" t="s">
        <v>16</v>
      </c>
      <c r="E169" s="18" t="str">
        <f t="shared" si="17"/>
        <v>Corporate</v>
      </c>
      <c r="F169" s="18">
        <f t="shared" si="19"/>
        <v>1</v>
      </c>
      <c r="G169" s="18">
        <f t="shared" si="18"/>
        <v>13</v>
      </c>
      <c r="H169" s="8">
        <v>1</v>
      </c>
      <c r="V169" s="7"/>
      <c r="Y169" s="7"/>
    </row>
    <row r="170" spans="2:25" x14ac:dyDescent="0.2">
      <c r="B170">
        <v>30</v>
      </c>
      <c r="C170" t="s">
        <v>51</v>
      </c>
      <c r="D170" t="s">
        <v>16</v>
      </c>
      <c r="E170" s="18" t="str">
        <f t="shared" si="17"/>
        <v>Corporate</v>
      </c>
      <c r="F170" s="18">
        <f t="shared" si="19"/>
        <v>1</v>
      </c>
      <c r="G170" s="18">
        <f t="shared" si="18"/>
        <v>13</v>
      </c>
      <c r="H170" s="8">
        <v>1</v>
      </c>
      <c r="V170" s="7"/>
      <c r="Y170" s="7"/>
    </row>
    <row r="171" spans="2:25" x14ac:dyDescent="0.2">
      <c r="B171">
        <v>31</v>
      </c>
      <c r="C171" t="s">
        <v>56</v>
      </c>
      <c r="D171" t="s">
        <v>16</v>
      </c>
      <c r="E171" s="18" t="str">
        <f t="shared" si="17"/>
        <v>Corporate</v>
      </c>
      <c r="F171" s="18">
        <f t="shared" si="19"/>
        <v>1</v>
      </c>
      <c r="G171" s="18">
        <f t="shared" si="18"/>
        <v>13</v>
      </c>
      <c r="H171" s="8">
        <v>1</v>
      </c>
      <c r="V171" s="7"/>
      <c r="Y171" s="7"/>
    </row>
    <row r="172" spans="2:25" x14ac:dyDescent="0.2">
      <c r="B172">
        <v>32</v>
      </c>
      <c r="C172" t="s">
        <v>53</v>
      </c>
      <c r="D172" t="s">
        <v>16</v>
      </c>
      <c r="E172" s="18" t="str">
        <f t="shared" si="17"/>
        <v>Corporate</v>
      </c>
      <c r="F172" s="18">
        <f t="shared" si="19"/>
        <v>1</v>
      </c>
      <c r="G172" s="18">
        <f t="shared" si="18"/>
        <v>13</v>
      </c>
      <c r="H172" s="8">
        <v>1</v>
      </c>
      <c r="V172" s="7"/>
      <c r="Y172" s="7"/>
    </row>
    <row r="173" spans="2:25" x14ac:dyDescent="0.2">
      <c r="B173">
        <v>1</v>
      </c>
      <c r="C173" t="s">
        <v>25</v>
      </c>
      <c r="D173" t="s">
        <v>17</v>
      </c>
      <c r="E173" s="18" t="str">
        <f t="shared" si="17"/>
        <v>Commercial</v>
      </c>
      <c r="F173" s="18">
        <f t="shared" si="19"/>
        <v>1</v>
      </c>
      <c r="G173" s="18">
        <f t="shared" si="18"/>
        <v>8</v>
      </c>
      <c r="H173" s="8">
        <v>1</v>
      </c>
      <c r="V173" s="7"/>
      <c r="Y173" s="7"/>
    </row>
    <row r="174" spans="2:25" x14ac:dyDescent="0.2">
      <c r="B174">
        <v>2</v>
      </c>
      <c r="C174" t="s">
        <v>26</v>
      </c>
      <c r="D174" t="s">
        <v>17</v>
      </c>
      <c r="E174" s="18" t="str">
        <f t="shared" si="17"/>
        <v>Operations</v>
      </c>
      <c r="F174" s="18">
        <f t="shared" si="19"/>
        <v>1</v>
      </c>
      <c r="G174" s="18">
        <f t="shared" si="18"/>
        <v>3</v>
      </c>
      <c r="H174" s="8">
        <v>1</v>
      </c>
      <c r="V174" s="7"/>
      <c r="Y174" s="7"/>
    </row>
    <row r="175" spans="2:25" x14ac:dyDescent="0.2">
      <c r="B175">
        <v>3</v>
      </c>
      <c r="C175" t="s">
        <v>22</v>
      </c>
      <c r="D175" t="s">
        <v>17</v>
      </c>
      <c r="E175" s="18" t="str">
        <f t="shared" si="17"/>
        <v>Corporate</v>
      </c>
      <c r="F175" s="18">
        <f t="shared" si="19"/>
        <v>1</v>
      </c>
      <c r="G175" s="18">
        <f t="shared" si="18"/>
        <v>8</v>
      </c>
      <c r="H175" s="8">
        <v>1</v>
      </c>
      <c r="V175" s="7"/>
      <c r="Y175" s="7"/>
    </row>
    <row r="176" spans="2:25" x14ac:dyDescent="0.2">
      <c r="B176">
        <v>4</v>
      </c>
      <c r="C176" t="s">
        <v>9</v>
      </c>
      <c r="D176" t="s">
        <v>17</v>
      </c>
      <c r="E176" s="18" t="str">
        <f t="shared" si="17"/>
        <v>Technology</v>
      </c>
      <c r="F176" s="18">
        <f t="shared" si="19"/>
        <v>1</v>
      </c>
      <c r="G176" s="18">
        <f t="shared" si="18"/>
        <v>5</v>
      </c>
      <c r="H176" s="8">
        <v>1</v>
      </c>
      <c r="V176" s="7"/>
      <c r="Y176" s="7"/>
    </row>
    <row r="177" spans="2:25" x14ac:dyDescent="0.2">
      <c r="B177">
        <v>5</v>
      </c>
      <c r="C177" t="s">
        <v>11</v>
      </c>
      <c r="D177" t="s">
        <v>17</v>
      </c>
      <c r="E177" s="18" t="str">
        <f t="shared" si="17"/>
        <v>CISO</v>
      </c>
      <c r="F177" s="18">
        <f t="shared" si="19"/>
        <v>1</v>
      </c>
      <c r="G177" s="18">
        <f t="shared" si="18"/>
        <v>1</v>
      </c>
      <c r="H177" s="8">
        <v>1</v>
      </c>
      <c r="V177" s="7"/>
      <c r="Y177" s="7"/>
    </row>
    <row r="178" spans="2:25" x14ac:dyDescent="0.2">
      <c r="B178">
        <v>6</v>
      </c>
      <c r="C178" t="s">
        <v>116</v>
      </c>
      <c r="D178" t="s">
        <v>17</v>
      </c>
      <c r="E178" s="18" t="str">
        <f t="shared" si="17"/>
        <v>Data &amp; AI</v>
      </c>
      <c r="F178" s="18">
        <f t="shared" si="19"/>
        <v>1</v>
      </c>
      <c r="G178" s="18">
        <f t="shared" si="18"/>
        <v>7</v>
      </c>
      <c r="H178" s="8">
        <v>1</v>
      </c>
      <c r="V178" s="7"/>
      <c r="Y178" s="7"/>
    </row>
    <row r="179" spans="2:25" x14ac:dyDescent="0.2">
      <c r="B179">
        <v>7</v>
      </c>
      <c r="C179" t="s">
        <v>37</v>
      </c>
      <c r="D179" t="s">
        <v>17</v>
      </c>
      <c r="E179" s="18" t="str">
        <f t="shared" si="17"/>
        <v>Commercial</v>
      </c>
      <c r="F179" s="18">
        <f t="shared" si="19"/>
        <v>1</v>
      </c>
      <c r="G179" s="18">
        <f t="shared" si="18"/>
        <v>8</v>
      </c>
      <c r="H179" s="8">
        <v>1</v>
      </c>
      <c r="V179" s="7"/>
      <c r="Y179" s="7"/>
    </row>
    <row r="180" spans="2:25" x14ac:dyDescent="0.2">
      <c r="B180">
        <v>8</v>
      </c>
      <c r="C180" t="s">
        <v>44</v>
      </c>
      <c r="D180" t="s">
        <v>17</v>
      </c>
      <c r="E180" s="18" t="str">
        <f t="shared" si="17"/>
        <v>Corporate</v>
      </c>
      <c r="F180" s="18">
        <f t="shared" si="19"/>
        <v>1</v>
      </c>
      <c r="G180" s="18">
        <f t="shared" si="18"/>
        <v>8</v>
      </c>
      <c r="H180" s="8">
        <v>1</v>
      </c>
      <c r="V180" s="7"/>
      <c r="Y180" s="7"/>
    </row>
    <row r="181" spans="2:25" x14ac:dyDescent="0.2">
      <c r="B181">
        <v>9</v>
      </c>
      <c r="C181" t="s">
        <v>7</v>
      </c>
      <c r="D181" t="s">
        <v>17</v>
      </c>
      <c r="E181" s="18" t="str">
        <f t="shared" si="17"/>
        <v>Operations</v>
      </c>
      <c r="F181" s="18">
        <f t="shared" si="19"/>
        <v>1</v>
      </c>
      <c r="G181" s="18">
        <f t="shared" si="18"/>
        <v>3</v>
      </c>
      <c r="H181" s="8">
        <v>1</v>
      </c>
      <c r="V181" s="7"/>
      <c r="Y181" s="7"/>
    </row>
    <row r="182" spans="2:25" x14ac:dyDescent="0.2">
      <c r="B182">
        <v>10</v>
      </c>
      <c r="C182" t="s">
        <v>59</v>
      </c>
      <c r="D182" t="s">
        <v>17</v>
      </c>
      <c r="E182" s="18" t="str">
        <f t="shared" si="17"/>
        <v>Technology</v>
      </c>
      <c r="F182" s="18">
        <f t="shared" si="19"/>
        <v>1</v>
      </c>
      <c r="G182" s="18">
        <f t="shared" si="18"/>
        <v>5</v>
      </c>
      <c r="H182" s="8">
        <v>1</v>
      </c>
      <c r="V182" s="7"/>
      <c r="Y182" s="7"/>
    </row>
    <row r="183" spans="2:25" x14ac:dyDescent="0.2">
      <c r="B183">
        <v>11</v>
      </c>
      <c r="C183" t="s">
        <v>36</v>
      </c>
      <c r="D183" t="s">
        <v>17</v>
      </c>
      <c r="E183" s="18" t="str">
        <f t="shared" si="17"/>
        <v>Commercial</v>
      </c>
      <c r="F183" s="18">
        <f t="shared" si="19"/>
        <v>1</v>
      </c>
      <c r="G183" s="18">
        <f t="shared" si="18"/>
        <v>8</v>
      </c>
      <c r="H183" s="8">
        <v>1</v>
      </c>
      <c r="V183" s="7"/>
      <c r="Y183" s="7"/>
    </row>
    <row r="184" spans="2:25" x14ac:dyDescent="0.2">
      <c r="B184">
        <v>12</v>
      </c>
      <c r="C184" t="s">
        <v>46</v>
      </c>
      <c r="D184" t="s">
        <v>17</v>
      </c>
      <c r="E184" s="18" t="str">
        <f t="shared" si="17"/>
        <v>Corporate</v>
      </c>
      <c r="F184" s="18">
        <f t="shared" si="19"/>
        <v>1</v>
      </c>
      <c r="G184" s="18">
        <f t="shared" si="18"/>
        <v>8</v>
      </c>
      <c r="H184" s="8">
        <v>1</v>
      </c>
      <c r="V184" s="7"/>
      <c r="Y184" s="7"/>
    </row>
    <row r="185" spans="2:25" x14ac:dyDescent="0.2">
      <c r="B185">
        <v>13</v>
      </c>
      <c r="C185" t="s">
        <v>42</v>
      </c>
      <c r="D185" t="s">
        <v>17</v>
      </c>
      <c r="E185" s="18" t="str">
        <f t="shared" si="17"/>
        <v>Operations</v>
      </c>
      <c r="F185" s="18">
        <f t="shared" si="19"/>
        <v>1</v>
      </c>
      <c r="G185" s="18">
        <f t="shared" si="18"/>
        <v>3</v>
      </c>
      <c r="H185" s="8">
        <v>1</v>
      </c>
      <c r="V185" s="7"/>
      <c r="Y185" s="7"/>
    </row>
    <row r="186" spans="2:25" x14ac:dyDescent="0.2">
      <c r="B186">
        <v>14</v>
      </c>
      <c r="C186" t="s">
        <v>58</v>
      </c>
      <c r="D186" t="s">
        <v>17</v>
      </c>
      <c r="E186" s="18" t="str">
        <f t="shared" si="17"/>
        <v>Technology</v>
      </c>
      <c r="F186" s="18">
        <f t="shared" si="19"/>
        <v>1</v>
      </c>
      <c r="G186" s="18">
        <f t="shared" si="18"/>
        <v>5</v>
      </c>
      <c r="H186" s="8">
        <v>1</v>
      </c>
      <c r="V186" s="7"/>
      <c r="Y186" s="7"/>
    </row>
    <row r="187" spans="2:25" x14ac:dyDescent="0.2">
      <c r="B187">
        <v>15</v>
      </c>
      <c r="C187" t="s">
        <v>38</v>
      </c>
      <c r="D187" t="s">
        <v>17</v>
      </c>
      <c r="E187" s="18" t="str">
        <f t="shared" si="17"/>
        <v>Commercial</v>
      </c>
      <c r="F187" s="18">
        <f t="shared" si="19"/>
        <v>1</v>
      </c>
      <c r="G187" s="18">
        <f t="shared" si="18"/>
        <v>8</v>
      </c>
      <c r="H187" s="8">
        <v>1</v>
      </c>
      <c r="V187" s="7"/>
      <c r="Y187" s="7"/>
    </row>
    <row r="188" spans="2:25" x14ac:dyDescent="0.2">
      <c r="B188">
        <v>16</v>
      </c>
      <c r="C188" t="s">
        <v>47</v>
      </c>
      <c r="D188" t="s">
        <v>17</v>
      </c>
      <c r="E188" s="18" t="str">
        <f t="shared" si="17"/>
        <v>Corporate</v>
      </c>
      <c r="F188" s="18">
        <f t="shared" si="19"/>
        <v>1</v>
      </c>
      <c r="G188" s="18">
        <f t="shared" si="18"/>
        <v>8</v>
      </c>
      <c r="H188" s="8">
        <v>1</v>
      </c>
      <c r="V188" s="7"/>
      <c r="Y188" s="7"/>
    </row>
    <row r="189" spans="2:25" x14ac:dyDescent="0.2">
      <c r="B189">
        <v>17</v>
      </c>
      <c r="C189" t="s">
        <v>34</v>
      </c>
      <c r="D189" t="s">
        <v>17</v>
      </c>
      <c r="E189" s="18" t="str">
        <f t="shared" si="17"/>
        <v>Technology</v>
      </c>
      <c r="F189" s="18">
        <f t="shared" si="19"/>
        <v>1</v>
      </c>
      <c r="G189" s="18">
        <f t="shared" si="18"/>
        <v>5</v>
      </c>
      <c r="H189" s="8">
        <v>1</v>
      </c>
      <c r="V189" s="7"/>
      <c r="Y189" s="7"/>
    </row>
    <row r="190" spans="2:25" x14ac:dyDescent="0.2">
      <c r="B190">
        <v>18</v>
      </c>
      <c r="C190" t="s">
        <v>21</v>
      </c>
      <c r="D190" t="s">
        <v>17</v>
      </c>
      <c r="E190" s="18" t="str">
        <f t="shared" si="17"/>
        <v>Commercial</v>
      </c>
      <c r="F190" s="18">
        <f t="shared" si="19"/>
        <v>1</v>
      </c>
      <c r="G190" s="18">
        <f t="shared" si="18"/>
        <v>8</v>
      </c>
      <c r="H190" s="8">
        <v>1</v>
      </c>
      <c r="V190" s="7"/>
      <c r="Y190" s="7"/>
    </row>
    <row r="191" spans="2:25" x14ac:dyDescent="0.2">
      <c r="B191">
        <v>19</v>
      </c>
      <c r="C191" t="s">
        <v>35</v>
      </c>
      <c r="D191" t="s">
        <v>17</v>
      </c>
      <c r="E191" s="18" t="str">
        <f t="shared" si="17"/>
        <v>Corporate</v>
      </c>
      <c r="F191" s="18">
        <f t="shared" si="19"/>
        <v>1</v>
      </c>
      <c r="G191" s="18">
        <f t="shared" si="18"/>
        <v>8</v>
      </c>
      <c r="H191" s="8">
        <v>1</v>
      </c>
      <c r="V191" s="7"/>
      <c r="Y191" s="7"/>
    </row>
    <row r="192" spans="2:25" x14ac:dyDescent="0.2">
      <c r="B192">
        <v>20</v>
      </c>
      <c r="C192" t="s">
        <v>60</v>
      </c>
      <c r="D192" t="s">
        <v>17</v>
      </c>
      <c r="E192" s="18" t="str">
        <f t="shared" si="17"/>
        <v>Technology</v>
      </c>
      <c r="F192" s="18">
        <f t="shared" si="19"/>
        <v>1</v>
      </c>
      <c r="G192" s="18">
        <f t="shared" si="18"/>
        <v>5</v>
      </c>
      <c r="H192" s="8">
        <v>1</v>
      </c>
      <c r="V192" s="7"/>
      <c r="Y192" s="7"/>
    </row>
    <row r="193" spans="2:25" x14ac:dyDescent="0.2">
      <c r="B193">
        <v>21</v>
      </c>
      <c r="C193" t="s">
        <v>23</v>
      </c>
      <c r="D193" t="s">
        <v>17</v>
      </c>
      <c r="E193" s="18" t="str">
        <f t="shared" si="17"/>
        <v>Commercial</v>
      </c>
      <c r="F193" s="18">
        <f t="shared" si="19"/>
        <v>1</v>
      </c>
      <c r="G193" s="18">
        <f t="shared" si="18"/>
        <v>8</v>
      </c>
      <c r="H193" s="8">
        <v>1</v>
      </c>
      <c r="V193" s="7"/>
      <c r="Y193" s="7"/>
    </row>
    <row r="194" spans="2:25" x14ac:dyDescent="0.2">
      <c r="B194">
        <v>22</v>
      </c>
      <c r="C194" t="s">
        <v>98</v>
      </c>
      <c r="D194" t="s">
        <v>17</v>
      </c>
      <c r="E194" s="18" t="str">
        <f t="shared" si="17"/>
        <v>Corporate</v>
      </c>
      <c r="F194" s="18">
        <f t="shared" si="19"/>
        <v>1</v>
      </c>
      <c r="G194" s="18">
        <f t="shared" si="18"/>
        <v>8</v>
      </c>
      <c r="H194" s="8">
        <v>1</v>
      </c>
      <c r="V194" s="7"/>
      <c r="Y194" s="7"/>
    </row>
    <row r="195" spans="2:25" x14ac:dyDescent="0.2">
      <c r="B195">
        <v>23</v>
      </c>
      <c r="C195" t="s">
        <v>24</v>
      </c>
      <c r="D195" t="s">
        <v>17</v>
      </c>
      <c r="E195" s="18" t="str">
        <f t="shared" ref="E195:E198" si="20">VLOOKUP($C195,$AB:$AC,2,FALSE)</f>
        <v>Commercial</v>
      </c>
      <c r="F195" s="18">
        <f t="shared" si="19"/>
        <v>1</v>
      </c>
      <c r="G195" s="18">
        <f t="shared" ref="G195:G204" si="21">SUMIFS($H$2:$H$1000,$E$2:$E$1000,E195,$D$2:$D$1000,D195)</f>
        <v>8</v>
      </c>
      <c r="H195" s="8">
        <v>1</v>
      </c>
      <c r="V195" s="7"/>
      <c r="Y195" s="7"/>
    </row>
    <row r="196" spans="2:25" x14ac:dyDescent="0.2">
      <c r="B196">
        <v>24</v>
      </c>
      <c r="C196" t="s">
        <v>45</v>
      </c>
      <c r="D196" t="s">
        <v>17</v>
      </c>
      <c r="E196" s="18" t="str">
        <f t="shared" si="20"/>
        <v>Corporate</v>
      </c>
      <c r="F196" s="18">
        <f t="shared" ref="F196:F204" si="22">H196*SUMIFS($L:$L,$J:$J,D196,$K:$K,E196)/G196</f>
        <v>1</v>
      </c>
      <c r="G196" s="18">
        <f t="shared" si="21"/>
        <v>8</v>
      </c>
      <c r="H196" s="8">
        <v>1</v>
      </c>
      <c r="V196" s="7"/>
      <c r="Y196" s="7"/>
    </row>
    <row r="197" spans="2:25" x14ac:dyDescent="0.2">
      <c r="B197">
        <v>25</v>
      </c>
      <c r="C197" t="s">
        <v>40</v>
      </c>
      <c r="D197" t="s">
        <v>17</v>
      </c>
      <c r="E197" s="18" t="str">
        <f t="shared" si="20"/>
        <v>Commercial</v>
      </c>
      <c r="F197" s="18">
        <f t="shared" si="22"/>
        <v>1</v>
      </c>
      <c r="G197" s="18">
        <f t="shared" si="21"/>
        <v>8</v>
      </c>
      <c r="H197" s="8">
        <v>1</v>
      </c>
      <c r="V197" s="7"/>
      <c r="Y197" s="7"/>
    </row>
    <row r="198" spans="2:25" x14ac:dyDescent="0.2">
      <c r="B198">
        <v>26</v>
      </c>
      <c r="C198" t="s">
        <v>48</v>
      </c>
      <c r="D198" t="s">
        <v>17</v>
      </c>
      <c r="E198" s="18" t="str">
        <f t="shared" si="20"/>
        <v>Corporate</v>
      </c>
      <c r="F198" s="18">
        <f t="shared" si="22"/>
        <v>1</v>
      </c>
      <c r="G198" s="18">
        <f t="shared" si="21"/>
        <v>8</v>
      </c>
      <c r="H198" s="8">
        <v>1</v>
      </c>
      <c r="V198" s="7"/>
      <c r="Y198" s="7"/>
    </row>
    <row r="199" spans="2:25" x14ac:dyDescent="0.2">
      <c r="B199">
        <v>27</v>
      </c>
      <c r="C199" t="s">
        <v>39</v>
      </c>
      <c r="D199" t="s">
        <v>17</v>
      </c>
      <c r="E199" s="18" t="s">
        <v>74</v>
      </c>
      <c r="F199" s="18">
        <f t="shared" si="22"/>
        <v>1</v>
      </c>
      <c r="G199" s="18">
        <f t="shared" si="21"/>
        <v>7</v>
      </c>
      <c r="H199" s="8">
        <v>1</v>
      </c>
      <c r="V199" s="7"/>
      <c r="Y199" s="7"/>
    </row>
    <row r="200" spans="2:25" x14ac:dyDescent="0.2">
      <c r="B200">
        <v>28</v>
      </c>
      <c r="C200" t="s">
        <v>54</v>
      </c>
      <c r="D200" t="s">
        <v>17</v>
      </c>
      <c r="E200" s="18" t="s">
        <v>74</v>
      </c>
      <c r="F200" s="18">
        <f t="shared" si="22"/>
        <v>1</v>
      </c>
      <c r="G200" s="18">
        <f t="shared" si="21"/>
        <v>7</v>
      </c>
      <c r="H200" s="8">
        <v>1</v>
      </c>
      <c r="V200" s="7"/>
      <c r="Y200" s="7"/>
    </row>
    <row r="201" spans="2:25" x14ac:dyDescent="0.2">
      <c r="B201">
        <v>29</v>
      </c>
      <c r="C201" t="s">
        <v>50</v>
      </c>
      <c r="D201" t="s">
        <v>17</v>
      </c>
      <c r="E201" s="18" t="s">
        <v>74</v>
      </c>
      <c r="F201" s="18">
        <f t="shared" si="22"/>
        <v>1</v>
      </c>
      <c r="G201" s="18">
        <f t="shared" si="21"/>
        <v>7</v>
      </c>
      <c r="H201" s="8">
        <v>1</v>
      </c>
      <c r="V201" s="7"/>
      <c r="Y201" s="7"/>
    </row>
    <row r="202" spans="2:25" x14ac:dyDescent="0.2">
      <c r="B202">
        <v>30</v>
      </c>
      <c r="C202" t="s">
        <v>51</v>
      </c>
      <c r="D202" t="s">
        <v>17</v>
      </c>
      <c r="E202" s="18" t="s">
        <v>74</v>
      </c>
      <c r="F202" s="18">
        <f t="shared" si="22"/>
        <v>1</v>
      </c>
      <c r="G202" s="18">
        <f t="shared" si="21"/>
        <v>7</v>
      </c>
      <c r="H202" s="8">
        <v>1</v>
      </c>
      <c r="V202" s="7"/>
      <c r="Y202" s="7"/>
    </row>
    <row r="203" spans="2:25" x14ac:dyDescent="0.2">
      <c r="B203">
        <v>31</v>
      </c>
      <c r="C203" t="s">
        <v>56</v>
      </c>
      <c r="D203" t="s">
        <v>17</v>
      </c>
      <c r="E203" s="18" t="s">
        <v>74</v>
      </c>
      <c r="F203" s="18">
        <f t="shared" si="22"/>
        <v>1</v>
      </c>
      <c r="G203" s="18">
        <f t="shared" si="21"/>
        <v>7</v>
      </c>
      <c r="H203" s="8">
        <v>1</v>
      </c>
      <c r="V203" s="7"/>
      <c r="Y203" s="7"/>
    </row>
    <row r="204" spans="2:25" x14ac:dyDescent="0.2">
      <c r="B204">
        <v>32</v>
      </c>
      <c r="C204" t="s">
        <v>53</v>
      </c>
      <c r="D204" t="s">
        <v>17</v>
      </c>
      <c r="E204" s="18" t="s">
        <v>74</v>
      </c>
      <c r="F204" s="18">
        <f t="shared" si="22"/>
        <v>1</v>
      </c>
      <c r="G204" s="18">
        <f t="shared" si="21"/>
        <v>7</v>
      </c>
      <c r="H204" s="8">
        <v>1</v>
      </c>
      <c r="V204" s="7"/>
      <c r="Y204" s="7"/>
    </row>
  </sheetData>
  <autoFilter ref="A2:AG204" xr:uid="{D521F980-2E5F-EC49-B62F-4F6A4A27A40F}"/>
  <conditionalFormatting sqref="H1:H1048576"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8">
    <cfRule type="colorScale" priority="5">
      <colorScale>
        <cfvo type="min"/>
        <cfvo type="max"/>
        <color rgb="FFFFEF9C"/>
        <color rgb="FF63BE7B"/>
      </colorScale>
    </cfRule>
  </conditionalFormatting>
  <conditionalFormatting sqref="M3:M38 O3:O38">
    <cfRule type="notContainsText" dxfId="3" priority="3" operator="notContains" text="100">
      <formula>ISERROR(SEARCH("100",M3))</formula>
    </cfRule>
  </conditionalFormatting>
  <conditionalFormatting sqref="N3:N38">
    <cfRule type="colorScale" priority="1">
      <colorScale>
        <cfvo type="min"/>
        <cfvo type="max"/>
        <color rgb="FFFFEF9C"/>
        <color rgb="FF63BE7B"/>
      </colorScale>
    </cfRule>
  </conditionalFormatting>
  <conditionalFormatting sqref="Q35:Q40">
    <cfRule type="colorScale" priority="2">
      <colorScale>
        <cfvo type="min"/>
        <cfvo type="max"/>
        <color rgb="FFFFEF9C"/>
        <color rgb="FF63BE7B"/>
      </colorScale>
    </cfRule>
  </conditionalFormatting>
  <conditionalFormatting sqref="S3">
    <cfRule type="notContainsText" dxfId="2" priority="4" operator="notContains" text="100">
      <formula>ISERROR(SEARCH("100",S3))</formula>
    </cfRule>
  </conditionalFormatting>
  <conditionalFormatting sqref="V3:V14">
    <cfRule type="colorScale" priority="9">
      <colorScale>
        <cfvo type="min"/>
        <cfvo type="max"/>
        <color rgb="FFFFEF9C"/>
        <color rgb="FF63BE7B"/>
      </colorScale>
    </cfRule>
    <cfRule type="cellIs" dxfId="1" priority="11" operator="equal">
      <formula>100</formula>
    </cfRule>
  </conditionalFormatting>
  <conditionalFormatting sqref="Y3:Y44">
    <cfRule type="colorScale" priority="8">
      <colorScale>
        <cfvo type="min"/>
        <cfvo type="max"/>
        <color rgb="FFFFEF9C"/>
        <color rgb="FF63BE7B"/>
      </colorScale>
    </cfRule>
    <cfRule type="cellIs" dxfId="0" priority="10" operator="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tom_demand_setup</vt:lpstr>
      <vt:lpstr>tom_demand_setup (25)</vt:lpstr>
      <vt:lpstr>support &gt;&gt;</vt:lpstr>
      <vt:lpstr>ideas-output</vt:lpstr>
      <vt:lpstr>pivot</vt:lpstr>
      <vt:lpstr>backup &gt;&gt; </vt:lpstr>
      <vt:lpstr>weights (base2026.02)</vt:lpstr>
      <vt:lpstr>TOM25-26 DEMAND WEIGHTS</vt:lpstr>
      <vt:lpstr>tom_demand_setup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2026-01-02T17:09:01Z</dcterms:created>
  <dcterms:modified xsi:type="dcterms:W3CDTF">2026-03-04T11:26:53Z</dcterms:modified>
</cp:coreProperties>
</file>