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1445618/Library/CloudStorage/GoogleDrive-ruipedrosaraiva@gmail.com/My Drive/dev-projects/ctt/tom_demand/docs/"/>
    </mc:Choice>
  </mc:AlternateContent>
  <xr:revisionPtr revIDLastSave="0" documentId="13_ncr:1_{3414994A-36A3-A541-B635-CB659DD4F665}" xr6:coauthVersionLast="47" xr6:coauthVersionMax="47" xr10:uidLastSave="{00000000-0000-0000-0000-000000000000}"/>
  <bookViews>
    <workbookView xWindow="0" yWindow="680" windowWidth="30240" windowHeight="18960" firstSheet="1" activeTab="5" xr2:uid="{9D2BC160-0631-EE46-87AB-AABB69ACE5D9}"/>
  </bookViews>
  <sheets>
    <sheet name="tom_demand_setup - TO BE" sheetId="2" r:id="rId1"/>
    <sheet name="tom_demand_setup - ATUAL" sheetId="10" r:id="rId2"/>
    <sheet name="support &gt;&gt;" sheetId="6" r:id="rId3"/>
    <sheet name="tom_demand_setup - ATUAL (2)" sheetId="14" r:id="rId4"/>
    <sheet name="ideas-input" sheetId="13" r:id="rId5"/>
    <sheet name="ideas-output" sheetId="3" r:id="rId6"/>
    <sheet name="pivot" sheetId="8" r:id="rId7"/>
    <sheet name="backup &gt;&gt; " sheetId="12" r:id="rId8"/>
    <sheet name="weights (base2026.02)" sheetId="5" r:id="rId9"/>
    <sheet name="TOM25-26 DEMAND WEIGHTS" sheetId="4" r:id="rId10"/>
    <sheet name="tom_demand_setup (old)" sheetId="9" r:id="rId11"/>
  </sheets>
  <definedNames>
    <definedName name="_xlnm._FilterDatabase" localSheetId="4" hidden="1">'ideas-input'!$A$1:$M$927</definedName>
    <definedName name="_xlnm._FilterDatabase" localSheetId="5" hidden="1">'ideas-output'!$A$1:$AH$934</definedName>
    <definedName name="_xlnm._FilterDatabase" localSheetId="1" hidden="1">'tom_demand_setup - ATUAL'!$A$2:$AE$282</definedName>
    <definedName name="_xlnm._FilterDatabase" localSheetId="3" hidden="1">'tom_demand_setup - ATUAL (2)'!$A$2:$AL$282</definedName>
    <definedName name="_xlnm._FilterDatabase" localSheetId="0" hidden="1">'tom_demand_setup - TO BE'!$A$2:$AI$204</definedName>
    <definedName name="_xlnm._FilterDatabase" localSheetId="10" hidden="1">'tom_demand_setup (old)'!$A$2:$AG$204</definedName>
    <definedName name="_xlnm._FilterDatabase" localSheetId="8" hidden="1">'weights (base2026.02)'!$B$2:$D$204</definedName>
  </definedNames>
  <calcPr calcId="191029"/>
  <pivotCaches>
    <pivotCache cacheId="2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0" l="1"/>
  <c r="E282" i="14"/>
  <c r="E281" i="14"/>
  <c r="E280" i="14"/>
  <c r="E279" i="14"/>
  <c r="G279" i="14" s="1"/>
  <c r="E278" i="14"/>
  <c r="E277" i="14"/>
  <c r="E276" i="14"/>
  <c r="E275" i="14"/>
  <c r="E274" i="14"/>
  <c r="G274" i="14" s="1"/>
  <c r="E273" i="14"/>
  <c r="E272" i="14"/>
  <c r="E271" i="14"/>
  <c r="E270" i="14"/>
  <c r="G270" i="14" s="1"/>
  <c r="E269" i="14"/>
  <c r="E268" i="14"/>
  <c r="E267" i="14"/>
  <c r="E266" i="14"/>
  <c r="E265" i="14"/>
  <c r="G265" i="14" s="1"/>
  <c r="E264" i="14"/>
  <c r="G264" i="14" s="1"/>
  <c r="E263" i="14"/>
  <c r="E262" i="14"/>
  <c r="E261" i="14"/>
  <c r="E260" i="14"/>
  <c r="G260" i="14" s="1"/>
  <c r="E259" i="14"/>
  <c r="G259" i="14" s="1"/>
  <c r="E258" i="14"/>
  <c r="E257" i="14"/>
  <c r="E256" i="14"/>
  <c r="E255" i="14"/>
  <c r="G255" i="14" s="1"/>
  <c r="E254" i="14"/>
  <c r="G254" i="14" s="1"/>
  <c r="E253" i="14"/>
  <c r="E252" i="14"/>
  <c r="E251" i="14"/>
  <c r="E250" i="14"/>
  <c r="E249" i="14"/>
  <c r="G249" i="14" s="1"/>
  <c r="E248" i="14"/>
  <c r="E247" i="14"/>
  <c r="E246" i="14"/>
  <c r="E245" i="14"/>
  <c r="G245" i="14" s="1"/>
  <c r="E244" i="14"/>
  <c r="E243" i="14"/>
  <c r="E242" i="14"/>
  <c r="E241" i="14"/>
  <c r="L240" i="14"/>
  <c r="K240" i="14"/>
  <c r="J240" i="14"/>
  <c r="E240" i="14"/>
  <c r="L239" i="14"/>
  <c r="J239" i="14"/>
  <c r="E239" i="14"/>
  <c r="L238" i="14"/>
  <c r="J238" i="14"/>
  <c r="E238" i="14"/>
  <c r="K238" i="14" s="1"/>
  <c r="L237" i="14"/>
  <c r="J237" i="14"/>
  <c r="E237" i="14"/>
  <c r="L236" i="14"/>
  <c r="J236" i="14"/>
  <c r="E236" i="14"/>
  <c r="K236" i="14" s="1"/>
  <c r="L235" i="14"/>
  <c r="J235" i="14"/>
  <c r="E235" i="14"/>
  <c r="L234" i="14"/>
  <c r="J234" i="14"/>
  <c r="E234" i="14"/>
  <c r="K234" i="14" s="1"/>
  <c r="L233" i="14"/>
  <c r="J233" i="14"/>
  <c r="E233" i="14"/>
  <c r="L232" i="14"/>
  <c r="K232" i="14"/>
  <c r="J232" i="14"/>
  <c r="E232" i="14"/>
  <c r="L231" i="14"/>
  <c r="J231" i="14"/>
  <c r="E231" i="14"/>
  <c r="L230" i="14"/>
  <c r="K230" i="14"/>
  <c r="J230" i="14"/>
  <c r="E230" i="14"/>
  <c r="L229" i="14"/>
  <c r="J229" i="14"/>
  <c r="E229" i="14"/>
  <c r="L228" i="14"/>
  <c r="J228" i="14"/>
  <c r="E228" i="14"/>
  <c r="K228" i="14" s="1"/>
  <c r="L227" i="14"/>
  <c r="J227" i="14"/>
  <c r="E227" i="14"/>
  <c r="L226" i="14"/>
  <c r="J226" i="14"/>
  <c r="E226" i="14"/>
  <c r="K226" i="14" s="1"/>
  <c r="L225" i="14"/>
  <c r="J225" i="14"/>
  <c r="E225" i="14"/>
  <c r="L224" i="14"/>
  <c r="J224" i="14"/>
  <c r="E224" i="14"/>
  <c r="K224" i="14" s="1"/>
  <c r="L223" i="14"/>
  <c r="J223" i="14"/>
  <c r="E223" i="14"/>
  <c r="L222" i="14"/>
  <c r="K222" i="14"/>
  <c r="J222" i="14"/>
  <c r="E222" i="14"/>
  <c r="L221" i="14"/>
  <c r="J221" i="14"/>
  <c r="E221" i="14"/>
  <c r="L220" i="14"/>
  <c r="K220" i="14"/>
  <c r="J220" i="14"/>
  <c r="E220" i="14"/>
  <c r="L219" i="14"/>
  <c r="J219" i="14"/>
  <c r="E219" i="14"/>
  <c r="L218" i="14"/>
  <c r="J218" i="14"/>
  <c r="E218" i="14"/>
  <c r="K218" i="14" s="1"/>
  <c r="L217" i="14"/>
  <c r="J217" i="14"/>
  <c r="E217" i="14"/>
  <c r="L216" i="14"/>
  <c r="J216" i="14"/>
  <c r="E216" i="14"/>
  <c r="K216" i="14" s="1"/>
  <c r="L215" i="14"/>
  <c r="J215" i="14"/>
  <c r="E215" i="14"/>
  <c r="L214" i="14"/>
  <c r="J214" i="14"/>
  <c r="E214" i="14"/>
  <c r="K214" i="14" s="1"/>
  <c r="L213" i="14"/>
  <c r="J213" i="14"/>
  <c r="E213" i="14"/>
  <c r="L212" i="14"/>
  <c r="K212" i="14"/>
  <c r="J212" i="14"/>
  <c r="E212" i="14"/>
  <c r="L211" i="14"/>
  <c r="J211" i="14"/>
  <c r="E211" i="14"/>
  <c r="L210" i="14"/>
  <c r="K210" i="14"/>
  <c r="J210" i="14"/>
  <c r="E210" i="14"/>
  <c r="L209" i="14"/>
  <c r="J209" i="14"/>
  <c r="E209" i="14"/>
  <c r="L208" i="14"/>
  <c r="J208" i="14"/>
  <c r="E208" i="14"/>
  <c r="K208" i="14" s="1"/>
  <c r="L207" i="14"/>
  <c r="J207" i="14"/>
  <c r="E207" i="14"/>
  <c r="L206" i="14"/>
  <c r="J206" i="14"/>
  <c r="E206" i="14"/>
  <c r="K206" i="14" s="1"/>
  <c r="E199" i="14"/>
  <c r="E198" i="14"/>
  <c r="G198" i="14" s="1"/>
  <c r="E197" i="14"/>
  <c r="G197" i="14" s="1"/>
  <c r="E196" i="14"/>
  <c r="E195" i="14"/>
  <c r="E194" i="14"/>
  <c r="G194" i="14" s="1"/>
  <c r="F194" i="14" s="1"/>
  <c r="E193" i="14"/>
  <c r="E192" i="14"/>
  <c r="E191" i="14"/>
  <c r="E190" i="14"/>
  <c r="E189" i="14"/>
  <c r="E188" i="14"/>
  <c r="G188" i="14" s="1"/>
  <c r="E187" i="14"/>
  <c r="E186" i="14"/>
  <c r="E185" i="14"/>
  <c r="E184" i="14"/>
  <c r="G184" i="14" s="1"/>
  <c r="F184" i="14" s="1"/>
  <c r="E183" i="14"/>
  <c r="E182" i="14"/>
  <c r="E181" i="14"/>
  <c r="E180" i="14"/>
  <c r="E179" i="14"/>
  <c r="E178" i="14"/>
  <c r="E177" i="14"/>
  <c r="G177" i="14" s="1"/>
  <c r="E176" i="14"/>
  <c r="E175" i="14"/>
  <c r="E174" i="14"/>
  <c r="G174" i="14" s="1"/>
  <c r="E173" i="14"/>
  <c r="E172" i="14"/>
  <c r="E171" i="14"/>
  <c r="G171" i="14" s="1"/>
  <c r="F171" i="14" s="1"/>
  <c r="E170" i="14"/>
  <c r="E169" i="14"/>
  <c r="E168" i="14"/>
  <c r="E167" i="14"/>
  <c r="G167" i="14" s="1"/>
  <c r="F167" i="14" s="1"/>
  <c r="E166" i="14"/>
  <c r="E165" i="14"/>
  <c r="E164" i="14"/>
  <c r="E163" i="14"/>
  <c r="E162" i="14"/>
  <c r="E161" i="14"/>
  <c r="G161" i="14" s="1"/>
  <c r="F161" i="14" s="1"/>
  <c r="E160" i="14"/>
  <c r="E159" i="14"/>
  <c r="E158" i="14"/>
  <c r="G158" i="14" s="1"/>
  <c r="E157" i="14"/>
  <c r="G157" i="14" s="1"/>
  <c r="F157" i="14" s="1"/>
  <c r="E156" i="14"/>
  <c r="E155" i="14"/>
  <c r="E154" i="14"/>
  <c r="E153" i="14"/>
  <c r="E152" i="14"/>
  <c r="E151" i="14"/>
  <c r="G151" i="14" s="1"/>
  <c r="E150" i="14"/>
  <c r="E149" i="14"/>
  <c r="E148" i="14"/>
  <c r="G148" i="14" s="1"/>
  <c r="E147" i="14"/>
  <c r="G147" i="14" s="1"/>
  <c r="E146" i="14"/>
  <c r="E145" i="14"/>
  <c r="E144" i="14"/>
  <c r="G144" i="14" s="1"/>
  <c r="F144" i="14" s="1"/>
  <c r="E143" i="14"/>
  <c r="E142" i="14"/>
  <c r="E141" i="14"/>
  <c r="E140" i="14"/>
  <c r="E139" i="14"/>
  <c r="E138" i="14"/>
  <c r="G138" i="14" s="1"/>
  <c r="E137" i="14"/>
  <c r="E136" i="14"/>
  <c r="E135" i="14"/>
  <c r="E134" i="14"/>
  <c r="G134" i="14" s="1"/>
  <c r="F134" i="14" s="1"/>
  <c r="E133" i="14"/>
  <c r="E132" i="14"/>
  <c r="E131" i="14"/>
  <c r="E130" i="14"/>
  <c r="E129" i="14"/>
  <c r="E128" i="14"/>
  <c r="G128" i="14" s="1"/>
  <c r="F128" i="14" s="1"/>
  <c r="E127" i="14"/>
  <c r="E126" i="14"/>
  <c r="E125" i="14"/>
  <c r="E124" i="14"/>
  <c r="G124" i="14" s="1"/>
  <c r="E123" i="14"/>
  <c r="E122" i="14"/>
  <c r="E121" i="14"/>
  <c r="G121" i="14" s="1"/>
  <c r="F121" i="14" s="1"/>
  <c r="E120" i="14"/>
  <c r="E119" i="14"/>
  <c r="E118" i="14"/>
  <c r="E117" i="14"/>
  <c r="G117" i="14" s="1"/>
  <c r="F117" i="14" s="1"/>
  <c r="E116" i="14"/>
  <c r="E115" i="14"/>
  <c r="E114" i="14"/>
  <c r="E113" i="14"/>
  <c r="E112" i="14"/>
  <c r="E111" i="14"/>
  <c r="G111" i="14" s="1"/>
  <c r="F111" i="14" s="1"/>
  <c r="E110" i="14"/>
  <c r="E109" i="14"/>
  <c r="E108" i="14"/>
  <c r="G108" i="14" s="1"/>
  <c r="E107" i="14"/>
  <c r="G107" i="14" s="1"/>
  <c r="F107" i="14" s="1"/>
  <c r="E106" i="14"/>
  <c r="E105" i="14"/>
  <c r="E104" i="14"/>
  <c r="G104" i="14" s="1"/>
  <c r="E103" i="14"/>
  <c r="E102" i="14"/>
  <c r="E101" i="14"/>
  <c r="G101" i="14" s="1"/>
  <c r="E100" i="14"/>
  <c r="E99" i="14"/>
  <c r="E98" i="14"/>
  <c r="G98" i="14" s="1"/>
  <c r="E97" i="14"/>
  <c r="G97" i="14" s="1"/>
  <c r="E96" i="14"/>
  <c r="E95" i="14"/>
  <c r="E94" i="14"/>
  <c r="G94" i="14" s="1"/>
  <c r="F94" i="14" s="1"/>
  <c r="E93" i="14"/>
  <c r="E92" i="14"/>
  <c r="E91" i="14"/>
  <c r="E90" i="14"/>
  <c r="E89" i="14"/>
  <c r="E88" i="14"/>
  <c r="G88" i="14" s="1"/>
  <c r="E87" i="14"/>
  <c r="E86" i="14"/>
  <c r="E85" i="14"/>
  <c r="E84" i="14"/>
  <c r="G84" i="14" s="1"/>
  <c r="F84" i="14" s="1"/>
  <c r="E83" i="14"/>
  <c r="E82" i="14"/>
  <c r="E81" i="14"/>
  <c r="E80" i="14"/>
  <c r="E79" i="14"/>
  <c r="E78" i="14"/>
  <c r="G78" i="14" s="1"/>
  <c r="F78" i="14" s="1"/>
  <c r="E77" i="14"/>
  <c r="E76" i="14"/>
  <c r="E75" i="14"/>
  <c r="E74" i="14"/>
  <c r="E73" i="14"/>
  <c r="G73" i="14" s="1"/>
  <c r="E72" i="14"/>
  <c r="E71" i="14"/>
  <c r="E70" i="14"/>
  <c r="E69" i="14"/>
  <c r="E68" i="14"/>
  <c r="G68" i="14" s="1"/>
  <c r="E67" i="14"/>
  <c r="G67" i="14" s="1"/>
  <c r="E66" i="14"/>
  <c r="E65" i="14"/>
  <c r="E64" i="14"/>
  <c r="E63" i="14"/>
  <c r="G63" i="14" s="1"/>
  <c r="E62" i="14"/>
  <c r="G62" i="14" s="1"/>
  <c r="E61" i="14"/>
  <c r="E60" i="14"/>
  <c r="E59" i="14"/>
  <c r="E58" i="14"/>
  <c r="E57" i="14"/>
  <c r="G57" i="14" s="1"/>
  <c r="E56" i="14"/>
  <c r="E55" i="14"/>
  <c r="E54" i="14"/>
  <c r="E53" i="14"/>
  <c r="E52" i="14"/>
  <c r="E51" i="14"/>
  <c r="E50" i="14"/>
  <c r="E49" i="14"/>
  <c r="E48" i="14"/>
  <c r="G48" i="14" s="1"/>
  <c r="E47" i="14"/>
  <c r="E46" i="14"/>
  <c r="E45" i="14"/>
  <c r="O44" i="14"/>
  <c r="M44" i="14"/>
  <c r="E44" i="14"/>
  <c r="G44" i="14" s="1"/>
  <c r="O43" i="14"/>
  <c r="M43" i="14"/>
  <c r="E43" i="14"/>
  <c r="G43" i="14" s="1"/>
  <c r="O42" i="14"/>
  <c r="M42" i="14"/>
  <c r="E42" i="14"/>
  <c r="O41" i="14"/>
  <c r="M41" i="14"/>
  <c r="E41" i="14"/>
  <c r="O40" i="14"/>
  <c r="M40" i="14"/>
  <c r="E40" i="14"/>
  <c r="G40" i="14" s="1"/>
  <c r="O39" i="14"/>
  <c r="M39" i="14"/>
  <c r="E39" i="14"/>
  <c r="G39" i="14" s="1"/>
  <c r="M38" i="14"/>
  <c r="E38" i="14"/>
  <c r="M37" i="14"/>
  <c r="E37" i="14"/>
  <c r="M36" i="14"/>
  <c r="E36" i="14"/>
  <c r="E35" i="14"/>
  <c r="E34" i="14"/>
  <c r="M33" i="14"/>
  <c r="E33" i="14"/>
  <c r="G33" i="14" s="1"/>
  <c r="F33" i="14" s="1"/>
  <c r="M32" i="14"/>
  <c r="E32" i="14"/>
  <c r="G32" i="14" s="1"/>
  <c r="F32" i="14" s="1"/>
  <c r="M31" i="14"/>
  <c r="E31" i="14"/>
  <c r="M30" i="14"/>
  <c r="E30" i="14"/>
  <c r="M29" i="14"/>
  <c r="E29" i="14"/>
  <c r="M28" i="14"/>
  <c r="E28" i="14"/>
  <c r="M27" i="14"/>
  <c r="E27" i="14"/>
  <c r="M26" i="14"/>
  <c r="E26" i="14"/>
  <c r="M25" i="14"/>
  <c r="E25" i="14"/>
  <c r="M24" i="14"/>
  <c r="E24" i="14"/>
  <c r="M23" i="14"/>
  <c r="E23" i="14"/>
  <c r="G23" i="14" s="1"/>
  <c r="M22" i="14"/>
  <c r="E22" i="14"/>
  <c r="G22" i="14" s="1"/>
  <c r="M21" i="14"/>
  <c r="E21" i="14"/>
  <c r="M20" i="14"/>
  <c r="E20" i="14"/>
  <c r="M19" i="14"/>
  <c r="E19" i="14"/>
  <c r="G19" i="14" s="1"/>
  <c r="M18" i="14"/>
  <c r="E18" i="14"/>
  <c r="G18" i="14" s="1"/>
  <c r="M17" i="14"/>
  <c r="E17" i="14"/>
  <c r="M16" i="14"/>
  <c r="E16" i="14"/>
  <c r="M15" i="14"/>
  <c r="E15" i="14"/>
  <c r="G15" i="14" s="1"/>
  <c r="F15" i="14" s="1"/>
  <c r="M14" i="14"/>
  <c r="E14" i="14"/>
  <c r="G14" i="14" s="1"/>
  <c r="M13" i="14"/>
  <c r="E13" i="14"/>
  <c r="M12" i="14"/>
  <c r="E12" i="14"/>
  <c r="G12" i="14" s="1"/>
  <c r="AK11" i="14" a="1"/>
  <c r="AK11" i="14" s="1"/>
  <c r="M11" i="14"/>
  <c r="E11" i="14"/>
  <c r="G11" i="14" s="1"/>
  <c r="AK10" i="14"/>
  <c r="AK10" i="14" a="1"/>
  <c r="M10" i="14"/>
  <c r="E10" i="14"/>
  <c r="G10" i="14" s="1"/>
  <c r="AK9" i="14" a="1"/>
  <c r="AK9" i="14" s="1"/>
  <c r="M9" i="14"/>
  <c r="E9" i="14"/>
  <c r="G9" i="14" s="1"/>
  <c r="AK8" i="14"/>
  <c r="AK8" i="14" a="1"/>
  <c r="M8" i="14"/>
  <c r="E8" i="14"/>
  <c r="G8" i="14" s="1"/>
  <c r="AK7" i="14" a="1"/>
  <c r="AK7" i="14" s="1"/>
  <c r="M7" i="14"/>
  <c r="E7" i="14"/>
  <c r="G7" i="14" s="1"/>
  <c r="AK6" i="14"/>
  <c r="AK6" i="14" a="1"/>
  <c r="M6" i="14"/>
  <c r="E6" i="14"/>
  <c r="G6" i="14" s="1"/>
  <c r="AK5" i="14" a="1"/>
  <c r="AK5" i="14" s="1"/>
  <c r="M5" i="14"/>
  <c r="E5" i="14"/>
  <c r="R6" i="14" s="1"/>
  <c r="AK4" i="14"/>
  <c r="AK4" i="14" a="1"/>
  <c r="R4" i="14"/>
  <c r="M4" i="14"/>
  <c r="E4" i="14"/>
  <c r="G4" i="14" s="1"/>
  <c r="AK3" i="14" a="1"/>
  <c r="AK3" i="14" s="1"/>
  <c r="W3" i="14"/>
  <c r="M3" i="14"/>
  <c r="G3" i="14"/>
  <c r="F3" i="14" s="1"/>
  <c r="E3" i="14"/>
  <c r="AB2" i="14" a="1"/>
  <c r="AG934" i="3"/>
  <c r="AF934" i="3"/>
  <c r="AE934" i="3"/>
  <c r="AD934" i="3"/>
  <c r="AC934" i="3"/>
  <c r="AB934" i="3"/>
  <c r="AA934" i="3"/>
  <c r="Z934" i="3"/>
  <c r="X934" i="3"/>
  <c r="V934" i="3"/>
  <c r="W934" i="3" s="1"/>
  <c r="U934" i="3"/>
  <c r="T934" i="3"/>
  <c r="S934" i="3"/>
  <c r="P934" i="3"/>
  <c r="AG933" i="3"/>
  <c r="AF933" i="3"/>
  <c r="AE933" i="3"/>
  <c r="AD933" i="3"/>
  <c r="AC933" i="3"/>
  <c r="AB933" i="3"/>
  <c r="AA933" i="3"/>
  <c r="Z933" i="3"/>
  <c r="X933" i="3"/>
  <c r="V933" i="3"/>
  <c r="W933" i="3" s="1"/>
  <c r="U933" i="3"/>
  <c r="T933" i="3"/>
  <c r="S933" i="3"/>
  <c r="P933" i="3"/>
  <c r="AG932" i="3"/>
  <c r="AF932" i="3"/>
  <c r="AE932" i="3"/>
  <c r="AD932" i="3"/>
  <c r="AC932" i="3"/>
  <c r="AB932" i="3"/>
  <c r="AA932" i="3"/>
  <c r="Z932" i="3"/>
  <c r="X932" i="3"/>
  <c r="V932" i="3"/>
  <c r="W932" i="3" s="1"/>
  <c r="U932" i="3"/>
  <c r="T932" i="3"/>
  <c r="S932" i="3"/>
  <c r="P932" i="3"/>
  <c r="AG931" i="3"/>
  <c r="AF931" i="3"/>
  <c r="AE931" i="3"/>
  <c r="AD931" i="3"/>
  <c r="AC931" i="3"/>
  <c r="AB931" i="3"/>
  <c r="AA931" i="3"/>
  <c r="Z931" i="3"/>
  <c r="X931" i="3"/>
  <c r="V931" i="3"/>
  <c r="W931" i="3" s="1"/>
  <c r="U931" i="3"/>
  <c r="T931" i="3"/>
  <c r="S931" i="3"/>
  <c r="P931" i="3"/>
  <c r="AG930" i="3"/>
  <c r="AF930" i="3"/>
  <c r="AE930" i="3"/>
  <c r="AD930" i="3"/>
  <c r="AC930" i="3"/>
  <c r="AB930" i="3"/>
  <c r="AA930" i="3"/>
  <c r="Z930" i="3"/>
  <c r="X930" i="3"/>
  <c r="V930" i="3"/>
  <c r="Y930" i="3" s="1"/>
  <c r="U930" i="3"/>
  <c r="T930" i="3"/>
  <c r="S930" i="3"/>
  <c r="P930" i="3"/>
  <c r="AG929" i="3"/>
  <c r="AF929" i="3"/>
  <c r="AE929" i="3"/>
  <c r="AD929" i="3"/>
  <c r="AC929" i="3"/>
  <c r="AB929" i="3"/>
  <c r="AA929" i="3"/>
  <c r="Z929" i="3"/>
  <c r="X929" i="3"/>
  <c r="V929" i="3"/>
  <c r="Y929" i="3" s="1"/>
  <c r="U929" i="3"/>
  <c r="T929" i="3"/>
  <c r="S929" i="3"/>
  <c r="P929" i="3"/>
  <c r="AG928" i="3"/>
  <c r="AF928" i="3"/>
  <c r="AE928" i="3"/>
  <c r="AD928" i="3"/>
  <c r="AC928" i="3"/>
  <c r="AB928" i="3"/>
  <c r="AA928" i="3"/>
  <c r="Z928" i="3"/>
  <c r="X928" i="3"/>
  <c r="V928" i="3"/>
  <c r="W928" i="3" s="1"/>
  <c r="U928" i="3"/>
  <c r="T928" i="3"/>
  <c r="S928" i="3"/>
  <c r="P928" i="3"/>
  <c r="AG927" i="3"/>
  <c r="AF927" i="3"/>
  <c r="AE927" i="3"/>
  <c r="AD927" i="3"/>
  <c r="AC927" i="3"/>
  <c r="AB927" i="3"/>
  <c r="AA927" i="3"/>
  <c r="Z927" i="3"/>
  <c r="X927" i="3"/>
  <c r="V927" i="3"/>
  <c r="W927" i="3" s="1"/>
  <c r="U927" i="3"/>
  <c r="T927" i="3"/>
  <c r="S927" i="3"/>
  <c r="P927" i="3"/>
  <c r="AG45" i="3"/>
  <c r="AF45" i="3"/>
  <c r="AE45" i="3"/>
  <c r="AD45" i="3"/>
  <c r="AC45" i="3"/>
  <c r="AB45" i="3"/>
  <c r="AA45" i="3"/>
  <c r="Z45" i="3"/>
  <c r="X45" i="3"/>
  <c r="V45" i="3"/>
  <c r="Y45" i="3" s="1"/>
  <c r="U45" i="3"/>
  <c r="T45" i="3"/>
  <c r="S45" i="3"/>
  <c r="P45" i="3"/>
  <c r="AG44" i="3"/>
  <c r="AF44" i="3"/>
  <c r="AE44" i="3"/>
  <c r="AD44" i="3"/>
  <c r="AC44" i="3"/>
  <c r="AB44" i="3"/>
  <c r="AA44" i="3"/>
  <c r="Z44" i="3"/>
  <c r="X44" i="3"/>
  <c r="V44" i="3"/>
  <c r="Y44" i="3" s="1"/>
  <c r="U44" i="3"/>
  <c r="T44" i="3"/>
  <c r="S44" i="3"/>
  <c r="P44" i="3"/>
  <c r="AG43" i="3"/>
  <c r="AF43" i="3"/>
  <c r="AE43" i="3"/>
  <c r="AD43" i="3"/>
  <c r="AC43" i="3"/>
  <c r="AB43" i="3"/>
  <c r="AA43" i="3"/>
  <c r="Z43" i="3"/>
  <c r="X43" i="3"/>
  <c r="V43" i="3"/>
  <c r="W43" i="3" s="1"/>
  <c r="U43" i="3"/>
  <c r="T43" i="3"/>
  <c r="S43" i="3"/>
  <c r="P43" i="3"/>
  <c r="AG42" i="3"/>
  <c r="AF42" i="3"/>
  <c r="AE42" i="3"/>
  <c r="AD42" i="3"/>
  <c r="AC42" i="3"/>
  <c r="AB42" i="3"/>
  <c r="AA42" i="3"/>
  <c r="Z42" i="3"/>
  <c r="X42" i="3"/>
  <c r="V42" i="3"/>
  <c r="U42" i="3"/>
  <c r="T42" i="3"/>
  <c r="S42" i="3"/>
  <c r="AG41" i="3"/>
  <c r="AF41" i="3"/>
  <c r="AE41" i="3"/>
  <c r="AD41" i="3"/>
  <c r="AC41" i="3"/>
  <c r="AB41" i="3"/>
  <c r="AA41" i="3"/>
  <c r="Z41" i="3"/>
  <c r="X41" i="3"/>
  <c r="V41" i="3"/>
  <c r="U41" i="3"/>
  <c r="T41" i="3"/>
  <c r="S41" i="3"/>
  <c r="AG40" i="3"/>
  <c r="AF40" i="3"/>
  <c r="AE40" i="3"/>
  <c r="AD40" i="3"/>
  <c r="AC40" i="3"/>
  <c r="AB40" i="3"/>
  <c r="AA40" i="3"/>
  <c r="Z40" i="3"/>
  <c r="X40" i="3"/>
  <c r="V40" i="3"/>
  <c r="U40" i="3"/>
  <c r="T40" i="3"/>
  <c r="S40" i="3"/>
  <c r="AG39" i="3"/>
  <c r="AF39" i="3"/>
  <c r="AE39" i="3"/>
  <c r="AD39" i="3"/>
  <c r="AC39" i="3"/>
  <c r="AB39" i="3"/>
  <c r="AA39" i="3"/>
  <c r="Z39" i="3"/>
  <c r="X39" i="3"/>
  <c r="V39" i="3"/>
  <c r="U39" i="3"/>
  <c r="T39" i="3"/>
  <c r="S39" i="3"/>
  <c r="AG38" i="3"/>
  <c r="AF38" i="3"/>
  <c r="AE38" i="3"/>
  <c r="AD38" i="3"/>
  <c r="AC38" i="3"/>
  <c r="AB38" i="3"/>
  <c r="AA38" i="3"/>
  <c r="Z38" i="3"/>
  <c r="X38" i="3"/>
  <c r="V38" i="3"/>
  <c r="Y38" i="3" s="1"/>
  <c r="U38" i="3"/>
  <c r="T38" i="3"/>
  <c r="S38" i="3"/>
  <c r="AG37" i="3"/>
  <c r="AF37" i="3"/>
  <c r="AE37" i="3"/>
  <c r="AD37" i="3"/>
  <c r="AC37" i="3"/>
  <c r="AB37" i="3"/>
  <c r="AA37" i="3"/>
  <c r="Z37" i="3"/>
  <c r="X37" i="3"/>
  <c r="V37" i="3"/>
  <c r="Y37" i="3" s="1"/>
  <c r="U37" i="3"/>
  <c r="T37" i="3"/>
  <c r="S37" i="3"/>
  <c r="AG36" i="3"/>
  <c r="AF36" i="3"/>
  <c r="AE36" i="3"/>
  <c r="AD36" i="3"/>
  <c r="AC36" i="3"/>
  <c r="AB36" i="3"/>
  <c r="AA36" i="3"/>
  <c r="Z36" i="3"/>
  <c r="X36" i="3"/>
  <c r="V36" i="3"/>
  <c r="Y36" i="3" s="1"/>
  <c r="U36" i="3"/>
  <c r="T36" i="3"/>
  <c r="S36" i="3"/>
  <c r="AG35" i="3"/>
  <c r="AF35" i="3"/>
  <c r="AE35" i="3"/>
  <c r="AD35" i="3"/>
  <c r="AC35" i="3"/>
  <c r="AB35" i="3"/>
  <c r="AA35" i="3"/>
  <c r="Z35" i="3"/>
  <c r="X35" i="3"/>
  <c r="V35" i="3"/>
  <c r="Y35" i="3" s="1"/>
  <c r="U35" i="3"/>
  <c r="T35" i="3"/>
  <c r="S35" i="3"/>
  <c r="AG34" i="3"/>
  <c r="AF34" i="3"/>
  <c r="AE34" i="3"/>
  <c r="AD34" i="3"/>
  <c r="AC34" i="3"/>
  <c r="AB34" i="3"/>
  <c r="AA34" i="3"/>
  <c r="Z34" i="3"/>
  <c r="X34" i="3"/>
  <c r="V34" i="3"/>
  <c r="Y34" i="3" s="1"/>
  <c r="U34" i="3"/>
  <c r="T34" i="3"/>
  <c r="S34" i="3"/>
  <c r="AG33" i="3"/>
  <c r="AF33" i="3"/>
  <c r="AE33" i="3"/>
  <c r="AD33" i="3"/>
  <c r="AC33" i="3"/>
  <c r="AB33" i="3"/>
  <c r="AA33" i="3"/>
  <c r="Z33" i="3"/>
  <c r="X33" i="3"/>
  <c r="V33" i="3"/>
  <c r="U33" i="3"/>
  <c r="T33" i="3"/>
  <c r="S33" i="3"/>
  <c r="AG32" i="3"/>
  <c r="AF32" i="3"/>
  <c r="AE32" i="3"/>
  <c r="AD32" i="3"/>
  <c r="AC32" i="3"/>
  <c r="AB32" i="3"/>
  <c r="AA32" i="3"/>
  <c r="Z32" i="3"/>
  <c r="X32" i="3"/>
  <c r="V32" i="3"/>
  <c r="U32" i="3"/>
  <c r="T32" i="3"/>
  <c r="S32" i="3"/>
  <c r="AG31" i="3"/>
  <c r="AF31" i="3"/>
  <c r="AE31" i="3"/>
  <c r="AD31" i="3"/>
  <c r="AC31" i="3"/>
  <c r="AB31" i="3"/>
  <c r="AA31" i="3"/>
  <c r="Z31" i="3"/>
  <c r="X31" i="3"/>
  <c r="V31" i="3"/>
  <c r="U31" i="3"/>
  <c r="T31" i="3"/>
  <c r="S31" i="3"/>
  <c r="AG30" i="3"/>
  <c r="AF30" i="3"/>
  <c r="AE30" i="3"/>
  <c r="AD30" i="3"/>
  <c r="AC30" i="3"/>
  <c r="AB30" i="3"/>
  <c r="AA30" i="3"/>
  <c r="Z30" i="3"/>
  <c r="X30" i="3"/>
  <c r="V30" i="3"/>
  <c r="U30" i="3"/>
  <c r="T30" i="3"/>
  <c r="S30" i="3"/>
  <c r="AG29" i="3"/>
  <c r="AF29" i="3"/>
  <c r="AE29" i="3"/>
  <c r="AD29" i="3"/>
  <c r="AC29" i="3"/>
  <c r="AB29" i="3"/>
  <c r="AA29" i="3"/>
  <c r="Z29" i="3"/>
  <c r="X29" i="3"/>
  <c r="V29" i="3"/>
  <c r="U29" i="3"/>
  <c r="T29" i="3"/>
  <c r="S29" i="3"/>
  <c r="AG28" i="3"/>
  <c r="AF28" i="3"/>
  <c r="AE28" i="3"/>
  <c r="AD28" i="3"/>
  <c r="AC28" i="3"/>
  <c r="AB28" i="3"/>
  <c r="AA28" i="3"/>
  <c r="Z28" i="3"/>
  <c r="X28" i="3"/>
  <c r="V28" i="3"/>
  <c r="Y28" i="3" s="1"/>
  <c r="U28" i="3"/>
  <c r="T28" i="3"/>
  <c r="S28" i="3"/>
  <c r="AG27" i="3"/>
  <c r="AF27" i="3"/>
  <c r="AE27" i="3"/>
  <c r="AD27" i="3"/>
  <c r="AC27" i="3"/>
  <c r="AB27" i="3"/>
  <c r="AA27" i="3"/>
  <c r="Z27" i="3"/>
  <c r="X27" i="3"/>
  <c r="V27" i="3"/>
  <c r="Y27" i="3" s="1"/>
  <c r="U27" i="3"/>
  <c r="T27" i="3"/>
  <c r="S27" i="3"/>
  <c r="AG26" i="3"/>
  <c r="AF26" i="3"/>
  <c r="AE26" i="3"/>
  <c r="AD26" i="3"/>
  <c r="AC26" i="3"/>
  <c r="AB26" i="3"/>
  <c r="AA26" i="3"/>
  <c r="Z26" i="3"/>
  <c r="X26" i="3"/>
  <c r="V26" i="3"/>
  <c r="Y26" i="3" s="1"/>
  <c r="U26" i="3"/>
  <c r="T26" i="3"/>
  <c r="S26" i="3"/>
  <c r="AG25" i="3"/>
  <c r="AF25" i="3"/>
  <c r="AE25" i="3"/>
  <c r="AD25" i="3"/>
  <c r="AC25" i="3"/>
  <c r="AB25" i="3"/>
  <c r="AA25" i="3"/>
  <c r="Z25" i="3"/>
  <c r="X25" i="3"/>
  <c r="V25" i="3"/>
  <c r="Y25" i="3" s="1"/>
  <c r="U25" i="3"/>
  <c r="T25" i="3"/>
  <c r="S25" i="3"/>
  <c r="AG24" i="3"/>
  <c r="AF24" i="3"/>
  <c r="AE24" i="3"/>
  <c r="AD24" i="3"/>
  <c r="AC24" i="3"/>
  <c r="AB24" i="3"/>
  <c r="AA24" i="3"/>
  <c r="Z24" i="3"/>
  <c r="X24" i="3"/>
  <c r="V24" i="3"/>
  <c r="Y24" i="3" s="1"/>
  <c r="U24" i="3"/>
  <c r="T24" i="3"/>
  <c r="S24" i="3"/>
  <c r="AG23" i="3"/>
  <c r="AF23" i="3"/>
  <c r="AE23" i="3"/>
  <c r="AD23" i="3"/>
  <c r="AC23" i="3"/>
  <c r="AB23" i="3"/>
  <c r="AA23" i="3"/>
  <c r="Z23" i="3"/>
  <c r="X23" i="3"/>
  <c r="V23" i="3"/>
  <c r="U23" i="3"/>
  <c r="T23" i="3"/>
  <c r="S23" i="3"/>
  <c r="AG22" i="3"/>
  <c r="AF22" i="3"/>
  <c r="AE22" i="3"/>
  <c r="AD22" i="3"/>
  <c r="AC22" i="3"/>
  <c r="AB22" i="3"/>
  <c r="AA22" i="3"/>
  <c r="Z22" i="3"/>
  <c r="X22" i="3"/>
  <c r="V22" i="3"/>
  <c r="U22" i="3"/>
  <c r="T22" i="3"/>
  <c r="S22" i="3"/>
  <c r="AG21" i="3"/>
  <c r="AF21" i="3"/>
  <c r="AE21" i="3"/>
  <c r="AD21" i="3"/>
  <c r="AC21" i="3"/>
  <c r="AB21" i="3"/>
  <c r="AA21" i="3"/>
  <c r="Z21" i="3"/>
  <c r="X21" i="3"/>
  <c r="V21" i="3"/>
  <c r="U21" i="3"/>
  <c r="T21" i="3"/>
  <c r="S21" i="3"/>
  <c r="AG20" i="3"/>
  <c r="AF20" i="3"/>
  <c r="AE20" i="3"/>
  <c r="AD20" i="3"/>
  <c r="AC20" i="3"/>
  <c r="AB20" i="3"/>
  <c r="AA20" i="3"/>
  <c r="Z20" i="3"/>
  <c r="X20" i="3"/>
  <c r="V20" i="3"/>
  <c r="U20" i="3"/>
  <c r="T20" i="3"/>
  <c r="S20" i="3"/>
  <c r="AG19" i="3"/>
  <c r="AF19" i="3"/>
  <c r="AE19" i="3"/>
  <c r="AD19" i="3"/>
  <c r="AC19" i="3"/>
  <c r="AB19" i="3"/>
  <c r="AA19" i="3"/>
  <c r="Z19" i="3"/>
  <c r="X19" i="3"/>
  <c r="V19" i="3"/>
  <c r="U19" i="3"/>
  <c r="T19" i="3"/>
  <c r="S19" i="3"/>
  <c r="AG18" i="3"/>
  <c r="AF18" i="3"/>
  <c r="AE18" i="3"/>
  <c r="AD18" i="3"/>
  <c r="AC18" i="3"/>
  <c r="AB18" i="3"/>
  <c r="AA18" i="3"/>
  <c r="Z18" i="3"/>
  <c r="X18" i="3"/>
  <c r="V18" i="3"/>
  <c r="Y18" i="3" s="1"/>
  <c r="U18" i="3"/>
  <c r="T18" i="3"/>
  <c r="S18" i="3"/>
  <c r="AG17" i="3"/>
  <c r="AF17" i="3"/>
  <c r="AE17" i="3"/>
  <c r="AD17" i="3"/>
  <c r="AC17" i="3"/>
  <c r="AB17" i="3"/>
  <c r="AA17" i="3"/>
  <c r="Z17" i="3"/>
  <c r="X17" i="3"/>
  <c r="V17" i="3"/>
  <c r="Y17" i="3" s="1"/>
  <c r="U17" i="3"/>
  <c r="T17" i="3"/>
  <c r="S17" i="3"/>
  <c r="AG16" i="3"/>
  <c r="AF16" i="3"/>
  <c r="AE16" i="3"/>
  <c r="AD16" i="3"/>
  <c r="AC16" i="3"/>
  <c r="AB16" i="3"/>
  <c r="AA16" i="3"/>
  <c r="Z16" i="3"/>
  <c r="X16" i="3"/>
  <c r="V16" i="3"/>
  <c r="Y16" i="3" s="1"/>
  <c r="U16" i="3"/>
  <c r="T16" i="3"/>
  <c r="S16" i="3"/>
  <c r="AG15" i="3"/>
  <c r="AF15" i="3"/>
  <c r="AE15" i="3"/>
  <c r="AD15" i="3"/>
  <c r="AC15" i="3"/>
  <c r="AB15" i="3"/>
  <c r="AA15" i="3"/>
  <c r="Z15" i="3"/>
  <c r="X15" i="3"/>
  <c r="V15" i="3"/>
  <c r="Y15" i="3" s="1"/>
  <c r="U15" i="3"/>
  <c r="T15" i="3"/>
  <c r="S15" i="3"/>
  <c r="AG14" i="3"/>
  <c r="AF14" i="3"/>
  <c r="AE14" i="3"/>
  <c r="AD14" i="3"/>
  <c r="AC14" i="3"/>
  <c r="AB14" i="3"/>
  <c r="AA14" i="3"/>
  <c r="Z14" i="3"/>
  <c r="X14" i="3"/>
  <c r="V14" i="3"/>
  <c r="Y14" i="3" s="1"/>
  <c r="U14" i="3"/>
  <c r="T14" i="3"/>
  <c r="S14" i="3"/>
  <c r="AG13" i="3"/>
  <c r="AF13" i="3"/>
  <c r="AE13" i="3"/>
  <c r="AD13" i="3"/>
  <c r="AC13" i="3"/>
  <c r="AB13" i="3"/>
  <c r="AA13" i="3"/>
  <c r="Z13" i="3"/>
  <c r="X13" i="3"/>
  <c r="V13" i="3"/>
  <c r="U13" i="3"/>
  <c r="T13" i="3"/>
  <c r="S13" i="3"/>
  <c r="AG12" i="3"/>
  <c r="AF12" i="3"/>
  <c r="AE12" i="3"/>
  <c r="AD12" i="3"/>
  <c r="AC12" i="3"/>
  <c r="AB12" i="3"/>
  <c r="AA12" i="3"/>
  <c r="Z12" i="3"/>
  <c r="X12" i="3"/>
  <c r="V12" i="3"/>
  <c r="U12" i="3"/>
  <c r="T12" i="3"/>
  <c r="S12" i="3"/>
  <c r="AG11" i="3"/>
  <c r="AF11" i="3"/>
  <c r="AE11" i="3"/>
  <c r="AD11" i="3"/>
  <c r="AC11" i="3"/>
  <c r="AB11" i="3"/>
  <c r="AA11" i="3"/>
  <c r="Z11" i="3"/>
  <c r="X11" i="3"/>
  <c r="V11" i="3"/>
  <c r="U11" i="3"/>
  <c r="T11" i="3"/>
  <c r="S11" i="3"/>
  <c r="AG10" i="3"/>
  <c r="AF10" i="3"/>
  <c r="AE10" i="3"/>
  <c r="AD10" i="3"/>
  <c r="AC10" i="3"/>
  <c r="AB10" i="3"/>
  <c r="AA10" i="3"/>
  <c r="Z10" i="3"/>
  <c r="X10" i="3"/>
  <c r="V10" i="3"/>
  <c r="U10" i="3"/>
  <c r="T10" i="3"/>
  <c r="S10" i="3"/>
  <c r="AG9" i="3"/>
  <c r="AF9" i="3"/>
  <c r="AE9" i="3"/>
  <c r="AD9" i="3"/>
  <c r="AC9" i="3"/>
  <c r="AB9" i="3"/>
  <c r="AA9" i="3"/>
  <c r="Z9" i="3"/>
  <c r="X9" i="3"/>
  <c r="V9" i="3"/>
  <c r="U9" i="3"/>
  <c r="T9" i="3"/>
  <c r="S9" i="3"/>
  <c r="AG8" i="3"/>
  <c r="AF8" i="3"/>
  <c r="AE8" i="3"/>
  <c r="AD8" i="3"/>
  <c r="AC8" i="3"/>
  <c r="AB8" i="3"/>
  <c r="AA8" i="3"/>
  <c r="Z8" i="3"/>
  <c r="X8" i="3"/>
  <c r="V8" i="3"/>
  <c r="Y8" i="3" s="1"/>
  <c r="U8" i="3"/>
  <c r="T8" i="3"/>
  <c r="S8" i="3"/>
  <c r="AG7" i="3"/>
  <c r="AF7" i="3"/>
  <c r="AE7" i="3"/>
  <c r="AD7" i="3"/>
  <c r="AC7" i="3"/>
  <c r="AB7" i="3"/>
  <c r="AA7" i="3"/>
  <c r="Z7" i="3"/>
  <c r="X7" i="3"/>
  <c r="V7" i="3"/>
  <c r="Y7" i="3" s="1"/>
  <c r="U7" i="3"/>
  <c r="T7" i="3"/>
  <c r="S7" i="3"/>
  <c r="AG6" i="3"/>
  <c r="AF6" i="3"/>
  <c r="AE6" i="3"/>
  <c r="AD6" i="3"/>
  <c r="AC6" i="3"/>
  <c r="AB6" i="3"/>
  <c r="AA6" i="3"/>
  <c r="Z6" i="3"/>
  <c r="X6" i="3"/>
  <c r="V6" i="3"/>
  <c r="Y6" i="3" s="1"/>
  <c r="U6" i="3"/>
  <c r="T6" i="3"/>
  <c r="S6" i="3"/>
  <c r="AG5" i="3"/>
  <c r="AF5" i="3"/>
  <c r="AE5" i="3"/>
  <c r="AD5" i="3"/>
  <c r="AC5" i="3"/>
  <c r="AB5" i="3"/>
  <c r="AA5" i="3"/>
  <c r="Z5" i="3"/>
  <c r="X5" i="3"/>
  <c r="V5" i="3"/>
  <c r="Y5" i="3" s="1"/>
  <c r="U5" i="3"/>
  <c r="T5" i="3"/>
  <c r="S5" i="3"/>
  <c r="AG4" i="3"/>
  <c r="AF4" i="3"/>
  <c r="AE4" i="3"/>
  <c r="AD4" i="3"/>
  <c r="AC4" i="3"/>
  <c r="AB4" i="3"/>
  <c r="AA4" i="3"/>
  <c r="Z4" i="3"/>
  <c r="X4" i="3"/>
  <c r="V4" i="3"/>
  <c r="Y4" i="3" s="1"/>
  <c r="U4" i="3"/>
  <c r="T4" i="3"/>
  <c r="S4" i="3"/>
  <c r="AG3" i="3"/>
  <c r="AF3" i="3"/>
  <c r="AE3" i="3"/>
  <c r="AD3" i="3"/>
  <c r="AC3" i="3"/>
  <c r="AB3" i="3"/>
  <c r="AA3" i="3"/>
  <c r="Z3" i="3"/>
  <c r="X3" i="3"/>
  <c r="V3" i="3"/>
  <c r="U3" i="3"/>
  <c r="T3" i="3"/>
  <c r="S3" i="3"/>
  <c r="AG2" i="3"/>
  <c r="AF2" i="3"/>
  <c r="AE2" i="3"/>
  <c r="AD2" i="3"/>
  <c r="AC2" i="3"/>
  <c r="AB2" i="3"/>
  <c r="AA2" i="3"/>
  <c r="Z2" i="3"/>
  <c r="X2" i="3"/>
  <c r="V2" i="3"/>
  <c r="U2" i="3"/>
  <c r="T2" i="3"/>
  <c r="S2" i="3"/>
  <c r="AG926" i="3"/>
  <c r="AF926" i="3"/>
  <c r="AE926" i="3"/>
  <c r="AD926" i="3"/>
  <c r="AC926" i="3"/>
  <c r="AB926" i="3"/>
  <c r="AA926" i="3"/>
  <c r="Z926" i="3"/>
  <c r="X926" i="3"/>
  <c r="V926" i="3"/>
  <c r="U926" i="3"/>
  <c r="T926" i="3"/>
  <c r="S926" i="3"/>
  <c r="AG925" i="3"/>
  <c r="AF925" i="3"/>
  <c r="AE925" i="3"/>
  <c r="AD925" i="3"/>
  <c r="AC925" i="3"/>
  <c r="AB925" i="3"/>
  <c r="AA925" i="3"/>
  <c r="Z925" i="3"/>
  <c r="X925" i="3"/>
  <c r="V925" i="3"/>
  <c r="U925" i="3"/>
  <c r="T925" i="3"/>
  <c r="S925" i="3"/>
  <c r="AG924" i="3"/>
  <c r="AF924" i="3"/>
  <c r="AE924" i="3"/>
  <c r="AD924" i="3"/>
  <c r="AC924" i="3"/>
  <c r="AB924" i="3"/>
  <c r="AA924" i="3"/>
  <c r="Z924" i="3"/>
  <c r="X924" i="3"/>
  <c r="V924" i="3"/>
  <c r="U924" i="3"/>
  <c r="T924" i="3"/>
  <c r="S924" i="3"/>
  <c r="AG923" i="3"/>
  <c r="AF923" i="3"/>
  <c r="AE923" i="3"/>
  <c r="AD923" i="3"/>
  <c r="AC923" i="3"/>
  <c r="AB923" i="3"/>
  <c r="AA923" i="3"/>
  <c r="Z923" i="3"/>
  <c r="X923" i="3"/>
  <c r="V923" i="3"/>
  <c r="Y923" i="3" s="1"/>
  <c r="U923" i="3"/>
  <c r="T923" i="3"/>
  <c r="S923" i="3"/>
  <c r="AG922" i="3"/>
  <c r="AF922" i="3"/>
  <c r="AE922" i="3"/>
  <c r="AD922" i="3"/>
  <c r="AC922" i="3"/>
  <c r="AB922" i="3"/>
  <c r="AA922" i="3"/>
  <c r="Z922" i="3"/>
  <c r="X922" i="3"/>
  <c r="V922" i="3"/>
  <c r="Y922" i="3" s="1"/>
  <c r="U922" i="3"/>
  <c r="T922" i="3"/>
  <c r="S922" i="3"/>
  <c r="AG921" i="3"/>
  <c r="AF921" i="3"/>
  <c r="AE921" i="3"/>
  <c r="AD921" i="3"/>
  <c r="AC921" i="3"/>
  <c r="AB921" i="3"/>
  <c r="AA921" i="3"/>
  <c r="Z921" i="3"/>
  <c r="X921" i="3"/>
  <c r="V921" i="3"/>
  <c r="Y921" i="3" s="1"/>
  <c r="U921" i="3"/>
  <c r="T921" i="3"/>
  <c r="S921" i="3"/>
  <c r="AG920" i="3"/>
  <c r="AF920" i="3"/>
  <c r="AE920" i="3"/>
  <c r="AD920" i="3"/>
  <c r="AC920" i="3"/>
  <c r="AB920" i="3"/>
  <c r="AA920" i="3"/>
  <c r="Z920" i="3"/>
  <c r="X920" i="3"/>
  <c r="V920" i="3"/>
  <c r="Y920" i="3" s="1"/>
  <c r="U920" i="3"/>
  <c r="T920" i="3"/>
  <c r="S920" i="3"/>
  <c r="AG919" i="3"/>
  <c r="AF919" i="3"/>
  <c r="AE919" i="3"/>
  <c r="AD919" i="3"/>
  <c r="AC919" i="3"/>
  <c r="AB919" i="3"/>
  <c r="AA919" i="3"/>
  <c r="Z919" i="3"/>
  <c r="X919" i="3"/>
  <c r="V919" i="3"/>
  <c r="Y919" i="3" s="1"/>
  <c r="U919" i="3"/>
  <c r="T919" i="3"/>
  <c r="S919" i="3"/>
  <c r="AG918" i="3"/>
  <c r="AF918" i="3"/>
  <c r="AE918" i="3"/>
  <c r="AD918" i="3"/>
  <c r="AC918" i="3"/>
  <c r="AB918" i="3"/>
  <c r="AA918" i="3"/>
  <c r="Z918" i="3"/>
  <c r="X918" i="3"/>
  <c r="V918" i="3"/>
  <c r="U918" i="3"/>
  <c r="T918" i="3"/>
  <c r="S918" i="3"/>
  <c r="AG917" i="3"/>
  <c r="AF917" i="3"/>
  <c r="AE917" i="3"/>
  <c r="AD917" i="3"/>
  <c r="AC917" i="3"/>
  <c r="AB917" i="3"/>
  <c r="AA917" i="3"/>
  <c r="Z917" i="3"/>
  <c r="X917" i="3"/>
  <c r="V917" i="3"/>
  <c r="U917" i="3"/>
  <c r="T917" i="3"/>
  <c r="S917" i="3"/>
  <c r="AG916" i="3"/>
  <c r="AF916" i="3"/>
  <c r="AE916" i="3"/>
  <c r="AD916" i="3"/>
  <c r="AC916" i="3"/>
  <c r="AB916" i="3"/>
  <c r="AA916" i="3"/>
  <c r="Z916" i="3"/>
  <c r="X916" i="3"/>
  <c r="V916" i="3"/>
  <c r="U916" i="3"/>
  <c r="T916" i="3"/>
  <c r="S916" i="3"/>
  <c r="AG915" i="3"/>
  <c r="AF915" i="3"/>
  <c r="AE915" i="3"/>
  <c r="AD915" i="3"/>
  <c r="AC915" i="3"/>
  <c r="AB915" i="3"/>
  <c r="AA915" i="3"/>
  <c r="Z915" i="3"/>
  <c r="X915" i="3"/>
  <c r="V915" i="3"/>
  <c r="U915" i="3"/>
  <c r="T915" i="3"/>
  <c r="S915" i="3"/>
  <c r="AG914" i="3"/>
  <c r="AF914" i="3"/>
  <c r="AE914" i="3"/>
  <c r="AD914" i="3"/>
  <c r="AC914" i="3"/>
  <c r="AB914" i="3"/>
  <c r="AA914" i="3"/>
  <c r="Z914" i="3"/>
  <c r="X914" i="3"/>
  <c r="V914" i="3"/>
  <c r="U914" i="3"/>
  <c r="T914" i="3"/>
  <c r="S914" i="3"/>
  <c r="AG913" i="3"/>
  <c r="AF913" i="3"/>
  <c r="AE913" i="3"/>
  <c r="AD913" i="3"/>
  <c r="AC913" i="3"/>
  <c r="AB913" i="3"/>
  <c r="AA913" i="3"/>
  <c r="Z913" i="3"/>
  <c r="X913" i="3"/>
  <c r="V913" i="3"/>
  <c r="Y913" i="3" s="1"/>
  <c r="U913" i="3"/>
  <c r="T913" i="3"/>
  <c r="S913" i="3"/>
  <c r="AG912" i="3"/>
  <c r="AF912" i="3"/>
  <c r="AE912" i="3"/>
  <c r="AD912" i="3"/>
  <c r="AC912" i="3"/>
  <c r="AB912" i="3"/>
  <c r="AA912" i="3"/>
  <c r="Z912" i="3"/>
  <c r="X912" i="3"/>
  <c r="V912" i="3"/>
  <c r="Y912" i="3" s="1"/>
  <c r="U912" i="3"/>
  <c r="T912" i="3"/>
  <c r="S912" i="3"/>
  <c r="AG911" i="3"/>
  <c r="AF911" i="3"/>
  <c r="AE911" i="3"/>
  <c r="AD911" i="3"/>
  <c r="AC911" i="3"/>
  <c r="AB911" i="3"/>
  <c r="AA911" i="3"/>
  <c r="Z911" i="3"/>
  <c r="X911" i="3"/>
  <c r="V911" i="3"/>
  <c r="Y911" i="3" s="1"/>
  <c r="U911" i="3"/>
  <c r="T911" i="3"/>
  <c r="S911" i="3"/>
  <c r="AG910" i="3"/>
  <c r="AF910" i="3"/>
  <c r="AE910" i="3"/>
  <c r="AD910" i="3"/>
  <c r="AC910" i="3"/>
  <c r="AB910" i="3"/>
  <c r="AA910" i="3"/>
  <c r="Z910" i="3"/>
  <c r="X910" i="3"/>
  <c r="V910" i="3"/>
  <c r="Y910" i="3" s="1"/>
  <c r="U910" i="3"/>
  <c r="T910" i="3"/>
  <c r="S910" i="3"/>
  <c r="AG909" i="3"/>
  <c r="AF909" i="3"/>
  <c r="AE909" i="3"/>
  <c r="AD909" i="3"/>
  <c r="AC909" i="3"/>
  <c r="AB909" i="3"/>
  <c r="AA909" i="3"/>
  <c r="Z909" i="3"/>
  <c r="X909" i="3"/>
  <c r="V909" i="3"/>
  <c r="Y909" i="3" s="1"/>
  <c r="U909" i="3"/>
  <c r="T909" i="3"/>
  <c r="S909" i="3"/>
  <c r="AG908" i="3"/>
  <c r="AF908" i="3"/>
  <c r="AE908" i="3"/>
  <c r="AD908" i="3"/>
  <c r="AC908" i="3"/>
  <c r="AB908" i="3"/>
  <c r="AA908" i="3"/>
  <c r="Z908" i="3"/>
  <c r="X908" i="3"/>
  <c r="V908" i="3"/>
  <c r="U908" i="3"/>
  <c r="T908" i="3"/>
  <c r="S908" i="3"/>
  <c r="AG907" i="3"/>
  <c r="AF907" i="3"/>
  <c r="AE907" i="3"/>
  <c r="AD907" i="3"/>
  <c r="AC907" i="3"/>
  <c r="AB907" i="3"/>
  <c r="AA907" i="3"/>
  <c r="Z907" i="3"/>
  <c r="X907" i="3"/>
  <c r="V907" i="3"/>
  <c r="U907" i="3"/>
  <c r="T907" i="3"/>
  <c r="S907" i="3"/>
  <c r="AG906" i="3"/>
  <c r="AF906" i="3"/>
  <c r="AE906" i="3"/>
  <c r="AD906" i="3"/>
  <c r="AC906" i="3"/>
  <c r="AB906" i="3"/>
  <c r="AA906" i="3"/>
  <c r="Z906" i="3"/>
  <c r="X906" i="3"/>
  <c r="V906" i="3"/>
  <c r="U906" i="3"/>
  <c r="T906" i="3"/>
  <c r="S906" i="3"/>
  <c r="AG905" i="3"/>
  <c r="AF905" i="3"/>
  <c r="AE905" i="3"/>
  <c r="AD905" i="3"/>
  <c r="AC905" i="3"/>
  <c r="AB905" i="3"/>
  <c r="AA905" i="3"/>
  <c r="Z905" i="3"/>
  <c r="X905" i="3"/>
  <c r="V905" i="3"/>
  <c r="U905" i="3"/>
  <c r="T905" i="3"/>
  <c r="S905" i="3"/>
  <c r="AG904" i="3"/>
  <c r="AF904" i="3"/>
  <c r="AE904" i="3"/>
  <c r="AD904" i="3"/>
  <c r="AC904" i="3"/>
  <c r="AB904" i="3"/>
  <c r="AA904" i="3"/>
  <c r="Z904" i="3"/>
  <c r="X904" i="3"/>
  <c r="V904" i="3"/>
  <c r="U904" i="3"/>
  <c r="T904" i="3"/>
  <c r="S904" i="3"/>
  <c r="AG903" i="3"/>
  <c r="AF903" i="3"/>
  <c r="AE903" i="3"/>
  <c r="AD903" i="3"/>
  <c r="AC903" i="3"/>
  <c r="AB903" i="3"/>
  <c r="AA903" i="3"/>
  <c r="Z903" i="3"/>
  <c r="X903" i="3"/>
  <c r="V903" i="3"/>
  <c r="Y903" i="3" s="1"/>
  <c r="U903" i="3"/>
  <c r="T903" i="3"/>
  <c r="S903" i="3"/>
  <c r="AG902" i="3"/>
  <c r="AF902" i="3"/>
  <c r="AE902" i="3"/>
  <c r="AD902" i="3"/>
  <c r="AC902" i="3"/>
  <c r="AB902" i="3"/>
  <c r="AA902" i="3"/>
  <c r="Z902" i="3"/>
  <c r="X902" i="3"/>
  <c r="V902" i="3"/>
  <c r="Y902" i="3" s="1"/>
  <c r="U902" i="3"/>
  <c r="T902" i="3"/>
  <c r="S902" i="3"/>
  <c r="AG901" i="3"/>
  <c r="AF901" i="3"/>
  <c r="AE901" i="3"/>
  <c r="AD901" i="3"/>
  <c r="AC901" i="3"/>
  <c r="AB901" i="3"/>
  <c r="AA901" i="3"/>
  <c r="Z901" i="3"/>
  <c r="X901" i="3"/>
  <c r="V901" i="3"/>
  <c r="Y901" i="3" s="1"/>
  <c r="U901" i="3"/>
  <c r="T901" i="3"/>
  <c r="S901" i="3"/>
  <c r="AG900" i="3"/>
  <c r="AF900" i="3"/>
  <c r="AE900" i="3"/>
  <c r="AD900" i="3"/>
  <c r="AC900" i="3"/>
  <c r="AB900" i="3"/>
  <c r="AA900" i="3"/>
  <c r="Z900" i="3"/>
  <c r="X900" i="3"/>
  <c r="V900" i="3"/>
  <c r="Y900" i="3" s="1"/>
  <c r="U900" i="3"/>
  <c r="T900" i="3"/>
  <c r="S900" i="3"/>
  <c r="AG899" i="3"/>
  <c r="AF899" i="3"/>
  <c r="AE899" i="3"/>
  <c r="AD899" i="3"/>
  <c r="AC899" i="3"/>
  <c r="AB899" i="3"/>
  <c r="AA899" i="3"/>
  <c r="Z899" i="3"/>
  <c r="X899" i="3"/>
  <c r="V899" i="3"/>
  <c r="Y899" i="3" s="1"/>
  <c r="U899" i="3"/>
  <c r="T899" i="3"/>
  <c r="S899" i="3"/>
  <c r="AG898" i="3"/>
  <c r="AF898" i="3"/>
  <c r="AE898" i="3"/>
  <c r="AD898" i="3"/>
  <c r="AC898" i="3"/>
  <c r="AB898" i="3"/>
  <c r="AA898" i="3"/>
  <c r="Z898" i="3"/>
  <c r="X898" i="3"/>
  <c r="V898" i="3"/>
  <c r="U898" i="3"/>
  <c r="T898" i="3"/>
  <c r="S898" i="3"/>
  <c r="AG897" i="3"/>
  <c r="AF897" i="3"/>
  <c r="AE897" i="3"/>
  <c r="AD897" i="3"/>
  <c r="AC897" i="3"/>
  <c r="AB897" i="3"/>
  <c r="AA897" i="3"/>
  <c r="Z897" i="3"/>
  <c r="X897" i="3"/>
  <c r="V897" i="3"/>
  <c r="U897" i="3"/>
  <c r="T897" i="3"/>
  <c r="S897" i="3"/>
  <c r="AG896" i="3"/>
  <c r="AF896" i="3"/>
  <c r="AE896" i="3"/>
  <c r="AD896" i="3"/>
  <c r="AC896" i="3"/>
  <c r="AB896" i="3"/>
  <c r="AA896" i="3"/>
  <c r="Z896" i="3"/>
  <c r="X896" i="3"/>
  <c r="V896" i="3"/>
  <c r="U896" i="3"/>
  <c r="T896" i="3"/>
  <c r="S896" i="3"/>
  <c r="AG895" i="3"/>
  <c r="AF895" i="3"/>
  <c r="AE895" i="3"/>
  <c r="AD895" i="3"/>
  <c r="AC895" i="3"/>
  <c r="AB895" i="3"/>
  <c r="AA895" i="3"/>
  <c r="Z895" i="3"/>
  <c r="X895" i="3"/>
  <c r="V895" i="3"/>
  <c r="U895" i="3"/>
  <c r="T895" i="3"/>
  <c r="S895" i="3"/>
  <c r="AG894" i="3"/>
  <c r="AF894" i="3"/>
  <c r="AE894" i="3"/>
  <c r="AD894" i="3"/>
  <c r="AC894" i="3"/>
  <c r="AB894" i="3"/>
  <c r="AA894" i="3"/>
  <c r="Z894" i="3"/>
  <c r="X894" i="3"/>
  <c r="V894" i="3"/>
  <c r="U894" i="3"/>
  <c r="T894" i="3"/>
  <c r="S894" i="3"/>
  <c r="AG893" i="3"/>
  <c r="AF893" i="3"/>
  <c r="AE893" i="3"/>
  <c r="AD893" i="3"/>
  <c r="AC893" i="3"/>
  <c r="AB893" i="3"/>
  <c r="AA893" i="3"/>
  <c r="Z893" i="3"/>
  <c r="X893" i="3"/>
  <c r="V893" i="3"/>
  <c r="Y893" i="3" s="1"/>
  <c r="U893" i="3"/>
  <c r="T893" i="3"/>
  <c r="S893" i="3"/>
  <c r="AG892" i="3"/>
  <c r="AF892" i="3"/>
  <c r="AE892" i="3"/>
  <c r="AD892" i="3"/>
  <c r="AC892" i="3"/>
  <c r="AB892" i="3"/>
  <c r="AA892" i="3"/>
  <c r="Z892" i="3"/>
  <c r="X892" i="3"/>
  <c r="V892" i="3"/>
  <c r="Y892" i="3" s="1"/>
  <c r="U892" i="3"/>
  <c r="T892" i="3"/>
  <c r="S892" i="3"/>
  <c r="AG891" i="3"/>
  <c r="AF891" i="3"/>
  <c r="AE891" i="3"/>
  <c r="AD891" i="3"/>
  <c r="AC891" i="3"/>
  <c r="AB891" i="3"/>
  <c r="AA891" i="3"/>
  <c r="Z891" i="3"/>
  <c r="X891" i="3"/>
  <c r="V891" i="3"/>
  <c r="Y891" i="3" s="1"/>
  <c r="U891" i="3"/>
  <c r="T891" i="3"/>
  <c r="S891" i="3"/>
  <c r="AG890" i="3"/>
  <c r="AF890" i="3"/>
  <c r="AE890" i="3"/>
  <c r="AD890" i="3"/>
  <c r="AC890" i="3"/>
  <c r="AB890" i="3"/>
  <c r="AA890" i="3"/>
  <c r="Z890" i="3"/>
  <c r="X890" i="3"/>
  <c r="V890" i="3"/>
  <c r="Y890" i="3" s="1"/>
  <c r="U890" i="3"/>
  <c r="T890" i="3"/>
  <c r="S890" i="3"/>
  <c r="AG889" i="3"/>
  <c r="AF889" i="3"/>
  <c r="AE889" i="3"/>
  <c r="AD889" i="3"/>
  <c r="AC889" i="3"/>
  <c r="AB889" i="3"/>
  <c r="AA889" i="3"/>
  <c r="Z889" i="3"/>
  <c r="X889" i="3"/>
  <c r="V889" i="3"/>
  <c r="Y889" i="3" s="1"/>
  <c r="U889" i="3"/>
  <c r="T889" i="3"/>
  <c r="S889" i="3"/>
  <c r="AG888" i="3"/>
  <c r="AF888" i="3"/>
  <c r="AE888" i="3"/>
  <c r="AD888" i="3"/>
  <c r="AC888" i="3"/>
  <c r="AB888" i="3"/>
  <c r="AA888" i="3"/>
  <c r="Z888" i="3"/>
  <c r="X888" i="3"/>
  <c r="V888" i="3"/>
  <c r="U888" i="3"/>
  <c r="T888" i="3"/>
  <c r="S888" i="3"/>
  <c r="AG887" i="3"/>
  <c r="AF887" i="3"/>
  <c r="AE887" i="3"/>
  <c r="AD887" i="3"/>
  <c r="AC887" i="3"/>
  <c r="AB887" i="3"/>
  <c r="AA887" i="3"/>
  <c r="Z887" i="3"/>
  <c r="X887" i="3"/>
  <c r="V887" i="3"/>
  <c r="U887" i="3"/>
  <c r="T887" i="3"/>
  <c r="S887" i="3"/>
  <c r="AG886" i="3"/>
  <c r="AF886" i="3"/>
  <c r="AE886" i="3"/>
  <c r="AD886" i="3"/>
  <c r="AC886" i="3"/>
  <c r="AB886" i="3"/>
  <c r="AA886" i="3"/>
  <c r="Z886" i="3"/>
  <c r="X886" i="3"/>
  <c r="V886" i="3"/>
  <c r="U886" i="3"/>
  <c r="T886" i="3"/>
  <c r="S886" i="3"/>
  <c r="AG885" i="3"/>
  <c r="AF885" i="3"/>
  <c r="AE885" i="3"/>
  <c r="AD885" i="3"/>
  <c r="AC885" i="3"/>
  <c r="AB885" i="3"/>
  <c r="AA885" i="3"/>
  <c r="Z885" i="3"/>
  <c r="X885" i="3"/>
  <c r="V885" i="3"/>
  <c r="U885" i="3"/>
  <c r="T885" i="3"/>
  <c r="S885" i="3"/>
  <c r="AG884" i="3"/>
  <c r="AF884" i="3"/>
  <c r="AE884" i="3"/>
  <c r="AD884" i="3"/>
  <c r="AC884" i="3"/>
  <c r="AB884" i="3"/>
  <c r="AA884" i="3"/>
  <c r="Z884" i="3"/>
  <c r="X884" i="3"/>
  <c r="V884" i="3"/>
  <c r="U884" i="3"/>
  <c r="T884" i="3"/>
  <c r="S884" i="3"/>
  <c r="AG883" i="3"/>
  <c r="AF883" i="3"/>
  <c r="AE883" i="3"/>
  <c r="AD883" i="3"/>
  <c r="AC883" i="3"/>
  <c r="AB883" i="3"/>
  <c r="AA883" i="3"/>
  <c r="Z883" i="3"/>
  <c r="X883" i="3"/>
  <c r="V883" i="3"/>
  <c r="Y883" i="3" s="1"/>
  <c r="U883" i="3"/>
  <c r="T883" i="3"/>
  <c r="S883" i="3"/>
  <c r="AG882" i="3"/>
  <c r="AF882" i="3"/>
  <c r="AE882" i="3"/>
  <c r="AD882" i="3"/>
  <c r="AC882" i="3"/>
  <c r="AB882" i="3"/>
  <c r="AA882" i="3"/>
  <c r="Z882" i="3"/>
  <c r="X882" i="3"/>
  <c r="V882" i="3"/>
  <c r="Y882" i="3" s="1"/>
  <c r="U882" i="3"/>
  <c r="T882" i="3"/>
  <c r="S882" i="3"/>
  <c r="AG881" i="3"/>
  <c r="AF881" i="3"/>
  <c r="AE881" i="3"/>
  <c r="AD881" i="3"/>
  <c r="AC881" i="3"/>
  <c r="AB881" i="3"/>
  <c r="AA881" i="3"/>
  <c r="Z881" i="3"/>
  <c r="X881" i="3"/>
  <c r="V881" i="3"/>
  <c r="Y881" i="3" s="1"/>
  <c r="U881" i="3"/>
  <c r="T881" i="3"/>
  <c r="S881" i="3"/>
  <c r="AG880" i="3"/>
  <c r="AF880" i="3"/>
  <c r="AE880" i="3"/>
  <c r="AD880" i="3"/>
  <c r="AC880" i="3"/>
  <c r="AB880" i="3"/>
  <c r="AA880" i="3"/>
  <c r="Z880" i="3"/>
  <c r="X880" i="3"/>
  <c r="V880" i="3"/>
  <c r="Y880" i="3" s="1"/>
  <c r="U880" i="3"/>
  <c r="T880" i="3"/>
  <c r="S880" i="3"/>
  <c r="AG879" i="3"/>
  <c r="AF879" i="3"/>
  <c r="AE879" i="3"/>
  <c r="AD879" i="3"/>
  <c r="AC879" i="3"/>
  <c r="AB879" i="3"/>
  <c r="AA879" i="3"/>
  <c r="Z879" i="3"/>
  <c r="X879" i="3"/>
  <c r="V879" i="3"/>
  <c r="Y879" i="3" s="1"/>
  <c r="U879" i="3"/>
  <c r="T879" i="3"/>
  <c r="S879" i="3"/>
  <c r="AG878" i="3"/>
  <c r="AF878" i="3"/>
  <c r="AE878" i="3"/>
  <c r="AD878" i="3"/>
  <c r="AC878" i="3"/>
  <c r="AB878" i="3"/>
  <c r="AA878" i="3"/>
  <c r="Z878" i="3"/>
  <c r="X878" i="3"/>
  <c r="V878" i="3"/>
  <c r="U878" i="3"/>
  <c r="T878" i="3"/>
  <c r="S878" i="3"/>
  <c r="AG877" i="3"/>
  <c r="AF877" i="3"/>
  <c r="AE877" i="3"/>
  <c r="AD877" i="3"/>
  <c r="AC877" i="3"/>
  <c r="AB877" i="3"/>
  <c r="AA877" i="3"/>
  <c r="Z877" i="3"/>
  <c r="X877" i="3"/>
  <c r="V877" i="3"/>
  <c r="U877" i="3"/>
  <c r="T877" i="3"/>
  <c r="S877" i="3"/>
  <c r="AG876" i="3"/>
  <c r="AF876" i="3"/>
  <c r="AE876" i="3"/>
  <c r="AD876" i="3"/>
  <c r="AC876" i="3"/>
  <c r="AB876" i="3"/>
  <c r="AA876" i="3"/>
  <c r="Z876" i="3"/>
  <c r="X876" i="3"/>
  <c r="V876" i="3"/>
  <c r="U876" i="3"/>
  <c r="T876" i="3"/>
  <c r="S876" i="3"/>
  <c r="AG875" i="3"/>
  <c r="AF875" i="3"/>
  <c r="AE875" i="3"/>
  <c r="AD875" i="3"/>
  <c r="AC875" i="3"/>
  <c r="AB875" i="3"/>
  <c r="AA875" i="3"/>
  <c r="Z875" i="3"/>
  <c r="X875" i="3"/>
  <c r="V875" i="3"/>
  <c r="U875" i="3"/>
  <c r="T875" i="3"/>
  <c r="S875" i="3"/>
  <c r="AG874" i="3"/>
  <c r="AF874" i="3"/>
  <c r="AE874" i="3"/>
  <c r="AD874" i="3"/>
  <c r="AC874" i="3"/>
  <c r="AB874" i="3"/>
  <c r="AA874" i="3"/>
  <c r="Z874" i="3"/>
  <c r="X874" i="3"/>
  <c r="V874" i="3"/>
  <c r="U874" i="3"/>
  <c r="T874" i="3"/>
  <c r="S874" i="3"/>
  <c r="AG873" i="3"/>
  <c r="AF873" i="3"/>
  <c r="AE873" i="3"/>
  <c r="AD873" i="3"/>
  <c r="AC873" i="3"/>
  <c r="AB873" i="3"/>
  <c r="AA873" i="3"/>
  <c r="Z873" i="3"/>
  <c r="X873" i="3"/>
  <c r="V873" i="3"/>
  <c r="Y873" i="3" s="1"/>
  <c r="U873" i="3"/>
  <c r="T873" i="3"/>
  <c r="S873" i="3"/>
  <c r="AG872" i="3"/>
  <c r="AF872" i="3"/>
  <c r="AE872" i="3"/>
  <c r="AD872" i="3"/>
  <c r="AC872" i="3"/>
  <c r="AB872" i="3"/>
  <c r="AA872" i="3"/>
  <c r="Z872" i="3"/>
  <c r="X872" i="3"/>
  <c r="V872" i="3"/>
  <c r="Y872" i="3" s="1"/>
  <c r="U872" i="3"/>
  <c r="T872" i="3"/>
  <c r="S872" i="3"/>
  <c r="AG871" i="3"/>
  <c r="AF871" i="3"/>
  <c r="AE871" i="3"/>
  <c r="AD871" i="3"/>
  <c r="AC871" i="3"/>
  <c r="AB871" i="3"/>
  <c r="AA871" i="3"/>
  <c r="Z871" i="3"/>
  <c r="X871" i="3"/>
  <c r="V871" i="3"/>
  <c r="Y871" i="3" s="1"/>
  <c r="U871" i="3"/>
  <c r="T871" i="3"/>
  <c r="S871" i="3"/>
  <c r="AG870" i="3"/>
  <c r="AF870" i="3"/>
  <c r="AE870" i="3"/>
  <c r="AD870" i="3"/>
  <c r="AC870" i="3"/>
  <c r="AB870" i="3"/>
  <c r="AA870" i="3"/>
  <c r="Z870" i="3"/>
  <c r="X870" i="3"/>
  <c r="V870" i="3"/>
  <c r="Y870" i="3" s="1"/>
  <c r="U870" i="3"/>
  <c r="T870" i="3"/>
  <c r="S870" i="3"/>
  <c r="AG869" i="3"/>
  <c r="AF869" i="3"/>
  <c r="AE869" i="3"/>
  <c r="AD869" i="3"/>
  <c r="AC869" i="3"/>
  <c r="AB869" i="3"/>
  <c r="AA869" i="3"/>
  <c r="Z869" i="3"/>
  <c r="X869" i="3"/>
  <c r="V869" i="3"/>
  <c r="Y869" i="3" s="1"/>
  <c r="U869" i="3"/>
  <c r="T869" i="3"/>
  <c r="S869" i="3"/>
  <c r="AG868" i="3"/>
  <c r="AF868" i="3"/>
  <c r="AE868" i="3"/>
  <c r="AD868" i="3"/>
  <c r="AC868" i="3"/>
  <c r="AB868" i="3"/>
  <c r="AA868" i="3"/>
  <c r="Z868" i="3"/>
  <c r="X868" i="3"/>
  <c r="V868" i="3"/>
  <c r="U868" i="3"/>
  <c r="T868" i="3"/>
  <c r="S868" i="3"/>
  <c r="AG867" i="3"/>
  <c r="AF867" i="3"/>
  <c r="AE867" i="3"/>
  <c r="AD867" i="3"/>
  <c r="AC867" i="3"/>
  <c r="AB867" i="3"/>
  <c r="AA867" i="3"/>
  <c r="Z867" i="3"/>
  <c r="X867" i="3"/>
  <c r="V867" i="3"/>
  <c r="U867" i="3"/>
  <c r="T867" i="3"/>
  <c r="S867" i="3"/>
  <c r="AG866" i="3"/>
  <c r="AF866" i="3"/>
  <c r="AE866" i="3"/>
  <c r="AD866" i="3"/>
  <c r="AC866" i="3"/>
  <c r="AB866" i="3"/>
  <c r="AA866" i="3"/>
  <c r="Z866" i="3"/>
  <c r="X866" i="3"/>
  <c r="V866" i="3"/>
  <c r="U866" i="3"/>
  <c r="T866" i="3"/>
  <c r="S866" i="3"/>
  <c r="AG865" i="3"/>
  <c r="AF865" i="3"/>
  <c r="AE865" i="3"/>
  <c r="AD865" i="3"/>
  <c r="AC865" i="3"/>
  <c r="AB865" i="3"/>
  <c r="AA865" i="3"/>
  <c r="Z865" i="3"/>
  <c r="X865" i="3"/>
  <c r="V865" i="3"/>
  <c r="U865" i="3"/>
  <c r="T865" i="3"/>
  <c r="S865" i="3"/>
  <c r="AG864" i="3"/>
  <c r="AF864" i="3"/>
  <c r="AE864" i="3"/>
  <c r="AD864" i="3"/>
  <c r="AC864" i="3"/>
  <c r="AB864" i="3"/>
  <c r="AA864" i="3"/>
  <c r="Z864" i="3"/>
  <c r="X864" i="3"/>
  <c r="V864" i="3"/>
  <c r="U864" i="3"/>
  <c r="T864" i="3"/>
  <c r="S864" i="3"/>
  <c r="AG863" i="3"/>
  <c r="AF863" i="3"/>
  <c r="AE863" i="3"/>
  <c r="AD863" i="3"/>
  <c r="AC863" i="3"/>
  <c r="AB863" i="3"/>
  <c r="AA863" i="3"/>
  <c r="Z863" i="3"/>
  <c r="X863" i="3"/>
  <c r="V863" i="3"/>
  <c r="Y863" i="3" s="1"/>
  <c r="U863" i="3"/>
  <c r="T863" i="3"/>
  <c r="S863" i="3"/>
  <c r="AG862" i="3"/>
  <c r="AF862" i="3"/>
  <c r="AE862" i="3"/>
  <c r="AD862" i="3"/>
  <c r="AC862" i="3"/>
  <c r="AB862" i="3"/>
  <c r="AA862" i="3"/>
  <c r="Z862" i="3"/>
  <c r="X862" i="3"/>
  <c r="V862" i="3"/>
  <c r="Y862" i="3" s="1"/>
  <c r="U862" i="3"/>
  <c r="T862" i="3"/>
  <c r="S862" i="3"/>
  <c r="AG861" i="3"/>
  <c r="AF861" i="3"/>
  <c r="AE861" i="3"/>
  <c r="AD861" i="3"/>
  <c r="AC861" i="3"/>
  <c r="AB861" i="3"/>
  <c r="AA861" i="3"/>
  <c r="Z861" i="3"/>
  <c r="X861" i="3"/>
  <c r="V861" i="3"/>
  <c r="Y861" i="3" s="1"/>
  <c r="U861" i="3"/>
  <c r="T861" i="3"/>
  <c r="S861" i="3"/>
  <c r="AG860" i="3"/>
  <c r="AF860" i="3"/>
  <c r="AE860" i="3"/>
  <c r="AD860" i="3"/>
  <c r="AC860" i="3"/>
  <c r="AB860" i="3"/>
  <c r="AA860" i="3"/>
  <c r="Z860" i="3"/>
  <c r="X860" i="3"/>
  <c r="V860" i="3"/>
  <c r="Y860" i="3" s="1"/>
  <c r="U860" i="3"/>
  <c r="T860" i="3"/>
  <c r="S860" i="3"/>
  <c r="AG859" i="3"/>
  <c r="AF859" i="3"/>
  <c r="AE859" i="3"/>
  <c r="AD859" i="3"/>
  <c r="AC859" i="3"/>
  <c r="AB859" i="3"/>
  <c r="AA859" i="3"/>
  <c r="Z859" i="3"/>
  <c r="X859" i="3"/>
  <c r="V859" i="3"/>
  <c r="Y859" i="3" s="1"/>
  <c r="U859" i="3"/>
  <c r="T859" i="3"/>
  <c r="S859" i="3"/>
  <c r="AG858" i="3"/>
  <c r="AF858" i="3"/>
  <c r="AE858" i="3"/>
  <c r="AD858" i="3"/>
  <c r="AC858" i="3"/>
  <c r="AB858" i="3"/>
  <c r="AA858" i="3"/>
  <c r="Z858" i="3"/>
  <c r="X858" i="3"/>
  <c r="V858" i="3"/>
  <c r="U858" i="3"/>
  <c r="T858" i="3"/>
  <c r="S858" i="3"/>
  <c r="AG857" i="3"/>
  <c r="AF857" i="3"/>
  <c r="AE857" i="3"/>
  <c r="AD857" i="3"/>
  <c r="AC857" i="3"/>
  <c r="AB857" i="3"/>
  <c r="AA857" i="3"/>
  <c r="Z857" i="3"/>
  <c r="X857" i="3"/>
  <c r="V857" i="3"/>
  <c r="U857" i="3"/>
  <c r="T857" i="3"/>
  <c r="S857" i="3"/>
  <c r="AG856" i="3"/>
  <c r="AF856" i="3"/>
  <c r="AE856" i="3"/>
  <c r="AD856" i="3"/>
  <c r="AC856" i="3"/>
  <c r="AB856" i="3"/>
  <c r="AA856" i="3"/>
  <c r="Z856" i="3"/>
  <c r="X856" i="3"/>
  <c r="V856" i="3"/>
  <c r="U856" i="3"/>
  <c r="T856" i="3"/>
  <c r="S856" i="3"/>
  <c r="AG855" i="3"/>
  <c r="AF855" i="3"/>
  <c r="AE855" i="3"/>
  <c r="AD855" i="3"/>
  <c r="AC855" i="3"/>
  <c r="AB855" i="3"/>
  <c r="AA855" i="3"/>
  <c r="Z855" i="3"/>
  <c r="X855" i="3"/>
  <c r="V855" i="3"/>
  <c r="U855" i="3"/>
  <c r="T855" i="3"/>
  <c r="S855" i="3"/>
  <c r="AG854" i="3"/>
  <c r="AF854" i="3"/>
  <c r="AE854" i="3"/>
  <c r="AD854" i="3"/>
  <c r="AC854" i="3"/>
  <c r="AB854" i="3"/>
  <c r="AA854" i="3"/>
  <c r="Z854" i="3"/>
  <c r="X854" i="3"/>
  <c r="V854" i="3"/>
  <c r="U854" i="3"/>
  <c r="T854" i="3"/>
  <c r="S854" i="3"/>
  <c r="AG853" i="3"/>
  <c r="AF853" i="3"/>
  <c r="AE853" i="3"/>
  <c r="AD853" i="3"/>
  <c r="AC853" i="3"/>
  <c r="AB853" i="3"/>
  <c r="AA853" i="3"/>
  <c r="Z853" i="3"/>
  <c r="X853" i="3"/>
  <c r="V853" i="3"/>
  <c r="Y853" i="3" s="1"/>
  <c r="U853" i="3"/>
  <c r="T853" i="3"/>
  <c r="S853" i="3"/>
  <c r="AG852" i="3"/>
  <c r="AF852" i="3"/>
  <c r="AE852" i="3"/>
  <c r="AD852" i="3"/>
  <c r="AC852" i="3"/>
  <c r="AB852" i="3"/>
  <c r="AA852" i="3"/>
  <c r="Z852" i="3"/>
  <c r="X852" i="3"/>
  <c r="V852" i="3"/>
  <c r="Y852" i="3" s="1"/>
  <c r="U852" i="3"/>
  <c r="T852" i="3"/>
  <c r="S852" i="3"/>
  <c r="AG851" i="3"/>
  <c r="AF851" i="3"/>
  <c r="AE851" i="3"/>
  <c r="AD851" i="3"/>
  <c r="AC851" i="3"/>
  <c r="AB851" i="3"/>
  <c r="AA851" i="3"/>
  <c r="Z851" i="3"/>
  <c r="X851" i="3"/>
  <c r="V851" i="3"/>
  <c r="Y851" i="3" s="1"/>
  <c r="U851" i="3"/>
  <c r="T851" i="3"/>
  <c r="S851" i="3"/>
  <c r="AG850" i="3"/>
  <c r="AF850" i="3"/>
  <c r="AE850" i="3"/>
  <c r="AD850" i="3"/>
  <c r="AC850" i="3"/>
  <c r="AB850" i="3"/>
  <c r="AA850" i="3"/>
  <c r="Z850" i="3"/>
  <c r="X850" i="3"/>
  <c r="V850" i="3"/>
  <c r="Y850" i="3" s="1"/>
  <c r="U850" i="3"/>
  <c r="T850" i="3"/>
  <c r="S850" i="3"/>
  <c r="AG849" i="3"/>
  <c r="AF849" i="3"/>
  <c r="AE849" i="3"/>
  <c r="AD849" i="3"/>
  <c r="AC849" i="3"/>
  <c r="AB849" i="3"/>
  <c r="AA849" i="3"/>
  <c r="Z849" i="3"/>
  <c r="X849" i="3"/>
  <c r="V849" i="3"/>
  <c r="Y849" i="3" s="1"/>
  <c r="U849" i="3"/>
  <c r="T849" i="3"/>
  <c r="S849" i="3"/>
  <c r="AG848" i="3"/>
  <c r="AF848" i="3"/>
  <c r="AE848" i="3"/>
  <c r="AD848" i="3"/>
  <c r="AC848" i="3"/>
  <c r="AB848" i="3"/>
  <c r="AA848" i="3"/>
  <c r="Z848" i="3"/>
  <c r="X848" i="3"/>
  <c r="V848" i="3"/>
  <c r="U848" i="3"/>
  <c r="T848" i="3"/>
  <c r="S848" i="3"/>
  <c r="AG847" i="3"/>
  <c r="AF847" i="3"/>
  <c r="AE847" i="3"/>
  <c r="AD847" i="3"/>
  <c r="AC847" i="3"/>
  <c r="AB847" i="3"/>
  <c r="AA847" i="3"/>
  <c r="Z847" i="3"/>
  <c r="X847" i="3"/>
  <c r="V847" i="3"/>
  <c r="U847" i="3"/>
  <c r="T847" i="3"/>
  <c r="S847" i="3"/>
  <c r="AG846" i="3"/>
  <c r="AF846" i="3"/>
  <c r="AE846" i="3"/>
  <c r="AD846" i="3"/>
  <c r="AC846" i="3"/>
  <c r="AB846" i="3"/>
  <c r="AA846" i="3"/>
  <c r="Z846" i="3"/>
  <c r="X846" i="3"/>
  <c r="V846" i="3"/>
  <c r="U846" i="3"/>
  <c r="T846" i="3"/>
  <c r="S846" i="3"/>
  <c r="AG845" i="3"/>
  <c r="AF845" i="3"/>
  <c r="AE845" i="3"/>
  <c r="AD845" i="3"/>
  <c r="AC845" i="3"/>
  <c r="AB845" i="3"/>
  <c r="AA845" i="3"/>
  <c r="Z845" i="3"/>
  <c r="X845" i="3"/>
  <c r="V845" i="3"/>
  <c r="U845" i="3"/>
  <c r="T845" i="3"/>
  <c r="S845" i="3"/>
  <c r="AG844" i="3"/>
  <c r="AF844" i="3"/>
  <c r="AE844" i="3"/>
  <c r="AD844" i="3"/>
  <c r="AC844" i="3"/>
  <c r="AB844" i="3"/>
  <c r="AA844" i="3"/>
  <c r="Z844" i="3"/>
  <c r="X844" i="3"/>
  <c r="V844" i="3"/>
  <c r="U844" i="3"/>
  <c r="T844" i="3"/>
  <c r="S844" i="3"/>
  <c r="AG843" i="3"/>
  <c r="AF843" i="3"/>
  <c r="AE843" i="3"/>
  <c r="AD843" i="3"/>
  <c r="AC843" i="3"/>
  <c r="AB843" i="3"/>
  <c r="AA843" i="3"/>
  <c r="Z843" i="3"/>
  <c r="X843" i="3"/>
  <c r="V843" i="3"/>
  <c r="U843" i="3"/>
  <c r="T843" i="3"/>
  <c r="S843" i="3"/>
  <c r="AG842" i="3"/>
  <c r="AF842" i="3"/>
  <c r="AE842" i="3"/>
  <c r="AD842" i="3"/>
  <c r="AC842" i="3"/>
  <c r="AB842" i="3"/>
  <c r="AA842" i="3"/>
  <c r="Z842" i="3"/>
  <c r="X842" i="3"/>
  <c r="V842" i="3"/>
  <c r="Y842" i="3" s="1"/>
  <c r="U842" i="3"/>
  <c r="T842" i="3"/>
  <c r="S842" i="3"/>
  <c r="AG841" i="3"/>
  <c r="AF841" i="3"/>
  <c r="AE841" i="3"/>
  <c r="AD841" i="3"/>
  <c r="AC841" i="3"/>
  <c r="AB841" i="3"/>
  <c r="AA841" i="3"/>
  <c r="Z841" i="3"/>
  <c r="X841" i="3"/>
  <c r="V841" i="3"/>
  <c r="U841" i="3"/>
  <c r="T841" i="3"/>
  <c r="S841" i="3"/>
  <c r="AG840" i="3"/>
  <c r="AF840" i="3"/>
  <c r="AE840" i="3"/>
  <c r="AD840" i="3"/>
  <c r="AC840" i="3"/>
  <c r="AB840" i="3"/>
  <c r="AA840" i="3"/>
  <c r="Z840" i="3"/>
  <c r="X840" i="3"/>
  <c r="V840" i="3"/>
  <c r="U840" i="3"/>
  <c r="T840" i="3"/>
  <c r="S840" i="3"/>
  <c r="AG839" i="3"/>
  <c r="AF839" i="3"/>
  <c r="AE839" i="3"/>
  <c r="AD839" i="3"/>
  <c r="AC839" i="3"/>
  <c r="AB839" i="3"/>
  <c r="AA839" i="3"/>
  <c r="Z839" i="3"/>
  <c r="X839" i="3"/>
  <c r="V839" i="3"/>
  <c r="Y839" i="3" s="1"/>
  <c r="U839" i="3"/>
  <c r="T839" i="3"/>
  <c r="S839" i="3"/>
  <c r="AG838" i="3"/>
  <c r="AF838" i="3"/>
  <c r="AE838" i="3"/>
  <c r="AD838" i="3"/>
  <c r="AC838" i="3"/>
  <c r="AB838" i="3"/>
  <c r="AA838" i="3"/>
  <c r="Z838" i="3"/>
  <c r="X838" i="3"/>
  <c r="V838" i="3"/>
  <c r="U838" i="3"/>
  <c r="T838" i="3"/>
  <c r="S838" i="3"/>
  <c r="AG837" i="3"/>
  <c r="AF837" i="3"/>
  <c r="AE837" i="3"/>
  <c r="AD837" i="3"/>
  <c r="AC837" i="3"/>
  <c r="AB837" i="3"/>
  <c r="AA837" i="3"/>
  <c r="Z837" i="3"/>
  <c r="X837" i="3"/>
  <c r="V837" i="3"/>
  <c r="U837" i="3"/>
  <c r="T837" i="3"/>
  <c r="S837" i="3"/>
  <c r="AG836" i="3"/>
  <c r="AF836" i="3"/>
  <c r="AE836" i="3"/>
  <c r="AD836" i="3"/>
  <c r="AC836" i="3"/>
  <c r="AB836" i="3"/>
  <c r="AA836" i="3"/>
  <c r="Z836" i="3"/>
  <c r="X836" i="3"/>
  <c r="V836" i="3"/>
  <c r="U836" i="3"/>
  <c r="T836" i="3"/>
  <c r="S836" i="3"/>
  <c r="AG835" i="3"/>
  <c r="AF835" i="3"/>
  <c r="AE835" i="3"/>
  <c r="AD835" i="3"/>
  <c r="AC835" i="3"/>
  <c r="AB835" i="3"/>
  <c r="AA835" i="3"/>
  <c r="Z835" i="3"/>
  <c r="X835" i="3"/>
  <c r="V835" i="3"/>
  <c r="U835" i="3"/>
  <c r="T835" i="3"/>
  <c r="S835" i="3"/>
  <c r="AG834" i="3"/>
  <c r="AF834" i="3"/>
  <c r="AE834" i="3"/>
  <c r="AD834" i="3"/>
  <c r="AC834" i="3"/>
  <c r="AB834" i="3"/>
  <c r="AA834" i="3"/>
  <c r="Z834" i="3"/>
  <c r="X834" i="3"/>
  <c r="V834" i="3"/>
  <c r="U834" i="3"/>
  <c r="T834" i="3"/>
  <c r="S834" i="3"/>
  <c r="AG833" i="3"/>
  <c r="AF833" i="3"/>
  <c r="AE833" i="3"/>
  <c r="AD833" i="3"/>
  <c r="AC833" i="3"/>
  <c r="AB833" i="3"/>
  <c r="AA833" i="3"/>
  <c r="Z833" i="3"/>
  <c r="X833" i="3"/>
  <c r="V833" i="3"/>
  <c r="U833" i="3"/>
  <c r="T833" i="3"/>
  <c r="S833" i="3"/>
  <c r="AG832" i="3"/>
  <c r="AF832" i="3"/>
  <c r="AE832" i="3"/>
  <c r="AD832" i="3"/>
  <c r="AC832" i="3"/>
  <c r="AB832" i="3"/>
  <c r="AA832" i="3"/>
  <c r="Z832" i="3"/>
  <c r="X832" i="3"/>
  <c r="V832" i="3"/>
  <c r="Y832" i="3" s="1"/>
  <c r="U832" i="3"/>
  <c r="T832" i="3"/>
  <c r="S832" i="3"/>
  <c r="AG831" i="3"/>
  <c r="AF831" i="3"/>
  <c r="AE831" i="3"/>
  <c r="AD831" i="3"/>
  <c r="AC831" i="3"/>
  <c r="AB831" i="3"/>
  <c r="AA831" i="3"/>
  <c r="Z831" i="3"/>
  <c r="X831" i="3"/>
  <c r="V831" i="3"/>
  <c r="U831" i="3"/>
  <c r="T831" i="3"/>
  <c r="S831" i="3"/>
  <c r="AG830" i="3"/>
  <c r="AF830" i="3"/>
  <c r="AE830" i="3"/>
  <c r="AD830" i="3"/>
  <c r="AC830" i="3"/>
  <c r="AB830" i="3"/>
  <c r="AA830" i="3"/>
  <c r="Z830" i="3"/>
  <c r="X830" i="3"/>
  <c r="V830" i="3"/>
  <c r="U830" i="3"/>
  <c r="T830" i="3"/>
  <c r="S830" i="3"/>
  <c r="AG829" i="3"/>
  <c r="AF829" i="3"/>
  <c r="AE829" i="3"/>
  <c r="AD829" i="3"/>
  <c r="AC829" i="3"/>
  <c r="AB829" i="3"/>
  <c r="AA829" i="3"/>
  <c r="Z829" i="3"/>
  <c r="X829" i="3"/>
  <c r="V829" i="3"/>
  <c r="Y829" i="3" s="1"/>
  <c r="U829" i="3"/>
  <c r="T829" i="3"/>
  <c r="S829" i="3"/>
  <c r="AG828" i="3"/>
  <c r="AF828" i="3"/>
  <c r="AE828" i="3"/>
  <c r="AD828" i="3"/>
  <c r="AC828" i="3"/>
  <c r="AB828" i="3"/>
  <c r="AA828" i="3"/>
  <c r="Z828" i="3"/>
  <c r="X828" i="3"/>
  <c r="V828" i="3"/>
  <c r="U828" i="3"/>
  <c r="T828" i="3"/>
  <c r="S828" i="3"/>
  <c r="AG827" i="3"/>
  <c r="AF827" i="3"/>
  <c r="AE827" i="3"/>
  <c r="AD827" i="3"/>
  <c r="AC827" i="3"/>
  <c r="AB827" i="3"/>
  <c r="AA827" i="3"/>
  <c r="Z827" i="3"/>
  <c r="X827" i="3"/>
  <c r="V827" i="3"/>
  <c r="U827" i="3"/>
  <c r="T827" i="3"/>
  <c r="S827" i="3"/>
  <c r="AG826" i="3"/>
  <c r="AF826" i="3"/>
  <c r="AE826" i="3"/>
  <c r="AD826" i="3"/>
  <c r="AC826" i="3"/>
  <c r="AB826" i="3"/>
  <c r="AA826" i="3"/>
  <c r="Z826" i="3"/>
  <c r="X826" i="3"/>
  <c r="V826" i="3"/>
  <c r="U826" i="3"/>
  <c r="T826" i="3"/>
  <c r="S826" i="3"/>
  <c r="AG825" i="3"/>
  <c r="AF825" i="3"/>
  <c r="AE825" i="3"/>
  <c r="AD825" i="3"/>
  <c r="AC825" i="3"/>
  <c r="AB825" i="3"/>
  <c r="AA825" i="3"/>
  <c r="Z825" i="3"/>
  <c r="X825" i="3"/>
  <c r="V825" i="3"/>
  <c r="U825" i="3"/>
  <c r="T825" i="3"/>
  <c r="S825" i="3"/>
  <c r="AG824" i="3"/>
  <c r="AF824" i="3"/>
  <c r="AE824" i="3"/>
  <c r="AD824" i="3"/>
  <c r="AC824" i="3"/>
  <c r="AB824" i="3"/>
  <c r="AA824" i="3"/>
  <c r="Z824" i="3"/>
  <c r="X824" i="3"/>
  <c r="V824" i="3"/>
  <c r="U824" i="3"/>
  <c r="T824" i="3"/>
  <c r="S824" i="3"/>
  <c r="AG823" i="3"/>
  <c r="AF823" i="3"/>
  <c r="AE823" i="3"/>
  <c r="AD823" i="3"/>
  <c r="AC823" i="3"/>
  <c r="AB823" i="3"/>
  <c r="AA823" i="3"/>
  <c r="Z823" i="3"/>
  <c r="X823" i="3"/>
  <c r="V823" i="3"/>
  <c r="U823" i="3"/>
  <c r="T823" i="3"/>
  <c r="S823" i="3"/>
  <c r="AG822" i="3"/>
  <c r="AF822" i="3"/>
  <c r="AE822" i="3"/>
  <c r="AD822" i="3"/>
  <c r="AC822" i="3"/>
  <c r="AB822" i="3"/>
  <c r="AA822" i="3"/>
  <c r="Z822" i="3"/>
  <c r="X822" i="3"/>
  <c r="V822" i="3"/>
  <c r="Y822" i="3" s="1"/>
  <c r="U822" i="3"/>
  <c r="T822" i="3"/>
  <c r="S822" i="3"/>
  <c r="AG821" i="3"/>
  <c r="AF821" i="3"/>
  <c r="AE821" i="3"/>
  <c r="AD821" i="3"/>
  <c r="AC821" i="3"/>
  <c r="AB821" i="3"/>
  <c r="AA821" i="3"/>
  <c r="Z821" i="3"/>
  <c r="X821" i="3"/>
  <c r="V821" i="3"/>
  <c r="U821" i="3"/>
  <c r="T821" i="3"/>
  <c r="S821" i="3"/>
  <c r="AG820" i="3"/>
  <c r="AF820" i="3"/>
  <c r="AE820" i="3"/>
  <c r="AD820" i="3"/>
  <c r="AC820" i="3"/>
  <c r="AB820" i="3"/>
  <c r="AA820" i="3"/>
  <c r="Z820" i="3"/>
  <c r="X820" i="3"/>
  <c r="V820" i="3"/>
  <c r="U820" i="3"/>
  <c r="T820" i="3"/>
  <c r="S820" i="3"/>
  <c r="AG819" i="3"/>
  <c r="AF819" i="3"/>
  <c r="AE819" i="3"/>
  <c r="AD819" i="3"/>
  <c r="AC819" i="3"/>
  <c r="AB819" i="3"/>
  <c r="AA819" i="3"/>
  <c r="Z819" i="3"/>
  <c r="X819" i="3"/>
  <c r="V819" i="3"/>
  <c r="Y819" i="3" s="1"/>
  <c r="U819" i="3"/>
  <c r="T819" i="3"/>
  <c r="S819" i="3"/>
  <c r="AG818" i="3"/>
  <c r="AF818" i="3"/>
  <c r="AE818" i="3"/>
  <c r="AD818" i="3"/>
  <c r="AC818" i="3"/>
  <c r="AB818" i="3"/>
  <c r="AA818" i="3"/>
  <c r="Z818" i="3"/>
  <c r="X818" i="3"/>
  <c r="V818" i="3"/>
  <c r="U818" i="3"/>
  <c r="T818" i="3"/>
  <c r="S818" i="3"/>
  <c r="AG817" i="3"/>
  <c r="AF817" i="3"/>
  <c r="AE817" i="3"/>
  <c r="AD817" i="3"/>
  <c r="AC817" i="3"/>
  <c r="AB817" i="3"/>
  <c r="AA817" i="3"/>
  <c r="Z817" i="3"/>
  <c r="X817" i="3"/>
  <c r="V817" i="3"/>
  <c r="U817" i="3"/>
  <c r="T817" i="3"/>
  <c r="S817" i="3"/>
  <c r="AG816" i="3"/>
  <c r="AF816" i="3"/>
  <c r="AE816" i="3"/>
  <c r="AD816" i="3"/>
  <c r="AC816" i="3"/>
  <c r="AB816" i="3"/>
  <c r="AA816" i="3"/>
  <c r="Z816" i="3"/>
  <c r="X816" i="3"/>
  <c r="V816" i="3"/>
  <c r="U816" i="3"/>
  <c r="T816" i="3"/>
  <c r="S816" i="3"/>
  <c r="AG815" i="3"/>
  <c r="AF815" i="3"/>
  <c r="AE815" i="3"/>
  <c r="AD815" i="3"/>
  <c r="AC815" i="3"/>
  <c r="AB815" i="3"/>
  <c r="AA815" i="3"/>
  <c r="Z815" i="3"/>
  <c r="X815" i="3"/>
  <c r="V815" i="3"/>
  <c r="U815" i="3"/>
  <c r="T815" i="3"/>
  <c r="S815" i="3"/>
  <c r="AG814" i="3"/>
  <c r="AF814" i="3"/>
  <c r="AE814" i="3"/>
  <c r="AD814" i="3"/>
  <c r="AC814" i="3"/>
  <c r="AB814" i="3"/>
  <c r="AA814" i="3"/>
  <c r="Z814" i="3"/>
  <c r="X814" i="3"/>
  <c r="V814" i="3"/>
  <c r="U814" i="3"/>
  <c r="T814" i="3"/>
  <c r="S814" i="3"/>
  <c r="AG813" i="3"/>
  <c r="AF813" i="3"/>
  <c r="AE813" i="3"/>
  <c r="AD813" i="3"/>
  <c r="AC813" i="3"/>
  <c r="AB813" i="3"/>
  <c r="AA813" i="3"/>
  <c r="Z813" i="3"/>
  <c r="X813" i="3"/>
  <c r="V813" i="3"/>
  <c r="U813" i="3"/>
  <c r="T813" i="3"/>
  <c r="S813" i="3"/>
  <c r="AG812" i="3"/>
  <c r="AF812" i="3"/>
  <c r="AE812" i="3"/>
  <c r="AD812" i="3"/>
  <c r="AC812" i="3"/>
  <c r="AB812" i="3"/>
  <c r="AA812" i="3"/>
  <c r="Z812" i="3"/>
  <c r="X812" i="3"/>
  <c r="V812" i="3"/>
  <c r="Y812" i="3" s="1"/>
  <c r="U812" i="3"/>
  <c r="T812" i="3"/>
  <c r="S812" i="3"/>
  <c r="AG811" i="3"/>
  <c r="AF811" i="3"/>
  <c r="AE811" i="3"/>
  <c r="AD811" i="3"/>
  <c r="AC811" i="3"/>
  <c r="AB811" i="3"/>
  <c r="AA811" i="3"/>
  <c r="Z811" i="3"/>
  <c r="X811" i="3"/>
  <c r="V811" i="3"/>
  <c r="U811" i="3"/>
  <c r="T811" i="3"/>
  <c r="S811" i="3"/>
  <c r="AG810" i="3"/>
  <c r="AF810" i="3"/>
  <c r="AE810" i="3"/>
  <c r="AD810" i="3"/>
  <c r="AC810" i="3"/>
  <c r="AB810" i="3"/>
  <c r="AA810" i="3"/>
  <c r="Z810" i="3"/>
  <c r="X810" i="3"/>
  <c r="V810" i="3"/>
  <c r="U810" i="3"/>
  <c r="T810" i="3"/>
  <c r="S810" i="3"/>
  <c r="AG809" i="3"/>
  <c r="AF809" i="3"/>
  <c r="AE809" i="3"/>
  <c r="AD809" i="3"/>
  <c r="AC809" i="3"/>
  <c r="AB809" i="3"/>
  <c r="AA809" i="3"/>
  <c r="Z809" i="3"/>
  <c r="X809" i="3"/>
  <c r="V809" i="3"/>
  <c r="Y809" i="3" s="1"/>
  <c r="U809" i="3"/>
  <c r="T809" i="3"/>
  <c r="S809" i="3"/>
  <c r="AG808" i="3"/>
  <c r="AF808" i="3"/>
  <c r="AE808" i="3"/>
  <c r="AD808" i="3"/>
  <c r="AC808" i="3"/>
  <c r="AB808" i="3"/>
  <c r="AA808" i="3"/>
  <c r="Z808" i="3"/>
  <c r="X808" i="3"/>
  <c r="V808" i="3"/>
  <c r="U808" i="3"/>
  <c r="T808" i="3"/>
  <c r="S808" i="3"/>
  <c r="AG807" i="3"/>
  <c r="AF807" i="3"/>
  <c r="AE807" i="3"/>
  <c r="AD807" i="3"/>
  <c r="AC807" i="3"/>
  <c r="AB807" i="3"/>
  <c r="AA807" i="3"/>
  <c r="Z807" i="3"/>
  <c r="X807" i="3"/>
  <c r="V807" i="3"/>
  <c r="U807" i="3"/>
  <c r="T807" i="3"/>
  <c r="S807" i="3"/>
  <c r="AG806" i="3"/>
  <c r="AF806" i="3"/>
  <c r="AE806" i="3"/>
  <c r="AD806" i="3"/>
  <c r="AC806" i="3"/>
  <c r="AB806" i="3"/>
  <c r="AA806" i="3"/>
  <c r="Z806" i="3"/>
  <c r="X806" i="3"/>
  <c r="V806" i="3"/>
  <c r="U806" i="3"/>
  <c r="T806" i="3"/>
  <c r="S806" i="3"/>
  <c r="AG805" i="3"/>
  <c r="AF805" i="3"/>
  <c r="AE805" i="3"/>
  <c r="AD805" i="3"/>
  <c r="AC805" i="3"/>
  <c r="AB805" i="3"/>
  <c r="AA805" i="3"/>
  <c r="Z805" i="3"/>
  <c r="X805" i="3"/>
  <c r="V805" i="3"/>
  <c r="U805" i="3"/>
  <c r="T805" i="3"/>
  <c r="S805" i="3"/>
  <c r="AG804" i="3"/>
  <c r="AF804" i="3"/>
  <c r="AE804" i="3"/>
  <c r="AD804" i="3"/>
  <c r="AC804" i="3"/>
  <c r="AB804" i="3"/>
  <c r="AA804" i="3"/>
  <c r="Z804" i="3"/>
  <c r="X804" i="3"/>
  <c r="V804" i="3"/>
  <c r="U804" i="3"/>
  <c r="T804" i="3"/>
  <c r="S804" i="3"/>
  <c r="AG803" i="3"/>
  <c r="AF803" i="3"/>
  <c r="AE803" i="3"/>
  <c r="AD803" i="3"/>
  <c r="AC803" i="3"/>
  <c r="AB803" i="3"/>
  <c r="AA803" i="3"/>
  <c r="Z803" i="3"/>
  <c r="X803" i="3"/>
  <c r="V803" i="3"/>
  <c r="U803" i="3"/>
  <c r="T803" i="3"/>
  <c r="S803" i="3"/>
  <c r="AG802" i="3"/>
  <c r="AF802" i="3"/>
  <c r="AE802" i="3"/>
  <c r="AD802" i="3"/>
  <c r="AC802" i="3"/>
  <c r="AB802" i="3"/>
  <c r="AA802" i="3"/>
  <c r="Z802" i="3"/>
  <c r="X802" i="3"/>
  <c r="V802" i="3"/>
  <c r="U802" i="3"/>
  <c r="T802" i="3"/>
  <c r="S802" i="3"/>
  <c r="AG801" i="3"/>
  <c r="AF801" i="3"/>
  <c r="AE801" i="3"/>
  <c r="AD801" i="3"/>
  <c r="AC801" i="3"/>
  <c r="AB801" i="3"/>
  <c r="AA801" i="3"/>
  <c r="Z801" i="3"/>
  <c r="X801" i="3"/>
  <c r="V801" i="3"/>
  <c r="U801" i="3"/>
  <c r="T801" i="3"/>
  <c r="S801" i="3"/>
  <c r="AG800" i="3"/>
  <c r="AF800" i="3"/>
  <c r="AE800" i="3"/>
  <c r="AD800" i="3"/>
  <c r="AC800" i="3"/>
  <c r="AB800" i="3"/>
  <c r="AA800" i="3"/>
  <c r="Z800" i="3"/>
  <c r="X800" i="3"/>
  <c r="V800" i="3"/>
  <c r="U800" i="3"/>
  <c r="T800" i="3"/>
  <c r="S800" i="3"/>
  <c r="AG799" i="3"/>
  <c r="AF799" i="3"/>
  <c r="AE799" i="3"/>
  <c r="AD799" i="3"/>
  <c r="AC799" i="3"/>
  <c r="AB799" i="3"/>
  <c r="AA799" i="3"/>
  <c r="Z799" i="3"/>
  <c r="X799" i="3"/>
  <c r="V799" i="3"/>
  <c r="Y799" i="3" s="1"/>
  <c r="U799" i="3"/>
  <c r="T799" i="3"/>
  <c r="S799" i="3"/>
  <c r="AG798" i="3"/>
  <c r="AF798" i="3"/>
  <c r="AE798" i="3"/>
  <c r="AD798" i="3"/>
  <c r="AC798" i="3"/>
  <c r="AB798" i="3"/>
  <c r="AA798" i="3"/>
  <c r="Z798" i="3"/>
  <c r="X798" i="3"/>
  <c r="V798" i="3"/>
  <c r="U798" i="3"/>
  <c r="T798" i="3"/>
  <c r="S798" i="3"/>
  <c r="AG797" i="3"/>
  <c r="AF797" i="3"/>
  <c r="AE797" i="3"/>
  <c r="AD797" i="3"/>
  <c r="AC797" i="3"/>
  <c r="AB797" i="3"/>
  <c r="AA797" i="3"/>
  <c r="Z797" i="3"/>
  <c r="X797" i="3"/>
  <c r="V797" i="3"/>
  <c r="U797" i="3"/>
  <c r="T797" i="3"/>
  <c r="S797" i="3"/>
  <c r="AG796" i="3"/>
  <c r="AF796" i="3"/>
  <c r="AE796" i="3"/>
  <c r="AD796" i="3"/>
  <c r="AC796" i="3"/>
  <c r="AB796" i="3"/>
  <c r="AA796" i="3"/>
  <c r="Z796" i="3"/>
  <c r="X796" i="3"/>
  <c r="V796" i="3"/>
  <c r="U796" i="3"/>
  <c r="T796" i="3"/>
  <c r="S796" i="3"/>
  <c r="AG795" i="3"/>
  <c r="AF795" i="3"/>
  <c r="AE795" i="3"/>
  <c r="AD795" i="3"/>
  <c r="AC795" i="3"/>
  <c r="AB795" i="3"/>
  <c r="AA795" i="3"/>
  <c r="Z795" i="3"/>
  <c r="X795" i="3"/>
  <c r="V795" i="3"/>
  <c r="U795" i="3"/>
  <c r="T795" i="3"/>
  <c r="S795" i="3"/>
  <c r="AG794" i="3"/>
  <c r="AF794" i="3"/>
  <c r="AE794" i="3"/>
  <c r="AD794" i="3"/>
  <c r="AC794" i="3"/>
  <c r="AB794" i="3"/>
  <c r="AA794" i="3"/>
  <c r="Z794" i="3"/>
  <c r="X794" i="3"/>
  <c r="V794" i="3"/>
  <c r="Y794" i="3" s="1"/>
  <c r="U794" i="3"/>
  <c r="T794" i="3"/>
  <c r="S794" i="3"/>
  <c r="AG793" i="3"/>
  <c r="AF793" i="3"/>
  <c r="AE793" i="3"/>
  <c r="AD793" i="3"/>
  <c r="AC793" i="3"/>
  <c r="AB793" i="3"/>
  <c r="AA793" i="3"/>
  <c r="Z793" i="3"/>
  <c r="X793" i="3"/>
  <c r="V793" i="3"/>
  <c r="U793" i="3"/>
  <c r="T793" i="3"/>
  <c r="S793" i="3"/>
  <c r="AG792" i="3"/>
  <c r="AF792" i="3"/>
  <c r="AE792" i="3"/>
  <c r="AD792" i="3"/>
  <c r="AC792" i="3"/>
  <c r="AB792" i="3"/>
  <c r="AA792" i="3"/>
  <c r="Z792" i="3"/>
  <c r="X792" i="3"/>
  <c r="V792" i="3"/>
  <c r="U792" i="3"/>
  <c r="T792" i="3"/>
  <c r="S792" i="3"/>
  <c r="AG791" i="3"/>
  <c r="AF791" i="3"/>
  <c r="AE791" i="3"/>
  <c r="AD791" i="3"/>
  <c r="AC791" i="3"/>
  <c r="AB791" i="3"/>
  <c r="AA791" i="3"/>
  <c r="Z791" i="3"/>
  <c r="X791" i="3"/>
  <c r="V791" i="3"/>
  <c r="U791" i="3"/>
  <c r="T791" i="3"/>
  <c r="S791" i="3"/>
  <c r="AG790" i="3"/>
  <c r="AF790" i="3"/>
  <c r="AE790" i="3"/>
  <c r="AD790" i="3"/>
  <c r="AC790" i="3"/>
  <c r="AB790" i="3"/>
  <c r="AA790" i="3"/>
  <c r="Z790" i="3"/>
  <c r="X790" i="3"/>
  <c r="V790" i="3"/>
  <c r="U790" i="3"/>
  <c r="T790" i="3"/>
  <c r="S790" i="3"/>
  <c r="AG789" i="3"/>
  <c r="AF789" i="3"/>
  <c r="AE789" i="3"/>
  <c r="AD789" i="3"/>
  <c r="AC789" i="3"/>
  <c r="AB789" i="3"/>
  <c r="AA789" i="3"/>
  <c r="Z789" i="3"/>
  <c r="X789" i="3"/>
  <c r="V789" i="3"/>
  <c r="Y789" i="3" s="1"/>
  <c r="U789" i="3"/>
  <c r="T789" i="3"/>
  <c r="S789" i="3"/>
  <c r="AG788" i="3"/>
  <c r="AF788" i="3"/>
  <c r="AE788" i="3"/>
  <c r="AD788" i="3"/>
  <c r="AC788" i="3"/>
  <c r="AB788" i="3"/>
  <c r="AA788" i="3"/>
  <c r="Z788" i="3"/>
  <c r="X788" i="3"/>
  <c r="V788" i="3"/>
  <c r="U788" i="3"/>
  <c r="T788" i="3"/>
  <c r="S788" i="3"/>
  <c r="AG787" i="3"/>
  <c r="AF787" i="3"/>
  <c r="AE787" i="3"/>
  <c r="AD787" i="3"/>
  <c r="AC787" i="3"/>
  <c r="AB787" i="3"/>
  <c r="AA787" i="3"/>
  <c r="Z787" i="3"/>
  <c r="X787" i="3"/>
  <c r="V787" i="3"/>
  <c r="U787" i="3"/>
  <c r="T787" i="3"/>
  <c r="S787" i="3"/>
  <c r="AG786" i="3"/>
  <c r="AF786" i="3"/>
  <c r="AE786" i="3"/>
  <c r="AD786" i="3"/>
  <c r="AC786" i="3"/>
  <c r="AB786" i="3"/>
  <c r="AA786" i="3"/>
  <c r="Z786" i="3"/>
  <c r="X786" i="3"/>
  <c r="V786" i="3"/>
  <c r="U786" i="3"/>
  <c r="T786" i="3"/>
  <c r="S786" i="3"/>
  <c r="AG785" i="3"/>
  <c r="AF785" i="3"/>
  <c r="AE785" i="3"/>
  <c r="AD785" i="3"/>
  <c r="AC785" i="3"/>
  <c r="AB785" i="3"/>
  <c r="AA785" i="3"/>
  <c r="Z785" i="3"/>
  <c r="X785" i="3"/>
  <c r="V785" i="3"/>
  <c r="U785" i="3"/>
  <c r="T785" i="3"/>
  <c r="S785" i="3"/>
  <c r="AG784" i="3"/>
  <c r="AF784" i="3"/>
  <c r="AE784" i="3"/>
  <c r="AD784" i="3"/>
  <c r="AC784" i="3"/>
  <c r="AB784" i="3"/>
  <c r="AA784" i="3"/>
  <c r="Z784" i="3"/>
  <c r="X784" i="3"/>
  <c r="V784" i="3"/>
  <c r="Y784" i="3" s="1"/>
  <c r="U784" i="3"/>
  <c r="T784" i="3"/>
  <c r="S784" i="3"/>
  <c r="AG783" i="3"/>
  <c r="AF783" i="3"/>
  <c r="AE783" i="3"/>
  <c r="AD783" i="3"/>
  <c r="AC783" i="3"/>
  <c r="AB783" i="3"/>
  <c r="AA783" i="3"/>
  <c r="Z783" i="3"/>
  <c r="X783" i="3"/>
  <c r="V783" i="3"/>
  <c r="U783" i="3"/>
  <c r="T783" i="3"/>
  <c r="S783" i="3"/>
  <c r="AG782" i="3"/>
  <c r="AF782" i="3"/>
  <c r="AE782" i="3"/>
  <c r="AD782" i="3"/>
  <c r="AC782" i="3"/>
  <c r="AB782" i="3"/>
  <c r="AA782" i="3"/>
  <c r="Z782" i="3"/>
  <c r="X782" i="3"/>
  <c r="V782" i="3"/>
  <c r="U782" i="3"/>
  <c r="T782" i="3"/>
  <c r="S782" i="3"/>
  <c r="AG781" i="3"/>
  <c r="AF781" i="3"/>
  <c r="AE781" i="3"/>
  <c r="AD781" i="3"/>
  <c r="AC781" i="3"/>
  <c r="AB781" i="3"/>
  <c r="AA781" i="3"/>
  <c r="Z781" i="3"/>
  <c r="X781" i="3"/>
  <c r="V781" i="3"/>
  <c r="U781" i="3"/>
  <c r="T781" i="3"/>
  <c r="S781" i="3"/>
  <c r="AG780" i="3"/>
  <c r="AF780" i="3"/>
  <c r="AE780" i="3"/>
  <c r="AD780" i="3"/>
  <c r="AC780" i="3"/>
  <c r="AB780" i="3"/>
  <c r="AA780" i="3"/>
  <c r="Z780" i="3"/>
  <c r="X780" i="3"/>
  <c r="V780" i="3"/>
  <c r="U780" i="3"/>
  <c r="T780" i="3"/>
  <c r="S780" i="3"/>
  <c r="AG779" i="3"/>
  <c r="AF779" i="3"/>
  <c r="AE779" i="3"/>
  <c r="AD779" i="3"/>
  <c r="AC779" i="3"/>
  <c r="AB779" i="3"/>
  <c r="AA779" i="3"/>
  <c r="Z779" i="3"/>
  <c r="X779" i="3"/>
  <c r="V779" i="3"/>
  <c r="Y779" i="3" s="1"/>
  <c r="U779" i="3"/>
  <c r="T779" i="3"/>
  <c r="S779" i="3"/>
  <c r="AG778" i="3"/>
  <c r="AF778" i="3"/>
  <c r="AE778" i="3"/>
  <c r="AD778" i="3"/>
  <c r="AC778" i="3"/>
  <c r="AB778" i="3"/>
  <c r="AA778" i="3"/>
  <c r="Z778" i="3"/>
  <c r="X778" i="3"/>
  <c r="V778" i="3"/>
  <c r="U778" i="3"/>
  <c r="T778" i="3"/>
  <c r="S778" i="3"/>
  <c r="AG777" i="3"/>
  <c r="AF777" i="3"/>
  <c r="AE777" i="3"/>
  <c r="AD777" i="3"/>
  <c r="AC777" i="3"/>
  <c r="AB777" i="3"/>
  <c r="AA777" i="3"/>
  <c r="Z777" i="3"/>
  <c r="X777" i="3"/>
  <c r="V777" i="3"/>
  <c r="U777" i="3"/>
  <c r="T777" i="3"/>
  <c r="S777" i="3"/>
  <c r="AG776" i="3"/>
  <c r="AF776" i="3"/>
  <c r="AE776" i="3"/>
  <c r="AD776" i="3"/>
  <c r="AC776" i="3"/>
  <c r="AB776" i="3"/>
  <c r="AA776" i="3"/>
  <c r="Z776" i="3"/>
  <c r="X776" i="3"/>
  <c r="V776" i="3"/>
  <c r="U776" i="3"/>
  <c r="T776" i="3"/>
  <c r="S776" i="3"/>
  <c r="AG775" i="3"/>
  <c r="AF775" i="3"/>
  <c r="AE775" i="3"/>
  <c r="AD775" i="3"/>
  <c r="AC775" i="3"/>
  <c r="AB775" i="3"/>
  <c r="AA775" i="3"/>
  <c r="Z775" i="3"/>
  <c r="X775" i="3"/>
  <c r="V775" i="3"/>
  <c r="U775" i="3"/>
  <c r="T775" i="3"/>
  <c r="S775" i="3"/>
  <c r="AG774" i="3"/>
  <c r="AF774" i="3"/>
  <c r="AE774" i="3"/>
  <c r="AD774" i="3"/>
  <c r="AC774" i="3"/>
  <c r="AB774" i="3"/>
  <c r="AA774" i="3"/>
  <c r="Z774" i="3"/>
  <c r="X774" i="3"/>
  <c r="V774" i="3"/>
  <c r="Y774" i="3" s="1"/>
  <c r="U774" i="3"/>
  <c r="T774" i="3"/>
  <c r="S774" i="3"/>
  <c r="AG773" i="3"/>
  <c r="AF773" i="3"/>
  <c r="AE773" i="3"/>
  <c r="AD773" i="3"/>
  <c r="AC773" i="3"/>
  <c r="AB773" i="3"/>
  <c r="AA773" i="3"/>
  <c r="Z773" i="3"/>
  <c r="X773" i="3"/>
  <c r="V773" i="3"/>
  <c r="U773" i="3"/>
  <c r="T773" i="3"/>
  <c r="S773" i="3"/>
  <c r="AG772" i="3"/>
  <c r="AF772" i="3"/>
  <c r="AE772" i="3"/>
  <c r="AD772" i="3"/>
  <c r="AC772" i="3"/>
  <c r="AB772" i="3"/>
  <c r="AA772" i="3"/>
  <c r="Z772" i="3"/>
  <c r="X772" i="3"/>
  <c r="V772" i="3"/>
  <c r="U772" i="3"/>
  <c r="T772" i="3"/>
  <c r="S772" i="3"/>
  <c r="AG771" i="3"/>
  <c r="AF771" i="3"/>
  <c r="AE771" i="3"/>
  <c r="AD771" i="3"/>
  <c r="AC771" i="3"/>
  <c r="AB771" i="3"/>
  <c r="AA771" i="3"/>
  <c r="Z771" i="3"/>
  <c r="X771" i="3"/>
  <c r="V771" i="3"/>
  <c r="U771" i="3"/>
  <c r="T771" i="3"/>
  <c r="S771" i="3"/>
  <c r="AG770" i="3"/>
  <c r="AF770" i="3"/>
  <c r="AE770" i="3"/>
  <c r="AD770" i="3"/>
  <c r="AC770" i="3"/>
  <c r="AB770" i="3"/>
  <c r="AA770" i="3"/>
  <c r="Z770" i="3"/>
  <c r="X770" i="3"/>
  <c r="V770" i="3"/>
  <c r="U770" i="3"/>
  <c r="T770" i="3"/>
  <c r="S770" i="3"/>
  <c r="AG769" i="3"/>
  <c r="AF769" i="3"/>
  <c r="AE769" i="3"/>
  <c r="AD769" i="3"/>
  <c r="AC769" i="3"/>
  <c r="AB769" i="3"/>
  <c r="AA769" i="3"/>
  <c r="Z769" i="3"/>
  <c r="X769" i="3"/>
  <c r="V769" i="3"/>
  <c r="Y769" i="3" s="1"/>
  <c r="U769" i="3"/>
  <c r="T769" i="3"/>
  <c r="S769" i="3"/>
  <c r="AG768" i="3"/>
  <c r="AF768" i="3"/>
  <c r="AE768" i="3"/>
  <c r="AD768" i="3"/>
  <c r="AC768" i="3"/>
  <c r="AB768" i="3"/>
  <c r="AA768" i="3"/>
  <c r="Z768" i="3"/>
  <c r="X768" i="3"/>
  <c r="V768" i="3"/>
  <c r="U768" i="3"/>
  <c r="T768" i="3"/>
  <c r="S768" i="3"/>
  <c r="AG767" i="3"/>
  <c r="AF767" i="3"/>
  <c r="AE767" i="3"/>
  <c r="AD767" i="3"/>
  <c r="AC767" i="3"/>
  <c r="AB767" i="3"/>
  <c r="AA767" i="3"/>
  <c r="Z767" i="3"/>
  <c r="X767" i="3"/>
  <c r="V767" i="3"/>
  <c r="U767" i="3"/>
  <c r="T767" i="3"/>
  <c r="S767" i="3"/>
  <c r="AG766" i="3"/>
  <c r="AF766" i="3"/>
  <c r="AE766" i="3"/>
  <c r="AD766" i="3"/>
  <c r="AC766" i="3"/>
  <c r="AB766" i="3"/>
  <c r="AA766" i="3"/>
  <c r="Z766" i="3"/>
  <c r="X766" i="3"/>
  <c r="V766" i="3"/>
  <c r="U766" i="3"/>
  <c r="T766" i="3"/>
  <c r="S766" i="3"/>
  <c r="AG765" i="3"/>
  <c r="AF765" i="3"/>
  <c r="AE765" i="3"/>
  <c r="AD765" i="3"/>
  <c r="AC765" i="3"/>
  <c r="AB765" i="3"/>
  <c r="AA765" i="3"/>
  <c r="Z765" i="3"/>
  <c r="X765" i="3"/>
  <c r="V765" i="3"/>
  <c r="U765" i="3"/>
  <c r="T765" i="3"/>
  <c r="S765" i="3"/>
  <c r="AG764" i="3"/>
  <c r="AF764" i="3"/>
  <c r="AE764" i="3"/>
  <c r="AD764" i="3"/>
  <c r="AC764" i="3"/>
  <c r="AB764" i="3"/>
  <c r="AA764" i="3"/>
  <c r="Z764" i="3"/>
  <c r="X764" i="3"/>
  <c r="V764" i="3"/>
  <c r="Y764" i="3" s="1"/>
  <c r="U764" i="3"/>
  <c r="T764" i="3"/>
  <c r="S764" i="3"/>
  <c r="AG763" i="3"/>
  <c r="AF763" i="3"/>
  <c r="AE763" i="3"/>
  <c r="AD763" i="3"/>
  <c r="AC763" i="3"/>
  <c r="AB763" i="3"/>
  <c r="AA763" i="3"/>
  <c r="Z763" i="3"/>
  <c r="X763" i="3"/>
  <c r="V763" i="3"/>
  <c r="U763" i="3"/>
  <c r="T763" i="3"/>
  <c r="S763" i="3"/>
  <c r="AG762" i="3"/>
  <c r="AF762" i="3"/>
  <c r="AE762" i="3"/>
  <c r="AD762" i="3"/>
  <c r="AC762" i="3"/>
  <c r="AB762" i="3"/>
  <c r="AA762" i="3"/>
  <c r="Z762" i="3"/>
  <c r="X762" i="3"/>
  <c r="V762" i="3"/>
  <c r="U762" i="3"/>
  <c r="T762" i="3"/>
  <c r="S762" i="3"/>
  <c r="AG761" i="3"/>
  <c r="AF761" i="3"/>
  <c r="AE761" i="3"/>
  <c r="AD761" i="3"/>
  <c r="AC761" i="3"/>
  <c r="AB761" i="3"/>
  <c r="AA761" i="3"/>
  <c r="Z761" i="3"/>
  <c r="X761" i="3"/>
  <c r="V761" i="3"/>
  <c r="U761" i="3"/>
  <c r="T761" i="3"/>
  <c r="S761" i="3"/>
  <c r="AG760" i="3"/>
  <c r="AF760" i="3"/>
  <c r="AE760" i="3"/>
  <c r="AD760" i="3"/>
  <c r="AC760" i="3"/>
  <c r="AB760" i="3"/>
  <c r="AA760" i="3"/>
  <c r="Z760" i="3"/>
  <c r="X760" i="3"/>
  <c r="V760" i="3"/>
  <c r="U760" i="3"/>
  <c r="T760" i="3"/>
  <c r="S760" i="3"/>
  <c r="AG759" i="3"/>
  <c r="AF759" i="3"/>
  <c r="AE759" i="3"/>
  <c r="AD759" i="3"/>
  <c r="AC759" i="3"/>
  <c r="AB759" i="3"/>
  <c r="AA759" i="3"/>
  <c r="Z759" i="3"/>
  <c r="X759" i="3"/>
  <c r="V759" i="3"/>
  <c r="Y759" i="3" s="1"/>
  <c r="U759" i="3"/>
  <c r="T759" i="3"/>
  <c r="S759" i="3"/>
  <c r="AG758" i="3"/>
  <c r="AF758" i="3"/>
  <c r="AE758" i="3"/>
  <c r="AD758" i="3"/>
  <c r="AC758" i="3"/>
  <c r="AB758" i="3"/>
  <c r="AA758" i="3"/>
  <c r="Z758" i="3"/>
  <c r="X758" i="3"/>
  <c r="V758" i="3"/>
  <c r="U758" i="3"/>
  <c r="T758" i="3"/>
  <c r="S758" i="3"/>
  <c r="AG757" i="3"/>
  <c r="AF757" i="3"/>
  <c r="AE757" i="3"/>
  <c r="AD757" i="3"/>
  <c r="AC757" i="3"/>
  <c r="AB757" i="3"/>
  <c r="AA757" i="3"/>
  <c r="Z757" i="3"/>
  <c r="X757" i="3"/>
  <c r="V757" i="3"/>
  <c r="U757" i="3"/>
  <c r="T757" i="3"/>
  <c r="S757" i="3"/>
  <c r="AG756" i="3"/>
  <c r="AF756" i="3"/>
  <c r="AE756" i="3"/>
  <c r="AD756" i="3"/>
  <c r="AC756" i="3"/>
  <c r="AB756" i="3"/>
  <c r="AA756" i="3"/>
  <c r="Z756" i="3"/>
  <c r="X756" i="3"/>
  <c r="V756" i="3"/>
  <c r="U756" i="3"/>
  <c r="T756" i="3"/>
  <c r="S756" i="3"/>
  <c r="AG755" i="3"/>
  <c r="AF755" i="3"/>
  <c r="AE755" i="3"/>
  <c r="AD755" i="3"/>
  <c r="AC755" i="3"/>
  <c r="AB755" i="3"/>
  <c r="AA755" i="3"/>
  <c r="Z755" i="3"/>
  <c r="X755" i="3"/>
  <c r="V755" i="3"/>
  <c r="U755" i="3"/>
  <c r="T755" i="3"/>
  <c r="S755" i="3"/>
  <c r="AG754" i="3"/>
  <c r="AF754" i="3"/>
  <c r="AE754" i="3"/>
  <c r="AD754" i="3"/>
  <c r="AC754" i="3"/>
  <c r="AB754" i="3"/>
  <c r="AA754" i="3"/>
  <c r="Z754" i="3"/>
  <c r="X754" i="3"/>
  <c r="V754" i="3"/>
  <c r="Y754" i="3" s="1"/>
  <c r="U754" i="3"/>
  <c r="T754" i="3"/>
  <c r="S754" i="3"/>
  <c r="AG753" i="3"/>
  <c r="AF753" i="3"/>
  <c r="AE753" i="3"/>
  <c r="AD753" i="3"/>
  <c r="AC753" i="3"/>
  <c r="AB753" i="3"/>
  <c r="AA753" i="3"/>
  <c r="Z753" i="3"/>
  <c r="X753" i="3"/>
  <c r="V753" i="3"/>
  <c r="U753" i="3"/>
  <c r="T753" i="3"/>
  <c r="S753" i="3"/>
  <c r="AG752" i="3"/>
  <c r="AF752" i="3"/>
  <c r="AE752" i="3"/>
  <c r="AD752" i="3"/>
  <c r="AC752" i="3"/>
  <c r="AB752" i="3"/>
  <c r="AA752" i="3"/>
  <c r="Z752" i="3"/>
  <c r="X752" i="3"/>
  <c r="V752" i="3"/>
  <c r="U752" i="3"/>
  <c r="T752" i="3"/>
  <c r="S752" i="3"/>
  <c r="AG751" i="3"/>
  <c r="AF751" i="3"/>
  <c r="AE751" i="3"/>
  <c r="AD751" i="3"/>
  <c r="AC751" i="3"/>
  <c r="AB751" i="3"/>
  <c r="AA751" i="3"/>
  <c r="Z751" i="3"/>
  <c r="X751" i="3"/>
  <c r="V751" i="3"/>
  <c r="U751" i="3"/>
  <c r="T751" i="3"/>
  <c r="S751" i="3"/>
  <c r="AG750" i="3"/>
  <c r="AF750" i="3"/>
  <c r="AE750" i="3"/>
  <c r="AD750" i="3"/>
  <c r="AC750" i="3"/>
  <c r="AB750" i="3"/>
  <c r="AA750" i="3"/>
  <c r="Z750" i="3"/>
  <c r="X750" i="3"/>
  <c r="V750" i="3"/>
  <c r="U750" i="3"/>
  <c r="T750" i="3"/>
  <c r="S750" i="3"/>
  <c r="AG749" i="3"/>
  <c r="AF749" i="3"/>
  <c r="AE749" i="3"/>
  <c r="AD749" i="3"/>
  <c r="AC749" i="3"/>
  <c r="AB749" i="3"/>
  <c r="AA749" i="3"/>
  <c r="Z749" i="3"/>
  <c r="X749" i="3"/>
  <c r="V749" i="3"/>
  <c r="Y749" i="3" s="1"/>
  <c r="U749" i="3"/>
  <c r="T749" i="3"/>
  <c r="S749" i="3"/>
  <c r="AG748" i="3"/>
  <c r="AF748" i="3"/>
  <c r="AE748" i="3"/>
  <c r="AD748" i="3"/>
  <c r="AC748" i="3"/>
  <c r="AB748" i="3"/>
  <c r="AA748" i="3"/>
  <c r="Z748" i="3"/>
  <c r="X748" i="3"/>
  <c r="V748" i="3"/>
  <c r="U748" i="3"/>
  <c r="T748" i="3"/>
  <c r="S748" i="3"/>
  <c r="AG747" i="3"/>
  <c r="AF747" i="3"/>
  <c r="AE747" i="3"/>
  <c r="AD747" i="3"/>
  <c r="AC747" i="3"/>
  <c r="AB747" i="3"/>
  <c r="AA747" i="3"/>
  <c r="Z747" i="3"/>
  <c r="X747" i="3"/>
  <c r="V747" i="3"/>
  <c r="U747" i="3"/>
  <c r="T747" i="3"/>
  <c r="S747" i="3"/>
  <c r="AG746" i="3"/>
  <c r="AF746" i="3"/>
  <c r="AE746" i="3"/>
  <c r="AD746" i="3"/>
  <c r="AC746" i="3"/>
  <c r="AB746" i="3"/>
  <c r="AA746" i="3"/>
  <c r="Z746" i="3"/>
  <c r="X746" i="3"/>
  <c r="V746" i="3"/>
  <c r="U746" i="3"/>
  <c r="T746" i="3"/>
  <c r="S746" i="3"/>
  <c r="AG745" i="3"/>
  <c r="AF745" i="3"/>
  <c r="AE745" i="3"/>
  <c r="AD745" i="3"/>
  <c r="AC745" i="3"/>
  <c r="AB745" i="3"/>
  <c r="AA745" i="3"/>
  <c r="Z745" i="3"/>
  <c r="X745" i="3"/>
  <c r="V745" i="3"/>
  <c r="U745" i="3"/>
  <c r="T745" i="3"/>
  <c r="S745" i="3"/>
  <c r="AG744" i="3"/>
  <c r="AF744" i="3"/>
  <c r="AE744" i="3"/>
  <c r="AD744" i="3"/>
  <c r="AC744" i="3"/>
  <c r="AB744" i="3"/>
  <c r="AA744" i="3"/>
  <c r="Z744" i="3"/>
  <c r="X744" i="3"/>
  <c r="V744" i="3"/>
  <c r="U744" i="3"/>
  <c r="T744" i="3"/>
  <c r="S744" i="3"/>
  <c r="AG743" i="3"/>
  <c r="AF743" i="3"/>
  <c r="AE743" i="3"/>
  <c r="AD743" i="3"/>
  <c r="AC743" i="3"/>
  <c r="AB743" i="3"/>
  <c r="AA743" i="3"/>
  <c r="Z743" i="3"/>
  <c r="X743" i="3"/>
  <c r="V743" i="3"/>
  <c r="U743" i="3"/>
  <c r="T743" i="3"/>
  <c r="S743" i="3"/>
  <c r="AG742" i="3"/>
  <c r="AF742" i="3"/>
  <c r="AE742" i="3"/>
  <c r="AD742" i="3"/>
  <c r="AC742" i="3"/>
  <c r="AB742" i="3"/>
  <c r="AA742" i="3"/>
  <c r="Z742" i="3"/>
  <c r="X742" i="3"/>
  <c r="V742" i="3"/>
  <c r="U742" i="3"/>
  <c r="T742" i="3"/>
  <c r="S742" i="3"/>
  <c r="AG741" i="3"/>
  <c r="AF741" i="3"/>
  <c r="AE741" i="3"/>
  <c r="AD741" i="3"/>
  <c r="AC741" i="3"/>
  <c r="AB741" i="3"/>
  <c r="AA741" i="3"/>
  <c r="Z741" i="3"/>
  <c r="X741" i="3"/>
  <c r="V741" i="3"/>
  <c r="U741" i="3"/>
  <c r="T741" i="3"/>
  <c r="S741" i="3"/>
  <c r="AG740" i="3"/>
  <c r="AF740" i="3"/>
  <c r="AE740" i="3"/>
  <c r="AD740" i="3"/>
  <c r="AC740" i="3"/>
  <c r="AB740" i="3"/>
  <c r="AA740" i="3"/>
  <c r="Z740" i="3"/>
  <c r="X740" i="3"/>
  <c r="V740" i="3"/>
  <c r="U740" i="3"/>
  <c r="T740" i="3"/>
  <c r="S740" i="3"/>
  <c r="AG739" i="3"/>
  <c r="AF739" i="3"/>
  <c r="AE739" i="3"/>
  <c r="AD739" i="3"/>
  <c r="AC739" i="3"/>
  <c r="AB739" i="3"/>
  <c r="AA739" i="3"/>
  <c r="Z739" i="3"/>
  <c r="X739" i="3"/>
  <c r="V739" i="3"/>
  <c r="Y739" i="3" s="1"/>
  <c r="U739" i="3"/>
  <c r="T739" i="3"/>
  <c r="S739" i="3"/>
  <c r="AG738" i="3"/>
  <c r="AF738" i="3"/>
  <c r="AE738" i="3"/>
  <c r="AD738" i="3"/>
  <c r="AC738" i="3"/>
  <c r="AB738" i="3"/>
  <c r="AA738" i="3"/>
  <c r="Z738" i="3"/>
  <c r="X738" i="3"/>
  <c r="V738" i="3"/>
  <c r="U738" i="3"/>
  <c r="T738" i="3"/>
  <c r="S738" i="3"/>
  <c r="AG737" i="3"/>
  <c r="AF737" i="3"/>
  <c r="AE737" i="3"/>
  <c r="AD737" i="3"/>
  <c r="AC737" i="3"/>
  <c r="AB737" i="3"/>
  <c r="AA737" i="3"/>
  <c r="Z737" i="3"/>
  <c r="X737" i="3"/>
  <c r="V737" i="3"/>
  <c r="U737" i="3"/>
  <c r="T737" i="3"/>
  <c r="S737" i="3"/>
  <c r="AG736" i="3"/>
  <c r="AF736" i="3"/>
  <c r="AE736" i="3"/>
  <c r="AD736" i="3"/>
  <c r="AC736" i="3"/>
  <c r="AB736" i="3"/>
  <c r="AA736" i="3"/>
  <c r="Z736" i="3"/>
  <c r="X736" i="3"/>
  <c r="V736" i="3"/>
  <c r="U736" i="3"/>
  <c r="T736" i="3"/>
  <c r="S736" i="3"/>
  <c r="AG735" i="3"/>
  <c r="AF735" i="3"/>
  <c r="AE735" i="3"/>
  <c r="AD735" i="3"/>
  <c r="AC735" i="3"/>
  <c r="AB735" i="3"/>
  <c r="AA735" i="3"/>
  <c r="Z735" i="3"/>
  <c r="X735" i="3"/>
  <c r="V735" i="3"/>
  <c r="U735" i="3"/>
  <c r="T735" i="3"/>
  <c r="S735" i="3"/>
  <c r="AG734" i="3"/>
  <c r="AF734" i="3"/>
  <c r="AE734" i="3"/>
  <c r="AD734" i="3"/>
  <c r="AC734" i="3"/>
  <c r="AB734" i="3"/>
  <c r="AA734" i="3"/>
  <c r="Z734" i="3"/>
  <c r="X734" i="3"/>
  <c r="V734" i="3"/>
  <c r="U734" i="3"/>
  <c r="T734" i="3"/>
  <c r="S734" i="3"/>
  <c r="AG733" i="3"/>
  <c r="AF733" i="3"/>
  <c r="AE733" i="3"/>
  <c r="AD733" i="3"/>
  <c r="AC733" i="3"/>
  <c r="AB733" i="3"/>
  <c r="AA733" i="3"/>
  <c r="Z733" i="3"/>
  <c r="X733" i="3"/>
  <c r="V733" i="3"/>
  <c r="U733" i="3"/>
  <c r="T733" i="3"/>
  <c r="S733" i="3"/>
  <c r="AG732" i="3"/>
  <c r="AF732" i="3"/>
  <c r="AE732" i="3"/>
  <c r="AD732" i="3"/>
  <c r="AC732" i="3"/>
  <c r="AB732" i="3"/>
  <c r="AA732" i="3"/>
  <c r="Z732" i="3"/>
  <c r="X732" i="3"/>
  <c r="V732" i="3"/>
  <c r="U732" i="3"/>
  <c r="T732" i="3"/>
  <c r="S732" i="3"/>
  <c r="AG731" i="3"/>
  <c r="AF731" i="3"/>
  <c r="AE731" i="3"/>
  <c r="AD731" i="3"/>
  <c r="AC731" i="3"/>
  <c r="AB731" i="3"/>
  <c r="AA731" i="3"/>
  <c r="Z731" i="3"/>
  <c r="X731" i="3"/>
  <c r="V731" i="3"/>
  <c r="U731" i="3"/>
  <c r="T731" i="3"/>
  <c r="S731" i="3"/>
  <c r="AG730" i="3"/>
  <c r="AF730" i="3"/>
  <c r="AE730" i="3"/>
  <c r="AD730" i="3"/>
  <c r="AC730" i="3"/>
  <c r="AB730" i="3"/>
  <c r="AA730" i="3"/>
  <c r="Z730" i="3"/>
  <c r="X730" i="3"/>
  <c r="V730" i="3"/>
  <c r="U730" i="3"/>
  <c r="T730" i="3"/>
  <c r="S730" i="3"/>
  <c r="AG729" i="3"/>
  <c r="AF729" i="3"/>
  <c r="AE729" i="3"/>
  <c r="AD729" i="3"/>
  <c r="AC729" i="3"/>
  <c r="AB729" i="3"/>
  <c r="AA729" i="3"/>
  <c r="Z729" i="3"/>
  <c r="X729" i="3"/>
  <c r="V729" i="3"/>
  <c r="Y729" i="3" s="1"/>
  <c r="U729" i="3"/>
  <c r="T729" i="3"/>
  <c r="S729" i="3"/>
  <c r="AG728" i="3"/>
  <c r="AF728" i="3"/>
  <c r="AE728" i="3"/>
  <c r="AD728" i="3"/>
  <c r="AC728" i="3"/>
  <c r="AB728" i="3"/>
  <c r="AA728" i="3"/>
  <c r="Z728" i="3"/>
  <c r="X728" i="3"/>
  <c r="V728" i="3"/>
  <c r="U728" i="3"/>
  <c r="T728" i="3"/>
  <c r="S728" i="3"/>
  <c r="AG727" i="3"/>
  <c r="AF727" i="3"/>
  <c r="AE727" i="3"/>
  <c r="AD727" i="3"/>
  <c r="AC727" i="3"/>
  <c r="AB727" i="3"/>
  <c r="AA727" i="3"/>
  <c r="Z727" i="3"/>
  <c r="X727" i="3"/>
  <c r="V727" i="3"/>
  <c r="U727" i="3"/>
  <c r="T727" i="3"/>
  <c r="S727" i="3"/>
  <c r="AG726" i="3"/>
  <c r="AF726" i="3"/>
  <c r="AE726" i="3"/>
  <c r="AD726" i="3"/>
  <c r="AC726" i="3"/>
  <c r="AB726" i="3"/>
  <c r="AA726" i="3"/>
  <c r="Z726" i="3"/>
  <c r="X726" i="3"/>
  <c r="V726" i="3"/>
  <c r="U726" i="3"/>
  <c r="T726" i="3"/>
  <c r="S726" i="3"/>
  <c r="AG725" i="3"/>
  <c r="AF725" i="3"/>
  <c r="AE725" i="3"/>
  <c r="AD725" i="3"/>
  <c r="AC725" i="3"/>
  <c r="AB725" i="3"/>
  <c r="AA725" i="3"/>
  <c r="Z725" i="3"/>
  <c r="X725" i="3"/>
  <c r="V725" i="3"/>
  <c r="U725" i="3"/>
  <c r="T725" i="3"/>
  <c r="S725" i="3"/>
  <c r="AG724" i="3"/>
  <c r="AF724" i="3"/>
  <c r="AE724" i="3"/>
  <c r="AD724" i="3"/>
  <c r="AC724" i="3"/>
  <c r="AB724" i="3"/>
  <c r="AA724" i="3"/>
  <c r="Z724" i="3"/>
  <c r="X724" i="3"/>
  <c r="V724" i="3"/>
  <c r="U724" i="3"/>
  <c r="T724" i="3"/>
  <c r="S724" i="3"/>
  <c r="AG723" i="3"/>
  <c r="AF723" i="3"/>
  <c r="AE723" i="3"/>
  <c r="AD723" i="3"/>
  <c r="AC723" i="3"/>
  <c r="AB723" i="3"/>
  <c r="AA723" i="3"/>
  <c r="Z723" i="3"/>
  <c r="X723" i="3"/>
  <c r="V723" i="3"/>
  <c r="U723" i="3"/>
  <c r="T723" i="3"/>
  <c r="S723" i="3"/>
  <c r="AG722" i="3"/>
  <c r="AF722" i="3"/>
  <c r="AE722" i="3"/>
  <c r="AD722" i="3"/>
  <c r="AC722" i="3"/>
  <c r="AB722" i="3"/>
  <c r="AA722" i="3"/>
  <c r="Z722" i="3"/>
  <c r="X722" i="3"/>
  <c r="V722" i="3"/>
  <c r="U722" i="3"/>
  <c r="T722" i="3"/>
  <c r="S722" i="3"/>
  <c r="AG721" i="3"/>
  <c r="AF721" i="3"/>
  <c r="AE721" i="3"/>
  <c r="AD721" i="3"/>
  <c r="AC721" i="3"/>
  <c r="AB721" i="3"/>
  <c r="AA721" i="3"/>
  <c r="Z721" i="3"/>
  <c r="X721" i="3"/>
  <c r="V721" i="3"/>
  <c r="U721" i="3"/>
  <c r="T721" i="3"/>
  <c r="S721" i="3"/>
  <c r="AG720" i="3"/>
  <c r="AF720" i="3"/>
  <c r="AE720" i="3"/>
  <c r="AD720" i="3"/>
  <c r="AC720" i="3"/>
  <c r="AB720" i="3"/>
  <c r="AA720" i="3"/>
  <c r="Z720" i="3"/>
  <c r="X720" i="3"/>
  <c r="V720" i="3"/>
  <c r="U720" i="3"/>
  <c r="T720" i="3"/>
  <c r="S720" i="3"/>
  <c r="AG719" i="3"/>
  <c r="AF719" i="3"/>
  <c r="AE719" i="3"/>
  <c r="AD719" i="3"/>
  <c r="AC719" i="3"/>
  <c r="AB719" i="3"/>
  <c r="AA719" i="3"/>
  <c r="Z719" i="3"/>
  <c r="X719" i="3"/>
  <c r="V719" i="3"/>
  <c r="Y719" i="3" s="1"/>
  <c r="U719" i="3"/>
  <c r="T719" i="3"/>
  <c r="S719" i="3"/>
  <c r="AG718" i="3"/>
  <c r="AF718" i="3"/>
  <c r="AE718" i="3"/>
  <c r="AD718" i="3"/>
  <c r="AC718" i="3"/>
  <c r="AB718" i="3"/>
  <c r="AA718" i="3"/>
  <c r="Z718" i="3"/>
  <c r="X718" i="3"/>
  <c r="V718" i="3"/>
  <c r="U718" i="3"/>
  <c r="T718" i="3"/>
  <c r="S718" i="3"/>
  <c r="AG717" i="3"/>
  <c r="AF717" i="3"/>
  <c r="AE717" i="3"/>
  <c r="AD717" i="3"/>
  <c r="AC717" i="3"/>
  <c r="AB717" i="3"/>
  <c r="AA717" i="3"/>
  <c r="Z717" i="3"/>
  <c r="X717" i="3"/>
  <c r="V717" i="3"/>
  <c r="U717" i="3"/>
  <c r="T717" i="3"/>
  <c r="S717" i="3"/>
  <c r="AG716" i="3"/>
  <c r="AF716" i="3"/>
  <c r="AE716" i="3"/>
  <c r="AD716" i="3"/>
  <c r="AC716" i="3"/>
  <c r="AB716" i="3"/>
  <c r="AA716" i="3"/>
  <c r="Z716" i="3"/>
  <c r="X716" i="3"/>
  <c r="V716" i="3"/>
  <c r="U716" i="3"/>
  <c r="T716" i="3"/>
  <c r="S716" i="3"/>
  <c r="AG715" i="3"/>
  <c r="AF715" i="3"/>
  <c r="AE715" i="3"/>
  <c r="AD715" i="3"/>
  <c r="AC715" i="3"/>
  <c r="AB715" i="3"/>
  <c r="AA715" i="3"/>
  <c r="Z715" i="3"/>
  <c r="X715" i="3"/>
  <c r="V715" i="3"/>
  <c r="U715" i="3"/>
  <c r="T715" i="3"/>
  <c r="S715" i="3"/>
  <c r="AG714" i="3"/>
  <c r="AF714" i="3"/>
  <c r="AE714" i="3"/>
  <c r="AD714" i="3"/>
  <c r="AC714" i="3"/>
  <c r="AB714" i="3"/>
  <c r="AA714" i="3"/>
  <c r="Z714" i="3"/>
  <c r="X714" i="3"/>
  <c r="V714" i="3"/>
  <c r="U714" i="3"/>
  <c r="T714" i="3"/>
  <c r="S714" i="3"/>
  <c r="AG713" i="3"/>
  <c r="AF713" i="3"/>
  <c r="AE713" i="3"/>
  <c r="AD713" i="3"/>
  <c r="AC713" i="3"/>
  <c r="AB713" i="3"/>
  <c r="AA713" i="3"/>
  <c r="Z713" i="3"/>
  <c r="X713" i="3"/>
  <c r="V713" i="3"/>
  <c r="U713" i="3"/>
  <c r="T713" i="3"/>
  <c r="S713" i="3"/>
  <c r="AG712" i="3"/>
  <c r="AF712" i="3"/>
  <c r="AE712" i="3"/>
  <c r="AD712" i="3"/>
  <c r="AC712" i="3"/>
  <c r="AB712" i="3"/>
  <c r="AA712" i="3"/>
  <c r="Z712" i="3"/>
  <c r="X712" i="3"/>
  <c r="V712" i="3"/>
  <c r="U712" i="3"/>
  <c r="T712" i="3"/>
  <c r="S712" i="3"/>
  <c r="AG711" i="3"/>
  <c r="AF711" i="3"/>
  <c r="AE711" i="3"/>
  <c r="AD711" i="3"/>
  <c r="AC711" i="3"/>
  <c r="AB711" i="3"/>
  <c r="AA711" i="3"/>
  <c r="Z711" i="3"/>
  <c r="X711" i="3"/>
  <c r="V711" i="3"/>
  <c r="U711" i="3"/>
  <c r="T711" i="3"/>
  <c r="S711" i="3"/>
  <c r="AG710" i="3"/>
  <c r="AF710" i="3"/>
  <c r="AE710" i="3"/>
  <c r="AD710" i="3"/>
  <c r="AC710" i="3"/>
  <c r="AB710" i="3"/>
  <c r="AA710" i="3"/>
  <c r="Z710" i="3"/>
  <c r="X710" i="3"/>
  <c r="V710" i="3"/>
  <c r="U710" i="3"/>
  <c r="T710" i="3"/>
  <c r="S710" i="3"/>
  <c r="AG709" i="3"/>
  <c r="AF709" i="3"/>
  <c r="AE709" i="3"/>
  <c r="AD709" i="3"/>
  <c r="AC709" i="3"/>
  <c r="AB709" i="3"/>
  <c r="AA709" i="3"/>
  <c r="Z709" i="3"/>
  <c r="X709" i="3"/>
  <c r="V709" i="3"/>
  <c r="Y709" i="3" s="1"/>
  <c r="U709" i="3"/>
  <c r="T709" i="3"/>
  <c r="S709" i="3"/>
  <c r="AG708" i="3"/>
  <c r="AF708" i="3"/>
  <c r="AE708" i="3"/>
  <c r="AD708" i="3"/>
  <c r="AC708" i="3"/>
  <c r="AB708" i="3"/>
  <c r="AA708" i="3"/>
  <c r="Z708" i="3"/>
  <c r="X708" i="3"/>
  <c r="V708" i="3"/>
  <c r="U708" i="3"/>
  <c r="T708" i="3"/>
  <c r="S708" i="3"/>
  <c r="AG707" i="3"/>
  <c r="AF707" i="3"/>
  <c r="AE707" i="3"/>
  <c r="AD707" i="3"/>
  <c r="AC707" i="3"/>
  <c r="AB707" i="3"/>
  <c r="AA707" i="3"/>
  <c r="Z707" i="3"/>
  <c r="X707" i="3"/>
  <c r="V707" i="3"/>
  <c r="U707" i="3"/>
  <c r="T707" i="3"/>
  <c r="S707" i="3"/>
  <c r="AG706" i="3"/>
  <c r="AF706" i="3"/>
  <c r="AE706" i="3"/>
  <c r="AD706" i="3"/>
  <c r="AC706" i="3"/>
  <c r="AB706" i="3"/>
  <c r="AA706" i="3"/>
  <c r="Z706" i="3"/>
  <c r="X706" i="3"/>
  <c r="V706" i="3"/>
  <c r="U706" i="3"/>
  <c r="T706" i="3"/>
  <c r="S706" i="3"/>
  <c r="AG705" i="3"/>
  <c r="AF705" i="3"/>
  <c r="AE705" i="3"/>
  <c r="AD705" i="3"/>
  <c r="AC705" i="3"/>
  <c r="AB705" i="3"/>
  <c r="AA705" i="3"/>
  <c r="Z705" i="3"/>
  <c r="X705" i="3"/>
  <c r="V705" i="3"/>
  <c r="U705" i="3"/>
  <c r="T705" i="3"/>
  <c r="S705" i="3"/>
  <c r="AG704" i="3"/>
  <c r="AF704" i="3"/>
  <c r="AE704" i="3"/>
  <c r="AD704" i="3"/>
  <c r="AC704" i="3"/>
  <c r="AB704" i="3"/>
  <c r="AA704" i="3"/>
  <c r="Z704" i="3"/>
  <c r="X704" i="3"/>
  <c r="V704" i="3"/>
  <c r="U704" i="3"/>
  <c r="T704" i="3"/>
  <c r="S704" i="3"/>
  <c r="AG703" i="3"/>
  <c r="AF703" i="3"/>
  <c r="AE703" i="3"/>
  <c r="AD703" i="3"/>
  <c r="AC703" i="3"/>
  <c r="AB703" i="3"/>
  <c r="AA703" i="3"/>
  <c r="Z703" i="3"/>
  <c r="X703" i="3"/>
  <c r="V703" i="3"/>
  <c r="U703" i="3"/>
  <c r="T703" i="3"/>
  <c r="S703" i="3"/>
  <c r="AG702" i="3"/>
  <c r="AF702" i="3"/>
  <c r="AE702" i="3"/>
  <c r="AD702" i="3"/>
  <c r="AC702" i="3"/>
  <c r="AB702" i="3"/>
  <c r="AA702" i="3"/>
  <c r="Z702" i="3"/>
  <c r="X702" i="3"/>
  <c r="V702" i="3"/>
  <c r="U702" i="3"/>
  <c r="T702" i="3"/>
  <c r="S702" i="3"/>
  <c r="AG701" i="3"/>
  <c r="AF701" i="3"/>
  <c r="AE701" i="3"/>
  <c r="AD701" i="3"/>
  <c r="AC701" i="3"/>
  <c r="AB701" i="3"/>
  <c r="AA701" i="3"/>
  <c r="Z701" i="3"/>
  <c r="X701" i="3"/>
  <c r="V701" i="3"/>
  <c r="U701" i="3"/>
  <c r="T701" i="3"/>
  <c r="S701" i="3"/>
  <c r="AG700" i="3"/>
  <c r="AF700" i="3"/>
  <c r="AE700" i="3"/>
  <c r="AD700" i="3"/>
  <c r="AC700" i="3"/>
  <c r="AB700" i="3"/>
  <c r="AA700" i="3"/>
  <c r="Z700" i="3"/>
  <c r="X700" i="3"/>
  <c r="V700" i="3"/>
  <c r="U700" i="3"/>
  <c r="T700" i="3"/>
  <c r="S700" i="3"/>
  <c r="AG699" i="3"/>
  <c r="AF699" i="3"/>
  <c r="AE699" i="3"/>
  <c r="AD699" i="3"/>
  <c r="AC699" i="3"/>
  <c r="AB699" i="3"/>
  <c r="AA699" i="3"/>
  <c r="Z699" i="3"/>
  <c r="X699" i="3"/>
  <c r="V699" i="3"/>
  <c r="Y699" i="3" s="1"/>
  <c r="U699" i="3"/>
  <c r="T699" i="3"/>
  <c r="S699" i="3"/>
  <c r="AG698" i="3"/>
  <c r="AF698" i="3"/>
  <c r="AE698" i="3"/>
  <c r="AD698" i="3"/>
  <c r="AC698" i="3"/>
  <c r="AB698" i="3"/>
  <c r="AA698" i="3"/>
  <c r="Z698" i="3"/>
  <c r="X698" i="3"/>
  <c r="V698" i="3"/>
  <c r="U698" i="3"/>
  <c r="T698" i="3"/>
  <c r="S698" i="3"/>
  <c r="AG697" i="3"/>
  <c r="AF697" i="3"/>
  <c r="AE697" i="3"/>
  <c r="AD697" i="3"/>
  <c r="AC697" i="3"/>
  <c r="AB697" i="3"/>
  <c r="AA697" i="3"/>
  <c r="Z697" i="3"/>
  <c r="X697" i="3"/>
  <c r="V697" i="3"/>
  <c r="U697" i="3"/>
  <c r="T697" i="3"/>
  <c r="S697" i="3"/>
  <c r="AG696" i="3"/>
  <c r="AF696" i="3"/>
  <c r="AE696" i="3"/>
  <c r="AD696" i="3"/>
  <c r="AC696" i="3"/>
  <c r="AB696" i="3"/>
  <c r="AA696" i="3"/>
  <c r="Z696" i="3"/>
  <c r="X696" i="3"/>
  <c r="V696" i="3"/>
  <c r="U696" i="3"/>
  <c r="T696" i="3"/>
  <c r="S696" i="3"/>
  <c r="AG695" i="3"/>
  <c r="AF695" i="3"/>
  <c r="AE695" i="3"/>
  <c r="AD695" i="3"/>
  <c r="AC695" i="3"/>
  <c r="AB695" i="3"/>
  <c r="AA695" i="3"/>
  <c r="Z695" i="3"/>
  <c r="X695" i="3"/>
  <c r="V695" i="3"/>
  <c r="U695" i="3"/>
  <c r="T695" i="3"/>
  <c r="S695" i="3"/>
  <c r="AG694" i="3"/>
  <c r="AF694" i="3"/>
  <c r="AE694" i="3"/>
  <c r="AD694" i="3"/>
  <c r="AC694" i="3"/>
  <c r="AB694" i="3"/>
  <c r="AA694" i="3"/>
  <c r="Z694" i="3"/>
  <c r="X694" i="3"/>
  <c r="V694" i="3"/>
  <c r="U694" i="3"/>
  <c r="T694" i="3"/>
  <c r="S694" i="3"/>
  <c r="AG693" i="3"/>
  <c r="AF693" i="3"/>
  <c r="AE693" i="3"/>
  <c r="AD693" i="3"/>
  <c r="AC693" i="3"/>
  <c r="AB693" i="3"/>
  <c r="AA693" i="3"/>
  <c r="Z693" i="3"/>
  <c r="X693" i="3"/>
  <c r="V693" i="3"/>
  <c r="U693" i="3"/>
  <c r="T693" i="3"/>
  <c r="S693" i="3"/>
  <c r="AG692" i="3"/>
  <c r="AF692" i="3"/>
  <c r="AE692" i="3"/>
  <c r="AD692" i="3"/>
  <c r="AC692" i="3"/>
  <c r="AB692" i="3"/>
  <c r="AA692" i="3"/>
  <c r="Z692" i="3"/>
  <c r="X692" i="3"/>
  <c r="V692" i="3"/>
  <c r="U692" i="3"/>
  <c r="T692" i="3"/>
  <c r="S692" i="3"/>
  <c r="AG691" i="3"/>
  <c r="AF691" i="3"/>
  <c r="AE691" i="3"/>
  <c r="AD691" i="3"/>
  <c r="AC691" i="3"/>
  <c r="AB691" i="3"/>
  <c r="AA691" i="3"/>
  <c r="Z691" i="3"/>
  <c r="X691" i="3"/>
  <c r="V691" i="3"/>
  <c r="U691" i="3"/>
  <c r="T691" i="3"/>
  <c r="S691" i="3"/>
  <c r="AG690" i="3"/>
  <c r="AF690" i="3"/>
  <c r="AE690" i="3"/>
  <c r="AD690" i="3"/>
  <c r="AC690" i="3"/>
  <c r="AB690" i="3"/>
  <c r="AA690" i="3"/>
  <c r="Z690" i="3"/>
  <c r="X690" i="3"/>
  <c r="V690" i="3"/>
  <c r="U690" i="3"/>
  <c r="T690" i="3"/>
  <c r="S690" i="3"/>
  <c r="AG689" i="3"/>
  <c r="AF689" i="3"/>
  <c r="AE689" i="3"/>
  <c r="AD689" i="3"/>
  <c r="AC689" i="3"/>
  <c r="AB689" i="3"/>
  <c r="AA689" i="3"/>
  <c r="Z689" i="3"/>
  <c r="X689" i="3"/>
  <c r="V689" i="3"/>
  <c r="Y689" i="3" s="1"/>
  <c r="U689" i="3"/>
  <c r="T689" i="3"/>
  <c r="S689" i="3"/>
  <c r="AG688" i="3"/>
  <c r="AF688" i="3"/>
  <c r="AE688" i="3"/>
  <c r="AD688" i="3"/>
  <c r="AC688" i="3"/>
  <c r="AB688" i="3"/>
  <c r="AA688" i="3"/>
  <c r="Z688" i="3"/>
  <c r="X688" i="3"/>
  <c r="V688" i="3"/>
  <c r="U688" i="3"/>
  <c r="T688" i="3"/>
  <c r="S688" i="3"/>
  <c r="AG687" i="3"/>
  <c r="AF687" i="3"/>
  <c r="AE687" i="3"/>
  <c r="AD687" i="3"/>
  <c r="AC687" i="3"/>
  <c r="AB687" i="3"/>
  <c r="AA687" i="3"/>
  <c r="Z687" i="3"/>
  <c r="X687" i="3"/>
  <c r="V687" i="3"/>
  <c r="U687" i="3"/>
  <c r="T687" i="3"/>
  <c r="S687" i="3"/>
  <c r="AG686" i="3"/>
  <c r="AF686" i="3"/>
  <c r="AE686" i="3"/>
  <c r="AD686" i="3"/>
  <c r="AC686" i="3"/>
  <c r="AB686" i="3"/>
  <c r="AA686" i="3"/>
  <c r="Z686" i="3"/>
  <c r="X686" i="3"/>
  <c r="V686" i="3"/>
  <c r="U686" i="3"/>
  <c r="T686" i="3"/>
  <c r="S686" i="3"/>
  <c r="AG685" i="3"/>
  <c r="AF685" i="3"/>
  <c r="AE685" i="3"/>
  <c r="AD685" i="3"/>
  <c r="AC685" i="3"/>
  <c r="AB685" i="3"/>
  <c r="AA685" i="3"/>
  <c r="Z685" i="3"/>
  <c r="X685" i="3"/>
  <c r="V685" i="3"/>
  <c r="U685" i="3"/>
  <c r="T685" i="3"/>
  <c r="S685" i="3"/>
  <c r="AG684" i="3"/>
  <c r="AF684" i="3"/>
  <c r="AE684" i="3"/>
  <c r="AD684" i="3"/>
  <c r="AC684" i="3"/>
  <c r="AB684" i="3"/>
  <c r="AA684" i="3"/>
  <c r="Z684" i="3"/>
  <c r="X684" i="3"/>
  <c r="V684" i="3"/>
  <c r="U684" i="3"/>
  <c r="T684" i="3"/>
  <c r="S684" i="3"/>
  <c r="AG683" i="3"/>
  <c r="AF683" i="3"/>
  <c r="AE683" i="3"/>
  <c r="AD683" i="3"/>
  <c r="AC683" i="3"/>
  <c r="AB683" i="3"/>
  <c r="AA683" i="3"/>
  <c r="Z683" i="3"/>
  <c r="X683" i="3"/>
  <c r="V683" i="3"/>
  <c r="U683" i="3"/>
  <c r="T683" i="3"/>
  <c r="S683" i="3"/>
  <c r="AG682" i="3"/>
  <c r="AF682" i="3"/>
  <c r="AE682" i="3"/>
  <c r="AD682" i="3"/>
  <c r="AC682" i="3"/>
  <c r="AB682" i="3"/>
  <c r="AA682" i="3"/>
  <c r="Z682" i="3"/>
  <c r="X682" i="3"/>
  <c r="V682" i="3"/>
  <c r="U682" i="3"/>
  <c r="T682" i="3"/>
  <c r="S682" i="3"/>
  <c r="AG681" i="3"/>
  <c r="AF681" i="3"/>
  <c r="AE681" i="3"/>
  <c r="AD681" i="3"/>
  <c r="AC681" i="3"/>
  <c r="AB681" i="3"/>
  <c r="AA681" i="3"/>
  <c r="Z681" i="3"/>
  <c r="X681" i="3"/>
  <c r="V681" i="3"/>
  <c r="U681" i="3"/>
  <c r="T681" i="3"/>
  <c r="S681" i="3"/>
  <c r="AG680" i="3"/>
  <c r="AF680" i="3"/>
  <c r="AE680" i="3"/>
  <c r="AD680" i="3"/>
  <c r="AC680" i="3"/>
  <c r="AB680" i="3"/>
  <c r="AA680" i="3"/>
  <c r="Z680" i="3"/>
  <c r="X680" i="3"/>
  <c r="V680" i="3"/>
  <c r="U680" i="3"/>
  <c r="T680" i="3"/>
  <c r="S680" i="3"/>
  <c r="AG679" i="3"/>
  <c r="AF679" i="3"/>
  <c r="AE679" i="3"/>
  <c r="AD679" i="3"/>
  <c r="AC679" i="3"/>
  <c r="AB679" i="3"/>
  <c r="AA679" i="3"/>
  <c r="Z679" i="3"/>
  <c r="X679" i="3"/>
  <c r="V679" i="3"/>
  <c r="Y679" i="3" s="1"/>
  <c r="U679" i="3"/>
  <c r="T679" i="3"/>
  <c r="S679" i="3"/>
  <c r="AG678" i="3"/>
  <c r="AF678" i="3"/>
  <c r="AE678" i="3"/>
  <c r="AD678" i="3"/>
  <c r="AC678" i="3"/>
  <c r="AB678" i="3"/>
  <c r="AA678" i="3"/>
  <c r="Z678" i="3"/>
  <c r="X678" i="3"/>
  <c r="V678" i="3"/>
  <c r="U678" i="3"/>
  <c r="T678" i="3"/>
  <c r="S678" i="3"/>
  <c r="AG677" i="3"/>
  <c r="AF677" i="3"/>
  <c r="AE677" i="3"/>
  <c r="AD677" i="3"/>
  <c r="AC677" i="3"/>
  <c r="AB677" i="3"/>
  <c r="AA677" i="3"/>
  <c r="Z677" i="3"/>
  <c r="X677" i="3"/>
  <c r="V677" i="3"/>
  <c r="U677" i="3"/>
  <c r="T677" i="3"/>
  <c r="S677" i="3"/>
  <c r="AG676" i="3"/>
  <c r="AF676" i="3"/>
  <c r="AE676" i="3"/>
  <c r="AD676" i="3"/>
  <c r="AC676" i="3"/>
  <c r="AB676" i="3"/>
  <c r="AA676" i="3"/>
  <c r="Z676" i="3"/>
  <c r="X676" i="3"/>
  <c r="V676" i="3"/>
  <c r="U676" i="3"/>
  <c r="T676" i="3"/>
  <c r="S676" i="3"/>
  <c r="AG675" i="3"/>
  <c r="AF675" i="3"/>
  <c r="AE675" i="3"/>
  <c r="AD675" i="3"/>
  <c r="AC675" i="3"/>
  <c r="AB675" i="3"/>
  <c r="AA675" i="3"/>
  <c r="Z675" i="3"/>
  <c r="X675" i="3"/>
  <c r="V675" i="3"/>
  <c r="U675" i="3"/>
  <c r="T675" i="3"/>
  <c r="S675" i="3"/>
  <c r="AG674" i="3"/>
  <c r="AF674" i="3"/>
  <c r="AE674" i="3"/>
  <c r="AD674" i="3"/>
  <c r="AC674" i="3"/>
  <c r="AB674" i="3"/>
  <c r="AA674" i="3"/>
  <c r="Z674" i="3"/>
  <c r="X674" i="3"/>
  <c r="V674" i="3"/>
  <c r="U674" i="3"/>
  <c r="T674" i="3"/>
  <c r="S674" i="3"/>
  <c r="AG673" i="3"/>
  <c r="AF673" i="3"/>
  <c r="AE673" i="3"/>
  <c r="AD673" i="3"/>
  <c r="AC673" i="3"/>
  <c r="AB673" i="3"/>
  <c r="AA673" i="3"/>
  <c r="Z673" i="3"/>
  <c r="X673" i="3"/>
  <c r="V673" i="3"/>
  <c r="U673" i="3"/>
  <c r="T673" i="3"/>
  <c r="S673" i="3"/>
  <c r="AG672" i="3"/>
  <c r="AF672" i="3"/>
  <c r="AE672" i="3"/>
  <c r="AD672" i="3"/>
  <c r="AC672" i="3"/>
  <c r="AB672" i="3"/>
  <c r="AA672" i="3"/>
  <c r="Z672" i="3"/>
  <c r="X672" i="3"/>
  <c r="V672" i="3"/>
  <c r="U672" i="3"/>
  <c r="T672" i="3"/>
  <c r="S672" i="3"/>
  <c r="AG671" i="3"/>
  <c r="AF671" i="3"/>
  <c r="AE671" i="3"/>
  <c r="AD671" i="3"/>
  <c r="AC671" i="3"/>
  <c r="AB671" i="3"/>
  <c r="AA671" i="3"/>
  <c r="Z671" i="3"/>
  <c r="X671" i="3"/>
  <c r="V671" i="3"/>
  <c r="U671" i="3"/>
  <c r="T671" i="3"/>
  <c r="S671" i="3"/>
  <c r="AG670" i="3"/>
  <c r="AF670" i="3"/>
  <c r="AE670" i="3"/>
  <c r="AD670" i="3"/>
  <c r="AC670" i="3"/>
  <c r="AB670" i="3"/>
  <c r="AA670" i="3"/>
  <c r="Z670" i="3"/>
  <c r="X670" i="3"/>
  <c r="V670" i="3"/>
  <c r="U670" i="3"/>
  <c r="T670" i="3"/>
  <c r="S670" i="3"/>
  <c r="AG669" i="3"/>
  <c r="AF669" i="3"/>
  <c r="AE669" i="3"/>
  <c r="AD669" i="3"/>
  <c r="AC669" i="3"/>
  <c r="AB669" i="3"/>
  <c r="AA669" i="3"/>
  <c r="Z669" i="3"/>
  <c r="X669" i="3"/>
  <c r="V669" i="3"/>
  <c r="Y669" i="3" s="1"/>
  <c r="U669" i="3"/>
  <c r="T669" i="3"/>
  <c r="S669" i="3"/>
  <c r="AG668" i="3"/>
  <c r="AF668" i="3"/>
  <c r="AE668" i="3"/>
  <c r="AD668" i="3"/>
  <c r="AC668" i="3"/>
  <c r="AB668" i="3"/>
  <c r="AA668" i="3"/>
  <c r="Z668" i="3"/>
  <c r="X668" i="3"/>
  <c r="V668" i="3"/>
  <c r="U668" i="3"/>
  <c r="T668" i="3"/>
  <c r="S668" i="3"/>
  <c r="AG667" i="3"/>
  <c r="AF667" i="3"/>
  <c r="AE667" i="3"/>
  <c r="AD667" i="3"/>
  <c r="AC667" i="3"/>
  <c r="AB667" i="3"/>
  <c r="AA667" i="3"/>
  <c r="Z667" i="3"/>
  <c r="X667" i="3"/>
  <c r="V667" i="3"/>
  <c r="U667" i="3"/>
  <c r="T667" i="3"/>
  <c r="S667" i="3"/>
  <c r="AG666" i="3"/>
  <c r="AF666" i="3"/>
  <c r="AE666" i="3"/>
  <c r="AD666" i="3"/>
  <c r="AC666" i="3"/>
  <c r="AB666" i="3"/>
  <c r="AA666" i="3"/>
  <c r="Z666" i="3"/>
  <c r="X666" i="3"/>
  <c r="V666" i="3"/>
  <c r="U666" i="3"/>
  <c r="T666" i="3"/>
  <c r="S666" i="3"/>
  <c r="AG665" i="3"/>
  <c r="AF665" i="3"/>
  <c r="AE665" i="3"/>
  <c r="AD665" i="3"/>
  <c r="AC665" i="3"/>
  <c r="AB665" i="3"/>
  <c r="AA665" i="3"/>
  <c r="Z665" i="3"/>
  <c r="X665" i="3"/>
  <c r="V665" i="3"/>
  <c r="U665" i="3"/>
  <c r="T665" i="3"/>
  <c r="S665" i="3"/>
  <c r="AG664" i="3"/>
  <c r="AF664" i="3"/>
  <c r="AE664" i="3"/>
  <c r="AD664" i="3"/>
  <c r="AC664" i="3"/>
  <c r="AB664" i="3"/>
  <c r="AA664" i="3"/>
  <c r="Z664" i="3"/>
  <c r="X664" i="3"/>
  <c r="V664" i="3"/>
  <c r="U664" i="3"/>
  <c r="T664" i="3"/>
  <c r="S664" i="3"/>
  <c r="AG663" i="3"/>
  <c r="AF663" i="3"/>
  <c r="AE663" i="3"/>
  <c r="AD663" i="3"/>
  <c r="AC663" i="3"/>
  <c r="AB663" i="3"/>
  <c r="AA663" i="3"/>
  <c r="Z663" i="3"/>
  <c r="X663" i="3"/>
  <c r="V663" i="3"/>
  <c r="U663" i="3"/>
  <c r="T663" i="3"/>
  <c r="S663" i="3"/>
  <c r="AG662" i="3"/>
  <c r="AF662" i="3"/>
  <c r="AE662" i="3"/>
  <c r="AD662" i="3"/>
  <c r="AC662" i="3"/>
  <c r="AB662" i="3"/>
  <c r="AA662" i="3"/>
  <c r="Z662" i="3"/>
  <c r="X662" i="3"/>
  <c r="V662" i="3"/>
  <c r="U662" i="3"/>
  <c r="T662" i="3"/>
  <c r="S662" i="3"/>
  <c r="AG661" i="3"/>
  <c r="AF661" i="3"/>
  <c r="AE661" i="3"/>
  <c r="AD661" i="3"/>
  <c r="AC661" i="3"/>
  <c r="AB661" i="3"/>
  <c r="AA661" i="3"/>
  <c r="Z661" i="3"/>
  <c r="X661" i="3"/>
  <c r="V661" i="3"/>
  <c r="U661" i="3"/>
  <c r="T661" i="3"/>
  <c r="S661" i="3"/>
  <c r="AG660" i="3"/>
  <c r="AF660" i="3"/>
  <c r="AE660" i="3"/>
  <c r="AD660" i="3"/>
  <c r="AC660" i="3"/>
  <c r="AB660" i="3"/>
  <c r="AA660" i="3"/>
  <c r="Z660" i="3"/>
  <c r="X660" i="3"/>
  <c r="V660" i="3"/>
  <c r="U660" i="3"/>
  <c r="T660" i="3"/>
  <c r="S660" i="3"/>
  <c r="AG659" i="3"/>
  <c r="AF659" i="3"/>
  <c r="AE659" i="3"/>
  <c r="AD659" i="3"/>
  <c r="AC659" i="3"/>
  <c r="AB659" i="3"/>
  <c r="AA659" i="3"/>
  <c r="Z659" i="3"/>
  <c r="X659" i="3"/>
  <c r="V659" i="3"/>
  <c r="Y659" i="3" s="1"/>
  <c r="U659" i="3"/>
  <c r="T659" i="3"/>
  <c r="S659" i="3"/>
  <c r="AG658" i="3"/>
  <c r="AF658" i="3"/>
  <c r="AE658" i="3"/>
  <c r="AD658" i="3"/>
  <c r="AC658" i="3"/>
  <c r="AB658" i="3"/>
  <c r="AA658" i="3"/>
  <c r="Z658" i="3"/>
  <c r="X658" i="3"/>
  <c r="V658" i="3"/>
  <c r="U658" i="3"/>
  <c r="T658" i="3"/>
  <c r="S658" i="3"/>
  <c r="AG657" i="3"/>
  <c r="AF657" i="3"/>
  <c r="AE657" i="3"/>
  <c r="AD657" i="3"/>
  <c r="AC657" i="3"/>
  <c r="AB657" i="3"/>
  <c r="AA657" i="3"/>
  <c r="Z657" i="3"/>
  <c r="X657" i="3"/>
  <c r="V657" i="3"/>
  <c r="U657" i="3"/>
  <c r="T657" i="3"/>
  <c r="S657" i="3"/>
  <c r="AG656" i="3"/>
  <c r="AF656" i="3"/>
  <c r="AE656" i="3"/>
  <c r="AD656" i="3"/>
  <c r="AC656" i="3"/>
  <c r="AB656" i="3"/>
  <c r="AA656" i="3"/>
  <c r="Z656" i="3"/>
  <c r="X656" i="3"/>
  <c r="V656" i="3"/>
  <c r="U656" i="3"/>
  <c r="T656" i="3"/>
  <c r="S656" i="3"/>
  <c r="AG655" i="3"/>
  <c r="AF655" i="3"/>
  <c r="AE655" i="3"/>
  <c r="AD655" i="3"/>
  <c r="AC655" i="3"/>
  <c r="AB655" i="3"/>
  <c r="AA655" i="3"/>
  <c r="Z655" i="3"/>
  <c r="X655" i="3"/>
  <c r="V655" i="3"/>
  <c r="U655" i="3"/>
  <c r="T655" i="3"/>
  <c r="S655" i="3"/>
  <c r="AG654" i="3"/>
  <c r="AF654" i="3"/>
  <c r="AE654" i="3"/>
  <c r="AD654" i="3"/>
  <c r="AC654" i="3"/>
  <c r="AB654" i="3"/>
  <c r="AA654" i="3"/>
  <c r="Z654" i="3"/>
  <c r="X654" i="3"/>
  <c r="V654" i="3"/>
  <c r="U654" i="3"/>
  <c r="T654" i="3"/>
  <c r="S654" i="3"/>
  <c r="AG653" i="3"/>
  <c r="AF653" i="3"/>
  <c r="AE653" i="3"/>
  <c r="AD653" i="3"/>
  <c r="AC653" i="3"/>
  <c r="AB653" i="3"/>
  <c r="AA653" i="3"/>
  <c r="Z653" i="3"/>
  <c r="X653" i="3"/>
  <c r="V653" i="3"/>
  <c r="U653" i="3"/>
  <c r="T653" i="3"/>
  <c r="S653" i="3"/>
  <c r="AG652" i="3"/>
  <c r="AF652" i="3"/>
  <c r="AE652" i="3"/>
  <c r="AD652" i="3"/>
  <c r="AC652" i="3"/>
  <c r="AB652" i="3"/>
  <c r="AA652" i="3"/>
  <c r="Z652" i="3"/>
  <c r="X652" i="3"/>
  <c r="V652" i="3"/>
  <c r="U652" i="3"/>
  <c r="T652" i="3"/>
  <c r="S652" i="3"/>
  <c r="AG651" i="3"/>
  <c r="AF651" i="3"/>
  <c r="AE651" i="3"/>
  <c r="AD651" i="3"/>
  <c r="AC651" i="3"/>
  <c r="AB651" i="3"/>
  <c r="AA651" i="3"/>
  <c r="Z651" i="3"/>
  <c r="X651" i="3"/>
  <c r="V651" i="3"/>
  <c r="U651" i="3"/>
  <c r="T651" i="3"/>
  <c r="S651" i="3"/>
  <c r="AG650" i="3"/>
  <c r="AF650" i="3"/>
  <c r="AE650" i="3"/>
  <c r="AD650" i="3"/>
  <c r="AC650" i="3"/>
  <c r="AB650" i="3"/>
  <c r="AA650" i="3"/>
  <c r="Z650" i="3"/>
  <c r="X650" i="3"/>
  <c r="V650" i="3"/>
  <c r="U650" i="3"/>
  <c r="T650" i="3"/>
  <c r="S650" i="3"/>
  <c r="AG649" i="3"/>
  <c r="AF649" i="3"/>
  <c r="AE649" i="3"/>
  <c r="AD649" i="3"/>
  <c r="AC649" i="3"/>
  <c r="AB649" i="3"/>
  <c r="AA649" i="3"/>
  <c r="Z649" i="3"/>
  <c r="X649" i="3"/>
  <c r="V649" i="3"/>
  <c r="Y649" i="3" s="1"/>
  <c r="U649" i="3"/>
  <c r="T649" i="3"/>
  <c r="S649" i="3"/>
  <c r="AG648" i="3"/>
  <c r="AF648" i="3"/>
  <c r="AE648" i="3"/>
  <c r="AD648" i="3"/>
  <c r="AC648" i="3"/>
  <c r="AB648" i="3"/>
  <c r="AA648" i="3"/>
  <c r="Z648" i="3"/>
  <c r="X648" i="3"/>
  <c r="V648" i="3"/>
  <c r="U648" i="3"/>
  <c r="T648" i="3"/>
  <c r="S648" i="3"/>
  <c r="AG647" i="3"/>
  <c r="AF647" i="3"/>
  <c r="AE647" i="3"/>
  <c r="AD647" i="3"/>
  <c r="AC647" i="3"/>
  <c r="AB647" i="3"/>
  <c r="AA647" i="3"/>
  <c r="Z647" i="3"/>
  <c r="X647" i="3"/>
  <c r="V647" i="3"/>
  <c r="U647" i="3"/>
  <c r="T647" i="3"/>
  <c r="S647" i="3"/>
  <c r="AG646" i="3"/>
  <c r="AF646" i="3"/>
  <c r="AE646" i="3"/>
  <c r="AD646" i="3"/>
  <c r="AC646" i="3"/>
  <c r="AB646" i="3"/>
  <c r="AA646" i="3"/>
  <c r="Z646" i="3"/>
  <c r="X646" i="3"/>
  <c r="V646" i="3"/>
  <c r="U646" i="3"/>
  <c r="T646" i="3"/>
  <c r="S646" i="3"/>
  <c r="AG645" i="3"/>
  <c r="AF645" i="3"/>
  <c r="AE645" i="3"/>
  <c r="AD645" i="3"/>
  <c r="AC645" i="3"/>
  <c r="AB645" i="3"/>
  <c r="AA645" i="3"/>
  <c r="Z645" i="3"/>
  <c r="X645" i="3"/>
  <c r="V645" i="3"/>
  <c r="U645" i="3"/>
  <c r="T645" i="3"/>
  <c r="S645" i="3"/>
  <c r="AG644" i="3"/>
  <c r="AF644" i="3"/>
  <c r="AE644" i="3"/>
  <c r="AD644" i="3"/>
  <c r="AC644" i="3"/>
  <c r="AB644" i="3"/>
  <c r="AA644" i="3"/>
  <c r="Z644" i="3"/>
  <c r="X644" i="3"/>
  <c r="V644" i="3"/>
  <c r="U644" i="3"/>
  <c r="T644" i="3"/>
  <c r="S644" i="3"/>
  <c r="AG643" i="3"/>
  <c r="AF643" i="3"/>
  <c r="AE643" i="3"/>
  <c r="AD643" i="3"/>
  <c r="AC643" i="3"/>
  <c r="AB643" i="3"/>
  <c r="AA643" i="3"/>
  <c r="Z643" i="3"/>
  <c r="X643" i="3"/>
  <c r="V643" i="3"/>
  <c r="U643" i="3"/>
  <c r="T643" i="3"/>
  <c r="S643" i="3"/>
  <c r="AG642" i="3"/>
  <c r="AF642" i="3"/>
  <c r="AE642" i="3"/>
  <c r="AD642" i="3"/>
  <c r="AC642" i="3"/>
  <c r="AB642" i="3"/>
  <c r="AA642" i="3"/>
  <c r="Z642" i="3"/>
  <c r="X642" i="3"/>
  <c r="V642" i="3"/>
  <c r="U642" i="3"/>
  <c r="T642" i="3"/>
  <c r="S642" i="3"/>
  <c r="AG641" i="3"/>
  <c r="AF641" i="3"/>
  <c r="AE641" i="3"/>
  <c r="AD641" i="3"/>
  <c r="AC641" i="3"/>
  <c r="AB641" i="3"/>
  <c r="AA641" i="3"/>
  <c r="Z641" i="3"/>
  <c r="X641" i="3"/>
  <c r="V641" i="3"/>
  <c r="U641" i="3"/>
  <c r="T641" i="3"/>
  <c r="S641" i="3"/>
  <c r="AG640" i="3"/>
  <c r="AF640" i="3"/>
  <c r="AE640" i="3"/>
  <c r="AD640" i="3"/>
  <c r="AC640" i="3"/>
  <c r="AB640" i="3"/>
  <c r="AA640" i="3"/>
  <c r="Z640" i="3"/>
  <c r="X640" i="3"/>
  <c r="V640" i="3"/>
  <c r="U640" i="3"/>
  <c r="T640" i="3"/>
  <c r="S640" i="3"/>
  <c r="AG639" i="3"/>
  <c r="AF639" i="3"/>
  <c r="AE639" i="3"/>
  <c r="AD639" i="3"/>
  <c r="AC639" i="3"/>
  <c r="AB639" i="3"/>
  <c r="AA639" i="3"/>
  <c r="Z639" i="3"/>
  <c r="X639" i="3"/>
  <c r="V639" i="3"/>
  <c r="Y639" i="3" s="1"/>
  <c r="U639" i="3"/>
  <c r="T639" i="3"/>
  <c r="S639" i="3"/>
  <c r="AG638" i="3"/>
  <c r="AF638" i="3"/>
  <c r="AE638" i="3"/>
  <c r="AD638" i="3"/>
  <c r="AC638" i="3"/>
  <c r="AB638" i="3"/>
  <c r="AA638" i="3"/>
  <c r="Z638" i="3"/>
  <c r="X638" i="3"/>
  <c r="V638" i="3"/>
  <c r="U638" i="3"/>
  <c r="T638" i="3"/>
  <c r="S638" i="3"/>
  <c r="AG637" i="3"/>
  <c r="AF637" i="3"/>
  <c r="AE637" i="3"/>
  <c r="AD637" i="3"/>
  <c r="AC637" i="3"/>
  <c r="AB637" i="3"/>
  <c r="AA637" i="3"/>
  <c r="Z637" i="3"/>
  <c r="X637" i="3"/>
  <c r="V637" i="3"/>
  <c r="U637" i="3"/>
  <c r="T637" i="3"/>
  <c r="S637" i="3"/>
  <c r="AG636" i="3"/>
  <c r="AF636" i="3"/>
  <c r="AE636" i="3"/>
  <c r="AD636" i="3"/>
  <c r="AC636" i="3"/>
  <c r="AB636" i="3"/>
  <c r="AA636" i="3"/>
  <c r="Z636" i="3"/>
  <c r="X636" i="3"/>
  <c r="V636" i="3"/>
  <c r="U636" i="3"/>
  <c r="T636" i="3"/>
  <c r="S636" i="3"/>
  <c r="AG635" i="3"/>
  <c r="AF635" i="3"/>
  <c r="AE635" i="3"/>
  <c r="AD635" i="3"/>
  <c r="AC635" i="3"/>
  <c r="AB635" i="3"/>
  <c r="AA635" i="3"/>
  <c r="Z635" i="3"/>
  <c r="X635" i="3"/>
  <c r="V635" i="3"/>
  <c r="U635" i="3"/>
  <c r="T635" i="3"/>
  <c r="S635" i="3"/>
  <c r="AG634" i="3"/>
  <c r="AF634" i="3"/>
  <c r="AE634" i="3"/>
  <c r="AD634" i="3"/>
  <c r="AC634" i="3"/>
  <c r="AB634" i="3"/>
  <c r="AA634" i="3"/>
  <c r="Z634" i="3"/>
  <c r="X634" i="3"/>
  <c r="V634" i="3"/>
  <c r="U634" i="3"/>
  <c r="T634" i="3"/>
  <c r="S634" i="3"/>
  <c r="AG633" i="3"/>
  <c r="AF633" i="3"/>
  <c r="AE633" i="3"/>
  <c r="AD633" i="3"/>
  <c r="AC633" i="3"/>
  <c r="AB633" i="3"/>
  <c r="AA633" i="3"/>
  <c r="Z633" i="3"/>
  <c r="X633" i="3"/>
  <c r="V633" i="3"/>
  <c r="U633" i="3"/>
  <c r="T633" i="3"/>
  <c r="S633" i="3"/>
  <c r="AG632" i="3"/>
  <c r="AF632" i="3"/>
  <c r="AE632" i="3"/>
  <c r="AD632" i="3"/>
  <c r="AC632" i="3"/>
  <c r="AB632" i="3"/>
  <c r="AA632" i="3"/>
  <c r="Z632" i="3"/>
  <c r="X632" i="3"/>
  <c r="V632" i="3"/>
  <c r="U632" i="3"/>
  <c r="T632" i="3"/>
  <c r="S632" i="3"/>
  <c r="AG631" i="3"/>
  <c r="AF631" i="3"/>
  <c r="AE631" i="3"/>
  <c r="AD631" i="3"/>
  <c r="AC631" i="3"/>
  <c r="AB631" i="3"/>
  <c r="AA631" i="3"/>
  <c r="Z631" i="3"/>
  <c r="X631" i="3"/>
  <c r="V631" i="3"/>
  <c r="U631" i="3"/>
  <c r="T631" i="3"/>
  <c r="S631" i="3"/>
  <c r="AG630" i="3"/>
  <c r="AF630" i="3"/>
  <c r="AE630" i="3"/>
  <c r="AD630" i="3"/>
  <c r="AC630" i="3"/>
  <c r="AB630" i="3"/>
  <c r="AA630" i="3"/>
  <c r="Z630" i="3"/>
  <c r="X630" i="3"/>
  <c r="V630" i="3"/>
  <c r="U630" i="3"/>
  <c r="T630" i="3"/>
  <c r="S630" i="3"/>
  <c r="AG629" i="3"/>
  <c r="AF629" i="3"/>
  <c r="AE629" i="3"/>
  <c r="AD629" i="3"/>
  <c r="AC629" i="3"/>
  <c r="AB629" i="3"/>
  <c r="AA629" i="3"/>
  <c r="Z629" i="3"/>
  <c r="X629" i="3"/>
  <c r="V629" i="3"/>
  <c r="Y629" i="3" s="1"/>
  <c r="U629" i="3"/>
  <c r="T629" i="3"/>
  <c r="S629" i="3"/>
  <c r="AG628" i="3"/>
  <c r="AF628" i="3"/>
  <c r="AE628" i="3"/>
  <c r="AD628" i="3"/>
  <c r="AC628" i="3"/>
  <c r="AB628" i="3"/>
  <c r="AA628" i="3"/>
  <c r="Z628" i="3"/>
  <c r="X628" i="3"/>
  <c r="V628" i="3"/>
  <c r="U628" i="3"/>
  <c r="T628" i="3"/>
  <c r="S628" i="3"/>
  <c r="AG627" i="3"/>
  <c r="AF627" i="3"/>
  <c r="AE627" i="3"/>
  <c r="AD627" i="3"/>
  <c r="AC627" i="3"/>
  <c r="AB627" i="3"/>
  <c r="AA627" i="3"/>
  <c r="Z627" i="3"/>
  <c r="X627" i="3"/>
  <c r="V627" i="3"/>
  <c r="U627" i="3"/>
  <c r="T627" i="3"/>
  <c r="S627" i="3"/>
  <c r="AG626" i="3"/>
  <c r="AF626" i="3"/>
  <c r="AE626" i="3"/>
  <c r="AD626" i="3"/>
  <c r="AC626" i="3"/>
  <c r="AB626" i="3"/>
  <c r="AA626" i="3"/>
  <c r="Z626" i="3"/>
  <c r="X626" i="3"/>
  <c r="V626" i="3"/>
  <c r="U626" i="3"/>
  <c r="T626" i="3"/>
  <c r="S626" i="3"/>
  <c r="AG625" i="3"/>
  <c r="AF625" i="3"/>
  <c r="AE625" i="3"/>
  <c r="AD625" i="3"/>
  <c r="AC625" i="3"/>
  <c r="AB625" i="3"/>
  <c r="AA625" i="3"/>
  <c r="Z625" i="3"/>
  <c r="X625" i="3"/>
  <c r="V625" i="3"/>
  <c r="U625" i="3"/>
  <c r="T625" i="3"/>
  <c r="S625" i="3"/>
  <c r="AG624" i="3"/>
  <c r="AF624" i="3"/>
  <c r="AE624" i="3"/>
  <c r="AD624" i="3"/>
  <c r="AC624" i="3"/>
  <c r="AB624" i="3"/>
  <c r="AA624" i="3"/>
  <c r="Z624" i="3"/>
  <c r="X624" i="3"/>
  <c r="V624" i="3"/>
  <c r="U624" i="3"/>
  <c r="T624" i="3"/>
  <c r="S624" i="3"/>
  <c r="AG623" i="3"/>
  <c r="AF623" i="3"/>
  <c r="AE623" i="3"/>
  <c r="AD623" i="3"/>
  <c r="AC623" i="3"/>
  <c r="AB623" i="3"/>
  <c r="AA623" i="3"/>
  <c r="Z623" i="3"/>
  <c r="X623" i="3"/>
  <c r="V623" i="3"/>
  <c r="U623" i="3"/>
  <c r="T623" i="3"/>
  <c r="S623" i="3"/>
  <c r="AG622" i="3"/>
  <c r="AF622" i="3"/>
  <c r="AE622" i="3"/>
  <c r="AD622" i="3"/>
  <c r="AC622" i="3"/>
  <c r="AB622" i="3"/>
  <c r="AA622" i="3"/>
  <c r="Z622" i="3"/>
  <c r="X622" i="3"/>
  <c r="V622" i="3"/>
  <c r="U622" i="3"/>
  <c r="T622" i="3"/>
  <c r="S622" i="3"/>
  <c r="AG621" i="3"/>
  <c r="AF621" i="3"/>
  <c r="AE621" i="3"/>
  <c r="AD621" i="3"/>
  <c r="AC621" i="3"/>
  <c r="AB621" i="3"/>
  <c r="AA621" i="3"/>
  <c r="Z621" i="3"/>
  <c r="X621" i="3"/>
  <c r="V621" i="3"/>
  <c r="U621" i="3"/>
  <c r="T621" i="3"/>
  <c r="S621" i="3"/>
  <c r="AG620" i="3"/>
  <c r="AF620" i="3"/>
  <c r="AE620" i="3"/>
  <c r="AD620" i="3"/>
  <c r="AC620" i="3"/>
  <c r="AB620" i="3"/>
  <c r="AA620" i="3"/>
  <c r="Z620" i="3"/>
  <c r="X620" i="3"/>
  <c r="V620" i="3"/>
  <c r="U620" i="3"/>
  <c r="T620" i="3"/>
  <c r="S620" i="3"/>
  <c r="AG619" i="3"/>
  <c r="AF619" i="3"/>
  <c r="AE619" i="3"/>
  <c r="AD619" i="3"/>
  <c r="AC619" i="3"/>
  <c r="AB619" i="3"/>
  <c r="AA619" i="3"/>
  <c r="Z619" i="3"/>
  <c r="X619" i="3"/>
  <c r="V619" i="3"/>
  <c r="Y619" i="3" s="1"/>
  <c r="U619" i="3"/>
  <c r="T619" i="3"/>
  <c r="S619" i="3"/>
  <c r="AG618" i="3"/>
  <c r="AF618" i="3"/>
  <c r="AE618" i="3"/>
  <c r="AD618" i="3"/>
  <c r="AC618" i="3"/>
  <c r="AB618" i="3"/>
  <c r="AA618" i="3"/>
  <c r="Z618" i="3"/>
  <c r="X618" i="3"/>
  <c r="V618" i="3"/>
  <c r="U618" i="3"/>
  <c r="T618" i="3"/>
  <c r="S618" i="3"/>
  <c r="AG617" i="3"/>
  <c r="AF617" i="3"/>
  <c r="AE617" i="3"/>
  <c r="AD617" i="3"/>
  <c r="AC617" i="3"/>
  <c r="AB617" i="3"/>
  <c r="AA617" i="3"/>
  <c r="Z617" i="3"/>
  <c r="X617" i="3"/>
  <c r="V617" i="3"/>
  <c r="U617" i="3"/>
  <c r="T617" i="3"/>
  <c r="S617" i="3"/>
  <c r="AG616" i="3"/>
  <c r="AF616" i="3"/>
  <c r="AE616" i="3"/>
  <c r="AD616" i="3"/>
  <c r="AC616" i="3"/>
  <c r="AB616" i="3"/>
  <c r="AA616" i="3"/>
  <c r="Z616" i="3"/>
  <c r="X616" i="3"/>
  <c r="V616" i="3"/>
  <c r="U616" i="3"/>
  <c r="T616" i="3"/>
  <c r="S616" i="3"/>
  <c r="AG615" i="3"/>
  <c r="AF615" i="3"/>
  <c r="AE615" i="3"/>
  <c r="AD615" i="3"/>
  <c r="AC615" i="3"/>
  <c r="AB615" i="3"/>
  <c r="AA615" i="3"/>
  <c r="Z615" i="3"/>
  <c r="X615" i="3"/>
  <c r="V615" i="3"/>
  <c r="U615" i="3"/>
  <c r="T615" i="3"/>
  <c r="S615" i="3"/>
  <c r="AG614" i="3"/>
  <c r="AF614" i="3"/>
  <c r="AE614" i="3"/>
  <c r="AD614" i="3"/>
  <c r="AC614" i="3"/>
  <c r="AB614" i="3"/>
  <c r="AA614" i="3"/>
  <c r="Z614" i="3"/>
  <c r="X614" i="3"/>
  <c r="V614" i="3"/>
  <c r="U614" i="3"/>
  <c r="T614" i="3"/>
  <c r="S614" i="3"/>
  <c r="AG613" i="3"/>
  <c r="AF613" i="3"/>
  <c r="AE613" i="3"/>
  <c r="AD613" i="3"/>
  <c r="AC613" i="3"/>
  <c r="AB613" i="3"/>
  <c r="AA613" i="3"/>
  <c r="Z613" i="3"/>
  <c r="X613" i="3"/>
  <c r="V613" i="3"/>
  <c r="U613" i="3"/>
  <c r="T613" i="3"/>
  <c r="S613" i="3"/>
  <c r="AG612" i="3"/>
  <c r="AF612" i="3"/>
  <c r="AE612" i="3"/>
  <c r="AD612" i="3"/>
  <c r="AC612" i="3"/>
  <c r="AB612" i="3"/>
  <c r="AA612" i="3"/>
  <c r="Z612" i="3"/>
  <c r="X612" i="3"/>
  <c r="V612" i="3"/>
  <c r="U612" i="3"/>
  <c r="T612" i="3"/>
  <c r="S612" i="3"/>
  <c r="AG611" i="3"/>
  <c r="AF611" i="3"/>
  <c r="AE611" i="3"/>
  <c r="AD611" i="3"/>
  <c r="AC611" i="3"/>
  <c r="AB611" i="3"/>
  <c r="AA611" i="3"/>
  <c r="Z611" i="3"/>
  <c r="X611" i="3"/>
  <c r="V611" i="3"/>
  <c r="U611" i="3"/>
  <c r="T611" i="3"/>
  <c r="S611" i="3"/>
  <c r="AG610" i="3"/>
  <c r="AF610" i="3"/>
  <c r="AE610" i="3"/>
  <c r="AD610" i="3"/>
  <c r="AC610" i="3"/>
  <c r="AB610" i="3"/>
  <c r="AA610" i="3"/>
  <c r="Z610" i="3"/>
  <c r="X610" i="3"/>
  <c r="V610" i="3"/>
  <c r="U610" i="3"/>
  <c r="T610" i="3"/>
  <c r="S610" i="3"/>
  <c r="AG609" i="3"/>
  <c r="AF609" i="3"/>
  <c r="AE609" i="3"/>
  <c r="AD609" i="3"/>
  <c r="AC609" i="3"/>
  <c r="AB609" i="3"/>
  <c r="AA609" i="3"/>
  <c r="Z609" i="3"/>
  <c r="X609" i="3"/>
  <c r="V609" i="3"/>
  <c r="Y609" i="3" s="1"/>
  <c r="U609" i="3"/>
  <c r="T609" i="3"/>
  <c r="S609" i="3"/>
  <c r="AG608" i="3"/>
  <c r="AF608" i="3"/>
  <c r="AE608" i="3"/>
  <c r="AD608" i="3"/>
  <c r="AC608" i="3"/>
  <c r="AB608" i="3"/>
  <c r="AA608" i="3"/>
  <c r="Z608" i="3"/>
  <c r="X608" i="3"/>
  <c r="V608" i="3"/>
  <c r="U608" i="3"/>
  <c r="T608" i="3"/>
  <c r="S608" i="3"/>
  <c r="AG607" i="3"/>
  <c r="AF607" i="3"/>
  <c r="AE607" i="3"/>
  <c r="AD607" i="3"/>
  <c r="AC607" i="3"/>
  <c r="AB607" i="3"/>
  <c r="AA607" i="3"/>
  <c r="Z607" i="3"/>
  <c r="X607" i="3"/>
  <c r="V607" i="3"/>
  <c r="U607" i="3"/>
  <c r="T607" i="3"/>
  <c r="S607" i="3"/>
  <c r="AG606" i="3"/>
  <c r="AF606" i="3"/>
  <c r="AE606" i="3"/>
  <c r="AD606" i="3"/>
  <c r="AC606" i="3"/>
  <c r="AB606" i="3"/>
  <c r="AA606" i="3"/>
  <c r="Z606" i="3"/>
  <c r="X606" i="3"/>
  <c r="V606" i="3"/>
  <c r="U606" i="3"/>
  <c r="T606" i="3"/>
  <c r="S606" i="3"/>
  <c r="AG605" i="3"/>
  <c r="AF605" i="3"/>
  <c r="AE605" i="3"/>
  <c r="AD605" i="3"/>
  <c r="AC605" i="3"/>
  <c r="AB605" i="3"/>
  <c r="AA605" i="3"/>
  <c r="Z605" i="3"/>
  <c r="X605" i="3"/>
  <c r="V605" i="3"/>
  <c r="U605" i="3"/>
  <c r="T605" i="3"/>
  <c r="S605" i="3"/>
  <c r="AG604" i="3"/>
  <c r="AF604" i="3"/>
  <c r="AE604" i="3"/>
  <c r="AD604" i="3"/>
  <c r="AC604" i="3"/>
  <c r="AB604" i="3"/>
  <c r="AA604" i="3"/>
  <c r="Z604" i="3"/>
  <c r="X604" i="3"/>
  <c r="V604" i="3"/>
  <c r="U604" i="3"/>
  <c r="T604" i="3"/>
  <c r="S604" i="3"/>
  <c r="AG603" i="3"/>
  <c r="AF603" i="3"/>
  <c r="AE603" i="3"/>
  <c r="AD603" i="3"/>
  <c r="AC603" i="3"/>
  <c r="AB603" i="3"/>
  <c r="AA603" i="3"/>
  <c r="Z603" i="3"/>
  <c r="X603" i="3"/>
  <c r="V603" i="3"/>
  <c r="U603" i="3"/>
  <c r="T603" i="3"/>
  <c r="S603" i="3"/>
  <c r="AG602" i="3"/>
  <c r="AF602" i="3"/>
  <c r="AE602" i="3"/>
  <c r="AD602" i="3"/>
  <c r="AC602" i="3"/>
  <c r="AB602" i="3"/>
  <c r="AA602" i="3"/>
  <c r="Z602" i="3"/>
  <c r="X602" i="3"/>
  <c r="V602" i="3"/>
  <c r="U602" i="3"/>
  <c r="T602" i="3"/>
  <c r="S602" i="3"/>
  <c r="AG601" i="3"/>
  <c r="AF601" i="3"/>
  <c r="AE601" i="3"/>
  <c r="AD601" i="3"/>
  <c r="AC601" i="3"/>
  <c r="AB601" i="3"/>
  <c r="AA601" i="3"/>
  <c r="Z601" i="3"/>
  <c r="X601" i="3"/>
  <c r="V601" i="3"/>
  <c r="U601" i="3"/>
  <c r="T601" i="3"/>
  <c r="S601" i="3"/>
  <c r="AG600" i="3"/>
  <c r="AF600" i="3"/>
  <c r="AE600" i="3"/>
  <c r="AD600" i="3"/>
  <c r="AC600" i="3"/>
  <c r="AB600" i="3"/>
  <c r="AA600" i="3"/>
  <c r="Z600" i="3"/>
  <c r="X600" i="3"/>
  <c r="V600" i="3"/>
  <c r="U600" i="3"/>
  <c r="T600" i="3"/>
  <c r="S600" i="3"/>
  <c r="AG599" i="3"/>
  <c r="AF599" i="3"/>
  <c r="AE599" i="3"/>
  <c r="AD599" i="3"/>
  <c r="AC599" i="3"/>
  <c r="AB599" i="3"/>
  <c r="AA599" i="3"/>
  <c r="Z599" i="3"/>
  <c r="X599" i="3"/>
  <c r="V599" i="3"/>
  <c r="U599" i="3"/>
  <c r="T599" i="3"/>
  <c r="S599" i="3"/>
  <c r="AG598" i="3"/>
  <c r="AF598" i="3"/>
  <c r="AE598" i="3"/>
  <c r="AD598" i="3"/>
  <c r="AC598" i="3"/>
  <c r="AB598" i="3"/>
  <c r="AA598" i="3"/>
  <c r="Z598" i="3"/>
  <c r="X598" i="3"/>
  <c r="V598" i="3"/>
  <c r="U598" i="3"/>
  <c r="T598" i="3"/>
  <c r="S598" i="3"/>
  <c r="AG597" i="3"/>
  <c r="AF597" i="3"/>
  <c r="AE597" i="3"/>
  <c r="AD597" i="3"/>
  <c r="AC597" i="3"/>
  <c r="AB597" i="3"/>
  <c r="AA597" i="3"/>
  <c r="Z597" i="3"/>
  <c r="X597" i="3"/>
  <c r="V597" i="3"/>
  <c r="U597" i="3"/>
  <c r="T597" i="3"/>
  <c r="S597" i="3"/>
  <c r="AG596" i="3"/>
  <c r="AF596" i="3"/>
  <c r="AE596" i="3"/>
  <c r="AD596" i="3"/>
  <c r="AC596" i="3"/>
  <c r="AB596" i="3"/>
  <c r="AA596" i="3"/>
  <c r="Z596" i="3"/>
  <c r="X596" i="3"/>
  <c r="V596" i="3"/>
  <c r="U596" i="3"/>
  <c r="T596" i="3"/>
  <c r="S596" i="3"/>
  <c r="AG595" i="3"/>
  <c r="AF595" i="3"/>
  <c r="AE595" i="3"/>
  <c r="AD595" i="3"/>
  <c r="AC595" i="3"/>
  <c r="AB595" i="3"/>
  <c r="AA595" i="3"/>
  <c r="Z595" i="3"/>
  <c r="X595" i="3"/>
  <c r="V595" i="3"/>
  <c r="U595" i="3"/>
  <c r="T595" i="3"/>
  <c r="S595" i="3"/>
  <c r="AG594" i="3"/>
  <c r="AF594" i="3"/>
  <c r="AE594" i="3"/>
  <c r="AD594" i="3"/>
  <c r="AC594" i="3"/>
  <c r="AB594" i="3"/>
  <c r="AA594" i="3"/>
  <c r="Z594" i="3"/>
  <c r="X594" i="3"/>
  <c r="V594" i="3"/>
  <c r="U594" i="3"/>
  <c r="T594" i="3"/>
  <c r="S594" i="3"/>
  <c r="AG593" i="3"/>
  <c r="AF593" i="3"/>
  <c r="AE593" i="3"/>
  <c r="AD593" i="3"/>
  <c r="AC593" i="3"/>
  <c r="AB593" i="3"/>
  <c r="AA593" i="3"/>
  <c r="Z593" i="3"/>
  <c r="X593" i="3"/>
  <c r="V593" i="3"/>
  <c r="U593" i="3"/>
  <c r="T593" i="3"/>
  <c r="S593" i="3"/>
  <c r="AG592" i="3"/>
  <c r="AF592" i="3"/>
  <c r="AE592" i="3"/>
  <c r="AD592" i="3"/>
  <c r="AC592" i="3"/>
  <c r="AB592" i="3"/>
  <c r="AA592" i="3"/>
  <c r="Z592" i="3"/>
  <c r="X592" i="3"/>
  <c r="V592" i="3"/>
  <c r="U592" i="3"/>
  <c r="T592" i="3"/>
  <c r="S592" i="3"/>
  <c r="AG591" i="3"/>
  <c r="AF591" i="3"/>
  <c r="AE591" i="3"/>
  <c r="AD591" i="3"/>
  <c r="AC591" i="3"/>
  <c r="AB591" i="3"/>
  <c r="AA591" i="3"/>
  <c r="Z591" i="3"/>
  <c r="X591" i="3"/>
  <c r="V591" i="3"/>
  <c r="U591" i="3"/>
  <c r="T591" i="3"/>
  <c r="S591" i="3"/>
  <c r="AG590" i="3"/>
  <c r="AF590" i="3"/>
  <c r="AE590" i="3"/>
  <c r="AD590" i="3"/>
  <c r="AC590" i="3"/>
  <c r="AB590" i="3"/>
  <c r="AA590" i="3"/>
  <c r="Z590" i="3"/>
  <c r="X590" i="3"/>
  <c r="V590" i="3"/>
  <c r="U590" i="3"/>
  <c r="T590" i="3"/>
  <c r="S590" i="3"/>
  <c r="AG589" i="3"/>
  <c r="AF589" i="3"/>
  <c r="AE589" i="3"/>
  <c r="AD589" i="3"/>
  <c r="AC589" i="3"/>
  <c r="AB589" i="3"/>
  <c r="AA589" i="3"/>
  <c r="Z589" i="3"/>
  <c r="X589" i="3"/>
  <c r="V589" i="3"/>
  <c r="U589" i="3"/>
  <c r="T589" i="3"/>
  <c r="S589" i="3"/>
  <c r="AG588" i="3"/>
  <c r="AF588" i="3"/>
  <c r="AE588" i="3"/>
  <c r="AD588" i="3"/>
  <c r="AC588" i="3"/>
  <c r="AB588" i="3"/>
  <c r="AA588" i="3"/>
  <c r="Z588" i="3"/>
  <c r="X588" i="3"/>
  <c r="V588" i="3"/>
  <c r="U588" i="3"/>
  <c r="T588" i="3"/>
  <c r="S588" i="3"/>
  <c r="AG587" i="3"/>
  <c r="AF587" i="3"/>
  <c r="AE587" i="3"/>
  <c r="AD587" i="3"/>
  <c r="AC587" i="3"/>
  <c r="AB587" i="3"/>
  <c r="AA587" i="3"/>
  <c r="Z587" i="3"/>
  <c r="X587" i="3"/>
  <c r="V587" i="3"/>
  <c r="U587" i="3"/>
  <c r="T587" i="3"/>
  <c r="S587" i="3"/>
  <c r="AG586" i="3"/>
  <c r="AF586" i="3"/>
  <c r="AE586" i="3"/>
  <c r="AD586" i="3"/>
  <c r="AC586" i="3"/>
  <c r="AB586" i="3"/>
  <c r="AA586" i="3"/>
  <c r="Z586" i="3"/>
  <c r="X586" i="3"/>
  <c r="V586" i="3"/>
  <c r="U586" i="3"/>
  <c r="T586" i="3"/>
  <c r="S586" i="3"/>
  <c r="AG585" i="3"/>
  <c r="AF585" i="3"/>
  <c r="AE585" i="3"/>
  <c r="AD585" i="3"/>
  <c r="AC585" i="3"/>
  <c r="AB585" i="3"/>
  <c r="AA585" i="3"/>
  <c r="Z585" i="3"/>
  <c r="X585" i="3"/>
  <c r="V585" i="3"/>
  <c r="U585" i="3"/>
  <c r="T585" i="3"/>
  <c r="S585" i="3"/>
  <c r="AG584" i="3"/>
  <c r="AF584" i="3"/>
  <c r="AE584" i="3"/>
  <c r="AD584" i="3"/>
  <c r="AC584" i="3"/>
  <c r="AB584" i="3"/>
  <c r="AA584" i="3"/>
  <c r="Z584" i="3"/>
  <c r="X584" i="3"/>
  <c r="V584" i="3"/>
  <c r="U584" i="3"/>
  <c r="T584" i="3"/>
  <c r="S584" i="3"/>
  <c r="AG583" i="3"/>
  <c r="AF583" i="3"/>
  <c r="AE583" i="3"/>
  <c r="AD583" i="3"/>
  <c r="AC583" i="3"/>
  <c r="AB583" i="3"/>
  <c r="AA583" i="3"/>
  <c r="Z583" i="3"/>
  <c r="X583" i="3"/>
  <c r="V583" i="3"/>
  <c r="U583" i="3"/>
  <c r="T583" i="3"/>
  <c r="S583" i="3"/>
  <c r="AG582" i="3"/>
  <c r="AF582" i="3"/>
  <c r="AE582" i="3"/>
  <c r="AD582" i="3"/>
  <c r="AC582" i="3"/>
  <c r="AB582" i="3"/>
  <c r="AA582" i="3"/>
  <c r="Z582" i="3"/>
  <c r="X582" i="3"/>
  <c r="V582" i="3"/>
  <c r="U582" i="3"/>
  <c r="T582" i="3"/>
  <c r="S582" i="3"/>
  <c r="AG581" i="3"/>
  <c r="AF581" i="3"/>
  <c r="AE581" i="3"/>
  <c r="AD581" i="3"/>
  <c r="AC581" i="3"/>
  <c r="AB581" i="3"/>
  <c r="AA581" i="3"/>
  <c r="Z581" i="3"/>
  <c r="X581" i="3"/>
  <c r="V581" i="3"/>
  <c r="U581" i="3"/>
  <c r="T581" i="3"/>
  <c r="S581" i="3"/>
  <c r="AG580" i="3"/>
  <c r="AF580" i="3"/>
  <c r="AE580" i="3"/>
  <c r="AD580" i="3"/>
  <c r="AC580" i="3"/>
  <c r="AB580" i="3"/>
  <c r="AA580" i="3"/>
  <c r="Z580" i="3"/>
  <c r="X580" i="3"/>
  <c r="V580" i="3"/>
  <c r="U580" i="3"/>
  <c r="T580" i="3"/>
  <c r="S580" i="3"/>
  <c r="AG579" i="3"/>
  <c r="AF579" i="3"/>
  <c r="AE579" i="3"/>
  <c r="AD579" i="3"/>
  <c r="AC579" i="3"/>
  <c r="AB579" i="3"/>
  <c r="AA579" i="3"/>
  <c r="Z579" i="3"/>
  <c r="X579" i="3"/>
  <c r="V579" i="3"/>
  <c r="U579" i="3"/>
  <c r="T579" i="3"/>
  <c r="S579" i="3"/>
  <c r="AG578" i="3"/>
  <c r="AF578" i="3"/>
  <c r="AE578" i="3"/>
  <c r="AD578" i="3"/>
  <c r="AC578" i="3"/>
  <c r="AB578" i="3"/>
  <c r="AA578" i="3"/>
  <c r="Z578" i="3"/>
  <c r="X578" i="3"/>
  <c r="V578" i="3"/>
  <c r="U578" i="3"/>
  <c r="T578" i="3"/>
  <c r="S578" i="3"/>
  <c r="AG577" i="3"/>
  <c r="AF577" i="3"/>
  <c r="AE577" i="3"/>
  <c r="AD577" i="3"/>
  <c r="AC577" i="3"/>
  <c r="AB577" i="3"/>
  <c r="AA577" i="3"/>
  <c r="Z577" i="3"/>
  <c r="X577" i="3"/>
  <c r="V577" i="3"/>
  <c r="U577" i="3"/>
  <c r="T577" i="3"/>
  <c r="S577" i="3"/>
  <c r="AG576" i="3"/>
  <c r="AF576" i="3"/>
  <c r="AE576" i="3"/>
  <c r="AD576" i="3"/>
  <c r="AC576" i="3"/>
  <c r="AB576" i="3"/>
  <c r="AA576" i="3"/>
  <c r="Z576" i="3"/>
  <c r="X576" i="3"/>
  <c r="V576" i="3"/>
  <c r="U576" i="3"/>
  <c r="T576" i="3"/>
  <c r="S576" i="3"/>
  <c r="AG575" i="3"/>
  <c r="AF575" i="3"/>
  <c r="AE575" i="3"/>
  <c r="AD575" i="3"/>
  <c r="AC575" i="3"/>
  <c r="AB575" i="3"/>
  <c r="AA575" i="3"/>
  <c r="Z575" i="3"/>
  <c r="X575" i="3"/>
  <c r="V575" i="3"/>
  <c r="U575" i="3"/>
  <c r="T575" i="3"/>
  <c r="S575" i="3"/>
  <c r="AG574" i="3"/>
  <c r="AF574" i="3"/>
  <c r="AE574" i="3"/>
  <c r="AD574" i="3"/>
  <c r="AC574" i="3"/>
  <c r="AB574" i="3"/>
  <c r="AA574" i="3"/>
  <c r="Z574" i="3"/>
  <c r="X574" i="3"/>
  <c r="V574" i="3"/>
  <c r="U574" i="3"/>
  <c r="T574" i="3"/>
  <c r="S574" i="3"/>
  <c r="AG573" i="3"/>
  <c r="AF573" i="3"/>
  <c r="AE573" i="3"/>
  <c r="AD573" i="3"/>
  <c r="AC573" i="3"/>
  <c r="AB573" i="3"/>
  <c r="AA573" i="3"/>
  <c r="Z573" i="3"/>
  <c r="X573" i="3"/>
  <c r="V573" i="3"/>
  <c r="U573" i="3"/>
  <c r="T573" i="3"/>
  <c r="S573" i="3"/>
  <c r="AG572" i="3"/>
  <c r="AF572" i="3"/>
  <c r="AE572" i="3"/>
  <c r="AD572" i="3"/>
  <c r="AC572" i="3"/>
  <c r="AB572" i="3"/>
  <c r="AA572" i="3"/>
  <c r="Z572" i="3"/>
  <c r="X572" i="3"/>
  <c r="V572" i="3"/>
  <c r="U572" i="3"/>
  <c r="T572" i="3"/>
  <c r="S572" i="3"/>
  <c r="AG571" i="3"/>
  <c r="AF571" i="3"/>
  <c r="AE571" i="3"/>
  <c r="AD571" i="3"/>
  <c r="AC571" i="3"/>
  <c r="AB571" i="3"/>
  <c r="AA571" i="3"/>
  <c r="Z571" i="3"/>
  <c r="X571" i="3"/>
  <c r="V571" i="3"/>
  <c r="U571" i="3"/>
  <c r="T571" i="3"/>
  <c r="S571" i="3"/>
  <c r="AG570" i="3"/>
  <c r="AF570" i="3"/>
  <c r="AE570" i="3"/>
  <c r="AD570" i="3"/>
  <c r="AC570" i="3"/>
  <c r="AB570" i="3"/>
  <c r="AA570" i="3"/>
  <c r="Z570" i="3"/>
  <c r="X570" i="3"/>
  <c r="V570" i="3"/>
  <c r="U570" i="3"/>
  <c r="T570" i="3"/>
  <c r="S570" i="3"/>
  <c r="AG569" i="3"/>
  <c r="AF569" i="3"/>
  <c r="AE569" i="3"/>
  <c r="AD569" i="3"/>
  <c r="AC569" i="3"/>
  <c r="AB569" i="3"/>
  <c r="AA569" i="3"/>
  <c r="Z569" i="3"/>
  <c r="X569" i="3"/>
  <c r="V569" i="3"/>
  <c r="U569" i="3"/>
  <c r="T569" i="3"/>
  <c r="S569" i="3"/>
  <c r="AG568" i="3"/>
  <c r="AF568" i="3"/>
  <c r="AE568" i="3"/>
  <c r="AD568" i="3"/>
  <c r="AC568" i="3"/>
  <c r="AB568" i="3"/>
  <c r="AA568" i="3"/>
  <c r="Z568" i="3"/>
  <c r="X568" i="3"/>
  <c r="V568" i="3"/>
  <c r="U568" i="3"/>
  <c r="T568" i="3"/>
  <c r="S568" i="3"/>
  <c r="AG567" i="3"/>
  <c r="AF567" i="3"/>
  <c r="AE567" i="3"/>
  <c r="AD567" i="3"/>
  <c r="AC567" i="3"/>
  <c r="AB567" i="3"/>
  <c r="AA567" i="3"/>
  <c r="Z567" i="3"/>
  <c r="X567" i="3"/>
  <c r="V567" i="3"/>
  <c r="U567" i="3"/>
  <c r="T567" i="3"/>
  <c r="S567" i="3"/>
  <c r="AG566" i="3"/>
  <c r="AF566" i="3"/>
  <c r="AE566" i="3"/>
  <c r="AD566" i="3"/>
  <c r="AC566" i="3"/>
  <c r="AB566" i="3"/>
  <c r="AA566" i="3"/>
  <c r="Z566" i="3"/>
  <c r="X566" i="3"/>
  <c r="V566" i="3"/>
  <c r="U566" i="3"/>
  <c r="T566" i="3"/>
  <c r="S566" i="3"/>
  <c r="AG565" i="3"/>
  <c r="AF565" i="3"/>
  <c r="AE565" i="3"/>
  <c r="AD565" i="3"/>
  <c r="AC565" i="3"/>
  <c r="AB565" i="3"/>
  <c r="AA565" i="3"/>
  <c r="Z565" i="3"/>
  <c r="X565" i="3"/>
  <c r="V565" i="3"/>
  <c r="U565" i="3"/>
  <c r="T565" i="3"/>
  <c r="S565" i="3"/>
  <c r="AG564" i="3"/>
  <c r="AF564" i="3"/>
  <c r="AE564" i="3"/>
  <c r="AD564" i="3"/>
  <c r="AC564" i="3"/>
  <c r="AB564" i="3"/>
  <c r="AA564" i="3"/>
  <c r="Z564" i="3"/>
  <c r="X564" i="3"/>
  <c r="V564" i="3"/>
  <c r="U564" i="3"/>
  <c r="T564" i="3"/>
  <c r="S564" i="3"/>
  <c r="AG563" i="3"/>
  <c r="AF563" i="3"/>
  <c r="AE563" i="3"/>
  <c r="AD563" i="3"/>
  <c r="AC563" i="3"/>
  <c r="AB563" i="3"/>
  <c r="AA563" i="3"/>
  <c r="Z563" i="3"/>
  <c r="X563" i="3"/>
  <c r="V563" i="3"/>
  <c r="U563" i="3"/>
  <c r="T563" i="3"/>
  <c r="S563" i="3"/>
  <c r="AG562" i="3"/>
  <c r="AF562" i="3"/>
  <c r="AE562" i="3"/>
  <c r="AD562" i="3"/>
  <c r="AC562" i="3"/>
  <c r="AB562" i="3"/>
  <c r="AA562" i="3"/>
  <c r="Z562" i="3"/>
  <c r="X562" i="3"/>
  <c r="V562" i="3"/>
  <c r="U562" i="3"/>
  <c r="T562" i="3"/>
  <c r="S562" i="3"/>
  <c r="AG561" i="3"/>
  <c r="AF561" i="3"/>
  <c r="AE561" i="3"/>
  <c r="AD561" i="3"/>
  <c r="AC561" i="3"/>
  <c r="AB561" i="3"/>
  <c r="AA561" i="3"/>
  <c r="Z561" i="3"/>
  <c r="X561" i="3"/>
  <c r="V561" i="3"/>
  <c r="U561" i="3"/>
  <c r="T561" i="3"/>
  <c r="S561" i="3"/>
  <c r="AG560" i="3"/>
  <c r="AF560" i="3"/>
  <c r="AE560" i="3"/>
  <c r="AD560" i="3"/>
  <c r="AC560" i="3"/>
  <c r="AB560" i="3"/>
  <c r="AA560" i="3"/>
  <c r="Z560" i="3"/>
  <c r="X560" i="3"/>
  <c r="V560" i="3"/>
  <c r="U560" i="3"/>
  <c r="T560" i="3"/>
  <c r="S560" i="3"/>
  <c r="AG559" i="3"/>
  <c r="AF559" i="3"/>
  <c r="AE559" i="3"/>
  <c r="AD559" i="3"/>
  <c r="AC559" i="3"/>
  <c r="AB559" i="3"/>
  <c r="AA559" i="3"/>
  <c r="Z559" i="3"/>
  <c r="X559" i="3"/>
  <c r="V559" i="3"/>
  <c r="U559" i="3"/>
  <c r="T559" i="3"/>
  <c r="S559" i="3"/>
  <c r="AG558" i="3"/>
  <c r="AF558" i="3"/>
  <c r="AE558" i="3"/>
  <c r="AD558" i="3"/>
  <c r="AC558" i="3"/>
  <c r="AB558" i="3"/>
  <c r="AA558" i="3"/>
  <c r="Z558" i="3"/>
  <c r="X558" i="3"/>
  <c r="V558" i="3"/>
  <c r="U558" i="3"/>
  <c r="T558" i="3"/>
  <c r="S558" i="3"/>
  <c r="AG557" i="3"/>
  <c r="AF557" i="3"/>
  <c r="AE557" i="3"/>
  <c r="AD557" i="3"/>
  <c r="AC557" i="3"/>
  <c r="AB557" i="3"/>
  <c r="AA557" i="3"/>
  <c r="Z557" i="3"/>
  <c r="X557" i="3"/>
  <c r="V557" i="3"/>
  <c r="U557" i="3"/>
  <c r="T557" i="3"/>
  <c r="S557" i="3"/>
  <c r="AG556" i="3"/>
  <c r="AF556" i="3"/>
  <c r="AE556" i="3"/>
  <c r="AD556" i="3"/>
  <c r="AC556" i="3"/>
  <c r="AB556" i="3"/>
  <c r="AA556" i="3"/>
  <c r="Z556" i="3"/>
  <c r="X556" i="3"/>
  <c r="V556" i="3"/>
  <c r="U556" i="3"/>
  <c r="T556" i="3"/>
  <c r="S556" i="3"/>
  <c r="AG555" i="3"/>
  <c r="AF555" i="3"/>
  <c r="AE555" i="3"/>
  <c r="AD555" i="3"/>
  <c r="AC555" i="3"/>
  <c r="AB555" i="3"/>
  <c r="AA555" i="3"/>
  <c r="Z555" i="3"/>
  <c r="X555" i="3"/>
  <c r="V555" i="3"/>
  <c r="U555" i="3"/>
  <c r="T555" i="3"/>
  <c r="S555" i="3"/>
  <c r="AG554" i="3"/>
  <c r="AF554" i="3"/>
  <c r="AE554" i="3"/>
  <c r="AD554" i="3"/>
  <c r="AC554" i="3"/>
  <c r="AB554" i="3"/>
  <c r="AA554" i="3"/>
  <c r="Z554" i="3"/>
  <c r="X554" i="3"/>
  <c r="V554" i="3"/>
  <c r="U554" i="3"/>
  <c r="T554" i="3"/>
  <c r="S554" i="3"/>
  <c r="AG553" i="3"/>
  <c r="AF553" i="3"/>
  <c r="AE553" i="3"/>
  <c r="AD553" i="3"/>
  <c r="AC553" i="3"/>
  <c r="AB553" i="3"/>
  <c r="AA553" i="3"/>
  <c r="Z553" i="3"/>
  <c r="X553" i="3"/>
  <c r="V553" i="3"/>
  <c r="U553" i="3"/>
  <c r="T553" i="3"/>
  <c r="S553" i="3"/>
  <c r="AG552" i="3"/>
  <c r="AF552" i="3"/>
  <c r="AE552" i="3"/>
  <c r="AD552" i="3"/>
  <c r="AC552" i="3"/>
  <c r="AB552" i="3"/>
  <c r="AA552" i="3"/>
  <c r="Z552" i="3"/>
  <c r="X552" i="3"/>
  <c r="V552" i="3"/>
  <c r="U552" i="3"/>
  <c r="T552" i="3"/>
  <c r="S552" i="3"/>
  <c r="AG551" i="3"/>
  <c r="AF551" i="3"/>
  <c r="AE551" i="3"/>
  <c r="AD551" i="3"/>
  <c r="AC551" i="3"/>
  <c r="AB551" i="3"/>
  <c r="AA551" i="3"/>
  <c r="Z551" i="3"/>
  <c r="X551" i="3"/>
  <c r="V551" i="3"/>
  <c r="U551" i="3"/>
  <c r="T551" i="3"/>
  <c r="S551" i="3"/>
  <c r="AG550" i="3"/>
  <c r="AF550" i="3"/>
  <c r="AE550" i="3"/>
  <c r="AD550" i="3"/>
  <c r="AC550" i="3"/>
  <c r="AB550" i="3"/>
  <c r="AA550" i="3"/>
  <c r="Z550" i="3"/>
  <c r="X550" i="3"/>
  <c r="V550" i="3"/>
  <c r="U550" i="3"/>
  <c r="T550" i="3"/>
  <c r="S550" i="3"/>
  <c r="AG549" i="3"/>
  <c r="AF549" i="3"/>
  <c r="AE549" i="3"/>
  <c r="AD549" i="3"/>
  <c r="AC549" i="3"/>
  <c r="AB549" i="3"/>
  <c r="AA549" i="3"/>
  <c r="Z549" i="3"/>
  <c r="X549" i="3"/>
  <c r="V549" i="3"/>
  <c r="U549" i="3"/>
  <c r="T549" i="3"/>
  <c r="S549" i="3"/>
  <c r="AG548" i="3"/>
  <c r="AF548" i="3"/>
  <c r="AE548" i="3"/>
  <c r="AD548" i="3"/>
  <c r="AC548" i="3"/>
  <c r="AB548" i="3"/>
  <c r="AA548" i="3"/>
  <c r="Z548" i="3"/>
  <c r="X548" i="3"/>
  <c r="V548" i="3"/>
  <c r="U548" i="3"/>
  <c r="T548" i="3"/>
  <c r="S548" i="3"/>
  <c r="AG547" i="3"/>
  <c r="AF547" i="3"/>
  <c r="AE547" i="3"/>
  <c r="AD547" i="3"/>
  <c r="AC547" i="3"/>
  <c r="AB547" i="3"/>
  <c r="AA547" i="3"/>
  <c r="Z547" i="3"/>
  <c r="X547" i="3"/>
  <c r="V547" i="3"/>
  <c r="U547" i="3"/>
  <c r="T547" i="3"/>
  <c r="S547" i="3"/>
  <c r="AG546" i="3"/>
  <c r="AF546" i="3"/>
  <c r="AE546" i="3"/>
  <c r="AD546" i="3"/>
  <c r="AC546" i="3"/>
  <c r="AB546" i="3"/>
  <c r="AA546" i="3"/>
  <c r="Z546" i="3"/>
  <c r="X546" i="3"/>
  <c r="V546" i="3"/>
  <c r="U546" i="3"/>
  <c r="T546" i="3"/>
  <c r="S546" i="3"/>
  <c r="AG545" i="3"/>
  <c r="AF545" i="3"/>
  <c r="AE545" i="3"/>
  <c r="AD545" i="3"/>
  <c r="AC545" i="3"/>
  <c r="AB545" i="3"/>
  <c r="AA545" i="3"/>
  <c r="Z545" i="3"/>
  <c r="X545" i="3"/>
  <c r="V545" i="3"/>
  <c r="U545" i="3"/>
  <c r="T545" i="3"/>
  <c r="S545" i="3"/>
  <c r="AG544" i="3"/>
  <c r="AF544" i="3"/>
  <c r="AE544" i="3"/>
  <c r="AD544" i="3"/>
  <c r="AC544" i="3"/>
  <c r="AB544" i="3"/>
  <c r="AA544" i="3"/>
  <c r="Z544" i="3"/>
  <c r="X544" i="3"/>
  <c r="V544" i="3"/>
  <c r="U544" i="3"/>
  <c r="T544" i="3"/>
  <c r="S544" i="3"/>
  <c r="AG543" i="3"/>
  <c r="AF543" i="3"/>
  <c r="AE543" i="3"/>
  <c r="AD543" i="3"/>
  <c r="AC543" i="3"/>
  <c r="AB543" i="3"/>
  <c r="AA543" i="3"/>
  <c r="Z543" i="3"/>
  <c r="X543" i="3"/>
  <c r="V543" i="3"/>
  <c r="U543" i="3"/>
  <c r="T543" i="3"/>
  <c r="S543" i="3"/>
  <c r="AG542" i="3"/>
  <c r="AF542" i="3"/>
  <c r="AE542" i="3"/>
  <c r="AD542" i="3"/>
  <c r="AC542" i="3"/>
  <c r="AB542" i="3"/>
  <c r="AA542" i="3"/>
  <c r="Z542" i="3"/>
  <c r="X542" i="3"/>
  <c r="V542" i="3"/>
  <c r="U542" i="3"/>
  <c r="T542" i="3"/>
  <c r="S542" i="3"/>
  <c r="AG541" i="3"/>
  <c r="AF541" i="3"/>
  <c r="AE541" i="3"/>
  <c r="AD541" i="3"/>
  <c r="AC541" i="3"/>
  <c r="AB541" i="3"/>
  <c r="AA541" i="3"/>
  <c r="Z541" i="3"/>
  <c r="X541" i="3"/>
  <c r="V541" i="3"/>
  <c r="U541" i="3"/>
  <c r="T541" i="3"/>
  <c r="S541" i="3"/>
  <c r="AG540" i="3"/>
  <c r="AF540" i="3"/>
  <c r="AE540" i="3"/>
  <c r="AD540" i="3"/>
  <c r="AC540" i="3"/>
  <c r="AB540" i="3"/>
  <c r="AA540" i="3"/>
  <c r="Z540" i="3"/>
  <c r="X540" i="3"/>
  <c r="V540" i="3"/>
  <c r="U540" i="3"/>
  <c r="T540" i="3"/>
  <c r="S540" i="3"/>
  <c r="AG539" i="3"/>
  <c r="AF539" i="3"/>
  <c r="AE539" i="3"/>
  <c r="AD539" i="3"/>
  <c r="AC539" i="3"/>
  <c r="AB539" i="3"/>
  <c r="AA539" i="3"/>
  <c r="Z539" i="3"/>
  <c r="X539" i="3"/>
  <c r="V539" i="3"/>
  <c r="U539" i="3"/>
  <c r="T539" i="3"/>
  <c r="S539" i="3"/>
  <c r="AG538" i="3"/>
  <c r="AF538" i="3"/>
  <c r="AE538" i="3"/>
  <c r="AD538" i="3"/>
  <c r="AC538" i="3"/>
  <c r="AB538" i="3"/>
  <c r="AA538" i="3"/>
  <c r="Z538" i="3"/>
  <c r="X538" i="3"/>
  <c r="V538" i="3"/>
  <c r="U538" i="3"/>
  <c r="T538" i="3"/>
  <c r="S538" i="3"/>
  <c r="AG537" i="3"/>
  <c r="AF537" i="3"/>
  <c r="AE537" i="3"/>
  <c r="AD537" i="3"/>
  <c r="AC537" i="3"/>
  <c r="AB537" i="3"/>
  <c r="AA537" i="3"/>
  <c r="Z537" i="3"/>
  <c r="X537" i="3"/>
  <c r="V537" i="3"/>
  <c r="U537" i="3"/>
  <c r="T537" i="3"/>
  <c r="S537" i="3"/>
  <c r="AG536" i="3"/>
  <c r="AF536" i="3"/>
  <c r="AE536" i="3"/>
  <c r="AD536" i="3"/>
  <c r="AC536" i="3"/>
  <c r="AB536" i="3"/>
  <c r="AA536" i="3"/>
  <c r="Z536" i="3"/>
  <c r="X536" i="3"/>
  <c r="V536" i="3"/>
  <c r="U536" i="3"/>
  <c r="T536" i="3"/>
  <c r="S536" i="3"/>
  <c r="AG535" i="3"/>
  <c r="AF535" i="3"/>
  <c r="AE535" i="3"/>
  <c r="AD535" i="3"/>
  <c r="AC535" i="3"/>
  <c r="AB535" i="3"/>
  <c r="AA535" i="3"/>
  <c r="Z535" i="3"/>
  <c r="X535" i="3"/>
  <c r="V535" i="3"/>
  <c r="U535" i="3"/>
  <c r="T535" i="3"/>
  <c r="S535" i="3"/>
  <c r="AG534" i="3"/>
  <c r="AF534" i="3"/>
  <c r="AE534" i="3"/>
  <c r="AD534" i="3"/>
  <c r="AC534" i="3"/>
  <c r="AB534" i="3"/>
  <c r="AA534" i="3"/>
  <c r="Z534" i="3"/>
  <c r="X534" i="3"/>
  <c r="V534" i="3"/>
  <c r="U534" i="3"/>
  <c r="T534" i="3"/>
  <c r="S534" i="3"/>
  <c r="AG533" i="3"/>
  <c r="AF533" i="3"/>
  <c r="AE533" i="3"/>
  <c r="AD533" i="3"/>
  <c r="AC533" i="3"/>
  <c r="AB533" i="3"/>
  <c r="AA533" i="3"/>
  <c r="Z533" i="3"/>
  <c r="X533" i="3"/>
  <c r="V533" i="3"/>
  <c r="U533" i="3"/>
  <c r="T533" i="3"/>
  <c r="S533" i="3"/>
  <c r="AG532" i="3"/>
  <c r="AF532" i="3"/>
  <c r="AE532" i="3"/>
  <c r="AD532" i="3"/>
  <c r="AC532" i="3"/>
  <c r="AB532" i="3"/>
  <c r="AA532" i="3"/>
  <c r="Z532" i="3"/>
  <c r="X532" i="3"/>
  <c r="V532" i="3"/>
  <c r="U532" i="3"/>
  <c r="T532" i="3"/>
  <c r="S532" i="3"/>
  <c r="AG531" i="3"/>
  <c r="AF531" i="3"/>
  <c r="AE531" i="3"/>
  <c r="AD531" i="3"/>
  <c r="AC531" i="3"/>
  <c r="AB531" i="3"/>
  <c r="AA531" i="3"/>
  <c r="Z531" i="3"/>
  <c r="X531" i="3"/>
  <c r="V531" i="3"/>
  <c r="U531" i="3"/>
  <c r="T531" i="3"/>
  <c r="S531" i="3"/>
  <c r="AG530" i="3"/>
  <c r="AF530" i="3"/>
  <c r="AE530" i="3"/>
  <c r="AD530" i="3"/>
  <c r="AC530" i="3"/>
  <c r="AB530" i="3"/>
  <c r="AA530" i="3"/>
  <c r="Z530" i="3"/>
  <c r="X530" i="3"/>
  <c r="V530" i="3"/>
  <c r="U530" i="3"/>
  <c r="T530" i="3"/>
  <c r="S530" i="3"/>
  <c r="AG529" i="3"/>
  <c r="AF529" i="3"/>
  <c r="AE529" i="3"/>
  <c r="AD529" i="3"/>
  <c r="AC529" i="3"/>
  <c r="AB529" i="3"/>
  <c r="AA529" i="3"/>
  <c r="Z529" i="3"/>
  <c r="X529" i="3"/>
  <c r="V529" i="3"/>
  <c r="U529" i="3"/>
  <c r="T529" i="3"/>
  <c r="S529" i="3"/>
  <c r="AG528" i="3"/>
  <c r="AF528" i="3"/>
  <c r="AE528" i="3"/>
  <c r="AD528" i="3"/>
  <c r="AC528" i="3"/>
  <c r="AB528" i="3"/>
  <c r="AA528" i="3"/>
  <c r="Z528" i="3"/>
  <c r="X528" i="3"/>
  <c r="V528" i="3"/>
  <c r="U528" i="3"/>
  <c r="T528" i="3"/>
  <c r="S528" i="3"/>
  <c r="AG527" i="3"/>
  <c r="AF527" i="3"/>
  <c r="AE527" i="3"/>
  <c r="AD527" i="3"/>
  <c r="AC527" i="3"/>
  <c r="AB527" i="3"/>
  <c r="AA527" i="3"/>
  <c r="Z527" i="3"/>
  <c r="X527" i="3"/>
  <c r="V527" i="3"/>
  <c r="U527" i="3"/>
  <c r="T527" i="3"/>
  <c r="S527" i="3"/>
  <c r="AG526" i="3"/>
  <c r="AF526" i="3"/>
  <c r="AE526" i="3"/>
  <c r="AD526" i="3"/>
  <c r="AC526" i="3"/>
  <c r="AB526" i="3"/>
  <c r="AA526" i="3"/>
  <c r="Z526" i="3"/>
  <c r="X526" i="3"/>
  <c r="V526" i="3"/>
  <c r="U526" i="3"/>
  <c r="T526" i="3"/>
  <c r="S526" i="3"/>
  <c r="AG525" i="3"/>
  <c r="AF525" i="3"/>
  <c r="AE525" i="3"/>
  <c r="AD525" i="3"/>
  <c r="AC525" i="3"/>
  <c r="AB525" i="3"/>
  <c r="AA525" i="3"/>
  <c r="Z525" i="3"/>
  <c r="X525" i="3"/>
  <c r="V525" i="3"/>
  <c r="U525" i="3"/>
  <c r="T525" i="3"/>
  <c r="S525" i="3"/>
  <c r="AG524" i="3"/>
  <c r="AF524" i="3"/>
  <c r="AE524" i="3"/>
  <c r="AD524" i="3"/>
  <c r="AC524" i="3"/>
  <c r="AB524" i="3"/>
  <c r="AA524" i="3"/>
  <c r="Z524" i="3"/>
  <c r="X524" i="3"/>
  <c r="V524" i="3"/>
  <c r="U524" i="3"/>
  <c r="T524" i="3"/>
  <c r="S524" i="3"/>
  <c r="AG523" i="3"/>
  <c r="AF523" i="3"/>
  <c r="AE523" i="3"/>
  <c r="AD523" i="3"/>
  <c r="AC523" i="3"/>
  <c r="AB523" i="3"/>
  <c r="AA523" i="3"/>
  <c r="Z523" i="3"/>
  <c r="X523" i="3"/>
  <c r="V523" i="3"/>
  <c r="U523" i="3"/>
  <c r="T523" i="3"/>
  <c r="S523" i="3"/>
  <c r="AG522" i="3"/>
  <c r="AF522" i="3"/>
  <c r="AE522" i="3"/>
  <c r="AD522" i="3"/>
  <c r="AC522" i="3"/>
  <c r="AB522" i="3"/>
  <c r="AA522" i="3"/>
  <c r="Z522" i="3"/>
  <c r="X522" i="3"/>
  <c r="V522" i="3"/>
  <c r="U522" i="3"/>
  <c r="T522" i="3"/>
  <c r="S522" i="3"/>
  <c r="AG521" i="3"/>
  <c r="AF521" i="3"/>
  <c r="AE521" i="3"/>
  <c r="AD521" i="3"/>
  <c r="AC521" i="3"/>
  <c r="AB521" i="3"/>
  <c r="AA521" i="3"/>
  <c r="Z521" i="3"/>
  <c r="X521" i="3"/>
  <c r="V521" i="3"/>
  <c r="U521" i="3"/>
  <c r="T521" i="3"/>
  <c r="S521" i="3"/>
  <c r="AG520" i="3"/>
  <c r="AF520" i="3"/>
  <c r="AE520" i="3"/>
  <c r="AD520" i="3"/>
  <c r="AC520" i="3"/>
  <c r="AB520" i="3"/>
  <c r="AA520" i="3"/>
  <c r="Z520" i="3"/>
  <c r="X520" i="3"/>
  <c r="V520" i="3"/>
  <c r="U520" i="3"/>
  <c r="T520" i="3"/>
  <c r="S520" i="3"/>
  <c r="AG519" i="3"/>
  <c r="AF519" i="3"/>
  <c r="AE519" i="3"/>
  <c r="AD519" i="3"/>
  <c r="AC519" i="3"/>
  <c r="AB519" i="3"/>
  <c r="AA519" i="3"/>
  <c r="Z519" i="3"/>
  <c r="X519" i="3"/>
  <c r="V519" i="3"/>
  <c r="U519" i="3"/>
  <c r="T519" i="3"/>
  <c r="S519" i="3"/>
  <c r="AG518" i="3"/>
  <c r="AF518" i="3"/>
  <c r="AE518" i="3"/>
  <c r="AD518" i="3"/>
  <c r="AC518" i="3"/>
  <c r="AB518" i="3"/>
  <c r="AA518" i="3"/>
  <c r="Z518" i="3"/>
  <c r="X518" i="3"/>
  <c r="V518" i="3"/>
  <c r="U518" i="3"/>
  <c r="T518" i="3"/>
  <c r="S518" i="3"/>
  <c r="AG517" i="3"/>
  <c r="AF517" i="3"/>
  <c r="AE517" i="3"/>
  <c r="AD517" i="3"/>
  <c r="AC517" i="3"/>
  <c r="AB517" i="3"/>
  <c r="AA517" i="3"/>
  <c r="Z517" i="3"/>
  <c r="X517" i="3"/>
  <c r="V517" i="3"/>
  <c r="U517" i="3"/>
  <c r="T517" i="3"/>
  <c r="S517" i="3"/>
  <c r="AG516" i="3"/>
  <c r="AF516" i="3"/>
  <c r="AE516" i="3"/>
  <c r="AD516" i="3"/>
  <c r="AC516" i="3"/>
  <c r="AB516" i="3"/>
  <c r="AA516" i="3"/>
  <c r="Z516" i="3"/>
  <c r="X516" i="3"/>
  <c r="V516" i="3"/>
  <c r="U516" i="3"/>
  <c r="T516" i="3"/>
  <c r="S516" i="3"/>
  <c r="AG515" i="3"/>
  <c r="AF515" i="3"/>
  <c r="AE515" i="3"/>
  <c r="AD515" i="3"/>
  <c r="AC515" i="3"/>
  <c r="AB515" i="3"/>
  <c r="AA515" i="3"/>
  <c r="Z515" i="3"/>
  <c r="X515" i="3"/>
  <c r="V515" i="3"/>
  <c r="U515" i="3"/>
  <c r="T515" i="3"/>
  <c r="S515" i="3"/>
  <c r="AG514" i="3"/>
  <c r="AF514" i="3"/>
  <c r="AE514" i="3"/>
  <c r="AD514" i="3"/>
  <c r="AC514" i="3"/>
  <c r="AB514" i="3"/>
  <c r="AA514" i="3"/>
  <c r="Z514" i="3"/>
  <c r="X514" i="3"/>
  <c r="V514" i="3"/>
  <c r="U514" i="3"/>
  <c r="T514" i="3"/>
  <c r="S514" i="3"/>
  <c r="AG513" i="3"/>
  <c r="AF513" i="3"/>
  <c r="AE513" i="3"/>
  <c r="AD513" i="3"/>
  <c r="AC513" i="3"/>
  <c r="AB513" i="3"/>
  <c r="AA513" i="3"/>
  <c r="Z513" i="3"/>
  <c r="X513" i="3"/>
  <c r="V513" i="3"/>
  <c r="U513" i="3"/>
  <c r="T513" i="3"/>
  <c r="S513" i="3"/>
  <c r="AG512" i="3"/>
  <c r="AF512" i="3"/>
  <c r="AE512" i="3"/>
  <c r="AD512" i="3"/>
  <c r="AC512" i="3"/>
  <c r="AB512" i="3"/>
  <c r="AA512" i="3"/>
  <c r="Z512" i="3"/>
  <c r="X512" i="3"/>
  <c r="V512" i="3"/>
  <c r="U512" i="3"/>
  <c r="T512" i="3"/>
  <c r="S512" i="3"/>
  <c r="AG511" i="3"/>
  <c r="AF511" i="3"/>
  <c r="AE511" i="3"/>
  <c r="AD511" i="3"/>
  <c r="AC511" i="3"/>
  <c r="AB511" i="3"/>
  <c r="AA511" i="3"/>
  <c r="Z511" i="3"/>
  <c r="X511" i="3"/>
  <c r="V511" i="3"/>
  <c r="U511" i="3"/>
  <c r="T511" i="3"/>
  <c r="S511" i="3"/>
  <c r="AG510" i="3"/>
  <c r="AF510" i="3"/>
  <c r="AE510" i="3"/>
  <c r="AD510" i="3"/>
  <c r="AC510" i="3"/>
  <c r="AB510" i="3"/>
  <c r="AA510" i="3"/>
  <c r="Z510" i="3"/>
  <c r="X510" i="3"/>
  <c r="V510" i="3"/>
  <c r="U510" i="3"/>
  <c r="T510" i="3"/>
  <c r="S510" i="3"/>
  <c r="AG509" i="3"/>
  <c r="AF509" i="3"/>
  <c r="AE509" i="3"/>
  <c r="AD509" i="3"/>
  <c r="AC509" i="3"/>
  <c r="AB509" i="3"/>
  <c r="AA509" i="3"/>
  <c r="Z509" i="3"/>
  <c r="X509" i="3"/>
  <c r="V509" i="3"/>
  <c r="U509" i="3"/>
  <c r="T509" i="3"/>
  <c r="S509" i="3"/>
  <c r="AG508" i="3"/>
  <c r="AF508" i="3"/>
  <c r="AE508" i="3"/>
  <c r="AD508" i="3"/>
  <c r="AC508" i="3"/>
  <c r="AB508" i="3"/>
  <c r="AA508" i="3"/>
  <c r="Z508" i="3"/>
  <c r="X508" i="3"/>
  <c r="V508" i="3"/>
  <c r="U508" i="3"/>
  <c r="T508" i="3"/>
  <c r="S508" i="3"/>
  <c r="AG507" i="3"/>
  <c r="AF507" i="3"/>
  <c r="AE507" i="3"/>
  <c r="AD507" i="3"/>
  <c r="AC507" i="3"/>
  <c r="AB507" i="3"/>
  <c r="AA507" i="3"/>
  <c r="Z507" i="3"/>
  <c r="X507" i="3"/>
  <c r="V507" i="3"/>
  <c r="U507" i="3"/>
  <c r="T507" i="3"/>
  <c r="S507" i="3"/>
  <c r="AG506" i="3"/>
  <c r="AF506" i="3"/>
  <c r="AE506" i="3"/>
  <c r="AD506" i="3"/>
  <c r="AC506" i="3"/>
  <c r="AB506" i="3"/>
  <c r="AA506" i="3"/>
  <c r="Z506" i="3"/>
  <c r="X506" i="3"/>
  <c r="V506" i="3"/>
  <c r="U506" i="3"/>
  <c r="T506" i="3"/>
  <c r="S506" i="3"/>
  <c r="AG505" i="3"/>
  <c r="AF505" i="3"/>
  <c r="AE505" i="3"/>
  <c r="AD505" i="3"/>
  <c r="AC505" i="3"/>
  <c r="AB505" i="3"/>
  <c r="AA505" i="3"/>
  <c r="Z505" i="3"/>
  <c r="X505" i="3"/>
  <c r="V505" i="3"/>
  <c r="U505" i="3"/>
  <c r="T505" i="3"/>
  <c r="S505" i="3"/>
  <c r="AG504" i="3"/>
  <c r="AF504" i="3"/>
  <c r="AE504" i="3"/>
  <c r="AD504" i="3"/>
  <c r="AC504" i="3"/>
  <c r="AB504" i="3"/>
  <c r="AA504" i="3"/>
  <c r="Z504" i="3"/>
  <c r="X504" i="3"/>
  <c r="V504" i="3"/>
  <c r="U504" i="3"/>
  <c r="T504" i="3"/>
  <c r="S504" i="3"/>
  <c r="AG503" i="3"/>
  <c r="AF503" i="3"/>
  <c r="AE503" i="3"/>
  <c r="AD503" i="3"/>
  <c r="AC503" i="3"/>
  <c r="AB503" i="3"/>
  <c r="AA503" i="3"/>
  <c r="Z503" i="3"/>
  <c r="X503" i="3"/>
  <c r="V503" i="3"/>
  <c r="U503" i="3"/>
  <c r="T503" i="3"/>
  <c r="S503" i="3"/>
  <c r="AG502" i="3"/>
  <c r="AF502" i="3"/>
  <c r="AE502" i="3"/>
  <c r="AD502" i="3"/>
  <c r="AC502" i="3"/>
  <c r="AB502" i="3"/>
  <c r="AA502" i="3"/>
  <c r="Z502" i="3"/>
  <c r="X502" i="3"/>
  <c r="V502" i="3"/>
  <c r="U502" i="3"/>
  <c r="T502" i="3"/>
  <c r="S502" i="3"/>
  <c r="AG501" i="3"/>
  <c r="AF501" i="3"/>
  <c r="AE501" i="3"/>
  <c r="AD501" i="3"/>
  <c r="AC501" i="3"/>
  <c r="AB501" i="3"/>
  <c r="AA501" i="3"/>
  <c r="Z501" i="3"/>
  <c r="X501" i="3"/>
  <c r="V501" i="3"/>
  <c r="U501" i="3"/>
  <c r="T501" i="3"/>
  <c r="S501" i="3"/>
  <c r="AG500" i="3"/>
  <c r="AF500" i="3"/>
  <c r="AE500" i="3"/>
  <c r="AD500" i="3"/>
  <c r="AC500" i="3"/>
  <c r="AB500" i="3"/>
  <c r="AA500" i="3"/>
  <c r="Z500" i="3"/>
  <c r="X500" i="3"/>
  <c r="V500" i="3"/>
  <c r="U500" i="3"/>
  <c r="T500" i="3"/>
  <c r="S500" i="3"/>
  <c r="AG499" i="3"/>
  <c r="AF499" i="3"/>
  <c r="AE499" i="3"/>
  <c r="AD499" i="3"/>
  <c r="AC499" i="3"/>
  <c r="AB499" i="3"/>
  <c r="AA499" i="3"/>
  <c r="Z499" i="3"/>
  <c r="X499" i="3"/>
  <c r="V499" i="3"/>
  <c r="U499" i="3"/>
  <c r="T499" i="3"/>
  <c r="S499" i="3"/>
  <c r="AG498" i="3"/>
  <c r="AF498" i="3"/>
  <c r="AE498" i="3"/>
  <c r="AD498" i="3"/>
  <c r="AC498" i="3"/>
  <c r="AB498" i="3"/>
  <c r="AA498" i="3"/>
  <c r="Z498" i="3"/>
  <c r="X498" i="3"/>
  <c r="V498" i="3"/>
  <c r="U498" i="3"/>
  <c r="T498" i="3"/>
  <c r="S498" i="3"/>
  <c r="AG497" i="3"/>
  <c r="AF497" i="3"/>
  <c r="AE497" i="3"/>
  <c r="AD497" i="3"/>
  <c r="AC497" i="3"/>
  <c r="AB497" i="3"/>
  <c r="AA497" i="3"/>
  <c r="Z497" i="3"/>
  <c r="X497" i="3"/>
  <c r="V497" i="3"/>
  <c r="U497" i="3"/>
  <c r="T497" i="3"/>
  <c r="S497" i="3"/>
  <c r="AG496" i="3"/>
  <c r="AF496" i="3"/>
  <c r="AE496" i="3"/>
  <c r="AD496" i="3"/>
  <c r="AC496" i="3"/>
  <c r="AB496" i="3"/>
  <c r="AA496" i="3"/>
  <c r="Z496" i="3"/>
  <c r="X496" i="3"/>
  <c r="V496" i="3"/>
  <c r="U496" i="3"/>
  <c r="T496" i="3"/>
  <c r="S496" i="3"/>
  <c r="AG495" i="3"/>
  <c r="AF495" i="3"/>
  <c r="AE495" i="3"/>
  <c r="AD495" i="3"/>
  <c r="AC495" i="3"/>
  <c r="AB495" i="3"/>
  <c r="AA495" i="3"/>
  <c r="Z495" i="3"/>
  <c r="X495" i="3"/>
  <c r="V495" i="3"/>
  <c r="U495" i="3"/>
  <c r="T495" i="3"/>
  <c r="S495" i="3"/>
  <c r="AG494" i="3"/>
  <c r="AF494" i="3"/>
  <c r="AE494" i="3"/>
  <c r="AD494" i="3"/>
  <c r="AC494" i="3"/>
  <c r="AB494" i="3"/>
  <c r="AA494" i="3"/>
  <c r="Z494" i="3"/>
  <c r="X494" i="3"/>
  <c r="V494" i="3"/>
  <c r="U494" i="3"/>
  <c r="T494" i="3"/>
  <c r="S494" i="3"/>
  <c r="AG493" i="3"/>
  <c r="AF493" i="3"/>
  <c r="AE493" i="3"/>
  <c r="AD493" i="3"/>
  <c r="AC493" i="3"/>
  <c r="AB493" i="3"/>
  <c r="AA493" i="3"/>
  <c r="Z493" i="3"/>
  <c r="X493" i="3"/>
  <c r="V493" i="3"/>
  <c r="U493" i="3"/>
  <c r="T493" i="3"/>
  <c r="S493" i="3"/>
  <c r="AG492" i="3"/>
  <c r="AF492" i="3"/>
  <c r="AE492" i="3"/>
  <c r="AD492" i="3"/>
  <c r="AC492" i="3"/>
  <c r="AB492" i="3"/>
  <c r="AA492" i="3"/>
  <c r="Z492" i="3"/>
  <c r="X492" i="3"/>
  <c r="V492" i="3"/>
  <c r="U492" i="3"/>
  <c r="T492" i="3"/>
  <c r="S492" i="3"/>
  <c r="AG491" i="3"/>
  <c r="AF491" i="3"/>
  <c r="AE491" i="3"/>
  <c r="AD491" i="3"/>
  <c r="AC491" i="3"/>
  <c r="AB491" i="3"/>
  <c r="AA491" i="3"/>
  <c r="Z491" i="3"/>
  <c r="X491" i="3"/>
  <c r="V491" i="3"/>
  <c r="U491" i="3"/>
  <c r="T491" i="3"/>
  <c r="S491" i="3"/>
  <c r="AG490" i="3"/>
  <c r="AF490" i="3"/>
  <c r="AE490" i="3"/>
  <c r="AD490" i="3"/>
  <c r="AC490" i="3"/>
  <c r="AB490" i="3"/>
  <c r="AA490" i="3"/>
  <c r="Z490" i="3"/>
  <c r="X490" i="3"/>
  <c r="V490" i="3"/>
  <c r="U490" i="3"/>
  <c r="T490" i="3"/>
  <c r="S490" i="3"/>
  <c r="AG489" i="3"/>
  <c r="AF489" i="3"/>
  <c r="AE489" i="3"/>
  <c r="AD489" i="3"/>
  <c r="AC489" i="3"/>
  <c r="AB489" i="3"/>
  <c r="AA489" i="3"/>
  <c r="Z489" i="3"/>
  <c r="X489" i="3"/>
  <c r="V489" i="3"/>
  <c r="U489" i="3"/>
  <c r="T489" i="3"/>
  <c r="S489" i="3"/>
  <c r="AG488" i="3"/>
  <c r="AF488" i="3"/>
  <c r="AE488" i="3"/>
  <c r="AD488" i="3"/>
  <c r="AC488" i="3"/>
  <c r="AB488" i="3"/>
  <c r="AA488" i="3"/>
  <c r="Z488" i="3"/>
  <c r="X488" i="3"/>
  <c r="V488" i="3"/>
  <c r="U488" i="3"/>
  <c r="T488" i="3"/>
  <c r="S488" i="3"/>
  <c r="AG487" i="3"/>
  <c r="AF487" i="3"/>
  <c r="AE487" i="3"/>
  <c r="AD487" i="3"/>
  <c r="AC487" i="3"/>
  <c r="AB487" i="3"/>
  <c r="AA487" i="3"/>
  <c r="Z487" i="3"/>
  <c r="X487" i="3"/>
  <c r="V487" i="3"/>
  <c r="U487" i="3"/>
  <c r="T487" i="3"/>
  <c r="S487" i="3"/>
  <c r="AG486" i="3"/>
  <c r="AF486" i="3"/>
  <c r="AE486" i="3"/>
  <c r="AD486" i="3"/>
  <c r="AC486" i="3"/>
  <c r="AB486" i="3"/>
  <c r="AA486" i="3"/>
  <c r="Z486" i="3"/>
  <c r="X486" i="3"/>
  <c r="V486" i="3"/>
  <c r="U486" i="3"/>
  <c r="T486" i="3"/>
  <c r="S486" i="3"/>
  <c r="AG485" i="3"/>
  <c r="AF485" i="3"/>
  <c r="AE485" i="3"/>
  <c r="AD485" i="3"/>
  <c r="AC485" i="3"/>
  <c r="AB485" i="3"/>
  <c r="AA485" i="3"/>
  <c r="Z485" i="3"/>
  <c r="X485" i="3"/>
  <c r="V485" i="3"/>
  <c r="U485" i="3"/>
  <c r="T485" i="3"/>
  <c r="S485" i="3"/>
  <c r="AG484" i="3"/>
  <c r="AF484" i="3"/>
  <c r="AE484" i="3"/>
  <c r="AD484" i="3"/>
  <c r="AC484" i="3"/>
  <c r="AB484" i="3"/>
  <c r="AA484" i="3"/>
  <c r="Z484" i="3"/>
  <c r="X484" i="3"/>
  <c r="V484" i="3"/>
  <c r="U484" i="3"/>
  <c r="T484" i="3"/>
  <c r="S484" i="3"/>
  <c r="AG483" i="3"/>
  <c r="AF483" i="3"/>
  <c r="AE483" i="3"/>
  <c r="AD483" i="3"/>
  <c r="AC483" i="3"/>
  <c r="AB483" i="3"/>
  <c r="AA483" i="3"/>
  <c r="Z483" i="3"/>
  <c r="X483" i="3"/>
  <c r="V483" i="3"/>
  <c r="U483" i="3"/>
  <c r="T483" i="3"/>
  <c r="S483" i="3"/>
  <c r="AG482" i="3"/>
  <c r="AF482" i="3"/>
  <c r="AE482" i="3"/>
  <c r="AD482" i="3"/>
  <c r="AC482" i="3"/>
  <c r="AB482" i="3"/>
  <c r="AA482" i="3"/>
  <c r="Z482" i="3"/>
  <c r="X482" i="3"/>
  <c r="V482" i="3"/>
  <c r="U482" i="3"/>
  <c r="T482" i="3"/>
  <c r="S482" i="3"/>
  <c r="AG481" i="3"/>
  <c r="AF481" i="3"/>
  <c r="AE481" i="3"/>
  <c r="AD481" i="3"/>
  <c r="AC481" i="3"/>
  <c r="AB481" i="3"/>
  <c r="AA481" i="3"/>
  <c r="Z481" i="3"/>
  <c r="X481" i="3"/>
  <c r="V481" i="3"/>
  <c r="U481" i="3"/>
  <c r="T481" i="3"/>
  <c r="S481" i="3"/>
  <c r="AG480" i="3"/>
  <c r="AF480" i="3"/>
  <c r="AE480" i="3"/>
  <c r="AD480" i="3"/>
  <c r="AC480" i="3"/>
  <c r="AB480" i="3"/>
  <c r="AA480" i="3"/>
  <c r="Z480" i="3"/>
  <c r="X480" i="3"/>
  <c r="V480" i="3"/>
  <c r="U480" i="3"/>
  <c r="T480" i="3"/>
  <c r="S480" i="3"/>
  <c r="AG479" i="3"/>
  <c r="AF479" i="3"/>
  <c r="AE479" i="3"/>
  <c r="AD479" i="3"/>
  <c r="AC479" i="3"/>
  <c r="AB479" i="3"/>
  <c r="AA479" i="3"/>
  <c r="Z479" i="3"/>
  <c r="X479" i="3"/>
  <c r="V479" i="3"/>
  <c r="U479" i="3"/>
  <c r="T479" i="3"/>
  <c r="S479" i="3"/>
  <c r="AG478" i="3"/>
  <c r="AF478" i="3"/>
  <c r="AE478" i="3"/>
  <c r="AD478" i="3"/>
  <c r="AC478" i="3"/>
  <c r="AB478" i="3"/>
  <c r="AA478" i="3"/>
  <c r="Z478" i="3"/>
  <c r="X478" i="3"/>
  <c r="V478" i="3"/>
  <c r="U478" i="3"/>
  <c r="T478" i="3"/>
  <c r="S478" i="3"/>
  <c r="AG477" i="3"/>
  <c r="AF477" i="3"/>
  <c r="AE477" i="3"/>
  <c r="AD477" i="3"/>
  <c r="AC477" i="3"/>
  <c r="AB477" i="3"/>
  <c r="AA477" i="3"/>
  <c r="Z477" i="3"/>
  <c r="X477" i="3"/>
  <c r="V477" i="3"/>
  <c r="U477" i="3"/>
  <c r="T477" i="3"/>
  <c r="S477" i="3"/>
  <c r="AG476" i="3"/>
  <c r="AF476" i="3"/>
  <c r="AE476" i="3"/>
  <c r="AD476" i="3"/>
  <c r="AC476" i="3"/>
  <c r="AB476" i="3"/>
  <c r="AA476" i="3"/>
  <c r="Z476" i="3"/>
  <c r="X476" i="3"/>
  <c r="V476" i="3"/>
  <c r="U476" i="3"/>
  <c r="T476" i="3"/>
  <c r="S476" i="3"/>
  <c r="AG475" i="3"/>
  <c r="AF475" i="3"/>
  <c r="AE475" i="3"/>
  <c r="AD475" i="3"/>
  <c r="AC475" i="3"/>
  <c r="AB475" i="3"/>
  <c r="AA475" i="3"/>
  <c r="Z475" i="3"/>
  <c r="X475" i="3"/>
  <c r="V475" i="3"/>
  <c r="U475" i="3"/>
  <c r="T475" i="3"/>
  <c r="S475" i="3"/>
  <c r="AG474" i="3"/>
  <c r="AF474" i="3"/>
  <c r="AE474" i="3"/>
  <c r="AD474" i="3"/>
  <c r="AC474" i="3"/>
  <c r="AB474" i="3"/>
  <c r="AA474" i="3"/>
  <c r="Z474" i="3"/>
  <c r="X474" i="3"/>
  <c r="V474" i="3"/>
  <c r="U474" i="3"/>
  <c r="T474" i="3"/>
  <c r="S474" i="3"/>
  <c r="AG473" i="3"/>
  <c r="AF473" i="3"/>
  <c r="AE473" i="3"/>
  <c r="AD473" i="3"/>
  <c r="AC473" i="3"/>
  <c r="AB473" i="3"/>
  <c r="AA473" i="3"/>
  <c r="Z473" i="3"/>
  <c r="X473" i="3"/>
  <c r="V473" i="3"/>
  <c r="U473" i="3"/>
  <c r="T473" i="3"/>
  <c r="S473" i="3"/>
  <c r="AG472" i="3"/>
  <c r="AF472" i="3"/>
  <c r="AE472" i="3"/>
  <c r="AD472" i="3"/>
  <c r="AC472" i="3"/>
  <c r="AB472" i="3"/>
  <c r="AA472" i="3"/>
  <c r="Z472" i="3"/>
  <c r="X472" i="3"/>
  <c r="V472" i="3"/>
  <c r="U472" i="3"/>
  <c r="T472" i="3"/>
  <c r="S472" i="3"/>
  <c r="AG471" i="3"/>
  <c r="AF471" i="3"/>
  <c r="AE471" i="3"/>
  <c r="AD471" i="3"/>
  <c r="AC471" i="3"/>
  <c r="AB471" i="3"/>
  <c r="AA471" i="3"/>
  <c r="Z471" i="3"/>
  <c r="X471" i="3"/>
  <c r="V471" i="3"/>
  <c r="U471" i="3"/>
  <c r="T471" i="3"/>
  <c r="S471" i="3"/>
  <c r="AG470" i="3"/>
  <c r="AF470" i="3"/>
  <c r="AE470" i="3"/>
  <c r="AD470" i="3"/>
  <c r="AC470" i="3"/>
  <c r="AB470" i="3"/>
  <c r="AA470" i="3"/>
  <c r="Z470" i="3"/>
  <c r="X470" i="3"/>
  <c r="V470" i="3"/>
  <c r="U470" i="3"/>
  <c r="T470" i="3"/>
  <c r="S470" i="3"/>
  <c r="AG469" i="3"/>
  <c r="AF469" i="3"/>
  <c r="AE469" i="3"/>
  <c r="AD469" i="3"/>
  <c r="AC469" i="3"/>
  <c r="AB469" i="3"/>
  <c r="AA469" i="3"/>
  <c r="Z469" i="3"/>
  <c r="X469" i="3"/>
  <c r="V469" i="3"/>
  <c r="U469" i="3"/>
  <c r="T469" i="3"/>
  <c r="S469" i="3"/>
  <c r="AG468" i="3"/>
  <c r="AF468" i="3"/>
  <c r="AE468" i="3"/>
  <c r="AD468" i="3"/>
  <c r="AC468" i="3"/>
  <c r="AB468" i="3"/>
  <c r="AA468" i="3"/>
  <c r="Z468" i="3"/>
  <c r="X468" i="3"/>
  <c r="V468" i="3"/>
  <c r="U468" i="3"/>
  <c r="T468" i="3"/>
  <c r="S468" i="3"/>
  <c r="AG467" i="3"/>
  <c r="AF467" i="3"/>
  <c r="AE467" i="3"/>
  <c r="AD467" i="3"/>
  <c r="AC467" i="3"/>
  <c r="AB467" i="3"/>
  <c r="AA467" i="3"/>
  <c r="Z467" i="3"/>
  <c r="X467" i="3"/>
  <c r="V467" i="3"/>
  <c r="U467" i="3"/>
  <c r="T467" i="3"/>
  <c r="S467" i="3"/>
  <c r="AG466" i="3"/>
  <c r="AF466" i="3"/>
  <c r="AE466" i="3"/>
  <c r="AD466" i="3"/>
  <c r="AC466" i="3"/>
  <c r="AB466" i="3"/>
  <c r="AA466" i="3"/>
  <c r="Z466" i="3"/>
  <c r="X466" i="3"/>
  <c r="V466" i="3"/>
  <c r="U466" i="3"/>
  <c r="T466" i="3"/>
  <c r="S466" i="3"/>
  <c r="AG465" i="3"/>
  <c r="AF465" i="3"/>
  <c r="AE465" i="3"/>
  <c r="AD465" i="3"/>
  <c r="AC465" i="3"/>
  <c r="AB465" i="3"/>
  <c r="AA465" i="3"/>
  <c r="Z465" i="3"/>
  <c r="X465" i="3"/>
  <c r="V465" i="3"/>
  <c r="U465" i="3"/>
  <c r="T465" i="3"/>
  <c r="S465" i="3"/>
  <c r="AG464" i="3"/>
  <c r="AF464" i="3"/>
  <c r="AE464" i="3"/>
  <c r="AD464" i="3"/>
  <c r="AC464" i="3"/>
  <c r="AB464" i="3"/>
  <c r="AA464" i="3"/>
  <c r="Z464" i="3"/>
  <c r="X464" i="3"/>
  <c r="V464" i="3"/>
  <c r="U464" i="3"/>
  <c r="T464" i="3"/>
  <c r="S464" i="3"/>
  <c r="AG463" i="3"/>
  <c r="AF463" i="3"/>
  <c r="AE463" i="3"/>
  <c r="AD463" i="3"/>
  <c r="AC463" i="3"/>
  <c r="AB463" i="3"/>
  <c r="AA463" i="3"/>
  <c r="Z463" i="3"/>
  <c r="X463" i="3"/>
  <c r="V463" i="3"/>
  <c r="U463" i="3"/>
  <c r="T463" i="3"/>
  <c r="S463" i="3"/>
  <c r="AG462" i="3"/>
  <c r="AF462" i="3"/>
  <c r="AE462" i="3"/>
  <c r="AD462" i="3"/>
  <c r="AC462" i="3"/>
  <c r="AB462" i="3"/>
  <c r="AA462" i="3"/>
  <c r="Z462" i="3"/>
  <c r="X462" i="3"/>
  <c r="V462" i="3"/>
  <c r="U462" i="3"/>
  <c r="T462" i="3"/>
  <c r="S462" i="3"/>
  <c r="AG461" i="3"/>
  <c r="AF461" i="3"/>
  <c r="AE461" i="3"/>
  <c r="AD461" i="3"/>
  <c r="AC461" i="3"/>
  <c r="AB461" i="3"/>
  <c r="AA461" i="3"/>
  <c r="Z461" i="3"/>
  <c r="X461" i="3"/>
  <c r="V461" i="3"/>
  <c r="U461" i="3"/>
  <c r="T461" i="3"/>
  <c r="S461" i="3"/>
  <c r="AG460" i="3"/>
  <c r="AF460" i="3"/>
  <c r="AE460" i="3"/>
  <c r="AD460" i="3"/>
  <c r="AC460" i="3"/>
  <c r="AB460" i="3"/>
  <c r="AA460" i="3"/>
  <c r="Z460" i="3"/>
  <c r="X460" i="3"/>
  <c r="V460" i="3"/>
  <c r="U460" i="3"/>
  <c r="T460" i="3"/>
  <c r="S460" i="3"/>
  <c r="AG459" i="3"/>
  <c r="AF459" i="3"/>
  <c r="AE459" i="3"/>
  <c r="AD459" i="3"/>
  <c r="AC459" i="3"/>
  <c r="AB459" i="3"/>
  <c r="AA459" i="3"/>
  <c r="Z459" i="3"/>
  <c r="X459" i="3"/>
  <c r="V459" i="3"/>
  <c r="U459" i="3"/>
  <c r="T459" i="3"/>
  <c r="S459" i="3"/>
  <c r="AG458" i="3"/>
  <c r="AF458" i="3"/>
  <c r="AE458" i="3"/>
  <c r="AD458" i="3"/>
  <c r="AC458" i="3"/>
  <c r="AB458" i="3"/>
  <c r="AA458" i="3"/>
  <c r="Z458" i="3"/>
  <c r="X458" i="3"/>
  <c r="V458" i="3"/>
  <c r="U458" i="3"/>
  <c r="T458" i="3"/>
  <c r="S458" i="3"/>
  <c r="AG457" i="3"/>
  <c r="AF457" i="3"/>
  <c r="AE457" i="3"/>
  <c r="AD457" i="3"/>
  <c r="AC457" i="3"/>
  <c r="AB457" i="3"/>
  <c r="AA457" i="3"/>
  <c r="Z457" i="3"/>
  <c r="X457" i="3"/>
  <c r="V457" i="3"/>
  <c r="U457" i="3"/>
  <c r="T457" i="3"/>
  <c r="S457" i="3"/>
  <c r="AG456" i="3"/>
  <c r="AF456" i="3"/>
  <c r="AE456" i="3"/>
  <c r="AD456" i="3"/>
  <c r="AC456" i="3"/>
  <c r="AB456" i="3"/>
  <c r="AA456" i="3"/>
  <c r="Z456" i="3"/>
  <c r="X456" i="3"/>
  <c r="V456" i="3"/>
  <c r="U456" i="3"/>
  <c r="T456" i="3"/>
  <c r="S456" i="3"/>
  <c r="AG455" i="3"/>
  <c r="AF455" i="3"/>
  <c r="AE455" i="3"/>
  <c r="AD455" i="3"/>
  <c r="AC455" i="3"/>
  <c r="AB455" i="3"/>
  <c r="AA455" i="3"/>
  <c r="Z455" i="3"/>
  <c r="X455" i="3"/>
  <c r="V455" i="3"/>
  <c r="U455" i="3"/>
  <c r="T455" i="3"/>
  <c r="S455" i="3"/>
  <c r="AG454" i="3"/>
  <c r="AF454" i="3"/>
  <c r="AE454" i="3"/>
  <c r="AD454" i="3"/>
  <c r="AC454" i="3"/>
  <c r="AB454" i="3"/>
  <c r="AA454" i="3"/>
  <c r="Z454" i="3"/>
  <c r="X454" i="3"/>
  <c r="V454" i="3"/>
  <c r="U454" i="3"/>
  <c r="T454" i="3"/>
  <c r="S454" i="3"/>
  <c r="AG453" i="3"/>
  <c r="AF453" i="3"/>
  <c r="AE453" i="3"/>
  <c r="AD453" i="3"/>
  <c r="AC453" i="3"/>
  <c r="AB453" i="3"/>
  <c r="AA453" i="3"/>
  <c r="Z453" i="3"/>
  <c r="X453" i="3"/>
  <c r="V453" i="3"/>
  <c r="U453" i="3"/>
  <c r="T453" i="3"/>
  <c r="S453" i="3"/>
  <c r="AG452" i="3"/>
  <c r="AF452" i="3"/>
  <c r="AE452" i="3"/>
  <c r="AD452" i="3"/>
  <c r="AC452" i="3"/>
  <c r="AB452" i="3"/>
  <c r="AA452" i="3"/>
  <c r="Z452" i="3"/>
  <c r="X452" i="3"/>
  <c r="V452" i="3"/>
  <c r="U452" i="3"/>
  <c r="T452" i="3"/>
  <c r="S452" i="3"/>
  <c r="AG451" i="3"/>
  <c r="AF451" i="3"/>
  <c r="AE451" i="3"/>
  <c r="AD451" i="3"/>
  <c r="AC451" i="3"/>
  <c r="AB451" i="3"/>
  <c r="AA451" i="3"/>
  <c r="Z451" i="3"/>
  <c r="X451" i="3"/>
  <c r="V451" i="3"/>
  <c r="U451" i="3"/>
  <c r="T451" i="3"/>
  <c r="S451" i="3"/>
  <c r="AG450" i="3"/>
  <c r="AF450" i="3"/>
  <c r="AE450" i="3"/>
  <c r="AD450" i="3"/>
  <c r="AC450" i="3"/>
  <c r="AB450" i="3"/>
  <c r="AA450" i="3"/>
  <c r="Z450" i="3"/>
  <c r="X450" i="3"/>
  <c r="V450" i="3"/>
  <c r="U450" i="3"/>
  <c r="T450" i="3"/>
  <c r="S450" i="3"/>
  <c r="AG449" i="3"/>
  <c r="AF449" i="3"/>
  <c r="AE449" i="3"/>
  <c r="AD449" i="3"/>
  <c r="AC449" i="3"/>
  <c r="AB449" i="3"/>
  <c r="AA449" i="3"/>
  <c r="Z449" i="3"/>
  <c r="X449" i="3"/>
  <c r="V449" i="3"/>
  <c r="U449" i="3"/>
  <c r="T449" i="3"/>
  <c r="S449" i="3"/>
  <c r="AG448" i="3"/>
  <c r="AF448" i="3"/>
  <c r="AE448" i="3"/>
  <c r="AD448" i="3"/>
  <c r="AC448" i="3"/>
  <c r="AB448" i="3"/>
  <c r="AA448" i="3"/>
  <c r="Z448" i="3"/>
  <c r="X448" i="3"/>
  <c r="V448" i="3"/>
  <c r="U448" i="3"/>
  <c r="T448" i="3"/>
  <c r="S448" i="3"/>
  <c r="AG447" i="3"/>
  <c r="AF447" i="3"/>
  <c r="AE447" i="3"/>
  <c r="AD447" i="3"/>
  <c r="AC447" i="3"/>
  <c r="AB447" i="3"/>
  <c r="AA447" i="3"/>
  <c r="Z447" i="3"/>
  <c r="X447" i="3"/>
  <c r="V447" i="3"/>
  <c r="U447" i="3"/>
  <c r="T447" i="3"/>
  <c r="S447" i="3"/>
  <c r="AG446" i="3"/>
  <c r="AF446" i="3"/>
  <c r="AE446" i="3"/>
  <c r="AD446" i="3"/>
  <c r="AC446" i="3"/>
  <c r="AB446" i="3"/>
  <c r="AA446" i="3"/>
  <c r="Z446" i="3"/>
  <c r="X446" i="3"/>
  <c r="V446" i="3"/>
  <c r="U446" i="3"/>
  <c r="T446" i="3"/>
  <c r="S446" i="3"/>
  <c r="AG445" i="3"/>
  <c r="AF445" i="3"/>
  <c r="AE445" i="3"/>
  <c r="AD445" i="3"/>
  <c r="AC445" i="3"/>
  <c r="AB445" i="3"/>
  <c r="AA445" i="3"/>
  <c r="Z445" i="3"/>
  <c r="X445" i="3"/>
  <c r="V445" i="3"/>
  <c r="U445" i="3"/>
  <c r="T445" i="3"/>
  <c r="S445" i="3"/>
  <c r="AG444" i="3"/>
  <c r="AF444" i="3"/>
  <c r="AE444" i="3"/>
  <c r="AD444" i="3"/>
  <c r="AC444" i="3"/>
  <c r="AB444" i="3"/>
  <c r="AA444" i="3"/>
  <c r="Z444" i="3"/>
  <c r="X444" i="3"/>
  <c r="V444" i="3"/>
  <c r="U444" i="3"/>
  <c r="T444" i="3"/>
  <c r="S444" i="3"/>
  <c r="AG443" i="3"/>
  <c r="AF443" i="3"/>
  <c r="AE443" i="3"/>
  <c r="AD443" i="3"/>
  <c r="AC443" i="3"/>
  <c r="AB443" i="3"/>
  <c r="AA443" i="3"/>
  <c r="Z443" i="3"/>
  <c r="X443" i="3"/>
  <c r="V443" i="3"/>
  <c r="U443" i="3"/>
  <c r="T443" i="3"/>
  <c r="S443" i="3"/>
  <c r="AG442" i="3"/>
  <c r="AF442" i="3"/>
  <c r="AE442" i="3"/>
  <c r="AD442" i="3"/>
  <c r="AC442" i="3"/>
  <c r="AB442" i="3"/>
  <c r="AA442" i="3"/>
  <c r="Z442" i="3"/>
  <c r="X442" i="3"/>
  <c r="V442" i="3"/>
  <c r="U442" i="3"/>
  <c r="T442" i="3"/>
  <c r="S442" i="3"/>
  <c r="AG441" i="3"/>
  <c r="AF441" i="3"/>
  <c r="AE441" i="3"/>
  <c r="AD441" i="3"/>
  <c r="AC441" i="3"/>
  <c r="AB441" i="3"/>
  <c r="AA441" i="3"/>
  <c r="Z441" i="3"/>
  <c r="X441" i="3"/>
  <c r="V441" i="3"/>
  <c r="U441" i="3"/>
  <c r="T441" i="3"/>
  <c r="S441" i="3"/>
  <c r="AG440" i="3"/>
  <c r="AF440" i="3"/>
  <c r="AE440" i="3"/>
  <c r="AD440" i="3"/>
  <c r="AC440" i="3"/>
  <c r="AB440" i="3"/>
  <c r="AA440" i="3"/>
  <c r="Z440" i="3"/>
  <c r="X440" i="3"/>
  <c r="V440" i="3"/>
  <c r="U440" i="3"/>
  <c r="T440" i="3"/>
  <c r="S440" i="3"/>
  <c r="AG439" i="3"/>
  <c r="AF439" i="3"/>
  <c r="AE439" i="3"/>
  <c r="AD439" i="3"/>
  <c r="AC439" i="3"/>
  <c r="AB439" i="3"/>
  <c r="AA439" i="3"/>
  <c r="Z439" i="3"/>
  <c r="X439" i="3"/>
  <c r="V439" i="3"/>
  <c r="U439" i="3"/>
  <c r="T439" i="3"/>
  <c r="S439" i="3"/>
  <c r="AG438" i="3"/>
  <c r="AF438" i="3"/>
  <c r="AE438" i="3"/>
  <c r="AD438" i="3"/>
  <c r="AC438" i="3"/>
  <c r="AB438" i="3"/>
  <c r="AA438" i="3"/>
  <c r="Z438" i="3"/>
  <c r="X438" i="3"/>
  <c r="V438" i="3"/>
  <c r="U438" i="3"/>
  <c r="T438" i="3"/>
  <c r="S438" i="3"/>
  <c r="AG437" i="3"/>
  <c r="AF437" i="3"/>
  <c r="AE437" i="3"/>
  <c r="AD437" i="3"/>
  <c r="AC437" i="3"/>
  <c r="AB437" i="3"/>
  <c r="AA437" i="3"/>
  <c r="Z437" i="3"/>
  <c r="X437" i="3"/>
  <c r="V437" i="3"/>
  <c r="U437" i="3"/>
  <c r="T437" i="3"/>
  <c r="S437" i="3"/>
  <c r="AG436" i="3"/>
  <c r="AF436" i="3"/>
  <c r="AE436" i="3"/>
  <c r="AD436" i="3"/>
  <c r="AC436" i="3"/>
  <c r="AB436" i="3"/>
  <c r="AA436" i="3"/>
  <c r="Z436" i="3"/>
  <c r="X436" i="3"/>
  <c r="V436" i="3"/>
  <c r="U436" i="3"/>
  <c r="T436" i="3"/>
  <c r="S436" i="3"/>
  <c r="AG435" i="3"/>
  <c r="AF435" i="3"/>
  <c r="AE435" i="3"/>
  <c r="AD435" i="3"/>
  <c r="AC435" i="3"/>
  <c r="AB435" i="3"/>
  <c r="AA435" i="3"/>
  <c r="Z435" i="3"/>
  <c r="X435" i="3"/>
  <c r="V435" i="3"/>
  <c r="U435" i="3"/>
  <c r="T435" i="3"/>
  <c r="S435" i="3"/>
  <c r="AG434" i="3"/>
  <c r="AF434" i="3"/>
  <c r="AE434" i="3"/>
  <c r="AD434" i="3"/>
  <c r="AC434" i="3"/>
  <c r="AB434" i="3"/>
  <c r="AA434" i="3"/>
  <c r="Z434" i="3"/>
  <c r="X434" i="3"/>
  <c r="V434" i="3"/>
  <c r="U434" i="3"/>
  <c r="T434" i="3"/>
  <c r="S434" i="3"/>
  <c r="AG433" i="3"/>
  <c r="AF433" i="3"/>
  <c r="AE433" i="3"/>
  <c r="AD433" i="3"/>
  <c r="AC433" i="3"/>
  <c r="AB433" i="3"/>
  <c r="AA433" i="3"/>
  <c r="Z433" i="3"/>
  <c r="X433" i="3"/>
  <c r="V433" i="3"/>
  <c r="U433" i="3"/>
  <c r="T433" i="3"/>
  <c r="S433" i="3"/>
  <c r="AG432" i="3"/>
  <c r="AF432" i="3"/>
  <c r="AE432" i="3"/>
  <c r="AD432" i="3"/>
  <c r="AC432" i="3"/>
  <c r="AB432" i="3"/>
  <c r="AA432" i="3"/>
  <c r="Z432" i="3"/>
  <c r="X432" i="3"/>
  <c r="V432" i="3"/>
  <c r="U432" i="3"/>
  <c r="T432" i="3"/>
  <c r="S432" i="3"/>
  <c r="AG431" i="3"/>
  <c r="AF431" i="3"/>
  <c r="AE431" i="3"/>
  <c r="AD431" i="3"/>
  <c r="AC431" i="3"/>
  <c r="AB431" i="3"/>
  <c r="AA431" i="3"/>
  <c r="Z431" i="3"/>
  <c r="X431" i="3"/>
  <c r="V431" i="3"/>
  <c r="U431" i="3"/>
  <c r="T431" i="3"/>
  <c r="S431" i="3"/>
  <c r="AG430" i="3"/>
  <c r="AF430" i="3"/>
  <c r="AE430" i="3"/>
  <c r="AD430" i="3"/>
  <c r="AC430" i="3"/>
  <c r="AB430" i="3"/>
  <c r="AA430" i="3"/>
  <c r="Z430" i="3"/>
  <c r="X430" i="3"/>
  <c r="V430" i="3"/>
  <c r="U430" i="3"/>
  <c r="T430" i="3"/>
  <c r="S430" i="3"/>
  <c r="AG429" i="3"/>
  <c r="AF429" i="3"/>
  <c r="AE429" i="3"/>
  <c r="AD429" i="3"/>
  <c r="AC429" i="3"/>
  <c r="AB429" i="3"/>
  <c r="AA429" i="3"/>
  <c r="Z429" i="3"/>
  <c r="X429" i="3"/>
  <c r="V429" i="3"/>
  <c r="U429" i="3"/>
  <c r="T429" i="3"/>
  <c r="S429" i="3"/>
  <c r="AG428" i="3"/>
  <c r="AF428" i="3"/>
  <c r="AE428" i="3"/>
  <c r="AD428" i="3"/>
  <c r="AC428" i="3"/>
  <c r="AB428" i="3"/>
  <c r="AA428" i="3"/>
  <c r="Z428" i="3"/>
  <c r="X428" i="3"/>
  <c r="V428" i="3"/>
  <c r="U428" i="3"/>
  <c r="T428" i="3"/>
  <c r="S428" i="3"/>
  <c r="AG427" i="3"/>
  <c r="AF427" i="3"/>
  <c r="AE427" i="3"/>
  <c r="AD427" i="3"/>
  <c r="AC427" i="3"/>
  <c r="AB427" i="3"/>
  <c r="AA427" i="3"/>
  <c r="Z427" i="3"/>
  <c r="X427" i="3"/>
  <c r="V427" i="3"/>
  <c r="U427" i="3"/>
  <c r="T427" i="3"/>
  <c r="S427" i="3"/>
  <c r="AG426" i="3"/>
  <c r="AF426" i="3"/>
  <c r="AE426" i="3"/>
  <c r="AD426" i="3"/>
  <c r="AC426" i="3"/>
  <c r="AB426" i="3"/>
  <c r="AA426" i="3"/>
  <c r="Z426" i="3"/>
  <c r="X426" i="3"/>
  <c r="V426" i="3"/>
  <c r="U426" i="3"/>
  <c r="T426" i="3"/>
  <c r="S426" i="3"/>
  <c r="AG425" i="3"/>
  <c r="AF425" i="3"/>
  <c r="AE425" i="3"/>
  <c r="AD425" i="3"/>
  <c r="AC425" i="3"/>
  <c r="AB425" i="3"/>
  <c r="AA425" i="3"/>
  <c r="Z425" i="3"/>
  <c r="X425" i="3"/>
  <c r="V425" i="3"/>
  <c r="U425" i="3"/>
  <c r="T425" i="3"/>
  <c r="S425" i="3"/>
  <c r="AG424" i="3"/>
  <c r="AF424" i="3"/>
  <c r="AE424" i="3"/>
  <c r="AD424" i="3"/>
  <c r="AC424" i="3"/>
  <c r="AB424" i="3"/>
  <c r="AA424" i="3"/>
  <c r="Z424" i="3"/>
  <c r="X424" i="3"/>
  <c r="V424" i="3"/>
  <c r="U424" i="3"/>
  <c r="T424" i="3"/>
  <c r="S424" i="3"/>
  <c r="AG423" i="3"/>
  <c r="AF423" i="3"/>
  <c r="AE423" i="3"/>
  <c r="AD423" i="3"/>
  <c r="AC423" i="3"/>
  <c r="AB423" i="3"/>
  <c r="AA423" i="3"/>
  <c r="Z423" i="3"/>
  <c r="X423" i="3"/>
  <c r="V423" i="3"/>
  <c r="U423" i="3"/>
  <c r="T423" i="3"/>
  <c r="S423" i="3"/>
  <c r="AG422" i="3"/>
  <c r="AF422" i="3"/>
  <c r="AE422" i="3"/>
  <c r="AD422" i="3"/>
  <c r="AC422" i="3"/>
  <c r="AB422" i="3"/>
  <c r="AA422" i="3"/>
  <c r="Z422" i="3"/>
  <c r="X422" i="3"/>
  <c r="V422" i="3"/>
  <c r="U422" i="3"/>
  <c r="T422" i="3"/>
  <c r="S422" i="3"/>
  <c r="AG421" i="3"/>
  <c r="AF421" i="3"/>
  <c r="AE421" i="3"/>
  <c r="AD421" i="3"/>
  <c r="AC421" i="3"/>
  <c r="AB421" i="3"/>
  <c r="AA421" i="3"/>
  <c r="Z421" i="3"/>
  <c r="X421" i="3"/>
  <c r="V421" i="3"/>
  <c r="U421" i="3"/>
  <c r="T421" i="3"/>
  <c r="S421" i="3"/>
  <c r="AG420" i="3"/>
  <c r="AF420" i="3"/>
  <c r="AE420" i="3"/>
  <c r="AD420" i="3"/>
  <c r="AC420" i="3"/>
  <c r="AB420" i="3"/>
  <c r="AA420" i="3"/>
  <c r="Z420" i="3"/>
  <c r="X420" i="3"/>
  <c r="V420" i="3"/>
  <c r="U420" i="3"/>
  <c r="T420" i="3"/>
  <c r="S420" i="3"/>
  <c r="AG419" i="3"/>
  <c r="AF419" i="3"/>
  <c r="AE419" i="3"/>
  <c r="AD419" i="3"/>
  <c r="AC419" i="3"/>
  <c r="AB419" i="3"/>
  <c r="AA419" i="3"/>
  <c r="Z419" i="3"/>
  <c r="X419" i="3"/>
  <c r="V419" i="3"/>
  <c r="U419" i="3"/>
  <c r="T419" i="3"/>
  <c r="S419" i="3"/>
  <c r="AG418" i="3"/>
  <c r="AF418" i="3"/>
  <c r="AE418" i="3"/>
  <c r="AD418" i="3"/>
  <c r="AC418" i="3"/>
  <c r="AB418" i="3"/>
  <c r="AA418" i="3"/>
  <c r="Z418" i="3"/>
  <c r="X418" i="3"/>
  <c r="V418" i="3"/>
  <c r="U418" i="3"/>
  <c r="T418" i="3"/>
  <c r="S418" i="3"/>
  <c r="AG417" i="3"/>
  <c r="AF417" i="3"/>
  <c r="AE417" i="3"/>
  <c r="AD417" i="3"/>
  <c r="AC417" i="3"/>
  <c r="AB417" i="3"/>
  <c r="AA417" i="3"/>
  <c r="Z417" i="3"/>
  <c r="X417" i="3"/>
  <c r="V417" i="3"/>
  <c r="U417" i="3"/>
  <c r="T417" i="3"/>
  <c r="S417" i="3"/>
  <c r="AG416" i="3"/>
  <c r="AF416" i="3"/>
  <c r="AE416" i="3"/>
  <c r="AD416" i="3"/>
  <c r="AC416" i="3"/>
  <c r="AB416" i="3"/>
  <c r="AA416" i="3"/>
  <c r="Z416" i="3"/>
  <c r="X416" i="3"/>
  <c r="V416" i="3"/>
  <c r="U416" i="3"/>
  <c r="T416" i="3"/>
  <c r="S416" i="3"/>
  <c r="AG415" i="3"/>
  <c r="AF415" i="3"/>
  <c r="AE415" i="3"/>
  <c r="AD415" i="3"/>
  <c r="AC415" i="3"/>
  <c r="AB415" i="3"/>
  <c r="AA415" i="3"/>
  <c r="Z415" i="3"/>
  <c r="X415" i="3"/>
  <c r="V415" i="3"/>
  <c r="U415" i="3"/>
  <c r="T415" i="3"/>
  <c r="S415" i="3"/>
  <c r="AG414" i="3"/>
  <c r="AF414" i="3"/>
  <c r="AE414" i="3"/>
  <c r="AD414" i="3"/>
  <c r="AC414" i="3"/>
  <c r="AB414" i="3"/>
  <c r="AA414" i="3"/>
  <c r="Z414" i="3"/>
  <c r="X414" i="3"/>
  <c r="V414" i="3"/>
  <c r="U414" i="3"/>
  <c r="T414" i="3"/>
  <c r="S414" i="3"/>
  <c r="AG413" i="3"/>
  <c r="AF413" i="3"/>
  <c r="AE413" i="3"/>
  <c r="AD413" i="3"/>
  <c r="AC413" i="3"/>
  <c r="AB413" i="3"/>
  <c r="AA413" i="3"/>
  <c r="Z413" i="3"/>
  <c r="X413" i="3"/>
  <c r="V413" i="3"/>
  <c r="U413" i="3"/>
  <c r="T413" i="3"/>
  <c r="S413" i="3"/>
  <c r="AG412" i="3"/>
  <c r="AF412" i="3"/>
  <c r="AE412" i="3"/>
  <c r="AD412" i="3"/>
  <c r="AC412" i="3"/>
  <c r="AB412" i="3"/>
  <c r="AA412" i="3"/>
  <c r="Z412" i="3"/>
  <c r="X412" i="3"/>
  <c r="V412" i="3"/>
  <c r="U412" i="3"/>
  <c r="T412" i="3"/>
  <c r="S412" i="3"/>
  <c r="AG411" i="3"/>
  <c r="AF411" i="3"/>
  <c r="AE411" i="3"/>
  <c r="AD411" i="3"/>
  <c r="AC411" i="3"/>
  <c r="AB411" i="3"/>
  <c r="AA411" i="3"/>
  <c r="Z411" i="3"/>
  <c r="X411" i="3"/>
  <c r="V411" i="3"/>
  <c r="U411" i="3"/>
  <c r="T411" i="3"/>
  <c r="S411" i="3"/>
  <c r="AG410" i="3"/>
  <c r="AF410" i="3"/>
  <c r="AE410" i="3"/>
  <c r="AD410" i="3"/>
  <c r="AC410" i="3"/>
  <c r="AB410" i="3"/>
  <c r="AA410" i="3"/>
  <c r="Z410" i="3"/>
  <c r="X410" i="3"/>
  <c r="V410" i="3"/>
  <c r="U410" i="3"/>
  <c r="T410" i="3"/>
  <c r="S410" i="3"/>
  <c r="AG409" i="3"/>
  <c r="AF409" i="3"/>
  <c r="AE409" i="3"/>
  <c r="AD409" i="3"/>
  <c r="AC409" i="3"/>
  <c r="AB409" i="3"/>
  <c r="AA409" i="3"/>
  <c r="Z409" i="3"/>
  <c r="X409" i="3"/>
  <c r="V409" i="3"/>
  <c r="U409" i="3"/>
  <c r="T409" i="3"/>
  <c r="S409" i="3"/>
  <c r="AG408" i="3"/>
  <c r="AF408" i="3"/>
  <c r="AE408" i="3"/>
  <c r="AD408" i="3"/>
  <c r="AC408" i="3"/>
  <c r="AB408" i="3"/>
  <c r="AA408" i="3"/>
  <c r="Z408" i="3"/>
  <c r="X408" i="3"/>
  <c r="V408" i="3"/>
  <c r="U408" i="3"/>
  <c r="T408" i="3"/>
  <c r="S408" i="3"/>
  <c r="AG407" i="3"/>
  <c r="AF407" i="3"/>
  <c r="AE407" i="3"/>
  <c r="AD407" i="3"/>
  <c r="AC407" i="3"/>
  <c r="AB407" i="3"/>
  <c r="AA407" i="3"/>
  <c r="Z407" i="3"/>
  <c r="X407" i="3"/>
  <c r="V407" i="3"/>
  <c r="U407" i="3"/>
  <c r="T407" i="3"/>
  <c r="S407" i="3"/>
  <c r="AG406" i="3"/>
  <c r="AF406" i="3"/>
  <c r="AE406" i="3"/>
  <c r="AD406" i="3"/>
  <c r="AC406" i="3"/>
  <c r="AB406" i="3"/>
  <c r="AA406" i="3"/>
  <c r="Z406" i="3"/>
  <c r="X406" i="3"/>
  <c r="V406" i="3"/>
  <c r="U406" i="3"/>
  <c r="T406" i="3"/>
  <c r="S406" i="3"/>
  <c r="AG405" i="3"/>
  <c r="AF405" i="3"/>
  <c r="AE405" i="3"/>
  <c r="AD405" i="3"/>
  <c r="AC405" i="3"/>
  <c r="AB405" i="3"/>
  <c r="AA405" i="3"/>
  <c r="Z405" i="3"/>
  <c r="X405" i="3"/>
  <c r="V405" i="3"/>
  <c r="U405" i="3"/>
  <c r="T405" i="3"/>
  <c r="S405" i="3"/>
  <c r="AG404" i="3"/>
  <c r="AF404" i="3"/>
  <c r="AE404" i="3"/>
  <c r="AD404" i="3"/>
  <c r="AC404" i="3"/>
  <c r="AB404" i="3"/>
  <c r="AA404" i="3"/>
  <c r="Z404" i="3"/>
  <c r="X404" i="3"/>
  <c r="V404" i="3"/>
  <c r="U404" i="3"/>
  <c r="T404" i="3"/>
  <c r="S404" i="3"/>
  <c r="AG403" i="3"/>
  <c r="AF403" i="3"/>
  <c r="AE403" i="3"/>
  <c r="AD403" i="3"/>
  <c r="AC403" i="3"/>
  <c r="AB403" i="3"/>
  <c r="AA403" i="3"/>
  <c r="Z403" i="3"/>
  <c r="X403" i="3"/>
  <c r="V403" i="3"/>
  <c r="U403" i="3"/>
  <c r="T403" i="3"/>
  <c r="S403" i="3"/>
  <c r="AG402" i="3"/>
  <c r="AF402" i="3"/>
  <c r="AE402" i="3"/>
  <c r="AD402" i="3"/>
  <c r="AC402" i="3"/>
  <c r="AB402" i="3"/>
  <c r="AA402" i="3"/>
  <c r="Z402" i="3"/>
  <c r="X402" i="3"/>
  <c r="V402" i="3"/>
  <c r="U402" i="3"/>
  <c r="T402" i="3"/>
  <c r="S402" i="3"/>
  <c r="AG401" i="3"/>
  <c r="AF401" i="3"/>
  <c r="AE401" i="3"/>
  <c r="AD401" i="3"/>
  <c r="AC401" i="3"/>
  <c r="AB401" i="3"/>
  <c r="AA401" i="3"/>
  <c r="Z401" i="3"/>
  <c r="X401" i="3"/>
  <c r="V401" i="3"/>
  <c r="U401" i="3"/>
  <c r="T401" i="3"/>
  <c r="S401" i="3"/>
  <c r="AG400" i="3"/>
  <c r="AF400" i="3"/>
  <c r="AE400" i="3"/>
  <c r="AD400" i="3"/>
  <c r="AC400" i="3"/>
  <c r="AB400" i="3"/>
  <c r="AA400" i="3"/>
  <c r="Z400" i="3"/>
  <c r="X400" i="3"/>
  <c r="V400" i="3"/>
  <c r="U400" i="3"/>
  <c r="T400" i="3"/>
  <c r="S400" i="3"/>
  <c r="AG399" i="3"/>
  <c r="AF399" i="3"/>
  <c r="AE399" i="3"/>
  <c r="AD399" i="3"/>
  <c r="AC399" i="3"/>
  <c r="AB399" i="3"/>
  <c r="AA399" i="3"/>
  <c r="Z399" i="3"/>
  <c r="X399" i="3"/>
  <c r="V399" i="3"/>
  <c r="U399" i="3"/>
  <c r="T399" i="3"/>
  <c r="S399" i="3"/>
  <c r="AG398" i="3"/>
  <c r="AF398" i="3"/>
  <c r="AE398" i="3"/>
  <c r="AD398" i="3"/>
  <c r="AC398" i="3"/>
  <c r="AB398" i="3"/>
  <c r="AA398" i="3"/>
  <c r="Z398" i="3"/>
  <c r="X398" i="3"/>
  <c r="V398" i="3"/>
  <c r="U398" i="3"/>
  <c r="T398" i="3"/>
  <c r="S398" i="3"/>
  <c r="AG397" i="3"/>
  <c r="AF397" i="3"/>
  <c r="AE397" i="3"/>
  <c r="AD397" i="3"/>
  <c r="AC397" i="3"/>
  <c r="AB397" i="3"/>
  <c r="AA397" i="3"/>
  <c r="Z397" i="3"/>
  <c r="X397" i="3"/>
  <c r="V397" i="3"/>
  <c r="U397" i="3"/>
  <c r="T397" i="3"/>
  <c r="S397" i="3"/>
  <c r="AG396" i="3"/>
  <c r="AF396" i="3"/>
  <c r="AE396" i="3"/>
  <c r="AD396" i="3"/>
  <c r="AC396" i="3"/>
  <c r="AB396" i="3"/>
  <c r="AA396" i="3"/>
  <c r="Z396" i="3"/>
  <c r="X396" i="3"/>
  <c r="V396" i="3"/>
  <c r="U396" i="3"/>
  <c r="T396" i="3"/>
  <c r="S396" i="3"/>
  <c r="AG395" i="3"/>
  <c r="AF395" i="3"/>
  <c r="AE395" i="3"/>
  <c r="AD395" i="3"/>
  <c r="AC395" i="3"/>
  <c r="AB395" i="3"/>
  <c r="AA395" i="3"/>
  <c r="Z395" i="3"/>
  <c r="X395" i="3"/>
  <c r="V395" i="3"/>
  <c r="U395" i="3"/>
  <c r="T395" i="3"/>
  <c r="S395" i="3"/>
  <c r="AG394" i="3"/>
  <c r="AF394" i="3"/>
  <c r="AE394" i="3"/>
  <c r="AD394" i="3"/>
  <c r="AC394" i="3"/>
  <c r="AB394" i="3"/>
  <c r="AA394" i="3"/>
  <c r="Z394" i="3"/>
  <c r="X394" i="3"/>
  <c r="V394" i="3"/>
  <c r="U394" i="3"/>
  <c r="T394" i="3"/>
  <c r="S394" i="3"/>
  <c r="AG393" i="3"/>
  <c r="AF393" i="3"/>
  <c r="AE393" i="3"/>
  <c r="AD393" i="3"/>
  <c r="AC393" i="3"/>
  <c r="AB393" i="3"/>
  <c r="AA393" i="3"/>
  <c r="Z393" i="3"/>
  <c r="X393" i="3"/>
  <c r="V393" i="3"/>
  <c r="U393" i="3"/>
  <c r="T393" i="3"/>
  <c r="S393" i="3"/>
  <c r="AG392" i="3"/>
  <c r="AF392" i="3"/>
  <c r="AE392" i="3"/>
  <c r="AD392" i="3"/>
  <c r="AC392" i="3"/>
  <c r="AB392" i="3"/>
  <c r="AA392" i="3"/>
  <c r="Z392" i="3"/>
  <c r="X392" i="3"/>
  <c r="V392" i="3"/>
  <c r="U392" i="3"/>
  <c r="T392" i="3"/>
  <c r="S392" i="3"/>
  <c r="AG391" i="3"/>
  <c r="AF391" i="3"/>
  <c r="AE391" i="3"/>
  <c r="AD391" i="3"/>
  <c r="AC391" i="3"/>
  <c r="AB391" i="3"/>
  <c r="AA391" i="3"/>
  <c r="Z391" i="3"/>
  <c r="X391" i="3"/>
  <c r="V391" i="3"/>
  <c r="U391" i="3"/>
  <c r="T391" i="3"/>
  <c r="S391" i="3"/>
  <c r="AG390" i="3"/>
  <c r="AF390" i="3"/>
  <c r="AE390" i="3"/>
  <c r="AD390" i="3"/>
  <c r="AC390" i="3"/>
  <c r="AB390" i="3"/>
  <c r="AA390" i="3"/>
  <c r="Z390" i="3"/>
  <c r="X390" i="3"/>
  <c r="V390" i="3"/>
  <c r="U390" i="3"/>
  <c r="T390" i="3"/>
  <c r="S390" i="3"/>
  <c r="AG389" i="3"/>
  <c r="AF389" i="3"/>
  <c r="AE389" i="3"/>
  <c r="AD389" i="3"/>
  <c r="AC389" i="3"/>
  <c r="AB389" i="3"/>
  <c r="AA389" i="3"/>
  <c r="Z389" i="3"/>
  <c r="X389" i="3"/>
  <c r="V389" i="3"/>
  <c r="U389" i="3"/>
  <c r="T389" i="3"/>
  <c r="S389" i="3"/>
  <c r="AG388" i="3"/>
  <c r="AF388" i="3"/>
  <c r="AE388" i="3"/>
  <c r="AD388" i="3"/>
  <c r="AC388" i="3"/>
  <c r="AB388" i="3"/>
  <c r="AA388" i="3"/>
  <c r="Z388" i="3"/>
  <c r="X388" i="3"/>
  <c r="V388" i="3"/>
  <c r="U388" i="3"/>
  <c r="T388" i="3"/>
  <c r="S388" i="3"/>
  <c r="AG387" i="3"/>
  <c r="AF387" i="3"/>
  <c r="AE387" i="3"/>
  <c r="AD387" i="3"/>
  <c r="AC387" i="3"/>
  <c r="AB387" i="3"/>
  <c r="AA387" i="3"/>
  <c r="Z387" i="3"/>
  <c r="X387" i="3"/>
  <c r="V387" i="3"/>
  <c r="U387" i="3"/>
  <c r="T387" i="3"/>
  <c r="S387" i="3"/>
  <c r="AG386" i="3"/>
  <c r="AF386" i="3"/>
  <c r="AE386" i="3"/>
  <c r="AD386" i="3"/>
  <c r="AC386" i="3"/>
  <c r="AB386" i="3"/>
  <c r="AA386" i="3"/>
  <c r="Z386" i="3"/>
  <c r="X386" i="3"/>
  <c r="V386" i="3"/>
  <c r="U386" i="3"/>
  <c r="T386" i="3"/>
  <c r="S386" i="3"/>
  <c r="AG385" i="3"/>
  <c r="AF385" i="3"/>
  <c r="AE385" i="3"/>
  <c r="AD385" i="3"/>
  <c r="AC385" i="3"/>
  <c r="AB385" i="3"/>
  <c r="AA385" i="3"/>
  <c r="Z385" i="3"/>
  <c r="X385" i="3"/>
  <c r="V385" i="3"/>
  <c r="U385" i="3"/>
  <c r="T385" i="3"/>
  <c r="S385" i="3"/>
  <c r="AG384" i="3"/>
  <c r="AF384" i="3"/>
  <c r="AE384" i="3"/>
  <c r="AD384" i="3"/>
  <c r="AC384" i="3"/>
  <c r="AB384" i="3"/>
  <c r="AA384" i="3"/>
  <c r="Z384" i="3"/>
  <c r="X384" i="3"/>
  <c r="V384" i="3"/>
  <c r="U384" i="3"/>
  <c r="T384" i="3"/>
  <c r="S384" i="3"/>
  <c r="AG383" i="3"/>
  <c r="AF383" i="3"/>
  <c r="AE383" i="3"/>
  <c r="AD383" i="3"/>
  <c r="AC383" i="3"/>
  <c r="AB383" i="3"/>
  <c r="AA383" i="3"/>
  <c r="Z383" i="3"/>
  <c r="X383" i="3"/>
  <c r="V383" i="3"/>
  <c r="U383" i="3"/>
  <c r="T383" i="3"/>
  <c r="S383" i="3"/>
  <c r="AG382" i="3"/>
  <c r="AF382" i="3"/>
  <c r="AE382" i="3"/>
  <c r="AD382" i="3"/>
  <c r="AC382" i="3"/>
  <c r="AB382" i="3"/>
  <c r="AA382" i="3"/>
  <c r="Z382" i="3"/>
  <c r="X382" i="3"/>
  <c r="V382" i="3"/>
  <c r="U382" i="3"/>
  <c r="T382" i="3"/>
  <c r="S382" i="3"/>
  <c r="AG381" i="3"/>
  <c r="AF381" i="3"/>
  <c r="AE381" i="3"/>
  <c r="AD381" i="3"/>
  <c r="AC381" i="3"/>
  <c r="AB381" i="3"/>
  <c r="AA381" i="3"/>
  <c r="Z381" i="3"/>
  <c r="X381" i="3"/>
  <c r="V381" i="3"/>
  <c r="U381" i="3"/>
  <c r="T381" i="3"/>
  <c r="S381" i="3"/>
  <c r="AG380" i="3"/>
  <c r="AF380" i="3"/>
  <c r="AE380" i="3"/>
  <c r="AD380" i="3"/>
  <c r="AC380" i="3"/>
  <c r="AB380" i="3"/>
  <c r="AA380" i="3"/>
  <c r="Z380" i="3"/>
  <c r="X380" i="3"/>
  <c r="V380" i="3"/>
  <c r="U380" i="3"/>
  <c r="T380" i="3"/>
  <c r="S380" i="3"/>
  <c r="AG379" i="3"/>
  <c r="AF379" i="3"/>
  <c r="AE379" i="3"/>
  <c r="AD379" i="3"/>
  <c r="AC379" i="3"/>
  <c r="AB379" i="3"/>
  <c r="AA379" i="3"/>
  <c r="Z379" i="3"/>
  <c r="X379" i="3"/>
  <c r="V379" i="3"/>
  <c r="U379" i="3"/>
  <c r="T379" i="3"/>
  <c r="S379" i="3"/>
  <c r="AG378" i="3"/>
  <c r="AF378" i="3"/>
  <c r="AE378" i="3"/>
  <c r="AD378" i="3"/>
  <c r="AC378" i="3"/>
  <c r="AB378" i="3"/>
  <c r="AA378" i="3"/>
  <c r="Z378" i="3"/>
  <c r="X378" i="3"/>
  <c r="V378" i="3"/>
  <c r="U378" i="3"/>
  <c r="T378" i="3"/>
  <c r="S378" i="3"/>
  <c r="AG377" i="3"/>
  <c r="AF377" i="3"/>
  <c r="AE377" i="3"/>
  <c r="AD377" i="3"/>
  <c r="AC377" i="3"/>
  <c r="AB377" i="3"/>
  <c r="AA377" i="3"/>
  <c r="Z377" i="3"/>
  <c r="X377" i="3"/>
  <c r="V377" i="3"/>
  <c r="U377" i="3"/>
  <c r="T377" i="3"/>
  <c r="S377" i="3"/>
  <c r="AG376" i="3"/>
  <c r="AF376" i="3"/>
  <c r="AE376" i="3"/>
  <c r="AD376" i="3"/>
  <c r="AC376" i="3"/>
  <c r="AB376" i="3"/>
  <c r="AA376" i="3"/>
  <c r="Z376" i="3"/>
  <c r="X376" i="3"/>
  <c r="V376" i="3"/>
  <c r="U376" i="3"/>
  <c r="T376" i="3"/>
  <c r="S376" i="3"/>
  <c r="AG375" i="3"/>
  <c r="AF375" i="3"/>
  <c r="AE375" i="3"/>
  <c r="AD375" i="3"/>
  <c r="AC375" i="3"/>
  <c r="AB375" i="3"/>
  <c r="AA375" i="3"/>
  <c r="Z375" i="3"/>
  <c r="X375" i="3"/>
  <c r="V375" i="3"/>
  <c r="U375" i="3"/>
  <c r="T375" i="3"/>
  <c r="S375" i="3"/>
  <c r="AG374" i="3"/>
  <c r="AF374" i="3"/>
  <c r="AE374" i="3"/>
  <c r="AD374" i="3"/>
  <c r="AC374" i="3"/>
  <c r="AB374" i="3"/>
  <c r="AA374" i="3"/>
  <c r="Z374" i="3"/>
  <c r="X374" i="3"/>
  <c r="V374" i="3"/>
  <c r="U374" i="3"/>
  <c r="T374" i="3"/>
  <c r="S374" i="3"/>
  <c r="AG373" i="3"/>
  <c r="AF373" i="3"/>
  <c r="AE373" i="3"/>
  <c r="AD373" i="3"/>
  <c r="AC373" i="3"/>
  <c r="AB373" i="3"/>
  <c r="AA373" i="3"/>
  <c r="Z373" i="3"/>
  <c r="X373" i="3"/>
  <c r="V373" i="3"/>
  <c r="U373" i="3"/>
  <c r="T373" i="3"/>
  <c r="S373" i="3"/>
  <c r="AG372" i="3"/>
  <c r="AF372" i="3"/>
  <c r="AE372" i="3"/>
  <c r="AD372" i="3"/>
  <c r="AC372" i="3"/>
  <c r="AB372" i="3"/>
  <c r="AA372" i="3"/>
  <c r="Z372" i="3"/>
  <c r="X372" i="3"/>
  <c r="V372" i="3"/>
  <c r="U372" i="3"/>
  <c r="T372" i="3"/>
  <c r="S372" i="3"/>
  <c r="AG371" i="3"/>
  <c r="AF371" i="3"/>
  <c r="AE371" i="3"/>
  <c r="AD371" i="3"/>
  <c r="AC371" i="3"/>
  <c r="AB371" i="3"/>
  <c r="AA371" i="3"/>
  <c r="Z371" i="3"/>
  <c r="X371" i="3"/>
  <c r="V371" i="3"/>
  <c r="U371" i="3"/>
  <c r="T371" i="3"/>
  <c r="S371" i="3"/>
  <c r="AG370" i="3"/>
  <c r="AF370" i="3"/>
  <c r="AE370" i="3"/>
  <c r="AD370" i="3"/>
  <c r="AC370" i="3"/>
  <c r="AB370" i="3"/>
  <c r="AA370" i="3"/>
  <c r="Z370" i="3"/>
  <c r="X370" i="3"/>
  <c r="V370" i="3"/>
  <c r="U370" i="3"/>
  <c r="T370" i="3"/>
  <c r="S370" i="3"/>
  <c r="AG369" i="3"/>
  <c r="AF369" i="3"/>
  <c r="AE369" i="3"/>
  <c r="AD369" i="3"/>
  <c r="AC369" i="3"/>
  <c r="AB369" i="3"/>
  <c r="AA369" i="3"/>
  <c r="Z369" i="3"/>
  <c r="X369" i="3"/>
  <c r="V369" i="3"/>
  <c r="U369" i="3"/>
  <c r="T369" i="3"/>
  <c r="S369" i="3"/>
  <c r="AG368" i="3"/>
  <c r="AF368" i="3"/>
  <c r="AE368" i="3"/>
  <c r="AD368" i="3"/>
  <c r="AC368" i="3"/>
  <c r="AB368" i="3"/>
  <c r="AA368" i="3"/>
  <c r="Z368" i="3"/>
  <c r="X368" i="3"/>
  <c r="V368" i="3"/>
  <c r="U368" i="3"/>
  <c r="T368" i="3"/>
  <c r="S368" i="3"/>
  <c r="AG367" i="3"/>
  <c r="AF367" i="3"/>
  <c r="AE367" i="3"/>
  <c r="AD367" i="3"/>
  <c r="AC367" i="3"/>
  <c r="AB367" i="3"/>
  <c r="AA367" i="3"/>
  <c r="Z367" i="3"/>
  <c r="X367" i="3"/>
  <c r="V367" i="3"/>
  <c r="U367" i="3"/>
  <c r="T367" i="3"/>
  <c r="S367" i="3"/>
  <c r="AG366" i="3"/>
  <c r="AF366" i="3"/>
  <c r="AE366" i="3"/>
  <c r="AD366" i="3"/>
  <c r="AC366" i="3"/>
  <c r="AB366" i="3"/>
  <c r="AA366" i="3"/>
  <c r="Z366" i="3"/>
  <c r="X366" i="3"/>
  <c r="V366" i="3"/>
  <c r="U366" i="3"/>
  <c r="T366" i="3"/>
  <c r="S366" i="3"/>
  <c r="AG365" i="3"/>
  <c r="AF365" i="3"/>
  <c r="AE365" i="3"/>
  <c r="AD365" i="3"/>
  <c r="AC365" i="3"/>
  <c r="AB365" i="3"/>
  <c r="AA365" i="3"/>
  <c r="Z365" i="3"/>
  <c r="X365" i="3"/>
  <c r="V365" i="3"/>
  <c r="U365" i="3"/>
  <c r="T365" i="3"/>
  <c r="S365" i="3"/>
  <c r="AG364" i="3"/>
  <c r="AF364" i="3"/>
  <c r="AE364" i="3"/>
  <c r="AD364" i="3"/>
  <c r="AC364" i="3"/>
  <c r="AB364" i="3"/>
  <c r="AA364" i="3"/>
  <c r="Z364" i="3"/>
  <c r="X364" i="3"/>
  <c r="V364" i="3"/>
  <c r="U364" i="3"/>
  <c r="T364" i="3"/>
  <c r="S364" i="3"/>
  <c r="AG363" i="3"/>
  <c r="AF363" i="3"/>
  <c r="AE363" i="3"/>
  <c r="AD363" i="3"/>
  <c r="AC363" i="3"/>
  <c r="AB363" i="3"/>
  <c r="AA363" i="3"/>
  <c r="Z363" i="3"/>
  <c r="X363" i="3"/>
  <c r="V363" i="3"/>
  <c r="U363" i="3"/>
  <c r="T363" i="3"/>
  <c r="S363" i="3"/>
  <c r="AG362" i="3"/>
  <c r="AF362" i="3"/>
  <c r="AE362" i="3"/>
  <c r="AD362" i="3"/>
  <c r="AC362" i="3"/>
  <c r="AB362" i="3"/>
  <c r="AA362" i="3"/>
  <c r="Z362" i="3"/>
  <c r="X362" i="3"/>
  <c r="V362" i="3"/>
  <c r="U362" i="3"/>
  <c r="T362" i="3"/>
  <c r="S362" i="3"/>
  <c r="AG361" i="3"/>
  <c r="AF361" i="3"/>
  <c r="AE361" i="3"/>
  <c r="AD361" i="3"/>
  <c r="AC361" i="3"/>
  <c r="AB361" i="3"/>
  <c r="AA361" i="3"/>
  <c r="Z361" i="3"/>
  <c r="X361" i="3"/>
  <c r="V361" i="3"/>
  <c r="U361" i="3"/>
  <c r="T361" i="3"/>
  <c r="S361" i="3"/>
  <c r="AG360" i="3"/>
  <c r="AF360" i="3"/>
  <c r="AE360" i="3"/>
  <c r="AD360" i="3"/>
  <c r="AC360" i="3"/>
  <c r="AB360" i="3"/>
  <c r="AA360" i="3"/>
  <c r="Z360" i="3"/>
  <c r="X360" i="3"/>
  <c r="V360" i="3"/>
  <c r="U360" i="3"/>
  <c r="T360" i="3"/>
  <c r="S360" i="3"/>
  <c r="AG359" i="3"/>
  <c r="AF359" i="3"/>
  <c r="AE359" i="3"/>
  <c r="AD359" i="3"/>
  <c r="AC359" i="3"/>
  <c r="AB359" i="3"/>
  <c r="AA359" i="3"/>
  <c r="Z359" i="3"/>
  <c r="X359" i="3"/>
  <c r="V359" i="3"/>
  <c r="U359" i="3"/>
  <c r="T359" i="3"/>
  <c r="S359" i="3"/>
  <c r="AG358" i="3"/>
  <c r="AF358" i="3"/>
  <c r="AE358" i="3"/>
  <c r="AD358" i="3"/>
  <c r="AC358" i="3"/>
  <c r="AB358" i="3"/>
  <c r="AA358" i="3"/>
  <c r="Z358" i="3"/>
  <c r="X358" i="3"/>
  <c r="V358" i="3"/>
  <c r="U358" i="3"/>
  <c r="T358" i="3"/>
  <c r="S358" i="3"/>
  <c r="AG357" i="3"/>
  <c r="AF357" i="3"/>
  <c r="AE357" i="3"/>
  <c r="AD357" i="3"/>
  <c r="AC357" i="3"/>
  <c r="AB357" i="3"/>
  <c r="AA357" i="3"/>
  <c r="Z357" i="3"/>
  <c r="X357" i="3"/>
  <c r="V357" i="3"/>
  <c r="U357" i="3"/>
  <c r="T357" i="3"/>
  <c r="S357" i="3"/>
  <c r="AG356" i="3"/>
  <c r="AF356" i="3"/>
  <c r="AE356" i="3"/>
  <c r="AD356" i="3"/>
  <c r="AC356" i="3"/>
  <c r="AB356" i="3"/>
  <c r="AA356" i="3"/>
  <c r="Z356" i="3"/>
  <c r="X356" i="3"/>
  <c r="V356" i="3"/>
  <c r="U356" i="3"/>
  <c r="T356" i="3"/>
  <c r="S356" i="3"/>
  <c r="AG355" i="3"/>
  <c r="AF355" i="3"/>
  <c r="AE355" i="3"/>
  <c r="AD355" i="3"/>
  <c r="AC355" i="3"/>
  <c r="AB355" i="3"/>
  <c r="AA355" i="3"/>
  <c r="Z355" i="3"/>
  <c r="X355" i="3"/>
  <c r="V355" i="3"/>
  <c r="U355" i="3"/>
  <c r="T355" i="3"/>
  <c r="S355" i="3"/>
  <c r="AG354" i="3"/>
  <c r="AF354" i="3"/>
  <c r="AE354" i="3"/>
  <c r="AD354" i="3"/>
  <c r="AC354" i="3"/>
  <c r="AB354" i="3"/>
  <c r="AA354" i="3"/>
  <c r="Z354" i="3"/>
  <c r="X354" i="3"/>
  <c r="V354" i="3"/>
  <c r="U354" i="3"/>
  <c r="T354" i="3"/>
  <c r="S354" i="3"/>
  <c r="AG353" i="3"/>
  <c r="AF353" i="3"/>
  <c r="AE353" i="3"/>
  <c r="AD353" i="3"/>
  <c r="AC353" i="3"/>
  <c r="AB353" i="3"/>
  <c r="AA353" i="3"/>
  <c r="Z353" i="3"/>
  <c r="X353" i="3"/>
  <c r="V353" i="3"/>
  <c r="U353" i="3"/>
  <c r="T353" i="3"/>
  <c r="S353" i="3"/>
  <c r="AG352" i="3"/>
  <c r="AF352" i="3"/>
  <c r="AE352" i="3"/>
  <c r="AD352" i="3"/>
  <c r="AC352" i="3"/>
  <c r="AB352" i="3"/>
  <c r="AA352" i="3"/>
  <c r="Z352" i="3"/>
  <c r="X352" i="3"/>
  <c r="V352" i="3"/>
  <c r="U352" i="3"/>
  <c r="T352" i="3"/>
  <c r="S352" i="3"/>
  <c r="AG351" i="3"/>
  <c r="AF351" i="3"/>
  <c r="AE351" i="3"/>
  <c r="AD351" i="3"/>
  <c r="AC351" i="3"/>
  <c r="AB351" i="3"/>
  <c r="AA351" i="3"/>
  <c r="Z351" i="3"/>
  <c r="X351" i="3"/>
  <c r="V351" i="3"/>
  <c r="U351" i="3"/>
  <c r="T351" i="3"/>
  <c r="S351" i="3"/>
  <c r="AG350" i="3"/>
  <c r="AF350" i="3"/>
  <c r="AE350" i="3"/>
  <c r="AD350" i="3"/>
  <c r="AC350" i="3"/>
  <c r="AB350" i="3"/>
  <c r="AA350" i="3"/>
  <c r="Z350" i="3"/>
  <c r="X350" i="3"/>
  <c r="V350" i="3"/>
  <c r="U350" i="3"/>
  <c r="T350" i="3"/>
  <c r="S350" i="3"/>
  <c r="AG349" i="3"/>
  <c r="AF349" i="3"/>
  <c r="AE349" i="3"/>
  <c r="AD349" i="3"/>
  <c r="AC349" i="3"/>
  <c r="AB349" i="3"/>
  <c r="AA349" i="3"/>
  <c r="Z349" i="3"/>
  <c r="X349" i="3"/>
  <c r="V349" i="3"/>
  <c r="U349" i="3"/>
  <c r="T349" i="3"/>
  <c r="S349" i="3"/>
  <c r="AG348" i="3"/>
  <c r="AF348" i="3"/>
  <c r="AE348" i="3"/>
  <c r="AD348" i="3"/>
  <c r="AC348" i="3"/>
  <c r="AB348" i="3"/>
  <c r="AA348" i="3"/>
  <c r="Z348" i="3"/>
  <c r="X348" i="3"/>
  <c r="V348" i="3"/>
  <c r="U348" i="3"/>
  <c r="T348" i="3"/>
  <c r="S348" i="3"/>
  <c r="AG347" i="3"/>
  <c r="AF347" i="3"/>
  <c r="AE347" i="3"/>
  <c r="AD347" i="3"/>
  <c r="AC347" i="3"/>
  <c r="AB347" i="3"/>
  <c r="AA347" i="3"/>
  <c r="Z347" i="3"/>
  <c r="X347" i="3"/>
  <c r="V347" i="3"/>
  <c r="U347" i="3"/>
  <c r="T347" i="3"/>
  <c r="S347" i="3"/>
  <c r="AG346" i="3"/>
  <c r="AF346" i="3"/>
  <c r="AE346" i="3"/>
  <c r="AD346" i="3"/>
  <c r="AC346" i="3"/>
  <c r="AB346" i="3"/>
  <c r="AA346" i="3"/>
  <c r="Z346" i="3"/>
  <c r="X346" i="3"/>
  <c r="V346" i="3"/>
  <c r="U346" i="3"/>
  <c r="T346" i="3"/>
  <c r="S346" i="3"/>
  <c r="AG345" i="3"/>
  <c r="AF345" i="3"/>
  <c r="AE345" i="3"/>
  <c r="AD345" i="3"/>
  <c r="AC345" i="3"/>
  <c r="AB345" i="3"/>
  <c r="AA345" i="3"/>
  <c r="Z345" i="3"/>
  <c r="X345" i="3"/>
  <c r="V345" i="3"/>
  <c r="U345" i="3"/>
  <c r="T345" i="3"/>
  <c r="S345" i="3"/>
  <c r="AG344" i="3"/>
  <c r="AF344" i="3"/>
  <c r="AE344" i="3"/>
  <c r="AD344" i="3"/>
  <c r="AC344" i="3"/>
  <c r="AB344" i="3"/>
  <c r="AA344" i="3"/>
  <c r="Z344" i="3"/>
  <c r="X344" i="3"/>
  <c r="V344" i="3"/>
  <c r="U344" i="3"/>
  <c r="T344" i="3"/>
  <c r="S344" i="3"/>
  <c r="AG343" i="3"/>
  <c r="AF343" i="3"/>
  <c r="AE343" i="3"/>
  <c r="AD343" i="3"/>
  <c r="AC343" i="3"/>
  <c r="AB343" i="3"/>
  <c r="AA343" i="3"/>
  <c r="Z343" i="3"/>
  <c r="X343" i="3"/>
  <c r="V343" i="3"/>
  <c r="U343" i="3"/>
  <c r="T343" i="3"/>
  <c r="S343" i="3"/>
  <c r="AG342" i="3"/>
  <c r="AF342" i="3"/>
  <c r="AE342" i="3"/>
  <c r="AD342" i="3"/>
  <c r="AC342" i="3"/>
  <c r="AB342" i="3"/>
  <c r="AA342" i="3"/>
  <c r="Z342" i="3"/>
  <c r="X342" i="3"/>
  <c r="V342" i="3"/>
  <c r="U342" i="3"/>
  <c r="T342" i="3"/>
  <c r="S342" i="3"/>
  <c r="AG341" i="3"/>
  <c r="AF341" i="3"/>
  <c r="AE341" i="3"/>
  <c r="AD341" i="3"/>
  <c r="AC341" i="3"/>
  <c r="AB341" i="3"/>
  <c r="AA341" i="3"/>
  <c r="Z341" i="3"/>
  <c r="X341" i="3"/>
  <c r="V341" i="3"/>
  <c r="U341" i="3"/>
  <c r="T341" i="3"/>
  <c r="S341" i="3"/>
  <c r="AG340" i="3"/>
  <c r="AF340" i="3"/>
  <c r="AE340" i="3"/>
  <c r="AD340" i="3"/>
  <c r="AC340" i="3"/>
  <c r="AB340" i="3"/>
  <c r="AA340" i="3"/>
  <c r="Z340" i="3"/>
  <c r="X340" i="3"/>
  <c r="V340" i="3"/>
  <c r="U340" i="3"/>
  <c r="T340" i="3"/>
  <c r="S340" i="3"/>
  <c r="AG339" i="3"/>
  <c r="AF339" i="3"/>
  <c r="AE339" i="3"/>
  <c r="AD339" i="3"/>
  <c r="AC339" i="3"/>
  <c r="AB339" i="3"/>
  <c r="AA339" i="3"/>
  <c r="Z339" i="3"/>
  <c r="X339" i="3"/>
  <c r="V339" i="3"/>
  <c r="U339" i="3"/>
  <c r="T339" i="3"/>
  <c r="S339" i="3"/>
  <c r="AG338" i="3"/>
  <c r="AF338" i="3"/>
  <c r="AE338" i="3"/>
  <c r="AD338" i="3"/>
  <c r="AC338" i="3"/>
  <c r="AB338" i="3"/>
  <c r="AA338" i="3"/>
  <c r="Z338" i="3"/>
  <c r="X338" i="3"/>
  <c r="V338" i="3"/>
  <c r="U338" i="3"/>
  <c r="T338" i="3"/>
  <c r="S338" i="3"/>
  <c r="AG337" i="3"/>
  <c r="AF337" i="3"/>
  <c r="AE337" i="3"/>
  <c r="AD337" i="3"/>
  <c r="AC337" i="3"/>
  <c r="AB337" i="3"/>
  <c r="AA337" i="3"/>
  <c r="Z337" i="3"/>
  <c r="X337" i="3"/>
  <c r="V337" i="3"/>
  <c r="U337" i="3"/>
  <c r="T337" i="3"/>
  <c r="S337" i="3"/>
  <c r="AG336" i="3"/>
  <c r="AF336" i="3"/>
  <c r="AE336" i="3"/>
  <c r="AD336" i="3"/>
  <c r="AC336" i="3"/>
  <c r="AB336" i="3"/>
  <c r="AA336" i="3"/>
  <c r="Z336" i="3"/>
  <c r="X336" i="3"/>
  <c r="V336" i="3"/>
  <c r="U336" i="3"/>
  <c r="T336" i="3"/>
  <c r="S336" i="3"/>
  <c r="AG335" i="3"/>
  <c r="AF335" i="3"/>
  <c r="AE335" i="3"/>
  <c r="AD335" i="3"/>
  <c r="AC335" i="3"/>
  <c r="AB335" i="3"/>
  <c r="AA335" i="3"/>
  <c r="Z335" i="3"/>
  <c r="X335" i="3"/>
  <c r="V335" i="3"/>
  <c r="U335" i="3"/>
  <c r="T335" i="3"/>
  <c r="S335" i="3"/>
  <c r="AG334" i="3"/>
  <c r="AF334" i="3"/>
  <c r="AE334" i="3"/>
  <c r="AD334" i="3"/>
  <c r="AC334" i="3"/>
  <c r="AB334" i="3"/>
  <c r="AA334" i="3"/>
  <c r="Z334" i="3"/>
  <c r="X334" i="3"/>
  <c r="V334" i="3"/>
  <c r="U334" i="3"/>
  <c r="T334" i="3"/>
  <c r="S334" i="3"/>
  <c r="AG333" i="3"/>
  <c r="AF333" i="3"/>
  <c r="AE333" i="3"/>
  <c r="AD333" i="3"/>
  <c r="AC333" i="3"/>
  <c r="AB333" i="3"/>
  <c r="AA333" i="3"/>
  <c r="Z333" i="3"/>
  <c r="X333" i="3"/>
  <c r="V333" i="3"/>
  <c r="U333" i="3"/>
  <c r="T333" i="3"/>
  <c r="S333" i="3"/>
  <c r="AG332" i="3"/>
  <c r="AF332" i="3"/>
  <c r="AE332" i="3"/>
  <c r="AD332" i="3"/>
  <c r="AC332" i="3"/>
  <c r="AB332" i="3"/>
  <c r="AA332" i="3"/>
  <c r="Z332" i="3"/>
  <c r="X332" i="3"/>
  <c r="V332" i="3"/>
  <c r="U332" i="3"/>
  <c r="T332" i="3"/>
  <c r="S332" i="3"/>
  <c r="AG331" i="3"/>
  <c r="AF331" i="3"/>
  <c r="AE331" i="3"/>
  <c r="AD331" i="3"/>
  <c r="AC331" i="3"/>
  <c r="AB331" i="3"/>
  <c r="AA331" i="3"/>
  <c r="Z331" i="3"/>
  <c r="X331" i="3"/>
  <c r="V331" i="3"/>
  <c r="U331" i="3"/>
  <c r="T331" i="3"/>
  <c r="S331" i="3"/>
  <c r="AG330" i="3"/>
  <c r="AF330" i="3"/>
  <c r="AE330" i="3"/>
  <c r="AD330" i="3"/>
  <c r="AC330" i="3"/>
  <c r="AB330" i="3"/>
  <c r="AA330" i="3"/>
  <c r="Z330" i="3"/>
  <c r="X330" i="3"/>
  <c r="V330" i="3"/>
  <c r="U330" i="3"/>
  <c r="T330" i="3"/>
  <c r="S330" i="3"/>
  <c r="AG329" i="3"/>
  <c r="AF329" i="3"/>
  <c r="AE329" i="3"/>
  <c r="AD329" i="3"/>
  <c r="AC329" i="3"/>
  <c r="AB329" i="3"/>
  <c r="AA329" i="3"/>
  <c r="Z329" i="3"/>
  <c r="X329" i="3"/>
  <c r="V329" i="3"/>
  <c r="U329" i="3"/>
  <c r="T329" i="3"/>
  <c r="S329" i="3"/>
  <c r="AG328" i="3"/>
  <c r="AF328" i="3"/>
  <c r="AE328" i="3"/>
  <c r="AD328" i="3"/>
  <c r="AC328" i="3"/>
  <c r="AB328" i="3"/>
  <c r="AA328" i="3"/>
  <c r="Z328" i="3"/>
  <c r="X328" i="3"/>
  <c r="V328" i="3"/>
  <c r="U328" i="3"/>
  <c r="T328" i="3"/>
  <c r="S328" i="3"/>
  <c r="AG327" i="3"/>
  <c r="AF327" i="3"/>
  <c r="AE327" i="3"/>
  <c r="AD327" i="3"/>
  <c r="AC327" i="3"/>
  <c r="AB327" i="3"/>
  <c r="AA327" i="3"/>
  <c r="Z327" i="3"/>
  <c r="X327" i="3"/>
  <c r="V327" i="3"/>
  <c r="U327" i="3"/>
  <c r="T327" i="3"/>
  <c r="S327" i="3"/>
  <c r="AG326" i="3"/>
  <c r="AF326" i="3"/>
  <c r="AE326" i="3"/>
  <c r="AD326" i="3"/>
  <c r="AC326" i="3"/>
  <c r="AB326" i="3"/>
  <c r="AA326" i="3"/>
  <c r="Z326" i="3"/>
  <c r="X326" i="3"/>
  <c r="V326" i="3"/>
  <c r="U326" i="3"/>
  <c r="T326" i="3"/>
  <c r="S326" i="3"/>
  <c r="AG325" i="3"/>
  <c r="AF325" i="3"/>
  <c r="AE325" i="3"/>
  <c r="AD325" i="3"/>
  <c r="AC325" i="3"/>
  <c r="AB325" i="3"/>
  <c r="AA325" i="3"/>
  <c r="Z325" i="3"/>
  <c r="X325" i="3"/>
  <c r="V325" i="3"/>
  <c r="U325" i="3"/>
  <c r="T325" i="3"/>
  <c r="S325" i="3"/>
  <c r="AG324" i="3"/>
  <c r="AF324" i="3"/>
  <c r="AE324" i="3"/>
  <c r="AD324" i="3"/>
  <c r="AC324" i="3"/>
  <c r="AB324" i="3"/>
  <c r="AA324" i="3"/>
  <c r="Z324" i="3"/>
  <c r="X324" i="3"/>
  <c r="V324" i="3"/>
  <c r="U324" i="3"/>
  <c r="T324" i="3"/>
  <c r="S324" i="3"/>
  <c r="AG323" i="3"/>
  <c r="AF323" i="3"/>
  <c r="AE323" i="3"/>
  <c r="AD323" i="3"/>
  <c r="AC323" i="3"/>
  <c r="AB323" i="3"/>
  <c r="AA323" i="3"/>
  <c r="Z323" i="3"/>
  <c r="X323" i="3"/>
  <c r="V323" i="3"/>
  <c r="U323" i="3"/>
  <c r="T323" i="3"/>
  <c r="S323" i="3"/>
  <c r="AG322" i="3"/>
  <c r="AF322" i="3"/>
  <c r="AE322" i="3"/>
  <c r="AD322" i="3"/>
  <c r="AC322" i="3"/>
  <c r="AB322" i="3"/>
  <c r="AA322" i="3"/>
  <c r="Z322" i="3"/>
  <c r="X322" i="3"/>
  <c r="V322" i="3"/>
  <c r="U322" i="3"/>
  <c r="T322" i="3"/>
  <c r="S322" i="3"/>
  <c r="AG321" i="3"/>
  <c r="AF321" i="3"/>
  <c r="AE321" i="3"/>
  <c r="AD321" i="3"/>
  <c r="AC321" i="3"/>
  <c r="AB321" i="3"/>
  <c r="AA321" i="3"/>
  <c r="Z321" i="3"/>
  <c r="X321" i="3"/>
  <c r="V321" i="3"/>
  <c r="U321" i="3"/>
  <c r="T321" i="3"/>
  <c r="S321" i="3"/>
  <c r="AG320" i="3"/>
  <c r="AF320" i="3"/>
  <c r="AE320" i="3"/>
  <c r="AD320" i="3"/>
  <c r="AC320" i="3"/>
  <c r="AB320" i="3"/>
  <c r="AA320" i="3"/>
  <c r="Z320" i="3"/>
  <c r="X320" i="3"/>
  <c r="V320" i="3"/>
  <c r="U320" i="3"/>
  <c r="T320" i="3"/>
  <c r="S320" i="3"/>
  <c r="AG319" i="3"/>
  <c r="AF319" i="3"/>
  <c r="AE319" i="3"/>
  <c r="AD319" i="3"/>
  <c r="AC319" i="3"/>
  <c r="AB319" i="3"/>
  <c r="AA319" i="3"/>
  <c r="Z319" i="3"/>
  <c r="X319" i="3"/>
  <c r="V319" i="3"/>
  <c r="U319" i="3"/>
  <c r="T319" i="3"/>
  <c r="S319" i="3"/>
  <c r="AG318" i="3"/>
  <c r="AF318" i="3"/>
  <c r="AE318" i="3"/>
  <c r="AD318" i="3"/>
  <c r="AC318" i="3"/>
  <c r="AB318" i="3"/>
  <c r="AA318" i="3"/>
  <c r="Z318" i="3"/>
  <c r="X318" i="3"/>
  <c r="V318" i="3"/>
  <c r="U318" i="3"/>
  <c r="T318" i="3"/>
  <c r="S318" i="3"/>
  <c r="AG317" i="3"/>
  <c r="AF317" i="3"/>
  <c r="AE317" i="3"/>
  <c r="AD317" i="3"/>
  <c r="AC317" i="3"/>
  <c r="AB317" i="3"/>
  <c r="AA317" i="3"/>
  <c r="Z317" i="3"/>
  <c r="X317" i="3"/>
  <c r="V317" i="3"/>
  <c r="U317" i="3"/>
  <c r="T317" i="3"/>
  <c r="S317" i="3"/>
  <c r="AG316" i="3"/>
  <c r="AF316" i="3"/>
  <c r="AE316" i="3"/>
  <c r="AD316" i="3"/>
  <c r="AC316" i="3"/>
  <c r="AB316" i="3"/>
  <c r="AA316" i="3"/>
  <c r="Z316" i="3"/>
  <c r="X316" i="3"/>
  <c r="V316" i="3"/>
  <c r="U316" i="3"/>
  <c r="T316" i="3"/>
  <c r="S316" i="3"/>
  <c r="AG315" i="3"/>
  <c r="AF315" i="3"/>
  <c r="AE315" i="3"/>
  <c r="AD315" i="3"/>
  <c r="AC315" i="3"/>
  <c r="AB315" i="3"/>
  <c r="AA315" i="3"/>
  <c r="Z315" i="3"/>
  <c r="X315" i="3"/>
  <c r="V315" i="3"/>
  <c r="U315" i="3"/>
  <c r="T315" i="3"/>
  <c r="S315" i="3"/>
  <c r="AG314" i="3"/>
  <c r="AF314" i="3"/>
  <c r="AE314" i="3"/>
  <c r="AD314" i="3"/>
  <c r="AC314" i="3"/>
  <c r="AB314" i="3"/>
  <c r="AA314" i="3"/>
  <c r="Z314" i="3"/>
  <c r="X314" i="3"/>
  <c r="V314" i="3"/>
  <c r="U314" i="3"/>
  <c r="T314" i="3"/>
  <c r="S314" i="3"/>
  <c r="AG313" i="3"/>
  <c r="AF313" i="3"/>
  <c r="AE313" i="3"/>
  <c r="AD313" i="3"/>
  <c r="AC313" i="3"/>
  <c r="AB313" i="3"/>
  <c r="AA313" i="3"/>
  <c r="Z313" i="3"/>
  <c r="X313" i="3"/>
  <c r="V313" i="3"/>
  <c r="U313" i="3"/>
  <c r="T313" i="3"/>
  <c r="S313" i="3"/>
  <c r="AG312" i="3"/>
  <c r="AF312" i="3"/>
  <c r="AE312" i="3"/>
  <c r="AD312" i="3"/>
  <c r="AC312" i="3"/>
  <c r="AB312" i="3"/>
  <c r="AA312" i="3"/>
  <c r="Z312" i="3"/>
  <c r="X312" i="3"/>
  <c r="V312" i="3"/>
  <c r="U312" i="3"/>
  <c r="T312" i="3"/>
  <c r="S312" i="3"/>
  <c r="AG311" i="3"/>
  <c r="AF311" i="3"/>
  <c r="AE311" i="3"/>
  <c r="AD311" i="3"/>
  <c r="AC311" i="3"/>
  <c r="AB311" i="3"/>
  <c r="AA311" i="3"/>
  <c r="Z311" i="3"/>
  <c r="X311" i="3"/>
  <c r="V311" i="3"/>
  <c r="U311" i="3"/>
  <c r="T311" i="3"/>
  <c r="S311" i="3"/>
  <c r="AG310" i="3"/>
  <c r="AF310" i="3"/>
  <c r="AE310" i="3"/>
  <c r="AD310" i="3"/>
  <c r="AC310" i="3"/>
  <c r="AB310" i="3"/>
  <c r="AA310" i="3"/>
  <c r="Z310" i="3"/>
  <c r="X310" i="3"/>
  <c r="V310" i="3"/>
  <c r="U310" i="3"/>
  <c r="T310" i="3"/>
  <c r="S310" i="3"/>
  <c r="AG309" i="3"/>
  <c r="AF309" i="3"/>
  <c r="AE309" i="3"/>
  <c r="AD309" i="3"/>
  <c r="AC309" i="3"/>
  <c r="AB309" i="3"/>
  <c r="AA309" i="3"/>
  <c r="Z309" i="3"/>
  <c r="X309" i="3"/>
  <c r="V309" i="3"/>
  <c r="U309" i="3"/>
  <c r="T309" i="3"/>
  <c r="S309" i="3"/>
  <c r="AG308" i="3"/>
  <c r="AF308" i="3"/>
  <c r="AE308" i="3"/>
  <c r="AD308" i="3"/>
  <c r="AC308" i="3"/>
  <c r="AB308" i="3"/>
  <c r="AA308" i="3"/>
  <c r="Z308" i="3"/>
  <c r="X308" i="3"/>
  <c r="V308" i="3"/>
  <c r="U308" i="3"/>
  <c r="T308" i="3"/>
  <c r="S308" i="3"/>
  <c r="AG307" i="3"/>
  <c r="AF307" i="3"/>
  <c r="AE307" i="3"/>
  <c r="AD307" i="3"/>
  <c r="AC307" i="3"/>
  <c r="AB307" i="3"/>
  <c r="AA307" i="3"/>
  <c r="Z307" i="3"/>
  <c r="X307" i="3"/>
  <c r="V307" i="3"/>
  <c r="U307" i="3"/>
  <c r="T307" i="3"/>
  <c r="S307" i="3"/>
  <c r="AG306" i="3"/>
  <c r="AF306" i="3"/>
  <c r="AE306" i="3"/>
  <c r="AD306" i="3"/>
  <c r="AC306" i="3"/>
  <c r="AB306" i="3"/>
  <c r="AA306" i="3"/>
  <c r="Z306" i="3"/>
  <c r="X306" i="3"/>
  <c r="V306" i="3"/>
  <c r="U306" i="3"/>
  <c r="T306" i="3"/>
  <c r="S306" i="3"/>
  <c r="AG305" i="3"/>
  <c r="AF305" i="3"/>
  <c r="AE305" i="3"/>
  <c r="AD305" i="3"/>
  <c r="AC305" i="3"/>
  <c r="AB305" i="3"/>
  <c r="AA305" i="3"/>
  <c r="Z305" i="3"/>
  <c r="X305" i="3"/>
  <c r="V305" i="3"/>
  <c r="U305" i="3"/>
  <c r="T305" i="3"/>
  <c r="S305" i="3"/>
  <c r="AG304" i="3"/>
  <c r="AF304" i="3"/>
  <c r="AE304" i="3"/>
  <c r="AD304" i="3"/>
  <c r="AC304" i="3"/>
  <c r="AB304" i="3"/>
  <c r="AA304" i="3"/>
  <c r="Z304" i="3"/>
  <c r="X304" i="3"/>
  <c r="V304" i="3"/>
  <c r="U304" i="3"/>
  <c r="T304" i="3"/>
  <c r="S304" i="3"/>
  <c r="AG303" i="3"/>
  <c r="AF303" i="3"/>
  <c r="AE303" i="3"/>
  <c r="AD303" i="3"/>
  <c r="AC303" i="3"/>
  <c r="AB303" i="3"/>
  <c r="AA303" i="3"/>
  <c r="Z303" i="3"/>
  <c r="X303" i="3"/>
  <c r="V303" i="3"/>
  <c r="U303" i="3"/>
  <c r="T303" i="3"/>
  <c r="S303" i="3"/>
  <c r="AG302" i="3"/>
  <c r="AF302" i="3"/>
  <c r="AE302" i="3"/>
  <c r="AD302" i="3"/>
  <c r="AC302" i="3"/>
  <c r="AB302" i="3"/>
  <c r="AA302" i="3"/>
  <c r="Z302" i="3"/>
  <c r="X302" i="3"/>
  <c r="V302" i="3"/>
  <c r="U302" i="3"/>
  <c r="T302" i="3"/>
  <c r="S302" i="3"/>
  <c r="AG301" i="3"/>
  <c r="AF301" i="3"/>
  <c r="AE301" i="3"/>
  <c r="AD301" i="3"/>
  <c r="AC301" i="3"/>
  <c r="AB301" i="3"/>
  <c r="AA301" i="3"/>
  <c r="Z301" i="3"/>
  <c r="X301" i="3"/>
  <c r="V301" i="3"/>
  <c r="U301" i="3"/>
  <c r="T301" i="3"/>
  <c r="S301" i="3"/>
  <c r="AG300" i="3"/>
  <c r="AF300" i="3"/>
  <c r="AE300" i="3"/>
  <c r="AD300" i="3"/>
  <c r="AC300" i="3"/>
  <c r="AB300" i="3"/>
  <c r="AA300" i="3"/>
  <c r="Z300" i="3"/>
  <c r="X300" i="3"/>
  <c r="V300" i="3"/>
  <c r="U300" i="3"/>
  <c r="T300" i="3"/>
  <c r="S300" i="3"/>
  <c r="AG299" i="3"/>
  <c r="AF299" i="3"/>
  <c r="AE299" i="3"/>
  <c r="AD299" i="3"/>
  <c r="AC299" i="3"/>
  <c r="AB299" i="3"/>
  <c r="AA299" i="3"/>
  <c r="Z299" i="3"/>
  <c r="X299" i="3"/>
  <c r="V299" i="3"/>
  <c r="U299" i="3"/>
  <c r="T299" i="3"/>
  <c r="S299" i="3"/>
  <c r="AG298" i="3"/>
  <c r="AF298" i="3"/>
  <c r="AE298" i="3"/>
  <c r="AD298" i="3"/>
  <c r="AC298" i="3"/>
  <c r="AB298" i="3"/>
  <c r="AA298" i="3"/>
  <c r="Z298" i="3"/>
  <c r="X298" i="3"/>
  <c r="V298" i="3"/>
  <c r="U298" i="3"/>
  <c r="T298" i="3"/>
  <c r="S298" i="3"/>
  <c r="AG297" i="3"/>
  <c r="AF297" i="3"/>
  <c r="AE297" i="3"/>
  <c r="AD297" i="3"/>
  <c r="AC297" i="3"/>
  <c r="AB297" i="3"/>
  <c r="AA297" i="3"/>
  <c r="Z297" i="3"/>
  <c r="X297" i="3"/>
  <c r="V297" i="3"/>
  <c r="U297" i="3"/>
  <c r="T297" i="3"/>
  <c r="S297" i="3"/>
  <c r="AG296" i="3"/>
  <c r="AF296" i="3"/>
  <c r="AE296" i="3"/>
  <c r="AD296" i="3"/>
  <c r="AC296" i="3"/>
  <c r="AB296" i="3"/>
  <c r="AA296" i="3"/>
  <c r="Z296" i="3"/>
  <c r="X296" i="3"/>
  <c r="V296" i="3"/>
  <c r="U296" i="3"/>
  <c r="T296" i="3"/>
  <c r="S296" i="3"/>
  <c r="AG295" i="3"/>
  <c r="AF295" i="3"/>
  <c r="AE295" i="3"/>
  <c r="AD295" i="3"/>
  <c r="AC295" i="3"/>
  <c r="AB295" i="3"/>
  <c r="AA295" i="3"/>
  <c r="Z295" i="3"/>
  <c r="X295" i="3"/>
  <c r="V295" i="3"/>
  <c r="U295" i="3"/>
  <c r="T295" i="3"/>
  <c r="S295" i="3"/>
  <c r="AG294" i="3"/>
  <c r="AF294" i="3"/>
  <c r="AE294" i="3"/>
  <c r="AD294" i="3"/>
  <c r="AC294" i="3"/>
  <c r="AB294" i="3"/>
  <c r="AA294" i="3"/>
  <c r="Z294" i="3"/>
  <c r="X294" i="3"/>
  <c r="V294" i="3"/>
  <c r="U294" i="3"/>
  <c r="T294" i="3"/>
  <c r="S294" i="3"/>
  <c r="AG293" i="3"/>
  <c r="AF293" i="3"/>
  <c r="AE293" i="3"/>
  <c r="AD293" i="3"/>
  <c r="AC293" i="3"/>
  <c r="AB293" i="3"/>
  <c r="AA293" i="3"/>
  <c r="Z293" i="3"/>
  <c r="X293" i="3"/>
  <c r="V293" i="3"/>
  <c r="U293" i="3"/>
  <c r="T293" i="3"/>
  <c r="S293" i="3"/>
  <c r="AG292" i="3"/>
  <c r="AF292" i="3"/>
  <c r="AE292" i="3"/>
  <c r="AD292" i="3"/>
  <c r="AC292" i="3"/>
  <c r="AB292" i="3"/>
  <c r="AA292" i="3"/>
  <c r="Z292" i="3"/>
  <c r="X292" i="3"/>
  <c r="V292" i="3"/>
  <c r="U292" i="3"/>
  <c r="T292" i="3"/>
  <c r="S292" i="3"/>
  <c r="AG291" i="3"/>
  <c r="AF291" i="3"/>
  <c r="AE291" i="3"/>
  <c r="AD291" i="3"/>
  <c r="AC291" i="3"/>
  <c r="AB291" i="3"/>
  <c r="AA291" i="3"/>
  <c r="Z291" i="3"/>
  <c r="X291" i="3"/>
  <c r="V291" i="3"/>
  <c r="U291" i="3"/>
  <c r="T291" i="3"/>
  <c r="S291" i="3"/>
  <c r="AG290" i="3"/>
  <c r="AF290" i="3"/>
  <c r="AE290" i="3"/>
  <c r="AD290" i="3"/>
  <c r="AC290" i="3"/>
  <c r="AB290" i="3"/>
  <c r="AA290" i="3"/>
  <c r="Z290" i="3"/>
  <c r="X290" i="3"/>
  <c r="V290" i="3"/>
  <c r="U290" i="3"/>
  <c r="T290" i="3"/>
  <c r="S290" i="3"/>
  <c r="AG289" i="3"/>
  <c r="AF289" i="3"/>
  <c r="AE289" i="3"/>
  <c r="AD289" i="3"/>
  <c r="AC289" i="3"/>
  <c r="AB289" i="3"/>
  <c r="AA289" i="3"/>
  <c r="Z289" i="3"/>
  <c r="X289" i="3"/>
  <c r="V289" i="3"/>
  <c r="U289" i="3"/>
  <c r="T289" i="3"/>
  <c r="S289" i="3"/>
  <c r="AG288" i="3"/>
  <c r="AF288" i="3"/>
  <c r="AE288" i="3"/>
  <c r="AD288" i="3"/>
  <c r="AC288" i="3"/>
  <c r="AB288" i="3"/>
  <c r="AA288" i="3"/>
  <c r="Z288" i="3"/>
  <c r="X288" i="3"/>
  <c r="V288" i="3"/>
  <c r="U288" i="3"/>
  <c r="T288" i="3"/>
  <c r="S288" i="3"/>
  <c r="AG287" i="3"/>
  <c r="AF287" i="3"/>
  <c r="AE287" i="3"/>
  <c r="AD287" i="3"/>
  <c r="AC287" i="3"/>
  <c r="AB287" i="3"/>
  <c r="AA287" i="3"/>
  <c r="Z287" i="3"/>
  <c r="X287" i="3"/>
  <c r="V287" i="3"/>
  <c r="U287" i="3"/>
  <c r="T287" i="3"/>
  <c r="S287" i="3"/>
  <c r="AG286" i="3"/>
  <c r="AF286" i="3"/>
  <c r="AE286" i="3"/>
  <c r="AD286" i="3"/>
  <c r="AC286" i="3"/>
  <c r="AB286" i="3"/>
  <c r="AA286" i="3"/>
  <c r="Z286" i="3"/>
  <c r="X286" i="3"/>
  <c r="V286" i="3"/>
  <c r="U286" i="3"/>
  <c r="T286" i="3"/>
  <c r="S286" i="3"/>
  <c r="AG285" i="3"/>
  <c r="AF285" i="3"/>
  <c r="AE285" i="3"/>
  <c r="AD285" i="3"/>
  <c r="AC285" i="3"/>
  <c r="AB285" i="3"/>
  <c r="AA285" i="3"/>
  <c r="Z285" i="3"/>
  <c r="X285" i="3"/>
  <c r="V285" i="3"/>
  <c r="U285" i="3"/>
  <c r="T285" i="3"/>
  <c r="S285" i="3"/>
  <c r="AG284" i="3"/>
  <c r="AF284" i="3"/>
  <c r="AE284" i="3"/>
  <c r="AD284" i="3"/>
  <c r="AC284" i="3"/>
  <c r="AB284" i="3"/>
  <c r="AA284" i="3"/>
  <c r="Z284" i="3"/>
  <c r="X284" i="3"/>
  <c r="V284" i="3"/>
  <c r="U284" i="3"/>
  <c r="T284" i="3"/>
  <c r="S284" i="3"/>
  <c r="AG283" i="3"/>
  <c r="AF283" i="3"/>
  <c r="AE283" i="3"/>
  <c r="AD283" i="3"/>
  <c r="AC283" i="3"/>
  <c r="AB283" i="3"/>
  <c r="AA283" i="3"/>
  <c r="Z283" i="3"/>
  <c r="X283" i="3"/>
  <c r="V283" i="3"/>
  <c r="U283" i="3"/>
  <c r="T283" i="3"/>
  <c r="S283" i="3"/>
  <c r="AG282" i="3"/>
  <c r="AF282" i="3"/>
  <c r="AE282" i="3"/>
  <c r="AD282" i="3"/>
  <c r="AC282" i="3"/>
  <c r="AB282" i="3"/>
  <c r="AA282" i="3"/>
  <c r="Z282" i="3"/>
  <c r="X282" i="3"/>
  <c r="V282" i="3"/>
  <c r="U282" i="3"/>
  <c r="T282" i="3"/>
  <c r="S282" i="3"/>
  <c r="AG281" i="3"/>
  <c r="AF281" i="3"/>
  <c r="AE281" i="3"/>
  <c r="AD281" i="3"/>
  <c r="AC281" i="3"/>
  <c r="AB281" i="3"/>
  <c r="AA281" i="3"/>
  <c r="Z281" i="3"/>
  <c r="X281" i="3"/>
  <c r="V281" i="3"/>
  <c r="U281" i="3"/>
  <c r="T281" i="3"/>
  <c r="S281" i="3"/>
  <c r="AG280" i="3"/>
  <c r="AF280" i="3"/>
  <c r="AE280" i="3"/>
  <c r="AD280" i="3"/>
  <c r="AC280" i="3"/>
  <c r="AB280" i="3"/>
  <c r="AA280" i="3"/>
  <c r="Z280" i="3"/>
  <c r="X280" i="3"/>
  <c r="V280" i="3"/>
  <c r="U280" i="3"/>
  <c r="T280" i="3"/>
  <c r="S280" i="3"/>
  <c r="AG279" i="3"/>
  <c r="AF279" i="3"/>
  <c r="AE279" i="3"/>
  <c r="AD279" i="3"/>
  <c r="AC279" i="3"/>
  <c r="AB279" i="3"/>
  <c r="AA279" i="3"/>
  <c r="Z279" i="3"/>
  <c r="X279" i="3"/>
  <c r="V279" i="3"/>
  <c r="U279" i="3"/>
  <c r="T279" i="3"/>
  <c r="S279" i="3"/>
  <c r="AG278" i="3"/>
  <c r="AF278" i="3"/>
  <c r="AE278" i="3"/>
  <c r="AD278" i="3"/>
  <c r="AC278" i="3"/>
  <c r="AB278" i="3"/>
  <c r="AA278" i="3"/>
  <c r="Z278" i="3"/>
  <c r="X278" i="3"/>
  <c r="V278" i="3"/>
  <c r="U278" i="3"/>
  <c r="T278" i="3"/>
  <c r="S278" i="3"/>
  <c r="AG277" i="3"/>
  <c r="AF277" i="3"/>
  <c r="AE277" i="3"/>
  <c r="AD277" i="3"/>
  <c r="AC277" i="3"/>
  <c r="AB277" i="3"/>
  <c r="AA277" i="3"/>
  <c r="Z277" i="3"/>
  <c r="X277" i="3"/>
  <c r="V277" i="3"/>
  <c r="U277" i="3"/>
  <c r="T277" i="3"/>
  <c r="S277" i="3"/>
  <c r="AG276" i="3"/>
  <c r="AF276" i="3"/>
  <c r="AE276" i="3"/>
  <c r="AD276" i="3"/>
  <c r="AC276" i="3"/>
  <c r="AB276" i="3"/>
  <c r="AA276" i="3"/>
  <c r="Z276" i="3"/>
  <c r="X276" i="3"/>
  <c r="V276" i="3"/>
  <c r="U276" i="3"/>
  <c r="T276" i="3"/>
  <c r="S276" i="3"/>
  <c r="AG275" i="3"/>
  <c r="AF275" i="3"/>
  <c r="AE275" i="3"/>
  <c r="AD275" i="3"/>
  <c r="AC275" i="3"/>
  <c r="AB275" i="3"/>
  <c r="AA275" i="3"/>
  <c r="Z275" i="3"/>
  <c r="X275" i="3"/>
  <c r="V275" i="3"/>
  <c r="U275" i="3"/>
  <c r="T275" i="3"/>
  <c r="S275" i="3"/>
  <c r="AG274" i="3"/>
  <c r="AF274" i="3"/>
  <c r="AE274" i="3"/>
  <c r="AD274" i="3"/>
  <c r="AC274" i="3"/>
  <c r="AB274" i="3"/>
  <c r="AA274" i="3"/>
  <c r="Z274" i="3"/>
  <c r="X274" i="3"/>
  <c r="V274" i="3"/>
  <c r="U274" i="3"/>
  <c r="T274" i="3"/>
  <c r="S274" i="3"/>
  <c r="AG273" i="3"/>
  <c r="AF273" i="3"/>
  <c r="AE273" i="3"/>
  <c r="AD273" i="3"/>
  <c r="AC273" i="3"/>
  <c r="AB273" i="3"/>
  <c r="AA273" i="3"/>
  <c r="Z273" i="3"/>
  <c r="X273" i="3"/>
  <c r="V273" i="3"/>
  <c r="U273" i="3"/>
  <c r="T273" i="3"/>
  <c r="S273" i="3"/>
  <c r="AG272" i="3"/>
  <c r="AF272" i="3"/>
  <c r="AE272" i="3"/>
  <c r="AD272" i="3"/>
  <c r="AC272" i="3"/>
  <c r="AB272" i="3"/>
  <c r="AA272" i="3"/>
  <c r="Z272" i="3"/>
  <c r="X272" i="3"/>
  <c r="V272" i="3"/>
  <c r="U272" i="3"/>
  <c r="T272" i="3"/>
  <c r="S272" i="3"/>
  <c r="AG271" i="3"/>
  <c r="AF271" i="3"/>
  <c r="AE271" i="3"/>
  <c r="AD271" i="3"/>
  <c r="AC271" i="3"/>
  <c r="AB271" i="3"/>
  <c r="AA271" i="3"/>
  <c r="Z271" i="3"/>
  <c r="X271" i="3"/>
  <c r="V271" i="3"/>
  <c r="U271" i="3"/>
  <c r="T271" i="3"/>
  <c r="S271" i="3"/>
  <c r="AG270" i="3"/>
  <c r="AF270" i="3"/>
  <c r="AE270" i="3"/>
  <c r="AD270" i="3"/>
  <c r="AC270" i="3"/>
  <c r="AB270" i="3"/>
  <c r="AA270" i="3"/>
  <c r="Z270" i="3"/>
  <c r="X270" i="3"/>
  <c r="V270" i="3"/>
  <c r="U270" i="3"/>
  <c r="T270" i="3"/>
  <c r="S270" i="3"/>
  <c r="AG269" i="3"/>
  <c r="AF269" i="3"/>
  <c r="AE269" i="3"/>
  <c r="AD269" i="3"/>
  <c r="AC269" i="3"/>
  <c r="AB269" i="3"/>
  <c r="AA269" i="3"/>
  <c r="Z269" i="3"/>
  <c r="X269" i="3"/>
  <c r="V269" i="3"/>
  <c r="U269" i="3"/>
  <c r="T269" i="3"/>
  <c r="S269" i="3"/>
  <c r="AG268" i="3"/>
  <c r="AF268" i="3"/>
  <c r="AE268" i="3"/>
  <c r="AD268" i="3"/>
  <c r="AC268" i="3"/>
  <c r="AB268" i="3"/>
  <c r="AA268" i="3"/>
  <c r="Z268" i="3"/>
  <c r="X268" i="3"/>
  <c r="V268" i="3"/>
  <c r="U268" i="3"/>
  <c r="T268" i="3"/>
  <c r="S268" i="3"/>
  <c r="AG267" i="3"/>
  <c r="AF267" i="3"/>
  <c r="AE267" i="3"/>
  <c r="AD267" i="3"/>
  <c r="AC267" i="3"/>
  <c r="AB267" i="3"/>
  <c r="AA267" i="3"/>
  <c r="Z267" i="3"/>
  <c r="X267" i="3"/>
  <c r="V267" i="3"/>
  <c r="U267" i="3"/>
  <c r="T267" i="3"/>
  <c r="S267" i="3"/>
  <c r="AG266" i="3"/>
  <c r="AF266" i="3"/>
  <c r="AE266" i="3"/>
  <c r="AD266" i="3"/>
  <c r="AC266" i="3"/>
  <c r="AB266" i="3"/>
  <c r="AA266" i="3"/>
  <c r="Z266" i="3"/>
  <c r="X266" i="3"/>
  <c r="V266" i="3"/>
  <c r="U266" i="3"/>
  <c r="T266" i="3"/>
  <c r="S266" i="3"/>
  <c r="AG265" i="3"/>
  <c r="AF265" i="3"/>
  <c r="AE265" i="3"/>
  <c r="AD265" i="3"/>
  <c r="AC265" i="3"/>
  <c r="AB265" i="3"/>
  <c r="AA265" i="3"/>
  <c r="Z265" i="3"/>
  <c r="X265" i="3"/>
  <c r="V265" i="3"/>
  <c r="U265" i="3"/>
  <c r="T265" i="3"/>
  <c r="S265" i="3"/>
  <c r="AG264" i="3"/>
  <c r="AF264" i="3"/>
  <c r="AE264" i="3"/>
  <c r="AD264" i="3"/>
  <c r="AC264" i="3"/>
  <c r="AB264" i="3"/>
  <c r="AA264" i="3"/>
  <c r="Z264" i="3"/>
  <c r="X264" i="3"/>
  <c r="V264" i="3"/>
  <c r="U264" i="3"/>
  <c r="T264" i="3"/>
  <c r="S264" i="3"/>
  <c r="AG263" i="3"/>
  <c r="AF263" i="3"/>
  <c r="AE263" i="3"/>
  <c r="AD263" i="3"/>
  <c r="AC263" i="3"/>
  <c r="AB263" i="3"/>
  <c r="AA263" i="3"/>
  <c r="Z263" i="3"/>
  <c r="X263" i="3"/>
  <c r="V263" i="3"/>
  <c r="U263" i="3"/>
  <c r="T263" i="3"/>
  <c r="S263" i="3"/>
  <c r="AG262" i="3"/>
  <c r="AF262" i="3"/>
  <c r="AE262" i="3"/>
  <c r="AD262" i="3"/>
  <c r="AC262" i="3"/>
  <c r="AB262" i="3"/>
  <c r="AA262" i="3"/>
  <c r="Z262" i="3"/>
  <c r="X262" i="3"/>
  <c r="V262" i="3"/>
  <c r="U262" i="3"/>
  <c r="T262" i="3"/>
  <c r="S262" i="3"/>
  <c r="AG261" i="3"/>
  <c r="AF261" i="3"/>
  <c r="AE261" i="3"/>
  <c r="AD261" i="3"/>
  <c r="AC261" i="3"/>
  <c r="AB261" i="3"/>
  <c r="AA261" i="3"/>
  <c r="Z261" i="3"/>
  <c r="X261" i="3"/>
  <c r="V261" i="3"/>
  <c r="U261" i="3"/>
  <c r="T261" i="3"/>
  <c r="S261" i="3"/>
  <c r="AG260" i="3"/>
  <c r="AF260" i="3"/>
  <c r="AE260" i="3"/>
  <c r="AD260" i="3"/>
  <c r="AC260" i="3"/>
  <c r="AB260" i="3"/>
  <c r="AA260" i="3"/>
  <c r="Z260" i="3"/>
  <c r="X260" i="3"/>
  <c r="V260" i="3"/>
  <c r="U260" i="3"/>
  <c r="T260" i="3"/>
  <c r="S260" i="3"/>
  <c r="AG259" i="3"/>
  <c r="AF259" i="3"/>
  <c r="AE259" i="3"/>
  <c r="AD259" i="3"/>
  <c r="AC259" i="3"/>
  <c r="AB259" i="3"/>
  <c r="AA259" i="3"/>
  <c r="Z259" i="3"/>
  <c r="X259" i="3"/>
  <c r="V259" i="3"/>
  <c r="U259" i="3"/>
  <c r="T259" i="3"/>
  <c r="S259" i="3"/>
  <c r="AG258" i="3"/>
  <c r="AF258" i="3"/>
  <c r="AE258" i="3"/>
  <c r="AD258" i="3"/>
  <c r="AC258" i="3"/>
  <c r="AB258" i="3"/>
  <c r="AA258" i="3"/>
  <c r="Z258" i="3"/>
  <c r="X258" i="3"/>
  <c r="V258" i="3"/>
  <c r="U258" i="3"/>
  <c r="T258" i="3"/>
  <c r="S258" i="3"/>
  <c r="AG257" i="3"/>
  <c r="AF257" i="3"/>
  <c r="AE257" i="3"/>
  <c r="AD257" i="3"/>
  <c r="AC257" i="3"/>
  <c r="AB257" i="3"/>
  <c r="AA257" i="3"/>
  <c r="Z257" i="3"/>
  <c r="X257" i="3"/>
  <c r="V257" i="3"/>
  <c r="U257" i="3"/>
  <c r="T257" i="3"/>
  <c r="S257" i="3"/>
  <c r="AG256" i="3"/>
  <c r="AF256" i="3"/>
  <c r="AE256" i="3"/>
  <c r="AD256" i="3"/>
  <c r="AC256" i="3"/>
  <c r="AB256" i="3"/>
  <c r="AA256" i="3"/>
  <c r="Z256" i="3"/>
  <c r="X256" i="3"/>
  <c r="V256" i="3"/>
  <c r="U256" i="3"/>
  <c r="T256" i="3"/>
  <c r="S256" i="3"/>
  <c r="AG255" i="3"/>
  <c r="AF255" i="3"/>
  <c r="AE255" i="3"/>
  <c r="AD255" i="3"/>
  <c r="AC255" i="3"/>
  <c r="AB255" i="3"/>
  <c r="AA255" i="3"/>
  <c r="Z255" i="3"/>
  <c r="X255" i="3"/>
  <c r="V255" i="3"/>
  <c r="U255" i="3"/>
  <c r="T255" i="3"/>
  <c r="S255" i="3"/>
  <c r="AG254" i="3"/>
  <c r="AF254" i="3"/>
  <c r="AE254" i="3"/>
  <c r="AD254" i="3"/>
  <c r="AC254" i="3"/>
  <c r="AB254" i="3"/>
  <c r="AA254" i="3"/>
  <c r="Z254" i="3"/>
  <c r="X254" i="3"/>
  <c r="V254" i="3"/>
  <c r="U254" i="3"/>
  <c r="T254" i="3"/>
  <c r="S254" i="3"/>
  <c r="AG253" i="3"/>
  <c r="AF253" i="3"/>
  <c r="AE253" i="3"/>
  <c r="AD253" i="3"/>
  <c r="AC253" i="3"/>
  <c r="AB253" i="3"/>
  <c r="AA253" i="3"/>
  <c r="Z253" i="3"/>
  <c r="X253" i="3"/>
  <c r="V253" i="3"/>
  <c r="U253" i="3"/>
  <c r="T253" i="3"/>
  <c r="S253" i="3"/>
  <c r="AG252" i="3"/>
  <c r="AF252" i="3"/>
  <c r="AE252" i="3"/>
  <c r="AD252" i="3"/>
  <c r="AC252" i="3"/>
  <c r="AB252" i="3"/>
  <c r="AA252" i="3"/>
  <c r="Z252" i="3"/>
  <c r="X252" i="3"/>
  <c r="V252" i="3"/>
  <c r="U252" i="3"/>
  <c r="T252" i="3"/>
  <c r="S252" i="3"/>
  <c r="AG251" i="3"/>
  <c r="AF251" i="3"/>
  <c r="AE251" i="3"/>
  <c r="AD251" i="3"/>
  <c r="AC251" i="3"/>
  <c r="AB251" i="3"/>
  <c r="AA251" i="3"/>
  <c r="Z251" i="3"/>
  <c r="X251" i="3"/>
  <c r="V251" i="3"/>
  <c r="U251" i="3"/>
  <c r="T251" i="3"/>
  <c r="S251" i="3"/>
  <c r="AG250" i="3"/>
  <c r="AF250" i="3"/>
  <c r="AE250" i="3"/>
  <c r="AD250" i="3"/>
  <c r="AC250" i="3"/>
  <c r="AB250" i="3"/>
  <c r="AA250" i="3"/>
  <c r="Z250" i="3"/>
  <c r="X250" i="3"/>
  <c r="V250" i="3"/>
  <c r="U250" i="3"/>
  <c r="T250" i="3"/>
  <c r="S250" i="3"/>
  <c r="AG249" i="3"/>
  <c r="AF249" i="3"/>
  <c r="AE249" i="3"/>
  <c r="AD249" i="3"/>
  <c r="AC249" i="3"/>
  <c r="AB249" i="3"/>
  <c r="AA249" i="3"/>
  <c r="Z249" i="3"/>
  <c r="X249" i="3"/>
  <c r="V249" i="3"/>
  <c r="U249" i="3"/>
  <c r="T249" i="3"/>
  <c r="S249" i="3"/>
  <c r="AG248" i="3"/>
  <c r="AF248" i="3"/>
  <c r="AE248" i="3"/>
  <c r="AD248" i="3"/>
  <c r="AC248" i="3"/>
  <c r="AB248" i="3"/>
  <c r="AA248" i="3"/>
  <c r="Z248" i="3"/>
  <c r="X248" i="3"/>
  <c r="V248" i="3"/>
  <c r="U248" i="3"/>
  <c r="T248" i="3"/>
  <c r="S248" i="3"/>
  <c r="AG247" i="3"/>
  <c r="AF247" i="3"/>
  <c r="AE247" i="3"/>
  <c r="AD247" i="3"/>
  <c r="AC247" i="3"/>
  <c r="AB247" i="3"/>
  <c r="AA247" i="3"/>
  <c r="Z247" i="3"/>
  <c r="X247" i="3"/>
  <c r="V247" i="3"/>
  <c r="U247" i="3"/>
  <c r="T247" i="3"/>
  <c r="S247" i="3"/>
  <c r="AG246" i="3"/>
  <c r="AF246" i="3"/>
  <c r="AE246" i="3"/>
  <c r="AD246" i="3"/>
  <c r="AC246" i="3"/>
  <c r="AB246" i="3"/>
  <c r="AA246" i="3"/>
  <c r="Z246" i="3"/>
  <c r="X246" i="3"/>
  <c r="V246" i="3"/>
  <c r="U246" i="3"/>
  <c r="T246" i="3"/>
  <c r="S246" i="3"/>
  <c r="AG245" i="3"/>
  <c r="AF245" i="3"/>
  <c r="AE245" i="3"/>
  <c r="AD245" i="3"/>
  <c r="AC245" i="3"/>
  <c r="AB245" i="3"/>
  <c r="AA245" i="3"/>
  <c r="Z245" i="3"/>
  <c r="X245" i="3"/>
  <c r="V245" i="3"/>
  <c r="U245" i="3"/>
  <c r="T245" i="3"/>
  <c r="S245" i="3"/>
  <c r="AG244" i="3"/>
  <c r="AF244" i="3"/>
  <c r="AE244" i="3"/>
  <c r="AD244" i="3"/>
  <c r="AC244" i="3"/>
  <c r="AB244" i="3"/>
  <c r="AA244" i="3"/>
  <c r="Z244" i="3"/>
  <c r="X244" i="3"/>
  <c r="V244" i="3"/>
  <c r="U244" i="3"/>
  <c r="T244" i="3"/>
  <c r="S244" i="3"/>
  <c r="AG243" i="3"/>
  <c r="AF243" i="3"/>
  <c r="AE243" i="3"/>
  <c r="AD243" i="3"/>
  <c r="AC243" i="3"/>
  <c r="AB243" i="3"/>
  <c r="AA243" i="3"/>
  <c r="Z243" i="3"/>
  <c r="X243" i="3"/>
  <c r="V243" i="3"/>
  <c r="U243" i="3"/>
  <c r="T243" i="3"/>
  <c r="S243" i="3"/>
  <c r="AG242" i="3"/>
  <c r="AF242" i="3"/>
  <c r="AE242" i="3"/>
  <c r="AD242" i="3"/>
  <c r="AC242" i="3"/>
  <c r="AB242" i="3"/>
  <c r="AA242" i="3"/>
  <c r="Z242" i="3"/>
  <c r="X242" i="3"/>
  <c r="V242" i="3"/>
  <c r="U242" i="3"/>
  <c r="T242" i="3"/>
  <c r="S242" i="3"/>
  <c r="AG241" i="3"/>
  <c r="AF241" i="3"/>
  <c r="AE241" i="3"/>
  <c r="AD241" i="3"/>
  <c r="AC241" i="3"/>
  <c r="AB241" i="3"/>
  <c r="AA241" i="3"/>
  <c r="Z241" i="3"/>
  <c r="X241" i="3"/>
  <c r="V241" i="3"/>
  <c r="U241" i="3"/>
  <c r="T241" i="3"/>
  <c r="S241" i="3"/>
  <c r="AG240" i="3"/>
  <c r="AF240" i="3"/>
  <c r="AE240" i="3"/>
  <c r="AD240" i="3"/>
  <c r="AC240" i="3"/>
  <c r="AB240" i="3"/>
  <c r="AA240" i="3"/>
  <c r="Z240" i="3"/>
  <c r="X240" i="3"/>
  <c r="V240" i="3"/>
  <c r="U240" i="3"/>
  <c r="T240" i="3"/>
  <c r="S240" i="3"/>
  <c r="AG239" i="3"/>
  <c r="AF239" i="3"/>
  <c r="AE239" i="3"/>
  <c r="AD239" i="3"/>
  <c r="AC239" i="3"/>
  <c r="AB239" i="3"/>
  <c r="AA239" i="3"/>
  <c r="Z239" i="3"/>
  <c r="X239" i="3"/>
  <c r="V239" i="3"/>
  <c r="U239" i="3"/>
  <c r="T239" i="3"/>
  <c r="S239" i="3"/>
  <c r="AG238" i="3"/>
  <c r="AF238" i="3"/>
  <c r="AE238" i="3"/>
  <c r="AD238" i="3"/>
  <c r="AC238" i="3"/>
  <c r="AB238" i="3"/>
  <c r="AA238" i="3"/>
  <c r="Z238" i="3"/>
  <c r="X238" i="3"/>
  <c r="V238" i="3"/>
  <c r="U238" i="3"/>
  <c r="T238" i="3"/>
  <c r="S238" i="3"/>
  <c r="AG237" i="3"/>
  <c r="AF237" i="3"/>
  <c r="AE237" i="3"/>
  <c r="AD237" i="3"/>
  <c r="AC237" i="3"/>
  <c r="AB237" i="3"/>
  <c r="AA237" i="3"/>
  <c r="Z237" i="3"/>
  <c r="X237" i="3"/>
  <c r="V237" i="3"/>
  <c r="U237" i="3"/>
  <c r="T237" i="3"/>
  <c r="S237" i="3"/>
  <c r="AG236" i="3"/>
  <c r="AF236" i="3"/>
  <c r="AE236" i="3"/>
  <c r="AD236" i="3"/>
  <c r="AC236" i="3"/>
  <c r="AB236" i="3"/>
  <c r="AA236" i="3"/>
  <c r="Z236" i="3"/>
  <c r="X236" i="3"/>
  <c r="V236" i="3"/>
  <c r="U236" i="3"/>
  <c r="T236" i="3"/>
  <c r="S236" i="3"/>
  <c r="AG235" i="3"/>
  <c r="AF235" i="3"/>
  <c r="AE235" i="3"/>
  <c r="AD235" i="3"/>
  <c r="AC235" i="3"/>
  <c r="AB235" i="3"/>
  <c r="AA235" i="3"/>
  <c r="Z235" i="3"/>
  <c r="X235" i="3"/>
  <c r="V235" i="3"/>
  <c r="U235" i="3"/>
  <c r="T235" i="3"/>
  <c r="S235" i="3"/>
  <c r="AG234" i="3"/>
  <c r="AF234" i="3"/>
  <c r="AE234" i="3"/>
  <c r="AD234" i="3"/>
  <c r="AC234" i="3"/>
  <c r="AB234" i="3"/>
  <c r="AA234" i="3"/>
  <c r="Z234" i="3"/>
  <c r="X234" i="3"/>
  <c r="V234" i="3"/>
  <c r="U234" i="3"/>
  <c r="T234" i="3"/>
  <c r="S234" i="3"/>
  <c r="AG233" i="3"/>
  <c r="AF233" i="3"/>
  <c r="AE233" i="3"/>
  <c r="AD233" i="3"/>
  <c r="AC233" i="3"/>
  <c r="AB233" i="3"/>
  <c r="AA233" i="3"/>
  <c r="Z233" i="3"/>
  <c r="X233" i="3"/>
  <c r="V233" i="3"/>
  <c r="U233" i="3"/>
  <c r="T233" i="3"/>
  <c r="S233" i="3"/>
  <c r="AG232" i="3"/>
  <c r="AF232" i="3"/>
  <c r="AE232" i="3"/>
  <c r="AD232" i="3"/>
  <c r="AC232" i="3"/>
  <c r="AB232" i="3"/>
  <c r="AA232" i="3"/>
  <c r="Z232" i="3"/>
  <c r="X232" i="3"/>
  <c r="V232" i="3"/>
  <c r="U232" i="3"/>
  <c r="T232" i="3"/>
  <c r="S232" i="3"/>
  <c r="AG231" i="3"/>
  <c r="AF231" i="3"/>
  <c r="AE231" i="3"/>
  <c r="AD231" i="3"/>
  <c r="AC231" i="3"/>
  <c r="AB231" i="3"/>
  <c r="AA231" i="3"/>
  <c r="Z231" i="3"/>
  <c r="X231" i="3"/>
  <c r="V231" i="3"/>
  <c r="U231" i="3"/>
  <c r="T231" i="3"/>
  <c r="S231" i="3"/>
  <c r="AG230" i="3"/>
  <c r="AF230" i="3"/>
  <c r="AE230" i="3"/>
  <c r="AD230" i="3"/>
  <c r="AC230" i="3"/>
  <c r="AB230" i="3"/>
  <c r="AA230" i="3"/>
  <c r="Z230" i="3"/>
  <c r="X230" i="3"/>
  <c r="V230" i="3"/>
  <c r="U230" i="3"/>
  <c r="T230" i="3"/>
  <c r="S230" i="3"/>
  <c r="AG229" i="3"/>
  <c r="AF229" i="3"/>
  <c r="AE229" i="3"/>
  <c r="AD229" i="3"/>
  <c r="AC229" i="3"/>
  <c r="AB229" i="3"/>
  <c r="AA229" i="3"/>
  <c r="Z229" i="3"/>
  <c r="X229" i="3"/>
  <c r="V229" i="3"/>
  <c r="U229" i="3"/>
  <c r="T229" i="3"/>
  <c r="S229" i="3"/>
  <c r="AG228" i="3"/>
  <c r="AF228" i="3"/>
  <c r="AE228" i="3"/>
  <c r="AD228" i="3"/>
  <c r="AC228" i="3"/>
  <c r="AB228" i="3"/>
  <c r="AA228" i="3"/>
  <c r="Z228" i="3"/>
  <c r="X228" i="3"/>
  <c r="V228" i="3"/>
  <c r="U228" i="3"/>
  <c r="T228" i="3"/>
  <c r="S228" i="3"/>
  <c r="AG227" i="3"/>
  <c r="AF227" i="3"/>
  <c r="AE227" i="3"/>
  <c r="AD227" i="3"/>
  <c r="AC227" i="3"/>
  <c r="AB227" i="3"/>
  <c r="AA227" i="3"/>
  <c r="Z227" i="3"/>
  <c r="X227" i="3"/>
  <c r="V227" i="3"/>
  <c r="U227" i="3"/>
  <c r="T227" i="3"/>
  <c r="S227" i="3"/>
  <c r="AG226" i="3"/>
  <c r="AF226" i="3"/>
  <c r="AE226" i="3"/>
  <c r="AD226" i="3"/>
  <c r="AC226" i="3"/>
  <c r="AB226" i="3"/>
  <c r="AA226" i="3"/>
  <c r="Z226" i="3"/>
  <c r="X226" i="3"/>
  <c r="V226" i="3"/>
  <c r="U226" i="3"/>
  <c r="T226" i="3"/>
  <c r="S226" i="3"/>
  <c r="AG225" i="3"/>
  <c r="AF225" i="3"/>
  <c r="AE225" i="3"/>
  <c r="AD225" i="3"/>
  <c r="AC225" i="3"/>
  <c r="AB225" i="3"/>
  <c r="AA225" i="3"/>
  <c r="Z225" i="3"/>
  <c r="X225" i="3"/>
  <c r="V225" i="3"/>
  <c r="U225" i="3"/>
  <c r="T225" i="3"/>
  <c r="S225" i="3"/>
  <c r="AG224" i="3"/>
  <c r="AF224" i="3"/>
  <c r="AE224" i="3"/>
  <c r="AD224" i="3"/>
  <c r="AC224" i="3"/>
  <c r="AB224" i="3"/>
  <c r="AA224" i="3"/>
  <c r="Z224" i="3"/>
  <c r="X224" i="3"/>
  <c r="V224" i="3"/>
  <c r="U224" i="3"/>
  <c r="T224" i="3"/>
  <c r="S224" i="3"/>
  <c r="AG223" i="3"/>
  <c r="AF223" i="3"/>
  <c r="AE223" i="3"/>
  <c r="AD223" i="3"/>
  <c r="AC223" i="3"/>
  <c r="AB223" i="3"/>
  <c r="AA223" i="3"/>
  <c r="Z223" i="3"/>
  <c r="X223" i="3"/>
  <c r="V223" i="3"/>
  <c r="U223" i="3"/>
  <c r="T223" i="3"/>
  <c r="S223" i="3"/>
  <c r="AG222" i="3"/>
  <c r="AF222" i="3"/>
  <c r="AE222" i="3"/>
  <c r="AD222" i="3"/>
  <c r="AC222" i="3"/>
  <c r="AB222" i="3"/>
  <c r="AA222" i="3"/>
  <c r="Z222" i="3"/>
  <c r="X222" i="3"/>
  <c r="V222" i="3"/>
  <c r="U222" i="3"/>
  <c r="T222" i="3"/>
  <c r="S222" i="3"/>
  <c r="AG221" i="3"/>
  <c r="AF221" i="3"/>
  <c r="AE221" i="3"/>
  <c r="AD221" i="3"/>
  <c r="AC221" i="3"/>
  <c r="AB221" i="3"/>
  <c r="AA221" i="3"/>
  <c r="Z221" i="3"/>
  <c r="X221" i="3"/>
  <c r="V221" i="3"/>
  <c r="U221" i="3"/>
  <c r="T221" i="3"/>
  <c r="S221" i="3"/>
  <c r="AG220" i="3"/>
  <c r="AF220" i="3"/>
  <c r="AE220" i="3"/>
  <c r="AD220" i="3"/>
  <c r="AC220" i="3"/>
  <c r="AB220" i="3"/>
  <c r="AA220" i="3"/>
  <c r="Z220" i="3"/>
  <c r="X220" i="3"/>
  <c r="V220" i="3"/>
  <c r="U220" i="3"/>
  <c r="T220" i="3"/>
  <c r="S220" i="3"/>
  <c r="AG219" i="3"/>
  <c r="AF219" i="3"/>
  <c r="AE219" i="3"/>
  <c r="AD219" i="3"/>
  <c r="AC219" i="3"/>
  <c r="AB219" i="3"/>
  <c r="AA219" i="3"/>
  <c r="Z219" i="3"/>
  <c r="X219" i="3"/>
  <c r="V219" i="3"/>
  <c r="U219" i="3"/>
  <c r="T219" i="3"/>
  <c r="S219" i="3"/>
  <c r="AG218" i="3"/>
  <c r="AF218" i="3"/>
  <c r="AE218" i="3"/>
  <c r="AD218" i="3"/>
  <c r="AC218" i="3"/>
  <c r="AB218" i="3"/>
  <c r="AA218" i="3"/>
  <c r="Z218" i="3"/>
  <c r="X218" i="3"/>
  <c r="V218" i="3"/>
  <c r="U218" i="3"/>
  <c r="T218" i="3"/>
  <c r="S218" i="3"/>
  <c r="AG217" i="3"/>
  <c r="AF217" i="3"/>
  <c r="AE217" i="3"/>
  <c r="AD217" i="3"/>
  <c r="AC217" i="3"/>
  <c r="AB217" i="3"/>
  <c r="AA217" i="3"/>
  <c r="Z217" i="3"/>
  <c r="X217" i="3"/>
  <c r="V217" i="3"/>
  <c r="U217" i="3"/>
  <c r="T217" i="3"/>
  <c r="S217" i="3"/>
  <c r="AG216" i="3"/>
  <c r="AF216" i="3"/>
  <c r="AE216" i="3"/>
  <c r="AD216" i="3"/>
  <c r="AC216" i="3"/>
  <c r="AB216" i="3"/>
  <c r="AA216" i="3"/>
  <c r="Z216" i="3"/>
  <c r="X216" i="3"/>
  <c r="V216" i="3"/>
  <c r="U216" i="3"/>
  <c r="T216" i="3"/>
  <c r="S216" i="3"/>
  <c r="AG215" i="3"/>
  <c r="AF215" i="3"/>
  <c r="AE215" i="3"/>
  <c r="AD215" i="3"/>
  <c r="AC215" i="3"/>
  <c r="AB215" i="3"/>
  <c r="AA215" i="3"/>
  <c r="Z215" i="3"/>
  <c r="X215" i="3"/>
  <c r="V215" i="3"/>
  <c r="U215" i="3"/>
  <c r="T215" i="3"/>
  <c r="S215" i="3"/>
  <c r="AG214" i="3"/>
  <c r="AF214" i="3"/>
  <c r="AE214" i="3"/>
  <c r="AD214" i="3"/>
  <c r="AC214" i="3"/>
  <c r="AB214" i="3"/>
  <c r="AA214" i="3"/>
  <c r="Z214" i="3"/>
  <c r="X214" i="3"/>
  <c r="V214" i="3"/>
  <c r="U214" i="3"/>
  <c r="T214" i="3"/>
  <c r="S214" i="3"/>
  <c r="AG213" i="3"/>
  <c r="AF213" i="3"/>
  <c r="AE213" i="3"/>
  <c r="AD213" i="3"/>
  <c r="AC213" i="3"/>
  <c r="AB213" i="3"/>
  <c r="AA213" i="3"/>
  <c r="Z213" i="3"/>
  <c r="X213" i="3"/>
  <c r="V213" i="3"/>
  <c r="U213" i="3"/>
  <c r="T213" i="3"/>
  <c r="S213" i="3"/>
  <c r="AG212" i="3"/>
  <c r="AF212" i="3"/>
  <c r="AE212" i="3"/>
  <c r="AD212" i="3"/>
  <c r="AC212" i="3"/>
  <c r="AB212" i="3"/>
  <c r="AA212" i="3"/>
  <c r="Z212" i="3"/>
  <c r="X212" i="3"/>
  <c r="V212" i="3"/>
  <c r="U212" i="3"/>
  <c r="T212" i="3"/>
  <c r="S212" i="3"/>
  <c r="AG211" i="3"/>
  <c r="AF211" i="3"/>
  <c r="AE211" i="3"/>
  <c r="AD211" i="3"/>
  <c r="AC211" i="3"/>
  <c r="AB211" i="3"/>
  <c r="AA211" i="3"/>
  <c r="Z211" i="3"/>
  <c r="X211" i="3"/>
  <c r="V211" i="3"/>
  <c r="U211" i="3"/>
  <c r="T211" i="3"/>
  <c r="S211" i="3"/>
  <c r="AG210" i="3"/>
  <c r="AF210" i="3"/>
  <c r="AE210" i="3"/>
  <c r="AD210" i="3"/>
  <c r="AC210" i="3"/>
  <c r="AB210" i="3"/>
  <c r="AA210" i="3"/>
  <c r="Z210" i="3"/>
  <c r="X210" i="3"/>
  <c r="V210" i="3"/>
  <c r="U210" i="3"/>
  <c r="T210" i="3"/>
  <c r="S210" i="3"/>
  <c r="AG209" i="3"/>
  <c r="AF209" i="3"/>
  <c r="AE209" i="3"/>
  <c r="AD209" i="3"/>
  <c r="AC209" i="3"/>
  <c r="AB209" i="3"/>
  <c r="AA209" i="3"/>
  <c r="Z209" i="3"/>
  <c r="X209" i="3"/>
  <c r="V209" i="3"/>
  <c r="U209" i="3"/>
  <c r="T209" i="3"/>
  <c r="S209" i="3"/>
  <c r="AG208" i="3"/>
  <c r="AF208" i="3"/>
  <c r="AE208" i="3"/>
  <c r="AD208" i="3"/>
  <c r="AC208" i="3"/>
  <c r="AB208" i="3"/>
  <c r="AA208" i="3"/>
  <c r="Z208" i="3"/>
  <c r="X208" i="3"/>
  <c r="V208" i="3"/>
  <c r="U208" i="3"/>
  <c r="T208" i="3"/>
  <c r="S208" i="3"/>
  <c r="AG207" i="3"/>
  <c r="AF207" i="3"/>
  <c r="AE207" i="3"/>
  <c r="AD207" i="3"/>
  <c r="AC207" i="3"/>
  <c r="AB207" i="3"/>
  <c r="AA207" i="3"/>
  <c r="Z207" i="3"/>
  <c r="X207" i="3"/>
  <c r="V207" i="3"/>
  <c r="U207" i="3"/>
  <c r="T207" i="3"/>
  <c r="S207" i="3"/>
  <c r="AG206" i="3"/>
  <c r="AF206" i="3"/>
  <c r="AE206" i="3"/>
  <c r="AD206" i="3"/>
  <c r="AC206" i="3"/>
  <c r="AB206" i="3"/>
  <c r="AA206" i="3"/>
  <c r="Z206" i="3"/>
  <c r="X206" i="3"/>
  <c r="V206" i="3"/>
  <c r="U206" i="3"/>
  <c r="T206" i="3"/>
  <c r="S206" i="3"/>
  <c r="AG205" i="3"/>
  <c r="AF205" i="3"/>
  <c r="AE205" i="3"/>
  <c r="AD205" i="3"/>
  <c r="AC205" i="3"/>
  <c r="AB205" i="3"/>
  <c r="AA205" i="3"/>
  <c r="Z205" i="3"/>
  <c r="X205" i="3"/>
  <c r="V205" i="3"/>
  <c r="U205" i="3"/>
  <c r="T205" i="3"/>
  <c r="S205" i="3"/>
  <c r="AG204" i="3"/>
  <c r="AF204" i="3"/>
  <c r="AE204" i="3"/>
  <c r="AD204" i="3"/>
  <c r="AC204" i="3"/>
  <c r="AB204" i="3"/>
  <c r="AA204" i="3"/>
  <c r="Z204" i="3"/>
  <c r="X204" i="3"/>
  <c r="V204" i="3"/>
  <c r="U204" i="3"/>
  <c r="T204" i="3"/>
  <c r="S204" i="3"/>
  <c r="AG203" i="3"/>
  <c r="AF203" i="3"/>
  <c r="AE203" i="3"/>
  <c r="AD203" i="3"/>
  <c r="AC203" i="3"/>
  <c r="AB203" i="3"/>
  <c r="AA203" i="3"/>
  <c r="Z203" i="3"/>
  <c r="X203" i="3"/>
  <c r="V203" i="3"/>
  <c r="U203" i="3"/>
  <c r="T203" i="3"/>
  <c r="S203" i="3"/>
  <c r="AG202" i="3"/>
  <c r="AF202" i="3"/>
  <c r="AE202" i="3"/>
  <c r="AD202" i="3"/>
  <c r="AC202" i="3"/>
  <c r="AB202" i="3"/>
  <c r="AA202" i="3"/>
  <c r="Z202" i="3"/>
  <c r="X202" i="3"/>
  <c r="V202" i="3"/>
  <c r="U202" i="3"/>
  <c r="T202" i="3"/>
  <c r="S202" i="3"/>
  <c r="AG201" i="3"/>
  <c r="AF201" i="3"/>
  <c r="AE201" i="3"/>
  <c r="AD201" i="3"/>
  <c r="AC201" i="3"/>
  <c r="AB201" i="3"/>
  <c r="AA201" i="3"/>
  <c r="Z201" i="3"/>
  <c r="X201" i="3"/>
  <c r="V201" i="3"/>
  <c r="U201" i="3"/>
  <c r="T201" i="3"/>
  <c r="S201" i="3"/>
  <c r="AG200" i="3"/>
  <c r="AF200" i="3"/>
  <c r="AE200" i="3"/>
  <c r="AD200" i="3"/>
  <c r="AC200" i="3"/>
  <c r="AB200" i="3"/>
  <c r="AA200" i="3"/>
  <c r="Z200" i="3"/>
  <c r="X200" i="3"/>
  <c r="V200" i="3"/>
  <c r="U200" i="3"/>
  <c r="T200" i="3"/>
  <c r="S200" i="3"/>
  <c r="AG199" i="3"/>
  <c r="AF199" i="3"/>
  <c r="AE199" i="3"/>
  <c r="AD199" i="3"/>
  <c r="AC199" i="3"/>
  <c r="AB199" i="3"/>
  <c r="AA199" i="3"/>
  <c r="Z199" i="3"/>
  <c r="X199" i="3"/>
  <c r="V199" i="3"/>
  <c r="U199" i="3"/>
  <c r="T199" i="3"/>
  <c r="S199" i="3"/>
  <c r="AG198" i="3"/>
  <c r="AF198" i="3"/>
  <c r="AE198" i="3"/>
  <c r="AD198" i="3"/>
  <c r="AC198" i="3"/>
  <c r="AB198" i="3"/>
  <c r="AA198" i="3"/>
  <c r="Z198" i="3"/>
  <c r="X198" i="3"/>
  <c r="V198" i="3"/>
  <c r="U198" i="3"/>
  <c r="T198" i="3"/>
  <c r="S198" i="3"/>
  <c r="AG197" i="3"/>
  <c r="AF197" i="3"/>
  <c r="AE197" i="3"/>
  <c r="AD197" i="3"/>
  <c r="AC197" i="3"/>
  <c r="AB197" i="3"/>
  <c r="AA197" i="3"/>
  <c r="Z197" i="3"/>
  <c r="X197" i="3"/>
  <c r="V197" i="3"/>
  <c r="U197" i="3"/>
  <c r="T197" i="3"/>
  <c r="S197" i="3"/>
  <c r="AG196" i="3"/>
  <c r="AF196" i="3"/>
  <c r="AE196" i="3"/>
  <c r="AD196" i="3"/>
  <c r="AC196" i="3"/>
  <c r="AB196" i="3"/>
  <c r="AA196" i="3"/>
  <c r="Z196" i="3"/>
  <c r="X196" i="3"/>
  <c r="V196" i="3"/>
  <c r="U196" i="3"/>
  <c r="T196" i="3"/>
  <c r="S196" i="3"/>
  <c r="AG195" i="3"/>
  <c r="AF195" i="3"/>
  <c r="AE195" i="3"/>
  <c r="AD195" i="3"/>
  <c r="AC195" i="3"/>
  <c r="AB195" i="3"/>
  <c r="AA195" i="3"/>
  <c r="Z195" i="3"/>
  <c r="X195" i="3"/>
  <c r="V195" i="3"/>
  <c r="U195" i="3"/>
  <c r="T195" i="3"/>
  <c r="S195" i="3"/>
  <c r="AG194" i="3"/>
  <c r="AF194" i="3"/>
  <c r="AE194" i="3"/>
  <c r="AD194" i="3"/>
  <c r="AC194" i="3"/>
  <c r="AB194" i="3"/>
  <c r="AA194" i="3"/>
  <c r="Z194" i="3"/>
  <c r="X194" i="3"/>
  <c r="V194" i="3"/>
  <c r="U194" i="3"/>
  <c r="T194" i="3"/>
  <c r="S194" i="3"/>
  <c r="AG193" i="3"/>
  <c r="AF193" i="3"/>
  <c r="AE193" i="3"/>
  <c r="AD193" i="3"/>
  <c r="AC193" i="3"/>
  <c r="AB193" i="3"/>
  <c r="AA193" i="3"/>
  <c r="Z193" i="3"/>
  <c r="X193" i="3"/>
  <c r="V193" i="3"/>
  <c r="U193" i="3"/>
  <c r="T193" i="3"/>
  <c r="S193" i="3"/>
  <c r="AG192" i="3"/>
  <c r="AF192" i="3"/>
  <c r="AE192" i="3"/>
  <c r="AD192" i="3"/>
  <c r="AC192" i="3"/>
  <c r="AB192" i="3"/>
  <c r="AA192" i="3"/>
  <c r="Z192" i="3"/>
  <c r="X192" i="3"/>
  <c r="V192" i="3"/>
  <c r="U192" i="3"/>
  <c r="T192" i="3"/>
  <c r="S192" i="3"/>
  <c r="AG191" i="3"/>
  <c r="AF191" i="3"/>
  <c r="AE191" i="3"/>
  <c r="AD191" i="3"/>
  <c r="AC191" i="3"/>
  <c r="AB191" i="3"/>
  <c r="AA191" i="3"/>
  <c r="Z191" i="3"/>
  <c r="X191" i="3"/>
  <c r="V191" i="3"/>
  <c r="U191" i="3"/>
  <c r="T191" i="3"/>
  <c r="S191" i="3"/>
  <c r="AG190" i="3"/>
  <c r="AF190" i="3"/>
  <c r="AE190" i="3"/>
  <c r="AD190" i="3"/>
  <c r="AC190" i="3"/>
  <c r="AB190" i="3"/>
  <c r="AA190" i="3"/>
  <c r="Z190" i="3"/>
  <c r="X190" i="3"/>
  <c r="V190" i="3"/>
  <c r="U190" i="3"/>
  <c r="T190" i="3"/>
  <c r="S190" i="3"/>
  <c r="AG189" i="3"/>
  <c r="AF189" i="3"/>
  <c r="AE189" i="3"/>
  <c r="AD189" i="3"/>
  <c r="AC189" i="3"/>
  <c r="AB189" i="3"/>
  <c r="AA189" i="3"/>
  <c r="Z189" i="3"/>
  <c r="X189" i="3"/>
  <c r="V189" i="3"/>
  <c r="U189" i="3"/>
  <c r="T189" i="3"/>
  <c r="S189" i="3"/>
  <c r="AG188" i="3"/>
  <c r="AF188" i="3"/>
  <c r="AE188" i="3"/>
  <c r="AD188" i="3"/>
  <c r="AC188" i="3"/>
  <c r="AB188" i="3"/>
  <c r="AA188" i="3"/>
  <c r="Z188" i="3"/>
  <c r="X188" i="3"/>
  <c r="V188" i="3"/>
  <c r="U188" i="3"/>
  <c r="T188" i="3"/>
  <c r="S188" i="3"/>
  <c r="AG187" i="3"/>
  <c r="AF187" i="3"/>
  <c r="AE187" i="3"/>
  <c r="AD187" i="3"/>
  <c r="AC187" i="3"/>
  <c r="AB187" i="3"/>
  <c r="AA187" i="3"/>
  <c r="Z187" i="3"/>
  <c r="X187" i="3"/>
  <c r="V187" i="3"/>
  <c r="U187" i="3"/>
  <c r="T187" i="3"/>
  <c r="S187" i="3"/>
  <c r="AG186" i="3"/>
  <c r="AF186" i="3"/>
  <c r="AE186" i="3"/>
  <c r="AD186" i="3"/>
  <c r="AC186" i="3"/>
  <c r="AB186" i="3"/>
  <c r="AA186" i="3"/>
  <c r="Z186" i="3"/>
  <c r="X186" i="3"/>
  <c r="V186" i="3"/>
  <c r="U186" i="3"/>
  <c r="T186" i="3"/>
  <c r="S186" i="3"/>
  <c r="AG185" i="3"/>
  <c r="AF185" i="3"/>
  <c r="AE185" i="3"/>
  <c r="AD185" i="3"/>
  <c r="AC185" i="3"/>
  <c r="AB185" i="3"/>
  <c r="AA185" i="3"/>
  <c r="Z185" i="3"/>
  <c r="X185" i="3"/>
  <c r="V185" i="3"/>
  <c r="U185" i="3"/>
  <c r="T185" i="3"/>
  <c r="S185" i="3"/>
  <c r="AG184" i="3"/>
  <c r="AF184" i="3"/>
  <c r="AE184" i="3"/>
  <c r="AD184" i="3"/>
  <c r="AC184" i="3"/>
  <c r="AB184" i="3"/>
  <c r="AA184" i="3"/>
  <c r="Z184" i="3"/>
  <c r="X184" i="3"/>
  <c r="V184" i="3"/>
  <c r="U184" i="3"/>
  <c r="T184" i="3"/>
  <c r="S184" i="3"/>
  <c r="AG183" i="3"/>
  <c r="AF183" i="3"/>
  <c r="AE183" i="3"/>
  <c r="AD183" i="3"/>
  <c r="AC183" i="3"/>
  <c r="AB183" i="3"/>
  <c r="AA183" i="3"/>
  <c r="Z183" i="3"/>
  <c r="X183" i="3"/>
  <c r="V183" i="3"/>
  <c r="U183" i="3"/>
  <c r="T183" i="3"/>
  <c r="S183" i="3"/>
  <c r="AG182" i="3"/>
  <c r="AF182" i="3"/>
  <c r="AE182" i="3"/>
  <c r="AD182" i="3"/>
  <c r="AC182" i="3"/>
  <c r="AB182" i="3"/>
  <c r="AA182" i="3"/>
  <c r="Z182" i="3"/>
  <c r="X182" i="3"/>
  <c r="V182" i="3"/>
  <c r="U182" i="3"/>
  <c r="T182" i="3"/>
  <c r="S182" i="3"/>
  <c r="AG181" i="3"/>
  <c r="AF181" i="3"/>
  <c r="AE181" i="3"/>
  <c r="AD181" i="3"/>
  <c r="AC181" i="3"/>
  <c r="AB181" i="3"/>
  <c r="AA181" i="3"/>
  <c r="Z181" i="3"/>
  <c r="X181" i="3"/>
  <c r="V181" i="3"/>
  <c r="U181" i="3"/>
  <c r="T181" i="3"/>
  <c r="S181" i="3"/>
  <c r="AG180" i="3"/>
  <c r="AF180" i="3"/>
  <c r="AE180" i="3"/>
  <c r="AD180" i="3"/>
  <c r="AC180" i="3"/>
  <c r="AB180" i="3"/>
  <c r="AA180" i="3"/>
  <c r="Z180" i="3"/>
  <c r="X180" i="3"/>
  <c r="V180" i="3"/>
  <c r="U180" i="3"/>
  <c r="T180" i="3"/>
  <c r="S180" i="3"/>
  <c r="AG179" i="3"/>
  <c r="AF179" i="3"/>
  <c r="AE179" i="3"/>
  <c r="AD179" i="3"/>
  <c r="AC179" i="3"/>
  <c r="AB179" i="3"/>
  <c r="AA179" i="3"/>
  <c r="Z179" i="3"/>
  <c r="X179" i="3"/>
  <c r="V179" i="3"/>
  <c r="U179" i="3"/>
  <c r="T179" i="3"/>
  <c r="S179" i="3"/>
  <c r="AG178" i="3"/>
  <c r="AF178" i="3"/>
  <c r="AE178" i="3"/>
  <c r="AD178" i="3"/>
  <c r="AC178" i="3"/>
  <c r="AB178" i="3"/>
  <c r="AA178" i="3"/>
  <c r="Z178" i="3"/>
  <c r="X178" i="3"/>
  <c r="V178" i="3"/>
  <c r="U178" i="3"/>
  <c r="T178" i="3"/>
  <c r="S178" i="3"/>
  <c r="AG177" i="3"/>
  <c r="AF177" i="3"/>
  <c r="AE177" i="3"/>
  <c r="AD177" i="3"/>
  <c r="AC177" i="3"/>
  <c r="AB177" i="3"/>
  <c r="AA177" i="3"/>
  <c r="Z177" i="3"/>
  <c r="X177" i="3"/>
  <c r="V177" i="3"/>
  <c r="U177" i="3"/>
  <c r="T177" i="3"/>
  <c r="S177" i="3"/>
  <c r="AG176" i="3"/>
  <c r="AF176" i="3"/>
  <c r="AE176" i="3"/>
  <c r="AD176" i="3"/>
  <c r="AC176" i="3"/>
  <c r="AB176" i="3"/>
  <c r="AA176" i="3"/>
  <c r="Z176" i="3"/>
  <c r="X176" i="3"/>
  <c r="V176" i="3"/>
  <c r="U176" i="3"/>
  <c r="T176" i="3"/>
  <c r="S176" i="3"/>
  <c r="AG175" i="3"/>
  <c r="AF175" i="3"/>
  <c r="AE175" i="3"/>
  <c r="AD175" i="3"/>
  <c r="AC175" i="3"/>
  <c r="AB175" i="3"/>
  <c r="AA175" i="3"/>
  <c r="Z175" i="3"/>
  <c r="X175" i="3"/>
  <c r="V175" i="3"/>
  <c r="U175" i="3"/>
  <c r="T175" i="3"/>
  <c r="S175" i="3"/>
  <c r="AG174" i="3"/>
  <c r="AF174" i="3"/>
  <c r="AE174" i="3"/>
  <c r="AD174" i="3"/>
  <c r="AC174" i="3"/>
  <c r="AB174" i="3"/>
  <c r="AA174" i="3"/>
  <c r="Z174" i="3"/>
  <c r="X174" i="3"/>
  <c r="V174" i="3"/>
  <c r="U174" i="3"/>
  <c r="T174" i="3"/>
  <c r="S174" i="3"/>
  <c r="AG173" i="3"/>
  <c r="AF173" i="3"/>
  <c r="AE173" i="3"/>
  <c r="AD173" i="3"/>
  <c r="AC173" i="3"/>
  <c r="AB173" i="3"/>
  <c r="AA173" i="3"/>
  <c r="Z173" i="3"/>
  <c r="X173" i="3"/>
  <c r="V173" i="3"/>
  <c r="U173" i="3"/>
  <c r="T173" i="3"/>
  <c r="S173" i="3"/>
  <c r="AG172" i="3"/>
  <c r="AF172" i="3"/>
  <c r="AE172" i="3"/>
  <c r="AD172" i="3"/>
  <c r="AC172" i="3"/>
  <c r="AB172" i="3"/>
  <c r="AA172" i="3"/>
  <c r="Z172" i="3"/>
  <c r="X172" i="3"/>
  <c r="V172" i="3"/>
  <c r="U172" i="3"/>
  <c r="T172" i="3"/>
  <c r="S172" i="3"/>
  <c r="AG171" i="3"/>
  <c r="AF171" i="3"/>
  <c r="AE171" i="3"/>
  <c r="AD171" i="3"/>
  <c r="AC171" i="3"/>
  <c r="AB171" i="3"/>
  <c r="AA171" i="3"/>
  <c r="Z171" i="3"/>
  <c r="X171" i="3"/>
  <c r="V171" i="3"/>
  <c r="U171" i="3"/>
  <c r="T171" i="3"/>
  <c r="S171" i="3"/>
  <c r="AG170" i="3"/>
  <c r="AF170" i="3"/>
  <c r="AE170" i="3"/>
  <c r="AD170" i="3"/>
  <c r="AC170" i="3"/>
  <c r="AB170" i="3"/>
  <c r="AA170" i="3"/>
  <c r="Z170" i="3"/>
  <c r="X170" i="3"/>
  <c r="V170" i="3"/>
  <c r="U170" i="3"/>
  <c r="T170" i="3"/>
  <c r="S170" i="3"/>
  <c r="AG169" i="3"/>
  <c r="AF169" i="3"/>
  <c r="AE169" i="3"/>
  <c r="AD169" i="3"/>
  <c r="AC169" i="3"/>
  <c r="AB169" i="3"/>
  <c r="AA169" i="3"/>
  <c r="Z169" i="3"/>
  <c r="X169" i="3"/>
  <c r="V169" i="3"/>
  <c r="U169" i="3"/>
  <c r="T169" i="3"/>
  <c r="S169" i="3"/>
  <c r="AG168" i="3"/>
  <c r="AF168" i="3"/>
  <c r="AE168" i="3"/>
  <c r="AD168" i="3"/>
  <c r="AC168" i="3"/>
  <c r="AB168" i="3"/>
  <c r="AA168" i="3"/>
  <c r="Z168" i="3"/>
  <c r="X168" i="3"/>
  <c r="V168" i="3"/>
  <c r="U168" i="3"/>
  <c r="T168" i="3"/>
  <c r="S168" i="3"/>
  <c r="AG167" i="3"/>
  <c r="AF167" i="3"/>
  <c r="AE167" i="3"/>
  <c r="AD167" i="3"/>
  <c r="AC167" i="3"/>
  <c r="AB167" i="3"/>
  <c r="AA167" i="3"/>
  <c r="Z167" i="3"/>
  <c r="X167" i="3"/>
  <c r="V167" i="3"/>
  <c r="U167" i="3"/>
  <c r="T167" i="3"/>
  <c r="S167" i="3"/>
  <c r="AG166" i="3"/>
  <c r="AF166" i="3"/>
  <c r="AE166" i="3"/>
  <c r="AD166" i="3"/>
  <c r="AC166" i="3"/>
  <c r="AB166" i="3"/>
  <c r="AA166" i="3"/>
  <c r="Z166" i="3"/>
  <c r="X166" i="3"/>
  <c r="V166" i="3"/>
  <c r="U166" i="3"/>
  <c r="T166" i="3"/>
  <c r="S166" i="3"/>
  <c r="AG165" i="3"/>
  <c r="AF165" i="3"/>
  <c r="AE165" i="3"/>
  <c r="AD165" i="3"/>
  <c r="AC165" i="3"/>
  <c r="AB165" i="3"/>
  <c r="AA165" i="3"/>
  <c r="Z165" i="3"/>
  <c r="X165" i="3"/>
  <c r="V165" i="3"/>
  <c r="U165" i="3"/>
  <c r="T165" i="3"/>
  <c r="S165" i="3"/>
  <c r="AG164" i="3"/>
  <c r="AF164" i="3"/>
  <c r="AE164" i="3"/>
  <c r="AD164" i="3"/>
  <c r="AC164" i="3"/>
  <c r="AB164" i="3"/>
  <c r="AA164" i="3"/>
  <c r="Z164" i="3"/>
  <c r="X164" i="3"/>
  <c r="V164" i="3"/>
  <c r="U164" i="3"/>
  <c r="T164" i="3"/>
  <c r="S164" i="3"/>
  <c r="AG163" i="3"/>
  <c r="AF163" i="3"/>
  <c r="AE163" i="3"/>
  <c r="AD163" i="3"/>
  <c r="AC163" i="3"/>
  <c r="AB163" i="3"/>
  <c r="AA163" i="3"/>
  <c r="Z163" i="3"/>
  <c r="X163" i="3"/>
  <c r="V163" i="3"/>
  <c r="U163" i="3"/>
  <c r="T163" i="3"/>
  <c r="S163" i="3"/>
  <c r="AG162" i="3"/>
  <c r="AF162" i="3"/>
  <c r="AE162" i="3"/>
  <c r="AD162" i="3"/>
  <c r="AC162" i="3"/>
  <c r="AB162" i="3"/>
  <c r="AA162" i="3"/>
  <c r="Z162" i="3"/>
  <c r="X162" i="3"/>
  <c r="V162" i="3"/>
  <c r="U162" i="3"/>
  <c r="T162" i="3"/>
  <c r="S162" i="3"/>
  <c r="AG161" i="3"/>
  <c r="AF161" i="3"/>
  <c r="AE161" i="3"/>
  <c r="AD161" i="3"/>
  <c r="AC161" i="3"/>
  <c r="AB161" i="3"/>
  <c r="AA161" i="3"/>
  <c r="Z161" i="3"/>
  <c r="X161" i="3"/>
  <c r="V161" i="3"/>
  <c r="U161" i="3"/>
  <c r="T161" i="3"/>
  <c r="S161" i="3"/>
  <c r="AG160" i="3"/>
  <c r="AF160" i="3"/>
  <c r="AE160" i="3"/>
  <c r="AD160" i="3"/>
  <c r="AC160" i="3"/>
  <c r="AB160" i="3"/>
  <c r="AA160" i="3"/>
  <c r="Z160" i="3"/>
  <c r="X160" i="3"/>
  <c r="V160" i="3"/>
  <c r="U160" i="3"/>
  <c r="T160" i="3"/>
  <c r="S160" i="3"/>
  <c r="AG159" i="3"/>
  <c r="AF159" i="3"/>
  <c r="AE159" i="3"/>
  <c r="AD159" i="3"/>
  <c r="AC159" i="3"/>
  <c r="AB159" i="3"/>
  <c r="AA159" i="3"/>
  <c r="Z159" i="3"/>
  <c r="X159" i="3"/>
  <c r="V159" i="3"/>
  <c r="U159" i="3"/>
  <c r="T159" i="3"/>
  <c r="S159" i="3"/>
  <c r="AG158" i="3"/>
  <c r="AF158" i="3"/>
  <c r="AE158" i="3"/>
  <c r="AD158" i="3"/>
  <c r="AC158" i="3"/>
  <c r="AB158" i="3"/>
  <c r="AA158" i="3"/>
  <c r="Z158" i="3"/>
  <c r="X158" i="3"/>
  <c r="V158" i="3"/>
  <c r="U158" i="3"/>
  <c r="T158" i="3"/>
  <c r="S158" i="3"/>
  <c r="AG157" i="3"/>
  <c r="AF157" i="3"/>
  <c r="AE157" i="3"/>
  <c r="AD157" i="3"/>
  <c r="AC157" i="3"/>
  <c r="AB157" i="3"/>
  <c r="AA157" i="3"/>
  <c r="Z157" i="3"/>
  <c r="X157" i="3"/>
  <c r="V157" i="3"/>
  <c r="U157" i="3"/>
  <c r="T157" i="3"/>
  <c r="S157" i="3"/>
  <c r="AG156" i="3"/>
  <c r="AF156" i="3"/>
  <c r="AE156" i="3"/>
  <c r="AD156" i="3"/>
  <c r="AC156" i="3"/>
  <c r="AB156" i="3"/>
  <c r="AA156" i="3"/>
  <c r="Z156" i="3"/>
  <c r="X156" i="3"/>
  <c r="V156" i="3"/>
  <c r="U156" i="3"/>
  <c r="T156" i="3"/>
  <c r="S156" i="3"/>
  <c r="AG155" i="3"/>
  <c r="AF155" i="3"/>
  <c r="AE155" i="3"/>
  <c r="AD155" i="3"/>
  <c r="AC155" i="3"/>
  <c r="AB155" i="3"/>
  <c r="AA155" i="3"/>
  <c r="Z155" i="3"/>
  <c r="X155" i="3"/>
  <c r="V155" i="3"/>
  <c r="U155" i="3"/>
  <c r="T155" i="3"/>
  <c r="S155" i="3"/>
  <c r="AG154" i="3"/>
  <c r="AF154" i="3"/>
  <c r="AE154" i="3"/>
  <c r="AD154" i="3"/>
  <c r="AC154" i="3"/>
  <c r="AB154" i="3"/>
  <c r="AA154" i="3"/>
  <c r="Z154" i="3"/>
  <c r="X154" i="3"/>
  <c r="V154" i="3"/>
  <c r="U154" i="3"/>
  <c r="T154" i="3"/>
  <c r="S154" i="3"/>
  <c r="AG153" i="3"/>
  <c r="AF153" i="3"/>
  <c r="AE153" i="3"/>
  <c r="AD153" i="3"/>
  <c r="AC153" i="3"/>
  <c r="AB153" i="3"/>
  <c r="AA153" i="3"/>
  <c r="Z153" i="3"/>
  <c r="X153" i="3"/>
  <c r="V153" i="3"/>
  <c r="U153" i="3"/>
  <c r="T153" i="3"/>
  <c r="S153" i="3"/>
  <c r="AG152" i="3"/>
  <c r="AF152" i="3"/>
  <c r="AE152" i="3"/>
  <c r="AD152" i="3"/>
  <c r="AC152" i="3"/>
  <c r="AB152" i="3"/>
  <c r="AA152" i="3"/>
  <c r="Z152" i="3"/>
  <c r="X152" i="3"/>
  <c r="V152" i="3"/>
  <c r="U152" i="3"/>
  <c r="T152" i="3"/>
  <c r="S152" i="3"/>
  <c r="AG151" i="3"/>
  <c r="AF151" i="3"/>
  <c r="AE151" i="3"/>
  <c r="AD151" i="3"/>
  <c r="AC151" i="3"/>
  <c r="AB151" i="3"/>
  <c r="AA151" i="3"/>
  <c r="Z151" i="3"/>
  <c r="X151" i="3"/>
  <c r="V151" i="3"/>
  <c r="U151" i="3"/>
  <c r="T151" i="3"/>
  <c r="S151" i="3"/>
  <c r="AG150" i="3"/>
  <c r="AF150" i="3"/>
  <c r="AE150" i="3"/>
  <c r="AD150" i="3"/>
  <c r="AC150" i="3"/>
  <c r="AB150" i="3"/>
  <c r="AA150" i="3"/>
  <c r="Z150" i="3"/>
  <c r="X150" i="3"/>
  <c r="V150" i="3"/>
  <c r="U150" i="3"/>
  <c r="T150" i="3"/>
  <c r="S150" i="3"/>
  <c r="AG149" i="3"/>
  <c r="AF149" i="3"/>
  <c r="AE149" i="3"/>
  <c r="AD149" i="3"/>
  <c r="AC149" i="3"/>
  <c r="AB149" i="3"/>
  <c r="AA149" i="3"/>
  <c r="Z149" i="3"/>
  <c r="X149" i="3"/>
  <c r="V149" i="3"/>
  <c r="U149" i="3"/>
  <c r="T149" i="3"/>
  <c r="S149" i="3"/>
  <c r="AG148" i="3"/>
  <c r="AF148" i="3"/>
  <c r="AE148" i="3"/>
  <c r="AD148" i="3"/>
  <c r="AC148" i="3"/>
  <c r="AB148" i="3"/>
  <c r="AA148" i="3"/>
  <c r="Z148" i="3"/>
  <c r="X148" i="3"/>
  <c r="V148" i="3"/>
  <c r="U148" i="3"/>
  <c r="T148" i="3"/>
  <c r="S148" i="3"/>
  <c r="AG147" i="3"/>
  <c r="AF147" i="3"/>
  <c r="AE147" i="3"/>
  <c r="AD147" i="3"/>
  <c r="AC147" i="3"/>
  <c r="AB147" i="3"/>
  <c r="AA147" i="3"/>
  <c r="Z147" i="3"/>
  <c r="X147" i="3"/>
  <c r="V147" i="3"/>
  <c r="U147" i="3"/>
  <c r="T147" i="3"/>
  <c r="S147" i="3"/>
  <c r="AG146" i="3"/>
  <c r="AF146" i="3"/>
  <c r="AE146" i="3"/>
  <c r="AD146" i="3"/>
  <c r="AC146" i="3"/>
  <c r="AB146" i="3"/>
  <c r="AA146" i="3"/>
  <c r="Z146" i="3"/>
  <c r="X146" i="3"/>
  <c r="V146" i="3"/>
  <c r="U146" i="3"/>
  <c r="T146" i="3"/>
  <c r="S146" i="3"/>
  <c r="AG145" i="3"/>
  <c r="AF145" i="3"/>
  <c r="AE145" i="3"/>
  <c r="AD145" i="3"/>
  <c r="AC145" i="3"/>
  <c r="AB145" i="3"/>
  <c r="AA145" i="3"/>
  <c r="Z145" i="3"/>
  <c r="X145" i="3"/>
  <c r="V145" i="3"/>
  <c r="U145" i="3"/>
  <c r="T145" i="3"/>
  <c r="S145" i="3"/>
  <c r="AG144" i="3"/>
  <c r="AF144" i="3"/>
  <c r="AE144" i="3"/>
  <c r="AD144" i="3"/>
  <c r="AC144" i="3"/>
  <c r="AB144" i="3"/>
  <c r="AA144" i="3"/>
  <c r="Z144" i="3"/>
  <c r="X144" i="3"/>
  <c r="V144" i="3"/>
  <c r="U144" i="3"/>
  <c r="T144" i="3"/>
  <c r="S144" i="3"/>
  <c r="AG143" i="3"/>
  <c r="AF143" i="3"/>
  <c r="AE143" i="3"/>
  <c r="AD143" i="3"/>
  <c r="AC143" i="3"/>
  <c r="AB143" i="3"/>
  <c r="AA143" i="3"/>
  <c r="Z143" i="3"/>
  <c r="X143" i="3"/>
  <c r="V143" i="3"/>
  <c r="U143" i="3"/>
  <c r="T143" i="3"/>
  <c r="S143" i="3"/>
  <c r="AG142" i="3"/>
  <c r="AF142" i="3"/>
  <c r="AE142" i="3"/>
  <c r="AD142" i="3"/>
  <c r="AC142" i="3"/>
  <c r="AB142" i="3"/>
  <c r="AA142" i="3"/>
  <c r="Z142" i="3"/>
  <c r="X142" i="3"/>
  <c r="V142" i="3"/>
  <c r="U142" i="3"/>
  <c r="T142" i="3"/>
  <c r="S142" i="3"/>
  <c r="AG141" i="3"/>
  <c r="AF141" i="3"/>
  <c r="AE141" i="3"/>
  <c r="AD141" i="3"/>
  <c r="AC141" i="3"/>
  <c r="AB141" i="3"/>
  <c r="AA141" i="3"/>
  <c r="Z141" i="3"/>
  <c r="X141" i="3"/>
  <c r="V141" i="3"/>
  <c r="U141" i="3"/>
  <c r="T141" i="3"/>
  <c r="S141" i="3"/>
  <c r="AG140" i="3"/>
  <c r="AF140" i="3"/>
  <c r="AE140" i="3"/>
  <c r="AD140" i="3"/>
  <c r="AC140" i="3"/>
  <c r="AB140" i="3"/>
  <c r="AA140" i="3"/>
  <c r="Z140" i="3"/>
  <c r="X140" i="3"/>
  <c r="V140" i="3"/>
  <c r="U140" i="3"/>
  <c r="T140" i="3"/>
  <c r="S140" i="3"/>
  <c r="AG139" i="3"/>
  <c r="AF139" i="3"/>
  <c r="AE139" i="3"/>
  <c r="AD139" i="3"/>
  <c r="AC139" i="3"/>
  <c r="AB139" i="3"/>
  <c r="AA139" i="3"/>
  <c r="Z139" i="3"/>
  <c r="X139" i="3"/>
  <c r="V139" i="3"/>
  <c r="U139" i="3"/>
  <c r="T139" i="3"/>
  <c r="S139" i="3"/>
  <c r="AG138" i="3"/>
  <c r="AF138" i="3"/>
  <c r="AE138" i="3"/>
  <c r="AD138" i="3"/>
  <c r="AC138" i="3"/>
  <c r="AB138" i="3"/>
  <c r="AA138" i="3"/>
  <c r="Z138" i="3"/>
  <c r="X138" i="3"/>
  <c r="V138" i="3"/>
  <c r="U138" i="3"/>
  <c r="T138" i="3"/>
  <c r="S138" i="3"/>
  <c r="AG137" i="3"/>
  <c r="AF137" i="3"/>
  <c r="AE137" i="3"/>
  <c r="AD137" i="3"/>
  <c r="AC137" i="3"/>
  <c r="AB137" i="3"/>
  <c r="AA137" i="3"/>
  <c r="Z137" i="3"/>
  <c r="X137" i="3"/>
  <c r="V137" i="3"/>
  <c r="U137" i="3"/>
  <c r="T137" i="3"/>
  <c r="S137" i="3"/>
  <c r="AG136" i="3"/>
  <c r="AF136" i="3"/>
  <c r="AE136" i="3"/>
  <c r="AD136" i="3"/>
  <c r="AC136" i="3"/>
  <c r="AB136" i="3"/>
  <c r="AA136" i="3"/>
  <c r="Z136" i="3"/>
  <c r="X136" i="3"/>
  <c r="V136" i="3"/>
  <c r="U136" i="3"/>
  <c r="T136" i="3"/>
  <c r="S136" i="3"/>
  <c r="AG135" i="3"/>
  <c r="AF135" i="3"/>
  <c r="AE135" i="3"/>
  <c r="AD135" i="3"/>
  <c r="AC135" i="3"/>
  <c r="AB135" i="3"/>
  <c r="AA135" i="3"/>
  <c r="Z135" i="3"/>
  <c r="X135" i="3"/>
  <c r="V135" i="3"/>
  <c r="U135" i="3"/>
  <c r="T135" i="3"/>
  <c r="S135" i="3"/>
  <c r="AG134" i="3"/>
  <c r="AF134" i="3"/>
  <c r="AE134" i="3"/>
  <c r="AD134" i="3"/>
  <c r="AC134" i="3"/>
  <c r="AB134" i="3"/>
  <c r="AA134" i="3"/>
  <c r="Z134" i="3"/>
  <c r="X134" i="3"/>
  <c r="V134" i="3"/>
  <c r="U134" i="3"/>
  <c r="T134" i="3"/>
  <c r="S134" i="3"/>
  <c r="AG133" i="3"/>
  <c r="AF133" i="3"/>
  <c r="AE133" i="3"/>
  <c r="AD133" i="3"/>
  <c r="AC133" i="3"/>
  <c r="AB133" i="3"/>
  <c r="AA133" i="3"/>
  <c r="Z133" i="3"/>
  <c r="X133" i="3"/>
  <c r="V133" i="3"/>
  <c r="U133" i="3"/>
  <c r="T133" i="3"/>
  <c r="S133" i="3"/>
  <c r="AG132" i="3"/>
  <c r="AF132" i="3"/>
  <c r="AE132" i="3"/>
  <c r="AD132" i="3"/>
  <c r="AC132" i="3"/>
  <c r="AB132" i="3"/>
  <c r="AA132" i="3"/>
  <c r="Z132" i="3"/>
  <c r="X132" i="3"/>
  <c r="V132" i="3"/>
  <c r="U132" i="3"/>
  <c r="T132" i="3"/>
  <c r="S132" i="3"/>
  <c r="AG131" i="3"/>
  <c r="AF131" i="3"/>
  <c r="AE131" i="3"/>
  <c r="AD131" i="3"/>
  <c r="AC131" i="3"/>
  <c r="AB131" i="3"/>
  <c r="AA131" i="3"/>
  <c r="Z131" i="3"/>
  <c r="X131" i="3"/>
  <c r="V131" i="3"/>
  <c r="U131" i="3"/>
  <c r="T131" i="3"/>
  <c r="S131" i="3"/>
  <c r="AG130" i="3"/>
  <c r="AF130" i="3"/>
  <c r="AE130" i="3"/>
  <c r="AD130" i="3"/>
  <c r="AC130" i="3"/>
  <c r="AB130" i="3"/>
  <c r="AA130" i="3"/>
  <c r="Z130" i="3"/>
  <c r="X130" i="3"/>
  <c r="V130" i="3"/>
  <c r="U130" i="3"/>
  <c r="T130" i="3"/>
  <c r="S130" i="3"/>
  <c r="AG129" i="3"/>
  <c r="AF129" i="3"/>
  <c r="AE129" i="3"/>
  <c r="AD129" i="3"/>
  <c r="AC129" i="3"/>
  <c r="AB129" i="3"/>
  <c r="AA129" i="3"/>
  <c r="Z129" i="3"/>
  <c r="X129" i="3"/>
  <c r="V129" i="3"/>
  <c r="U129" i="3"/>
  <c r="T129" i="3"/>
  <c r="S129" i="3"/>
  <c r="AG128" i="3"/>
  <c r="AF128" i="3"/>
  <c r="AE128" i="3"/>
  <c r="AD128" i="3"/>
  <c r="AC128" i="3"/>
  <c r="AB128" i="3"/>
  <c r="AA128" i="3"/>
  <c r="Z128" i="3"/>
  <c r="X128" i="3"/>
  <c r="V128" i="3"/>
  <c r="U128" i="3"/>
  <c r="T128" i="3"/>
  <c r="S128" i="3"/>
  <c r="AG127" i="3"/>
  <c r="AF127" i="3"/>
  <c r="AE127" i="3"/>
  <c r="AD127" i="3"/>
  <c r="AC127" i="3"/>
  <c r="AB127" i="3"/>
  <c r="AA127" i="3"/>
  <c r="Z127" i="3"/>
  <c r="X127" i="3"/>
  <c r="V127" i="3"/>
  <c r="U127" i="3"/>
  <c r="T127" i="3"/>
  <c r="S127" i="3"/>
  <c r="AG126" i="3"/>
  <c r="AF126" i="3"/>
  <c r="AE126" i="3"/>
  <c r="AD126" i="3"/>
  <c r="AC126" i="3"/>
  <c r="AB126" i="3"/>
  <c r="AA126" i="3"/>
  <c r="Z126" i="3"/>
  <c r="X126" i="3"/>
  <c r="V126" i="3"/>
  <c r="U126" i="3"/>
  <c r="T126" i="3"/>
  <c r="S126" i="3"/>
  <c r="AG125" i="3"/>
  <c r="AF125" i="3"/>
  <c r="AE125" i="3"/>
  <c r="AD125" i="3"/>
  <c r="AC125" i="3"/>
  <c r="AB125" i="3"/>
  <c r="AA125" i="3"/>
  <c r="Z125" i="3"/>
  <c r="X125" i="3"/>
  <c r="V125" i="3"/>
  <c r="U125" i="3"/>
  <c r="T125" i="3"/>
  <c r="S125" i="3"/>
  <c r="AG124" i="3"/>
  <c r="AF124" i="3"/>
  <c r="AE124" i="3"/>
  <c r="AD124" i="3"/>
  <c r="AC124" i="3"/>
  <c r="AB124" i="3"/>
  <c r="AA124" i="3"/>
  <c r="Z124" i="3"/>
  <c r="X124" i="3"/>
  <c r="V124" i="3"/>
  <c r="U124" i="3"/>
  <c r="T124" i="3"/>
  <c r="S124" i="3"/>
  <c r="AG123" i="3"/>
  <c r="AF123" i="3"/>
  <c r="AE123" i="3"/>
  <c r="AD123" i="3"/>
  <c r="AC123" i="3"/>
  <c r="AB123" i="3"/>
  <c r="AA123" i="3"/>
  <c r="Z123" i="3"/>
  <c r="X123" i="3"/>
  <c r="V123" i="3"/>
  <c r="U123" i="3"/>
  <c r="T123" i="3"/>
  <c r="S123" i="3"/>
  <c r="AG122" i="3"/>
  <c r="AF122" i="3"/>
  <c r="AE122" i="3"/>
  <c r="AD122" i="3"/>
  <c r="AC122" i="3"/>
  <c r="AB122" i="3"/>
  <c r="AA122" i="3"/>
  <c r="Z122" i="3"/>
  <c r="X122" i="3"/>
  <c r="V122" i="3"/>
  <c r="U122" i="3"/>
  <c r="T122" i="3"/>
  <c r="S122" i="3"/>
  <c r="AG121" i="3"/>
  <c r="AF121" i="3"/>
  <c r="AE121" i="3"/>
  <c r="AD121" i="3"/>
  <c r="AC121" i="3"/>
  <c r="AB121" i="3"/>
  <c r="AA121" i="3"/>
  <c r="Z121" i="3"/>
  <c r="X121" i="3"/>
  <c r="V121" i="3"/>
  <c r="U121" i="3"/>
  <c r="T121" i="3"/>
  <c r="S121" i="3"/>
  <c r="AG120" i="3"/>
  <c r="AF120" i="3"/>
  <c r="AE120" i="3"/>
  <c r="AD120" i="3"/>
  <c r="AC120" i="3"/>
  <c r="AB120" i="3"/>
  <c r="AA120" i="3"/>
  <c r="Z120" i="3"/>
  <c r="X120" i="3"/>
  <c r="V120" i="3"/>
  <c r="U120" i="3"/>
  <c r="T120" i="3"/>
  <c r="S120" i="3"/>
  <c r="AG119" i="3"/>
  <c r="AF119" i="3"/>
  <c r="AE119" i="3"/>
  <c r="AD119" i="3"/>
  <c r="AC119" i="3"/>
  <c r="AB119" i="3"/>
  <c r="AA119" i="3"/>
  <c r="Z119" i="3"/>
  <c r="X119" i="3"/>
  <c r="V119" i="3"/>
  <c r="U119" i="3"/>
  <c r="T119" i="3"/>
  <c r="S119" i="3"/>
  <c r="AG118" i="3"/>
  <c r="AF118" i="3"/>
  <c r="AE118" i="3"/>
  <c r="AD118" i="3"/>
  <c r="AC118" i="3"/>
  <c r="AB118" i="3"/>
  <c r="AA118" i="3"/>
  <c r="Z118" i="3"/>
  <c r="X118" i="3"/>
  <c r="V118" i="3"/>
  <c r="U118" i="3"/>
  <c r="T118" i="3"/>
  <c r="S118" i="3"/>
  <c r="AG117" i="3"/>
  <c r="AF117" i="3"/>
  <c r="AE117" i="3"/>
  <c r="AD117" i="3"/>
  <c r="AC117" i="3"/>
  <c r="AB117" i="3"/>
  <c r="AA117" i="3"/>
  <c r="Z117" i="3"/>
  <c r="X117" i="3"/>
  <c r="V117" i="3"/>
  <c r="U117" i="3"/>
  <c r="T117" i="3"/>
  <c r="S117" i="3"/>
  <c r="AG116" i="3"/>
  <c r="AF116" i="3"/>
  <c r="AE116" i="3"/>
  <c r="AD116" i="3"/>
  <c r="AC116" i="3"/>
  <c r="AB116" i="3"/>
  <c r="AA116" i="3"/>
  <c r="Z116" i="3"/>
  <c r="X116" i="3"/>
  <c r="V116" i="3"/>
  <c r="U116" i="3"/>
  <c r="T116" i="3"/>
  <c r="S116" i="3"/>
  <c r="AG115" i="3"/>
  <c r="AF115" i="3"/>
  <c r="AE115" i="3"/>
  <c r="AD115" i="3"/>
  <c r="AC115" i="3"/>
  <c r="AB115" i="3"/>
  <c r="AA115" i="3"/>
  <c r="Z115" i="3"/>
  <c r="X115" i="3"/>
  <c r="V115" i="3"/>
  <c r="U115" i="3"/>
  <c r="T115" i="3"/>
  <c r="S115" i="3"/>
  <c r="AG114" i="3"/>
  <c r="AF114" i="3"/>
  <c r="AE114" i="3"/>
  <c r="AD114" i="3"/>
  <c r="AC114" i="3"/>
  <c r="AB114" i="3"/>
  <c r="AA114" i="3"/>
  <c r="Z114" i="3"/>
  <c r="X114" i="3"/>
  <c r="V114" i="3"/>
  <c r="U114" i="3"/>
  <c r="T114" i="3"/>
  <c r="S114" i="3"/>
  <c r="AG113" i="3"/>
  <c r="AF113" i="3"/>
  <c r="AE113" i="3"/>
  <c r="AD113" i="3"/>
  <c r="AC113" i="3"/>
  <c r="AB113" i="3"/>
  <c r="AA113" i="3"/>
  <c r="Z113" i="3"/>
  <c r="X113" i="3"/>
  <c r="V113" i="3"/>
  <c r="U113" i="3"/>
  <c r="T113" i="3"/>
  <c r="S113" i="3"/>
  <c r="AG112" i="3"/>
  <c r="AF112" i="3"/>
  <c r="AE112" i="3"/>
  <c r="AD112" i="3"/>
  <c r="AC112" i="3"/>
  <c r="AB112" i="3"/>
  <c r="AA112" i="3"/>
  <c r="Z112" i="3"/>
  <c r="X112" i="3"/>
  <c r="V112" i="3"/>
  <c r="U112" i="3"/>
  <c r="T112" i="3"/>
  <c r="S112" i="3"/>
  <c r="AG111" i="3"/>
  <c r="AF111" i="3"/>
  <c r="AE111" i="3"/>
  <c r="AD111" i="3"/>
  <c r="AC111" i="3"/>
  <c r="AB111" i="3"/>
  <c r="AA111" i="3"/>
  <c r="Z111" i="3"/>
  <c r="X111" i="3"/>
  <c r="V111" i="3"/>
  <c r="U111" i="3"/>
  <c r="T111" i="3"/>
  <c r="S111" i="3"/>
  <c r="AG110" i="3"/>
  <c r="AF110" i="3"/>
  <c r="AE110" i="3"/>
  <c r="AD110" i="3"/>
  <c r="AC110" i="3"/>
  <c r="AB110" i="3"/>
  <c r="AA110" i="3"/>
  <c r="Z110" i="3"/>
  <c r="X110" i="3"/>
  <c r="V110" i="3"/>
  <c r="U110" i="3"/>
  <c r="T110" i="3"/>
  <c r="S110" i="3"/>
  <c r="AG109" i="3"/>
  <c r="AF109" i="3"/>
  <c r="AE109" i="3"/>
  <c r="AD109" i="3"/>
  <c r="AC109" i="3"/>
  <c r="AB109" i="3"/>
  <c r="AA109" i="3"/>
  <c r="Z109" i="3"/>
  <c r="X109" i="3"/>
  <c r="V109" i="3"/>
  <c r="U109" i="3"/>
  <c r="T109" i="3"/>
  <c r="S109" i="3"/>
  <c r="AG108" i="3"/>
  <c r="AF108" i="3"/>
  <c r="AE108" i="3"/>
  <c r="AD108" i="3"/>
  <c r="AC108" i="3"/>
  <c r="AB108" i="3"/>
  <c r="AA108" i="3"/>
  <c r="Z108" i="3"/>
  <c r="X108" i="3"/>
  <c r="V108" i="3"/>
  <c r="U108" i="3"/>
  <c r="T108" i="3"/>
  <c r="S108" i="3"/>
  <c r="AG107" i="3"/>
  <c r="AF107" i="3"/>
  <c r="AE107" i="3"/>
  <c r="AD107" i="3"/>
  <c r="AC107" i="3"/>
  <c r="AB107" i="3"/>
  <c r="AA107" i="3"/>
  <c r="Z107" i="3"/>
  <c r="X107" i="3"/>
  <c r="V107" i="3"/>
  <c r="U107" i="3"/>
  <c r="T107" i="3"/>
  <c r="S107" i="3"/>
  <c r="AG106" i="3"/>
  <c r="AF106" i="3"/>
  <c r="AE106" i="3"/>
  <c r="AD106" i="3"/>
  <c r="AC106" i="3"/>
  <c r="AB106" i="3"/>
  <c r="AA106" i="3"/>
  <c r="Z106" i="3"/>
  <c r="X106" i="3"/>
  <c r="V106" i="3"/>
  <c r="U106" i="3"/>
  <c r="T106" i="3"/>
  <c r="S106" i="3"/>
  <c r="AG105" i="3"/>
  <c r="AF105" i="3"/>
  <c r="AE105" i="3"/>
  <c r="AD105" i="3"/>
  <c r="AC105" i="3"/>
  <c r="AB105" i="3"/>
  <c r="AA105" i="3"/>
  <c r="Z105" i="3"/>
  <c r="X105" i="3"/>
  <c r="V105" i="3"/>
  <c r="U105" i="3"/>
  <c r="T105" i="3"/>
  <c r="S105" i="3"/>
  <c r="AG104" i="3"/>
  <c r="AF104" i="3"/>
  <c r="AE104" i="3"/>
  <c r="AD104" i="3"/>
  <c r="AC104" i="3"/>
  <c r="AB104" i="3"/>
  <c r="AA104" i="3"/>
  <c r="Z104" i="3"/>
  <c r="X104" i="3"/>
  <c r="V104" i="3"/>
  <c r="U104" i="3"/>
  <c r="T104" i="3"/>
  <c r="S104" i="3"/>
  <c r="AG103" i="3"/>
  <c r="AF103" i="3"/>
  <c r="AE103" i="3"/>
  <c r="AD103" i="3"/>
  <c r="AC103" i="3"/>
  <c r="AB103" i="3"/>
  <c r="AA103" i="3"/>
  <c r="Z103" i="3"/>
  <c r="X103" i="3"/>
  <c r="V103" i="3"/>
  <c r="U103" i="3"/>
  <c r="T103" i="3"/>
  <c r="S103" i="3"/>
  <c r="AG102" i="3"/>
  <c r="AF102" i="3"/>
  <c r="AE102" i="3"/>
  <c r="AD102" i="3"/>
  <c r="AC102" i="3"/>
  <c r="AB102" i="3"/>
  <c r="AA102" i="3"/>
  <c r="Z102" i="3"/>
  <c r="X102" i="3"/>
  <c r="V102" i="3"/>
  <c r="U102" i="3"/>
  <c r="T102" i="3"/>
  <c r="S102" i="3"/>
  <c r="AG101" i="3"/>
  <c r="AF101" i="3"/>
  <c r="AE101" i="3"/>
  <c r="AD101" i="3"/>
  <c r="AC101" i="3"/>
  <c r="AB101" i="3"/>
  <c r="AA101" i="3"/>
  <c r="Z101" i="3"/>
  <c r="X101" i="3"/>
  <c r="V101" i="3"/>
  <c r="U101" i="3"/>
  <c r="T101" i="3"/>
  <c r="S101" i="3"/>
  <c r="AG100" i="3"/>
  <c r="AF100" i="3"/>
  <c r="AE100" i="3"/>
  <c r="AD100" i="3"/>
  <c r="AC100" i="3"/>
  <c r="AB100" i="3"/>
  <c r="AA100" i="3"/>
  <c r="Z100" i="3"/>
  <c r="X100" i="3"/>
  <c r="V100" i="3"/>
  <c r="U100" i="3"/>
  <c r="T100" i="3"/>
  <c r="S100" i="3"/>
  <c r="AG99" i="3"/>
  <c r="AF99" i="3"/>
  <c r="AE99" i="3"/>
  <c r="AD99" i="3"/>
  <c r="AC99" i="3"/>
  <c r="AB99" i="3"/>
  <c r="AA99" i="3"/>
  <c r="Z99" i="3"/>
  <c r="X99" i="3"/>
  <c r="V99" i="3"/>
  <c r="U99" i="3"/>
  <c r="T99" i="3"/>
  <c r="S99" i="3"/>
  <c r="AG98" i="3"/>
  <c r="AF98" i="3"/>
  <c r="AE98" i="3"/>
  <c r="AD98" i="3"/>
  <c r="AC98" i="3"/>
  <c r="AB98" i="3"/>
  <c r="AA98" i="3"/>
  <c r="Z98" i="3"/>
  <c r="X98" i="3"/>
  <c r="V98" i="3"/>
  <c r="U98" i="3"/>
  <c r="T98" i="3"/>
  <c r="S98" i="3"/>
  <c r="AG97" i="3"/>
  <c r="AF97" i="3"/>
  <c r="AE97" i="3"/>
  <c r="AD97" i="3"/>
  <c r="AC97" i="3"/>
  <c r="AB97" i="3"/>
  <c r="AA97" i="3"/>
  <c r="Z97" i="3"/>
  <c r="X97" i="3"/>
  <c r="V97" i="3"/>
  <c r="U97" i="3"/>
  <c r="T97" i="3"/>
  <c r="S97" i="3"/>
  <c r="AG96" i="3"/>
  <c r="AF96" i="3"/>
  <c r="AE96" i="3"/>
  <c r="AD96" i="3"/>
  <c r="AC96" i="3"/>
  <c r="AB96" i="3"/>
  <c r="AA96" i="3"/>
  <c r="Z96" i="3"/>
  <c r="X96" i="3"/>
  <c r="V96" i="3"/>
  <c r="U96" i="3"/>
  <c r="T96" i="3"/>
  <c r="S96" i="3"/>
  <c r="AG95" i="3"/>
  <c r="AF95" i="3"/>
  <c r="AE95" i="3"/>
  <c r="AD95" i="3"/>
  <c r="AC95" i="3"/>
  <c r="AB95" i="3"/>
  <c r="AA95" i="3"/>
  <c r="Z95" i="3"/>
  <c r="X95" i="3"/>
  <c r="V95" i="3"/>
  <c r="U95" i="3"/>
  <c r="T95" i="3"/>
  <c r="S95" i="3"/>
  <c r="AG94" i="3"/>
  <c r="AF94" i="3"/>
  <c r="AE94" i="3"/>
  <c r="AD94" i="3"/>
  <c r="AC94" i="3"/>
  <c r="AB94" i="3"/>
  <c r="AA94" i="3"/>
  <c r="Z94" i="3"/>
  <c r="X94" i="3"/>
  <c r="V94" i="3"/>
  <c r="U94" i="3"/>
  <c r="T94" i="3"/>
  <c r="S94" i="3"/>
  <c r="AG93" i="3"/>
  <c r="AF93" i="3"/>
  <c r="AE93" i="3"/>
  <c r="AD93" i="3"/>
  <c r="AC93" i="3"/>
  <c r="AB93" i="3"/>
  <c r="AA93" i="3"/>
  <c r="Z93" i="3"/>
  <c r="X93" i="3"/>
  <c r="V93" i="3"/>
  <c r="U93" i="3"/>
  <c r="T93" i="3"/>
  <c r="S93" i="3"/>
  <c r="AG92" i="3"/>
  <c r="AF92" i="3"/>
  <c r="AE92" i="3"/>
  <c r="AD92" i="3"/>
  <c r="AC92" i="3"/>
  <c r="AB92" i="3"/>
  <c r="AA92" i="3"/>
  <c r="Z92" i="3"/>
  <c r="X92" i="3"/>
  <c r="V92" i="3"/>
  <c r="U92" i="3"/>
  <c r="T92" i="3"/>
  <c r="S92" i="3"/>
  <c r="AG91" i="3"/>
  <c r="AF91" i="3"/>
  <c r="AE91" i="3"/>
  <c r="AD91" i="3"/>
  <c r="AC91" i="3"/>
  <c r="AB91" i="3"/>
  <c r="AA91" i="3"/>
  <c r="Z91" i="3"/>
  <c r="X91" i="3"/>
  <c r="V91" i="3"/>
  <c r="U91" i="3"/>
  <c r="T91" i="3"/>
  <c r="S91" i="3"/>
  <c r="AG90" i="3"/>
  <c r="AF90" i="3"/>
  <c r="AE90" i="3"/>
  <c r="AD90" i="3"/>
  <c r="AC90" i="3"/>
  <c r="AB90" i="3"/>
  <c r="AA90" i="3"/>
  <c r="Z90" i="3"/>
  <c r="X90" i="3"/>
  <c r="V90" i="3"/>
  <c r="U90" i="3"/>
  <c r="T90" i="3"/>
  <c r="S90" i="3"/>
  <c r="AG89" i="3"/>
  <c r="AF89" i="3"/>
  <c r="AE89" i="3"/>
  <c r="AD89" i="3"/>
  <c r="AC89" i="3"/>
  <c r="AB89" i="3"/>
  <c r="AA89" i="3"/>
  <c r="Z89" i="3"/>
  <c r="X89" i="3"/>
  <c r="V89" i="3"/>
  <c r="T89" i="3"/>
  <c r="S89" i="3"/>
  <c r="AG88" i="3"/>
  <c r="AF88" i="3"/>
  <c r="AE88" i="3"/>
  <c r="AD88" i="3"/>
  <c r="AC88" i="3"/>
  <c r="AB88" i="3"/>
  <c r="AA88" i="3"/>
  <c r="Z88" i="3"/>
  <c r="X88" i="3"/>
  <c r="V88" i="3"/>
  <c r="T88" i="3"/>
  <c r="S88" i="3"/>
  <c r="AG87" i="3"/>
  <c r="AF87" i="3"/>
  <c r="AE87" i="3"/>
  <c r="AD87" i="3"/>
  <c r="AC87" i="3"/>
  <c r="AB87" i="3"/>
  <c r="AA87" i="3"/>
  <c r="Z87" i="3"/>
  <c r="X87" i="3"/>
  <c r="V87" i="3"/>
  <c r="T87" i="3"/>
  <c r="S87" i="3"/>
  <c r="AG86" i="3"/>
  <c r="AF86" i="3"/>
  <c r="AE86" i="3"/>
  <c r="AD86" i="3"/>
  <c r="AC86" i="3"/>
  <c r="AB86" i="3"/>
  <c r="AA86" i="3"/>
  <c r="Z86" i="3"/>
  <c r="X86" i="3"/>
  <c r="V86" i="3"/>
  <c r="U86" i="3"/>
  <c r="T86" i="3"/>
  <c r="S86" i="3"/>
  <c r="AG85" i="3"/>
  <c r="AF85" i="3"/>
  <c r="AE85" i="3"/>
  <c r="AD85" i="3"/>
  <c r="AC85" i="3"/>
  <c r="AB85" i="3"/>
  <c r="AA85" i="3"/>
  <c r="Z85" i="3"/>
  <c r="X85" i="3"/>
  <c r="V85" i="3"/>
  <c r="U85" i="3"/>
  <c r="T85" i="3"/>
  <c r="S85" i="3"/>
  <c r="AG84" i="3"/>
  <c r="AF84" i="3"/>
  <c r="AE84" i="3"/>
  <c r="AD84" i="3"/>
  <c r="AC84" i="3"/>
  <c r="AB84" i="3"/>
  <c r="AA84" i="3"/>
  <c r="Z84" i="3"/>
  <c r="X84" i="3"/>
  <c r="V84" i="3"/>
  <c r="U84" i="3"/>
  <c r="T84" i="3"/>
  <c r="S84" i="3"/>
  <c r="AG83" i="3"/>
  <c r="AF83" i="3"/>
  <c r="AE83" i="3"/>
  <c r="AD83" i="3"/>
  <c r="AC83" i="3"/>
  <c r="AB83" i="3"/>
  <c r="AA83" i="3"/>
  <c r="Z83" i="3"/>
  <c r="X83" i="3"/>
  <c r="V83" i="3"/>
  <c r="U83" i="3"/>
  <c r="T83" i="3"/>
  <c r="S83" i="3"/>
  <c r="AG82" i="3"/>
  <c r="AF82" i="3"/>
  <c r="AE82" i="3"/>
  <c r="AD82" i="3"/>
  <c r="AC82" i="3"/>
  <c r="AB82" i="3"/>
  <c r="AA82" i="3"/>
  <c r="Z82" i="3"/>
  <c r="X82" i="3"/>
  <c r="V82" i="3"/>
  <c r="U82" i="3"/>
  <c r="T82" i="3"/>
  <c r="S82" i="3"/>
  <c r="AG81" i="3"/>
  <c r="AF81" i="3"/>
  <c r="AE81" i="3"/>
  <c r="AD81" i="3"/>
  <c r="AC81" i="3"/>
  <c r="AB81" i="3"/>
  <c r="AA81" i="3"/>
  <c r="Z81" i="3"/>
  <c r="X81" i="3"/>
  <c r="V81" i="3"/>
  <c r="U81" i="3"/>
  <c r="T81" i="3"/>
  <c r="S81" i="3"/>
  <c r="AG80" i="3"/>
  <c r="AF80" i="3"/>
  <c r="AE80" i="3"/>
  <c r="AD80" i="3"/>
  <c r="AC80" i="3"/>
  <c r="AB80" i="3"/>
  <c r="AA80" i="3"/>
  <c r="Z80" i="3"/>
  <c r="X80" i="3"/>
  <c r="V80" i="3"/>
  <c r="U80" i="3"/>
  <c r="T80" i="3"/>
  <c r="S80" i="3"/>
  <c r="AG79" i="3"/>
  <c r="AF79" i="3"/>
  <c r="AE79" i="3"/>
  <c r="AD79" i="3"/>
  <c r="AC79" i="3"/>
  <c r="AB79" i="3"/>
  <c r="AA79" i="3"/>
  <c r="Z79" i="3"/>
  <c r="X79" i="3"/>
  <c r="V79" i="3"/>
  <c r="U79" i="3"/>
  <c r="T79" i="3"/>
  <c r="S79" i="3"/>
  <c r="AG78" i="3"/>
  <c r="AF78" i="3"/>
  <c r="AE78" i="3"/>
  <c r="AD78" i="3"/>
  <c r="AC78" i="3"/>
  <c r="AB78" i="3"/>
  <c r="AA78" i="3"/>
  <c r="Z78" i="3"/>
  <c r="X78" i="3"/>
  <c r="V78" i="3"/>
  <c r="U78" i="3"/>
  <c r="T78" i="3"/>
  <c r="S78" i="3"/>
  <c r="AG77" i="3"/>
  <c r="AF77" i="3"/>
  <c r="AE77" i="3"/>
  <c r="AD77" i="3"/>
  <c r="AC77" i="3"/>
  <c r="AB77" i="3"/>
  <c r="AA77" i="3"/>
  <c r="Z77" i="3"/>
  <c r="X77" i="3"/>
  <c r="V77" i="3"/>
  <c r="U77" i="3"/>
  <c r="T77" i="3"/>
  <c r="S77" i="3"/>
  <c r="AG76" i="3"/>
  <c r="AF76" i="3"/>
  <c r="AE76" i="3"/>
  <c r="AD76" i="3"/>
  <c r="AC76" i="3"/>
  <c r="AB76" i="3"/>
  <c r="AA76" i="3"/>
  <c r="Z76" i="3"/>
  <c r="X76" i="3"/>
  <c r="V76" i="3"/>
  <c r="U76" i="3"/>
  <c r="T76" i="3"/>
  <c r="S76" i="3"/>
  <c r="AG75" i="3"/>
  <c r="AF75" i="3"/>
  <c r="AE75" i="3"/>
  <c r="AD75" i="3"/>
  <c r="AC75" i="3"/>
  <c r="AB75" i="3"/>
  <c r="AA75" i="3"/>
  <c r="Z75" i="3"/>
  <c r="X75" i="3"/>
  <c r="V75" i="3"/>
  <c r="U75" i="3"/>
  <c r="T75" i="3"/>
  <c r="S75" i="3"/>
  <c r="AG74" i="3"/>
  <c r="AF74" i="3"/>
  <c r="AE74" i="3"/>
  <c r="AD74" i="3"/>
  <c r="AC74" i="3"/>
  <c r="AB74" i="3"/>
  <c r="AA74" i="3"/>
  <c r="Z74" i="3"/>
  <c r="X74" i="3"/>
  <c r="V74" i="3"/>
  <c r="U74" i="3"/>
  <c r="T74" i="3"/>
  <c r="S74" i="3"/>
  <c r="AG73" i="3"/>
  <c r="AF73" i="3"/>
  <c r="AE73" i="3"/>
  <c r="AD73" i="3"/>
  <c r="AC73" i="3"/>
  <c r="AB73" i="3"/>
  <c r="AA73" i="3"/>
  <c r="Z73" i="3"/>
  <c r="X73" i="3"/>
  <c r="V73" i="3"/>
  <c r="U73" i="3"/>
  <c r="T73" i="3"/>
  <c r="S73" i="3"/>
  <c r="AG72" i="3"/>
  <c r="AF72" i="3"/>
  <c r="AE72" i="3"/>
  <c r="AD72" i="3"/>
  <c r="AC72" i="3"/>
  <c r="AB72" i="3"/>
  <c r="AA72" i="3"/>
  <c r="Z72" i="3"/>
  <c r="X72" i="3"/>
  <c r="V72" i="3"/>
  <c r="U72" i="3"/>
  <c r="T72" i="3"/>
  <c r="S72" i="3"/>
  <c r="AG71" i="3"/>
  <c r="AF71" i="3"/>
  <c r="AE71" i="3"/>
  <c r="AD71" i="3"/>
  <c r="AC71" i="3"/>
  <c r="AB71" i="3"/>
  <c r="AA71" i="3"/>
  <c r="Z71" i="3"/>
  <c r="X71" i="3"/>
  <c r="V71" i="3"/>
  <c r="U71" i="3"/>
  <c r="T71" i="3"/>
  <c r="S71" i="3"/>
  <c r="AG70" i="3"/>
  <c r="AF70" i="3"/>
  <c r="AE70" i="3"/>
  <c r="AD70" i="3"/>
  <c r="AC70" i="3"/>
  <c r="AB70" i="3"/>
  <c r="AA70" i="3"/>
  <c r="Z70" i="3"/>
  <c r="X70" i="3"/>
  <c r="V70" i="3"/>
  <c r="U70" i="3"/>
  <c r="T70" i="3"/>
  <c r="S70" i="3"/>
  <c r="AG69" i="3"/>
  <c r="AF69" i="3"/>
  <c r="AE69" i="3"/>
  <c r="AD69" i="3"/>
  <c r="AC69" i="3"/>
  <c r="AB69" i="3"/>
  <c r="AA69" i="3"/>
  <c r="Z69" i="3"/>
  <c r="X69" i="3"/>
  <c r="V69" i="3"/>
  <c r="U69" i="3"/>
  <c r="T69" i="3"/>
  <c r="S69" i="3"/>
  <c r="AG68" i="3"/>
  <c r="AF68" i="3"/>
  <c r="AE68" i="3"/>
  <c r="AD68" i="3"/>
  <c r="AC68" i="3"/>
  <c r="AB68" i="3"/>
  <c r="AA68" i="3"/>
  <c r="Z68" i="3"/>
  <c r="X68" i="3"/>
  <c r="V68" i="3"/>
  <c r="U68" i="3"/>
  <c r="T68" i="3"/>
  <c r="S68" i="3"/>
  <c r="AG67" i="3"/>
  <c r="AF67" i="3"/>
  <c r="AE67" i="3"/>
  <c r="AD67" i="3"/>
  <c r="AC67" i="3"/>
  <c r="AB67" i="3"/>
  <c r="AA67" i="3"/>
  <c r="Z67" i="3"/>
  <c r="X67" i="3"/>
  <c r="V67" i="3"/>
  <c r="U67" i="3"/>
  <c r="T67" i="3"/>
  <c r="S67" i="3"/>
  <c r="AG66" i="3"/>
  <c r="AF66" i="3"/>
  <c r="AE66" i="3"/>
  <c r="AD66" i="3"/>
  <c r="AC66" i="3"/>
  <c r="AB66" i="3"/>
  <c r="AA66" i="3"/>
  <c r="Z66" i="3"/>
  <c r="X66" i="3"/>
  <c r="V66" i="3"/>
  <c r="U66" i="3"/>
  <c r="T66" i="3"/>
  <c r="S66" i="3"/>
  <c r="AG65" i="3"/>
  <c r="AF65" i="3"/>
  <c r="AE65" i="3"/>
  <c r="AD65" i="3"/>
  <c r="AC65" i="3"/>
  <c r="AB65" i="3"/>
  <c r="AA65" i="3"/>
  <c r="Z65" i="3"/>
  <c r="X65" i="3"/>
  <c r="V65" i="3"/>
  <c r="U65" i="3"/>
  <c r="T65" i="3"/>
  <c r="S65" i="3"/>
  <c r="AG64" i="3"/>
  <c r="AF64" i="3"/>
  <c r="AE64" i="3"/>
  <c r="AD64" i="3"/>
  <c r="AC64" i="3"/>
  <c r="AB64" i="3"/>
  <c r="AA64" i="3"/>
  <c r="Z64" i="3"/>
  <c r="X64" i="3"/>
  <c r="V64" i="3"/>
  <c r="U64" i="3"/>
  <c r="T64" i="3"/>
  <c r="S64" i="3"/>
  <c r="AG63" i="3"/>
  <c r="AF63" i="3"/>
  <c r="AE63" i="3"/>
  <c r="AD63" i="3"/>
  <c r="AC63" i="3"/>
  <c r="AB63" i="3"/>
  <c r="AA63" i="3"/>
  <c r="Z63" i="3"/>
  <c r="X63" i="3"/>
  <c r="V63" i="3"/>
  <c r="U63" i="3"/>
  <c r="T63" i="3"/>
  <c r="S63" i="3"/>
  <c r="AG62" i="3"/>
  <c r="AF62" i="3"/>
  <c r="AE62" i="3"/>
  <c r="AD62" i="3"/>
  <c r="AC62" i="3"/>
  <c r="AB62" i="3"/>
  <c r="AA62" i="3"/>
  <c r="Z62" i="3"/>
  <c r="X62" i="3"/>
  <c r="V62" i="3"/>
  <c r="U62" i="3"/>
  <c r="T62" i="3"/>
  <c r="S62" i="3"/>
  <c r="AG61" i="3"/>
  <c r="AF61" i="3"/>
  <c r="AE61" i="3"/>
  <c r="AD61" i="3"/>
  <c r="AC61" i="3"/>
  <c r="AB61" i="3"/>
  <c r="AA61" i="3"/>
  <c r="Z61" i="3"/>
  <c r="X61" i="3"/>
  <c r="V61" i="3"/>
  <c r="U61" i="3"/>
  <c r="T61" i="3"/>
  <c r="S61" i="3"/>
  <c r="AG60" i="3"/>
  <c r="AF60" i="3"/>
  <c r="AE60" i="3"/>
  <c r="AD60" i="3"/>
  <c r="AC60" i="3"/>
  <c r="AB60" i="3"/>
  <c r="AA60" i="3"/>
  <c r="Z60" i="3"/>
  <c r="X60" i="3"/>
  <c r="V60" i="3"/>
  <c r="U60" i="3"/>
  <c r="T60" i="3"/>
  <c r="S60" i="3"/>
  <c r="AG59" i="3"/>
  <c r="AF59" i="3"/>
  <c r="AE59" i="3"/>
  <c r="AD59" i="3"/>
  <c r="AC59" i="3"/>
  <c r="AB59" i="3"/>
  <c r="AA59" i="3"/>
  <c r="Z59" i="3"/>
  <c r="X59" i="3"/>
  <c r="V59" i="3"/>
  <c r="U59" i="3"/>
  <c r="T59" i="3"/>
  <c r="S59" i="3"/>
  <c r="AG58" i="3"/>
  <c r="AF58" i="3"/>
  <c r="AE58" i="3"/>
  <c r="AD58" i="3"/>
  <c r="AC58" i="3"/>
  <c r="AB58" i="3"/>
  <c r="AA58" i="3"/>
  <c r="Z58" i="3"/>
  <c r="X58" i="3"/>
  <c r="V58" i="3"/>
  <c r="U58" i="3"/>
  <c r="T58" i="3"/>
  <c r="S58" i="3"/>
  <c r="AG57" i="3"/>
  <c r="AF57" i="3"/>
  <c r="AE57" i="3"/>
  <c r="AD57" i="3"/>
  <c r="AC57" i="3"/>
  <c r="AB57" i="3"/>
  <c r="AA57" i="3"/>
  <c r="Z57" i="3"/>
  <c r="X57" i="3"/>
  <c r="V57" i="3"/>
  <c r="U57" i="3"/>
  <c r="T57" i="3"/>
  <c r="S57" i="3"/>
  <c r="AG56" i="3"/>
  <c r="AF56" i="3"/>
  <c r="AE56" i="3"/>
  <c r="AD56" i="3"/>
  <c r="AC56" i="3"/>
  <c r="AB56" i="3"/>
  <c r="AA56" i="3"/>
  <c r="Z56" i="3"/>
  <c r="X56" i="3"/>
  <c r="V56" i="3"/>
  <c r="U56" i="3"/>
  <c r="T56" i="3"/>
  <c r="S56" i="3"/>
  <c r="AG55" i="3"/>
  <c r="AF55" i="3"/>
  <c r="AE55" i="3"/>
  <c r="AD55" i="3"/>
  <c r="AC55" i="3"/>
  <c r="AB55" i="3"/>
  <c r="AA55" i="3"/>
  <c r="Z55" i="3"/>
  <c r="X55" i="3"/>
  <c r="V55" i="3"/>
  <c r="U55" i="3"/>
  <c r="T55" i="3"/>
  <c r="S55" i="3"/>
  <c r="AG54" i="3"/>
  <c r="AF54" i="3"/>
  <c r="AE54" i="3"/>
  <c r="AD54" i="3"/>
  <c r="AC54" i="3"/>
  <c r="AB54" i="3"/>
  <c r="AA54" i="3"/>
  <c r="Z54" i="3"/>
  <c r="X54" i="3"/>
  <c r="V54" i="3"/>
  <c r="U54" i="3"/>
  <c r="T54" i="3"/>
  <c r="S54" i="3"/>
  <c r="AG53" i="3"/>
  <c r="AF53" i="3"/>
  <c r="AE53" i="3"/>
  <c r="AD53" i="3"/>
  <c r="AC53" i="3"/>
  <c r="AB53" i="3"/>
  <c r="AA53" i="3"/>
  <c r="Z53" i="3"/>
  <c r="X53" i="3"/>
  <c r="V53" i="3"/>
  <c r="U53" i="3"/>
  <c r="T53" i="3"/>
  <c r="S53" i="3"/>
  <c r="AG52" i="3"/>
  <c r="AF52" i="3"/>
  <c r="AE52" i="3"/>
  <c r="AD52" i="3"/>
  <c r="AC52" i="3"/>
  <c r="AB52" i="3"/>
  <c r="AA52" i="3"/>
  <c r="Z52" i="3"/>
  <c r="X52" i="3"/>
  <c r="V52" i="3"/>
  <c r="U52" i="3"/>
  <c r="T52" i="3"/>
  <c r="S52" i="3"/>
  <c r="AG51" i="3"/>
  <c r="AF51" i="3"/>
  <c r="AE51" i="3"/>
  <c r="AD51" i="3"/>
  <c r="AC51" i="3"/>
  <c r="AB51" i="3"/>
  <c r="AA51" i="3"/>
  <c r="Z51" i="3"/>
  <c r="X51" i="3"/>
  <c r="V51" i="3"/>
  <c r="U51" i="3"/>
  <c r="T51" i="3"/>
  <c r="S51" i="3"/>
  <c r="AG50" i="3"/>
  <c r="AF50" i="3"/>
  <c r="AE50" i="3"/>
  <c r="AD50" i="3"/>
  <c r="AC50" i="3"/>
  <c r="AB50" i="3"/>
  <c r="AA50" i="3"/>
  <c r="Z50" i="3"/>
  <c r="X50" i="3"/>
  <c r="V50" i="3"/>
  <c r="U50" i="3"/>
  <c r="T50" i="3"/>
  <c r="S50" i="3"/>
  <c r="AG49" i="3"/>
  <c r="AF49" i="3"/>
  <c r="AE49" i="3"/>
  <c r="AD49" i="3"/>
  <c r="AC49" i="3"/>
  <c r="AB49" i="3"/>
  <c r="AA49" i="3"/>
  <c r="Z49" i="3"/>
  <c r="X49" i="3"/>
  <c r="V49" i="3"/>
  <c r="U49" i="3"/>
  <c r="T49" i="3"/>
  <c r="S49" i="3"/>
  <c r="AG48" i="3"/>
  <c r="AF48" i="3"/>
  <c r="AE48" i="3"/>
  <c r="AD48" i="3"/>
  <c r="AC48" i="3"/>
  <c r="AB48" i="3"/>
  <c r="AA48" i="3"/>
  <c r="Z48" i="3"/>
  <c r="X48" i="3"/>
  <c r="V48" i="3"/>
  <c r="U48" i="3"/>
  <c r="T48" i="3"/>
  <c r="S48" i="3"/>
  <c r="AG47" i="3"/>
  <c r="AF47" i="3"/>
  <c r="AE47" i="3"/>
  <c r="AD47" i="3"/>
  <c r="AC47" i="3"/>
  <c r="AB47" i="3"/>
  <c r="AA47" i="3"/>
  <c r="Z47" i="3"/>
  <c r="X47" i="3"/>
  <c r="V47" i="3"/>
  <c r="U47" i="3"/>
  <c r="T47" i="3"/>
  <c r="S47" i="3"/>
  <c r="AG46" i="3"/>
  <c r="AF46" i="3"/>
  <c r="AE46" i="3"/>
  <c r="AD46" i="3"/>
  <c r="AC46" i="3"/>
  <c r="AB46" i="3"/>
  <c r="AA46" i="3"/>
  <c r="Z46" i="3"/>
  <c r="X46" i="3"/>
  <c r="V46" i="3"/>
  <c r="Y46" i="3" s="1"/>
  <c r="U46" i="3"/>
  <c r="T46" i="3"/>
  <c r="S46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H240" i="10"/>
  <c r="F240" i="10"/>
  <c r="H239" i="10"/>
  <c r="F239" i="10"/>
  <c r="H238" i="10"/>
  <c r="F238" i="10"/>
  <c r="H237" i="10"/>
  <c r="F237" i="10"/>
  <c r="H236" i="10"/>
  <c r="F236" i="10"/>
  <c r="H235" i="10"/>
  <c r="F235" i="10"/>
  <c r="H234" i="10"/>
  <c r="F234" i="10"/>
  <c r="H233" i="10"/>
  <c r="F233" i="10"/>
  <c r="H232" i="10"/>
  <c r="F232" i="10"/>
  <c r="H231" i="10"/>
  <c r="F231" i="10"/>
  <c r="H230" i="10"/>
  <c r="F230" i="10"/>
  <c r="H229" i="10"/>
  <c r="F229" i="10"/>
  <c r="H228" i="10"/>
  <c r="F228" i="10"/>
  <c r="H227" i="10"/>
  <c r="F227" i="10"/>
  <c r="H226" i="10"/>
  <c r="F226" i="10"/>
  <c r="H225" i="10"/>
  <c r="F225" i="10"/>
  <c r="H224" i="10"/>
  <c r="F224" i="10"/>
  <c r="H223" i="10"/>
  <c r="F223" i="10"/>
  <c r="H222" i="10"/>
  <c r="F222" i="10"/>
  <c r="H221" i="10"/>
  <c r="F221" i="10"/>
  <c r="H220" i="10"/>
  <c r="F220" i="10"/>
  <c r="H219" i="10"/>
  <c r="F219" i="10"/>
  <c r="H218" i="10"/>
  <c r="F218" i="10"/>
  <c r="H217" i="10"/>
  <c r="F217" i="10"/>
  <c r="H216" i="10"/>
  <c r="F216" i="10"/>
  <c r="H215" i="10"/>
  <c r="F215" i="10"/>
  <c r="H214" i="10"/>
  <c r="F214" i="10"/>
  <c r="H213" i="10"/>
  <c r="F213" i="10"/>
  <c r="H212" i="10"/>
  <c r="F212" i="10"/>
  <c r="H211" i="10"/>
  <c r="F211" i="10"/>
  <c r="H210" i="10"/>
  <c r="F210" i="10"/>
  <c r="H209" i="10"/>
  <c r="F209" i="10"/>
  <c r="H208" i="10"/>
  <c r="F208" i="10"/>
  <c r="H207" i="10"/>
  <c r="F207" i="10"/>
  <c r="H206" i="10"/>
  <c r="F206" i="10"/>
  <c r="N233" i="10"/>
  <c r="G233" i="10" s="1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N232" i="10"/>
  <c r="G232" i="10" s="1"/>
  <c r="N230" i="10"/>
  <c r="G230" i="10" s="1"/>
  <c r="N229" i="10"/>
  <c r="G229" i="10" s="1"/>
  <c r="N228" i="10"/>
  <c r="G228" i="10" s="1"/>
  <c r="N227" i="10"/>
  <c r="G227" i="10" s="1"/>
  <c r="N226" i="10"/>
  <c r="G226" i="10" s="1"/>
  <c r="N225" i="10"/>
  <c r="G225" i="10" s="1"/>
  <c r="N224" i="10"/>
  <c r="G224" i="10" s="1"/>
  <c r="N223" i="10"/>
  <c r="G223" i="10" s="1"/>
  <c r="N222" i="10"/>
  <c r="G222" i="10" s="1"/>
  <c r="N221" i="10"/>
  <c r="G221" i="10" s="1"/>
  <c r="N220" i="10"/>
  <c r="G220" i="10" s="1"/>
  <c r="N219" i="10"/>
  <c r="G219" i="10" s="1"/>
  <c r="N218" i="10"/>
  <c r="G218" i="10" s="1"/>
  <c r="N217" i="10"/>
  <c r="G217" i="10" s="1"/>
  <c r="N216" i="10"/>
  <c r="G216" i="10" s="1"/>
  <c r="N215" i="10"/>
  <c r="G215" i="10" s="1"/>
  <c r="AI13" i="4"/>
  <c r="AI12" i="4"/>
  <c r="AI11" i="4"/>
  <c r="AI10" i="4"/>
  <c r="AI9" i="4"/>
  <c r="AI8" i="4"/>
  <c r="AI7" i="4"/>
  <c r="AI6" i="4"/>
  <c r="AI5" i="4"/>
  <c r="AI4" i="4"/>
  <c r="N282" i="10"/>
  <c r="N281" i="10"/>
  <c r="N280" i="10"/>
  <c r="N279" i="10"/>
  <c r="N278" i="10"/>
  <c r="N277" i="10"/>
  <c r="N276" i="10"/>
  <c r="N275" i="10"/>
  <c r="N274" i="10"/>
  <c r="N273" i="10"/>
  <c r="N272" i="10"/>
  <c r="N271" i="10"/>
  <c r="N270" i="10"/>
  <c r="N269" i="10"/>
  <c r="N268" i="10"/>
  <c r="N267" i="10"/>
  <c r="N266" i="10"/>
  <c r="N265" i="10"/>
  <c r="N264" i="10"/>
  <c r="N263" i="10"/>
  <c r="N262" i="10"/>
  <c r="N261" i="10"/>
  <c r="N260" i="10"/>
  <c r="N259" i="10"/>
  <c r="N258" i="10"/>
  <c r="N257" i="10"/>
  <c r="N256" i="10"/>
  <c r="N255" i="10"/>
  <c r="N254" i="10"/>
  <c r="N253" i="10"/>
  <c r="N252" i="10"/>
  <c r="N251" i="10"/>
  <c r="N250" i="10"/>
  <c r="N249" i="10"/>
  <c r="N248" i="10"/>
  <c r="N247" i="10"/>
  <c r="N246" i="10"/>
  <c r="N245" i="10"/>
  <c r="N244" i="10"/>
  <c r="N243" i="10"/>
  <c r="N242" i="10"/>
  <c r="N241" i="10"/>
  <c r="N231" i="10"/>
  <c r="G231" i="10" s="1"/>
  <c r="N212" i="10"/>
  <c r="G212" i="10" s="1"/>
  <c r="N214" i="10"/>
  <c r="G214" i="10" s="1"/>
  <c r="N213" i="10"/>
  <c r="G213" i="10" s="1"/>
  <c r="N207" i="10"/>
  <c r="G207" i="10" s="1"/>
  <c r="N238" i="10"/>
  <c r="G238" i="10" s="1"/>
  <c r="N211" i="10"/>
  <c r="G211" i="10" s="1"/>
  <c r="N235" i="10"/>
  <c r="G235" i="10" s="1"/>
  <c r="N210" i="10"/>
  <c r="G210" i="10" s="1"/>
  <c r="N236" i="10"/>
  <c r="G236" i="10" s="1"/>
  <c r="N208" i="10"/>
  <c r="G208" i="10" s="1"/>
  <c r="N237" i="10"/>
  <c r="G237" i="10" s="1"/>
  <c r="N209" i="10"/>
  <c r="G209" i="10" s="1"/>
  <c r="N239" i="10"/>
  <c r="G239" i="10" s="1"/>
  <c r="N240" i="10"/>
  <c r="G240" i="10" s="1"/>
  <c r="N234" i="10"/>
  <c r="G234" i="10" s="1"/>
  <c r="N206" i="10"/>
  <c r="G206" i="10" s="1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6" i="10"/>
  <c r="N145" i="10"/>
  <c r="N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AD11" i="10" a="1"/>
  <c r="AD11" i="10" s="1"/>
  <c r="N11" i="10"/>
  <c r="AD10" i="10" a="1"/>
  <c r="AD10" i="10" s="1"/>
  <c r="N10" i="10"/>
  <c r="AD9" i="10" a="1"/>
  <c r="AD9" i="10" s="1"/>
  <c r="N9" i="10"/>
  <c r="AD8" i="10" a="1"/>
  <c r="AD8" i="10" s="1"/>
  <c r="N8" i="10"/>
  <c r="AD7" i="10" a="1"/>
  <c r="AD7" i="10" s="1"/>
  <c r="N7" i="10"/>
  <c r="AD6" i="10" a="1"/>
  <c r="AD6" i="10" s="1"/>
  <c r="N6" i="10"/>
  <c r="AD5" i="10" a="1"/>
  <c r="AD5" i="10" s="1"/>
  <c r="N5" i="10"/>
  <c r="AD4" i="10" a="1"/>
  <c r="AD4" i="10" s="1"/>
  <c r="N4" i="10"/>
  <c r="AD3" i="10" a="1"/>
  <c r="AD3" i="10" s="1"/>
  <c r="N3" i="10"/>
  <c r="U2" i="10" a="1"/>
  <c r="W45" i="10" s="1"/>
  <c r="E35" i="2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G35" i="9" s="1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G19" i="9" s="1"/>
  <c r="E18" i="9"/>
  <c r="G17" i="9"/>
  <c r="E17" i="9"/>
  <c r="E16" i="9"/>
  <c r="E15" i="9"/>
  <c r="E14" i="9"/>
  <c r="E13" i="9"/>
  <c r="G13" i="9" s="1"/>
  <c r="E12" i="9"/>
  <c r="AF11" i="9"/>
  <c r="AF11" i="9" a="1"/>
  <c r="E11" i="9"/>
  <c r="AF10" i="9"/>
  <c r="AF10" i="9" a="1"/>
  <c r="E10" i="9"/>
  <c r="AF9" i="9"/>
  <c r="AF9" i="9" a="1"/>
  <c r="E9" i="9"/>
  <c r="G9" i="9" s="1"/>
  <c r="AF8" i="9" a="1"/>
  <c r="AF8" i="9" s="1"/>
  <c r="E8" i="9"/>
  <c r="AF7" i="9"/>
  <c r="AF7" i="9" a="1"/>
  <c r="E7" i="9"/>
  <c r="AF6" i="9" a="1"/>
  <c r="AF6" i="9" s="1"/>
  <c r="G6" i="9"/>
  <c r="E6" i="9"/>
  <c r="AF5" i="9"/>
  <c r="AF5" i="9" a="1"/>
  <c r="E5" i="9"/>
  <c r="AF4" i="9"/>
  <c r="AF4" i="9" a="1"/>
  <c r="E4" i="9"/>
  <c r="AF3" i="9"/>
  <c r="AF3" i="9" a="1"/>
  <c r="S3" i="9"/>
  <c r="E3" i="9"/>
  <c r="G184" i="9" s="1"/>
  <c r="X2" i="9" a="1"/>
  <c r="B63" i="4"/>
  <c r="W69" i="4" s="1"/>
  <c r="B72" i="4"/>
  <c r="W78" i="4" s="1"/>
  <c r="B81" i="4"/>
  <c r="W87" i="4" s="1"/>
  <c r="B54" i="4"/>
  <c r="W60" i="4" s="1"/>
  <c r="B34" i="4"/>
  <c r="C36" i="4" s="1"/>
  <c r="B21" i="4"/>
  <c r="W28" i="4" s="1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L38" i="5"/>
  <c r="D38" i="5"/>
  <c r="L37" i="5"/>
  <c r="D37" i="5"/>
  <c r="L36" i="5"/>
  <c r="D36" i="5"/>
  <c r="L35" i="5"/>
  <c r="D35" i="5"/>
  <c r="L34" i="5"/>
  <c r="D34" i="5"/>
  <c r="L33" i="5"/>
  <c r="D33" i="5"/>
  <c r="L32" i="5"/>
  <c r="D32" i="5"/>
  <c r="L31" i="5"/>
  <c r="D31" i="5"/>
  <c r="L30" i="5"/>
  <c r="D30" i="5"/>
  <c r="L29" i="5"/>
  <c r="D29" i="5"/>
  <c r="L28" i="5"/>
  <c r="D28" i="5"/>
  <c r="L27" i="5"/>
  <c r="D27" i="5"/>
  <c r="L26" i="5"/>
  <c r="D26" i="5"/>
  <c r="L25" i="5"/>
  <c r="D25" i="5"/>
  <c r="L24" i="5"/>
  <c r="D24" i="5"/>
  <c r="L23" i="5"/>
  <c r="D23" i="5"/>
  <c r="L22" i="5"/>
  <c r="D22" i="5"/>
  <c r="L21" i="5"/>
  <c r="D21" i="5"/>
  <c r="L20" i="5"/>
  <c r="D20" i="5"/>
  <c r="L19" i="5"/>
  <c r="D19" i="5"/>
  <c r="L18" i="5"/>
  <c r="D18" i="5"/>
  <c r="L17" i="5"/>
  <c r="D17" i="5"/>
  <c r="L16" i="5"/>
  <c r="D16" i="5"/>
  <c r="L15" i="5"/>
  <c r="D15" i="5"/>
  <c r="L14" i="5"/>
  <c r="D14" i="5"/>
  <c r="L13" i="5"/>
  <c r="D13" i="5"/>
  <c r="L12" i="5"/>
  <c r="D12" i="5"/>
  <c r="AC11" i="5" a="1"/>
  <c r="AC11" i="5" s="1"/>
  <c r="L11" i="5"/>
  <c r="D11" i="5"/>
  <c r="AC10" i="5" a="1"/>
  <c r="AC10" i="5" s="1"/>
  <c r="L10" i="5"/>
  <c r="D10" i="5"/>
  <c r="AC9" i="5" a="1"/>
  <c r="AC9" i="5" s="1"/>
  <c r="L9" i="5"/>
  <c r="D9" i="5"/>
  <c r="AC8" i="5" a="1"/>
  <c r="AC8" i="5" s="1"/>
  <c r="L8" i="5"/>
  <c r="D8" i="5"/>
  <c r="AC7" i="5" a="1"/>
  <c r="AC7" i="5" s="1"/>
  <c r="L7" i="5"/>
  <c r="D7" i="5"/>
  <c r="AC6" i="5" a="1"/>
  <c r="AC6" i="5" s="1"/>
  <c r="L6" i="5"/>
  <c r="D6" i="5"/>
  <c r="AC5" i="5" a="1"/>
  <c r="AC5" i="5" s="1"/>
  <c r="L5" i="5"/>
  <c r="D5" i="5"/>
  <c r="AC4" i="5" a="1"/>
  <c r="AC4" i="5" s="1"/>
  <c r="L4" i="5"/>
  <c r="D4" i="5"/>
  <c r="AC3" i="5" a="1"/>
  <c r="AC3" i="5" s="1"/>
  <c r="P3" i="5"/>
  <c r="L3" i="5"/>
  <c r="D3" i="5"/>
  <c r="U2" i="5" a="1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43" i="2"/>
  <c r="E61" i="2"/>
  <c r="E60" i="2"/>
  <c r="E44" i="2"/>
  <c r="E59" i="2"/>
  <c r="E58" i="2"/>
  <c r="E57" i="2"/>
  <c r="E40" i="2"/>
  <c r="E56" i="2"/>
  <c r="E38" i="2"/>
  <c r="E55" i="2"/>
  <c r="E39" i="2"/>
  <c r="E54" i="2"/>
  <c r="E53" i="2"/>
  <c r="E52" i="2"/>
  <c r="E37" i="2"/>
  <c r="E51" i="2"/>
  <c r="E50" i="2"/>
  <c r="E49" i="2"/>
  <c r="E48" i="2"/>
  <c r="E47" i="2"/>
  <c r="E46" i="2"/>
  <c r="E42" i="2"/>
  <c r="E41" i="2"/>
  <c r="E45" i="2"/>
  <c r="E36" i="2"/>
  <c r="G35" i="2" s="1"/>
  <c r="F35" i="2" s="1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AH11" i="2" a="1"/>
  <c r="AH11" i="2" s="1"/>
  <c r="E11" i="2"/>
  <c r="AH10" i="2" a="1"/>
  <c r="AH10" i="2" s="1"/>
  <c r="E10" i="2"/>
  <c r="AH9" i="2" a="1"/>
  <c r="AH9" i="2" s="1"/>
  <c r="E9" i="2"/>
  <c r="AH8" i="2" a="1"/>
  <c r="AH8" i="2" s="1"/>
  <c r="E8" i="2"/>
  <c r="AH7" i="2" a="1"/>
  <c r="AH7" i="2" s="1"/>
  <c r="E7" i="2"/>
  <c r="AH6" i="2" a="1"/>
  <c r="AH6" i="2" s="1"/>
  <c r="E6" i="2"/>
  <c r="AH5" i="2" a="1"/>
  <c r="AH5" i="2" s="1"/>
  <c r="E5" i="2"/>
  <c r="AH4" i="2" a="1"/>
  <c r="AH4" i="2" s="1"/>
  <c r="E4" i="2"/>
  <c r="AH3" i="2" a="1"/>
  <c r="AH3" i="2" s="1"/>
  <c r="E3" i="2"/>
  <c r="Z2" i="2" a="1"/>
  <c r="V55" i="4"/>
  <c r="R55" i="4"/>
  <c r="N55" i="4"/>
  <c r="J55" i="4"/>
  <c r="F55" i="4"/>
  <c r="B55" i="4"/>
  <c r="C54" i="4"/>
  <c r="C63" i="4"/>
  <c r="C81" i="4"/>
  <c r="C72" i="4"/>
  <c r="C34" i="4"/>
  <c r="C21" i="4"/>
  <c r="V82" i="4"/>
  <c r="R82" i="4"/>
  <c r="N82" i="4"/>
  <c r="J82" i="4"/>
  <c r="F82" i="4"/>
  <c r="B82" i="4"/>
  <c r="V73" i="4"/>
  <c r="R73" i="4"/>
  <c r="N73" i="4"/>
  <c r="J73" i="4"/>
  <c r="F73" i="4"/>
  <c r="B73" i="4"/>
  <c r="V64" i="4"/>
  <c r="R64" i="4"/>
  <c r="N64" i="4"/>
  <c r="J64" i="4"/>
  <c r="F64" i="4"/>
  <c r="B64" i="4"/>
  <c r="V35" i="4"/>
  <c r="R35" i="4"/>
  <c r="N35" i="4"/>
  <c r="J35" i="4"/>
  <c r="F35" i="4"/>
  <c r="B35" i="4"/>
  <c r="V22" i="4"/>
  <c r="R22" i="4"/>
  <c r="N22" i="4"/>
  <c r="J22" i="4"/>
  <c r="F22" i="4"/>
  <c r="B22" i="4"/>
  <c r="Y934" i="3" l="1"/>
  <c r="I3" i="10"/>
  <c r="G204" i="14"/>
  <c r="F204" i="14" s="1"/>
  <c r="G99" i="14"/>
  <c r="G89" i="14"/>
  <c r="G79" i="14"/>
  <c r="G75" i="14"/>
  <c r="G70" i="14"/>
  <c r="G65" i="14"/>
  <c r="G60" i="14"/>
  <c r="G55" i="14"/>
  <c r="G50" i="14"/>
  <c r="P33" i="14"/>
  <c r="P28" i="14"/>
  <c r="P23" i="14"/>
  <c r="R44" i="14"/>
  <c r="R43" i="14"/>
  <c r="R42" i="14"/>
  <c r="R41" i="14"/>
  <c r="R40" i="14"/>
  <c r="R39" i="14"/>
  <c r="G203" i="14"/>
  <c r="F203" i="14" s="1"/>
  <c r="P32" i="14"/>
  <c r="P27" i="14"/>
  <c r="G196" i="14"/>
  <c r="G186" i="14"/>
  <c r="G176" i="14"/>
  <c r="G166" i="14"/>
  <c r="G156" i="14"/>
  <c r="G146" i="14"/>
  <c r="F146" i="14" s="1"/>
  <c r="R32" i="14" s="1"/>
  <c r="G136" i="14"/>
  <c r="G126" i="14"/>
  <c r="G116" i="14"/>
  <c r="G106" i="14"/>
  <c r="G96" i="14"/>
  <c r="F96" i="14" s="1"/>
  <c r="G86" i="14"/>
  <c r="F86" i="14" s="1"/>
  <c r="G36" i="14"/>
  <c r="AD17" i="14"/>
  <c r="G24" i="14"/>
  <c r="F24" i="14" s="1"/>
  <c r="G29" i="14"/>
  <c r="F29" i="14" s="1"/>
  <c r="G30" i="14"/>
  <c r="F30" i="14" s="1"/>
  <c r="G34" i="14"/>
  <c r="F34" i="14" s="1"/>
  <c r="AC34" i="14" s="1"/>
  <c r="P36" i="14"/>
  <c r="G41" i="14"/>
  <c r="AD42" i="14"/>
  <c r="G47" i="14"/>
  <c r="F47" i="14" s="1"/>
  <c r="G59" i="14"/>
  <c r="G82" i="14"/>
  <c r="F82" i="14" s="1"/>
  <c r="R38" i="14" s="1"/>
  <c r="G100" i="14"/>
  <c r="F100" i="14" s="1"/>
  <c r="G105" i="14"/>
  <c r="F105" i="14" s="1"/>
  <c r="G118" i="14"/>
  <c r="F118" i="14" s="1"/>
  <c r="G123" i="14"/>
  <c r="F123" i="14" s="1"/>
  <c r="G132" i="14"/>
  <c r="F132" i="14"/>
  <c r="G150" i="14"/>
  <c r="F150" i="14" s="1"/>
  <c r="G155" i="14"/>
  <c r="F155" i="14" s="1"/>
  <c r="G168" i="14"/>
  <c r="F168" i="14" s="1"/>
  <c r="G173" i="14"/>
  <c r="F173" i="14" s="1"/>
  <c r="G182" i="14"/>
  <c r="F182" i="14" s="1"/>
  <c r="AC11" i="14" s="1"/>
  <c r="F196" i="14"/>
  <c r="G201" i="14"/>
  <c r="F201" i="14" s="1"/>
  <c r="G244" i="14"/>
  <c r="G250" i="14"/>
  <c r="G257" i="14"/>
  <c r="G263" i="14"/>
  <c r="G269" i="14"/>
  <c r="G275" i="14"/>
  <c r="Z11" i="14"/>
  <c r="G13" i="14"/>
  <c r="F13" i="14" s="1"/>
  <c r="AD13" i="14"/>
  <c r="P15" i="14"/>
  <c r="G17" i="14"/>
  <c r="F17" i="14" s="1"/>
  <c r="P21" i="14"/>
  <c r="G38" i="14"/>
  <c r="P39" i="14"/>
  <c r="P44" i="14"/>
  <c r="S44" i="14" s="1"/>
  <c r="AD47" i="14"/>
  <c r="G53" i="14"/>
  <c r="G66" i="14"/>
  <c r="G72" i="14"/>
  <c r="G87" i="14"/>
  <c r="F87" i="14" s="1"/>
  <c r="G91" i="14"/>
  <c r="F91" i="14" s="1"/>
  <c r="G114" i="14"/>
  <c r="F114" i="14" s="1"/>
  <c r="R14" i="14" s="1"/>
  <c r="G119" i="14"/>
  <c r="G137" i="14"/>
  <c r="F137" i="14" s="1"/>
  <c r="G141" i="14"/>
  <c r="F141" i="14" s="1"/>
  <c r="G164" i="14"/>
  <c r="F164" i="14" s="1"/>
  <c r="G169" i="14"/>
  <c r="F169" i="14" s="1"/>
  <c r="G187" i="14"/>
  <c r="F187" i="14" s="1"/>
  <c r="G191" i="14"/>
  <c r="F191" i="14" s="1"/>
  <c r="G210" i="14"/>
  <c r="K215" i="14"/>
  <c r="G215" i="14"/>
  <c r="G220" i="14"/>
  <c r="K225" i="14"/>
  <c r="G225" i="14"/>
  <c r="G230" i="14"/>
  <c r="K235" i="14"/>
  <c r="G235" i="14"/>
  <c r="G240" i="14"/>
  <c r="G251" i="14"/>
  <c r="G276" i="14"/>
  <c r="P4" i="14"/>
  <c r="F5" i="14"/>
  <c r="AC5" i="14" s="1"/>
  <c r="P6" i="14"/>
  <c r="F7" i="14"/>
  <c r="P8" i="14"/>
  <c r="F9" i="14"/>
  <c r="P10" i="14"/>
  <c r="F11" i="14"/>
  <c r="P12" i="14"/>
  <c r="Z14" i="14"/>
  <c r="F18" i="14"/>
  <c r="AD18" i="14"/>
  <c r="P22" i="14"/>
  <c r="G26" i="14"/>
  <c r="F26" i="14" s="1"/>
  <c r="G27" i="14"/>
  <c r="F27" i="14" s="1"/>
  <c r="AC27" i="14" s="1"/>
  <c r="G28" i="14"/>
  <c r="F28" i="14" s="1"/>
  <c r="AC28" i="14" s="1"/>
  <c r="G31" i="14"/>
  <c r="F31" i="14" s="1"/>
  <c r="P35" i="14"/>
  <c r="AD39" i="14"/>
  <c r="AD44" i="14"/>
  <c r="G54" i="14"/>
  <c r="G83" i="14"/>
  <c r="F83" i="14" s="1"/>
  <c r="R37" i="14" s="1"/>
  <c r="G92" i="14"/>
  <c r="F92" i="14"/>
  <c r="AC17" i="14" s="1"/>
  <c r="F97" i="14"/>
  <c r="F101" i="14"/>
  <c r="F106" i="14"/>
  <c r="G110" i="14"/>
  <c r="F110" i="14" s="1"/>
  <c r="G115" i="14"/>
  <c r="F115" i="14" s="1"/>
  <c r="F124" i="14"/>
  <c r="G133" i="14"/>
  <c r="F133" i="14" s="1"/>
  <c r="G142" i="14"/>
  <c r="F142" i="14" s="1"/>
  <c r="F147" i="14"/>
  <c r="R31" i="14" s="1"/>
  <c r="F151" i="14"/>
  <c r="F156" i="14"/>
  <c r="G160" i="14"/>
  <c r="F160" i="14" s="1"/>
  <c r="G165" i="14"/>
  <c r="F174" i="14"/>
  <c r="G178" i="14"/>
  <c r="F178" i="14" s="1"/>
  <c r="R26" i="14" s="1"/>
  <c r="G183" i="14"/>
  <c r="F183" i="14" s="1"/>
  <c r="G192" i="14"/>
  <c r="F192" i="14" s="1"/>
  <c r="AC21" i="14" s="1"/>
  <c r="F197" i="14"/>
  <c r="G202" i="14"/>
  <c r="F202" i="14" s="1"/>
  <c r="G252" i="14"/>
  <c r="G258" i="14"/>
  <c r="G277" i="14"/>
  <c r="AD3" i="14"/>
  <c r="G5" i="14"/>
  <c r="AD5" i="14"/>
  <c r="AD7" i="14"/>
  <c r="AD9" i="14"/>
  <c r="AD11" i="14"/>
  <c r="F14" i="14"/>
  <c r="P16" i="14"/>
  <c r="AD19" i="14"/>
  <c r="P24" i="14"/>
  <c r="P34" i="14"/>
  <c r="P41" i="14"/>
  <c r="S41" i="14" s="1"/>
  <c r="G61" i="14"/>
  <c r="F79" i="14"/>
  <c r="R34" i="14" s="1"/>
  <c r="F88" i="14"/>
  <c r="G129" i="14"/>
  <c r="F138" i="14"/>
  <c r="F165" i="14"/>
  <c r="G179" i="14"/>
  <c r="F179" i="14" s="1"/>
  <c r="F188" i="14"/>
  <c r="G208" i="14"/>
  <c r="K213" i="14"/>
  <c r="G213" i="14"/>
  <c r="G218" i="14"/>
  <c r="K223" i="14"/>
  <c r="G223" i="14"/>
  <c r="G228" i="14"/>
  <c r="K233" i="14"/>
  <c r="G233" i="14"/>
  <c r="G238" i="14"/>
  <c r="G246" i="14"/>
  <c r="G271" i="14"/>
  <c r="R8" i="14"/>
  <c r="AD14" i="14"/>
  <c r="F19" i="14"/>
  <c r="G20" i="14"/>
  <c r="F20" i="14" s="1"/>
  <c r="AD20" i="14"/>
  <c r="P25" i="14"/>
  <c r="P29" i="14"/>
  <c r="G37" i="14"/>
  <c r="AD41" i="14"/>
  <c r="G45" i="14"/>
  <c r="G49" i="14"/>
  <c r="G74" i="14"/>
  <c r="G93" i="14"/>
  <c r="F93" i="14" s="1"/>
  <c r="G102" i="14"/>
  <c r="F102" i="14"/>
  <c r="F116" i="14"/>
  <c r="AC9" i="14" s="1"/>
  <c r="G120" i="14"/>
  <c r="F120" i="14" s="1"/>
  <c r="G125" i="14"/>
  <c r="F125" i="14" s="1"/>
  <c r="G143" i="14"/>
  <c r="F143" i="14" s="1"/>
  <c r="G152" i="14"/>
  <c r="F152" i="14" s="1"/>
  <c r="F166" i="14"/>
  <c r="G170" i="14"/>
  <c r="F170" i="14" s="1"/>
  <c r="G175" i="14"/>
  <c r="G193" i="14"/>
  <c r="F193" i="14" s="1"/>
  <c r="G205" i="14"/>
  <c r="F205" i="14" s="1"/>
  <c r="G247" i="14"/>
  <c r="G253" i="14"/>
  <c r="G272" i="14"/>
  <c r="G278" i="14"/>
  <c r="P13" i="14"/>
  <c r="P17" i="14"/>
  <c r="AD21" i="14"/>
  <c r="P30" i="14"/>
  <c r="P38" i="14"/>
  <c r="P43" i="14"/>
  <c r="S43" i="14" s="1"/>
  <c r="AC45" i="14"/>
  <c r="G56" i="14"/>
  <c r="F89" i="14"/>
  <c r="AC14" i="14" s="1"/>
  <c r="F98" i="14"/>
  <c r="AC3" i="14" s="1"/>
  <c r="G139" i="14"/>
  <c r="F139" i="14" s="1"/>
  <c r="F148" i="14"/>
  <c r="F175" i="14"/>
  <c r="G189" i="14"/>
  <c r="F189" i="14" s="1"/>
  <c r="F198" i="14"/>
  <c r="R21" i="14" s="1"/>
  <c r="K211" i="14"/>
  <c r="G211" i="14"/>
  <c r="G216" i="14"/>
  <c r="K221" i="14"/>
  <c r="G221" i="14"/>
  <c r="G226" i="14"/>
  <c r="K231" i="14"/>
  <c r="G231" i="14"/>
  <c r="G236" i="14"/>
  <c r="G241" i="14"/>
  <c r="G266" i="14"/>
  <c r="Y2" i="14" a="1"/>
  <c r="P3" i="14"/>
  <c r="Z10" i="14"/>
  <c r="Z12" i="14"/>
  <c r="AD15" i="14"/>
  <c r="AD22" i="14"/>
  <c r="P26" i="14"/>
  <c r="P31" i="14"/>
  <c r="R33" i="14"/>
  <c r="AD38" i="14"/>
  <c r="G42" i="14"/>
  <c r="AD43" i="14"/>
  <c r="AD45" i="14"/>
  <c r="G69" i="14"/>
  <c r="G80" i="14"/>
  <c r="F80" i="14" s="1"/>
  <c r="R35" i="14" s="1"/>
  <c r="G85" i="14"/>
  <c r="G103" i="14"/>
  <c r="F103" i="14" s="1"/>
  <c r="G112" i="14"/>
  <c r="F112" i="14"/>
  <c r="F126" i="14"/>
  <c r="G130" i="14"/>
  <c r="F130" i="14" s="1"/>
  <c r="G135" i="14"/>
  <c r="G153" i="14"/>
  <c r="F153" i="14" s="1"/>
  <c r="G162" i="14"/>
  <c r="F162" i="14"/>
  <c r="F176" i="14"/>
  <c r="R23" i="14" s="1"/>
  <c r="G180" i="14"/>
  <c r="F180" i="14" s="1"/>
  <c r="G185" i="14"/>
  <c r="M34" i="14"/>
  <c r="M35" i="14"/>
  <c r="G242" i="14"/>
  <c r="G248" i="14"/>
  <c r="G267" i="14"/>
  <c r="G273" i="14"/>
  <c r="F4" i="14"/>
  <c r="AC4" i="14" s="1"/>
  <c r="P5" i="14"/>
  <c r="F6" i="14"/>
  <c r="P7" i="14"/>
  <c r="F8" i="14"/>
  <c r="R19" i="14" s="1"/>
  <c r="P9" i="14"/>
  <c r="F10" i="14"/>
  <c r="P11" i="14"/>
  <c r="F12" i="14"/>
  <c r="AC12" i="14"/>
  <c r="P18" i="14"/>
  <c r="G21" i="14"/>
  <c r="F21" i="14" s="1"/>
  <c r="F22" i="14"/>
  <c r="AC22" i="14" s="1"/>
  <c r="AD23" i="14"/>
  <c r="P40" i="14"/>
  <c r="S40" i="14" s="1"/>
  <c r="G46" i="14"/>
  <c r="G51" i="14"/>
  <c r="G76" i="14"/>
  <c r="F85" i="14"/>
  <c r="AC10" i="14" s="1"/>
  <c r="F99" i="14"/>
  <c r="F108" i="14"/>
  <c r="F135" i="14"/>
  <c r="G149" i="14"/>
  <c r="F149" i="14" s="1"/>
  <c r="R29" i="14" s="1"/>
  <c r="F158" i="14"/>
  <c r="AC19" i="14" s="1"/>
  <c r="F185" i="14"/>
  <c r="G199" i="14"/>
  <c r="F199" i="14" s="1"/>
  <c r="K209" i="14"/>
  <c r="G209" i="14"/>
  <c r="G214" i="14"/>
  <c r="K219" i="14"/>
  <c r="G219" i="14"/>
  <c r="G224" i="14"/>
  <c r="K229" i="14"/>
  <c r="G229" i="14"/>
  <c r="G234" i="14"/>
  <c r="K239" i="14"/>
  <c r="G239" i="14"/>
  <c r="G261" i="14"/>
  <c r="G280" i="14"/>
  <c r="AD46" i="14"/>
  <c r="AC37" i="14"/>
  <c r="AD36" i="14"/>
  <c r="AC31" i="14"/>
  <c r="AC26" i="14"/>
  <c r="AC46" i="14"/>
  <c r="AC36" i="14"/>
  <c r="AD35" i="14"/>
  <c r="AC35" i="14"/>
  <c r="AC30" i="14"/>
  <c r="AC44" i="14"/>
  <c r="AC43" i="14"/>
  <c r="AC42" i="14"/>
  <c r="AC41" i="14"/>
  <c r="AC40" i="14"/>
  <c r="AC39" i="14"/>
  <c r="AC38" i="14"/>
  <c r="AD37" i="14"/>
  <c r="R3" i="14"/>
  <c r="AD4" i="14"/>
  <c r="AD6" i="14"/>
  <c r="AD8" i="14"/>
  <c r="AD10" i="14"/>
  <c r="AD12" i="14"/>
  <c r="P14" i="14"/>
  <c r="AD16" i="14"/>
  <c r="P19" i="14"/>
  <c r="F23" i="14"/>
  <c r="AC23" i="14" s="1"/>
  <c r="AD24" i="14"/>
  <c r="AC32" i="14"/>
  <c r="AD34" i="14"/>
  <c r="P37" i="14"/>
  <c r="AD40" i="14"/>
  <c r="G64" i="14"/>
  <c r="G90" i="14"/>
  <c r="F90" i="14" s="1"/>
  <c r="G95" i="14"/>
  <c r="F95" i="14" s="1"/>
  <c r="F104" i="14"/>
  <c r="AC29" i="14" s="1"/>
  <c r="G113" i="14"/>
  <c r="F113" i="14" s="1"/>
  <c r="R12" i="14" s="1"/>
  <c r="G122" i="14"/>
  <c r="F122" i="14"/>
  <c r="R10" i="14" s="1"/>
  <c r="F136" i="14"/>
  <c r="G140" i="14"/>
  <c r="F140" i="14" s="1"/>
  <c r="AC33" i="14" s="1"/>
  <c r="G145" i="14"/>
  <c r="F145" i="14" s="1"/>
  <c r="G163" i="14"/>
  <c r="F163" i="14" s="1"/>
  <c r="G172" i="14"/>
  <c r="F172" i="14"/>
  <c r="F177" i="14"/>
  <c r="R24" i="14" s="1"/>
  <c r="F186" i="14"/>
  <c r="G190" i="14"/>
  <c r="F190" i="14" s="1"/>
  <c r="G195" i="14"/>
  <c r="F195" i="14" s="1"/>
  <c r="G200" i="14"/>
  <c r="F200" i="14" s="1"/>
  <c r="R25" i="14" s="1"/>
  <c r="G243" i="14"/>
  <c r="G262" i="14"/>
  <c r="G268" i="14"/>
  <c r="G281" i="14"/>
  <c r="AB2" i="14"/>
  <c r="R5" i="14"/>
  <c r="R7" i="14"/>
  <c r="Z13" i="14"/>
  <c r="G16" i="14"/>
  <c r="F16" i="14" s="1"/>
  <c r="P20" i="14"/>
  <c r="G25" i="14"/>
  <c r="F25" i="14" s="1"/>
  <c r="R15" i="14" s="1"/>
  <c r="AD25" i="14"/>
  <c r="AD26" i="14"/>
  <c r="AD27" i="14"/>
  <c r="AD28" i="14"/>
  <c r="AD29" i="14"/>
  <c r="AD30" i="14"/>
  <c r="AD31" i="14"/>
  <c r="AD32" i="14"/>
  <c r="AD33" i="14"/>
  <c r="G35" i="14"/>
  <c r="F35" i="14" s="1"/>
  <c r="P42" i="14"/>
  <c r="S42" i="14" s="1"/>
  <c r="G52" i="14"/>
  <c r="G58" i="14"/>
  <c r="G71" i="14"/>
  <c r="G77" i="14"/>
  <c r="G81" i="14"/>
  <c r="F81" i="14" s="1"/>
  <c r="G109" i="14"/>
  <c r="G127" i="14"/>
  <c r="F127" i="14" s="1"/>
  <c r="R9" i="14" s="1"/>
  <c r="G131" i="14"/>
  <c r="F131" i="14" s="1"/>
  <c r="G154" i="14"/>
  <c r="F154" i="14" s="1"/>
  <c r="R28" i="14" s="1"/>
  <c r="G159" i="14"/>
  <c r="F159" i="14" s="1"/>
  <c r="G181" i="14"/>
  <c r="F181" i="14" s="1"/>
  <c r="K207" i="14"/>
  <c r="G207" i="14"/>
  <c r="G212" i="14"/>
  <c r="K217" i="14"/>
  <c r="G217" i="14"/>
  <c r="G222" i="14"/>
  <c r="K227" i="14"/>
  <c r="G227" i="14"/>
  <c r="G232" i="14"/>
  <c r="K237" i="14"/>
  <c r="G237" i="14"/>
  <c r="G256" i="14"/>
  <c r="G282" i="14"/>
  <c r="F109" i="14"/>
  <c r="F119" i="14"/>
  <c r="F129" i="14"/>
  <c r="Y932" i="3"/>
  <c r="W929" i="3"/>
  <c r="Y43" i="3"/>
  <c r="Y927" i="3"/>
  <c r="Y931" i="3"/>
  <c r="W44" i="3"/>
  <c r="Y928" i="3"/>
  <c r="W930" i="3"/>
  <c r="Y933" i="3"/>
  <c r="W45" i="3"/>
  <c r="I23" i="10"/>
  <c r="I13" i="10"/>
  <c r="I44" i="10"/>
  <c r="I43" i="10"/>
  <c r="I42" i="10"/>
  <c r="I32" i="10"/>
  <c r="I41" i="10"/>
  <c r="I40" i="10"/>
  <c r="I39" i="10"/>
  <c r="I4" i="10"/>
  <c r="I33" i="10"/>
  <c r="I34" i="10"/>
  <c r="W899" i="3"/>
  <c r="W912" i="3"/>
  <c r="W919" i="3"/>
  <c r="W7" i="3"/>
  <c r="W14" i="3"/>
  <c r="W27" i="3"/>
  <c r="W34" i="3"/>
  <c r="Y55" i="3"/>
  <c r="W55" i="3"/>
  <c r="Y65" i="3"/>
  <c r="W65" i="3"/>
  <c r="Y75" i="3"/>
  <c r="W75" i="3"/>
  <c r="Y85" i="3"/>
  <c r="W85" i="3"/>
  <c r="Y96" i="3"/>
  <c r="W96" i="3"/>
  <c r="Y106" i="3"/>
  <c r="W106" i="3"/>
  <c r="Y116" i="3"/>
  <c r="W116" i="3"/>
  <c r="Y126" i="3"/>
  <c r="W126" i="3"/>
  <c r="Y136" i="3"/>
  <c r="W136" i="3"/>
  <c r="Y146" i="3"/>
  <c r="W146" i="3"/>
  <c r="Y156" i="3"/>
  <c r="W156" i="3"/>
  <c r="Y166" i="3"/>
  <c r="W166" i="3"/>
  <c r="Y176" i="3"/>
  <c r="W176" i="3"/>
  <c r="Y186" i="3"/>
  <c r="W186" i="3"/>
  <c r="Y196" i="3"/>
  <c r="W196" i="3"/>
  <c r="Y206" i="3"/>
  <c r="W206" i="3"/>
  <c r="Y216" i="3"/>
  <c r="W216" i="3"/>
  <c r="Y226" i="3"/>
  <c r="W226" i="3"/>
  <c r="Y236" i="3"/>
  <c r="W236" i="3"/>
  <c r="Y246" i="3"/>
  <c r="W246" i="3"/>
  <c r="Y256" i="3"/>
  <c r="W256" i="3"/>
  <c r="Y266" i="3"/>
  <c r="W266" i="3"/>
  <c r="Y276" i="3"/>
  <c r="W276" i="3"/>
  <c r="Y286" i="3"/>
  <c r="W286" i="3"/>
  <c r="Y296" i="3"/>
  <c r="W296" i="3"/>
  <c r="Y306" i="3"/>
  <c r="W306" i="3"/>
  <c r="Y316" i="3"/>
  <c r="W316" i="3"/>
  <c r="Y326" i="3"/>
  <c r="W326" i="3"/>
  <c r="Y336" i="3"/>
  <c r="W336" i="3"/>
  <c r="Y346" i="3"/>
  <c r="W346" i="3"/>
  <c r="Y356" i="3"/>
  <c r="W356" i="3"/>
  <c r="Y366" i="3"/>
  <c r="W366" i="3"/>
  <c r="Y376" i="3"/>
  <c r="W376" i="3"/>
  <c r="Y386" i="3"/>
  <c r="W386" i="3"/>
  <c r="Y52" i="3"/>
  <c r="W52" i="3"/>
  <c r="Y62" i="3"/>
  <c r="W62" i="3"/>
  <c r="Y72" i="3"/>
  <c r="W72" i="3"/>
  <c r="Y82" i="3"/>
  <c r="W82" i="3"/>
  <c r="Y93" i="3"/>
  <c r="W93" i="3"/>
  <c r="Y103" i="3"/>
  <c r="W103" i="3"/>
  <c r="Y113" i="3"/>
  <c r="W113" i="3"/>
  <c r="Y123" i="3"/>
  <c r="W123" i="3"/>
  <c r="Y133" i="3"/>
  <c r="W133" i="3"/>
  <c r="Y143" i="3"/>
  <c r="W143" i="3"/>
  <c r="Y153" i="3"/>
  <c r="W153" i="3"/>
  <c r="Y163" i="3"/>
  <c r="W163" i="3"/>
  <c r="Y173" i="3"/>
  <c r="W173" i="3"/>
  <c r="Y183" i="3"/>
  <c r="W183" i="3"/>
  <c r="Y193" i="3"/>
  <c r="W193" i="3"/>
  <c r="Y203" i="3"/>
  <c r="W203" i="3"/>
  <c r="Y213" i="3"/>
  <c r="W213" i="3"/>
  <c r="Y223" i="3"/>
  <c r="W223" i="3"/>
  <c r="Y233" i="3"/>
  <c r="W233" i="3"/>
  <c r="Y243" i="3"/>
  <c r="W243" i="3"/>
  <c r="Y253" i="3"/>
  <c r="W253" i="3"/>
  <c r="Y263" i="3"/>
  <c r="W263" i="3"/>
  <c r="Y273" i="3"/>
  <c r="W273" i="3"/>
  <c r="Y283" i="3"/>
  <c r="W283" i="3"/>
  <c r="Y293" i="3"/>
  <c r="W293" i="3"/>
  <c r="Y303" i="3"/>
  <c r="W303" i="3"/>
  <c r="Y313" i="3"/>
  <c r="W313" i="3"/>
  <c r="Y323" i="3"/>
  <c r="W323" i="3"/>
  <c r="Y333" i="3"/>
  <c r="W333" i="3"/>
  <c r="Y343" i="3"/>
  <c r="W343" i="3"/>
  <c r="Y353" i="3"/>
  <c r="W353" i="3"/>
  <c r="Y363" i="3"/>
  <c r="W363" i="3"/>
  <c r="Y373" i="3"/>
  <c r="W373" i="3"/>
  <c r="Y383" i="3"/>
  <c r="W383" i="3"/>
  <c r="Y393" i="3"/>
  <c r="W393" i="3"/>
  <c r="Y403" i="3"/>
  <c r="W403" i="3"/>
  <c r="Y413" i="3"/>
  <c r="W413" i="3"/>
  <c r="Y423" i="3"/>
  <c r="W423" i="3"/>
  <c r="Y433" i="3"/>
  <c r="W433" i="3"/>
  <c r="Y443" i="3"/>
  <c r="W443" i="3"/>
  <c r="Y453" i="3"/>
  <c r="W453" i="3"/>
  <c r="Y463" i="3"/>
  <c r="W463" i="3"/>
  <c r="Y473" i="3"/>
  <c r="W473" i="3"/>
  <c r="Y483" i="3"/>
  <c r="W483" i="3"/>
  <c r="Y493" i="3"/>
  <c r="W493" i="3"/>
  <c r="Y503" i="3"/>
  <c r="W503" i="3"/>
  <c r="Y513" i="3"/>
  <c r="W513" i="3"/>
  <c r="Y523" i="3"/>
  <c r="W523" i="3"/>
  <c r="Y533" i="3"/>
  <c r="W533" i="3"/>
  <c r="Y543" i="3"/>
  <c r="W543" i="3"/>
  <c r="Y553" i="3"/>
  <c r="W553" i="3"/>
  <c r="Y563" i="3"/>
  <c r="W563" i="3"/>
  <c r="Y573" i="3"/>
  <c r="W573" i="3"/>
  <c r="Y583" i="3"/>
  <c r="W583" i="3"/>
  <c r="Y593" i="3"/>
  <c r="W593" i="3"/>
  <c r="Y603" i="3"/>
  <c r="W603" i="3"/>
  <c r="Y613" i="3"/>
  <c r="W613" i="3"/>
  <c r="Y623" i="3"/>
  <c r="W623" i="3"/>
  <c r="Y633" i="3"/>
  <c r="W633" i="3"/>
  <c r="Y643" i="3"/>
  <c r="W643" i="3"/>
  <c r="Y653" i="3"/>
  <c r="W653" i="3"/>
  <c r="Y663" i="3"/>
  <c r="W663" i="3"/>
  <c r="Y673" i="3"/>
  <c r="W673" i="3"/>
  <c r="Y683" i="3"/>
  <c r="W683" i="3"/>
  <c r="Y693" i="3"/>
  <c r="W693" i="3"/>
  <c r="Y703" i="3"/>
  <c r="W703" i="3"/>
  <c r="Y713" i="3"/>
  <c r="W713" i="3"/>
  <c r="Y723" i="3"/>
  <c r="W723" i="3"/>
  <c r="Y733" i="3"/>
  <c r="W733" i="3"/>
  <c r="Y743" i="3"/>
  <c r="W743" i="3"/>
  <c r="Y753" i="3"/>
  <c r="W753" i="3"/>
  <c r="Y763" i="3"/>
  <c r="W763" i="3"/>
  <c r="Y773" i="3"/>
  <c r="W773" i="3"/>
  <c r="Y783" i="3"/>
  <c r="W783" i="3"/>
  <c r="Y793" i="3"/>
  <c r="W793" i="3"/>
  <c r="Y803" i="3"/>
  <c r="W803" i="3"/>
  <c r="Y813" i="3"/>
  <c r="W813" i="3"/>
  <c r="Y823" i="3"/>
  <c r="W823" i="3"/>
  <c r="Y833" i="3"/>
  <c r="W833" i="3"/>
  <c r="Y843" i="3"/>
  <c r="W843" i="3"/>
  <c r="Y49" i="3"/>
  <c r="W49" i="3"/>
  <c r="Y59" i="3"/>
  <c r="W59" i="3"/>
  <c r="Y69" i="3"/>
  <c r="W69" i="3"/>
  <c r="Y79" i="3"/>
  <c r="W79" i="3"/>
  <c r="Y90" i="3"/>
  <c r="W90" i="3"/>
  <c r="Y100" i="3"/>
  <c r="W100" i="3"/>
  <c r="Y110" i="3"/>
  <c r="W110" i="3"/>
  <c r="Y120" i="3"/>
  <c r="W120" i="3"/>
  <c r="Y130" i="3"/>
  <c r="W130" i="3"/>
  <c r="Y140" i="3"/>
  <c r="W140" i="3"/>
  <c r="Y150" i="3"/>
  <c r="W150" i="3"/>
  <c r="Y160" i="3"/>
  <c r="W160" i="3"/>
  <c r="Y170" i="3"/>
  <c r="W170" i="3"/>
  <c r="Y180" i="3"/>
  <c r="W180" i="3"/>
  <c r="Y190" i="3"/>
  <c r="W190" i="3"/>
  <c r="Y200" i="3"/>
  <c r="W200" i="3"/>
  <c r="Y210" i="3"/>
  <c r="W210" i="3"/>
  <c r="Y220" i="3"/>
  <c r="W220" i="3"/>
  <c r="Y230" i="3"/>
  <c r="W230" i="3"/>
  <c r="Y240" i="3"/>
  <c r="W240" i="3"/>
  <c r="Y250" i="3"/>
  <c r="W250" i="3"/>
  <c r="Y260" i="3"/>
  <c r="W260" i="3"/>
  <c r="Y270" i="3"/>
  <c r="W270" i="3"/>
  <c r="Y280" i="3"/>
  <c r="W280" i="3"/>
  <c r="Y290" i="3"/>
  <c r="W290" i="3"/>
  <c r="Y300" i="3"/>
  <c r="W300" i="3"/>
  <c r="Y310" i="3"/>
  <c r="W310" i="3"/>
  <c r="Y320" i="3"/>
  <c r="W320" i="3"/>
  <c r="Y330" i="3"/>
  <c r="W330" i="3"/>
  <c r="Y340" i="3"/>
  <c r="W340" i="3"/>
  <c r="Y350" i="3"/>
  <c r="W350" i="3"/>
  <c r="Y360" i="3"/>
  <c r="W360" i="3"/>
  <c r="Y370" i="3"/>
  <c r="W370" i="3"/>
  <c r="Y380" i="3"/>
  <c r="W380" i="3"/>
  <c r="Y390" i="3"/>
  <c r="W390" i="3"/>
  <c r="Y400" i="3"/>
  <c r="W400" i="3"/>
  <c r="Y410" i="3"/>
  <c r="W410" i="3"/>
  <c r="Y420" i="3"/>
  <c r="W420" i="3"/>
  <c r="Y430" i="3"/>
  <c r="W430" i="3"/>
  <c r="Y440" i="3"/>
  <c r="W440" i="3"/>
  <c r="Y450" i="3"/>
  <c r="W450" i="3"/>
  <c r="Y460" i="3"/>
  <c r="W460" i="3"/>
  <c r="Y470" i="3"/>
  <c r="W470" i="3"/>
  <c r="Y480" i="3"/>
  <c r="W480" i="3"/>
  <c r="Y490" i="3"/>
  <c r="W490" i="3"/>
  <c r="Y500" i="3"/>
  <c r="W500" i="3"/>
  <c r="Y510" i="3"/>
  <c r="W510" i="3"/>
  <c r="Y520" i="3"/>
  <c r="W520" i="3"/>
  <c r="Y530" i="3"/>
  <c r="W530" i="3"/>
  <c r="Y540" i="3"/>
  <c r="W540" i="3"/>
  <c r="Y550" i="3"/>
  <c r="W550" i="3"/>
  <c r="Y560" i="3"/>
  <c r="W560" i="3"/>
  <c r="Y570" i="3"/>
  <c r="W570" i="3"/>
  <c r="Y580" i="3"/>
  <c r="W580" i="3"/>
  <c r="Y590" i="3"/>
  <c r="W590" i="3"/>
  <c r="Y600" i="3"/>
  <c r="W600" i="3"/>
  <c r="Y610" i="3"/>
  <c r="W610" i="3"/>
  <c r="Y620" i="3"/>
  <c r="W620" i="3"/>
  <c r="Y630" i="3"/>
  <c r="W630" i="3"/>
  <c r="Y640" i="3"/>
  <c r="W640" i="3"/>
  <c r="Y650" i="3"/>
  <c r="W650" i="3"/>
  <c r="Y660" i="3"/>
  <c r="W660" i="3"/>
  <c r="Y670" i="3"/>
  <c r="W670" i="3"/>
  <c r="Y680" i="3"/>
  <c r="W680" i="3"/>
  <c r="Y690" i="3"/>
  <c r="W690" i="3"/>
  <c r="Y700" i="3"/>
  <c r="W700" i="3"/>
  <c r="Y710" i="3"/>
  <c r="W710" i="3"/>
  <c r="Y720" i="3"/>
  <c r="W720" i="3"/>
  <c r="Y730" i="3"/>
  <c r="W730" i="3"/>
  <c r="Y740" i="3"/>
  <c r="W740" i="3"/>
  <c r="Y750" i="3"/>
  <c r="W750" i="3"/>
  <c r="Y760" i="3"/>
  <c r="W760" i="3"/>
  <c r="Y770" i="3"/>
  <c r="W770" i="3"/>
  <c r="Y780" i="3"/>
  <c r="W780" i="3"/>
  <c r="Y790" i="3"/>
  <c r="W790" i="3"/>
  <c r="Y800" i="3"/>
  <c r="W800" i="3"/>
  <c r="Y810" i="3"/>
  <c r="W810" i="3"/>
  <c r="Y820" i="3"/>
  <c r="W820" i="3"/>
  <c r="Y830" i="3"/>
  <c r="W830" i="3"/>
  <c r="Y840" i="3"/>
  <c r="W840" i="3"/>
  <c r="Y56" i="3"/>
  <c r="W56" i="3"/>
  <c r="Y66" i="3"/>
  <c r="W66" i="3"/>
  <c r="Y76" i="3"/>
  <c r="W76" i="3"/>
  <c r="Y86" i="3"/>
  <c r="W86" i="3"/>
  <c r="Y97" i="3"/>
  <c r="W97" i="3"/>
  <c r="Y107" i="3"/>
  <c r="W107" i="3"/>
  <c r="Y117" i="3"/>
  <c r="W117" i="3"/>
  <c r="Y127" i="3"/>
  <c r="W127" i="3"/>
  <c r="Y137" i="3"/>
  <c r="W137" i="3"/>
  <c r="Y147" i="3"/>
  <c r="W147" i="3"/>
  <c r="Y157" i="3"/>
  <c r="W157" i="3"/>
  <c r="Y167" i="3"/>
  <c r="W167" i="3"/>
  <c r="Y177" i="3"/>
  <c r="W177" i="3"/>
  <c r="Y187" i="3"/>
  <c r="W187" i="3"/>
  <c r="Y197" i="3"/>
  <c r="W197" i="3"/>
  <c r="Y207" i="3"/>
  <c r="W207" i="3"/>
  <c r="Y217" i="3"/>
  <c r="W217" i="3"/>
  <c r="Y227" i="3"/>
  <c r="W227" i="3"/>
  <c r="Y237" i="3"/>
  <c r="W237" i="3"/>
  <c r="Y247" i="3"/>
  <c r="W247" i="3"/>
  <c r="Y257" i="3"/>
  <c r="W257" i="3"/>
  <c r="Y267" i="3"/>
  <c r="W267" i="3"/>
  <c r="Y277" i="3"/>
  <c r="W277" i="3"/>
  <c r="Y287" i="3"/>
  <c r="W287" i="3"/>
  <c r="Y297" i="3"/>
  <c r="W297" i="3"/>
  <c r="Y307" i="3"/>
  <c r="W307" i="3"/>
  <c r="Y317" i="3"/>
  <c r="W317" i="3"/>
  <c r="Y327" i="3"/>
  <c r="W327" i="3"/>
  <c r="Y337" i="3"/>
  <c r="W337" i="3"/>
  <c r="Y347" i="3"/>
  <c r="W347" i="3"/>
  <c r="Y357" i="3"/>
  <c r="W357" i="3"/>
  <c r="Y367" i="3"/>
  <c r="W367" i="3"/>
  <c r="Y377" i="3"/>
  <c r="W377" i="3"/>
  <c r="Y387" i="3"/>
  <c r="W387" i="3"/>
  <c r="Y397" i="3"/>
  <c r="W397" i="3"/>
  <c r="Y407" i="3"/>
  <c r="W407" i="3"/>
  <c r="Y417" i="3"/>
  <c r="W417" i="3"/>
  <c r="Y427" i="3"/>
  <c r="W427" i="3"/>
  <c r="Y437" i="3"/>
  <c r="W437" i="3"/>
  <c r="Y447" i="3"/>
  <c r="W447" i="3"/>
  <c r="Y457" i="3"/>
  <c r="W457" i="3"/>
  <c r="Y467" i="3"/>
  <c r="W467" i="3"/>
  <c r="Y477" i="3"/>
  <c r="W477" i="3"/>
  <c r="Y487" i="3"/>
  <c r="W487" i="3"/>
  <c r="Y497" i="3"/>
  <c r="W497" i="3"/>
  <c r="Y507" i="3"/>
  <c r="W507" i="3"/>
  <c r="Y517" i="3"/>
  <c r="W517" i="3"/>
  <c r="Y527" i="3"/>
  <c r="W527" i="3"/>
  <c r="Y537" i="3"/>
  <c r="W537" i="3"/>
  <c r="Y547" i="3"/>
  <c r="W547" i="3"/>
  <c r="Y557" i="3"/>
  <c r="W557" i="3"/>
  <c r="Y567" i="3"/>
  <c r="W567" i="3"/>
  <c r="Y577" i="3"/>
  <c r="W577" i="3"/>
  <c r="Y587" i="3"/>
  <c r="W587" i="3"/>
  <c r="Y597" i="3"/>
  <c r="W597" i="3"/>
  <c r="Y607" i="3"/>
  <c r="W607" i="3"/>
  <c r="Y617" i="3"/>
  <c r="W617" i="3"/>
  <c r="Y627" i="3"/>
  <c r="W627" i="3"/>
  <c r="Y637" i="3"/>
  <c r="W637" i="3"/>
  <c r="Y647" i="3"/>
  <c r="W647" i="3"/>
  <c r="Y657" i="3"/>
  <c r="W657" i="3"/>
  <c r="Y667" i="3"/>
  <c r="W667" i="3"/>
  <c r="Y677" i="3"/>
  <c r="W677" i="3"/>
  <c r="Y687" i="3"/>
  <c r="W687" i="3"/>
  <c r="Y697" i="3"/>
  <c r="W697" i="3"/>
  <c r="Y53" i="3"/>
  <c r="W53" i="3"/>
  <c r="Y63" i="3"/>
  <c r="W63" i="3"/>
  <c r="Y73" i="3"/>
  <c r="W73" i="3"/>
  <c r="Y83" i="3"/>
  <c r="W83" i="3"/>
  <c r="Y94" i="3"/>
  <c r="W94" i="3"/>
  <c r="Y104" i="3"/>
  <c r="W104" i="3"/>
  <c r="Y114" i="3"/>
  <c r="W114" i="3"/>
  <c r="Y124" i="3"/>
  <c r="W124" i="3"/>
  <c r="Y134" i="3"/>
  <c r="W134" i="3"/>
  <c r="Y144" i="3"/>
  <c r="W144" i="3"/>
  <c r="Y154" i="3"/>
  <c r="W154" i="3"/>
  <c r="Y164" i="3"/>
  <c r="W164" i="3"/>
  <c r="Y174" i="3"/>
  <c r="W174" i="3"/>
  <c r="Y184" i="3"/>
  <c r="W184" i="3"/>
  <c r="Y194" i="3"/>
  <c r="W194" i="3"/>
  <c r="Y204" i="3"/>
  <c r="W204" i="3"/>
  <c r="Y214" i="3"/>
  <c r="W214" i="3"/>
  <c r="Y224" i="3"/>
  <c r="W224" i="3"/>
  <c r="Y234" i="3"/>
  <c r="W234" i="3"/>
  <c r="Y244" i="3"/>
  <c r="W244" i="3"/>
  <c r="Y254" i="3"/>
  <c r="W254" i="3"/>
  <c r="Y264" i="3"/>
  <c r="W264" i="3"/>
  <c r="Y274" i="3"/>
  <c r="W274" i="3"/>
  <c r="Y284" i="3"/>
  <c r="W284" i="3"/>
  <c r="Y294" i="3"/>
  <c r="W294" i="3"/>
  <c r="Y304" i="3"/>
  <c r="W304" i="3"/>
  <c r="Y314" i="3"/>
  <c r="W314" i="3"/>
  <c r="Y324" i="3"/>
  <c r="W324" i="3"/>
  <c r="Y334" i="3"/>
  <c r="W334" i="3"/>
  <c r="Y344" i="3"/>
  <c r="W344" i="3"/>
  <c r="Y354" i="3"/>
  <c r="W354" i="3"/>
  <c r="Y364" i="3"/>
  <c r="W364" i="3"/>
  <c r="Y374" i="3"/>
  <c r="W374" i="3"/>
  <c r="Y384" i="3"/>
  <c r="W384" i="3"/>
  <c r="Y394" i="3"/>
  <c r="W394" i="3"/>
  <c r="Y404" i="3"/>
  <c r="W404" i="3"/>
  <c r="Y414" i="3"/>
  <c r="W414" i="3"/>
  <c r="Y424" i="3"/>
  <c r="W424" i="3"/>
  <c r="Y434" i="3"/>
  <c r="W434" i="3"/>
  <c r="Y444" i="3"/>
  <c r="W444" i="3"/>
  <c r="Y454" i="3"/>
  <c r="W454" i="3"/>
  <c r="Y464" i="3"/>
  <c r="W464" i="3"/>
  <c r="Y474" i="3"/>
  <c r="W474" i="3"/>
  <c r="Y484" i="3"/>
  <c r="W484" i="3"/>
  <c r="Y494" i="3"/>
  <c r="W494" i="3"/>
  <c r="Y504" i="3"/>
  <c r="W504" i="3"/>
  <c r="Y514" i="3"/>
  <c r="W514" i="3"/>
  <c r="Y524" i="3"/>
  <c r="W524" i="3"/>
  <c r="Y534" i="3"/>
  <c r="W534" i="3"/>
  <c r="Y544" i="3"/>
  <c r="W544" i="3"/>
  <c r="Y554" i="3"/>
  <c r="W554" i="3"/>
  <c r="Y564" i="3"/>
  <c r="W564" i="3"/>
  <c r="Y574" i="3"/>
  <c r="W574" i="3"/>
  <c r="Y584" i="3"/>
  <c r="W584" i="3"/>
  <c r="Y594" i="3"/>
  <c r="W594" i="3"/>
  <c r="Y604" i="3"/>
  <c r="W604" i="3"/>
  <c r="Y614" i="3"/>
  <c r="W614" i="3"/>
  <c r="Y624" i="3"/>
  <c r="W624" i="3"/>
  <c r="Y634" i="3"/>
  <c r="W634" i="3"/>
  <c r="Y644" i="3"/>
  <c r="W644" i="3"/>
  <c r="Y654" i="3"/>
  <c r="W654" i="3"/>
  <c r="Y664" i="3"/>
  <c r="W664" i="3"/>
  <c r="Y674" i="3"/>
  <c r="W674" i="3"/>
  <c r="Y684" i="3"/>
  <c r="W684" i="3"/>
  <c r="Y694" i="3"/>
  <c r="W694" i="3"/>
  <c r="Y704" i="3"/>
  <c r="W704" i="3"/>
  <c r="Y714" i="3"/>
  <c r="W714" i="3"/>
  <c r="Y724" i="3"/>
  <c r="W724" i="3"/>
  <c r="Y734" i="3"/>
  <c r="W734" i="3"/>
  <c r="Y744" i="3"/>
  <c r="W744" i="3"/>
  <c r="Y50" i="3"/>
  <c r="W50" i="3"/>
  <c r="Y60" i="3"/>
  <c r="W60" i="3"/>
  <c r="Y70" i="3"/>
  <c r="W70" i="3"/>
  <c r="Y80" i="3"/>
  <c r="W80" i="3"/>
  <c r="Y87" i="3"/>
  <c r="W87" i="3"/>
  <c r="Y91" i="3"/>
  <c r="W91" i="3"/>
  <c r="Y101" i="3"/>
  <c r="W101" i="3"/>
  <c r="Y111" i="3"/>
  <c r="W111" i="3"/>
  <c r="Y121" i="3"/>
  <c r="W121" i="3"/>
  <c r="Y131" i="3"/>
  <c r="W131" i="3"/>
  <c r="Y141" i="3"/>
  <c r="W141" i="3"/>
  <c r="Y151" i="3"/>
  <c r="W151" i="3"/>
  <c r="Y161" i="3"/>
  <c r="W161" i="3"/>
  <c r="Y171" i="3"/>
  <c r="W171" i="3"/>
  <c r="Y181" i="3"/>
  <c r="W181" i="3"/>
  <c r="Y191" i="3"/>
  <c r="W191" i="3"/>
  <c r="Y201" i="3"/>
  <c r="W201" i="3"/>
  <c r="Y211" i="3"/>
  <c r="W211" i="3"/>
  <c r="Y221" i="3"/>
  <c r="W221" i="3"/>
  <c r="Y231" i="3"/>
  <c r="W231" i="3"/>
  <c r="Y241" i="3"/>
  <c r="W241" i="3"/>
  <c r="Y251" i="3"/>
  <c r="W251" i="3"/>
  <c r="Y261" i="3"/>
  <c r="W261" i="3"/>
  <c r="Y271" i="3"/>
  <c r="W271" i="3"/>
  <c r="Y281" i="3"/>
  <c r="W281" i="3"/>
  <c r="Y291" i="3"/>
  <c r="W291" i="3"/>
  <c r="Y301" i="3"/>
  <c r="W301" i="3"/>
  <c r="Y311" i="3"/>
  <c r="W311" i="3"/>
  <c r="Y321" i="3"/>
  <c r="W321" i="3"/>
  <c r="Y331" i="3"/>
  <c r="W331" i="3"/>
  <c r="Y341" i="3"/>
  <c r="W341" i="3"/>
  <c r="Y351" i="3"/>
  <c r="W351" i="3"/>
  <c r="Y361" i="3"/>
  <c r="W361" i="3"/>
  <c r="Y371" i="3"/>
  <c r="W371" i="3"/>
  <c r="Y381" i="3"/>
  <c r="W381" i="3"/>
  <c r="Y391" i="3"/>
  <c r="W391" i="3"/>
  <c r="Y401" i="3"/>
  <c r="W401" i="3"/>
  <c r="Y411" i="3"/>
  <c r="W411" i="3"/>
  <c r="Y421" i="3"/>
  <c r="W421" i="3"/>
  <c r="Y431" i="3"/>
  <c r="W431" i="3"/>
  <c r="Y441" i="3"/>
  <c r="W441" i="3"/>
  <c r="Y451" i="3"/>
  <c r="W451" i="3"/>
  <c r="Y461" i="3"/>
  <c r="W461" i="3"/>
  <c r="Y471" i="3"/>
  <c r="W471" i="3"/>
  <c r="Y481" i="3"/>
  <c r="W481" i="3"/>
  <c r="Y491" i="3"/>
  <c r="W491" i="3"/>
  <c r="Y501" i="3"/>
  <c r="W501" i="3"/>
  <c r="Y511" i="3"/>
  <c r="W511" i="3"/>
  <c r="Y521" i="3"/>
  <c r="W521" i="3"/>
  <c r="Y531" i="3"/>
  <c r="W531" i="3"/>
  <c r="Y541" i="3"/>
  <c r="W541" i="3"/>
  <c r="Y551" i="3"/>
  <c r="W551" i="3"/>
  <c r="Y561" i="3"/>
  <c r="W561" i="3"/>
  <c r="Y571" i="3"/>
  <c r="W571" i="3"/>
  <c r="Y581" i="3"/>
  <c r="W581" i="3"/>
  <c r="Y591" i="3"/>
  <c r="W591" i="3"/>
  <c r="Y601" i="3"/>
  <c r="W601" i="3"/>
  <c r="Y611" i="3"/>
  <c r="W611" i="3"/>
  <c r="Y621" i="3"/>
  <c r="W621" i="3"/>
  <c r="Y631" i="3"/>
  <c r="W631" i="3"/>
  <c r="Y641" i="3"/>
  <c r="W641" i="3"/>
  <c r="Y651" i="3"/>
  <c r="W651" i="3"/>
  <c r="Y661" i="3"/>
  <c r="W661" i="3"/>
  <c r="Y671" i="3"/>
  <c r="W671" i="3"/>
  <c r="Y681" i="3"/>
  <c r="W681" i="3"/>
  <c r="Y691" i="3"/>
  <c r="W691" i="3"/>
  <c r="Y701" i="3"/>
  <c r="W701" i="3"/>
  <c r="Y711" i="3"/>
  <c r="W711" i="3"/>
  <c r="Y721" i="3"/>
  <c r="W721" i="3"/>
  <c r="Y731" i="3"/>
  <c r="W731" i="3"/>
  <c r="Y741" i="3"/>
  <c r="W741" i="3"/>
  <c r="Y751" i="3"/>
  <c r="W751" i="3"/>
  <c r="Y761" i="3"/>
  <c r="W761" i="3"/>
  <c r="Y771" i="3"/>
  <c r="W771" i="3"/>
  <c r="Y781" i="3"/>
  <c r="W781" i="3"/>
  <c r="Y791" i="3"/>
  <c r="W791" i="3"/>
  <c r="Y801" i="3"/>
  <c r="W801" i="3"/>
  <c r="Y811" i="3"/>
  <c r="W811" i="3"/>
  <c r="Y821" i="3"/>
  <c r="W821" i="3"/>
  <c r="Y831" i="3"/>
  <c r="W831" i="3"/>
  <c r="Y841" i="3"/>
  <c r="W841" i="3"/>
  <c r="Y98" i="3"/>
  <c r="W98" i="3"/>
  <c r="Y128" i="3"/>
  <c r="W128" i="3"/>
  <c r="Y138" i="3"/>
  <c r="W138" i="3"/>
  <c r="Y158" i="3"/>
  <c r="W158" i="3"/>
  <c r="Y178" i="3"/>
  <c r="W178" i="3"/>
  <c r="Y218" i="3"/>
  <c r="W218" i="3"/>
  <c r="Y238" i="3"/>
  <c r="W238" i="3"/>
  <c r="Y248" i="3"/>
  <c r="W248" i="3"/>
  <c r="Y298" i="3"/>
  <c r="W298" i="3"/>
  <c r="Y308" i="3"/>
  <c r="W308" i="3"/>
  <c r="Y318" i="3"/>
  <c r="W318" i="3"/>
  <c r="Y328" i="3"/>
  <c r="W328" i="3"/>
  <c r="Y338" i="3"/>
  <c r="W338" i="3"/>
  <c r="Y348" i="3"/>
  <c r="W348" i="3"/>
  <c r="Y358" i="3"/>
  <c r="W358" i="3"/>
  <c r="Y368" i="3"/>
  <c r="W368" i="3"/>
  <c r="Y378" i="3"/>
  <c r="W378" i="3"/>
  <c r="Y388" i="3"/>
  <c r="W388" i="3"/>
  <c r="Y398" i="3"/>
  <c r="W398" i="3"/>
  <c r="Y408" i="3"/>
  <c r="W408" i="3"/>
  <c r="Y418" i="3"/>
  <c r="W418" i="3"/>
  <c r="Y428" i="3"/>
  <c r="W428" i="3"/>
  <c r="Y438" i="3"/>
  <c r="W438" i="3"/>
  <c r="Y448" i="3"/>
  <c r="W448" i="3"/>
  <c r="Y458" i="3"/>
  <c r="W458" i="3"/>
  <c r="Y468" i="3"/>
  <c r="W468" i="3"/>
  <c r="Y478" i="3"/>
  <c r="W478" i="3"/>
  <c r="Y488" i="3"/>
  <c r="W488" i="3"/>
  <c r="Y498" i="3"/>
  <c r="W498" i="3"/>
  <c r="Y508" i="3"/>
  <c r="W508" i="3"/>
  <c r="Y518" i="3"/>
  <c r="W518" i="3"/>
  <c r="Y528" i="3"/>
  <c r="W528" i="3"/>
  <c r="Y538" i="3"/>
  <c r="W538" i="3"/>
  <c r="Y548" i="3"/>
  <c r="W548" i="3"/>
  <c r="Y558" i="3"/>
  <c r="W558" i="3"/>
  <c r="Y568" i="3"/>
  <c r="W568" i="3"/>
  <c r="Y578" i="3"/>
  <c r="W578" i="3"/>
  <c r="Y108" i="3"/>
  <c r="W108" i="3"/>
  <c r="Y148" i="3"/>
  <c r="W148" i="3"/>
  <c r="Y168" i="3"/>
  <c r="W168" i="3"/>
  <c r="Y188" i="3"/>
  <c r="W188" i="3"/>
  <c r="Y198" i="3"/>
  <c r="W198" i="3"/>
  <c r="Y208" i="3"/>
  <c r="W208" i="3"/>
  <c r="Y228" i="3"/>
  <c r="W228" i="3"/>
  <c r="Y258" i="3"/>
  <c r="W258" i="3"/>
  <c r="Y268" i="3"/>
  <c r="W268" i="3"/>
  <c r="Y278" i="3"/>
  <c r="W278" i="3"/>
  <c r="Y288" i="3"/>
  <c r="W288" i="3"/>
  <c r="Y54" i="3"/>
  <c r="W54" i="3"/>
  <c r="Y64" i="3"/>
  <c r="W64" i="3"/>
  <c r="Y74" i="3"/>
  <c r="W74" i="3"/>
  <c r="Y84" i="3"/>
  <c r="W84" i="3"/>
  <c r="Y88" i="3"/>
  <c r="W88" i="3"/>
  <c r="Y95" i="3"/>
  <c r="W95" i="3"/>
  <c r="Y105" i="3"/>
  <c r="W105" i="3"/>
  <c r="Y115" i="3"/>
  <c r="W115" i="3"/>
  <c r="Y125" i="3"/>
  <c r="W125" i="3"/>
  <c r="Y135" i="3"/>
  <c r="W135" i="3"/>
  <c r="Y145" i="3"/>
  <c r="W145" i="3"/>
  <c r="Y155" i="3"/>
  <c r="W155" i="3"/>
  <c r="Y165" i="3"/>
  <c r="W165" i="3"/>
  <c r="Y175" i="3"/>
  <c r="W175" i="3"/>
  <c r="Y185" i="3"/>
  <c r="W185" i="3"/>
  <c r="Y195" i="3"/>
  <c r="W195" i="3"/>
  <c r="Y205" i="3"/>
  <c r="W205" i="3"/>
  <c r="Y215" i="3"/>
  <c r="W215" i="3"/>
  <c r="Y225" i="3"/>
  <c r="W225" i="3"/>
  <c r="Y235" i="3"/>
  <c r="W235" i="3"/>
  <c r="Y245" i="3"/>
  <c r="W245" i="3"/>
  <c r="Y255" i="3"/>
  <c r="W255" i="3"/>
  <c r="Y265" i="3"/>
  <c r="W265" i="3"/>
  <c r="Y275" i="3"/>
  <c r="W275" i="3"/>
  <c r="Y285" i="3"/>
  <c r="W285" i="3"/>
  <c r="Y295" i="3"/>
  <c r="W295" i="3"/>
  <c r="Y305" i="3"/>
  <c r="W305" i="3"/>
  <c r="Y315" i="3"/>
  <c r="W315" i="3"/>
  <c r="Y325" i="3"/>
  <c r="W325" i="3"/>
  <c r="Y335" i="3"/>
  <c r="W335" i="3"/>
  <c r="Y345" i="3"/>
  <c r="W345" i="3"/>
  <c r="Y77" i="3"/>
  <c r="W77" i="3"/>
  <c r="Y118" i="3"/>
  <c r="W118" i="3"/>
  <c r="Y51" i="3"/>
  <c r="W51" i="3"/>
  <c r="Y61" i="3"/>
  <c r="W61" i="3"/>
  <c r="Y71" i="3"/>
  <c r="W71" i="3"/>
  <c r="Y81" i="3"/>
  <c r="W81" i="3"/>
  <c r="Y92" i="3"/>
  <c r="W92" i="3"/>
  <c r="Y102" i="3"/>
  <c r="W102" i="3"/>
  <c r="Y112" i="3"/>
  <c r="W112" i="3"/>
  <c r="Y122" i="3"/>
  <c r="W122" i="3"/>
  <c r="Y132" i="3"/>
  <c r="W132" i="3"/>
  <c r="Y142" i="3"/>
  <c r="W142" i="3"/>
  <c r="Y152" i="3"/>
  <c r="W152" i="3"/>
  <c r="Y162" i="3"/>
  <c r="W162" i="3"/>
  <c r="Y172" i="3"/>
  <c r="W172" i="3"/>
  <c r="Y182" i="3"/>
  <c r="W182" i="3"/>
  <c r="Y192" i="3"/>
  <c r="W192" i="3"/>
  <c r="Y202" i="3"/>
  <c r="W202" i="3"/>
  <c r="Y212" i="3"/>
  <c r="W212" i="3"/>
  <c r="Y222" i="3"/>
  <c r="W222" i="3"/>
  <c r="Y232" i="3"/>
  <c r="W232" i="3"/>
  <c r="Y242" i="3"/>
  <c r="W242" i="3"/>
  <c r="Y252" i="3"/>
  <c r="W252" i="3"/>
  <c r="Y262" i="3"/>
  <c r="W262" i="3"/>
  <c r="Y272" i="3"/>
  <c r="W272" i="3"/>
  <c r="Y282" i="3"/>
  <c r="W282" i="3"/>
  <c r="Y292" i="3"/>
  <c r="W292" i="3"/>
  <c r="Y302" i="3"/>
  <c r="W302" i="3"/>
  <c r="Y312" i="3"/>
  <c r="W312" i="3"/>
  <c r="Y322" i="3"/>
  <c r="W322" i="3"/>
  <c r="Y332" i="3"/>
  <c r="W332" i="3"/>
  <c r="Y342" i="3"/>
  <c r="W342" i="3"/>
  <c r="Y352" i="3"/>
  <c r="W352" i="3"/>
  <c r="Y362" i="3"/>
  <c r="W362" i="3"/>
  <c r="Y372" i="3"/>
  <c r="W372" i="3"/>
  <c r="Y382" i="3"/>
  <c r="W382" i="3"/>
  <c r="Y392" i="3"/>
  <c r="W392" i="3"/>
  <c r="Y402" i="3"/>
  <c r="W402" i="3"/>
  <c r="Y412" i="3"/>
  <c r="W412" i="3"/>
  <c r="Y422" i="3"/>
  <c r="W422" i="3"/>
  <c r="Y432" i="3"/>
  <c r="W432" i="3"/>
  <c r="Y442" i="3"/>
  <c r="W442" i="3"/>
  <c r="Y452" i="3"/>
  <c r="W452" i="3"/>
  <c r="Y462" i="3"/>
  <c r="W462" i="3"/>
  <c r="Y472" i="3"/>
  <c r="W472" i="3"/>
  <c r="Y482" i="3"/>
  <c r="W482" i="3"/>
  <c r="Y492" i="3"/>
  <c r="W492" i="3"/>
  <c r="Y502" i="3"/>
  <c r="W502" i="3"/>
  <c r="Y512" i="3"/>
  <c r="W512" i="3"/>
  <c r="Y522" i="3"/>
  <c r="W522" i="3"/>
  <c r="Y532" i="3"/>
  <c r="W532" i="3"/>
  <c r="Y542" i="3"/>
  <c r="W542" i="3"/>
  <c r="Y552" i="3"/>
  <c r="W552" i="3"/>
  <c r="Y562" i="3"/>
  <c r="W562" i="3"/>
  <c r="Y572" i="3"/>
  <c r="W572" i="3"/>
  <c r="Y582" i="3"/>
  <c r="W582" i="3"/>
  <c r="Y592" i="3"/>
  <c r="W592" i="3"/>
  <c r="Y602" i="3"/>
  <c r="W602" i="3"/>
  <c r="Y612" i="3"/>
  <c r="W612" i="3"/>
  <c r="Y622" i="3"/>
  <c r="W622" i="3"/>
  <c r="Y632" i="3"/>
  <c r="W632" i="3"/>
  <c r="Y642" i="3"/>
  <c r="W642" i="3"/>
  <c r="Y652" i="3"/>
  <c r="W652" i="3"/>
  <c r="Y662" i="3"/>
  <c r="W662" i="3"/>
  <c r="Y672" i="3"/>
  <c r="W672" i="3"/>
  <c r="Y682" i="3"/>
  <c r="W682" i="3"/>
  <c r="Y692" i="3"/>
  <c r="W692" i="3"/>
  <c r="Y702" i="3"/>
  <c r="W702" i="3"/>
  <c r="Y712" i="3"/>
  <c r="W712" i="3"/>
  <c r="Y722" i="3"/>
  <c r="W722" i="3"/>
  <c r="Y732" i="3"/>
  <c r="W732" i="3"/>
  <c r="Y742" i="3"/>
  <c r="W742" i="3"/>
  <c r="Y752" i="3"/>
  <c r="W752" i="3"/>
  <c r="Y762" i="3"/>
  <c r="W762" i="3"/>
  <c r="Y772" i="3"/>
  <c r="W772" i="3"/>
  <c r="Y782" i="3"/>
  <c r="W782" i="3"/>
  <c r="Y792" i="3"/>
  <c r="W792" i="3"/>
  <c r="Y802" i="3"/>
  <c r="W802" i="3"/>
  <c r="Y47" i="3"/>
  <c r="W47" i="3"/>
  <c r="Y57" i="3"/>
  <c r="W57" i="3"/>
  <c r="Y67" i="3"/>
  <c r="W67" i="3"/>
  <c r="Y48" i="3"/>
  <c r="W48" i="3"/>
  <c r="Y58" i="3"/>
  <c r="W58" i="3"/>
  <c r="Y68" i="3"/>
  <c r="W68" i="3"/>
  <c r="Y78" i="3"/>
  <c r="W78" i="3"/>
  <c r="Y89" i="3"/>
  <c r="W89" i="3"/>
  <c r="Y99" i="3"/>
  <c r="W99" i="3"/>
  <c r="Y109" i="3"/>
  <c r="W109" i="3"/>
  <c r="Y119" i="3"/>
  <c r="W119" i="3"/>
  <c r="Y129" i="3"/>
  <c r="W129" i="3"/>
  <c r="Y139" i="3"/>
  <c r="W139" i="3"/>
  <c r="Y149" i="3"/>
  <c r="W149" i="3"/>
  <c r="Y159" i="3"/>
  <c r="W159" i="3"/>
  <c r="Y169" i="3"/>
  <c r="W169" i="3"/>
  <c r="Y179" i="3"/>
  <c r="W179" i="3"/>
  <c r="Y189" i="3"/>
  <c r="W189" i="3"/>
  <c r="Y199" i="3"/>
  <c r="W199" i="3"/>
  <c r="Y209" i="3"/>
  <c r="W209" i="3"/>
  <c r="Y219" i="3"/>
  <c r="W219" i="3"/>
  <c r="Y229" i="3"/>
  <c r="W229" i="3"/>
  <c r="Y239" i="3"/>
  <c r="W239" i="3"/>
  <c r="Y249" i="3"/>
  <c r="W249" i="3"/>
  <c r="Y259" i="3"/>
  <c r="W259" i="3"/>
  <c r="Y269" i="3"/>
  <c r="W269" i="3"/>
  <c r="Y279" i="3"/>
  <c r="W279" i="3"/>
  <c r="Y289" i="3"/>
  <c r="W289" i="3"/>
  <c r="Y299" i="3"/>
  <c r="W299" i="3"/>
  <c r="Y309" i="3"/>
  <c r="W309" i="3"/>
  <c r="Y319" i="3"/>
  <c r="W319" i="3"/>
  <c r="Y329" i="3"/>
  <c r="W329" i="3"/>
  <c r="Y339" i="3"/>
  <c r="W339" i="3"/>
  <c r="Y349" i="3"/>
  <c r="W349" i="3"/>
  <c r="Y359" i="3"/>
  <c r="W359" i="3"/>
  <c r="Y369" i="3"/>
  <c r="W369" i="3"/>
  <c r="Y379" i="3"/>
  <c r="W379" i="3"/>
  <c r="Y389" i="3"/>
  <c r="W389" i="3"/>
  <c r="Y399" i="3"/>
  <c r="W399" i="3"/>
  <c r="Y409" i="3"/>
  <c r="W409" i="3"/>
  <c r="Y419" i="3"/>
  <c r="W419" i="3"/>
  <c r="Y429" i="3"/>
  <c r="W429" i="3"/>
  <c r="Y439" i="3"/>
  <c r="W439" i="3"/>
  <c r="Y449" i="3"/>
  <c r="W449" i="3"/>
  <c r="Y459" i="3"/>
  <c r="W459" i="3"/>
  <c r="Y469" i="3"/>
  <c r="W469" i="3"/>
  <c r="Y479" i="3"/>
  <c r="W479" i="3"/>
  <c r="Y489" i="3"/>
  <c r="W489" i="3"/>
  <c r="Y499" i="3"/>
  <c r="W499" i="3"/>
  <c r="Y509" i="3"/>
  <c r="W509" i="3"/>
  <c r="Y519" i="3"/>
  <c r="W519" i="3"/>
  <c r="Y529" i="3"/>
  <c r="W529" i="3"/>
  <c r="Y539" i="3"/>
  <c r="W539" i="3"/>
  <c r="Y549" i="3"/>
  <c r="W549" i="3"/>
  <c r="Y559" i="3"/>
  <c r="W559" i="3"/>
  <c r="Y569" i="3"/>
  <c r="W569" i="3"/>
  <c r="Y579" i="3"/>
  <c r="W579" i="3"/>
  <c r="Y589" i="3"/>
  <c r="W589" i="3"/>
  <c r="Y599" i="3"/>
  <c r="W599" i="3"/>
  <c r="Y396" i="3"/>
  <c r="W396" i="3"/>
  <c r="Y406" i="3"/>
  <c r="W406" i="3"/>
  <c r="Y416" i="3"/>
  <c r="W416" i="3"/>
  <c r="Y426" i="3"/>
  <c r="W426" i="3"/>
  <c r="Y436" i="3"/>
  <c r="W436" i="3"/>
  <c r="Y446" i="3"/>
  <c r="W446" i="3"/>
  <c r="Y456" i="3"/>
  <c r="W456" i="3"/>
  <c r="Y466" i="3"/>
  <c r="W466" i="3"/>
  <c r="Y476" i="3"/>
  <c r="W476" i="3"/>
  <c r="Y486" i="3"/>
  <c r="W486" i="3"/>
  <c r="Y496" i="3"/>
  <c r="W496" i="3"/>
  <c r="Y506" i="3"/>
  <c r="W506" i="3"/>
  <c r="Y516" i="3"/>
  <c r="W516" i="3"/>
  <c r="Y526" i="3"/>
  <c r="W526" i="3"/>
  <c r="Y536" i="3"/>
  <c r="W536" i="3"/>
  <c r="Y546" i="3"/>
  <c r="W546" i="3"/>
  <c r="Y556" i="3"/>
  <c r="W556" i="3"/>
  <c r="Y566" i="3"/>
  <c r="W566" i="3"/>
  <c r="Y576" i="3"/>
  <c r="W576" i="3"/>
  <c r="Y586" i="3"/>
  <c r="W586" i="3"/>
  <c r="Y596" i="3"/>
  <c r="W596" i="3"/>
  <c r="Y606" i="3"/>
  <c r="W606" i="3"/>
  <c r="Y616" i="3"/>
  <c r="W616" i="3"/>
  <c r="Y626" i="3"/>
  <c r="W626" i="3"/>
  <c r="Y636" i="3"/>
  <c r="W636" i="3"/>
  <c r="Y646" i="3"/>
  <c r="W646" i="3"/>
  <c r="Y656" i="3"/>
  <c r="W656" i="3"/>
  <c r="Y666" i="3"/>
  <c r="W666" i="3"/>
  <c r="Y676" i="3"/>
  <c r="W676" i="3"/>
  <c r="Y686" i="3"/>
  <c r="W686" i="3"/>
  <c r="Y696" i="3"/>
  <c r="W696" i="3"/>
  <c r="Y706" i="3"/>
  <c r="W706" i="3"/>
  <c r="Y716" i="3"/>
  <c r="W716" i="3"/>
  <c r="Y726" i="3"/>
  <c r="W726" i="3"/>
  <c r="Y736" i="3"/>
  <c r="W736" i="3"/>
  <c r="Y746" i="3"/>
  <c r="W746" i="3"/>
  <c r="Y756" i="3"/>
  <c r="W756" i="3"/>
  <c r="Y766" i="3"/>
  <c r="W766" i="3"/>
  <c r="Y776" i="3"/>
  <c r="W776" i="3"/>
  <c r="Y786" i="3"/>
  <c r="W786" i="3"/>
  <c r="Y796" i="3"/>
  <c r="W796" i="3"/>
  <c r="Y806" i="3"/>
  <c r="W806" i="3"/>
  <c r="Y816" i="3"/>
  <c r="W816" i="3"/>
  <c r="Y826" i="3"/>
  <c r="W826" i="3"/>
  <c r="Y836" i="3"/>
  <c r="W836" i="3"/>
  <c r="Y846" i="3"/>
  <c r="W846" i="3"/>
  <c r="Y856" i="3"/>
  <c r="W856" i="3"/>
  <c r="Y866" i="3"/>
  <c r="W866" i="3"/>
  <c r="Y876" i="3"/>
  <c r="W876" i="3"/>
  <c r="Y886" i="3"/>
  <c r="W886" i="3"/>
  <c r="Y896" i="3"/>
  <c r="W896" i="3"/>
  <c r="Y906" i="3"/>
  <c r="W906" i="3"/>
  <c r="Y916" i="3"/>
  <c r="W916" i="3"/>
  <c r="Y926" i="3"/>
  <c r="W926" i="3"/>
  <c r="Y11" i="3"/>
  <c r="W11" i="3"/>
  <c r="Y21" i="3"/>
  <c r="W21" i="3"/>
  <c r="Y31" i="3"/>
  <c r="W31" i="3"/>
  <c r="Y41" i="3"/>
  <c r="W41" i="3"/>
  <c r="W754" i="3"/>
  <c r="W809" i="3"/>
  <c r="W829" i="3"/>
  <c r="W849" i="3"/>
  <c r="W869" i="3"/>
  <c r="W889" i="3"/>
  <c r="W909" i="3"/>
  <c r="W4" i="3"/>
  <c r="W24" i="3"/>
  <c r="W609" i="3"/>
  <c r="W659" i="3"/>
  <c r="W709" i="3"/>
  <c r="W759" i="3"/>
  <c r="W850" i="3"/>
  <c r="W870" i="3"/>
  <c r="W890" i="3"/>
  <c r="W910" i="3"/>
  <c r="W5" i="3"/>
  <c r="W25" i="3"/>
  <c r="W774" i="3"/>
  <c r="W851" i="3"/>
  <c r="W871" i="3"/>
  <c r="W891" i="3"/>
  <c r="W911" i="3"/>
  <c r="W6" i="3"/>
  <c r="W26" i="3"/>
  <c r="Y707" i="3"/>
  <c r="W707" i="3"/>
  <c r="Y717" i="3"/>
  <c r="W717" i="3"/>
  <c r="Y727" i="3"/>
  <c r="W727" i="3"/>
  <c r="Y737" i="3"/>
  <c r="W737" i="3"/>
  <c r="Y747" i="3"/>
  <c r="W747" i="3"/>
  <c r="Y757" i="3"/>
  <c r="W757" i="3"/>
  <c r="Y767" i="3"/>
  <c r="W767" i="3"/>
  <c r="Y777" i="3"/>
  <c r="W777" i="3"/>
  <c r="Y787" i="3"/>
  <c r="W787" i="3"/>
  <c r="Y797" i="3"/>
  <c r="W797" i="3"/>
  <c r="Y807" i="3"/>
  <c r="W807" i="3"/>
  <c r="Y817" i="3"/>
  <c r="W817" i="3"/>
  <c r="Y827" i="3"/>
  <c r="W827" i="3"/>
  <c r="Y837" i="3"/>
  <c r="W837" i="3"/>
  <c r="Y847" i="3"/>
  <c r="W847" i="3"/>
  <c r="Y857" i="3"/>
  <c r="W857" i="3"/>
  <c r="Y867" i="3"/>
  <c r="W867" i="3"/>
  <c r="Y877" i="3"/>
  <c r="W877" i="3"/>
  <c r="Y887" i="3"/>
  <c r="W887" i="3"/>
  <c r="Y897" i="3"/>
  <c r="W897" i="3"/>
  <c r="Y907" i="3"/>
  <c r="W907" i="3"/>
  <c r="Y917" i="3"/>
  <c r="W917" i="3"/>
  <c r="Y2" i="3"/>
  <c r="W2" i="3"/>
  <c r="Y12" i="3"/>
  <c r="W12" i="3"/>
  <c r="Y22" i="3"/>
  <c r="W22" i="3"/>
  <c r="Y32" i="3"/>
  <c r="W32" i="3"/>
  <c r="Y42" i="3"/>
  <c r="W42" i="3"/>
  <c r="W629" i="3"/>
  <c r="W679" i="3"/>
  <c r="W729" i="3"/>
  <c r="W779" i="3"/>
  <c r="W812" i="3"/>
  <c r="W832" i="3"/>
  <c r="W852" i="3"/>
  <c r="W872" i="3"/>
  <c r="W892" i="3"/>
  <c r="Y804" i="3"/>
  <c r="W804" i="3"/>
  <c r="Y814" i="3"/>
  <c r="W814" i="3"/>
  <c r="Y824" i="3"/>
  <c r="W824" i="3"/>
  <c r="Y834" i="3"/>
  <c r="W834" i="3"/>
  <c r="Y844" i="3"/>
  <c r="W844" i="3"/>
  <c r="Y854" i="3"/>
  <c r="W854" i="3"/>
  <c r="Y864" i="3"/>
  <c r="W864" i="3"/>
  <c r="Y874" i="3"/>
  <c r="W874" i="3"/>
  <c r="Y884" i="3"/>
  <c r="W884" i="3"/>
  <c r="Y894" i="3"/>
  <c r="W894" i="3"/>
  <c r="Y904" i="3"/>
  <c r="W904" i="3"/>
  <c r="Y914" i="3"/>
  <c r="W914" i="3"/>
  <c r="Y924" i="3"/>
  <c r="W924" i="3"/>
  <c r="Y9" i="3"/>
  <c r="W9" i="3"/>
  <c r="Y19" i="3"/>
  <c r="W19" i="3"/>
  <c r="Y29" i="3"/>
  <c r="W29" i="3"/>
  <c r="Y39" i="3"/>
  <c r="W39" i="3"/>
  <c r="W794" i="3"/>
  <c r="W853" i="3"/>
  <c r="W873" i="3"/>
  <c r="W893" i="3"/>
  <c r="W913" i="3"/>
  <c r="W8" i="3"/>
  <c r="W28" i="3"/>
  <c r="W649" i="3"/>
  <c r="W699" i="3"/>
  <c r="W749" i="3"/>
  <c r="W799" i="3"/>
  <c r="W819" i="3"/>
  <c r="W839" i="3"/>
  <c r="W859" i="3"/>
  <c r="W879" i="3"/>
  <c r="Y588" i="3"/>
  <c r="W588" i="3"/>
  <c r="Y598" i="3"/>
  <c r="W598" i="3"/>
  <c r="Y608" i="3"/>
  <c r="W608" i="3"/>
  <c r="Y618" i="3"/>
  <c r="W618" i="3"/>
  <c r="Y628" i="3"/>
  <c r="W628" i="3"/>
  <c r="Y638" i="3"/>
  <c r="W638" i="3"/>
  <c r="Y648" i="3"/>
  <c r="W648" i="3"/>
  <c r="Y658" i="3"/>
  <c r="W658" i="3"/>
  <c r="Y668" i="3"/>
  <c r="W668" i="3"/>
  <c r="Y678" i="3"/>
  <c r="W678" i="3"/>
  <c r="Y688" i="3"/>
  <c r="W688" i="3"/>
  <c r="Y698" i="3"/>
  <c r="W698" i="3"/>
  <c r="Y708" i="3"/>
  <c r="W708" i="3"/>
  <c r="Y718" i="3"/>
  <c r="W718" i="3"/>
  <c r="Y728" i="3"/>
  <c r="W728" i="3"/>
  <c r="Y738" i="3"/>
  <c r="W738" i="3"/>
  <c r="Y748" i="3"/>
  <c r="W748" i="3"/>
  <c r="Y758" i="3"/>
  <c r="W758" i="3"/>
  <c r="Y768" i="3"/>
  <c r="W768" i="3"/>
  <c r="Y778" i="3"/>
  <c r="W778" i="3"/>
  <c r="Y788" i="3"/>
  <c r="W788" i="3"/>
  <c r="Y798" i="3"/>
  <c r="W798" i="3"/>
  <c r="Y808" i="3"/>
  <c r="W808" i="3"/>
  <c r="Y818" i="3"/>
  <c r="W818" i="3"/>
  <c r="Y828" i="3"/>
  <c r="W828" i="3"/>
  <c r="Y838" i="3"/>
  <c r="W838" i="3"/>
  <c r="Y848" i="3"/>
  <c r="W848" i="3"/>
  <c r="Y858" i="3"/>
  <c r="W858" i="3"/>
  <c r="Y868" i="3"/>
  <c r="W868" i="3"/>
  <c r="Y878" i="3"/>
  <c r="W878" i="3"/>
  <c r="Y888" i="3"/>
  <c r="W888" i="3"/>
  <c r="Y898" i="3"/>
  <c r="W898" i="3"/>
  <c r="Y908" i="3"/>
  <c r="W908" i="3"/>
  <c r="Y918" i="3"/>
  <c r="W918" i="3"/>
  <c r="Y3" i="3"/>
  <c r="W3" i="3"/>
  <c r="Y13" i="3"/>
  <c r="W13" i="3"/>
  <c r="Y23" i="3"/>
  <c r="W23" i="3"/>
  <c r="Y33" i="3"/>
  <c r="W33" i="3"/>
  <c r="W764" i="3"/>
  <c r="W860" i="3"/>
  <c r="W880" i="3"/>
  <c r="W900" i="3"/>
  <c r="W920" i="3"/>
  <c r="W15" i="3"/>
  <c r="W35" i="3"/>
  <c r="Y355" i="3"/>
  <c r="W355" i="3"/>
  <c r="Y365" i="3"/>
  <c r="W365" i="3"/>
  <c r="Y375" i="3"/>
  <c r="W375" i="3"/>
  <c r="Y385" i="3"/>
  <c r="W385" i="3"/>
  <c r="Y395" i="3"/>
  <c r="W395" i="3"/>
  <c r="Y405" i="3"/>
  <c r="W405" i="3"/>
  <c r="Y415" i="3"/>
  <c r="W415" i="3"/>
  <c r="Y425" i="3"/>
  <c r="W425" i="3"/>
  <c r="Y435" i="3"/>
  <c r="W435" i="3"/>
  <c r="Y445" i="3"/>
  <c r="W445" i="3"/>
  <c r="Y455" i="3"/>
  <c r="W455" i="3"/>
  <c r="Y465" i="3"/>
  <c r="W465" i="3"/>
  <c r="Y475" i="3"/>
  <c r="W475" i="3"/>
  <c r="Y485" i="3"/>
  <c r="W485" i="3"/>
  <c r="Y495" i="3"/>
  <c r="W495" i="3"/>
  <c r="Y505" i="3"/>
  <c r="W505" i="3"/>
  <c r="Y515" i="3"/>
  <c r="W515" i="3"/>
  <c r="Y525" i="3"/>
  <c r="W525" i="3"/>
  <c r="Y535" i="3"/>
  <c r="W535" i="3"/>
  <c r="Y545" i="3"/>
  <c r="W545" i="3"/>
  <c r="Y555" i="3"/>
  <c r="W555" i="3"/>
  <c r="Y565" i="3"/>
  <c r="W565" i="3"/>
  <c r="Y575" i="3"/>
  <c r="W575" i="3"/>
  <c r="Y585" i="3"/>
  <c r="W585" i="3"/>
  <c r="Y595" i="3"/>
  <c r="W595" i="3"/>
  <c r="Y605" i="3"/>
  <c r="W605" i="3"/>
  <c r="Y615" i="3"/>
  <c r="W615" i="3"/>
  <c r="Y625" i="3"/>
  <c r="W625" i="3"/>
  <c r="Y635" i="3"/>
  <c r="W635" i="3"/>
  <c r="Y645" i="3"/>
  <c r="W645" i="3"/>
  <c r="Y655" i="3"/>
  <c r="W655" i="3"/>
  <c r="Y665" i="3"/>
  <c r="W665" i="3"/>
  <c r="Y675" i="3"/>
  <c r="W675" i="3"/>
  <c r="Y685" i="3"/>
  <c r="W685" i="3"/>
  <c r="Y695" i="3"/>
  <c r="W695" i="3"/>
  <c r="Y705" i="3"/>
  <c r="W705" i="3"/>
  <c r="Y715" i="3"/>
  <c r="W715" i="3"/>
  <c r="Y725" i="3"/>
  <c r="W725" i="3"/>
  <c r="Y735" i="3"/>
  <c r="W735" i="3"/>
  <c r="Y745" i="3"/>
  <c r="W745" i="3"/>
  <c r="Y755" i="3"/>
  <c r="W755" i="3"/>
  <c r="Y765" i="3"/>
  <c r="W765" i="3"/>
  <c r="Y775" i="3"/>
  <c r="W775" i="3"/>
  <c r="Y785" i="3"/>
  <c r="W785" i="3"/>
  <c r="Y795" i="3"/>
  <c r="W795" i="3"/>
  <c r="Y805" i="3"/>
  <c r="W805" i="3"/>
  <c r="Y815" i="3"/>
  <c r="W815" i="3"/>
  <c r="Y825" i="3"/>
  <c r="W825" i="3"/>
  <c r="Y835" i="3"/>
  <c r="W835" i="3"/>
  <c r="Y845" i="3"/>
  <c r="W845" i="3"/>
  <c r="Y855" i="3"/>
  <c r="W855" i="3"/>
  <c r="Y865" i="3"/>
  <c r="W865" i="3"/>
  <c r="Y875" i="3"/>
  <c r="W875" i="3"/>
  <c r="Y885" i="3"/>
  <c r="W885" i="3"/>
  <c r="Y895" i="3"/>
  <c r="W895" i="3"/>
  <c r="Y905" i="3"/>
  <c r="W905" i="3"/>
  <c r="Y915" i="3"/>
  <c r="W915" i="3"/>
  <c r="Y925" i="3"/>
  <c r="W925" i="3"/>
  <c r="Y10" i="3"/>
  <c r="W10" i="3"/>
  <c r="Y20" i="3"/>
  <c r="W20" i="3"/>
  <c r="Y30" i="3"/>
  <c r="W30" i="3"/>
  <c r="Y40" i="3"/>
  <c r="W40" i="3"/>
  <c r="W619" i="3"/>
  <c r="W669" i="3"/>
  <c r="W719" i="3"/>
  <c r="W769" i="3"/>
  <c r="W861" i="3"/>
  <c r="W881" i="3"/>
  <c r="W901" i="3"/>
  <c r="W921" i="3"/>
  <c r="W16" i="3"/>
  <c r="W36" i="3"/>
  <c r="W784" i="3"/>
  <c r="W822" i="3"/>
  <c r="W842" i="3"/>
  <c r="W862" i="3"/>
  <c r="W882" i="3"/>
  <c r="W902" i="3"/>
  <c r="W922" i="3"/>
  <c r="W17" i="3"/>
  <c r="W37" i="3"/>
  <c r="W639" i="3"/>
  <c r="W689" i="3"/>
  <c r="W739" i="3"/>
  <c r="W789" i="3"/>
  <c r="W863" i="3"/>
  <c r="W883" i="3"/>
  <c r="W903" i="3"/>
  <c r="W923" i="3"/>
  <c r="W18" i="3"/>
  <c r="W38" i="3"/>
  <c r="W46" i="3"/>
  <c r="I24" i="10"/>
  <c r="I6" i="10"/>
  <c r="I7" i="10"/>
  <c r="I17" i="10"/>
  <c r="I27" i="10"/>
  <c r="I37" i="10"/>
  <c r="I14" i="10"/>
  <c r="I15" i="10"/>
  <c r="I26" i="10"/>
  <c r="I8" i="10"/>
  <c r="I18" i="10"/>
  <c r="I28" i="10"/>
  <c r="I38" i="10"/>
  <c r="I35" i="10"/>
  <c r="I36" i="10"/>
  <c r="I9" i="10"/>
  <c r="I19" i="10"/>
  <c r="I29" i="10"/>
  <c r="I25" i="10"/>
  <c r="I16" i="10"/>
  <c r="I10" i="10"/>
  <c r="I20" i="10"/>
  <c r="I30" i="10"/>
  <c r="I11" i="10"/>
  <c r="I21" i="10"/>
  <c r="I31" i="10"/>
  <c r="I5" i="10"/>
  <c r="I12" i="10"/>
  <c r="I22" i="10"/>
  <c r="V46" i="10"/>
  <c r="W46" i="10"/>
  <c r="W47" i="10"/>
  <c r="V45" i="10"/>
  <c r="O21" i="10"/>
  <c r="O31" i="10"/>
  <c r="O30" i="10"/>
  <c r="O140" i="10"/>
  <c r="O205" i="10"/>
  <c r="O17" i="10"/>
  <c r="O12" i="10"/>
  <c r="O22" i="10"/>
  <c r="O32" i="10"/>
  <c r="O82" i="10"/>
  <c r="O92" i="10"/>
  <c r="O102" i="10"/>
  <c r="O112" i="10"/>
  <c r="O122" i="10"/>
  <c r="O132" i="10"/>
  <c r="O142" i="10"/>
  <c r="O152" i="10"/>
  <c r="O162" i="10"/>
  <c r="O172" i="10"/>
  <c r="O182" i="10"/>
  <c r="O192" i="10"/>
  <c r="O100" i="10"/>
  <c r="O130" i="10"/>
  <c r="O13" i="10"/>
  <c r="O23" i="10"/>
  <c r="O83" i="10"/>
  <c r="O93" i="10"/>
  <c r="O103" i="10"/>
  <c r="O113" i="10"/>
  <c r="O133" i="10"/>
  <c r="O143" i="10"/>
  <c r="O153" i="10"/>
  <c r="O163" i="10"/>
  <c r="O173" i="10"/>
  <c r="O183" i="10"/>
  <c r="O193" i="10"/>
  <c r="O20" i="10"/>
  <c r="O90" i="10"/>
  <c r="O170" i="10"/>
  <c r="O33" i="10"/>
  <c r="O14" i="10"/>
  <c r="O24" i="10"/>
  <c r="O34" i="10"/>
  <c r="O80" i="10"/>
  <c r="O160" i="10"/>
  <c r="O85" i="10"/>
  <c r="O95" i="10"/>
  <c r="O105" i="10"/>
  <c r="O115" i="10"/>
  <c r="O125" i="10"/>
  <c r="O135" i="10"/>
  <c r="O145" i="10"/>
  <c r="O155" i="10"/>
  <c r="O165" i="10"/>
  <c r="O175" i="10"/>
  <c r="O185" i="10"/>
  <c r="O195" i="10"/>
  <c r="O110" i="10"/>
  <c r="O120" i="10"/>
  <c r="O18" i="10"/>
  <c r="O4" i="10"/>
  <c r="O86" i="10"/>
  <c r="O96" i="10"/>
  <c r="O106" i="10"/>
  <c r="O116" i="10"/>
  <c r="O126" i="10"/>
  <c r="O146" i="10"/>
  <c r="O156" i="10"/>
  <c r="O166" i="10"/>
  <c r="O176" i="10"/>
  <c r="O186" i="10"/>
  <c r="O196" i="10"/>
  <c r="O180" i="10"/>
  <c r="O197" i="10"/>
  <c r="O190" i="10"/>
  <c r="O5" i="10"/>
  <c r="O150" i="10"/>
  <c r="O19" i="10"/>
  <c r="O29" i="10"/>
  <c r="O79" i="10"/>
  <c r="O89" i="10"/>
  <c r="O99" i="10"/>
  <c r="O109" i="10"/>
  <c r="O119" i="10"/>
  <c r="O129" i="10"/>
  <c r="O139" i="10"/>
  <c r="O149" i="10"/>
  <c r="O159" i="10"/>
  <c r="O169" i="10"/>
  <c r="O179" i="10"/>
  <c r="O189" i="10"/>
  <c r="O199" i="10"/>
  <c r="O8" i="10"/>
  <c r="W6" i="10"/>
  <c r="W11" i="10"/>
  <c r="W16" i="10"/>
  <c r="W26" i="10"/>
  <c r="W36" i="10"/>
  <c r="O9" i="10"/>
  <c r="O6" i="10"/>
  <c r="O11" i="10"/>
  <c r="O15" i="10"/>
  <c r="W17" i="10"/>
  <c r="O25" i="10"/>
  <c r="W27" i="10"/>
  <c r="O35" i="10"/>
  <c r="V35" i="10" s="1"/>
  <c r="W37" i="10"/>
  <c r="O47" i="10"/>
  <c r="O87" i="10"/>
  <c r="O97" i="10"/>
  <c r="O107" i="10"/>
  <c r="O117" i="10"/>
  <c r="O127" i="10"/>
  <c r="O137" i="10"/>
  <c r="O147" i="10"/>
  <c r="O157" i="10"/>
  <c r="O167" i="10"/>
  <c r="O177" i="10"/>
  <c r="O187" i="10"/>
  <c r="O201" i="10"/>
  <c r="R2" i="10" a="1"/>
  <c r="W4" i="10"/>
  <c r="W9" i="10"/>
  <c r="O16" i="10"/>
  <c r="W18" i="10"/>
  <c r="O26" i="10"/>
  <c r="W28" i="10"/>
  <c r="W38" i="10"/>
  <c r="W40" i="10"/>
  <c r="W42" i="10"/>
  <c r="W44" i="10"/>
  <c r="O84" i="10"/>
  <c r="O94" i="10"/>
  <c r="O104" i="10"/>
  <c r="O114" i="10"/>
  <c r="O124" i="10"/>
  <c r="O134" i="10"/>
  <c r="O144" i="10"/>
  <c r="O154" i="10"/>
  <c r="O164" i="10"/>
  <c r="O174" i="10"/>
  <c r="O184" i="10"/>
  <c r="O194" i="10"/>
  <c r="O27" i="10"/>
  <c r="O81" i="10"/>
  <c r="O91" i="10"/>
  <c r="O101" i="10"/>
  <c r="O111" i="10"/>
  <c r="O121" i="10"/>
  <c r="O131" i="10"/>
  <c r="O141" i="10"/>
  <c r="O151" i="10"/>
  <c r="O161" i="10"/>
  <c r="O171" i="10"/>
  <c r="O181" i="10"/>
  <c r="O191" i="10"/>
  <c r="O202" i="10"/>
  <c r="W7" i="10"/>
  <c r="W12" i="10"/>
  <c r="W20" i="10"/>
  <c r="O28" i="10"/>
  <c r="W30" i="10"/>
  <c r="O78" i="10"/>
  <c r="O88" i="10"/>
  <c r="O98" i="10"/>
  <c r="O108" i="10"/>
  <c r="O118" i="10"/>
  <c r="O128" i="10"/>
  <c r="O138" i="10"/>
  <c r="O148" i="10"/>
  <c r="O158" i="10"/>
  <c r="O168" i="10"/>
  <c r="O178" i="10"/>
  <c r="O188" i="10"/>
  <c r="O198" i="10"/>
  <c r="W19" i="10"/>
  <c r="U2" i="10"/>
  <c r="O7" i="10"/>
  <c r="W21" i="10"/>
  <c r="W31" i="10"/>
  <c r="O203" i="10"/>
  <c r="W5" i="10"/>
  <c r="W10" i="10"/>
  <c r="W13" i="10"/>
  <c r="W22" i="10"/>
  <c r="W32" i="10"/>
  <c r="W29" i="10"/>
  <c r="W23" i="10"/>
  <c r="W33" i="10"/>
  <c r="W39" i="10"/>
  <c r="W41" i="10"/>
  <c r="W43" i="10"/>
  <c r="O136" i="10"/>
  <c r="O204" i="10"/>
  <c r="O10" i="10"/>
  <c r="O3" i="10"/>
  <c r="W3" i="10"/>
  <c r="W8" i="10"/>
  <c r="W14" i="10"/>
  <c r="W24" i="10"/>
  <c r="W34" i="10"/>
  <c r="O123" i="10"/>
  <c r="W15" i="10"/>
  <c r="W25" i="10"/>
  <c r="W35" i="10"/>
  <c r="O200" i="10"/>
  <c r="N3" i="2"/>
  <c r="G30" i="9"/>
  <c r="L32" i="9"/>
  <c r="O32" i="9" s="1"/>
  <c r="G38" i="9"/>
  <c r="Z41" i="9"/>
  <c r="G62" i="9"/>
  <c r="F62" i="9" s="1"/>
  <c r="G72" i="9"/>
  <c r="G78" i="9"/>
  <c r="G94" i="9"/>
  <c r="F94" i="9" s="1"/>
  <c r="G104" i="9"/>
  <c r="G110" i="9"/>
  <c r="F110" i="9" s="1"/>
  <c r="G120" i="9"/>
  <c r="G126" i="9"/>
  <c r="F126" i="9" s="1"/>
  <c r="G136" i="9"/>
  <c r="G142" i="9"/>
  <c r="G152" i="9"/>
  <c r="G158" i="9"/>
  <c r="G168" i="9"/>
  <c r="G174" i="9"/>
  <c r="G190" i="9"/>
  <c r="G22" i="9"/>
  <c r="F22" i="9" s="1"/>
  <c r="G34" i="9"/>
  <c r="G51" i="9"/>
  <c r="G83" i="9"/>
  <c r="F83" i="9" s="1"/>
  <c r="G109" i="9"/>
  <c r="G147" i="9"/>
  <c r="G179" i="9"/>
  <c r="F179" i="9" s="1"/>
  <c r="G204" i="9"/>
  <c r="G200" i="9"/>
  <c r="G154" i="9"/>
  <c r="G146" i="9"/>
  <c r="G138" i="9"/>
  <c r="G130" i="9"/>
  <c r="G122" i="9"/>
  <c r="G114" i="9"/>
  <c r="G106" i="9"/>
  <c r="G98" i="9"/>
  <c r="G90" i="9"/>
  <c r="G82" i="9"/>
  <c r="G74" i="9"/>
  <c r="G66" i="9"/>
  <c r="G58" i="9"/>
  <c r="G47" i="9"/>
  <c r="G41" i="9"/>
  <c r="L31" i="9"/>
  <c r="O31" i="9" s="1"/>
  <c r="L23" i="9"/>
  <c r="O23" i="9" s="1"/>
  <c r="L15" i="9"/>
  <c r="V13" i="9"/>
  <c r="G143" i="9"/>
  <c r="G135" i="9"/>
  <c r="G127" i="9"/>
  <c r="G119" i="9"/>
  <c r="G111" i="9"/>
  <c r="G103" i="9"/>
  <c r="G95" i="9"/>
  <c r="G87" i="9"/>
  <c r="G79" i="9"/>
  <c r="G71" i="9"/>
  <c r="G63" i="9"/>
  <c r="G55" i="9"/>
  <c r="G52" i="9"/>
  <c r="G31" i="9"/>
  <c r="L30" i="9"/>
  <c r="O30" i="9" s="1"/>
  <c r="G23" i="9"/>
  <c r="L22" i="9"/>
  <c r="O22" i="9" s="1"/>
  <c r="G15" i="9"/>
  <c r="G203" i="9"/>
  <c r="G199" i="9"/>
  <c r="L38" i="9"/>
  <c r="O38" i="9" s="1"/>
  <c r="L29" i="9"/>
  <c r="O29" i="9" s="1"/>
  <c r="L21" i="9"/>
  <c r="L14" i="9"/>
  <c r="O14" i="9" s="1"/>
  <c r="L37" i="9"/>
  <c r="O37" i="9" s="1"/>
  <c r="L28" i="9"/>
  <c r="O28" i="9" s="1"/>
  <c r="L20" i="9"/>
  <c r="O20" i="9" s="1"/>
  <c r="L3" i="9"/>
  <c r="G202" i="9"/>
  <c r="G42" i="9"/>
  <c r="L36" i="9"/>
  <c r="O36" i="9" s="1"/>
  <c r="L35" i="9"/>
  <c r="O35" i="9" s="1"/>
  <c r="L34" i="9"/>
  <c r="O34" i="9" s="1"/>
  <c r="L26" i="9"/>
  <c r="O26" i="9" s="1"/>
  <c r="L7" i="9"/>
  <c r="O7" i="9" s="1"/>
  <c r="G8" i="9"/>
  <c r="G11" i="9"/>
  <c r="L17" i="9"/>
  <c r="O17" i="9" s="1"/>
  <c r="L25" i="9"/>
  <c r="O25" i="9" s="1"/>
  <c r="G46" i="9"/>
  <c r="G88" i="9"/>
  <c r="F88" i="9" s="1"/>
  <c r="L8" i="9"/>
  <c r="O8" i="9" s="1"/>
  <c r="L9" i="9"/>
  <c r="G10" i="9"/>
  <c r="V14" i="9"/>
  <c r="G16" i="9"/>
  <c r="Z20" i="9"/>
  <c r="G24" i="9"/>
  <c r="Z27" i="9"/>
  <c r="G57" i="9"/>
  <c r="G68" i="9"/>
  <c r="G73" i="9"/>
  <c r="G84" i="9"/>
  <c r="G89" i="9"/>
  <c r="F89" i="9" s="1"/>
  <c r="G100" i="9"/>
  <c r="G105" i="9"/>
  <c r="G116" i="9"/>
  <c r="G121" i="9"/>
  <c r="G132" i="9"/>
  <c r="G137" i="9"/>
  <c r="G148" i="9"/>
  <c r="G153" i="9"/>
  <c r="F153" i="9" s="1"/>
  <c r="G159" i="9"/>
  <c r="F159" i="9" s="1"/>
  <c r="G164" i="9"/>
  <c r="G169" i="9"/>
  <c r="F169" i="9" s="1"/>
  <c r="G175" i="9"/>
  <c r="F175" i="9" s="1"/>
  <c r="G180" i="9"/>
  <c r="G185" i="9"/>
  <c r="G191" i="9"/>
  <c r="G196" i="9"/>
  <c r="F8" i="9"/>
  <c r="G20" i="9"/>
  <c r="F20" i="9" s="1"/>
  <c r="G115" i="9"/>
  <c r="F115" i="9" s="1"/>
  <c r="L27" i="9"/>
  <c r="G56" i="9"/>
  <c r="G3" i="9"/>
  <c r="F3" i="9" s="1"/>
  <c r="N6" i="9"/>
  <c r="L10" i="9"/>
  <c r="O10" i="9" s="1"/>
  <c r="L11" i="9"/>
  <c r="O11" i="9" s="1"/>
  <c r="G12" i="9"/>
  <c r="L13" i="9"/>
  <c r="O13" i="9" s="1"/>
  <c r="L16" i="9"/>
  <c r="O16" i="9" s="1"/>
  <c r="G21" i="9"/>
  <c r="L24" i="9"/>
  <c r="O24" i="9" s="1"/>
  <c r="G28" i="9"/>
  <c r="G36" i="9"/>
  <c r="G48" i="9"/>
  <c r="F48" i="9" s="1"/>
  <c r="G170" i="9"/>
  <c r="G186" i="9"/>
  <c r="F186" i="9" s="1"/>
  <c r="G32" i="9"/>
  <c r="F32" i="9" s="1"/>
  <c r="Z37" i="9"/>
  <c r="G61" i="9"/>
  <c r="G77" i="9"/>
  <c r="F77" i="9" s="1"/>
  <c r="G93" i="9"/>
  <c r="F93" i="9" s="1"/>
  <c r="G131" i="9"/>
  <c r="F131" i="9" s="1"/>
  <c r="G163" i="9"/>
  <c r="F163" i="9" s="1"/>
  <c r="G195" i="9"/>
  <c r="F195" i="9" s="1"/>
  <c r="L6" i="9"/>
  <c r="O6" i="9" s="1"/>
  <c r="Z5" i="9"/>
  <c r="Z14" i="9"/>
  <c r="L19" i="9"/>
  <c r="O19" i="9" s="1"/>
  <c r="Z22" i="9"/>
  <c r="G33" i="9"/>
  <c r="G39" i="9"/>
  <c r="G43" i="9"/>
  <c r="G53" i="9"/>
  <c r="G59" i="9"/>
  <c r="F59" i="9" s="1"/>
  <c r="G69" i="9"/>
  <c r="F69" i="9" s="1"/>
  <c r="G75" i="9"/>
  <c r="F75" i="9" s="1"/>
  <c r="G85" i="9"/>
  <c r="F85" i="9" s="1"/>
  <c r="G91" i="9"/>
  <c r="F91" i="9" s="1"/>
  <c r="G101" i="9"/>
  <c r="F101" i="9" s="1"/>
  <c r="G107" i="9"/>
  <c r="G117" i="9"/>
  <c r="G123" i="9"/>
  <c r="F123" i="9" s="1"/>
  <c r="G133" i="9"/>
  <c r="F133" i="9" s="1"/>
  <c r="G139" i="9"/>
  <c r="F139" i="9" s="1"/>
  <c r="G149" i="9"/>
  <c r="F149" i="9" s="1"/>
  <c r="G155" i="9"/>
  <c r="F155" i="9" s="1"/>
  <c r="G165" i="9"/>
  <c r="F165" i="9" s="1"/>
  <c r="G171" i="9"/>
  <c r="G181" i="9"/>
  <c r="G187" i="9"/>
  <c r="F187" i="9" s="1"/>
  <c r="G197" i="9"/>
  <c r="F197" i="9" s="1"/>
  <c r="X2" i="9"/>
  <c r="G25" i="9"/>
  <c r="F25" i="9" s="1"/>
  <c r="G67" i="9"/>
  <c r="F67" i="9" s="1"/>
  <c r="G99" i="9"/>
  <c r="F99" i="9" s="1"/>
  <c r="G125" i="9"/>
  <c r="F125" i="9" s="1"/>
  <c r="G141" i="9"/>
  <c r="F141" i="9" s="1"/>
  <c r="G157" i="9"/>
  <c r="F157" i="9" s="1"/>
  <c r="G173" i="9"/>
  <c r="F173" i="9" s="1"/>
  <c r="G189" i="9"/>
  <c r="F189" i="9" s="1"/>
  <c r="Z3" i="9"/>
  <c r="L12" i="9"/>
  <c r="O12" i="9" s="1"/>
  <c r="G5" i="9"/>
  <c r="Z7" i="9"/>
  <c r="V11" i="9"/>
  <c r="Z19" i="9"/>
  <c r="G26" i="9"/>
  <c r="Z28" i="9"/>
  <c r="L33" i="9"/>
  <c r="Z36" i="9"/>
  <c r="G40" i="9"/>
  <c r="G49" i="9"/>
  <c r="F49" i="9" s="1"/>
  <c r="Y39" i="9" s="1"/>
  <c r="G54" i="9"/>
  <c r="G64" i="9"/>
  <c r="G70" i="9"/>
  <c r="F70" i="9"/>
  <c r="G80" i="9"/>
  <c r="F80" i="9" s="1"/>
  <c r="G86" i="9"/>
  <c r="F86" i="9"/>
  <c r="G96" i="9"/>
  <c r="F96" i="9" s="1"/>
  <c r="G102" i="9"/>
  <c r="F102" i="9"/>
  <c r="G112" i="9"/>
  <c r="G118" i="9"/>
  <c r="F118" i="9"/>
  <c r="G128" i="9"/>
  <c r="G134" i="9"/>
  <c r="F134" i="9"/>
  <c r="G144" i="9"/>
  <c r="F144" i="9" s="1"/>
  <c r="G150" i="9"/>
  <c r="F150" i="9"/>
  <c r="G160" i="9"/>
  <c r="F160" i="9" s="1"/>
  <c r="G166" i="9"/>
  <c r="F166" i="9"/>
  <c r="G176" i="9"/>
  <c r="F176" i="9" s="1"/>
  <c r="G182" i="9"/>
  <c r="F182" i="9"/>
  <c r="G192" i="9"/>
  <c r="G198" i="9"/>
  <c r="F198" i="9"/>
  <c r="U2" i="9" a="1"/>
  <c r="G4" i="9"/>
  <c r="F4" i="9" s="1"/>
  <c r="L4" i="9"/>
  <c r="O4" i="9" s="1"/>
  <c r="Z9" i="9"/>
  <c r="V10" i="9"/>
  <c r="Z13" i="9"/>
  <c r="G18" i="9"/>
  <c r="G29" i="9"/>
  <c r="F29" i="9" s="1"/>
  <c r="G37" i="9"/>
  <c r="F37" i="9" s="1"/>
  <c r="F40" i="9"/>
  <c r="N8" i="9" s="1"/>
  <c r="G44" i="9"/>
  <c r="F44" i="9" s="1"/>
  <c r="G60" i="9"/>
  <c r="G65" i="9"/>
  <c r="G76" i="9"/>
  <c r="F76" i="9" s="1"/>
  <c r="G81" i="9"/>
  <c r="G92" i="9"/>
  <c r="G97" i="9"/>
  <c r="G108" i="9"/>
  <c r="F108" i="9" s="1"/>
  <c r="G113" i="9"/>
  <c r="G124" i="9"/>
  <c r="G129" i="9"/>
  <c r="F129" i="9" s="1"/>
  <c r="G140" i="9"/>
  <c r="F140" i="9" s="1"/>
  <c r="G145" i="9"/>
  <c r="F145" i="9" s="1"/>
  <c r="N27" i="9" s="1"/>
  <c r="G151" i="9"/>
  <c r="F151" i="9" s="1"/>
  <c r="G156" i="9"/>
  <c r="G161" i="9"/>
  <c r="F161" i="9" s="1"/>
  <c r="G167" i="9"/>
  <c r="F167" i="9" s="1"/>
  <c r="G172" i="9"/>
  <c r="G177" i="9"/>
  <c r="G183" i="9"/>
  <c r="F183" i="9" s="1"/>
  <c r="G188" i="9"/>
  <c r="F188" i="9" s="1"/>
  <c r="G193" i="9"/>
  <c r="F193" i="9" s="1"/>
  <c r="Z44" i="9"/>
  <c r="Z39" i="9"/>
  <c r="Z35" i="9"/>
  <c r="Z34" i="9"/>
  <c r="Z26" i="9"/>
  <c r="Z18" i="9"/>
  <c r="Z12" i="9"/>
  <c r="Z10" i="9"/>
  <c r="Z8" i="9"/>
  <c r="Z6" i="9"/>
  <c r="Z4" i="9"/>
  <c r="Y35" i="9"/>
  <c r="Z33" i="9"/>
  <c r="Z25" i="9"/>
  <c r="Z17" i="9"/>
  <c r="Z42" i="9"/>
  <c r="Z32" i="9"/>
  <c r="Z24" i="9"/>
  <c r="Z16" i="9"/>
  <c r="Z40" i="9"/>
  <c r="Z31" i="9"/>
  <c r="Z23" i="9"/>
  <c r="Z15" i="9"/>
  <c r="Z30" i="9"/>
  <c r="Z43" i="9"/>
  <c r="Z38" i="9"/>
  <c r="Z29" i="9"/>
  <c r="L5" i="9"/>
  <c r="O5" i="9" s="1"/>
  <c r="G7" i="9"/>
  <c r="F7" i="9" s="1"/>
  <c r="N15" i="9" s="1"/>
  <c r="Z11" i="9"/>
  <c r="V12" i="9"/>
  <c r="G14" i="9"/>
  <c r="L18" i="9"/>
  <c r="O18" i="9" s="1"/>
  <c r="Z21" i="9"/>
  <c r="G27" i="9"/>
  <c r="G45" i="9"/>
  <c r="G50" i="9"/>
  <c r="F50" i="9" s="1"/>
  <c r="F146" i="9"/>
  <c r="N32" i="9" s="1"/>
  <c r="G162" i="9"/>
  <c r="F162" i="9" s="1"/>
  <c r="G178" i="9"/>
  <c r="G194" i="9"/>
  <c r="G201" i="9"/>
  <c r="F201" i="9" s="1"/>
  <c r="F54" i="9"/>
  <c r="F177" i="9"/>
  <c r="N21" i="9" s="1"/>
  <c r="F39" i="9"/>
  <c r="N3" i="9" s="1"/>
  <c r="F60" i="9"/>
  <c r="Y43" i="9" s="1"/>
  <c r="F68" i="9"/>
  <c r="F84" i="9"/>
  <c r="F92" i="9"/>
  <c r="F100" i="9"/>
  <c r="F124" i="9"/>
  <c r="F132" i="9"/>
  <c r="F148" i="9"/>
  <c r="F156" i="9"/>
  <c r="F164" i="9"/>
  <c r="F180" i="9"/>
  <c r="F196" i="9"/>
  <c r="F191" i="9"/>
  <c r="F170" i="9"/>
  <c r="F178" i="9"/>
  <c r="F194" i="9"/>
  <c r="F33" i="5"/>
  <c r="F195" i="5"/>
  <c r="E195" i="5" s="1"/>
  <c r="F44" i="5"/>
  <c r="F60" i="5"/>
  <c r="F68" i="5"/>
  <c r="F76" i="5"/>
  <c r="F100" i="5"/>
  <c r="E100" i="5" s="1"/>
  <c r="F108" i="5"/>
  <c r="E108" i="5" s="1"/>
  <c r="F116" i="5"/>
  <c r="F140" i="5"/>
  <c r="F148" i="5"/>
  <c r="F156" i="5"/>
  <c r="F180" i="5"/>
  <c r="E180" i="5" s="1"/>
  <c r="F188" i="5"/>
  <c r="F196" i="5"/>
  <c r="E196" i="5" s="1"/>
  <c r="F51" i="5"/>
  <c r="E51" i="5" s="1"/>
  <c r="V38" i="5" s="1"/>
  <c r="F171" i="5"/>
  <c r="F8" i="5"/>
  <c r="F22" i="5"/>
  <c r="F38" i="5"/>
  <c r="F53" i="5"/>
  <c r="E53" i="5" s="1"/>
  <c r="F61" i="5"/>
  <c r="F93" i="5"/>
  <c r="E93" i="5" s="1"/>
  <c r="F101" i="5"/>
  <c r="E101" i="5" s="1"/>
  <c r="F133" i="5"/>
  <c r="F141" i="5"/>
  <c r="F173" i="5"/>
  <c r="F181" i="5"/>
  <c r="F197" i="5"/>
  <c r="E197" i="5" s="1"/>
  <c r="F17" i="5"/>
  <c r="F37" i="5"/>
  <c r="E37" i="5" s="1"/>
  <c r="F123" i="5"/>
  <c r="E123" i="5" s="1"/>
  <c r="F14" i="5"/>
  <c r="F46" i="5"/>
  <c r="F70" i="5"/>
  <c r="F78" i="5"/>
  <c r="F86" i="5"/>
  <c r="E86" i="5" s="1"/>
  <c r="F110" i="5"/>
  <c r="F118" i="5"/>
  <c r="E118" i="5" s="1"/>
  <c r="F126" i="5"/>
  <c r="E126" i="5" s="1"/>
  <c r="F150" i="5"/>
  <c r="F158" i="5"/>
  <c r="F166" i="5"/>
  <c r="E166" i="5" s="1"/>
  <c r="F190" i="5"/>
  <c r="F198" i="5"/>
  <c r="E198" i="5" s="1"/>
  <c r="F83" i="5"/>
  <c r="F163" i="5"/>
  <c r="E163" i="5" s="1"/>
  <c r="F204" i="5"/>
  <c r="E204" i="5" s="1"/>
  <c r="F18" i="5"/>
  <c r="F23" i="5"/>
  <c r="F27" i="5"/>
  <c r="F63" i="5"/>
  <c r="F71" i="5"/>
  <c r="E71" i="5" s="1"/>
  <c r="F103" i="5"/>
  <c r="F111" i="5"/>
  <c r="E111" i="5" s="1"/>
  <c r="F143" i="5"/>
  <c r="E143" i="5" s="1"/>
  <c r="F151" i="5"/>
  <c r="F183" i="5"/>
  <c r="F191" i="5"/>
  <c r="F47" i="5"/>
  <c r="E47" i="5" s="1"/>
  <c r="F40" i="5"/>
  <c r="F48" i="5"/>
  <c r="F56" i="5"/>
  <c r="F80" i="5"/>
  <c r="E80" i="5" s="1"/>
  <c r="F88" i="5"/>
  <c r="F96" i="5"/>
  <c r="F120" i="5"/>
  <c r="F128" i="5"/>
  <c r="F136" i="5"/>
  <c r="E136" i="5" s="1"/>
  <c r="F160" i="5"/>
  <c r="F168" i="5"/>
  <c r="F176" i="5"/>
  <c r="E176" i="5" s="1"/>
  <c r="F131" i="5"/>
  <c r="F12" i="5"/>
  <c r="F28" i="5"/>
  <c r="F32" i="5"/>
  <c r="F73" i="5"/>
  <c r="E73" i="5" s="1"/>
  <c r="F81" i="5"/>
  <c r="F113" i="5"/>
  <c r="E113" i="5" s="1"/>
  <c r="F121" i="5"/>
  <c r="E121" i="5" s="1"/>
  <c r="F153" i="5"/>
  <c r="F161" i="5"/>
  <c r="F185" i="5"/>
  <c r="E185" i="5" s="1"/>
  <c r="F193" i="5"/>
  <c r="E193" i="5" s="1"/>
  <c r="F91" i="5"/>
  <c r="E91" i="5" s="1"/>
  <c r="F7" i="5"/>
  <c r="F42" i="5"/>
  <c r="E42" i="5" s="1"/>
  <c r="F50" i="5"/>
  <c r="E50" i="5" s="1"/>
  <c r="F58" i="5"/>
  <c r="F66" i="5"/>
  <c r="F90" i="5"/>
  <c r="F98" i="5"/>
  <c r="F106" i="5"/>
  <c r="E106" i="5" s="1"/>
  <c r="F130" i="5"/>
  <c r="F138" i="5"/>
  <c r="E138" i="5" s="1"/>
  <c r="F146" i="5"/>
  <c r="E146" i="5" s="1"/>
  <c r="F170" i="5"/>
  <c r="F178" i="5"/>
  <c r="F186" i="5"/>
  <c r="E186" i="5" s="1"/>
  <c r="N5" i="2"/>
  <c r="G36" i="2"/>
  <c r="F36" i="2" s="1"/>
  <c r="N34" i="2"/>
  <c r="N30" i="2"/>
  <c r="N16" i="2"/>
  <c r="N35" i="2"/>
  <c r="N4" i="2"/>
  <c r="N15" i="2"/>
  <c r="N26" i="2"/>
  <c r="N36" i="2"/>
  <c r="N25" i="2"/>
  <c r="N6" i="2"/>
  <c r="N17" i="2"/>
  <c r="N27" i="2"/>
  <c r="N37" i="2"/>
  <c r="N7" i="2"/>
  <c r="N18" i="2"/>
  <c r="N28" i="2"/>
  <c r="N38" i="2"/>
  <c r="N8" i="2"/>
  <c r="N19" i="2"/>
  <c r="N29" i="2"/>
  <c r="N9" i="2"/>
  <c r="N20" i="2"/>
  <c r="N10" i="2"/>
  <c r="N21" i="2"/>
  <c r="N11" i="2"/>
  <c r="N22" i="2"/>
  <c r="N32" i="2"/>
  <c r="N31" i="2"/>
  <c r="N14" i="2"/>
  <c r="N12" i="2"/>
  <c r="N23" i="2"/>
  <c r="N33" i="2"/>
  <c r="N13" i="2"/>
  <c r="N24" i="2"/>
  <c r="U3" i="2"/>
  <c r="W13" i="5"/>
  <c r="F5" i="5"/>
  <c r="E5" i="5" s="1"/>
  <c r="W9" i="5"/>
  <c r="F13" i="5"/>
  <c r="E13" i="5" s="1"/>
  <c r="F16" i="5"/>
  <c r="E16" i="5" s="1"/>
  <c r="F21" i="5"/>
  <c r="E21" i="5" s="1"/>
  <c r="F26" i="5"/>
  <c r="E26" i="5" s="1"/>
  <c r="F31" i="5"/>
  <c r="E31" i="5" s="1"/>
  <c r="F36" i="5"/>
  <c r="E36" i="5" s="1"/>
  <c r="W39" i="5"/>
  <c r="W41" i="5"/>
  <c r="W43" i="5"/>
  <c r="E46" i="5"/>
  <c r="V36" i="5" s="1"/>
  <c r="F49" i="5"/>
  <c r="E49" i="5" s="1"/>
  <c r="E56" i="5"/>
  <c r="F59" i="5"/>
  <c r="E59" i="5" s="1"/>
  <c r="E66" i="5"/>
  <c r="F69" i="5"/>
  <c r="E69" i="5" s="1"/>
  <c r="E76" i="5"/>
  <c r="F79" i="5"/>
  <c r="E79" i="5" s="1"/>
  <c r="F89" i="5"/>
  <c r="E89" i="5" s="1"/>
  <c r="E96" i="5"/>
  <c r="F99" i="5"/>
  <c r="E99" i="5" s="1"/>
  <c r="F109" i="5"/>
  <c r="E109" i="5" s="1"/>
  <c r="E116" i="5"/>
  <c r="F119" i="5"/>
  <c r="E119" i="5" s="1"/>
  <c r="F129" i="5"/>
  <c r="E129" i="5" s="1"/>
  <c r="F139" i="5"/>
  <c r="E139" i="5" s="1"/>
  <c r="F149" i="5"/>
  <c r="E149" i="5" s="1"/>
  <c r="E156" i="5"/>
  <c r="F159" i="5"/>
  <c r="E159" i="5" s="1"/>
  <c r="F169" i="5"/>
  <c r="E169" i="5" s="1"/>
  <c r="F179" i="5"/>
  <c r="E179" i="5" s="1"/>
  <c r="F189" i="5"/>
  <c r="E189" i="5" s="1"/>
  <c r="W14" i="5"/>
  <c r="E18" i="5"/>
  <c r="W19" i="5"/>
  <c r="E23" i="5"/>
  <c r="W24" i="5"/>
  <c r="E28" i="5"/>
  <c r="W29" i="5"/>
  <c r="E33" i="5"/>
  <c r="W34" i="5"/>
  <c r="E38" i="5"/>
  <c r="E63" i="5"/>
  <c r="E83" i="5"/>
  <c r="E103" i="5"/>
  <c r="E133" i="5"/>
  <c r="E153" i="5"/>
  <c r="E173" i="5"/>
  <c r="E183" i="5"/>
  <c r="F200" i="5"/>
  <c r="E200" i="5" s="1"/>
  <c r="W6" i="5"/>
  <c r="W5" i="5"/>
  <c r="F20" i="5"/>
  <c r="E20" i="5" s="1"/>
  <c r="F3" i="5"/>
  <c r="E3" i="5" s="1"/>
  <c r="F4" i="5"/>
  <c r="E4" i="5" s="1"/>
  <c r="W8" i="5"/>
  <c r="W7" i="5"/>
  <c r="E12" i="5"/>
  <c r="S13" i="5"/>
  <c r="E40" i="5"/>
  <c r="E44" i="5"/>
  <c r="E60" i="5"/>
  <c r="E70" i="5"/>
  <c r="V43" i="5" s="1"/>
  <c r="E90" i="5"/>
  <c r="E110" i="5"/>
  <c r="E120" i="5"/>
  <c r="E130" i="5"/>
  <c r="E140" i="5"/>
  <c r="E150" i="5"/>
  <c r="E160" i="5"/>
  <c r="E170" i="5"/>
  <c r="E190" i="5"/>
  <c r="W16" i="5"/>
  <c r="W21" i="5"/>
  <c r="W26" i="5"/>
  <c r="W31" i="5"/>
  <c r="W36" i="5"/>
  <c r="F201" i="5"/>
  <c r="E201" i="5" s="1"/>
  <c r="F11" i="5"/>
  <c r="E11" i="5" s="1"/>
  <c r="F30" i="5"/>
  <c r="E30" i="5" s="1"/>
  <c r="F67" i="5"/>
  <c r="E67" i="5" s="1"/>
  <c r="F77" i="5"/>
  <c r="E77" i="5" s="1"/>
  <c r="F87" i="5"/>
  <c r="E87" i="5" s="1"/>
  <c r="F97" i="5"/>
  <c r="E97" i="5" s="1"/>
  <c r="F107" i="5"/>
  <c r="E107" i="5" s="1"/>
  <c r="F117" i="5"/>
  <c r="E117" i="5" s="1"/>
  <c r="F127" i="5"/>
  <c r="E127" i="5" s="1"/>
  <c r="F137" i="5"/>
  <c r="E137" i="5" s="1"/>
  <c r="F147" i="5"/>
  <c r="E147" i="5" s="1"/>
  <c r="F157" i="5"/>
  <c r="E157" i="5" s="1"/>
  <c r="F167" i="5"/>
  <c r="E167" i="5" s="1"/>
  <c r="F177" i="5"/>
  <c r="E177" i="5" s="1"/>
  <c r="F187" i="5"/>
  <c r="E187" i="5" s="1"/>
  <c r="R2" i="5" a="1"/>
  <c r="W4" i="5"/>
  <c r="F10" i="5"/>
  <c r="E10" i="5" s="1"/>
  <c r="S12" i="5"/>
  <c r="E17" i="5"/>
  <c r="W18" i="5"/>
  <c r="E22" i="5"/>
  <c r="W23" i="5"/>
  <c r="E27" i="5"/>
  <c r="W28" i="5"/>
  <c r="E32" i="5"/>
  <c r="W33" i="5"/>
  <c r="W38" i="5"/>
  <c r="W40" i="5"/>
  <c r="W42" i="5"/>
  <c r="W44" i="5"/>
  <c r="F54" i="5"/>
  <c r="E54" i="5" s="1"/>
  <c r="E61" i="5"/>
  <c r="F64" i="5"/>
  <c r="E64" i="5" s="1"/>
  <c r="F74" i="5"/>
  <c r="E74" i="5" s="1"/>
  <c r="E81" i="5"/>
  <c r="F84" i="5"/>
  <c r="E84" i="5" s="1"/>
  <c r="F94" i="5"/>
  <c r="E94" i="5" s="1"/>
  <c r="F104" i="5"/>
  <c r="E104" i="5" s="1"/>
  <c r="F114" i="5"/>
  <c r="E114" i="5" s="1"/>
  <c r="F124" i="5"/>
  <c r="E124" i="5" s="1"/>
  <c r="E131" i="5"/>
  <c r="F134" i="5"/>
  <c r="E134" i="5" s="1"/>
  <c r="E141" i="5"/>
  <c r="F144" i="5"/>
  <c r="E144" i="5" s="1"/>
  <c r="E151" i="5"/>
  <c r="F154" i="5"/>
  <c r="E154" i="5" s="1"/>
  <c r="E161" i="5"/>
  <c r="F164" i="5"/>
  <c r="E164" i="5" s="1"/>
  <c r="E171" i="5"/>
  <c r="F174" i="5"/>
  <c r="E174" i="5" s="1"/>
  <c r="E181" i="5"/>
  <c r="F184" i="5"/>
  <c r="E184" i="5" s="1"/>
  <c r="E191" i="5"/>
  <c r="F194" i="5"/>
  <c r="E194" i="5" s="1"/>
  <c r="F202" i="5"/>
  <c r="E202" i="5" s="1"/>
  <c r="F15" i="5"/>
  <c r="E15" i="5" s="1"/>
  <c r="F57" i="5"/>
  <c r="E57" i="5" s="1"/>
  <c r="W3" i="5"/>
  <c r="E8" i="5"/>
  <c r="F9" i="5"/>
  <c r="E9" i="5" s="1"/>
  <c r="S11" i="5"/>
  <c r="E14" i="5"/>
  <c r="V35" i="5"/>
  <c r="E48" i="5"/>
  <c r="V37" i="5" s="1"/>
  <c r="E58" i="5"/>
  <c r="E68" i="5"/>
  <c r="E78" i="5"/>
  <c r="E88" i="5"/>
  <c r="E98" i="5"/>
  <c r="E128" i="5"/>
  <c r="E148" i="5"/>
  <c r="E158" i="5"/>
  <c r="E168" i="5"/>
  <c r="E178" i="5"/>
  <c r="E188" i="5"/>
  <c r="E7" i="5"/>
  <c r="S10" i="5"/>
  <c r="W12" i="5"/>
  <c r="W15" i="5"/>
  <c r="W20" i="5"/>
  <c r="W25" i="5"/>
  <c r="W30" i="5"/>
  <c r="W35" i="5"/>
  <c r="F203" i="5"/>
  <c r="E203" i="5" s="1"/>
  <c r="F25" i="5"/>
  <c r="E25" i="5" s="1"/>
  <c r="F35" i="5"/>
  <c r="E35" i="5" s="1"/>
  <c r="V34" i="5" s="1"/>
  <c r="U2" i="5"/>
  <c r="W11" i="5"/>
  <c r="F19" i="5"/>
  <c r="E19" i="5" s="1"/>
  <c r="F24" i="5"/>
  <c r="E24" i="5" s="1"/>
  <c r="F29" i="5"/>
  <c r="E29" i="5" s="1"/>
  <c r="F34" i="5"/>
  <c r="E34" i="5" s="1"/>
  <c r="F39" i="5"/>
  <c r="E39" i="5" s="1"/>
  <c r="F41" i="5"/>
  <c r="E41" i="5" s="1"/>
  <c r="F43" i="5"/>
  <c r="E43" i="5" s="1"/>
  <c r="F45" i="5"/>
  <c r="E45" i="5" s="1"/>
  <c r="F55" i="5"/>
  <c r="E55" i="5" s="1"/>
  <c r="V40" i="5" s="1"/>
  <c r="F65" i="5"/>
  <c r="E65" i="5" s="1"/>
  <c r="V42" i="5" s="1"/>
  <c r="F75" i="5"/>
  <c r="E75" i="5" s="1"/>
  <c r="F85" i="5"/>
  <c r="E85" i="5" s="1"/>
  <c r="F95" i="5"/>
  <c r="E95" i="5" s="1"/>
  <c r="F105" i="5"/>
  <c r="E105" i="5" s="1"/>
  <c r="F115" i="5"/>
  <c r="E115" i="5" s="1"/>
  <c r="F125" i="5"/>
  <c r="E125" i="5" s="1"/>
  <c r="F135" i="5"/>
  <c r="E135" i="5" s="1"/>
  <c r="F145" i="5"/>
  <c r="E145" i="5" s="1"/>
  <c r="F155" i="5"/>
  <c r="E155" i="5" s="1"/>
  <c r="F165" i="5"/>
  <c r="E165" i="5" s="1"/>
  <c r="F175" i="5"/>
  <c r="E175" i="5" s="1"/>
  <c r="F6" i="5"/>
  <c r="E6" i="5" s="1"/>
  <c r="W10" i="5"/>
  <c r="S14" i="5"/>
  <c r="W17" i="5"/>
  <c r="W22" i="5"/>
  <c r="W27" i="5"/>
  <c r="W32" i="5"/>
  <c r="W37" i="5"/>
  <c r="V41" i="5"/>
  <c r="F52" i="5"/>
  <c r="E52" i="5" s="1"/>
  <c r="V39" i="5" s="1"/>
  <c r="F62" i="5"/>
  <c r="E62" i="5" s="1"/>
  <c r="F72" i="5"/>
  <c r="E72" i="5" s="1"/>
  <c r="F82" i="5"/>
  <c r="E82" i="5" s="1"/>
  <c r="F92" i="5"/>
  <c r="E92" i="5" s="1"/>
  <c r="F102" i="5"/>
  <c r="E102" i="5" s="1"/>
  <c r="F112" i="5"/>
  <c r="E112" i="5" s="1"/>
  <c r="F122" i="5"/>
  <c r="E122" i="5" s="1"/>
  <c r="F132" i="5"/>
  <c r="E132" i="5" s="1"/>
  <c r="F142" i="5"/>
  <c r="E142" i="5" s="1"/>
  <c r="F152" i="5"/>
  <c r="E152" i="5" s="1"/>
  <c r="F162" i="5"/>
  <c r="E162" i="5" s="1"/>
  <c r="F172" i="5"/>
  <c r="E172" i="5" s="1"/>
  <c r="F182" i="5"/>
  <c r="E182" i="5" s="1"/>
  <c r="F192" i="5"/>
  <c r="E192" i="5" s="1"/>
  <c r="F199" i="5"/>
  <c r="E199" i="5" s="1"/>
  <c r="X11" i="2"/>
  <c r="X12" i="2"/>
  <c r="X13" i="2"/>
  <c r="X14" i="2"/>
  <c r="G4" i="2"/>
  <c r="F4" i="2" s="1"/>
  <c r="G6" i="2"/>
  <c r="F6" i="2" s="1"/>
  <c r="G193" i="2"/>
  <c r="F193" i="2" s="1"/>
  <c r="G46" i="2"/>
  <c r="G7" i="2"/>
  <c r="F7" i="2" s="1"/>
  <c r="G11" i="2"/>
  <c r="F11" i="2" s="1"/>
  <c r="G21" i="2"/>
  <c r="F21" i="2" s="1"/>
  <c r="G31" i="2"/>
  <c r="F31" i="2" s="1"/>
  <c r="G48" i="2"/>
  <c r="F48" i="2" s="1"/>
  <c r="G14" i="2"/>
  <c r="F14" i="2" s="1"/>
  <c r="G73" i="2"/>
  <c r="F73" i="2" s="1"/>
  <c r="G103" i="2"/>
  <c r="F103" i="2" s="1"/>
  <c r="G133" i="2"/>
  <c r="F133" i="2" s="1"/>
  <c r="G163" i="2"/>
  <c r="F163" i="2" s="1"/>
  <c r="G205" i="2"/>
  <c r="F205" i="2" s="1"/>
  <c r="G33" i="2"/>
  <c r="F33" i="2" s="1"/>
  <c r="G50" i="2"/>
  <c r="F50" i="2" s="1"/>
  <c r="G40" i="2"/>
  <c r="F40" i="2" s="1"/>
  <c r="G64" i="2"/>
  <c r="F64" i="2" s="1"/>
  <c r="G74" i="2"/>
  <c r="F74" i="2" s="1"/>
  <c r="G84" i="2"/>
  <c r="F84" i="2" s="1"/>
  <c r="G94" i="2"/>
  <c r="F94" i="2" s="1"/>
  <c r="G104" i="2"/>
  <c r="F104" i="2" s="1"/>
  <c r="G114" i="2"/>
  <c r="F114" i="2" s="1"/>
  <c r="G124" i="2"/>
  <c r="F124" i="2" s="1"/>
  <c r="G134" i="2"/>
  <c r="F134" i="2" s="1"/>
  <c r="G144" i="2"/>
  <c r="F144" i="2" s="1"/>
  <c r="G154" i="2"/>
  <c r="F154" i="2" s="1"/>
  <c r="G164" i="2"/>
  <c r="F164" i="2" s="1"/>
  <c r="G174" i="2"/>
  <c r="F174" i="2" s="1"/>
  <c r="G184" i="2"/>
  <c r="F184" i="2" s="1"/>
  <c r="G194" i="2"/>
  <c r="F194" i="2" s="1"/>
  <c r="G19" i="2"/>
  <c r="F19" i="2" s="1"/>
  <c r="G63" i="2"/>
  <c r="F63" i="2" s="1"/>
  <c r="G83" i="2"/>
  <c r="F83" i="2" s="1"/>
  <c r="G113" i="2"/>
  <c r="F113" i="2" s="1"/>
  <c r="G143" i="2"/>
  <c r="F143" i="2" s="1"/>
  <c r="G173" i="2"/>
  <c r="F173" i="2" s="1"/>
  <c r="G57" i="2"/>
  <c r="F57" i="2" s="1"/>
  <c r="G65" i="2"/>
  <c r="F65" i="2" s="1"/>
  <c r="G75" i="2"/>
  <c r="F75" i="2" s="1"/>
  <c r="G85" i="2"/>
  <c r="F85" i="2" s="1"/>
  <c r="G95" i="2"/>
  <c r="F95" i="2" s="1"/>
  <c r="G105" i="2"/>
  <c r="F105" i="2" s="1"/>
  <c r="G115" i="2"/>
  <c r="F115" i="2" s="1"/>
  <c r="G125" i="2"/>
  <c r="F125" i="2" s="1"/>
  <c r="G135" i="2"/>
  <c r="F135" i="2" s="1"/>
  <c r="G145" i="2"/>
  <c r="F145" i="2" s="1"/>
  <c r="G155" i="2"/>
  <c r="F155" i="2" s="1"/>
  <c r="G165" i="2"/>
  <c r="F165" i="2" s="1"/>
  <c r="G175" i="2"/>
  <c r="F175" i="2" s="1"/>
  <c r="G185" i="2"/>
  <c r="F185" i="2" s="1"/>
  <c r="G195" i="2"/>
  <c r="F195" i="2" s="1"/>
  <c r="G56" i="2"/>
  <c r="F56" i="2" s="1"/>
  <c r="G93" i="2"/>
  <c r="F93" i="2" s="1"/>
  <c r="G123" i="2"/>
  <c r="F123" i="2" s="1"/>
  <c r="G153" i="2"/>
  <c r="F153" i="2" s="1"/>
  <c r="G183" i="2"/>
  <c r="F183" i="2" s="1"/>
  <c r="G8" i="2"/>
  <c r="G66" i="2"/>
  <c r="F66" i="2" s="1"/>
  <c r="G86" i="2"/>
  <c r="F86" i="2" s="1"/>
  <c r="G96" i="2"/>
  <c r="F96" i="2" s="1"/>
  <c r="G106" i="2"/>
  <c r="F106" i="2" s="1"/>
  <c r="G116" i="2"/>
  <c r="F116" i="2" s="1"/>
  <c r="G126" i="2"/>
  <c r="F126" i="2" s="1"/>
  <c r="G136" i="2"/>
  <c r="F136" i="2" s="1"/>
  <c r="G146" i="2"/>
  <c r="F146" i="2" s="1"/>
  <c r="G156" i="2"/>
  <c r="F156" i="2" s="1"/>
  <c r="G166" i="2"/>
  <c r="F166" i="2" s="1"/>
  <c r="G176" i="2"/>
  <c r="F176" i="2" s="1"/>
  <c r="G186" i="2"/>
  <c r="F186" i="2" s="1"/>
  <c r="G196" i="2"/>
  <c r="F196" i="2" s="1"/>
  <c r="G12" i="2"/>
  <c r="F12" i="2" s="1"/>
  <c r="G58" i="2"/>
  <c r="F58" i="2" s="1"/>
  <c r="G52" i="2"/>
  <c r="F52" i="2" s="1"/>
  <c r="G59" i="2"/>
  <c r="F59" i="2" s="1"/>
  <c r="G67" i="2"/>
  <c r="F67" i="2" s="1"/>
  <c r="G77" i="2"/>
  <c r="F77" i="2" s="1"/>
  <c r="G87" i="2"/>
  <c r="F87" i="2" s="1"/>
  <c r="G97" i="2"/>
  <c r="F97" i="2" s="1"/>
  <c r="G107" i="2"/>
  <c r="F107" i="2" s="1"/>
  <c r="G117" i="2"/>
  <c r="F117" i="2" s="1"/>
  <c r="G127" i="2"/>
  <c r="F127" i="2" s="1"/>
  <c r="G137" i="2"/>
  <c r="F137" i="2" s="1"/>
  <c r="G147" i="2"/>
  <c r="F147" i="2" s="1"/>
  <c r="G157" i="2"/>
  <c r="F157" i="2" s="1"/>
  <c r="G167" i="2"/>
  <c r="F167" i="2" s="1"/>
  <c r="G177" i="2"/>
  <c r="F177" i="2" s="1"/>
  <c r="G187" i="2"/>
  <c r="F187" i="2" s="1"/>
  <c r="G197" i="2"/>
  <c r="F197" i="2" s="1"/>
  <c r="G76" i="2"/>
  <c r="F76" i="2" s="1"/>
  <c r="G5" i="2"/>
  <c r="F5" i="2" s="1"/>
  <c r="G10" i="2"/>
  <c r="F10" i="2" s="1"/>
  <c r="G41" i="2"/>
  <c r="F41" i="2" s="1"/>
  <c r="G53" i="2"/>
  <c r="F53" i="2" s="1"/>
  <c r="G44" i="2"/>
  <c r="F44" i="2" s="1"/>
  <c r="G68" i="2"/>
  <c r="F68" i="2" s="1"/>
  <c r="G78" i="2"/>
  <c r="F78" i="2" s="1"/>
  <c r="G88" i="2"/>
  <c r="F88" i="2" s="1"/>
  <c r="G98" i="2"/>
  <c r="F98" i="2" s="1"/>
  <c r="G108" i="2"/>
  <c r="F108" i="2" s="1"/>
  <c r="G118" i="2"/>
  <c r="F118" i="2" s="1"/>
  <c r="G128" i="2"/>
  <c r="F128" i="2" s="1"/>
  <c r="G138" i="2"/>
  <c r="F138" i="2" s="1"/>
  <c r="G148" i="2"/>
  <c r="F148" i="2" s="1"/>
  <c r="G158" i="2"/>
  <c r="F158" i="2" s="1"/>
  <c r="G168" i="2"/>
  <c r="F168" i="2" s="1"/>
  <c r="G178" i="2"/>
  <c r="F178" i="2" s="1"/>
  <c r="G188" i="2"/>
  <c r="F188" i="2" s="1"/>
  <c r="G198" i="2"/>
  <c r="F198" i="2" s="1"/>
  <c r="G15" i="2"/>
  <c r="F15" i="2" s="1"/>
  <c r="G37" i="2"/>
  <c r="F37" i="2" s="1"/>
  <c r="G54" i="2"/>
  <c r="F54" i="2" s="1"/>
  <c r="G60" i="2"/>
  <c r="F60" i="2" s="1"/>
  <c r="G69" i="2"/>
  <c r="F69" i="2" s="1"/>
  <c r="G79" i="2"/>
  <c r="G89" i="2"/>
  <c r="F89" i="2" s="1"/>
  <c r="G99" i="2"/>
  <c r="F99" i="2" s="1"/>
  <c r="G109" i="2"/>
  <c r="F109" i="2" s="1"/>
  <c r="G119" i="2"/>
  <c r="F119" i="2" s="1"/>
  <c r="G129" i="2"/>
  <c r="F129" i="2" s="1"/>
  <c r="G139" i="2"/>
  <c r="F139" i="2" s="1"/>
  <c r="G149" i="2"/>
  <c r="F149" i="2" s="1"/>
  <c r="G159" i="2"/>
  <c r="F159" i="2" s="1"/>
  <c r="G169" i="2"/>
  <c r="F169" i="2" s="1"/>
  <c r="G179" i="2"/>
  <c r="F179" i="2" s="1"/>
  <c r="G189" i="2"/>
  <c r="F189" i="2" s="1"/>
  <c r="G199" i="2"/>
  <c r="F199" i="2" s="1"/>
  <c r="AB15" i="2"/>
  <c r="AB17" i="2"/>
  <c r="AB19" i="2"/>
  <c r="AB25" i="2"/>
  <c r="AB29" i="2"/>
  <c r="AB33" i="2"/>
  <c r="G61" i="2"/>
  <c r="F61" i="2" s="1"/>
  <c r="G70" i="2"/>
  <c r="F70" i="2" s="1"/>
  <c r="G80" i="2"/>
  <c r="F80" i="2" s="1"/>
  <c r="G90" i="2"/>
  <c r="F90" i="2" s="1"/>
  <c r="G100" i="2"/>
  <c r="F100" i="2" s="1"/>
  <c r="G110" i="2"/>
  <c r="F110" i="2" s="1"/>
  <c r="G130" i="2"/>
  <c r="F130" i="2" s="1"/>
  <c r="G150" i="2"/>
  <c r="F150" i="2" s="1"/>
  <c r="AB27" i="2"/>
  <c r="AB35" i="2"/>
  <c r="AB37" i="2"/>
  <c r="AB41" i="2"/>
  <c r="G39" i="2"/>
  <c r="F39" i="2" s="1"/>
  <c r="G120" i="2"/>
  <c r="F120" i="2" s="1"/>
  <c r="G140" i="2"/>
  <c r="F140" i="2" s="1"/>
  <c r="G160" i="2"/>
  <c r="F160" i="2" s="1"/>
  <c r="G170" i="2"/>
  <c r="F170" i="2" s="1"/>
  <c r="G180" i="2"/>
  <c r="F180" i="2" s="1"/>
  <c r="G190" i="2"/>
  <c r="F190" i="2" s="1"/>
  <c r="Z2" i="2"/>
  <c r="G201" i="2"/>
  <c r="F201" i="2" s="1"/>
  <c r="AB21" i="2"/>
  <c r="AB31" i="2"/>
  <c r="AB43" i="2"/>
  <c r="G16" i="2"/>
  <c r="F16" i="2" s="1"/>
  <c r="G18" i="2"/>
  <c r="F18" i="2" s="1"/>
  <c r="G22" i="2"/>
  <c r="F22" i="2" s="1"/>
  <c r="G24" i="2"/>
  <c r="F24" i="2" s="1"/>
  <c r="G26" i="2"/>
  <c r="F26" i="2" s="1"/>
  <c r="G28" i="2"/>
  <c r="F28" i="2" s="1"/>
  <c r="G30" i="2"/>
  <c r="F30" i="2" s="1"/>
  <c r="G32" i="2"/>
  <c r="F32" i="2" s="1"/>
  <c r="G34" i="2"/>
  <c r="F34" i="2" s="1"/>
  <c r="G45" i="2"/>
  <c r="F45" i="2" s="1"/>
  <c r="G42" i="2"/>
  <c r="F42" i="2" s="1"/>
  <c r="G47" i="2"/>
  <c r="G49" i="2"/>
  <c r="F49" i="2" s="1"/>
  <c r="G51" i="2"/>
  <c r="F51" i="2" s="1"/>
  <c r="G55" i="2"/>
  <c r="F55" i="2" s="1"/>
  <c r="G43" i="2"/>
  <c r="F43" i="2" s="1"/>
  <c r="G71" i="2"/>
  <c r="F71" i="2" s="1"/>
  <c r="G81" i="2"/>
  <c r="F81" i="2" s="1"/>
  <c r="G91" i="2"/>
  <c r="F91" i="2" s="1"/>
  <c r="G101" i="2"/>
  <c r="F101" i="2" s="1"/>
  <c r="G111" i="2"/>
  <c r="F111" i="2" s="1"/>
  <c r="G121" i="2"/>
  <c r="F121" i="2" s="1"/>
  <c r="G131" i="2"/>
  <c r="F131" i="2" s="1"/>
  <c r="G141" i="2"/>
  <c r="F141" i="2" s="1"/>
  <c r="G151" i="2"/>
  <c r="F151" i="2" s="1"/>
  <c r="G161" i="2"/>
  <c r="F161" i="2" s="1"/>
  <c r="G171" i="2"/>
  <c r="F171" i="2" s="1"/>
  <c r="G181" i="2"/>
  <c r="F181" i="2" s="1"/>
  <c r="G191" i="2"/>
  <c r="F191" i="2" s="1"/>
  <c r="G202" i="2"/>
  <c r="F202" i="2" s="1"/>
  <c r="AB23" i="2"/>
  <c r="AB39" i="2"/>
  <c r="AB14" i="2"/>
  <c r="AB16" i="2"/>
  <c r="AB18" i="2"/>
  <c r="AB20" i="2"/>
  <c r="AB22" i="2"/>
  <c r="AB24" i="2"/>
  <c r="AB26" i="2"/>
  <c r="AB28" i="2"/>
  <c r="AB30" i="2"/>
  <c r="AB32" i="2"/>
  <c r="AB34" i="2"/>
  <c r="AB36" i="2"/>
  <c r="AB38" i="2"/>
  <c r="AB40" i="2"/>
  <c r="AB42" i="2"/>
  <c r="AB44" i="2"/>
  <c r="G203" i="2"/>
  <c r="F203" i="2" s="1"/>
  <c r="G38" i="2"/>
  <c r="F38" i="2" s="1"/>
  <c r="G72" i="2"/>
  <c r="F72" i="2" s="1"/>
  <c r="G92" i="2"/>
  <c r="F92" i="2" s="1"/>
  <c r="G142" i="2"/>
  <c r="F142" i="2" s="1"/>
  <c r="G152" i="2"/>
  <c r="F152" i="2" s="1"/>
  <c r="G162" i="2"/>
  <c r="F162" i="2" s="1"/>
  <c r="G172" i="2"/>
  <c r="F172" i="2" s="1"/>
  <c r="G182" i="2"/>
  <c r="F182" i="2" s="1"/>
  <c r="AB13" i="2"/>
  <c r="G204" i="2"/>
  <c r="F204" i="2" s="1"/>
  <c r="W2" i="2" a="1"/>
  <c r="X10" i="2" s="1"/>
  <c r="G62" i="2"/>
  <c r="F62" i="2" s="1"/>
  <c r="G82" i="2"/>
  <c r="F82" i="2" s="1"/>
  <c r="G102" i="2"/>
  <c r="F102" i="2" s="1"/>
  <c r="G112" i="2"/>
  <c r="F112" i="2" s="1"/>
  <c r="G122" i="2"/>
  <c r="F122" i="2" s="1"/>
  <c r="G132" i="2"/>
  <c r="F132" i="2" s="1"/>
  <c r="G192" i="2"/>
  <c r="F192" i="2" s="1"/>
  <c r="AB3" i="2"/>
  <c r="AB4" i="2"/>
  <c r="AB5" i="2"/>
  <c r="AB6" i="2"/>
  <c r="AB7" i="2"/>
  <c r="AB8" i="2"/>
  <c r="AB9" i="2"/>
  <c r="AB10" i="2"/>
  <c r="AB11" i="2"/>
  <c r="AB12" i="2"/>
  <c r="G200" i="2"/>
  <c r="F200" i="2" s="1"/>
  <c r="C24" i="4"/>
  <c r="G48" i="4"/>
  <c r="S50" i="4"/>
  <c r="K68" i="4"/>
  <c r="K77" i="4"/>
  <c r="K84" i="4"/>
  <c r="K56" i="4"/>
  <c r="G26" i="4"/>
  <c r="G49" i="4"/>
  <c r="S51" i="4"/>
  <c r="S66" i="4"/>
  <c r="K78" i="4"/>
  <c r="K85" i="4"/>
  <c r="O56" i="4"/>
  <c r="K27" i="4"/>
  <c r="K42" i="4"/>
  <c r="W44" i="4"/>
  <c r="S67" i="4"/>
  <c r="S75" i="4"/>
  <c r="K86" i="4"/>
  <c r="S56" i="4"/>
  <c r="C66" i="4"/>
  <c r="G57" i="4"/>
  <c r="C67" i="4"/>
  <c r="C77" i="4"/>
  <c r="C84" i="4"/>
  <c r="S86" i="4"/>
  <c r="K57" i="4"/>
  <c r="O28" i="4"/>
  <c r="K43" i="4"/>
  <c r="W45" i="4"/>
  <c r="S68" i="4"/>
  <c r="S76" i="4"/>
  <c r="K87" i="4"/>
  <c r="W56" i="4"/>
  <c r="O36" i="4"/>
  <c r="S59" i="4"/>
  <c r="C75" i="4"/>
  <c r="S77" i="4"/>
  <c r="S84" i="4"/>
  <c r="C57" i="4"/>
  <c r="W30" i="4"/>
  <c r="S85" i="4"/>
  <c r="O46" i="4"/>
  <c r="C45" i="4"/>
  <c r="O47" i="4"/>
  <c r="C68" i="4"/>
  <c r="C78" i="4"/>
  <c r="C85" i="4"/>
  <c r="O57" i="4"/>
  <c r="S29" i="4"/>
  <c r="S78" i="4"/>
  <c r="C44" i="4"/>
  <c r="G38" i="4"/>
  <c r="S40" i="4"/>
  <c r="K66" i="4"/>
  <c r="K75" i="4"/>
  <c r="C86" i="4"/>
  <c r="C56" i="4"/>
  <c r="S57" i="4"/>
  <c r="O37" i="4"/>
  <c r="C76" i="4"/>
  <c r="G39" i="4"/>
  <c r="S41" i="4"/>
  <c r="K67" i="4"/>
  <c r="K76" i="4"/>
  <c r="C87" i="4"/>
  <c r="G56" i="4"/>
  <c r="W57" i="4"/>
  <c r="C23" i="4"/>
  <c r="G25" i="4"/>
  <c r="K26" i="4"/>
  <c r="O27" i="4"/>
  <c r="S28" i="4"/>
  <c r="W29" i="4"/>
  <c r="C43" i="4"/>
  <c r="G37" i="4"/>
  <c r="G47" i="4"/>
  <c r="K41" i="4"/>
  <c r="K51" i="4"/>
  <c r="O45" i="4"/>
  <c r="S39" i="4"/>
  <c r="S49" i="4"/>
  <c r="W43" i="4"/>
  <c r="C65" i="4"/>
  <c r="K65" i="4"/>
  <c r="S65" i="4"/>
  <c r="C74" i="4"/>
  <c r="K74" i="4"/>
  <c r="S74" i="4"/>
  <c r="C83" i="4"/>
  <c r="K83" i="4"/>
  <c r="S83" i="4"/>
  <c r="S58" i="4"/>
  <c r="G27" i="4"/>
  <c r="S87" i="4"/>
  <c r="C28" i="4"/>
  <c r="G30" i="4"/>
  <c r="K31" i="4"/>
  <c r="S23" i="4"/>
  <c r="W24" i="4"/>
  <c r="C38" i="4"/>
  <c r="C48" i="4"/>
  <c r="G42" i="4"/>
  <c r="K36" i="4"/>
  <c r="K46" i="4"/>
  <c r="O40" i="4"/>
  <c r="O50" i="4"/>
  <c r="S44" i="4"/>
  <c r="W38" i="4"/>
  <c r="W48" i="4"/>
  <c r="G65" i="4"/>
  <c r="O65" i="4"/>
  <c r="W65" i="4"/>
  <c r="G74" i="4"/>
  <c r="O74" i="4"/>
  <c r="W74" i="4"/>
  <c r="G83" i="4"/>
  <c r="O83" i="4"/>
  <c r="W83" i="4"/>
  <c r="W31" i="4"/>
  <c r="C29" i="4"/>
  <c r="G31" i="4"/>
  <c r="O23" i="4"/>
  <c r="S24" i="4"/>
  <c r="W25" i="4"/>
  <c r="C39" i="4"/>
  <c r="C49" i="4"/>
  <c r="G43" i="4"/>
  <c r="K37" i="4"/>
  <c r="K47" i="4"/>
  <c r="O41" i="4"/>
  <c r="O51" i="4"/>
  <c r="S45" i="4"/>
  <c r="W39" i="4"/>
  <c r="W49" i="4"/>
  <c r="G66" i="4"/>
  <c r="O66" i="4"/>
  <c r="W66" i="4"/>
  <c r="G75" i="4"/>
  <c r="O75" i="4"/>
  <c r="W75" i="4"/>
  <c r="G84" i="4"/>
  <c r="O84" i="4"/>
  <c r="W84" i="4"/>
  <c r="C30" i="4"/>
  <c r="K23" i="4"/>
  <c r="O24" i="4"/>
  <c r="S25" i="4"/>
  <c r="W26" i="4"/>
  <c r="C40" i="4"/>
  <c r="C50" i="4"/>
  <c r="G44" i="4"/>
  <c r="K38" i="4"/>
  <c r="K48" i="4"/>
  <c r="O42" i="4"/>
  <c r="S36" i="4"/>
  <c r="S46" i="4"/>
  <c r="W40" i="4"/>
  <c r="W50" i="4"/>
  <c r="G58" i="4"/>
  <c r="O58" i="4"/>
  <c r="W58" i="4"/>
  <c r="G67" i="4"/>
  <c r="O67" i="4"/>
  <c r="W67" i="4"/>
  <c r="G76" i="4"/>
  <c r="O76" i="4"/>
  <c r="W76" i="4"/>
  <c r="G85" i="4"/>
  <c r="O85" i="4"/>
  <c r="W85" i="4"/>
  <c r="C25" i="4"/>
  <c r="O29" i="4"/>
  <c r="S30" i="4"/>
  <c r="K58" i="4"/>
  <c r="C26" i="4"/>
  <c r="G28" i="4"/>
  <c r="K29" i="4"/>
  <c r="O30" i="4"/>
  <c r="S31" i="4"/>
  <c r="G23" i="4"/>
  <c r="C46" i="4"/>
  <c r="G40" i="4"/>
  <c r="G50" i="4"/>
  <c r="K44" i="4"/>
  <c r="O38" i="4"/>
  <c r="O48" i="4"/>
  <c r="S42" i="4"/>
  <c r="W36" i="4"/>
  <c r="W46" i="4"/>
  <c r="C59" i="4"/>
  <c r="K59" i="4"/>
  <c r="C27" i="4"/>
  <c r="G29" i="4"/>
  <c r="K30" i="4"/>
  <c r="O31" i="4"/>
  <c r="W23" i="4"/>
  <c r="C37" i="4"/>
  <c r="C47" i="4"/>
  <c r="G41" i="4"/>
  <c r="K45" i="4"/>
  <c r="O39" i="4"/>
  <c r="O49" i="4"/>
  <c r="S43" i="4"/>
  <c r="W37" i="4"/>
  <c r="W47" i="4"/>
  <c r="C60" i="4"/>
  <c r="S60" i="4"/>
  <c r="C69" i="4"/>
  <c r="K69" i="4"/>
  <c r="S69" i="4"/>
  <c r="C31" i="4"/>
  <c r="K24" i="4"/>
  <c r="O25" i="4"/>
  <c r="S26" i="4"/>
  <c r="W27" i="4"/>
  <c r="C41" i="4"/>
  <c r="C51" i="4"/>
  <c r="G45" i="4"/>
  <c r="K39" i="4"/>
  <c r="K49" i="4"/>
  <c r="O43" i="4"/>
  <c r="S37" i="4"/>
  <c r="S47" i="4"/>
  <c r="W41" i="4"/>
  <c r="W51" i="4"/>
  <c r="G59" i="4"/>
  <c r="O59" i="4"/>
  <c r="W59" i="4"/>
  <c r="G68" i="4"/>
  <c r="O68" i="4"/>
  <c r="W68" i="4"/>
  <c r="G77" i="4"/>
  <c r="O77" i="4"/>
  <c r="W77" i="4"/>
  <c r="G86" i="4"/>
  <c r="O86" i="4"/>
  <c r="W86" i="4"/>
  <c r="K28" i="4"/>
  <c r="C58" i="4"/>
  <c r="G51" i="4"/>
  <c r="K60" i="4"/>
  <c r="G24" i="4"/>
  <c r="K25" i="4"/>
  <c r="O26" i="4"/>
  <c r="S27" i="4"/>
  <c r="C42" i="4"/>
  <c r="G36" i="4"/>
  <c r="G46" i="4"/>
  <c r="K40" i="4"/>
  <c r="K50" i="4"/>
  <c r="O44" i="4"/>
  <c r="S38" i="4"/>
  <c r="S48" i="4"/>
  <c r="W42" i="4"/>
  <c r="G60" i="4"/>
  <c r="O60" i="4"/>
  <c r="G69" i="4"/>
  <c r="O69" i="4"/>
  <c r="G78" i="4"/>
  <c r="O78" i="4"/>
  <c r="G87" i="4"/>
  <c r="O87" i="4"/>
  <c r="AC16" i="14" l="1"/>
  <c r="R18" i="14"/>
  <c r="R22" i="14"/>
  <c r="AC8" i="14"/>
  <c r="R13" i="14"/>
  <c r="AC24" i="14"/>
  <c r="AC6" i="14"/>
  <c r="R36" i="14"/>
  <c r="AC7" i="14"/>
  <c r="R17" i="14"/>
  <c r="R11" i="14"/>
  <c r="AC20" i="14"/>
  <c r="R27" i="14"/>
  <c r="AC15" i="14"/>
  <c r="AC13" i="14"/>
  <c r="AC18" i="14"/>
  <c r="S20" i="14"/>
  <c r="AC25" i="14"/>
  <c r="Q14" i="14"/>
  <c r="N14" i="14" s="1"/>
  <c r="Q11" i="14"/>
  <c r="Q9" i="14"/>
  <c r="Q13" i="14"/>
  <c r="N9" i="14"/>
  <c r="Q12" i="14"/>
  <c r="N12" i="14" s="1"/>
  <c r="Q10" i="14"/>
  <c r="S9" i="14"/>
  <c r="S16" i="14"/>
  <c r="S6" i="14"/>
  <c r="S37" i="14"/>
  <c r="S18" i="14"/>
  <c r="S35" i="14"/>
  <c r="S12" i="14"/>
  <c r="F1" i="14"/>
  <c r="S14" i="14"/>
  <c r="S30" i="14"/>
  <c r="S39" i="14"/>
  <c r="Q44" i="14"/>
  <c r="Q43" i="14"/>
  <c r="Q42" i="14"/>
  <c r="Q41" i="14"/>
  <c r="Q40" i="14"/>
  <c r="Q39" i="14"/>
  <c r="Q31" i="14"/>
  <c r="S27" i="14"/>
  <c r="Q32" i="14"/>
  <c r="Q30" i="14"/>
  <c r="N30" i="14" s="1"/>
  <c r="Q27" i="14"/>
  <c r="N27" i="14" s="1"/>
  <c r="Q29" i="14"/>
  <c r="N29" i="14" s="1"/>
  <c r="Q28" i="14"/>
  <c r="N28" i="14" s="1"/>
  <c r="S19" i="14"/>
  <c r="S7" i="14"/>
  <c r="S29" i="14"/>
  <c r="S4" i="14"/>
  <c r="N4" i="14"/>
  <c r="S25" i="14"/>
  <c r="N25" i="14"/>
  <c r="S10" i="14"/>
  <c r="N10" i="14"/>
  <c r="N21" i="14"/>
  <c r="Q26" i="14"/>
  <c r="N26" i="14" s="1"/>
  <c r="Q25" i="14"/>
  <c r="Q24" i="14"/>
  <c r="N24" i="14" s="1"/>
  <c r="S21" i="14"/>
  <c r="Q23" i="14"/>
  <c r="Q22" i="14"/>
  <c r="N22" i="14" s="1"/>
  <c r="Q21" i="14"/>
  <c r="S32" i="14"/>
  <c r="N32" i="14"/>
  <c r="S3" i="14"/>
  <c r="Q7" i="14"/>
  <c r="N7" i="14" s="1"/>
  <c r="Q5" i="14"/>
  <c r="Q3" i="14"/>
  <c r="N3" i="14"/>
  <c r="Q8" i="14"/>
  <c r="Q6" i="14"/>
  <c r="N6" i="14" s="1"/>
  <c r="Q4" i="14"/>
  <c r="S17" i="14"/>
  <c r="S34" i="14"/>
  <c r="R20" i="14"/>
  <c r="S23" i="14"/>
  <c r="N23" i="14"/>
  <c r="S31" i="14"/>
  <c r="N31" i="14"/>
  <c r="R30" i="14"/>
  <c r="N5" i="14"/>
  <c r="S5" i="14"/>
  <c r="Y2" i="14"/>
  <c r="Z8" i="14"/>
  <c r="Z6" i="14"/>
  <c r="Z4" i="14"/>
  <c r="Z9" i="14"/>
  <c r="Z7" i="14"/>
  <c r="Z5" i="14"/>
  <c r="Z3" i="14"/>
  <c r="R16" i="14"/>
  <c r="S24" i="14"/>
  <c r="S22" i="14"/>
  <c r="N11" i="14"/>
  <c r="S11" i="14"/>
  <c r="S8" i="14"/>
  <c r="N8" i="14"/>
  <c r="S28" i="14"/>
  <c r="S26" i="14"/>
  <c r="S13" i="14"/>
  <c r="N13" i="14"/>
  <c r="Q19" i="14"/>
  <c r="N19" i="14" s="1"/>
  <c r="Q18" i="14"/>
  <c r="N18" i="14" s="1"/>
  <c r="Q17" i="14"/>
  <c r="N17" i="14" s="1"/>
  <c r="Q16" i="14"/>
  <c r="N16" i="14" s="1"/>
  <c r="S15" i="14"/>
  <c r="Q15" i="14"/>
  <c r="N15" i="14" s="1"/>
  <c r="Q20" i="14"/>
  <c r="N20" i="14" s="1"/>
  <c r="S38" i="14"/>
  <c r="S36" i="14"/>
  <c r="N36" i="14"/>
  <c r="Q38" i="14"/>
  <c r="N38" i="14" s="1"/>
  <c r="Q37" i="14"/>
  <c r="N37" i="14" s="1"/>
  <c r="S33" i="14"/>
  <c r="Q33" i="14"/>
  <c r="N33" i="14" s="1"/>
  <c r="Q34" i="14"/>
  <c r="N34" i="14" s="1"/>
  <c r="Q35" i="14"/>
  <c r="N35" i="14" s="1"/>
  <c r="Q36" i="14"/>
  <c r="O1" i="10"/>
  <c r="V43" i="10"/>
  <c r="V38" i="10"/>
  <c r="V39" i="10"/>
  <c r="V40" i="10"/>
  <c r="V44" i="10"/>
  <c r="V41" i="10"/>
  <c r="V42" i="10"/>
  <c r="S10" i="10"/>
  <c r="S14" i="10"/>
  <c r="S11" i="10"/>
  <c r="S13" i="10"/>
  <c r="S12" i="10"/>
  <c r="V33" i="10"/>
  <c r="V3" i="10"/>
  <c r="V32" i="10"/>
  <c r="V10" i="10"/>
  <c r="V30" i="10"/>
  <c r="V9" i="10"/>
  <c r="V26" i="10"/>
  <c r="V8" i="10"/>
  <c r="V20" i="10"/>
  <c r="V12" i="10"/>
  <c r="V31" i="10"/>
  <c r="V24" i="10"/>
  <c r="V34" i="10"/>
  <c r="V18" i="10"/>
  <c r="V21" i="10"/>
  <c r="V29" i="10"/>
  <c r="V13" i="10"/>
  <c r="V17" i="10"/>
  <c r="V15" i="10"/>
  <c r="V27" i="10"/>
  <c r="V6" i="10"/>
  <c r="V23" i="10"/>
  <c r="V16" i="10"/>
  <c r="V25" i="10"/>
  <c r="V7" i="10"/>
  <c r="V19" i="10"/>
  <c r="V28" i="10"/>
  <c r="V4" i="10"/>
  <c r="V14" i="10"/>
  <c r="V22" i="10"/>
  <c r="V11" i="10"/>
  <c r="V37" i="10"/>
  <c r="V5" i="10"/>
  <c r="S6" i="10"/>
  <c r="R2" i="10"/>
  <c r="S8" i="10"/>
  <c r="S3" i="10"/>
  <c r="S5" i="10"/>
  <c r="S7" i="10"/>
  <c r="S9" i="10"/>
  <c r="S4" i="10"/>
  <c r="V36" i="10"/>
  <c r="Q22" i="2"/>
  <c r="Q8" i="2"/>
  <c r="Q6" i="2"/>
  <c r="Q30" i="2"/>
  <c r="O3" i="2"/>
  <c r="L3" i="2" s="1"/>
  <c r="Q13" i="2"/>
  <c r="Q11" i="2"/>
  <c r="Q38" i="2"/>
  <c r="Q25" i="2"/>
  <c r="Q34" i="2"/>
  <c r="Q24" i="2"/>
  <c r="Q33" i="2"/>
  <c r="Q21" i="2"/>
  <c r="Q28" i="2"/>
  <c r="Q36" i="2"/>
  <c r="Q10" i="2"/>
  <c r="Q18" i="2"/>
  <c r="Q26" i="2"/>
  <c r="Q5" i="2"/>
  <c r="Q12" i="2"/>
  <c r="Q20" i="2"/>
  <c r="Q7" i="2"/>
  <c r="Q15" i="2"/>
  <c r="Q14" i="2"/>
  <c r="Q9" i="2"/>
  <c r="Q37" i="2"/>
  <c r="Q4" i="2"/>
  <c r="Q31" i="2"/>
  <c r="Q29" i="2"/>
  <c r="Q27" i="2"/>
  <c r="Q35" i="2"/>
  <c r="Q23" i="2"/>
  <c r="Q32" i="2"/>
  <c r="Q19" i="2"/>
  <c r="Q17" i="2"/>
  <c r="Q16" i="2"/>
  <c r="P6" i="2"/>
  <c r="F47" i="2"/>
  <c r="F8" i="2"/>
  <c r="P20" i="2" s="1"/>
  <c r="F79" i="2"/>
  <c r="P36" i="2" s="1"/>
  <c r="P18" i="2"/>
  <c r="P4" i="2"/>
  <c r="P38" i="2"/>
  <c r="N5" i="9"/>
  <c r="Y36" i="9"/>
  <c r="N12" i="9"/>
  <c r="F45" i="9"/>
  <c r="Y38" i="9" s="1"/>
  <c r="F17" i="9"/>
  <c r="Y17" i="9" s="1"/>
  <c r="F26" i="9"/>
  <c r="Y26" i="9" s="1"/>
  <c r="F9" i="9"/>
  <c r="F28" i="9"/>
  <c r="Y28" i="9" s="1"/>
  <c r="M30" i="9"/>
  <c r="M29" i="9"/>
  <c r="O27" i="9"/>
  <c r="M28" i="9"/>
  <c r="M27" i="9"/>
  <c r="M31" i="9"/>
  <c r="M32" i="9"/>
  <c r="F137" i="9"/>
  <c r="F73" i="9"/>
  <c r="Y44" i="9" s="1"/>
  <c r="F19" i="9"/>
  <c r="Y19" i="9" s="1"/>
  <c r="F79" i="9"/>
  <c r="F143" i="9"/>
  <c r="F66" i="9"/>
  <c r="F130" i="9"/>
  <c r="F109" i="9"/>
  <c r="F190" i="9"/>
  <c r="N22" i="9" s="1"/>
  <c r="F142" i="9"/>
  <c r="N30" i="9" s="1"/>
  <c r="F104" i="9"/>
  <c r="F147" i="9"/>
  <c r="N28" i="9" s="1"/>
  <c r="F24" i="9"/>
  <c r="F113" i="9"/>
  <c r="N9" i="9" s="1"/>
  <c r="F41" i="9"/>
  <c r="F81" i="9"/>
  <c r="N33" i="9" s="1"/>
  <c r="F5" i="9"/>
  <c r="F12" i="9"/>
  <c r="Y12" i="9" s="1"/>
  <c r="F87" i="9"/>
  <c r="N34" i="9" s="1"/>
  <c r="F74" i="9"/>
  <c r="F138" i="9"/>
  <c r="F38" i="9"/>
  <c r="F121" i="9"/>
  <c r="F57" i="9"/>
  <c r="Y42" i="9" s="1"/>
  <c r="F202" i="9"/>
  <c r="F199" i="9"/>
  <c r="N26" i="9" s="1"/>
  <c r="F31" i="9"/>
  <c r="F95" i="9"/>
  <c r="F82" i="9"/>
  <c r="N38" i="9" s="1"/>
  <c r="F51" i="9"/>
  <c r="Y40" i="9" s="1"/>
  <c r="F174" i="9"/>
  <c r="F136" i="9"/>
  <c r="F14" i="9"/>
  <c r="F181" i="9"/>
  <c r="F117" i="9"/>
  <c r="F53" i="9"/>
  <c r="Y41" i="9" s="1"/>
  <c r="O3" i="9"/>
  <c r="M7" i="9"/>
  <c r="M4" i="9"/>
  <c r="M3" i="9"/>
  <c r="M5" i="9"/>
  <c r="M8" i="9"/>
  <c r="M6" i="9"/>
  <c r="F90" i="9"/>
  <c r="N37" i="9" s="1"/>
  <c r="F78" i="9"/>
  <c r="N36" i="9" s="1"/>
  <c r="F116" i="9"/>
  <c r="F65" i="9"/>
  <c r="Y25" i="9" s="1"/>
  <c r="F18" i="9"/>
  <c r="Y18" i="9" s="1"/>
  <c r="F112" i="9"/>
  <c r="F11" i="9"/>
  <c r="Y11" i="9" s="1"/>
  <c r="F203" i="9"/>
  <c r="F103" i="9"/>
  <c r="Y29" i="9" s="1"/>
  <c r="F172" i="9"/>
  <c r="F27" i="9"/>
  <c r="Y27" i="9" s="1"/>
  <c r="U2" i="9"/>
  <c r="V9" i="9"/>
  <c r="F171" i="9"/>
  <c r="F107" i="9"/>
  <c r="F10" i="9"/>
  <c r="Y10" i="9" s="1"/>
  <c r="F43" i="9"/>
  <c r="F154" i="9"/>
  <c r="N31" i="9" s="1"/>
  <c r="F21" i="9"/>
  <c r="F105" i="9"/>
  <c r="F15" i="9"/>
  <c r="F52" i="9"/>
  <c r="F111" i="9"/>
  <c r="N11" i="9" s="1"/>
  <c r="F98" i="9"/>
  <c r="F200" i="9"/>
  <c r="F168" i="9"/>
  <c r="M22" i="9"/>
  <c r="M21" i="9"/>
  <c r="M25" i="9"/>
  <c r="M26" i="9"/>
  <c r="M23" i="9"/>
  <c r="O21" i="9"/>
  <c r="M24" i="9"/>
  <c r="N20" i="9"/>
  <c r="F119" i="9"/>
  <c r="F106" i="9"/>
  <c r="Y32" i="9" s="1"/>
  <c r="F204" i="9"/>
  <c r="F34" i="9"/>
  <c r="Y34" i="9" s="1"/>
  <c r="F158" i="9"/>
  <c r="F120" i="9"/>
  <c r="F72" i="9"/>
  <c r="M38" i="9"/>
  <c r="M37" i="9"/>
  <c r="M36" i="9"/>
  <c r="O33" i="9"/>
  <c r="M35" i="9"/>
  <c r="M34" i="9"/>
  <c r="M33" i="9"/>
  <c r="F33" i="9"/>
  <c r="F63" i="9"/>
  <c r="Y20" i="9" s="1"/>
  <c r="F127" i="9"/>
  <c r="F47" i="9"/>
  <c r="F114" i="9"/>
  <c r="N14" i="9" s="1"/>
  <c r="F184" i="9"/>
  <c r="N23" i="9" s="1"/>
  <c r="M14" i="9"/>
  <c r="M11" i="9"/>
  <c r="M9" i="9"/>
  <c r="M13" i="9"/>
  <c r="M12" i="9"/>
  <c r="M10" i="9"/>
  <c r="O9" i="9"/>
  <c r="F16" i="9"/>
  <c r="Y16" i="9" s="1"/>
  <c r="F30" i="9"/>
  <c r="Y30" i="9" s="1"/>
  <c r="F6" i="9"/>
  <c r="F185" i="9"/>
  <c r="F97" i="9"/>
  <c r="F192" i="9"/>
  <c r="N25" i="9" s="1"/>
  <c r="F128" i="9"/>
  <c r="F64" i="9"/>
  <c r="F61" i="9"/>
  <c r="Y3" i="9" s="1"/>
  <c r="F36" i="9"/>
  <c r="N4" i="9" s="1"/>
  <c r="F56" i="9"/>
  <c r="F13" i="9"/>
  <c r="V3" i="9" s="1"/>
  <c r="F23" i="9"/>
  <c r="F71" i="9"/>
  <c r="F135" i="9"/>
  <c r="M20" i="9"/>
  <c r="M19" i="9"/>
  <c r="M15" i="9"/>
  <c r="O15" i="9"/>
  <c r="M16" i="9"/>
  <c r="M18" i="9"/>
  <c r="M17" i="9"/>
  <c r="F58" i="9"/>
  <c r="Y22" i="9" s="1"/>
  <c r="F122" i="9"/>
  <c r="F152" i="9"/>
  <c r="V13" i="5"/>
  <c r="V6" i="5"/>
  <c r="V16" i="5"/>
  <c r="V44" i="5"/>
  <c r="V25" i="5"/>
  <c r="V15" i="5"/>
  <c r="V31" i="5"/>
  <c r="V24" i="5"/>
  <c r="V26" i="5"/>
  <c r="V22" i="5"/>
  <c r="V19" i="5"/>
  <c r="V33" i="5"/>
  <c r="V12" i="5"/>
  <c r="V9" i="5"/>
  <c r="V4" i="5"/>
  <c r="V10" i="5"/>
  <c r="V8" i="5"/>
  <c r="V3" i="5"/>
  <c r="V21" i="5"/>
  <c r="V32" i="5"/>
  <c r="V30" i="5"/>
  <c r="V20" i="5"/>
  <c r="V11" i="5"/>
  <c r="V7" i="5"/>
  <c r="V23" i="5"/>
  <c r="O5" i="2"/>
  <c r="L5" i="2" s="1"/>
  <c r="Q3" i="2"/>
  <c r="AA43" i="2"/>
  <c r="AA42" i="2"/>
  <c r="P33" i="2"/>
  <c r="AA39" i="2"/>
  <c r="P37" i="2"/>
  <c r="AA38" i="2"/>
  <c r="AA41" i="2"/>
  <c r="AA40" i="2"/>
  <c r="AA36" i="2"/>
  <c r="AA35" i="2"/>
  <c r="O4" i="2"/>
  <c r="L4" i="2" s="1"/>
  <c r="P32" i="2"/>
  <c r="P27" i="2"/>
  <c r="P14" i="2"/>
  <c r="P9" i="2"/>
  <c r="X9" i="2"/>
  <c r="P21" i="2"/>
  <c r="O9" i="2"/>
  <c r="L9" i="2" s="1"/>
  <c r="O17" i="2"/>
  <c r="L17" i="2" s="1"/>
  <c r="O6" i="2"/>
  <c r="L6" i="2" s="1"/>
  <c r="P5" i="2"/>
  <c r="O7" i="2"/>
  <c r="L7" i="2" s="1"/>
  <c r="O10" i="2"/>
  <c r="L10" i="2" s="1"/>
  <c r="O15" i="2"/>
  <c r="L15" i="2" s="1"/>
  <c r="O11" i="2"/>
  <c r="L11" i="2" s="1"/>
  <c r="O16" i="2"/>
  <c r="L16" i="2" s="1"/>
  <c r="O13" i="2"/>
  <c r="L13" i="2" s="1"/>
  <c r="O8" i="2"/>
  <c r="L8" i="2" s="1"/>
  <c r="O14" i="2"/>
  <c r="L14" i="2" s="1"/>
  <c r="O18" i="2"/>
  <c r="L18" i="2" s="1"/>
  <c r="O12" i="2"/>
  <c r="L12" i="2" s="1"/>
  <c r="O20" i="2"/>
  <c r="L20" i="2" s="1"/>
  <c r="O24" i="2"/>
  <c r="L24" i="2" s="1"/>
  <c r="O23" i="2"/>
  <c r="L23" i="2" s="1"/>
  <c r="O22" i="2"/>
  <c r="L22" i="2" s="1"/>
  <c r="O21" i="2"/>
  <c r="L21" i="2" s="1"/>
  <c r="O25" i="2"/>
  <c r="L25" i="2" s="1"/>
  <c r="O26" i="2"/>
  <c r="L26" i="2" s="1"/>
  <c r="O19" i="2"/>
  <c r="L19" i="2" s="1"/>
  <c r="O35" i="2"/>
  <c r="L35" i="2" s="1"/>
  <c r="O34" i="2"/>
  <c r="L34" i="2" s="1"/>
  <c r="O33" i="2"/>
  <c r="L33" i="2" s="1"/>
  <c r="O38" i="2"/>
  <c r="L38" i="2" s="1"/>
  <c r="O36" i="2"/>
  <c r="L36" i="2" s="1"/>
  <c r="O37" i="2"/>
  <c r="L37" i="2" s="1"/>
  <c r="O32" i="2"/>
  <c r="L32" i="2" s="1"/>
  <c r="O31" i="2"/>
  <c r="L31" i="2" s="1"/>
  <c r="O30" i="2"/>
  <c r="L30" i="2" s="1"/>
  <c r="O29" i="2"/>
  <c r="L29" i="2" s="1"/>
  <c r="O28" i="2"/>
  <c r="L28" i="2" s="1"/>
  <c r="O27" i="2"/>
  <c r="L27" i="2" s="1"/>
  <c r="V17" i="5"/>
  <c r="V28" i="5"/>
  <c r="V29" i="5"/>
  <c r="V27" i="5"/>
  <c r="V18" i="5"/>
  <c r="V5" i="5"/>
  <c r="V14" i="5"/>
  <c r="S8" i="5"/>
  <c r="S4" i="5"/>
  <c r="S9" i="5"/>
  <c r="R2" i="5"/>
  <c r="S3" i="5"/>
  <c r="S5" i="5"/>
  <c r="S6" i="5"/>
  <c r="S7" i="5"/>
  <c r="W2" i="2"/>
  <c r="O36" i="14" l="1"/>
  <c r="O37" i="14"/>
  <c r="O38" i="14"/>
  <c r="O33" i="14"/>
  <c r="O34" i="14"/>
  <c r="O35" i="14"/>
  <c r="O32" i="14"/>
  <c r="O31" i="14"/>
  <c r="O27" i="14"/>
  <c r="O30" i="14"/>
  <c r="O28" i="14"/>
  <c r="O29" i="14"/>
  <c r="O20" i="14"/>
  <c r="O19" i="14"/>
  <c r="O18" i="14"/>
  <c r="O17" i="14"/>
  <c r="O16" i="14"/>
  <c r="O15" i="14"/>
  <c r="O7" i="14"/>
  <c r="O5" i="14"/>
  <c r="O3" i="14"/>
  <c r="O8" i="14"/>
  <c r="O6" i="14"/>
  <c r="O4" i="14"/>
  <c r="O14" i="14"/>
  <c r="O11" i="14"/>
  <c r="O9" i="14"/>
  <c r="O13" i="14"/>
  <c r="O12" i="14"/>
  <c r="O10" i="14"/>
  <c r="O26" i="14"/>
  <c r="O25" i="14"/>
  <c r="O24" i="14"/>
  <c r="O23" i="14"/>
  <c r="O22" i="14"/>
  <c r="O21" i="14"/>
  <c r="P34" i="2"/>
  <c r="M32" i="2"/>
  <c r="M14" i="2"/>
  <c r="M13" i="2"/>
  <c r="M12" i="2"/>
  <c r="M11" i="2"/>
  <c r="M10" i="2"/>
  <c r="M9" i="2"/>
  <c r="M30" i="2"/>
  <c r="M29" i="2"/>
  <c r="M28" i="2"/>
  <c r="M27" i="2"/>
  <c r="M31" i="2"/>
  <c r="M16" i="2"/>
  <c r="M20" i="2"/>
  <c r="M19" i="2"/>
  <c r="M18" i="2"/>
  <c r="M17" i="2"/>
  <c r="M15" i="2"/>
  <c r="M23" i="2"/>
  <c r="M22" i="2"/>
  <c r="M21" i="2"/>
  <c r="M26" i="2"/>
  <c r="M25" i="2"/>
  <c r="M24" i="2"/>
  <c r="M34" i="2"/>
  <c r="M33" i="2"/>
  <c r="M38" i="2"/>
  <c r="M37" i="2"/>
  <c r="M36" i="2"/>
  <c r="M35" i="2"/>
  <c r="M7" i="2"/>
  <c r="M6" i="2"/>
  <c r="M5" i="2"/>
  <c r="M8" i="2"/>
  <c r="M4" i="2"/>
  <c r="M3" i="2"/>
  <c r="P35" i="2"/>
  <c r="P28" i="2"/>
  <c r="P11" i="2"/>
  <c r="P17" i="2"/>
  <c r="P30" i="2"/>
  <c r="P25" i="2"/>
  <c r="P29" i="2"/>
  <c r="P10" i="2"/>
  <c r="P24" i="2"/>
  <c r="P26" i="2"/>
  <c r="P23" i="2"/>
  <c r="P12" i="2"/>
  <c r="AA37" i="2"/>
  <c r="P7" i="2"/>
  <c r="P19" i="2"/>
  <c r="P22" i="2"/>
  <c r="P31" i="2"/>
  <c r="N19" i="9"/>
  <c r="Y6" i="9"/>
  <c r="V8" i="9"/>
  <c r="N13" i="9"/>
  <c r="Y14" i="9"/>
  <c r="Y5" i="9"/>
  <c r="N17" i="9"/>
  <c r="N24" i="9"/>
  <c r="N10" i="9"/>
  <c r="Y9" i="9"/>
  <c r="Y8" i="9"/>
  <c r="Y15" i="9"/>
  <c r="V5" i="9"/>
  <c r="Y37" i="9"/>
  <c r="N7" i="9"/>
  <c r="Y7" i="9"/>
  <c r="N16" i="9"/>
  <c r="N18" i="9"/>
  <c r="V7" i="9"/>
  <c r="Y4" i="9"/>
  <c r="Y21" i="9"/>
  <c r="V6" i="9"/>
  <c r="Y24" i="9"/>
  <c r="N29" i="9"/>
  <c r="Y31" i="9"/>
  <c r="N35" i="9"/>
  <c r="Y23" i="9"/>
  <c r="Y13" i="9"/>
  <c r="Y33" i="9"/>
  <c r="V4" i="9"/>
  <c r="AA34" i="2"/>
  <c r="X8" i="2"/>
  <c r="AA32" i="2"/>
  <c r="AA8" i="2"/>
  <c r="AA6" i="2"/>
  <c r="AA12" i="2"/>
  <c r="AA5" i="2"/>
  <c r="AA4" i="2"/>
  <c r="AA16" i="2"/>
  <c r="AA30" i="2"/>
  <c r="AA11" i="2"/>
  <c r="AA18" i="2"/>
  <c r="AA21" i="2"/>
  <c r="AA10" i="2"/>
  <c r="AA28" i="2"/>
  <c r="AA22" i="2"/>
  <c r="AA26" i="2"/>
  <c r="AA44" i="2"/>
  <c r="AA15" i="2"/>
  <c r="AA24" i="2"/>
  <c r="AA33" i="2"/>
  <c r="AA19" i="2"/>
  <c r="AA31" i="2"/>
  <c r="X6" i="2"/>
  <c r="AA14" i="2"/>
  <c r="X5" i="2"/>
  <c r="X4" i="2"/>
  <c r="G27" i="2"/>
  <c r="F27" i="2" s="1"/>
  <c r="AA27" i="2" s="1"/>
  <c r="G29" i="2"/>
  <c r="F29" i="2" s="1"/>
  <c r="AA29" i="2" s="1"/>
  <c r="G20" i="2"/>
  <c r="F20" i="2" s="1"/>
  <c r="AA20" i="2" s="1"/>
  <c r="G25" i="2"/>
  <c r="F25" i="2" s="1"/>
  <c r="AA25" i="2" s="1"/>
  <c r="G13" i="2"/>
  <c r="F13" i="2" s="1"/>
  <c r="AA13" i="2" s="1"/>
  <c r="G23" i="2"/>
  <c r="F23" i="2" s="1"/>
  <c r="AA23" i="2" s="1"/>
  <c r="G17" i="2"/>
  <c r="F17" i="2" s="1"/>
  <c r="AA17" i="2" s="1"/>
  <c r="G9" i="2"/>
  <c r="F9" i="2" s="1"/>
  <c r="AA9" i="2" s="1"/>
  <c r="G3" i="2"/>
  <c r="F3" i="2" s="1"/>
  <c r="F46" i="2"/>
  <c r="X7" i="2" s="1"/>
  <c r="P15" i="2" l="1"/>
  <c r="P13" i="2"/>
  <c r="P8" i="2"/>
  <c r="P3" i="2"/>
  <c r="AA7" i="2"/>
  <c r="X3" i="2"/>
  <c r="AA3" i="2"/>
  <c r="P1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<sst xmlns="http://schemas.openxmlformats.org/spreadsheetml/2006/main" count="16771" uniqueCount="2016">
  <si>
    <t>RevenueStream</t>
  </si>
  <si>
    <t>BudgetGroup</t>
  </si>
  <si>
    <t>RequestingArea</t>
  </si>
  <si>
    <t>Weight</t>
  </si>
  <si>
    <t>Business Solutions</t>
  </si>
  <si>
    <t>Commercial</t>
  </si>
  <si>
    <t>Operations</t>
  </si>
  <si>
    <t>EDO</t>
  </si>
  <si>
    <t>Technology</t>
  </si>
  <si>
    <t>SI</t>
  </si>
  <si>
    <t>eCommerce</t>
  </si>
  <si>
    <t>CISO</t>
  </si>
  <si>
    <t>Corporate</t>
  </si>
  <si>
    <t>DAI</t>
  </si>
  <si>
    <t>Fulfilment</t>
  </si>
  <si>
    <t>Mail</t>
  </si>
  <si>
    <t>Payments</t>
  </si>
  <si>
    <t>Retail &amp; Financial Services</t>
  </si>
  <si>
    <t>Banco CTT</t>
  </si>
  <si>
    <t>check</t>
  </si>
  <si>
    <t>Check</t>
  </si>
  <si>
    <t>GP B2B</t>
  </si>
  <si>
    <t>CF</t>
  </si>
  <si>
    <t>GP ECL</t>
  </si>
  <si>
    <t>GPG</t>
  </si>
  <si>
    <t>GP B2C</t>
  </si>
  <si>
    <t>SEO</t>
  </si>
  <si>
    <t>ID</t>
  </si>
  <si>
    <t>Name</t>
  </si>
  <si>
    <t>PriorityRA</t>
  </si>
  <si>
    <t>Value</t>
  </si>
  <si>
    <t>Urgency</t>
  </si>
  <si>
    <t>Risk</t>
  </si>
  <si>
    <t>Size</t>
  </si>
  <si>
    <t>BCTT</t>
  </si>
  <si>
    <t>GRH</t>
  </si>
  <si>
    <t>DNI</t>
  </si>
  <si>
    <t>GS</t>
  </si>
  <si>
    <t>CSI</t>
  </si>
  <si>
    <t>CTTE</t>
  </si>
  <si>
    <t>ECM</t>
  </si>
  <si>
    <t>PRODUCTS</t>
  </si>
  <si>
    <t>EM</t>
  </si>
  <si>
    <t>OPERATIONS</t>
  </si>
  <si>
    <t>ACR</t>
  </si>
  <si>
    <t>RS</t>
  </si>
  <si>
    <t>AVC</t>
  </si>
  <si>
    <t>GT</t>
  </si>
  <si>
    <t>CL</t>
  </si>
  <si>
    <t>ED</t>
  </si>
  <si>
    <t>CMP</t>
  </si>
  <si>
    <t>ST</t>
  </si>
  <si>
    <t>GFC</t>
  </si>
  <si>
    <t>TF</t>
  </si>
  <si>
    <t>DPO</t>
  </si>
  <si>
    <t>SSJ</t>
  </si>
  <si>
    <t>FL</t>
  </si>
  <si>
    <t>CORPORATE</t>
  </si>
  <si>
    <t>SI-PRD</t>
  </si>
  <si>
    <t>SI-OPS</t>
  </si>
  <si>
    <t>SI-CRP</t>
  </si>
  <si>
    <t>TECHNOLOGY</t>
  </si>
  <si>
    <t>DAT</t>
  </si>
  <si>
    <t>eCOMMERCE</t>
  </si>
  <si>
    <t>COO</t>
  </si>
  <si>
    <t>CMO</t>
  </si>
  <si>
    <t>CCO</t>
  </si>
  <si>
    <t>ATC</t>
  </si>
  <si>
    <t>IDC</t>
  </si>
  <si>
    <t>CFO</t>
  </si>
  <si>
    <t>CIO</t>
  </si>
  <si>
    <t>PRO</t>
  </si>
  <si>
    <t>CHR</t>
  </si>
  <si>
    <t>COM</t>
  </si>
  <si>
    <t>Data &amp; AI</t>
  </si>
  <si>
    <t>commercial</t>
  </si>
  <si>
    <t>operations</t>
  </si>
  <si>
    <t>corporate</t>
  </si>
  <si>
    <t>technology</t>
  </si>
  <si>
    <t>PORTUGAL</t>
  </si>
  <si>
    <t>ESPAÑA</t>
  </si>
  <si>
    <t>DEMAND 2025</t>
  </si>
  <si>
    <t>DEMAND 2026</t>
  </si>
  <si>
    <t>MAIL</t>
  </si>
  <si>
    <t>FULFILMENT</t>
  </si>
  <si>
    <t>PAYMENTS</t>
  </si>
  <si>
    <t>RETAIL &amp; FINANCIAL SERVICES</t>
  </si>
  <si>
    <t>BUSINESS SOLUTIONS</t>
  </si>
  <si>
    <t>MicroPhase</t>
  </si>
  <si>
    <t>In Development</t>
  </si>
  <si>
    <t>In Acceptance</t>
  </si>
  <si>
    <t>Backlog</t>
  </si>
  <si>
    <t>Ready for Acceptance</t>
  </si>
  <si>
    <t>Pitch</t>
  </si>
  <si>
    <t>In Approval</t>
  </si>
  <si>
    <t>In Definition</t>
  </si>
  <si>
    <t>Ready for Approval</t>
  </si>
  <si>
    <t>Ready for Solution</t>
  </si>
  <si>
    <t>PC</t>
  </si>
  <si>
    <t>EXPORT CSV</t>
  </si>
  <si>
    <t>Weight-Base</t>
  </si>
  <si>
    <t>Weight-RS+BG</t>
  </si>
  <si>
    <t>REF DATA</t>
  </si>
  <si>
    <t>hasBG?</t>
  </si>
  <si>
    <t>MicroPhase bmap</t>
  </si>
  <si>
    <t>MicroPhase Macro</t>
  </si>
  <si>
    <t>MicroPhase Demand</t>
  </si>
  <si>
    <t xml:space="preserve"> IDEA &gt; Backlog</t>
  </si>
  <si>
    <t xml:space="preserve"> IDEA &gt; Pitch</t>
  </si>
  <si>
    <t xml:space="preserve"> IDEA &gt; In Definition</t>
  </si>
  <si>
    <t xml:space="preserve"> SOLUTION &gt; In Approval</t>
  </si>
  <si>
    <t xml:space="preserve"> SOLUTION &gt; Ready for Approval</t>
  </si>
  <si>
    <t xml:space="preserve"> IDEA &gt; Ready for Solution</t>
  </si>
  <si>
    <t xml:space="preserve"> SOLUTION &gt; High Level Design</t>
  </si>
  <si>
    <t xml:space="preserve"> SOLUTION &gt; Ready for Development</t>
  </si>
  <si>
    <t xml:space="preserve"> SOLUTION &gt; In Definition</t>
  </si>
  <si>
    <t>IAD</t>
  </si>
  <si>
    <t>Peso BG por RS</t>
  </si>
  <si>
    <t>WEIGHTS_RA</t>
  </si>
  <si>
    <t>WEIGHTS_RS</t>
  </si>
  <si>
    <t>#</t>
  </si>
  <si>
    <t>backup</t>
  </si>
  <si>
    <t>order</t>
  </si>
  <si>
    <t>Queue</t>
  </si>
  <si>
    <t>Method</t>
  </si>
  <si>
    <t>GlobalRank</t>
  </si>
  <si>
    <t>WSJF_Score</t>
  </si>
  <si>
    <t>LATER</t>
  </si>
  <si>
    <t>SainteLague</t>
  </si>
  <si>
    <t>Base Dados Modelo de Incentivos CTT Expresso</t>
  </si>
  <si>
    <t>High Level Design</t>
  </si>
  <si>
    <t>Cliente EDP - WS P&amp;F- Novo Campo Data</t>
  </si>
  <si>
    <t>GENAI- Rossum</t>
  </si>
  <si>
    <t>Migrar os documentos do viactt para Filenet</t>
  </si>
  <si>
    <t>Entrega em pontos para a cainiao</t>
  </si>
  <si>
    <t>CCP | OTP | Rebuild application in the current tech stack</t>
  </si>
  <si>
    <t>In Solution</t>
  </si>
  <si>
    <t>[Salesforce Sales] - Multi oportunidad en Cuentas</t>
  </si>
  <si>
    <t>Correio Inteligente - FTP para P&amp;F</t>
  </si>
  <si>
    <t>Nexus | We Care | Customer Support</t>
  </si>
  <si>
    <t>Nexus | Digital Channels | CLIENT PORTAL | "SUPER PORTAL" (extra MVP)</t>
  </si>
  <si>
    <t>Trazabilidad</t>
  </si>
  <si>
    <t>GCA - Aforro upgrade Oracle</t>
  </si>
  <si>
    <t>Nexus | Data | Group Data</t>
  </si>
  <si>
    <t>SAPSF - GoFluent</t>
  </si>
  <si>
    <t>Migrate Azure Devops to Github Repos and Github Actions - Data repos</t>
  </si>
  <si>
    <t>[Nuevo Producto]-[Minerva]-Producto 48h a Islas Canarias</t>
  </si>
  <si>
    <t>Nexus | We Care | SalesForce Parameterization | Pilot</t>
  </si>
  <si>
    <t>ESG - Incremento 1</t>
  </si>
  <si>
    <t>Nexus | Data | Nexus Data</t>
  </si>
  <si>
    <t>Acciones para evitar la duplicidad de recogidas de clientes v2</t>
  </si>
  <si>
    <t>POP - Melhorias a OnBoarding de clientes</t>
  </si>
  <si>
    <t>Tratamento de rejeitados no SD - Tipificar, isolar e informar (BG1): Incremento</t>
  </si>
  <si>
    <t>Controlo de correio JPP</t>
  </si>
  <si>
    <t>[SAP] - Vincular Docuware a SAP</t>
  </si>
  <si>
    <t>GENAI-NBanks</t>
  </si>
  <si>
    <t>[PUDOS] - Herramienta para orden de recogidas en PUDOS</t>
  </si>
  <si>
    <t>Downgrade 1.200 / 4.186 Microsoft O365 E5 licences (local) to O365 F3 (web) [1/2 year]</t>
  </si>
  <si>
    <t>DLP (Data Loss Prevention) - Wave 1</t>
  </si>
  <si>
    <t>Nexus | We Care | Adaptation of Service Infrastructures | Pilot</t>
  </si>
  <si>
    <t>GPECL/INT - Interconnect | Disponibilizar Easy Return Solution Premium (ERS) - Authorising Party</t>
  </si>
  <si>
    <t>Crear entornos no productivos</t>
  </si>
  <si>
    <t>Novas funcionalidades no PA- AVC</t>
  </si>
  <si>
    <t>Nexus | We Sell | Customer Onboarding</t>
  </si>
  <si>
    <t>PAY - Instrumento Cheques - Incremento I</t>
  </si>
  <si>
    <t>GT - Portal AON MVP (com SSO)</t>
  </si>
  <si>
    <t>Nexus | We Care | SalesForce Parametrization | Post MVP</t>
  </si>
  <si>
    <t>revamp.EPM - Framework CPM 360 Full Scope (Non Core)</t>
  </si>
  <si>
    <t>ECCS por peso Informado</t>
  </si>
  <si>
    <t>API Clientes - Authorization</t>
  </si>
  <si>
    <t>DHL Parcel - Webhook- Evento Recogida de Caducado en Pudo y Falso Entregado</t>
  </si>
  <si>
    <t>Nexus | We Care | Adaptation of Service Infrastructures | MVP</t>
  </si>
  <si>
    <t>GENAI-TOF</t>
  </si>
  <si>
    <t>ODIN | Iberian Observability Stack</t>
  </si>
  <si>
    <t>Analytics - Analise de custo parceiros</t>
  </si>
  <si>
    <t>SouCTT - Salary on Demand (Subsidio de Natal) | Paynest</t>
  </si>
  <si>
    <t>Pesquisa de Pontos Collect | Melhorias</t>
  </si>
  <si>
    <t>Relatorio SAP Hana - Clientes com Fatura Eletronica</t>
  </si>
  <si>
    <t>[Mejora Calidad Servicio] - PDA - Envios Multibulto (aplicar logica de causa propia - ajena) (TO)</t>
  </si>
  <si>
    <t>[Mulesoft] - [Api Integrations Clientes] : Disponer de los client_id que invocan a los endpoint de integraciones</t>
  </si>
  <si>
    <t>[Nexus] - We Sell (Lead to Contract) 2.0</t>
  </si>
  <si>
    <t>Mapper - uso de codigos de cliente y credenciales Cloud</t>
  </si>
  <si>
    <t>Lojas MEO - Recolhas Contextualizadas</t>
  </si>
  <si>
    <t>[Salesforce Service] - Incidencias C. Propia/Automatizar incidencias en SF (marcar prioridad en SENDA desde IVR y Web)</t>
  </si>
  <si>
    <t>Control de envios duplicados: validacion SINONIMO BULTO / REFERENCIA CLIENTE</t>
  </si>
  <si>
    <t>SouCTT - Salary on Demand (adiantamento % vencimento) | Paynest</t>
  </si>
  <si>
    <t>[Nexus] [Producto] - Pack Express</t>
  </si>
  <si>
    <t>[Salesforce - Minerva] Datos de la oferta Minerva en objeto Oferta</t>
  </si>
  <si>
    <t>SELO DIGITAL</t>
  </si>
  <si>
    <t>[Nexus] [Producto] - Entregas Comerciales (Red Shopping)</t>
  </si>
  <si>
    <t>[Portal del Proveedor] Nuevas funcionalidades - Bloqueo Repartidor Seguridad</t>
  </si>
  <si>
    <t>cambios masivos de estados</t>
  </si>
  <si>
    <t>Github Migration - ParcelInfo</t>
  </si>
  <si>
    <t>[Evolutivos SGC Finanzas] Asignar de manera masiva el cliente master al campo grupo de procesamiento en Modulo de facturacion</t>
  </si>
  <si>
    <t>Cyber attack simulation Table-top</t>
  </si>
  <si>
    <t>POD - API feasibility for Cainiao</t>
  </si>
  <si>
    <t>CCT 3.0 - powered by AI</t>
  </si>
  <si>
    <t>Produto Internacional Expresso | Permitir envio de bens para os EUA segmento ocasional</t>
  </si>
  <si>
    <t>[Nexus] [Producto] - OTP entrega segura</t>
  </si>
  <si>
    <t>Integracion Clientes Salesforce - Generacion automatica de claves de cognito para integracion Mapper</t>
  </si>
  <si>
    <t>Desenvolvimentos Regulamentares (Congresso UPU Dubai + Incremental Riade)</t>
  </si>
  <si>
    <t>[WebHook] - Cacesa</t>
  </si>
  <si>
    <t>Portal de Proveedores - Poder ordenar Control Horario por cualquier columna</t>
  </si>
  <si>
    <t>[35908] - Jornada NBO: MOBI</t>
  </si>
  <si>
    <t>[Evolutivos SGC Finanzas] Evolutivos SGC Finanzas - Adeudos ECCS a SGC+ automatizados y diarios</t>
  </si>
  <si>
    <t>[Minerva] - Permitir a ciertos perfiles Comerciales descargar los contratos en Word</t>
  </si>
  <si>
    <t>[Qlik Sense] Mapa de Red</t>
  </si>
  <si>
    <t>Fichero interfase IGIC SGC-SAP</t>
  </si>
  <si>
    <t>Data Cost Allocation Model by Business Area</t>
  </si>
  <si>
    <t>Qlik - Estado de Venta</t>
  </si>
  <si>
    <t>Ficheros DataTrans sin CP origen</t>
  </si>
  <si>
    <t>Interconnect Common Return Platform | Upgrade p/ V2 (CRP2)</t>
  </si>
  <si>
    <t>[Evolutivos SGC Finanzas] Generacion de documentos por master + grupo procesamiento (filtro)</t>
  </si>
  <si>
    <t>INT | IBM Sterling File Gateway - implementar balanceamento</t>
  </si>
  <si>
    <t>[Minerva]- Modelo Tarifario Densidades Zoning Actual</t>
  </si>
  <si>
    <t>[Salesforce Maps] - Nuevas funcionalidades (Fase 3)</t>
  </si>
  <si>
    <t>[Nexus] [Notificaciones] - Notificaciones ibericas</t>
  </si>
  <si>
    <t>[ESTADOS] - Mostrar a clientes el mismo evento/estado sucesivo ocurrido en dias distintos</t>
  </si>
  <si>
    <t>Despesa Frota e Edificios - Evolutivo</t>
  </si>
  <si>
    <t>GPECL/DIS - Pack Expresso | Incremento ao Produto</t>
  </si>
  <si>
    <t>Campanha para envios internacionais_PCR_4T2025</t>
  </si>
  <si>
    <t>[Evolutivos Minerva] Zonificacion PT detallada (combinaciones PTC-PTI/PTI-PTI) (Valorar por MKT)</t>
  </si>
  <si>
    <t>Faturas PDF | SAP - Incremento 2</t>
  </si>
  <si>
    <t>[Producto] - Modelo Tarifario/Operativa Broker + TOF (Minerva C)</t>
  </si>
  <si>
    <t>[Salesforce Sales - SGC ] - Evitar actualizaciones en SGC en los registros de franquicias</t>
  </si>
  <si>
    <t>Migracion Metodo WS GetServiceEvents de SGC a Cloud (Dupla)</t>
  </si>
  <si>
    <t>[Evolutivos Minerva] Tarifas unicas por grupos de varios clientes (multicuentas asociadas incluso en diferentes CO's) (Validar por Herramientas Comerciales)</t>
  </si>
  <si>
    <t>Migracion Hosting aplicacion Shopify a servidores CTT</t>
  </si>
  <si>
    <t>Incremento ao processo de pagamento de faturas a fornecedores</t>
  </si>
  <si>
    <t>[Qlik] - Nprinting - Informe efectividad de red</t>
  </si>
  <si>
    <t>DLP (Data Loss Prevention) - Wave 2</t>
  </si>
  <si>
    <t>[ERROR 500 MS Manifest] YDH - TIK TOK</t>
  </si>
  <si>
    <t>Galaxy | Avisados em Mobi - Indicadores de Loja (Modelo 415)</t>
  </si>
  <si>
    <t>Simulador para agrupagem</t>
  </si>
  <si>
    <t>[PUDOs] - [QLIK] Nueva App Pudo Sales</t>
  </si>
  <si>
    <t>BANCO CTT | Novo design site banco</t>
  </si>
  <si>
    <t>Descontinuar Grafana Dados</t>
  </si>
  <si>
    <t>[WebHook] - Factor Libre 4096600005 solo entorno de test</t>
  </si>
  <si>
    <t>Correio Registado Self-Service| Envios a partir do SuperPortal</t>
  </si>
  <si>
    <t>Evolutivas SAP FI Q1 2026</t>
  </si>
  <si>
    <t>Galaxy | Avisados em Mobi - POD - Aumentar o campo assinatura</t>
  </si>
  <si>
    <t>Simulador de tabelas</t>
  </si>
  <si>
    <t>[Containerization] FASE2: Producir en package_event</t>
  </si>
  <si>
    <t>[Minerva] - Campos requeridos en contrato con firma digital por Signaturit</t>
  </si>
  <si>
    <t>Cierre diario de recogidas</t>
  </si>
  <si>
    <t>[ESTADOS VISIBLES] Endpoint Client Experience API REST GET TRACKING - TIK TOK - estados no devueltos - Copy</t>
  </si>
  <si>
    <t>GPECL/DIS - CTT Now Visibilidade sobre pedidos Programados</t>
  </si>
  <si>
    <t>[Salesforce Sales] - Contemplar los puntos de servicio a nivel master</t>
  </si>
  <si>
    <t>Motor de Pesquisa de Varios objetos no SGC</t>
  </si>
  <si>
    <t>[WebHook] - Indtex - Migracion de SGC a Cloud</t>
  </si>
  <si>
    <t>Data Hub - Secrets and Authentication</t>
  </si>
  <si>
    <t>Nueva funcionalidad SGC: Nuevas opciones de cambios masivos</t>
  </si>
  <si>
    <t>Confirming 2.0</t>
  </si>
  <si>
    <t>[Qlik] - Evaluador de ofertas en Qlik</t>
  </si>
  <si>
    <t>Eliminate 50% of O365 Copilot licences</t>
  </si>
  <si>
    <t>Mejora Mapper Agrupacion</t>
  </si>
  <si>
    <t>Amazon - Melhorias ao processo atual</t>
  </si>
  <si>
    <t>ECL/GPR - Peso Default por Produto Expresso e Carga</t>
  </si>
  <si>
    <t>[Alarmas Financieras] Alarma-46 Reporte/Alerta de Datos Clientes antes del cierre "Keysoft" (datos incompletos de clientes o deficiencia)</t>
  </si>
  <si>
    <t>Data Governance - Data Lineage</t>
  </si>
  <si>
    <t>Observability | Alarm Catalog for self provision in applications</t>
  </si>
  <si>
    <t>[Tech] API de common-edge Refactor</t>
  </si>
  <si>
    <t>[Minerva] - Habilitar Minerva para el uso por parte de los Broker / Franquicias (Operativa + Modelo tarifario)</t>
  </si>
  <si>
    <t>[Salesforce Sales] - Campo Centro Operativo de clientes que cuelgan de Agencias Virtuales (Amazon, ICP, Inditex....)</t>
  </si>
  <si>
    <t>BITACORA - Cambiar delivery_comments de lugar</t>
  </si>
  <si>
    <t>Consulta de Objetos e Downlad dos POD'S</t>
  </si>
  <si>
    <t>BITACORA EVOLUCION DE ESTADOS FINALES</t>
  </si>
  <si>
    <t>Nova plataforma para criar e gerir campanhas de publicidade</t>
  </si>
  <si>
    <t>[Qlik &amp; Salesforce] - Alarmas Comercial 02- Cumplimiento del Comprometido Cierre Tareas</t>
  </si>
  <si>
    <t>Motor de Pesquisa de Varios objetos no T&amp;T</t>
  </si>
  <si>
    <t>Qlik para comerciales</t>
  </si>
  <si>
    <t>Motor de Pesquisa de Varios objetos no S&amp;V</t>
  </si>
  <si>
    <t>Reducing the rollout of Praas printers:</t>
  </si>
  <si>
    <t>[Alarmas Finanzas] Alarma-85 Clientes con cambio tarifas "a medio mes", si no avisan facturamos mal si hay retroactividad</t>
  </si>
  <si>
    <t>[Salesforce] - Datos de comisionista en Cuenta en el CRM</t>
  </si>
  <si>
    <t>[CANCEL SHIPMENT - Falta check ccc] URL Management rpc-cancel</t>
  </si>
  <si>
    <t>Piloto para experimentar o SW do BCE na loja</t>
  </si>
  <si>
    <t>[Evolutivos Salesforce] Alarma-77 Clientes reactivados (clientes que se dan de alta sin control)</t>
  </si>
  <si>
    <t>[Salesforce Sales] - Completar campo Estado / provincia</t>
  </si>
  <si>
    <t>[Salesforce] - Cancelar ofertas no firmadas cuando se cancele una oportunidad</t>
  </si>
  <si>
    <t>Notificaciones a PDA desde Portal del Proveedor</t>
  </si>
  <si>
    <t>Portal Proveedores - Facturacion a/de proveedores fuera de SAP, necesidad de adaptar el modulo de proveedores</t>
  </si>
  <si>
    <t>[Salesforce Sales] - Modificar el CIF de un centro relacionado cuando se modifique un Prospecto</t>
  </si>
  <si>
    <t>Observability | Notifications | Alarmistic association to Teams / Squads</t>
  </si>
  <si>
    <t>[Salesforce Sales] - Clonar cliente de PRODUCCION en UAT</t>
  </si>
  <si>
    <t>[Qlik Sense][A-Scan] - Nuevos Filtros</t>
  </si>
  <si>
    <t>Publicar en Mule para Integrations recipient_available_actions</t>
  </si>
  <si>
    <t>TFS Migration - NAVE</t>
  </si>
  <si>
    <t>Adiantamentos para D+1 a PCTT encerrados em D</t>
  </si>
  <si>
    <t>Sistema de seguimiento de rutas de arrastre - v2</t>
  </si>
  <si>
    <t>[SGC] Actualizar protocolo de comunicaciones TLS</t>
  </si>
  <si>
    <t>BFT - Faturas com 4 casas decimais</t>
  </si>
  <si>
    <t>Correio Registado Self-Service| Envios a partir da SuperApp e Site CTT</t>
  </si>
  <si>
    <t>BPM - Upgrade WebSphere</t>
  </si>
  <si>
    <t>[Alarmas Finanzas] Alarma-45 Reporte/Alerta de servicios antes del cierre "Keysoft"</t>
  </si>
  <si>
    <t>Configuration Profiles Endpoint</t>
  </si>
  <si>
    <t>[Web de Clientes] - Visualizar costes de los servicios adicionales en la web de clientes</t>
  </si>
  <si>
    <t>[Evolutivos SGC] Acceso a tabla de retasados (NO las muestra si hay varias por validez en gestion de tablas) + Acceso Retasados microservicios (revisar Juancho)</t>
  </si>
  <si>
    <t>crear plantilla de colecciones de mongodb</t>
  </si>
  <si>
    <t>[Web de clientes] - Funcionalidad de gestionar y visualizar el seguimiento de los Retornados</t>
  </si>
  <si>
    <t>Upgrade servidores OutSystems para Windows Server 2022</t>
  </si>
  <si>
    <t>crear indice atlas search</t>
  </si>
  <si>
    <t>Expurgo automatic sharepoint e Team</t>
  </si>
  <si>
    <t>CCP | Commercial Catalog | Synchronization with SAP</t>
  </si>
  <si>
    <t>[PUDOS] - Herramienta de seguimiento de recogidas infructuosas de caducados</t>
  </si>
  <si>
    <t>Assinaturas de autenticidade emails</t>
  </si>
  <si>
    <t>Incluir en nexia opciones multi-idioma</t>
  </si>
  <si>
    <t>Estudo para levantamento e alternativa ao MUS (Microsoft)</t>
  </si>
  <si>
    <t>Desconectar servidor SFTP SGC</t>
  </si>
  <si>
    <t>IOP | DNS private resolvers - descontinuar bind em 2 vms ubuntu</t>
  </si>
  <si>
    <t>[Evolutivos SGC] Recuperar el Numero de factura emitida en grid de valoracion de servicios, (perdida de funcionalidad)</t>
  </si>
  <si>
    <t>B2C - Dados Vendas Dona Oferta - via Data Analytics</t>
  </si>
  <si>
    <t>Herramienta Soporte ADT en Nexia</t>
  </si>
  <si>
    <t>Melhorias de funcionamento nos Tablets das Lojas</t>
  </si>
  <si>
    <t>CCP | Configure alerts for all CCP applications</t>
  </si>
  <si>
    <t>Manifest-file: Admitir carga fichero Standar Cloud sin los campos de shipping_code e item_codes rellenos (mismo comportamiento que api de experiencia de clientes)</t>
  </si>
  <si>
    <t>[Evolutivos SGC] Nueva funcionalidad para Clientes que no etiquetan (recargo por mercancia no/mal etiquetada) (pendiente al ser antiguo revisar con LR)</t>
  </si>
  <si>
    <t>WANB - Webhook</t>
  </si>
  <si>
    <t>Api Horario Cortes Recogidas</t>
  </si>
  <si>
    <t>Evolutivos CRM Q1.2026</t>
  </si>
  <si>
    <t>Api Manifest- Devovler fecha y hora de recogida en respuesta cuando proceda</t>
  </si>
  <si>
    <t>[PUDOS] - Mejora servicio VDP</t>
  </si>
  <si>
    <t>Api Solicitud de Recogidas (sin envio asociado)</t>
  </si>
  <si>
    <t>APT | ODIN | Self Service</t>
  </si>
  <si>
    <t>[Auditoria PT] Control de revisiones de alteraciones manuales</t>
  </si>
  <si>
    <t>Notificaciones AWS para migraciones de lambdas de python 3.9 a 3.12</t>
  </si>
  <si>
    <t>CCP | Migrate from .Net 8 to .Net 10</t>
  </si>
  <si>
    <t>[PUDOS] - Descuento comercial RDP</t>
  </si>
  <si>
    <t>Migrar clusters de Mongo a MultiAZ</t>
  </si>
  <si>
    <t>[Minerva] - Modificar la plantilla de respuesta de Signaturit cuando se firma un contrato</t>
  </si>
  <si>
    <t>CCP | Notifications | Refactor application to meet CCP patterns</t>
  </si>
  <si>
    <t>Plantilla modificacion de clientes sap hanna</t>
  </si>
  <si>
    <t>APT | IBM ODM | configurar HTTPS</t>
  </si>
  <si>
    <t>Query direcciones de recogida portal del proveedor</t>
  </si>
  <si>
    <t>[PUDOS] - Notificaciones de RDP origen PT</t>
  </si>
  <si>
    <t>Informes Personalizados Finanzas en SharePoint</t>
  </si>
  <si>
    <t>Nuevo entorno de desarrollo para microservicios</t>
  </si>
  <si>
    <t>PMO - Seguimiento y Control de Proyectos</t>
  </si>
  <si>
    <t>[Nexus]-[Minerva]- Modelo Tarifario Densidades+Zona</t>
  </si>
  <si>
    <t>[PUDOS] - [Notificaciones] - N3.1 Entrega en PUDOS mostrar variable pudo address</t>
  </si>
  <si>
    <t>MACC: DC Lisboa - Jouney to Azure cloud</t>
  </si>
  <si>
    <t>[web clientes] Modulo aduanas: Andorra</t>
  </si>
  <si>
    <t>[PUDOS] - Pantallas Nexia consulta estados de proveedor</t>
  </si>
  <si>
    <t>[Web de Cambios] - Mantener el idioma configurado por defecto en web de cambio</t>
  </si>
  <si>
    <t>[Notificaciones] - Customer Communications Management basado en la funcionalidad actual</t>
  </si>
  <si>
    <t>[PUDOS] - Destacar Locky en localizador de pudos</t>
  </si>
  <si>
    <t>CONTRATO ON LINE</t>
  </si>
  <si>
    <t>[PUDOS][PDA]-Evitar falsos entregados desde PDA repartidor</t>
  </si>
  <si>
    <t>[Web de clientes][Mobile] - Mi cuenta + Ayuda y soporte</t>
  </si>
  <si>
    <t>[Web de clientes][Mobile] - Agenda</t>
  </si>
  <si>
    <t>[FR y BR] - Tarifas y Ofertas</t>
  </si>
  <si>
    <t>[PUDOS] - Mejora Pudo Manager</t>
  </si>
  <si>
    <t>Desarrollo Nuevas funcionalidades/Venta (TP)</t>
  </si>
  <si>
    <t>NEXT</t>
  </si>
  <si>
    <t>Ready for Development</t>
  </si>
  <si>
    <t>TOP_X</t>
  </si>
  <si>
    <t>Row Labels</t>
  </si>
  <si>
    <t>(blank)</t>
  </si>
  <si>
    <t>Grand Total</t>
  </si>
  <si>
    <t>Count of ID</t>
  </si>
  <si>
    <t>TRUE</t>
  </si>
  <si>
    <t>Column Labels</t>
  </si>
  <si>
    <t>FALSE</t>
  </si>
  <si>
    <t>Count</t>
  </si>
  <si>
    <t>Target</t>
  </si>
  <si>
    <t>NSP</t>
  </si>
  <si>
    <t>NOW</t>
  </si>
  <si>
    <t>[PUDOS] - Venta Internacional en PUDOS</t>
  </si>
  <si>
    <t>[Nexus] [We Sell] Carga de clientes de PT en Salesforce Sales</t>
  </si>
  <si>
    <t>Los usuarios de las delegaciones no tienen que ver las liquidaciones de LH de los proveedores</t>
  </si>
  <si>
    <t>[Nexus][Internacional]-[Nuevo Producto ECONOMY]- DHL-PARCEL</t>
  </si>
  <si>
    <t>[NEXUS]-[OOH] - LMS Integration</t>
  </si>
  <si>
    <t>Github Migration - Ecossistema Expresso ADO2Github</t>
  </si>
  <si>
    <t>Data Governance - Reference Data Management - MVP</t>
  </si>
  <si>
    <t>PTF | ODIN | Muticloud</t>
  </si>
  <si>
    <t>ESW | Sonar | Connect Github based applications to Sonar</t>
  </si>
  <si>
    <t>ESW | Github | Allow Github Actions to access resources inside CTT internal network</t>
  </si>
  <si>
    <t>ESW | Create code reviewer AI agent</t>
  </si>
  <si>
    <t>[Web de clientes] - Agenda - Incluir campo provincia en fichero de carga masiva de agenda</t>
  </si>
  <si>
    <t>Mail &amp; Services</t>
  </si>
  <si>
    <t>BusinessGroup</t>
  </si>
  <si>
    <t>eCommerce-new</t>
  </si>
  <si>
    <t>weight</t>
  </si>
  <si>
    <t>[Salesforce Sales] - Incorporación de nuevos Subsegmentos SME</t>
  </si>
  <si>
    <t>Enlace para usuario en selección PUDO para RDP a través de Web Cliente</t>
  </si>
  <si>
    <t>Reactivar recursos al iniciar la ruta (Vehículos-Conductores)</t>
  </si>
  <si>
    <t>Mejora de visualización en PDA last-mail envíos balanceados por SENDA "LIBRA"</t>
  </si>
  <si>
    <t>[Web de clientes] - Seguimiento - Geoposición V2 - Comparar destino con geoposición de entrega</t>
  </si>
  <si>
    <t>Mejora creación servicios esporádicos</t>
  </si>
  <si>
    <t>[Internacional]-Notificación por Incidencia "Falta de documentación"</t>
  </si>
  <si>
    <t>[Salesforce Sales] - Brokers y MBE: Permitir generación de usuarios web</t>
  </si>
  <si>
    <t>P&amp;L Ibérica e información de gestión</t>
  </si>
  <si>
    <t>[Web publica] - Ajustes Locky en visión destinatario de web pública</t>
  </si>
  <si>
    <t>[Web de cliente] - Seguimiento - Utilizar en filtro y listado de envío la fecha registrada en la variable shipping_date</t>
  </si>
  <si>
    <t>Portal de Proveedores - Implementar recálculo automático de liquidaciones Linehaul de rutas esporádicas</t>
  </si>
  <si>
    <t>[Web de clientes] - Seguimiento - Incidencias gestionables muestra mensaje erróneo</t>
  </si>
  <si>
    <t>[Nexus-MVP] [Web de Clientes] Traducción al Inglés y Portugués</t>
  </si>
  <si>
    <t>[Internacional] - Manifiesto de envíos internacionales de explotación con aduanas por métodos de Integración Clientes</t>
  </si>
  <si>
    <t>[Qlik] - Gestión de oportunidades - Hito semanal por comercial disponible</t>
  </si>
  <si>
    <t>[Salesforce] Notificación automática cambio de comercial</t>
  </si>
  <si>
    <t>[Web de clientes][Desktop] - Seguimiento - Ocultar botón de "Estados" / Alert de filtros</t>
  </si>
  <si>
    <t>[Web de clientes][Mobile] - Seguimiento de envíos</t>
  </si>
  <si>
    <t>[Web de clientes][Mobile] - Burger Menu + Actualización de página de inicio</t>
  </si>
  <si>
    <t>[Web de clientes][Mobile] - Solicitud de envío</t>
  </si>
  <si>
    <t>[Web Pública] - Formulario y email Pagina Red PUDOS</t>
  </si>
  <si>
    <t>[Web de Clientes] - Suscripción de informes - Reporte con la información de envíos de los últimos 30 días naturales - Ordenar reporte</t>
  </si>
  <si>
    <t>Evolución portal de LastMile V.2</t>
  </si>
  <si>
    <t>Evolución portal de Arrastres V.2</t>
  </si>
  <si>
    <t>[PUDOS] - Automatización del tratamiento de incidencias de PUDOS cerrados</t>
  </si>
  <si>
    <t>[FR y BR] - Campo departamento y facturación</t>
  </si>
  <si>
    <t>[Desconexión SGC]: Brókers y Franquicias: Modulo distribución de Franquicias</t>
  </si>
  <si>
    <t>[Desconexión SGC]: Brokers y Franquicias: grabación de envíos con/sin entrega</t>
  </si>
  <si>
    <t>[Desconexión SGC]: Creación y mantenimiento de CO's</t>
  </si>
  <si>
    <t>[Desconexión SGC]: Canarias</t>
  </si>
  <si>
    <t>[Desconexión SGC]: Internacional</t>
  </si>
  <si>
    <t>[Nexus Piloto Operacional] Puesta en marcha Fase 2 del Piloto Operacional con el flujo de envíos PT-PT</t>
  </si>
  <si>
    <t>Exponer dato de código de recogida propia</t>
  </si>
  <si>
    <t>Plataforma de Configuración de Agentes IA</t>
  </si>
  <si>
    <t>Migración SGC - Estacionados a Nexus</t>
  </si>
  <si>
    <t>[WEB CLIENTE] Configuración visibilidad web a nivel CENTRO</t>
  </si>
  <si>
    <t>Envíos Amazon destino Braga solo manifestados para entrar en senda</t>
  </si>
  <si>
    <t>Visualización de kilómetros en Qlik</t>
  </si>
  <si>
    <t>KPIs de Prevención de Riesgos Laborales de CTT Express</t>
  </si>
  <si>
    <t>Stack Observabilidad Ibérico</t>
  </si>
  <si>
    <t>Desconexión de SGC - Definición del RoadMap</t>
  </si>
  <si>
    <t>[Salesforce] - Información de campos en los casos del Plan de acompañamiento</t>
  </si>
  <si>
    <t>[Bitácora] - Bitacora Management que permita implementar los procesos actuales de configuración en Bitácora</t>
  </si>
  <si>
    <t>[Web Pública 2.0] - Web Pública 2.0 Fase II - V2</t>
  </si>
  <si>
    <t>Implantación con empresa externa de software para la medición de la Huella de Carbono</t>
  </si>
  <si>
    <t>SLA Sábados y Domingos</t>
  </si>
  <si>
    <t>[API GET TRACKING BY DATES] - WEB TRACKING - Añadir código envío devolución - API Rest, capa User Experience</t>
  </si>
  <si>
    <t>[SGC] - Lógica de aplicación de perfil tarifario a nuevos centros en SGC</t>
  </si>
  <si>
    <t>Expansión de lectura en contenedores (Propios y de clientes)</t>
  </si>
  <si>
    <t>WooCommerce- Habilitar adicionales identificación en destino y verificacion destinatario</t>
  </si>
  <si>
    <t>Prestashop- Habilitar adicionales identificación en destino y verificacion destinatario</t>
  </si>
  <si>
    <t>[Nexus Piloto Operacional] [We Serve] Incremento de envíos en Piloto y despliegue Nexus</t>
  </si>
  <si>
    <t>[PUDOS] - Gestión de saturación en puntos Collectt</t>
  </si>
  <si>
    <t>[Minerva] - Cambiar método de autenticación en Minerva</t>
  </si>
  <si>
    <t>Definición de la estrategia de preparación de entornos de prueba de aplicaciones</t>
  </si>
  <si>
    <t>[Salesforce] - Nueva landing captación SEM conectada con el CRM y Pardot</t>
  </si>
  <si>
    <t>[Web pública Nexus] - Imágenes alojadas en DOT (ex Wordpress) estudiar alojarlas en AWS</t>
  </si>
  <si>
    <t>Cierre administrativo automático - "Evitar pasar a Entregado Administrativo envíos que tienen un estado entregado y posteriormente se abre una caso en Salesforce y cambia a otro estado"</t>
  </si>
  <si>
    <t>[Salesforce] - Información de la actividad del cliente en Cuenta en Sales (a partir de Qlik)</t>
  </si>
  <si>
    <t>[PUDOS]-Nueva colección en Nexia. Acceso datos de DB manifest</t>
  </si>
  <si>
    <t>[Internacional]- Actualización Web- Módulo Aduana</t>
  </si>
  <si>
    <t>Revisión del PRN actual</t>
  </si>
  <si>
    <t>[Web de clientes] - Crear función JS que devuelva el ID de los usuarios</t>
  </si>
  <si>
    <t>MongoDB - Recopilación de usuarios y reset de contraseñas</t>
  </si>
  <si>
    <t>Actualización Plan C</t>
  </si>
  <si>
    <t>Federación de acceso a Salesforce mediante SSO - EntraID</t>
  </si>
  <si>
    <t>To Expedite - [Salesforce Sales] - NEW WORKFLOW OFERTAS (Cambio del flujo de aprobación de ofertas según usuario y modelo tarifario)</t>
  </si>
  <si>
    <t>[Integración de Clientes] Tik Tok - Bloqueo del dato publicado de peso y medidas después del estado definitivo.</t>
  </si>
  <si>
    <t>Evolución verificación periodos + (pesos y medidas) V2</t>
  </si>
  <si>
    <t>[NEXUS] – Normalización, almacenamiento y gestión de consentimientos (GDPR) en los activos digitales</t>
  </si>
  <si>
    <t>[PUDOS] [Web clientes] - Añadir campo nombre rtt en RDP</t>
  </si>
  <si>
    <t>Optimización del CAU mediante herramientas de autodiagnóstico para operativas críticas</t>
  </si>
  <si>
    <t>Integración con CACESA para la sustitución de ADYCO (30-nov)</t>
  </si>
  <si>
    <t>Creación Arquetipo .net</t>
  </si>
  <si>
    <t>Actualización automática de aplicaciones hijas en Nexia</t>
  </si>
  <si>
    <t>Nuevos desarrollos Normalización de direcciones</t>
  </si>
  <si>
    <t>[Salesforce] - Usuario / Origen de una acción sobre un envío en la trazabilidad desde ATC</t>
  </si>
  <si>
    <t>Cyber - Securización de los accesos a webcliente.cttexpress.com y api.cttexpress.com</t>
  </si>
  <si>
    <t>Migración Infraestructura de Web Corporativa de AckStorm a Ctt Express</t>
  </si>
  <si>
    <t>Migración Infraestructura GIT =&gt; GitHub , Arquetipo .net</t>
  </si>
  <si>
    <t>Migración Infraestructura GIT =&gt; GitHub (Salesforce)</t>
  </si>
  <si>
    <t>Definición Arquitectura Github</t>
  </si>
  <si>
    <t>Definición Arquitectura Kotlin Ibérico</t>
  </si>
  <si>
    <t>Definición Arquitectura React Ibérico</t>
  </si>
  <si>
    <t>Definición Arquitectura .Net Ibérico</t>
  </si>
  <si>
    <t>Migración Microservicios a SLA nuevo</t>
  </si>
  <si>
    <t>SGC - Anulación eventos PT</t>
  </si>
  <si>
    <t>Diseñar Flujos de trabajo IA - .Net</t>
  </si>
  <si>
    <t>[Web de Clientes] - Seguimiento de Envío - Posibilidad de descargar el albarán asociado al envío</t>
  </si>
  <si>
    <t>[Nexus] - Información Pública de los Clientes - visión de información de clientes a destinatarios</t>
  </si>
  <si>
    <t>[PUDOS] - [Salesforce-Dynamic Case] - EL botón de reenvío de pin debe reconocer que el envío tiene estado 2310 no que está en estado 2310</t>
  </si>
  <si>
    <t>[Web Pública] [CIBERSEGURIDAD] - Migración de infraestructura de MiddleWare de PhP</t>
  </si>
  <si>
    <t>[WebHook] - ZooPlus - Transmisión de estados en mensaje estándar</t>
  </si>
  <si>
    <t>Creación arquetipo desarrollo React</t>
  </si>
  <si>
    <t>[Web de Clientes] - Anulación de recogidas</t>
  </si>
  <si>
    <t>[ID LOGISTICS] Estados De Portugal no visibles en SGC/API REST y URL web en España (envíos origen ES, destino PT)</t>
  </si>
  <si>
    <t>Identificacion Clientes y Metodos de integracion que usan [Objetos con origen en España sin Cp7]</t>
  </si>
  <si>
    <t>Mejorar el algoritmo de aproximación de calculo de CP/Poblacion de manifiestos [Objetos con origen en España sin Cp7]</t>
  </si>
  <si>
    <t>[Notificaciones] - Facturación - Modificar contenido del Email Factura a clientes</t>
  </si>
  <si>
    <t>[PUDOS] - Incluir selección origen PT en Web Clientes para servicios RDP origen PT con manifiesto en ES</t>
  </si>
  <si>
    <t>Automatizar la carga del maestro de CP7 de Portugal [Objetos con origen en España sin Cp7]</t>
  </si>
  <si>
    <t>[WebHook] - Shein ADT - Migración de infraestructura de Shein ADT</t>
  </si>
  <si>
    <t>[Web de Clientes] - Desconexión Web-Tracking</t>
  </si>
  <si>
    <t>Incluir fichero con versionado sobre histórico de cambios (novedades y fixes) en todos los modulos</t>
  </si>
  <si>
    <t>Maestro festivos provinciales en cálculos de fechas de compromiso</t>
  </si>
  <si>
    <t>[Web de Clientes] - Incluir tooltip en el botón de añadir NUEVO bulto para envíos a Puntos</t>
  </si>
  <si>
    <t>[Nexus] - We Sell (Lead to Contract) - Signaturit en portugués</t>
  </si>
  <si>
    <t>[User Endpoint API REST GET TRACKING] Añadir organic_point_code cuando estados 2300 / 2310</t>
  </si>
  <si>
    <t>Cuadro de mando reputación CTT</t>
  </si>
  <si>
    <t>Creación de interfaz en nexia para crear incidencias</t>
  </si>
  <si>
    <t>[Tech] [Desconexión SGC] Desconexión API WebTracking a Item-history (bitacora)</t>
  </si>
  <si>
    <t>[CELERITAS] - Inhibir notificaciones a dtt en envíos Celeritas Cliente</t>
  </si>
  <si>
    <t>[PUDOS] [MONGO] - Información completa de incidencias en colección Pickups</t>
  </si>
  <si>
    <t>[PUDOS]-Modificación plantilla de factura en VDP relacionado con 58594</t>
  </si>
  <si>
    <t>Actualización de maestro de códigos postales PT en nexus</t>
  </si>
  <si>
    <t>Odoo - Implementación remitente personalizado</t>
  </si>
  <si>
    <t>[PUDOS] [Web Pública] - Orientar venta directa (añadir literales)</t>
  </si>
  <si>
    <t>[Web de Clientes] - Seguimiento - Añadir HORA junto a la FECHA</t>
  </si>
  <si>
    <t>[Web de clientes] - Setting: Configurar envío predeterminado</t>
  </si>
  <si>
    <t>[Nexus-MVP] [Web de Clientes] Gestión Consumibles</t>
  </si>
  <si>
    <t>[Web de Clientes][Web de Cambios] - Trazabilidad - Actualización de literales en visión de Web de clientes y Destinatario (Web de cambios)</t>
  </si>
  <si>
    <t>[Minerva] - Interfaz de generación de ofertas de Minerva en portugués</t>
  </si>
  <si>
    <t>[Web de clientes] - Seguimiento 2.0 - Rediseño de la sección de seguimiento</t>
  </si>
  <si>
    <t>[Salesforce Sales] - Configuración campos/variables y GRP en Pardot</t>
  </si>
  <si>
    <t>Autodocumentacion Integración Mulesoft con IA</t>
  </si>
  <si>
    <t>[Nexus P&amp;S] -Portfolio Ibérico Ecommerce : Upload the proposal and pricing in Salesforce and Minerva</t>
  </si>
  <si>
    <t>[PET-3-] [Item-Status-v2] - Es necesario propagar la localización GPS de los eventos en los cambios de estado de item y envío</t>
  </si>
  <si>
    <t>[Desconexión SGC] - Creación nuevo estado "No realizado"</t>
  </si>
  <si>
    <t>[Minerva] - Evaluación de la oferta en Minerva</t>
  </si>
  <si>
    <t>[Web de Clientes] - Grabación masiva de envíos (carga de fichero) - v2</t>
  </si>
  <si>
    <t>[WebHook] - Mediapost - Transmisión de estados en mensaje NO estándar</t>
  </si>
  <si>
    <t>Creación de Interfaz de usuario para simular la creación y ciclo de vida de envío</t>
  </si>
  <si>
    <t>[Nexus Rollout] [We Bill] Estrategia de facturación de clientes ES y PT</t>
  </si>
  <si>
    <t>Seguimiento &amp; Control de IT - Formación - Vacaciones - Otros</t>
  </si>
  <si>
    <t>Cliente EXPOLLUM - Transmisión selectiva Mapper</t>
  </si>
  <si>
    <t>ELKAR - Actualización de bultos/kilos en expedición mediante carga de fichero</t>
  </si>
  <si>
    <t>Analisis protocolos MCP para integración de clientes</t>
  </si>
  <si>
    <t>Diseñar flujos de Trabajo IA - React</t>
  </si>
  <si>
    <t>[Desconexión SGC] [Web de Clientes] - Descarga de seguimiento y en descarga masiva: Incluir más campos: Peso Facturado V2</t>
  </si>
  <si>
    <t>[Desconexión SGC] - Migración exportación estados e informes a Cloud</t>
  </si>
  <si>
    <t>[Desconexión SGC] [Salesforce Service] - Gestión de casos: modificaciones tipos de servicio</t>
  </si>
  <si>
    <t>[Web publica] - Permitir a los destinatarios buscar un envío por número de etiqueta de enlace asociada en el localizador</t>
  </si>
  <si>
    <t>Restricción de Login en APP de Planta</t>
  </si>
  <si>
    <t>[Web de clientes] - Retorno en seguimiento - Mostrar por fecha de grabación y no de servicio</t>
  </si>
  <si>
    <t>[Qlik] - Nuevos KPIS en Analítica Comercial</t>
  </si>
  <si>
    <t>[Desconexión SGC] [Salesforce Service] - Abonos, Siniestros e indemnizaciones</t>
  </si>
  <si>
    <t>[Web de Clientes] - Minerva Ratings - Visualización incorrecta de tarifa del cliente 00052</t>
  </si>
  <si>
    <t>[Web de Clientes] - Minerva Ratings - Actualizar el perfil tarifario de clientes al estándar de 1-20 envíos comprometidos para que visualice su tarifa en la web</t>
  </si>
  <si>
    <t>[PUDOS] - Mecanismo de diferenciación de recogidas en los COs. Recogidas vs. RDP</t>
  </si>
  <si>
    <t>[Salesforce Sales] - Notificaciones del Plan de Acompañamiento automáticas</t>
  </si>
  <si>
    <t>[Desconexión SGC] [ FR y BR Web de clientes] - Proyecto Cloud (borrador)</t>
  </si>
  <si>
    <t>[PUDOS] - Envíos Punto-Punto</t>
  </si>
  <si>
    <t>[Web clientes - Mapper] - Evolución completa de grabación masiva en Cloud</t>
  </si>
  <si>
    <t>Migración a Cloud ficheros IDL e Inditex</t>
  </si>
  <si>
    <t>[Desconexión SGC] Cambio Maestro de canalizaciones en COs</t>
  </si>
  <si>
    <t>[Desconexión SGC] Lecturas de stock sobre Contenedores</t>
  </si>
  <si>
    <t>[Desconexión SGC] Evolución pantalla web Nexus (modulo seguimiento de rutas/ recogidas)</t>
  </si>
  <si>
    <t>Integración Clientes</t>
  </si>
  <si>
    <t>Manifest errores de carga en códigos postales.</t>
  </si>
  <si>
    <t>[PUDOS] -Planilla de selección de puntos según criterio del cliente</t>
  </si>
  <si>
    <t>[Desconexión SGC] [WebHook] - Monitorización WebHooks clientes</t>
  </si>
  <si>
    <t>[PUDOS] - Automatización de comunicación de eventos de Celeritas - CTT</t>
  </si>
  <si>
    <t>[Desconexión SGC] Migración exportación de informes de SGC a Cloud</t>
  </si>
  <si>
    <t>Cliente SALVADOR ESCODA SAT - Modificación Mapper</t>
  </si>
  <si>
    <t>[Desconexión SGC] [PUDOS] - Migración de funcionalidades de SGC al Cloud</t>
  </si>
  <si>
    <t>Manifest - Estandarización de formato DNI en envíoscon adicional RID: Transformación automática a mayúsculas</t>
  </si>
  <si>
    <t>[QLIK] Incorporación de datos adicionales en BI (Income Tracking App)</t>
  </si>
  <si>
    <t>[Desconexión SGC] Grabación manual de envíos</t>
  </si>
  <si>
    <t>[Desconexión SGC] Reetiquetado</t>
  </si>
  <si>
    <t>[Desconexión SGC] Cierre diario: Escaneo de documentación</t>
  </si>
  <si>
    <t>[Desconexión SGC] Cierre diario: Liquidación de portes debidos y reembolsos</t>
  </si>
  <si>
    <t>[Desconexión SGC] Cierre diario: Incidencias</t>
  </si>
  <si>
    <t>[Desconexión SGC] Cierre diario: Recogidas</t>
  </si>
  <si>
    <t>Cambio en la Lógica de generación de OBX en Cainiao</t>
  </si>
  <si>
    <t>KPI "Días backlog envíos" en app de análisis de calidad del reparto</t>
  </si>
  <si>
    <t>[PUDOS] - Check para permitir a cliente elegir si dtt recibe notificaciones del estado del envío</t>
  </si>
  <si>
    <t>[Auditoria PT] Pruebas sobre calidad de datos declarados por clientes con facturación basada en el peso y/o las medidas declaradas</t>
  </si>
  <si>
    <t>[Auditoria PT] Implementar pruebas preventivas para identificar errores en la parametrización de las reglas de peso</t>
  </si>
  <si>
    <t>[Auditoria PT] Garantizar ejecución de fase de pruebas antes y después de implantar nuevos desarrollos</t>
  </si>
  <si>
    <t>[Auditoria PT] Controles periódicos que garanticen la selección de lecturas óptimas para facturación</t>
  </si>
  <si>
    <t>[Auditoria PT] Evaluar la implementación de una reclasificación automática de los servicios declarados incorrectamente por el cliente</t>
  </si>
  <si>
    <t>[Auditoria PT] Consulta del historial de los datos de los objetos que han sido alterados manualmente o corregidos por la automatización</t>
  </si>
  <si>
    <t>[Auditoria PT] Automatismo para replicar la lógica de corrección manual de pesos declarados</t>
  </si>
  <si>
    <t>[Auditoria PT] Control periódico de Clientes Inactivos</t>
  </si>
  <si>
    <t>[Auditoria PT] Detección y expulsión en los clasificadores de objetos de Clientes inactivos</t>
  </si>
  <si>
    <t>Perdida de funcionalidad Modificación Artículos</t>
  </si>
  <si>
    <t>[Desconexión SGC] [WebHook] - Celeritas - Transmisión de estados</t>
  </si>
  <si>
    <t>[Desconexión SGC] Módulo de tasación Cloud</t>
  </si>
  <si>
    <t>[Desconexión SGC] Gestión de Incidencias y Soluciones</t>
  </si>
  <si>
    <t>Reconciliación bancaria de Cobros por tarjeta y Bizum</t>
  </si>
  <si>
    <t>Creación de un entorno específico para el Sistema de Gestión de Calidad y Sostenibilidad</t>
  </si>
  <si>
    <t>Cálculo de la franja horaria de entrega y elaboración de los KPIS de seguimiento</t>
  </si>
  <si>
    <t>[PUDOS] - Creación de alarma ante la falta de recepción de órdenes de recogidas de caducados Celeritas</t>
  </si>
  <si>
    <t>[Internacional] - Informar a FedEx del valor asegurado del envío</t>
  </si>
  <si>
    <t>[Nexus-MVP] [Web de Clientes] - Recogidas - Resolución Incidencia en la recogida causa ajena: permitir al cliente solicitar una nueva recogida</t>
  </si>
  <si>
    <t>[PUDOS] - Internalización de la gestión de envíos en punto Celeritas</t>
  </si>
  <si>
    <t>[Nexus - MVP] [PUDOS] - Desvío a PUDO al vuelo en incidencia</t>
  </si>
  <si>
    <t>[Web de Clientes] - Reportes: Suscripción Informes incidencias con disponibilidad a demanda</t>
  </si>
  <si>
    <t>Sistema de seguimiento de rutas de arrastre - Implementación de eCMR</t>
  </si>
  <si>
    <t>[Procesos] - Reenvío notificaciones envíos en incidencia estacionados</t>
  </si>
  <si>
    <t>[Desconexión SGC] [Salesforce Service] - Creación de flujos de trabajo entre Salesforce-Service y Nexia</t>
  </si>
  <si>
    <t>[Qlik] - Incluir ECCS en Analítica Comercial</t>
  </si>
  <si>
    <t>[Minerva] - Impresión del contrato en función de la etapa de la opp</t>
  </si>
  <si>
    <t>[PUDOS] [Web de Clientes] - EDP y RDP: Tarificación por bonificación de servicios 24H y 48H</t>
  </si>
  <si>
    <t>[Integración] - Publicar landing page para gestionar Devoluciones por parte de los Destinatarios - (MAS DEPORTE)</t>
  </si>
  <si>
    <t>[Salesforce] - Automatismo de asignación de casos a gestora de ingresos</t>
  </si>
  <si>
    <t>[Desconexión SGC] [Nexia] - Consulta masiva de envíos y acciones sobre los resultados + export/import en Excel</t>
  </si>
  <si>
    <t>[Desconexión SGC] [Salesforce] - Integración de GoContact IVR con el Cloud (Service)</t>
  </si>
  <si>
    <t>[Desconexión SGC] [WebHook] - Implementacion de la Plataforma de WebHooks standard</t>
  </si>
  <si>
    <t>Web Clientes​ - Automatizacion para Generacion y envio automatico de informes, Portal cliente</t>
  </si>
  <si>
    <t>Habilitar registro de incidencias "Llegada por error" y "Mercancía no enlazada" a través del código de barras del sinónimo.</t>
  </si>
  <si>
    <t>[NEXUS] [Web de clientes]- Configuración - Administración, gestión de usuarios y centros de Clientes de Venta directa (settings)</t>
  </si>
  <si>
    <t>[NEXUS] [Web de cambios] - Transformación web de cambios - Rediseño y tecnología React</t>
  </si>
  <si>
    <t>API'S para clientes Tipos Servicio Disponibles (Integración de Clientes)</t>
  </si>
  <si>
    <t>[Salesforce Service] - Reglas de cierre y respuesta automática de casos de envíos estacionados o ubicados</t>
  </si>
  <si>
    <t>[Minerva] - Servicios adicionales gestionables por el equipo Comercial en la creación de una oferta</t>
  </si>
  <si>
    <t>Mapper: Posibilidad de indicar la ruta de instalación.</t>
  </si>
  <si>
    <t>[Desconexión SGC] Evolutivo - Quitar topics SGC (control point, ship-v1,..)</t>
  </si>
  <si>
    <t>[Desconexión SGC] PDA Planta-Dependencias PDA planta de SGC</t>
  </si>
  <si>
    <t>[Seguridad] PDA Planta (TO)/Gestión de Planta/ Auditoría de seguridad/Control de conductores</t>
  </si>
  <si>
    <t>[Nexus] [Producto] - Devolución Fácil /Easy Return (implantar el modelo de PT para las devoluciones)</t>
  </si>
  <si>
    <t>[PUDOS] - Filtrado - Depuración en envíos a dirección PUDO sin PER</t>
  </si>
  <si>
    <t>[Producto] - Devoluciones anticipadas: Solicitud de Devolución de Envíos al vuelo</t>
  </si>
  <si>
    <t>[PUDOS] - Resolución incidencias de Puntos CTT Express</t>
  </si>
  <si>
    <t>[Qlik] - Tasa de Retención &amp; Churn Rate (Qlik: Automatizar el modelo)</t>
  </si>
  <si>
    <t>[PUDOS] - Automatización de la facturación cruzada con las redes de puntos.</t>
  </si>
  <si>
    <t>[Nexus] [Web de Clientes] - Recogida Flexible Grabación de envíos: Permitir recogida a la carta</t>
  </si>
  <si>
    <t>Nueva estrategia de integración de Clientes (TC)</t>
  </si>
  <si>
    <t>Conexión de eventos estados PT-ES/Transición de estados con eventos PT</t>
  </si>
  <si>
    <t>Revisión feedback a Clientes conectados a SGC (legacy)</t>
  </si>
  <si>
    <t>Implementación de la red Locky (TP)</t>
  </si>
  <si>
    <t>PDA Planta (TO)/Gestión de Planta/Mejoras pendientes/Solventar error de contenerización y doble registro</t>
  </si>
  <si>
    <t>PDA Planta (TO)/Gestión de Planta/Gestión FIFO en San fernando</t>
  </si>
  <si>
    <t>Servicios Preferentes/Revisión del cálculo de compromiso (TP)</t>
  </si>
  <si>
    <t>Aplicación de reglas en registros de peso y volumen (TC)</t>
  </si>
  <si>
    <t>[Desconexión SGC] [Salesforce Service] - Migración del Almacén regulador​ de SGC</t>
  </si>
  <si>
    <t>[Qlik] - APP Contact Center Integrar toda la información de casos de Salesforce</t>
  </si>
  <si>
    <t>Incluir 'audit' en los mensajes publicados en el tópico aws.delivery.fct.international-v1</t>
  </si>
  <si>
    <t>[PUDOS] [Wizard] - Funcionalidad PDA: Entrega de envíos en PUDO mediante Baliza</t>
  </si>
  <si>
    <t>[Desconexión SGC] [QLIK] Calidad de Recogidas App QLIK</t>
  </si>
  <si>
    <t>[Internacional] - Política de reintentos en la grabación de envíos internacionales en el sistema del proveedor</t>
  </si>
  <si>
    <t>[Auditoria PT] [Salesforce Sales] - (Des)Activación de clientes centros y usuarios por cese o impagos</t>
  </si>
  <si>
    <t>[Salesforce] - Gestión de casos asignados al área comercial</t>
  </si>
  <si>
    <t>[Salesforce Sales] - Nuevo Campo Cuenta tipo Cliente y centro: "Gestión por"</t>
  </si>
  <si>
    <t>[Salesforce] - Relacionar una implementación entre varios clientes que cuelgan de un mismo grupo de empresa</t>
  </si>
  <si>
    <t>[Salesforce Integración Clientes] - Automatizar el cierre de una implementación exitosa</t>
  </si>
  <si>
    <t>[SGC] - Funcionalidad de Comisión Reembolso sobre "entregados" activa</t>
  </si>
  <si>
    <t>[Desconexión SGC] [WebHook] - Dupla Logistics - Envío de estados</t>
  </si>
  <si>
    <t>[Salesforce Sales] - Disponer de un botón que permita sincronizar toda una cuenta (cliente, contactos y direcciones)</t>
  </si>
  <si>
    <t>[Salesforce]​ - Reexpedir -recanalizar- y destruir un envío por parte del equipo de ATC</t>
  </si>
  <si>
    <t>[Salesforce Integración Clientes] - Nueva lógica creación de implementaciones</t>
  </si>
  <si>
    <t>[Nexus]-[Minerva]- CTT 14h MINERVA Óptica (Nuevo producto comercial)</t>
  </si>
  <si>
    <t>[Minerva] - Dispersiones estándar de ofertas de tipo B y C</t>
  </si>
  <si>
    <t>[Qlik] - CANDIDATES MANAGEMENT (Crear un modelo para medir las campañas de MK)</t>
  </si>
  <si>
    <t>Seguimiento de envíos por Api Devolución retornado reexpedido y recogidas</t>
  </si>
  <si>
    <t>Qlik - Analítica Comercial - Clientes Activos</t>
  </si>
  <si>
    <t>[Desconexión SGC] Qlik - Migración App Territory P&amp;L - Cloud</t>
  </si>
  <si>
    <t>[Qlik] - Migración y redifinición de App Notifications Analytics - Cloud</t>
  </si>
  <si>
    <t>[Desconexión SGC] Qlik - Migración App Indicadores de siniestros - Cloud</t>
  </si>
  <si>
    <t>[Desconexión SGC] Qlik - Migración App Gestión de Estacionados - Cloud</t>
  </si>
  <si>
    <t>[Desconexión SGC] Qlik - Migración App Analítica Comercial - Cloud</t>
  </si>
  <si>
    <t>Portal Proveedores LineHaul - Plan de carga: contenerización de camiones</t>
  </si>
  <si>
    <t>[Desconexión SGC] [Salesforce] - Gestión de las canalizaciones por el equipo de Operaciones desde Salesforce</t>
  </si>
  <si>
    <t>[Salesforce] - Automatización de tarifas (en función de envíos comprometidos y rentabilidad de la cuenta)</t>
  </si>
  <si>
    <t>Estabilidad​ - Migración Conflluent​</t>
  </si>
  <si>
    <t>[PUDOS] - Entregas y Recogidas Directas en PUDO - Tránsitos ES-ES y ES-PT - Integración bidireccional de Pudos ES-PT, PT-ES</t>
  </si>
  <si>
    <t>[SAP] Migración SAP</t>
  </si>
  <si>
    <t>[SGC] - Funcionalidad de asignación de gestora en Salesforce</t>
  </si>
  <si>
    <t>Web Clientes​ - Detalles Excel con y sin Densidades (Español-Ingles), Personalizables por el propio cliente en PortalCliente y en Finanzas</t>
  </si>
  <si>
    <t>[Compras] Implantación e-Compras - Nueva Web venta material clientes (proyecto de finanzas 2023)</t>
  </si>
  <si>
    <t>[Evolutivos SGC] Adeudos manuales o automáticos, (relacionado con trabajo de auditoria interna de ES ya informada en 2022) (Validar por Procesos)</t>
  </si>
  <si>
    <t>[Evolutivos SGC] Cambio de agencia de cargo en un envío / Utilizacion de agencia de facturacion, (pérdida de funcionalidad)</t>
  </si>
  <si>
    <t>[Evolutivos SGC] Recuperar Acceso a modificacion de tarifas y configuracion del "Microservicio" (pérdida de funcionalidad importante)</t>
  </si>
  <si>
    <t>[Evolutivos SGC Finanzas] Inclusión del Cliente Máster en todos los módulos de SGC ahora no lo están (esta ligado con el anterior)</t>
  </si>
  <si>
    <t>[Evolutivos SGC Finanzas] Validación de país y CP en manifiestos</t>
  </si>
  <si>
    <t>[Evolutivos SGC] Cambio de código de Cliente al rectificar un servicio, confirmar IT si todo el proceso esta acabado (Incidencia)</t>
  </si>
  <si>
    <t>[Evolutivos SGC] Aplicar correctamente los impuestos en función de la combinación artículo-zona, Solicitud de 2015 potenciales problemas fiscales</t>
  </si>
  <si>
    <t>[Evolutivos SGC Finanzas] Revisión de las lógicas de generación de facturas en 2º plano</t>
  </si>
  <si>
    <t>[Evolutivos SGC] Visibilidad de cargos manuales históricos facturados (mejora)</t>
  </si>
  <si>
    <t>[Alarmas Finanzas] Servicios pendientes de meses anteriores que pasen al mes siguiente a modulo de facturación una vez cerrado el mes (PENDIENTE DE SOLUCIÓN DE IT YA PRESENTADA)</t>
  </si>
  <si>
    <t>[Evolutivo SGC] Adeudos RE2 y RE11 cargados el último día del mes pasadas las 17:00 horas (Pasar a Operaciones)</t>
  </si>
  <si>
    <t>[Evolutivo SGC] Desarrollar un sistema de refacturación a los brokers para que automáticamente podamos refacturarles los costes de recogida cuando se apliquen a brokers sin coste de recogida</t>
  </si>
  <si>
    <t>[Evolutivos SGC Finanzas] Posibilidad de filtrar en Valoracion de servicios por Microservicio de Tasación "Proceso SINO"</t>
  </si>
  <si>
    <t>[Alarmas Financieras] Alarma-78 Garantizar la igualación de datos de clientes en tres herramientas. (SGC-Salesforce-SAP)</t>
  </si>
  <si>
    <t>[NEXUS] [Auditoria PT] [SAP] - Mejora y/o renovación del Interface Salesforce + SGC + SAP</t>
  </si>
  <si>
    <t>[SAP] Recargo de equivalencia (módulo +) Esta evolucion debe ser en SGC y en el interface de SAP no viaja</t>
  </si>
  <si>
    <t>[Desconexión SGC] [Evolutivos SGC Finanzas] Automatización proceso gestión documental siniestros</t>
  </si>
  <si>
    <t>[Alarmas Finanzas] Alarma-55 Envíos pendientes de valorizar o sin facturar del mes anterior</t>
  </si>
  <si>
    <t>[Alarmas Finanzas] Alarma-56 Envíos abonados más de una vez</t>
  </si>
  <si>
    <t>[Alarmas Finanzas] Alarma-75 Comprobar envíos en agencias desactivadas</t>
  </si>
  <si>
    <t>[Alarmas Financieras] Alarma-41 Informe de nº envíos-discrepancias tráfico-facturación (se esta trabajando internamente también)</t>
  </si>
  <si>
    <t>API'S para clientes Routing y Canalizaciones (Integración de Clientes)</t>
  </si>
  <si>
    <t>Desenvolvimentos CNE no âmbito do Correio Inteligente</t>
  </si>
  <si>
    <t>ESW | Criação de novo agente AI para validação de código obsoleto</t>
  </si>
  <si>
    <t>Correio Inteligente - Alarmística</t>
  </si>
  <si>
    <t>STICO - Migração de Pipelines ADO2Github</t>
  </si>
  <si>
    <t>Eliminação TLS 1.0 - Comunicação info T&amp;T com MEO</t>
  </si>
  <si>
    <t>Amazon | Serviço POD (Prova de Entrega)</t>
  </si>
  <si>
    <t>BCTT - Relatório Sendgrid</t>
  </si>
  <si>
    <t>Citrix nas lojas - Análise para Eliminação / substituição</t>
  </si>
  <si>
    <t>Github Migration - Aplicações Canais Digitais</t>
  </si>
  <si>
    <t>dotCMS - update da versão</t>
  </si>
  <si>
    <t>ODM - Uniformização Ambiente Produtivo</t>
  </si>
  <si>
    <t>Migração ADO2GitHub - Pipeline ODM</t>
  </si>
  <si>
    <t>Migração ADO2GitHub - Pipelines CRM</t>
  </si>
  <si>
    <t>Mata Aplicações - Wave 1.15 - CRM Oracle Sales</t>
  </si>
  <si>
    <t>ESW | EQA | Utilização Regular da Automação de QA em Regressões</t>
  </si>
  <si>
    <t>ESW | EQA |Estabilização de Testes Automáticos Existentes de QA</t>
  </si>
  <si>
    <t>ESW | EQA | Definição de Checklist Mínimo de QA por Projeto</t>
  </si>
  <si>
    <t>INT | Mulesoft – Refatorização de Aplicações</t>
  </si>
  <si>
    <t>INT | Migração da solução da Knowledge Base atual para uma solução Knowledge Base coorporativa</t>
  </si>
  <si>
    <t>INT| Descontinuar os serviços suportados pelo Biztalk</t>
  </si>
  <si>
    <t>XRP | Alteração do fluxo de contabilização</t>
  </si>
  <si>
    <t>XRP | Refaturação entre empresas</t>
  </si>
  <si>
    <t>Implementação QuickWins MagicBeans</t>
  </si>
  <si>
    <t>Aviso de Receção (AR) Digital | Envios SuperPortal, Prestadores e Super App</t>
  </si>
  <si>
    <t>Galaxy - Jornada de envios – Jornada Expresso nacional</t>
  </si>
  <si>
    <t>Galaxy - Jornada de envios – Push recolha destinatário</t>
  </si>
  <si>
    <t>GitHub Migration - Aplicações Wave 1</t>
  </si>
  <si>
    <t>Moneyball - Gestão de Consentimentos</t>
  </si>
  <si>
    <t>Paperless - Guia expresso passar de 3 vias para 2, em apenas uma página</t>
  </si>
  <si>
    <t>SGEE - Migração de Pipelines ADO2Github</t>
  </si>
  <si>
    <t>GENAI - CIS - AI Automation - BO Faturação</t>
  </si>
  <si>
    <t>Faturas PDF | SuperApp - Faturação Portagens</t>
  </si>
  <si>
    <t>Renovação ativos rede Datacenter CTT Express (Lisboa e Barcelona)</t>
  </si>
  <si>
    <t>Renovação core LAN Porto</t>
  </si>
  <si>
    <t>Renovação Firewalls Perímetro - CheckPoint</t>
  </si>
  <si>
    <t>Reformulação do serviço AOS</t>
  </si>
  <si>
    <t>Reformulação do serviço HDDTM</t>
  </si>
  <si>
    <t>Renovaçao dos contratos de outsouricng COM</t>
  </si>
  <si>
    <t>Plano de formação (global e board)</t>
  </si>
  <si>
    <t>PAI NATAL SOLIDÁRIO</t>
  </si>
  <si>
    <t>Morada virtual | Serviço de subscrição</t>
  </si>
  <si>
    <t>Melhorias ao processo de envio de comunicações da Zurich</t>
  </si>
  <si>
    <t>Criação de chatbot no portal ctt expresso</t>
  </si>
  <si>
    <t>Criação de chatbot no super portal</t>
  </si>
  <si>
    <t>Paperless - Faturação eletrónica em loja</t>
  </si>
  <si>
    <t>Serviço de envio de emails sediado na europa</t>
  </si>
  <si>
    <t>DeMinimis EUA - Solução para retomar os envios de Bens para os EUA para os clientes não contratuais</t>
  </si>
  <si>
    <t>ESW | Integração de Crashlytics nas aplicações mobile</t>
  </si>
  <si>
    <t>Upgrade plataforma OutSystems para versão 11.40.0</t>
  </si>
  <si>
    <t>Modernização do Processo de Devolução – Fim dos Carimbos usados no CDP</t>
  </si>
  <si>
    <t>Envios Online &amp; Super APP | Serviço de Ponto de Entrega</t>
  </si>
  <si>
    <t>Plataforma de Gestão Documental IGCP</t>
  </si>
  <si>
    <t>ODIN | Separação dos clusters ODIN (IDP) por unidade de negócio</t>
  </si>
  <si>
    <t>Milytech| Alteração à extração de dados de envios</t>
  </si>
  <si>
    <t>Amazon | Serviço Especial Feriado</t>
  </si>
  <si>
    <t>Descontinuação Doxenter - Wave 2</t>
  </si>
  <si>
    <t>Faturação do produto C65 - Tracked Simples - Alteração Pré-Aviso</t>
  </si>
  <si>
    <t>Implementação de modulo de Planeamento de Transportes em Drivian e Descontinuação do Sigest</t>
  </si>
  <si>
    <t>Configuração SAP para Introdução de IBANs da região SEPA</t>
  </si>
  <si>
    <t>Faturação de Cliente Ocasional - SAP</t>
  </si>
  <si>
    <t>Revamp BIC - Indicadores diários e mensais de negócio</t>
  </si>
  <si>
    <t>Mata Aplicações - Wave 1.14</t>
  </si>
  <si>
    <t>Incremento ao Safeplace c/ Integração LMS (Decoupling Brain)</t>
  </si>
  <si>
    <t>Validação Automática de Códigos Postais Internacionais</t>
  </si>
  <si>
    <t>GPB2C | Parceria Unicâmbio - Operacionalização de serviço de cambio</t>
  </si>
  <si>
    <t>Aviso de Receção (AR) Digital nos Postos</t>
  </si>
  <si>
    <t>Informação das vendas por colaborador E nif</t>
  </si>
  <si>
    <t>Indicadores para Planeamento e Controlo (transações manuais)</t>
  </si>
  <si>
    <t>Descontinuação do winreg</t>
  </si>
  <si>
    <t>Novo Aceitação imediata de objetos expresso em lockerProjeto</t>
  </si>
  <si>
    <t>Expresso Internacional Premium | Disponibilização do produto no segmento ocasional</t>
  </si>
  <si>
    <t>Notificações Expresso | Aceitação no PUDO (Pedido ZALANDO)</t>
  </si>
  <si>
    <t>Avaliação do custo de extensão do licenciamento atual para a utilização do serviço webhook - BKTER</t>
  </si>
  <si>
    <t>SGEE - Descontinuação FTP</t>
  </si>
  <si>
    <t>SRP - Descontinuação FTP</t>
  </si>
  <si>
    <t>TTEVOB - Descontinuação FTP</t>
  </si>
  <si>
    <t>PEF - Descontinuação da utilização do FTP</t>
  </si>
  <si>
    <t>SAPSF - encriptação ficheiros SEPA CTT + CTTE</t>
  </si>
  <si>
    <t>Alterações nos Relatórios do DEM para pagamentos MB WAY</t>
  </si>
  <si>
    <t>Agentes Payshop - criação de base de dados certificada com ligação a ferramenta de edição/consulta</t>
  </si>
  <si>
    <t>Faturação Agentes Payshop - automatização e integração processo CTT</t>
  </si>
  <si>
    <t>Reconfiguração de Zonas de Taxação | Produtos Internacionais Expresso</t>
  </si>
  <si>
    <t>Logística - Utilização de Porta Paletes Autónomos</t>
  </si>
  <si>
    <t>Integração Automaise - Novo Voice Bot - Substituir as atuais "primas"</t>
  </si>
  <si>
    <t>DSD | Criar as Listas de Correio Registado e de EMS em Simultâneo</t>
  </si>
  <si>
    <t>D. Oferta - atualização base de dados dos empregados CTT em NAVe</t>
  </si>
  <si>
    <t>Descontinuação das Guias em Papel e Aplicações Locais – Introdução de um custo adicional</t>
  </si>
  <si>
    <t>CORP - Covline - Integração de clientes e contratos via kafka</t>
  </si>
  <si>
    <t>Novo modelo de integração SAP SF com Paynest</t>
  </si>
  <si>
    <t>Automatização de validação do QR Code de Selos</t>
  </si>
  <si>
    <t>Gestão de Stocks Vending em SAP</t>
  </si>
  <si>
    <t>Amazon | Informação complementar de fechos ocasionais e férias</t>
  </si>
  <si>
    <t>Evolução Modelo de Incentivos Distribuição</t>
  </si>
  <si>
    <t>Alteração da Autenticação dos Distribuidores nos Lockers</t>
  </si>
  <si>
    <t>[Projeto One Million] Redução backlog objetos expresso</t>
  </si>
  <si>
    <t>GALAXY | Identificação dos Clientes nas Lojas Físicas</t>
  </si>
  <si>
    <t>Módulo de Compliance Payshop</t>
  </si>
  <si>
    <t>Galaxy | MCE &amp; CDP - Nova Fase pós MVP - Equipa ENABLER Salesforce (AGILE WAY)</t>
  </si>
  <si>
    <t>GP B2C – BO Site CTT - Simulador Certificados de Aforro / App CTT – Aforro Digital</t>
  </si>
  <si>
    <t>Alteração Talão Vales Postais superiores a 1.000€ - recomendação auditoria REC/ASN:2025-0015</t>
  </si>
  <si>
    <t>Nova Entidade Certificadora (CA) Autoridade Tributária e Aduaneira (AT).</t>
  </si>
  <si>
    <t>Lojas com necessidade de 2 máquinas dispensadoras de senhas</t>
  </si>
  <si>
    <t>WFA | Incremento 3 | Férias</t>
  </si>
  <si>
    <t>Controlo dos Subadiantamentos (numerário) – cód. 011 - Auditoria REC/ARC 2024_1399</t>
  </si>
  <si>
    <t>BCTT - renovação de equipamentos lojas especializadas</t>
  </si>
  <si>
    <t>Teleponto / Dol - Registo de situações de doenças</t>
  </si>
  <si>
    <t>Otimização CRB</t>
  </si>
  <si>
    <t>Máquina vending machines: Associação de Receita, Faturação e gestão de stock</t>
  </si>
  <si>
    <t>Tratamento de rejeitados no SD - Eliminar pré-avisos com CP ficticios (BG4)</t>
  </si>
  <si>
    <t>Tratamento de rejeitados no SD - Entrada de pré-aviso pós primeira passagem do objeto na rede de tratamento (BG3)</t>
  </si>
  <si>
    <t>Informação normalizada (Indicadores de Gestão IG) - Fusão relatório 65 no 59 (2º e 3º fase)</t>
  </si>
  <si>
    <t>BCTT - disponibilização de logs via SFTP</t>
  </si>
  <si>
    <t>Desagregar a Intranet de Outsystems ( Acção Post Mortem - INC1002170)</t>
  </si>
  <si>
    <t>El corte Inglês - Relatorios de Conciliação forma automatica</t>
  </si>
  <si>
    <t>solução de atualização de tracking em real time - Cliente Veryfex (Prozis)</t>
  </si>
  <si>
    <t>Revamp ViaCTT – 2ª Fase</t>
  </si>
  <si>
    <t>Fornecimentos automáticos de material vendável às lojas</t>
  </si>
  <si>
    <t>Ligação do AgilePoint à BD do CoE IAP</t>
  </si>
  <si>
    <t>Nexus | P&amp;S | Implementação da oferta ibérica</t>
  </si>
  <si>
    <t>Solução de Gestão de Viagens</t>
  </si>
  <si>
    <t>BCTT - extensão do contrato de multifunções a 321 credito</t>
  </si>
  <si>
    <t>Coimas - Configuração /Mapeamentos SAP</t>
  </si>
  <si>
    <t>Alteração Ficheiro Pontos CTT - Cliente Nespresso</t>
  </si>
  <si>
    <t>XRP | RPA para substituição da integração com BPM</t>
  </si>
  <si>
    <t>XRP | ADL Gestão de Frota</t>
  </si>
  <si>
    <t>Pay I Cartões e Terminais incremento 2</t>
  </si>
  <si>
    <t>Segurança da Informação - revisão anual 2025 de Políticas e Normativos</t>
  </si>
  <si>
    <t>Proteção Avançada para a Interface do PayByLink</t>
  </si>
  <si>
    <t>Definição de Política de Gestão de Risco Cyber</t>
  </si>
  <si>
    <t>APT | Mata Aplicações - Wave 1.13</t>
  </si>
  <si>
    <t>Definição de modelo de governo para gestão de segurança da informação, compliance e gestão de risco</t>
  </si>
  <si>
    <t>CESOP - Reporte Regulatório AT</t>
  </si>
  <si>
    <t>Avaliação de Novo Software de Contact Center</t>
  </si>
  <si>
    <t>Tradução do Site e da App</t>
  </si>
  <si>
    <t>APT | Mata Aplicações Wave 1.12 - GCC</t>
  </si>
  <si>
    <t>Descontinuação do express2me para a super app</t>
  </si>
  <si>
    <t>Evolução Pesquisa Pontos de Contacto CTT</t>
  </si>
  <si>
    <t>GPB2C | Via Verde – Repositório de informação</t>
  </si>
  <si>
    <t>IOP | Redução da Obsolescência Protocolos TLS 1.0 &amp; 1.1 WAVE 4 - Servidores Unix</t>
  </si>
  <si>
    <t>IOP | Redução da Obsolescência Protocolos TLS 1.0 &amp; 1.1 WAVE 3</t>
  </si>
  <si>
    <t>IOP | Redução da Obsolescência Protocolos TLS 1.0 &amp; 1.1 WAVE 2</t>
  </si>
  <si>
    <t>A receita dos Pontos ctt não NAVe</t>
  </si>
  <si>
    <t>GPB2C | Apartados - Adaptação Tecnologia Locky e Otimização de Recolha de Dados</t>
  </si>
  <si>
    <t>Desmaterialização Documentos Multicare</t>
  </si>
  <si>
    <t>DART Team - Recomendações CTT</t>
  </si>
  <si>
    <t>Novo Modelo de Replicação de Dados Contratuais</t>
  </si>
  <si>
    <t>Correção Mapeamento informático - metadados Vales Pagos internacionais</t>
  </si>
  <si>
    <t>Redução do número de sms enviados aos clientes</t>
  </si>
  <si>
    <t>IOP | Evolução da Private Key Infrastructure (PKI) dos CTT</t>
  </si>
  <si>
    <t>Alteração Canal Produtos Pagamentos B2C</t>
  </si>
  <si>
    <t>Afetação Receita Vendas Loja Online a Gestores de clientes e hierarquia</t>
  </si>
  <si>
    <t>GPECL/DIS |PACK EXPRESSO Contabilização automática e Re-atribuição do centro de lucro</t>
  </si>
  <si>
    <t>GP ECL/INT - Erros envolvendo DHL - Objeto CTT que gera múltiplas Cartas de Porte DHL (AWB DHL Express)</t>
  </si>
  <si>
    <t>Alteração de dados à query designada por Sandra Teams PUDO para loky 16-10-2023</t>
  </si>
  <si>
    <t>Power Bi | CRM - Acesso a Informação do CRM através do PowerBi</t>
  </si>
  <si>
    <t>Sites CTT e Payshop | Inclusão dos Agentes Payshop na pesquisa de Pontos de Contacto CTT</t>
  </si>
  <si>
    <t>PDFs Gerados de Listagens lojas estão alojados nos servidores do Nave</t>
  </si>
  <si>
    <t>Data Hub - Monitorização e Backup</t>
  </si>
  <si>
    <t>Desmaterialização dos Envios de Correio e Encomendas - Envios Online Únicos (Correio e Expresso)</t>
  </si>
  <si>
    <t>Afetação correta da receita de produtos/serviços faturados fora do SAP ao respetivo gestor comercial B2B e Lojas e Loja Online</t>
  </si>
  <si>
    <t>Integração do ficheiro de pré-aviso do cliente ETCP / MEO com entrega direta em ponto</t>
  </si>
  <si>
    <t>Substituição da aplicação de faturação do P&amp;F</t>
  </si>
  <si>
    <t>Eliminação da impressão da guia da Loja na aceitação de objetos CTT Expresso (contratual e ocasional)</t>
  </si>
  <si>
    <t>BancoCTT - Redução horário Tesouraria | Automatização do horário da senha D</t>
  </si>
  <si>
    <t>Criação Seção dados Complementares</t>
  </si>
  <si>
    <t>Implementação do software da Western Union (WUPOS) em NAVe e integração com todos os sistemas centrais</t>
  </si>
  <si>
    <t>IOP | Internet - visibilidade sobre utilização e qualidade do serviço</t>
  </si>
  <si>
    <t>Comunicações - Wifi 321 Crédito - Porto</t>
  </si>
  <si>
    <t>Formulário Criar Envio de Correio Internacional | Supressão do Serviço Especial de Cobrança no Correio Registado para o âmbito Internacional</t>
  </si>
  <si>
    <t>Descontinuação do PIPOLI</t>
  </si>
  <si>
    <t>ETCP - Anomalia na Integração do ficheiro das recolhas</t>
  </si>
  <si>
    <t>Pagamento de Vales Nacionais e Internacionais - Finalização do pagamento apenas após procedimentos de RCTO concluídos</t>
  </si>
  <si>
    <t>Melhorias área cliente correio</t>
  </si>
  <si>
    <t>GPB2C | Inibição de Pagamentos a Entidades Coletivas Singulares no Nave e no STA</t>
  </si>
  <si>
    <t>Apresentação Imagens BOL LCD LOJAS</t>
  </si>
  <si>
    <t>Banco CTT - Alteração Processo Faturação</t>
  </si>
  <si>
    <t>PAY - Instrumento Transferências - Alteração Requisitos - Fev</t>
  </si>
  <si>
    <t>IOP | ClearPass - alargar cobertura da solução de Network Access Control</t>
  </si>
  <si>
    <t>IOP | Segregação da Rede Privada</t>
  </si>
  <si>
    <t>GPECL/DIS - Notificações Sábado e Domingo // alteração do processo de indicação da data de entrega</t>
  </si>
  <si>
    <t>Evolução tecnológica do PIAO</t>
  </si>
  <si>
    <t>IOP | Obsolescência WAVE 2 - Matar/Upgrade Oracle DB, IBM DB2 para ultimas versões suportadas (mínimo n-1)</t>
  </si>
  <si>
    <t>IOP | Obsolescência WAVE 1 - Matar/Upgrade SQL Server anterior a 2019</t>
  </si>
  <si>
    <t>IOP | Obsolescência WAVE 1 - Windows 7 (evoluir para windows 11)</t>
  </si>
  <si>
    <t>IOP | Obsolescência Infraestrutura WAVE 0 - Converter LDAP em LDAPS (ENABLERS)</t>
  </si>
  <si>
    <t>Obsolescência WAVE 0 - Converter LDAP em LDAPS (BCTT)</t>
  </si>
  <si>
    <t>Iberian - Incremento Visão de tratamento por KG's, Restantes Kpi's</t>
  </si>
  <si>
    <t>Report automatizado para Crédito Pessoal</t>
  </si>
  <si>
    <t>SSM - validação dos dados registados em NAVe, previamente à sua conclusão</t>
  </si>
  <si>
    <t>UPDATE | SOLUÇÃO TRANSFORMAÇÃO | RELATÓRIO SERIAL NUMBER EXPEDIÇÃO</t>
  </si>
  <si>
    <t>IOP | CrushFTP - migração de CentOS para Ubuntu</t>
  </si>
  <si>
    <t>PAY - Instrumento Transferências - Alteração de requisitos definidos pelo BdP - março</t>
  </si>
  <si>
    <t>Banco CTT - Gestão de Acessos em SAP4Hana</t>
  </si>
  <si>
    <t>Planeamento e Controlo Diário - Conciliação Modelo A</t>
  </si>
  <si>
    <t>Geração de ficheiro excel com dados NEV</t>
  </si>
  <si>
    <t>Workforce Analytics - Incremento Integração Indicadores Espanha</t>
  </si>
  <si>
    <t>Incusão de informação da “Faturação prevista” e “Tráfego previsto nos Relatorios</t>
  </si>
  <si>
    <t>Aplicação OPL6 compromete a segurança do ecossistema CTT,</t>
  </si>
  <si>
    <t>Nova Oferta produtos Untracked e Tracked Simples - melhoria de informação site TT 2023 07 24</t>
  </si>
  <si>
    <t>GPB2C | Subsidio Social de Mobilidade - Recomendações de Auditoria (Nº 21001/23)</t>
  </si>
  <si>
    <t>Relatorio SAP Hana - Dados de Clientes Objetos à Cobrança</t>
  </si>
  <si>
    <t>Onboarding POP - retificação de interface de criação de entidade</t>
  </si>
  <si>
    <t>Modelo de Analise de Variação de Negocio (Efeitos Trafego e Preço)</t>
  </si>
  <si>
    <t>CTT Sol. Empresariais - GSB2B/BFT_Melhorias ao Processo de Faturação</t>
  </si>
  <si>
    <t>BPM - Processo de Regularização de Movimentos Manual</t>
  </si>
  <si>
    <t>GPECL/DIS - CTT Now melhorias aplicação</t>
  </si>
  <si>
    <t>Novos Canais | Assegurar a liquidação automática das faturas de campanhas Outbound</t>
  </si>
  <si>
    <t>Impressoras Termicas (Clientes Externos) - certificação de varios modelos e handover para EM</t>
  </si>
  <si>
    <t>Workforce Analytics - Integração Espanha</t>
  </si>
  <si>
    <t>GS B2C - Evolução do sistema de Gestão da informação Geográfica da Rede</t>
  </si>
  <si>
    <t>e-SIGN: Nova solução de assinatura digital CTT</t>
  </si>
  <si>
    <t>ECL/PSC - Identificação de giros de distribuição (green delivery)</t>
  </si>
  <si>
    <t>GS B2C - Disponibilização de informação do Data Analytics sobre Sessões NAVe</t>
  </si>
  <si>
    <t>MPC | Integração Sprinklr no CRM | Melhorar Integração de mensagens</t>
  </si>
  <si>
    <t>GS B2C - Disponibilização de dados de vendas Filatelia dos canais FIL e DTI</t>
  </si>
  <si>
    <t>Criação Portal Parceiro</t>
  </si>
  <si>
    <t>Atualização Catálogo Produtos e Otimização de Guias de Remessa (Operações de Filatelia)</t>
  </si>
  <si>
    <t>B2C NAVe | GP B2C-Validação da data de Voo com a AT - Subsidio de Mobilidade</t>
  </si>
  <si>
    <t>Dona Oferta – Dados de recibo/fatura automáticos</t>
  </si>
  <si>
    <t>GP B2C-Automatização da faturação APIN</t>
  </si>
  <si>
    <t>RC</t>
  </si>
  <si>
    <t>100%%</t>
  </si>
  <si>
    <t>MAIL &amp; SERVICES</t>
  </si>
  <si>
    <t>DeMinimisEUA - Solu√ß√£o CTT para permitir retomar envios de mercadorias para os EUA</t>
  </si>
  <si>
    <t>[Desconexi√≥n SGC] Evoluci√≥n pantalla web Nexus (modulo seguimiento de rutas/ recogidas)</t>
  </si>
  <si>
    <t>Evolutivos SAP Log√≠stica Q1 2026</t>
  </si>
  <si>
    <t>[Qlik] - APP Contact Center Integrar toda la informaci√≥n de casos de Salesforce</t>
  </si>
  <si>
    <t>Auditoria 2.0 - Cria√ß√£o de Data Lake para implementa√ß√£o de Auditoria¬†Cont√≠nua e Auditoria √† Distancia - Entrega R2</t>
  </si>
  <si>
    <t>[WebHook] - Shein ADT - Migraci√≥n de infraestructura de Shein ADT</t>
  </si>
  <si>
    <t>APT | Migra√ß√£o APIs IBM em Mulesoft - Fase 5/5</t>
  </si>
  <si>
    <t>DORA - implementa√ß√£o de remedia√ß√µes (Payshop)</t>
  </si>
  <si>
    <t>Valida√ß√£o Antecipada de Objetos a Recolher</t>
  </si>
  <si>
    <t>Postman Digital Brain - Fase 1 &amp; 2</t>
  </si>
  <si>
    <t>[Web de Clientes][Web de Cambios] - Trazabilidad - Actualizaci√≥n de literales en visi√≥n de Web de clientes y Destinatario (Web de cambios)</t>
  </si>
  <si>
    <t>NOTA (fase 3) Controlo de Fundos de Maneio das Lojas</t>
  </si>
  <si>
    <t>Esfor√ßo CTT de apoio ao Banco CTT - Segrega√ß√£o de Identidades e Servi√ßos Microsoft 365</t>
  </si>
  <si>
    <t>Programa Galaxy - Jornada de envios "Correio Registado Nacional e Expresso Nacional"</t>
  </si>
  <si>
    <t>XRP - FASE 2: CTT e novas funcionalidades</t>
  </si>
  <si>
    <t>[Internacional]-[Nuevo Producto Low Cost]- SKYNET</t>
  </si>
  <si>
    <t>GitHub Migration - Aplica√ß√µes Wave 2</t>
  </si>
  <si>
    <t>[PUDOS] - Incluir selecci√≥n origen PT en Web Clientes para servicios RDP origen PT con manifiesto en ES</t>
  </si>
  <si>
    <t>Novo Modelo operativo - Postos CTT n√£o NAVe</t>
  </si>
  <si>
    <t>Helena Evolu√ß√£o + Arquitetura de refer√™ncia para Solu√ß√µes AI - Incremento 1</t>
  </si>
  <si>
    <t>Mata Aplica√ß√µes - Wave 1.14</t>
  </si>
  <si>
    <t>Aviso de Rece√ß√£o (AR) Digital</t>
  </si>
  <si>
    <t>SAPSF Evolutivos 01.2026</t>
  </si>
  <si>
    <t>APT | Migra√ß√£o APIs IBM em Mulesoft - Iniciativa 4</t>
  </si>
  <si>
    <t>GALAXY (Stream Perif√©ricos)| Aceita√ß√£o de Novos C√≥digos de Barras em NAVe (Cobran√ßa Postal)</t>
  </si>
  <si>
    <t>revamp.EPM - Framework CPM 360 MVP (BCR + PBF)</t>
  </si>
  <si>
    <t>GitHub Migration - Aplica√ß√µes Wave 1</t>
  </si>
  <si>
    <t>Site Payshop | Duplica√ß√£o do Template do Site CTT para Payshop</t>
  </si>
  <si>
    <t>Auditoria 2.0 - Cria√ß√£o de Data Lake para implementa√ß√£o de Auditoria¬†Cont√≠nua e Auditoria √† Distancia - Entrega R1</t>
  </si>
  <si>
    <t>SAPSF - Wave 2 (RECrutamento, ONBoarding)</t>
  </si>
  <si>
    <t>Auditoria 2.0 - Cria√ß√£o de Data Lake para implementa√ß√£o de Auditoria¬†Cont√≠nua e Auditoria √† Distancia - Entrega R3</t>
  </si>
  <si>
    <t>SAPSF - encripta√ß√£o ficheiros SEPA CTT + CTTE</t>
  </si>
  <si>
    <t>Evolutivas SAP - Mapeamentos contabilisticos &amp; testes</t>
  </si>
  <si>
    <t>[Nexus Piloto Operacional] Puesta en marcha Fase 2 del Piloto Operacional con el flujo de env√≠os PT-PT</t>
  </si>
  <si>
    <t>[Notificaciones] -Fake Delivery - Actualizaci√≥n de campos de PDA y notificaci√≥n de entrega</t>
  </si>
  <si>
    <t>Nuevos desarrollos Normalizaci√≥n de direcciones</t>
  </si>
  <si>
    <t>Automatiza√ß√£o da aloca√ß√£o das recolhas (Correio Registado Locker)</t>
  </si>
  <si>
    <t>[Desconexi√≥n SGC] - Creaci√≥n nuevo estado "No realizado"</t>
  </si>
  <si>
    <t>Desconexi√≥n de SGC - Definici√≥n del RoadMap</t>
  </si>
  <si>
    <t>APT | Mata Aplica√ß√µes - Wave 1.13</t>
  </si>
  <si>
    <t>Expansi√≥n de lectura en contenedores (Propios y de clientes)</t>
  </si>
  <si>
    <t>[NEXUS][PT]- PRODUCTO BANCA</t>
  </si>
  <si>
    <t>Reconciliaci√≥n bancaria de Cobros por tarjeta y Bizum</t>
  </si>
  <si>
    <t>DSD | Criar as Listas de Correio Registado e de EMS em Simult√¢neo</t>
  </si>
  <si>
    <t>Stack Observabilidad Ib√©rico</t>
  </si>
  <si>
    <t>XRP | Altera√ß√£o do fluxo de contabiliza√ß√£o</t>
  </si>
  <si>
    <t>Automatizar la carga del maestro de CP7 de Portugal [Objetos con origen en Espa√±a sin Cp7]</t>
  </si>
  <si>
    <t>BCTT - Relat√≥rio Sendgrid</t>
  </si>
  <si>
    <t>Migration of J1CPTA - Data flows towards IPMX -NGIPMX-716 NGIPMX-699 NGIPMX-601</t>
  </si>
  <si>
    <t>Integra√ß√£o Automaise - Novo Voice Bot - Substituir as atuais "primas"</t>
  </si>
  <si>
    <t>WS - Mejorar Experiencia en PUDO's</t>
  </si>
  <si>
    <t>Evolutivos SAP BRIM (1¬∫ TRIM 26)</t>
  </si>
  <si>
    <t>Env√≠os Amazon destino Braga solo manifestados para entrar en senda</t>
  </si>
  <si>
    <t>Plano de forma√ß√£o (global e board)</t>
  </si>
  <si>
    <t>[Desconexi√≥n SGC] [Salesforce Service] - Abonos, Siniestros e indemnizaciones</t>
  </si>
  <si>
    <t>Paperless - Fatura√ß√£o eletr√≥nica em loja</t>
  </si>
  <si>
    <t>[Qlik] - Gesti√≥n de oportunidades - Hito semanal por comercial disponible</t>
  </si>
  <si>
    <t>C√°lculo de la franja horaria de entrega y elaboraci√≥n de los KPIS de seguimiento</t>
  </si>
  <si>
    <t>Renova√ß√£o Infoblox - Grid, DNS, DHCP, NTP e IPAM</t>
  </si>
  <si>
    <t>Herramienta de Verificaci√≥n de Pagos (√Årea de Ingresos)</t>
  </si>
  <si>
    <t>[Web P√∫blica] [CIBERSEGURIDAD] - Migraci√≥n de infraestructura de MiddleWare de PhP</t>
  </si>
  <si>
    <t>DSD | Mobi - Permitir a Leitura do C√≥digo Laranja do Correio Azul</t>
  </si>
  <si>
    <t>[WebHook] - Mediapost - Transmisi√≥n de estados en mensaje NO est√°ndar</t>
  </si>
  <si>
    <t>[Nexus Piloto Operacional] [We Serve] Incremento de env√≠os en Piloto y despliegue Nexus</t>
  </si>
  <si>
    <t>Cuadro de mando reputaci√≥n CTT</t>
  </si>
  <si>
    <t>DART Team - Recomenda√ß√µes CTT</t>
  </si>
  <si>
    <t>Definici√≥n Arquitectura .Net Ib√©rico</t>
  </si>
  <si>
    <t>PAY - Instrumento Transfer√™ncias - Altera√ß√£o Requisitos - Fev</t>
  </si>
  <si>
    <t>[PUDOS] - Lockers¬†Locky - PT - Recogidas + Detalle de localizaci√≥n de Lockys</t>
  </si>
  <si>
    <t>Dados Opera√ß√µes Online</t>
  </si>
  <si>
    <t>Sistema de seguimiento de rutas de arrastre - Implementaci√≥n de eCMR</t>
  </si>
  <si>
    <t>Evolu√ß√£o Pesquisa Pontos de Contacto CTT</t>
  </si>
  <si>
    <t>[Desconexi√≥n SGC] [Nexia] - Consulta masiva de env√≠os y acciones sobre los resultados + export/import en Excel</t>
  </si>
  <si>
    <t>Definici√≥n Arquitectura React Ib√©rico</t>
  </si>
  <si>
    <t>GPB2C | Parceria Unic√¢mbio - Operacionaliza√ß√£o de servi√ßo de cambio</t>
  </si>
  <si>
    <t>DSD | Atualizar a Informa√ß√£o Ficha de Registo - Sistema Solistic</t>
  </si>
  <si>
    <t>[Desconexi√≥n SGC] Cierre diario: Liquidaci√≥n de portes debidos y reembolsos</t>
  </si>
  <si>
    <t>Banco CTT - Altera√ß√£o Processo Fatura√ß√£o</t>
  </si>
  <si>
    <t>Definici√≥n Arquitectura Kotlin Ib√©rico</t>
  </si>
  <si>
    <t>[SGC] - L√≥gica de aplicaci√≥n de perfil tarifario a nuevos centros en SGC</t>
  </si>
  <si>
    <t>Gera√ß√£o de ficheiro excel com dados NEV</t>
  </si>
  <si>
    <t>[Desconexi√≥n SGC] Cierre diario: Incidencias</t>
  </si>
  <si>
    <t>Evolu√ß√£o Modelo de Incentivos Distribui√ß√£o</t>
  </si>
  <si>
    <t>Creaci√≥n Estados Aduanas, visibilidad y reporte a clientes</t>
  </si>
  <si>
    <t>e-SIGN: Nova solu√ß√£o de assinatura digital CTT</t>
  </si>
  <si>
    <t>Creaci√≥n de interfaz en nexia para crear incidencias</t>
  </si>
  <si>
    <t>Cria√ß√£o de chatbot no portal ctt expresso</t>
  </si>
  <si>
    <t>Mejorar el algoritmo de aproximaci√≥n de calculo de CP/Poblacion de manifiestos [Objetos con origen en Espa√±a sin Cp7]</t>
  </si>
  <si>
    <t>Correio Inteligente - Alarm√≠stica</t>
  </si>
  <si>
    <t>[Desconexi√≥n SGC] Gesti√≥n de Incidencias y Soluciones</t>
  </si>
  <si>
    <t>DSD | Leitura do Correio Azul e Registado no Mobi</t>
  </si>
  <si>
    <t>[Desconexi√≥n SGC] [Salesforce Service] - Creaci√≥n de flujos de trabajo entre Salesforce-Service y Nexia</t>
  </si>
  <si>
    <t>[Web de Clientes] - Desconexi√≥n Web-Tracking</t>
  </si>
  <si>
    <t>SLA - Migra√ß√£o para GitHub</t>
  </si>
  <si>
    <t>Defini√ß√£o de modelo de governo para gest√£o de seguran√ßa da informa√ß√£o, compliance e gest√£o de risco</t>
  </si>
  <si>
    <t>[Desconexi√≥n SGC]: Creaci√≥n y mantenimiento de CO's</t>
  </si>
  <si>
    <t>[NEXUS][PT]- PRODUCTO CARGA</t>
  </si>
  <si>
    <t>P&amp;L Ib√©rica e informaci√≥n de gesti√≥n</t>
  </si>
  <si>
    <t>Definici√≥n Arquitectura Github</t>
  </si>
  <si>
    <t>XRP | Refatura√ß√£o entre empresas</t>
  </si>
  <si>
    <t>[Integraci√≥n de Clientes] Tik Tok - Bloqueo del dato publicado de peso y medidas despu√©s del estado definitivo.</t>
  </si>
  <si>
    <t>Nexus | We Bill | Upgrade Convergent Mediations e Charging</t>
  </si>
  <si>
    <t>[Desconexi√≥n SGC]: Brokers y Franquicias: grabaci√≥n de env√≠os con/sin entrega</t>
  </si>
  <si>
    <t>KPIs de Prevenci√≥n de Riesgos Laborales de CTT Express</t>
  </si>
  <si>
    <t>DSD | Organizar Rota (Zona e Ordena√ß√£o ) no Mobi</t>
  </si>
  <si>
    <t>[Desconexi√≥n SGC] Qlik - Migraci√≥n App Gesti√≥n de Estacionados - Cloud</t>
  </si>
  <si>
    <t>Migraci√≥n a Cloud ficheros IDL e Inditex</t>
  </si>
  <si>
    <t>[Desconexi√≥n SGC]: Canarias</t>
  </si>
  <si>
    <t>Defini√ß√£o de Pol√≠tica de Gest√£o de Risco Cyber</t>
  </si>
  <si>
    <t>[Seguridad] PDA Planta (TO)/Gesti√≥n de Planta/ Auditor√≠a de seguridad/Control de conductores</t>
  </si>
  <si>
    <t>Super Portal | Trazer produtos de acesso √† rede para envios com contexto</t>
  </si>
  <si>
    <t>[Minerva] - Cambiar m√©todo de autenticaci√≥n en Minerva</t>
  </si>
  <si>
    <t>Implementa√ß√£o de modulo de Planeamento de Transportes em Drivian e Descontinua√ß√£o do Sigest</t>
  </si>
  <si>
    <t>[Desconexi√≥n SGC] Cierre diario: Recogidas</t>
  </si>
  <si>
    <t>Renova√ß√£o core LAN Porto</t>
  </si>
  <si>
    <t>Migraci√≥n Infraestructura GIT =&gt; GitHub (Salesforce)</t>
  </si>
  <si>
    <t>[NEXUS] [Web de clientes]- Configuraci√≥n - Administraci√≥n, gesti√≥n de usuarios y centros de Clientes de Venta directa (settings)</t>
  </si>
  <si>
    <t>NOXUS - Plataforma de IA</t>
  </si>
  <si>
    <t>[Desconexi√≥n SGC] Cierre diario: Escaneo de documentaci√≥n</t>
  </si>
  <si>
    <t>[Desconexi√≥n SGC] [Salesforce] - Integraci√≥n de GoContact IVR con el Cloud (Service)</t>
  </si>
  <si>
    <t>NIS2 - Implementa√ß√£o de remedia√ß√µes (PT) - Gest√£o de Ativos</t>
  </si>
  <si>
    <t>Migraci√≥n Infraestructura GIT =&gt; GitHub , Arquetipo .net</t>
  </si>
  <si>
    <t>To Expedite - [Salesforce Sales] - NEW WORKFLOW OFERTAS (Cambio del flujo de aprobaci√≥n de ofertas seg√∫n usuario y modelo tarifario)</t>
  </si>
  <si>
    <t>[NEXUS] [Fase 2] Decision Server define the exit based on Route</t>
  </si>
  <si>
    <t>[Desconexi√≥n SGC] Grabaci√≥n manual de env√≠os</t>
  </si>
  <si>
    <t>PAI NATAL SOLID√ÅRIO</t>
  </si>
  <si>
    <t>[Evolutivos SGC Finanzas] Validaci√≥n de pa√≠s y CP en manifiestos</t>
  </si>
  <si>
    <t>Lojas com necessidade de 2 m√°quinas dispensadoras de senhas</t>
  </si>
  <si>
    <t>Migraci√≥n Infraestructura de Web Corporativa de AckStorm a Ctt Express</t>
  </si>
  <si>
    <t>Aviso de Rece√ß√£o (AR) Digital nos Postos</t>
  </si>
  <si>
    <t>[Desconexi√≥n SGC] [Salesforce] - Gesti√≥n de las canalizaciones por el equipo de Operaciones desde Salesforce</t>
  </si>
  <si>
    <t>Liga√ß√£o do AgilePoint √† BD do CoE IAP</t>
  </si>
  <si>
    <t>Visualizaci√≥n de kil√≥metros en Qlik</t>
  </si>
  <si>
    <t>Cria√ß√£o de chatbot no super portal</t>
  </si>
  <si>
    <t>[Auditoria PT] Controles peri√≥dicos que garanticen la selecci√≥n de lecturas √≥ptimas para facturaci√≥n</t>
  </si>
  <si>
    <t>NIS2 - Implementa√ß√£o de remedia√ß√µes (PT) - Seguran√ßa da Supply Chain</t>
  </si>
  <si>
    <t>[Desconexi√≥n SGC] Reetiquetado</t>
  </si>
  <si>
    <t>Cierre administrativo autom√°tico - "Evitar pasar a Entregado Administrativo env√≠os que tienen un estado entregado y posteriormente se abre una caso en Salesforce y cambia a otro estado"</t>
  </si>
  <si>
    <t>[Desconexi√≥n SGC] PDA Planta-Dependencias PDA planta de SGC</t>
  </si>
  <si>
    <t>SGEE - Migra√ß√£o de Pipelines ADO2Github</t>
  </si>
  <si>
    <t>[Qlik] - Creaci√≥n de un nueva dimensi√≥n Tipo Comercial Hist√≥rico</t>
  </si>
  <si>
    <t>Teleponto / Dol - Registo de situa√ß√µes de doen√ßas</t>
  </si>
  <si>
    <t>Perdida de funcionalidad Modificaci√≥n Art√≠culos</t>
  </si>
  <si>
    <t>XRP | ADL Gest√£o de Frota</t>
  </si>
  <si>
    <t>Creaci√≥n de Interfaz de usuario para simular la creaci√≥n y ciclo de vida de env√≠o</t>
  </si>
  <si>
    <t>IA &amp; Automa√ß√£o Corporate</t>
  </si>
  <si>
    <t>[WebHook] - ZooPlus - Transmisi√≥n de estados en mensaje est√°ndar</t>
  </si>
  <si>
    <t>Seguran√ßa da Informa√ß√£o - revis√£o anual 2025 de Pol√≠ticas e Normativos</t>
  </si>
  <si>
    <t>Migraci√≥n SGC - Estacionados a Nexus</t>
  </si>
  <si>
    <t>Implementa√ß√£o do software da Western Union (WUPOS) em NAVe e integra√ß√£o com todos os sistemas centrais</t>
  </si>
  <si>
    <t>Moderniza√ß√£o do Processo de Devolu√ß√£o ‚Äì Fim dos Carimbos usados no CDP</t>
  </si>
  <si>
    <t>[Internacional] - Pol√≠tica de reintentos en la grabaci√≥n de env√≠os internacionales en el sistema del proveedor</t>
  </si>
  <si>
    <t>[Nexus P&amp;S] -Portfolio Ib√©rico Ecommerce : Upload the proposal and pricing in Salesforce and Minerva</t>
  </si>
  <si>
    <t>[Desconexi√≥n SGC]: Br√≥kers y Franquicias: Modulo distribuci√≥n de Franquicias</t>
  </si>
  <si>
    <t>Configura√ß√£o SAP para Introdu√ß√£o de IBANs da regi√£o SEPA</t>
  </si>
  <si>
    <t>[Evolutivos SGC Finanzas] Revisi√≥n de las l√≥gicas de generaci√≥n de facturas en 2¬∫ plano</t>
  </si>
  <si>
    <t>Log√≠stica - Utiliza√ß√£o de Porta Paletes Aut√≥nomos</t>
  </si>
  <si>
    <t>Incluir 'audit' en los mensajes publicados en el t√≥pico aws.delivery.fct.international-v1</t>
  </si>
  <si>
    <t>[Desconexi√≥n SGC] [WebHook] - Implementacion de la Plataforma de WebHooks standard</t>
  </si>
  <si>
    <t>Implementa√ß√£o QuickWins MagicBeans</t>
  </si>
  <si>
    <t>Integraci√≥n con CACESA para la sustituci√≥n de ADYCO (30-nov)</t>
  </si>
  <si>
    <t>Implantaci√≥n con empresa externa de software para la medici√≥n de la Huella de Carbono</t>
  </si>
  <si>
    <t>Galaxy - Jornada de envios ‚Äì Jornada Expresso nacional</t>
  </si>
  <si>
    <t>Tratamento de rejeitados no SD - Eliminar pr√©-avisos com CP ficticios (BG4)</t>
  </si>
  <si>
    <t>Comunica√ß√µes - Wifi 321 Cr√©dito - Porto</t>
  </si>
  <si>
    <t>[Salesforce] - Usuario / Origen de una acci√≥n sobre un env√≠o en la trazabilidad desde ATC</t>
  </si>
  <si>
    <t>Desenvolvimentos CNE no √¢mbito do Correio Inteligente</t>
  </si>
  <si>
    <t>[PET-3-] [Item-Status-v2] - Es necesario propagar la localizaci√≥n GPS de los eventos en los cambios de estado de item y env√≠o</t>
  </si>
  <si>
    <t>Incremento ao Safeplace c/ Integra√ß√£o LMS (Decoupling Brain)</t>
  </si>
  <si>
    <t>[Nexus] - [We Sell] - [Desconexi√≥n ORACLE] - Funciones de equipos PREVENDAS</t>
  </si>
  <si>
    <t>Teste Silvia (temporario)</t>
  </si>
  <si>
    <t>[Desconexi√≥n SGC]: Internacional</t>
  </si>
  <si>
    <t>Descontinua√ß√£o Doxenter - Wave 2</t>
  </si>
  <si>
    <t>[Evolutivos SGC] Visibilidad de cargos manuales hist√≥ricos facturados (mejora)</t>
  </si>
  <si>
    <t>[NEXUS][PT]- INTERNACIONAL EUROPA</t>
  </si>
  <si>
    <t>[Desconexi√≥n SGC] [PUDOS] - Migraci√≥n de funcionalidades de SGC al Cloud</t>
  </si>
  <si>
    <t>Faturas PDF | SuperApp - Fatura√ß√£o Portagens</t>
  </si>
  <si>
    <t>[PUDOS] [Wizard] - Funcionalidad PDA: Entrega de env√≠os en PUDO mediante Baliza</t>
  </si>
  <si>
    <t>Elimina√ß√£o TLS 1.0 - Comunica√ß√£o info T&amp;T com MEO</t>
  </si>
  <si>
    <t>[Auditoria PT] Automatismo para replicar la l√≥gica de correcci√≥n manual de pesos declarados</t>
  </si>
  <si>
    <t>Conta CTT | Revamp da Conta CTT</t>
  </si>
  <si>
    <t>[Projeto One Million] Redu√ß√£o backlog objetos expresso</t>
  </si>
  <si>
    <t>[Web de Clientes] - Grabaci√≥n masiva de env√≠os (carga de fichero) - v2</t>
  </si>
  <si>
    <t>[Desconexi√≥n SGC] Lecturas de stock sobre Contenedores</t>
  </si>
  <si>
    <t>PAY - Instrumento Transfer√™ncias - Altera√ß√£o de requisitos definidos pelo BdP - mar√ßo</t>
  </si>
  <si>
    <t>Tratamento de rejeitados no SD - Entrada de pr√©-aviso p√≥s primeira passagem do objeto na rede de tratamento (BG3)</t>
  </si>
  <si>
    <t>[Nexus] - [We Sell] - [Desconexi√≥n ORACLE] - Onboarding Digital</t>
  </si>
  <si>
    <t>Restricci√≥n de Login en APP de Planta</t>
  </si>
  <si>
    <t>Migra√ß√£o ADO2GitHub - Pipeline ODM</t>
  </si>
  <si>
    <t>[SGC] - Funcionalidad de asignaci√≥n de gestora en Salesforce</t>
  </si>
  <si>
    <t>Plataforma de Gest√£o Documental IGCP</t>
  </si>
  <si>
    <t>[Desconexi√≥n SGC] Qlik - Migraci√≥n App Anal√≠tica Comercial - Cloud</t>
  </si>
  <si>
    <t>Geopostal 2026</t>
  </si>
  <si>
    <t>[Desconexi√≥n SGC] [Salesforce Service] - Migraci√≥n del Almac√©n regulador‚Äã de SGC</t>
  </si>
  <si>
    <t>Fatura√ß√£o de Cliente Ocasional - SAP</t>
  </si>
  <si>
    <t>[Auditoria PT] Garantizar ejecuci√≥n de fase de pruebas antes y despu√©s de implantar nuevos desarrollos</t>
  </si>
  <si>
    <t>Postman Digital Brain - Fase 3</t>
  </si>
  <si>
    <t>WFA | Incremento 3 | F√©rias</t>
  </si>
  <si>
    <t>[Desconexi√≥n SGC] [Evolutivos SGC Finanzas] Automatizaci√≥n proceso gesti√≥n documental siniestros</t>
  </si>
  <si>
    <t>STICO - Migra√ß√£o de Pipelines ADO2Github</t>
  </si>
  <si>
    <t>[Auditoria PT] Implementar pruebas preventivas para identificar errores en la parametrizaci√≥n de las reglas de peso</t>
  </si>
  <si>
    <t>BancoCTT - Redu√ß√£o hor√°rio Tesouraria | Automatiza√ß√£o do hor√°rio da senha D</t>
  </si>
  <si>
    <t>PDA Planta (TO)/Gesti√≥n de Planta/Gesti√≥n FIFO en San fernando</t>
  </si>
  <si>
    <t>[Auditoria PT] Pruebas sobre calidad de datos declarados por clientes con facturaci√≥n basada en el peso y/o las medidas declaradas</t>
  </si>
  <si>
    <t>Solu√ß√£o de Gest√£o de Viagens</t>
  </si>
  <si>
    <t>[Desconexi√≥n SGC] Qlik - Migraci√≥n App Indicadores de siniestros - Cloud</t>
  </si>
  <si>
    <t>Melhorias ao processo de envio de comunica√ß√µes da Zurich</t>
  </si>
  <si>
    <t>[Nexus] - [We Sell] - [Desconexi√≥n ORACLE] - Tareas del equipo BackOffice</t>
  </si>
  <si>
    <t>PDA Planta (TO)/Gesti√≥n de Planta/Mejoras pendientes/Solventar error de contenerizaci√≥n y doble registro</t>
  </si>
  <si>
    <t>GitHub Migration - Implementa√ß√£o de Pipeline T&amp;T em GitHub</t>
  </si>
  <si>
    <t>[Desconexi√≥n SGC] Qlik - Migraci√≥n App Territory P&amp;L - Cloud</t>
  </si>
  <si>
    <t>Galaxy - Jornada de envios ‚Äì Push recolha destinat√°rio</t>
  </si>
  <si>
    <t>Revamp BIC - Indicadores di√°rios e mensais de neg√≥cio</t>
  </si>
  <si>
    <t>Portal Proveedores LineHaul - Plan de carga: contenerizaci√≥n de camiones</t>
  </si>
  <si>
    <t>Teleponto - Migra√ß√£o de BD Oracle para BD SQL</t>
  </si>
  <si>
    <t>Informa√ß√£o normalizada (Indicadores de Gest√£o IG) - Fus√£o relat√≥rio 65 no 59 (2¬∫ e 3¬∫ fase)</t>
  </si>
  <si>
    <t>Actualizaci√≥n de maestro de c√≥digos postales PT en nexus</t>
  </si>
  <si>
    <t>CORP - Covline - Integra√ß√£o de clientes e contratos via kafka</t>
  </si>
  <si>
    <t>[Nexus] [Producto] - Devoluci√≥n F√°cil /Easy Return (implantar el modelo de PT para las devoluciones)</t>
  </si>
  <si>
    <t>Nexus | P&amp;S | Implementa√ß√£o da oferta ib√©rica</t>
  </si>
  <si>
    <t>[Qlik] - Migraci√≥n y redifinici√≥n de App Notifications Analytics - Cloud</t>
  </si>
  <si>
    <t>XRP | RPA para substitui√ß√£o da integra√ß√£o com BPM</t>
  </si>
  <si>
    <t>[Desconexi√≥n SGC] Evolutivo - Quitar topics SGC (control point, ship-v1,..)</t>
  </si>
  <si>
    <t>ODIN | Separa√ß√£o dos clusters ODIN (IDP) por unidade de neg√≥cio</t>
  </si>
  <si>
    <t>Evoluci√≥n portal de Arrastres V.2</t>
  </si>
  <si>
    <t>[SGC] - Funcionalidad de Comisi√≥n Reembolso sobre "entregados" activa</t>
  </si>
  <si>
    <t>Creaci√≥n Arquetipo .net</t>
  </si>
  <si>
    <t>CTT Sol. Empresariais - GSB2B/BFT_Melhorias ao Processo de Fatura√ß√£o</t>
  </si>
  <si>
    <t>Cliente SALVADOR ESCODA SAT - Modificaci√≥n Mapper</t>
  </si>
  <si>
    <t>Reactivar recursos al iniciar la ruta (Veh√≠culos-Conductores)</t>
  </si>
  <si>
    <t>BCTT - disponibiliza√ß√£o de logs via SFTP</t>
  </si>
  <si>
    <t>[Auditoria PT] Detecci√≥n y expulsi√≥n en los clasificadores de objetos de Clientes inactivos</t>
  </si>
  <si>
    <t>Habilitar registro de incidencias "Llegada por error" y "Mercanc√≠a no enlazada" a trav√©s del c√≥digo de barras del sin√≥nimo.</t>
  </si>
  <si>
    <t>Paperless - Guia expresso passar de 3 vias para 2, em apenas uma p√°gina</t>
  </si>
  <si>
    <t>Mejora de visualizaci√≥n en PDA last-mail env√≠os balanceados por SENDA "LIBRA"</t>
  </si>
  <si>
    <t>GP B2C ‚Äì BO Site CTT - Simulador Certificados de Aforro / App CTT ‚Äì Aforro Digital</t>
  </si>
  <si>
    <t>[Salesforce Service] - Reglas de cierre y respuesta autom√°tica de casos de env√≠os estacionados o ubicados</t>
  </si>
  <si>
    <t>Power Bi | CRM - Acesso a Informa√ß√£o do CRM atrav√©s do PowerBi</t>
  </si>
  <si>
    <t>[Desconexi√≥n SGC] Cambio Maestro de canalizaciones en COs</t>
  </si>
  <si>
    <t>Fatura√ß√£o CORRE - Identifica√ß√£o do as-is e desenho do to-be</t>
  </si>
  <si>
    <t>[Nexus-MVP] [Web de Clientes] Gesti√≥n Consumibles</t>
  </si>
  <si>
    <t>M√≥dulo de Compliance Payshop</t>
  </si>
  <si>
    <t>Mejora creaci√≥n servicios espor√°dicos</t>
  </si>
  <si>
    <t>Github Migration - Aplica√ß√µes Canais Digitais</t>
  </si>
  <si>
    <t>Aviso de Entrega Digital</t>
  </si>
  <si>
    <t>[Minerva] - Interfaz de generaci√≥n de ofertas de Minerva en portugu√©s</t>
  </si>
  <si>
    <t>Portal de Proveedores - Implementar rec√°lculo autom√°tico de liquidaciones Linehaul de rutas espor√°dicas</t>
  </si>
  <si>
    <t>Redu√ß√£o de Custos em Cloud</t>
  </si>
  <si>
    <t>Morada virtual | Servi√ßo de subscri√ß√£o</t>
  </si>
  <si>
    <t>Estabilidad‚Äã - Migraci√≥n¬†Conflluent‚Äã</t>
  </si>
  <si>
    <t>MPC | Integra√ß√£o Sprinklr no CRM | Melhorar Integra√ß√£o de mensagens</t>
  </si>
  <si>
    <t>Cliente EXPOLLUM - Transmisi√≥n selectiva Mapper</t>
  </si>
  <si>
    <t>BCTT - extens√£o do contrato de multifun√ß√µes a 321 credito</t>
  </si>
  <si>
    <t>√Årea de Cliente CTT - Empresas | Agile Way MAR e ABR 2026</t>
  </si>
  <si>
    <t>[Tech] [Desconexi√≥n SGC] Desconexi√≥n API WebTracking a Item-history (bitacora)</t>
  </si>
  <si>
    <t>Descontinua√ß√£o do winreg</t>
  </si>
  <si>
    <t>SSM - valida√ß√£o dos dados registados em NAVe, previamente √† sua conclus√£o</t>
  </si>
  <si>
    <t>Evoluci√≥n portal de LastMile V.2</t>
  </si>
  <si>
    <t>CESOP - Reporte Regulat√≥rio AT</t>
  </si>
  <si>
    <t>Creaci√≥n de un entorno espec√≠fico para el Sistema de Gesti√≥n de Calidad y Sostenibilidad</t>
  </si>
  <si>
    <t>Integra√ß√£o - Migra√ß√£o ADO2GitHub - Kafka Conectors</t>
  </si>
  <si>
    <t>[Desconexi√≥n SGC] Migraci√≥n exportaci√≥n de informes de SGC a Cloud</t>
  </si>
  <si>
    <t>Moneyball - Gest√£o de Consentimentos</t>
  </si>
  <si>
    <t>Actualizaci√≥n Plan C</t>
  </si>
  <si>
    <t>Novo Catalogo de Aplica√ß√µes (Atlas 2.0)</t>
  </si>
  <si>
    <t>SLA S√°bados y Domingos</t>
  </si>
  <si>
    <t>[User Endpoint API REST GET TRACKING] A√±adir organic_point_code cuando estados 2300 / 2310</t>
  </si>
  <si>
    <t>Renova√ß√£o Firewalls Per√≠metro - CheckPoint</t>
  </si>
  <si>
    <t>Mejora portal proveedor</t>
  </si>
  <si>
    <t>Mapear Contatos de Remetente p/ contactos CTT | Objetos DHL (Internacional Expresso)</t>
  </si>
  <si>
    <t>Novo modelo de integra√ß√£o SAP SF com Paynest</t>
  </si>
  <si>
    <t>BCTT - renova√ß√£o de equipamentos lojas especializadas</t>
  </si>
  <si>
    <t>Corporate Sites - Evolutivas - MAR e ABR 2026</t>
  </si>
  <si>
    <t>Restringir la visibilidad usuarios</t>
  </si>
  <si>
    <t>Avalia√ß√£o de Novo Software de Contact Center</t>
  </si>
  <si>
    <t>Exponer dato de c√≥digo de recogida propia</t>
  </si>
  <si>
    <t>SGEE - Descontinua√ß√£o FTP</t>
  </si>
  <si>
    <t>GPB2C | Apartados - Adapta√ß√£o Tecnologia Locky e Otimiza√ß√£o de Recolha de Dados</t>
  </si>
  <si>
    <t>Mejora control horario y ocultaci√≥n campos no registrables</t>
  </si>
  <si>
    <t>Migra√ß√£o ADO2GitHub - Pipelines CRM</t>
  </si>
  <si>
    <t>KPI "D√≠as backlog env√≠os" en app de an√°lisis de calidad del reparto</t>
  </si>
  <si>
    <t>Altera√ß√µes nos Relat√≥rios do DEM para pagamentos MB WAY</t>
  </si>
  <si>
    <t>Dise√±ar flujos de Trabajo IA - React</t>
  </si>
  <si>
    <t>[Qlik] - Incluir ECCS en Anal√≠tica Comercial</t>
  </si>
  <si>
    <t>INTEGRACI√ìN BEWOR</t>
  </si>
  <si>
    <t>Teste ASC Epic Title (ex initiative)</t>
  </si>
  <si>
    <t>Analisis protocolos MCP para integraci√≥n de clientes</t>
  </si>
  <si>
    <t>Expresso Internacional Premium | Disponibiliza√ß√£o do produto no segmento ocasional</t>
  </si>
  <si>
    <t>Carga de direcciones en el historial</t>
  </si>
  <si>
    <t>Maestro festivos provinciales en c√°lculos de fechas de compromiso</t>
  </si>
  <si>
    <t>Autodocumentacion Integraci√≥n Mulesoft con IA</t>
  </si>
  <si>
    <t>Ecossistema B2C ‚Äì Evolutiva - MAR e ABR 2026</t>
  </si>
  <si>
    <t>[Web P√∫blica 2.0] - Web P√∫blica 2.0 Fase II - V2</t>
  </si>
  <si>
    <t>Otimiza√ß√£o CRB</t>
  </si>
  <si>
    <t>[Evolutivos SGC Finanzas] Posibilidad de filtrar en Valoracion de servicios por Microservicio de Tasaci√≥n "Proceso SINO"</t>
  </si>
  <si>
    <t>SRP - Descontinua√ß√£o FTP</t>
  </si>
  <si>
    <t>Creaci√≥n arquetipo desarrollo React</t>
  </si>
  <si>
    <t>Integra√ß√£o do ficheiro de pr√©-aviso do cliente ETCP / MEO com entrega direta em ponto</t>
  </si>
  <si>
    <t>Cria√ß√£o Portal Parceiro</t>
  </si>
  <si>
    <t>Nova Entidade Certificadora (CA) Autoridade Tribut√°ria e Aduaneira (AT).</t>
  </si>
  <si>
    <t>[Salesforce]‚Äã - Reexpedir -recanalizar- y destruir un env√≠o por parte del equipo de ATC</t>
  </si>
  <si>
    <t>Observabilidade | Uniformiza√ß√£o da alarm√≠stica nos clusters do IDP</t>
  </si>
  <si>
    <t>Servi√ßo de envio de emails sediado na europa</t>
  </si>
  <si>
    <t>[Producto] - Devoluciones anticipadas: Solicitud de Devoluci√≥n de Env√≠os al vuelo</t>
  </si>
  <si>
    <t>Iberian - Incremento Vis√£o de tratamento por KG's, Restantes Kpi's</t>
  </si>
  <si>
    <t>Report automatizado para Cr√©dito Pessoal</t>
  </si>
  <si>
    <t>Dise√±ar Flujos de trabajo IA - .Net</t>
  </si>
  <si>
    <t>[Desconexi√≥n SGC] [Web de Clientes] - Descarga de seguimiento y en descarga masiva: Incluir m√°s campos: Peso Facturado V2</t>
  </si>
  <si>
    <t>Modelo de Analise de Varia√ß√£o de Negocio (Efeitos Trafego e Pre√ßo)</t>
  </si>
  <si>
    <t>[Desconexi√≥n SGC] [QLIK] Calidad de Recogidas App QLIK</t>
  </si>
  <si>
    <t>TTEVOB - Descontinua√ß√£o FTP</t>
  </si>
  <si>
    <t>[Desconexi√≥n SGC] M√≥dulo de tasaci√≥n Cloud</t>
  </si>
  <si>
    <t>GPB2C | Via Verde ‚Äì Reposit√≥rio de informa√ß√£o</t>
  </si>
  <si>
    <t>[Nexus] - We Sell (Lead to Contract) - Signaturit en portugu√©s</t>
  </si>
  <si>
    <t>Workforce Analytics - Integra√ß√£o Espanha</t>
  </si>
  <si>
    <t>Mata Aplica√ß√µes Wave 1.16</t>
  </si>
  <si>
    <t>Migraci√≥n Microservicios a SLA nuevo</t>
  </si>
  <si>
    <t>DUC - Relat√≥rio Mensal de Pagamentos de Impostos com Cart√£o MB</t>
  </si>
  <si>
    <t>Workforce Analytics - Incremento Integra√ß√£o Indicadores Espanha</t>
  </si>
  <si>
    <t>[Web p√∫blica Nexus] - Im√°genes alojadas en DOT (ex Wordpress) estudiar alojarlas en AWS</t>
  </si>
  <si>
    <t>Novo Aceita√ß√£o imediata de objetos expresso em lockerProjeto</t>
  </si>
  <si>
    <t>[Nexus]-[Minerva]- CTT 14h MINERVA √ìptica (Nuevo producto comercial)</t>
  </si>
  <si>
    <t>Web Clientes‚Äã - Detalles Excel con y sin Densidades (Espa√±ol-Ingles), Personalizables por el propio cliente en PortalCliente y en Finanzas</t>
  </si>
  <si>
    <t>Definici√≥n de la estrategia de preparaci√≥n de entornos de prueba de aplicaciones</t>
  </si>
  <si>
    <t>Controlo dos Subadiantamentos (numer√°rio) ‚Äì c√≥d. 011 - Auditoria REC/ARC 2024_1399</t>
  </si>
  <si>
    <t>Data Hub - Monitoriza√ß√£o e Backup</t>
  </si>
  <si>
    <t>[Desconexi√≥n SGC] [Salesforce Service] - Gesti√≥n de casos: modificaciones tipos de servicio</t>
  </si>
  <si>
    <t>Banco CTT - Gest√£o de Acessos em SAP4Hana</t>
  </si>
  <si>
    <t>[Bit√°cora] - Bitacora Management que permita implementar los procesos actuales de configuraci√≥n en Bit√°cora</t>
  </si>
  <si>
    <t>Packs de Envio ‚Äì Evolu√ß√£o Integrada do Servi√ßo</t>
  </si>
  <si>
    <t>Manifest errores de carga en c√≥digos postales.</t>
  </si>
  <si>
    <t>[Nexus Rollout] [We Bill] Estrategia de facturaci√≥n de clientes ES y PT</t>
  </si>
  <si>
    <t>PEF - Descontinua√ß√£o da utiliza√ß√£o do FTP</t>
  </si>
  <si>
    <t>Optimizaci√≥n del CAU mediante herramientas de autodiagn√≥stico para operativas cr√≠ticas</t>
  </si>
  <si>
    <t>[PUDOS] - Automatizaci√≥n del tratamiento de incidencias de PUDOS cerrados</t>
  </si>
  <si>
    <t>INT | - Evolutivo Mulesoft - Mar√ßo e Abril</t>
  </si>
  <si>
    <t>Pay I Cart√µes e Terminais incremento 2</t>
  </si>
  <si>
    <t>Federaci√≥n de acceso a Salesforce mediante SSO - EntraID</t>
  </si>
  <si>
    <t>APT | Mata Aplica√ß√µes Wave 1.12 - GCC</t>
  </si>
  <si>
    <t>[PUDOS] [MONGO] - Informaci√≥n completa de incidencias en colecci√≥n Pickups</t>
  </si>
  <si>
    <t>Redu√ß√£o de Taxa de Avisados com Melhoria de Dados de Contacto</t>
  </si>
  <si>
    <t>[Alarmas Financieras] Alarma-41 Informe de n¬∫ env√≠os-discrepancias tr√°fico-facturaci√≥n (se esta trabajando internamente tambi√©n)</t>
  </si>
  <si>
    <t>MongoDB - Recopilaci√≥n de usuarios y reset de contrase√±as</t>
  </si>
  <si>
    <t>Envios OLX | Retirar Certificado de Aceita√ß√£o</t>
  </si>
  <si>
    <t>Qlik - Anal√≠tica Comercial - Clientes Activos</t>
  </si>
  <si>
    <t>Obsolesc√™ncia WAVE 0 - Converter LDAP em LDAPS (BCTT)</t>
  </si>
  <si>
    <t>Conexi√≥n de eventos estados PT-ES/Transici√≥n de estados con eventos PT</t>
  </si>
  <si>
    <t>Pagamento de Vales Nacionais e Internacionais - Finaliza√ß√£o do pagamento apenas ap√≥s procedimentos de RCTO conclu√≠dos</t>
  </si>
  <si>
    <t>Revisi√≥n del PRN actual</t>
  </si>
  <si>
    <t>Descontinua√ß√£o do express2me para a super app</t>
  </si>
  <si>
    <t>Prote√ß√£o Avan√ßada para a Interface do PayByLink</t>
  </si>
  <si>
    <t>[NEXUS] [Auditoria PT] [SAP] - Mejora y/o renovaci√≥n del Interface Salesforce + SGC + SAP</t>
  </si>
  <si>
    <t>Mata Aplica√ß√µes - Wave 1.15 - CRM Oracle Sales</t>
  </si>
  <si>
    <t>[PUDOS]-Modificaci√≥n plantilla de factura en VDP relacionado con 58594</t>
  </si>
  <si>
    <t>Melhorias nos envios de Carga e Internacional Expresso</t>
  </si>
  <si>
    <t>Cria√ß√£o /Gera√ß√£o de Relatorio Automatico diario Anacom</t>
  </si>
  <si>
    <t>Reformula√ß√£o do servi√ßo AOS</t>
  </si>
  <si>
    <t>Actualizaci√≥n autom√°tica de aplicaciones hijas en Nexia</t>
  </si>
  <si>
    <t>[PUDOS]-Nueva colecci√≥n en Nexia. Acceso datos de DB manifest</t>
  </si>
  <si>
    <t>Indicadores para Planeamento e Controlo (transa√ß√µes manuais)</t>
  </si>
  <si>
    <t>Cambio en la L√≥gica de generaci√≥n de OBX en Cainiao</t>
  </si>
  <si>
    <t>INT | Mulesoft ‚Äì Refatoriza√ß√£o de Aplica√ß√µes</t>
  </si>
  <si>
    <t>Cyber - Securizaci√≥n de los accesos a webcliente.cttexpress.com y api.cttexpress.com</t>
  </si>
  <si>
    <t>Reformula√ß√£o do servi√ßo HDDTM</t>
  </si>
  <si>
    <t>[QLIK] Incorporaci√≥n de datos adicionales en BI (Income Tracking App)</t>
  </si>
  <si>
    <t>Revamp ViaCTT ‚Äì 2¬™ Fase</t>
  </si>
  <si>
    <t>Integraci√≥n Clientes</t>
  </si>
  <si>
    <t>Mata Aplica√ß√µes - Wave 1.15 - CRM Oracle Sales (Fase 1 - Execu√ß√£o)</t>
  </si>
  <si>
    <t>[Minerva] - Servicios adicionales gestionables por el equipo Comercial en la creaci√≥n de una oferta</t>
  </si>
  <si>
    <t>Envios Online &amp; Super APP | Servi√ßo de Ponto de Entrega</t>
  </si>
  <si>
    <t>Novo Modelo de Replica√ß√£o de Dados Contratuais</t>
  </si>
  <si>
    <t>Plataforma de Configuraci√≥n de Agentes IA</t>
  </si>
  <si>
    <t>Renova√ßao dos contratos de outsouricng COM</t>
  </si>
  <si>
    <t>[Evolutivos SGC Finanzas] Inclusi√≥n del Cliente M√°ster en todos los m√≥dulos de SGC ahora no lo est√°n (esta ligado con el anterior)</t>
  </si>
  <si>
    <t>integra√ß√£o de objetos com destino a Espanha do Cliente NOS</t>
  </si>
  <si>
    <t>DeMinimis EUA - Solu√ß√£o para retomar os envios de Bens para os EUA para os clientes n√£o contratuais</t>
  </si>
  <si>
    <t>[Alarmas Financieras] Alarma-78 Garantizar la igualaci√≥n de datos de clientes en tres herramientas. (SGC-Salesforce-SAP)</t>
  </si>
  <si>
    <t>Redu√ß√£o do n√∫mero de sms enviados aos clientes</t>
  </si>
  <si>
    <t>GPECL/DIS |PACK EXPRESSO Contabiliza√ß√£o autom√°tica e Re-atribui√ß√£o do centro de lucro</t>
  </si>
  <si>
    <t>IOP | CrushFTP - migra√ß√£o de CentOS para Ubuntu</t>
  </si>
  <si>
    <t>Seguimiento &amp; Control de IT - Formaci√≥n - Vacaciones - Otros</t>
  </si>
  <si>
    <t>[PUDOS] -Planilla de selecci√≥n de puntos seg√∫n criterio del cliente</t>
  </si>
  <si>
    <t>PDFs Gerados de Listagens lojas est√£o alojados nos servidores do Nave</t>
  </si>
  <si>
    <t>GS B2C - Evolu√ß√£o do sistema de Gest√£o da informa√ß√£o Geogr√°fica da Rede</t>
  </si>
  <si>
    <t>[Qlik] - Tasa de Retenci√≥n &amp; Churn Rate (Qlik: Automatizar el modelo)</t>
  </si>
  <si>
    <t>Registos com Aviso de Rece√ß√£o E2E em locker</t>
  </si>
  <si>
    <t>[Salesforce Sales] - Visualizaci√≥n de Tarifa actual y anterior por cliente.</t>
  </si>
  <si>
    <t>[Evolutivos SGC] Adeudos manuales o autom√°ticos, (relacionado con trabajo de auditoria interna de ES ya informada en 2022) (Validar por Procesos)</t>
  </si>
  <si>
    <t>Amazon | Servi√ßo Especial Feriado</t>
  </si>
  <si>
    <t>Kafka | Self Service</t>
  </si>
  <si>
    <t>[Evolutivos SGC] Cambio de agencia de cargo en un env√≠o / Utilizacion de agencia de facturacion, (p√©rdida de funcionalidad)</t>
  </si>
  <si>
    <t>Avalia√ß√£o do custo de extens√£o do licenciamento atual para a utiliza√ß√£o do servi√ßo webhook - BKTER</t>
  </si>
  <si>
    <t>[Web de clientes] - Crear funci√≥n JS que devuelva el ID de los usuarios</t>
  </si>
  <si>
    <t>Substitui√ß√£o da aplica√ß√£o de fatura√ß√£o do P&amp;F</t>
  </si>
  <si>
    <t>Amazon | Informa√ß√£o complementar de fechos ocasionais e f√©rias</t>
  </si>
  <si>
    <t>[Minerva] - Impresi√≥n del contrato en funci√≥n de la etapa de la opp</t>
  </si>
  <si>
    <t>Renova√ß√£o ativos rede Datacenter CTT Express (Lisboa e Barcelona)</t>
  </si>
  <si>
    <t>[Evolutivos SGC] Recuperar Acceso a modificacion de tarifas y configuracion del "Microservicio" (p√©rdida de funcionalidad importante)</t>
  </si>
  <si>
    <t>ETCP - Anomalia na Integra√ß√£o do ficheiro das recolhas</t>
  </si>
  <si>
    <t>Web Clientes‚Äã - Automatizacion para Generacion y envio automatico de informes, Portal cliente</t>
  </si>
  <si>
    <t>Altera√ß√£o Tal√£o Vales Postais superiores a 1.000‚Ç¨ - recomenda√ß√£o auditoria REC/ASN:2025-0015</t>
  </si>
  <si>
    <t>[Nexus - MVP] [PUDOS] - Desv√≠o a PUDO al vuelo en incidencia</t>
  </si>
  <si>
    <t>Descontinua√ß√£o do PIPOLI</t>
  </si>
  <si>
    <t>GP B2C-Automatiza√ß√£o da fatura√ß√£o APIN</t>
  </si>
  <si>
    <t>[Desconexi√≥n SGC] [ FR y BR Web de clientes] - Proyecto Cloud (borrador)</t>
  </si>
  <si>
    <t>Onboarding POP - retifica√ß√£o de interface de cria√ß√£o de entidade</t>
  </si>
  <si>
    <t>[Salesforce] - Informaci√≥n de la actividad del cliente en Cuenta en Sales (a partir de Qlik)</t>
  </si>
  <si>
    <t>ODM - Uniformiza√ß√£o Ambiente Produtivo</t>
  </si>
  <si>
    <t>[Alarmas Finanzas] Alarma-75 Comprobar env√≠os en agencias desactivadas</t>
  </si>
  <si>
    <t>Valida√ß√£o Autom√°tica de C√≥digos Postais Internacionais</t>
  </si>
  <si>
    <t>[Internacional] - Informar a FedEx del valor asegurado del env√≠o</t>
  </si>
  <si>
    <t>Evolu√ß√£o tecnol√≥gica do PIAO</t>
  </si>
  <si>
    <t>[Alarmas Finanzas] Alarma-56 Env√≠os abonados m√°s de una vez</t>
  </si>
  <si>
    <t>[Qlik] - Nuevos KPIS en Anal√≠tica Comercial</t>
  </si>
  <si>
    <t>[Alarmas Finanzas] Alarma-55 Env√≠os pendientes de valorizar o sin facturar del mes anterior</t>
  </si>
  <si>
    <t>Corre√ß√£o Mapeamento inform√°tico - metadados Vales Pagos internacionais</t>
  </si>
  <si>
    <t>[Compras] Implantaci√≥n e-Compras - Nueva Web venta material clientes (proyecto de finanzas 2023)</t>
  </si>
  <si>
    <t>[NEXUS] [Web de cambios] - Transformaci√≥n web de cambios - Redise√±o y tecnolog√≠a React</t>
  </si>
  <si>
    <t>[Evolutivos SGC] Cambio de c√≥digo de Cliente al rectificar un servicio, confirmar IT si todo el proceso esta acabado (Incidencia)</t>
  </si>
  <si>
    <t>Amazon | Servi√ßo POD (Prova de Entrega)</t>
  </si>
  <si>
    <t>[Web de clientes] - Seguimiento 2.0 - Redise√±o de la secci√≥n de seguimiento</t>
  </si>
  <si>
    <t>IOP | Redu√ß√£o da Obsolesc√™ncia Protocolos TLS 1.0 &amp; 1.1 WAVE 4 - Servidores Unix</t>
  </si>
  <si>
    <t>GPB2C | Inibi√ß√£o de Pagamentos a Entidades Coletivas Singulares no Nave e no STA</t>
  </si>
  <si>
    <t>[Evolutivos SGC] Aplicar correctamente los impuestos en funci√≥n de la combinaci√≥n art√≠culo-zona, Solicitud de 2015 potenciales problemas fiscales</t>
  </si>
  <si>
    <t>Coimas - Configura√ß√£o /Mapeamentos SAP</t>
  </si>
  <si>
    <t>Mapper: Posibilidad de indicar la ruta de instalaci√≥n.</t>
  </si>
  <si>
    <t>[PUDOS] [Web clientes] - A√±adir campo nombre rtt en RDP</t>
  </si>
  <si>
    <t>IOP | Redu√ß√£o da Obsolesc√™ncia Protocolos TLS 1.0 &amp; 1.1 WAVE 3</t>
  </si>
  <si>
    <t>[Alarmas Finanzas] Servicios pendientes de meses anteriores que pasen al mes siguiente a modulo de facturaci√≥n una vez cerrado el mes (PENDIENTE DE SOLUCI√ìN DE IT YA PRESENTADA)</t>
  </si>
  <si>
    <t>IOP | Redu√ß√£o da Obsolesc√™ncia Protocolos TLS 1.0 &amp; 1.1 WAVE 2</t>
  </si>
  <si>
    <t>[Evolutivo SGC] Adeudos RE2 y RE11 cargados el √∫ltimo d√≠a del mes pasadas las 17:00 horas (Pasar a Operaciones)</t>
  </si>
  <si>
    <t>Fatura√ß√£o do produto C65 - Tracked Simples - Altera√ß√£o Pr√©-Aviso</t>
  </si>
  <si>
    <t>INT | Migra√ß√£o da solu√ß√£o da Knowledge Base atual para uma solu√ß√£o Knowledge Base coorporativa</t>
  </si>
  <si>
    <t>[Evolutivo SGC] Desarrollar un sistema de refacturaci√≥n a los brokers para que autom√°ticamente podamos refacturarles los costes de recogida cuando se apliquen a brokers sin coste de recogida</t>
  </si>
  <si>
    <t>IOP | Evolu√ß√£o da Private Key Infrastructure (PKI) dos CTT</t>
  </si>
  <si>
    <t>[SAP] Recargo de equivalencia (m√≥dulo +) Esta evolucion debe ser en SGC y en el interface de SAP no viaja</t>
  </si>
  <si>
    <t>GPB2C | Subsidio Social de Mobilidade - Recomenda√ß√µes de Auditoria (N¬∫ 21001/23)</t>
  </si>
  <si>
    <t>Sites CTT e Payshop | Inclus√£o dos Agentes Payshop na pesquisa de Pontos de Contacto CTT</t>
  </si>
  <si>
    <t>[SAP] Migraci√≥n SAP</t>
  </si>
  <si>
    <t>Configura√ß√£o do pagamento de faturas no Locky</t>
  </si>
  <si>
    <t>[Auditoria PT] Control peri√≥dico de Clientes Inactivos</t>
  </si>
  <si>
    <t>Milytech| Altera√ß√£o √† extra√ß√£o de dados de envios</t>
  </si>
  <si>
    <t>[Procesos] - Reenv√≠o notificaciones env√≠os en incidencia estacionados</t>
  </si>
  <si>
    <t>IOP | Internet - visibilidade sobre utiliza√ß√£o e qualidade do servi√ßo</t>
  </si>
  <si>
    <t>GALAXY | Identifica√ß√£o dos Clientes nas Lojas F√≠sicas</t>
  </si>
  <si>
    <t>[Minerva] - Dispersiones est√°ndar de ofertas de tipo B y C</t>
  </si>
  <si>
    <t>[Auditoria PT] Consulta del historial de los datos de los objetos que han sido alterados manualmente o corregidos por la automatizaci√≥n</t>
  </si>
  <si>
    <t>Aviso de Rece√ß√£o (AR) Digital | Envios SuperPortal, Prestadores e Super App</t>
  </si>
  <si>
    <t>[Integraci√≥n] - Publicar landing page para gestionar Devoluciones por parte de los Destinatarios - (MAS DEPORTE)</t>
  </si>
  <si>
    <t>IOP | ClearPass - alargar cobertura da solu√ß√£o de Network Access Control</t>
  </si>
  <si>
    <t>Altera√ß√£o da Autentica√ß√£o dos Distribuidores nos Lockers</t>
  </si>
  <si>
    <t>[Qlik] - CANDIDATES MANAGEMENT (Crear un modelo para medir las campa√±as de MK)</t>
  </si>
  <si>
    <t>Evolutivos CRM Q2.2026</t>
  </si>
  <si>
    <t>[Auditoria PT] Evaluar la implementaci√≥n de una reclasificaci√≥n autom√°tica de los servicios declarados incorrectamente por el cliente</t>
  </si>
  <si>
    <t>IOP | Segrega√ß√£o da Rede Privada</t>
  </si>
  <si>
    <t>Galaxy | MCE &amp; CDP - Nova Fase p√≥s MVP - Equipa ENABLER Salesforce (AGILE WAY)</t>
  </si>
  <si>
    <t>Integra√ß√£o da API do AEDoc no Projeto ‚Äì Nova Arquitetura de Aceita√ß√£o</t>
  </si>
  <si>
    <t>SGC - Anulaci√≥n eventos PT</t>
  </si>
  <si>
    <t>B2C NAVe | GP B2C-Valida√ß√£o da data de Voo com a AT - Subsidio de Mobilidade</t>
  </si>
  <si>
    <t>Seguimiento de env√≠os por Api Devoluci√≥n retornado reexpedido y recogidas</t>
  </si>
  <si>
    <t>IOP | Obsolesc√™ncia WAVE 2 - Matar/Upgrade Oracle DB, IBM DB2 para ultimas vers√µes suportadas (m√≠nimo n-1)</t>
  </si>
  <si>
    <t>Evoluci√≥n verificaci√≥n periodos + (pesos y medidas) V2</t>
  </si>
  <si>
    <t>[PUDOS] - Filtrado - Depuraci√≥n en env√≠os a direcci√≥n PUDO sin PER</t>
  </si>
  <si>
    <t>INT| Descontinuar os servi√ßos suportados pelo Biztalk</t>
  </si>
  <si>
    <t>Melhorias √°rea cliente correio</t>
  </si>
  <si>
    <t>[Minerva] - Evaluaci√≥n de la oferta en Minerva</t>
  </si>
  <si>
    <t>IOP | Obsolesc√™ncia WAVE 1 - Matar/Upgrade SQL Server anterior a 2019</t>
  </si>
  <si>
    <t>Reconfigura√ß√£o de Zonas de Taxa√ß√£o | Produtos Internacionais Expresso</t>
  </si>
  <si>
    <t>[Desconexi√≥n SGC] [WebHook] - Monitorizaci√≥n WebHooks clientes</t>
  </si>
  <si>
    <t>IOP | Obsolesc√™ncia WAVE 1 - Windows 7 (evoluir para windows 11)</t>
  </si>
  <si>
    <t>[Salesforce Sales] - Configuraci√≥n campos/variables y GRP en Pardot</t>
  </si>
  <si>
    <t>IOP | Obsolesc√™ncia Infraestrutura WAVE 0 - Converter LDAP em LDAPS (ENABLERS)</t>
  </si>
  <si>
    <t>Aplicaci√≥n de reglas en registros de peso y volumen (TC)</t>
  </si>
  <si>
    <t>[PUDOS] [Web de Clientes] - EDP y RDP: Tarificaci√≥n por bonificaci√≥n de servicios 24H y 48H</t>
  </si>
  <si>
    <t>ENVIOS CARGO-DESTINO PT</t>
  </si>
  <si>
    <t>Desmaterializa√ß√£o dos Envios de Correio e Encomendas - Envios Online √önicos (Correio e Expresso)</t>
  </si>
  <si>
    <t>[Salesforce Sales] - Disponer de un bot√≥n que permita sincronizar toda una cuenta (cliente, contactos y direcciones)</t>
  </si>
  <si>
    <t>ESW | EQA | Defini√ß√£o de Checklist M√≠nimo de QA por Projeto</t>
  </si>
  <si>
    <t>[NEXUS] ‚Äì Normalizaci√≥n, almacenamiento y gesti√≥n de consentimientos (GDPR) en los activos digitales</t>
  </si>
  <si>
    <t>ESW | EQA |Estabiliza√ß√£o de Testes Autom√°ticos Existentes de QA</t>
  </si>
  <si>
    <t>[Salesforce] - Automatizaci√≥n de tarifas (en funci√≥n de env√≠os comprometidos y rentabilidad de la cuenta)</t>
  </si>
  <si>
    <t>Relat√≥rios Mensais para Novo Modelo Operativo - Postos n√£o NAVe</t>
  </si>
  <si>
    <t>API'S para clientes Tipos Servicio Disponibles (Integraci√≥n de Clientes)</t>
  </si>
  <si>
    <t>ESW | EQA | Utiliza√ß√£o Regular da Automa√ß√£o de QA em Regress√µes</t>
  </si>
  <si>
    <t>[PUDOS] - Entregas y Recogidas Directas en PUDO - Tr√°nsitos ES-ES y ES-PT - Integraci√≥n bidireccional de Pudos ES-PT, PT-ES</t>
  </si>
  <si>
    <t>Eliminar aplicativo de envio internacional online legado</t>
  </si>
  <si>
    <t>[Web de Clientes] - Reportes: Suscripci√≥n Informes incidencias con disponibilidad a demanda</t>
  </si>
  <si>
    <t>Upgrade plataforma OutSystems para vers√£o 11.40.0</t>
  </si>
  <si>
    <t>[Salesforce] - Automatismo de asignaci√≥n de casos a gestora de ingresos</t>
  </si>
  <si>
    <t>API'S para clientes Routing y Canalizaciones (Integraci√≥n de Clientes)</t>
  </si>
  <si>
    <t>[PUDOS] - Automatizaci√≥n de comunicaci√≥n de eventos de Celeritas - CTT</t>
  </si>
  <si>
    <t>ESW | Cria√ß√£o de novo agente AI para valida√ß√£o de c√≥digo obsoleto</t>
  </si>
  <si>
    <t>Elimina√ß√£o da impress√£o da guia da Loja na aceita√ß√£o de objetos CTT Expresso (contratual e ocasional)</t>
  </si>
  <si>
    <t>[PUDOS] - Check para permitir a cliente elegir si dtt recibe notificaciones del estado del env√≠o</t>
  </si>
  <si>
    <t>F√°brica OutSystems | Melhorias √† plataforma - JAN, FEV MAR 2026</t>
  </si>
  <si>
    <t>[PUDOS] - Mecanismo de diferenciaci√≥n de recogidas en los COs. Recogidas vs. RDP</t>
  </si>
  <si>
    <t>Descontinua√ß√£o das Guias em Papel e Aplica√ß√µes Locais ‚Äì Introdu√ß√£o de um custo adicional</t>
  </si>
  <si>
    <t>Cria√ß√£o de WAF para Infraestrutura de OutSystems</t>
  </si>
  <si>
    <t>GP ECL/INT - Erros envolvendo DHL - Objeto CTT que gera m√∫ltiplas Cartas de Porte DHL (AWB DHL Express)</t>
  </si>
  <si>
    <t>[PUDOS] - Env√≠os Punto-Punto</t>
  </si>
  <si>
    <t>ESW | Integra√ß√£o de Crashlytics nas aplica√ß√µes mobile</t>
  </si>
  <si>
    <t>[Desconexi√≥n SGC] [WebHook] - Dupla Logistics - Env√≠o de estados</t>
  </si>
  <si>
    <t>dotCMS - update da vers√£o</t>
  </si>
  <si>
    <t>Fatura√ß√£o Agentes Payshop - automatiza√ß√£o e integra√ß√£o processo CTT</t>
  </si>
  <si>
    <t>[Web publica] - Permitir a los destinatarios buscar un env√≠o por n√∫mero de etiqueta de enlace asociada en el localizador</t>
  </si>
  <si>
    <t>Desagregar a Intranet de Outsystems ( Ac√ß√£o Post Mortem - INC1002170)</t>
  </si>
  <si>
    <t>Business Solutions - Recibos Online - Evolutivos 1B 2026 (janeiro e fevereiro)</t>
  </si>
  <si>
    <t>[Desconexi√≥n SGC] [WebHook] - Celeritas - Transmisi√≥n de estados</t>
  </si>
  <si>
    <t>Quick Wins - Super App B2C</t>
  </si>
  <si>
    <t>GPECL/DIS - Notifica√ß√µes S√°bado e Domingo // altera√ß√£o do processo de indica√ß√£o da data de entrega</t>
  </si>
  <si>
    <t>[Salesforce Sales] - Incorporaci√≥n de nuevos Subsegmentos SME</t>
  </si>
  <si>
    <t>CoE OutSystems | Upgrade de MABS 11.2 para MABS 12</t>
  </si>
  <si>
    <t>Manifest - Estandarizaci√≥n de formato DNI en env√≠oscon adicional RID: Transformaci√≥n autom√°tica a may√∫sculas</t>
  </si>
  <si>
    <t>solu√ß√£o de atualiza√ß√£o de tracking em real time - Cliente Veryfex (Prozis)</t>
  </si>
  <si>
    <t>[Web clientes - Mapper] - Evoluci√≥n completa de grabaci√≥n masiva en Cloud</t>
  </si>
  <si>
    <t>Outsystems - Evolu√ß√£o processo de CI/CD</t>
  </si>
  <si>
    <t>[PUDOS] - Creaci√≥n de alarma ante la falta de recepci√≥n de √≥rdenes de recogidas de caducados Celeritas</t>
  </si>
  <si>
    <t>Business Solutions - STICO - Evolutivos 1B 2026 (janeiro e fevereiro)</t>
  </si>
  <si>
    <t>[Salesforce Sales] - Brokers y MBE: Permitir generaci√≥n de usuarios web</t>
  </si>
  <si>
    <t>[Salesforce Integraci√≥n Clientes] - Nueva l√≥gica creaci√≥n de implementaciones</t>
  </si>
  <si>
    <t>Agentes Payshop - cria√ß√£o de base de dados certificada com liga√ß√£o a ferramenta de edi√ß√£o/consulta</t>
  </si>
  <si>
    <t>Business Solutions - P&amp;F - Evolutivos 1B 2026 (janeiro e fevereiro)</t>
  </si>
  <si>
    <t>[Salesforce Sales] - Notificaciones del Plan de Acompa√±amiento autom√°ticas</t>
  </si>
  <si>
    <t>Nova Oferta produtos Untracked e Tracked Simples - melhoria de informa√ß√£o site TT 2023 07 24</t>
  </si>
  <si>
    <t>[Salesforce Integraci√≥n Clientes] - Automatizar el cierre de una implementaci√≥n exitosa</t>
  </si>
  <si>
    <t>Evolutivos Nave Janeiro e Fevereiro 2026</t>
  </si>
  <si>
    <t>[PUDOS] - Automatizaci√≥n de la facturaci√≥n cruzada con las redes de puntos.</t>
  </si>
  <si>
    <t>Business Solutions - Evolutivos 1B 2026 (janeiro e fevereiro)</t>
  </si>
  <si>
    <t>GPECL/DIS - CTT Now melhorias aplica√ß√£o</t>
  </si>
  <si>
    <t>Nueva estrategia de integraci√≥n de Clientes (TC)</t>
  </si>
  <si>
    <t>Atualiza√ß√£o Cat√°logo Produtos e Otimiza√ß√£o de Guias de Remessa (Opera√ß√µes de Filatelia)</t>
  </si>
  <si>
    <t>[Salesforce] - Relacionar una implementaci√≥n entre varios clientes que cuelgan de un mismo grupo de empresa</t>
  </si>
  <si>
    <t>Evolutivos Nave - Mar√ßo e Abril</t>
  </si>
  <si>
    <t>[Web de clientes] - Setting: Configurar env√≠o predeterminado</t>
  </si>
  <si>
    <t>Revisi√≥n feedback a Clientes conectados a SGC (legacy)</t>
  </si>
  <si>
    <t>GENAI - CIS - AI Automation - BO Fatura√ß√£o</t>
  </si>
  <si>
    <t>[ID LOGISTICS] Estados De Portugal no visibles en SGC/API REST y URL web en Espa√±a (env√≠os origen ES, destino PT)</t>
  </si>
  <si>
    <t>ECL/PSC - Identifica√ß√£o de giros de distribui√ß√£o (green delivery)</t>
  </si>
  <si>
    <t>[Web de Clientes] - Minerva Ratings - Actualizar el perfil tarifario de clientes al est√°ndar de 1-20 env√≠os comprometidos para que visualice su tarifa en la web</t>
  </si>
  <si>
    <t>[Auditoria PT] [Salesforce Sales] - (Des)Activaci√≥n de clientes centros y usuarios por cese o impagos</t>
  </si>
  <si>
    <t>Citrix nas lojas - An√°lise para Elimina√ß√£o / substitui√ß√£o</t>
  </si>
  <si>
    <t>[Desconexi√≥n SGC] - Migraci√≥n exportaci√≥n estados e informes a Cloud</t>
  </si>
  <si>
    <t>Planeamento e Controlo Di√°rio - Concilia√ß√£o Modelo A</t>
  </si>
  <si>
    <t>[Web de Clientes] - Minerva Ratings - Visualizaci√≥n incorrecta de tarifa del cliente 00052</t>
  </si>
  <si>
    <t>Notifica√ß√µes Expresso | Aceita√ß√£o no PUDO (Pedido ZALANDO)</t>
  </si>
  <si>
    <t>[Salesforce] - Gesti√≥n de casos asignados al √°rea comercial</t>
  </si>
  <si>
    <t>Desmaterializa√ß√£o Documentos Multicare</t>
  </si>
  <si>
    <t>Odoo - Implementaci√≥n remitente personalizado</t>
  </si>
  <si>
    <t>[Salesforce Sales] - Nuevo Campo Cuenta tipo Cliente y centro: "Gesti√≥n por"</t>
  </si>
  <si>
    <t>Automatiza√ß√£o de valida√ß√£o do QR Code de Selos</t>
  </si>
  <si>
    <t>Identificacion Clientes y Metodos de integracion que usan [Objetos con origen en Espa√±a sin Cp7]</t>
  </si>
  <si>
    <t>Cria√ß√£o Se√ß√£o dados Complementares</t>
  </si>
  <si>
    <t>[Nexus - We Sell] - [Minerva] - Creaci√≥n del modelo tarifario dentro de Minerva para el servicio de Correo</t>
  </si>
  <si>
    <t>Impressoras Termicas (Clientes Externos) - certifica√ß√£o de varios modelos e handover para EM</t>
  </si>
  <si>
    <t>Prestashop- Habilitar adicionales identificaci√≥n en destino y verificacion destinatario</t>
  </si>
  <si>
    <t>Gest√£o de Stocks Vending em SAP</t>
  </si>
  <si>
    <t>[Web de clientes] - Retorno en seguimiento - Mostrar por fecha de grabaci√≥n y no de servicio</t>
  </si>
  <si>
    <t>M√°quina vending machines: Associa√ß√£o de Receita, Fatura√ß√£o e gest√£o de stock</t>
  </si>
  <si>
    <t>[Nexus] [Web de Clientes] - Recogida Flexible Grabaci√≥n de env√≠os: Permitir recogida a la carta</t>
  </si>
  <si>
    <t>Fornecimentos autom√°ticos de material vend√°vel √†s lojas</t>
  </si>
  <si>
    <t>[Nexus - We Sell] - Onboarding de las Lojas de PT en Proceso Comercial Salesforce</t>
  </si>
  <si>
    <t>Afeta√ß√£o Receita Vendas Loja Online a Gestores de clientes e hierarquia</t>
  </si>
  <si>
    <t>WooCommerce- Habilitar adicionales identificaci√≥n en destino y verificacion destinatario</t>
  </si>
  <si>
    <t>Afeta√ß√£o correta da receita de produtos/servi√ßos faturados fora do SAP ao respetivo gestor comercial B2B e Lojas e Loja Online</t>
  </si>
  <si>
    <t>[PUDOS] [Web P√∫blica] - Orientar venta directa (a√±adir literales)</t>
  </si>
  <si>
    <t>A receita dos Pontos ctt n√£o NAVe</t>
  </si>
  <si>
    <t>[API GET TRACKING BY DATES] - WEB TRACKING - A√±adir c√≥digo env√≠o devoluci√≥n - API Rest, capa User Experience</t>
  </si>
  <si>
    <t>El corte Ingl√™s - Relatorios de Concilia√ß√£o forma automatica</t>
  </si>
  <si>
    <t>[Web de Clientes] - Seguimiento - A√±adir HORA junto a la FECHA</t>
  </si>
  <si>
    <t>Altera√ß√£o Ficheiro Pontos CTT - Cliente Nespresso</t>
  </si>
  <si>
    <t>Tradu√ß√£o do Site e da App</t>
  </si>
  <si>
    <t>Novos Canais | Assegurar a liquida√ß√£o autom√°tica das faturas de campanhas Outbound</t>
  </si>
  <si>
    <t>Informa√ß√£o das vendas por colaborador E nif</t>
  </si>
  <si>
    <t>Incluir fichero con versionado sobre hist√≥rico de cambios (novedades y fixes) en todos los modulos</t>
  </si>
  <si>
    <t>D. Oferta - atualiza√ß√£o base de dados dos empregados CTT em NAVe</t>
  </si>
  <si>
    <t>[Web de Clientes] - Incluir tooltip en el bot√≥n de a√±adir NUEVO bulto para env√≠os a Puntos</t>
  </si>
  <si>
    <t>[Notificaciones] - Facturaci√≥n - Modificar contenido del Email Factura a clientes</t>
  </si>
  <si>
    <t>ELKAR - Actualizaci√≥n de bultos/kilos en expedici√≥n mediante carga de fichero</t>
  </si>
  <si>
    <t>Altera√ß√£o Canal Produtos Pagamentos B2C</t>
  </si>
  <si>
    <t>Altera√ß√£o de dados √† query designada por Sandra Teams PUDO para loky 16-10-2023</t>
  </si>
  <si>
    <t>[Salesforce] - Informaci√≥n de campos en los casos del Plan de acompa√±amiento</t>
  </si>
  <si>
    <t>BPM - Processo de Regulariza√ß√£o de Movimentos Manual</t>
  </si>
  <si>
    <t>Apresenta√ß√£o Imagens BOL LCD LOJAS</t>
  </si>
  <si>
    <t>[Web de Clientes] - Anulaci√≥n de recogidas</t>
  </si>
  <si>
    <t>Aplica√ß√£o OPL6 compromete a seguran√ßa do ecossistema CTT,</t>
  </si>
  <si>
    <t>[CELERITAS] - Inhibir notificaciones a dtt en env√≠os Celeritas Cliente</t>
  </si>
  <si>
    <t>UPDATE | SOLU√á√ÉO TRANSFORMA√á√ÉO | RELAT√ìRIO SERIAL NUMBER EXPEDI√á√ÉO</t>
  </si>
  <si>
    <t>Formul√°rio Criar Envio de Correio Internacional | Supress√£o do Servi√ßo Especial de Cobran√ßa no Correio Registado para o √¢mbito Internacional</t>
  </si>
  <si>
    <t>[Nexus] - Informaci√≥n P√∫blica de los Clientes - visi√≥n de informaci√≥n de clientes a destinatarios</t>
  </si>
  <si>
    <t>GS B2C - Disponibiliza√ß√£o de informa√ß√£o do Data Analytics sobre Sess√µes NAVe</t>
  </si>
  <si>
    <t>[PUDOS] - [Salesforce-Dynamic Case] - EL bot√≥n de reenv√≠o de pin debe reconocer que el env√≠o tiene estado 2310 no que est√° en estado 2310</t>
  </si>
  <si>
    <t>Dona Oferta ‚Äì Dados de recibo/fatura autom√°ticos</t>
  </si>
  <si>
    <t>[PUDOS] - Gesti√≥n de saturaci√≥n en puntos Collectt</t>
  </si>
  <si>
    <t>GS B2C - Disponibiliza√ß√£o de dados de vendas Filatelia dos canais FIL e DTI</t>
  </si>
  <si>
    <t>Incus√£o de informa√ß√£o da ‚ÄúFatura√ß√£o prevista‚Äù e ‚ÄúTr√°fego previsto nos Relatorios</t>
  </si>
  <si>
    <t>Relatorio SAP Hana - Dados de Clientes Objetos √† Cobran√ßa</t>
  </si>
  <si>
    <t>[Salesforce] - Nueva landing captaci√≥n SEM conectada con el CRM y Pardot</t>
  </si>
  <si>
    <t>[Internacional] - Manifiesto de env√≠os internacionales de explotaci√≥n con aduanas por m√©todos de Integraci√≥n Clientes</t>
  </si>
  <si>
    <t>Enlace para usuario en selecci√≥n PUDO para RDP a trav√©s de Web Cliente</t>
  </si>
  <si>
    <t>Mapper - Personalizacion para clientes que trabajan con Amazon , TikTok y Temu</t>
  </si>
  <si>
    <t>[Web de clientes] - Seguimiento - Geoposici√≥n V2 - Comparar destino con geoposici√≥n de entrega</t>
  </si>
  <si>
    <t>API PUDO - Consulta de informacion de punto por el codigo de punto "organic point code"</t>
  </si>
  <si>
    <t>[Internacional]-Notificaci√≥n por Incidencia "Falta de documentaci√≥n"</t>
  </si>
  <si>
    <t>[Web publica] - Ajustes Locky en visi√≥n destinatario de web p√∫blica</t>
  </si>
  <si>
    <t>[Web de cliente] - Seguimiento - Utilizar en filtro y listado de env√≠o la fecha registrada en la variable shipping_date</t>
  </si>
  <si>
    <t>[Web de clientes] - Seguimiento - Incidencias gestionables muestra mensaje err√≥neo</t>
  </si>
  <si>
    <t>[Nexus-MVP] [Web de Clientes] Traducci√≥n al Ingl√©s y Portugu√©s</t>
  </si>
  <si>
    <t>[Salesforce] Notificaci√≥n autom√°tica cambio de comercial</t>
  </si>
  <si>
    <t>[Web de clientes][Desktop] - Seguimiento - Ocultar bot√≥n de "Estados" / Alert de filtros</t>
  </si>
  <si>
    <t>[Web de clientes][Mobile] - Seguimiento de env√≠os</t>
  </si>
  <si>
    <t>[Web de clientes][Mobile] - Burger Menu + Actualizaci√≥n de p√°gina de inicio</t>
  </si>
  <si>
    <t>[Web de clientes][Mobile] - Solicitud de env√≠o</t>
  </si>
  <si>
    <t>[Web P√∫blica] - Formulario y email Pagina Red PUDOS</t>
  </si>
  <si>
    <t>[Web de Clientes] - Suscripci√≥n de informes - Reporte con la informaci√≥n de env√≠os de los √∫ltimos 30 d√≠as naturales - Ordenar reporte</t>
  </si>
  <si>
    <t>[FR y BR] - Campo departamento y facturaci√≥n</t>
  </si>
  <si>
    <t>[WEB CLIENTE] Configuraci√≥n visibilidad web a nivel CENTRO</t>
  </si>
  <si>
    <t>[Internacional]- Actualizaci√≥n Web- M√≥dulo Aduana</t>
  </si>
  <si>
    <t>[Web de Clientes] - Seguimiento de Env√≠o - Posibilidad de descargar el albar√°n asociado al env√≠o</t>
  </si>
  <si>
    <t>[Nexus-MVP] [Web de Clientes] - Recogidas - Resoluci√≥n Incidencia en la recogida causa ajena: permitir al cliente solicitar una nueva recogida</t>
  </si>
  <si>
    <t>[PUDOS] - Internalizaci√≥n de la gesti√≥n de env√≠os en punto Celeritas</t>
  </si>
  <si>
    <t>[PUDOS] - Resoluci√≥n incidencias de Puntos CTT Express</t>
  </si>
  <si>
    <t>Implementaci√≥n de la red Locky (TP)</t>
  </si>
  <si>
    <t>Servicios Preferentes/Revisi√≥n del c√°lculo de compromiso (TP)</t>
  </si>
  <si>
    <t>[NEXUS] Servicio de Intentos de entrega Flexible</t>
  </si>
  <si>
    <t>[PUDOS] - Generaci√≥n POD env√≠os Celeritas / Locky</t>
  </si>
  <si>
    <t>[NEXUS]-[OOH] - MVP</t>
  </si>
  <si>
    <t>[NEXUS]- PRODUCTO CTT RETORNO</t>
  </si>
  <si>
    <t>[PUDOS] Recoger y mostrar a destinatarios y repartidores, informaci√≥n adicional de la ubicaci√≥n y acceso a los Lockys</t>
  </si>
  <si>
    <t>[PUDOS]-[QLIK] App/Hoja de anal√≠tica de incidencias en PUDOs</t>
  </si>
  <si>
    <t>[PUDOS] Reservas y aceptaci√≥n de env√≠os a PUDO - Verificar si el punto est√° activado/desactivado por PUDOS para dar el OK</t>
  </si>
  <si>
    <t>[NexIA] - Shipping Simulator - Evoluci√≥n</t>
  </si>
  <si>
    <t>[PUDOS] - Tools for managing own network</t>
  </si>
  <si>
    <t>End point to get Georeferences from listed addresses</t>
  </si>
  <si>
    <t>RevenueStream_origin</t>
  </si>
  <si>
    <t>Evolutivos Nave - Março e Abril</t>
  </si>
  <si>
    <t>Integração da API do AEDoc no Projeto – Nova Arquitetura de Aceitação</t>
  </si>
  <si>
    <t>Área de Cliente CTT - Empresas | Agile Way MAR e ABR 2026</t>
  </si>
  <si>
    <t>Automatização da alocação das recolhas (Correio Registado Locker)</t>
  </si>
  <si>
    <t>SLA - Migração para GitHub</t>
  </si>
  <si>
    <t>Mata Aplicações Wave 1.16</t>
  </si>
  <si>
    <t>Observabilidade | Uniformização da alarmística nos clusters do IDP</t>
  </si>
  <si>
    <t>Redução de Custos em Cloud</t>
  </si>
  <si>
    <t>Envios OLX | Retirar Certificado de Aceitação</t>
  </si>
  <si>
    <t>Fábrica OutSystems | Melhorias à plataforma - JAN, FEV MAR 2026</t>
  </si>
  <si>
    <t>Criação de WAF para Infraestrutura de OutSystems</t>
  </si>
  <si>
    <t>Outsystems - Evolução processo de CI/CD</t>
  </si>
  <si>
    <t>Integração - Migração ADO2GitHub - Kafka Conectors</t>
  </si>
  <si>
    <t>Configuração do pagamento de faturas no Locky</t>
  </si>
  <si>
    <t>DSD | Organizar Rota (Zona e Ordenação ) no Mobi</t>
  </si>
  <si>
    <t>DSD | Atualizar a Informação Ficha de Registo - Sistema Solistic</t>
  </si>
  <si>
    <t>DSD | Mobi - Permitir a Leitura do Código Laranja do Correio Azul</t>
  </si>
  <si>
    <t>Relatórios Mensais para Novo Modelo Operativo - Postos não NAVe</t>
  </si>
  <si>
    <t>Renovação Infoblox - Grid, DNS, DHCP, NTP e IPAM</t>
  </si>
  <si>
    <t>Faturação CORRE - Identificação do as-is e desenho do to-be</t>
  </si>
  <si>
    <t>Evolutivos SAP BRIM (1º TRIM 26)</t>
  </si>
  <si>
    <t>GitHub Migration - Implementação de Pipeline T&amp;T em GitHub</t>
  </si>
  <si>
    <t>[Nexus] Fase 2 | Âmbito da Fase 2 do Piloto Nexus</t>
  </si>
  <si>
    <t>IA &amp; Automação Corporate</t>
  </si>
  <si>
    <t>Teleponto - Migração de BD Oracle para BD SQL</t>
  </si>
  <si>
    <t>DUC - Relatório Mensal de Pagamentos de Impostos com Cartão MB</t>
  </si>
  <si>
    <t>NIS2 - Implementação de remediações (PT) - Gestão de Ativos</t>
  </si>
  <si>
    <t>NIS2 - Implementação de remediações (PT) - Segurança da Supply Chain</t>
  </si>
  <si>
    <t>Novo Catalogo de Aplicações (Atlas 2.0)</t>
  </si>
  <si>
    <t>Packs de Envio – Evolução Integrada do Serviço</t>
  </si>
  <si>
    <t>Ecossistema B2C – Evolutiva - MAR e ABR 2026</t>
  </si>
  <si>
    <t>Dados Operações Online</t>
  </si>
  <si>
    <t>INT | - Evolutivo Mulesoft - Março e Abril</t>
  </si>
  <si>
    <t>Mata Aplicações - Wave 1.15 - CRM Oracle Sales (Fase 1 - Execução)</t>
  </si>
  <si>
    <t>integração de objetos com destino a Espanha do Cliente NOS</t>
  </si>
  <si>
    <t>Criação /Geração de Relatorio Automatico diario Anacom</t>
  </si>
  <si>
    <t>Super Portal | Trazer produtos de acesso à rede para envios com contexto</t>
  </si>
  <si>
    <t>Redução de Taxa de Avisados com Melhoria de Dados de Contacto</t>
  </si>
  <si>
    <t>Registos com Aviso de Receção E2E em locker</t>
  </si>
  <si>
    <t>GitHub Migration - Aplicações Wave 2</t>
  </si>
  <si>
    <t>Evolutivos SAP Logística Q1 2026</t>
  </si>
  <si>
    <t>APT | Migração APIs IBM em Mulesoft - Fase 5/5</t>
  </si>
  <si>
    <t>Auditoria 2.0 - Criação de Data Lake para implementação de Auditoria Contínua e Auditoria à Distancia - Entrega R2</t>
  </si>
  <si>
    <t>Auditoria 2.0 - Criação de Data Lake para implementação de Auditoria Contínua e Auditoria à Distancia - Entrega R1</t>
  </si>
  <si>
    <t>DeMinimisEUA - Solução CTT para permitir retomar envios de mercadorias para os EUA</t>
  </si>
  <si>
    <t>Validação Antecipada de Objetos a Recolher</t>
  </si>
  <si>
    <t>Helena Evolução + Arquitetura de referência para Soluções AI - Incremento 1</t>
  </si>
  <si>
    <t>Novo Modelo operativo - Postos CTT não NAVe</t>
  </si>
  <si>
    <t>APT | Migração APIs IBM em Mulesoft - Iniciativa 4</t>
  </si>
  <si>
    <t>DORA - implementação de remediações (Payshop)</t>
  </si>
  <si>
    <t>Esforço CTT de apoio ao Banco CTT - Segregação de Identidades e Serviços Microsoft 365</t>
  </si>
  <si>
    <t>Site Payshop | Duplicação do Template do Site CTT para Payshop</t>
  </si>
  <si>
    <t>GALAXY (Stream Periféricos)| Aceitação de Novos Códigos de Barras em NAVe (Cobrança Postal)</t>
  </si>
  <si>
    <t>Aviso de Receção (AR) Digital</t>
  </si>
  <si>
    <t>Auditoria 2.0 - Criação de Data Lake para implementação de Auditoria Contínua e Auditoria à Distancia - Entrega R3</t>
  </si>
  <si>
    <t>[PUDOS] - Lockers Locky - PT - Recogidas + Detalle de localización de Lockys</t>
  </si>
  <si>
    <t>[Nexus] - [We Sell] - [Desconexión ORACLE] - Funciones de equipos PREVENDAS</t>
  </si>
  <si>
    <t>[Nexus] - [We Sell] - [Desconexión ORACLE] - Onboarding Digital</t>
  </si>
  <si>
    <t>[Nexus] - [We Sell] - [Desconexión ORACLE] - Tareas del equipo BackOffice</t>
  </si>
  <si>
    <t>[Salesforce Sales] - Visualización de Tarifa actual y anterior por cliente.</t>
  </si>
  <si>
    <t>Mejora control horario y ocultación campos no registrables</t>
  </si>
  <si>
    <t>[PUDOS] Recoger y mostrar a destinatarios y repartidores, información adicional de la ubicación y acceso a los Lockys</t>
  </si>
  <si>
    <t>[Nexus - We Sell] - [Minerva] - Creación del modelo tarifario dentro de Minerva para el servicio de Correo</t>
  </si>
  <si>
    <t>[PUDOS]-[QLIK] App/Hoja de analítica de incidencias en PUDOs</t>
  </si>
  <si>
    <t>[PUDOS] Reservas y aceptación de envíos a PUDO - Verificar si el punto está activado/desactivado por PUDOS para dar el OK</t>
  </si>
  <si>
    <t>[Notificaciones] -Fake Delivery - Actualización de campos de PDA y notificación de entrega</t>
  </si>
  <si>
    <t>INTEGRACIÓN BEWOR</t>
  </si>
  <si>
    <t>[NexIA] - Shipping Simulator - Evolución</t>
  </si>
  <si>
    <t>[Qlik] - Creación de un nueva dimensión Tipo Comercial Histórico</t>
  </si>
  <si>
    <t>[PUDOS] - Generación POD envíos Celeritas / Locky</t>
  </si>
  <si>
    <t>Herramienta de Verificación de Pagos (Área de Ingresos)</t>
  </si>
  <si>
    <t>Creación Estados Aduanas, visibilidad y reporte a clientes</t>
  </si>
  <si>
    <t>BCTT Mudança de datacenter Kyndryl</t>
  </si>
  <si>
    <t>Api descarga Albaran Escaneado Cliente</t>
  </si>
  <si>
    <t>Plan de Retención de Clientes en Descenso de Actividad</t>
  </si>
  <si>
    <t>[WebHook] - Shein - LastMile - Establecer un criterio que sirva para enviar el valor A-Scan</t>
  </si>
  <si>
    <t>[PUDOS] Adaptación portal de proveedores para gestión de puntos de red propia</t>
  </si>
  <si>
    <t>[WebHook] - Temu</t>
  </si>
  <si>
    <t>Portal Proveedores Linehaul - Habilitar cancelación de ruta</t>
  </si>
  <si>
    <t>[Nexus Piloto Operacional] Generación y consumo del POD para Fase 2</t>
  </si>
  <si>
    <t>Disponibilizar o produto Correio Registado internacional no aplicativo  "Criar envio de Correio ou Expresso"</t>
  </si>
  <si>
    <t>INT| -  Alarmística MuleSoft</t>
  </si>
  <si>
    <t>INT| -  Reconstrução dos processos de LOGs do SD mulesoft no ELK coorporativo.</t>
  </si>
  <si>
    <t>INT| -  Mata Aplicações Wave 1.1X - Solução de Transformação</t>
  </si>
  <si>
    <t>INT| -  Mata Aplicações Wave 1.1X - Tradutor</t>
  </si>
  <si>
    <t>Alargamento Infraestrutura  SI a outros sistemas desenvolvidos por EDO</t>
  </si>
  <si>
    <t>Super B2C (App + Área Cliente) |  Incluir publicidade genérica do Banco CTT nos canais digitais dos CTT</t>
  </si>
  <si>
    <t>Super B2C (App + Área Cliente) |  Alterar forma de gerar push notification na App</t>
  </si>
  <si>
    <t>INTERNACIONAL | IPS  Instalar a versão do package #31 (technical version 13.1.31)</t>
  </si>
  <si>
    <t>IOP | Instalação e Ativação da Componente Guardian -  Nova Hyper V</t>
  </si>
  <si>
    <t>IOP | Sistemas - Migração -  Nova Farm Hyper V Lisboa - Wave 3</t>
  </si>
  <si>
    <t>Telemetria -  (Mobi) Descontinuação do Boletim de Veiculo</t>
  </si>
  <si>
    <t>A receita dos  Postos  Venda de Selos (PVS)</t>
  </si>
  <si>
    <t>Servidor  Decisões: Update automatico para a nova versão ODM</t>
  </si>
  <si>
    <t>Liquidação de  objetos CTT  à cobrança</t>
  </si>
  <si>
    <t>Descontinuação do SGCP e GIEP -  Migração de Funcionalidades uma nova aplicação</t>
  </si>
  <si>
    <t>Mata Aplicações  - Wave 1.3 - HRAccess (Fase 0 - desenho de solução)</t>
  </si>
  <si>
    <t>Automatização Revisão Alertas AML  (Payshop)</t>
  </si>
  <si>
    <t>Serviço Conveniência -  Impressão A4 (complemento ao Serviço de Fotocopias)</t>
  </si>
  <si>
    <t>B2C - Vendas  Expresso por colaborador - CORVENDAS</t>
  </si>
  <si>
    <t>GPECL/INT -  Eventos DHL não integrados no T&amp;T CTT</t>
  </si>
  <si>
    <t>[NEXUS][PT]-  PRODUCTO INTERNACIONAL</t>
  </si>
  <si>
    <t>[NEXUS][PT]-  PROD INTERNACIONAL PREMIUM</t>
  </si>
  <si>
    <t>SAPSF -  Solução de Interoperabilidade com a Segurança Social (Regulatório)</t>
  </si>
  <si>
    <t>SOC  - operacionalização do serviço</t>
  </si>
  <si>
    <t>[web clientes]  Incluir formato Excel y CSV en suscripción de informes</t>
  </si>
  <si>
    <t>[Desconexión SGC]: Brókers  Franquicias: Gestión de adeudos y garantías</t>
  </si>
  <si>
    <t>[NEXUS] [Desconexión SGC - FR y BR]  [Web de clientes] Configuración - Administración, gestión de usuarios y centros de FRANQUICIAS y BROKERS (settings)</t>
  </si>
  <si>
    <t>[Web pública 2.0] - Seguimiento de envíos - Acciones según número de intentos de entrega  - Dynamic Cases</t>
  </si>
  <si>
    <t>[Web de Clientes] - Vulnerabilidad crítica web clientes y  Revisión de la web antigua</t>
  </si>
  <si>
    <t>[Web de Clientes] [Qlik] -  Medición volumen de envíos y facturación Web Clientes Cloud (Canal Importación masiva y grabación manual).</t>
  </si>
  <si>
    <t>[PRODUCTO]  [Web de Clientes] - Aranceles aduaneros Canarias</t>
  </si>
  <si>
    <t>[Producto] - Incorporar Validación DNI / PIN  (Servicio actual)</t>
  </si>
  <si>
    <t>[Web  de Clientes] - Comportamiento recogidas en grabación masiva</t>
  </si>
  <si>
    <t>[Nexus-MVP] [Web de Clientes]  Visualización Indicadores y KPIs en web de clientes en base a la app de Qlik</t>
  </si>
  <si>
    <t>[CIBER]  - Eliminación del acceso público de los ficheros de agencias y canalizaciones en transfer.cttexpress.com</t>
  </si>
  <si>
    <t>Crear LOG  reglas de pago clientes SGC</t>
  </si>
  <si>
    <t>[Web de Clientes] - Estados - Seguimiento - Error con los envíos  al filtrar por fechas de grabación</t>
  </si>
  <si>
    <t>[Nexus] [Notificaciones]  Whatsapp desde Marketing Cloud Engagement de Salesforce - Envío WP para el envío de notificaciones con incidencia</t>
  </si>
  <si>
    <t>[Desconexión SGC] [Auditoria PT]  Controles para garantizar la integración correcta de la información entre microservicio "Manifiestos" y SGC</t>
  </si>
  <si>
    <t>[Auditoria PT]  Seguimiento de los cambios realizados manualmente o mediante automatización y control/aprobación de los mismos</t>
  </si>
  <si>
    <t>[Producto] -  Código promocional</t>
  </si>
  <si>
    <t>Cambio de API para disponer de la información de valor y peso a declarar ante la aduana por parte del Cliente  (TC)</t>
  </si>
  <si>
    <t>[Evolutivos SGC Finanzas]  Historificación datos de facturación perdidos tras ataque informático (PENDIENTE SOLUCIÓN DE IT YA PRESENTADA)</t>
  </si>
  <si>
    <t>[Evolutivos Salesforce]  Asignacion de tarifas por cliente master - Salesforce/Minerva (posibilidad de clientes centro con tarifas diferentes) (Validar por Herramientas Comerciales)</t>
  </si>
  <si>
    <t>[Evolutivos SGC]  Recuperar Doble click en grid inferior valoracion de servicios, no abre las tablas como antes para editar y cambios, (pérdida esta funcionalidad importante)</t>
  </si>
  <si>
    <t>[Evolutivos SGC Finanzas]  Alarma-86 Engaño Cod. Postales (solicitado tambien a traves de BI para buscar automatización)</t>
  </si>
  <si>
    <t>[Evolutivos SGC]  Aplicación de la densidad cuando el CP no existe, confirmar IT si todo el proceso esta acabado (Incidencia)</t>
  </si>
  <si>
    <t>[Evolutivos SGC Finanzas]  Funcionalidad "Redireccionar servicios" en Valoracion de servicios funciona parcialmente</t>
  </si>
  <si>
    <t>ctt_rank</t>
  </si>
  <si>
    <t>[Nexus Piloto Operacional] Generaci√≥n y consumo del POD para Fase 2</t>
  </si>
  <si>
    <t>SOC  - operacionaliza√ß√£o do servi√ßo</t>
  </si>
  <si>
    <t>SAPSF -  Solu√ß√£o de Interoperabilidade com a Seguran√ßa Social (Regulat√≥rio)</t>
  </si>
  <si>
    <t>Super B2C (App + √Årea Cliente) |  Alterar forma de gerar push notification na App</t>
  </si>
  <si>
    <t>BCTT Mudan√ßa de datacenter Kyndryl</t>
  </si>
  <si>
    <t>INTERNACIONAL | IPS  Instalar a vers√£o do package #31 (technical version 13.1.31)</t>
  </si>
  <si>
    <t>[NEXUS] [Desconexi√≥n SGC - FR y BR]  [Web de clientes] Configuraci√≥n - Administraci√≥n, gesti√≥n de usuarios y centros de FRANQUICIAS y BROKERS (settings)</t>
  </si>
  <si>
    <t>[Desconexi√≥n SGC]: Br√≥kers  Franquicias: Gesti√≥n de adeudos y garant√≠as</t>
  </si>
  <si>
    <t>Servidor  Decis√µes: Update automatico para a nova vers√£o ODM</t>
  </si>
  <si>
    <t>[Nexus] [Notificaciones]  Whatsapp desde Marketing Cloud Engagement de Salesforce - Env√≠o WP para el env√≠o de notificaciones con incidencia</t>
  </si>
  <si>
    <t>[CIBER]  - Eliminaci√≥n del acceso p√∫blico de los ficheros de agencias y canalizaciones en transfer.cttexpress.com</t>
  </si>
  <si>
    <t>Telemetria -  (Mobi) Descontinua√ß√£o do Boletim de Veiculo</t>
  </si>
  <si>
    <t>Mata Aplica√ß√µes  - Wave 1.3 - HRAccess (Fase 0 - desenho de solu√ß√£o)</t>
  </si>
  <si>
    <t>Portal Proveedores Linehaul - Habilitar cancelaci√≥n de ruta</t>
  </si>
  <si>
    <t>Super B2C (App + √Årea Cliente) |  Incluir publicidade gen√©rica do Banco CTT nos canais digitais dos CTT</t>
  </si>
  <si>
    <t>[Desconexi√≥n SGC] [Auditoria PT]  Controles para garantizar la integraci√≥n correcta de la informaci√≥n entre microservicio "Manifiestos" y SGC</t>
  </si>
  <si>
    <t>[Nexus-MVP] [Web de Clientes]  Visualizaci√≥n Indicadores y KPIs en web de clientes en base a la app de Qlik</t>
  </si>
  <si>
    <t>[Web de Clientes] - Vulnerabilidad cr√≠tica web clientes y  Revisi√≥n de la web antigua</t>
  </si>
  <si>
    <t>[Evolutivos SGC Finanzas]  Alarma-86 Enga√±o Cod. Postales (solicitado tambien a traves de BI para buscar automatizaci√≥n)</t>
  </si>
  <si>
    <t>Descontinua√ß√£o do SGCP e GIEP -  Migra√ß√£o de Funcionalidades uma nova aplica√ß√£o</t>
  </si>
  <si>
    <t>Cambio de API para disponer de la informaci√≥n de valor y peso a declarar ante la aduana por parte del Cliente  (TC)</t>
  </si>
  <si>
    <t>[Evolutivos SGC Finanzas]  Historificaci√≥n datos de facturaci√≥n perdidos tras ataque inform√°tico (PENDIENTE SOLUCI√ìN DE IT YA PRESENTADA)</t>
  </si>
  <si>
    <t>Servi√ßo Conveni√™ncia -  Impress√£o A4 (complemento ao Servi√ßo de Fotocopias)</t>
  </si>
  <si>
    <t>IOP | Sistemas - Migra√ß√£o -  Nova Farm Hyper V Lisboa - Wave 3</t>
  </si>
  <si>
    <t>INT| -  Reconstru√ß√£o dos processos de LOGs do SD mulesoft no ELK coorporativo.</t>
  </si>
  <si>
    <t>[Evolutivos SGC]  Recuperar Doble click en grid inferior valoracion de servicios, no abre las tablas como antes para editar y cambios, (p√©rdida esta funcionalidad importante)</t>
  </si>
  <si>
    <t>[Evolutivos SGC]  Aplicaci√≥n de la densidad cuando el CP no existe, confirmar IT si todo el proceso esta acabado (Incidencia)</t>
  </si>
  <si>
    <t>INT| -  Mata Aplica√ß√µes Wave 1.1X - Solu√ß√£o de Transforma√ß√£o</t>
  </si>
  <si>
    <t>Liquida√ß√£o de  objetos CTT  √† cobran√ßa</t>
  </si>
  <si>
    <t>IOP | Instala√ß√£o e Ativa√ß√£o da Componente Guardian -  Nova Hyper V</t>
  </si>
  <si>
    <t>INT| -  Alarm√≠stica MuleSoft</t>
  </si>
  <si>
    <t>INT| -  Mata Aplica√ß√µes Wave 1.1X - Tradutor</t>
  </si>
  <si>
    <t>[Auditoria PT]  Seguimiento de los cambios realizados manualmente o mediante automatizaci√≥n y control/aprobaci√≥n de los mismos</t>
  </si>
  <si>
    <t>Automatiza√ß√£o Revis√£o Alertas AML  (Payshop)</t>
  </si>
  <si>
    <t>GPECL/INT -  Eventos DHL n√£o integrados no T&amp;T CTT</t>
  </si>
  <si>
    <t>[Producto] - Incorporar Validaci√≥n DNI / PIN  (Servicio actual)</t>
  </si>
  <si>
    <t>[Web de Clientes] - Estados - Seguimiento - Error con los env√≠os  al filtrar por fechas de grabaci√≥n</t>
  </si>
  <si>
    <t>[Web de Clientes] [Qlik] -  Medici√≥n volumen de env√≠os y facturaci√≥n Web Clientes Cloud (Canal Importaci√≥n masiva y grabaci√≥n manual).</t>
  </si>
  <si>
    <t>[Web  de Clientes] - Comportamiento recogidas en grabaci√≥n masiva</t>
  </si>
  <si>
    <t>[Web p√∫blica 2.0] - Seguimiento de env√≠os - Acciones seg√∫n n√∫mero de intentos de entrega  - Dynamic Cases</t>
  </si>
  <si>
    <t>[web clientes]  Incluir formato Excel y CSV en suscripci√≥n de informes</t>
  </si>
  <si>
    <t>[Producto] -  C√≥digo promocional</t>
  </si>
  <si>
    <t>Plan de Retenci√≥n de Clientes en Descenso de Actividad</t>
  </si>
  <si>
    <t>[PUDOS] Adaptaci√≥n portal de proveedores para gesti√≥n de puntos de red propia</t>
  </si>
  <si>
    <t>Discarded</t>
  </si>
  <si>
    <t>WEIGHTS_RS_BG</t>
  </si>
  <si>
    <t/>
  </si>
  <si>
    <t>TBD</t>
  </si>
  <si>
    <t>CTT_x</t>
  </si>
  <si>
    <t>CTT_</t>
  </si>
  <si>
    <t>CTT_0959</t>
  </si>
  <si>
    <t>CTT_0960</t>
  </si>
  <si>
    <t>CTT_0961</t>
  </si>
  <si>
    <t>CTT_0962</t>
  </si>
  <si>
    <t>CTT_0233</t>
  </si>
  <si>
    <t>CTT_0054</t>
  </si>
  <si>
    <t>CTT_0145</t>
  </si>
  <si>
    <t>CTT_0066</t>
  </si>
  <si>
    <t>CTT_0453</t>
  </si>
  <si>
    <t>CTT_0161</t>
  </si>
  <si>
    <t>CTT_0294</t>
  </si>
  <si>
    <t>CTT_0114</t>
  </si>
  <si>
    <t>CTT_0256</t>
  </si>
  <si>
    <t>CTT_0086</t>
  </si>
  <si>
    <t>fdgdgb</t>
  </si>
  <si>
    <t>CTT_0480</t>
  </si>
  <si>
    <t>CTT_0171</t>
  </si>
  <si>
    <t>CTT_0450</t>
  </si>
  <si>
    <t>CTT_0365</t>
  </si>
  <si>
    <t>CTT_0055</t>
  </si>
  <si>
    <t>CTT_0507</t>
  </si>
  <si>
    <t>CTT_0759</t>
  </si>
  <si>
    <t>CTT_0786</t>
  </si>
  <si>
    <t>CTT_0666</t>
  </si>
  <si>
    <t>CTT_0801</t>
  </si>
  <si>
    <t>CTT_0576</t>
  </si>
  <si>
    <t>CTT_0504</t>
  </si>
  <si>
    <t>CTT_0287</t>
  </si>
  <si>
    <t>CTT_0429</t>
  </si>
  <si>
    <t>CTT_0639</t>
  </si>
  <si>
    <t>CTT_0714</t>
  </si>
  <si>
    <t>CTT_0447</t>
  </si>
  <si>
    <t>CTT_0840</t>
  </si>
  <si>
    <t>CTT_0768</t>
  </si>
  <si>
    <t>CTT_0813</t>
  </si>
  <si>
    <t>CTT_0753</t>
  </si>
  <si>
    <t>CTT_0474</t>
  </si>
  <si>
    <t>CTT_0771</t>
  </si>
  <si>
    <t>CTT_0374</t>
  </si>
  <si>
    <t>CTT_0702</t>
  </si>
  <si>
    <t>CTT_0738</t>
  </si>
  <si>
    <t>CTT_0627</t>
  </si>
  <si>
    <t>CTT_0126</t>
  </si>
  <si>
    <t>CTT_0236</t>
  </si>
  <si>
    <t>CTT_0552</t>
  </si>
  <si>
    <t>CTT_0609</t>
  </si>
  <si>
    <t>CTT_0573</t>
  </si>
  <si>
    <t>CTT_0432</t>
  </si>
  <si>
    <t>CTT_0522</t>
  </si>
  <si>
    <t>CTT_0179</t>
  </si>
  <si>
    <t>CTT_0250</t>
  </si>
  <si>
    <t>CTT_0423</t>
  </si>
  <si>
    <t>CTT_0096</t>
  </si>
  <si>
    <t>CTT_0178</t>
  </si>
  <si>
    <t>CTT_0075</t>
  </si>
  <si>
    <t>CTT_0267</t>
  </si>
  <si>
    <t>CTT_0262</t>
  </si>
  <si>
    <t>CTT_0333</t>
  </si>
  <si>
    <t>CTT_0084</t>
  </si>
  <si>
    <t>CTT_0591</t>
  </si>
  <si>
    <t>CTT_0202</t>
  </si>
  <si>
    <t>CTT_0078</t>
  </si>
  <si>
    <t>CTT_0355</t>
  </si>
  <si>
    <t>CTT_0148</t>
  </si>
  <si>
    <t>CTT_0675</t>
  </si>
  <si>
    <t>CTT_0284</t>
  </si>
  <si>
    <t>CTT_0193</t>
  </si>
  <si>
    <t>CTT_0371</t>
  </si>
  <si>
    <t>CTT_0307</t>
  </si>
  <si>
    <t>CTT_0091</t>
  </si>
  <si>
    <t>CTT_0621</t>
  </si>
  <si>
    <t>CTT_0296</t>
  </si>
  <si>
    <t>CTT_0600</t>
  </si>
  <si>
    <t>CTT_0352</t>
  </si>
  <si>
    <t>CTT_0088</t>
  </si>
  <si>
    <t>CTT_0183</t>
  </si>
  <si>
    <t>CTT_0068</t>
  </si>
  <si>
    <t>CTT_0095</t>
  </si>
  <si>
    <t>CTT_0541</t>
  </si>
  <si>
    <t>CTT_0349</t>
  </si>
  <si>
    <t>CTT_0190</t>
  </si>
  <si>
    <t>CTT_0141</t>
  </si>
  <si>
    <t>CTT_0219</t>
  </si>
  <si>
    <t>CTT_0340</t>
  </si>
  <si>
    <t>CTT_0290</t>
  </si>
  <si>
    <t>CTT_0237</t>
  </si>
  <si>
    <t>CTT_0128</t>
  </si>
  <si>
    <t>CTT_0162</t>
  </si>
  <si>
    <t>CTT_0087</t>
  </si>
  <si>
    <t>CTT_0122</t>
  </si>
  <si>
    <t>CTT_0170</t>
  </si>
  <si>
    <t>CTT_0113</t>
  </si>
  <si>
    <t>CTT_0459</t>
  </si>
  <si>
    <t>CTT_0071</t>
  </si>
  <si>
    <t>CTT_0336</t>
  </si>
  <si>
    <t>CTT_0561</t>
  </si>
  <si>
    <t>CTT_0361</t>
  </si>
  <si>
    <t>CTT_0317</t>
  </si>
  <si>
    <t>CTT_0107</t>
  </si>
  <si>
    <t>CTT_0164</t>
  </si>
  <si>
    <t>CTT_0152</t>
  </si>
  <si>
    <t>CTT_0177</t>
  </si>
  <si>
    <t>CTT_0346</t>
  </si>
  <si>
    <t>CTT_0441</t>
  </si>
  <si>
    <t>CTT_0687</t>
  </si>
  <si>
    <t>CTT_0360</t>
  </si>
  <si>
    <t>CTT_0067</t>
  </si>
  <si>
    <t>CTT_0220</t>
  </si>
  <si>
    <t>CTT_0181</t>
  </si>
  <si>
    <t>CTT_0312</t>
  </si>
  <si>
    <t>CTT_0064</t>
  </si>
  <si>
    <t>CTT_0080</t>
  </si>
  <si>
    <t>CTT_0094</t>
  </si>
  <si>
    <t>CTT_0099</t>
  </si>
  <si>
    <t>CTT_0304</t>
  </si>
  <si>
    <t>CTT_0101</t>
  </si>
  <si>
    <t>CTT_0274</t>
  </si>
  <si>
    <t>CTT_0061</t>
  </si>
  <si>
    <t>CTT_0174</t>
  </si>
  <si>
    <t>CTT_0756</t>
  </si>
  <si>
    <t>CTT_0194</t>
  </si>
  <si>
    <t>CTT_0402</t>
  </si>
  <si>
    <t>CTT_0339</t>
  </si>
  <si>
    <t>CTT_0420</t>
  </si>
  <si>
    <t>CTT_0130</t>
  </si>
  <si>
    <t>CTT_0717</t>
  </si>
  <si>
    <t>CTT_0325</t>
  </si>
  <si>
    <t>CTT_0422</t>
  </si>
  <si>
    <t>CTT_0105</t>
  </si>
  <si>
    <t>CTT_0253</t>
  </si>
  <si>
    <t>CTT_0214</t>
  </si>
  <si>
    <t>CTT_0303</t>
  </si>
  <si>
    <t>CTT_0163</t>
  </si>
  <si>
    <t>CTT_0151</t>
  </si>
  <si>
    <t>CTT_0597</t>
  </si>
  <si>
    <t>CTT_0726</t>
  </si>
  <si>
    <t>CTT_0056</t>
  </si>
  <si>
    <t>CTT_0156</t>
  </si>
  <si>
    <t>CTT_0612</t>
  </si>
  <si>
    <t>CTT_0951</t>
  </si>
  <si>
    <t>CTT_0950</t>
  </si>
  <si>
    <t>CTT_0388</t>
  </si>
  <si>
    <t>CTT_0059</t>
  </si>
  <si>
    <t>CTT_0211</t>
  </si>
  <si>
    <t>CTT_0138</t>
  </si>
  <si>
    <t>CTT_0058</t>
  </si>
  <si>
    <t>CTT_0672</t>
  </si>
  <si>
    <t>CTT_0585</t>
  </si>
  <si>
    <t>CTT_0301</t>
  </si>
  <si>
    <t>CTT_0270</t>
  </si>
  <si>
    <t>CTT_0645</t>
  </si>
  <si>
    <t>CTT_0279</t>
  </si>
  <si>
    <t>CTT_0633</t>
  </si>
  <si>
    <t>CTT_0257</t>
  </si>
  <si>
    <t>CTT_0106</t>
  </si>
  <si>
    <t>CTT_0098</t>
  </si>
  <si>
    <t>CTT_0375</t>
  </si>
  <si>
    <t>CTT_0407</t>
  </si>
  <si>
    <t>CTT_0283</t>
  </si>
  <si>
    <t>CTT_0347</t>
  </si>
  <si>
    <t>CTT_0206</t>
  </si>
  <si>
    <t>CTT_0082</t>
  </si>
  <si>
    <t>CTT_0123</t>
  </si>
  <si>
    <t>CTT_0313</t>
  </si>
  <si>
    <t>CTT_0137</t>
  </si>
  <si>
    <t>CTT_0342</t>
  </si>
  <si>
    <t>CTT_0293</t>
  </si>
  <si>
    <t>CTT_0699</t>
  </si>
  <si>
    <t>CTT_0176</t>
  </si>
  <si>
    <t>CTT_0894</t>
  </si>
  <si>
    <t>CTT_0944</t>
  </si>
  <si>
    <t>CTT_0492</t>
  </si>
  <si>
    <t>CTT_0489</t>
  </si>
  <si>
    <t>CTT_0259</t>
  </si>
  <si>
    <t>CTT_0205</t>
  </si>
  <si>
    <t>CTT_0131</t>
  </si>
  <si>
    <t>CTT_0115</t>
  </si>
  <si>
    <t>CTT_0861</t>
  </si>
  <si>
    <t>CTT_0807</t>
  </si>
  <si>
    <t>CTT_0136</t>
  </si>
  <si>
    <t>CTT_0540</t>
  </si>
  <si>
    <t>CTT_0510</t>
  </si>
  <si>
    <t>CTT_0885</t>
  </si>
  <si>
    <t>CTT_0157</t>
  </si>
  <si>
    <t>CTT_0076</t>
  </si>
  <si>
    <t>CTT_0142</t>
  </si>
  <si>
    <t>CTT_0444</t>
  </si>
  <si>
    <t>CTT_0310</t>
  </si>
  <si>
    <t>CTT_0468</t>
  </si>
  <si>
    <t>CTT_0834</t>
  </si>
  <si>
    <t>CTT_0618</t>
  </si>
  <si>
    <t>CTT_0197</t>
  </si>
  <si>
    <t>CTT_0132</t>
  </si>
  <si>
    <t>CTT_0747</t>
  </si>
  <si>
    <t>CTT_0119</t>
  </si>
  <si>
    <t>CTT_0111</t>
  </si>
  <si>
    <t>CTT_0411</t>
  </si>
  <si>
    <t>CTT_0154</t>
  </si>
  <si>
    <t>CTT_0065</t>
  </si>
  <si>
    <t>CTT_0660</t>
  </si>
  <si>
    <t>CTT_0549</t>
  </si>
  <si>
    <t>CTT_0384</t>
  </si>
  <si>
    <t>CTT_0822</t>
  </si>
  <si>
    <t>CTT_0579</t>
  </si>
  <si>
    <t>CTT_0246</t>
  </si>
  <si>
    <t>CTT_0606</t>
  </si>
  <si>
    <t>CTT_0408</t>
  </si>
  <si>
    <t>CTT_0663</t>
  </si>
  <si>
    <t>CTT_0239</t>
  </si>
  <si>
    <t>CTT_0118</t>
  </si>
  <si>
    <t>CTT_0160</t>
  </si>
  <si>
    <t>CTT_0175</t>
  </si>
  <si>
    <t>CTT_0155</t>
  </si>
  <si>
    <t>CTT_0780</t>
  </si>
  <si>
    <t>CTT_0133</t>
  </si>
  <si>
    <t>CTT_0110</t>
  </si>
  <si>
    <t>CTT_0329</t>
  </si>
  <si>
    <t>CTT_0588</t>
  </si>
  <si>
    <t>CTT_0723</t>
  </si>
  <si>
    <t>CTT_0741</t>
  </si>
  <si>
    <t>CTT_0720</t>
  </si>
  <si>
    <t>CTT_0789</t>
  </si>
  <si>
    <t>CTT_0528</t>
  </si>
  <si>
    <t>CTT_0074</t>
  </si>
  <si>
    <t>CTT_0681</t>
  </si>
  <si>
    <t>CTT_0390</t>
  </si>
  <si>
    <t>CTT_0330</t>
  </si>
  <si>
    <t>CTT_0870</t>
  </si>
  <si>
    <t>CTT_0696</t>
  </si>
  <si>
    <t>CTT_0825</t>
  </si>
  <si>
    <t>CTT_0501</t>
  </si>
  <si>
    <t>CTT_0729</t>
  </si>
  <si>
    <t>CTT_0070</t>
  </si>
  <si>
    <t>CTT_0247</t>
  </si>
  <si>
    <t>CTT_0129</t>
  </si>
  <si>
    <t>CTT_0081</t>
  </si>
  <si>
    <t>CTT_0326</t>
  </si>
  <si>
    <t>CTT_0103</t>
  </si>
  <si>
    <t>CTT_0381</t>
  </si>
  <si>
    <t>CTT_0582</t>
  </si>
  <si>
    <t>CTT_0945</t>
  </si>
  <si>
    <t>CTT_0260</t>
  </si>
  <si>
    <t>CTT_0867</t>
  </si>
  <si>
    <t>CTT_0273</t>
  </si>
  <si>
    <t>x</t>
  </si>
  <si>
    <t>CTT_X1</t>
  </si>
  <si>
    <t>CTT_0016</t>
  </si>
  <si>
    <t>CTT_0024</t>
  </si>
  <si>
    <t>CTT_0013</t>
  </si>
  <si>
    <t>CTT_0254</t>
  </si>
  <si>
    <t>CTT_0271</t>
  </si>
  <si>
    <t>CTT_0291</t>
  </si>
  <si>
    <t>CTT_0491</t>
  </si>
  <si>
    <t>CTT_0093</t>
  </si>
  <si>
    <t>CTT_WS1</t>
  </si>
  <si>
    <t>CTT_0192</t>
  </si>
  <si>
    <t>CTT_0150</t>
  </si>
  <si>
    <t>CTT_0815</t>
  </si>
  <si>
    <t>CTT_0676</t>
  </si>
  <si>
    <t>CTT_0817</t>
  </si>
  <si>
    <t>CTT_0821</t>
  </si>
  <si>
    <t>CTT_0467</t>
  </si>
  <si>
    <t>CTT_0932</t>
  </si>
  <si>
    <t>CTT_0733</t>
  </si>
  <si>
    <t>CTT_0934</t>
  </si>
  <si>
    <t>CTT_0935</t>
  </si>
  <si>
    <t>CTT_0937</t>
  </si>
  <si>
    <t>CTT_0376</t>
  </si>
  <si>
    <t>CTT_0638</t>
  </si>
  <si>
    <t>CTT_0938</t>
  </si>
  <si>
    <t>CTT_0380</t>
  </si>
  <si>
    <t>CTT_0823</t>
  </si>
  <si>
    <t>CTT_0824</t>
  </si>
  <si>
    <t>CTT_0389</t>
  </si>
  <si>
    <t>CTT_0826</t>
  </si>
  <si>
    <t>CTT_0680</t>
  </si>
  <si>
    <t>CTT_0827</t>
  </si>
  <si>
    <t>CTT_0135</t>
  </si>
  <si>
    <t>CTT_0830</t>
  </si>
  <si>
    <t>CTT_0832</t>
  </si>
  <si>
    <t>CTT_0833</t>
  </si>
  <si>
    <t>CTT_0394</t>
  </si>
  <si>
    <t>CTT_0835</t>
  </si>
  <si>
    <t>CTT_0836</t>
  </si>
  <si>
    <t>CTT_0841</t>
  </si>
  <si>
    <t>CTT_0397</t>
  </si>
  <si>
    <t>CTT_0940</t>
  </si>
  <si>
    <t>CTT_0234</t>
  </si>
  <si>
    <t>CTT_0090</t>
  </si>
  <si>
    <t>CTT_0514</t>
  </si>
  <si>
    <t>CTT_0730</t>
  </si>
  <si>
    <t>CTT_0033</t>
  </si>
  <si>
    <t>CTT_0035</t>
  </si>
  <si>
    <t>CTT_0037</t>
  </si>
  <si>
    <t>CTT_0038</t>
  </si>
  <si>
    <t>CTT_0039</t>
  </si>
  <si>
    <t>CTT_0041</t>
  </si>
  <si>
    <t>CTT_0042</t>
  </si>
  <si>
    <t>CTT_0048</t>
  </si>
  <si>
    <t>CTT_0049</t>
  </si>
  <si>
    <t>CTT_0051</t>
  </si>
  <si>
    <t>CTT_0323</t>
  </si>
  <si>
    <t>CTT_0958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</si>
</sst>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b/>
      <sz val="12"/>
      <color rgb="FFFFFF00"/>
      <name val="Aptos Narrow"/>
      <scheme val="minor"/>
    </font>
    <font>
      <sz val="12"/>
      <color rgb="FFFFFF00"/>
      <name val="Aptos Narrow"/>
      <scheme val="minor"/>
    </font>
    <font>
      <sz val="10"/>
      <name val="Arial"/>
      <family val="2"/>
    </font>
    <font>
      <b/>
      <sz val="12"/>
      <color theme="0"/>
      <name val="Aptos Narrow"/>
      <scheme val="minor"/>
    </font>
    <font>
      <b/>
      <sz val="10"/>
      <color rgb="FFFF0000"/>
      <name val="Helvetica Neue"/>
      <family val="2"/>
    </font>
    <font>
      <sz val="10"/>
      <color rgb="FFFF0000"/>
      <name val="Helvetica Neue"/>
      <family val="2"/>
    </font>
    <font>
      <sz val="8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sz val="10"/>
      <color theme="1"/>
      <name val="Aptos Narrow"/>
      <family val="2"/>
      <scheme val="minor"/>
    </font>
    <font>
      <sz val="12"/>
      <color rgb="FF000000"/>
      <name val="Menlo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10" fillId="7" borderId="1" applyNumberFormat="0" applyAlignment="0" applyProtection="0"/>
    <xf numFmtId="9" fontId="15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0" fontId="6" fillId="2" borderId="0" xfId="0" applyFont="1" applyFill="1"/>
    <xf numFmtId="0" fontId="0" fillId="4" borderId="0" xfId="0" applyFill="1"/>
    <xf numFmtId="0" fontId="1" fillId="4" borderId="0" xfId="0" applyFont="1" applyFill="1"/>
    <xf numFmtId="9" fontId="0" fillId="4" borderId="0" xfId="0" applyNumberFormat="1" applyFill="1"/>
    <xf numFmtId="0" fontId="7" fillId="0" borderId="0" xfId="0" applyFont="1"/>
    <xf numFmtId="0" fontId="8" fillId="0" borderId="0" xfId="0" applyFont="1"/>
    <xf numFmtId="0" fontId="1" fillId="5" borderId="0" xfId="0" applyFont="1" applyFill="1"/>
    <xf numFmtId="0" fontId="0" fillId="6" borderId="0" xfId="0" applyFill="1"/>
    <xf numFmtId="0" fontId="10" fillId="7" borderId="1" xfId="2"/>
    <xf numFmtId="0" fontId="1" fillId="6" borderId="0" xfId="0" applyFont="1" applyFill="1"/>
    <xf numFmtId="0" fontId="6" fillId="8" borderId="0" xfId="0" applyFont="1" applyFill="1"/>
    <xf numFmtId="0" fontId="11" fillId="3" borderId="0" xfId="0" applyFont="1" applyFill="1"/>
    <xf numFmtId="0" fontId="12" fillId="3" borderId="0" xfId="0" applyFont="1" applyFill="1"/>
    <xf numFmtId="0" fontId="13" fillId="0" borderId="0" xfId="0" applyFont="1"/>
    <xf numFmtId="0" fontId="0" fillId="0" borderId="2" xfId="0" applyBorder="1"/>
    <xf numFmtId="0" fontId="0" fillId="0" borderId="3" xfId="0" applyBorder="1"/>
    <xf numFmtId="0" fontId="10" fillId="3" borderId="1" xfId="2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0" fillId="7" borderId="4" xfId="2" applyBorder="1"/>
    <xf numFmtId="0" fontId="11" fillId="0" borderId="3" xfId="0" applyFont="1" applyBorder="1"/>
    <xf numFmtId="0" fontId="11" fillId="0" borderId="0" xfId="0" applyFont="1"/>
    <xf numFmtId="0" fontId="11" fillId="0" borderId="2" xfId="0" applyFont="1" applyBorder="1"/>
    <xf numFmtId="0" fontId="14" fillId="0" borderId="0" xfId="0" applyFont="1"/>
    <xf numFmtId="9" fontId="1" fillId="4" borderId="0" xfId="3" applyFont="1" applyFill="1"/>
    <xf numFmtId="9" fontId="0" fillId="4" borderId="0" xfId="3" applyFont="1" applyFill="1"/>
    <xf numFmtId="10" fontId="0" fillId="4" borderId="0" xfId="3" applyNumberFormat="1" applyFont="1" applyFill="1"/>
    <xf numFmtId="0" fontId="1" fillId="9" borderId="2" xfId="0" applyFont="1" applyFill="1" applyBorder="1"/>
    <xf numFmtId="0" fontId="1" fillId="9" borderId="0" xfId="0" applyFont="1" applyFill="1"/>
    <xf numFmtId="9" fontId="1" fillId="9" borderId="0" xfId="3" applyFont="1" applyFill="1"/>
    <xf numFmtId="0" fontId="0" fillId="9" borderId="0" xfId="0" applyFill="1"/>
    <xf numFmtId="9" fontId="0" fillId="9" borderId="0" xfId="0" applyNumberFormat="1" applyFill="1"/>
    <xf numFmtId="9" fontId="0" fillId="9" borderId="0" xfId="3" applyFont="1" applyFill="1"/>
    <xf numFmtId="10" fontId="0" fillId="9" borderId="0" xfId="3" applyNumberFormat="1" applyFont="1" applyFill="1"/>
    <xf numFmtId="9" fontId="0" fillId="0" borderId="0" xfId="3" applyFont="1"/>
    <xf numFmtId="9" fontId="16" fillId="9" borderId="0" xfId="3" applyFont="1" applyFill="1"/>
    <xf numFmtId="9" fontId="1" fillId="9" borderId="2" xfId="0" applyNumberFormat="1" applyFont="1" applyFill="1" applyBorder="1"/>
    <xf numFmtId="10" fontId="0" fillId="0" borderId="0" xfId="3" applyNumberFormat="1" applyFont="1"/>
    <xf numFmtId="0" fontId="17" fillId="0" borderId="0" xfId="0" applyFont="1"/>
    <xf numFmtId="0" fontId="18" fillId="2" borderId="0" xfId="0" applyFont="1" applyFill="1"/>
    <xf numFmtId="0" fontId="19" fillId="2" borderId="0" xfId="0" applyFont="1" applyFill="1"/>
    <xf numFmtId="0" fontId="17" fillId="2" borderId="0" xfId="0" applyFont="1" applyFill="1"/>
    <xf numFmtId="0" fontId="11" fillId="3" borderId="0" xfId="0" applyFont="1" applyFill="1" applyAlignment="1">
      <alignment horizontal="left"/>
    </xf>
    <xf numFmtId="0" fontId="0" fillId="0" borderId="0" xfId="0" applyNumberFormat="1"/>
  </cellXfs>
  <cellStyles count="4">
    <cellStyle name="Calculation" xfId="2" builtinId="22"/>
    <cellStyle name="Normal" xfId="0" builtinId="0"/>
    <cellStyle name="Per cent" xfId="3" builtinId="5"/>
    <cellStyle name="Percent 2" xfId="1" xr:uid="{B4B05582-F7D3-F142-B20F-B4C84A0F58E6}"/>
  </cellStyles>
  <dxfs count="3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i Pedro Saraiva" refreshedDate="46087.632430787038" createdVersion="8" refreshedVersion="8" minRefreshableVersion="3" recordCount="999" xr:uid="{CB5BC97C-A494-0641-AE42-71B5C73B8745}">
  <cacheSource type="worksheet">
    <worksheetSource ref="A1:P1048576" sheet="ideas-output"/>
  </cacheSource>
  <cacheFields count="16">
    <cacheField name="Queue" numFmtId="0">
      <sharedItems containsBlank="1" count="5">
        <s v="NOW"/>
        <s v="NEXT"/>
        <s v="LATER"/>
        <m/>
        <s v="PRODUCTION" u="1"/>
      </sharedItems>
    </cacheField>
    <cacheField name="Method" numFmtId="0">
      <sharedItems containsBlank="1"/>
    </cacheField>
    <cacheField name="GlobalRank" numFmtId="0">
      <sharedItems containsString="0" containsBlank="1" containsNumber="1" containsInteger="1" minValue="1" maxValue="925"/>
    </cacheField>
    <cacheField name="ID" numFmtId="0">
      <sharedItems containsString="0" containsBlank="1" containsNumber="1" containsInteger="1" minValue="10344" maxValue="207256"/>
    </cacheField>
    <cacheField name="Name" numFmtId="0">
      <sharedItems containsBlank="1"/>
    </cacheField>
    <cacheField name="RequestingArea" numFmtId="0">
      <sharedItems containsBlank="1" count="41">
        <s v="CMO"/>
        <s v="GP B2B"/>
        <s v="COO"/>
        <s v="SEO"/>
        <s v="ATC"/>
        <s v="ACR"/>
        <s v="CIO"/>
        <s v="SI"/>
        <s v="CCO"/>
        <s v="GP ECL"/>
        <s v="EDO"/>
        <s v="CF"/>
        <s v="BCTT"/>
        <s v="GS"/>
        <s v="CISO"/>
        <s v="RS"/>
        <s v="SI-OPS"/>
        <s v="GPG"/>
        <s v="AVC"/>
        <s v="GRH"/>
        <s v="PC"/>
        <s v="CFO"/>
        <s v="IDC"/>
        <s v="DNI"/>
        <s v="SI-CRP"/>
        <s v="SI-PRD"/>
        <s v="GT"/>
        <s v="CSI"/>
        <s v="PRO"/>
        <s v="GP B2C"/>
        <s v="CMP"/>
        <s v="ST"/>
        <s v="TF"/>
        <s v="COM"/>
        <s v="RC"/>
        <m/>
        <s v="EM" u="1"/>
        <s v="CL" u="1"/>
        <s v="DPO" u="1"/>
        <s v="CTTE" u="1"/>
        <s v="FL" u="1"/>
      </sharedItems>
    </cacheField>
    <cacheField name="RevenueStream" numFmtId="0">
      <sharedItems containsBlank="1" count="8">
        <s v="eCommerce"/>
        <s v="Mail &amp; Services"/>
        <m/>
        <s v="Mail" u="1"/>
        <s v="Business Solutions" u="1"/>
        <s v="Retail &amp; Financial Services" u="1"/>
        <s v="Payments" u="1"/>
        <s v="Fulfilment" u="1"/>
      </sharedItems>
    </cacheField>
    <cacheField name="BudgetGroup" numFmtId="0">
      <sharedItems containsBlank="1" count="6">
        <s v="Commercial"/>
        <s v="Operations"/>
        <s v="Corporate"/>
        <s v="Technology"/>
        <s v="CISO"/>
        <m/>
      </sharedItems>
    </cacheField>
    <cacheField name="MicroPhase" numFmtId="0">
      <sharedItems containsBlank="1"/>
    </cacheField>
    <cacheField name="PriorityRA" numFmtId="0">
      <sharedItems containsString="0" containsBlank="1" containsNumber="1" containsInteger="1" minValue="1" maxValue="1040"/>
    </cacheField>
    <cacheField name="WSJF_Score" numFmtId="0">
      <sharedItems containsString="0" containsBlank="1" containsNumber="1" minValue="0.03" maxValue="11"/>
    </cacheField>
    <cacheField name="Value" numFmtId="0">
      <sharedItems containsString="0" containsBlank="1" containsNumber="1" containsInteger="1" minValue="1" maxValue="5"/>
    </cacheField>
    <cacheField name="Urgency" numFmtId="0">
      <sharedItems containsString="0" containsBlank="1" containsNumber="1" containsInteger="1" minValue="1" maxValue="5"/>
    </cacheField>
    <cacheField name="Risk" numFmtId="0">
      <sharedItems containsString="0" containsBlank="1" containsNumber="1" containsInteger="1" minValue="1" maxValue="5"/>
    </cacheField>
    <cacheField name="Size" numFmtId="0">
      <sharedItems containsString="0" containsBlank="1" containsNumber="1" containsInteger="1" minValue="1" maxValue="100"/>
    </cacheField>
    <cacheField name="TOP_X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s v="SainteLague"/>
    <n v="1"/>
    <n v="57268"/>
    <s v="[Nexus Piloto Operacional] Generaci√≥n y consumo del POD para Fase 2"/>
    <x v="0"/>
    <x v="0"/>
    <x v="0"/>
    <s v="Ready for Acceptance"/>
    <n v="1009"/>
    <n v="0.03"/>
    <n v="1"/>
    <n v="1"/>
    <n v="1"/>
    <n v="100"/>
    <x v="0"/>
  </r>
  <r>
    <x v="0"/>
    <s v="SainteLague"/>
    <n v="2"/>
    <n v="110212"/>
    <s v="DeMinimisEUA - Solu√ß√£o CTT para permitir retomar envios de mercadorias para os EUA"/>
    <x v="1"/>
    <x v="1"/>
    <x v="0"/>
    <s v="In Development"/>
    <n v="1015"/>
    <n v="1.75"/>
    <n v="4"/>
    <n v="1"/>
    <n v="2"/>
    <n v="4"/>
    <x v="0"/>
  </r>
  <r>
    <x v="0"/>
    <s v="SainteLague"/>
    <n v="3"/>
    <n v="53918"/>
    <s v="[Desconexi√≥n SGC] Evoluci√≥n pantalla web Nexus (modulo seguimiento de rutas/ recogidas)"/>
    <x v="2"/>
    <x v="0"/>
    <x v="1"/>
    <s v="In Acceptance"/>
    <n v="1002"/>
    <n v="0.03"/>
    <n v="1"/>
    <n v="1"/>
    <n v="1"/>
    <n v="100"/>
    <x v="0"/>
  </r>
  <r>
    <x v="0"/>
    <s v="SainteLague"/>
    <n v="4"/>
    <n v="133333"/>
    <s v="Evolutivos SAP Log√≠stica Q1 2026"/>
    <x v="3"/>
    <x v="1"/>
    <x v="1"/>
    <s v="In Development"/>
    <n v="1038"/>
    <n v="2.6669999999999998"/>
    <n v="3"/>
    <n v="2"/>
    <n v="3"/>
    <n v="3"/>
    <x v="0"/>
  </r>
  <r>
    <x v="0"/>
    <s v="SainteLague"/>
    <n v="5"/>
    <n v="46806"/>
    <s v="[Qlik] - APP Contact Center Integrar toda la informaci√≥n de casos de Salesforce"/>
    <x v="4"/>
    <x v="0"/>
    <x v="2"/>
    <s v="In Acceptance"/>
    <n v="1005"/>
    <n v="0.03"/>
    <n v="1"/>
    <n v="1"/>
    <n v="1"/>
    <n v="100"/>
    <x v="0"/>
  </r>
  <r>
    <x v="0"/>
    <s v="SainteLague"/>
    <n v="6"/>
    <n v="120528"/>
    <s v="Auditoria 2.0 - Cria√ß√£o de Data Lake para implementa√ß√£o de Auditoria¬†Cont√≠nua e Auditoria √† Distancia - Entrega R1"/>
    <x v="5"/>
    <x v="1"/>
    <x v="2"/>
    <s v="In Development"/>
    <n v="1030"/>
    <n v="0.03"/>
    <n v="1"/>
    <n v="1"/>
    <n v="1"/>
    <n v="100"/>
    <x v="0"/>
  </r>
  <r>
    <x v="0"/>
    <s v="SainteLague"/>
    <n v="7"/>
    <n v="60535"/>
    <s v="[WebHook] - Shein ADT - Migraci√≥n de infraestructura de Shein ADT"/>
    <x v="6"/>
    <x v="0"/>
    <x v="3"/>
    <s v="In Acceptance"/>
    <n v="1004"/>
    <n v="0.03"/>
    <n v="1"/>
    <n v="1"/>
    <n v="1"/>
    <n v="100"/>
    <x v="0"/>
  </r>
  <r>
    <x v="0"/>
    <s v="SainteLague"/>
    <n v="8"/>
    <n v="69008"/>
    <s v="APT | Migra√ß√£o APIs IBM em Mulesoft - Iniciativa 4"/>
    <x v="7"/>
    <x v="1"/>
    <x v="3"/>
    <s v="In Acceptance"/>
    <n v="1006"/>
    <n v="0.03"/>
    <n v="1"/>
    <n v="1"/>
    <n v="1"/>
    <n v="100"/>
    <x v="0"/>
  </r>
  <r>
    <x v="0"/>
    <s v="SainteLague"/>
    <n v="9"/>
    <n v="57319"/>
    <s v="[Nexus] [We Sell] Carga de clientes de PT en Salesforce Sales"/>
    <x v="8"/>
    <x v="0"/>
    <x v="0"/>
    <s v="Ready for Acceptance"/>
    <n v="1008"/>
    <n v="0.03"/>
    <n v="1"/>
    <n v="1"/>
    <n v="1"/>
    <n v="100"/>
    <x v="0"/>
  </r>
  <r>
    <x v="0"/>
    <s v="SainteLague"/>
    <n v="10"/>
    <n v="94146"/>
    <s v="Valida√ß√£o Antecipada de Objetos a Recolher"/>
    <x v="9"/>
    <x v="1"/>
    <x v="0"/>
    <s v="Ready for Acceptance"/>
    <n v="1012"/>
    <n v="0.03"/>
    <n v="1"/>
    <n v="1"/>
    <n v="1"/>
    <n v="100"/>
    <x v="0"/>
  </r>
  <r>
    <x v="0"/>
    <s v="SainteLague"/>
    <n v="11"/>
    <n v="62247"/>
    <s v="[Qlik Sense][A-Scan] - Nuevos Filtros"/>
    <x v="2"/>
    <x v="0"/>
    <x v="1"/>
    <s v="Ready for Acceptance"/>
    <n v="1010"/>
    <n v="0.03"/>
    <n v="1"/>
    <n v="1"/>
    <n v="1"/>
    <n v="100"/>
    <x v="0"/>
  </r>
  <r>
    <x v="0"/>
    <s v="SainteLague"/>
    <n v="12"/>
    <n v="192929"/>
    <s v="Postman Digital Brain - Fase 1 &amp; 2"/>
    <x v="10"/>
    <x v="1"/>
    <x v="1"/>
    <s v="In Development"/>
    <n v="1014"/>
    <n v="0.03"/>
    <n v="1"/>
    <n v="1"/>
    <n v="1"/>
    <n v="100"/>
    <x v="0"/>
  </r>
  <r>
    <x v="0"/>
    <s v="SainteLague"/>
    <n v="13"/>
    <n v="61318"/>
    <s v="[Nexus][Internacional]-[Nuevo Producto ECONOMY]- DHL-PARCEL"/>
    <x v="0"/>
    <x v="0"/>
    <x v="0"/>
    <s v="In Development"/>
    <n v="1018"/>
    <n v="2"/>
    <n v="5"/>
    <n v="1"/>
    <n v="2"/>
    <n v="4"/>
    <x v="0"/>
  </r>
  <r>
    <x v="0"/>
    <s v="SainteLague"/>
    <n v="14"/>
    <n v="99804"/>
    <s v="NOTA (fase 3) Controlo de Fundos de Maneio das Lojas"/>
    <x v="11"/>
    <x v="1"/>
    <x v="2"/>
    <s v="In Development"/>
    <n v="1029"/>
    <n v="0.03"/>
    <n v="1"/>
    <n v="1"/>
    <n v="1"/>
    <n v="100"/>
    <x v="0"/>
  </r>
  <r>
    <x v="0"/>
    <s v="SainteLague"/>
    <n v="15"/>
    <n v="62519"/>
    <s v="Los usuarios de las delegaciones no tienen que ver las liquidaciones de LH de los proveedores"/>
    <x v="2"/>
    <x v="0"/>
    <x v="1"/>
    <s v="In Development"/>
    <n v="1013"/>
    <n v="2"/>
    <n v="2"/>
    <n v="1"/>
    <n v="1"/>
    <n v="2"/>
    <x v="0"/>
  </r>
  <r>
    <x v="0"/>
    <s v="SainteLague"/>
    <n v="16"/>
    <n v="201921"/>
    <s v="Esfor√ßo CTT de apoio ao Banco CTT - Segrega√ß√£o de Identidades e Servi√ßos Microsoft 365"/>
    <x v="12"/>
    <x v="1"/>
    <x v="3"/>
    <s v="In Development"/>
    <n v="1023"/>
    <n v="0.03"/>
    <n v="1"/>
    <n v="1"/>
    <n v="1"/>
    <n v="100"/>
    <x v="0"/>
  </r>
  <r>
    <x v="0"/>
    <s v="SainteLague"/>
    <n v="17"/>
    <n v="58466"/>
    <s v="[Web de Clientes][Web de Cambios] - Trazabilidad - Actualizaci√≥n de literales en visi√≥n de Web de clientes y Destinatario (Web de cambios)"/>
    <x v="0"/>
    <x v="0"/>
    <x v="0"/>
    <s v="In Development"/>
    <n v="1020"/>
    <n v="0.03"/>
    <n v="1"/>
    <n v="1"/>
    <n v="1"/>
    <n v="100"/>
    <x v="0"/>
  </r>
  <r>
    <x v="0"/>
    <s v="SainteLague"/>
    <n v="18"/>
    <n v="85297"/>
    <s v="Programa Galaxy - Jornada de envios &quot;Correio Registado Nacional e Expresso Nacional&quot;"/>
    <x v="13"/>
    <x v="1"/>
    <x v="0"/>
    <s v="In Acceptance"/>
    <n v="1001"/>
    <n v="0.03"/>
    <n v="1"/>
    <n v="1"/>
    <n v="1"/>
    <n v="100"/>
    <x v="0"/>
  </r>
  <r>
    <x v="0"/>
    <s v="SainteLague"/>
    <n v="19"/>
    <n v="60703"/>
    <s v="[PUDOS] - Incluir selecci√≥n origen PT en Web Clientes para servicios RDP origen PT con manifiesto en ES"/>
    <x v="0"/>
    <x v="0"/>
    <x v="0"/>
    <s v="In Development"/>
    <n v="1027"/>
    <n v="0.03"/>
    <n v="1"/>
    <n v="1"/>
    <n v="1"/>
    <n v="100"/>
    <x v="0"/>
  </r>
  <r>
    <x v="0"/>
    <s v="SainteLague"/>
    <n v="20"/>
    <n v="50852"/>
    <s v="SOC  - operacionaliza√ß√£o do servi√ßo"/>
    <x v="14"/>
    <x v="1"/>
    <x v="4"/>
    <s v="In Development"/>
    <n v="1017"/>
    <n v="0.03"/>
    <n v="1"/>
    <n v="1"/>
    <n v="1"/>
    <n v="100"/>
    <x v="0"/>
  </r>
  <r>
    <x v="0"/>
    <s v="SainteLague"/>
    <n v="21"/>
    <n v="47872"/>
    <s v="[Internacional]-[Nuevo Producto Low Cost]- SKYNET"/>
    <x v="0"/>
    <x v="0"/>
    <x v="0"/>
    <s v="In Development"/>
    <n v="1028"/>
    <n v="0.03"/>
    <n v="1"/>
    <n v="1"/>
    <n v="1"/>
    <n v="100"/>
    <x v="0"/>
  </r>
  <r>
    <x v="0"/>
    <s v="SainteLague"/>
    <n v="22"/>
    <n v="68962"/>
    <s v="XRP - FASE 2: CTT e novas funcionalidades"/>
    <x v="15"/>
    <x v="1"/>
    <x v="2"/>
    <s v="In Development"/>
    <n v="1024"/>
    <n v="0.03"/>
    <n v="1"/>
    <n v="1"/>
    <n v="1"/>
    <n v="100"/>
    <x v="0"/>
  </r>
  <r>
    <x v="0"/>
    <s v="SainteLague"/>
    <n v="23"/>
    <n v="43578"/>
    <s v="[PUDOS] - Venta Internacional en PUDOS"/>
    <x v="0"/>
    <x v="0"/>
    <x v="0"/>
    <s v="In Development"/>
    <n v="1032"/>
    <n v="0.03"/>
    <n v="1"/>
    <n v="1"/>
    <n v="1"/>
    <n v="100"/>
    <x v="0"/>
  </r>
  <r>
    <x v="0"/>
    <s v="SainteLague"/>
    <n v="24"/>
    <n v="126944"/>
    <s v="GitHub Migration - Aplica√ß√µes Wave 1"/>
    <x v="16"/>
    <x v="1"/>
    <x v="3"/>
    <s v="In Development"/>
    <n v="1036"/>
    <n v="3.3330000000000002"/>
    <n v="4"/>
    <n v="3"/>
    <n v="3"/>
    <n v="3"/>
    <x v="0"/>
  </r>
  <r>
    <x v="0"/>
    <s v="SainteLague"/>
    <n v="25"/>
    <n v="70181"/>
    <s v="Novo Modelo operativo - Postos CTT n√£o NAVe"/>
    <x v="17"/>
    <x v="1"/>
    <x v="0"/>
    <s v="In Development"/>
    <n v="1021"/>
    <n v="2.75"/>
    <n v="4"/>
    <n v="4"/>
    <n v="3"/>
    <n v="4"/>
    <x v="0"/>
  </r>
  <r>
    <x v="0"/>
    <s v="SainteLague"/>
    <n v="26"/>
    <n v="88802"/>
    <s v="Helena Evolu√ß√£o + Arquitetura de refer√™ncia para Solu√ß√µes AI - Incremento 1"/>
    <x v="18"/>
    <x v="1"/>
    <x v="2"/>
    <s v="In Acceptance"/>
    <n v="1003"/>
    <n v="0.03"/>
    <n v="1"/>
    <n v="1"/>
    <n v="1"/>
    <n v="100"/>
    <x v="0"/>
  </r>
  <r>
    <x v="0"/>
    <s v="SainteLague"/>
    <n v="27"/>
    <n v="127822"/>
    <s v="APT | Migra√ß√£o APIs IBM em Mulesoft - Fase 5/5"/>
    <x v="7"/>
    <x v="1"/>
    <x v="3"/>
    <s v="In Development"/>
    <n v="1016"/>
    <n v="3"/>
    <n v="4"/>
    <n v="5"/>
    <n v="3"/>
    <n v="4"/>
    <x v="0"/>
  </r>
  <r>
    <x v="0"/>
    <s v="SainteLague"/>
    <n v="28"/>
    <n v="149884"/>
    <s v="Aviso de Rece√ß√£o (AR) Digital"/>
    <x v="1"/>
    <x v="1"/>
    <x v="0"/>
    <s v="In Development"/>
    <n v="1019"/>
    <n v="0.03"/>
    <n v="1"/>
    <n v="1"/>
    <n v="1"/>
    <n v="100"/>
    <x v="0"/>
  </r>
  <r>
    <x v="0"/>
    <s v="SainteLague"/>
    <n v="29"/>
    <n v="194066"/>
    <s v="GALAXY (Stream Perif√©ricos)| Aceita√ß√£o de Novos C√≥digos de Barras em NAVe (Cobran√ßa Postal)"/>
    <x v="13"/>
    <x v="1"/>
    <x v="0"/>
    <s v="In Development"/>
    <n v="1022"/>
    <n v="0.03"/>
    <n v="1"/>
    <n v="1"/>
    <n v="1"/>
    <n v="100"/>
    <x v="0"/>
  </r>
  <r>
    <x v="0"/>
    <s v="SainteLague"/>
    <n v="30"/>
    <n v="129623"/>
    <s v="SAPSF Evolutivos 01.2026"/>
    <x v="19"/>
    <x v="1"/>
    <x v="2"/>
    <s v="In Acceptance"/>
    <n v="1007"/>
    <n v="4.5"/>
    <n v="2"/>
    <n v="4"/>
    <n v="3"/>
    <n v="2"/>
    <x v="0"/>
  </r>
  <r>
    <x v="0"/>
    <s v="SainteLague"/>
    <n v="31"/>
    <n v="120240"/>
    <s v="Mata Aplica√ß√µes - Wave 1.14"/>
    <x v="7"/>
    <x v="1"/>
    <x v="3"/>
    <s v="In Development"/>
    <n v="1033"/>
    <n v="2.6669999999999998"/>
    <n v="4"/>
    <n v="2"/>
    <n v="2"/>
    <n v="3"/>
    <x v="0"/>
  </r>
  <r>
    <x v="0"/>
    <s v="SainteLague"/>
    <n v="32"/>
    <n v="200523"/>
    <s v="Site Payshop | Duplica√ß√£o do Template do Site CTT para Payshop"/>
    <x v="17"/>
    <x v="1"/>
    <x v="0"/>
    <s v="In Development"/>
    <n v="1039"/>
    <n v="0.03"/>
    <n v="1"/>
    <n v="1"/>
    <n v="1"/>
    <n v="100"/>
    <x v="0"/>
  </r>
  <r>
    <x v="0"/>
    <s v="SainteLague"/>
    <n v="33"/>
    <n v="120277"/>
    <s v="revamp.EPM - Framework CPM 360 MVP (BCR + PBF)"/>
    <x v="20"/>
    <x v="1"/>
    <x v="2"/>
    <s v="Ready for Acceptance"/>
    <n v="1011"/>
    <n v="0.03"/>
    <n v="1"/>
    <n v="1"/>
    <n v="1"/>
    <n v="100"/>
    <x v="0"/>
  </r>
  <r>
    <x v="0"/>
    <s v="SainteLague"/>
    <n v="34"/>
    <n v="136770"/>
    <s v="GitHub Migration - Aplica√ß√µes Wave 2"/>
    <x v="16"/>
    <x v="1"/>
    <x v="3"/>
    <s v="In Development"/>
    <n v="1037"/>
    <n v="5"/>
    <n v="4"/>
    <n v="3"/>
    <n v="3"/>
    <n v="2"/>
    <x v="0"/>
  </r>
  <r>
    <x v="0"/>
    <s v="SainteLague"/>
    <n v="35"/>
    <n v="50855"/>
    <s v="DORA - implementa√ß√£o de remedia√ß√µes (Payshop)"/>
    <x v="14"/>
    <x v="1"/>
    <x v="4"/>
    <s v="In Development"/>
    <n v="1025"/>
    <n v="0.03"/>
    <n v="1"/>
    <n v="1"/>
    <n v="1"/>
    <n v="100"/>
    <x v="0"/>
  </r>
  <r>
    <x v="0"/>
    <s v="SainteLague"/>
    <n v="36"/>
    <n v="120533"/>
    <s v="Auditoria 2.0 - Cria√ß√£o de Data Lake para implementa√ß√£o de Auditoria¬†Cont√≠nua e Auditoria √† Distancia - Entrega R2"/>
    <x v="5"/>
    <x v="1"/>
    <x v="2"/>
    <s v="In Development"/>
    <n v="1031"/>
    <n v="0.03"/>
    <n v="1"/>
    <n v="1"/>
    <n v="1"/>
    <n v="100"/>
    <x v="0"/>
  </r>
  <r>
    <x v="0"/>
    <s v="SainteLague"/>
    <n v="37"/>
    <n v="104489"/>
    <s v="SAPSF - Wave 2 (RECrutamento, ONBoarding)"/>
    <x v="19"/>
    <x v="1"/>
    <x v="2"/>
    <s v="In Development"/>
    <n v="1026"/>
    <n v="0.03"/>
    <n v="1"/>
    <n v="1"/>
    <n v="1"/>
    <n v="100"/>
    <x v="0"/>
  </r>
  <r>
    <x v="0"/>
    <s v="SainteLague"/>
    <n v="38"/>
    <n v="121981"/>
    <s v="Auditoria 2.0 - Cria√ß√£o de Data Lake para implementa√ß√£o de Auditoria¬†Cont√≠nua e Auditoria √† Distancia - Entrega R3"/>
    <x v="5"/>
    <x v="1"/>
    <x v="2"/>
    <s v="In Development"/>
    <n v="1040"/>
    <n v="0.03"/>
    <n v="1"/>
    <n v="1"/>
    <n v="1"/>
    <n v="100"/>
    <x v="0"/>
  </r>
  <r>
    <x v="0"/>
    <s v="SainteLague"/>
    <n v="39"/>
    <n v="98651"/>
    <s v="SAPSF - encripta√ß√£o ficheiros SEPA CTT + CTTE"/>
    <x v="19"/>
    <x v="1"/>
    <x v="2"/>
    <s v="In Development"/>
    <n v="1034"/>
    <n v="6"/>
    <n v="2"/>
    <n v="2"/>
    <n v="2"/>
    <n v="1"/>
    <x v="0"/>
  </r>
  <r>
    <x v="0"/>
    <s v="SainteLague"/>
    <n v="40"/>
    <n v="99510"/>
    <s v="SAPSF -  Solu√ß√£o de Interoperabilidade com a Seguran√ßa Social (Regulat√≥rio)"/>
    <x v="19"/>
    <x v="1"/>
    <x v="2"/>
    <s v="In Development"/>
    <n v="1035"/>
    <n v="7"/>
    <n v="3"/>
    <n v="2"/>
    <n v="2"/>
    <n v="1"/>
    <x v="0"/>
  </r>
  <r>
    <x v="1"/>
    <s v="SainteLague"/>
    <n v="41"/>
    <n v="56840"/>
    <s v="[Nuevo Producto]-[Minerva]-Producto 48h a Islas Canarias"/>
    <x v="0"/>
    <x v="0"/>
    <x v="0"/>
    <s v="Ready for Development"/>
    <n v="7"/>
    <n v="0.03"/>
    <n v="1"/>
    <n v="1"/>
    <n v="1"/>
    <n v="100"/>
    <x v="0"/>
  </r>
  <r>
    <x v="1"/>
    <s v="SainteLague"/>
    <n v="42"/>
    <n v="133251"/>
    <s v="Evolutivas SAP - Mapeamentos contabilisticos &amp; testes"/>
    <x v="17"/>
    <x v="1"/>
    <x v="0"/>
    <s v="Ready for Development"/>
    <n v="17"/>
    <n v="4"/>
    <n v="5"/>
    <n v="2"/>
    <n v="1"/>
    <n v="2"/>
    <x v="0"/>
  </r>
  <r>
    <x v="1"/>
    <s v="SainteLague"/>
    <n v="43"/>
    <n v="65302"/>
    <s v="Env√≠os Amazon destino Braga solo manifestados para entrar en senda"/>
    <x v="2"/>
    <x v="0"/>
    <x v="1"/>
    <s v="Ready for Development"/>
    <n v="8"/>
    <n v="0.03"/>
    <n v="1"/>
    <n v="1"/>
    <n v="1"/>
    <n v="100"/>
    <x v="0"/>
  </r>
  <r>
    <x v="1"/>
    <s v="SainteLague"/>
    <n v="44"/>
    <n v="65806"/>
    <s v="[Nexus Piloto Operacional] Puesta en marcha Fase 2 del Piloto Operacional con el flujo de env√≠os PT-PT"/>
    <x v="2"/>
    <x v="0"/>
    <x v="1"/>
    <s v="Ready for Development"/>
    <n v="9"/>
    <n v="0.03"/>
    <n v="1"/>
    <n v="1"/>
    <n v="1"/>
    <n v="100"/>
    <x v="0"/>
  </r>
  <r>
    <x v="2"/>
    <s v="SainteLague"/>
    <n v="45"/>
    <n v="140635"/>
    <s v="[PUDOS] - Lockers¬†Locky - PT - Recogidas + Detalle de localizaci√≥n de Lockys"/>
    <x v="0"/>
    <x v="0"/>
    <x v="0"/>
    <s v="In Solution"/>
    <n v="1"/>
    <n v="0.09"/>
    <n v="3"/>
    <n v="3"/>
    <n v="3"/>
    <n v="100"/>
    <x v="0"/>
  </r>
  <r>
    <x v="2"/>
    <s v="SainteLague"/>
    <n v="46"/>
    <n v="131734"/>
    <s v="Controlo de correio JPP"/>
    <x v="1"/>
    <x v="1"/>
    <x v="0"/>
    <s v="In Definition"/>
    <n v="1"/>
    <n v="1.5"/>
    <n v="1"/>
    <n v="1"/>
    <n v="1"/>
    <n v="2"/>
    <x v="0"/>
  </r>
  <r>
    <x v="2"/>
    <s v="SainteLague"/>
    <n v="47"/>
    <n v="62339"/>
    <s v="Nuevos desarrollos Normalizaci√≥n de direcciones"/>
    <x v="2"/>
    <x v="0"/>
    <x v="1"/>
    <s v="In Solution"/>
    <n v="5"/>
    <n v="0.03"/>
    <n v="1"/>
    <n v="1"/>
    <n v="1"/>
    <n v="100"/>
    <x v="0"/>
  </r>
  <r>
    <x v="2"/>
    <s v="SainteLague"/>
    <n v="48"/>
    <n v="139615"/>
    <s v="Automatiza√ß√£o da aloca√ß√£o das recolhas (Correio Registado Locker)"/>
    <x v="3"/>
    <x v="1"/>
    <x v="1"/>
    <s v="Backlog"/>
    <n v="1"/>
    <n v="0.03"/>
    <n v="1"/>
    <n v="1"/>
    <n v="1"/>
    <n v="100"/>
    <x v="0"/>
  </r>
  <r>
    <x v="2"/>
    <s v="SainteLague"/>
    <n v="49"/>
    <n v="57915"/>
    <s v="[Desconexi√≥n SGC] - Creaci√≥n nuevo estado &quot;No realizado&quot;"/>
    <x v="4"/>
    <x v="0"/>
    <x v="2"/>
    <s v="In Solution"/>
    <n v="2"/>
    <n v="0.03"/>
    <n v="1"/>
    <n v="1"/>
    <n v="1"/>
    <n v="100"/>
    <x v="0"/>
  </r>
  <r>
    <x v="2"/>
    <s v="SainteLague"/>
    <n v="50"/>
    <n v="126644"/>
    <s v="GENAI- Rossum"/>
    <x v="11"/>
    <x v="1"/>
    <x v="2"/>
    <s v="In Solution"/>
    <n v="1"/>
    <n v="7"/>
    <n v="4"/>
    <n v="2"/>
    <n v="1"/>
    <n v="1"/>
    <x v="0"/>
  </r>
  <r>
    <x v="2"/>
    <s v="SainteLague"/>
    <n v="51"/>
    <n v="65194"/>
    <s v="Desconexi√≥n de SGC - Definici√≥n del RoadMap"/>
    <x v="6"/>
    <x v="0"/>
    <x v="3"/>
    <s v="Backlog"/>
    <n v="2"/>
    <n v="0.03"/>
    <n v="1"/>
    <n v="1"/>
    <n v="1"/>
    <n v="100"/>
    <x v="0"/>
  </r>
  <r>
    <x v="2"/>
    <s v="SainteLague"/>
    <n v="52"/>
    <n v="50994"/>
    <s v="APT | Mata Aplica√ß√µes - Wave 1.13"/>
    <x v="7"/>
    <x v="1"/>
    <x v="3"/>
    <s v="Backlog"/>
    <n v="1"/>
    <n v="0.03"/>
    <n v="1"/>
    <n v="1"/>
    <n v="1"/>
    <n v="100"/>
    <x v="0"/>
  </r>
  <r>
    <x v="2"/>
    <s v="SainteLague"/>
    <n v="53"/>
    <n v="61207"/>
    <s v="[Salesforce Sales] - Multi oportunidad en Cuentas"/>
    <x v="8"/>
    <x v="0"/>
    <x v="0"/>
    <s v="High Level Design"/>
    <n v="2"/>
    <n v="0.03"/>
    <n v="1"/>
    <n v="1"/>
    <n v="1"/>
    <n v="100"/>
    <x v="0"/>
  </r>
  <r>
    <x v="2"/>
    <s v="SainteLague"/>
    <n v="54"/>
    <n v="139708"/>
    <s v="[NEXUS][PT]- PRODUCTO BANCA"/>
    <x v="9"/>
    <x v="1"/>
    <x v="0"/>
    <s v="Backlog"/>
    <n v="1"/>
    <n v="0.03"/>
    <n v="1"/>
    <n v="1"/>
    <n v="1"/>
    <n v="100"/>
    <x v="0"/>
  </r>
  <r>
    <x v="2"/>
    <s v="SainteLague"/>
    <n v="55"/>
    <n v="63942"/>
    <s v="Expansi√≥n de lectura en contenedores (Propios y de clientes)"/>
    <x v="2"/>
    <x v="0"/>
    <x v="1"/>
    <s v="In Definition"/>
    <n v="6"/>
    <n v="0.03"/>
    <n v="1"/>
    <n v="1"/>
    <n v="1"/>
    <n v="100"/>
    <x v="0"/>
  </r>
  <r>
    <x v="2"/>
    <s v="SainteLague"/>
    <n v="56"/>
    <n v="139883"/>
    <s v="[NEXUS] [Fase 2] Decision Server define the exit based on Route"/>
    <x v="10"/>
    <x v="1"/>
    <x v="1"/>
    <s v="In Definition"/>
    <n v="1"/>
    <n v="0.03"/>
    <n v="1"/>
    <n v="1"/>
    <n v="1"/>
    <n v="100"/>
    <x v="0"/>
  </r>
  <r>
    <x v="2"/>
    <s v="SainteLague"/>
    <n v="57"/>
    <n v="50425"/>
    <s v="Reconciliaci√≥n bancaria de Cobros por tarjeta y Bizum"/>
    <x v="21"/>
    <x v="0"/>
    <x v="2"/>
    <s v="High Level Design"/>
    <n v="1"/>
    <n v="0.03"/>
    <n v="1"/>
    <n v="1"/>
    <n v="1"/>
    <n v="100"/>
    <x v="0"/>
  </r>
  <r>
    <x v="2"/>
    <s v="SainteLague"/>
    <n v="58"/>
    <n v="128060"/>
    <s v="XRP | Altera√ß√£o do fluxo de contabiliza√ß√£o"/>
    <x v="15"/>
    <x v="1"/>
    <x v="2"/>
    <s v="Backlog"/>
    <n v="1"/>
    <n v="0.03"/>
    <n v="1"/>
    <n v="1"/>
    <n v="1"/>
    <n v="100"/>
    <x v="0"/>
  </r>
  <r>
    <x v="2"/>
    <s v="SainteLague"/>
    <n v="59"/>
    <n v="65195"/>
    <s v="Stack Observabilidad Ib√©rico"/>
    <x v="6"/>
    <x v="0"/>
    <x v="3"/>
    <s v="Backlog"/>
    <n v="3"/>
    <n v="0.03"/>
    <n v="1"/>
    <n v="1"/>
    <n v="1"/>
    <n v="100"/>
    <x v="0"/>
  </r>
  <r>
    <x v="2"/>
    <s v="SainteLague"/>
    <n v="60"/>
    <n v="134587"/>
    <s v="BCTT - Relat√≥rio Sendgrid"/>
    <x v="12"/>
    <x v="1"/>
    <x v="3"/>
    <s v="High Level Design"/>
    <n v="1"/>
    <n v="6"/>
    <n v="3"/>
    <n v="1"/>
    <n v="2"/>
    <n v="1"/>
    <x v="0"/>
  </r>
  <r>
    <x v="2"/>
    <s v="SainteLague"/>
    <n v="61"/>
    <n v="60649"/>
    <s v="Automatizar la carga del maestro de CP7 de Portugal [Objetos con origen en Espa√±a sin Cp7]"/>
    <x v="22"/>
    <x v="0"/>
    <x v="0"/>
    <s v="In Solution"/>
    <n v="1"/>
    <n v="0.03"/>
    <n v="1"/>
    <n v="1"/>
    <n v="1"/>
    <n v="100"/>
    <x v="0"/>
  </r>
  <r>
    <x v="2"/>
    <s v="SainteLague"/>
    <n v="62"/>
    <n v="126458"/>
    <s v="Super B2C (App + √Årea Cliente) |  Alterar forma de gerar push notification na App"/>
    <x v="23"/>
    <x v="1"/>
    <x v="0"/>
    <s v="In Definition"/>
    <n v="1"/>
    <n v="0.05"/>
    <n v="3"/>
    <n v="1"/>
    <n v="1"/>
    <n v="100"/>
    <x v="0"/>
  </r>
  <r>
    <x v="2"/>
    <s v="SainteLague"/>
    <n v="63"/>
    <n v="63296"/>
    <s v="Acciones para evitar la duplicidad de recogidas de clientes v2"/>
    <x v="2"/>
    <x v="0"/>
    <x v="1"/>
    <s v="In Approval"/>
    <n v="7"/>
    <n v="0.03"/>
    <n v="1"/>
    <n v="1"/>
    <n v="1"/>
    <n v="100"/>
    <x v="0"/>
  </r>
  <r>
    <x v="2"/>
    <s v="SainteLague"/>
    <n v="64"/>
    <n v="140323"/>
    <s v="Migration of J1CPTA - Data flows towards IPMX -NGIPMX-716 NGIPMX-699 NGIPMX-601"/>
    <x v="16"/>
    <x v="1"/>
    <x v="1"/>
    <s v="In Definition"/>
    <n v="2"/>
    <n v="3"/>
    <n v="2"/>
    <n v="4"/>
    <n v="3"/>
    <n v="3"/>
    <x v="0"/>
  </r>
  <r>
    <x v="2"/>
    <s v="SainteLague"/>
    <n v="65"/>
    <n v="55474"/>
    <s v="[Desconexi√≥n SGC] [Salesforce Service] - Abonos, Siniestros e indemnizaciones"/>
    <x v="4"/>
    <x v="0"/>
    <x v="2"/>
    <s v="In Definition"/>
    <n v="3"/>
    <n v="0.03"/>
    <n v="1"/>
    <n v="1"/>
    <n v="1"/>
    <n v="100"/>
    <x v="0"/>
  </r>
  <r>
    <x v="2"/>
    <s v="SainteLague"/>
    <n v="66"/>
    <n v="126574"/>
    <s v="DLP (Data Loss Prevention) - Wave 1"/>
    <x v="14"/>
    <x v="1"/>
    <x v="4"/>
    <s v="Backlog"/>
    <n v="1"/>
    <n v="0.03"/>
    <n v="1"/>
    <n v="1"/>
    <n v="1"/>
    <n v="100"/>
    <x v="0"/>
  </r>
  <r>
    <x v="2"/>
    <s v="SainteLague"/>
    <n v="67"/>
    <n v="65198"/>
    <s v="Crear entornos no productivos"/>
    <x v="6"/>
    <x v="0"/>
    <x v="3"/>
    <s v="In Definition"/>
    <n v="4"/>
    <n v="0.03"/>
    <n v="1"/>
    <n v="1"/>
    <n v="1"/>
    <n v="100"/>
    <x v="0"/>
  </r>
  <r>
    <x v="2"/>
    <s v="SainteLague"/>
    <n v="68"/>
    <n v="93166"/>
    <s v="Integra√ß√£o Automaise - Novo Voice Bot - Substituir as atuais &quot;primas&quot;"/>
    <x v="18"/>
    <x v="1"/>
    <x v="2"/>
    <s v="Backlog"/>
    <n v="1"/>
    <n v="5"/>
    <n v="5"/>
    <n v="5"/>
    <n v="5"/>
    <n v="3"/>
    <x v="0"/>
  </r>
  <r>
    <x v="2"/>
    <s v="SainteLague"/>
    <n v="69"/>
    <n v="139483"/>
    <s v="WS - Mejorar Experiencia en PUDO's"/>
    <x v="0"/>
    <x v="0"/>
    <x v="0"/>
    <s v="In Definition"/>
    <n v="8"/>
    <n v="0.03"/>
    <n v="1"/>
    <n v="1"/>
    <n v="1"/>
    <n v="100"/>
    <x v="0"/>
  </r>
  <r>
    <x v="2"/>
    <s v="SainteLague"/>
    <n v="70"/>
    <n v="127239"/>
    <s v="Evolutivos SAP BRIM (1¬∫ TRIM 26)"/>
    <x v="24"/>
    <x v="1"/>
    <x v="3"/>
    <s v="In Approval"/>
    <n v="1"/>
    <n v="7"/>
    <n v="3"/>
    <n v="2"/>
    <n v="2"/>
    <n v="1"/>
    <x v="0"/>
  </r>
  <r>
    <x v="2"/>
    <s v="SainteLague"/>
    <n v="71"/>
    <n v="50054"/>
    <s v="C√°lculo de la franja horaria de entrega y elaboraci√≥n de los KPIS de seguimiento"/>
    <x v="2"/>
    <x v="0"/>
    <x v="1"/>
    <s v="Ready for Solution"/>
    <n v="10"/>
    <n v="0.03"/>
    <n v="1"/>
    <n v="1"/>
    <n v="1"/>
    <n v="100"/>
    <x v="0"/>
  </r>
  <r>
    <x v="2"/>
    <s v="SainteLague"/>
    <n v="72"/>
    <n v="125916"/>
    <s v="Paperless - Fatura√ß√£o eletr√≥nica em loja"/>
    <x v="25"/>
    <x v="1"/>
    <x v="0"/>
    <s v="Ready for Solution"/>
    <n v="1"/>
    <n v="0.03"/>
    <n v="1"/>
    <n v="1"/>
    <n v="1"/>
    <n v="100"/>
    <x v="0"/>
  </r>
  <r>
    <x v="2"/>
    <s v="SainteLague"/>
    <n v="73"/>
    <n v="65737"/>
    <s v="Herramienta de Verificaci√≥n de Pagos (√Årea de Ingresos)"/>
    <x v="21"/>
    <x v="0"/>
    <x v="2"/>
    <s v="High Level Design"/>
    <n v="2"/>
    <n v="0.03"/>
    <n v="1"/>
    <n v="1"/>
    <n v="1"/>
    <n v="100"/>
    <x v="0"/>
  </r>
  <r>
    <x v="2"/>
    <s v="SainteLague"/>
    <n v="74"/>
    <n v="77828"/>
    <s v="Base Dados Modelo de Incentivos CTT Expresso"/>
    <x v="3"/>
    <x v="1"/>
    <x v="1"/>
    <s v="In Definition"/>
    <n v="2"/>
    <n v="0.03"/>
    <n v="1"/>
    <n v="1"/>
    <n v="1"/>
    <n v="100"/>
    <x v="0"/>
  </r>
  <r>
    <x v="2"/>
    <s v="SainteLague"/>
    <n v="75"/>
    <n v="61986"/>
    <s v="API Clientes - Authorization"/>
    <x v="6"/>
    <x v="0"/>
    <x v="3"/>
    <s v="Backlog"/>
    <n v="5"/>
    <n v="0.03"/>
    <n v="1"/>
    <n v="1"/>
    <n v="1"/>
    <n v="100"/>
    <x v="0"/>
  </r>
  <r>
    <x v="2"/>
    <s v="SainteLague"/>
    <n v="76"/>
    <n v="135317"/>
    <s v="SAPSF - GoFluent"/>
    <x v="26"/>
    <x v="1"/>
    <x v="2"/>
    <s v="In Definition"/>
    <n v="1"/>
    <n v="2.5"/>
    <n v="2"/>
    <n v="2"/>
    <n v="1"/>
    <n v="2"/>
    <x v="0"/>
  </r>
  <r>
    <x v="2"/>
    <s v="SainteLague"/>
    <n v="77"/>
    <n v="132534"/>
    <s v="[Qlik] - Gesti√≥n de oportunidades - Hito semanal por comercial disponible"/>
    <x v="8"/>
    <x v="0"/>
    <x v="0"/>
    <s v="Pitch"/>
    <n v="3"/>
    <n v="0.04"/>
    <n v="2"/>
    <n v="1"/>
    <n v="1"/>
    <n v="100"/>
    <x v="0"/>
  </r>
  <r>
    <x v="2"/>
    <s v="SainteLague"/>
    <n v="78"/>
    <n v="135517"/>
    <s v="Renova√ß√£o Infoblox - Grid, DNS, DHCP, NTP e IPAM"/>
    <x v="7"/>
    <x v="1"/>
    <x v="3"/>
    <s v="Backlog"/>
    <n v="2"/>
    <n v="0.03"/>
    <n v="1"/>
    <n v="1"/>
    <n v="1"/>
    <n v="100"/>
    <x v="0"/>
  </r>
  <r>
    <x v="2"/>
    <s v="SainteLague"/>
    <n v="79"/>
    <n v="63768"/>
    <s v="[Nexus Piloto Operacional] [We Serve] Incremento de env√≠os en Piloto y despliegue Nexus"/>
    <x v="2"/>
    <x v="0"/>
    <x v="1"/>
    <s v="In Solution"/>
    <n v="11"/>
    <n v="0.03"/>
    <n v="1"/>
    <n v="1"/>
    <n v="1"/>
    <n v="100"/>
    <x v="0"/>
  </r>
  <r>
    <x v="2"/>
    <s v="SainteLague"/>
    <n v="80"/>
    <n v="123649"/>
    <s v="Entrega em pontos para a cainiao"/>
    <x v="13"/>
    <x v="1"/>
    <x v="0"/>
    <s v="In Approval"/>
    <n v="1"/>
    <n v="4.5"/>
    <n v="3"/>
    <n v="2"/>
    <n v="4"/>
    <n v="2"/>
    <x v="0"/>
  </r>
  <r>
    <x v="2"/>
    <s v="SainteLague"/>
    <n v="81"/>
    <n v="57434"/>
    <s v="[WebHook] - Mediapost - Transmisi√≥n de estados en mensaje NO est√°ndar"/>
    <x v="22"/>
    <x v="0"/>
    <x v="0"/>
    <s v="Pitch"/>
    <n v="2"/>
    <n v="0.05"/>
    <n v="3"/>
    <n v="1"/>
    <n v="1"/>
    <n v="100"/>
    <x v="0"/>
  </r>
  <r>
    <x v="2"/>
    <s v="SainteLague"/>
    <n v="82"/>
    <n v="91809"/>
    <s v="DSD | Criar as Listas de Correio Registado e de EMS em Simult√¢neo"/>
    <x v="10"/>
    <x v="1"/>
    <x v="1"/>
    <s v="In Solution"/>
    <n v="2"/>
    <n v="0.03"/>
    <n v="1"/>
    <n v="1"/>
    <n v="1"/>
    <n v="100"/>
    <x v="0"/>
  </r>
  <r>
    <x v="2"/>
    <s v="SainteLague"/>
    <n v="83"/>
    <n v="49370"/>
    <s v="Sistema de seguimiento de rutas de arrastre - Implementaci√≥n de eCMR"/>
    <x v="2"/>
    <x v="0"/>
    <x v="1"/>
    <s v="In Solution"/>
    <n v="12"/>
    <n v="2.75"/>
    <n v="3"/>
    <n v="4"/>
    <n v="4"/>
    <n v="4"/>
    <x v="0"/>
  </r>
  <r>
    <x v="2"/>
    <s v="SainteLague"/>
    <n v="84"/>
    <n v="181384"/>
    <s v="PAY - Instrumento Transfer√™ncias - Altera√ß√£o Requisitos - Fev"/>
    <x v="27"/>
    <x v="1"/>
    <x v="0"/>
    <s v="In Definition"/>
    <n v="1"/>
    <n v="0.03"/>
    <n v="1"/>
    <n v="1"/>
    <n v="1"/>
    <n v="100"/>
    <x v="0"/>
  </r>
  <r>
    <x v="2"/>
    <s v="SainteLague"/>
    <n v="85"/>
    <n v="48122"/>
    <s v="Trazabilidad"/>
    <x v="28"/>
    <x v="0"/>
    <x v="2"/>
    <s v="In Definition"/>
    <n v="1"/>
    <n v="0.03"/>
    <n v="1"/>
    <n v="1"/>
    <n v="1"/>
    <n v="100"/>
    <x v="0"/>
  </r>
  <r>
    <x v="2"/>
    <s v="SainteLague"/>
    <n v="86"/>
    <n v="140378"/>
    <s v="Dados Opera√ß√µes Online"/>
    <x v="3"/>
    <x v="1"/>
    <x v="1"/>
    <s v="Backlog"/>
    <n v="3"/>
    <n v="0.03"/>
    <n v="1"/>
    <n v="1"/>
    <n v="1"/>
    <n v="100"/>
    <x v="0"/>
  </r>
  <r>
    <x v="2"/>
    <s v="SainteLague"/>
    <n v="87"/>
    <n v="61337"/>
    <s v="[Web P√∫blica] [CIBERSEGURIDAD] - Migraci√≥n de infraestructura de MiddleWare de PhP"/>
    <x v="6"/>
    <x v="0"/>
    <x v="3"/>
    <s v="In Definition"/>
    <n v="6"/>
    <n v="0.03"/>
    <n v="1"/>
    <n v="1"/>
    <n v="1"/>
    <n v="100"/>
    <x v="0"/>
  </r>
  <r>
    <x v="2"/>
    <s v="SainteLague"/>
    <n v="88"/>
    <n v="126734"/>
    <s v="Migrate Azure Devops to Github Repos and Github Actions - Data repos"/>
    <x v="20"/>
    <x v="1"/>
    <x v="2"/>
    <s v="Ready for Solution"/>
    <n v="1"/>
    <n v="3.5"/>
    <n v="4"/>
    <n v="1"/>
    <n v="2"/>
    <n v="2"/>
    <x v="0"/>
  </r>
  <r>
    <x v="2"/>
    <s v="SainteLague"/>
    <n v="89"/>
    <n v="65568"/>
    <s v="[PUDOS] - Herramienta para orden de recogidas en PUDOS"/>
    <x v="0"/>
    <x v="0"/>
    <x v="0"/>
    <s v="High Level Design"/>
    <n v="9"/>
    <n v="0.03"/>
    <n v="1"/>
    <n v="1"/>
    <n v="1"/>
    <n v="100"/>
    <x v="0"/>
  </r>
  <r>
    <x v="2"/>
    <s v="SainteLague"/>
    <n v="90"/>
    <n v="125543"/>
    <s v="ODIN | Iberian Observability Stack"/>
    <x v="7"/>
    <x v="1"/>
    <x v="3"/>
    <s v="Ready for Approval"/>
    <n v="3"/>
    <n v="2.5"/>
    <n v="3"/>
    <n v="1"/>
    <n v="1"/>
    <n v="2"/>
    <x v="0"/>
  </r>
  <r>
    <x v="2"/>
    <s v="SainteLague"/>
    <n v="91"/>
    <n v="52443"/>
    <s v="[Desconexi√≥n SGC] Cierre diario: Liquidaci√≥n de portes debidos y reembolsos"/>
    <x v="2"/>
    <x v="0"/>
    <x v="1"/>
    <s v="In Definition"/>
    <n v="13"/>
    <n v="0.03"/>
    <n v="1"/>
    <n v="1"/>
    <n v="1"/>
    <n v="100"/>
    <x v="0"/>
  </r>
  <r>
    <x v="2"/>
    <s v="SainteLague"/>
    <n v="92"/>
    <n v="118174"/>
    <s v="GPB2C | Parceria Unic√¢mbio - Operacionaliza√ß√£o de servi√ßo de cambio"/>
    <x v="29"/>
    <x v="1"/>
    <x v="0"/>
    <s v="Backlog"/>
    <n v="1"/>
    <n v="0.03"/>
    <n v="1"/>
    <n v="1"/>
    <n v="1"/>
    <n v="100"/>
    <x v="0"/>
  </r>
  <r>
    <x v="2"/>
    <s v="SainteLague"/>
    <n v="93"/>
    <n v="48629"/>
    <s v="[Desconexi√≥n SGC] [Nexia] - Consulta masiva de env√≠os y acciones sobre los resultados + export/import en Excel"/>
    <x v="4"/>
    <x v="0"/>
    <x v="2"/>
    <s v="In Definition"/>
    <n v="4"/>
    <n v="0.03"/>
    <n v="1"/>
    <n v="1"/>
    <n v="1"/>
    <n v="100"/>
    <x v="0"/>
  </r>
  <r>
    <x v="2"/>
    <s v="SainteLague"/>
    <n v="94"/>
    <n v="136982"/>
    <s v="DSD | Mobi - Permitir a Leitura do C√≥digo Laranja do Correio Azul"/>
    <x v="10"/>
    <x v="1"/>
    <x v="1"/>
    <s v="Backlog"/>
    <n v="3"/>
    <n v="0.03"/>
    <n v="1"/>
    <n v="1"/>
    <n v="1"/>
    <n v="100"/>
    <x v="0"/>
  </r>
  <r>
    <x v="2"/>
    <s v="SainteLague"/>
    <n v="95"/>
    <n v="61988"/>
    <s v="Definici√≥n Arquitectura .Net Ib√©rico"/>
    <x v="6"/>
    <x v="0"/>
    <x v="3"/>
    <s v="Backlog"/>
    <n v="7"/>
    <n v="0.03"/>
    <n v="1"/>
    <n v="1"/>
    <n v="1"/>
    <n v="100"/>
    <x v="0"/>
  </r>
  <r>
    <x v="2"/>
    <s v="SainteLague"/>
    <n v="96"/>
    <n v="48989"/>
    <s v="Evolu√ß√£o Pesquisa Pontos de Contacto CTT"/>
    <x v="30"/>
    <x v="1"/>
    <x v="2"/>
    <s v="Backlog"/>
    <n v="1"/>
    <n v="0.03"/>
    <n v="1"/>
    <n v="1"/>
    <n v="1"/>
    <n v="100"/>
    <x v="0"/>
  </r>
  <r>
    <x v="2"/>
    <s v="SainteLague"/>
    <n v="97"/>
    <n v="64002"/>
    <s v="[SGC] - L√≥gica de aplicaci√≥n de perfil tarifario a nuevos centros en SGC"/>
    <x v="8"/>
    <x v="0"/>
    <x v="0"/>
    <s v="Pitch"/>
    <n v="4"/>
    <n v="0.03"/>
    <n v="1"/>
    <n v="1"/>
    <n v="1"/>
    <n v="100"/>
    <x v="0"/>
  </r>
  <r>
    <x v="2"/>
    <s v="SainteLague"/>
    <n v="98"/>
    <n v="96332"/>
    <s v="CCP | OTP | Rebuild application in the current tech stack"/>
    <x v="7"/>
    <x v="1"/>
    <x v="3"/>
    <s v="High Level Design"/>
    <n v="4"/>
    <n v="0.03"/>
    <n v="1"/>
    <n v="1"/>
    <n v="1"/>
    <n v="100"/>
    <x v="0"/>
  </r>
  <r>
    <x v="2"/>
    <s v="SainteLague"/>
    <n v="99"/>
    <n v="52442"/>
    <s v="[Desconexi√≥n SGC] Cierre diario: Incidencias"/>
    <x v="2"/>
    <x v="0"/>
    <x v="1"/>
    <s v="Backlog"/>
    <n v="14"/>
    <n v="0.03"/>
    <n v="1"/>
    <n v="1"/>
    <n v="1"/>
    <n v="100"/>
    <x v="0"/>
  </r>
  <r>
    <x v="2"/>
    <s v="SainteLague"/>
    <n v="100"/>
    <n v="168516"/>
    <s v="Gera√ß√£o de ficheiro excel com dados NEV"/>
    <x v="17"/>
    <x v="1"/>
    <x v="0"/>
    <s v="Backlog"/>
    <n v="1"/>
    <n v="0.03"/>
    <n v="1"/>
    <n v="1"/>
    <n v="1"/>
    <n v="100"/>
    <x v="0"/>
  </r>
  <r>
    <x v="2"/>
    <s v="SainteLague"/>
    <n v="101"/>
    <n v="43516"/>
    <s v="[SAP] - Vincular Docuware a SAP"/>
    <x v="21"/>
    <x v="0"/>
    <x v="2"/>
    <s v="Backlog"/>
    <n v="3"/>
    <n v="0.03"/>
    <n v="1"/>
    <n v="1"/>
    <n v="1"/>
    <n v="100"/>
    <x v="0"/>
  </r>
  <r>
    <x v="2"/>
    <s v="SainteLague"/>
    <n v="102"/>
    <n v="78905"/>
    <s v="Evolu√ß√£o Modelo de Incentivos Distribui√ß√£o"/>
    <x v="3"/>
    <x v="1"/>
    <x v="1"/>
    <s v="Backlog"/>
    <n v="4"/>
    <n v="0.03"/>
    <n v="1"/>
    <n v="1"/>
    <n v="1"/>
    <n v="100"/>
    <x v="0"/>
  </r>
  <r>
    <x v="2"/>
    <s v="SainteLague"/>
    <n v="103"/>
    <n v="61989"/>
    <s v="Definici√≥n Arquitectura React Ib√©rico"/>
    <x v="6"/>
    <x v="0"/>
    <x v="3"/>
    <s v="Backlog"/>
    <n v="8"/>
    <n v="0.03"/>
    <n v="1"/>
    <n v="1"/>
    <n v="1"/>
    <n v="100"/>
    <x v="0"/>
  </r>
  <r>
    <x v="2"/>
    <s v="SainteLague"/>
    <n v="104"/>
    <n v="126576"/>
    <s v="Plano de forma√ß√£o (global e board)"/>
    <x v="14"/>
    <x v="1"/>
    <x v="4"/>
    <s v="Backlog"/>
    <n v="2"/>
    <n v="0.03"/>
    <n v="1"/>
    <n v="1"/>
    <n v="1"/>
    <n v="100"/>
    <x v="0"/>
  </r>
  <r>
    <x v="2"/>
    <s v="SainteLague"/>
    <n v="105"/>
    <n v="60817"/>
    <s v="Mejorar el algoritmo de aproximaci√≥n de calculo de CP/Poblacion de manifiestos [Objetos con origen en Espa√±a sin Cp7]"/>
    <x v="22"/>
    <x v="0"/>
    <x v="0"/>
    <s v="In Definition"/>
    <n v="3"/>
    <n v="0.03"/>
    <n v="1"/>
    <n v="1"/>
    <n v="1"/>
    <n v="100"/>
    <x v="0"/>
  </r>
  <r>
    <x v="2"/>
    <s v="SainteLague"/>
    <n v="106"/>
    <n v="55216"/>
    <s v="ESG - Incremento 1"/>
    <x v="31"/>
    <x v="1"/>
    <x v="2"/>
    <s v="In Definition"/>
    <n v="1"/>
    <n v="0.03"/>
    <n v="1"/>
    <n v="1"/>
    <n v="1"/>
    <n v="100"/>
    <x v="0"/>
  </r>
  <r>
    <x v="2"/>
    <s v="SainteLague"/>
    <n v="107"/>
    <n v="50818"/>
    <s v="[Desconexi√≥n SGC] Gesti√≥n de Incidencias y Soluciones"/>
    <x v="2"/>
    <x v="0"/>
    <x v="1"/>
    <s v="In Definition"/>
    <n v="15"/>
    <n v="0.03"/>
    <n v="1"/>
    <n v="1"/>
    <n v="1"/>
    <n v="100"/>
    <x v="0"/>
  </r>
  <r>
    <x v="2"/>
    <s v="SainteLague"/>
    <n v="108"/>
    <n v="141295"/>
    <s v="BCTT Mudan√ßa de datacenter Kyndryl"/>
    <x v="12"/>
    <x v="1"/>
    <x v="3"/>
    <s v="Backlog"/>
    <n v="2"/>
    <n v="0.03"/>
    <n v="1"/>
    <n v="1"/>
    <n v="1"/>
    <n v="100"/>
    <x v="0"/>
  </r>
  <r>
    <x v="2"/>
    <s v="SainteLague"/>
    <n v="109"/>
    <n v="49095"/>
    <s v="[Desconexi√≥n SGC] [Salesforce Service] - Creaci√≥n de flujos de trabajo entre Salesforce-Service y Nexia"/>
    <x v="4"/>
    <x v="0"/>
    <x v="2"/>
    <s v="In Solution"/>
    <n v="5"/>
    <n v="0.03"/>
    <n v="1"/>
    <n v="1"/>
    <n v="1"/>
    <n v="100"/>
    <x v="0"/>
  </r>
  <r>
    <x v="2"/>
    <s v="SainteLague"/>
    <n v="110"/>
    <n v="134997"/>
    <s v="Correio Inteligente - Alarm√≠stica"/>
    <x v="1"/>
    <x v="1"/>
    <x v="0"/>
    <s v="In Definition"/>
    <n v="2"/>
    <n v="0.03"/>
    <n v="1"/>
    <n v="1"/>
    <n v="1"/>
    <n v="100"/>
    <x v="0"/>
  </r>
  <r>
    <x v="2"/>
    <s v="SainteLague"/>
    <n v="111"/>
    <n v="61990"/>
    <s v="Definici√≥n Arquitectura Kotlin Ib√©rico"/>
    <x v="6"/>
    <x v="0"/>
    <x v="3"/>
    <s v="Backlog"/>
    <n v="9"/>
    <n v="0.03"/>
    <n v="1"/>
    <n v="1"/>
    <n v="1"/>
    <n v="100"/>
    <x v="0"/>
  </r>
  <r>
    <x v="2"/>
    <s v="SainteLague"/>
    <n v="112"/>
    <n v="136984"/>
    <s v="DSD | Atualizar a Informa√ß√£o Ficha de Registo - Sistema Solistic"/>
    <x v="10"/>
    <x v="1"/>
    <x v="1"/>
    <s v="Backlog"/>
    <n v="4"/>
    <n v="0.03"/>
    <n v="1"/>
    <n v="1"/>
    <n v="1"/>
    <n v="100"/>
    <x v="0"/>
  </r>
  <r>
    <x v="2"/>
    <s v="SainteLague"/>
    <n v="113"/>
    <n v="138308"/>
    <s v="[Notificaciones] -Fake Delivery - Actualizaci√≥n de campos de PDA y notificaci√≥n de entrega"/>
    <x v="0"/>
    <x v="0"/>
    <x v="0"/>
    <s v="In Solution"/>
    <n v="10"/>
    <n v="0.03"/>
    <n v="1"/>
    <n v="1"/>
    <n v="1"/>
    <n v="100"/>
    <x v="0"/>
  </r>
  <r>
    <x v="2"/>
    <s v="SainteLague"/>
    <n v="114"/>
    <n v="109623"/>
    <s v="e-SIGN: Nova solu√ß√£o de assinatura digital CTT"/>
    <x v="32"/>
    <x v="1"/>
    <x v="2"/>
    <s v="High Level Design"/>
    <n v="1"/>
    <n v="0.03"/>
    <n v="1"/>
    <n v="1"/>
    <n v="1"/>
    <n v="100"/>
    <x v="0"/>
  </r>
  <r>
    <x v="2"/>
    <s v="SainteLague"/>
    <n v="115"/>
    <n v="65859"/>
    <s v="[Desconexi√≥n SGC]: Creaci√≥n y mantenimiento de CO's"/>
    <x v="2"/>
    <x v="0"/>
    <x v="1"/>
    <s v="Backlog"/>
    <n v="16"/>
    <n v="0.03"/>
    <n v="1"/>
    <n v="1"/>
    <n v="1"/>
    <n v="100"/>
    <x v="0"/>
  </r>
  <r>
    <x v="2"/>
    <s v="SainteLague"/>
    <n v="116"/>
    <n v="125919"/>
    <s v="Cria√ß√£o de chatbot no portal ctt expresso"/>
    <x v="25"/>
    <x v="1"/>
    <x v="3"/>
    <s v="Backlog"/>
    <n v="2"/>
    <n v="0.03"/>
    <n v="1"/>
    <n v="1"/>
    <n v="1"/>
    <n v="100"/>
    <x v="0"/>
  </r>
  <r>
    <x v="2"/>
    <s v="SainteLague"/>
    <n v="117"/>
    <n v="62945"/>
    <s v="[Integraci√≥n de Clientes] Tik Tok - Bloqueo del dato publicado de peso y medidas despu√©s del estado definitivo."/>
    <x v="8"/>
    <x v="0"/>
    <x v="0"/>
    <s v="In Definition"/>
    <n v="5"/>
    <n v="0.03"/>
    <n v="1"/>
    <n v="1"/>
    <n v="1"/>
    <n v="100"/>
    <x v="0"/>
  </r>
  <r>
    <x v="2"/>
    <s v="SainteLague"/>
    <n v="118"/>
    <n v="139707"/>
    <s v="[NEXUS][PT]- PRODUCTO CARGA"/>
    <x v="9"/>
    <x v="1"/>
    <x v="0"/>
    <s v="Backlog"/>
    <n v="2"/>
    <n v="0.03"/>
    <n v="1"/>
    <n v="1"/>
    <n v="1"/>
    <n v="100"/>
    <x v="0"/>
  </r>
  <r>
    <x v="2"/>
    <s v="SainteLague"/>
    <n v="119"/>
    <n v="65860"/>
    <s v="[Desconexi√≥n SGC]: Brokers y Franquicias: grabaci√≥n de env√≠os con/sin entrega"/>
    <x v="2"/>
    <x v="0"/>
    <x v="1"/>
    <s v="Backlog"/>
    <n v="17"/>
    <n v="0.03"/>
    <n v="1"/>
    <n v="1"/>
    <n v="1"/>
    <n v="100"/>
    <x v="0"/>
  </r>
  <r>
    <x v="2"/>
    <s v="SainteLague"/>
    <n v="120"/>
    <n v="126423"/>
    <s v="INTERNACIONAL | IPS  Instalar a vers√£o do package #31 (technical version 13.1.31)"/>
    <x v="3"/>
    <x v="1"/>
    <x v="1"/>
    <s v="In Approval"/>
    <n v="5"/>
    <n v="2.3330000000000002"/>
    <n v="3"/>
    <n v="2"/>
    <n v="2"/>
    <n v="3"/>
    <x v="0"/>
  </r>
  <r>
    <x v="2"/>
    <s v="SainteLague"/>
    <n v="121"/>
    <n v="134702"/>
    <s v="P&amp;L Ib√©rica e informaci√≥n de gesti√≥n"/>
    <x v="21"/>
    <x v="0"/>
    <x v="2"/>
    <s v="In Solution"/>
    <n v="4"/>
    <n v="0.03"/>
    <n v="1"/>
    <n v="1"/>
    <n v="1"/>
    <n v="100"/>
    <x v="0"/>
  </r>
  <r>
    <x v="2"/>
    <s v="SainteLague"/>
    <n v="122"/>
    <n v="126044"/>
    <s v="Pesquisa de Pontos Collect | Melhorias"/>
    <x v="23"/>
    <x v="1"/>
    <x v="0"/>
    <s v="In Definition"/>
    <n v="2"/>
    <n v="0.03"/>
    <n v="1"/>
    <n v="1"/>
    <n v="1"/>
    <n v="100"/>
    <x v="0"/>
  </r>
  <r>
    <x v="2"/>
    <s v="SainteLague"/>
    <n v="123"/>
    <n v="59457"/>
    <s v="Creaci√≥n de interfaz en nexia para crear incidencias"/>
    <x v="6"/>
    <x v="0"/>
    <x v="3"/>
    <s v="In Definition"/>
    <n v="10"/>
    <n v="0.03"/>
    <n v="1"/>
    <n v="1"/>
    <n v="1"/>
    <n v="100"/>
    <x v="0"/>
  </r>
  <r>
    <x v="2"/>
    <s v="SainteLague"/>
    <n v="124"/>
    <n v="136987"/>
    <s v="DSD | Leitura do Correio Azul e Registado no Mobi"/>
    <x v="10"/>
    <x v="1"/>
    <x v="1"/>
    <s v="Backlog"/>
    <n v="5"/>
    <n v="0.03"/>
    <n v="1"/>
    <n v="1"/>
    <n v="1"/>
    <n v="100"/>
    <x v="0"/>
  </r>
  <r>
    <x v="2"/>
    <s v="SainteLague"/>
    <n v="125"/>
    <n v="54189"/>
    <s v="Migraci√≥n a Cloud ficheros IDL e Inditex"/>
    <x v="22"/>
    <x v="0"/>
    <x v="0"/>
    <s v="In Definition"/>
    <n v="4"/>
    <n v="0.03"/>
    <n v="1"/>
    <n v="1"/>
    <n v="1"/>
    <n v="100"/>
    <x v="0"/>
  </r>
  <r>
    <x v="2"/>
    <s v="SainteLague"/>
    <n v="126"/>
    <n v="126641"/>
    <s v="GENAI-NBanks"/>
    <x v="11"/>
    <x v="1"/>
    <x v="2"/>
    <s v="Ready for Solution"/>
    <n v="2"/>
    <n v="4"/>
    <n v="4"/>
    <n v="2"/>
    <n v="2"/>
    <n v="2"/>
    <x v="0"/>
  </r>
  <r>
    <x v="2"/>
    <s v="SainteLague"/>
    <n v="127"/>
    <n v="65858"/>
    <s v="[Desconexi√≥n SGC]: Canarias"/>
    <x v="2"/>
    <x v="0"/>
    <x v="1"/>
    <s v="Backlog"/>
    <n v="18"/>
    <n v="0.03"/>
    <n v="1"/>
    <n v="1"/>
    <n v="1"/>
    <n v="100"/>
    <x v="0"/>
  </r>
  <r>
    <x v="2"/>
    <s v="SainteLague"/>
    <n v="128"/>
    <n v="139342"/>
    <s v="SLA - Migra√ß√£o para GitHub"/>
    <x v="16"/>
    <x v="1"/>
    <x v="3"/>
    <s v="Ready for Solution"/>
    <n v="4"/>
    <n v="3.3330000000000002"/>
    <n v="4"/>
    <n v="3"/>
    <n v="3"/>
    <n v="3"/>
    <x v="0"/>
  </r>
  <r>
    <x v="2"/>
    <s v="SainteLague"/>
    <n v="129"/>
    <n v="59553"/>
    <s v="Cuadro de mando reputaci√≥n CTT"/>
    <x v="33"/>
    <x v="0"/>
    <x v="2"/>
    <s v="Backlog"/>
    <n v="1"/>
    <n v="0.03"/>
    <n v="1"/>
    <n v="1"/>
    <n v="1"/>
    <n v="100"/>
    <x v="0"/>
  </r>
  <r>
    <x v="2"/>
    <s v="SainteLague"/>
    <n v="130"/>
    <n v="140719"/>
    <s v="Super Portal | Trazer produtos de acesso √† rede para envios com contexto"/>
    <x v="34"/>
    <x v="1"/>
    <x v="0"/>
    <s v="Backlog"/>
    <n v="1"/>
    <n v="5.5"/>
    <n v="3"/>
    <n v="3"/>
    <n v="5"/>
    <n v="2"/>
    <x v="0"/>
  </r>
  <r>
    <x v="2"/>
    <s v="SainteLague"/>
    <n v="131"/>
    <n v="60531"/>
    <s v="[Web de Clientes] - Desconexi√≥n Web-Tracking"/>
    <x v="6"/>
    <x v="0"/>
    <x v="3"/>
    <s v="In Solution"/>
    <n v="11"/>
    <n v="0.03"/>
    <n v="1"/>
    <n v="1"/>
    <n v="1"/>
    <n v="100"/>
    <x v="0"/>
  </r>
  <r>
    <x v="2"/>
    <s v="SainteLague"/>
    <n v="132"/>
    <n v="122320"/>
    <s v="Implementa√ß√£o de modulo de Planeamento de Transportes em Drivian e Descontinua√ß√£o do Sigest"/>
    <x v="3"/>
    <x v="1"/>
    <x v="1"/>
    <s v="Ready for Approval"/>
    <n v="6"/>
    <n v="4.5"/>
    <n v="4"/>
    <n v="2"/>
    <n v="3"/>
    <n v="2"/>
    <x v="0"/>
  </r>
  <r>
    <x v="2"/>
    <s v="SainteLague"/>
    <n v="133"/>
    <n v="138350"/>
    <s v="[NEXUS]-[OOH] - LMS Integration"/>
    <x v="0"/>
    <x v="0"/>
    <x v="0"/>
    <s v="High Level Design"/>
    <n v="12"/>
    <n v="0.03"/>
    <n v="1"/>
    <n v="1"/>
    <n v="1"/>
    <n v="100"/>
    <x v="0"/>
  </r>
  <r>
    <x v="2"/>
    <s v="SainteLague"/>
    <n v="134"/>
    <n v="128057"/>
    <s v="XRP | Refatura√ß√£o entre empresas"/>
    <x v="15"/>
    <x v="1"/>
    <x v="2"/>
    <s v="Backlog"/>
    <n v="2"/>
    <n v="0.03"/>
    <n v="1"/>
    <n v="1"/>
    <n v="1"/>
    <n v="100"/>
    <x v="0"/>
  </r>
  <r>
    <x v="2"/>
    <s v="SainteLague"/>
    <n v="135"/>
    <n v="52441"/>
    <s v="[Desconexi√≥n SGC] Cierre diario: Recogidas"/>
    <x v="2"/>
    <x v="0"/>
    <x v="1"/>
    <s v="Backlog"/>
    <n v="19"/>
    <n v="0.03"/>
    <n v="1"/>
    <n v="1"/>
    <n v="1"/>
    <n v="100"/>
    <x v="0"/>
  </r>
  <r>
    <x v="2"/>
    <s v="SainteLague"/>
    <n v="136"/>
    <n v="69406"/>
    <s v="Nexus | We Bill | Upgrade Convergent Mediations e Charging"/>
    <x v="24"/>
    <x v="1"/>
    <x v="3"/>
    <s v="In Definition"/>
    <n v="2"/>
    <n v="0.03"/>
    <n v="1"/>
    <n v="1"/>
    <n v="1"/>
    <n v="100"/>
    <x v="0"/>
  </r>
  <r>
    <x v="2"/>
    <s v="SainteLague"/>
    <n v="137"/>
    <n v="46956"/>
    <s v="[Seguridad] PDA Planta (TO)/Gesti√≥n de Planta/ Auditor√≠a de seguridad/Control de conductores"/>
    <x v="4"/>
    <x v="0"/>
    <x v="2"/>
    <s v="Ready for Solution"/>
    <n v="6"/>
    <n v="0.03"/>
    <n v="1"/>
    <n v="1"/>
    <n v="1"/>
    <n v="100"/>
    <x v="0"/>
  </r>
  <r>
    <x v="2"/>
    <s v="SainteLague"/>
    <n v="138"/>
    <n v="85670"/>
    <s v="POD - API feasibility for Cainiao"/>
    <x v="13"/>
    <x v="1"/>
    <x v="0"/>
    <s v="In Definition"/>
    <n v="2"/>
    <n v="0.03"/>
    <n v="1"/>
    <n v="1"/>
    <n v="1"/>
    <n v="100"/>
    <x v="0"/>
  </r>
  <r>
    <x v="2"/>
    <s v="SainteLague"/>
    <n v="139"/>
    <n v="61991"/>
    <s v="Definici√≥n Arquitectura Github"/>
    <x v="6"/>
    <x v="0"/>
    <x v="3"/>
    <s v="Backlog"/>
    <n v="12"/>
    <n v="0.03"/>
    <n v="1"/>
    <n v="1"/>
    <n v="1"/>
    <n v="100"/>
    <x v="0"/>
  </r>
  <r>
    <x v="2"/>
    <s v="SainteLague"/>
    <n v="140"/>
    <n v="136994"/>
    <s v="DSD | Organizar Rota (Zona e Ordena√ß√£o ) no Mobi"/>
    <x v="10"/>
    <x v="1"/>
    <x v="1"/>
    <s v="Backlog"/>
    <n v="6"/>
    <n v="0.03"/>
    <n v="1"/>
    <n v="1"/>
    <n v="1"/>
    <n v="100"/>
    <x v="0"/>
  </r>
  <r>
    <x v="2"/>
    <s v="SainteLague"/>
    <n v="141"/>
    <n v="63046"/>
    <s v="To Expedite - [Salesforce Sales] - NEW WORKFLOW OFERTAS (Cambio del flujo de aprobaci√≥n de ofertas seg√∫n usuario y modelo tarifario)"/>
    <x v="8"/>
    <x v="0"/>
    <x v="0"/>
    <s v="Pitch"/>
    <n v="6"/>
    <n v="0.03"/>
    <n v="1"/>
    <n v="1"/>
    <n v="1"/>
    <n v="100"/>
    <x v="1"/>
  </r>
  <r>
    <x v="2"/>
    <s v="SainteLague"/>
    <n v="142"/>
    <n v="41221"/>
    <s v="DART Team - Recomenda√ß√µes CTT"/>
    <x v="14"/>
    <x v="1"/>
    <x v="4"/>
    <s v="In Definition"/>
    <n v="3"/>
    <n v="0.03"/>
    <n v="1"/>
    <n v="1"/>
    <n v="1"/>
    <n v="100"/>
    <x v="1"/>
  </r>
  <r>
    <x v="2"/>
    <s v="SainteLague"/>
    <n v="143"/>
    <n v="52449"/>
    <s v="[Desconexi√≥n SGC] Cierre diario: Escaneo de documentaci√≥n"/>
    <x v="2"/>
    <x v="0"/>
    <x v="1"/>
    <s v="Backlog"/>
    <n v="20"/>
    <n v="0.03"/>
    <n v="1"/>
    <n v="1"/>
    <n v="1"/>
    <n v="100"/>
    <x v="1"/>
  </r>
  <r>
    <x v="2"/>
    <s v="SainteLague"/>
    <n v="144"/>
    <n v="77999"/>
    <s v="Nexus | We Care | SalesForce Parameterization | Pilot"/>
    <x v="18"/>
    <x v="1"/>
    <x v="2"/>
    <s v="Backlog"/>
    <n v="2"/>
    <n v="3"/>
    <n v="5"/>
    <n v="5"/>
    <n v="5"/>
    <n v="5"/>
    <x v="1"/>
  </r>
  <r>
    <x v="2"/>
    <s v="SainteLague"/>
    <n v="145"/>
    <n v="65000"/>
    <s v="ECCS por peso Informado"/>
    <x v="21"/>
    <x v="0"/>
    <x v="2"/>
    <s v="Backlog"/>
    <n v="5"/>
    <n v="0.03"/>
    <n v="1"/>
    <n v="1"/>
    <n v="1"/>
    <n v="100"/>
    <x v="1"/>
  </r>
  <r>
    <x v="2"/>
    <s v="SainteLague"/>
    <n v="146"/>
    <n v="134357"/>
    <s v="Github Migration - Ecossistema Expresso ADO2Github"/>
    <x v="7"/>
    <x v="1"/>
    <x v="3"/>
    <s v="In Approval"/>
    <n v="5"/>
    <n v="5"/>
    <n v="4"/>
    <n v="3"/>
    <n v="3"/>
    <n v="2"/>
    <x v="1"/>
  </r>
  <r>
    <x v="2"/>
    <s v="SainteLague"/>
    <n v="147"/>
    <n v="44439"/>
    <s v="[Desconexi√≥n SGC] Qlik - Migraci√≥n App Gesti√≥n de Estacionados - Cloud"/>
    <x v="6"/>
    <x v="0"/>
    <x v="3"/>
    <s v="Ready for Solution"/>
    <n v="13"/>
    <n v="0.03"/>
    <n v="1"/>
    <n v="1"/>
    <n v="1"/>
    <n v="100"/>
    <x v="1"/>
  </r>
  <r>
    <x v="2"/>
    <s v="SainteLague"/>
    <n v="148"/>
    <n v="185664"/>
    <s v="PAY - Instrumento Cheques - Incremento I"/>
    <x v="27"/>
    <x v="1"/>
    <x v="0"/>
    <s v="In Definition"/>
    <n v="2"/>
    <n v="0.03"/>
    <n v="1"/>
    <n v="1"/>
    <n v="1"/>
    <n v="100"/>
    <x v="1"/>
  </r>
  <r>
    <x v="2"/>
    <s v="SainteLague"/>
    <n v="149"/>
    <n v="136235"/>
    <s v="DHL Parcel - Webhook- Evento Recogida de Caducado en Pudo y Falso Entregado"/>
    <x v="22"/>
    <x v="0"/>
    <x v="0"/>
    <s v="In Definition"/>
    <n v="5"/>
    <n v="0.03"/>
    <n v="1"/>
    <n v="1"/>
    <n v="1"/>
    <n v="100"/>
    <x v="1"/>
  </r>
  <r>
    <x v="2"/>
    <s v="SainteLague"/>
    <n v="150"/>
    <n v="126509"/>
    <s v="Alargamento Infraestrutura  SI a outros sistemas desenvolvidos por EDO"/>
    <x v="10"/>
    <x v="1"/>
    <x v="1"/>
    <s v="Backlog"/>
    <n v="8"/>
    <n v="0.03"/>
    <n v="1"/>
    <n v="1"/>
    <n v="1"/>
    <n v="100"/>
    <x v="1"/>
  </r>
  <r>
    <x v="2"/>
    <s v="SainteLague"/>
    <n v="151"/>
    <n v="52452"/>
    <s v="[Desconexi√≥n SGC] Grabaci√≥n manual de env√≠os"/>
    <x v="2"/>
    <x v="0"/>
    <x v="1"/>
    <s v="Backlog"/>
    <n v="21"/>
    <n v="0.03"/>
    <n v="1"/>
    <n v="1"/>
    <n v="1"/>
    <n v="100"/>
    <x v="1"/>
  </r>
  <r>
    <x v="2"/>
    <s v="SainteLague"/>
    <n v="152"/>
    <n v="111495"/>
    <s v="GT - Portal AON MVP (com SSO)"/>
    <x v="26"/>
    <x v="1"/>
    <x v="2"/>
    <s v="Backlog"/>
    <n v="2"/>
    <n v="0.03"/>
    <n v="1"/>
    <n v="1"/>
    <n v="1"/>
    <n v="100"/>
    <x v="1"/>
  </r>
  <r>
    <x v="2"/>
    <s v="SainteLague"/>
    <n v="153"/>
    <n v="65505"/>
    <s v="[NEXUS] [Desconexi√≥n SGC - FR y BR]  [Web de clientes] Configuraci√≥n - Administraci√≥n, gesti√≥n de usuarios y centros de FRANQUICIAS y BROKERS (settings)"/>
    <x v="0"/>
    <x v="0"/>
    <x v="0"/>
    <s v="In Solution"/>
    <n v="13"/>
    <n v="2.3330000000000002"/>
    <n v="4"/>
    <n v="1"/>
    <n v="2"/>
    <n v="3"/>
    <x v="1"/>
  </r>
  <r>
    <x v="2"/>
    <s v="SainteLague"/>
    <n v="154"/>
    <n v="126586"/>
    <s v="Renova√ß√£o core LAN Porto"/>
    <x v="7"/>
    <x v="1"/>
    <x v="3"/>
    <s v="In Solution"/>
    <n v="6"/>
    <n v="3"/>
    <n v="5"/>
    <n v="2"/>
    <n v="2"/>
    <n v="3"/>
    <x v="1"/>
  </r>
  <r>
    <x v="2"/>
    <s v="SainteLague"/>
    <n v="155"/>
    <n v="44047"/>
    <s v="[Desconexi√≥n SGC] [Salesforce] - Gesti√≥n de las canalizaciones por el equipo de Operaciones desde Salesforce"/>
    <x v="2"/>
    <x v="0"/>
    <x v="1"/>
    <s v="In Definition"/>
    <n v="22"/>
    <n v="0.03"/>
    <n v="1"/>
    <n v="1"/>
    <n v="1"/>
    <n v="100"/>
    <x v="1"/>
  </r>
  <r>
    <x v="2"/>
    <s v="SainteLague"/>
    <n v="156"/>
    <n v="116662"/>
    <s v="Aviso de Rece√ß√£o (AR) Digital nos Postos"/>
    <x v="1"/>
    <x v="1"/>
    <x v="0"/>
    <s v="In Solution"/>
    <n v="3"/>
    <n v="7.0000000000000007E-2"/>
    <n v="5"/>
    <n v="1"/>
    <n v="1"/>
    <n v="100"/>
    <x v="1"/>
  </r>
  <r>
    <x v="2"/>
    <s v="SainteLague"/>
    <n v="157"/>
    <n v="48628"/>
    <s v="[Desconexi√≥n SGC] [Salesforce] - Integraci√≥n de GoContact IVR con el Cloud (Service)"/>
    <x v="4"/>
    <x v="0"/>
    <x v="2"/>
    <s v="Ready for Solution"/>
    <n v="7"/>
    <n v="0.03"/>
    <n v="1"/>
    <n v="1"/>
    <n v="1"/>
    <n v="100"/>
    <x v="1"/>
  </r>
  <r>
    <x v="2"/>
    <s v="SainteLague"/>
    <n v="158"/>
    <n v="44975"/>
    <s v="Servidor  Decis√µes: Update automatico para a nova vers√£o ODM"/>
    <x v="10"/>
    <x v="1"/>
    <x v="1"/>
    <s v="Backlog"/>
    <n v="9"/>
    <n v="0.03"/>
    <n v="1"/>
    <n v="1"/>
    <n v="1"/>
    <n v="100"/>
    <x v="1"/>
  </r>
  <r>
    <x v="2"/>
    <s v="SainteLague"/>
    <n v="159"/>
    <n v="63723"/>
    <s v="[Minerva] - Cambiar m√©todo de autenticaci√≥n en Minerva"/>
    <x v="6"/>
    <x v="0"/>
    <x v="3"/>
    <s v="In Definition"/>
    <n v="14"/>
    <n v="0.03"/>
    <n v="1"/>
    <n v="1"/>
    <n v="1"/>
    <n v="100"/>
    <x v="1"/>
  </r>
  <r>
    <x v="2"/>
    <s v="SainteLague"/>
    <n v="160"/>
    <n v="139710"/>
    <s v="[NEXUS][PT]-  PRODUCTO INTERNACIONAL"/>
    <x v="9"/>
    <x v="1"/>
    <x v="0"/>
    <s v="Backlog"/>
    <n v="3"/>
    <n v="0.03"/>
    <n v="1"/>
    <n v="1"/>
    <n v="1"/>
    <n v="100"/>
    <x v="1"/>
  </r>
  <r>
    <x v="2"/>
    <s v="SainteLague"/>
    <n v="161"/>
    <n v="132537"/>
    <s v="[Qlik] - Creaci√≥n de un nueva dimensi√≥n Tipo Comercial Hist√≥rico"/>
    <x v="8"/>
    <x v="0"/>
    <x v="0"/>
    <s v="Ready for Approval"/>
    <n v="7"/>
    <n v="0.06"/>
    <n v="3"/>
    <n v="1"/>
    <n v="2"/>
    <n v="100"/>
    <x v="1"/>
  </r>
  <r>
    <x v="2"/>
    <s v="SainteLague"/>
    <n v="162"/>
    <n v="69892"/>
    <s v="Teleponto / Dol - Registo de situa√ß√µes de doen√ßas"/>
    <x v="10"/>
    <x v="1"/>
    <x v="1"/>
    <s v="Backlog"/>
    <n v="10"/>
    <n v="0.03"/>
    <n v="1"/>
    <n v="1"/>
    <n v="1"/>
    <n v="100"/>
    <x v="1"/>
  </r>
  <r>
    <x v="2"/>
    <s v="SainteLague"/>
    <n v="163"/>
    <n v="52450"/>
    <s v="[Desconexi√≥n SGC] Reetiquetado"/>
    <x v="2"/>
    <x v="0"/>
    <x v="1"/>
    <s v="In Definition"/>
    <n v="23"/>
    <n v="0.03"/>
    <n v="1"/>
    <n v="1"/>
    <n v="1"/>
    <n v="100"/>
    <x v="1"/>
  </r>
  <r>
    <x v="2"/>
    <s v="SainteLague"/>
    <n v="164"/>
    <n v="131776"/>
    <s v="NOXUS - Plataforma de IA"/>
    <x v="20"/>
    <x v="1"/>
    <x v="2"/>
    <s v="Backlog"/>
    <n v="2"/>
    <n v="4"/>
    <n v="4"/>
    <n v="2"/>
    <n v="2"/>
    <n v="2"/>
    <x v="1"/>
  </r>
  <r>
    <x v="2"/>
    <s v="SainteLague"/>
    <n v="165"/>
    <n v="43538"/>
    <s v="[Evolutivos SGC Finanzas] Validaci√≥n de pa√≠s y CP en manifiestos"/>
    <x v="21"/>
    <x v="0"/>
    <x v="2"/>
    <s v="In Solution"/>
    <n v="6"/>
    <n v="0.03"/>
    <n v="1"/>
    <n v="1"/>
    <n v="1"/>
    <n v="100"/>
    <x v="1"/>
  </r>
  <r>
    <x v="2"/>
    <s v="SainteLague"/>
    <n v="166"/>
    <n v="180670"/>
    <s v="INT | IBM Sterling File Gateway - implementar balanceamento"/>
    <x v="7"/>
    <x v="1"/>
    <x v="3"/>
    <s v="In Solution"/>
    <n v="7"/>
    <n v="0.03"/>
    <n v="1"/>
    <n v="1"/>
    <n v="1"/>
    <n v="100"/>
    <x v="1"/>
  </r>
  <r>
    <x v="2"/>
    <s v="SainteLague"/>
    <n v="167"/>
    <n v="61993"/>
    <s v="Migraci√≥n Infraestructura GIT =&gt; GitHub (Salesforce)"/>
    <x v="6"/>
    <x v="0"/>
    <x v="3"/>
    <s v="Backlog"/>
    <n v="15"/>
    <n v="0.03"/>
    <n v="1"/>
    <n v="1"/>
    <n v="1"/>
    <n v="100"/>
    <x v="1"/>
  </r>
  <r>
    <x v="2"/>
    <s v="SainteLague"/>
    <n v="168"/>
    <n v="70697"/>
    <s v="Nexus | Digital Channels | CLIENT PORTAL | &quot;SUPER PORTAL&quot; (extra MVP)"/>
    <x v="23"/>
    <x v="1"/>
    <x v="0"/>
    <s v="Backlog"/>
    <n v="3"/>
    <n v="0.03"/>
    <n v="1"/>
    <n v="1"/>
    <n v="1"/>
    <n v="100"/>
    <x v="1"/>
  </r>
  <r>
    <x v="2"/>
    <s v="SainteLague"/>
    <n v="169"/>
    <n v="61292"/>
    <s v="[WebHook] - ZooPlus - Transmisi√≥n de estados en mensaje est√°ndar"/>
    <x v="22"/>
    <x v="0"/>
    <x v="0"/>
    <s v="In Definition"/>
    <n v="6"/>
    <n v="0.03"/>
    <n v="1"/>
    <n v="1"/>
    <n v="1"/>
    <n v="100"/>
    <x v="1"/>
  </r>
  <r>
    <x v="2"/>
    <s v="SainteLague"/>
    <n v="170"/>
    <n v="125275"/>
    <s v="Moderniza√ß√£o do Processo de Devolu√ß√£o ‚Äì Fim dos Carimbos usados no CDP"/>
    <x v="10"/>
    <x v="1"/>
    <x v="1"/>
    <s v="Backlog"/>
    <n v="11"/>
    <n v="0.03"/>
    <n v="1"/>
    <n v="1"/>
    <n v="1"/>
    <n v="100"/>
    <x v="1"/>
  </r>
  <r>
    <x v="2"/>
    <s v="SainteLague"/>
    <n v="171"/>
    <n v="65856"/>
    <s v="[Desconexi√≥n SGC]: Br√≥kers  Franquicias: Gesti√≥n de adeudos y garant√≠as"/>
    <x v="2"/>
    <x v="0"/>
    <x v="1"/>
    <s v="Backlog"/>
    <n v="24"/>
    <n v="0.03"/>
    <n v="1"/>
    <n v="1"/>
    <n v="1"/>
    <n v="100"/>
    <x v="1"/>
  </r>
  <r>
    <x v="2"/>
    <s v="SainteLague"/>
    <n v="172"/>
    <n v="126278"/>
    <s v="PAI NATAL SOLID√ÅRIO"/>
    <x v="30"/>
    <x v="1"/>
    <x v="2"/>
    <s v="Backlog"/>
    <n v="2"/>
    <n v="2"/>
    <n v="2"/>
    <n v="2"/>
    <n v="2"/>
    <n v="3"/>
    <x v="1"/>
  </r>
  <r>
    <x v="2"/>
    <s v="SainteLague"/>
    <n v="173"/>
    <n v="61798"/>
    <s v="Creaci√≥n Estados Aduanas, visibilidad y reporte a clientes"/>
    <x v="28"/>
    <x v="0"/>
    <x v="2"/>
    <s v="Pitch"/>
    <n v="2"/>
    <n v="0.03"/>
    <n v="1"/>
    <n v="1"/>
    <n v="1"/>
    <n v="100"/>
    <x v="1"/>
  </r>
  <r>
    <x v="2"/>
    <s v="SainteLague"/>
    <n v="174"/>
    <n v="181624"/>
    <s v="Banco CTT - Altera√ß√£o Processo Fatura√ß√£o"/>
    <x v="12"/>
    <x v="1"/>
    <x v="3"/>
    <s v="Backlog"/>
    <n v="3"/>
    <n v="0.05"/>
    <n v="3"/>
    <n v="1"/>
    <n v="1"/>
    <n v="100"/>
    <x v="1"/>
  </r>
  <r>
    <x v="2"/>
    <s v="SainteLague"/>
    <n v="175"/>
    <n v="61994"/>
    <s v="Migraci√≥n Infraestructura GIT =&gt; GitHub , Arquetipo .net"/>
    <x v="6"/>
    <x v="0"/>
    <x v="3"/>
    <s v="Backlog"/>
    <n v="16"/>
    <n v="0.03"/>
    <n v="1"/>
    <n v="1"/>
    <n v="1"/>
    <n v="100"/>
    <x v="1"/>
  </r>
  <r>
    <x v="2"/>
    <s v="SainteLague"/>
    <n v="176"/>
    <n v="192059"/>
    <s v="Implementa√ß√£o do software da Western Union (WUPOS) em NAVe e integra√ß√£o com todos os sistemas centrais"/>
    <x v="29"/>
    <x v="1"/>
    <x v="0"/>
    <s v="In Definition"/>
    <n v="2"/>
    <n v="0.03"/>
    <n v="1"/>
    <n v="1"/>
    <n v="1"/>
    <n v="100"/>
    <x v="1"/>
  </r>
  <r>
    <x v="2"/>
    <s v="SainteLague"/>
    <n v="177"/>
    <n v="48027"/>
    <s v="[NEXUS] [Web de clientes]- Configuraci√≥n - Administraci√≥n, gesti√≥n de usuarios y centros de Clientes de Venta directa (settings)"/>
    <x v="0"/>
    <x v="0"/>
    <x v="0"/>
    <s v="Ready for Solution"/>
    <n v="14"/>
    <n v="0.03"/>
    <n v="1"/>
    <n v="1"/>
    <n v="1"/>
    <n v="100"/>
    <x v="1"/>
  </r>
  <r>
    <x v="2"/>
    <s v="SainteLague"/>
    <n v="178"/>
    <n v="93715"/>
    <s v="Log√≠stica - Utiliza√ß√£o de Porta Paletes Aut√≥nomos"/>
    <x v="10"/>
    <x v="1"/>
    <x v="1"/>
    <s v="In Solution"/>
    <n v="12"/>
    <n v="0.03"/>
    <n v="1"/>
    <n v="1"/>
    <n v="1"/>
    <n v="100"/>
    <x v="1"/>
  </r>
  <r>
    <x v="2"/>
    <s v="SainteLague"/>
    <n v="179"/>
    <n v="65512"/>
    <s v="Migraci√≥n SGC - Estacionados a Nexus"/>
    <x v="2"/>
    <x v="0"/>
    <x v="1"/>
    <s v="Backlog"/>
    <n v="25"/>
    <n v="0.03"/>
    <n v="1"/>
    <n v="1"/>
    <n v="1"/>
    <n v="100"/>
    <x v="1"/>
  </r>
  <r>
    <x v="2"/>
    <s v="SainteLague"/>
    <n v="180"/>
    <n v="50849"/>
    <s v="Cyber attack simulation Table-top"/>
    <x v="14"/>
    <x v="1"/>
    <x v="4"/>
    <s v="Backlog"/>
    <n v="4"/>
    <n v="0.03"/>
    <n v="1"/>
    <n v="1"/>
    <n v="1"/>
    <n v="100"/>
    <x v="1"/>
  </r>
  <r>
    <x v="2"/>
    <s v="SainteLague"/>
    <n v="181"/>
    <n v="63457"/>
    <s v="Cierre administrativo autom√°tico - &quot;Evitar pasar a Entregado Administrativo env√≠os que tienen un estado entregado y posteriormente se abre una caso en Salesforce y cambia a otro estado&quot;"/>
    <x v="4"/>
    <x v="0"/>
    <x v="2"/>
    <s v="Ready for Solution"/>
    <n v="8"/>
    <n v="0.03"/>
    <n v="1"/>
    <n v="1"/>
    <n v="1"/>
    <n v="100"/>
    <x v="1"/>
  </r>
  <r>
    <x v="2"/>
    <s v="SainteLague"/>
    <n v="182"/>
    <n v="60596"/>
    <s v="Liga√ß√£o do AgilePoint √† BD do CoE IAP"/>
    <x v="32"/>
    <x v="1"/>
    <x v="2"/>
    <s v="Backlog"/>
    <n v="2"/>
    <n v="0.03"/>
    <n v="1"/>
    <n v="1"/>
    <n v="1"/>
    <n v="100"/>
    <x v="1"/>
  </r>
  <r>
    <x v="2"/>
    <s v="SainteLague"/>
    <n v="183"/>
    <n v="61995"/>
    <s v="Migraci√≥n Infraestructura de Web Corporativa de AckStorm a Ctt Express"/>
    <x v="6"/>
    <x v="0"/>
    <x v="3"/>
    <s v="Backlog"/>
    <n v="17"/>
    <n v="0.03"/>
    <n v="1"/>
    <n v="1"/>
    <n v="1"/>
    <n v="100"/>
    <x v="1"/>
  </r>
  <r>
    <x v="2"/>
    <s v="SainteLague"/>
    <n v="184"/>
    <n v="125918"/>
    <s v="Cria√ß√£o de chatbot no super portal"/>
    <x v="25"/>
    <x v="1"/>
    <x v="3"/>
    <s v="Backlog"/>
    <n v="3"/>
    <n v="0.03"/>
    <n v="1"/>
    <n v="1"/>
    <n v="1"/>
    <n v="100"/>
    <x v="1"/>
  </r>
  <r>
    <x v="2"/>
    <s v="SainteLague"/>
    <n v="185"/>
    <n v="140623"/>
    <s v="[Nexus] - [We Sell] - [Desconexi√≥n ORACLE] - Funciones de equipos PREVENDAS"/>
    <x v="8"/>
    <x v="0"/>
    <x v="0"/>
    <s v="Backlog"/>
    <n v="8"/>
    <n v="0.03"/>
    <n v="1"/>
    <n v="1"/>
    <n v="1"/>
    <n v="100"/>
    <x v="1"/>
  </r>
  <r>
    <x v="2"/>
    <s v="SainteLague"/>
    <n v="186"/>
    <n v="121353"/>
    <s v="Configura√ß√£o SAP para Introdu√ß√£o de IBANs da regi√£o SEPA"/>
    <x v="17"/>
    <x v="1"/>
    <x v="0"/>
    <s v="Backlog"/>
    <n v="2"/>
    <n v="0.03"/>
    <n v="1"/>
    <n v="1"/>
    <n v="1"/>
    <n v="100"/>
    <x v="1"/>
  </r>
  <r>
    <x v="2"/>
    <s v="SainteLague"/>
    <n v="187"/>
    <n v="65861"/>
    <s v="[Desconexi√≥n SGC]: Br√≥kers y Franquicias: Modulo distribuci√≥n de Franquicias"/>
    <x v="2"/>
    <x v="0"/>
    <x v="1"/>
    <s v="Backlog"/>
    <n v="26"/>
    <n v="0.03"/>
    <n v="1"/>
    <n v="1"/>
    <n v="1"/>
    <n v="100"/>
    <x v="1"/>
  </r>
  <r>
    <x v="2"/>
    <s v="SainteLague"/>
    <n v="188"/>
    <n v="68794"/>
    <s v="Tratamento de rejeitados no SD - Eliminar pr√©-avisos com CP ficticios (BG4)"/>
    <x v="10"/>
    <x v="1"/>
    <x v="1"/>
    <s v="In Definition"/>
    <n v="13"/>
    <n v="0.03"/>
    <n v="1"/>
    <n v="1"/>
    <n v="1"/>
    <n v="100"/>
    <x v="1"/>
  </r>
  <r>
    <x v="2"/>
    <s v="SainteLague"/>
    <n v="189"/>
    <n v="64075"/>
    <s v="[Mulesoft] - [Api Integrations Clientes] : Disponer de los client_id que invocan a los endpoint de integraciones"/>
    <x v="22"/>
    <x v="0"/>
    <x v="0"/>
    <s v="Backlog"/>
    <n v="7"/>
    <n v="0.03"/>
    <n v="1"/>
    <n v="1"/>
    <n v="1"/>
    <n v="100"/>
    <x v="1"/>
  </r>
  <r>
    <x v="2"/>
    <s v="SainteLague"/>
    <n v="190"/>
    <n v="126645"/>
    <s v="GENAI-TOF"/>
    <x v="11"/>
    <x v="1"/>
    <x v="2"/>
    <s v="In Solution"/>
    <n v="3"/>
    <n v="3"/>
    <n v="3"/>
    <n v="2"/>
    <n v="1"/>
    <n v="2"/>
    <x v="1"/>
  </r>
  <r>
    <x v="2"/>
    <s v="SainteLague"/>
    <n v="191"/>
    <n v="62466"/>
    <s v="Integraci√≥n con CACESA para la sustituci√≥n de ADYCO (30-nov)"/>
    <x v="2"/>
    <x v="0"/>
    <x v="1"/>
    <s v="Ready for Solution"/>
    <n v="27"/>
    <n v="0.03"/>
    <n v="1"/>
    <n v="1"/>
    <n v="1"/>
    <n v="100"/>
    <x v="1"/>
  </r>
  <r>
    <x v="2"/>
    <s v="SainteLague"/>
    <n v="192"/>
    <n v="126749"/>
    <s v="SGEE - Migra√ß√£o de Pipelines ADO2Github"/>
    <x v="16"/>
    <x v="1"/>
    <x v="3"/>
    <s v="In Approval"/>
    <n v="5"/>
    <n v="5"/>
    <n v="4"/>
    <n v="3"/>
    <n v="3"/>
    <n v="2"/>
    <x v="1"/>
  </r>
  <r>
    <x v="2"/>
    <s v="SainteLague"/>
    <n v="193"/>
    <n v="51544"/>
    <s v="Perdida de funcionalidad Modificaci√≥n Art√≠culos"/>
    <x v="21"/>
    <x v="0"/>
    <x v="2"/>
    <s v="Backlog"/>
    <n v="7"/>
    <n v="0.03"/>
    <n v="1"/>
    <n v="1"/>
    <n v="1"/>
    <n v="100"/>
    <x v="1"/>
  </r>
  <r>
    <x v="2"/>
    <s v="SainteLague"/>
    <n v="194"/>
    <n v="127066"/>
    <s v="Galaxy - Jornada de envios ‚Äì Jornada Expresso nacional"/>
    <x v="13"/>
    <x v="1"/>
    <x v="0"/>
    <s v="In Solution"/>
    <n v="3"/>
    <n v="1.75"/>
    <n v="3"/>
    <n v="2"/>
    <n v="2"/>
    <n v="4"/>
    <x v="1"/>
  </r>
  <r>
    <x v="2"/>
    <s v="SainteLague"/>
    <n v="195"/>
    <n v="52036"/>
    <s v="[Auditoria PT] Controles peri√≥dicos que garanticen la selecci√≥n de lecturas √≥ptimas para facturaci√≥n"/>
    <x v="6"/>
    <x v="0"/>
    <x v="3"/>
    <s v="Backlog"/>
    <n v="18"/>
    <n v="0.03"/>
    <n v="1"/>
    <n v="1"/>
    <n v="1"/>
    <n v="100"/>
    <x v="1"/>
  </r>
  <r>
    <x v="2"/>
    <s v="SainteLague"/>
    <n v="196"/>
    <n v="119415"/>
    <s v="Incremento ao Safeplace c/ Integra√ß√£o LMS (Decoupling Brain)"/>
    <x v="10"/>
    <x v="1"/>
    <x v="1"/>
    <s v="In Definition"/>
    <n v="14"/>
    <n v="0.03"/>
    <n v="1"/>
    <n v="1"/>
    <n v="1"/>
    <n v="100"/>
    <x v="1"/>
  </r>
  <r>
    <x v="2"/>
    <s v="SainteLague"/>
    <n v="197"/>
    <n v="48584"/>
    <s v="[Desconexi√≥n SGC] [WebHook] - Implementacion de la Plataforma de WebHooks standard"/>
    <x v="6"/>
    <x v="0"/>
    <x v="0"/>
    <s v="In Definition"/>
    <n v="22"/>
    <n v="0.03"/>
    <n v="1"/>
    <n v="1"/>
    <n v="1"/>
    <n v="100"/>
    <x v="1"/>
  </r>
  <r>
    <x v="2"/>
    <s v="SainteLague"/>
    <n v="198"/>
    <n v="135288"/>
    <s v="Desenvolvimentos CNE no √¢mbito do Correio Inteligente"/>
    <x v="1"/>
    <x v="1"/>
    <x v="0"/>
    <s v="In Definition"/>
    <n v="4"/>
    <n v="0.03"/>
    <n v="1"/>
    <n v="1"/>
    <n v="1"/>
    <n v="100"/>
    <x v="1"/>
  </r>
  <r>
    <x v="2"/>
    <s v="SainteLague"/>
    <n v="199"/>
    <n v="62882"/>
    <s v="cambios masivos de estados"/>
    <x v="2"/>
    <x v="0"/>
    <x v="1"/>
    <s v="Backlog"/>
    <n v="28"/>
    <n v="0.03"/>
    <n v="1"/>
    <n v="1"/>
    <n v="1"/>
    <n v="100"/>
    <x v="1"/>
  </r>
  <r>
    <x v="2"/>
    <s v="SainteLague"/>
    <n v="200"/>
    <n v="81168"/>
    <s v="Tratamento de rejeitados no SD - Tipificar, isolar e informar (BG1): Incremento"/>
    <x v="10"/>
    <x v="1"/>
    <x v="1"/>
    <s v="In Definition"/>
    <n v="15"/>
    <n v="0.03"/>
    <n v="1"/>
    <n v="1"/>
    <n v="1"/>
    <n v="100"/>
    <x v="1"/>
  </r>
  <r>
    <x v="2"/>
    <s v="SainteLague"/>
    <n v="201"/>
    <n v="46800"/>
    <s v="[Mejora Calidad Servicio] - PDA - Envios Multibulto (aplicar logica de causa propia - ajena) (TO)"/>
    <x v="4"/>
    <x v="0"/>
    <x v="2"/>
    <s v="In Definition"/>
    <n v="9"/>
    <n v="0.03"/>
    <n v="1"/>
    <n v="1"/>
    <n v="1"/>
    <n v="100"/>
    <x v="1"/>
  </r>
  <r>
    <x v="2"/>
    <s v="SainteLague"/>
    <n v="202"/>
    <n v="55326"/>
    <s v="XRP | ADL Gest√£o de Frota"/>
    <x v="15"/>
    <x v="1"/>
    <x v="2"/>
    <s v="In Definition"/>
    <n v="3"/>
    <n v="0.03"/>
    <n v="1"/>
    <n v="1"/>
    <n v="1"/>
    <n v="100"/>
    <x v="1"/>
  </r>
  <r>
    <x v="2"/>
    <s v="SainteLague"/>
    <n v="203"/>
    <n v="46968"/>
    <s v="[Desconexi√≥n SGC] PDA Planta-Dependencias PDA planta de SGC"/>
    <x v="6"/>
    <x v="0"/>
    <x v="3"/>
    <s v="In Definition"/>
    <n v="19"/>
    <n v="0.03"/>
    <n v="1"/>
    <n v="1"/>
    <n v="1"/>
    <n v="100"/>
    <x v="1"/>
  </r>
  <r>
    <x v="2"/>
    <s v="SainteLague"/>
    <n v="204"/>
    <n v="105685"/>
    <s v="IA &amp; Automa√ß√£o Corporate"/>
    <x v="24"/>
    <x v="1"/>
    <x v="3"/>
    <s v="Backlog"/>
    <n v="3"/>
    <n v="0.03"/>
    <n v="1"/>
    <n v="1"/>
    <n v="1"/>
    <n v="100"/>
    <x v="1"/>
  </r>
  <r>
    <x v="2"/>
    <s v="SainteLague"/>
    <n v="205"/>
    <n v="52298"/>
    <s v="[Nexus] [Notificaciones]  Whatsapp desde Marketing Cloud Engagement de Salesforce - Env√≠o WP para el env√≠o de notificaciones con incidencia"/>
    <x v="0"/>
    <x v="0"/>
    <x v="0"/>
    <s v="Ready for Solution"/>
    <n v="15"/>
    <n v="0.03"/>
    <n v="1"/>
    <n v="1"/>
    <n v="1"/>
    <n v="100"/>
    <x v="1"/>
  </r>
  <r>
    <x v="2"/>
    <s v="SainteLague"/>
    <n v="206"/>
    <n v="139711"/>
    <s v="[NEXUS][PT]- INTERNACIONAL EUROPA"/>
    <x v="9"/>
    <x v="1"/>
    <x v="0"/>
    <s v="Backlog"/>
    <n v="4"/>
    <n v="0.03"/>
    <n v="1"/>
    <n v="1"/>
    <n v="1"/>
    <n v="100"/>
    <x v="1"/>
  </r>
  <r>
    <x v="2"/>
    <s v="SainteLague"/>
    <n v="207"/>
    <n v="65857"/>
    <s v="[Desconexi√≥n SGC]: Internacional"/>
    <x v="2"/>
    <x v="0"/>
    <x v="1"/>
    <s v="Backlog"/>
    <n v="29"/>
    <n v="0.03"/>
    <n v="1"/>
    <n v="1"/>
    <n v="1"/>
    <n v="100"/>
    <x v="1"/>
  </r>
  <r>
    <x v="2"/>
    <s v="SainteLague"/>
    <n v="208"/>
    <n v="76788"/>
    <s v="[Projeto One Million] Redu√ß√£o backlog objetos expresso"/>
    <x v="10"/>
    <x v="1"/>
    <x v="1"/>
    <s v="Backlog"/>
    <n v="16"/>
    <n v="0.03"/>
    <n v="1"/>
    <n v="1"/>
    <n v="1"/>
    <n v="100"/>
    <x v="1"/>
  </r>
  <r>
    <x v="2"/>
    <s v="SainteLague"/>
    <n v="209"/>
    <n v="43532"/>
    <s v="[Evolutivos SGC Finanzas] Revisi√≥n de las l√≥gicas de generaci√≥n de facturas en 2¬∫ plano"/>
    <x v="21"/>
    <x v="0"/>
    <x v="2"/>
    <s v="Ready for Solution"/>
    <n v="8"/>
    <n v="0.03"/>
    <n v="1"/>
    <n v="1"/>
    <n v="1"/>
    <n v="100"/>
    <x v="1"/>
  </r>
  <r>
    <x v="2"/>
    <s v="SainteLague"/>
    <n v="210"/>
    <n v="78001"/>
    <s v="Nexus | We Care | SalesForce Parametrization | Post MVP"/>
    <x v="18"/>
    <x v="1"/>
    <x v="2"/>
    <s v="Backlog"/>
    <n v="3"/>
    <n v="3"/>
    <n v="5"/>
    <n v="5"/>
    <n v="5"/>
    <n v="5"/>
    <x v="1"/>
  </r>
  <r>
    <x v="2"/>
    <s v="SainteLague"/>
    <n v="211"/>
    <n v="57409"/>
    <s v="Creaci√≥n de Interfaz de usuario para simular la creaci√≥n y ciclo de vida de env√≠o"/>
    <x v="6"/>
    <x v="0"/>
    <x v="3"/>
    <s v="Backlog"/>
    <n v="20"/>
    <n v="0.03"/>
    <n v="1"/>
    <n v="1"/>
    <n v="1"/>
    <n v="100"/>
    <x v="1"/>
  </r>
  <r>
    <x v="2"/>
    <s v="SainteLague"/>
    <n v="212"/>
    <n v="132957"/>
    <s v="Github Migration - ParcelInfo"/>
    <x v="7"/>
    <x v="1"/>
    <x v="3"/>
    <s v="Backlog"/>
    <n v="8"/>
    <n v="0.03"/>
    <n v="1"/>
    <n v="1"/>
    <n v="1"/>
    <n v="100"/>
    <x v="1"/>
  </r>
  <r>
    <x v="2"/>
    <s v="SainteLague"/>
    <n v="213"/>
    <n v="140620"/>
    <s v="[Nexus] - [We Sell] - [Desconexi√≥n ORACLE] - Onboarding Digital"/>
    <x v="8"/>
    <x v="0"/>
    <x v="0"/>
    <s v="Backlog"/>
    <n v="9"/>
    <n v="0.03"/>
    <n v="1"/>
    <n v="1"/>
    <n v="1"/>
    <n v="100"/>
    <x v="1"/>
  </r>
  <r>
    <x v="2"/>
    <s v="SainteLague"/>
    <n v="214"/>
    <n v="140332"/>
    <s v="Conta CTT | Revamp da Conta CTT"/>
    <x v="23"/>
    <x v="1"/>
    <x v="0"/>
    <s v="Backlog"/>
    <n v="4"/>
    <n v="1.25"/>
    <n v="3"/>
    <n v="1"/>
    <n v="1"/>
    <n v="4"/>
    <x v="1"/>
  </r>
  <r>
    <x v="2"/>
    <s v="SainteLague"/>
    <n v="215"/>
    <n v="46679"/>
    <s v="[PUDOS] [Wizard] - Funcionalidad PDA: Entrega de env√≠os en PUDO mediante Baliza"/>
    <x v="2"/>
    <x v="0"/>
    <x v="1"/>
    <s v="In Definition"/>
    <n v="30"/>
    <n v="0.03"/>
    <n v="1"/>
    <n v="1"/>
    <n v="1"/>
    <n v="100"/>
    <x v="1"/>
  </r>
  <r>
    <x v="2"/>
    <s v="SainteLague"/>
    <n v="216"/>
    <n v="68791"/>
    <s v="Tratamento de rejeitados no SD - Entrada de pr√©-aviso p√≥s primeira passagem do objeto na rede de tratamento (BG3)"/>
    <x v="10"/>
    <x v="1"/>
    <x v="1"/>
    <s v="In Definition"/>
    <n v="17"/>
    <n v="0.03"/>
    <n v="1"/>
    <n v="1"/>
    <n v="1"/>
    <n v="100"/>
    <x v="1"/>
  </r>
  <r>
    <x v="2"/>
    <s v="SainteLague"/>
    <n v="217"/>
    <n v="62187"/>
    <s v="[Salesforce] - Usuario / Origen de una acci√≥n sobre un env√≠o en la trazabilidad desde ATC"/>
    <x v="4"/>
    <x v="0"/>
    <x v="2"/>
    <s v="Ready for Solution"/>
    <n v="10"/>
    <n v="0.03"/>
    <n v="1"/>
    <n v="1"/>
    <n v="1"/>
    <n v="100"/>
    <x v="1"/>
  </r>
  <r>
    <x v="2"/>
    <s v="SainteLague"/>
    <n v="218"/>
    <n v="50856"/>
    <s v="Defini√ß√£o de modelo de governo para gest√£o de seguran√ßa da informa√ß√£o, compliance e gest√£o de risco"/>
    <x v="14"/>
    <x v="1"/>
    <x v="4"/>
    <s v="Backlog"/>
    <n v="5"/>
    <n v="0.03"/>
    <n v="1"/>
    <n v="1"/>
    <n v="1"/>
    <n v="100"/>
    <x v="1"/>
  </r>
  <r>
    <x v="2"/>
    <s v="SainteLague"/>
    <n v="219"/>
    <n v="46606"/>
    <s v="[Internacional] - Pol√≠tica de reintentos en la grabaci√≥n de env√≠os internacionales en el sistema del proveedor"/>
    <x v="6"/>
    <x v="0"/>
    <x v="3"/>
    <s v="Backlog"/>
    <n v="21"/>
    <n v="0.03"/>
    <n v="1"/>
    <n v="1"/>
    <n v="1"/>
    <n v="100"/>
    <x v="1"/>
  </r>
  <r>
    <x v="2"/>
    <s v="SainteLague"/>
    <n v="220"/>
    <n v="59256"/>
    <s v="SouCTT - Salary on Demand (Subsidio de Natal) | Paynest"/>
    <x v="26"/>
    <x v="1"/>
    <x v="2"/>
    <s v="Backlog"/>
    <n v="3"/>
    <n v="0.03"/>
    <n v="1"/>
    <n v="1"/>
    <n v="1"/>
    <n v="100"/>
    <x v="1"/>
  </r>
  <r>
    <x v="2"/>
    <s v="SainteLague"/>
    <n v="221"/>
    <n v="136116"/>
    <s v="Mapper - uso de codigos de cliente y credenciales Cloud"/>
    <x v="22"/>
    <x v="0"/>
    <x v="0"/>
    <s v="In Definition"/>
    <n v="8"/>
    <n v="0.03"/>
    <n v="1"/>
    <n v="1"/>
    <n v="1"/>
    <n v="100"/>
    <x v="1"/>
  </r>
  <r>
    <x v="2"/>
    <s v="SainteLague"/>
    <n v="222"/>
    <n v="127624"/>
    <s v="Implementa√ß√£o QuickWins MagicBeans"/>
    <x v="7"/>
    <x v="1"/>
    <x v="3"/>
    <s v="Backlog"/>
    <n v="9"/>
    <n v="0.03"/>
    <n v="1"/>
    <n v="1"/>
    <n v="1"/>
    <n v="100"/>
    <x v="1"/>
  </r>
  <r>
    <x v="2"/>
    <s v="SainteLague"/>
    <n v="223"/>
    <n v="54066"/>
    <s v="[Desconexi√≥n SGC] Lecturas de stock sobre Contenedores"/>
    <x v="2"/>
    <x v="0"/>
    <x v="1"/>
    <s v="Backlog"/>
    <n v="31"/>
    <n v="0.03"/>
    <n v="1"/>
    <n v="1"/>
    <n v="1"/>
    <n v="100"/>
    <x v="1"/>
  </r>
  <r>
    <x v="2"/>
    <s v="SainteLague"/>
    <n v="224"/>
    <n v="173104"/>
    <s v="PAY - Instrumento Transfer√™ncias - Altera√ß√£o de requisitos definidos pelo BdP - mar√ßo"/>
    <x v="27"/>
    <x v="1"/>
    <x v="0"/>
    <s v="In Definition"/>
    <n v="3"/>
    <n v="0.03"/>
    <n v="1"/>
    <n v="1"/>
    <n v="1"/>
    <n v="100"/>
    <x v="1"/>
  </r>
  <r>
    <x v="2"/>
    <s v="SainteLague"/>
    <n v="225"/>
    <n v="58264"/>
    <s v="[Nexus P&amp;S] -Portfolio Ib√©rico Ecommerce : Upload the proposal and pricing in Salesforce and Minerva"/>
    <x v="0"/>
    <x v="0"/>
    <x v="0"/>
    <s v="In Solution"/>
    <n v="16"/>
    <n v="0.03"/>
    <n v="1"/>
    <n v="1"/>
    <n v="1"/>
    <n v="100"/>
    <x v="1"/>
  </r>
  <r>
    <x v="2"/>
    <s v="SainteLague"/>
    <n v="226"/>
    <n v="140213"/>
    <s v="Geopostal 2026"/>
    <x v="10"/>
    <x v="1"/>
    <x v="1"/>
    <s v="Backlog"/>
    <n v="18"/>
    <n v="0.03"/>
    <n v="1"/>
    <n v="1"/>
    <n v="1"/>
    <n v="100"/>
    <x v="1"/>
  </r>
  <r>
    <x v="2"/>
    <s v="SainteLague"/>
    <n v="227"/>
    <n v="55776"/>
    <s v="Restricci√≥n de Login en APP de Planta"/>
    <x v="2"/>
    <x v="0"/>
    <x v="1"/>
    <s v="Backlog"/>
    <n v="32"/>
    <n v="0.03"/>
    <n v="1"/>
    <n v="1"/>
    <n v="1"/>
    <n v="100"/>
    <x v="1"/>
  </r>
  <r>
    <x v="2"/>
    <s v="SainteLague"/>
    <n v="228"/>
    <n v="125218"/>
    <s v="revamp.EPM - Framework CPM 360 Full Scope (Non Core)"/>
    <x v="20"/>
    <x v="1"/>
    <x v="2"/>
    <s v="Ready for Solution"/>
    <n v="3"/>
    <n v="0.03"/>
    <n v="1"/>
    <n v="1"/>
    <n v="1"/>
    <n v="100"/>
    <x v="1"/>
  </r>
  <r>
    <x v="2"/>
    <s v="SainteLague"/>
    <n v="229"/>
    <n v="43530"/>
    <s v="[Evolutivos SGC] Visibilidad de cargos manuales hist√≥ricos facturados (mejora)"/>
    <x v="21"/>
    <x v="0"/>
    <x v="2"/>
    <s v="Ready for Solution"/>
    <n v="9"/>
    <n v="0.03"/>
    <n v="1"/>
    <n v="1"/>
    <n v="1"/>
    <n v="100"/>
    <x v="1"/>
  </r>
  <r>
    <x v="2"/>
    <s v="SainteLague"/>
    <n v="230"/>
    <n v="192027"/>
    <s v="Comunica√ß√µes - Wifi 321 Cr√©dito - Porto"/>
    <x v="12"/>
    <x v="1"/>
    <x v="3"/>
    <s v="Backlog"/>
    <n v="4"/>
    <n v="0.03"/>
    <n v="1"/>
    <n v="1"/>
    <n v="1"/>
    <n v="100"/>
    <x v="1"/>
  </r>
  <r>
    <x v="2"/>
    <s v="SainteLague"/>
    <n v="231"/>
    <n v="46713"/>
    <s v="Incluir 'audit' en los mensajes publicados en el t√≥pico aws.delivery.fct.international-v1"/>
    <x v="6"/>
    <x v="0"/>
    <x v="3"/>
    <s v="Backlog"/>
    <n v="23"/>
    <n v="0.03"/>
    <n v="1"/>
    <n v="1"/>
    <n v="1"/>
    <n v="100"/>
    <x v="1"/>
  </r>
  <r>
    <x v="2"/>
    <s v="SainteLague"/>
    <n v="232"/>
    <n v="124599"/>
    <s v="Plataforma de Gest√£o Documental IGCP"/>
    <x v="29"/>
    <x v="1"/>
    <x v="0"/>
    <s v="In Definition"/>
    <n v="3"/>
    <n v="0.03"/>
    <n v="1"/>
    <n v="1"/>
    <n v="1"/>
    <n v="100"/>
    <x v="1"/>
  </r>
  <r>
    <x v="2"/>
    <s v="SainteLague"/>
    <n v="233"/>
    <n v="140541"/>
    <s v="[Nexus] - [We Sell] - [Desconexi√≥n ORACLE] - Tareas del equipo BackOffice"/>
    <x v="8"/>
    <x v="0"/>
    <x v="0"/>
    <s v="In Definition"/>
    <n v="10"/>
    <n v="0.03"/>
    <n v="1"/>
    <n v="1"/>
    <n v="1"/>
    <n v="100"/>
    <x v="1"/>
  </r>
  <r>
    <x v="2"/>
    <s v="SainteLague"/>
    <n v="234"/>
    <n v="138559"/>
    <s v="Postman Digital Brain - Fase 3"/>
    <x v="10"/>
    <x v="1"/>
    <x v="1"/>
    <s v="Backlog"/>
    <n v="19"/>
    <n v="0.03"/>
    <n v="1"/>
    <n v="1"/>
    <n v="1"/>
    <n v="100"/>
    <x v="1"/>
  </r>
  <r>
    <x v="2"/>
    <s v="SainteLague"/>
    <n v="235"/>
    <n v="61968"/>
    <s v="Portal Proveedores Linehaul - Habilitar cancelaci√≥n de ruta"/>
    <x v="2"/>
    <x v="0"/>
    <x v="1"/>
    <s v="In Solution"/>
    <n v="33"/>
    <n v="3"/>
    <n v="2"/>
    <n v="2"/>
    <n v="2"/>
    <n v="2"/>
    <x v="1"/>
  </r>
  <r>
    <x v="2"/>
    <s v="SainteLague"/>
    <n v="236"/>
    <n v="120815"/>
    <s v="Fatura√ß√£o de Cliente Ocasional - SAP"/>
    <x v="17"/>
    <x v="1"/>
    <x v="0"/>
    <s v="Backlog"/>
    <n v="3"/>
    <n v="0.03"/>
    <n v="1"/>
    <n v="1"/>
    <n v="1"/>
    <n v="100"/>
    <x v="1"/>
  </r>
  <r>
    <x v="2"/>
    <s v="SainteLague"/>
    <n v="237"/>
    <n v="46690"/>
    <s v="[Salesforce Service] - Incidencias C. Propia/Automatizar incidencias en SF (marcar prioridad en SENDA desde IVR y Web)"/>
    <x v="4"/>
    <x v="0"/>
    <x v="2"/>
    <s v="Ready for Solution"/>
    <n v="11"/>
    <n v="0.03"/>
    <n v="1"/>
    <n v="1"/>
    <n v="1"/>
    <n v="100"/>
    <x v="1"/>
  </r>
  <r>
    <x v="2"/>
    <s v="SainteLague"/>
    <n v="238"/>
    <n v="133856"/>
    <s v="Teste Silvia (temporario)"/>
    <x v="32"/>
    <x v="1"/>
    <x v="2"/>
    <s v="Backlog"/>
    <n v="3"/>
    <n v="0.03"/>
    <n v="1"/>
    <n v="1"/>
    <n v="1"/>
    <n v="100"/>
    <x v="1"/>
  </r>
  <r>
    <x v="2"/>
    <s v="SainteLague"/>
    <n v="239"/>
    <n v="47733"/>
    <s v="[Containerization] FASE2: Producir en package_event"/>
    <x v="6"/>
    <x v="0"/>
    <x v="3"/>
    <s v="In Definition"/>
    <n v="24"/>
    <n v="0.03"/>
    <n v="1"/>
    <n v="1"/>
    <n v="1"/>
    <n v="100"/>
    <x v="1"/>
  </r>
  <r>
    <x v="2"/>
    <s v="SainteLague"/>
    <n v="240"/>
    <n v="123596"/>
    <s v="Descontinua√ß√£o Doxenter - Wave 2"/>
    <x v="25"/>
    <x v="1"/>
    <x v="3"/>
    <s v="Backlog"/>
    <n v="4"/>
    <n v="0.03"/>
    <n v="1"/>
    <n v="1"/>
    <n v="1"/>
    <n v="100"/>
    <x v="1"/>
  </r>
  <r>
    <x v="2"/>
    <s v="SainteLague"/>
    <n v="241"/>
    <n v="62205"/>
    <s v="Control de envios duplicados: validacion SINONIMO BULTO / REFERENCIA CLIENTE"/>
    <x v="22"/>
    <x v="0"/>
    <x v="0"/>
    <s v="In Definition"/>
    <n v="9"/>
    <n v="0.03"/>
    <n v="1"/>
    <n v="1"/>
    <n v="1"/>
    <n v="100"/>
    <x v="1"/>
  </r>
  <r>
    <x v="2"/>
    <s v="SainteLague"/>
    <n v="242"/>
    <n v="134943"/>
    <s v="STICO - Migra√ß√£o de Pipelines ADO2Github"/>
    <x v="1"/>
    <x v="1"/>
    <x v="0"/>
    <s v="High Level Design"/>
    <n v="5"/>
    <n v="2.6669999999999998"/>
    <n v="4"/>
    <n v="1"/>
    <n v="3"/>
    <n v="3"/>
    <x v="1"/>
  </r>
  <r>
    <x v="2"/>
    <s v="SainteLague"/>
    <n v="243"/>
    <n v="63799"/>
    <s v="Portal de Proveedores - Poder ordenar Control Horario por cualquier columna"/>
    <x v="2"/>
    <x v="0"/>
    <x v="1"/>
    <s v="Backlog"/>
    <n v="34"/>
    <n v="3"/>
    <n v="1"/>
    <n v="1"/>
    <n v="1"/>
    <n v="1"/>
    <x v="1"/>
  </r>
  <r>
    <x v="2"/>
    <s v="SainteLague"/>
    <n v="244"/>
    <n v="126643"/>
    <s v="Faturas PDF | SuperApp - Fatura√ß√£o Portagens"/>
    <x v="11"/>
    <x v="1"/>
    <x v="2"/>
    <s v="Backlog"/>
    <n v="4"/>
    <n v="10"/>
    <n v="3"/>
    <n v="3"/>
    <n v="4"/>
    <n v="1"/>
    <x v="1"/>
  </r>
  <r>
    <x v="2"/>
    <s v="SainteLague"/>
    <n v="245"/>
    <n v="43556"/>
    <s v="[SGC] - Funcionalidad de asignaci√≥n de gestora en Salesforce"/>
    <x v="21"/>
    <x v="0"/>
    <x v="2"/>
    <s v="Ready for Solution"/>
    <n v="10"/>
    <n v="0.03"/>
    <n v="1"/>
    <n v="1"/>
    <n v="1"/>
    <n v="100"/>
    <x v="1"/>
  </r>
  <r>
    <x v="2"/>
    <s v="SainteLague"/>
    <n v="246"/>
    <n v="134832"/>
    <s v="Elimina√ß√£o TLS 1.0 - Comunica√ß√£o info T&amp;T com MEO"/>
    <x v="16"/>
    <x v="1"/>
    <x v="3"/>
    <s v="In Definition"/>
    <n v="6"/>
    <n v="4"/>
    <n v="1"/>
    <n v="3"/>
    <n v="4"/>
    <n v="2"/>
    <x v="1"/>
  </r>
  <r>
    <x v="2"/>
    <s v="SainteLague"/>
    <n v="247"/>
    <n v="58180"/>
    <s v="[PET-3-] [Item-Status-v2] - Es necesario propagar la localizaci√≥n GPS de los eventos en los cambios de estado de item y env√≠o"/>
    <x v="6"/>
    <x v="0"/>
    <x v="3"/>
    <s v="Ready for Solution"/>
    <n v="25"/>
    <n v="0.03"/>
    <n v="1"/>
    <n v="1"/>
    <n v="1"/>
    <n v="100"/>
    <x v="1"/>
  </r>
  <r>
    <x v="2"/>
    <s v="SainteLague"/>
    <n v="248"/>
    <n v="139709"/>
    <s v="[NEXUS][PT]-  PROD INTERNACIONAL PREMIUM"/>
    <x v="9"/>
    <x v="1"/>
    <x v="0"/>
    <s v="Backlog"/>
    <n v="5"/>
    <n v="0.03"/>
    <n v="1"/>
    <n v="1"/>
    <n v="1"/>
    <n v="100"/>
    <x v="1"/>
  </r>
  <r>
    <x v="2"/>
    <s v="SainteLague"/>
    <n v="249"/>
    <n v="44475"/>
    <s v="[PUDOs] - [QLIK] Nueva App Pudo Sales"/>
    <x v="0"/>
    <x v="0"/>
    <x v="0"/>
    <s v="Backlog"/>
    <n v="17"/>
    <n v="0.03"/>
    <n v="1"/>
    <n v="1"/>
    <n v="1"/>
    <n v="100"/>
    <x v="1"/>
  </r>
  <r>
    <x v="2"/>
    <s v="SainteLague"/>
    <n v="250"/>
    <n v="51049"/>
    <s v="Defini√ß√£o de Pol√≠tica de Gest√£o de Risco Cyber"/>
    <x v="14"/>
    <x v="1"/>
    <x v="4"/>
    <s v="Backlog"/>
    <n v="6"/>
    <n v="0.03"/>
    <n v="1"/>
    <n v="1"/>
    <n v="1"/>
    <n v="100"/>
    <x v="1"/>
  </r>
  <r>
    <x v="2"/>
    <s v="SainteLague"/>
    <n v="251"/>
    <n v="46827"/>
    <s v="PDA Planta (TO)/Gesti√≥n de Planta/Gesti√≥n FIFO en San fernando"/>
    <x v="2"/>
    <x v="0"/>
    <x v="1"/>
    <s v="In Definition"/>
    <n v="35"/>
    <n v="0.03"/>
    <n v="1"/>
    <n v="1"/>
    <n v="1"/>
    <n v="100"/>
    <x v="1"/>
  </r>
  <r>
    <x v="2"/>
    <s v="SainteLague"/>
    <n v="252"/>
    <n v="61947"/>
    <s v="Telemetria -  (Mobi) Descontinua√ß√£o do Boletim de Veiculo"/>
    <x v="15"/>
    <x v="1"/>
    <x v="2"/>
    <s v="Backlog"/>
    <n v="4"/>
    <n v="0.03"/>
    <n v="1"/>
    <n v="1"/>
    <n v="1"/>
    <n v="100"/>
    <x v="1"/>
  </r>
  <r>
    <x v="2"/>
    <s v="SainteLague"/>
    <n v="253"/>
    <n v="65257"/>
    <s v="KPIs de Prevenci√≥n de Riesgos Laborales de CTT Express"/>
    <x v="28"/>
    <x v="0"/>
    <x v="2"/>
    <s v="Ready for Solution"/>
    <n v="3"/>
    <n v="0.03"/>
    <n v="1"/>
    <n v="1"/>
    <n v="1"/>
    <n v="100"/>
    <x v="1"/>
  </r>
  <r>
    <x v="2"/>
    <s v="SainteLague"/>
    <n v="254"/>
    <n v="202075"/>
    <s v="Mata Aplica√ß√µes  - Wave 1.3 - HRAccess (Fase 0 - desenho de solu√ß√£o)"/>
    <x v="24"/>
    <x v="1"/>
    <x v="3"/>
    <s v="In Definition"/>
    <n v="4"/>
    <n v="0.03"/>
    <n v="1"/>
    <n v="1"/>
    <n v="1"/>
    <n v="100"/>
    <x v="1"/>
  </r>
  <r>
    <x v="2"/>
    <s v="SainteLague"/>
    <n v="255"/>
    <n v="52607"/>
    <s v="[Desconexi√≥n SGC] [PUDOS] - Migraci√≥n de funcionalidades de SGC al Cloud"/>
    <x v="6"/>
    <x v="0"/>
    <x v="3"/>
    <s v="Backlog"/>
    <n v="26"/>
    <n v="0.03"/>
    <n v="1"/>
    <n v="1"/>
    <n v="1"/>
    <n v="100"/>
    <x v="1"/>
  </r>
  <r>
    <x v="2"/>
    <s v="SainteLague"/>
    <n v="256"/>
    <n v="48991"/>
    <s v="CCT 3.0 - powered by AI"/>
    <x v="23"/>
    <x v="1"/>
    <x v="0"/>
    <s v="Backlog"/>
    <n v="5"/>
    <n v="0.03"/>
    <n v="1"/>
    <n v="1"/>
    <n v="1"/>
    <n v="100"/>
    <x v="1"/>
  </r>
  <r>
    <x v="2"/>
    <s v="SainteLague"/>
    <n v="257"/>
    <n v="61633"/>
    <s v="[Nexus] - We Sell (Lead to Contract) 2.0"/>
    <x v="8"/>
    <x v="0"/>
    <x v="0"/>
    <s v="In Definition"/>
    <n v="11"/>
    <n v="0.03"/>
    <n v="1"/>
    <n v="1"/>
    <n v="1"/>
    <n v="100"/>
    <x v="1"/>
  </r>
  <r>
    <x v="2"/>
    <s v="SainteLague"/>
    <n v="258"/>
    <n v="60599"/>
    <s v="Nexus | We Care | Customer Support"/>
    <x v="18"/>
    <x v="1"/>
    <x v="2"/>
    <s v="Backlog"/>
    <n v="4"/>
    <n v="3"/>
    <n v="5"/>
    <n v="5"/>
    <n v="5"/>
    <n v="5"/>
    <x v="1"/>
  </r>
  <r>
    <x v="2"/>
    <s v="SainteLague"/>
    <n v="259"/>
    <n v="46829"/>
    <s v="PDA Planta (TO)/Gesti√≥n de Planta/Mejoras pendientes/Solventar error de contenerizaci√≥n y doble registro"/>
    <x v="2"/>
    <x v="0"/>
    <x v="1"/>
    <s v="In Definition"/>
    <n v="36"/>
    <n v="0.03"/>
    <n v="1"/>
    <n v="1"/>
    <n v="1"/>
    <n v="100"/>
    <x v="1"/>
  </r>
  <r>
    <x v="2"/>
    <s v="SainteLague"/>
    <n v="260"/>
    <n v="132061"/>
    <s v="Migra√ß√£o ADO2GitHub - Pipeline ODM"/>
    <x v="7"/>
    <x v="1"/>
    <x v="3"/>
    <s v="Ready for Solution"/>
    <n v="10"/>
    <n v="10"/>
    <n v="2"/>
    <n v="4"/>
    <n v="4"/>
    <n v="1"/>
    <x v="1"/>
  </r>
  <r>
    <x v="2"/>
    <s v="SainteLague"/>
    <n v="261"/>
    <n v="140632"/>
    <s v="[WebHook] - Shein - LastMile - Establecer un criterio que sirva para enviar el valor A-Scan"/>
    <x v="22"/>
    <x v="0"/>
    <x v="0"/>
    <s v="In Definition"/>
    <n v="10"/>
    <n v="0.03"/>
    <n v="1"/>
    <n v="1"/>
    <n v="1"/>
    <n v="100"/>
    <x v="1"/>
  </r>
  <r>
    <x v="2"/>
    <s v="SainteLague"/>
    <n v="262"/>
    <n v="127065"/>
    <s v="Galaxy - Jornada de envios ‚Äì Push recolha destinat√°rio"/>
    <x v="13"/>
    <x v="1"/>
    <x v="0"/>
    <s v="High Level Design"/>
    <n v="4"/>
    <n v="2"/>
    <n v="3"/>
    <n v="2"/>
    <n v="1"/>
    <n v="3"/>
    <x v="1"/>
  </r>
  <r>
    <x v="2"/>
    <s v="SainteLague"/>
    <n v="263"/>
    <n v="44050"/>
    <s v="Portal Proveedores LineHaul - Plan de carga: contenerizaci√≥n de camiones"/>
    <x v="2"/>
    <x v="0"/>
    <x v="1"/>
    <s v="In Definition"/>
    <n v="37"/>
    <n v="0.03"/>
    <n v="1"/>
    <n v="1"/>
    <n v="1"/>
    <n v="100"/>
    <x v="1"/>
  </r>
  <r>
    <x v="2"/>
    <s v="SainteLague"/>
    <n v="264"/>
    <n v="68236"/>
    <s v="Informa√ß√£o normalizada (Indicadores de Gest√£o IG) - Fus√£o relat√≥rio 65 no 59 (2¬∫ e 3¬∫ fase)"/>
    <x v="1"/>
    <x v="1"/>
    <x v="0"/>
    <s v="In Definition"/>
    <n v="6"/>
    <n v="0.03"/>
    <n v="1"/>
    <n v="1"/>
    <n v="1"/>
    <n v="100"/>
    <x v="1"/>
  </r>
  <r>
    <x v="2"/>
    <s v="SainteLague"/>
    <n v="265"/>
    <n v="46807"/>
    <s v="[Desconexi√≥n SGC] [Salesforce Service] - Migraci√≥n del Almac√©n regulador‚Äã de SGC"/>
    <x v="4"/>
    <x v="0"/>
    <x v="2"/>
    <s v="Backlog"/>
    <n v="12"/>
    <n v="0.03"/>
    <n v="1"/>
    <n v="1"/>
    <n v="1"/>
    <n v="100"/>
    <x v="1"/>
  </r>
  <r>
    <x v="2"/>
    <s v="SainteLague"/>
    <n v="266"/>
    <n v="59257"/>
    <s v="SouCTT - Salary on Demand (adiantamento % vencimento) | Paynest"/>
    <x v="26"/>
    <x v="1"/>
    <x v="2"/>
    <s v="Backlog"/>
    <n v="4"/>
    <n v="0.03"/>
    <n v="1"/>
    <n v="1"/>
    <n v="1"/>
    <n v="100"/>
    <x v="1"/>
  </r>
  <r>
    <x v="2"/>
    <s v="SainteLague"/>
    <n v="267"/>
    <n v="57238"/>
    <s v="[CIBER]  - Eliminaci√≥n del acceso p√∫blico de los ficheros de agencias y canalizaciones en transfer.cttexpress.com"/>
    <x v="6"/>
    <x v="0"/>
    <x v="3"/>
    <s v="Backlog"/>
    <n v="27"/>
    <n v="0.03"/>
    <n v="1"/>
    <n v="1"/>
    <n v="1"/>
    <n v="100"/>
    <x v="1"/>
  </r>
  <r>
    <x v="2"/>
    <s v="SainteLague"/>
    <n v="268"/>
    <n v="132218"/>
    <s v="CCP | Notifications | Refactor application to meet CCP patterns"/>
    <x v="7"/>
    <x v="1"/>
    <x v="3"/>
    <s v="Backlog"/>
    <n v="11"/>
    <n v="6"/>
    <n v="3"/>
    <n v="2"/>
    <n v="1"/>
    <n v="1"/>
    <x v="1"/>
  </r>
  <r>
    <x v="2"/>
    <s v="SainteLague"/>
    <n v="269"/>
    <n v="46916"/>
    <s v="[Nexus] [Producto] - Pack Express"/>
    <x v="0"/>
    <x v="0"/>
    <x v="0"/>
    <s v="Ready for Solution"/>
    <n v="18"/>
    <n v="0.03"/>
    <n v="1"/>
    <n v="1"/>
    <n v="1"/>
    <n v="100"/>
    <x v="1"/>
  </r>
  <r>
    <x v="2"/>
    <s v="SainteLague"/>
    <n v="270"/>
    <n v="60579"/>
    <s v="Nexus | P&amp;S | Implementa√ß√£o da oferta ib√©rica"/>
    <x v="9"/>
    <x v="1"/>
    <x v="0"/>
    <s v="High Level Design"/>
    <n v="6"/>
    <n v="0.03"/>
    <n v="1"/>
    <n v="1"/>
    <n v="1"/>
    <n v="100"/>
    <x v="1"/>
  </r>
  <r>
    <x v="2"/>
    <s v="SainteLague"/>
    <n v="271"/>
    <n v="51426"/>
    <s v="Notificaciones a PDA desde Portal del Proveedor"/>
    <x v="2"/>
    <x v="0"/>
    <x v="1"/>
    <s v="Ready for Solution"/>
    <n v="38"/>
    <n v="0.03"/>
    <n v="1"/>
    <n v="1"/>
    <n v="1"/>
    <n v="100"/>
    <x v="1"/>
  </r>
  <r>
    <x v="2"/>
    <s v="SainteLague"/>
    <n v="272"/>
    <n v="70736"/>
    <s v="WFA | Incremento 3 | F√©rias"/>
    <x v="20"/>
    <x v="1"/>
    <x v="2"/>
    <s v="In Approval"/>
    <n v="4"/>
    <n v="0.03"/>
    <n v="1"/>
    <n v="1"/>
    <n v="1"/>
    <n v="100"/>
    <x v="1"/>
  </r>
  <r>
    <x v="2"/>
    <s v="SainteLague"/>
    <n v="273"/>
    <n v="43513"/>
    <s v="[Desconexi√≥n SGC] [Evolutivos SGC Finanzas] Automatizaci√≥n proceso gesti√≥n documental siniestros"/>
    <x v="21"/>
    <x v="0"/>
    <x v="2"/>
    <s v="Backlog"/>
    <n v="11"/>
    <n v="0.03"/>
    <n v="1"/>
    <n v="1"/>
    <n v="1"/>
    <n v="100"/>
    <x v="1"/>
  </r>
  <r>
    <x v="2"/>
    <s v="SainteLague"/>
    <n v="274"/>
    <n v="132956"/>
    <s v="TFS Migration - NAVE"/>
    <x v="7"/>
    <x v="1"/>
    <x v="3"/>
    <s v="Ready for Solution"/>
    <n v="12"/>
    <n v="0.03"/>
    <n v="1"/>
    <n v="1"/>
    <n v="1"/>
    <n v="100"/>
    <x v="1"/>
  </r>
  <r>
    <x v="2"/>
    <s v="SainteLague"/>
    <n v="275"/>
    <n v="59403"/>
    <s v="[Tech] API de common-edge Refactor"/>
    <x v="6"/>
    <x v="0"/>
    <x v="3"/>
    <s v="Backlog"/>
    <n v="28"/>
    <n v="0.03"/>
    <n v="1"/>
    <n v="1"/>
    <n v="1"/>
    <n v="100"/>
    <x v="1"/>
  </r>
  <r>
    <x v="2"/>
    <s v="SainteLague"/>
    <n v="276"/>
    <n v="126459"/>
    <s v="Super B2C (App + √Årea Cliente) |  Incluir publicidade gen√©rica do Banco CTT nos canais digitais dos CTT"/>
    <x v="23"/>
    <x v="1"/>
    <x v="0"/>
    <s v="Backlog"/>
    <n v="6"/>
    <n v="0.03"/>
    <n v="1"/>
    <n v="1"/>
    <n v="1"/>
    <n v="100"/>
    <x v="1"/>
  </r>
  <r>
    <x v="2"/>
    <s v="SainteLague"/>
    <n v="277"/>
    <n v="58417"/>
    <s v="[Minerva] - Interfaz de generaci√≥n de ofertas de Minerva en portugu√©s"/>
    <x v="8"/>
    <x v="0"/>
    <x v="0"/>
    <s v="In Solution"/>
    <n v="12"/>
    <n v="0.03"/>
    <n v="1"/>
    <n v="1"/>
    <n v="1"/>
    <n v="100"/>
    <x v="1"/>
  </r>
  <r>
    <x v="2"/>
    <s v="SainteLague"/>
    <n v="278"/>
    <n v="51052"/>
    <s v="NIS2 - Implementa√ß√£o de remedia√ß√µes (PT) - Gest√£o de Ativos"/>
    <x v="14"/>
    <x v="1"/>
    <x v="4"/>
    <s v="Backlog"/>
    <n v="7"/>
    <n v="0.03"/>
    <n v="1"/>
    <n v="1"/>
    <n v="1"/>
    <n v="100"/>
    <x v="1"/>
  </r>
  <r>
    <x v="2"/>
    <s v="SainteLague"/>
    <n v="279"/>
    <n v="65922"/>
    <s v="Evoluci√≥n portal de Arrastres V.2"/>
    <x v="2"/>
    <x v="0"/>
    <x v="1"/>
    <s v="Backlog"/>
    <n v="39"/>
    <n v="0.03"/>
    <n v="1"/>
    <n v="1"/>
    <n v="1"/>
    <n v="100"/>
    <x v="1"/>
  </r>
  <r>
    <x v="2"/>
    <s v="SainteLague"/>
    <n v="280"/>
    <n v="59177"/>
    <s v="Faturas PDF | SAP - Incremento 2"/>
    <x v="11"/>
    <x v="1"/>
    <x v="2"/>
    <s v="Backlog"/>
    <n v="5"/>
    <n v="0.03"/>
    <n v="1"/>
    <n v="1"/>
    <n v="1"/>
    <n v="100"/>
    <x v="1"/>
  </r>
  <r>
    <x v="2"/>
    <s v="SainteLague"/>
    <n v="281"/>
    <n v="50204"/>
    <s v="[Portal del Proveedor] Nuevas funcionalidades - Bloqueo Repartidor Seguridad"/>
    <x v="4"/>
    <x v="0"/>
    <x v="2"/>
    <s v="In Definition"/>
    <n v="13"/>
    <n v="0.03"/>
    <n v="1"/>
    <n v="1"/>
    <n v="1"/>
    <n v="100"/>
    <x v="1"/>
  </r>
  <r>
    <x v="2"/>
    <s v="SainteLague"/>
    <n v="282"/>
    <n v="71073"/>
    <s v="Lojas com necessidade de 2 m√°quinas dispensadoras de senhas"/>
    <x v="12"/>
    <x v="1"/>
    <x v="3"/>
    <s v="Backlog"/>
    <n v="5"/>
    <n v="6"/>
    <n v="3"/>
    <n v="1"/>
    <n v="2"/>
    <n v="1"/>
    <x v="1"/>
  </r>
  <r>
    <x v="2"/>
    <s v="SainteLague"/>
    <n v="283"/>
    <n v="44431"/>
    <s v="[Desconexi√≥n SGC] Qlik - Migraci√≥n App Anal√≠tica Comercial - Cloud"/>
    <x v="6"/>
    <x v="0"/>
    <x v="3"/>
    <s v="In Definition"/>
    <n v="29"/>
    <n v="0.03"/>
    <n v="1"/>
    <n v="1"/>
    <n v="1"/>
    <n v="100"/>
    <x v="1"/>
  </r>
  <r>
    <x v="2"/>
    <s v="SainteLague"/>
    <n v="284"/>
    <n v="148011"/>
    <s v="CTT Sol. Empresariais - GSB2B/BFT_Melhorias ao Processo de Fatura√ß√£o"/>
    <x v="27"/>
    <x v="1"/>
    <x v="0"/>
    <s v="In Definition"/>
    <n v="4"/>
    <n v="0.03"/>
    <n v="1"/>
    <n v="1"/>
    <n v="1"/>
    <n v="100"/>
    <x v="1"/>
  </r>
  <r>
    <x v="2"/>
    <s v="SainteLague"/>
    <n v="285"/>
    <n v="52618"/>
    <s v="Cliente SALVADOR ESCODA SAT - Modificaci√≥n Mapper"/>
    <x v="22"/>
    <x v="0"/>
    <x v="0"/>
    <s v="In Definition"/>
    <n v="10"/>
    <n v="0.03"/>
    <n v="1"/>
    <n v="1"/>
    <n v="1"/>
    <n v="100"/>
    <x v="1"/>
  </r>
  <r>
    <x v="2"/>
    <s v="SainteLague"/>
    <n v="286"/>
    <n v="58934"/>
    <s v="Solu√ß√£o de Gest√£o de Viagens"/>
    <x v="15"/>
    <x v="1"/>
    <x v="2"/>
    <s v="In Definition"/>
    <n v="5"/>
    <n v="0.03"/>
    <n v="1"/>
    <n v="1"/>
    <n v="1"/>
    <n v="100"/>
    <x v="1"/>
  </r>
  <r>
    <x v="2"/>
    <s v="SainteLague"/>
    <n v="287"/>
    <n v="136127"/>
    <s v="Reactivar recursos al iniciar la ruta (Veh√≠culos-Conductores)"/>
    <x v="2"/>
    <x v="0"/>
    <x v="1"/>
    <s v="In Definition"/>
    <n v="41"/>
    <n v="5"/>
    <n v="2"/>
    <n v="2"/>
    <n v="1"/>
    <n v="1"/>
    <x v="1"/>
  </r>
  <r>
    <x v="2"/>
    <s v="SainteLague"/>
    <n v="288"/>
    <n v="126023"/>
    <s v="Melhorias ao processo de envio de comunica√ß√µes da Zurich"/>
    <x v="25"/>
    <x v="1"/>
    <x v="3"/>
    <s v="In Definition"/>
    <n v="5"/>
    <n v="0.04"/>
    <n v="1"/>
    <n v="2"/>
    <n v="1"/>
    <n v="100"/>
    <x v="1"/>
  </r>
  <r>
    <x v="2"/>
    <s v="SainteLague"/>
    <n v="289"/>
    <n v="43549"/>
    <s v="[Evolutivos SGC Finanzas] Asignar de manera masiva el cliente master al campo grupo de procesamiento en Modulo de facturacion"/>
    <x v="21"/>
    <x v="0"/>
    <x v="2"/>
    <s v="Ready for Solution"/>
    <n v="12"/>
    <n v="0.03"/>
    <n v="1"/>
    <n v="1"/>
    <n v="1"/>
    <n v="100"/>
    <x v="1"/>
  </r>
  <r>
    <x v="2"/>
    <s v="SainteLague"/>
    <n v="290"/>
    <n v="120972"/>
    <s v="Cliente EDP - WS P&amp;F- Novo Campo Data"/>
    <x v="13"/>
    <x v="1"/>
    <x v="0"/>
    <s v="Ready for Solution"/>
    <n v="5"/>
    <n v="0.03"/>
    <n v="1"/>
    <n v="1"/>
    <n v="1"/>
    <n v="100"/>
    <x v="1"/>
  </r>
  <r>
    <x v="2"/>
    <s v="SainteLague"/>
    <n v="291"/>
    <n v="52039"/>
    <s v="[Auditoria PT] Garantizar ejecuci√≥n de fase de pruebas antes y despu√©s de implantar nuevos desarrollos"/>
    <x v="6"/>
    <x v="0"/>
    <x v="3"/>
    <s v="Backlog"/>
    <n v="30"/>
    <n v="0.03"/>
    <n v="1"/>
    <n v="1"/>
    <n v="1"/>
    <n v="100"/>
    <x v="1"/>
  </r>
  <r>
    <x v="2"/>
    <s v="SainteLague"/>
    <n v="292"/>
    <n v="76082"/>
    <s v="GP B2C ‚Äì BO Site CTT - Simulador Certificados de Aforro / App CTT ‚Äì Aforro Digital"/>
    <x v="29"/>
    <x v="1"/>
    <x v="0"/>
    <s v="Backlog"/>
    <n v="4"/>
    <n v="0.03"/>
    <n v="1"/>
    <n v="1"/>
    <n v="1"/>
    <n v="100"/>
    <x v="1"/>
  </r>
  <r>
    <x v="2"/>
    <s v="SainteLague"/>
    <n v="293"/>
    <n v="55712"/>
    <s v="[Nexus] [Producto] - Entregas Comerciales (Red Shopping)"/>
    <x v="0"/>
    <x v="0"/>
    <x v="0"/>
    <s v="Ready for Solution"/>
    <n v="19"/>
    <n v="0.03"/>
    <n v="1"/>
    <n v="1"/>
    <n v="1"/>
    <n v="100"/>
    <x v="1"/>
  </r>
  <r>
    <x v="2"/>
    <s v="SainteLague"/>
    <n v="294"/>
    <n v="78003"/>
    <s v="Nexus | We Care | Adaptation of Service Infrastructures | Pilot"/>
    <x v="18"/>
    <x v="1"/>
    <x v="2"/>
    <s v="Backlog"/>
    <n v="5"/>
    <n v="3"/>
    <n v="5"/>
    <n v="5"/>
    <n v="5"/>
    <n v="5"/>
    <x v="1"/>
  </r>
  <r>
    <x v="2"/>
    <s v="SainteLague"/>
    <n v="295"/>
    <n v="135612"/>
    <s v="Mejora de visualizaci√≥n en PDA last-mail env√≠os balanceados por SENDA &quot;LIBRA&quot;"/>
    <x v="2"/>
    <x v="0"/>
    <x v="1"/>
    <s v="Backlog"/>
    <n v="42"/>
    <n v="0.03"/>
    <n v="1"/>
    <n v="1"/>
    <n v="1"/>
    <n v="100"/>
    <x v="1"/>
  </r>
  <r>
    <x v="2"/>
    <s v="SainteLague"/>
    <n v="296"/>
    <n v="126963"/>
    <s v="GitHub Migration - Implementa√ß√£o de Pipeline T&amp;T em GitHub"/>
    <x v="16"/>
    <x v="1"/>
    <x v="3"/>
    <s v="Backlog"/>
    <n v="7"/>
    <n v="2.6669999999999998"/>
    <n v="4"/>
    <n v="1"/>
    <n v="3"/>
    <n v="3"/>
    <x v="1"/>
  </r>
  <r>
    <x v="2"/>
    <s v="SainteLague"/>
    <n v="297"/>
    <n v="63429"/>
    <s v="[Salesforce - Minerva] Datos de la oferta Minerva en objeto Oferta"/>
    <x v="8"/>
    <x v="0"/>
    <x v="0"/>
    <s v="In Definition"/>
    <n v="13"/>
    <n v="0.03"/>
    <n v="1"/>
    <n v="1"/>
    <n v="1"/>
    <n v="100"/>
    <x v="1"/>
  </r>
  <r>
    <x v="2"/>
    <s v="SainteLague"/>
    <n v="298"/>
    <n v="76554"/>
    <s v="M√≥dulo de Compliance Payshop"/>
    <x v="17"/>
    <x v="1"/>
    <x v="0"/>
    <s v="Backlog"/>
    <n v="4"/>
    <n v="0.03"/>
    <n v="1"/>
    <n v="1"/>
    <n v="1"/>
    <n v="100"/>
    <x v="1"/>
  </r>
  <r>
    <x v="2"/>
    <s v="SainteLague"/>
    <n v="299"/>
    <n v="135153"/>
    <s v="Mejora creaci√≥n servicios espor√°dicos"/>
    <x v="2"/>
    <x v="0"/>
    <x v="1"/>
    <s v="In Definition"/>
    <n v="43"/>
    <n v="2.5"/>
    <n v="3"/>
    <n v="1"/>
    <n v="1"/>
    <n v="2"/>
    <x v="1"/>
  </r>
  <r>
    <x v="2"/>
    <s v="SainteLague"/>
    <n v="300"/>
    <n v="120278"/>
    <s v="Revamp BIC - Indicadores di√°rios e mensais de neg√≥cio"/>
    <x v="20"/>
    <x v="1"/>
    <x v="2"/>
    <s v="Backlog"/>
    <n v="5"/>
    <n v="0.03"/>
    <n v="1"/>
    <n v="1"/>
    <n v="1"/>
    <n v="100"/>
    <x v="1"/>
  </r>
  <r>
    <x v="2"/>
    <s v="SainteLague"/>
    <n v="301"/>
    <n v="44443"/>
    <s v="[Qlik] - Migraci√≥n y redifinici√≥n de App Notifications Analytics - Cloud"/>
    <x v="4"/>
    <x v="0"/>
    <x v="2"/>
    <s v="In Definition"/>
    <n v="14"/>
    <n v="0.03"/>
    <n v="1"/>
    <n v="1"/>
    <n v="1"/>
    <n v="100"/>
    <x v="1"/>
  </r>
  <r>
    <x v="2"/>
    <s v="SainteLague"/>
    <n v="302"/>
    <n v="87861"/>
    <s v="Teleponto - Migra√ß√£o de BD Oracle para BD SQL"/>
    <x v="24"/>
    <x v="1"/>
    <x v="3"/>
    <s v="In Definition"/>
    <n v="5"/>
    <n v="0.03"/>
    <n v="1"/>
    <n v="1"/>
    <n v="1"/>
    <n v="100"/>
    <x v="1"/>
  </r>
  <r>
    <x v="2"/>
    <s v="SainteLague"/>
    <n v="303"/>
    <n v="52046"/>
    <s v="[Auditoria PT] Implementar pruebas preventivas para identificar errores en la parametrizaci√≥n de las reglas de peso"/>
    <x v="6"/>
    <x v="0"/>
    <x v="3"/>
    <s v="Backlog"/>
    <n v="31"/>
    <n v="0.03"/>
    <n v="1"/>
    <n v="1"/>
    <n v="1"/>
    <n v="100"/>
    <x v="1"/>
  </r>
  <r>
    <x v="2"/>
    <s v="SainteLague"/>
    <n v="304"/>
    <n v="139369"/>
    <s v="Aviso de Entrega Digital"/>
    <x v="1"/>
    <x v="1"/>
    <x v="0"/>
    <s v="Backlog"/>
    <n v="7"/>
    <n v="0.03"/>
    <n v="1"/>
    <n v="1"/>
    <n v="1"/>
    <n v="100"/>
    <x v="1"/>
  </r>
  <r>
    <x v="2"/>
    <s v="SainteLague"/>
    <n v="305"/>
    <n v="57152"/>
    <s v="Cliente EXPOLLUM - Transmisi√≥n selectiva Mapper"/>
    <x v="22"/>
    <x v="0"/>
    <x v="0"/>
    <s v="In Definition"/>
    <n v="11"/>
    <n v="0.03"/>
    <n v="1"/>
    <n v="1"/>
    <n v="1"/>
    <n v="100"/>
    <x v="1"/>
  </r>
  <r>
    <x v="2"/>
    <s v="SainteLague"/>
    <n v="306"/>
    <n v="51051"/>
    <s v="NIS2 - Implementa√ß√£o de remedia√ß√µes (PT) - Seguran√ßa da Supply Chain"/>
    <x v="14"/>
    <x v="1"/>
    <x v="4"/>
    <s v="Backlog"/>
    <n v="8"/>
    <n v="0.03"/>
    <n v="1"/>
    <n v="1"/>
    <n v="1"/>
    <n v="100"/>
    <x v="1"/>
  </r>
  <r>
    <x v="2"/>
    <s v="SainteLague"/>
    <n v="307"/>
    <n v="134467"/>
    <s v="Portal de Proveedores - Implementar rec√°lculo autom√°tico de liquidaciones Linehaul de rutas espor√°dicas"/>
    <x v="2"/>
    <x v="0"/>
    <x v="1"/>
    <s v="In Definition"/>
    <n v="44"/>
    <n v="6"/>
    <n v="3"/>
    <n v="2"/>
    <n v="1"/>
    <n v="1"/>
    <x v="1"/>
  </r>
  <r>
    <x v="2"/>
    <s v="SainteLague"/>
    <n v="308"/>
    <n v="88857"/>
    <s v="CORP - Covline - Integra√ß√£o de clientes e contratos via kafka"/>
    <x v="11"/>
    <x v="1"/>
    <x v="2"/>
    <s v="Backlog"/>
    <n v="6"/>
    <n v="0.03"/>
    <n v="1"/>
    <n v="1"/>
    <n v="1"/>
    <n v="100"/>
    <x v="1"/>
  </r>
  <r>
    <x v="2"/>
    <s v="SainteLague"/>
    <n v="309"/>
    <n v="46339"/>
    <s v="[SGC] - Funcionalidad de Comisi√≥n Reembolso sobre &quot;entregados&quot; activa"/>
    <x v="21"/>
    <x v="0"/>
    <x v="2"/>
    <s v="Ready for Solution"/>
    <n v="13"/>
    <n v="0.03"/>
    <n v="1"/>
    <n v="1"/>
    <n v="1"/>
    <n v="100"/>
    <x v="1"/>
  </r>
  <r>
    <x v="2"/>
    <s v="SainteLague"/>
    <n v="310"/>
    <n v="127626"/>
    <s v="Expurgo automatic sharepoint e Team"/>
    <x v="7"/>
    <x v="1"/>
    <x v="3"/>
    <s v="Backlog"/>
    <n v="13"/>
    <n v="0.03"/>
    <n v="1"/>
    <n v="1"/>
    <n v="1"/>
    <n v="100"/>
    <x v="1"/>
  </r>
  <r>
    <x v="2"/>
    <s v="SainteLague"/>
    <n v="311"/>
    <n v="44441"/>
    <s v="[Desconexi√≥n SGC] Qlik - Migraci√≥n App Indicadores de siniestros - Cloud"/>
    <x v="6"/>
    <x v="0"/>
    <x v="3"/>
    <s v="Ready for Solution"/>
    <n v="32"/>
    <n v="0.03"/>
    <n v="1"/>
    <n v="1"/>
    <n v="1"/>
    <n v="100"/>
    <x v="1"/>
  </r>
  <r>
    <x v="2"/>
    <s v="SainteLague"/>
    <n v="312"/>
    <n v="126043"/>
    <s v="Morada virtual | Servi√ßo de subscri√ß√£o"/>
    <x v="9"/>
    <x v="1"/>
    <x v="0"/>
    <s v="In Definition"/>
    <n v="7"/>
    <n v="2"/>
    <n v="4"/>
    <n v="2"/>
    <n v="2"/>
    <n v="4"/>
    <x v="1"/>
  </r>
  <r>
    <x v="2"/>
    <s v="SainteLague"/>
    <n v="313"/>
    <n v="57552"/>
    <s v="[Web de Clientes] - Grabaci√≥n masiva de env√≠os (carga de fichero) - v2"/>
    <x v="0"/>
    <x v="0"/>
    <x v="0"/>
    <s v="In Solution"/>
    <n v="20"/>
    <n v="0.03"/>
    <n v="1"/>
    <n v="1"/>
    <n v="1"/>
    <n v="100"/>
    <x v="1"/>
  </r>
  <r>
    <x v="2"/>
    <s v="SainteLague"/>
    <n v="314"/>
    <n v="55327"/>
    <s v="XRP | RPA para substitui√ß√£o da integra√ß√£o com BPM"/>
    <x v="15"/>
    <x v="1"/>
    <x v="2"/>
    <s v="Backlog"/>
    <n v="6"/>
    <n v="0.03"/>
    <n v="1"/>
    <n v="1"/>
    <n v="1"/>
    <n v="100"/>
    <x v="1"/>
  </r>
  <r>
    <x v="2"/>
    <s v="SainteLague"/>
    <n v="315"/>
    <n v="133185"/>
    <s v="Sistema de seguimiento de rutas de arrastre - v2"/>
    <x v="2"/>
    <x v="0"/>
    <x v="1"/>
    <s v="Backlog"/>
    <n v="45"/>
    <n v="0.03"/>
    <n v="1"/>
    <n v="1"/>
    <n v="1"/>
    <n v="100"/>
    <x v="1"/>
  </r>
  <r>
    <x v="2"/>
    <s v="SainteLague"/>
    <n v="316"/>
    <n v="124021"/>
    <s v="ODIN | Separa√ß√£o dos clusters ODIN (IDP) por unidade de neg√≥cio"/>
    <x v="7"/>
    <x v="1"/>
    <x v="3"/>
    <s v="High Level Design"/>
    <n v="14"/>
    <n v="0.03"/>
    <n v="1"/>
    <n v="1"/>
    <n v="1"/>
    <n v="100"/>
    <x v="1"/>
  </r>
  <r>
    <x v="2"/>
    <s v="SainteLague"/>
    <n v="317"/>
    <n v="47557"/>
    <s v="[Salesforce Service] - Reglas de cierre y respuesta autom√°tica de casos de env√≠os estacionados o ubicados"/>
    <x v="4"/>
    <x v="0"/>
    <x v="2"/>
    <s v="In Definition"/>
    <n v="15"/>
    <n v="0.03"/>
    <n v="1"/>
    <n v="1"/>
    <n v="1"/>
    <n v="100"/>
    <x v="1"/>
  </r>
  <r>
    <x v="2"/>
    <s v="SainteLague"/>
    <n v="318"/>
    <n v="139693"/>
    <s v="√Årea de Cliente CTT - Empresas | Agile Way MAR e ABR 2026"/>
    <x v="23"/>
    <x v="1"/>
    <x v="0"/>
    <s v="Backlog"/>
    <n v="7"/>
    <n v="0.03"/>
    <n v="1"/>
    <n v="1"/>
    <n v="1"/>
    <n v="100"/>
    <x v="1"/>
  </r>
  <r>
    <x v="2"/>
    <s v="SainteLague"/>
    <n v="319"/>
    <n v="44446"/>
    <s v="[Desconexi√≥n SGC] Qlik - Migraci√≥n App Territory P&amp;L - Cloud"/>
    <x v="6"/>
    <x v="0"/>
    <x v="3"/>
    <s v="In Definition"/>
    <n v="33"/>
    <n v="0.03"/>
    <n v="1"/>
    <n v="1"/>
    <n v="1"/>
    <n v="100"/>
    <x v="1"/>
  </r>
  <r>
    <x v="2"/>
    <s v="SainteLague"/>
    <n v="320"/>
    <n v="173698"/>
    <s v="SSM - valida√ß√£o dos dados registados em NAVe, previamente √† sua conclus√£o"/>
    <x v="27"/>
    <x v="1"/>
    <x v="0"/>
    <s v="Backlog"/>
    <n v="5"/>
    <n v="0.03"/>
    <n v="1"/>
    <n v="1"/>
    <n v="1"/>
    <n v="100"/>
    <x v="1"/>
  </r>
  <r>
    <x v="2"/>
    <s v="SainteLague"/>
    <n v="321"/>
    <n v="49082"/>
    <s v="[Qlik] - Incluir ECCS en Anal√≠tica Comercial"/>
    <x v="8"/>
    <x v="0"/>
    <x v="0"/>
    <s v="In Definition"/>
    <n v="14"/>
    <n v="0.03"/>
    <n v="1"/>
    <n v="1"/>
    <n v="1"/>
    <n v="100"/>
    <x v="1"/>
  </r>
  <r>
    <x v="2"/>
    <s v="SainteLague"/>
    <n v="322"/>
    <n v="78005"/>
    <s v="Nexus | We Care | Adaptation of Service Infrastructures | MVP"/>
    <x v="18"/>
    <x v="1"/>
    <x v="2"/>
    <s v="Backlog"/>
    <n v="6"/>
    <n v="3"/>
    <n v="5"/>
    <n v="5"/>
    <n v="5"/>
    <n v="5"/>
    <x v="1"/>
  </r>
  <r>
    <x v="2"/>
    <s v="SainteLague"/>
    <n v="323"/>
    <n v="65926"/>
    <s v="Evoluci√≥n portal de LastMile V.2"/>
    <x v="2"/>
    <x v="0"/>
    <x v="1"/>
    <s v="Backlog"/>
    <n v="46"/>
    <n v="0.03"/>
    <n v="1"/>
    <n v="1"/>
    <n v="1"/>
    <n v="100"/>
    <x v="1"/>
  </r>
  <r>
    <x v="2"/>
    <s v="SainteLague"/>
    <n v="324"/>
    <n v="98564"/>
    <s v="CCP | Commercial Catalog | Synchronization with SAP"/>
    <x v="7"/>
    <x v="1"/>
    <x v="3"/>
    <s v="Backlog"/>
    <n v="15"/>
    <n v="0.03"/>
    <n v="1"/>
    <n v="1"/>
    <n v="1"/>
    <n v="100"/>
    <x v="1"/>
  </r>
  <r>
    <x v="2"/>
    <s v="SainteLague"/>
    <n v="325"/>
    <n v="43537"/>
    <s v="[Evolutivos SGC Finanzas]  Funcionalidad &quot;Redireccionar servicios&quot; en Valoracion de servicios funciona parcialmente"/>
    <x v="21"/>
    <x v="0"/>
    <x v="2"/>
    <s v="Backlog"/>
    <n v="14"/>
    <n v="0.03"/>
    <n v="1"/>
    <n v="1"/>
    <n v="1"/>
    <n v="100"/>
    <x v="1"/>
  </r>
  <r>
    <x v="2"/>
    <s v="SainteLague"/>
    <n v="326"/>
    <n v="126931"/>
    <s v="Moneyball - Gest√£o de Consentimentos"/>
    <x v="13"/>
    <x v="1"/>
    <x v="0"/>
    <s v="Backlog"/>
    <n v="6"/>
    <n v="0.03"/>
    <n v="1"/>
    <n v="1"/>
    <n v="1"/>
    <n v="100"/>
    <x v="1"/>
  </r>
  <r>
    <x v="2"/>
    <s v="SainteLague"/>
    <n v="327"/>
    <n v="59126"/>
    <s v="Actualizaci√≥n de maestro de c√≥digos postales PT en nexus"/>
    <x v="6"/>
    <x v="0"/>
    <x v="3"/>
    <s v="Backlog"/>
    <n v="34"/>
    <n v="0.03"/>
    <n v="1"/>
    <n v="1"/>
    <n v="1"/>
    <n v="100"/>
    <x v="1"/>
  </r>
  <r>
    <x v="2"/>
    <s v="SainteLague"/>
    <n v="328"/>
    <n v="35445"/>
    <s v="Data Governance - Reference Data Management - MVP"/>
    <x v="20"/>
    <x v="1"/>
    <x v="2"/>
    <s v="High Level Design"/>
    <n v="6"/>
    <n v="0.03"/>
    <n v="1"/>
    <n v="1"/>
    <n v="1"/>
    <n v="100"/>
    <x v="1"/>
  </r>
  <r>
    <x v="2"/>
    <s v="SainteLague"/>
    <n v="329"/>
    <n v="59669"/>
    <s v="[User Endpoint API REST GET TRACKING] A√±adir organic_point_code cuando estados 2300 / 2310"/>
    <x v="22"/>
    <x v="0"/>
    <x v="0"/>
    <s v="Backlog"/>
    <n v="12"/>
    <n v="0.03"/>
    <n v="1"/>
    <n v="1"/>
    <n v="1"/>
    <n v="100"/>
    <x v="1"/>
  </r>
  <r>
    <x v="2"/>
    <s v="SainteLague"/>
    <n v="330"/>
    <n v="193041"/>
    <s v="BancoCTT - Redu√ß√£o hor√°rio Tesouraria | Automatiza√ß√£o do hor√°rio da senha D"/>
    <x v="12"/>
    <x v="1"/>
    <x v="3"/>
    <s v="Backlog"/>
    <n v="6"/>
    <n v="0.03"/>
    <n v="1"/>
    <n v="1"/>
    <n v="1"/>
    <n v="100"/>
    <x v="1"/>
  </r>
  <r>
    <x v="2"/>
    <s v="SainteLague"/>
    <n v="331"/>
    <n v="63175"/>
    <s v="Actualizaci√≥n Plan C"/>
    <x v="2"/>
    <x v="0"/>
    <x v="1"/>
    <s v="Ready for Solution"/>
    <n v="47"/>
    <n v="0.03"/>
    <n v="1"/>
    <n v="1"/>
    <n v="1"/>
    <n v="100"/>
    <x v="1"/>
  </r>
  <r>
    <x v="2"/>
    <s v="SainteLague"/>
    <n v="332"/>
    <n v="133470"/>
    <s v="Correio Inteligente - FTP para P&amp;F"/>
    <x v="1"/>
    <x v="1"/>
    <x v="0"/>
    <s v="Backlog"/>
    <n v="8"/>
    <n v="0.03"/>
    <n v="1"/>
    <n v="1"/>
    <n v="1"/>
    <n v="100"/>
    <x v="1"/>
  </r>
  <r>
    <x v="2"/>
    <s v="SainteLague"/>
    <n v="333"/>
    <n v="43583"/>
    <s v="[Nexus] [Producto] - OTP entrega segura"/>
    <x v="0"/>
    <x v="0"/>
    <x v="0"/>
    <s v="Ready for Solution"/>
    <n v="21"/>
    <n v="0.03"/>
    <n v="1"/>
    <n v="1"/>
    <n v="1"/>
    <n v="100"/>
    <x v="1"/>
  </r>
  <r>
    <x v="2"/>
    <s v="SainteLague"/>
    <n v="334"/>
    <n v="53828"/>
    <s v="Seguran√ßa da Informa√ß√£o - revis√£o anual 2025 de Pol√≠ticas e Normativos"/>
    <x v="14"/>
    <x v="1"/>
    <x v="4"/>
    <s v="Backlog"/>
    <n v="9"/>
    <n v="0.03"/>
    <n v="1"/>
    <n v="1"/>
    <n v="1"/>
    <n v="100"/>
    <x v="1"/>
  </r>
  <r>
    <x v="2"/>
    <s v="SainteLague"/>
    <n v="335"/>
    <n v="139789"/>
    <s v="Mejora portal proveedor"/>
    <x v="2"/>
    <x v="0"/>
    <x v="1"/>
    <s v="Backlog"/>
    <n v="48"/>
    <n v="4.5"/>
    <n v="2"/>
    <n v="5"/>
    <n v="2"/>
    <n v="2"/>
    <x v="1"/>
  </r>
  <r>
    <x v="2"/>
    <s v="SainteLague"/>
    <n v="336"/>
    <n v="125766"/>
    <s v="Evolutivas SAP FI Q1 2026"/>
    <x v="11"/>
    <x v="1"/>
    <x v="2"/>
    <s v="High Level Design"/>
    <n v="7"/>
    <n v="3"/>
    <n v="1"/>
    <n v="1"/>
    <n v="1"/>
    <n v="1"/>
    <x v="1"/>
  </r>
  <r>
    <x v="2"/>
    <s v="SainteLague"/>
    <n v="337"/>
    <n v="65260"/>
    <s v="Visualizaci√≥n de kil√≥metros en Qlik"/>
    <x v="28"/>
    <x v="0"/>
    <x v="2"/>
    <s v="Backlog"/>
    <n v="4"/>
    <n v="0.03"/>
    <n v="1"/>
    <n v="1"/>
    <n v="1"/>
    <n v="100"/>
    <x v="1"/>
  </r>
  <r>
    <x v="2"/>
    <s v="SainteLague"/>
    <n v="338"/>
    <n v="126772"/>
    <s v="Paperless - Guia expresso passar de 3 vias para 2, em apenas uma p√°gina"/>
    <x v="25"/>
    <x v="1"/>
    <x v="3"/>
    <s v="Backlog"/>
    <n v="6"/>
    <n v="0.03"/>
    <n v="1"/>
    <n v="1"/>
    <n v="1"/>
    <n v="100"/>
    <x v="1"/>
  </r>
  <r>
    <x v="2"/>
    <s v="SainteLague"/>
    <n v="339"/>
    <n v="46973"/>
    <s v="[Desconexi√≥n SGC] Evolutivo - Quitar topics SGC (control point, ship-v1,..)"/>
    <x v="6"/>
    <x v="0"/>
    <x v="3"/>
    <s v="Ready for Solution"/>
    <n v="35"/>
    <n v="0.03"/>
    <n v="1"/>
    <n v="1"/>
    <n v="1"/>
    <n v="100"/>
    <x v="1"/>
  </r>
  <r>
    <x v="2"/>
    <s v="SainteLague"/>
    <n v="340"/>
    <n v="138585"/>
    <s v="Mapear Contatos de Remetente p/ contactos CTT | Objetos DHL (Internacional Expresso)"/>
    <x v="9"/>
    <x v="1"/>
    <x v="0"/>
    <s v="In Definition"/>
    <n v="8"/>
    <n v="1.5"/>
    <n v="1"/>
    <n v="1"/>
    <n v="1"/>
    <n v="2"/>
    <x v="1"/>
  </r>
  <r>
    <x v="2"/>
    <s v="SainteLague"/>
    <n v="341"/>
    <n v="43586"/>
    <s v="[Minerva] - Permitir a ciertos perfiles Comerciales descargar los contratos en Word"/>
    <x v="8"/>
    <x v="0"/>
    <x v="0"/>
    <s v="In Definition"/>
    <n v="15"/>
    <n v="0.03"/>
    <n v="1"/>
    <n v="1"/>
    <n v="1"/>
    <n v="100"/>
    <x v="1"/>
  </r>
  <r>
    <x v="2"/>
    <s v="SainteLague"/>
    <n v="342"/>
    <n v="203901"/>
    <s v="Power Bi | CRM - Acesso a Informa√ß√£o do CRM atrav√©s do PowerBi"/>
    <x v="18"/>
    <x v="1"/>
    <x v="2"/>
    <s v="In Definition"/>
    <n v="7"/>
    <n v="2.3330000000000002"/>
    <n v="3"/>
    <n v="2"/>
    <n v="2"/>
    <n v="3"/>
    <x v="1"/>
  </r>
  <r>
    <x v="2"/>
    <s v="SainteLague"/>
    <n v="343"/>
    <n v="139670"/>
    <s v="Restringir la visibilidad usuarios"/>
    <x v="2"/>
    <x v="0"/>
    <x v="1"/>
    <s v="Backlog"/>
    <n v="50"/>
    <n v="3.5"/>
    <n v="3"/>
    <n v="2"/>
    <n v="2"/>
    <n v="2"/>
    <x v="1"/>
  </r>
  <r>
    <x v="2"/>
    <s v="SainteLague"/>
    <n v="344"/>
    <n v="127240"/>
    <s v="Fatura√ß√£o CORRE - Identifica√ß√£o do as-is e desenho do to-be"/>
    <x v="24"/>
    <x v="1"/>
    <x v="3"/>
    <s v="Backlog"/>
    <n v="6"/>
    <n v="4"/>
    <n v="2"/>
    <n v="3"/>
    <n v="3"/>
    <n v="2"/>
    <x v="1"/>
  </r>
  <r>
    <x v="2"/>
    <s v="SainteLague"/>
    <n v="345"/>
    <n v="49214"/>
    <s v="[Qlik Sense] Mapa de Red"/>
    <x v="4"/>
    <x v="0"/>
    <x v="2"/>
    <s v="In Definition"/>
    <n v="17"/>
    <n v="0.03"/>
    <n v="1"/>
    <n v="1"/>
    <n v="1"/>
    <n v="100"/>
    <x v="1"/>
  </r>
  <r>
    <x v="2"/>
    <s v="SainteLague"/>
    <n v="346"/>
    <n v="140414"/>
    <s v="Corporate Sites - Evolutivas - MAR e ABR 2026"/>
    <x v="23"/>
    <x v="1"/>
    <x v="0"/>
    <s v="Backlog"/>
    <n v="8"/>
    <n v="0.03"/>
    <n v="1"/>
    <n v="1"/>
    <n v="1"/>
    <n v="100"/>
    <x v="1"/>
  </r>
  <r>
    <x v="2"/>
    <s v="SainteLague"/>
    <n v="347"/>
    <n v="62456"/>
    <s v="Creaci√≥n Arquetipo .net"/>
    <x v="6"/>
    <x v="0"/>
    <x v="3"/>
    <s v="Ready for Solution"/>
    <n v="36"/>
    <n v="0.03"/>
    <n v="1"/>
    <n v="1"/>
    <n v="1"/>
    <n v="100"/>
    <x v="1"/>
  </r>
  <r>
    <x v="2"/>
    <s v="SainteLague"/>
    <n v="348"/>
    <n v="44675"/>
    <s v="GPB2C | Apartados - Adapta√ß√£o Tecnologia Locky e Otimiza√ß√£o de Recolha de Dados"/>
    <x v="29"/>
    <x v="1"/>
    <x v="0"/>
    <s v="Backlog"/>
    <n v="5"/>
    <n v="0.03"/>
    <n v="1"/>
    <n v="1"/>
    <n v="1"/>
    <n v="100"/>
    <x v="1"/>
  </r>
  <r>
    <x v="2"/>
    <s v="SainteLague"/>
    <n v="349"/>
    <n v="136233"/>
    <s v="Integracion Clientes Salesforce - Generacion automatica de claves de cognito para integracion Mapper"/>
    <x v="22"/>
    <x v="0"/>
    <x v="0"/>
    <s v="In Definition"/>
    <n v="13"/>
    <n v="0.03"/>
    <n v="1"/>
    <n v="1"/>
    <n v="1"/>
    <n v="100"/>
    <x v="1"/>
  </r>
  <r>
    <x v="2"/>
    <s v="SainteLague"/>
    <n v="350"/>
    <n v="126735"/>
    <s v="Data Cost Allocation Model by Business Area"/>
    <x v="20"/>
    <x v="1"/>
    <x v="2"/>
    <s v="Backlog"/>
    <n v="7"/>
    <n v="0.05"/>
    <n v="3"/>
    <n v="1"/>
    <n v="1"/>
    <n v="100"/>
    <x v="1"/>
  </r>
  <r>
    <x v="2"/>
    <s v="SainteLague"/>
    <n v="351"/>
    <n v="139449"/>
    <s v="Mejora control horario y ocultaci√≥n campos no registrables"/>
    <x v="2"/>
    <x v="0"/>
    <x v="1"/>
    <s v="Backlog"/>
    <n v="51"/>
    <n v="2.5"/>
    <n v="2"/>
    <n v="1"/>
    <n v="2"/>
    <n v="2"/>
    <x v="1"/>
  </r>
  <r>
    <x v="2"/>
    <s v="SainteLague"/>
    <n v="352"/>
    <n v="132298"/>
    <s v="Github Migration - Aplica√ß√µes Canais Digitais"/>
    <x v="7"/>
    <x v="1"/>
    <x v="3"/>
    <s v="In Approval"/>
    <n v="16"/>
    <n v="5"/>
    <n v="4"/>
    <n v="3"/>
    <n v="3"/>
    <n v="2"/>
    <x v="1"/>
  </r>
  <r>
    <x v="2"/>
    <s v="SainteLague"/>
    <n v="353"/>
    <n v="43557"/>
    <s v="[Evolutivos SGC Finanzas] Evolutivos SGC Finanzas - Adeudos ECCS a SGC+ automatizados y diarios"/>
    <x v="21"/>
    <x v="0"/>
    <x v="2"/>
    <s v="Pitch"/>
    <n v="15"/>
    <n v="0.03"/>
    <n v="1"/>
    <n v="1"/>
    <n v="1"/>
    <n v="100"/>
    <x v="1"/>
  </r>
  <r>
    <x v="2"/>
    <s v="SainteLague"/>
    <n v="354"/>
    <n v="95774"/>
    <s v="Altera√ß√µes nos Relat√≥rios do DEM para pagamentos MB WAY"/>
    <x v="17"/>
    <x v="1"/>
    <x v="0"/>
    <s v="In Definition"/>
    <n v="5"/>
    <n v="0.03"/>
    <n v="1"/>
    <n v="1"/>
    <n v="1"/>
    <n v="100"/>
    <x v="1"/>
  </r>
  <r>
    <x v="2"/>
    <s v="SainteLague"/>
    <n v="355"/>
    <n v="48131"/>
    <s v="Habilitar registro de incidencias &quot;Llegada por error&quot; y &quot;Mercanc√≠a no enlazada&quot; a trav√©s del c√≥digo de barras del sin√≥nimo."/>
    <x v="6"/>
    <x v="0"/>
    <x v="3"/>
    <s v="Ready for Solution"/>
    <n v="37"/>
    <n v="0.03"/>
    <n v="1"/>
    <n v="1"/>
    <n v="1"/>
    <n v="100"/>
    <x v="1"/>
  </r>
  <r>
    <x v="2"/>
    <s v="SainteLague"/>
    <n v="356"/>
    <n v="124133"/>
    <s v="Incremento ao processo de pagamento de faturas a fornecedores"/>
    <x v="11"/>
    <x v="1"/>
    <x v="2"/>
    <s v="Backlog"/>
    <n v="8"/>
    <n v="0.03"/>
    <n v="1"/>
    <n v="1"/>
    <n v="1"/>
    <n v="100"/>
    <x v="1"/>
  </r>
  <r>
    <x v="2"/>
    <s v="SainteLague"/>
    <n v="357"/>
    <n v="46944"/>
    <s v="[Nexus] [Producto] - Devoluci√≥n F√°cil /Easy Return (implantar el modelo de PT para las devoluciones)"/>
    <x v="0"/>
    <x v="0"/>
    <x v="0"/>
    <s v="Ready for Solution"/>
    <n v="22"/>
    <n v="0.03"/>
    <n v="1"/>
    <n v="1"/>
    <n v="1"/>
    <n v="100"/>
    <x v="1"/>
  </r>
  <r>
    <x v="2"/>
    <s v="SainteLague"/>
    <n v="358"/>
    <n v="138855"/>
    <s v="Redu√ß√£o de Custos em Cloud"/>
    <x v="7"/>
    <x v="1"/>
    <x v="3"/>
    <s v="In Definition"/>
    <n v="17"/>
    <n v="0.03"/>
    <n v="1"/>
    <n v="1"/>
    <n v="1"/>
    <n v="100"/>
    <x v="1"/>
  </r>
  <r>
    <x v="2"/>
    <s v="SainteLague"/>
    <n v="359"/>
    <n v="138211"/>
    <s v="INTEGRACI√ìN BEWOR"/>
    <x v="2"/>
    <x v="0"/>
    <x v="1"/>
    <s v="Backlog"/>
    <n v="52"/>
    <n v="0.03"/>
    <n v="1"/>
    <n v="1"/>
    <n v="1"/>
    <n v="100"/>
    <x v="1"/>
  </r>
  <r>
    <x v="2"/>
    <s v="SainteLague"/>
    <n v="360"/>
    <n v="174328"/>
    <s v="Nova plataforma para criar e gerir campanhas de publicidade"/>
    <x v="1"/>
    <x v="1"/>
    <x v="0"/>
    <s v="Backlog"/>
    <n v="9"/>
    <n v="0.03"/>
    <n v="1"/>
    <n v="1"/>
    <n v="1"/>
    <n v="100"/>
    <x v="1"/>
  </r>
  <r>
    <x v="2"/>
    <s v="SainteLague"/>
    <n v="361"/>
    <n v="64115"/>
    <s v="SLA S√°bados y Domingos"/>
    <x v="4"/>
    <x v="0"/>
    <x v="2"/>
    <s v="Backlog"/>
    <n v="18"/>
    <n v="0.03"/>
    <n v="1"/>
    <n v="1"/>
    <n v="1"/>
    <n v="100"/>
    <x v="1"/>
  </r>
  <r>
    <x v="2"/>
    <s v="SainteLague"/>
    <n v="362"/>
    <n v="126575"/>
    <s v="DLP (Data Loss Prevention) - Wave 2"/>
    <x v="14"/>
    <x v="1"/>
    <x v="4"/>
    <s v="Backlog"/>
    <n v="10"/>
    <n v="0.03"/>
    <n v="1"/>
    <n v="1"/>
    <n v="1"/>
    <n v="100"/>
    <x v="1"/>
  </r>
  <r>
    <x v="2"/>
    <s v="SainteLague"/>
    <n v="363"/>
    <n v="54162"/>
    <s v="[Desconexi√≥n SGC] Cambio Maestro de canalizaciones en COs"/>
    <x v="6"/>
    <x v="0"/>
    <x v="3"/>
    <s v="In Definition"/>
    <n v="38"/>
    <n v="0.03"/>
    <n v="1"/>
    <n v="1"/>
    <n v="1"/>
    <n v="100"/>
    <x v="1"/>
  </r>
  <r>
    <x v="2"/>
    <s v="SainteLague"/>
    <n v="364"/>
    <n v="51911"/>
    <s v="MPC | Integra√ß√£o Sprinklr no CRM | Melhorar Integra√ß√£o de mensagens"/>
    <x v="18"/>
    <x v="1"/>
    <x v="2"/>
    <s v="In Definition"/>
    <n v="8"/>
    <n v="2.3330000000000002"/>
    <n v="3"/>
    <n v="2"/>
    <n v="2"/>
    <n v="3"/>
    <x v="1"/>
  </r>
  <r>
    <x v="2"/>
    <s v="SainteLague"/>
    <n v="365"/>
    <n v="59700"/>
    <s v="[Nexus] - We Sell (Lead to Contract) - Signaturit en portugu√©s"/>
    <x v="8"/>
    <x v="0"/>
    <x v="0"/>
    <s v="In Definition"/>
    <n v="16"/>
    <n v="0.03"/>
    <n v="1"/>
    <n v="1"/>
    <n v="1"/>
    <n v="100"/>
    <x v="1"/>
  </r>
  <r>
    <x v="2"/>
    <s v="SainteLague"/>
    <n v="366"/>
    <n v="67870"/>
    <s v="BCTT - disponibiliza√ß√£o de logs via SFTP"/>
    <x v="12"/>
    <x v="1"/>
    <x v="3"/>
    <s v="Backlog"/>
    <n v="7"/>
    <n v="0.03"/>
    <n v="1"/>
    <n v="1"/>
    <n v="1"/>
    <n v="100"/>
    <x v="1"/>
  </r>
  <r>
    <x v="2"/>
    <s v="SainteLague"/>
    <n v="367"/>
    <n v="135447"/>
    <s v="Carga de direcciones en el historial"/>
    <x v="2"/>
    <x v="0"/>
    <x v="1"/>
    <s v="Backlog"/>
    <n v="53"/>
    <n v="0.03"/>
    <n v="1"/>
    <n v="1"/>
    <n v="1"/>
    <n v="100"/>
    <x v="1"/>
  </r>
  <r>
    <x v="2"/>
    <s v="SainteLague"/>
    <n v="368"/>
    <n v="105944"/>
    <s v="Expresso Internacional Premium | Disponibiliza√ß√£o do produto no segmento ocasional"/>
    <x v="9"/>
    <x v="1"/>
    <x v="0"/>
    <s v="In Definition"/>
    <n v="9"/>
    <n v="0.03"/>
    <n v="1"/>
    <n v="1"/>
    <n v="1"/>
    <n v="100"/>
    <x v="1"/>
  </r>
  <r>
    <x v="2"/>
    <s v="SainteLague"/>
    <n v="369"/>
    <n v="61260"/>
    <s v="[WebHook] - Cacesa"/>
    <x v="22"/>
    <x v="0"/>
    <x v="0"/>
    <s v="In Definition"/>
    <n v="14"/>
    <n v="0.03"/>
    <n v="1"/>
    <n v="1"/>
    <n v="1"/>
    <n v="100"/>
    <x v="1"/>
  </r>
  <r>
    <x v="2"/>
    <s v="SainteLague"/>
    <n v="370"/>
    <n v="70695"/>
    <s v="Nexus | Data | Group Data"/>
    <x v="20"/>
    <x v="1"/>
    <x v="2"/>
    <s v="In Definition"/>
    <n v="8"/>
    <n v="0.03"/>
    <n v="1"/>
    <n v="1"/>
    <n v="1"/>
    <n v="100"/>
    <x v="1"/>
  </r>
  <r>
    <x v="2"/>
    <s v="SainteLague"/>
    <n v="371"/>
    <n v="48388"/>
    <s v="Fichero interfase IGIC SGC-SAP"/>
    <x v="21"/>
    <x v="0"/>
    <x v="2"/>
    <s v="Ready for Solution"/>
    <n v="16"/>
    <n v="0.03"/>
    <n v="1"/>
    <n v="1"/>
    <n v="1"/>
    <n v="100"/>
    <x v="1"/>
  </r>
  <r>
    <x v="2"/>
    <s v="SainteLague"/>
    <n v="372"/>
    <n v="107975"/>
    <s v="Descontinua√ß√£o do winreg"/>
    <x v="25"/>
    <x v="1"/>
    <x v="3"/>
    <s v="Backlog"/>
    <n v="7"/>
    <n v="0.03"/>
    <n v="1"/>
    <n v="1"/>
    <n v="1"/>
    <n v="100"/>
    <x v="1"/>
  </r>
  <r>
    <x v="2"/>
    <s v="SainteLague"/>
    <n v="373"/>
    <n v="47194"/>
    <s v="[SGC] Actualizar protocolo de comunicaciones TLS"/>
    <x v="6"/>
    <x v="0"/>
    <x v="3"/>
    <s v="Ready for Solution"/>
    <n v="39"/>
    <n v="0.03"/>
    <n v="1"/>
    <n v="1"/>
    <n v="1"/>
    <n v="100"/>
    <x v="1"/>
  </r>
  <r>
    <x v="2"/>
    <s v="SainteLague"/>
    <n v="374"/>
    <n v="140404"/>
    <s v="Ecossistema B2C ‚Äì Evolutiva - MAR e ABR 2026"/>
    <x v="23"/>
    <x v="1"/>
    <x v="0"/>
    <s v="Backlog"/>
    <n v="9"/>
    <n v="2"/>
    <n v="3"/>
    <n v="2"/>
    <n v="1"/>
    <n v="3"/>
    <x v="1"/>
  </r>
  <r>
    <x v="2"/>
    <s v="SainteLague"/>
    <n v="375"/>
    <n v="58143"/>
    <s v="[Nexus-MVP] [Web de Clientes]  Visualizaci√≥n Indicadores y KPIs en web de clientes en base a la app de Qlik"/>
    <x v="0"/>
    <x v="0"/>
    <x v="0"/>
    <s v="Pitch"/>
    <n v="23"/>
    <n v="0.03"/>
    <n v="1"/>
    <n v="1"/>
    <n v="1"/>
    <n v="100"/>
    <x v="1"/>
  </r>
  <r>
    <x v="2"/>
    <s v="SainteLague"/>
    <n v="376"/>
    <n v="195972"/>
    <s v="Integra√ß√£o do ficheiro de pr√©-aviso do cliente ETCP / MEO com entrega direta em ponto"/>
    <x v="13"/>
    <x v="1"/>
    <x v="0"/>
    <s v="Backlog"/>
    <n v="7"/>
    <n v="0.03"/>
    <n v="1"/>
    <n v="1"/>
    <n v="1"/>
    <n v="100"/>
    <x v="1"/>
  </r>
  <r>
    <x v="2"/>
    <s v="SainteLague"/>
    <n v="377"/>
    <n v="52306"/>
    <s v="KPI &quot;D√≠as backlog env√≠os&quot; en app de an√°lisis de calidad del reparto"/>
    <x v="4"/>
    <x v="0"/>
    <x v="2"/>
    <s v="In Definition"/>
    <n v="19"/>
    <n v="0.03"/>
    <n v="1"/>
    <n v="1"/>
    <n v="1"/>
    <n v="100"/>
    <x v="1"/>
  </r>
  <r>
    <x v="2"/>
    <s v="SainteLague"/>
    <n v="378"/>
    <n v="50788"/>
    <s v="CESOP - Reporte Regulat√≥rio AT"/>
    <x v="11"/>
    <x v="1"/>
    <x v="2"/>
    <s v="Backlog"/>
    <n v="9"/>
    <n v="0.03"/>
    <n v="1"/>
    <n v="1"/>
    <n v="1"/>
    <n v="100"/>
    <x v="1"/>
  </r>
  <r>
    <x v="2"/>
    <s v="SainteLague"/>
    <n v="379"/>
    <n v="43648"/>
    <s v="Estabilidad‚Äã - Migraci√≥n¬†Conflluent‚Äã"/>
    <x v="6"/>
    <x v="0"/>
    <x v="3"/>
    <s v="Backlog"/>
    <n v="40"/>
    <n v="0.03"/>
    <n v="1"/>
    <n v="1"/>
    <n v="1"/>
    <n v="100"/>
    <x v="1"/>
  </r>
  <r>
    <x v="2"/>
    <s v="SainteLague"/>
    <n v="380"/>
    <n v="137512"/>
    <s v="Integra√ß√£o - Migra√ß√£o ADO2GitHub - Kafka Conectors"/>
    <x v="7"/>
    <x v="1"/>
    <x v="3"/>
    <s v="Ready for Solution"/>
    <n v="18"/>
    <n v="0.03"/>
    <n v="1"/>
    <n v="1"/>
    <n v="1"/>
    <n v="100"/>
    <x v="1"/>
  </r>
  <r>
    <x v="2"/>
    <s v="SainteLague"/>
    <n v="381"/>
    <n v="44470"/>
    <s v="Qlik - Estado de Venta"/>
    <x v="8"/>
    <x v="0"/>
    <x v="0"/>
    <s v="In Definition"/>
    <n v="17"/>
    <n v="0.03"/>
    <n v="1"/>
    <n v="1"/>
    <n v="1"/>
    <n v="100"/>
    <x v="1"/>
  </r>
  <r>
    <x v="2"/>
    <s v="SainteLague"/>
    <n v="382"/>
    <n v="50095"/>
    <s v="Cria√ß√£o Portal Parceiro"/>
    <x v="27"/>
    <x v="1"/>
    <x v="0"/>
    <s v="Backlog"/>
    <n v="6"/>
    <n v="0.03"/>
    <n v="1"/>
    <n v="1"/>
    <n v="1"/>
    <n v="100"/>
    <x v="1"/>
  </r>
  <r>
    <x v="2"/>
    <s v="SainteLague"/>
    <n v="383"/>
    <n v="43546"/>
    <s v="[Evolutivos SGC Finanzas] Generacion de documentos por master + grupo procesamiento (filtro)"/>
    <x v="21"/>
    <x v="0"/>
    <x v="2"/>
    <s v="Backlog"/>
    <n v="17"/>
    <n v="0.03"/>
    <n v="1"/>
    <n v="1"/>
    <n v="1"/>
    <n v="100"/>
    <x v="1"/>
  </r>
  <r>
    <x v="2"/>
    <s v="SainteLague"/>
    <n v="384"/>
    <n v="39126"/>
    <s v="Novas funcionalidades no PA- AVC"/>
    <x v="18"/>
    <x v="1"/>
    <x v="2"/>
    <s v="Backlog"/>
    <n v="9"/>
    <n v="2.3330000000000002"/>
    <n v="3"/>
    <n v="2"/>
    <n v="2"/>
    <n v="3"/>
    <x v="1"/>
  </r>
  <r>
    <x v="2"/>
    <s v="SainteLague"/>
    <n v="385"/>
    <n v="59404"/>
    <s v="[Tech] [Desconexi√≥n SGC] Desconexi√≥n API WebTracking a Item-history (bitacora)"/>
    <x v="6"/>
    <x v="0"/>
    <x v="3"/>
    <s v="Ready for Solution"/>
    <n v="41"/>
    <n v="0.03"/>
    <n v="1"/>
    <n v="1"/>
    <n v="1"/>
    <n v="100"/>
    <x v="1"/>
  </r>
  <r>
    <x v="2"/>
    <s v="SainteLague"/>
    <n v="386"/>
    <n v="140431"/>
    <s v="Novo Catalogo de Aplica√ß√µes (Atlas 2.0)"/>
    <x v="7"/>
    <x v="1"/>
    <x v="3"/>
    <s v="Backlog"/>
    <n v="19"/>
    <n v="0.03"/>
    <n v="1"/>
    <n v="1"/>
    <n v="1"/>
    <n v="100"/>
    <x v="1"/>
  </r>
  <r>
    <x v="2"/>
    <s v="SainteLague"/>
    <n v="387"/>
    <n v="54222"/>
    <s v="Ficheros DataTrans sin CP origen"/>
    <x v="22"/>
    <x v="0"/>
    <x v="0"/>
    <s v="Backlog"/>
    <n v="15"/>
    <n v="0.03"/>
    <n v="1"/>
    <n v="1"/>
    <n v="1"/>
    <n v="100"/>
    <x v="1"/>
  </r>
  <r>
    <x v="2"/>
    <s v="SainteLague"/>
    <n v="388"/>
    <n v="125912"/>
    <s v="Servi√ßo de envio de emails sediado na europa"/>
    <x v="1"/>
    <x v="1"/>
    <x v="0"/>
    <s v="Backlog"/>
    <n v="10"/>
    <n v="3.5"/>
    <n v="2"/>
    <n v="2"/>
    <n v="3"/>
    <n v="2"/>
    <x v="1"/>
  </r>
  <r>
    <x v="2"/>
    <s v="SainteLague"/>
    <n v="389"/>
    <n v="60294"/>
    <s v="Maestro festivos provinciales en c√°lculos de fechas de compromiso"/>
    <x v="4"/>
    <x v="0"/>
    <x v="2"/>
    <s v="Ready for Solution"/>
    <n v="20"/>
    <n v="0.03"/>
    <n v="1"/>
    <n v="1"/>
    <n v="1"/>
    <n v="100"/>
    <x v="1"/>
  </r>
  <r>
    <x v="2"/>
    <s v="SainteLague"/>
    <n v="390"/>
    <n v="188737"/>
    <s v="Nexus | Data | Nexus Data"/>
    <x v="20"/>
    <x v="1"/>
    <x v="2"/>
    <s v="In Definition"/>
    <n v="9"/>
    <n v="0.03"/>
    <n v="1"/>
    <n v="1"/>
    <n v="1"/>
    <n v="100"/>
    <x v="1"/>
  </r>
  <r>
    <x v="2"/>
    <s v="SainteLague"/>
    <n v="391"/>
    <n v="52992"/>
    <s v="[Desconexi√≥n SGC] Migraci√≥n exportaci√≥n de informes de SGC a Cloud"/>
    <x v="6"/>
    <x v="0"/>
    <x v="3"/>
    <s v="Backlog"/>
    <n v="42"/>
    <n v="0.03"/>
    <n v="1"/>
    <n v="1"/>
    <n v="1"/>
    <n v="100"/>
    <x v="1"/>
  </r>
  <r>
    <x v="2"/>
    <s v="SainteLague"/>
    <n v="392"/>
    <n v="126585"/>
    <s v="Renova√ß√£o Firewalls Per√≠metro - CheckPoint"/>
    <x v="7"/>
    <x v="1"/>
    <x v="3"/>
    <s v="In Definition"/>
    <n v="20"/>
    <n v="6"/>
    <n v="5"/>
    <n v="2"/>
    <n v="5"/>
    <n v="2"/>
    <x v="1"/>
  </r>
  <r>
    <x v="2"/>
    <s v="SainteLague"/>
    <n v="393"/>
    <n v="58472"/>
    <s v="[Nexus-MVP] [Web de Clientes] Gesti√≥n Consumibles"/>
    <x v="0"/>
    <x v="0"/>
    <x v="0"/>
    <s v="Pitch"/>
    <n v="24"/>
    <n v="0.03"/>
    <n v="1"/>
    <n v="1"/>
    <n v="1"/>
    <n v="100"/>
    <x v="1"/>
  </r>
  <r>
    <x v="2"/>
    <s v="SainteLague"/>
    <n v="394"/>
    <n v="126166"/>
    <s v="Produto Internacional Expresso | Permitir envio de bens para os EUA segmento ocasional"/>
    <x v="9"/>
    <x v="1"/>
    <x v="0"/>
    <s v="In Definition"/>
    <n v="10"/>
    <n v="10"/>
    <n v="4"/>
    <n v="3"/>
    <n v="3"/>
    <n v="1"/>
    <x v="1"/>
  </r>
  <r>
    <x v="2"/>
    <s v="SainteLague"/>
    <n v="395"/>
    <n v="44497"/>
    <s v="Qlik - Anal√≠tica Comercial - Clientes Activos"/>
    <x v="8"/>
    <x v="0"/>
    <x v="0"/>
    <s v="In Definition"/>
    <n v="18"/>
    <n v="0.03"/>
    <n v="1"/>
    <n v="1"/>
    <n v="1"/>
    <n v="100"/>
    <x v="1"/>
  </r>
  <r>
    <x v="2"/>
    <s v="SainteLague"/>
    <n v="396"/>
    <n v="88638"/>
    <s v="Novo modelo de integra√ß√£o SAP SF com Paynest"/>
    <x v="11"/>
    <x v="1"/>
    <x v="2"/>
    <s v="Backlog"/>
    <n v="10"/>
    <n v="0.03"/>
    <n v="1"/>
    <n v="1"/>
    <n v="1"/>
    <n v="100"/>
    <x v="1"/>
  </r>
  <r>
    <x v="2"/>
    <s v="SainteLague"/>
    <n v="397"/>
    <n v="43525"/>
    <s v="[Evolutivos SGC Finanzas] Posibilidad de filtrar en Valoracion de servicios por Microservicio de Tasaci√≥n &quot;Proceso SINO&quot;"/>
    <x v="21"/>
    <x v="0"/>
    <x v="2"/>
    <s v="Backlog"/>
    <n v="18"/>
    <n v="0.03"/>
    <n v="1"/>
    <n v="1"/>
    <n v="1"/>
    <n v="100"/>
    <x v="1"/>
  </r>
  <r>
    <x v="2"/>
    <s v="SainteLague"/>
    <n v="398"/>
    <n v="58133"/>
    <s v="BCTT - extens√£o do contrato de multifun√ß√µes a 321 credito"/>
    <x v="12"/>
    <x v="1"/>
    <x v="3"/>
    <s v="In Definition"/>
    <n v="8"/>
    <n v="0.03"/>
    <n v="1"/>
    <n v="1"/>
    <n v="1"/>
    <n v="100"/>
    <x v="1"/>
  </r>
  <r>
    <x v="2"/>
    <s v="SainteLague"/>
    <n v="399"/>
    <n v="52038"/>
    <s v="[Desconexi√≥n SGC] [Auditoria PT]  Controles para garantizar la integraci√≥n correcta de la informaci√≥n entre microservicio &quot;Manifiestos&quot; y SGC"/>
    <x v="6"/>
    <x v="0"/>
    <x v="3"/>
    <s v="Backlog"/>
    <n v="43"/>
    <n v="0.03"/>
    <n v="1"/>
    <n v="1"/>
    <n v="1"/>
    <n v="100"/>
    <x v="1"/>
  </r>
  <r>
    <x v="2"/>
    <s v="SainteLague"/>
    <n v="400"/>
    <n v="48167"/>
    <s v="GPB2C | Via Verde ‚Äì Reposit√≥rio de informa√ß√£o"/>
    <x v="29"/>
    <x v="1"/>
    <x v="0"/>
    <s v="Backlog"/>
    <n v="6"/>
    <n v="0.03"/>
    <n v="1"/>
    <n v="1"/>
    <n v="1"/>
    <n v="100"/>
    <x v="1"/>
  </r>
  <r>
    <x v="2"/>
    <s v="SainteLague"/>
    <n v="401"/>
    <n v="53473"/>
    <s v="Manifest errores de carga en c√≥digos postales."/>
    <x v="22"/>
    <x v="0"/>
    <x v="0"/>
    <s v="Backlog"/>
    <n v="16"/>
    <n v="0.03"/>
    <n v="1"/>
    <n v="1"/>
    <n v="1"/>
    <n v="100"/>
    <x v="1"/>
  </r>
  <r>
    <x v="2"/>
    <s v="SainteLague"/>
    <n v="402"/>
    <n v="81605"/>
    <s v="DUC - Relat√≥rio Mensal de Pagamentos de Impostos com Cart√£o MB"/>
    <x v="17"/>
    <x v="1"/>
    <x v="0"/>
    <s v="In Definition"/>
    <n v="6"/>
    <n v="0.03"/>
    <n v="1"/>
    <n v="1"/>
    <n v="1"/>
    <n v="100"/>
    <x v="1"/>
  </r>
  <r>
    <x v="2"/>
    <s v="SainteLague"/>
    <n v="403"/>
    <n v="64410"/>
    <s v="Implantaci√≥n con empresa externa de software para la medici√≥n de la Huella de Carbono"/>
    <x v="28"/>
    <x v="0"/>
    <x v="2"/>
    <s v="Backlog"/>
    <n v="5"/>
    <n v="0.03"/>
    <n v="1"/>
    <n v="1"/>
    <n v="1"/>
    <n v="100"/>
    <x v="1"/>
  </r>
  <r>
    <x v="2"/>
    <s v="SainteLague"/>
    <n v="404"/>
    <n v="50544"/>
    <s v="Avalia√ß√£o de Novo Software de Contact Center"/>
    <x v="18"/>
    <x v="1"/>
    <x v="2"/>
    <s v="Backlog"/>
    <n v="10"/>
    <n v="2.3330000000000002"/>
    <n v="3"/>
    <n v="2"/>
    <n v="2"/>
    <n v="3"/>
    <x v="1"/>
  </r>
  <r>
    <x v="2"/>
    <s v="SainteLague"/>
    <n v="405"/>
    <n v="59333"/>
    <s v="crear plantilla de colecciones de mongodb"/>
    <x v="6"/>
    <x v="0"/>
    <x v="3"/>
    <s v="Backlog"/>
    <n v="44"/>
    <n v="0.03"/>
    <n v="1"/>
    <n v="1"/>
    <n v="1"/>
    <n v="100"/>
    <x v="1"/>
  </r>
  <r>
    <x v="2"/>
    <s v="SainteLague"/>
    <n v="406"/>
    <n v="100104"/>
    <s v="SGEE - Descontinua√ß√£o FTP"/>
    <x v="25"/>
    <x v="1"/>
    <x v="3"/>
    <s v="Backlog"/>
    <n v="8"/>
    <n v="0.03"/>
    <n v="1"/>
    <n v="1"/>
    <n v="1"/>
    <n v="100"/>
    <x v="1"/>
  </r>
  <r>
    <x v="2"/>
    <s v="SainteLague"/>
    <n v="407"/>
    <n v="56880"/>
    <s v="[Minerva]- Modelo Tarifario Densidades Zoning Actual"/>
    <x v="0"/>
    <x v="0"/>
    <x v="0"/>
    <s v="In Definition"/>
    <n v="25"/>
    <n v="0.03"/>
    <n v="1"/>
    <n v="1"/>
    <n v="1"/>
    <n v="100"/>
    <x v="1"/>
  </r>
  <r>
    <x v="2"/>
    <s v="SainteLague"/>
    <n v="408"/>
    <n v="107435"/>
    <s v="Novo Aceita√ß√£o imediata de objetos expresso em lockerProjeto"/>
    <x v="13"/>
    <x v="1"/>
    <x v="0"/>
    <s v="Backlog"/>
    <n v="8"/>
    <n v="0.03"/>
    <n v="1"/>
    <n v="1"/>
    <n v="1"/>
    <n v="100"/>
    <x v="1"/>
  </r>
  <r>
    <x v="2"/>
    <s v="SainteLague"/>
    <n v="409"/>
    <n v="46164"/>
    <s v="[Salesforce]‚Äã - Reexpedir -recanalizar- y destruir un env√≠o por parte del equipo de ATC"/>
    <x v="4"/>
    <x v="0"/>
    <x v="2"/>
    <s v="In Definition"/>
    <n v="21"/>
    <n v="0.03"/>
    <n v="1"/>
    <n v="1"/>
    <n v="1"/>
    <n v="100"/>
    <x v="1"/>
  </r>
  <r>
    <x v="2"/>
    <s v="SainteLague"/>
    <n v="410"/>
    <n v="205107"/>
    <s v="Data Governance - Data Lineage"/>
    <x v="20"/>
    <x v="1"/>
    <x v="2"/>
    <s v="Backlog"/>
    <n v="10"/>
    <n v="0.03"/>
    <n v="1"/>
    <n v="1"/>
    <n v="1"/>
    <n v="100"/>
    <x v="1"/>
  </r>
  <r>
    <x v="2"/>
    <s v="SainteLague"/>
    <n v="411"/>
    <n v="59334"/>
    <s v="crear indice atlas search"/>
    <x v="6"/>
    <x v="0"/>
    <x v="3"/>
    <s v="Backlog"/>
    <n v="45"/>
    <n v="0.03"/>
    <n v="1"/>
    <n v="1"/>
    <n v="1"/>
    <n v="100"/>
    <x v="1"/>
  </r>
  <r>
    <x v="2"/>
    <s v="SainteLague"/>
    <n v="412"/>
    <n v="132060"/>
    <s v="Migra√ß√£o ADO2GitHub - Pipelines CRM"/>
    <x v="7"/>
    <x v="1"/>
    <x v="3"/>
    <s v="Ready for Solution"/>
    <n v="21"/>
    <n v="8"/>
    <n v="2"/>
    <n v="3"/>
    <n v="3"/>
    <n v="1"/>
    <x v="1"/>
  </r>
  <r>
    <x v="2"/>
    <s v="SainteLague"/>
    <n v="413"/>
    <n v="62979"/>
    <s v="[Salesforce Maps] - Nuevas funcionalidades (Fase 3)"/>
    <x v="8"/>
    <x v="0"/>
    <x v="0"/>
    <s v="In Definition"/>
    <n v="19"/>
    <n v="0.03"/>
    <n v="1"/>
    <n v="1"/>
    <n v="1"/>
    <n v="100"/>
    <x v="1"/>
  </r>
  <r>
    <x v="2"/>
    <s v="SainteLague"/>
    <n v="414"/>
    <n v="70559"/>
    <s v="Controlo dos Subadiantamentos (numer√°rio) ‚Äì c√≥d. 011 - Auditoria REC/ARC 2024_1399"/>
    <x v="27"/>
    <x v="1"/>
    <x v="0"/>
    <s v="Backlog"/>
    <n v="7"/>
    <n v="0.03"/>
    <n v="1"/>
    <n v="1"/>
    <n v="1"/>
    <n v="100"/>
    <x v="1"/>
  </r>
  <r>
    <x v="2"/>
    <s v="SainteLague"/>
    <n v="415"/>
    <n v="45298"/>
    <s v="[Evolutivos Minerva] Zonificacion PT detallada (combinaciones PTC-PTI/PTI-PTI) (Valorar por MKT)"/>
    <x v="21"/>
    <x v="0"/>
    <x v="2"/>
    <s v="Backlog"/>
    <n v="19"/>
    <n v="0.03"/>
    <n v="1"/>
    <n v="1"/>
    <n v="1"/>
    <n v="100"/>
    <x v="1"/>
  </r>
  <r>
    <x v="2"/>
    <s v="SainteLague"/>
    <n v="416"/>
    <n v="69337"/>
    <s v="Confirming 2.0"/>
    <x v="11"/>
    <x v="1"/>
    <x v="2"/>
    <s v="Backlog"/>
    <n v="11"/>
    <n v="0.03"/>
    <n v="1"/>
    <n v="1"/>
    <n v="1"/>
    <n v="100"/>
    <x v="1"/>
  </r>
  <r>
    <x v="2"/>
    <s v="SainteLague"/>
    <n v="417"/>
    <n v="56900"/>
    <s v="Dise√±ar flujos de Trabajo IA - React"/>
    <x v="6"/>
    <x v="0"/>
    <x v="3"/>
    <s v="Backlog"/>
    <n v="46"/>
    <n v="0.03"/>
    <n v="1"/>
    <n v="1"/>
    <n v="1"/>
    <n v="100"/>
    <x v="1"/>
  </r>
  <r>
    <x v="2"/>
    <s v="SainteLague"/>
    <n v="418"/>
    <n v="132222"/>
    <s v="CCP | Migrate from .Net 8 to .Net 10"/>
    <x v="7"/>
    <x v="1"/>
    <x v="3"/>
    <s v="Backlog"/>
    <n v="22"/>
    <n v="0.03"/>
    <n v="1"/>
    <n v="1"/>
    <n v="1"/>
    <n v="100"/>
    <x v="1"/>
  </r>
  <r>
    <x v="2"/>
    <s v="SainteLague"/>
    <n v="419"/>
    <n v="66112"/>
    <s v="[ESTADOS] - Mostrar a clientes el mismo evento/estado sucesivo ocurrido en dias distintos"/>
    <x v="22"/>
    <x v="0"/>
    <x v="0"/>
    <s v="Backlog"/>
    <n v="17"/>
    <n v="0.03"/>
    <n v="1"/>
    <n v="1"/>
    <n v="1"/>
    <n v="100"/>
    <x v="1"/>
  </r>
  <r>
    <x v="2"/>
    <s v="SainteLague"/>
    <n v="420"/>
    <n v="140430"/>
    <s v="Packs de Envio ‚Äì Evolu√ß√£o Integrada do Servi√ßo"/>
    <x v="1"/>
    <x v="1"/>
    <x v="0"/>
    <s v="Backlog"/>
    <n v="11"/>
    <n v="0.03"/>
    <n v="1"/>
    <n v="1"/>
    <n v="1"/>
    <n v="100"/>
    <x v="1"/>
  </r>
  <r>
    <x v="2"/>
    <s v="SainteLague"/>
    <n v="421"/>
    <n v="49432"/>
    <s v="[Nexus] [Notificaciones] - Notificaciones ibericas"/>
    <x v="0"/>
    <x v="0"/>
    <x v="0"/>
    <s v="Ready for Solution"/>
    <n v="26"/>
    <n v="3"/>
    <n v="3"/>
    <n v="1"/>
    <n v="2"/>
    <n v="2"/>
    <x v="1"/>
  </r>
  <r>
    <x v="2"/>
    <s v="SainteLague"/>
    <n v="422"/>
    <n v="137662"/>
    <s v="Teste ASC Epic Title (ex initiative)"/>
    <x v="18"/>
    <x v="1"/>
    <x v="2"/>
    <s v="Backlog"/>
    <n v="11"/>
    <n v="2.3330000000000002"/>
    <n v="3"/>
    <n v="2"/>
    <n v="2"/>
    <n v="3"/>
    <x v="1"/>
  </r>
  <r>
    <x v="2"/>
    <s v="SainteLague"/>
    <n v="423"/>
    <n v="46675"/>
    <s v="[Desconexi√≥n SGC] [QLIK] Calidad de Recogidas App QLIK"/>
    <x v="4"/>
    <x v="0"/>
    <x v="2"/>
    <s v="Backlog"/>
    <n v="22"/>
    <n v="0.03"/>
    <n v="1"/>
    <n v="1"/>
    <n v="1"/>
    <n v="100"/>
    <x v="1"/>
  </r>
  <r>
    <x v="2"/>
    <s v="SainteLague"/>
    <n v="424"/>
    <n v="132220"/>
    <s v="ESW | Create code reviewer AI agent"/>
    <x v="7"/>
    <x v="1"/>
    <x v="3"/>
    <s v="Backlog"/>
    <n v="23"/>
    <n v="0.03"/>
    <n v="1"/>
    <n v="1"/>
    <n v="1"/>
    <n v="100"/>
    <x v="1"/>
  </r>
  <r>
    <x v="2"/>
    <s v="SainteLague"/>
    <n v="425"/>
    <n v="56901"/>
    <s v="Analisis protocolos MCP para integraci√≥n de clientes"/>
    <x v="6"/>
    <x v="0"/>
    <x v="3"/>
    <s v="Backlog"/>
    <n v="47"/>
    <n v="0.03"/>
    <n v="1"/>
    <n v="1"/>
    <n v="1"/>
    <n v="100"/>
    <x v="1"/>
  </r>
  <r>
    <x v="2"/>
    <s v="SainteLague"/>
    <n v="426"/>
    <n v="138225"/>
    <s v="GPECL/INT - Interconnect | Disponibilizar Easy Return Solution Premium (ERS) - Authorising Party"/>
    <x v="9"/>
    <x v="1"/>
    <x v="0"/>
    <s v="Backlog"/>
    <n v="11"/>
    <n v="0.03"/>
    <n v="1"/>
    <n v="1"/>
    <n v="1"/>
    <n v="100"/>
    <x v="1"/>
  </r>
  <r>
    <x v="2"/>
    <s v="SainteLague"/>
    <n v="427"/>
    <n v="47352"/>
    <s v="[Minerva] - Servicios adicionales gestionables por el equipo Comercial en la creaci√≥n de una oferta"/>
    <x v="8"/>
    <x v="0"/>
    <x v="0"/>
    <s v="Backlog"/>
    <n v="20"/>
    <n v="0.03"/>
    <n v="1"/>
    <n v="1"/>
    <n v="1"/>
    <n v="100"/>
    <x v="1"/>
  </r>
  <r>
    <x v="2"/>
    <s v="SainteLague"/>
    <n v="428"/>
    <n v="54059"/>
    <s v="Pay I Cart√µes e Terminais incremento 2"/>
    <x v="13"/>
    <x v="1"/>
    <x v="0"/>
    <s v="In Definition"/>
    <n v="9"/>
    <n v="0.03"/>
    <n v="1"/>
    <n v="1"/>
    <n v="1"/>
    <n v="100"/>
    <x v="1"/>
  </r>
  <r>
    <x v="2"/>
    <s v="SainteLague"/>
    <n v="429"/>
    <n v="43552"/>
    <s v="[Evolutivos Minerva] Tarifas unicas por grupos de varios clientes (multicuentas asociadas incluso en diferentes CO's) (Validar por Herramientas Comerciales)"/>
    <x v="21"/>
    <x v="0"/>
    <x v="2"/>
    <s v="Backlog"/>
    <n v="20"/>
    <n v="0.03"/>
    <n v="1"/>
    <n v="1"/>
    <n v="1"/>
    <n v="100"/>
    <x v="1"/>
  </r>
  <r>
    <x v="2"/>
    <s v="SainteLague"/>
    <n v="430"/>
    <n v="68267"/>
    <s v="Descontinuar Grafana Dados"/>
    <x v="20"/>
    <x v="1"/>
    <x v="2"/>
    <s v="Backlog"/>
    <n v="11"/>
    <n v="0.03"/>
    <n v="1"/>
    <n v="1"/>
    <n v="1"/>
    <n v="100"/>
    <x v="1"/>
  </r>
  <r>
    <x v="2"/>
    <s v="SainteLague"/>
    <n v="431"/>
    <n v="58269"/>
    <s v="Autodocumentacion Integraci√≥n Mulesoft con IA"/>
    <x v="6"/>
    <x v="0"/>
    <x v="3"/>
    <s v="Backlog"/>
    <n v="48"/>
    <n v="0.03"/>
    <n v="1"/>
    <n v="1"/>
    <n v="1"/>
    <n v="100"/>
    <x v="1"/>
  </r>
  <r>
    <x v="2"/>
    <s v="SainteLague"/>
    <n v="432"/>
    <n v="70015"/>
    <s v="BCTT - renova√ß√£o de equipamentos lojas especializadas"/>
    <x v="12"/>
    <x v="1"/>
    <x v="3"/>
    <s v="Backlog"/>
    <n v="9"/>
    <n v="0.03"/>
    <n v="1"/>
    <n v="1"/>
    <n v="1"/>
    <n v="100"/>
    <x v="1"/>
  </r>
  <r>
    <x v="2"/>
    <s v="SainteLague"/>
    <n v="433"/>
    <n v="62973"/>
    <s v="Migracion Metodo WS GetServiceEvents de SGC a Cloud (Dupla)"/>
    <x v="22"/>
    <x v="0"/>
    <x v="0"/>
    <s v="Ready for Solution"/>
    <n v="18"/>
    <n v="0.03"/>
    <n v="1"/>
    <n v="1"/>
    <n v="1"/>
    <n v="100"/>
    <x v="1"/>
  </r>
  <r>
    <x v="2"/>
    <s v="SainteLague"/>
    <n v="434"/>
    <n v="140781"/>
    <s v="Redu√ß√£o de Taxa de Avisados com Melhoria de Dados de Contacto"/>
    <x v="1"/>
    <x v="1"/>
    <x v="0"/>
    <s v="Backlog"/>
    <n v="12"/>
    <n v="0.03"/>
    <n v="1"/>
    <n v="1"/>
    <n v="1"/>
    <n v="100"/>
    <x v="1"/>
  </r>
  <r>
    <x v="2"/>
    <s v="SainteLague"/>
    <n v="435"/>
    <n v="44473"/>
    <s v="[Qlik] - Nprinting - Informe efectividad de red"/>
    <x v="4"/>
    <x v="0"/>
    <x v="2"/>
    <s v="In Definition"/>
    <n v="23"/>
    <n v="0.03"/>
    <n v="1"/>
    <n v="1"/>
    <n v="1"/>
    <n v="100"/>
    <x v="1"/>
  </r>
  <r>
    <x v="2"/>
    <s v="SainteLague"/>
    <n v="436"/>
    <n v="69341"/>
    <s v="Otimiza√ß√£o CRB"/>
    <x v="11"/>
    <x v="1"/>
    <x v="2"/>
    <s v="Backlog"/>
    <n v="12"/>
    <n v="0.03"/>
    <n v="1"/>
    <n v="1"/>
    <n v="1"/>
    <n v="100"/>
    <x v="1"/>
  </r>
  <r>
    <x v="2"/>
    <s v="SainteLague"/>
    <n v="437"/>
    <n v="61101"/>
    <s v="Creaci√≥n arquetipo desarrollo React"/>
    <x v="6"/>
    <x v="0"/>
    <x v="3"/>
    <s v="Backlog"/>
    <n v="49"/>
    <n v="0.03"/>
    <n v="1"/>
    <n v="1"/>
    <n v="1"/>
    <n v="100"/>
    <x v="1"/>
  </r>
  <r>
    <x v="2"/>
    <s v="SainteLague"/>
    <n v="438"/>
    <n v="100094"/>
    <s v="SRP - Descontinua√ß√£o FTP"/>
    <x v="25"/>
    <x v="1"/>
    <x v="3"/>
    <s v="Backlog"/>
    <n v="9"/>
    <n v="0.03"/>
    <n v="1"/>
    <n v="1"/>
    <n v="1"/>
    <n v="100"/>
    <x v="1"/>
  </r>
  <r>
    <x v="2"/>
    <s v="SainteLague"/>
    <n v="439"/>
    <n v="43509"/>
    <s v="[Producto] - Modelo Tarifario/Operativa Broker + TOF (Minerva C)"/>
    <x v="0"/>
    <x v="0"/>
    <x v="0"/>
    <s v="In Definition"/>
    <n v="27"/>
    <n v="0.03"/>
    <n v="1"/>
    <n v="1"/>
    <n v="1"/>
    <n v="100"/>
    <x v="1"/>
  </r>
  <r>
    <x v="2"/>
    <s v="SainteLague"/>
    <n v="440"/>
    <n v="138419"/>
    <s v="Envios OLX | Retirar Certificado de Aceita√ß√£o"/>
    <x v="9"/>
    <x v="1"/>
    <x v="0"/>
    <s v="Backlog"/>
    <n v="12"/>
    <n v="0.05"/>
    <n v="3"/>
    <n v="1"/>
    <n v="1"/>
    <n v="100"/>
    <x v="1"/>
  </r>
  <r>
    <x v="2"/>
    <s v="SainteLague"/>
    <n v="441"/>
    <n v="43555"/>
    <s v="Web Clientes‚Äã - Detalles Excel con y sin Densidades (Espa√±ol-Ingles), Personalizables por el propio cliente en PortalCliente y en Finanzas"/>
    <x v="21"/>
    <x v="0"/>
    <x v="2"/>
    <s v="Backlog"/>
    <n v="21"/>
    <n v="0.03"/>
    <n v="1"/>
    <n v="1"/>
    <n v="1"/>
    <n v="100"/>
    <x v="1"/>
  </r>
  <r>
    <x v="2"/>
    <s v="SainteLague"/>
    <n v="442"/>
    <n v="203114"/>
    <s v="Analytics - Analise de custo parceiros"/>
    <x v="20"/>
    <x v="1"/>
    <x v="2"/>
    <s v="Backlog"/>
    <n v="12"/>
    <n v="0.03"/>
    <n v="1"/>
    <n v="1"/>
    <n v="1"/>
    <n v="100"/>
    <x v="1"/>
  </r>
  <r>
    <x v="2"/>
    <s v="SainteLague"/>
    <n v="443"/>
    <n v="61617"/>
    <s v="Incluir en nexia opciones multi-idioma"/>
    <x v="6"/>
    <x v="0"/>
    <x v="3"/>
    <s v="Backlog"/>
    <n v="50"/>
    <n v="0.03"/>
    <n v="1"/>
    <n v="1"/>
    <n v="1"/>
    <n v="100"/>
    <x v="1"/>
  </r>
  <r>
    <x v="2"/>
    <s v="SainteLague"/>
    <n v="444"/>
    <n v="126584"/>
    <s v="Reducing the rollout of Praas printers:"/>
    <x v="7"/>
    <x v="1"/>
    <x v="3"/>
    <s v="Backlog"/>
    <n v="24"/>
    <n v="0.03"/>
    <n v="1"/>
    <n v="1"/>
    <n v="1"/>
    <n v="100"/>
    <x v="1"/>
  </r>
  <r>
    <x v="2"/>
    <s v="SainteLague"/>
    <n v="445"/>
    <n v="63250"/>
    <s v="[Salesforce Sales - SGC ] - Evitar actualizaciones en SGC en los registros de franquicias"/>
    <x v="8"/>
    <x v="0"/>
    <x v="0"/>
    <s v="Backlog"/>
    <n v="21"/>
    <n v="0.03"/>
    <n v="1"/>
    <n v="1"/>
    <n v="1"/>
    <n v="100"/>
    <x v="1"/>
  </r>
  <r>
    <x v="2"/>
    <s v="SainteLague"/>
    <n v="446"/>
    <n v="189983"/>
    <s v="Pagamento de Vales Nacionais e Internacionais - Finaliza√ß√£o do pagamento apenas ap√≥s procedimentos de RCTO conclu√≠dos"/>
    <x v="29"/>
    <x v="1"/>
    <x v="0"/>
    <s v="Backlog"/>
    <n v="7"/>
    <n v="0.03"/>
    <n v="1"/>
    <n v="1"/>
    <n v="1"/>
    <n v="100"/>
    <x v="1"/>
  </r>
  <r>
    <x v="2"/>
    <s v="SainteLague"/>
    <n v="447"/>
    <n v="61721"/>
    <s v="Migracion Hosting aplicacion Shopify a servidores CTT"/>
    <x v="22"/>
    <x v="0"/>
    <x v="0"/>
    <s v="In Definition"/>
    <n v="19"/>
    <n v="0.03"/>
    <n v="1"/>
    <n v="1"/>
    <n v="1"/>
    <n v="100"/>
    <x v="1"/>
  </r>
  <r>
    <x v="2"/>
    <s v="SainteLague"/>
    <n v="448"/>
    <n v="71501"/>
    <s v="Nova Entidade Certificadora (CA) Autoridade Tribut√°ria e Aduaneira (AT)."/>
    <x v="11"/>
    <x v="1"/>
    <x v="2"/>
    <s v="In Definition"/>
    <n v="13"/>
    <n v="0.03"/>
    <n v="1"/>
    <n v="1"/>
    <n v="1"/>
    <n v="100"/>
    <x v="1"/>
  </r>
  <r>
    <x v="2"/>
    <s v="SainteLague"/>
    <n v="449"/>
    <n v="56551"/>
    <s v="[Desconexi√≥n SGC] [Salesforce Service] - Gesti√≥n de casos: modificaciones tipos de servicio"/>
    <x v="4"/>
    <x v="0"/>
    <x v="2"/>
    <s v="Backlog"/>
    <n v="24"/>
    <n v="0.03"/>
    <n v="1"/>
    <n v="1"/>
    <n v="1"/>
    <n v="100"/>
    <x v="1"/>
  </r>
  <r>
    <x v="2"/>
    <s v="SainteLague"/>
    <n v="450"/>
    <n v="139303"/>
    <s v="Observabilidade | Uniformiza√ß√£o da alarm√≠stica nos clusters do IDP"/>
    <x v="7"/>
    <x v="1"/>
    <x v="3"/>
    <s v="Ready for Approval"/>
    <n v="25"/>
    <n v="5"/>
    <n v="2"/>
    <n v="1"/>
    <n v="2"/>
    <n v="1"/>
    <x v="1"/>
  </r>
  <r>
    <x v="2"/>
    <s v="SainteLague"/>
    <n v="451"/>
    <n v="61629"/>
    <s v="Desconectar servidor SFTP SGC"/>
    <x v="6"/>
    <x v="0"/>
    <x v="3"/>
    <s v="Backlog"/>
    <n v="51"/>
    <n v="0.03"/>
    <n v="1"/>
    <n v="1"/>
    <n v="1"/>
    <n v="100"/>
    <x v="1"/>
  </r>
  <r>
    <x v="2"/>
    <s v="SainteLague"/>
    <n v="452"/>
    <n v="53781"/>
    <s v="Prote√ß√£o Avan√ßada para a Interface do PayByLink"/>
    <x v="17"/>
    <x v="1"/>
    <x v="0"/>
    <s v="In Definition"/>
    <n v="7"/>
    <n v="0.03"/>
    <n v="1"/>
    <n v="1"/>
    <n v="1"/>
    <n v="100"/>
    <x v="1"/>
  </r>
  <r>
    <x v="2"/>
    <s v="SainteLague"/>
    <n v="453"/>
    <n v="64579"/>
    <s v="[Web P√∫blica 2.0] - Web P√∫blica 2.0 Fase II - V2"/>
    <x v="0"/>
    <x v="0"/>
    <x v="0"/>
    <s v="Ready for Solution"/>
    <n v="28"/>
    <n v="0.03"/>
    <n v="1"/>
    <n v="1"/>
    <n v="1"/>
    <n v="100"/>
    <x v="1"/>
  </r>
  <r>
    <x v="2"/>
    <s v="SainteLague"/>
    <n v="454"/>
    <n v="173285"/>
    <s v="Simulador para agrupagem"/>
    <x v="27"/>
    <x v="1"/>
    <x v="0"/>
    <s v="Backlog"/>
    <n v="8"/>
    <n v="0.03"/>
    <n v="1"/>
    <n v="1"/>
    <n v="1"/>
    <n v="100"/>
    <x v="1"/>
  </r>
  <r>
    <x v="2"/>
    <s v="SainteLague"/>
    <n v="455"/>
    <n v="57283"/>
    <s v="[Nexus Rollout] [We Bill] Estrategia de facturaci√≥n de clientes ES y PT"/>
    <x v="21"/>
    <x v="0"/>
    <x v="2"/>
    <s v="Backlog"/>
    <n v="22"/>
    <n v="0.03"/>
    <n v="1"/>
    <n v="1"/>
    <n v="1"/>
    <n v="100"/>
    <x v="1"/>
  </r>
  <r>
    <x v="2"/>
    <s v="SainteLague"/>
    <n v="456"/>
    <n v="176414"/>
    <s v="Iberian - Incremento Vis√£o de tratamento por KG's, Restantes Kpi's"/>
    <x v="20"/>
    <x v="1"/>
    <x v="2"/>
    <s v="Backlog"/>
    <n v="13"/>
    <n v="0.03"/>
    <n v="1"/>
    <n v="1"/>
    <n v="1"/>
    <n v="100"/>
    <x v="1"/>
  </r>
  <r>
    <x v="2"/>
    <s v="SainteLague"/>
    <n v="457"/>
    <n v="61789"/>
    <s v="Dise√±ar Flujos de trabajo IA - .Net"/>
    <x v="6"/>
    <x v="0"/>
    <x v="3"/>
    <s v="Backlog"/>
    <n v="52"/>
    <n v="0.03"/>
    <n v="1"/>
    <n v="1"/>
    <n v="1"/>
    <n v="100"/>
    <x v="1"/>
  </r>
  <r>
    <x v="2"/>
    <s v="SainteLague"/>
    <n v="458"/>
    <n v="96860"/>
    <s v="BANCO CTT | Novo design site banco"/>
    <x v="12"/>
    <x v="1"/>
    <x v="3"/>
    <s v="Backlog"/>
    <n v="10"/>
    <n v="0.03"/>
    <n v="1"/>
    <n v="1"/>
    <n v="1"/>
    <n v="100"/>
    <x v="1"/>
  </r>
  <r>
    <x v="2"/>
    <s v="SainteLague"/>
    <n v="459"/>
    <n v="139907"/>
    <s v="[Salesforce Sales] - Visualizaci√≥n de Tarifa actual y anterior por cliente."/>
    <x v="8"/>
    <x v="0"/>
    <x v="0"/>
    <s v="Backlog"/>
    <n v="22"/>
    <n v="0.03"/>
    <n v="1"/>
    <n v="1"/>
    <n v="1"/>
    <n v="100"/>
    <x v="1"/>
  </r>
  <r>
    <x v="2"/>
    <s v="SainteLague"/>
    <n v="460"/>
    <n v="126099"/>
    <s v="Desenvolvimentos Regulamentares (Congresso UPU Dubai + Incremental Riade)"/>
    <x v="1"/>
    <x v="1"/>
    <x v="0"/>
    <s v="In Definition"/>
    <n v="13"/>
    <n v="0.03"/>
    <n v="1"/>
    <n v="1"/>
    <n v="1"/>
    <n v="100"/>
    <x v="1"/>
  </r>
  <r>
    <x v="2"/>
    <s v="SainteLague"/>
    <n v="461"/>
    <n v="52023"/>
    <s v="[Auditoria PT] Automatismo para replicar la l√≥gica de correcci√≥n manual de pesos declarados"/>
    <x v="28"/>
    <x v="0"/>
    <x v="2"/>
    <s v="Backlog"/>
    <n v="6"/>
    <n v="0.03"/>
    <n v="1"/>
    <n v="1"/>
    <n v="1"/>
    <n v="100"/>
    <x v="1"/>
  </r>
  <r>
    <x v="2"/>
    <s v="SainteLague"/>
    <n v="462"/>
    <n v="150434"/>
    <s v="Modelo de Analise de Varia√ß√£o de Negocio (Efeitos Trafego e Pre√ßo)"/>
    <x v="20"/>
    <x v="1"/>
    <x v="2"/>
    <s v="Backlog"/>
    <n v="14"/>
    <n v="0.03"/>
    <n v="1"/>
    <n v="1"/>
    <n v="1"/>
    <n v="100"/>
    <x v="1"/>
  </r>
  <r>
    <x v="2"/>
    <s v="SainteLague"/>
    <n v="463"/>
    <n v="50904"/>
    <s v="[Desconexi√≥n SGC] M√≥dulo de tasaci√≥n Cloud"/>
    <x v="6"/>
    <x v="0"/>
    <x v="3"/>
    <s v="Backlog"/>
    <n v="53"/>
    <n v="0.03"/>
    <n v="1"/>
    <n v="1"/>
    <n v="1"/>
    <n v="100"/>
    <x v="1"/>
  </r>
  <r>
    <x v="2"/>
    <s v="SainteLague"/>
    <n v="464"/>
    <n v="100093"/>
    <s v="TTEVOB - Descontinua√ß√£o FTP"/>
    <x v="25"/>
    <x v="1"/>
    <x v="3"/>
    <s v="Backlog"/>
    <n v="10"/>
    <n v="0.03"/>
    <n v="1"/>
    <n v="1"/>
    <n v="1"/>
    <n v="100"/>
    <x v="1"/>
  </r>
  <r>
    <x v="2"/>
    <s v="SainteLague"/>
    <n v="465"/>
    <n v="141298"/>
    <s v="Api descarga Albaran Escaneado Cliente"/>
    <x v="22"/>
    <x v="0"/>
    <x v="0"/>
    <s v="In Definition"/>
    <n v="20"/>
    <n v="0.03"/>
    <n v="1"/>
    <n v="1"/>
    <n v="1"/>
    <n v="100"/>
    <x v="1"/>
  </r>
  <r>
    <x v="2"/>
    <s v="SainteLague"/>
    <n v="466"/>
    <n v="126476"/>
    <s v="Melhorias nos envios de Carga e Internacional Expresso"/>
    <x v="9"/>
    <x v="1"/>
    <x v="0"/>
    <s v="Ready for Solution"/>
    <n v="13"/>
    <n v="0.03"/>
    <n v="1"/>
    <n v="1"/>
    <n v="1"/>
    <n v="100"/>
    <x v="1"/>
  </r>
  <r>
    <x v="2"/>
    <s v="SainteLague"/>
    <n v="467"/>
    <n v="58802"/>
    <s v="Cierre diario de recogidas"/>
    <x v="4"/>
    <x v="0"/>
    <x v="2"/>
    <s v="Backlog"/>
    <n v="25"/>
    <n v="0.03"/>
    <n v="1"/>
    <n v="1"/>
    <n v="1"/>
    <n v="100"/>
    <x v="1"/>
  </r>
  <r>
    <x v="2"/>
    <s v="SainteLague"/>
    <n v="468"/>
    <n v="128714"/>
    <s v="Workforce Analytics - Integra√ß√£o Espanha"/>
    <x v="20"/>
    <x v="1"/>
    <x v="2"/>
    <s v="Backlog"/>
    <n v="15"/>
    <n v="0.03"/>
    <n v="1"/>
    <n v="1"/>
    <n v="1"/>
    <n v="100"/>
    <x v="1"/>
  </r>
  <r>
    <x v="2"/>
    <s v="SainteLague"/>
    <n v="469"/>
    <n v="61984"/>
    <s v="Migraci√≥n Microservicios a SLA nuevo"/>
    <x v="6"/>
    <x v="0"/>
    <x v="3"/>
    <s v="In Definition"/>
    <n v="54"/>
    <n v="0.03"/>
    <n v="1"/>
    <n v="1"/>
    <n v="1"/>
    <n v="100"/>
    <x v="1"/>
  </r>
  <r>
    <x v="2"/>
    <s v="SainteLague"/>
    <n v="470"/>
    <n v="139339"/>
    <s v="Mata Aplica√ß√µes Wave 1.16"/>
    <x v="7"/>
    <x v="1"/>
    <x v="3"/>
    <s v="In Definition"/>
    <n v="26"/>
    <n v="2.3330000000000002"/>
    <n v="4"/>
    <n v="1"/>
    <n v="2"/>
    <n v="3"/>
    <x v="1"/>
  </r>
  <r>
    <x v="2"/>
    <s v="SainteLague"/>
    <n v="471"/>
    <n v="46924"/>
    <s v="[Producto] - Devoluciones anticipadas: Solicitud de Devoluci√≥n de Env√≠os al vuelo"/>
    <x v="0"/>
    <x v="0"/>
    <x v="0"/>
    <s v="In Definition"/>
    <n v="29"/>
    <n v="0.03"/>
    <n v="1"/>
    <n v="1"/>
    <n v="1"/>
    <n v="100"/>
    <x v="1"/>
  </r>
  <r>
    <x v="2"/>
    <s v="SainteLague"/>
    <n v="472"/>
    <n v="140516"/>
    <s v="Cria√ß√£o /Gera√ß√£o de Relatorio Automatico diario Anacom"/>
    <x v="13"/>
    <x v="1"/>
    <x v="0"/>
    <s v="Backlog"/>
    <n v="10"/>
    <n v="0.03"/>
    <n v="1"/>
    <n v="1"/>
    <n v="1"/>
    <n v="100"/>
    <x v="1"/>
  </r>
  <r>
    <x v="2"/>
    <s v="SainteLague"/>
    <n v="473"/>
    <n v="49078"/>
    <s v="[Minerva] - Impresi√≥n del contrato en funci√≥n de la etapa de la opp"/>
    <x v="8"/>
    <x v="0"/>
    <x v="0"/>
    <s v="Backlog"/>
    <n v="23"/>
    <n v="0.03"/>
    <n v="1"/>
    <n v="1"/>
    <n v="1"/>
    <n v="100"/>
    <x v="1"/>
  </r>
  <r>
    <x v="2"/>
    <s v="SainteLague"/>
    <n v="474"/>
    <n v="166289"/>
    <s v="Workforce Analytics - Incremento Integra√ß√£o Indicadores Espanha"/>
    <x v="20"/>
    <x v="1"/>
    <x v="2"/>
    <s v="Backlog"/>
    <n v="16"/>
    <n v="0.03"/>
    <n v="1"/>
    <n v="1"/>
    <n v="1"/>
    <n v="100"/>
    <x v="1"/>
  </r>
  <r>
    <x v="2"/>
    <s v="SainteLague"/>
    <n v="475"/>
    <n v="43501"/>
    <s v="[Alarmas Financieras] Alarma-41 Informe de n¬∫ env√≠os-discrepancias tr√°fico-facturaci√≥n (se esta trabajando internamente tambi√©n)"/>
    <x v="21"/>
    <x v="0"/>
    <x v="2"/>
    <s v="Backlog"/>
    <n v="23"/>
    <n v="0.03"/>
    <n v="1"/>
    <n v="1"/>
    <n v="1"/>
    <n v="100"/>
    <x v="1"/>
  </r>
  <r>
    <x v="2"/>
    <s v="SainteLague"/>
    <n v="476"/>
    <n v="132219"/>
    <s v="CCP | Configure alerts for all CCP applications"/>
    <x v="7"/>
    <x v="1"/>
    <x v="3"/>
    <s v="Backlog"/>
    <n v="27"/>
    <n v="3.5"/>
    <n v="3"/>
    <n v="2"/>
    <n v="2"/>
    <n v="2"/>
    <x v="1"/>
  </r>
  <r>
    <x v="2"/>
    <s v="SainteLague"/>
    <n v="477"/>
    <n v="63574"/>
    <s v="[Web p√∫blica Nexus] - Im√°genes alojadas en DOT (ex Wordpress) estudiar alojarlas en AWS"/>
    <x v="6"/>
    <x v="0"/>
    <x v="3"/>
    <s v="Backlog"/>
    <n v="55"/>
    <n v="0.03"/>
    <n v="1"/>
    <n v="1"/>
    <n v="1"/>
    <n v="100"/>
    <x v="1"/>
  </r>
  <r>
    <x v="2"/>
    <s v="SainteLague"/>
    <n v="478"/>
    <n v="92337"/>
    <s v="GCA - Aforro upgrade Oracle"/>
    <x v="29"/>
    <x v="1"/>
    <x v="0"/>
    <s v="Backlog"/>
    <n v="8"/>
    <n v="0.03"/>
    <n v="1"/>
    <n v="1"/>
    <n v="1"/>
    <n v="100"/>
    <x v="1"/>
  </r>
  <r>
    <x v="2"/>
    <s v="SainteLague"/>
    <n v="479"/>
    <n v="57115"/>
    <s v="[ERROR 500 MS Manifest] YDH - TIK TOK"/>
    <x v="22"/>
    <x v="0"/>
    <x v="0"/>
    <s v="Backlog"/>
    <n v="20"/>
    <n v="0.03"/>
    <n v="1"/>
    <n v="1"/>
    <n v="1"/>
    <n v="100"/>
    <x v="1"/>
  </r>
  <r>
    <x v="2"/>
    <s v="SainteLague"/>
    <n v="480"/>
    <n v="111689"/>
    <s v="Indicadores para Planeamento e Controlo (transa√ß√µes manuais)"/>
    <x v="17"/>
    <x v="1"/>
    <x v="0"/>
    <s v="Backlog"/>
    <n v="8"/>
    <n v="0.03"/>
    <n v="1"/>
    <n v="1"/>
    <n v="1"/>
    <n v="100"/>
    <x v="1"/>
  </r>
  <r>
    <x v="2"/>
    <s v="SainteLague"/>
    <n v="481"/>
    <n v="46845"/>
    <s v="Conexi√≥n de eventos estados PT-ES/Transici√≥n de estados con eventos PT"/>
    <x v="4"/>
    <x v="0"/>
    <x v="2"/>
    <s v="Backlog"/>
    <n v="26"/>
    <n v="0.03"/>
    <n v="1"/>
    <n v="1"/>
    <n v="1"/>
    <n v="100"/>
    <x v="1"/>
  </r>
  <r>
    <x v="2"/>
    <s v="SainteLague"/>
    <n v="482"/>
    <n v="192060"/>
    <s v="Despesa Frota e Edificios - Evolutivo"/>
    <x v="20"/>
    <x v="1"/>
    <x v="2"/>
    <s v="Backlog"/>
    <n v="17"/>
    <n v="0.03"/>
    <n v="1"/>
    <n v="1"/>
    <n v="1"/>
    <n v="100"/>
    <x v="1"/>
  </r>
  <r>
    <x v="2"/>
    <s v="SainteLague"/>
    <n v="483"/>
    <n v="63645"/>
    <s v="Definici√≥n de la estrategia de preparaci√≥n de entornos de prueba de aplicaciones"/>
    <x v="6"/>
    <x v="0"/>
    <x v="3"/>
    <s v="Backlog"/>
    <n v="56"/>
    <n v="0.03"/>
    <n v="1"/>
    <n v="1"/>
    <n v="1"/>
    <n v="100"/>
    <x v="1"/>
  </r>
  <r>
    <x v="2"/>
    <s v="SainteLague"/>
    <n v="484"/>
    <n v="126583"/>
    <s v="Eliminate 50% of O365 Copilot licences"/>
    <x v="7"/>
    <x v="1"/>
    <x v="3"/>
    <s v="In Definition"/>
    <n v="28"/>
    <n v="0.03"/>
    <n v="1"/>
    <n v="1"/>
    <n v="1"/>
    <n v="100"/>
    <x v="1"/>
  </r>
  <r>
    <x v="2"/>
    <s v="SainteLague"/>
    <n v="485"/>
    <n v="56821"/>
    <s v="[Desconexi√≥n SGC] [Web de Clientes] - Descarga de seguimiento y en descarga masiva: Incluir m√°s campos: Peso Facturado V2"/>
    <x v="0"/>
    <x v="0"/>
    <x v="0"/>
    <s v="In Definition"/>
    <n v="30"/>
    <n v="0.03"/>
    <n v="1"/>
    <n v="1"/>
    <n v="1"/>
    <n v="100"/>
    <x v="1"/>
  </r>
  <r>
    <x v="2"/>
    <s v="SainteLague"/>
    <n v="486"/>
    <n v="49197"/>
    <s v="Migrar os documentos do viactt para Filenet"/>
    <x v="25"/>
    <x v="1"/>
    <x v="0"/>
    <s v="Ready for Solution"/>
    <n v="13"/>
    <n v="7.0000000000000007E-2"/>
    <n v="5"/>
    <n v="1"/>
    <n v="1"/>
    <n v="100"/>
    <x v="1"/>
  </r>
  <r>
    <x v="2"/>
    <s v="SainteLague"/>
    <n v="487"/>
    <n v="43518"/>
    <s v="[NEXUS] [Auditoria PT] [SAP] - Mejora y/o renovaci√≥n del Interface Salesforce + SGC + SAP"/>
    <x v="21"/>
    <x v="0"/>
    <x v="2"/>
    <s v="Ready for Solution"/>
    <n v="24"/>
    <n v="0.03"/>
    <n v="1"/>
    <n v="1"/>
    <n v="1"/>
    <n v="100"/>
    <x v="1"/>
  </r>
  <r>
    <x v="2"/>
    <s v="SainteLague"/>
    <n v="488"/>
    <n v="199976"/>
    <s v="Data Hub - Monitoriza√ß√£o e Backup"/>
    <x v="20"/>
    <x v="1"/>
    <x v="2"/>
    <s v="Backlog"/>
    <n v="18"/>
    <n v="0.03"/>
    <n v="1"/>
    <n v="1"/>
    <n v="1"/>
    <n v="100"/>
    <x v="1"/>
  </r>
  <r>
    <x v="2"/>
    <s v="SainteLague"/>
    <n v="489"/>
    <n v="64718"/>
    <s v="[Bit√°cora] - Bitacora Management que permita implementar los procesos actuales de configuraci√≥n en Bit√°cora"/>
    <x v="6"/>
    <x v="0"/>
    <x v="3"/>
    <s v="In Definition"/>
    <n v="57"/>
    <n v="0.03"/>
    <n v="1"/>
    <n v="1"/>
    <n v="1"/>
    <n v="100"/>
    <x v="1"/>
  </r>
  <r>
    <x v="2"/>
    <s v="SainteLague"/>
    <n v="490"/>
    <n v="175823"/>
    <s v="Report automatizado para Cr√©dito Pessoal"/>
    <x v="12"/>
    <x v="1"/>
    <x v="3"/>
    <s v="Backlog"/>
    <n v="11"/>
    <n v="0.03"/>
    <n v="1"/>
    <n v="1"/>
    <n v="1"/>
    <n v="100"/>
    <x v="1"/>
  </r>
  <r>
    <x v="2"/>
    <s v="SainteLague"/>
    <n v="491"/>
    <n v="130826"/>
    <s v="[Salesforce] - Informaci√≥n de la actividad del cliente en Cuenta en Sales (a partir de Qlik)"/>
    <x v="8"/>
    <x v="0"/>
    <x v="0"/>
    <s v="Backlog"/>
    <n v="24"/>
    <n v="0.03"/>
    <n v="1"/>
    <n v="1"/>
    <n v="1"/>
    <n v="100"/>
    <x v="1"/>
  </r>
  <r>
    <x v="2"/>
    <s v="SainteLague"/>
    <n v="492"/>
    <n v="63424"/>
    <s v="Revamp ViaCTT ‚Äì 2¬™ Fase"/>
    <x v="1"/>
    <x v="1"/>
    <x v="0"/>
    <s v="In Definition"/>
    <n v="14"/>
    <n v="0.03"/>
    <n v="1"/>
    <n v="1"/>
    <n v="1"/>
    <n v="100"/>
    <x v="1"/>
  </r>
  <r>
    <x v="2"/>
    <s v="SainteLague"/>
    <n v="493"/>
    <n v="59163"/>
    <s v="[PUDOS]-Modificaci√≥n plantilla de factura en VDP relacionado con 58594"/>
    <x v="21"/>
    <x v="0"/>
    <x v="2"/>
    <s v="Backlog"/>
    <n v="25"/>
    <n v="0.03"/>
    <n v="1"/>
    <n v="1"/>
    <n v="1"/>
    <n v="100"/>
    <x v="1"/>
  </r>
  <r>
    <x v="2"/>
    <s v="SainteLague"/>
    <n v="494"/>
    <n v="199977"/>
    <s v="Data Hub - Secrets and Authentication"/>
    <x v="20"/>
    <x v="1"/>
    <x v="2"/>
    <s v="Backlog"/>
    <n v="19"/>
    <n v="0.03"/>
    <n v="1"/>
    <n v="1"/>
    <n v="1"/>
    <n v="100"/>
    <x v="1"/>
  </r>
  <r>
    <x v="2"/>
    <s v="SainteLague"/>
    <n v="495"/>
    <n v="62641"/>
    <s v="Optimizaci√≥n del CAU mediante herramientas de autodiagn√≥stico para operativas cr√≠ticas"/>
    <x v="6"/>
    <x v="0"/>
    <x v="3"/>
    <s v="Backlog"/>
    <n v="58"/>
    <n v="0.03"/>
    <n v="1"/>
    <n v="1"/>
    <n v="1"/>
    <n v="100"/>
    <x v="1"/>
  </r>
  <r>
    <x v="2"/>
    <s v="SainteLague"/>
    <n v="496"/>
    <n v="100092"/>
    <s v="PEF - Descontinua√ß√£o da utiliza√ß√£o do FTP"/>
    <x v="25"/>
    <x v="1"/>
    <x v="3"/>
    <s v="Backlog"/>
    <n v="11"/>
    <n v="0.03"/>
    <n v="1"/>
    <n v="1"/>
    <n v="1"/>
    <n v="100"/>
    <x v="1"/>
  </r>
  <r>
    <x v="2"/>
    <s v="SainteLague"/>
    <n v="497"/>
    <n v="55559"/>
    <s v="[WebHook] - Factor Libre 4096600005 solo entorno de test"/>
    <x v="22"/>
    <x v="0"/>
    <x v="0"/>
    <s v="Backlog"/>
    <n v="21"/>
    <n v="0.03"/>
    <n v="1"/>
    <n v="1"/>
    <n v="1"/>
    <n v="100"/>
    <x v="1"/>
  </r>
  <r>
    <x v="2"/>
    <s v="SainteLague"/>
    <n v="498"/>
    <n v="124619"/>
    <s v="Envios Online &amp; Super APP | Servi√ßo de Ponto de Entrega"/>
    <x v="9"/>
    <x v="1"/>
    <x v="0"/>
    <s v="Backlog"/>
    <n v="14"/>
    <n v="0.03"/>
    <n v="1"/>
    <n v="1"/>
    <n v="1"/>
    <n v="100"/>
    <x v="1"/>
  </r>
  <r>
    <x v="2"/>
    <s v="SainteLague"/>
    <n v="499"/>
    <n v="45893"/>
    <s v="[Nexus]-[Minerva]- CTT 14h MINERVA √ìptica (Nuevo producto comercial)"/>
    <x v="0"/>
    <x v="0"/>
    <x v="0"/>
    <s v="Ready for Solution"/>
    <n v="31"/>
    <n v="0.03"/>
    <n v="1"/>
    <n v="1"/>
    <n v="1"/>
    <n v="100"/>
    <x v="1"/>
  </r>
  <r>
    <x v="2"/>
    <s v="SainteLague"/>
    <n v="500"/>
    <n v="140483"/>
    <s v="INT | - Evolutivo Mulesoft - Mar√ßo e Abril"/>
    <x v="7"/>
    <x v="1"/>
    <x v="3"/>
    <s v="In Definition"/>
    <n v="29"/>
    <n v="4"/>
    <n v="2"/>
    <n v="1"/>
    <n v="1"/>
    <n v="1"/>
    <x v="1"/>
  </r>
  <r>
    <x v="2"/>
    <s v="SainteLague"/>
    <n v="501"/>
    <n v="56222"/>
    <s v="Nueva funcionalidad SGC: Nuevas opciones de cambios masivos"/>
    <x v="21"/>
    <x v="0"/>
    <x v="2"/>
    <s v="Backlog"/>
    <n v="26"/>
    <n v="0.03"/>
    <n v="1"/>
    <n v="1"/>
    <n v="1"/>
    <n v="100"/>
    <x v="1"/>
  </r>
  <r>
    <x v="2"/>
    <s v="SainteLague"/>
    <n v="502"/>
    <n v="173278"/>
    <s v="Motor de Pesquisa de Varios objetos no SGC"/>
    <x v="27"/>
    <x v="1"/>
    <x v="0"/>
    <s v="Backlog"/>
    <n v="9"/>
    <n v="0.03"/>
    <n v="1"/>
    <n v="1"/>
    <n v="1"/>
    <n v="100"/>
    <x v="1"/>
  </r>
  <r>
    <x v="2"/>
    <s v="SainteLague"/>
    <n v="503"/>
    <n v="63173"/>
    <s v="Federaci√≥n de acceso a Salesforce mediante SSO - EntraID"/>
    <x v="6"/>
    <x v="0"/>
    <x v="3"/>
    <s v="Backlog"/>
    <n v="59"/>
    <n v="0.03"/>
    <n v="1"/>
    <n v="1"/>
    <n v="1"/>
    <n v="100"/>
    <x v="1"/>
  </r>
  <r>
    <x v="2"/>
    <s v="SainteLague"/>
    <n v="504"/>
    <n v="140528"/>
    <s v="integra√ß√£o de objetos com destino a Espanha do Cliente NOS"/>
    <x v="13"/>
    <x v="1"/>
    <x v="0"/>
    <s v="Backlog"/>
    <n v="11"/>
    <n v="0.03"/>
    <n v="1"/>
    <n v="1"/>
    <n v="1"/>
    <n v="100"/>
    <x v="1"/>
  </r>
  <r>
    <x v="2"/>
    <s v="SainteLague"/>
    <n v="505"/>
    <n v="55564"/>
    <s v="[Qlik] - Nuevos KPIS en Anal√≠tica Comercial"/>
    <x v="8"/>
    <x v="0"/>
    <x v="0"/>
    <s v="Backlog"/>
    <n v="25"/>
    <n v="0.03"/>
    <n v="1"/>
    <n v="1"/>
    <n v="1"/>
    <n v="100"/>
    <x v="1"/>
  </r>
  <r>
    <x v="2"/>
    <s v="SainteLague"/>
    <n v="506"/>
    <n v="49513"/>
    <s v="APT | Mata Aplica√ß√µes Wave 1.12 - GCC"/>
    <x v="7"/>
    <x v="1"/>
    <x v="3"/>
    <s v="Backlog"/>
    <n v="30"/>
    <n v="0.03"/>
    <n v="1"/>
    <n v="1"/>
    <n v="1"/>
    <n v="100"/>
    <x v="1"/>
  </r>
  <r>
    <x v="2"/>
    <s v="SainteLague"/>
    <n v="507"/>
    <n v="52049"/>
    <s v="[Auditoria PT] Pruebas sobre calidad de datos declarados por clientes con facturaci√≥n basada en el peso y/o las medidas declaradas"/>
    <x v="28"/>
    <x v="0"/>
    <x v="2"/>
    <s v="Backlog"/>
    <n v="7"/>
    <n v="0.03"/>
    <n v="1"/>
    <n v="1"/>
    <n v="1"/>
    <n v="100"/>
    <x v="1"/>
  </r>
  <r>
    <x v="2"/>
    <s v="SainteLague"/>
    <n v="508"/>
    <n v="125697"/>
    <s v="DeMinimis EUA - Solu√ß√£o para retomar os envios de Bens para os EUA para os clientes n√£o contratuais"/>
    <x v="1"/>
    <x v="1"/>
    <x v="0"/>
    <s v="In Definition"/>
    <n v="15"/>
    <n v="3"/>
    <n v="3"/>
    <n v="3"/>
    <n v="3"/>
    <n v="3"/>
    <x v="1"/>
  </r>
  <r>
    <x v="2"/>
    <s v="SainteLague"/>
    <n v="509"/>
    <n v="63179"/>
    <s v="MongoDB - Recopilaci√≥n de usuarios y reset de contrase√±as"/>
    <x v="6"/>
    <x v="0"/>
    <x v="3"/>
    <s v="Backlog"/>
    <n v="60"/>
    <n v="0.03"/>
    <n v="1"/>
    <n v="1"/>
    <n v="1"/>
    <n v="100"/>
    <x v="1"/>
  </r>
  <r>
    <x v="2"/>
    <s v="SainteLague"/>
    <n v="510"/>
    <n v="126581"/>
    <s v="Downgrade 1.200 / 4.186 Microsoft O365 E5 licences (local) to O365 F3 (web) [1/2 year]"/>
    <x v="7"/>
    <x v="1"/>
    <x v="3"/>
    <s v="In Definition"/>
    <n v="31"/>
    <n v="0.03"/>
    <n v="1"/>
    <n v="1"/>
    <n v="1"/>
    <n v="100"/>
    <x v="1"/>
  </r>
  <r>
    <x v="2"/>
    <s v="SainteLague"/>
    <n v="511"/>
    <n v="61906"/>
    <s v="[ESTADOS VISIBLES] Endpoint Client Experience API REST GET TRACKING - TIK TOK - estados no devueltos - Copy"/>
    <x v="22"/>
    <x v="0"/>
    <x v="0"/>
    <s v="Backlog"/>
    <n v="22"/>
    <n v="0.03"/>
    <n v="1"/>
    <n v="1"/>
    <n v="1"/>
    <n v="100"/>
    <x v="1"/>
  </r>
  <r>
    <x v="2"/>
    <s v="SainteLague"/>
    <n v="512"/>
    <n v="204653"/>
    <s v="GPECL/DIS |PACK EXPRESSO Contabiliza√ß√£o autom√°tica e Re-atribui√ß√£o do centro de lucro"/>
    <x v="9"/>
    <x v="1"/>
    <x v="0"/>
    <s v="In Definition"/>
    <n v="15"/>
    <n v="0.03"/>
    <n v="1"/>
    <n v="1"/>
    <n v="1"/>
    <n v="100"/>
    <x v="1"/>
  </r>
  <r>
    <x v="2"/>
    <s v="SainteLague"/>
    <n v="513"/>
    <n v="43502"/>
    <s v="[Alarmas Financieras] Alarma-46 Reporte/Alerta de Datos Clientes antes del cierre &quot;Keysoft&quot; (datos incompletos de clientes o deficiencia)"/>
    <x v="21"/>
    <x v="0"/>
    <x v="2"/>
    <s v="Backlog"/>
    <n v="27"/>
    <n v="0.03"/>
    <n v="1"/>
    <n v="1"/>
    <n v="1"/>
    <n v="100"/>
    <x v="1"/>
  </r>
  <r>
    <x v="2"/>
    <s v="SainteLague"/>
    <n v="514"/>
    <n v="172578"/>
    <s v="Banco CTT - Gest√£o de Acessos em SAP4Hana"/>
    <x v="12"/>
    <x v="1"/>
    <x v="3"/>
    <s v="Backlog"/>
    <n v="12"/>
    <n v="0.03"/>
    <n v="1"/>
    <n v="1"/>
    <n v="1"/>
    <n v="100"/>
    <x v="1"/>
  </r>
  <r>
    <x v="2"/>
    <s v="SainteLague"/>
    <n v="515"/>
    <n v="63361"/>
    <s v="Revisi√≥n del PRN actual"/>
    <x v="6"/>
    <x v="0"/>
    <x v="3"/>
    <s v="Backlog"/>
    <n v="61"/>
    <n v="0.03"/>
    <n v="1"/>
    <n v="1"/>
    <n v="1"/>
    <n v="100"/>
    <x v="1"/>
  </r>
  <r>
    <x v="2"/>
    <s v="SainteLague"/>
    <n v="516"/>
    <n v="76019"/>
    <s v="Servi√ßo Conveni√™ncia -  Impress√£o A4 (complemento ao Servi√ßo de Fotocopias)"/>
    <x v="29"/>
    <x v="1"/>
    <x v="0"/>
    <s v="Backlog"/>
    <n v="9"/>
    <n v="0.03"/>
    <n v="1"/>
    <n v="1"/>
    <n v="1"/>
    <n v="100"/>
    <x v="1"/>
  </r>
  <r>
    <x v="2"/>
    <s v="SainteLague"/>
    <n v="517"/>
    <n v="65866"/>
    <s v="[PUDOS] - Automatizaci√≥n del tratamiento de incidencias de PUDOS cerrados"/>
    <x v="0"/>
    <x v="0"/>
    <x v="0"/>
    <s v="Backlog"/>
    <n v="32"/>
    <n v="0.03"/>
    <n v="1"/>
    <n v="1"/>
    <n v="1"/>
    <n v="100"/>
    <x v="1"/>
  </r>
  <r>
    <x v="2"/>
    <s v="SainteLague"/>
    <n v="518"/>
    <n v="49198"/>
    <s v="Descontinua√ß√£o do express2me para a super app"/>
    <x v="25"/>
    <x v="1"/>
    <x v="3"/>
    <s v="Backlog"/>
    <n v="12"/>
    <n v="0.03"/>
    <n v="1"/>
    <n v="1"/>
    <n v="1"/>
    <n v="100"/>
    <x v="1"/>
  </r>
  <r>
    <x v="2"/>
    <s v="SainteLague"/>
    <n v="519"/>
    <n v="52408"/>
    <s v="Cambio en la L√≥gica de generaci√≥n de OBX en Cainiao"/>
    <x v="21"/>
    <x v="0"/>
    <x v="2"/>
    <s v="Backlog"/>
    <n v="28"/>
    <n v="0.03"/>
    <n v="1"/>
    <n v="1"/>
    <n v="1"/>
    <n v="100"/>
    <x v="1"/>
  </r>
  <r>
    <x v="2"/>
    <s v="SainteLague"/>
    <n v="520"/>
    <n v="120372"/>
    <s v="POP - Melhorias a OnBoarding de clientes"/>
    <x v="17"/>
    <x v="1"/>
    <x v="0"/>
    <s v="Backlog"/>
    <n v="9"/>
    <n v="0.03"/>
    <n v="1"/>
    <n v="1"/>
    <n v="1"/>
    <n v="100"/>
    <x v="1"/>
  </r>
  <r>
    <x v="2"/>
    <s v="SainteLague"/>
    <n v="521"/>
    <n v="63428"/>
    <s v="Notificaciones AWS para migraciones de lambdas de python 3.9 a 3.12"/>
    <x v="6"/>
    <x v="0"/>
    <x v="3"/>
    <s v="Backlog"/>
    <n v="62"/>
    <n v="0.03"/>
    <n v="1"/>
    <n v="1"/>
    <n v="1"/>
    <n v="100"/>
    <x v="1"/>
  </r>
  <r>
    <x v="2"/>
    <s v="SainteLague"/>
    <n v="522"/>
    <n v="173286"/>
    <s v="Simulador de tabelas"/>
    <x v="27"/>
    <x v="1"/>
    <x v="0"/>
    <s v="Backlog"/>
    <n v="10"/>
    <n v="0.03"/>
    <n v="1"/>
    <n v="1"/>
    <n v="1"/>
    <n v="100"/>
    <x v="1"/>
  </r>
  <r>
    <x v="2"/>
    <s v="SainteLague"/>
    <n v="523"/>
    <n v="50627"/>
    <s v="[Minerva] - Campos requeridos en contrato con firma digital por Signaturit"/>
    <x v="8"/>
    <x v="0"/>
    <x v="0"/>
    <s v="Backlog"/>
    <n v="26"/>
    <n v="0.03"/>
    <n v="1"/>
    <n v="1"/>
    <n v="1"/>
    <n v="100"/>
    <x v="1"/>
  </r>
  <r>
    <x v="2"/>
    <s v="SainteLague"/>
    <n v="524"/>
    <n v="132059"/>
    <s v="Mata Aplica√ß√µes - Wave 1.15 - CRM Oracle Sales"/>
    <x v="7"/>
    <x v="1"/>
    <x v="3"/>
    <s v="Backlog"/>
    <n v="32"/>
    <n v="3"/>
    <n v="3"/>
    <n v="3"/>
    <n v="3"/>
    <n v="3"/>
    <x v="1"/>
  </r>
  <r>
    <x v="2"/>
    <s v="SainteLague"/>
    <n v="525"/>
    <n v="58980"/>
    <s v="[WebHook] - Indtex - Migracion de SGC a Cloud"/>
    <x v="22"/>
    <x v="0"/>
    <x v="0"/>
    <s v="In Definition"/>
    <n v="23"/>
    <n v="0.03"/>
    <n v="1"/>
    <n v="1"/>
    <n v="1"/>
    <n v="100"/>
    <x v="1"/>
  </r>
  <r>
    <x v="2"/>
    <s v="SainteLague"/>
    <n v="526"/>
    <n v="123106"/>
    <s v="GS B2C - Evolu√ß√£o do sistema de Gest√£o da informa√ß√£o Geogr√°fica da Rede"/>
    <x v="13"/>
    <x v="1"/>
    <x v="0"/>
    <s v="In Definition"/>
    <n v="12"/>
    <n v="0.03"/>
    <n v="1"/>
    <n v="1"/>
    <n v="1"/>
    <n v="100"/>
    <x v="1"/>
  </r>
  <r>
    <x v="2"/>
    <s v="SainteLague"/>
    <n v="527"/>
    <n v="52556"/>
    <s v="[QLIK] Incorporaci√≥n de datos adicionales en BI (Income Tracking App)"/>
    <x v="21"/>
    <x v="0"/>
    <x v="2"/>
    <s v="Backlog"/>
    <n v="29"/>
    <n v="0.03"/>
    <n v="1"/>
    <n v="1"/>
    <n v="1"/>
    <n v="100"/>
    <x v="1"/>
  </r>
  <r>
    <x v="2"/>
    <s v="SainteLague"/>
    <n v="528"/>
    <n v="96334"/>
    <s v="ESW | Github | Allow Github Actions to access resources inside CTT internal network"/>
    <x v="7"/>
    <x v="1"/>
    <x v="3"/>
    <s v="Backlog"/>
    <n v="33"/>
    <n v="0.03"/>
    <n v="1"/>
    <n v="1"/>
    <n v="1"/>
    <n v="100"/>
    <x v="1"/>
  </r>
  <r>
    <x v="2"/>
    <s v="SainteLague"/>
    <n v="529"/>
    <n v="63762"/>
    <s v="[Web de Clientes] - Vulnerabilidad cr√≠tica web clientes y  Revisi√≥n de la web antigua"/>
    <x v="6"/>
    <x v="0"/>
    <x v="3"/>
    <s v="In Definition"/>
    <n v="63"/>
    <n v="0.03"/>
    <n v="1"/>
    <n v="1"/>
    <n v="1"/>
    <n v="100"/>
    <x v="1"/>
  </r>
  <r>
    <x v="2"/>
    <s v="SainteLague"/>
    <n v="530"/>
    <n v="140779"/>
    <s v="Registos com Aviso de Rece√ß√£o E2E em locker"/>
    <x v="1"/>
    <x v="1"/>
    <x v="0"/>
    <s v="Backlog"/>
    <n v="16"/>
    <n v="0.03"/>
    <n v="1"/>
    <n v="1"/>
    <n v="1"/>
    <n v="100"/>
    <x v="1"/>
  </r>
  <r>
    <x v="2"/>
    <s v="SainteLague"/>
    <n v="531"/>
    <n v="59266"/>
    <s v="[PUDOS] [MONGO] - Informaci√≥n completa de incidencias en colecci√≥n Pickups"/>
    <x v="0"/>
    <x v="0"/>
    <x v="0"/>
    <s v="Backlog"/>
    <n v="33"/>
    <n v="0.03"/>
    <n v="1"/>
    <n v="1"/>
    <n v="1"/>
    <n v="100"/>
    <x v="1"/>
  </r>
  <r>
    <x v="2"/>
    <s v="SainteLague"/>
    <n v="532"/>
    <n v="177123"/>
    <s v="Obsolesc√™ncia WAVE 0 - Converter LDAP em LDAPS (BCTT)"/>
    <x v="12"/>
    <x v="1"/>
    <x v="3"/>
    <s v="Backlog"/>
    <n v="13"/>
    <n v="0.03"/>
    <n v="1"/>
    <n v="1"/>
    <n v="1"/>
    <n v="100"/>
    <x v="1"/>
  </r>
  <r>
    <x v="2"/>
    <s v="SainteLague"/>
    <n v="533"/>
    <n v="43544"/>
    <s v="[Evolutivos SGC Finanzas]  Alarma-86 Enga√±o Cod. Postales (solicitado tambien a traves de BI para buscar automatizaci√≥n)"/>
    <x v="21"/>
    <x v="0"/>
    <x v="2"/>
    <s v="Backlog"/>
    <n v="30"/>
    <n v="0.03"/>
    <n v="1"/>
    <n v="1"/>
    <n v="1"/>
    <n v="100"/>
    <x v="1"/>
  </r>
  <r>
    <x v="2"/>
    <s v="SainteLague"/>
    <n v="534"/>
    <n v="123648"/>
    <s v="Amazon | Servi√ßo Especial Feriado"/>
    <x v="9"/>
    <x v="1"/>
    <x v="0"/>
    <s v="Backlog"/>
    <n v="16"/>
    <n v="0.03"/>
    <n v="1"/>
    <n v="1"/>
    <n v="1"/>
    <n v="100"/>
    <x v="1"/>
  </r>
  <r>
    <x v="2"/>
    <s v="SainteLague"/>
    <n v="535"/>
    <n v="62285"/>
    <s v="Migrar clusters de Mongo a MultiAZ"/>
    <x v="6"/>
    <x v="0"/>
    <x v="3"/>
    <s v="Backlog"/>
    <n v="64"/>
    <n v="0.03"/>
    <n v="1"/>
    <n v="1"/>
    <n v="1"/>
    <n v="100"/>
    <x v="1"/>
  </r>
  <r>
    <x v="2"/>
    <s v="SainteLague"/>
    <n v="536"/>
    <n v="125545"/>
    <s v="Observability | Alarm Catalog for self provision in applications"/>
    <x v="7"/>
    <x v="1"/>
    <x v="3"/>
    <s v="Backlog"/>
    <n v="34"/>
    <n v="0.08"/>
    <n v="5"/>
    <n v="2"/>
    <n v="1"/>
    <n v="100"/>
    <x v="1"/>
  </r>
  <r>
    <x v="2"/>
    <s v="SainteLague"/>
    <n v="537"/>
    <n v="57310"/>
    <s v="[Salesforce Sales] - Contemplar los puntos de servicio a nivel master"/>
    <x v="8"/>
    <x v="0"/>
    <x v="0"/>
    <s v="Ready for Solution"/>
    <n v="27"/>
    <n v="0.03"/>
    <n v="1"/>
    <n v="1"/>
    <n v="1"/>
    <n v="100"/>
    <x v="1"/>
  </r>
  <r>
    <x v="2"/>
    <s v="SainteLague"/>
    <n v="538"/>
    <n v="103865"/>
    <s v="Avalia√ß√£o do custo de extens√£o do licenciamento atual para a utiliza√ß√£o do servi√ßo webhook - BKTER"/>
    <x v="1"/>
    <x v="1"/>
    <x v="0"/>
    <s v="Backlog"/>
    <n v="17"/>
    <n v="0.03"/>
    <n v="1"/>
    <n v="1"/>
    <n v="1"/>
    <n v="100"/>
    <x v="1"/>
  </r>
  <r>
    <x v="2"/>
    <s v="SainteLague"/>
    <n v="539"/>
    <n v="52020"/>
    <s v="[Auditoria PT] Detecci√≥n y expulsi√≥n en los clasificadores de objetos de Clientes inactivos"/>
    <x v="28"/>
    <x v="0"/>
    <x v="2"/>
    <s v="Backlog"/>
    <n v="8"/>
    <n v="0.03"/>
    <n v="1"/>
    <n v="1"/>
    <n v="1"/>
    <n v="100"/>
    <x v="1"/>
  </r>
  <r>
    <x v="2"/>
    <s v="SainteLague"/>
    <n v="540"/>
    <n v="84860"/>
    <s v="Amazon | Informa√ß√£o complementar de fechos ocasionais e f√©rias"/>
    <x v="9"/>
    <x v="1"/>
    <x v="0"/>
    <s v="Backlog"/>
    <n v="17"/>
    <n v="0.03"/>
    <n v="1"/>
    <n v="1"/>
    <n v="1"/>
    <n v="100"/>
    <x v="1"/>
  </r>
  <r>
    <x v="2"/>
    <s v="SainteLague"/>
    <n v="541"/>
    <n v="62413"/>
    <s v="Actualizaci√≥n autom√°tica de aplicaciones hijas en Nexia"/>
    <x v="6"/>
    <x v="0"/>
    <x v="3"/>
    <s v="In Definition"/>
    <n v="65"/>
    <n v="0.03"/>
    <n v="1"/>
    <n v="1"/>
    <n v="1"/>
    <n v="100"/>
    <x v="1"/>
  </r>
  <r>
    <x v="2"/>
    <s v="SainteLague"/>
    <n v="542"/>
    <n v="106746"/>
    <s v="ESW | Sonar | Connect Github based applications to Sonar"/>
    <x v="7"/>
    <x v="1"/>
    <x v="3"/>
    <s v="Backlog"/>
    <n v="35"/>
    <n v="0.03"/>
    <n v="1"/>
    <n v="1"/>
    <n v="1"/>
    <n v="100"/>
    <x v="1"/>
  </r>
  <r>
    <x v="2"/>
    <s v="SainteLague"/>
    <n v="543"/>
    <n v="46622"/>
    <s v="Mejora Mapper Agrupacion"/>
    <x v="22"/>
    <x v="0"/>
    <x v="0"/>
    <s v="Backlog"/>
    <n v="24"/>
    <n v="0.03"/>
    <n v="1"/>
    <n v="1"/>
    <n v="1"/>
    <n v="100"/>
    <x v="1"/>
  </r>
  <r>
    <x v="2"/>
    <s v="SainteLague"/>
    <n v="544"/>
    <n v="190291"/>
    <s v="ETCP - Anomalia na Integra√ß√£o do ficheiro das recolhas"/>
    <x v="13"/>
    <x v="1"/>
    <x v="0"/>
    <s v="In Definition"/>
    <n v="13"/>
    <n v="0.03"/>
    <n v="1"/>
    <n v="1"/>
    <n v="1"/>
    <n v="100"/>
    <x v="1"/>
  </r>
  <r>
    <x v="2"/>
    <s v="SainteLague"/>
    <n v="545"/>
    <n v="43541"/>
    <s v="[Evolutivos SGC Finanzas] Inclusi√≥n del Cliente M√°ster en todos los m√≥dulos de SGC ahora no lo est√°n (esta ligado con el anterior)"/>
    <x v="21"/>
    <x v="0"/>
    <x v="2"/>
    <s v="Backlog"/>
    <n v="31"/>
    <n v="0.03"/>
    <n v="1"/>
    <n v="1"/>
    <n v="1"/>
    <n v="100"/>
    <x v="1"/>
  </r>
  <r>
    <x v="2"/>
    <s v="SainteLague"/>
    <n v="546"/>
    <n v="126579"/>
    <s v="Reformula√ß√£o do servi√ßo AOS"/>
    <x v="7"/>
    <x v="1"/>
    <x v="3"/>
    <s v="Backlog"/>
    <n v="36"/>
    <n v="0.03"/>
    <n v="1"/>
    <n v="1"/>
    <n v="1"/>
    <n v="100"/>
    <x v="1"/>
  </r>
  <r>
    <x v="2"/>
    <s v="SainteLague"/>
    <n v="547"/>
    <n v="62059"/>
    <s v="Cyber - Securizaci√≥n de los accesos a webcliente.cttexpress.com y api.cttexpress.com"/>
    <x v="6"/>
    <x v="0"/>
    <x v="3"/>
    <s v="Backlog"/>
    <n v="66"/>
    <n v="0.03"/>
    <n v="1"/>
    <n v="1"/>
    <n v="1"/>
    <n v="100"/>
    <x v="1"/>
  </r>
  <r>
    <x v="2"/>
    <s v="SainteLague"/>
    <n v="548"/>
    <n v="74510"/>
    <s v="Altera√ß√£o Tal√£o Vales Postais superiores a 1.000‚Ç¨ - recomenda√ß√£o auditoria REC/ASN:2025-0015"/>
    <x v="27"/>
    <x v="1"/>
    <x v="0"/>
    <s v="Backlog"/>
    <n v="11"/>
    <n v="0.03"/>
    <n v="1"/>
    <n v="1"/>
    <n v="1"/>
    <n v="100"/>
    <x v="1"/>
  </r>
  <r>
    <x v="2"/>
    <s v="SainteLague"/>
    <n v="549"/>
    <n v="61734"/>
    <s v="[Minerva] - Habilitar Minerva para el uso por parte de los Broker / Franquicias (Operativa + Modelo tarifario)"/>
    <x v="0"/>
    <x v="0"/>
    <x v="0"/>
    <s v="In Definition"/>
    <n v="34"/>
    <n v="0.03"/>
    <n v="1"/>
    <n v="1"/>
    <n v="1"/>
    <n v="100"/>
    <x v="1"/>
  </r>
  <r>
    <x v="2"/>
    <s v="SainteLague"/>
    <n v="550"/>
    <n v="42676"/>
    <s v="Descontinua√ß√£o do SGCP e GIEP -  Migra√ß√£o de Funcionalidades uma nova aplica√ß√£o"/>
    <x v="25"/>
    <x v="1"/>
    <x v="3"/>
    <s v="In Definition"/>
    <n v="14"/>
    <n v="0.03"/>
    <n v="1"/>
    <n v="1"/>
    <n v="1"/>
    <n v="100"/>
    <x v="1"/>
  </r>
  <r>
    <x v="2"/>
    <s v="SainteLague"/>
    <n v="551"/>
    <n v="57765"/>
    <s v="[Qlik] - Evaluador de ofertas en Qlik"/>
    <x v="8"/>
    <x v="0"/>
    <x v="0"/>
    <s v="Backlog"/>
    <n v="28"/>
    <n v="0.03"/>
    <n v="1"/>
    <n v="1"/>
    <n v="1"/>
    <n v="100"/>
    <x v="1"/>
  </r>
  <r>
    <x v="2"/>
    <s v="SainteLague"/>
    <n v="552"/>
    <n v="16508"/>
    <s v="GP B2C-Automatiza√ß√£o da fatura√ß√£o APIN"/>
    <x v="29"/>
    <x v="1"/>
    <x v="0"/>
    <s v="Backlog"/>
    <n v="10"/>
    <n v="0.03"/>
    <n v="1"/>
    <n v="1"/>
    <n v="1"/>
    <n v="100"/>
    <x v="1"/>
  </r>
  <r>
    <x v="2"/>
    <s v="SainteLague"/>
    <n v="553"/>
    <n v="43520"/>
    <s v="[Alarmas Financieras] Alarma-78 Garantizar la igualaci√≥n de datos de clientes en tres herramientas. (SGC-Salesforce-SAP)"/>
    <x v="21"/>
    <x v="0"/>
    <x v="2"/>
    <s v="Backlog"/>
    <n v="32"/>
    <n v="0.03"/>
    <n v="1"/>
    <n v="1"/>
    <n v="1"/>
    <n v="100"/>
    <x v="1"/>
  </r>
  <r>
    <x v="2"/>
    <s v="SainteLague"/>
    <n v="554"/>
    <n v="131992"/>
    <s v="INT | Mulesoft ‚Äì Refatoriza√ß√£o de Aplica√ß√µes"/>
    <x v="7"/>
    <x v="1"/>
    <x v="3"/>
    <s v="In Definition"/>
    <n v="37"/>
    <n v="0.03"/>
    <n v="1"/>
    <n v="1"/>
    <n v="1"/>
    <n v="100"/>
    <x v="1"/>
  </r>
  <r>
    <x v="2"/>
    <s v="SainteLague"/>
    <n v="555"/>
    <n v="53788"/>
    <s v="Integraci√≥n Clientes"/>
    <x v="6"/>
    <x v="0"/>
    <x v="3"/>
    <s v="Backlog"/>
    <n v="67"/>
    <n v="0.03"/>
    <n v="1"/>
    <n v="1"/>
    <n v="1"/>
    <n v="100"/>
    <x v="1"/>
  </r>
  <r>
    <x v="2"/>
    <s v="SainteLague"/>
    <n v="556"/>
    <n v="152796"/>
    <s v="Onboarding POP - retifica√ß√£o de interface de cria√ß√£o de entidade"/>
    <x v="17"/>
    <x v="1"/>
    <x v="0"/>
    <s v="Backlog"/>
    <n v="10"/>
    <n v="0.03"/>
    <n v="1"/>
    <n v="1"/>
    <n v="1"/>
    <n v="100"/>
    <x v="1"/>
  </r>
  <r>
    <x v="2"/>
    <s v="SainteLague"/>
    <n v="557"/>
    <n v="47268"/>
    <s v="Mapper: Posibilidad de indicar la ruta de instalaci√≥n."/>
    <x v="22"/>
    <x v="0"/>
    <x v="0"/>
    <s v="Backlog"/>
    <n v="25"/>
    <n v="0.03"/>
    <n v="1"/>
    <n v="1"/>
    <n v="1"/>
    <n v="100"/>
    <x v="1"/>
  </r>
  <r>
    <x v="2"/>
    <s v="SainteLague"/>
    <n v="558"/>
    <n v="108370"/>
    <s v="Campanha para envios internacionais_PCR_4T2025"/>
    <x v="1"/>
    <x v="1"/>
    <x v="0"/>
    <s v="Backlog"/>
    <n v="18"/>
    <n v="0.03"/>
    <n v="1"/>
    <n v="1"/>
    <n v="1"/>
    <n v="100"/>
    <x v="1"/>
  </r>
  <r>
    <x v="2"/>
    <s v="SainteLague"/>
    <n v="559"/>
    <n v="43499"/>
    <s v="[Alarmas Finanzas] Alarma-85 Clientes con cambio tarifas &quot;a medio mes&quot;, si no avisan facturamos mal si hay retroactividad"/>
    <x v="21"/>
    <x v="0"/>
    <x v="2"/>
    <s v="Backlog"/>
    <n v="33"/>
    <n v="0.03"/>
    <n v="1"/>
    <n v="1"/>
    <n v="1"/>
    <n v="100"/>
    <x v="1"/>
  </r>
  <r>
    <x v="2"/>
    <s v="SainteLague"/>
    <n v="560"/>
    <n v="126578"/>
    <s v="Reformula√ß√£o do servi√ßo HDDTM"/>
    <x v="7"/>
    <x v="1"/>
    <x v="3"/>
    <s v="Backlog"/>
    <n v="38"/>
    <n v="0.03"/>
    <n v="1"/>
    <n v="1"/>
    <n v="1"/>
    <n v="100"/>
    <x v="1"/>
  </r>
  <r>
    <x v="2"/>
    <s v="SainteLague"/>
    <n v="561"/>
    <n v="65757"/>
    <s v="Plataforma de Configuraci√≥n de Agentes IA"/>
    <x v="6"/>
    <x v="0"/>
    <x v="3"/>
    <s v="In Definition"/>
    <n v="68"/>
    <n v="0.03"/>
    <n v="1"/>
    <n v="1"/>
    <n v="1"/>
    <n v="100"/>
    <x v="1"/>
  </r>
  <r>
    <x v="2"/>
    <s v="SainteLague"/>
    <n v="562"/>
    <n v="118750"/>
    <s v="Valida√ß√£o Autom√°tica de C√≥digos Postais Internacionais"/>
    <x v="9"/>
    <x v="1"/>
    <x v="0"/>
    <s v="Backlog"/>
    <n v="18"/>
    <n v="0.03"/>
    <n v="1"/>
    <n v="1"/>
    <n v="1"/>
    <n v="100"/>
    <x v="1"/>
  </r>
  <r>
    <x v="2"/>
    <s v="SainteLague"/>
    <n v="563"/>
    <n v="63422"/>
    <s v="[PUDOS]-Nueva colecci√≥n en Nexia. Acceso datos de DB manifest"/>
    <x v="0"/>
    <x v="0"/>
    <x v="0"/>
    <s v="Backlog"/>
    <n v="35"/>
    <n v="0.03"/>
    <n v="1"/>
    <n v="1"/>
    <n v="1"/>
    <n v="100"/>
    <x v="1"/>
  </r>
  <r>
    <x v="2"/>
    <s v="SainteLague"/>
    <n v="564"/>
    <n v="140470"/>
    <s v="Mata Aplica√ß√µes - Wave 1.15 - CRM Oracle Sales (Fase 1 - Execu√ß√£o)"/>
    <x v="7"/>
    <x v="1"/>
    <x v="3"/>
    <s v="Backlog"/>
    <n v="39"/>
    <n v="0.03"/>
    <n v="1"/>
    <n v="1"/>
    <n v="1"/>
    <n v="100"/>
    <x v="1"/>
  </r>
  <r>
    <x v="2"/>
    <s v="SainteLague"/>
    <n v="565"/>
    <n v="43514"/>
    <s v="[Evolutivos Salesforce] Alarma-77 Clientes reactivados (clientes que se dan de alta sin control)"/>
    <x v="21"/>
    <x v="0"/>
    <x v="2"/>
    <s v="Backlog"/>
    <n v="34"/>
    <n v="0.03"/>
    <n v="1"/>
    <n v="1"/>
    <n v="1"/>
    <n v="100"/>
    <x v="1"/>
  </r>
  <r>
    <x v="2"/>
    <s v="SainteLague"/>
    <n v="566"/>
    <n v="44136"/>
    <s v="Liquida√ß√£o de  objetos CTT  √† cobran√ßa"/>
    <x v="13"/>
    <x v="1"/>
    <x v="0"/>
    <s v="In Definition"/>
    <n v="14"/>
    <n v="0.03"/>
    <n v="1"/>
    <n v="1"/>
    <n v="1"/>
    <n v="100"/>
    <x v="1"/>
  </r>
  <r>
    <x v="2"/>
    <s v="SainteLague"/>
    <n v="567"/>
    <n v="65828"/>
    <s v="Nuevo entorno de desarrollo para microservicios"/>
    <x v="6"/>
    <x v="0"/>
    <x v="3"/>
    <s v="In Definition"/>
    <n v="69"/>
    <n v="0.03"/>
    <n v="1"/>
    <n v="1"/>
    <n v="1"/>
    <n v="100"/>
    <x v="1"/>
  </r>
  <r>
    <x v="2"/>
    <s v="SainteLague"/>
    <n v="568"/>
    <n v="36549"/>
    <s v="Novo Modelo de Replica√ß√£o de Dados Contratuais"/>
    <x v="25"/>
    <x v="1"/>
    <x v="3"/>
    <s v="Backlog"/>
    <n v="15"/>
    <n v="0.03"/>
    <n v="1"/>
    <n v="1"/>
    <n v="1"/>
    <n v="100"/>
    <x v="1"/>
  </r>
  <r>
    <x v="2"/>
    <s v="SainteLague"/>
    <n v="569"/>
    <n v="45892"/>
    <s v="[Minerva] - Dispersiones est√°ndar de ofertas de tipo B y C"/>
    <x v="8"/>
    <x v="0"/>
    <x v="0"/>
    <s v="Ready for Solution"/>
    <n v="29"/>
    <n v="0.03"/>
    <n v="1"/>
    <n v="1"/>
    <n v="1"/>
    <n v="100"/>
    <x v="1"/>
  </r>
  <r>
    <x v="2"/>
    <s v="SainteLague"/>
    <n v="570"/>
    <n v="36274"/>
    <s v="Corre√ß√£o Mapeamento inform√°tico - metadados Vales Pagos internacionais"/>
    <x v="27"/>
    <x v="1"/>
    <x v="0"/>
    <s v="In Definition"/>
    <n v="13"/>
    <n v="0.03"/>
    <n v="1"/>
    <n v="1"/>
    <n v="1"/>
    <n v="100"/>
    <x v="1"/>
  </r>
  <r>
    <x v="2"/>
    <s v="SainteLague"/>
    <n v="571"/>
    <n v="50323"/>
    <s v="Creaci√≥n de un entorno espec√≠fico para el Sistema de Gesti√≥n de Calidad y Sostenibilidad"/>
    <x v="28"/>
    <x v="0"/>
    <x v="2"/>
    <s v="Backlog"/>
    <n v="9"/>
    <n v="0.03"/>
    <n v="1"/>
    <n v="1"/>
    <n v="1"/>
    <n v="100"/>
    <x v="1"/>
  </r>
  <r>
    <x v="2"/>
    <s v="SainteLague"/>
    <n v="572"/>
    <n v="126577"/>
    <s v="Renova√ßao dos contratos de outsouricng COM"/>
    <x v="7"/>
    <x v="1"/>
    <x v="3"/>
    <s v="In Definition"/>
    <n v="40"/>
    <n v="0.03"/>
    <n v="1"/>
    <n v="1"/>
    <n v="1"/>
    <n v="100"/>
    <x v="1"/>
  </r>
  <r>
    <x v="2"/>
    <s v="SainteLague"/>
    <n v="573"/>
    <n v="46856"/>
    <s v="Cambio de API para disponer de la informaci√≥n de valor y peso a declarar ante la aduana por parte del Cliente  (TC)"/>
    <x v="6"/>
    <x v="0"/>
    <x v="3"/>
    <s v="Backlog"/>
    <n v="70"/>
    <n v="0.03"/>
    <n v="1"/>
    <n v="1"/>
    <n v="1"/>
    <n v="100"/>
    <x v="1"/>
  </r>
  <r>
    <x v="2"/>
    <s v="SainteLague"/>
    <n v="574"/>
    <n v="147251"/>
    <s v="SELO DIGITAL"/>
    <x v="1"/>
    <x v="1"/>
    <x v="0"/>
    <s v="Backlog"/>
    <n v="19"/>
    <n v="0.03"/>
    <n v="1"/>
    <n v="1"/>
    <n v="1"/>
    <n v="100"/>
    <x v="1"/>
  </r>
  <r>
    <x v="2"/>
    <s v="SainteLague"/>
    <n v="575"/>
    <n v="52728"/>
    <s v="BITACORA - Cambiar delivery_comments de lugar"/>
    <x v="22"/>
    <x v="0"/>
    <x v="0"/>
    <s v="Backlog"/>
    <n v="26"/>
    <n v="0.03"/>
    <n v="1"/>
    <n v="1"/>
    <n v="1"/>
    <n v="100"/>
    <x v="1"/>
  </r>
  <r>
    <x v="2"/>
    <s v="SainteLague"/>
    <n v="576"/>
    <n v="134801"/>
    <s v="Amazon | Servi√ßo POD (Prova de Entrega)"/>
    <x v="9"/>
    <x v="1"/>
    <x v="0"/>
    <s v="Backlog"/>
    <n v="19"/>
    <n v="0.03"/>
    <n v="1"/>
    <n v="1"/>
    <n v="1"/>
    <n v="100"/>
    <x v="1"/>
  </r>
  <r>
    <x v="2"/>
    <s v="SainteLague"/>
    <n v="577"/>
    <n v="59462"/>
    <s v="[Qlik &amp; Salesforce] - Alarmas Comercial 02- Cumplimiento del Comprometido Cierre Tareas"/>
    <x v="0"/>
    <x v="0"/>
    <x v="0"/>
    <s v="In Definition"/>
    <n v="36"/>
    <n v="0.03"/>
    <n v="1"/>
    <n v="1"/>
    <n v="1"/>
    <n v="100"/>
    <x v="1"/>
  </r>
  <r>
    <x v="2"/>
    <s v="SainteLague"/>
    <n v="578"/>
    <n v="132054"/>
    <s v="Observability | Notifications | Alarmistic association to Teams / Squads"/>
    <x v="7"/>
    <x v="1"/>
    <x v="3"/>
    <s v="Backlog"/>
    <n v="41"/>
    <n v="8"/>
    <n v="5"/>
    <n v="2"/>
    <n v="1"/>
    <n v="1"/>
    <x v="1"/>
  </r>
  <r>
    <x v="2"/>
    <s v="SainteLague"/>
    <n v="579"/>
    <n v="45725"/>
    <s v="[Evolutivos SGC Finanzas]  Historificaci√≥n datos de facturaci√≥n perdidos tras ataque inform√°tico (PENDIENTE SOLUCI√ìN DE IT YA PRESENTADA)"/>
    <x v="21"/>
    <x v="0"/>
    <x v="2"/>
    <s v="Backlog"/>
    <n v="35"/>
    <n v="0.03"/>
    <n v="1"/>
    <n v="1"/>
    <n v="1"/>
    <n v="100"/>
    <x v="1"/>
  </r>
  <r>
    <x v="2"/>
    <s v="SainteLague"/>
    <n v="580"/>
    <n v="189526"/>
    <s v="GPB2C | Inibi√ß√£o de Pagamentos a Entidades Coletivas Singulares no Nave e no STA"/>
    <x v="29"/>
    <x v="1"/>
    <x v="0"/>
    <s v="In Definition"/>
    <n v="11"/>
    <n v="0.03"/>
    <n v="1"/>
    <n v="1"/>
    <n v="1"/>
    <n v="100"/>
    <x v="1"/>
  </r>
  <r>
    <x v="2"/>
    <s v="SainteLague"/>
    <n v="581"/>
    <n v="52691"/>
    <s v="PMO - Seguimiento y Control de Proyectos"/>
    <x v="6"/>
    <x v="0"/>
    <x v="3"/>
    <s v="Backlog"/>
    <n v="71"/>
    <n v="0.03"/>
    <n v="1"/>
    <n v="1"/>
    <n v="1"/>
    <n v="100"/>
    <x v="1"/>
  </r>
  <r>
    <x v="2"/>
    <s v="SainteLague"/>
    <n v="582"/>
    <n v="36196"/>
    <s v="Redu√ß√£o do n√∫mero de sms enviados aos clientes"/>
    <x v="25"/>
    <x v="1"/>
    <x v="3"/>
    <s v="Backlog"/>
    <n v="16"/>
    <n v="0.03"/>
    <n v="1"/>
    <n v="1"/>
    <n v="1"/>
    <n v="100"/>
    <x v="1"/>
  </r>
  <r>
    <x v="2"/>
    <s v="SainteLague"/>
    <n v="583"/>
    <n v="54464"/>
    <s v="[Salesforce Sales] - Campo Centro Operativo de clientes que cuelgan de Agencias Virtuales (Amazon, ICP, Inditex....)"/>
    <x v="8"/>
    <x v="0"/>
    <x v="0"/>
    <s v="Backlog"/>
    <n v="30"/>
    <n v="0.03"/>
    <n v="1"/>
    <n v="1"/>
    <n v="1"/>
    <n v="100"/>
    <x v="1"/>
  </r>
  <r>
    <x v="2"/>
    <s v="SainteLague"/>
    <n v="584"/>
    <n v="56652"/>
    <s v="Coimas - Configura√ß√£o /Mapeamentos SAP"/>
    <x v="17"/>
    <x v="1"/>
    <x v="0"/>
    <s v="In Definition"/>
    <n v="11"/>
    <n v="0.03"/>
    <n v="1"/>
    <n v="1"/>
    <n v="1"/>
    <n v="100"/>
    <x v="1"/>
  </r>
  <r>
    <x v="2"/>
    <s v="SainteLague"/>
    <n v="585"/>
    <n v="43511"/>
    <s v="Portal Proveedores - Facturacion a/de proveedores fuera de SAP, necesidad de adaptar el modulo de proveedores"/>
    <x v="21"/>
    <x v="0"/>
    <x v="2"/>
    <s v="Backlog"/>
    <n v="36"/>
    <n v="0.03"/>
    <n v="1"/>
    <n v="1"/>
    <n v="1"/>
    <n v="100"/>
    <x v="1"/>
  </r>
  <r>
    <x v="2"/>
    <s v="SainteLague"/>
    <n v="586"/>
    <n v="71332"/>
    <s v="IOP | Sistemas - Migra√ß√£o -  Nova Farm Hyper V Lisboa - Wave 3"/>
    <x v="7"/>
    <x v="1"/>
    <x v="3"/>
    <s v="Pitch"/>
    <n v="42"/>
    <n v="0.75"/>
    <n v="1"/>
    <n v="1"/>
    <n v="1"/>
    <n v="4"/>
    <x v="1"/>
  </r>
  <r>
    <x v="2"/>
    <s v="SainteLague"/>
    <n v="587"/>
    <n v="57275"/>
    <s v="Seguimiento &amp; Control de IT - Formaci√≥n - Vacaciones - Otros"/>
    <x v="6"/>
    <x v="0"/>
    <x v="3"/>
    <s v="Backlog"/>
    <n v="72"/>
    <n v="0.03"/>
    <n v="1"/>
    <n v="1"/>
    <n v="1"/>
    <n v="100"/>
    <x v="1"/>
  </r>
  <r>
    <x v="2"/>
    <s v="SainteLague"/>
    <n v="588"/>
    <n v="60584"/>
    <s v="Nexus | We Sell | Customer Onboarding"/>
    <x v="13"/>
    <x v="1"/>
    <x v="0"/>
    <s v="In Definition"/>
    <n v="15"/>
    <n v="0.03"/>
    <n v="1"/>
    <n v="1"/>
    <n v="1"/>
    <n v="100"/>
    <x v="1"/>
  </r>
  <r>
    <x v="2"/>
    <s v="SainteLague"/>
    <n v="589"/>
    <n v="51569"/>
    <s v="BITACORA EVOLUCION DE ESTADOS FINALES"/>
    <x v="22"/>
    <x v="0"/>
    <x v="0"/>
    <s v="Backlog"/>
    <n v="27"/>
    <n v="0.03"/>
    <n v="1"/>
    <n v="1"/>
    <n v="1"/>
    <n v="100"/>
    <x v="1"/>
  </r>
  <r>
    <x v="2"/>
    <s v="SainteLague"/>
    <n v="590"/>
    <n v="131994"/>
    <s v="INT| -  Reconstru√ß√£o dos processos de LOGs do SD mulesoft no ELK coorporativo."/>
    <x v="7"/>
    <x v="1"/>
    <x v="3"/>
    <s v="Backlog"/>
    <n v="43"/>
    <n v="0.03"/>
    <n v="1"/>
    <n v="1"/>
    <n v="1"/>
    <n v="100"/>
    <x v="1"/>
  </r>
  <r>
    <x v="2"/>
    <s v="SainteLague"/>
    <n v="591"/>
    <n v="43545"/>
    <s v="[Evolutivos SGC] Adeudos manuales o autom√°ticos, (relacionado con trabajo de auditoria interna de ES ya informada en 2022) (Validar por Procesos)"/>
    <x v="21"/>
    <x v="0"/>
    <x v="2"/>
    <s v="Backlog"/>
    <n v="37"/>
    <n v="0.03"/>
    <n v="1"/>
    <n v="1"/>
    <n v="1"/>
    <n v="100"/>
    <x v="1"/>
  </r>
  <r>
    <x v="2"/>
    <s v="SainteLague"/>
    <n v="592"/>
    <n v="127256"/>
    <s v="Correio Registado Self-Service| Envios a partir do SuperPortal"/>
    <x v="1"/>
    <x v="1"/>
    <x v="0"/>
    <s v="Backlog"/>
    <n v="20"/>
    <n v="0.03"/>
    <n v="1"/>
    <n v="1"/>
    <n v="1"/>
    <n v="100"/>
    <x v="1"/>
  </r>
  <r>
    <x v="2"/>
    <s v="SainteLague"/>
    <n v="593"/>
    <n v="47102"/>
    <s v="Qlik para comerciales"/>
    <x v="0"/>
    <x v="0"/>
    <x v="0"/>
    <s v="In Definition"/>
    <n v="37"/>
    <n v="0.03"/>
    <n v="1"/>
    <n v="1"/>
    <n v="1"/>
    <n v="100"/>
    <x v="1"/>
  </r>
  <r>
    <x v="2"/>
    <s v="SainteLague"/>
    <n v="594"/>
    <n v="123004"/>
    <s v="Fatura√ß√£o do produto C65 - Tracked Simples - Altera√ß√£o Pr√©-Aviso"/>
    <x v="9"/>
    <x v="1"/>
    <x v="0"/>
    <s v="Backlog"/>
    <n v="20"/>
    <n v="0.03"/>
    <n v="1"/>
    <n v="1"/>
    <n v="1"/>
    <n v="100"/>
    <x v="1"/>
  </r>
  <r>
    <x v="2"/>
    <s v="SainteLague"/>
    <n v="595"/>
    <n v="43543"/>
    <s v="[Evolutivos SGC] Cambio de agencia de cargo en un env√≠o / Utilizacion de agencia de facturacion, (p√©rdida de funcionalidad)"/>
    <x v="21"/>
    <x v="0"/>
    <x v="2"/>
    <s v="Backlog"/>
    <n v="38"/>
    <n v="0.03"/>
    <n v="1"/>
    <n v="1"/>
    <n v="1"/>
    <n v="100"/>
    <x v="1"/>
  </r>
  <r>
    <x v="2"/>
    <s v="SainteLague"/>
    <n v="596"/>
    <n v="173201"/>
    <s v="IOP | CrushFTP - migra√ß√£o de CentOS para Ubuntu"/>
    <x v="7"/>
    <x v="1"/>
    <x v="3"/>
    <s v="Backlog"/>
    <n v="44"/>
    <n v="0.03"/>
    <n v="1"/>
    <n v="1"/>
    <n v="1"/>
    <n v="100"/>
    <x v="1"/>
  </r>
  <r>
    <x v="2"/>
    <s v="SainteLague"/>
    <n v="597"/>
    <n v="57776"/>
    <s v="[Minerva] - Evaluaci√≥n de la oferta en Minerva"/>
    <x v="8"/>
    <x v="0"/>
    <x v="0"/>
    <s v="Backlog"/>
    <n v="31"/>
    <n v="0.03"/>
    <n v="1"/>
    <n v="1"/>
    <n v="1"/>
    <n v="100"/>
    <x v="1"/>
  </r>
  <r>
    <x v="2"/>
    <s v="SainteLague"/>
    <n v="598"/>
    <n v="173335"/>
    <s v="Consulta de Objetos e Downlad dos POD'S"/>
    <x v="27"/>
    <x v="1"/>
    <x v="0"/>
    <s v="Backlog"/>
    <n v="14"/>
    <n v="0.03"/>
    <n v="1"/>
    <n v="1"/>
    <n v="1"/>
    <n v="100"/>
    <x v="1"/>
  </r>
  <r>
    <x v="2"/>
    <s v="SainteLague"/>
    <n v="599"/>
    <n v="48908"/>
    <s v="[Integraci√≥n] - Publicar landing page para gestionar Devoluciones por parte de los Destinatarios - (MAS DEPORTE)"/>
    <x v="22"/>
    <x v="0"/>
    <x v="0"/>
    <s v="In Definition"/>
    <n v="28"/>
    <n v="0.03"/>
    <n v="1"/>
    <n v="1"/>
    <n v="1"/>
    <n v="100"/>
    <x v="1"/>
  </r>
  <r>
    <x v="2"/>
    <s v="SainteLague"/>
    <n v="600"/>
    <n v="203092"/>
    <s v="PDFs Gerados de Listagens lojas est√£o alojados nos servidores do Nave"/>
    <x v="25"/>
    <x v="1"/>
    <x v="3"/>
    <s v="Backlog"/>
    <n v="17"/>
    <n v="0.03"/>
    <n v="1"/>
    <n v="1"/>
    <n v="1"/>
    <n v="100"/>
    <x v="1"/>
  </r>
  <r>
    <x v="2"/>
    <s v="SainteLague"/>
    <n v="601"/>
    <n v="65798"/>
    <s v="Exponer dato de c√≥digo de recogida propia"/>
    <x v="28"/>
    <x v="0"/>
    <x v="2"/>
    <s v="Backlog"/>
    <n v="10"/>
    <n v="0.03"/>
    <n v="1"/>
    <n v="1"/>
    <n v="1"/>
    <n v="100"/>
    <x v="1"/>
  </r>
  <r>
    <x v="2"/>
    <s v="SainteLague"/>
    <n v="602"/>
    <n v="156771"/>
    <s v="GPB2C | Subsidio Social de Mobilidade - Recomenda√ß√µes de Auditoria (N¬∫ 21001/23)"/>
    <x v="29"/>
    <x v="1"/>
    <x v="0"/>
    <s v="Backlog"/>
    <n v="12"/>
    <n v="0.03"/>
    <n v="1"/>
    <n v="1"/>
    <n v="1"/>
    <n v="100"/>
    <x v="1"/>
  </r>
  <r>
    <x v="2"/>
    <s v="SainteLague"/>
    <n v="603"/>
    <n v="53215"/>
    <s v="[PUDOS] -Planilla de selecci√≥n de puntos seg√∫n criterio del cliente"/>
    <x v="0"/>
    <x v="0"/>
    <x v="0"/>
    <s v="Backlog"/>
    <n v="38"/>
    <n v="0.03"/>
    <n v="1"/>
    <n v="1"/>
    <n v="1"/>
    <n v="100"/>
    <x v="1"/>
  </r>
  <r>
    <x v="2"/>
    <s v="SainteLague"/>
    <n v="604"/>
    <n v="132062"/>
    <s v="BPM - Upgrade WebSphere"/>
    <x v="7"/>
    <x v="1"/>
    <x v="3"/>
    <s v="Pitch"/>
    <n v="45"/>
    <n v="7"/>
    <n v="3"/>
    <n v="2"/>
    <n v="2"/>
    <n v="1"/>
    <x v="1"/>
  </r>
  <r>
    <x v="2"/>
    <s v="SainteLague"/>
    <n v="605"/>
    <n v="43547"/>
    <s v="[Evolutivos SGC]  Recuperar Doble click en grid inferior valoracion de servicios, no abre las tablas como antes para editar y cambios, (p√©rdida esta funcionalidad importante)"/>
    <x v="21"/>
    <x v="0"/>
    <x v="2"/>
    <s v="Backlog"/>
    <n v="39"/>
    <n v="0.03"/>
    <n v="1"/>
    <n v="1"/>
    <n v="1"/>
    <n v="100"/>
    <x v="1"/>
  </r>
  <r>
    <x v="2"/>
    <s v="SainteLague"/>
    <n v="606"/>
    <n v="203853"/>
    <s v="Sites CTT e Payshop | Inclus√£o dos Agentes Payshop na pesquisa de Pontos de Contacto CTT"/>
    <x v="17"/>
    <x v="1"/>
    <x v="0"/>
    <s v="Backlog"/>
    <n v="12"/>
    <n v="0.03"/>
    <n v="1"/>
    <n v="1"/>
    <n v="1"/>
    <n v="100"/>
    <x v="1"/>
  </r>
  <r>
    <x v="2"/>
    <s v="SainteLague"/>
    <n v="607"/>
    <n v="46220"/>
    <s v="[Salesforce Sales] - Disponer de un bot√≥n que permita sincronizar toda una cuenta (cliente, contactos y direcciones)"/>
    <x v="8"/>
    <x v="0"/>
    <x v="0"/>
    <s v="Backlog"/>
    <n v="32"/>
    <n v="0.03"/>
    <n v="1"/>
    <n v="1"/>
    <n v="1"/>
    <n v="100"/>
    <x v="1"/>
  </r>
  <r>
    <x v="2"/>
    <s v="SainteLague"/>
    <n v="608"/>
    <n v="127619"/>
    <s v="Configuration Profiles Endpoint"/>
    <x v="7"/>
    <x v="1"/>
    <x v="3"/>
    <s v="In Definition"/>
    <n v="46"/>
    <n v="0.03"/>
    <n v="1"/>
    <n v="1"/>
    <n v="1"/>
    <n v="100"/>
    <x v="1"/>
  </r>
  <r>
    <x v="2"/>
    <s v="SainteLague"/>
    <n v="609"/>
    <n v="43542"/>
    <s v="[Evolutivos SGC] Recuperar Acceso a modificacion de tarifas y configuracion del &quot;Microservicio&quot; (p√©rdida de funcionalidad importante)"/>
    <x v="21"/>
    <x v="0"/>
    <x v="2"/>
    <s v="Backlog"/>
    <n v="40"/>
    <n v="0.03"/>
    <n v="1"/>
    <n v="1"/>
    <n v="1"/>
    <n v="100"/>
    <x v="1"/>
  </r>
  <r>
    <x v="2"/>
    <s v="SainteLague"/>
    <n v="610"/>
    <n v="132425"/>
    <s v="Disponibilizar o produto Correio Registado internacional no aplicativo  &quot;Criar envio de Correio ou Expresso&quot;"/>
    <x v="1"/>
    <x v="1"/>
    <x v="0"/>
    <s v="In Definition"/>
    <n v="21"/>
    <n v="4.5"/>
    <n v="3"/>
    <n v="3"/>
    <n v="3"/>
    <n v="2"/>
    <x v="1"/>
  </r>
  <r>
    <x v="2"/>
    <s v="SainteLague"/>
    <n v="611"/>
    <n v="44547"/>
    <s v="Seguimiento de env√≠os por Api Devoluci√≥n retornado reexpedido y recogidas"/>
    <x v="22"/>
    <x v="0"/>
    <x v="0"/>
    <s v="In Definition"/>
    <n v="29"/>
    <n v="0.03"/>
    <n v="1"/>
    <n v="1"/>
    <n v="1"/>
    <n v="100"/>
    <x v="1"/>
  </r>
  <r>
    <x v="2"/>
    <s v="SainteLague"/>
    <n v="612"/>
    <n v="124000"/>
    <s v="Milytech| Altera√ß√£o √† extra√ß√£o de dados de envios"/>
    <x v="9"/>
    <x v="1"/>
    <x v="0"/>
    <s v="Backlog"/>
    <n v="21"/>
    <n v="0.03"/>
    <n v="1"/>
    <n v="1"/>
    <n v="1"/>
    <n v="100"/>
    <x v="1"/>
  </r>
  <r>
    <x v="2"/>
    <s v="SainteLague"/>
    <n v="613"/>
    <n v="48431"/>
    <s v="Web Clientes‚Äã - Automatizacion para Generacion y envio automatico de informes, Portal cliente"/>
    <x v="21"/>
    <x v="0"/>
    <x v="2"/>
    <s v="Backlog"/>
    <n v="41"/>
    <n v="0.03"/>
    <n v="1"/>
    <n v="1"/>
    <n v="1"/>
    <n v="100"/>
    <x v="1"/>
  </r>
  <r>
    <x v="2"/>
    <s v="SainteLague"/>
    <n v="614"/>
    <n v="140454"/>
    <s v="Kafka | Self Service"/>
    <x v="7"/>
    <x v="1"/>
    <x v="3"/>
    <s v="Backlog"/>
    <n v="47"/>
    <n v="0.03"/>
    <n v="1"/>
    <n v="1"/>
    <n v="1"/>
    <n v="100"/>
    <x v="1"/>
  </r>
  <r>
    <x v="2"/>
    <s v="SainteLague"/>
    <n v="615"/>
    <n v="46913"/>
    <s v="[Qlik] - Tasa de Retenci√≥n &amp; Churn Rate (Qlik: Automatizar el modelo)"/>
    <x v="0"/>
    <x v="0"/>
    <x v="0"/>
    <s v="In Definition"/>
    <n v="39"/>
    <n v="0.03"/>
    <n v="1"/>
    <n v="1"/>
    <n v="1"/>
    <n v="100"/>
    <x v="1"/>
  </r>
  <r>
    <x v="2"/>
    <s v="SainteLague"/>
    <n v="616"/>
    <n v="76670"/>
    <s v="GALAXY | Identifica√ß√£o dos Clientes nas Lojas F√≠sicas"/>
    <x v="13"/>
    <x v="1"/>
    <x v="0"/>
    <s v="In Definition"/>
    <n v="16"/>
    <n v="0.03"/>
    <n v="1"/>
    <n v="1"/>
    <n v="1"/>
    <n v="100"/>
    <x v="1"/>
  </r>
  <r>
    <x v="2"/>
    <s v="SainteLague"/>
    <n v="617"/>
    <n v="44020"/>
    <s v="[Salesforce] - Automatizaci√≥n de tarifas (en funci√≥n de env√≠os comprometidos y rentabilidad de la cuenta)"/>
    <x v="8"/>
    <x v="0"/>
    <x v="0"/>
    <s v="Ready for Solution"/>
    <n v="33"/>
    <n v="0.03"/>
    <n v="1"/>
    <n v="1"/>
    <n v="1"/>
    <n v="100"/>
    <x v="1"/>
  </r>
  <r>
    <x v="2"/>
    <s v="SainteLague"/>
    <n v="618"/>
    <n v="194112"/>
    <s v="Substitui√ß√£o da aplica√ß√£o de fatura√ß√£o do P&amp;F"/>
    <x v="25"/>
    <x v="1"/>
    <x v="3"/>
    <s v="In Definition"/>
    <n v="18"/>
    <n v="0.03"/>
    <n v="1"/>
    <n v="1"/>
    <n v="1"/>
    <n v="100"/>
    <x v="1"/>
  </r>
  <r>
    <x v="2"/>
    <s v="SainteLague"/>
    <n v="619"/>
    <n v="43540"/>
    <s v="[Evolutivos SGC]  Aplicaci√≥n de la densidad cuando el CP no existe, confirmar IT si todo el proceso esta acabado (Incidencia)"/>
    <x v="21"/>
    <x v="0"/>
    <x v="2"/>
    <s v="Backlog"/>
    <n v="42"/>
    <n v="0.03"/>
    <n v="1"/>
    <n v="1"/>
    <n v="1"/>
    <n v="100"/>
    <x v="1"/>
  </r>
  <r>
    <x v="2"/>
    <s v="SainteLague"/>
    <n v="620"/>
    <n v="127257"/>
    <s v="Aviso de Rece√ß√£o (AR) Digital | Envios SuperPortal, Prestadores e Super App"/>
    <x v="1"/>
    <x v="1"/>
    <x v="0"/>
    <s v="Backlog"/>
    <n v="22"/>
    <n v="0.03"/>
    <n v="1"/>
    <n v="1"/>
    <n v="1"/>
    <n v="100"/>
    <x v="1"/>
  </r>
  <r>
    <x v="2"/>
    <s v="SainteLague"/>
    <n v="621"/>
    <n v="53166"/>
    <s v="[Desconexi√≥n SGC] [WebHook] - Monitorizaci√≥n WebHooks clientes"/>
    <x v="22"/>
    <x v="0"/>
    <x v="0"/>
    <s v="Backlog"/>
    <n v="30"/>
    <n v="0.03"/>
    <n v="1"/>
    <n v="1"/>
    <n v="1"/>
    <n v="100"/>
    <x v="1"/>
  </r>
  <r>
    <x v="2"/>
    <s v="SainteLague"/>
    <n v="622"/>
    <n v="126588"/>
    <s v="Renova√ß√£o ativos rede Datacenter CTT Express (Lisboa e Barcelona)"/>
    <x v="7"/>
    <x v="1"/>
    <x v="3"/>
    <s v="Backlog"/>
    <n v="48"/>
    <n v="0.03"/>
    <n v="1"/>
    <n v="1"/>
    <n v="1"/>
    <n v="100"/>
    <x v="1"/>
  </r>
  <r>
    <x v="2"/>
    <s v="SainteLague"/>
    <n v="623"/>
    <n v="43500"/>
    <s v="[Alarmas Finanzas] Alarma-45 Reporte/Alerta de servicios antes del cierre &quot;Keysoft&quot;"/>
    <x v="21"/>
    <x v="0"/>
    <x v="2"/>
    <s v="Backlog"/>
    <n v="43"/>
    <n v="0.03"/>
    <n v="1"/>
    <n v="1"/>
    <n v="1"/>
    <n v="100"/>
    <x v="1"/>
  </r>
  <r>
    <x v="2"/>
    <s v="SainteLague"/>
    <n v="624"/>
    <n v="78453"/>
    <s v="Altera√ß√£o da Autentica√ß√£o dos Distribuidores nos Lockers"/>
    <x v="9"/>
    <x v="1"/>
    <x v="0"/>
    <s v="Backlog"/>
    <n v="22"/>
    <n v="0.03"/>
    <n v="1"/>
    <n v="1"/>
    <n v="1"/>
    <n v="100"/>
    <x v="1"/>
  </r>
  <r>
    <x v="2"/>
    <s v="SainteLague"/>
    <n v="625"/>
    <n v="63262"/>
    <s v="[Web de clientes] - Crear funci√≥n JS que devuelva el ID de los usuarios"/>
    <x v="0"/>
    <x v="0"/>
    <x v="0"/>
    <s v="Backlog"/>
    <n v="40"/>
    <n v="0.03"/>
    <n v="1"/>
    <n v="1"/>
    <n v="1"/>
    <n v="100"/>
    <x v="1"/>
  </r>
  <r>
    <x v="2"/>
    <s v="SainteLague"/>
    <n v="626"/>
    <n v="131993"/>
    <s v="INT| -  Mata Aplica√ß√µes Wave 1.1X - Solu√ß√£o de Transforma√ß√£o"/>
    <x v="7"/>
    <x v="1"/>
    <x v="3"/>
    <s v="Backlog"/>
    <n v="49"/>
    <n v="0.03"/>
    <n v="1"/>
    <n v="1"/>
    <n v="1"/>
    <n v="100"/>
    <x v="1"/>
  </r>
  <r>
    <x v="2"/>
    <s v="SainteLague"/>
    <n v="627"/>
    <n v="43536"/>
    <s v="[Evolutivos SGC] Acceso a tabla de retasados (NO las muestra si hay varias por validez en gestion de tablas) + Acceso Retasados microservicios (revisar Juancho)"/>
    <x v="21"/>
    <x v="0"/>
    <x v="2"/>
    <s v="Backlog"/>
    <n v="44"/>
    <n v="0.03"/>
    <n v="1"/>
    <n v="1"/>
    <n v="1"/>
    <n v="100"/>
    <x v="1"/>
  </r>
  <r>
    <x v="2"/>
    <s v="SainteLague"/>
    <n v="628"/>
    <n v="173279"/>
    <s v="Motor de Pesquisa de Varios objetos no T&amp;T"/>
    <x v="27"/>
    <x v="1"/>
    <x v="0"/>
    <s v="Backlog"/>
    <n v="15"/>
    <n v="0.03"/>
    <n v="1"/>
    <n v="1"/>
    <n v="1"/>
    <n v="100"/>
    <x v="1"/>
  </r>
  <r>
    <x v="2"/>
    <s v="SainteLague"/>
    <n v="629"/>
    <n v="48741"/>
    <s v="[Salesforce] - Automatismo de asignaci√≥n de casos a gestora de ingresos"/>
    <x v="8"/>
    <x v="0"/>
    <x v="0"/>
    <s v="Backlog"/>
    <n v="34"/>
    <n v="0.03"/>
    <n v="1"/>
    <n v="1"/>
    <n v="1"/>
    <n v="100"/>
    <x v="1"/>
  </r>
  <r>
    <x v="2"/>
    <s v="SainteLague"/>
    <n v="630"/>
    <n v="76398"/>
    <s v="Galaxy | MCE &amp; CDP - Nova Fase p√≥s MVP - Equipa ENABLER Salesforce (AGILE WAY)"/>
    <x v="13"/>
    <x v="1"/>
    <x v="0"/>
    <s v="In Definition"/>
    <n v="17"/>
    <n v="0.03"/>
    <n v="1"/>
    <n v="1"/>
    <n v="1"/>
    <n v="100"/>
    <x v="1"/>
  </r>
  <r>
    <x v="2"/>
    <s v="SainteLague"/>
    <n v="631"/>
    <n v="43503"/>
    <s v="[Alarmas Finanzas] Alarma-75 Comprobar env√≠os en agencias desactivadas"/>
    <x v="21"/>
    <x v="0"/>
    <x v="2"/>
    <s v="Backlog"/>
    <n v="45"/>
    <n v="0.03"/>
    <n v="1"/>
    <n v="1"/>
    <n v="1"/>
    <n v="100"/>
    <x v="1"/>
  </r>
  <r>
    <x v="2"/>
    <s v="SainteLague"/>
    <n v="632"/>
    <n v="190399"/>
    <s v="Descontinua√ß√£o do PIPOLI"/>
    <x v="25"/>
    <x v="1"/>
    <x v="3"/>
    <s v="Backlog"/>
    <n v="19"/>
    <n v="0.03"/>
    <n v="1"/>
    <n v="1"/>
    <n v="1"/>
    <n v="100"/>
    <x v="1"/>
  </r>
  <r>
    <x v="2"/>
    <s v="SainteLague"/>
    <n v="633"/>
    <n v="57021"/>
    <s v="[CANCEL SHIPMENT - Falta check ccc] URL Management rpc-cancel"/>
    <x v="22"/>
    <x v="0"/>
    <x v="0"/>
    <s v="Backlog"/>
    <n v="31"/>
    <n v="0.03"/>
    <n v="1"/>
    <n v="1"/>
    <n v="1"/>
    <n v="100"/>
    <x v="1"/>
  </r>
  <r>
    <x v="2"/>
    <s v="SainteLague"/>
    <n v="634"/>
    <n v="28297"/>
    <s v="B2C NAVe | GP B2C-Valida√ß√£o da data de Voo com a AT - Subsidio de Mobilidade"/>
    <x v="29"/>
    <x v="1"/>
    <x v="0"/>
    <s v="Backlog"/>
    <n v="13"/>
    <n v="0.03"/>
    <n v="1"/>
    <n v="1"/>
    <n v="1"/>
    <n v="100"/>
    <x v="1"/>
  </r>
  <r>
    <x v="2"/>
    <s v="SainteLague"/>
    <n v="635"/>
    <n v="49778"/>
    <s v="[Nexus - MVP] [PUDOS] - Desv√≠o a PUDO al vuelo en incidencia"/>
    <x v="0"/>
    <x v="0"/>
    <x v="0"/>
    <s v="Backlog"/>
    <n v="41"/>
    <n v="0.03"/>
    <n v="1"/>
    <n v="1"/>
    <n v="1"/>
    <n v="100"/>
    <x v="1"/>
  </r>
  <r>
    <x v="2"/>
    <s v="SainteLague"/>
    <n v="636"/>
    <n v="126580"/>
    <s v="Estudo para levantamento e alternativa ao MUS (Microsoft)"/>
    <x v="7"/>
    <x v="1"/>
    <x v="3"/>
    <s v="In Definition"/>
    <n v="50"/>
    <n v="0.03"/>
    <n v="1"/>
    <n v="1"/>
    <n v="1"/>
    <n v="100"/>
    <x v="1"/>
  </r>
  <r>
    <x v="2"/>
    <s v="SainteLague"/>
    <n v="637"/>
    <n v="43504"/>
    <s v="[Alarmas Finanzas] Alarma-56 Env√≠os abonados m√°s de una vez"/>
    <x v="21"/>
    <x v="0"/>
    <x v="2"/>
    <s v="Backlog"/>
    <n v="46"/>
    <n v="0.03"/>
    <n v="1"/>
    <n v="1"/>
    <n v="1"/>
    <n v="100"/>
    <x v="1"/>
  </r>
  <r>
    <x v="2"/>
    <s v="SainteLague"/>
    <n v="638"/>
    <n v="188749"/>
    <s v="Automatiza√ß√£o Revis√£o Alertas AML  (Payshop)"/>
    <x v="17"/>
    <x v="1"/>
    <x v="0"/>
    <s v="Backlog"/>
    <n v="13"/>
    <n v="0.03"/>
    <n v="1"/>
    <n v="1"/>
    <n v="1"/>
    <n v="100"/>
    <x v="1"/>
  </r>
  <r>
    <x v="2"/>
    <s v="SainteLague"/>
    <n v="639"/>
    <n v="55058"/>
    <s v="[Salesforce] - Datos de comisionista en Cuenta en el CRM"/>
    <x v="8"/>
    <x v="0"/>
    <x v="0"/>
    <s v="High Level Design"/>
    <n v="35"/>
    <n v="3"/>
    <n v="1"/>
    <n v="1"/>
    <n v="1"/>
    <n v="1"/>
    <x v="1"/>
  </r>
  <r>
    <x v="2"/>
    <s v="SainteLague"/>
    <n v="640"/>
    <n v="132063"/>
    <s v="ODM - Uniformiza√ß√£o Ambiente Produtivo"/>
    <x v="7"/>
    <x v="1"/>
    <x v="3"/>
    <s v="Backlog"/>
    <n v="51"/>
    <n v="7"/>
    <n v="3"/>
    <n v="2"/>
    <n v="2"/>
    <n v="1"/>
    <x v="1"/>
  </r>
  <r>
    <x v="2"/>
    <s v="SainteLague"/>
    <n v="641"/>
    <n v="43505"/>
    <s v="[Alarmas Finanzas] Alarma-55 Env√≠os pendientes de valorizar o sin facturar del mes anterior"/>
    <x v="21"/>
    <x v="0"/>
    <x v="2"/>
    <s v="Backlog"/>
    <n v="47"/>
    <n v="0.03"/>
    <n v="1"/>
    <n v="1"/>
    <n v="1"/>
    <n v="100"/>
    <x v="1"/>
  </r>
  <r>
    <x v="2"/>
    <s v="SainteLague"/>
    <n v="642"/>
    <n v="189783"/>
    <s v="Melhorias √°rea cliente correio"/>
    <x v="1"/>
    <x v="1"/>
    <x v="0"/>
    <s v="Backlog"/>
    <n v="23"/>
    <n v="0.03"/>
    <n v="1"/>
    <n v="1"/>
    <n v="1"/>
    <n v="100"/>
    <x v="1"/>
  </r>
  <r>
    <x v="2"/>
    <s v="SainteLague"/>
    <n v="643"/>
    <n v="47877"/>
    <s v="API'S para clientes Tipos Servicio Disponibles (Integraci√≥n de Clientes)"/>
    <x v="22"/>
    <x v="0"/>
    <x v="0"/>
    <s v="In Definition"/>
    <n v="32"/>
    <n v="0.03"/>
    <n v="1"/>
    <n v="1"/>
    <n v="1"/>
    <n v="100"/>
    <x v="1"/>
  </r>
  <r>
    <x v="2"/>
    <s v="SainteLague"/>
    <n v="644"/>
    <n v="95633"/>
    <s v="Assinaturas de autenticidade emails"/>
    <x v="7"/>
    <x v="1"/>
    <x v="3"/>
    <s v="Backlog"/>
    <n v="52"/>
    <n v="0.03"/>
    <n v="1"/>
    <n v="1"/>
    <n v="1"/>
    <n v="100"/>
    <x v="1"/>
  </r>
  <r>
    <x v="2"/>
    <s v="SainteLague"/>
    <n v="645"/>
    <n v="43553"/>
    <s v="[Compras] Implantaci√≥n e-Compras - Nueva Web venta material clientes (proyecto de finanzas 2023)"/>
    <x v="21"/>
    <x v="0"/>
    <x v="2"/>
    <s v="Backlog"/>
    <n v="48"/>
    <n v="0.03"/>
    <n v="1"/>
    <n v="1"/>
    <n v="1"/>
    <n v="100"/>
    <x v="1"/>
  </r>
  <r>
    <x v="2"/>
    <s v="SainteLague"/>
    <n v="646"/>
    <n v="94164"/>
    <s v="Reconfigura√ß√£o de Zonas de Taxa√ß√£o | Produtos Internacionais Expresso"/>
    <x v="9"/>
    <x v="1"/>
    <x v="0"/>
    <s v="Backlog"/>
    <n v="23"/>
    <n v="0.03"/>
    <n v="1"/>
    <n v="1"/>
    <n v="1"/>
    <n v="100"/>
    <x v="1"/>
  </r>
  <r>
    <x v="2"/>
    <s v="SainteLague"/>
    <n v="647"/>
    <n v="54317"/>
    <s v="[Desconexi√≥n SGC] [ FR y BR Web de clientes] - Proyecto Cloud (borrador)"/>
    <x v="0"/>
    <x v="0"/>
    <x v="0"/>
    <s v="Backlog"/>
    <n v="42"/>
    <n v="0.03"/>
    <n v="1"/>
    <n v="1"/>
    <n v="1"/>
    <n v="100"/>
    <x v="1"/>
  </r>
  <r>
    <x v="2"/>
    <s v="SainteLague"/>
    <n v="648"/>
    <n v="173281"/>
    <s v="Motor de Pesquisa de Varios objetos no S&amp;V"/>
    <x v="27"/>
    <x v="1"/>
    <x v="0"/>
    <s v="Backlog"/>
    <n v="16"/>
    <n v="0.03"/>
    <n v="1"/>
    <n v="1"/>
    <n v="1"/>
    <n v="100"/>
    <x v="1"/>
  </r>
  <r>
    <x v="2"/>
    <s v="SainteLague"/>
    <n v="649"/>
    <n v="43535"/>
    <s v="[Evolutivos SGC] Cambio de c√≥digo de Cliente al rectificar un servicio, confirmar IT si todo el proceso esta acabado (Incidencia)"/>
    <x v="21"/>
    <x v="0"/>
    <x v="2"/>
    <s v="Backlog"/>
    <n v="49"/>
    <n v="0.03"/>
    <n v="1"/>
    <n v="1"/>
    <n v="1"/>
    <n v="100"/>
    <x v="1"/>
  </r>
  <r>
    <x v="2"/>
    <s v="SainteLague"/>
    <n v="650"/>
    <n v="177539"/>
    <s v="Evolu√ß√£o tecnol√≥gica do PIAO"/>
    <x v="25"/>
    <x v="1"/>
    <x v="3"/>
    <s v="Backlog"/>
    <n v="20"/>
    <n v="0.03"/>
    <n v="1"/>
    <n v="1"/>
    <n v="1"/>
    <n v="100"/>
    <x v="1"/>
  </r>
  <r>
    <x v="2"/>
    <s v="SainteLague"/>
    <n v="651"/>
    <n v="54720"/>
    <s v="[Salesforce Sales] - Completar campo Estado / provincia"/>
    <x v="8"/>
    <x v="0"/>
    <x v="0"/>
    <s v="Backlog"/>
    <n v="36"/>
    <n v="0.03"/>
    <n v="1"/>
    <n v="1"/>
    <n v="1"/>
    <n v="100"/>
    <x v="1"/>
  </r>
  <r>
    <x v="2"/>
    <s v="SainteLague"/>
    <n v="652"/>
    <n v="206177"/>
    <s v="Galaxy | Avisados em Mobi - Indicadores de Loja (Modelo 415)"/>
    <x v="13"/>
    <x v="1"/>
    <x v="0"/>
    <s v="Backlog"/>
    <n v="18"/>
    <n v="0.03"/>
    <n v="1"/>
    <n v="1"/>
    <n v="1"/>
    <n v="100"/>
    <x v="1"/>
  </r>
  <r>
    <x v="2"/>
    <s v="SainteLague"/>
    <n v="653"/>
    <n v="38972"/>
    <s v="API'S para clientes Routing y Canalizaciones (Integraci√≥n de Clientes)"/>
    <x v="22"/>
    <x v="0"/>
    <x v="0"/>
    <s v="In Definition"/>
    <n v="33"/>
    <n v="0.03"/>
    <n v="1"/>
    <n v="1"/>
    <n v="1"/>
    <n v="100"/>
    <x v="1"/>
  </r>
  <r>
    <x v="2"/>
    <s v="SainteLague"/>
    <n v="654"/>
    <n v="127817"/>
    <s v="PTF | ODIN | Muticloud"/>
    <x v="7"/>
    <x v="1"/>
    <x v="3"/>
    <s v="Backlog"/>
    <n v="53"/>
    <n v="3.5"/>
    <n v="5"/>
    <n v="1"/>
    <n v="1"/>
    <n v="2"/>
    <x v="1"/>
  </r>
  <r>
    <x v="2"/>
    <s v="SainteLague"/>
    <n v="655"/>
    <n v="43551"/>
    <s v="[Evolutivos Salesforce]  Asignacion de tarifas por cliente master - Salesforce/Minerva (posibilidad de clientes centro con tarifas diferentes) (Validar por Herramientas Comerciales)"/>
    <x v="21"/>
    <x v="0"/>
    <x v="2"/>
    <s v="Backlog"/>
    <n v="50"/>
    <n v="0.03"/>
    <n v="1"/>
    <n v="1"/>
    <n v="1"/>
    <n v="100"/>
    <x v="1"/>
  </r>
  <r>
    <x v="2"/>
    <s v="SainteLague"/>
    <n v="656"/>
    <n v="199556"/>
    <s v="Desmaterializa√ß√£o dos Envios de Correio e Encomendas - Envios Online √önicos (Correio e Expresso)"/>
    <x v="1"/>
    <x v="1"/>
    <x v="0"/>
    <s v="Backlog"/>
    <n v="24"/>
    <n v="0.03"/>
    <n v="1"/>
    <n v="1"/>
    <n v="1"/>
    <n v="100"/>
    <x v="1"/>
  </r>
  <r>
    <x v="2"/>
    <s v="SainteLague"/>
    <n v="657"/>
    <n v="49975"/>
    <s v="[Internacional] - Informar a FedEx del valor asegurado del env√≠o"/>
    <x v="0"/>
    <x v="0"/>
    <x v="0"/>
    <s v="In Definition"/>
    <n v="43"/>
    <n v="0.03"/>
    <n v="1"/>
    <n v="1"/>
    <n v="1"/>
    <n v="100"/>
    <x v="1"/>
  </r>
  <r>
    <x v="2"/>
    <s v="SainteLague"/>
    <n v="658"/>
    <n v="74950"/>
    <s v="IOP | Instala√ß√£o e Ativa√ß√£o da Componente Guardian -  Nova Hyper V"/>
    <x v="7"/>
    <x v="1"/>
    <x v="3"/>
    <s v="Backlog"/>
    <n v="54"/>
    <n v="0.03"/>
    <n v="1"/>
    <n v="1"/>
    <n v="1"/>
    <n v="100"/>
    <x v="1"/>
  </r>
  <r>
    <x v="2"/>
    <s v="SainteLague"/>
    <n v="659"/>
    <n v="43534"/>
    <s v="[Evolutivos SGC] Aplicar correctamente los impuestos en funci√≥n de la combinaci√≥n art√≠culo-zona, Solicitud de 2015 potenciales problemas fiscales"/>
    <x v="21"/>
    <x v="0"/>
    <x v="2"/>
    <s v="Backlog"/>
    <n v="51"/>
    <n v="0.03"/>
    <n v="1"/>
    <n v="1"/>
    <n v="1"/>
    <n v="100"/>
    <x v="1"/>
  </r>
  <r>
    <x v="2"/>
    <s v="SainteLague"/>
    <n v="660"/>
    <n v="123999"/>
    <s v="Interconnect Common Return Platform | Upgrade p/ V2 (CRP2)"/>
    <x v="9"/>
    <x v="1"/>
    <x v="0"/>
    <s v="In Definition"/>
    <n v="24"/>
    <n v="0.03"/>
    <n v="1"/>
    <n v="1"/>
    <n v="1"/>
    <n v="100"/>
    <x v="1"/>
  </r>
  <r>
    <x v="2"/>
    <s v="SainteLague"/>
    <n v="661"/>
    <n v="46218"/>
    <s v="[Salesforce] - Cancelar ofertas no firmadas cuando se cancele una oportunidad"/>
    <x v="8"/>
    <x v="0"/>
    <x v="0"/>
    <s v="Backlog"/>
    <n v="37"/>
    <n v="0.03"/>
    <n v="1"/>
    <n v="1"/>
    <n v="1"/>
    <n v="100"/>
    <x v="1"/>
  </r>
  <r>
    <x v="2"/>
    <s v="SainteLague"/>
    <n v="662"/>
    <n v="131995"/>
    <s v="INT| -  Alarm√≠stica MuleSoft"/>
    <x v="7"/>
    <x v="1"/>
    <x v="3"/>
    <s v="Backlog"/>
    <n v="55"/>
    <n v="0.03"/>
    <n v="1"/>
    <n v="1"/>
    <n v="1"/>
    <n v="100"/>
    <x v="1"/>
  </r>
  <r>
    <x v="2"/>
    <s v="SainteLague"/>
    <n v="663"/>
    <n v="43531"/>
    <s v="[Evolutivos SGC] Recuperar el Numero de factura emitida en grid de valoracion de servicios, (perdida de funcionalidad)"/>
    <x v="21"/>
    <x v="0"/>
    <x v="2"/>
    <s v="Backlog"/>
    <n v="52"/>
    <n v="0.03"/>
    <n v="1"/>
    <n v="1"/>
    <n v="1"/>
    <n v="100"/>
    <x v="1"/>
  </r>
  <r>
    <x v="2"/>
    <s v="SainteLague"/>
    <n v="664"/>
    <n v="136621"/>
    <s v="Relat√≥rios Mensais para Novo Modelo Operativo - Postos n√£o NAVe"/>
    <x v="17"/>
    <x v="1"/>
    <x v="0"/>
    <s v="Backlog"/>
    <n v="14"/>
    <n v="0.03"/>
    <n v="1"/>
    <n v="1"/>
    <n v="1"/>
    <n v="100"/>
    <x v="1"/>
  </r>
  <r>
    <x v="2"/>
    <s v="SainteLague"/>
    <n v="665"/>
    <n v="55200"/>
    <s v="[Salesforce Sales] - Clonar cliente de PRODUCCION en UAT"/>
    <x v="22"/>
    <x v="0"/>
    <x v="0"/>
    <s v="Ready for Solution"/>
    <n v="34"/>
    <n v="0.03"/>
    <n v="1"/>
    <n v="1"/>
    <n v="1"/>
    <n v="100"/>
    <x v="1"/>
  </r>
  <r>
    <x v="2"/>
    <s v="SainteLague"/>
    <n v="666"/>
    <n v="136320"/>
    <s v="Eliminar aplicativo de envio internacional online legado"/>
    <x v="1"/>
    <x v="1"/>
    <x v="0"/>
    <s v="Backlog"/>
    <n v="25"/>
    <n v="5"/>
    <n v="3"/>
    <n v="3"/>
    <n v="4"/>
    <n v="2"/>
    <x v="1"/>
  </r>
  <r>
    <x v="2"/>
    <s v="SainteLague"/>
    <n v="667"/>
    <n v="43529"/>
    <s v="[Alarmas Finanzas] Servicios pendientes de meses anteriores que pasen al mes siguiente a modulo de facturaci√≥n una vez cerrado el mes (PENDIENTE DE SOLUCI√ìN DE IT YA PRESENTADA)"/>
    <x v="21"/>
    <x v="0"/>
    <x v="2"/>
    <s v="Backlog"/>
    <n v="53"/>
    <n v="0.03"/>
    <n v="1"/>
    <n v="1"/>
    <n v="1"/>
    <n v="100"/>
    <x v="1"/>
  </r>
  <r>
    <x v="2"/>
    <s v="SainteLague"/>
    <n v="668"/>
    <n v="48158"/>
    <s v="IOP | Redu√ß√£o da Obsolesc√™ncia Protocolos TLS 1.0 &amp; 1.1 WAVE 4 - Servidores Unix"/>
    <x v="7"/>
    <x v="1"/>
    <x v="3"/>
    <s v="Backlog"/>
    <n v="56"/>
    <n v="0.03"/>
    <n v="1"/>
    <n v="1"/>
    <n v="1"/>
    <n v="100"/>
    <x v="1"/>
  </r>
  <r>
    <x v="2"/>
    <s v="SainteLague"/>
    <n v="669"/>
    <n v="47879"/>
    <s v="[NEXUS] [Web de cambios] - Transformaci√≥n web de cambios - Redise√±o y tecnolog√≠a React"/>
    <x v="0"/>
    <x v="0"/>
    <x v="0"/>
    <s v="Pitch"/>
    <n v="44"/>
    <n v="0.03"/>
    <n v="1"/>
    <n v="1"/>
    <n v="1"/>
    <n v="100"/>
    <x v="1"/>
  </r>
  <r>
    <x v="2"/>
    <s v="SainteLague"/>
    <n v="670"/>
    <n v="163331"/>
    <s v="GPECL/DIS - Pack Expresso | Incremento ao Produto"/>
    <x v="9"/>
    <x v="1"/>
    <x v="0"/>
    <s v="Backlog"/>
    <n v="25"/>
    <n v="0.03"/>
    <n v="1"/>
    <n v="1"/>
    <n v="1"/>
    <n v="100"/>
    <x v="1"/>
  </r>
  <r>
    <x v="2"/>
    <s v="SainteLague"/>
    <n v="671"/>
    <n v="46216"/>
    <s v="[Salesforce Sales] - Modificar el CIF de un centro relacionado cuando se modifique un Prospecto"/>
    <x v="8"/>
    <x v="0"/>
    <x v="0"/>
    <s v="Backlog"/>
    <n v="38"/>
    <n v="0.03"/>
    <n v="1"/>
    <n v="1"/>
    <n v="1"/>
    <n v="100"/>
    <x v="1"/>
  </r>
  <r>
    <x v="2"/>
    <s v="SainteLague"/>
    <n v="672"/>
    <n v="158454"/>
    <s v="APT | IBM ODM | configurar HTTPS"/>
    <x v="7"/>
    <x v="1"/>
    <x v="3"/>
    <s v="Backlog"/>
    <n v="57"/>
    <n v="0.03"/>
    <n v="1"/>
    <n v="1"/>
    <n v="1"/>
    <n v="100"/>
    <x v="1"/>
  </r>
  <r>
    <x v="2"/>
    <s v="SainteLague"/>
    <n v="673"/>
    <n v="43528"/>
    <s v="[Evolutivo SGC] Adeudos RE2 y RE11 cargados el √∫ltimo d√≠a del mes pasadas las 17:00 horas (Pasar a Operaciones)"/>
    <x v="21"/>
    <x v="0"/>
    <x v="2"/>
    <s v="Backlog"/>
    <n v="54"/>
    <n v="0.03"/>
    <n v="1"/>
    <n v="1"/>
    <n v="1"/>
    <n v="100"/>
    <x v="1"/>
  </r>
  <r>
    <x v="2"/>
    <s v="SainteLague"/>
    <n v="674"/>
    <n v="201686"/>
    <s v="Galaxy | Avisados em Mobi - POD - Aumentar o campo assinatura"/>
    <x v="13"/>
    <x v="1"/>
    <x v="0"/>
    <s v="Backlog"/>
    <n v="19"/>
    <n v="0.03"/>
    <n v="1"/>
    <n v="1"/>
    <n v="1"/>
    <n v="100"/>
    <x v="1"/>
  </r>
  <r>
    <x v="2"/>
    <s v="SainteLague"/>
    <n v="675"/>
    <n v="49015"/>
    <s v="Publicar en Mule para Integrations recipient_available_actions"/>
    <x v="22"/>
    <x v="0"/>
    <x v="0"/>
    <s v="In Definition"/>
    <n v="35"/>
    <n v="0.03"/>
    <n v="1"/>
    <n v="1"/>
    <n v="1"/>
    <n v="100"/>
    <x v="1"/>
  </r>
  <r>
    <x v="2"/>
    <s v="SainteLague"/>
    <n v="676"/>
    <n v="50641"/>
    <s v="APT | ODIN | Self Service"/>
    <x v="7"/>
    <x v="1"/>
    <x v="3"/>
    <s v="Backlog"/>
    <n v="58"/>
    <n v="0.03"/>
    <n v="1"/>
    <n v="1"/>
    <n v="1"/>
    <n v="100"/>
    <x v="1"/>
  </r>
  <r>
    <x v="2"/>
    <s v="SainteLague"/>
    <n v="677"/>
    <n v="43526"/>
    <s v="[Evolutivo SGC] Desarrollar un sistema de refacturaci√≥n a los brokers para que autom√°ticamente podamos refacturarles los costes de recogida cuando se apliquen a brokers sin coste de recogida"/>
    <x v="21"/>
    <x v="0"/>
    <x v="2"/>
    <s v="Backlog"/>
    <n v="55"/>
    <n v="0.03"/>
    <n v="1"/>
    <n v="1"/>
    <n v="1"/>
    <n v="100"/>
    <x v="1"/>
  </r>
  <r>
    <x v="2"/>
    <s v="SainteLague"/>
    <n v="678"/>
    <n v="193256"/>
    <s v="Elimina√ß√£o da impress√£o da guia da Loja na aceita√ß√£o de objetos CTT Expresso (contratual e ocasional)"/>
    <x v="27"/>
    <x v="1"/>
    <x v="0"/>
    <s v="Backlog"/>
    <n v="17"/>
    <n v="0.03"/>
    <n v="1"/>
    <n v="1"/>
    <n v="1"/>
    <n v="100"/>
    <x v="1"/>
  </r>
  <r>
    <x v="2"/>
    <s v="SainteLague"/>
    <n v="679"/>
    <n v="58380"/>
    <s v="[Web de clientes] - Seguimiento 2.0 - Redise√±o de la secci√≥n de seguimiento"/>
    <x v="0"/>
    <x v="0"/>
    <x v="0"/>
    <s v="Backlog"/>
    <n v="45"/>
    <n v="0.03"/>
    <n v="1"/>
    <n v="1"/>
    <n v="1"/>
    <n v="100"/>
    <x v="1"/>
  </r>
  <r>
    <x v="2"/>
    <s v="SainteLague"/>
    <n v="680"/>
    <n v="48157"/>
    <s v="IOP | Redu√ß√£o da Obsolesc√™ncia Protocolos TLS 1.0 &amp; 1.1 WAVE 3"/>
    <x v="7"/>
    <x v="1"/>
    <x v="3"/>
    <s v="Backlog"/>
    <n v="59"/>
    <n v="0.03"/>
    <n v="1"/>
    <n v="1"/>
    <n v="1"/>
    <n v="100"/>
    <x v="1"/>
  </r>
  <r>
    <x v="2"/>
    <s v="SainteLague"/>
    <n v="681"/>
    <n v="43517"/>
    <s v="[SAP] Recargo de equivalencia (m√≥dulo +) Esta evolucion debe ser en SGC y en el interface de SAP no viaja"/>
    <x v="21"/>
    <x v="0"/>
    <x v="2"/>
    <s v="Backlog"/>
    <n v="56"/>
    <n v="0.03"/>
    <n v="1"/>
    <n v="1"/>
    <n v="1"/>
    <n v="100"/>
    <x v="1"/>
  </r>
  <r>
    <x v="2"/>
    <s v="SainteLague"/>
    <n v="682"/>
    <n v="90947"/>
    <s v="Descontinua√ß√£o das Guias em Papel e Aplica√ß√µes Locais ‚Äì Introdu√ß√£o de um custo adicional"/>
    <x v="1"/>
    <x v="1"/>
    <x v="0"/>
    <s v="Backlog"/>
    <n v="26"/>
    <n v="0.03"/>
    <n v="1"/>
    <n v="1"/>
    <n v="1"/>
    <n v="100"/>
    <x v="1"/>
  </r>
  <r>
    <x v="2"/>
    <s v="SainteLague"/>
    <n v="683"/>
    <n v="136973"/>
    <s v="[Salesforce Sales] - Incorporaci√≥n de nuevos Subsegmentos SME"/>
    <x v="8"/>
    <x v="0"/>
    <x v="0"/>
    <s v="Backlog"/>
    <n v="39"/>
    <n v="0.03"/>
    <n v="1"/>
    <n v="1"/>
    <n v="1"/>
    <n v="100"/>
    <x v="1"/>
  </r>
  <r>
    <x v="2"/>
    <s v="SainteLague"/>
    <n v="684"/>
    <n v="204261"/>
    <s v="GP ECL/INT - Erros envolvendo DHL - Objeto CTT que gera m√∫ltiplas Cartas de Porte DHL (AWB DHL Express)"/>
    <x v="9"/>
    <x v="1"/>
    <x v="0"/>
    <s v="Backlog"/>
    <n v="26"/>
    <n v="0.03"/>
    <n v="1"/>
    <n v="1"/>
    <n v="1"/>
    <n v="100"/>
    <x v="1"/>
  </r>
  <r>
    <x v="2"/>
    <s v="SainteLague"/>
    <n v="685"/>
    <n v="43524"/>
    <s v="[Evolutivos SGC] Nueva funcionalidad para Clientes que no etiquetan (recargo por mercancia no/mal etiquetada) (pendiente al ser antiguo revisar con LR)"/>
    <x v="21"/>
    <x v="0"/>
    <x v="2"/>
    <s v="Backlog"/>
    <n v="57"/>
    <n v="0.03"/>
    <n v="1"/>
    <n v="1"/>
    <n v="1"/>
    <n v="100"/>
    <x v="1"/>
  </r>
  <r>
    <x v="2"/>
    <s v="SainteLague"/>
    <n v="686"/>
    <n v="48156"/>
    <s v="IOP | Redu√ß√£o da Obsolesc√™ncia Protocolos TLS 1.0 &amp; 1.1 WAVE 2"/>
    <x v="7"/>
    <x v="1"/>
    <x v="3"/>
    <s v="Backlog"/>
    <n v="60"/>
    <n v="0.03"/>
    <n v="1"/>
    <n v="1"/>
    <n v="1"/>
    <n v="100"/>
    <x v="1"/>
  </r>
  <r>
    <x v="2"/>
    <s v="SainteLague"/>
    <n v="687"/>
    <n v="46225"/>
    <s v="[Desconexi√≥n SGC] [WebHook] - Dupla Logistics - Env√≠o de estados"/>
    <x v="22"/>
    <x v="0"/>
    <x v="0"/>
    <s v="In Definition"/>
    <n v="36"/>
    <n v="0.03"/>
    <n v="1"/>
    <n v="1"/>
    <n v="1"/>
    <n v="100"/>
    <x v="1"/>
  </r>
  <r>
    <x v="2"/>
    <s v="SainteLague"/>
    <n v="688"/>
    <n v="76382"/>
    <s v="[35908] - Jornada NBO: MOBI"/>
    <x v="13"/>
    <x v="1"/>
    <x v="0"/>
    <s v="In Definition"/>
    <n v="20"/>
    <n v="0.03"/>
    <n v="1"/>
    <n v="1"/>
    <n v="1"/>
    <n v="100"/>
    <x v="1"/>
  </r>
  <r>
    <x v="2"/>
    <s v="SainteLague"/>
    <n v="689"/>
    <n v="62731"/>
    <s v="[PUDOS] [Web clientes] - A√±adir campo nombre rtt en RDP"/>
    <x v="0"/>
    <x v="0"/>
    <x v="0"/>
    <s v="Backlog"/>
    <n v="46"/>
    <n v="0.03"/>
    <n v="1"/>
    <n v="1"/>
    <n v="1"/>
    <n v="100"/>
    <x v="1"/>
  </r>
  <r>
    <x v="2"/>
    <s v="SainteLague"/>
    <n v="690"/>
    <n v="131991"/>
    <s v="INT | Migra√ß√£o da solu√ß√£o da Knowledge Base atual para uma solu√ß√£o Knowledge Base coorporativa"/>
    <x v="7"/>
    <x v="1"/>
    <x v="3"/>
    <s v="Backlog"/>
    <n v="61"/>
    <n v="0.03"/>
    <n v="1"/>
    <n v="1"/>
    <n v="1"/>
    <n v="100"/>
    <x v="1"/>
  </r>
  <r>
    <x v="2"/>
    <s v="SainteLague"/>
    <n v="691"/>
    <n v="43558"/>
    <s v="[SAP] Migraci√≥n SAP"/>
    <x v="21"/>
    <x v="0"/>
    <x v="2"/>
    <s v="Backlog"/>
    <n v="58"/>
    <n v="0.03"/>
    <n v="1"/>
    <n v="1"/>
    <n v="1"/>
    <n v="100"/>
    <x v="1"/>
  </r>
  <r>
    <x v="2"/>
    <s v="SainteLague"/>
    <n v="692"/>
    <n v="94489"/>
    <s v="Fatura√ß√£o Agentes Payshop - automatiza√ß√£o e integra√ß√£o processo CTT"/>
    <x v="27"/>
    <x v="1"/>
    <x v="0"/>
    <s v="Backlog"/>
    <n v="18"/>
    <n v="0.03"/>
    <n v="1"/>
    <n v="1"/>
    <n v="1"/>
    <n v="100"/>
    <x v="1"/>
  </r>
  <r>
    <x v="2"/>
    <s v="SainteLague"/>
    <n v="693"/>
    <n v="135029"/>
    <s v="[Salesforce Sales] - Brokers y MBE: Permitir generaci√≥n de usuarios web"/>
    <x v="8"/>
    <x v="0"/>
    <x v="0"/>
    <s v="Backlog"/>
    <n v="40"/>
    <n v="2.6"/>
    <n v="3"/>
    <n v="5"/>
    <n v="5"/>
    <n v="5"/>
    <x v="1"/>
  </r>
  <r>
    <x v="2"/>
    <s v="SainteLague"/>
    <n v="694"/>
    <n v="35914"/>
    <s v="IOP | Evolu√ß√£o da Private Key Infrastructure (PKI) dos CTT"/>
    <x v="7"/>
    <x v="1"/>
    <x v="3"/>
    <s v="Backlog"/>
    <n v="62"/>
    <n v="0.03"/>
    <n v="1"/>
    <n v="1"/>
    <n v="1"/>
    <n v="100"/>
    <x v="1"/>
  </r>
  <r>
    <x v="2"/>
    <s v="SainteLague"/>
    <n v="695"/>
    <n v="52021"/>
    <s v="[Auditoria PT] Control peri√≥dico de Clientes Inactivos"/>
    <x v="21"/>
    <x v="0"/>
    <x v="2"/>
    <s v="Backlog"/>
    <n v="59"/>
    <n v="0.03"/>
    <n v="1"/>
    <n v="1"/>
    <n v="1"/>
    <n v="100"/>
    <x v="1"/>
  </r>
  <r>
    <x v="2"/>
    <s v="SainteLague"/>
    <n v="696"/>
    <n v="135540"/>
    <s v="Business Solutions - Recibos Online - Evolutivos 1B 2026 (janeiro e fevereiro)"/>
    <x v="1"/>
    <x v="1"/>
    <x v="0"/>
    <s v="In Approval"/>
    <n v="27"/>
    <n v="3"/>
    <n v="2"/>
    <n v="2"/>
    <n v="2"/>
    <n v="2"/>
    <x v="1"/>
  </r>
  <r>
    <x v="2"/>
    <s v="SainteLague"/>
    <n v="697"/>
    <n v="51230"/>
    <s v="[Desconexi√≥n SGC] [WebHook] - Celeritas - Transmisi√≥n de estados"/>
    <x v="22"/>
    <x v="0"/>
    <x v="0"/>
    <s v="In Definition"/>
    <n v="37"/>
    <n v="0.03"/>
    <n v="1"/>
    <n v="1"/>
    <n v="1"/>
    <n v="100"/>
    <x v="1"/>
  </r>
  <r>
    <x v="2"/>
    <s v="SainteLague"/>
    <n v="698"/>
    <n v="132058"/>
    <s v="Evolutivos CRM Q1.2026"/>
    <x v="7"/>
    <x v="1"/>
    <x v="3"/>
    <s v="Pitch"/>
    <n v="63"/>
    <n v="4"/>
    <n v="2"/>
    <n v="1"/>
    <n v="1"/>
    <n v="1"/>
    <x v="1"/>
  </r>
  <r>
    <x v="2"/>
    <s v="SainteLague"/>
    <n v="699"/>
    <n v="55732"/>
    <s v="Crear LOG  reglas de pago clientes SGC"/>
    <x v="21"/>
    <x v="0"/>
    <x v="2"/>
    <s v="Backlog"/>
    <n v="60"/>
    <n v="0.03"/>
    <n v="1"/>
    <n v="1"/>
    <n v="1"/>
    <n v="100"/>
    <x v="1"/>
  </r>
  <r>
    <x v="2"/>
    <s v="SainteLague"/>
    <n v="700"/>
    <n v="178627"/>
    <s v="GPECL/DIS - Notifica√ß√µes S√°bado e Domingo // altera√ß√£o do processo de indica√ß√£o da data de entrega"/>
    <x v="9"/>
    <x v="1"/>
    <x v="0"/>
    <s v="Backlog"/>
    <n v="27"/>
    <n v="0.03"/>
    <n v="1"/>
    <n v="1"/>
    <n v="1"/>
    <n v="100"/>
    <x v="1"/>
  </r>
  <r>
    <x v="2"/>
    <s v="SainteLague"/>
    <n v="701"/>
    <n v="62062"/>
    <s v="[Web de Clientes] - Visualizar costes de los servicios adicionales en la web de clientes"/>
    <x v="0"/>
    <x v="0"/>
    <x v="0"/>
    <s v="Backlog"/>
    <n v="47"/>
    <n v="0.03"/>
    <n v="1"/>
    <n v="1"/>
    <n v="1"/>
    <n v="100"/>
    <x v="1"/>
  </r>
  <r>
    <x v="2"/>
    <s v="SainteLague"/>
    <n v="702"/>
    <n v="63944"/>
    <s v="solu√ß√£o de atualiza√ß√£o de tracking em real time - Cliente Veryfex (Prozis)"/>
    <x v="13"/>
    <x v="1"/>
    <x v="0"/>
    <s v="In Definition"/>
    <n v="21"/>
    <n v="0.03"/>
    <n v="1"/>
    <n v="1"/>
    <n v="1"/>
    <n v="100"/>
    <x v="1"/>
  </r>
  <r>
    <x v="2"/>
    <s v="SainteLague"/>
    <n v="703"/>
    <n v="52025"/>
    <s v="[Auditoria PT] Consulta del historial de los datos de los objetos que han sido alterados manualmente o corregidos por la automatizaci√≥n"/>
    <x v="21"/>
    <x v="0"/>
    <x v="2"/>
    <s v="Backlog"/>
    <n v="61"/>
    <n v="0.03"/>
    <n v="1"/>
    <n v="1"/>
    <n v="1"/>
    <n v="100"/>
    <x v="1"/>
  </r>
  <r>
    <x v="2"/>
    <s v="SainteLague"/>
    <n v="704"/>
    <n v="192640"/>
    <s v="IOP | DNS private resolvers - descontinuar bind em 2 vms ubuntu"/>
    <x v="7"/>
    <x v="1"/>
    <x v="3"/>
    <s v="Backlog"/>
    <n v="64"/>
    <n v="0.03"/>
    <n v="1"/>
    <n v="1"/>
    <n v="1"/>
    <n v="100"/>
    <x v="1"/>
  </r>
  <r>
    <x v="2"/>
    <s v="SainteLague"/>
    <n v="705"/>
    <n v="54777"/>
    <s v="[Salesforce Sales] - Notificaciones del Plan de Acompa√±amiento autom√°ticas"/>
    <x v="8"/>
    <x v="0"/>
    <x v="0"/>
    <s v="Backlog"/>
    <n v="41"/>
    <n v="0.03"/>
    <n v="1"/>
    <n v="1"/>
    <n v="1"/>
    <n v="100"/>
    <x v="1"/>
  </r>
  <r>
    <x v="2"/>
    <s v="SainteLague"/>
    <n v="706"/>
    <n v="135537"/>
    <s v="Business Solutions - STICO - Evolutivos 1B 2026 (janeiro e fevereiro)"/>
    <x v="1"/>
    <x v="1"/>
    <x v="0"/>
    <s v="In Approval"/>
    <n v="28"/>
    <n v="3.5"/>
    <n v="3"/>
    <n v="2"/>
    <n v="2"/>
    <n v="2"/>
    <x v="1"/>
  </r>
  <r>
    <x v="2"/>
    <s v="SainteLague"/>
    <n v="707"/>
    <n v="52579"/>
    <s v="Manifest - Estandarizaci√≥n de formato DNI en env√≠oscon adicional RID: Transformaci√≥n autom√°tica a may√∫sculas"/>
    <x v="22"/>
    <x v="0"/>
    <x v="0"/>
    <s v="Backlog"/>
    <n v="38"/>
    <n v="0.03"/>
    <n v="1"/>
    <n v="1"/>
    <n v="1"/>
    <n v="100"/>
    <x v="1"/>
  </r>
  <r>
    <x v="2"/>
    <s v="SainteLague"/>
    <n v="708"/>
    <n v="137466"/>
    <s v="Configura√ß√£o do pagamento de faturas no Locky"/>
    <x v="17"/>
    <x v="1"/>
    <x v="3"/>
    <s v="Backlog"/>
    <n v="15"/>
    <n v="0.03"/>
    <n v="1"/>
    <n v="1"/>
    <n v="1"/>
    <n v="100"/>
    <x v="1"/>
  </r>
  <r>
    <x v="2"/>
    <s v="SainteLague"/>
    <n v="709"/>
    <n v="52032"/>
    <s v="[Auditoria PT] Control de revisiones de alteraciones manuales"/>
    <x v="21"/>
    <x v="0"/>
    <x v="2"/>
    <s v="Backlog"/>
    <n v="62"/>
    <n v="0.03"/>
    <n v="1"/>
    <n v="1"/>
    <n v="1"/>
    <n v="100"/>
    <x v="1"/>
  </r>
  <r>
    <x v="2"/>
    <s v="SainteLague"/>
    <n v="710"/>
    <n v="43366"/>
    <s v="GPECL/INT -  Eventos DHL n√£o integrados no T&amp;T CTT"/>
    <x v="9"/>
    <x v="1"/>
    <x v="0"/>
    <s v="Backlog"/>
    <n v="28"/>
    <n v="0.03"/>
    <n v="1"/>
    <n v="1"/>
    <n v="1"/>
    <n v="100"/>
    <x v="1"/>
  </r>
  <r>
    <x v="2"/>
    <s v="SainteLague"/>
    <n v="711"/>
    <n v="56929"/>
    <s v="[Web de clientes] - Funcionalidad de gestionar y visualizar el seguimiento de los Retornados"/>
    <x v="0"/>
    <x v="0"/>
    <x v="0"/>
    <s v="Ready for Solution"/>
    <n v="48"/>
    <n v="0.03"/>
    <n v="1"/>
    <n v="1"/>
    <n v="1"/>
    <n v="100"/>
    <x v="1"/>
  </r>
  <r>
    <x v="2"/>
    <s v="SainteLague"/>
    <n v="712"/>
    <n v="192033"/>
    <s v="IOP | Internet - visibilidade sobre utiliza√ß√£o e qualidade do servi√ßo"/>
    <x v="7"/>
    <x v="1"/>
    <x v="3"/>
    <s v="Backlog"/>
    <n v="65"/>
    <n v="0.03"/>
    <n v="1"/>
    <n v="1"/>
    <n v="1"/>
    <n v="100"/>
    <x v="1"/>
  </r>
  <r>
    <x v="2"/>
    <s v="SainteLague"/>
    <n v="713"/>
    <n v="52034"/>
    <s v="[Auditoria PT] Evaluar la implementaci√≥n de una reclasificaci√≥n autom√°tica de los servicios declarados incorrectamente por el cliente"/>
    <x v="21"/>
    <x v="0"/>
    <x v="2"/>
    <s v="Backlog"/>
    <n v="63"/>
    <n v="0.03"/>
    <n v="1"/>
    <n v="1"/>
    <n v="1"/>
    <n v="100"/>
    <x v="1"/>
  </r>
  <r>
    <x v="2"/>
    <s v="SainteLague"/>
    <n v="714"/>
    <n v="94915"/>
    <s v="Agentes Payshop - cria√ß√£o de base de dados certificada com liga√ß√£o a ferramenta de edi√ß√£o/consulta"/>
    <x v="27"/>
    <x v="1"/>
    <x v="0"/>
    <s v="Backlog"/>
    <n v="19"/>
    <n v="0.03"/>
    <n v="1"/>
    <n v="1"/>
    <n v="1"/>
    <n v="100"/>
    <x v="1"/>
  </r>
  <r>
    <x v="2"/>
    <s v="SainteLague"/>
    <n v="715"/>
    <n v="46855"/>
    <s v="Nueva estrategia de integraci√≥n de Clientes (TC)"/>
    <x v="8"/>
    <x v="0"/>
    <x v="0"/>
    <s v="Backlog"/>
    <n v="42"/>
    <n v="0.03"/>
    <n v="1"/>
    <n v="1"/>
    <n v="1"/>
    <n v="100"/>
    <x v="1"/>
  </r>
  <r>
    <x v="2"/>
    <s v="SainteLague"/>
    <n v="716"/>
    <n v="131989"/>
    <s v="INT| -  Mata Aplica√ß√µes Wave 1.1X - Tradutor"/>
    <x v="7"/>
    <x v="1"/>
    <x v="3"/>
    <s v="Backlog"/>
    <n v="66"/>
    <n v="0.03"/>
    <n v="1"/>
    <n v="1"/>
    <n v="1"/>
    <n v="100"/>
    <x v="1"/>
  </r>
  <r>
    <x v="2"/>
    <s v="SainteLague"/>
    <n v="717"/>
    <n v="52035"/>
    <s v="[Auditoria PT]  Seguimiento de los cambios realizados manualmente o mediante automatizaci√≥n y control/aprobaci√≥n de los mismos"/>
    <x v="21"/>
    <x v="0"/>
    <x v="2"/>
    <s v="Backlog"/>
    <n v="64"/>
    <n v="0.03"/>
    <n v="1"/>
    <n v="1"/>
    <n v="1"/>
    <n v="100"/>
    <x v="1"/>
  </r>
  <r>
    <x v="2"/>
    <s v="SainteLague"/>
    <n v="718"/>
    <n v="135529"/>
    <s v="Business Solutions - P&amp;F - Evolutivos 1B 2026 (janeiro e fevereiro)"/>
    <x v="1"/>
    <x v="1"/>
    <x v="0"/>
    <s v="In Approval"/>
    <n v="29"/>
    <n v="3.5"/>
    <n v="3"/>
    <n v="2"/>
    <n v="2"/>
    <n v="2"/>
    <x v="1"/>
  </r>
  <r>
    <x v="2"/>
    <s v="SainteLague"/>
    <n v="719"/>
    <n v="45965"/>
    <s v="[Salesforce Integraci√≥n Clientes] - Nueva l√≥gica creaci√≥n de implementaciones"/>
    <x v="22"/>
    <x v="0"/>
    <x v="0"/>
    <s v="Ready for Solution"/>
    <n v="39"/>
    <n v="0.03"/>
    <n v="1"/>
    <n v="1"/>
    <n v="1"/>
    <n v="100"/>
    <x v="1"/>
  </r>
  <r>
    <x v="2"/>
    <s v="SainteLague"/>
    <n v="720"/>
    <n v="157527"/>
    <s v="Nova Oferta produtos Untracked e Tracked Simples - melhoria de informa√ß√£o site TT 2023 07 24"/>
    <x v="9"/>
    <x v="1"/>
    <x v="0"/>
    <s v="Backlog"/>
    <n v="29"/>
    <n v="0.03"/>
    <n v="1"/>
    <n v="1"/>
    <n v="1"/>
    <n v="100"/>
    <x v="1"/>
  </r>
  <r>
    <x v="2"/>
    <s v="SainteLague"/>
    <n v="721"/>
    <n v="61841"/>
    <s v="SGC - Anulaci√≥n eventos PT"/>
    <x v="21"/>
    <x v="0"/>
    <x v="2"/>
    <s v="Backlog"/>
    <n v="65"/>
    <n v="0.03"/>
    <n v="1"/>
    <n v="1"/>
    <n v="1"/>
    <n v="100"/>
    <x v="1"/>
  </r>
  <r>
    <x v="2"/>
    <s v="SainteLague"/>
    <n v="722"/>
    <n v="180676"/>
    <s v="IOP | ClearPass - alargar cobertura da solu√ß√£o de Network Access Control"/>
    <x v="7"/>
    <x v="1"/>
    <x v="3"/>
    <s v="Backlog"/>
    <n v="67"/>
    <n v="0.03"/>
    <n v="1"/>
    <n v="1"/>
    <n v="1"/>
    <n v="100"/>
    <x v="1"/>
  </r>
  <r>
    <x v="2"/>
    <s v="SainteLague"/>
    <n v="723"/>
    <n v="49250"/>
    <s v="[Procesos] - Reenv√≠o notificaciones env√≠os en incidencia estacionados"/>
    <x v="0"/>
    <x v="0"/>
    <x v="0"/>
    <s v="In Definition"/>
    <n v="49"/>
    <n v="0.03"/>
    <n v="1"/>
    <n v="1"/>
    <n v="1"/>
    <n v="100"/>
    <x v="1"/>
  </r>
  <r>
    <x v="2"/>
    <s v="SainteLague"/>
    <n v="724"/>
    <n v="127396"/>
    <s v="Evolutivos Nave Janeiro e Fevereiro 2026"/>
    <x v="13"/>
    <x v="1"/>
    <x v="0"/>
    <s v="In Approval"/>
    <n v="22"/>
    <n v="0.03"/>
    <n v="1"/>
    <n v="1"/>
    <n v="1"/>
    <n v="100"/>
    <x v="1"/>
  </r>
  <r>
    <x v="2"/>
    <s v="SainteLague"/>
    <n v="725"/>
    <n v="46844"/>
    <s v="Revisi√≥n feedback a Clientes conectados a SGC (legacy)"/>
    <x v="8"/>
    <x v="0"/>
    <x v="0"/>
    <s v="Backlog"/>
    <n v="43"/>
    <n v="0.03"/>
    <n v="1"/>
    <n v="1"/>
    <n v="1"/>
    <n v="100"/>
    <x v="1"/>
  </r>
  <r>
    <x v="2"/>
    <s v="SainteLague"/>
    <n v="726"/>
    <n v="140460"/>
    <s v="Evolutivos CRM Q2.2026"/>
    <x v="7"/>
    <x v="1"/>
    <x v="3"/>
    <s v="Backlog"/>
    <n v="68"/>
    <n v="4"/>
    <n v="2"/>
    <n v="1"/>
    <n v="1"/>
    <n v="1"/>
    <x v="1"/>
  </r>
  <r>
    <x v="2"/>
    <s v="SainteLague"/>
    <n v="727"/>
    <n v="62846"/>
    <s v="Evoluci√≥n verificaci√≥n periodos + (pesos y medidas) V2"/>
    <x v="21"/>
    <x v="0"/>
    <x v="2"/>
    <s v="Backlog"/>
    <n v="66"/>
    <n v="0.03"/>
    <n v="1"/>
    <n v="1"/>
    <n v="1"/>
    <n v="100"/>
    <x v="1"/>
  </r>
  <r>
    <x v="2"/>
    <s v="SainteLague"/>
    <n v="728"/>
    <n v="135525"/>
    <s v="Business Solutions - Evolutivos 1B 2026 (janeiro e fevereiro)"/>
    <x v="1"/>
    <x v="1"/>
    <x v="0"/>
    <s v="In Approval"/>
    <n v="30"/>
    <n v="4"/>
    <n v="3"/>
    <n v="2"/>
    <n v="3"/>
    <n v="2"/>
    <x v="1"/>
  </r>
  <r>
    <x v="2"/>
    <s v="SainteLague"/>
    <n v="729"/>
    <n v="46343"/>
    <s v="[Salesforce Integraci√≥n Clientes] - Automatizar el cierre de una implementaci√≥n exitosa"/>
    <x v="22"/>
    <x v="0"/>
    <x v="0"/>
    <s v="Backlog"/>
    <n v="40"/>
    <n v="0.03"/>
    <n v="1"/>
    <n v="1"/>
    <n v="1"/>
    <n v="100"/>
    <x v="1"/>
  </r>
  <r>
    <x v="2"/>
    <s v="SainteLague"/>
    <n v="730"/>
    <n v="180673"/>
    <s v="IOP | Segrega√ß√£o da Rede Privada"/>
    <x v="7"/>
    <x v="1"/>
    <x v="3"/>
    <s v="Backlog"/>
    <n v="69"/>
    <n v="0.03"/>
    <n v="1"/>
    <n v="1"/>
    <n v="1"/>
    <n v="100"/>
    <x v="1"/>
  </r>
  <r>
    <x v="2"/>
    <s v="SainteLague"/>
    <n v="731"/>
    <n v="66282"/>
    <s v="Plantilla modificacion de clientes sap hanna"/>
    <x v="21"/>
    <x v="0"/>
    <x v="2"/>
    <s v="Backlog"/>
    <n v="67"/>
    <n v="0.03"/>
    <n v="1"/>
    <n v="1"/>
    <n v="1"/>
    <n v="100"/>
    <x v="1"/>
  </r>
  <r>
    <x v="2"/>
    <s v="SainteLague"/>
    <n v="732"/>
    <n v="140468"/>
    <s v="GPECL/DIS - CTT Now melhorias aplica√ß√£o"/>
    <x v="9"/>
    <x v="1"/>
    <x v="0"/>
    <s v="Backlog"/>
    <n v="30"/>
    <n v="0.03"/>
    <n v="1"/>
    <n v="1"/>
    <n v="1"/>
    <n v="100"/>
    <x v="1"/>
  </r>
  <r>
    <x v="2"/>
    <s v="SainteLague"/>
    <n v="733"/>
    <n v="45758"/>
    <s v="[Qlik] - CANDIDATES MANAGEMENT (Crear un modelo para medir las campa√±as de MK)"/>
    <x v="0"/>
    <x v="0"/>
    <x v="0"/>
    <s v="Backlog"/>
    <n v="50"/>
    <n v="0.03"/>
    <n v="1"/>
    <n v="1"/>
    <n v="1"/>
    <n v="100"/>
    <x v="1"/>
  </r>
  <r>
    <x v="2"/>
    <s v="SainteLague"/>
    <n v="734"/>
    <n v="139747"/>
    <s v="Integra√ß√£o da API do AEDoc no Projeto ‚Äì Nova Arquitetura de Aceita√ß√£o"/>
    <x v="17"/>
    <x v="1"/>
    <x v="3"/>
    <s v="Backlog"/>
    <n v="16"/>
    <n v="3"/>
    <n v="3"/>
    <n v="1"/>
    <n v="2"/>
    <n v="2"/>
    <x v="1"/>
  </r>
  <r>
    <x v="2"/>
    <s v="SainteLague"/>
    <n v="735"/>
    <n v="63696"/>
    <s v="Query direcciones de recogida portal del proveedor"/>
    <x v="21"/>
    <x v="0"/>
    <x v="2"/>
    <s v="In Definition"/>
    <n v="68"/>
    <n v="0.03"/>
    <n v="1"/>
    <n v="1"/>
    <n v="1"/>
    <n v="100"/>
    <x v="1"/>
  </r>
  <r>
    <x v="2"/>
    <s v="SainteLague"/>
    <n v="736"/>
    <n v="46750"/>
    <s v="Atualiza√ß√£o Cat√°logo Produtos e Otimiza√ß√£o de Guias de Remessa (Opera√ß√µes de Filatelia)"/>
    <x v="27"/>
    <x v="1"/>
    <x v="0"/>
    <s v="Backlog"/>
    <n v="20"/>
    <n v="0.03"/>
    <n v="1"/>
    <n v="1"/>
    <n v="1"/>
    <n v="100"/>
    <x v="1"/>
  </r>
  <r>
    <x v="2"/>
    <s v="SainteLague"/>
    <n v="737"/>
    <n v="46543"/>
    <s v="[Auditoria PT] [Salesforce Sales] - (Des)Activaci√≥n de clientes centros y usuarios por cese o impagos"/>
    <x v="8"/>
    <x v="0"/>
    <x v="0"/>
    <s v="Backlog"/>
    <n v="44"/>
    <n v="0.03"/>
    <n v="1"/>
    <n v="1"/>
    <n v="1"/>
    <n v="100"/>
    <x v="1"/>
  </r>
  <r>
    <x v="2"/>
    <s v="SainteLague"/>
    <n v="738"/>
    <n v="140064"/>
    <s v="Evolutivos Nave - Mar√ßo e Abril"/>
    <x v="13"/>
    <x v="1"/>
    <x v="0"/>
    <s v="Backlog"/>
    <n v="23"/>
    <n v="6"/>
    <n v="2"/>
    <n v="2"/>
    <n v="2"/>
    <n v="1"/>
    <x v="1"/>
  </r>
  <r>
    <x v="2"/>
    <s v="SainteLague"/>
    <n v="739"/>
    <n v="56625"/>
    <s v="Informes Personalizados Finanzas en SharePoint"/>
    <x v="21"/>
    <x v="0"/>
    <x v="2"/>
    <s v="Ready for Solution"/>
    <n v="69"/>
    <n v="0.03"/>
    <n v="1"/>
    <n v="1"/>
    <n v="1"/>
    <n v="100"/>
    <x v="1"/>
  </r>
  <r>
    <x v="2"/>
    <s v="SainteLague"/>
    <n v="740"/>
    <n v="177129"/>
    <s v="IOP | Obsolesc√™ncia WAVE 2 - Matar/Upgrade Oracle DB, IBM DB2 para ultimas vers√µes suportadas (m√≠nimo n-1)"/>
    <x v="7"/>
    <x v="1"/>
    <x v="3"/>
    <s v="Backlog"/>
    <n v="70"/>
    <n v="0.03"/>
    <n v="1"/>
    <n v="1"/>
    <n v="1"/>
    <n v="100"/>
    <x v="1"/>
  </r>
  <r>
    <x v="2"/>
    <s v="SainteLague"/>
    <n v="741"/>
    <n v="46344"/>
    <s v="[Salesforce] - Relacionar una implementaci√≥n entre varios clientes que cuelgan de un mismo grupo de empresa"/>
    <x v="22"/>
    <x v="0"/>
    <x v="0"/>
    <s v="Ready for Solution"/>
    <n v="41"/>
    <n v="0.03"/>
    <n v="1"/>
    <n v="1"/>
    <n v="1"/>
    <n v="100"/>
    <x v="1"/>
  </r>
  <r>
    <x v="2"/>
    <s v="SainteLague"/>
    <n v="742"/>
    <n v="131505"/>
    <s v="GPECL/DIS - CTT Now Visibilidade sobre pedidos Programados"/>
    <x v="9"/>
    <x v="1"/>
    <x v="0"/>
    <s v="Backlog"/>
    <n v="31"/>
    <n v="0.03"/>
    <n v="1"/>
    <n v="1"/>
    <n v="1"/>
    <n v="100"/>
    <x v="1"/>
  </r>
  <r>
    <x v="2"/>
    <s v="SainteLague"/>
    <n v="743"/>
    <n v="46937"/>
    <s v="[PUDOS] - Herramienta de seguimiento de recogidas infructuosas de caducados"/>
    <x v="0"/>
    <x v="0"/>
    <x v="0"/>
    <s v="Backlog"/>
    <n v="51"/>
    <n v="0.03"/>
    <n v="1"/>
    <n v="1"/>
    <n v="1"/>
    <n v="100"/>
    <x v="1"/>
  </r>
  <r>
    <x v="2"/>
    <s v="SainteLague"/>
    <n v="744"/>
    <n v="131990"/>
    <s v="INT| Descontinuar os servi√ßos suportados pelo Biztalk"/>
    <x v="7"/>
    <x v="1"/>
    <x v="3"/>
    <s v="Backlog"/>
    <n v="71"/>
    <n v="0.03"/>
    <n v="1"/>
    <n v="1"/>
    <n v="1"/>
    <n v="100"/>
    <x v="1"/>
  </r>
  <r>
    <x v="2"/>
    <s v="SainteLague"/>
    <n v="745"/>
    <n v="46817"/>
    <s v="Aplicaci√≥n de reglas en registros de peso y volumen (TC)"/>
    <x v="21"/>
    <x v="0"/>
    <x v="2"/>
    <s v="In Definition"/>
    <n v="70"/>
    <n v="0.03"/>
    <n v="1"/>
    <n v="1"/>
    <n v="1"/>
    <n v="100"/>
    <x v="1"/>
  </r>
  <r>
    <x v="2"/>
    <s v="SainteLague"/>
    <n v="746"/>
    <n v="126656"/>
    <s v="GENAI - CIS - AI Automation - BO Fatura√ß√£o"/>
    <x v="27"/>
    <x v="1"/>
    <x v="0"/>
    <s v="In Solution"/>
    <n v="21"/>
    <n v="4"/>
    <n v="3"/>
    <n v="3"/>
    <n v="2"/>
    <n v="2"/>
    <x v="1"/>
  </r>
  <r>
    <x v="2"/>
    <s v="SainteLague"/>
    <n v="747"/>
    <n v="46453"/>
    <s v="[Salesforce] - Gesti√≥n de casos asignados al √°rea comercial"/>
    <x v="8"/>
    <x v="0"/>
    <x v="0"/>
    <s v="Backlog"/>
    <n v="45"/>
    <n v="0.03"/>
    <n v="1"/>
    <n v="1"/>
    <n v="1"/>
    <n v="100"/>
    <x v="1"/>
  </r>
  <r>
    <x v="2"/>
    <s v="SainteLague"/>
    <n v="748"/>
    <n v="177128"/>
    <s v="IOP | Obsolesc√™ncia WAVE 1 - Matar/Upgrade SQL Server anterior a 2019"/>
    <x v="7"/>
    <x v="1"/>
    <x v="3"/>
    <s v="Backlog"/>
    <n v="72"/>
    <n v="0.03"/>
    <n v="1"/>
    <n v="1"/>
    <n v="1"/>
    <n v="100"/>
    <x v="1"/>
  </r>
  <r>
    <x v="2"/>
    <s v="SainteLague"/>
    <n v="749"/>
    <n v="137457"/>
    <s v="ENVIOS CARGO-DESTINO PT"/>
    <x v="21"/>
    <x v="0"/>
    <x v="2"/>
    <s v="Backlog"/>
    <n v="71"/>
    <n v="0.03"/>
    <n v="1"/>
    <n v="1"/>
    <n v="1"/>
    <n v="100"/>
    <x v="1"/>
  </r>
  <r>
    <x v="2"/>
    <s v="SainteLague"/>
    <n v="750"/>
    <n v="101572"/>
    <s v="Lojas MEO - Recolhas Contextualizadas"/>
    <x v="13"/>
    <x v="1"/>
    <x v="0"/>
    <s v="In Definition"/>
    <n v="24"/>
    <n v="0.03"/>
    <n v="1"/>
    <n v="1"/>
    <n v="1"/>
    <n v="100"/>
    <x v="1"/>
  </r>
  <r>
    <x v="2"/>
    <s v="SainteLague"/>
    <n v="751"/>
    <n v="61010"/>
    <s v="[ID LOGISTICS] Estados De Portugal no visibles en SGC/API REST y URL web en Espa√±a (env√≠os origen ES, destino PT)"/>
    <x v="22"/>
    <x v="0"/>
    <x v="0"/>
    <s v="Backlog"/>
    <n v="42"/>
    <n v="0.03"/>
    <n v="1"/>
    <n v="1"/>
    <n v="1"/>
    <n v="100"/>
    <x v="1"/>
  </r>
  <r>
    <x v="2"/>
    <s v="SainteLague"/>
    <n v="752"/>
    <n v="177126"/>
    <s v="IOP | Obsolesc√™ncia WAVE 1 - Windows 7 (evoluir para windows 11)"/>
    <x v="7"/>
    <x v="1"/>
    <x v="3"/>
    <s v="Backlog"/>
    <n v="73"/>
    <n v="0.03"/>
    <n v="1"/>
    <n v="1"/>
    <n v="1"/>
    <n v="100"/>
    <x v="1"/>
  </r>
  <r>
    <x v="2"/>
    <s v="SainteLague"/>
    <n v="753"/>
    <n v="46938"/>
    <s v="[PUDOS] - Filtrado - Depuraci√≥n en env√≠os a direcci√≥n PUDO sin PER"/>
    <x v="0"/>
    <x v="0"/>
    <x v="0"/>
    <s v="Backlog"/>
    <n v="52"/>
    <n v="0.03"/>
    <n v="1"/>
    <n v="1"/>
    <n v="1"/>
    <n v="100"/>
    <x v="1"/>
  </r>
  <r>
    <x v="2"/>
    <s v="SainteLague"/>
    <n v="754"/>
    <n v="99517"/>
    <s v="ECL/PSC - Identifica√ß√£o de giros de distribui√ß√£o (green delivery)"/>
    <x v="9"/>
    <x v="1"/>
    <x v="0"/>
    <s v="Backlog"/>
    <n v="32"/>
    <n v="0.03"/>
    <n v="1"/>
    <n v="1"/>
    <n v="1"/>
    <n v="100"/>
    <x v="1"/>
  </r>
  <r>
    <x v="2"/>
    <s v="SainteLague"/>
    <n v="755"/>
    <n v="46418"/>
    <s v="[Salesforce Sales] - Nuevo Campo Cuenta tipo Cliente y centro: &quot;Gesti√≥n por&quot;"/>
    <x v="8"/>
    <x v="0"/>
    <x v="0"/>
    <s v="Backlog"/>
    <n v="46"/>
    <n v="0.03"/>
    <n v="1"/>
    <n v="1"/>
    <n v="1"/>
    <n v="100"/>
    <x v="1"/>
  </r>
  <r>
    <x v="2"/>
    <s v="SainteLague"/>
    <n v="756"/>
    <n v="71425"/>
    <s v="ECL/GPR - Peso Default por Produto Expresso e Carga"/>
    <x v="9"/>
    <x v="1"/>
    <x v="0"/>
    <s v="Backlog"/>
    <n v="33"/>
    <n v="0.03"/>
    <n v="1"/>
    <n v="1"/>
    <n v="1"/>
    <n v="100"/>
    <x v="1"/>
  </r>
  <r>
    <x v="2"/>
    <s v="SainteLague"/>
    <n v="757"/>
    <n v="56782"/>
    <s v="[Desconexi√≥n SGC] - Migraci√≥n exportaci√≥n estados e informes a Cloud"/>
    <x v="22"/>
    <x v="0"/>
    <x v="0"/>
    <s v="Backlog"/>
    <n v="43"/>
    <n v="0.03"/>
    <n v="1"/>
    <n v="1"/>
    <n v="1"/>
    <n v="100"/>
    <x v="1"/>
  </r>
  <r>
    <x v="2"/>
    <s v="SainteLague"/>
    <n v="758"/>
    <n v="177125"/>
    <s v="IOP | Obsolesc√™ncia Infraestrutura WAVE 0 - Converter LDAP em LDAPS (ENABLERS)"/>
    <x v="7"/>
    <x v="1"/>
    <x v="3"/>
    <s v="Backlog"/>
    <n v="74"/>
    <n v="0.03"/>
    <n v="1"/>
    <n v="1"/>
    <n v="1"/>
    <n v="100"/>
    <x v="1"/>
  </r>
  <r>
    <x v="2"/>
    <s v="SainteLague"/>
    <n v="759"/>
    <n v="58287"/>
    <s v="[Salesforce Sales] - Configuraci√≥n campos/variables y GRP en Pardot"/>
    <x v="0"/>
    <x v="0"/>
    <x v="0"/>
    <s v="Backlog"/>
    <n v="53"/>
    <n v="0.03"/>
    <n v="1"/>
    <n v="1"/>
    <n v="1"/>
    <n v="100"/>
    <x v="1"/>
  </r>
  <r>
    <x v="2"/>
    <s v="SainteLague"/>
    <n v="760"/>
    <n v="133243"/>
    <s v="Citrix nas lojas - An√°lise para Elimina√ß√£o / substitui√ß√£o"/>
    <x v="13"/>
    <x v="1"/>
    <x v="0"/>
    <s v="Backlog"/>
    <n v="25"/>
    <n v="0.03"/>
    <n v="1"/>
    <n v="1"/>
    <n v="1"/>
    <n v="100"/>
    <x v="1"/>
  </r>
  <r>
    <x v="2"/>
    <s v="SainteLague"/>
    <n v="761"/>
    <n v="139048"/>
    <s v="[Nexus - We Sell] - [Minerva] - Creaci√≥n del modelo tarifario dentro de Minerva para el servicio de Correo"/>
    <x v="8"/>
    <x v="0"/>
    <x v="0"/>
    <s v="Backlog"/>
    <n v="47"/>
    <n v="0.03"/>
    <n v="1"/>
    <n v="1"/>
    <n v="1"/>
    <n v="100"/>
    <x v="1"/>
  </r>
  <r>
    <x v="2"/>
    <s v="SainteLague"/>
    <n v="762"/>
    <n v="69196"/>
    <s v="MACC: DC Lisboa - Jouney to Azure cloud"/>
    <x v="7"/>
    <x v="1"/>
    <x v="3"/>
    <s v="Backlog"/>
    <n v="75"/>
    <n v="0.03"/>
    <n v="1"/>
    <n v="1"/>
    <n v="1"/>
    <n v="100"/>
    <x v="1"/>
  </r>
  <r>
    <x v="2"/>
    <s v="SainteLague"/>
    <n v="763"/>
    <n v="59011"/>
    <s v="Odoo - Implementaci√≥n remitente personalizado"/>
    <x v="22"/>
    <x v="0"/>
    <x v="0"/>
    <s v="Backlog"/>
    <n v="44"/>
    <n v="0.03"/>
    <n v="1"/>
    <n v="1"/>
    <n v="1"/>
    <n v="100"/>
    <x v="1"/>
  </r>
  <r>
    <x v="2"/>
    <s v="SainteLague"/>
    <n v="764"/>
    <n v="169812"/>
    <s v="Planeamento e Controlo Di√°rio - Concilia√ß√£o Modelo A"/>
    <x v="27"/>
    <x v="1"/>
    <x v="0"/>
    <s v="Backlog"/>
    <n v="22"/>
    <n v="0.03"/>
    <n v="1"/>
    <n v="1"/>
    <n v="1"/>
    <n v="100"/>
    <x v="1"/>
  </r>
  <r>
    <x v="2"/>
    <s v="SainteLague"/>
    <n v="765"/>
    <n v="49004"/>
    <s v="[PUDOS] [Web de Clientes] - EDP y RDP: Tarificaci√≥n por bonificaci√≥n de servicios 24H y 48H"/>
    <x v="0"/>
    <x v="0"/>
    <x v="0"/>
    <s v="In Definition"/>
    <n v="54"/>
    <n v="0.03"/>
    <n v="1"/>
    <n v="1"/>
    <n v="1"/>
    <n v="100"/>
    <x v="1"/>
  </r>
  <r>
    <x v="2"/>
    <s v="SainteLague"/>
    <n v="766"/>
    <n v="132021"/>
    <s v="ESW | EQA | Defini√ß√£o de Checklist M√≠nimo de QA por Projeto"/>
    <x v="7"/>
    <x v="1"/>
    <x v="3"/>
    <s v="Backlog"/>
    <n v="76"/>
    <n v="0.03"/>
    <n v="1"/>
    <n v="1"/>
    <n v="1"/>
    <n v="100"/>
    <x v="1"/>
  </r>
  <r>
    <x v="2"/>
    <s v="SainteLague"/>
    <n v="767"/>
    <n v="139047"/>
    <s v="[Nexus - We Sell] - Onboarding de las Lojas de PT en Proceso Comercial Salesforce"/>
    <x v="8"/>
    <x v="0"/>
    <x v="0"/>
    <s v="Backlog"/>
    <n v="48"/>
    <n v="0.03"/>
    <n v="1"/>
    <n v="1"/>
    <n v="1"/>
    <n v="100"/>
    <x v="1"/>
  </r>
  <r>
    <x v="2"/>
    <s v="SainteLague"/>
    <n v="768"/>
    <n v="105938"/>
    <s v="Notifica√ß√µes Expresso | Aceita√ß√£o no PUDO (Pedido ZALANDO)"/>
    <x v="9"/>
    <x v="1"/>
    <x v="0"/>
    <s v="Backlog"/>
    <n v="34"/>
    <n v="0.03"/>
    <n v="1"/>
    <n v="1"/>
    <n v="1"/>
    <n v="100"/>
    <x v="1"/>
  </r>
  <r>
    <x v="2"/>
    <s v="SainteLague"/>
    <n v="769"/>
    <n v="60855"/>
    <s v="Identificacion Clientes y Metodos de integracion que usan [Objetos con origen en Espa√±a sin Cp7]"/>
    <x v="22"/>
    <x v="0"/>
    <x v="0"/>
    <s v="Backlog"/>
    <n v="45"/>
    <n v="0.03"/>
    <n v="1"/>
    <n v="1"/>
    <n v="1"/>
    <n v="100"/>
    <x v="1"/>
  </r>
  <r>
    <x v="2"/>
    <s v="SainteLague"/>
    <n v="770"/>
    <n v="132023"/>
    <s v="ESW | EQA |Estabiliza√ß√£o de Testes Autom√°ticos Existentes de QA"/>
    <x v="7"/>
    <x v="1"/>
    <x v="3"/>
    <s v="Backlog"/>
    <n v="77"/>
    <n v="0.03"/>
    <n v="1"/>
    <n v="1"/>
    <n v="1"/>
    <n v="100"/>
    <x v="1"/>
  </r>
  <r>
    <x v="2"/>
    <s v="SainteLague"/>
    <n v="771"/>
    <n v="62833"/>
    <s v="[NEXUS] ‚Äì Normalizaci√≥n, almacenamiento y gesti√≥n de consentimientos (GDPR) en los activos digitales"/>
    <x v="0"/>
    <x v="0"/>
    <x v="0"/>
    <s v="Pitch"/>
    <n v="55"/>
    <n v="0.03"/>
    <n v="1"/>
    <n v="1"/>
    <n v="1"/>
    <n v="100"/>
    <x v="1"/>
  </r>
  <r>
    <x v="2"/>
    <s v="SainteLague"/>
    <n v="772"/>
    <n v="43204"/>
    <s v="Desmaterializa√ß√£o Documentos Multicare"/>
    <x v="13"/>
    <x v="1"/>
    <x v="0"/>
    <s v="In Definition"/>
    <n v="26"/>
    <n v="0.03"/>
    <n v="1"/>
    <n v="1"/>
    <n v="1"/>
    <n v="100"/>
    <x v="1"/>
  </r>
  <r>
    <x v="2"/>
    <s v="SainteLague"/>
    <n v="773"/>
    <n v="63932"/>
    <s v="Prestashop- Habilitar adicionales identificaci√≥n en destino y verificacion destinatario"/>
    <x v="22"/>
    <x v="0"/>
    <x v="0"/>
    <s v="Backlog"/>
    <n v="46"/>
    <n v="0.03"/>
    <n v="1"/>
    <n v="1"/>
    <n v="1"/>
    <n v="100"/>
    <x v="1"/>
  </r>
  <r>
    <x v="2"/>
    <s v="SainteLague"/>
    <n v="774"/>
    <n v="142362"/>
    <s v="Adiantamentos para D+1 a PCTT encerrados em D"/>
    <x v="27"/>
    <x v="1"/>
    <x v="0"/>
    <s v="Backlog"/>
    <n v="23"/>
    <n v="0.03"/>
    <n v="1"/>
    <n v="1"/>
    <n v="1"/>
    <n v="100"/>
    <x v="1"/>
  </r>
  <r>
    <x v="2"/>
    <s v="SainteLague"/>
    <n v="775"/>
    <n v="43598"/>
    <s v="[PUDOS] - Entregas y Recogidas Directas en PUDO - Tr√°nsitos ES-ES y ES-PT - Integraci√≥n bidireccional de Pudos ES-PT, PT-ES"/>
    <x v="0"/>
    <x v="0"/>
    <x v="0"/>
    <s v="Backlog"/>
    <n v="56"/>
    <n v="0.03"/>
    <n v="1"/>
    <n v="1"/>
    <n v="1"/>
    <n v="100"/>
    <x v="1"/>
  </r>
  <r>
    <x v="2"/>
    <s v="SainteLague"/>
    <n v="776"/>
    <n v="132024"/>
    <s v="ESW | EQA | Utiliza√ß√£o Regular da Automa√ß√£o de QA em Regress√µes"/>
    <x v="7"/>
    <x v="1"/>
    <x v="3"/>
    <s v="Backlog"/>
    <n v="78"/>
    <n v="0.03"/>
    <n v="1"/>
    <n v="1"/>
    <n v="1"/>
    <n v="100"/>
    <x v="1"/>
  </r>
  <r>
    <x v="2"/>
    <s v="SainteLague"/>
    <n v="777"/>
    <n v="63935"/>
    <s v="WooCommerce- Habilitar adicionales identificaci√≥n en destino y verificacion destinatario"/>
    <x v="22"/>
    <x v="0"/>
    <x v="0"/>
    <s v="Backlog"/>
    <n v="47"/>
    <n v="0.03"/>
    <n v="1"/>
    <n v="1"/>
    <n v="1"/>
    <n v="100"/>
    <x v="1"/>
  </r>
  <r>
    <x v="2"/>
    <s v="SainteLague"/>
    <n v="778"/>
    <n v="188477"/>
    <s v="Amazon - Melhorias ao processo atual"/>
    <x v="13"/>
    <x v="1"/>
    <x v="0"/>
    <s v="In Definition"/>
    <n v="27"/>
    <n v="0.03"/>
    <n v="1"/>
    <n v="1"/>
    <n v="1"/>
    <n v="100"/>
    <x v="1"/>
  </r>
  <r>
    <x v="2"/>
    <s v="SainteLague"/>
    <n v="779"/>
    <n v="49640"/>
    <s v="[Web de Clientes] - Reportes: Suscripci√≥n Informes incidencias con disponibilidad a demanda"/>
    <x v="0"/>
    <x v="0"/>
    <x v="0"/>
    <s v="In Definition"/>
    <n v="57"/>
    <n v="0.03"/>
    <n v="1"/>
    <n v="1"/>
    <n v="1"/>
    <n v="100"/>
    <x v="1"/>
  </r>
  <r>
    <x v="2"/>
    <s v="SainteLague"/>
    <n v="780"/>
    <n v="125692"/>
    <s v="Upgrade plataforma OutSystems para vers√£o 11.40.0"/>
    <x v="7"/>
    <x v="1"/>
    <x v="3"/>
    <s v="In Approval"/>
    <n v="79"/>
    <n v="11"/>
    <n v="3"/>
    <n v="4"/>
    <n v="4"/>
    <n v="1"/>
    <x v="1"/>
  </r>
  <r>
    <x v="2"/>
    <s v="SainteLague"/>
    <n v="781"/>
    <n v="64010"/>
    <s v="[API GET TRACKING BY DATES] - WEB TRACKING - A√±adir c√≥digo env√≠o devoluci√≥n - API Rest, capa User Experience"/>
    <x v="22"/>
    <x v="0"/>
    <x v="0"/>
    <s v="Backlog"/>
    <n v="48"/>
    <n v="0.03"/>
    <n v="1"/>
    <n v="1"/>
    <n v="1"/>
    <n v="100"/>
    <x v="1"/>
  </r>
  <r>
    <x v="2"/>
    <s v="SainteLague"/>
    <n v="782"/>
    <n v="160028"/>
    <s v="BFT - Faturas com 4 casas decimais"/>
    <x v="27"/>
    <x v="1"/>
    <x v="0"/>
    <s v="Backlog"/>
    <n v="24"/>
    <n v="0.03"/>
    <n v="1"/>
    <n v="1"/>
    <n v="1"/>
    <n v="100"/>
    <x v="1"/>
  </r>
  <r>
    <x v="2"/>
    <s v="SainteLague"/>
    <n v="783"/>
    <n v="53144"/>
    <s v="[PUDOS] - Automatizaci√≥n de comunicaci√≥n de eventos de Celeritas - CTT"/>
    <x v="0"/>
    <x v="0"/>
    <x v="0"/>
    <s v="Backlog"/>
    <n v="58"/>
    <n v="0.03"/>
    <n v="1"/>
    <n v="1"/>
    <n v="1"/>
    <n v="100"/>
    <x v="1"/>
  </r>
  <r>
    <x v="2"/>
    <s v="SainteLague"/>
    <n v="784"/>
    <n v="125693"/>
    <s v="Upgrade servidores OutSystems para Windows Server 2022"/>
    <x v="7"/>
    <x v="1"/>
    <x v="3"/>
    <s v="In Approval"/>
    <n v="80"/>
    <n v="11"/>
    <n v="3"/>
    <n v="4"/>
    <n v="4"/>
    <n v="1"/>
    <x v="1"/>
  </r>
  <r>
    <x v="2"/>
    <s v="SainteLague"/>
    <n v="785"/>
    <n v="64193"/>
    <s v="Herramienta Soporte ADT en Nexia"/>
    <x v="22"/>
    <x v="0"/>
    <x v="0"/>
    <s v="In Definition"/>
    <n v="49"/>
    <n v="0.03"/>
    <n v="1"/>
    <n v="1"/>
    <n v="1"/>
    <n v="100"/>
    <x v="1"/>
  </r>
  <r>
    <x v="2"/>
    <s v="SainteLague"/>
    <n v="786"/>
    <n v="88579"/>
    <s v="Automatiza√ß√£o de valida√ß√£o do QR Code de Selos"/>
    <x v="13"/>
    <x v="1"/>
    <x v="0"/>
    <s v="In Definition"/>
    <n v="28"/>
    <n v="0.03"/>
    <n v="1"/>
    <n v="1"/>
    <n v="1"/>
    <n v="100"/>
    <x v="1"/>
  </r>
  <r>
    <x v="2"/>
    <s v="SainteLague"/>
    <n v="787"/>
    <n v="52204"/>
    <s v="[PUDOS] - Check para permitir a cliente elegir si dtt recibe notificaciones del estado del env√≠o"/>
    <x v="0"/>
    <x v="0"/>
    <x v="0"/>
    <s v="Backlog"/>
    <n v="59"/>
    <n v="0.03"/>
    <n v="1"/>
    <n v="1"/>
    <n v="1"/>
    <n v="100"/>
    <x v="1"/>
  </r>
  <r>
    <x v="2"/>
    <s v="SainteLague"/>
    <n v="788"/>
    <n v="135004"/>
    <s v="ESW | Cria√ß√£o de novo agente AI para valida√ß√£o de c√≥digo obsoleto"/>
    <x v="7"/>
    <x v="1"/>
    <x v="3"/>
    <s v="In Approval"/>
    <n v="81"/>
    <n v="8"/>
    <n v="3"/>
    <n v="4"/>
    <n v="1"/>
    <n v="1"/>
    <x v="1"/>
  </r>
  <r>
    <x v="2"/>
    <s v="SainteLague"/>
    <n v="789"/>
    <n v="60381"/>
    <s v="Incluir fichero con versionado sobre hist√≥rico de cambios (novedades y fixes) en todos los modulos"/>
    <x v="22"/>
    <x v="0"/>
    <x v="0"/>
    <s v="In Definition"/>
    <n v="50"/>
    <n v="0.03"/>
    <n v="1"/>
    <n v="1"/>
    <n v="1"/>
    <n v="100"/>
    <x v="1"/>
  </r>
  <r>
    <x v="2"/>
    <s v="SainteLague"/>
    <n v="790"/>
    <n v="192862"/>
    <s v="Cria√ß√£o Se√ß√£o dados Complementares"/>
    <x v="27"/>
    <x v="1"/>
    <x v="0"/>
    <s v="Backlog"/>
    <n v="25"/>
    <n v="0.03"/>
    <n v="1"/>
    <n v="1"/>
    <n v="1"/>
    <n v="100"/>
    <x v="1"/>
  </r>
  <r>
    <x v="2"/>
    <s v="SainteLague"/>
    <n v="791"/>
    <n v="54986"/>
    <s v="[PUDOS] - Mecanismo de diferenciaci√≥n de recogidas en los COs. Recogidas vs. RDP"/>
    <x v="0"/>
    <x v="0"/>
    <x v="0"/>
    <s v="Backlog"/>
    <n v="60"/>
    <n v="0.03"/>
    <n v="1"/>
    <n v="1"/>
    <n v="1"/>
    <n v="100"/>
    <x v="1"/>
  </r>
  <r>
    <x v="2"/>
    <s v="SainteLague"/>
    <n v="792"/>
    <n v="50738"/>
    <s v="Piloto para experimentar o SW do BCE na loja"/>
    <x v="13"/>
    <x v="1"/>
    <x v="0"/>
    <s v="Backlog"/>
    <n v="29"/>
    <n v="0.03"/>
    <n v="1"/>
    <n v="1"/>
    <n v="1"/>
    <n v="100"/>
    <x v="1"/>
  </r>
  <r>
    <x v="2"/>
    <s v="SainteLague"/>
    <n v="793"/>
    <n v="57023"/>
    <s v="ELKAR - Actualizaci√≥n de bultos/kilos en expedici√≥n mediante carga de fichero"/>
    <x v="22"/>
    <x v="0"/>
    <x v="0"/>
    <s v="Backlog"/>
    <n v="51"/>
    <n v="0.03"/>
    <n v="1"/>
    <n v="1"/>
    <n v="1"/>
    <n v="100"/>
    <x v="1"/>
  </r>
  <r>
    <x v="2"/>
    <s v="SainteLague"/>
    <n v="794"/>
    <n v="138084"/>
    <s v="F√°brica OutSystems | Melhorias √† plataforma - JAN, FEV MAR 2026"/>
    <x v="7"/>
    <x v="1"/>
    <x v="3"/>
    <s v="Pitch"/>
    <n v="82"/>
    <n v="0.03"/>
    <n v="1"/>
    <n v="1"/>
    <n v="1"/>
    <n v="100"/>
    <x v="1"/>
  </r>
  <r>
    <x v="2"/>
    <s v="SainteLague"/>
    <n v="795"/>
    <n v="54275"/>
    <s v="[PUDOS] - Env√≠os Punto-Punto"/>
    <x v="0"/>
    <x v="0"/>
    <x v="0"/>
    <s v="Backlog"/>
    <n v="61"/>
    <n v="0.03"/>
    <n v="1"/>
    <n v="1"/>
    <n v="1"/>
    <n v="100"/>
    <x v="1"/>
  </r>
  <r>
    <x v="2"/>
    <s v="SainteLague"/>
    <n v="796"/>
    <n v="133246"/>
    <s v="Impressoras Termicas (Clientes Externos) - certifica√ß√£o de varios modelos e handover para EM"/>
    <x v="27"/>
    <x v="1"/>
    <x v="0"/>
    <s v="Backlog"/>
    <n v="26"/>
    <n v="0.03"/>
    <n v="1"/>
    <n v="1"/>
    <n v="1"/>
    <n v="100"/>
    <x v="1"/>
  </r>
  <r>
    <x v="2"/>
    <s v="SainteLague"/>
    <n v="797"/>
    <n v="64785"/>
    <s v="[Salesforce] - Informaci√≥n de campos en los casos del Plan de acompa√±amiento"/>
    <x v="22"/>
    <x v="0"/>
    <x v="0"/>
    <s v="Backlog"/>
    <n v="52"/>
    <n v="0.03"/>
    <n v="1"/>
    <n v="1"/>
    <n v="1"/>
    <n v="100"/>
    <x v="1"/>
  </r>
  <r>
    <x v="2"/>
    <s v="SainteLague"/>
    <n v="798"/>
    <n v="137572"/>
    <s v="Cria√ß√£o de WAF para Infraestrutura de OutSystems"/>
    <x v="7"/>
    <x v="1"/>
    <x v="3"/>
    <s v="In Definition"/>
    <n v="83"/>
    <n v="0.03"/>
    <n v="1"/>
    <n v="1"/>
    <n v="1"/>
    <n v="100"/>
    <x v="1"/>
  </r>
  <r>
    <x v="2"/>
    <s v="SainteLague"/>
    <n v="799"/>
    <n v="50399"/>
    <s v="[PUDOS] - Mejora servicio VDP"/>
    <x v="0"/>
    <x v="0"/>
    <x v="0"/>
    <s v="Backlog"/>
    <n v="62"/>
    <n v="0.03"/>
    <n v="1"/>
    <n v="1"/>
    <n v="1"/>
    <n v="100"/>
    <x v="1"/>
  </r>
  <r>
    <x v="2"/>
    <s v="SainteLague"/>
    <n v="800"/>
    <n v="85248"/>
    <s v="Gest√£o de Stocks Vending em SAP"/>
    <x v="13"/>
    <x v="1"/>
    <x v="0"/>
    <s v="Backlog"/>
    <n v="30"/>
    <n v="0.03"/>
    <n v="1"/>
    <n v="1"/>
    <n v="1"/>
    <n v="100"/>
    <x v="1"/>
  </r>
  <r>
    <x v="2"/>
    <s v="SainteLague"/>
    <n v="801"/>
    <n v="63279"/>
    <s v="Manifest-file: Admitir carga fichero Standar Cloud sin los campos de shipping_code e item_codes rellenos (mismo comportamiento que api de experiencia de clientes)"/>
    <x v="22"/>
    <x v="0"/>
    <x v="0"/>
    <s v="In Definition"/>
    <n v="53"/>
    <n v="0.03"/>
    <n v="1"/>
    <n v="1"/>
    <n v="1"/>
    <n v="100"/>
    <x v="1"/>
  </r>
  <r>
    <x v="2"/>
    <s v="SainteLague"/>
    <n v="802"/>
    <n v="125694"/>
    <s v="ESW | Integra√ß√£o de Crashlytics nas aplica√ß√µes mobile"/>
    <x v="7"/>
    <x v="1"/>
    <x v="3"/>
    <s v="In Definition"/>
    <n v="84"/>
    <n v="0.03"/>
    <n v="1"/>
    <n v="1"/>
    <n v="1"/>
    <n v="100"/>
    <x v="1"/>
  </r>
  <r>
    <x v="2"/>
    <s v="SainteLague"/>
    <n v="803"/>
    <n v="56100"/>
    <s v="[Web publica] - Permitir a los destinatarios buscar un env√≠o por n√∫mero de etiqueta de enlace asociada en el localizador"/>
    <x v="0"/>
    <x v="0"/>
    <x v="0"/>
    <s v="Backlog"/>
    <n v="63"/>
    <n v="0.03"/>
    <n v="1"/>
    <n v="1"/>
    <n v="1"/>
    <n v="100"/>
    <x v="1"/>
  </r>
  <r>
    <x v="2"/>
    <s v="SainteLague"/>
    <n v="804"/>
    <n v="68919"/>
    <s v="M√°quina vending machines: Associa√ß√£o de Receita, Fatura√ß√£o e gest√£o de stock"/>
    <x v="13"/>
    <x v="1"/>
    <x v="0"/>
    <s v="In Definition"/>
    <n v="31"/>
    <n v="0.03"/>
    <n v="1"/>
    <n v="1"/>
    <n v="1"/>
    <n v="100"/>
    <x v="1"/>
  </r>
  <r>
    <x v="2"/>
    <s v="SainteLague"/>
    <n v="805"/>
    <n v="136234"/>
    <s v="WANB - Webhook"/>
    <x v="22"/>
    <x v="0"/>
    <x v="0"/>
    <s v="In Definition"/>
    <n v="54"/>
    <n v="0.03"/>
    <n v="1"/>
    <n v="1"/>
    <n v="1"/>
    <n v="100"/>
    <x v="1"/>
  </r>
  <r>
    <x v="2"/>
    <s v="SainteLague"/>
    <n v="806"/>
    <n v="132278"/>
    <s v="dotCMS - update da vers√£o"/>
    <x v="7"/>
    <x v="1"/>
    <x v="3"/>
    <s v="High Level Design"/>
    <n v="85"/>
    <n v="0.03"/>
    <n v="1"/>
    <n v="1"/>
    <n v="1"/>
    <n v="100"/>
    <x v="1"/>
  </r>
  <r>
    <x v="2"/>
    <s v="SainteLague"/>
    <n v="807"/>
    <n v="57596"/>
    <s v="[PUDOS] - Descuento comercial RDP"/>
    <x v="0"/>
    <x v="0"/>
    <x v="0"/>
    <s v="Backlog"/>
    <n v="64"/>
    <n v="0.03"/>
    <n v="1"/>
    <n v="1"/>
    <n v="1"/>
    <n v="100"/>
    <x v="1"/>
  </r>
  <r>
    <x v="2"/>
    <s v="SainteLague"/>
    <n v="808"/>
    <n v="60938"/>
    <s v="Fornecimentos autom√°ticos de material vend√°vel √†s lojas"/>
    <x v="13"/>
    <x v="1"/>
    <x v="0"/>
    <s v="Backlog"/>
    <n v="32"/>
    <n v="0.03"/>
    <n v="1"/>
    <n v="1"/>
    <n v="1"/>
    <n v="100"/>
    <x v="1"/>
  </r>
  <r>
    <x v="2"/>
    <s v="SainteLague"/>
    <n v="809"/>
    <n v="136179"/>
    <s v="Api Horario Cortes Recogidas"/>
    <x v="22"/>
    <x v="0"/>
    <x v="0"/>
    <s v="In Definition"/>
    <n v="55"/>
    <n v="0.03"/>
    <n v="1"/>
    <n v="1"/>
    <n v="1"/>
    <n v="100"/>
    <x v="1"/>
  </r>
  <r>
    <x v="2"/>
    <s v="SainteLague"/>
    <n v="810"/>
    <n v="204677"/>
    <s v="Afeta√ß√£o Receita Vendas Loja Online a Gestores de clientes e hierarquia"/>
    <x v="13"/>
    <x v="1"/>
    <x v="0"/>
    <s v="Backlog"/>
    <n v="33"/>
    <n v="0.03"/>
    <n v="1"/>
    <n v="1"/>
    <n v="1"/>
    <n v="100"/>
    <x v="1"/>
  </r>
  <r>
    <x v="2"/>
    <s v="SainteLague"/>
    <n v="811"/>
    <n v="54192"/>
    <s v="[Web clientes - Mapper] - Evoluci√≥n completa de grabaci√≥n masiva en Cloud"/>
    <x v="0"/>
    <x v="0"/>
    <x v="0"/>
    <s v="Backlog"/>
    <n v="65"/>
    <n v="0.03"/>
    <n v="1"/>
    <n v="1"/>
    <n v="1"/>
    <n v="100"/>
    <x v="1"/>
  </r>
  <r>
    <x v="2"/>
    <s v="SainteLague"/>
    <n v="812"/>
    <n v="65266"/>
    <s v="Desagregar a Intranet de Outsystems ( Ac√ß√£o Post Mortem - INC1002170)"/>
    <x v="7"/>
    <x v="1"/>
    <x v="3"/>
    <s v="Backlog"/>
    <n v="86"/>
    <n v="0.03"/>
    <n v="1"/>
    <n v="1"/>
    <n v="1"/>
    <n v="100"/>
    <x v="1"/>
  </r>
  <r>
    <x v="2"/>
    <s v="SainteLague"/>
    <n v="813"/>
    <n v="136177"/>
    <s v="Api Manifest- Devovler fecha y hora de recogida en respuesta cuando proceda"/>
    <x v="22"/>
    <x v="0"/>
    <x v="0"/>
    <s v="In Definition"/>
    <n v="56"/>
    <n v="0.03"/>
    <n v="1"/>
    <n v="1"/>
    <n v="1"/>
    <n v="100"/>
    <x v="1"/>
  </r>
  <r>
    <x v="2"/>
    <s v="SainteLague"/>
    <n v="814"/>
    <n v="196287"/>
    <s v="Afeta√ß√£o correta da receita de produtos/servi√ßos faturados fora do SAP ao respetivo gestor comercial B2B e Lojas e Loja Online"/>
    <x v="13"/>
    <x v="1"/>
    <x v="0"/>
    <s v="Backlog"/>
    <n v="34"/>
    <n v="0.03"/>
    <n v="1"/>
    <n v="1"/>
    <n v="1"/>
    <n v="100"/>
    <x v="1"/>
  </r>
  <r>
    <x v="2"/>
    <s v="SainteLague"/>
    <n v="815"/>
    <n v="50029"/>
    <s v="[PUDOS] - Creaci√≥n de alarma ante la falta de recepci√≥n de √≥rdenes de recogidas de caducados Celeritas"/>
    <x v="0"/>
    <x v="0"/>
    <x v="0"/>
    <s v="Backlog"/>
    <n v="66"/>
    <n v="0.03"/>
    <n v="1"/>
    <n v="1"/>
    <n v="1"/>
    <n v="100"/>
    <x v="1"/>
  </r>
  <r>
    <x v="2"/>
    <s v="SainteLague"/>
    <n v="816"/>
    <n v="137551"/>
    <s v="Quick Wins - Super App B2C"/>
    <x v="7"/>
    <x v="1"/>
    <x v="3"/>
    <s v="In Definition"/>
    <n v="87"/>
    <n v="0.03"/>
    <n v="1"/>
    <n v="1"/>
    <n v="1"/>
    <n v="100"/>
    <x v="1"/>
  </r>
  <r>
    <x v="2"/>
    <s v="SainteLague"/>
    <n v="817"/>
    <n v="136173"/>
    <s v="Api Solicitud de Recogidas (sin envio asociado)"/>
    <x v="22"/>
    <x v="0"/>
    <x v="0"/>
    <s v="In Definition"/>
    <n v="57"/>
    <n v="0.03"/>
    <n v="1"/>
    <n v="1"/>
    <n v="1"/>
    <n v="100"/>
    <x v="1"/>
  </r>
  <r>
    <x v="2"/>
    <s v="SainteLague"/>
    <n v="818"/>
    <n v="46558"/>
    <s v="A receita dos Pontos ctt n√£o NAVe"/>
    <x v="13"/>
    <x v="1"/>
    <x v="0"/>
    <s v="Backlog"/>
    <n v="35"/>
    <n v="0.03"/>
    <n v="1"/>
    <n v="1"/>
    <n v="1"/>
    <n v="100"/>
    <x v="1"/>
  </r>
  <r>
    <x v="2"/>
    <s v="SainteLague"/>
    <n v="819"/>
    <n v="130472"/>
    <s v="[Minerva] - Modificar la plantilla de respuesta de Signaturit cuando se firma un contrato"/>
    <x v="0"/>
    <x v="0"/>
    <x v="0"/>
    <s v="Backlog"/>
    <n v="67"/>
    <n v="0.03"/>
    <n v="1"/>
    <n v="1"/>
    <n v="1"/>
    <n v="100"/>
    <x v="1"/>
  </r>
  <r>
    <x v="2"/>
    <s v="SainteLague"/>
    <n v="820"/>
    <n v="140465"/>
    <s v="CoE OutSystems | Upgrade de MABS 11.2 para MABS 12"/>
    <x v="7"/>
    <x v="1"/>
    <x v="3"/>
    <s v="Backlog"/>
    <n v="88"/>
    <n v="0.03"/>
    <n v="1"/>
    <n v="1"/>
    <n v="1"/>
    <n v="100"/>
    <x v="1"/>
  </r>
  <r>
    <x v="2"/>
    <s v="SainteLague"/>
    <n v="821"/>
    <n v="135956"/>
    <s v="[WebHook] - Temu"/>
    <x v="22"/>
    <x v="0"/>
    <x v="0"/>
    <s v="In Definition"/>
    <n v="58"/>
    <n v="0.05"/>
    <n v="3"/>
    <n v="1"/>
    <n v="1"/>
    <n v="100"/>
    <x v="1"/>
  </r>
  <r>
    <x v="2"/>
    <s v="SainteLague"/>
    <n v="822"/>
    <n v="65058"/>
    <s v="El corte Ingl√™s - Relatorios de Concilia√ß√£o forma automatica"/>
    <x v="13"/>
    <x v="1"/>
    <x v="0"/>
    <s v="In Definition"/>
    <n v="36"/>
    <n v="0.03"/>
    <n v="1"/>
    <n v="1"/>
    <n v="1"/>
    <n v="100"/>
    <x v="1"/>
  </r>
  <r>
    <x v="2"/>
    <s v="SainteLague"/>
    <n v="823"/>
    <n v="46911"/>
    <s v="[PUDOS] - Automatizaci√≥n de la facturaci√≥n cruzada con las redes de puntos."/>
    <x v="0"/>
    <x v="0"/>
    <x v="0"/>
    <s v="Backlog"/>
    <n v="68"/>
    <n v="0.03"/>
    <n v="1"/>
    <n v="1"/>
    <n v="1"/>
    <n v="100"/>
    <x v="1"/>
  </r>
  <r>
    <x v="2"/>
    <s v="SainteLague"/>
    <n v="824"/>
    <n v="137549"/>
    <s v="Outsystems - Evolu√ß√£o processo de CI/CD"/>
    <x v="7"/>
    <x v="1"/>
    <x v="3"/>
    <s v="Pitch"/>
    <n v="89"/>
    <n v="0.03"/>
    <n v="1"/>
    <n v="1"/>
    <n v="1"/>
    <n v="100"/>
    <x v="1"/>
  </r>
  <r>
    <x v="2"/>
    <s v="SainteLague"/>
    <n v="825"/>
    <n v="132736"/>
    <s v="[Internacional] - Manifiesto de env√≠os internacionales de explotaci√≥n con aduanas por m√©todos de Integraci√≥n Clientes"/>
    <x v="22"/>
    <x v="0"/>
    <x v="0"/>
    <s v="In Definition"/>
    <n v="59"/>
    <n v="0.03"/>
    <n v="1"/>
    <n v="1"/>
    <n v="1"/>
    <n v="100"/>
    <x v="1"/>
  </r>
  <r>
    <x v="2"/>
    <s v="SainteLague"/>
    <n v="826"/>
    <n v="55478"/>
    <s v="Altera√ß√£o Ficheiro Pontos CTT - Cliente Nespresso"/>
    <x v="13"/>
    <x v="1"/>
    <x v="0"/>
    <s v="In Definition"/>
    <n v="37"/>
    <n v="0.03"/>
    <n v="1"/>
    <n v="1"/>
    <n v="1"/>
    <n v="100"/>
    <x v="1"/>
  </r>
  <r>
    <x v="2"/>
    <s v="SainteLague"/>
    <n v="827"/>
    <n v="61393"/>
    <s v="[PUDOS] - Notificaciones de RDP origen PT"/>
    <x v="0"/>
    <x v="0"/>
    <x v="0"/>
    <s v="Backlog"/>
    <n v="69"/>
    <n v="0.03"/>
    <n v="1"/>
    <n v="1"/>
    <n v="1"/>
    <n v="100"/>
    <x v="1"/>
  </r>
  <r>
    <x v="2"/>
    <s v="SainteLague"/>
    <n v="828"/>
    <n v="50206"/>
    <s v="Tradu√ß√£o do Site e da App"/>
    <x v="13"/>
    <x v="1"/>
    <x v="0"/>
    <s v="Backlog"/>
    <n v="38"/>
    <n v="0.03"/>
    <n v="1"/>
    <n v="1"/>
    <n v="1"/>
    <n v="100"/>
    <x v="1"/>
  </r>
  <r>
    <x v="2"/>
    <s v="SainteLague"/>
    <n v="829"/>
    <n v="137343"/>
    <s v="Mapper - Personalizacion para clientes que trabajan con Amazon , TikTok y Temu"/>
    <x v="22"/>
    <x v="0"/>
    <x v="0"/>
    <s v="In Definition"/>
    <n v="60"/>
    <n v="0.03"/>
    <n v="1"/>
    <n v="1"/>
    <n v="1"/>
    <n v="100"/>
    <x v="1"/>
  </r>
  <r>
    <x v="2"/>
    <s v="SainteLague"/>
    <n v="830"/>
    <n v="133560"/>
    <s v="Novos Canais | Assegurar a liquida√ß√£o autom√°tica das faturas de campanhas Outbound"/>
    <x v="13"/>
    <x v="1"/>
    <x v="0"/>
    <s v="Backlog"/>
    <n v="39"/>
    <n v="0.03"/>
    <n v="1"/>
    <n v="1"/>
    <n v="1"/>
    <n v="100"/>
    <x v="1"/>
  </r>
  <r>
    <x v="2"/>
    <s v="SainteLague"/>
    <n v="831"/>
    <n v="58487"/>
    <s v="[Web de clientes] - Setting: Configurar env√≠o predeterminado"/>
    <x v="0"/>
    <x v="0"/>
    <x v="0"/>
    <s v="Backlog"/>
    <n v="70"/>
    <n v="0.03"/>
    <n v="1"/>
    <n v="1"/>
    <n v="1"/>
    <n v="100"/>
    <x v="1"/>
  </r>
  <r>
    <x v="2"/>
    <s v="SainteLague"/>
    <n v="832"/>
    <n v="113960"/>
    <s v="Informa√ß√£o das vendas por colaborador E nif"/>
    <x v="13"/>
    <x v="1"/>
    <x v="0"/>
    <s v="Backlog"/>
    <n v="40"/>
    <n v="0.03"/>
    <n v="1"/>
    <n v="1"/>
    <n v="1"/>
    <n v="100"/>
    <x v="1"/>
  </r>
  <r>
    <x v="2"/>
    <s v="SainteLague"/>
    <n v="833"/>
    <n v="137212"/>
    <s v="API PUDO - Consulta de informacion de punto por el codigo de punto &quot;organic point code&quot;"/>
    <x v="22"/>
    <x v="0"/>
    <x v="0"/>
    <s v="In Definition"/>
    <n v="61"/>
    <n v="0.03"/>
    <n v="1"/>
    <n v="1"/>
    <n v="1"/>
    <n v="100"/>
    <x v="1"/>
  </r>
  <r>
    <x v="2"/>
    <s v="SainteLague"/>
    <n v="834"/>
    <n v="91539"/>
    <s v="D. Oferta - atualiza√ß√£o base de dados dos empregados CTT em NAVe"/>
    <x v="13"/>
    <x v="1"/>
    <x v="0"/>
    <s v="Backlog"/>
    <n v="41"/>
    <n v="0.03"/>
    <n v="1"/>
    <n v="1"/>
    <n v="1"/>
    <n v="100"/>
    <x v="1"/>
  </r>
  <r>
    <x v="2"/>
    <s v="SainteLague"/>
    <n v="835"/>
    <n v="58518"/>
    <s v="[Producto] - Incorporar Validaci√≥n DNI / PIN  (Servicio actual)"/>
    <x v="0"/>
    <x v="0"/>
    <x v="0"/>
    <s v="In Definition"/>
    <n v="71"/>
    <n v="0.03"/>
    <n v="1"/>
    <n v="1"/>
    <n v="1"/>
    <n v="100"/>
    <x v="1"/>
  </r>
  <r>
    <x v="2"/>
    <s v="SainteLague"/>
    <n v="836"/>
    <n v="76303"/>
    <s v="Correio Registado Self-Service| Envios a partir da SuperApp e Site CTT"/>
    <x v="13"/>
    <x v="1"/>
    <x v="0"/>
    <s v="Backlog"/>
    <n v="42"/>
    <n v="0.03"/>
    <n v="1"/>
    <n v="1"/>
    <n v="1"/>
    <n v="100"/>
    <x v="1"/>
  </r>
  <r>
    <x v="2"/>
    <s v="SainteLague"/>
    <n v="837"/>
    <n v="54990"/>
    <s v="[Web de Clientes] - Minerva Ratings - Actualizar el perfil tarifario de clientes al est√°ndar de 1-20 env√≠os comprometidos para que visualice su tarifa en la web"/>
    <x v="0"/>
    <x v="0"/>
    <x v="0"/>
    <s v="Backlog"/>
    <n v="72"/>
    <n v="0.03"/>
    <n v="1"/>
    <n v="1"/>
    <n v="1"/>
    <n v="100"/>
    <x v="1"/>
  </r>
  <r>
    <x v="2"/>
    <s v="SainteLague"/>
    <n v="838"/>
    <n v="46567"/>
    <s v="A receita dos  Postos  Venda de Selos (PVS)"/>
    <x v="13"/>
    <x v="1"/>
    <x v="0"/>
    <s v="Backlog"/>
    <n v="43"/>
    <n v="0.03"/>
    <n v="1"/>
    <n v="1"/>
    <n v="1"/>
    <n v="100"/>
    <x v="1"/>
  </r>
  <r>
    <x v="2"/>
    <s v="SainteLague"/>
    <n v="839"/>
    <n v="55104"/>
    <s v="[Web de Clientes] - Minerva Ratings - Visualizaci√≥n incorrecta de tarifa del cliente 00052"/>
    <x v="0"/>
    <x v="0"/>
    <x v="0"/>
    <s v="Backlog"/>
    <n v="73"/>
    <n v="0.03"/>
    <n v="1"/>
    <n v="1"/>
    <n v="1"/>
    <n v="100"/>
    <x v="1"/>
  </r>
  <r>
    <x v="2"/>
    <s v="SainteLague"/>
    <n v="840"/>
    <n v="207256"/>
    <s v="Altera√ß√£o Canal Produtos Pagamentos B2C"/>
    <x v="13"/>
    <x v="1"/>
    <x v="0"/>
    <s v="Backlog"/>
    <n v="44"/>
    <n v="0.03"/>
    <n v="1"/>
    <n v="1"/>
    <n v="1"/>
    <n v="100"/>
    <x v="1"/>
  </r>
  <r>
    <x v="2"/>
    <s v="SainteLague"/>
    <n v="841"/>
    <n v="52527"/>
    <s v="[Web de Clientes] - Estados - Seguimiento - Error con los env√≠os  al filtrar por fechas de grabaci√≥n"/>
    <x v="0"/>
    <x v="0"/>
    <x v="0"/>
    <s v="In Definition"/>
    <n v="74"/>
    <n v="0.03"/>
    <n v="1"/>
    <n v="1"/>
    <n v="1"/>
    <n v="100"/>
    <x v="1"/>
  </r>
  <r>
    <x v="2"/>
    <s v="SainteLague"/>
    <n v="842"/>
    <n v="203999"/>
    <s v="Altera√ß√£o de dados √† query designada por Sandra Teams PUDO para loky 16-10-2023"/>
    <x v="13"/>
    <x v="1"/>
    <x v="0"/>
    <s v="Backlog"/>
    <n v="45"/>
    <n v="0.03"/>
    <n v="1"/>
    <n v="1"/>
    <n v="1"/>
    <n v="100"/>
    <x v="1"/>
  </r>
  <r>
    <x v="2"/>
    <s v="SainteLague"/>
    <n v="843"/>
    <n v="56826"/>
    <s v="[Nexus]-[Minerva]- Modelo Tarifario Densidades+Zona"/>
    <x v="0"/>
    <x v="0"/>
    <x v="0"/>
    <s v="Backlog"/>
    <n v="75"/>
    <n v="0.03"/>
    <n v="1"/>
    <n v="1"/>
    <n v="1"/>
    <n v="100"/>
    <x v="1"/>
  </r>
  <r>
    <x v="2"/>
    <s v="SainteLague"/>
    <n v="844"/>
    <n v="146437"/>
    <s v="BPM - Processo de Regulariza√ß√£o de Movimentos Manual"/>
    <x v="13"/>
    <x v="1"/>
    <x v="0"/>
    <s v="Backlog"/>
    <n v="46"/>
    <n v="0.03"/>
    <n v="1"/>
    <n v="1"/>
    <n v="1"/>
    <n v="100"/>
    <x v="1"/>
  </r>
  <r>
    <x v="2"/>
    <s v="SainteLague"/>
    <n v="845"/>
    <n v="56874"/>
    <s v="[PUDOS] - [Notificaciones] - N3.1 Entrega en PUDOS mostrar variable pudo address"/>
    <x v="0"/>
    <x v="0"/>
    <x v="0"/>
    <s v="Backlog"/>
    <n v="76"/>
    <n v="0.03"/>
    <n v="1"/>
    <n v="1"/>
    <n v="1"/>
    <n v="100"/>
    <x v="1"/>
  </r>
  <r>
    <x v="2"/>
    <s v="SainteLague"/>
    <n v="846"/>
    <n v="185996"/>
    <s v="Apresenta√ß√£o Imagens BOL LCD LOJAS"/>
    <x v="13"/>
    <x v="1"/>
    <x v="0"/>
    <s v="Backlog"/>
    <n v="47"/>
    <n v="0.03"/>
    <n v="1"/>
    <n v="1"/>
    <n v="1"/>
    <n v="100"/>
    <x v="1"/>
  </r>
  <r>
    <x v="2"/>
    <s v="SainteLague"/>
    <n v="847"/>
    <n v="55715"/>
    <s v="[Web de clientes] - Retorno en seguimiento - Mostrar por fecha de grabaci√≥n y no de servicio"/>
    <x v="0"/>
    <x v="0"/>
    <x v="0"/>
    <s v="Backlog"/>
    <n v="77"/>
    <n v="0.03"/>
    <n v="1"/>
    <n v="1"/>
    <n v="1"/>
    <n v="100"/>
    <x v="1"/>
  </r>
  <r>
    <x v="2"/>
    <s v="SainteLague"/>
    <n v="848"/>
    <n v="10344"/>
    <s v="Melhorias de funcionamento nos Tablets das Lojas"/>
    <x v="13"/>
    <x v="1"/>
    <x v="0"/>
    <s v="Backlog"/>
    <n v="48"/>
    <n v="0.03"/>
    <n v="1"/>
    <n v="1"/>
    <n v="1"/>
    <n v="100"/>
    <x v="1"/>
  </r>
  <r>
    <x v="2"/>
    <s v="SainteLague"/>
    <n v="849"/>
    <n v="46909"/>
    <s v="[Nexus] [Web de Clientes] - Recogida Flexible Grabaci√≥n de env√≠os: Permitir recogida a la carta"/>
    <x v="0"/>
    <x v="0"/>
    <x v="0"/>
    <s v="Backlog"/>
    <n v="78"/>
    <n v="0.03"/>
    <n v="1"/>
    <n v="1"/>
    <n v="1"/>
    <n v="100"/>
    <x v="1"/>
  </r>
  <r>
    <x v="2"/>
    <s v="SainteLague"/>
    <n v="850"/>
    <n v="159032"/>
    <s v="Aplica√ß√£o OPL6 compromete a seguran√ßa do ecossistema CTT,"/>
    <x v="13"/>
    <x v="1"/>
    <x v="0"/>
    <s v="Backlog"/>
    <n v="49"/>
    <n v="0.03"/>
    <n v="1"/>
    <n v="1"/>
    <n v="1"/>
    <n v="100"/>
    <x v="1"/>
  </r>
  <r>
    <x v="2"/>
    <s v="SainteLague"/>
    <n v="851"/>
    <n v="58727"/>
    <s v="[PUDOS] [Web P√∫blica] - Orientar venta directa (a√±adir literales)"/>
    <x v="0"/>
    <x v="0"/>
    <x v="0"/>
    <s v="Backlog"/>
    <n v="79"/>
    <n v="0.03"/>
    <n v="1"/>
    <n v="1"/>
    <n v="1"/>
    <n v="100"/>
    <x v="1"/>
  </r>
  <r>
    <x v="2"/>
    <s v="SainteLague"/>
    <n v="852"/>
    <n v="173452"/>
    <s v="UPDATE | SOLU√á√ÉO TRANSFORMA√á√ÉO | RELAT√ìRIO SERIAL NUMBER EXPEDI√á√ÉO"/>
    <x v="13"/>
    <x v="1"/>
    <x v="0"/>
    <s v="Backlog"/>
    <n v="50"/>
    <n v="0.03"/>
    <n v="1"/>
    <n v="1"/>
    <n v="1"/>
    <n v="100"/>
    <x v="1"/>
  </r>
  <r>
    <x v="2"/>
    <s v="SainteLague"/>
    <n v="853"/>
    <n v="58528"/>
    <s v="[Web de Clientes] - Seguimiento - A√±adir HORA junto a la FECHA"/>
    <x v="0"/>
    <x v="0"/>
    <x v="0"/>
    <s v="Backlog"/>
    <n v="80"/>
    <n v="0.03"/>
    <n v="1"/>
    <n v="1"/>
    <n v="1"/>
    <n v="100"/>
    <x v="1"/>
  </r>
  <r>
    <x v="2"/>
    <s v="SainteLague"/>
    <n v="854"/>
    <n v="190603"/>
    <s v="Formul√°rio Criar Envio de Correio Internacional | Supress√£o do Servi√ßo Especial de Cobran√ßa no Correio Registado para o √¢mbito Internacional"/>
    <x v="13"/>
    <x v="1"/>
    <x v="0"/>
    <s v="Backlog"/>
    <n v="51"/>
    <n v="0.03"/>
    <n v="1"/>
    <n v="1"/>
    <n v="1"/>
    <n v="100"/>
    <x v="1"/>
  </r>
  <r>
    <x v="2"/>
    <s v="SainteLague"/>
    <n v="855"/>
    <n v="59039"/>
    <s v="[PRODUCTO]  [Web de Clientes] - Aranceles aduaneros Canarias"/>
    <x v="0"/>
    <x v="0"/>
    <x v="0"/>
    <s v="Backlog"/>
    <n v="81"/>
    <n v="0.03"/>
    <n v="1"/>
    <n v="1"/>
    <n v="1"/>
    <n v="100"/>
    <x v="1"/>
  </r>
  <r>
    <x v="2"/>
    <s v="SainteLague"/>
    <n v="856"/>
    <n v="66650"/>
    <s v="GS B2C - Disponibiliza√ß√£o de informa√ß√£o do Data Analytics sobre Sess√µes NAVe"/>
    <x v="13"/>
    <x v="1"/>
    <x v="0"/>
    <s v="Backlog"/>
    <n v="52"/>
    <n v="0.03"/>
    <n v="1"/>
    <n v="1"/>
    <n v="1"/>
    <n v="100"/>
    <x v="1"/>
  </r>
  <r>
    <x v="2"/>
    <s v="SainteLague"/>
    <n v="857"/>
    <n v="60003"/>
    <s v="[Web de Clientes] [Qlik] -  Medici√≥n volumen de env√≠os y facturaci√≥n Web Clientes Cloud (Canal Importaci√≥n masiva y grabaci√≥n manual)."/>
    <x v="0"/>
    <x v="0"/>
    <x v="0"/>
    <s v="Backlog"/>
    <n v="82"/>
    <n v="0.03"/>
    <n v="1"/>
    <n v="1"/>
    <n v="1"/>
    <n v="100"/>
    <x v="1"/>
  </r>
  <r>
    <x v="2"/>
    <s v="SainteLague"/>
    <n v="858"/>
    <n v="16889"/>
    <s v="Dona Oferta ‚Äì Dados de recibo/fatura autom√°ticos"/>
    <x v="13"/>
    <x v="1"/>
    <x v="0"/>
    <s v="Backlog"/>
    <n v="53"/>
    <n v="0.03"/>
    <n v="1"/>
    <n v="1"/>
    <n v="1"/>
    <n v="100"/>
    <x v="1"/>
  </r>
  <r>
    <x v="2"/>
    <s v="SainteLague"/>
    <n v="859"/>
    <n v="60289"/>
    <s v="[Web de Clientes] - Incluir tooltip en el bot√≥n de a√±adir NUEVO bulto para env√≠os a Puntos"/>
    <x v="0"/>
    <x v="0"/>
    <x v="0"/>
    <s v="Backlog"/>
    <n v="83"/>
    <n v="0.03"/>
    <n v="1"/>
    <n v="1"/>
    <n v="1"/>
    <n v="100"/>
    <x v="1"/>
  </r>
  <r>
    <x v="2"/>
    <s v="SainteLague"/>
    <n v="860"/>
    <n v="50493"/>
    <s v="B2C - Vendas  Expresso por colaborador - CORVENDAS"/>
    <x v="13"/>
    <x v="1"/>
    <x v="0"/>
    <s v="Backlog"/>
    <n v="54"/>
    <n v="0.03"/>
    <n v="1"/>
    <n v="1"/>
    <n v="1"/>
    <n v="100"/>
    <x v="1"/>
  </r>
  <r>
    <x v="2"/>
    <s v="SainteLague"/>
    <n v="861"/>
    <n v="60722"/>
    <s v="[Notificaciones] - Facturaci√≥n - Modificar contenido del Email Factura a clientes"/>
    <x v="0"/>
    <x v="0"/>
    <x v="0"/>
    <s v="Backlog"/>
    <n v="84"/>
    <n v="0.03"/>
    <n v="1"/>
    <n v="1"/>
    <n v="1"/>
    <n v="100"/>
    <x v="1"/>
  </r>
  <r>
    <x v="2"/>
    <s v="SainteLague"/>
    <n v="862"/>
    <n v="50482"/>
    <s v="GS B2C - Disponibiliza√ß√£o de dados de vendas Filatelia dos canais FIL e DTI"/>
    <x v="13"/>
    <x v="1"/>
    <x v="0"/>
    <s v="Backlog"/>
    <n v="55"/>
    <n v="0.03"/>
    <n v="1"/>
    <n v="1"/>
    <n v="1"/>
    <n v="100"/>
    <x v="1"/>
  </r>
  <r>
    <x v="2"/>
    <s v="SainteLague"/>
    <n v="863"/>
    <n v="60729"/>
    <s v="[web clientes] Modulo aduanas: Andorra"/>
    <x v="0"/>
    <x v="0"/>
    <x v="0"/>
    <s v="In Definition"/>
    <n v="85"/>
    <n v="0.03"/>
    <n v="1"/>
    <n v="1"/>
    <n v="1"/>
    <n v="100"/>
    <x v="1"/>
  </r>
  <r>
    <x v="2"/>
    <s v="SainteLague"/>
    <n v="864"/>
    <n v="48860"/>
    <s v="B2C - Dados Vendas Dona Oferta - via Data Analytics"/>
    <x v="13"/>
    <x v="1"/>
    <x v="0"/>
    <s v="Backlog"/>
    <n v="56"/>
    <n v="0.03"/>
    <n v="1"/>
    <n v="1"/>
    <n v="1"/>
    <n v="100"/>
    <x v="1"/>
  </r>
  <r>
    <x v="2"/>
    <s v="SainteLague"/>
    <n v="865"/>
    <n v="61203"/>
    <s v="[PUDOS] - Pantallas Nexia consulta estados de proveedor"/>
    <x v="0"/>
    <x v="0"/>
    <x v="0"/>
    <s v="Backlog"/>
    <n v="86"/>
    <n v="0.03"/>
    <n v="1"/>
    <n v="1"/>
    <n v="1"/>
    <n v="100"/>
    <x v="1"/>
  </r>
  <r>
    <x v="2"/>
    <s v="SainteLague"/>
    <n v="866"/>
    <n v="160300"/>
    <s v="Incus√£o de informa√ß√£o da ‚ÄúFatura√ß√£o prevista‚Äù e ‚ÄúTr√°fego previsto nos Relatorios"/>
    <x v="13"/>
    <x v="1"/>
    <x v="0"/>
    <s v="Backlog"/>
    <n v="60"/>
    <n v="0.03"/>
    <n v="1"/>
    <n v="1"/>
    <n v="1"/>
    <n v="100"/>
    <x v="1"/>
  </r>
  <r>
    <x v="2"/>
    <s v="SainteLague"/>
    <n v="867"/>
    <n v="61096"/>
    <s v="[Web de Clientes] - Anulaci√≥n de recogidas"/>
    <x v="0"/>
    <x v="0"/>
    <x v="0"/>
    <s v="Backlog"/>
    <n v="87"/>
    <n v="0.03"/>
    <n v="1"/>
    <n v="1"/>
    <n v="1"/>
    <n v="100"/>
    <x v="1"/>
  </r>
  <r>
    <x v="2"/>
    <s v="SainteLague"/>
    <n v="868"/>
    <n v="155967"/>
    <s v="Relatorio SAP Hana - Dados de Clientes Objetos √† Cobran√ßa"/>
    <x v="13"/>
    <x v="1"/>
    <x v="0"/>
    <s v="Backlog"/>
    <n v="61"/>
    <n v="0.03"/>
    <n v="1"/>
    <n v="1"/>
    <n v="1"/>
    <n v="100"/>
    <x v="1"/>
  </r>
  <r>
    <x v="2"/>
    <s v="SainteLague"/>
    <n v="869"/>
    <n v="59315"/>
    <s v="[CELERITAS] - Inhibir notificaciones a dtt en env√≠os Celeritas Cliente"/>
    <x v="0"/>
    <x v="0"/>
    <x v="0"/>
    <s v="Backlog"/>
    <n v="88"/>
    <n v="0.03"/>
    <n v="1"/>
    <n v="1"/>
    <n v="1"/>
    <n v="100"/>
    <x v="1"/>
  </r>
  <r>
    <x v="2"/>
    <s v="SainteLague"/>
    <n v="870"/>
    <n v="155973"/>
    <s v="Relatorio SAP Hana - Clientes com Fatura Eletronica"/>
    <x v="13"/>
    <x v="1"/>
    <x v="0"/>
    <s v="Backlog"/>
    <n v="62"/>
    <n v="0.03"/>
    <n v="1"/>
    <n v="1"/>
    <n v="1"/>
    <n v="100"/>
    <x v="1"/>
  </r>
  <r>
    <x v="2"/>
    <s v="SainteLague"/>
    <n v="871"/>
    <n v="61365"/>
    <s v="[PUDOS] - [Salesforce-Dynamic Case] - EL bot√≥n de reenv√≠o de pin debe reconocer que el env√≠o tiene estado 2310 no que est√° en estado 2310"/>
    <x v="0"/>
    <x v="0"/>
    <x v="0"/>
    <s v="Backlog"/>
    <n v="89"/>
    <n v="0.03"/>
    <n v="1"/>
    <n v="1"/>
    <n v="1"/>
    <n v="100"/>
    <x v="1"/>
  </r>
  <r>
    <x v="2"/>
    <s v="SainteLague"/>
    <n v="872"/>
    <n v="61744"/>
    <s v="[Nexus] - Informaci√≥n P√∫blica de los Clientes - visi√≥n de informaci√≥n de clientes a destinatarios"/>
    <x v="0"/>
    <x v="0"/>
    <x v="0"/>
    <s v="In Definition"/>
    <n v="90"/>
    <n v="0.03"/>
    <n v="1"/>
    <n v="1"/>
    <n v="1"/>
    <n v="100"/>
    <x v="1"/>
  </r>
  <r>
    <x v="2"/>
    <s v="SainteLague"/>
    <n v="873"/>
    <n v="63750"/>
    <s v="[PUDOS] - Gesti√≥n de saturaci√≥n en puntos Collectt"/>
    <x v="0"/>
    <x v="0"/>
    <x v="0"/>
    <s v="Backlog"/>
    <n v="91"/>
    <n v="0.03"/>
    <n v="1"/>
    <n v="1"/>
    <n v="1"/>
    <n v="100"/>
    <x v="1"/>
  </r>
  <r>
    <x v="2"/>
    <s v="SainteLague"/>
    <n v="874"/>
    <n v="58393"/>
    <s v="[Web  de Clientes] - Comportamiento recogidas en grabaci√≥n masiva"/>
    <x v="0"/>
    <x v="0"/>
    <x v="0"/>
    <s v="Backlog"/>
    <n v="92"/>
    <n v="0.03"/>
    <n v="1"/>
    <n v="1"/>
    <n v="1"/>
    <n v="100"/>
    <x v="1"/>
  </r>
  <r>
    <x v="2"/>
    <s v="SainteLague"/>
    <n v="875"/>
    <n v="64102"/>
    <s v="[Web de Cambios] - Mantener el idioma configurado por defecto en web de cambio"/>
    <x v="0"/>
    <x v="0"/>
    <x v="0"/>
    <s v="Backlog"/>
    <n v="93"/>
    <n v="0.03"/>
    <n v="1"/>
    <n v="1"/>
    <n v="1"/>
    <n v="100"/>
    <x v="1"/>
  </r>
  <r>
    <x v="2"/>
    <s v="SainteLague"/>
    <n v="876"/>
    <n v="64248"/>
    <s v="[Web p√∫blica 2.0] - Seguimiento de env√≠os - Acciones seg√∫n n√∫mero de intentos de entrega  - Dynamic Cases"/>
    <x v="0"/>
    <x v="0"/>
    <x v="0"/>
    <s v="Backlog"/>
    <n v="94"/>
    <n v="0.03"/>
    <n v="1"/>
    <n v="1"/>
    <n v="1"/>
    <n v="100"/>
    <x v="1"/>
  </r>
  <r>
    <x v="2"/>
    <s v="SainteLague"/>
    <n v="877"/>
    <n v="63578"/>
    <s v="[Salesforce] - Nueva landing captaci√≥n SEM conectada con el CRM y Pardot"/>
    <x v="0"/>
    <x v="0"/>
    <x v="0"/>
    <s v="Ready for Solution"/>
    <n v="95"/>
    <n v="0.03"/>
    <n v="1"/>
    <n v="1"/>
    <n v="1"/>
    <n v="100"/>
    <x v="1"/>
  </r>
  <r>
    <x v="2"/>
    <s v="SainteLague"/>
    <n v="878"/>
    <n v="137068"/>
    <s v="End point to get Georeferences from listed addresses"/>
    <x v="0"/>
    <x v="0"/>
    <x v="0"/>
    <s v="In Definition"/>
    <n v="96"/>
    <n v="6"/>
    <n v="3"/>
    <n v="2"/>
    <n v="1"/>
    <n v="1"/>
    <x v="1"/>
  </r>
  <r>
    <x v="2"/>
    <s v="SainteLague"/>
    <n v="879"/>
    <n v="136610"/>
    <s v="[Notificaciones] - Customer Communications Management basado en la funcionalidad actual"/>
    <x v="0"/>
    <x v="0"/>
    <x v="0"/>
    <s v="In Definition"/>
    <n v="97"/>
    <n v="6"/>
    <n v="3"/>
    <n v="1"/>
    <n v="2"/>
    <n v="1"/>
    <x v="1"/>
  </r>
  <r>
    <x v="2"/>
    <s v="SainteLague"/>
    <n v="880"/>
    <n v="136346"/>
    <s v="Enlace para usuario en selecci√≥n PUDO para RDP a trav√©s de Web Cliente"/>
    <x v="0"/>
    <x v="0"/>
    <x v="0"/>
    <s v="Backlog"/>
    <n v="98"/>
    <n v="0.03"/>
    <n v="1"/>
    <n v="1"/>
    <n v="1"/>
    <n v="100"/>
    <x v="1"/>
  </r>
  <r>
    <x v="2"/>
    <s v="SainteLague"/>
    <n v="881"/>
    <n v="135524"/>
    <s v="[web clientes]  Incluir formato Excel y CSV en suscripci√≥n de informes"/>
    <x v="0"/>
    <x v="0"/>
    <x v="0"/>
    <s v="Backlog"/>
    <n v="99"/>
    <n v="0.03"/>
    <n v="1"/>
    <n v="1"/>
    <n v="1"/>
    <n v="100"/>
    <x v="1"/>
  </r>
  <r>
    <x v="2"/>
    <s v="SainteLague"/>
    <n v="882"/>
    <n v="135345"/>
    <s v="[Web de clientes] - Seguimiento - Geoposici√≥n V2 - Comparar destino con geoposici√≥n de entrega"/>
    <x v="0"/>
    <x v="0"/>
    <x v="0"/>
    <s v="Backlog"/>
    <n v="100"/>
    <n v="0.03"/>
    <n v="1"/>
    <n v="1"/>
    <n v="1"/>
    <n v="100"/>
    <x v="1"/>
  </r>
  <r>
    <x v="2"/>
    <s v="SainteLague"/>
    <n v="883"/>
    <n v="135097"/>
    <s v="[Internacional]-Notificaci√≥n por Incidencia &quot;Falta de documentaci√≥n&quot;"/>
    <x v="0"/>
    <x v="0"/>
    <x v="0"/>
    <s v="Backlog"/>
    <n v="101"/>
    <n v="0.03"/>
    <n v="1"/>
    <n v="1"/>
    <n v="1"/>
    <n v="100"/>
    <x v="1"/>
  </r>
  <r>
    <x v="2"/>
    <s v="SainteLague"/>
    <n v="884"/>
    <n v="134746"/>
    <s v="[PUDOS] - Destacar Locky en localizador de pudos"/>
    <x v="0"/>
    <x v="0"/>
    <x v="0"/>
    <s v="Backlog"/>
    <n v="102"/>
    <n v="0.03"/>
    <n v="1"/>
    <n v="1"/>
    <n v="1"/>
    <n v="100"/>
    <x v="1"/>
  </r>
  <r>
    <x v="2"/>
    <s v="SainteLague"/>
    <n v="885"/>
    <n v="134614"/>
    <s v="CONTRATO ON LINE"/>
    <x v="0"/>
    <x v="0"/>
    <x v="0"/>
    <s v="Backlog"/>
    <n v="103"/>
    <n v="0.03"/>
    <n v="1"/>
    <n v="1"/>
    <n v="1"/>
    <n v="100"/>
    <x v="1"/>
  </r>
  <r>
    <x v="2"/>
    <s v="SainteLague"/>
    <n v="886"/>
    <n v="134613"/>
    <s v="[Web publica] - Ajustes Locky en visi√≥n destinatario de web p√∫blica"/>
    <x v="0"/>
    <x v="0"/>
    <x v="0"/>
    <s v="Backlog"/>
    <n v="104"/>
    <n v="0.03"/>
    <n v="1"/>
    <n v="1"/>
    <n v="1"/>
    <n v="100"/>
    <x v="1"/>
  </r>
  <r>
    <x v="2"/>
    <s v="SainteLague"/>
    <n v="887"/>
    <n v="134602"/>
    <s v="[Web de cliente] - Seguimiento - Utilizar en filtro y listado de env√≠o la fecha registrada en la variable shipping_date"/>
    <x v="0"/>
    <x v="0"/>
    <x v="0"/>
    <s v="Backlog"/>
    <n v="105"/>
    <n v="0.03"/>
    <n v="1"/>
    <n v="1"/>
    <n v="1"/>
    <n v="100"/>
    <x v="1"/>
  </r>
  <r>
    <x v="2"/>
    <s v="SainteLague"/>
    <n v="888"/>
    <n v="133992"/>
    <s v="[Web de clientes] - Agenda - Incluir campo provincia en fichero de carga masiva de agenda"/>
    <x v="0"/>
    <x v="0"/>
    <x v="0"/>
    <s v="Backlog"/>
    <n v="106"/>
    <n v="0.03"/>
    <n v="1"/>
    <n v="1"/>
    <n v="1"/>
    <n v="100"/>
    <x v="1"/>
  </r>
  <r>
    <x v="2"/>
    <s v="SainteLague"/>
    <n v="889"/>
    <n v="133988"/>
    <s v="[Web de clientes] - Seguimiento - Incidencias gestionables muestra mensaje err√≥neo"/>
    <x v="0"/>
    <x v="0"/>
    <x v="0"/>
    <s v="Backlog"/>
    <n v="107"/>
    <n v="0.03"/>
    <n v="1"/>
    <n v="1"/>
    <n v="1"/>
    <n v="100"/>
    <x v="1"/>
  </r>
  <r>
    <x v="2"/>
    <s v="SainteLague"/>
    <n v="890"/>
    <n v="133834"/>
    <s v="[Nexus-MVP] [Web de Clientes] Traducci√≥n al Ingl√©s y Portugu√©s"/>
    <x v="0"/>
    <x v="0"/>
    <x v="0"/>
    <s v="Pitch"/>
    <n v="108"/>
    <n v="0.03"/>
    <n v="1"/>
    <n v="1"/>
    <n v="1"/>
    <n v="100"/>
    <x v="1"/>
  </r>
  <r>
    <x v="2"/>
    <s v="SainteLague"/>
    <n v="891"/>
    <n v="66400"/>
    <s v="[Salesforce] Notificaci√≥n autom√°tica cambio de comercial"/>
    <x v="0"/>
    <x v="0"/>
    <x v="0"/>
    <s v="Backlog"/>
    <n v="109"/>
    <n v="0.03"/>
    <n v="1"/>
    <n v="1"/>
    <n v="1"/>
    <n v="100"/>
    <x v="1"/>
  </r>
  <r>
    <x v="2"/>
    <s v="SainteLague"/>
    <n v="892"/>
    <n v="66371"/>
    <s v="[PUDOS][PDA]-Evitar falsos entregados desde PDA repartidor"/>
    <x v="0"/>
    <x v="0"/>
    <x v="0"/>
    <s v="Backlog"/>
    <n v="110"/>
    <n v="0.03"/>
    <n v="1"/>
    <n v="1"/>
    <n v="1"/>
    <n v="100"/>
    <x v="1"/>
  </r>
  <r>
    <x v="2"/>
    <s v="SainteLague"/>
    <n v="893"/>
    <n v="66213"/>
    <s v="[Web de clientes][Desktop] - Seguimiento - Ocultar bot√≥n de &quot;Estados&quot; / Alert de filtros"/>
    <x v="0"/>
    <x v="0"/>
    <x v="0"/>
    <s v="Backlog"/>
    <n v="111"/>
    <n v="0.03"/>
    <n v="1"/>
    <n v="1"/>
    <n v="1"/>
    <n v="100"/>
    <x v="1"/>
  </r>
  <r>
    <x v="2"/>
    <s v="SainteLague"/>
    <n v="894"/>
    <n v="66183"/>
    <s v="[Web de clientes][Mobile] - Mi cuenta + Ayuda y soporte"/>
    <x v="0"/>
    <x v="0"/>
    <x v="0"/>
    <s v="Backlog"/>
    <n v="112"/>
    <n v="0.03"/>
    <n v="1"/>
    <n v="1"/>
    <n v="1"/>
    <n v="100"/>
    <x v="1"/>
  </r>
  <r>
    <x v="2"/>
    <s v="SainteLague"/>
    <n v="895"/>
    <n v="66165"/>
    <s v="[Web de clientes][Mobile] - Agenda"/>
    <x v="0"/>
    <x v="0"/>
    <x v="0"/>
    <s v="Backlog"/>
    <n v="113"/>
    <n v="0.03"/>
    <n v="1"/>
    <n v="1"/>
    <n v="1"/>
    <n v="100"/>
    <x v="1"/>
  </r>
  <r>
    <x v="2"/>
    <s v="SainteLague"/>
    <n v="896"/>
    <n v="66163"/>
    <s v="[Web de clientes][Mobile] - Seguimiento de env√≠os"/>
    <x v="0"/>
    <x v="0"/>
    <x v="0"/>
    <s v="Backlog"/>
    <n v="114"/>
    <n v="0.03"/>
    <n v="1"/>
    <n v="1"/>
    <n v="1"/>
    <n v="100"/>
    <x v="1"/>
  </r>
  <r>
    <x v="2"/>
    <s v="SainteLague"/>
    <n v="897"/>
    <n v="66161"/>
    <s v="[Web de clientes][Mobile] - Burger Menu + Actualizaci√≥n de p√°gina de inicio"/>
    <x v="0"/>
    <x v="0"/>
    <x v="0"/>
    <s v="Backlog"/>
    <n v="115"/>
    <n v="0.03"/>
    <n v="1"/>
    <n v="1"/>
    <n v="1"/>
    <n v="100"/>
    <x v="1"/>
  </r>
  <r>
    <x v="2"/>
    <s v="SainteLague"/>
    <n v="898"/>
    <n v="66141"/>
    <s v="[Web de clientes][Mobile] - Solicitud de env√≠o"/>
    <x v="0"/>
    <x v="0"/>
    <x v="0"/>
    <s v="Backlog"/>
    <n v="116"/>
    <n v="0.03"/>
    <n v="1"/>
    <n v="1"/>
    <n v="1"/>
    <n v="100"/>
    <x v="1"/>
  </r>
  <r>
    <x v="2"/>
    <s v="SainteLague"/>
    <n v="899"/>
    <n v="66118"/>
    <s v="[Web P√∫blica] - Formulario y email Pagina Red PUDOS"/>
    <x v="0"/>
    <x v="0"/>
    <x v="0"/>
    <s v="Backlog"/>
    <n v="117"/>
    <n v="0.03"/>
    <n v="1"/>
    <n v="1"/>
    <n v="1"/>
    <n v="100"/>
    <x v="1"/>
  </r>
  <r>
    <x v="2"/>
    <s v="SainteLague"/>
    <n v="900"/>
    <n v="66062"/>
    <s v="[Web de Clientes] - Suscripci√≥n de informes - Reporte con la informaci√≥n de env√≠os de los √∫ltimos 30 d√≠as naturales - Ordenar reporte"/>
    <x v="0"/>
    <x v="0"/>
    <x v="0"/>
    <s v="Backlog"/>
    <n v="118"/>
    <n v="0.03"/>
    <n v="1"/>
    <n v="1"/>
    <n v="1"/>
    <n v="100"/>
    <x v="1"/>
  </r>
  <r>
    <x v="2"/>
    <s v="SainteLague"/>
    <n v="901"/>
    <n v="65865"/>
    <s v="[FR y BR] - Tarifas y Ofertas"/>
    <x v="0"/>
    <x v="0"/>
    <x v="0"/>
    <s v="Backlog"/>
    <n v="119"/>
    <n v="0.03"/>
    <n v="1"/>
    <n v="1"/>
    <n v="1"/>
    <n v="100"/>
    <x v="1"/>
  </r>
  <r>
    <x v="2"/>
    <s v="SainteLague"/>
    <n v="902"/>
    <n v="65864"/>
    <s v="[FR y BR] - Campo departamento y facturaci√≥n"/>
    <x v="0"/>
    <x v="0"/>
    <x v="0"/>
    <s v="Backlog"/>
    <n v="120"/>
    <n v="0.03"/>
    <n v="1"/>
    <n v="1"/>
    <n v="1"/>
    <n v="100"/>
    <x v="1"/>
  </r>
  <r>
    <x v="2"/>
    <s v="SainteLague"/>
    <n v="903"/>
    <n v="65407"/>
    <s v="[WEB CLIENTE] Configuraci√≥n visibilidad web a nivel CENTRO"/>
    <x v="0"/>
    <x v="0"/>
    <x v="0"/>
    <s v="Backlog"/>
    <n v="121"/>
    <n v="0.03"/>
    <n v="1"/>
    <n v="1"/>
    <n v="1"/>
    <n v="100"/>
    <x v="1"/>
  </r>
  <r>
    <x v="2"/>
    <s v="SainteLague"/>
    <n v="904"/>
    <n v="65352"/>
    <s v="[PUDOS] - Mejora Pudo Manager"/>
    <x v="0"/>
    <x v="0"/>
    <x v="0"/>
    <s v="Backlog"/>
    <n v="122"/>
    <n v="0.03"/>
    <n v="1"/>
    <n v="1"/>
    <n v="1"/>
    <n v="100"/>
    <x v="1"/>
  </r>
  <r>
    <x v="2"/>
    <s v="SainteLague"/>
    <n v="905"/>
    <n v="63389"/>
    <s v="[Internacional]- Actualizaci√≥n Web- M√≥dulo Aduana"/>
    <x v="0"/>
    <x v="0"/>
    <x v="0"/>
    <s v="In Definition"/>
    <n v="123"/>
    <n v="0.03"/>
    <n v="1"/>
    <n v="1"/>
    <n v="1"/>
    <n v="100"/>
    <x v="1"/>
  </r>
  <r>
    <x v="2"/>
    <s v="SainteLague"/>
    <n v="906"/>
    <n v="61754"/>
    <s v="[Web de Clientes] - Seguimiento de Env√≠o - Posibilidad de descargar el albar√°n asociado al env√≠o"/>
    <x v="0"/>
    <x v="0"/>
    <x v="0"/>
    <s v="Ready for Solution"/>
    <n v="124"/>
    <n v="0.03"/>
    <n v="1"/>
    <n v="1"/>
    <n v="1"/>
    <n v="100"/>
    <x v="1"/>
  </r>
  <r>
    <x v="2"/>
    <s v="SainteLague"/>
    <n v="907"/>
    <n v="49943"/>
    <s v="[Nexus-MVP] [Web de Clientes] - Recogidas - Resoluci√≥n Incidencia en la recogida causa ajena: permitir al cliente solicitar una nueva recogida"/>
    <x v="0"/>
    <x v="0"/>
    <x v="0"/>
    <s v="Backlog"/>
    <n v="125"/>
    <n v="0.03"/>
    <n v="1"/>
    <n v="1"/>
    <n v="1"/>
    <n v="100"/>
    <x v="1"/>
  </r>
  <r>
    <x v="2"/>
    <s v="SainteLague"/>
    <n v="908"/>
    <n v="49850"/>
    <s v="[PUDOS] - Internalizaci√≥n de la gesti√≥n de env√≠os en punto Celeritas"/>
    <x v="0"/>
    <x v="0"/>
    <x v="0"/>
    <s v="Backlog"/>
    <n v="126"/>
    <n v="0.03"/>
    <n v="1"/>
    <n v="1"/>
    <n v="1"/>
    <n v="100"/>
    <x v="1"/>
  </r>
  <r>
    <x v="2"/>
    <s v="SainteLague"/>
    <n v="909"/>
    <n v="47341"/>
    <s v="[Producto] -  C√≥digo promocional"/>
    <x v="0"/>
    <x v="0"/>
    <x v="0"/>
    <s v="Backlog"/>
    <n v="127"/>
    <n v="0.03"/>
    <n v="1"/>
    <n v="1"/>
    <n v="1"/>
    <n v="100"/>
    <x v="1"/>
  </r>
  <r>
    <x v="2"/>
    <s v="SainteLague"/>
    <n v="910"/>
    <n v="46923"/>
    <s v="[PUDOS] - Resoluci√≥n incidencias de Puntos CTT Express"/>
    <x v="0"/>
    <x v="0"/>
    <x v="0"/>
    <s v="In Definition"/>
    <n v="128"/>
    <n v="0.03"/>
    <n v="1"/>
    <n v="1"/>
    <n v="1"/>
    <n v="100"/>
    <x v="1"/>
  </r>
  <r>
    <x v="2"/>
    <s v="SainteLague"/>
    <n v="911"/>
    <n v="46838"/>
    <s v="Desarrollo Nuevas funcionalidades/Venta (TP)"/>
    <x v="0"/>
    <x v="0"/>
    <x v="0"/>
    <s v="Backlog"/>
    <n v="129"/>
    <n v="0.03"/>
    <n v="1"/>
    <n v="1"/>
    <n v="1"/>
    <n v="100"/>
    <x v="1"/>
  </r>
  <r>
    <x v="2"/>
    <s v="SainteLague"/>
    <n v="912"/>
    <n v="46837"/>
    <s v="Implementaci√≥n de la red Locky (TP)"/>
    <x v="0"/>
    <x v="0"/>
    <x v="0"/>
    <s v="Backlog"/>
    <n v="130"/>
    <n v="0.03"/>
    <n v="1"/>
    <n v="1"/>
    <n v="1"/>
    <n v="100"/>
    <x v="1"/>
  </r>
  <r>
    <x v="2"/>
    <s v="SainteLague"/>
    <n v="913"/>
    <n v="46818"/>
    <s v="Servicios Preferentes/Revisi√≥n del c√°lculo de compromiso (TP)"/>
    <x v="0"/>
    <x v="0"/>
    <x v="0"/>
    <s v="In Definition"/>
    <n v="131"/>
    <n v="0.03"/>
    <n v="1"/>
    <n v="1"/>
    <n v="1"/>
    <n v="100"/>
    <x v="1"/>
  </r>
  <r>
    <x v="2"/>
    <s v="SainteLague"/>
    <n v="914"/>
    <n v="65738"/>
    <s v="[PUDOS] - Generaci√≥n POD env√≠os Celeritas / Locky"/>
    <x v="0"/>
    <x v="0"/>
    <x v="0"/>
    <s v="Backlog"/>
    <n v="132"/>
    <n v="0.03"/>
    <n v="1"/>
    <n v="1"/>
    <n v="1"/>
    <n v="100"/>
    <x v="1"/>
  </r>
  <r>
    <x v="2"/>
    <s v="SainteLague"/>
    <n v="915"/>
    <n v="139346"/>
    <s v="WS - Mejorar Experiencia en PUDO's"/>
    <x v="0"/>
    <x v="0"/>
    <x v="0"/>
    <s v="Backlog"/>
    <n v="133"/>
    <n v="0.03"/>
    <n v="1"/>
    <n v="1"/>
    <n v="1"/>
    <n v="100"/>
    <x v="1"/>
  </r>
  <r>
    <x v="2"/>
    <s v="SainteLague"/>
    <n v="916"/>
    <n v="140672"/>
    <s v="Plan de Retenci√≥n de Clientes en Descenso de Actividad"/>
    <x v="0"/>
    <x v="0"/>
    <x v="0"/>
    <s v="In Definition"/>
    <n v="134"/>
    <n v="0.03"/>
    <n v="1"/>
    <n v="1"/>
    <n v="1"/>
    <n v="100"/>
    <x v="1"/>
  </r>
  <r>
    <x v="2"/>
    <s v="SainteLague"/>
    <n v="917"/>
    <n v="140627"/>
    <s v="[PUDOS] Adaptaci√≥n portal de proveedores para gesti√≥n de puntos de red propia"/>
    <x v="0"/>
    <x v="0"/>
    <x v="0"/>
    <s v="In Definition"/>
    <n v="135"/>
    <n v="1.333"/>
    <n v="1"/>
    <n v="1"/>
    <n v="2"/>
    <n v="3"/>
    <x v="1"/>
  </r>
  <r>
    <x v="2"/>
    <s v="SainteLague"/>
    <n v="918"/>
    <n v="139490"/>
    <s v="[NEXUS]- PRODUCTO CTT RETORNO"/>
    <x v="0"/>
    <x v="0"/>
    <x v="0"/>
    <s v="Backlog"/>
    <n v="136"/>
    <n v="0.03"/>
    <n v="1"/>
    <n v="1"/>
    <n v="1"/>
    <n v="100"/>
    <x v="1"/>
  </r>
  <r>
    <x v="2"/>
    <s v="SainteLague"/>
    <n v="919"/>
    <n v="139282"/>
    <s v="[PUDOS] Recoger y mostrar a destinatarios y repartidores, informaci√≥n adicional de la ubicaci√≥n y acceso a los Lockys"/>
    <x v="0"/>
    <x v="0"/>
    <x v="0"/>
    <s v="In Definition"/>
    <n v="137"/>
    <n v="0.03"/>
    <n v="1"/>
    <n v="1"/>
    <n v="1"/>
    <n v="100"/>
    <x v="1"/>
  </r>
  <r>
    <x v="2"/>
    <s v="SainteLague"/>
    <n v="920"/>
    <n v="138573"/>
    <s v="[PUDOS]-[QLIK] App/Hoja de anal√≠tica de incidencias en PUDOs"/>
    <x v="0"/>
    <x v="0"/>
    <x v="0"/>
    <s v="In Definition"/>
    <n v="138"/>
    <n v="0.03"/>
    <n v="1"/>
    <n v="1"/>
    <n v="1"/>
    <n v="100"/>
    <x v="1"/>
  </r>
  <r>
    <x v="2"/>
    <s v="SainteLague"/>
    <n v="921"/>
    <n v="138420"/>
    <s v="[PUDOS] Reservas y aceptaci√≥n de env√≠os a PUDO - Verificar si el punto est√° activado/desactivado por PUDOS para dar el OK"/>
    <x v="0"/>
    <x v="0"/>
    <x v="0"/>
    <s v="In Definition"/>
    <n v="139"/>
    <n v="0.03"/>
    <n v="1"/>
    <n v="1"/>
    <n v="1"/>
    <n v="100"/>
    <x v="1"/>
  </r>
  <r>
    <x v="2"/>
    <s v="SainteLague"/>
    <n v="922"/>
    <n v="138224"/>
    <s v="[NEXUS] Servicio de Intentos de entrega Flexible"/>
    <x v="0"/>
    <x v="0"/>
    <x v="0"/>
    <s v="Backlog"/>
    <n v="140"/>
    <n v="0.03"/>
    <n v="1"/>
    <n v="1"/>
    <n v="1"/>
    <n v="100"/>
    <x v="1"/>
  </r>
  <r>
    <x v="2"/>
    <s v="SainteLague"/>
    <n v="923"/>
    <n v="138044"/>
    <s v="[NexIA] - Shipping Simulator - Evoluci√≥n"/>
    <x v="0"/>
    <x v="0"/>
    <x v="0"/>
    <s v="Backlog"/>
    <n v="141"/>
    <n v="0.03"/>
    <n v="1"/>
    <n v="1"/>
    <n v="1"/>
    <n v="100"/>
    <x v="1"/>
  </r>
  <r>
    <x v="2"/>
    <s v="SainteLague"/>
    <n v="924"/>
    <n v="137246"/>
    <s v="[PUDOS] - Tools for managing own network"/>
    <x v="0"/>
    <x v="0"/>
    <x v="0"/>
    <s v="Backlog"/>
    <n v="142"/>
    <n v="1.75"/>
    <n v="5"/>
    <n v="1"/>
    <n v="1"/>
    <n v="4"/>
    <x v="1"/>
  </r>
  <r>
    <x v="2"/>
    <s v="SainteLague"/>
    <n v="925"/>
    <n v="63592"/>
    <s v="[NEXUS]-[OOH] - MVP"/>
    <x v="0"/>
    <x v="0"/>
    <x v="0"/>
    <s v="Backlog"/>
    <n v="143"/>
    <n v="0.03"/>
    <n v="1"/>
    <n v="1"/>
    <n v="1"/>
    <n v="100"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F7F10-FDBE-6541-941D-EB7956C65CFD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6" firstHeaderRow="1" firstDataRow="2" firstDataCol="1"/>
  <pivotFields count="16">
    <pivotField axis="axisRow" showAll="0">
      <items count="6">
        <item x="2"/>
        <item x="1"/>
        <item x="0"/>
        <item sd="0" m="1" x="4"/>
        <item sd="0" x="3"/>
        <item t="default"/>
      </items>
    </pivotField>
    <pivotField showAll="0"/>
    <pivotField showAll="0"/>
    <pivotField dataField="1" showAll="0"/>
    <pivotField showAll="0"/>
    <pivotField axis="axisRow" showAll="0">
      <items count="42">
        <item x="5"/>
        <item x="4"/>
        <item x="18"/>
        <item x="12"/>
        <item x="8"/>
        <item x="11"/>
        <item x="21"/>
        <item x="6"/>
        <item x="14"/>
        <item m="1" x="37"/>
        <item x="0"/>
        <item x="30"/>
        <item x="33"/>
        <item x="2"/>
        <item x="27"/>
        <item x="23"/>
        <item m="1" x="38"/>
        <item x="10"/>
        <item m="1" x="36"/>
        <item m="1" x="40"/>
        <item x="1"/>
        <item x="29"/>
        <item x="9"/>
        <item x="17"/>
        <item x="19"/>
        <item x="13"/>
        <item x="26"/>
        <item x="22"/>
        <item x="20"/>
        <item x="28"/>
        <item x="15"/>
        <item x="3"/>
        <item x="7"/>
        <item x="16"/>
        <item x="25"/>
        <item x="31"/>
        <item x="32"/>
        <item x="35"/>
        <item x="24"/>
        <item m="1" x="39"/>
        <item x="34"/>
        <item t="default"/>
      </items>
    </pivotField>
    <pivotField axis="axisRow" showAll="0">
      <items count="9">
        <item m="1" x="4"/>
        <item x="0"/>
        <item m="1" x="7"/>
        <item m="1" x="3"/>
        <item m="1" x="6"/>
        <item m="1" x="5"/>
        <item x="2"/>
        <item x="1"/>
        <item t="default"/>
      </items>
    </pivotField>
    <pivotField axis="axisRow" showAll="0">
      <items count="7">
        <item sd="0" x="4"/>
        <item sd="0" x="0"/>
        <item sd="0" x="2"/>
        <item sd="0" x="1"/>
        <item sd="0"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h="1" x="2"/>
        <item x="0"/>
        <item x="1"/>
        <item t="default"/>
      </items>
    </pivotField>
  </pivotFields>
  <rowFields count="4">
    <field x="0"/>
    <field x="6"/>
    <field x="7"/>
    <field x="5"/>
  </rowFields>
  <rowItems count="32">
    <i>
      <x/>
    </i>
    <i r="1">
      <x v="1"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>
      <x v="1"/>
    </i>
    <i r="1">
      <x v="1"/>
    </i>
    <i r="2">
      <x v="1"/>
    </i>
    <i r="2">
      <x v="3"/>
    </i>
    <i r="1">
      <x v="7"/>
    </i>
    <i r="2">
      <x v="1"/>
    </i>
    <i>
      <x v="2"/>
    </i>
    <i r="1">
      <x v="1"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>
      <x v="4"/>
    </i>
    <i t="grand">
      <x/>
    </i>
  </rowItems>
  <colFields count="1">
    <field x="15"/>
  </colFields>
  <colItems count="3">
    <i>
      <x v="1"/>
    </i>
    <i>
      <x v="2"/>
    </i>
    <i t="grand">
      <x/>
    </i>
  </colItems>
  <dataFields count="1">
    <dataField name="Count of 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F980-2E5F-EC49-B62F-4F6A4A27A40F}">
  <sheetPr>
    <tabColor rgb="FF92D050"/>
  </sheetPr>
  <dimension ref="A1:AI205"/>
  <sheetViews>
    <sheetView zoomScale="120" zoomScaleNormal="120" workbookViewId="0">
      <pane ySplit="2" topLeftCell="A3" activePane="bottomLeft" state="frozen"/>
      <selection pane="bottomLeft" activeCell="B36" sqref="B36:D77"/>
    </sheetView>
  </sheetViews>
  <sheetFormatPr baseColWidth="10" defaultColWidth="8.83203125" defaultRowHeight="16" x14ac:dyDescent="0.2"/>
  <cols>
    <col min="1" max="1" width="3" customWidth="1"/>
    <col min="2" max="2" width="4.6640625" bestFit="1" customWidth="1"/>
    <col min="3" max="3" width="14.33203125" bestFit="1" customWidth="1"/>
    <col min="4" max="4" width="19.83203125" bestFit="1" customWidth="1"/>
    <col min="5" max="5" width="15.5" bestFit="1" customWidth="1"/>
    <col min="6" max="6" width="12.1640625" bestFit="1" customWidth="1"/>
    <col min="7" max="7" width="13.33203125" bestFit="1" customWidth="1"/>
    <col min="8" max="8" width="11.83203125" bestFit="1" customWidth="1"/>
    <col min="9" max="9" width="5.33203125" customWidth="1"/>
    <col min="10" max="10" width="16.33203125" bestFit="1" customWidth="1"/>
    <col min="11" max="11" width="15.1640625" customWidth="1"/>
    <col min="12" max="12" width="8.83203125" bestFit="1" customWidth="1"/>
    <col min="13" max="13" width="6.5" bestFit="1" customWidth="1"/>
    <col min="14" max="14" width="7" bestFit="1" customWidth="1"/>
    <col min="15" max="15" width="6.5" bestFit="1" customWidth="1"/>
    <col min="16" max="16" width="7" bestFit="1" customWidth="1"/>
    <col min="17" max="17" width="6.5" bestFit="1" customWidth="1"/>
    <col min="18" max="18" width="4" customWidth="1"/>
    <col min="19" max="19" width="23.33203125" bestFit="1" customWidth="1"/>
    <col min="20" max="20" width="11.83203125" bestFit="1" customWidth="1"/>
    <col min="21" max="21" width="7.1640625" customWidth="1"/>
    <col min="22" max="22" width="2.83203125" customWidth="1"/>
    <col min="23" max="23" width="12" bestFit="1" customWidth="1"/>
    <col min="24" max="24" width="6.5" bestFit="1" customWidth="1"/>
    <col min="25" max="25" width="3" customWidth="1"/>
    <col min="26" max="26" width="14.33203125" bestFit="1" customWidth="1"/>
    <col min="27" max="27" width="6.5" bestFit="1" customWidth="1"/>
    <col min="28" max="28" width="12.5" bestFit="1" customWidth="1"/>
    <col min="29" max="29" width="2.33203125" customWidth="1"/>
    <col min="30" max="30" width="14.33203125" bestFit="1" customWidth="1"/>
    <col min="31" max="31" width="15.5" bestFit="1" customWidth="1"/>
    <col min="33" max="33" width="28" bestFit="1" customWidth="1"/>
    <col min="34" max="34" width="20.1640625" bestFit="1" customWidth="1"/>
    <col min="35" max="35" width="21" bestFit="1" customWidth="1"/>
  </cols>
  <sheetData>
    <row r="1" spans="1:35" x14ac:dyDescent="0.2">
      <c r="B1" t="s">
        <v>122</v>
      </c>
      <c r="C1" s="18" t="s">
        <v>99</v>
      </c>
      <c r="D1" s="16" t="s">
        <v>118</v>
      </c>
      <c r="E1" s="16"/>
      <c r="F1" s="16"/>
      <c r="J1" s="1" t="s">
        <v>117</v>
      </c>
      <c r="M1" s="1"/>
      <c r="O1" s="1"/>
      <c r="Q1" s="1"/>
      <c r="R1" s="1"/>
      <c r="S1" s="18" t="s">
        <v>99</v>
      </c>
      <c r="T1" s="16" t="s">
        <v>119</v>
      </c>
      <c r="X1" s="7"/>
      <c r="AA1" s="7"/>
      <c r="AD1" s="21" t="s">
        <v>102</v>
      </c>
      <c r="AE1" s="20"/>
      <c r="AG1" s="21" t="s">
        <v>102</v>
      </c>
      <c r="AH1" s="20"/>
      <c r="AI1" s="20"/>
    </row>
    <row r="2" spans="1:35" x14ac:dyDescent="0.2">
      <c r="A2" s="1"/>
      <c r="B2" s="19" t="s">
        <v>120</v>
      </c>
      <c r="C2" s="5" t="s">
        <v>2</v>
      </c>
      <c r="D2" s="5" t="s">
        <v>0</v>
      </c>
      <c r="E2" s="5" t="s">
        <v>1</v>
      </c>
      <c r="F2" s="5" t="s">
        <v>3</v>
      </c>
      <c r="G2" s="19" t="s">
        <v>101</v>
      </c>
      <c r="H2" s="19" t="s">
        <v>100</v>
      </c>
      <c r="J2" s="6" t="s">
        <v>0</v>
      </c>
      <c r="K2" s="6" t="s">
        <v>1</v>
      </c>
      <c r="L2" s="6" t="s">
        <v>364</v>
      </c>
      <c r="M2" s="6" t="s">
        <v>20</v>
      </c>
      <c r="N2" s="6" t="s">
        <v>363</v>
      </c>
      <c r="O2" s="6" t="s">
        <v>20</v>
      </c>
      <c r="P2" s="6" t="s">
        <v>3</v>
      </c>
      <c r="Q2" s="6" t="s">
        <v>20</v>
      </c>
      <c r="R2" s="1"/>
      <c r="S2" s="4" t="s">
        <v>0</v>
      </c>
      <c r="T2" s="4" t="s">
        <v>3</v>
      </c>
      <c r="U2" s="6" t="s">
        <v>20</v>
      </c>
      <c r="V2" s="1"/>
      <c r="W2" s="6" t="str" cm="1">
        <f t="array" ref="W2:W9">_xlfn.UNIQUE(E2:E1000)</f>
        <v>BudgetGroup</v>
      </c>
      <c r="X2" s="6" t="s">
        <v>20</v>
      </c>
      <c r="Y2" s="1"/>
      <c r="Z2" s="6" t="str" cm="1">
        <f t="array" ref="Z2:Z46">_xlfn.UNIQUE(C2:C1000)</f>
        <v>RequestingArea</v>
      </c>
      <c r="AA2" s="6" t="s">
        <v>20</v>
      </c>
      <c r="AB2" s="1" t="s">
        <v>103</v>
      </c>
      <c r="AC2" s="1"/>
      <c r="AD2" s="6" t="s">
        <v>2</v>
      </c>
      <c r="AE2" s="6" t="s">
        <v>1</v>
      </c>
      <c r="AF2" s="1"/>
      <c r="AG2" s="6" t="s">
        <v>104</v>
      </c>
      <c r="AH2" s="6" t="s">
        <v>105</v>
      </c>
      <c r="AI2" s="6" t="s">
        <v>106</v>
      </c>
    </row>
    <row r="3" spans="1:35" x14ac:dyDescent="0.2">
      <c r="B3">
        <v>1</v>
      </c>
      <c r="C3" t="s">
        <v>21</v>
      </c>
      <c r="D3" t="s">
        <v>4</v>
      </c>
      <c r="E3" s="17" t="str">
        <f t="shared" ref="E3:E35" si="0">VLOOKUP($C3,$AD:$AE,2,FALSE)</f>
        <v>Commercial</v>
      </c>
      <c r="F3" s="17">
        <f>H3*SUMIFS($H:$H,$J:$J,D3,$K:$K,E3)/G3</f>
        <v>0.1</v>
      </c>
      <c r="G3" s="17">
        <f>SUMIFS($H$2:$H$1000,$E$2:$E$1000,E3,$D$2:$D$1000,D3)</f>
        <v>10</v>
      </c>
      <c r="H3" s="8">
        <v>1</v>
      </c>
      <c r="J3" t="s">
        <v>10</v>
      </c>
      <c r="K3" t="s">
        <v>6</v>
      </c>
      <c r="L3">
        <f t="shared" ref="L3:L8" si="1">N3/O3*100</f>
        <v>9.5238095238095237</v>
      </c>
      <c r="M3" s="16">
        <f>SUMIF($J:$J,J3,$L:$L)</f>
        <v>100</v>
      </c>
      <c r="N3">
        <f t="shared" ref="N3:N14" si="2">COUNTIFS(E:E,K3,D:D,J3)</f>
        <v>4</v>
      </c>
      <c r="O3" s="16">
        <f t="shared" ref="O3:O38" si="3">SUMIF($J:$J,J3,$N:$N)</f>
        <v>42</v>
      </c>
      <c r="P3">
        <f>SUMIFS(F:F,E:E,K3,D:D,J3)</f>
        <v>1</v>
      </c>
      <c r="Q3" s="16">
        <f>SUMIF($J:$J,N3,$N:$N)</f>
        <v>0</v>
      </c>
      <c r="S3" s="2" t="s">
        <v>10</v>
      </c>
      <c r="T3">
        <v>40</v>
      </c>
      <c r="U3" s="16">
        <f>SUM(T3:T18)</f>
        <v>100</v>
      </c>
      <c r="W3" s="17" t="str">
        <v>Commercial</v>
      </c>
      <c r="X3" s="3">
        <f t="shared" ref="X3:X14" si="4">SUMIF($E:$E,W3,$F:$F)</f>
        <v>5.9999999999999964</v>
      </c>
      <c r="Z3" s="17" t="str">
        <v>GP B2B</v>
      </c>
      <c r="AA3" s="3">
        <f t="shared" ref="AA3:AA44" si="5">SUMIF($C:$C,Z3,$F:$F)</f>
        <v>0.64166666666666661</v>
      </c>
      <c r="AB3" s="17" t="str">
        <f>VLOOKUP(Z3,$AD:$AE,2,FALSE)</f>
        <v>Commercial</v>
      </c>
      <c r="AD3" t="s">
        <v>11</v>
      </c>
      <c r="AE3" t="s">
        <v>11</v>
      </c>
      <c r="AG3" s="22" t="s">
        <v>107</v>
      </c>
      <c r="AH3" t="str" cm="1">
        <f t="array" ref="AH3:AI3">_xlfn.TEXTSPLIT(AG3,"&gt;",)</f>
        <v xml:space="preserve"> IDEA </v>
      </c>
      <c r="AI3" t="str">
        <v xml:space="preserve"> Backlog</v>
      </c>
    </row>
    <row r="4" spans="1:35" x14ac:dyDescent="0.2">
      <c r="B4">
        <v>2</v>
      </c>
      <c r="C4" t="s">
        <v>26</v>
      </c>
      <c r="D4" t="s">
        <v>4</v>
      </c>
      <c r="E4" s="17" t="str">
        <f t="shared" si="0"/>
        <v>Operations</v>
      </c>
      <c r="F4" s="17">
        <f t="shared" ref="F4:F34" si="6">H4*SUMIFS($H:$H,$J:$J,D4,$K:$K,E4)/G4</f>
        <v>0.33333333333333331</v>
      </c>
      <c r="G4" s="17">
        <f t="shared" ref="G4:G34" si="7">SUMIFS($H$2:$H$1000,$E$2:$E$1000,E4,$D$2:$D$1000,D4)</f>
        <v>3</v>
      </c>
      <c r="H4" s="8">
        <v>1</v>
      </c>
      <c r="J4" t="s">
        <v>10</v>
      </c>
      <c r="K4" t="s">
        <v>5</v>
      </c>
      <c r="L4">
        <f t="shared" si="1"/>
        <v>28.571428571428569</v>
      </c>
      <c r="M4" s="16">
        <f t="shared" ref="M4:M38" si="8">SUMIF($J:$J,J4,$L:$L)</f>
        <v>100</v>
      </c>
      <c r="N4">
        <f t="shared" si="2"/>
        <v>12</v>
      </c>
      <c r="O4" s="16">
        <f t="shared" si="3"/>
        <v>42</v>
      </c>
      <c r="P4">
        <f t="shared" ref="P4:P38" si="9">SUMIFS(F:F,E:E,K4,D:D,J4)</f>
        <v>1</v>
      </c>
      <c r="Q4" s="16">
        <f t="shared" ref="Q4" si="10">SUMIF($J:$J,N4,$N:$N)</f>
        <v>0</v>
      </c>
      <c r="S4" s="2" t="s">
        <v>15</v>
      </c>
      <c r="T4">
        <v>22</v>
      </c>
      <c r="W4" s="17" t="str">
        <v>Operations</v>
      </c>
      <c r="X4" s="3">
        <f t="shared" si="4"/>
        <v>5.9999999999999991</v>
      </c>
      <c r="Z4" s="17" t="str">
        <v>SEO</v>
      </c>
      <c r="AA4" s="3">
        <f t="shared" si="5"/>
        <v>1.9166666666666663</v>
      </c>
      <c r="AB4" s="17" t="str">
        <f t="shared" ref="AB4:AB44" si="11">VLOOKUP(Z4,$AD:$AE,2,FALSE)</f>
        <v>Operations</v>
      </c>
      <c r="AD4" t="s">
        <v>66</v>
      </c>
      <c r="AE4" t="s">
        <v>5</v>
      </c>
      <c r="AG4" s="22" t="s">
        <v>108</v>
      </c>
      <c r="AH4" t="str" cm="1">
        <f t="array" ref="AH4:AI4">_xlfn.TEXTSPLIT(AG4,"&gt;",)</f>
        <v xml:space="preserve"> IDEA </v>
      </c>
      <c r="AI4" t="str">
        <v xml:space="preserve"> Pitch</v>
      </c>
    </row>
    <row r="5" spans="1:35" x14ac:dyDescent="0.2">
      <c r="B5">
        <v>3</v>
      </c>
      <c r="C5" t="s">
        <v>22</v>
      </c>
      <c r="D5" t="s">
        <v>4</v>
      </c>
      <c r="E5" s="17" t="str">
        <f t="shared" si="0"/>
        <v>Corporate</v>
      </c>
      <c r="F5" s="17">
        <f t="shared" si="6"/>
        <v>7.6923076923076927E-2</v>
      </c>
      <c r="G5" s="17">
        <f t="shared" si="7"/>
        <v>13</v>
      </c>
      <c r="H5" s="8">
        <v>1</v>
      </c>
      <c r="J5" t="s">
        <v>10</v>
      </c>
      <c r="K5" t="s">
        <v>12</v>
      </c>
      <c r="L5">
        <f t="shared" si="1"/>
        <v>42.857142857142854</v>
      </c>
      <c r="M5" s="16">
        <f t="shared" si="8"/>
        <v>100</v>
      </c>
      <c r="N5">
        <f t="shared" si="2"/>
        <v>18</v>
      </c>
      <c r="O5" s="16">
        <f t="shared" si="3"/>
        <v>42</v>
      </c>
      <c r="P5">
        <f t="shared" si="9"/>
        <v>1.0000000000000002</v>
      </c>
      <c r="Q5" s="16">
        <f>SUMIF($J:$J,N5,$N:$N)</f>
        <v>0</v>
      </c>
      <c r="S5" s="2" t="s">
        <v>4</v>
      </c>
      <c r="T5">
        <v>16</v>
      </c>
      <c r="W5" s="17" t="str">
        <v>Corporate</v>
      </c>
      <c r="X5" s="3">
        <f t="shared" si="4"/>
        <v>6.0000000000000009</v>
      </c>
      <c r="Z5" s="17" t="str">
        <v>CF</v>
      </c>
      <c r="AA5" s="3">
        <f t="shared" si="5"/>
        <v>0.48824786324786323</v>
      </c>
      <c r="AB5" s="17" t="str">
        <f t="shared" si="11"/>
        <v>Corporate</v>
      </c>
      <c r="AD5" t="s">
        <v>65</v>
      </c>
      <c r="AE5" t="s">
        <v>5</v>
      </c>
      <c r="AG5" s="22" t="s">
        <v>109</v>
      </c>
      <c r="AH5" t="str" cm="1">
        <f t="array" ref="AH5:AI5">_xlfn.TEXTSPLIT(AG5,"&gt;",)</f>
        <v xml:space="preserve"> IDEA </v>
      </c>
      <c r="AI5" t="str">
        <v xml:space="preserve"> In Definition</v>
      </c>
    </row>
    <row r="6" spans="1:35" x14ac:dyDescent="0.2">
      <c r="B6">
        <v>4</v>
      </c>
      <c r="C6" t="s">
        <v>9</v>
      </c>
      <c r="D6" t="s">
        <v>4</v>
      </c>
      <c r="E6" s="17" t="str">
        <f t="shared" si="0"/>
        <v>Technology</v>
      </c>
      <c r="F6" s="17">
        <f t="shared" si="6"/>
        <v>0.2</v>
      </c>
      <c r="G6" s="17">
        <f t="shared" si="7"/>
        <v>5</v>
      </c>
      <c r="H6" s="8">
        <v>1</v>
      </c>
      <c r="J6" t="s">
        <v>10</v>
      </c>
      <c r="K6" t="s">
        <v>8</v>
      </c>
      <c r="L6">
        <f t="shared" si="1"/>
        <v>14.285714285714285</v>
      </c>
      <c r="M6" s="16">
        <f t="shared" si="8"/>
        <v>100</v>
      </c>
      <c r="N6">
        <f t="shared" si="2"/>
        <v>6</v>
      </c>
      <c r="O6" s="16">
        <f t="shared" si="3"/>
        <v>42</v>
      </c>
      <c r="P6">
        <f t="shared" si="9"/>
        <v>0.99999999999999989</v>
      </c>
      <c r="Q6" s="16">
        <f t="shared" ref="Q6:Q38" si="12">SUMIF($J:$J,N6,$N:$N)</f>
        <v>0</v>
      </c>
      <c r="S6" s="2" t="s">
        <v>17</v>
      </c>
      <c r="T6">
        <v>10</v>
      </c>
      <c r="W6" s="17" t="str">
        <v>Technology</v>
      </c>
      <c r="X6" s="3">
        <f t="shared" si="4"/>
        <v>6.0000000000000036</v>
      </c>
      <c r="Z6" s="17" t="str">
        <v>SI</v>
      </c>
      <c r="AA6" s="3">
        <f t="shared" si="5"/>
        <v>1.1666666666666665</v>
      </c>
      <c r="AB6" s="17" t="str">
        <f t="shared" si="11"/>
        <v>Technology</v>
      </c>
      <c r="AD6" t="s">
        <v>38</v>
      </c>
      <c r="AE6" t="s">
        <v>5</v>
      </c>
      <c r="AG6" s="22" t="s">
        <v>110</v>
      </c>
      <c r="AH6" t="str" cm="1">
        <f t="array" ref="AH6:AI6">_xlfn.TEXTSPLIT(AG6,"&gt;",)</f>
        <v xml:space="preserve"> SOLUTION </v>
      </c>
      <c r="AI6" t="str">
        <v xml:space="preserve"> In Approval</v>
      </c>
    </row>
    <row r="7" spans="1:35" x14ac:dyDescent="0.2">
      <c r="B7">
        <v>5</v>
      </c>
      <c r="C7" t="s">
        <v>11</v>
      </c>
      <c r="D7" t="s">
        <v>4</v>
      </c>
      <c r="E7" s="17" t="str">
        <f t="shared" si="0"/>
        <v>CISO</v>
      </c>
      <c r="F7" s="17">
        <f t="shared" si="6"/>
        <v>1</v>
      </c>
      <c r="G7" s="17">
        <f t="shared" si="7"/>
        <v>1</v>
      </c>
      <c r="H7" s="8">
        <v>1</v>
      </c>
      <c r="J7" t="s">
        <v>10</v>
      </c>
      <c r="K7" t="s">
        <v>74</v>
      </c>
      <c r="L7">
        <f t="shared" si="1"/>
        <v>2.3809523809523809</v>
      </c>
      <c r="M7" s="16">
        <f t="shared" si="8"/>
        <v>100</v>
      </c>
      <c r="N7">
        <f t="shared" si="2"/>
        <v>1</v>
      </c>
      <c r="O7" s="16">
        <f t="shared" si="3"/>
        <v>42</v>
      </c>
      <c r="P7">
        <f t="shared" si="9"/>
        <v>1</v>
      </c>
      <c r="Q7" s="16">
        <f t="shared" si="12"/>
        <v>0</v>
      </c>
      <c r="S7" s="2" t="s">
        <v>16</v>
      </c>
      <c r="T7">
        <v>8</v>
      </c>
      <c r="W7" s="17" t="str">
        <v>CISO</v>
      </c>
      <c r="X7" s="3">
        <f t="shared" si="4"/>
        <v>6</v>
      </c>
      <c r="Z7" s="17" t="str">
        <v>CISO</v>
      </c>
      <c r="AA7" s="3">
        <f t="shared" si="5"/>
        <v>6</v>
      </c>
      <c r="AB7" s="17" t="str">
        <f t="shared" si="11"/>
        <v>CISO</v>
      </c>
      <c r="AD7" t="s">
        <v>39</v>
      </c>
      <c r="AE7" t="s">
        <v>5</v>
      </c>
      <c r="AG7" s="22" t="s">
        <v>111</v>
      </c>
      <c r="AH7" t="str" cm="1">
        <f t="array" ref="AH7:AI7">_xlfn.TEXTSPLIT(AG7,"&gt;",)</f>
        <v xml:space="preserve"> SOLUTION </v>
      </c>
      <c r="AI7" t="str">
        <v xml:space="preserve"> Ready for Approval</v>
      </c>
    </row>
    <row r="8" spans="1:35" x14ac:dyDescent="0.2">
      <c r="B8">
        <v>6</v>
      </c>
      <c r="C8" t="s">
        <v>116</v>
      </c>
      <c r="D8" t="s">
        <v>4</v>
      </c>
      <c r="E8" s="17" t="str">
        <f t="shared" si="0"/>
        <v>Data &amp; AI</v>
      </c>
      <c r="F8" s="17">
        <f t="shared" si="6"/>
        <v>1</v>
      </c>
      <c r="G8" s="17">
        <f t="shared" si="7"/>
        <v>1</v>
      </c>
      <c r="H8" s="8">
        <v>1</v>
      </c>
      <c r="J8" s="23" t="s">
        <v>10</v>
      </c>
      <c r="K8" s="23" t="s">
        <v>11</v>
      </c>
      <c r="L8">
        <f t="shared" si="1"/>
        <v>2.3809523809523809</v>
      </c>
      <c r="M8" s="16">
        <f t="shared" si="8"/>
        <v>100</v>
      </c>
      <c r="N8" s="23">
        <f t="shared" si="2"/>
        <v>1</v>
      </c>
      <c r="O8" s="16">
        <f t="shared" si="3"/>
        <v>42</v>
      </c>
      <c r="P8">
        <f t="shared" si="9"/>
        <v>1</v>
      </c>
      <c r="Q8" s="16">
        <f t="shared" si="12"/>
        <v>0</v>
      </c>
      <c r="S8" s="2" t="s">
        <v>14</v>
      </c>
      <c r="T8">
        <v>4</v>
      </c>
      <c r="W8" s="17" t="str">
        <v>Data &amp; AI</v>
      </c>
      <c r="X8" s="3">
        <f t="shared" si="4"/>
        <v>6.0000000000000027</v>
      </c>
      <c r="Z8" s="17" t="str">
        <v>IAD</v>
      </c>
      <c r="AA8" s="3">
        <f t="shared" si="5"/>
        <v>5.1428571428571432</v>
      </c>
      <c r="AB8" s="17" t="str">
        <f t="shared" si="11"/>
        <v>Data &amp; AI</v>
      </c>
      <c r="AD8" t="s">
        <v>36</v>
      </c>
      <c r="AE8" t="s">
        <v>5</v>
      </c>
      <c r="AG8" s="22" t="s">
        <v>112</v>
      </c>
      <c r="AH8" t="str" cm="1">
        <f t="array" ref="AH8:AI8">_xlfn.TEXTSPLIT(AG8,"&gt;",)</f>
        <v xml:space="preserve"> IDEA </v>
      </c>
      <c r="AI8" t="str">
        <v xml:space="preserve"> Ready for Solution</v>
      </c>
    </row>
    <row r="9" spans="1:35" x14ac:dyDescent="0.2">
      <c r="B9">
        <v>7</v>
      </c>
      <c r="C9" t="s">
        <v>37</v>
      </c>
      <c r="D9" t="s">
        <v>4</v>
      </c>
      <c r="E9" s="17" t="str">
        <f t="shared" si="0"/>
        <v>Commercial</v>
      </c>
      <c r="F9" s="17">
        <f t="shared" si="6"/>
        <v>0.1</v>
      </c>
      <c r="G9" s="17">
        <f t="shared" si="7"/>
        <v>10</v>
      </c>
      <c r="H9" s="8">
        <v>1</v>
      </c>
      <c r="J9" t="s">
        <v>15</v>
      </c>
      <c r="K9" t="s">
        <v>5</v>
      </c>
      <c r="L9">
        <f t="shared" ref="L9:L38" si="13">N9/O9*100</f>
        <v>28.125</v>
      </c>
      <c r="M9" s="16">
        <f t="shared" si="8"/>
        <v>100</v>
      </c>
      <c r="N9">
        <f t="shared" si="2"/>
        <v>9</v>
      </c>
      <c r="O9" s="16">
        <f t="shared" si="3"/>
        <v>32</v>
      </c>
      <c r="P9">
        <f t="shared" si="9"/>
        <v>1.0000000000000002</v>
      </c>
      <c r="Q9" s="16">
        <f t="shared" si="12"/>
        <v>0</v>
      </c>
      <c r="S9" s="13" t="s">
        <v>18</v>
      </c>
      <c r="T9" s="14">
        <v>0</v>
      </c>
      <c r="W9">
        <v>0</v>
      </c>
      <c r="X9" s="3">
        <f t="shared" si="4"/>
        <v>0</v>
      </c>
      <c r="Z9" s="17" t="str">
        <v>GS</v>
      </c>
      <c r="AA9" s="3">
        <f t="shared" si="5"/>
        <v>0.64166666666666661</v>
      </c>
      <c r="AB9" s="17" t="str">
        <f t="shared" si="11"/>
        <v>Commercial</v>
      </c>
      <c r="AD9" t="s">
        <v>40</v>
      </c>
      <c r="AE9" t="s">
        <v>5</v>
      </c>
      <c r="AG9" s="22" t="s">
        <v>113</v>
      </c>
      <c r="AH9" t="str" cm="1">
        <f t="array" ref="AH9:AI9">_xlfn.TEXTSPLIT(AG9,"&gt;",)</f>
        <v xml:space="preserve"> SOLUTION </v>
      </c>
      <c r="AI9" t="str">
        <v xml:space="preserve"> High Level Design</v>
      </c>
    </row>
    <row r="10" spans="1:35" x14ac:dyDescent="0.2">
      <c r="B10">
        <v>8</v>
      </c>
      <c r="C10" t="s">
        <v>44</v>
      </c>
      <c r="D10" t="s">
        <v>4</v>
      </c>
      <c r="E10" s="17" t="str">
        <f t="shared" si="0"/>
        <v>Corporate</v>
      </c>
      <c r="F10" s="17">
        <f t="shared" si="6"/>
        <v>7.6923076923076927E-2</v>
      </c>
      <c r="G10" s="17">
        <f t="shared" si="7"/>
        <v>13</v>
      </c>
      <c r="H10" s="8">
        <v>1</v>
      </c>
      <c r="J10" t="s">
        <v>15</v>
      </c>
      <c r="K10" t="s">
        <v>6</v>
      </c>
      <c r="L10">
        <f t="shared" si="13"/>
        <v>9.375</v>
      </c>
      <c r="M10" s="16">
        <f t="shared" si="8"/>
        <v>100</v>
      </c>
      <c r="N10">
        <f t="shared" si="2"/>
        <v>3</v>
      </c>
      <c r="O10" s="16">
        <f t="shared" si="3"/>
        <v>32</v>
      </c>
      <c r="P10">
        <f t="shared" si="9"/>
        <v>1</v>
      </c>
      <c r="Q10" s="16">
        <f t="shared" si="12"/>
        <v>0</v>
      </c>
      <c r="X10" s="3">
        <f t="shared" si="4"/>
        <v>0</v>
      </c>
      <c r="Z10" s="17" t="str">
        <v>ACR</v>
      </c>
      <c r="AA10" s="3">
        <f t="shared" si="5"/>
        <v>0.48824786324786323</v>
      </c>
      <c r="AB10" s="17" t="str">
        <f t="shared" si="11"/>
        <v>Corporate</v>
      </c>
      <c r="AD10" t="s">
        <v>21</v>
      </c>
      <c r="AE10" t="s">
        <v>5</v>
      </c>
      <c r="AG10" s="22" t="s">
        <v>114</v>
      </c>
      <c r="AH10" t="str" cm="1">
        <f t="array" ref="AH10:AI10">_xlfn.TEXTSPLIT(AG10,"&gt;",)</f>
        <v xml:space="preserve"> SOLUTION </v>
      </c>
      <c r="AI10" t="str">
        <v xml:space="preserve"> Ready for Development</v>
      </c>
    </row>
    <row r="11" spans="1:35" x14ac:dyDescent="0.2">
      <c r="B11">
        <v>9</v>
      </c>
      <c r="C11" t="s">
        <v>7</v>
      </c>
      <c r="D11" t="s">
        <v>4</v>
      </c>
      <c r="E11" s="17" t="str">
        <f t="shared" si="0"/>
        <v>Operations</v>
      </c>
      <c r="F11" s="17">
        <f t="shared" si="6"/>
        <v>0.33333333333333331</v>
      </c>
      <c r="G11" s="17">
        <f t="shared" si="7"/>
        <v>3</v>
      </c>
      <c r="H11" s="8">
        <v>1</v>
      </c>
      <c r="J11" t="s">
        <v>15</v>
      </c>
      <c r="K11" t="s">
        <v>12</v>
      </c>
      <c r="L11">
        <f t="shared" si="13"/>
        <v>40.625</v>
      </c>
      <c r="M11" s="16">
        <f t="shared" si="8"/>
        <v>100</v>
      </c>
      <c r="N11">
        <f t="shared" si="2"/>
        <v>13</v>
      </c>
      <c r="O11" s="16">
        <f t="shared" si="3"/>
        <v>32</v>
      </c>
      <c r="P11">
        <f t="shared" si="9"/>
        <v>0.99999999999999978</v>
      </c>
      <c r="Q11" s="16">
        <f t="shared" si="12"/>
        <v>0</v>
      </c>
      <c r="X11" s="3">
        <f t="shared" si="4"/>
        <v>0</v>
      </c>
      <c r="Z11" s="17" t="str">
        <v>EDO</v>
      </c>
      <c r="AA11" s="3">
        <f t="shared" si="5"/>
        <v>1.9166666666666663</v>
      </c>
      <c r="AB11" s="17" t="str">
        <f t="shared" si="11"/>
        <v>Operations</v>
      </c>
      <c r="AD11" t="s">
        <v>25</v>
      </c>
      <c r="AE11" t="s">
        <v>5</v>
      </c>
      <c r="AG11" s="22" t="s">
        <v>115</v>
      </c>
      <c r="AH11" t="str" cm="1">
        <f t="array" ref="AH11:AI11">_xlfn.TEXTSPLIT(AG11,"&gt;",)</f>
        <v xml:space="preserve"> SOLUTION </v>
      </c>
      <c r="AI11" t="str">
        <v xml:space="preserve"> In Definition</v>
      </c>
    </row>
    <row r="12" spans="1:35" x14ac:dyDescent="0.2">
      <c r="B12">
        <v>10</v>
      </c>
      <c r="C12" t="s">
        <v>59</v>
      </c>
      <c r="D12" t="s">
        <v>4</v>
      </c>
      <c r="E12" s="17" t="str">
        <f t="shared" si="0"/>
        <v>Technology</v>
      </c>
      <c r="F12" s="17">
        <f t="shared" si="6"/>
        <v>0.2</v>
      </c>
      <c r="G12" s="17">
        <f t="shared" si="7"/>
        <v>5</v>
      </c>
      <c r="H12" s="8">
        <v>1</v>
      </c>
      <c r="J12" t="s">
        <v>15</v>
      </c>
      <c r="K12" t="s">
        <v>8</v>
      </c>
      <c r="L12">
        <f t="shared" si="13"/>
        <v>15.625</v>
      </c>
      <c r="M12" s="16">
        <f t="shared" si="8"/>
        <v>100</v>
      </c>
      <c r="N12">
        <f t="shared" si="2"/>
        <v>5</v>
      </c>
      <c r="O12" s="16">
        <f t="shared" si="3"/>
        <v>32</v>
      </c>
      <c r="P12">
        <f t="shared" si="9"/>
        <v>1</v>
      </c>
      <c r="Q12" s="16">
        <f t="shared" si="12"/>
        <v>0</v>
      </c>
      <c r="X12" s="3">
        <f t="shared" si="4"/>
        <v>0</v>
      </c>
      <c r="Z12" s="17" t="str">
        <v>SI-OPS</v>
      </c>
      <c r="AA12" s="3">
        <f t="shared" si="5"/>
        <v>1.1666666666666665</v>
      </c>
      <c r="AB12" s="17" t="str">
        <f t="shared" si="11"/>
        <v>Technology</v>
      </c>
      <c r="AD12" t="s">
        <v>23</v>
      </c>
      <c r="AE12" t="s">
        <v>5</v>
      </c>
    </row>
    <row r="13" spans="1:35" x14ac:dyDescent="0.2">
      <c r="B13">
        <v>11</v>
      </c>
      <c r="C13" t="s">
        <v>36</v>
      </c>
      <c r="D13" t="s">
        <v>4</v>
      </c>
      <c r="E13" s="17" t="str">
        <f t="shared" si="0"/>
        <v>Commercial</v>
      </c>
      <c r="F13" s="17">
        <f t="shared" si="6"/>
        <v>0.1</v>
      </c>
      <c r="G13" s="17">
        <f t="shared" si="7"/>
        <v>10</v>
      </c>
      <c r="H13" s="8">
        <v>1</v>
      </c>
      <c r="J13" t="s">
        <v>15</v>
      </c>
      <c r="K13" t="s">
        <v>74</v>
      </c>
      <c r="L13">
        <f t="shared" si="13"/>
        <v>3.125</v>
      </c>
      <c r="M13" s="16">
        <f t="shared" si="8"/>
        <v>100</v>
      </c>
      <c r="N13">
        <f t="shared" si="2"/>
        <v>1</v>
      </c>
      <c r="O13" s="16">
        <f t="shared" si="3"/>
        <v>32</v>
      </c>
      <c r="P13">
        <f t="shared" si="9"/>
        <v>1</v>
      </c>
      <c r="Q13" s="16">
        <f t="shared" si="12"/>
        <v>0</v>
      </c>
      <c r="X13" s="3">
        <f t="shared" si="4"/>
        <v>0</v>
      </c>
      <c r="Z13" s="17" t="str">
        <v>DNI</v>
      </c>
      <c r="AA13" s="3">
        <f t="shared" si="5"/>
        <v>0.64166666666666661</v>
      </c>
      <c r="AB13" s="17" t="str">
        <f t="shared" si="11"/>
        <v>Commercial</v>
      </c>
      <c r="AD13" t="s">
        <v>24</v>
      </c>
      <c r="AE13" t="s">
        <v>5</v>
      </c>
    </row>
    <row r="14" spans="1:35" x14ac:dyDescent="0.2">
      <c r="B14">
        <v>12</v>
      </c>
      <c r="C14" t="s">
        <v>46</v>
      </c>
      <c r="D14" t="s">
        <v>4</v>
      </c>
      <c r="E14" s="17" t="str">
        <f t="shared" si="0"/>
        <v>Corporate</v>
      </c>
      <c r="F14" s="17">
        <f t="shared" si="6"/>
        <v>7.6923076923076927E-2</v>
      </c>
      <c r="G14" s="17">
        <f t="shared" si="7"/>
        <v>13</v>
      </c>
      <c r="H14" s="8">
        <v>1</v>
      </c>
      <c r="J14" s="23" t="s">
        <v>15</v>
      </c>
      <c r="K14" s="23" t="s">
        <v>11</v>
      </c>
      <c r="L14">
        <f t="shared" si="13"/>
        <v>3.125</v>
      </c>
      <c r="M14" s="16">
        <f t="shared" si="8"/>
        <v>100</v>
      </c>
      <c r="N14" s="23">
        <f t="shared" si="2"/>
        <v>1</v>
      </c>
      <c r="O14" s="16">
        <f t="shared" si="3"/>
        <v>32</v>
      </c>
      <c r="P14">
        <f t="shared" si="9"/>
        <v>1</v>
      </c>
      <c r="Q14" s="16">
        <f t="shared" si="12"/>
        <v>0</v>
      </c>
      <c r="X14" s="3">
        <f t="shared" si="4"/>
        <v>0</v>
      </c>
      <c r="Z14" s="17" t="str">
        <v>AVC</v>
      </c>
      <c r="AA14" s="3">
        <f t="shared" si="5"/>
        <v>0.48824786324786323</v>
      </c>
      <c r="AB14" s="17" t="str">
        <f t="shared" si="11"/>
        <v>Corporate</v>
      </c>
      <c r="AD14" t="s">
        <v>37</v>
      </c>
      <c r="AE14" t="s">
        <v>5</v>
      </c>
    </row>
    <row r="15" spans="1:35" x14ac:dyDescent="0.2">
      <c r="B15">
        <v>13</v>
      </c>
      <c r="C15" t="s">
        <v>42</v>
      </c>
      <c r="D15" t="s">
        <v>4</v>
      </c>
      <c r="E15" s="17" t="str">
        <f t="shared" si="0"/>
        <v>Operations</v>
      </c>
      <c r="F15" s="17">
        <f t="shared" si="6"/>
        <v>0.33333333333333331</v>
      </c>
      <c r="G15" s="17">
        <f t="shared" si="7"/>
        <v>3</v>
      </c>
      <c r="H15" s="8">
        <v>1</v>
      </c>
      <c r="J15" s="24" t="s">
        <v>4</v>
      </c>
      <c r="K15" s="24" t="s">
        <v>5</v>
      </c>
      <c r="L15">
        <f t="shared" si="13"/>
        <v>30.303030303030305</v>
      </c>
      <c r="M15" s="16">
        <f t="shared" si="8"/>
        <v>100</v>
      </c>
      <c r="N15">
        <f t="shared" ref="N15:N38" si="14">COUNTIFS(E:E,K15,D:D,J15)</f>
        <v>10</v>
      </c>
      <c r="O15" s="16">
        <f t="shared" si="3"/>
        <v>33</v>
      </c>
      <c r="P15">
        <f t="shared" si="9"/>
        <v>0.99999999999999989</v>
      </c>
      <c r="Q15" s="16">
        <f t="shared" si="12"/>
        <v>0</v>
      </c>
      <c r="X15" s="7"/>
      <c r="Z15" s="17" t="str">
        <v>EM</v>
      </c>
      <c r="AA15" s="3">
        <f t="shared" si="5"/>
        <v>1.9166666666666663</v>
      </c>
      <c r="AB15" s="17" t="str">
        <f t="shared" si="11"/>
        <v>Operations</v>
      </c>
      <c r="AD15" t="s">
        <v>68</v>
      </c>
      <c r="AE15" t="s">
        <v>5</v>
      </c>
    </row>
    <row r="16" spans="1:35" x14ac:dyDescent="0.2">
      <c r="B16">
        <v>14</v>
      </c>
      <c r="C16" t="s">
        <v>58</v>
      </c>
      <c r="D16" t="s">
        <v>4</v>
      </c>
      <c r="E16" s="17" t="str">
        <f t="shared" si="0"/>
        <v>Technology</v>
      </c>
      <c r="F16" s="17">
        <f t="shared" si="6"/>
        <v>0.2</v>
      </c>
      <c r="G16" s="17">
        <f t="shared" si="7"/>
        <v>5</v>
      </c>
      <c r="H16" s="8">
        <v>1</v>
      </c>
      <c r="J16" t="s">
        <v>4</v>
      </c>
      <c r="K16" t="s">
        <v>6</v>
      </c>
      <c r="L16">
        <f t="shared" si="13"/>
        <v>9.0909090909090917</v>
      </c>
      <c r="M16" s="16">
        <f t="shared" si="8"/>
        <v>100</v>
      </c>
      <c r="N16">
        <f>COUNTIFS(E:E,K16,D:D,J16)</f>
        <v>3</v>
      </c>
      <c r="O16" s="16">
        <f t="shared" si="3"/>
        <v>33</v>
      </c>
      <c r="P16">
        <f t="shared" si="9"/>
        <v>1</v>
      </c>
      <c r="Q16" s="16">
        <f t="shared" si="12"/>
        <v>0</v>
      </c>
      <c r="X16" s="7"/>
      <c r="Z16" s="17" t="str">
        <v>SI-PRD</v>
      </c>
      <c r="AA16" s="3">
        <f t="shared" si="5"/>
        <v>1.1666666666666665</v>
      </c>
      <c r="AB16" s="17" t="str">
        <f t="shared" si="11"/>
        <v>Technology</v>
      </c>
      <c r="AD16" t="s">
        <v>44</v>
      </c>
      <c r="AE16" t="s">
        <v>12</v>
      </c>
    </row>
    <row r="17" spans="2:31" x14ac:dyDescent="0.2">
      <c r="B17">
        <v>15</v>
      </c>
      <c r="C17" t="s">
        <v>38</v>
      </c>
      <c r="D17" t="s">
        <v>4</v>
      </c>
      <c r="E17" s="17" t="str">
        <f t="shared" si="0"/>
        <v>Commercial</v>
      </c>
      <c r="F17" s="17">
        <f t="shared" si="6"/>
        <v>0.1</v>
      </c>
      <c r="G17" s="17">
        <f t="shared" si="7"/>
        <v>10</v>
      </c>
      <c r="H17" s="8">
        <v>1</v>
      </c>
      <c r="J17" t="s">
        <v>4</v>
      </c>
      <c r="K17" t="s">
        <v>12</v>
      </c>
      <c r="L17">
        <f t="shared" si="13"/>
        <v>39.393939393939391</v>
      </c>
      <c r="M17" s="16">
        <f t="shared" si="8"/>
        <v>100</v>
      </c>
      <c r="N17">
        <f t="shared" si="14"/>
        <v>13</v>
      </c>
      <c r="O17" s="16">
        <f t="shared" si="3"/>
        <v>33</v>
      </c>
      <c r="P17">
        <f t="shared" si="9"/>
        <v>0.99999999999999978</v>
      </c>
      <c r="Q17" s="16">
        <f t="shared" si="12"/>
        <v>0</v>
      </c>
      <c r="X17" s="7"/>
      <c r="Z17" s="17" t="str">
        <v>CSI</v>
      </c>
      <c r="AA17" s="3">
        <f t="shared" si="5"/>
        <v>0.64166666666666661</v>
      </c>
      <c r="AB17" s="17" t="str">
        <f t="shared" si="11"/>
        <v>Commercial</v>
      </c>
      <c r="AD17" t="s">
        <v>67</v>
      </c>
      <c r="AE17" t="s">
        <v>12</v>
      </c>
    </row>
    <row r="18" spans="2:31" x14ac:dyDescent="0.2">
      <c r="B18">
        <v>16</v>
      </c>
      <c r="C18" t="s">
        <v>47</v>
      </c>
      <c r="D18" t="s">
        <v>4</v>
      </c>
      <c r="E18" s="17" t="str">
        <f t="shared" si="0"/>
        <v>Corporate</v>
      </c>
      <c r="F18" s="17">
        <f t="shared" si="6"/>
        <v>7.6923076923076927E-2</v>
      </c>
      <c r="G18" s="17">
        <f t="shared" si="7"/>
        <v>13</v>
      </c>
      <c r="H18" s="8">
        <v>1</v>
      </c>
      <c r="J18" t="s">
        <v>4</v>
      </c>
      <c r="K18" t="s">
        <v>8</v>
      </c>
      <c r="L18">
        <f t="shared" si="13"/>
        <v>15.151515151515152</v>
      </c>
      <c r="M18" s="16">
        <f t="shared" si="8"/>
        <v>100</v>
      </c>
      <c r="N18">
        <f t="shared" si="14"/>
        <v>5</v>
      </c>
      <c r="O18" s="16">
        <f t="shared" si="3"/>
        <v>33</v>
      </c>
      <c r="P18">
        <f t="shared" si="9"/>
        <v>1</v>
      </c>
      <c r="Q18" s="16">
        <f t="shared" si="12"/>
        <v>0</v>
      </c>
      <c r="X18" s="7"/>
      <c r="Z18" s="17" t="str">
        <v>GT</v>
      </c>
      <c r="AA18" s="3">
        <f t="shared" si="5"/>
        <v>0.48824786324786323</v>
      </c>
      <c r="AB18" s="17" t="str">
        <f t="shared" si="11"/>
        <v>Corporate</v>
      </c>
      <c r="AD18" t="s">
        <v>46</v>
      </c>
      <c r="AE18" t="s">
        <v>12</v>
      </c>
    </row>
    <row r="19" spans="2:31" x14ac:dyDescent="0.2">
      <c r="B19">
        <v>17</v>
      </c>
      <c r="C19" t="s">
        <v>34</v>
      </c>
      <c r="D19" t="s">
        <v>4</v>
      </c>
      <c r="E19" s="17" t="str">
        <f t="shared" si="0"/>
        <v>Technology</v>
      </c>
      <c r="F19" s="17">
        <f t="shared" si="6"/>
        <v>0.2</v>
      </c>
      <c r="G19" s="17">
        <f t="shared" si="7"/>
        <v>5</v>
      </c>
      <c r="H19" s="8">
        <v>1</v>
      </c>
      <c r="J19" t="s">
        <v>4</v>
      </c>
      <c r="K19" t="s">
        <v>74</v>
      </c>
      <c r="L19">
        <f t="shared" si="13"/>
        <v>3.0303030303030303</v>
      </c>
      <c r="M19" s="16">
        <f t="shared" si="8"/>
        <v>100</v>
      </c>
      <c r="N19">
        <f t="shared" si="14"/>
        <v>1</v>
      </c>
      <c r="O19" s="16">
        <f t="shared" si="3"/>
        <v>33</v>
      </c>
      <c r="P19">
        <f t="shared" si="9"/>
        <v>1</v>
      </c>
      <c r="Q19" s="16">
        <f t="shared" si="12"/>
        <v>0</v>
      </c>
      <c r="X19" s="7"/>
      <c r="Z19" s="17" t="str">
        <v>BCTT</v>
      </c>
      <c r="AA19" s="3">
        <f t="shared" si="5"/>
        <v>1.1666666666666665</v>
      </c>
      <c r="AB19" s="17" t="str">
        <f t="shared" si="11"/>
        <v>Technology</v>
      </c>
      <c r="AD19" t="s">
        <v>22</v>
      </c>
      <c r="AE19" t="s">
        <v>12</v>
      </c>
    </row>
    <row r="20" spans="2:31" x14ac:dyDescent="0.2">
      <c r="B20">
        <v>18</v>
      </c>
      <c r="C20" t="s">
        <v>25</v>
      </c>
      <c r="D20" t="s">
        <v>4</v>
      </c>
      <c r="E20" s="17" t="str">
        <f t="shared" si="0"/>
        <v>Commercial</v>
      </c>
      <c r="F20" s="17">
        <f t="shared" si="6"/>
        <v>0.1</v>
      </c>
      <c r="G20" s="17">
        <f t="shared" si="7"/>
        <v>10</v>
      </c>
      <c r="H20" s="8">
        <v>1</v>
      </c>
      <c r="J20" s="23" t="s">
        <v>4</v>
      </c>
      <c r="K20" s="23" t="s">
        <v>11</v>
      </c>
      <c r="L20">
        <f t="shared" si="13"/>
        <v>3.0303030303030303</v>
      </c>
      <c r="M20" s="16">
        <f t="shared" si="8"/>
        <v>100</v>
      </c>
      <c r="N20" s="23">
        <f t="shared" si="14"/>
        <v>1</v>
      </c>
      <c r="O20" s="16">
        <f t="shared" si="3"/>
        <v>33</v>
      </c>
      <c r="P20">
        <f t="shared" si="9"/>
        <v>1</v>
      </c>
      <c r="Q20" s="16">
        <f t="shared" si="12"/>
        <v>0</v>
      </c>
      <c r="X20" s="7"/>
      <c r="Z20" s="17" t="str">
        <v>GP B2C</v>
      </c>
      <c r="AA20" s="3">
        <f t="shared" si="5"/>
        <v>0.64166666666666661</v>
      </c>
      <c r="AB20" s="17" t="str">
        <f t="shared" si="11"/>
        <v>Commercial</v>
      </c>
      <c r="AD20" t="s">
        <v>69</v>
      </c>
      <c r="AE20" t="s">
        <v>12</v>
      </c>
    </row>
    <row r="21" spans="2:31" x14ac:dyDescent="0.2">
      <c r="B21">
        <v>19</v>
      </c>
      <c r="C21" t="s">
        <v>35</v>
      </c>
      <c r="D21" t="s">
        <v>4</v>
      </c>
      <c r="E21" s="17" t="str">
        <f t="shared" si="0"/>
        <v>Corporate</v>
      </c>
      <c r="F21" s="17">
        <f t="shared" si="6"/>
        <v>7.6923076923076927E-2</v>
      </c>
      <c r="G21" s="17">
        <f t="shared" si="7"/>
        <v>13</v>
      </c>
      <c r="H21" s="8">
        <v>1</v>
      </c>
      <c r="J21" s="24" t="s">
        <v>17</v>
      </c>
      <c r="K21" s="24" t="s">
        <v>5</v>
      </c>
      <c r="L21">
        <f t="shared" si="13"/>
        <v>25</v>
      </c>
      <c r="M21" s="16">
        <f t="shared" si="8"/>
        <v>100</v>
      </c>
      <c r="N21">
        <f t="shared" si="14"/>
        <v>8</v>
      </c>
      <c r="O21" s="16">
        <f t="shared" si="3"/>
        <v>32</v>
      </c>
      <c r="P21">
        <f t="shared" si="9"/>
        <v>1</v>
      </c>
      <c r="Q21" s="16">
        <f t="shared" si="12"/>
        <v>0</v>
      </c>
      <c r="X21" s="7"/>
      <c r="Z21" s="17" t="str">
        <v>GRH</v>
      </c>
      <c r="AA21" s="3">
        <f t="shared" si="5"/>
        <v>0.48824786324786323</v>
      </c>
      <c r="AB21" s="17" t="str">
        <f t="shared" si="11"/>
        <v>Corporate</v>
      </c>
      <c r="AD21" t="s">
        <v>72</v>
      </c>
      <c r="AE21" t="s">
        <v>12</v>
      </c>
    </row>
    <row r="22" spans="2:31" x14ac:dyDescent="0.2">
      <c r="B22">
        <v>20</v>
      </c>
      <c r="C22" t="s">
        <v>60</v>
      </c>
      <c r="D22" t="s">
        <v>4</v>
      </c>
      <c r="E22" s="17" t="str">
        <f t="shared" si="0"/>
        <v>Technology</v>
      </c>
      <c r="F22" s="17">
        <f t="shared" si="6"/>
        <v>0.2</v>
      </c>
      <c r="G22" s="17">
        <f t="shared" si="7"/>
        <v>5</v>
      </c>
      <c r="H22" s="8">
        <v>1</v>
      </c>
      <c r="J22" t="s">
        <v>17</v>
      </c>
      <c r="K22" t="s">
        <v>6</v>
      </c>
      <c r="L22">
        <f t="shared" si="13"/>
        <v>9.375</v>
      </c>
      <c r="M22" s="16">
        <f t="shared" si="8"/>
        <v>100</v>
      </c>
      <c r="N22">
        <f t="shared" si="14"/>
        <v>3</v>
      </c>
      <c r="O22" s="16">
        <f t="shared" si="3"/>
        <v>32</v>
      </c>
      <c r="P22">
        <f t="shared" si="9"/>
        <v>1</v>
      </c>
      <c r="Q22" s="16">
        <f t="shared" si="12"/>
        <v>0</v>
      </c>
      <c r="X22" s="7"/>
      <c r="Z22" s="17" t="str">
        <v>SI-CRP</v>
      </c>
      <c r="AA22" s="3">
        <f t="shared" si="5"/>
        <v>1.1666666666666665</v>
      </c>
      <c r="AB22" s="17" t="str">
        <f t="shared" si="11"/>
        <v>Technology</v>
      </c>
      <c r="AD22" t="s">
        <v>48</v>
      </c>
      <c r="AE22" t="s">
        <v>12</v>
      </c>
    </row>
    <row r="23" spans="2:31" x14ac:dyDescent="0.2">
      <c r="B23">
        <v>21</v>
      </c>
      <c r="C23" t="s">
        <v>23</v>
      </c>
      <c r="D23" t="s">
        <v>4</v>
      </c>
      <c r="E23" s="17" t="str">
        <f t="shared" si="0"/>
        <v>Commercial</v>
      </c>
      <c r="F23" s="17">
        <f t="shared" si="6"/>
        <v>0.1</v>
      </c>
      <c r="G23" s="17">
        <f t="shared" si="7"/>
        <v>10</v>
      </c>
      <c r="H23" s="8">
        <v>1</v>
      </c>
      <c r="J23" t="s">
        <v>17</v>
      </c>
      <c r="K23" t="s">
        <v>12</v>
      </c>
      <c r="L23">
        <f t="shared" si="13"/>
        <v>25</v>
      </c>
      <c r="M23" s="16">
        <f t="shared" si="8"/>
        <v>100</v>
      </c>
      <c r="N23">
        <f t="shared" si="14"/>
        <v>8</v>
      </c>
      <c r="O23" s="16">
        <f t="shared" si="3"/>
        <v>32</v>
      </c>
      <c r="P23">
        <f t="shared" si="9"/>
        <v>1</v>
      </c>
      <c r="Q23" s="16">
        <f t="shared" si="12"/>
        <v>0</v>
      </c>
      <c r="X23" s="7"/>
      <c r="Z23" s="17" t="str">
        <v>GP ECL</v>
      </c>
      <c r="AA23" s="3">
        <f t="shared" si="5"/>
        <v>0.64166666666666661</v>
      </c>
      <c r="AB23" s="17" t="str">
        <f t="shared" si="11"/>
        <v>Commercial</v>
      </c>
      <c r="AD23" t="s">
        <v>50</v>
      </c>
      <c r="AE23" t="s">
        <v>12</v>
      </c>
    </row>
    <row r="24" spans="2:31" x14ac:dyDescent="0.2">
      <c r="B24">
        <v>22</v>
      </c>
      <c r="C24" t="s">
        <v>98</v>
      </c>
      <c r="D24" t="s">
        <v>4</v>
      </c>
      <c r="E24" s="17" t="str">
        <f t="shared" si="0"/>
        <v>Corporate</v>
      </c>
      <c r="F24" s="17">
        <f t="shared" si="6"/>
        <v>7.6923076923076927E-2</v>
      </c>
      <c r="G24" s="17">
        <f t="shared" si="7"/>
        <v>13</v>
      </c>
      <c r="H24" s="8">
        <v>1</v>
      </c>
      <c r="J24" t="s">
        <v>17</v>
      </c>
      <c r="K24" t="s">
        <v>8</v>
      </c>
      <c r="L24">
        <f t="shared" si="13"/>
        <v>15.625</v>
      </c>
      <c r="M24" s="16">
        <f t="shared" si="8"/>
        <v>100</v>
      </c>
      <c r="N24">
        <f t="shared" si="14"/>
        <v>5</v>
      </c>
      <c r="O24" s="16">
        <f t="shared" si="3"/>
        <v>32</v>
      </c>
      <c r="P24">
        <f t="shared" si="9"/>
        <v>1</v>
      </c>
      <c r="Q24" s="16">
        <f t="shared" si="12"/>
        <v>0</v>
      </c>
      <c r="X24" s="7"/>
      <c r="Z24" s="17" t="str">
        <v>PC</v>
      </c>
      <c r="AA24" s="3">
        <f t="shared" si="5"/>
        <v>0.48824786324786323</v>
      </c>
      <c r="AB24" s="17" t="str">
        <f t="shared" si="11"/>
        <v>Corporate</v>
      </c>
      <c r="AD24" t="s">
        <v>73</v>
      </c>
      <c r="AE24" t="s">
        <v>12</v>
      </c>
    </row>
    <row r="25" spans="2:31" x14ac:dyDescent="0.2">
      <c r="B25">
        <v>23</v>
      </c>
      <c r="C25" t="s">
        <v>24</v>
      </c>
      <c r="D25" t="s">
        <v>4</v>
      </c>
      <c r="E25" s="17" t="str">
        <f t="shared" si="0"/>
        <v>Commercial</v>
      </c>
      <c r="F25" s="17">
        <f t="shared" si="6"/>
        <v>0.1</v>
      </c>
      <c r="G25" s="17">
        <f t="shared" si="7"/>
        <v>10</v>
      </c>
      <c r="H25" s="8">
        <v>1</v>
      </c>
      <c r="J25" t="s">
        <v>17</v>
      </c>
      <c r="K25" t="s">
        <v>74</v>
      </c>
      <c r="L25">
        <f t="shared" si="13"/>
        <v>21.875</v>
      </c>
      <c r="M25" s="16">
        <f t="shared" si="8"/>
        <v>100</v>
      </c>
      <c r="N25">
        <f t="shared" si="14"/>
        <v>7</v>
      </c>
      <c r="O25" s="16">
        <f t="shared" si="3"/>
        <v>32</v>
      </c>
      <c r="P25">
        <f t="shared" si="9"/>
        <v>0.99999999999999978</v>
      </c>
      <c r="Q25" s="16">
        <f t="shared" si="12"/>
        <v>0</v>
      </c>
      <c r="X25" s="7"/>
      <c r="Z25" s="17" t="str">
        <v>GPG</v>
      </c>
      <c r="AA25" s="3">
        <f t="shared" si="5"/>
        <v>0.64166666666666661</v>
      </c>
      <c r="AB25" s="17" t="str">
        <f t="shared" si="11"/>
        <v>Commercial</v>
      </c>
      <c r="AD25" t="s">
        <v>54</v>
      </c>
      <c r="AE25" t="s">
        <v>12</v>
      </c>
    </row>
    <row r="26" spans="2:31" x14ac:dyDescent="0.2">
      <c r="B26">
        <v>24</v>
      </c>
      <c r="C26" t="s">
        <v>45</v>
      </c>
      <c r="D26" t="s">
        <v>4</v>
      </c>
      <c r="E26" s="17" t="str">
        <f t="shared" si="0"/>
        <v>Corporate</v>
      </c>
      <c r="F26" s="17">
        <f t="shared" si="6"/>
        <v>7.6923076923076927E-2</v>
      </c>
      <c r="G26" s="17">
        <f t="shared" si="7"/>
        <v>13</v>
      </c>
      <c r="H26" s="8">
        <v>1</v>
      </c>
      <c r="J26" s="23" t="s">
        <v>17</v>
      </c>
      <c r="K26" s="23" t="s">
        <v>11</v>
      </c>
      <c r="L26">
        <f t="shared" si="13"/>
        <v>3.125</v>
      </c>
      <c r="M26" s="16">
        <f t="shared" si="8"/>
        <v>100</v>
      </c>
      <c r="N26" s="23">
        <f t="shared" si="14"/>
        <v>1</v>
      </c>
      <c r="O26" s="16">
        <f t="shared" si="3"/>
        <v>32</v>
      </c>
      <c r="P26">
        <f t="shared" si="9"/>
        <v>1</v>
      </c>
      <c r="Q26" s="16">
        <f t="shared" si="12"/>
        <v>0</v>
      </c>
      <c r="X26" s="7"/>
      <c r="Z26" s="17" t="str">
        <v>RS</v>
      </c>
      <c r="AA26" s="3">
        <f t="shared" si="5"/>
        <v>0.48824786324786323</v>
      </c>
      <c r="AB26" s="17" t="str">
        <f t="shared" si="11"/>
        <v>Corporate</v>
      </c>
      <c r="AD26" t="s">
        <v>56</v>
      </c>
      <c r="AE26" t="s">
        <v>12</v>
      </c>
    </row>
    <row r="27" spans="2:31" x14ac:dyDescent="0.2">
      <c r="B27">
        <v>25</v>
      </c>
      <c r="C27" t="s">
        <v>40</v>
      </c>
      <c r="D27" t="s">
        <v>4</v>
      </c>
      <c r="E27" s="17" t="str">
        <f t="shared" si="0"/>
        <v>Commercial</v>
      </c>
      <c r="F27" s="17">
        <f t="shared" si="6"/>
        <v>0.1</v>
      </c>
      <c r="G27" s="17">
        <f t="shared" si="7"/>
        <v>10</v>
      </c>
      <c r="H27" s="8">
        <v>1</v>
      </c>
      <c r="J27" s="24" t="s">
        <v>16</v>
      </c>
      <c r="K27" s="24" t="s">
        <v>5</v>
      </c>
      <c r="L27">
        <f t="shared" si="13"/>
        <v>28.125</v>
      </c>
      <c r="M27" s="16">
        <f t="shared" si="8"/>
        <v>100</v>
      </c>
      <c r="N27">
        <f t="shared" si="14"/>
        <v>9</v>
      </c>
      <c r="O27" s="16">
        <f t="shared" si="3"/>
        <v>32</v>
      </c>
      <c r="P27">
        <f t="shared" si="9"/>
        <v>1.0000000000000002</v>
      </c>
      <c r="Q27" s="16">
        <f t="shared" si="12"/>
        <v>0</v>
      </c>
      <c r="X27" s="7"/>
      <c r="Z27" s="17" t="str">
        <v>ECM</v>
      </c>
      <c r="AA27" s="3">
        <f t="shared" si="5"/>
        <v>0.64166666666666661</v>
      </c>
      <c r="AB27" s="17" t="str">
        <f t="shared" si="11"/>
        <v>Commercial</v>
      </c>
      <c r="AD27" t="s">
        <v>35</v>
      </c>
      <c r="AE27" t="s">
        <v>12</v>
      </c>
    </row>
    <row r="28" spans="2:31" x14ac:dyDescent="0.2">
      <c r="B28">
        <v>26</v>
      </c>
      <c r="C28" t="s">
        <v>48</v>
      </c>
      <c r="D28" t="s">
        <v>4</v>
      </c>
      <c r="E28" s="17" t="str">
        <f t="shared" si="0"/>
        <v>Corporate</v>
      </c>
      <c r="F28" s="17">
        <f t="shared" si="6"/>
        <v>7.6923076923076927E-2</v>
      </c>
      <c r="G28" s="17">
        <f t="shared" si="7"/>
        <v>13</v>
      </c>
      <c r="H28" s="8">
        <v>1</v>
      </c>
      <c r="J28" t="s">
        <v>16</v>
      </c>
      <c r="K28" t="s">
        <v>6</v>
      </c>
      <c r="L28">
        <f t="shared" si="13"/>
        <v>9.375</v>
      </c>
      <c r="M28" s="16">
        <f t="shared" si="8"/>
        <v>100</v>
      </c>
      <c r="N28">
        <f t="shared" si="14"/>
        <v>3</v>
      </c>
      <c r="O28" s="16">
        <f t="shared" si="3"/>
        <v>32</v>
      </c>
      <c r="P28">
        <f t="shared" si="9"/>
        <v>1</v>
      </c>
      <c r="Q28" s="16">
        <f t="shared" si="12"/>
        <v>0</v>
      </c>
      <c r="X28" s="7"/>
      <c r="Z28" s="17" t="str">
        <v>CL</v>
      </c>
      <c r="AA28" s="3">
        <f t="shared" si="5"/>
        <v>0.48824786324786323</v>
      </c>
      <c r="AB28" s="17" t="str">
        <f t="shared" si="11"/>
        <v>Corporate</v>
      </c>
      <c r="AD28" t="s">
        <v>47</v>
      </c>
      <c r="AE28" t="s">
        <v>12</v>
      </c>
    </row>
    <row r="29" spans="2:31" x14ac:dyDescent="0.2">
      <c r="B29">
        <v>27</v>
      </c>
      <c r="C29" t="s">
        <v>39</v>
      </c>
      <c r="D29" t="s">
        <v>4</v>
      </c>
      <c r="E29" s="17" t="str">
        <f t="shared" si="0"/>
        <v>Commercial</v>
      </c>
      <c r="F29" s="17">
        <f t="shared" si="6"/>
        <v>0.1</v>
      </c>
      <c r="G29" s="17">
        <f t="shared" si="7"/>
        <v>10</v>
      </c>
      <c r="H29" s="8">
        <v>1</v>
      </c>
      <c r="J29" t="s">
        <v>16</v>
      </c>
      <c r="K29" t="s">
        <v>12</v>
      </c>
      <c r="L29">
        <f t="shared" si="13"/>
        <v>40.625</v>
      </c>
      <c r="M29" s="16">
        <f t="shared" si="8"/>
        <v>100</v>
      </c>
      <c r="N29">
        <f t="shared" si="14"/>
        <v>13</v>
      </c>
      <c r="O29" s="16">
        <f t="shared" si="3"/>
        <v>32</v>
      </c>
      <c r="P29">
        <f t="shared" si="9"/>
        <v>0.99999999999999978</v>
      </c>
      <c r="Q29" s="16">
        <f t="shared" si="12"/>
        <v>0</v>
      </c>
      <c r="X29" s="7"/>
      <c r="Z29" s="17" t="str">
        <v>CTTE</v>
      </c>
      <c r="AA29" s="3">
        <f t="shared" si="5"/>
        <v>0.6595238095238094</v>
      </c>
      <c r="AB29" s="17" t="str">
        <f t="shared" si="11"/>
        <v>Commercial</v>
      </c>
      <c r="AD29" t="s">
        <v>98</v>
      </c>
      <c r="AE29" t="s">
        <v>12</v>
      </c>
    </row>
    <row r="30" spans="2:31" x14ac:dyDescent="0.2">
      <c r="B30">
        <v>28</v>
      </c>
      <c r="C30" t="s">
        <v>54</v>
      </c>
      <c r="D30" t="s">
        <v>4</v>
      </c>
      <c r="E30" s="17" t="str">
        <f t="shared" si="0"/>
        <v>Corporate</v>
      </c>
      <c r="F30" s="17">
        <f t="shared" si="6"/>
        <v>7.6923076923076927E-2</v>
      </c>
      <c r="G30" s="17">
        <f t="shared" si="7"/>
        <v>13</v>
      </c>
      <c r="H30" s="8">
        <v>1</v>
      </c>
      <c r="J30" t="s">
        <v>16</v>
      </c>
      <c r="K30" t="s">
        <v>8</v>
      </c>
      <c r="L30">
        <f t="shared" si="13"/>
        <v>15.625</v>
      </c>
      <c r="M30" s="16">
        <f t="shared" si="8"/>
        <v>100</v>
      </c>
      <c r="N30">
        <f t="shared" si="14"/>
        <v>5</v>
      </c>
      <c r="O30" s="16">
        <f t="shared" si="3"/>
        <v>32</v>
      </c>
      <c r="P30">
        <f t="shared" si="9"/>
        <v>1</v>
      </c>
      <c r="Q30" s="16">
        <f t="shared" si="12"/>
        <v>0</v>
      </c>
      <c r="X30" s="7"/>
      <c r="Z30" s="17" t="str">
        <v>DPO</v>
      </c>
      <c r="AA30" s="3">
        <f t="shared" si="5"/>
        <v>0.50610500610500608</v>
      </c>
      <c r="AB30" s="17" t="str">
        <f t="shared" si="11"/>
        <v>Corporate</v>
      </c>
      <c r="AD30" t="s">
        <v>71</v>
      </c>
      <c r="AE30" t="s">
        <v>12</v>
      </c>
    </row>
    <row r="31" spans="2:31" x14ac:dyDescent="0.2">
      <c r="B31">
        <v>29</v>
      </c>
      <c r="C31" t="s">
        <v>50</v>
      </c>
      <c r="D31" t="s">
        <v>4</v>
      </c>
      <c r="E31" s="17" t="str">
        <f t="shared" si="0"/>
        <v>Corporate</v>
      </c>
      <c r="F31" s="17">
        <f t="shared" si="6"/>
        <v>7.6923076923076927E-2</v>
      </c>
      <c r="G31" s="17">
        <f t="shared" si="7"/>
        <v>13</v>
      </c>
      <c r="H31" s="8">
        <v>1</v>
      </c>
      <c r="J31" t="s">
        <v>16</v>
      </c>
      <c r="K31" t="s">
        <v>74</v>
      </c>
      <c r="L31">
        <f t="shared" si="13"/>
        <v>3.125</v>
      </c>
      <c r="M31" s="16">
        <f t="shared" si="8"/>
        <v>100</v>
      </c>
      <c r="N31">
        <f t="shared" si="14"/>
        <v>1</v>
      </c>
      <c r="O31" s="16">
        <f t="shared" si="3"/>
        <v>32</v>
      </c>
      <c r="P31">
        <f t="shared" si="9"/>
        <v>1</v>
      </c>
      <c r="Q31" s="16">
        <f t="shared" si="12"/>
        <v>0</v>
      </c>
      <c r="X31" s="7"/>
      <c r="Z31" s="17" t="str">
        <v>CMP</v>
      </c>
      <c r="AA31" s="3">
        <f t="shared" si="5"/>
        <v>0.50610500610500608</v>
      </c>
      <c r="AB31" s="17" t="str">
        <f t="shared" si="11"/>
        <v>Corporate</v>
      </c>
      <c r="AD31" t="s">
        <v>45</v>
      </c>
      <c r="AE31" t="s">
        <v>12</v>
      </c>
    </row>
    <row r="32" spans="2:31" x14ac:dyDescent="0.2">
      <c r="B32">
        <v>30</v>
      </c>
      <c r="C32" t="s">
        <v>51</v>
      </c>
      <c r="D32" t="s">
        <v>4</v>
      </c>
      <c r="E32" s="17" t="str">
        <f t="shared" si="0"/>
        <v>Corporate</v>
      </c>
      <c r="F32" s="17">
        <f t="shared" si="6"/>
        <v>7.6923076923076927E-2</v>
      </c>
      <c r="G32" s="17">
        <f t="shared" si="7"/>
        <v>13</v>
      </c>
      <c r="H32" s="8">
        <v>1</v>
      </c>
      <c r="J32" s="23" t="s">
        <v>16</v>
      </c>
      <c r="K32" s="23" t="s">
        <v>11</v>
      </c>
      <c r="L32">
        <f t="shared" si="13"/>
        <v>3.125</v>
      </c>
      <c r="M32" s="16">
        <f t="shared" si="8"/>
        <v>100</v>
      </c>
      <c r="N32" s="23">
        <f t="shared" si="14"/>
        <v>1</v>
      </c>
      <c r="O32" s="16">
        <f t="shared" si="3"/>
        <v>32</v>
      </c>
      <c r="P32">
        <f t="shared" si="9"/>
        <v>1</v>
      </c>
      <c r="Q32" s="16">
        <f t="shared" si="12"/>
        <v>0</v>
      </c>
      <c r="X32" s="7"/>
      <c r="Z32" s="17" t="str">
        <v>ST</v>
      </c>
      <c r="AA32" s="3">
        <f t="shared" si="5"/>
        <v>0.50610500610500608</v>
      </c>
      <c r="AB32" s="17" t="str">
        <f t="shared" si="11"/>
        <v>Corporate</v>
      </c>
      <c r="AD32" t="s">
        <v>51</v>
      </c>
      <c r="AE32" t="s">
        <v>12</v>
      </c>
    </row>
    <row r="33" spans="2:31" x14ac:dyDescent="0.2">
      <c r="B33">
        <v>31</v>
      </c>
      <c r="C33" t="s">
        <v>56</v>
      </c>
      <c r="D33" t="s">
        <v>4</v>
      </c>
      <c r="E33" s="17" t="str">
        <f t="shared" si="0"/>
        <v>Corporate</v>
      </c>
      <c r="F33" s="17">
        <f t="shared" si="6"/>
        <v>7.6923076923076927E-2</v>
      </c>
      <c r="G33" s="17">
        <f t="shared" si="7"/>
        <v>13</v>
      </c>
      <c r="H33" s="8">
        <v>1</v>
      </c>
      <c r="J33" s="24" t="s">
        <v>14</v>
      </c>
      <c r="K33" s="24" t="s">
        <v>5</v>
      </c>
      <c r="L33">
        <f t="shared" si="13"/>
        <v>28.125</v>
      </c>
      <c r="M33" s="16">
        <f t="shared" si="8"/>
        <v>100</v>
      </c>
      <c r="N33">
        <f t="shared" si="14"/>
        <v>9</v>
      </c>
      <c r="O33" s="16">
        <f t="shared" si="3"/>
        <v>32</v>
      </c>
      <c r="P33">
        <f t="shared" si="9"/>
        <v>1.0000000000000002</v>
      </c>
      <c r="Q33" s="16">
        <f t="shared" si="12"/>
        <v>0</v>
      </c>
      <c r="X33" s="7"/>
      <c r="Z33" s="17" t="str">
        <v>FL</v>
      </c>
      <c r="AA33" s="3">
        <f t="shared" si="5"/>
        <v>0.50610500610500608</v>
      </c>
      <c r="AB33" s="17" t="str">
        <f t="shared" si="11"/>
        <v>Corporate</v>
      </c>
      <c r="AD33" t="s">
        <v>53</v>
      </c>
      <c r="AE33" t="s">
        <v>12</v>
      </c>
    </row>
    <row r="34" spans="2:31" x14ac:dyDescent="0.2">
      <c r="B34">
        <v>32</v>
      </c>
      <c r="C34" t="s">
        <v>53</v>
      </c>
      <c r="D34" t="s">
        <v>4</v>
      </c>
      <c r="E34" s="17" t="str">
        <f t="shared" si="0"/>
        <v>Corporate</v>
      </c>
      <c r="F34" s="17">
        <f t="shared" si="6"/>
        <v>7.6923076923076927E-2</v>
      </c>
      <c r="G34" s="17">
        <f t="shared" si="7"/>
        <v>13</v>
      </c>
      <c r="H34" s="8">
        <v>1</v>
      </c>
      <c r="J34" t="s">
        <v>14</v>
      </c>
      <c r="K34" t="s">
        <v>6</v>
      </c>
      <c r="L34">
        <f t="shared" si="13"/>
        <v>9.375</v>
      </c>
      <c r="M34" s="16">
        <f t="shared" si="8"/>
        <v>100</v>
      </c>
      <c r="N34">
        <f t="shared" si="14"/>
        <v>3</v>
      </c>
      <c r="O34" s="16">
        <f t="shared" si="3"/>
        <v>32</v>
      </c>
      <c r="P34">
        <f t="shared" si="9"/>
        <v>1</v>
      </c>
      <c r="Q34" s="16">
        <f t="shared" si="12"/>
        <v>0</v>
      </c>
      <c r="X34" s="7"/>
      <c r="Z34" s="17" t="str">
        <v>TF</v>
      </c>
      <c r="AA34" s="3">
        <f t="shared" si="5"/>
        <v>0.50610500610500608</v>
      </c>
      <c r="AB34" s="17" t="str">
        <f t="shared" si="11"/>
        <v>Corporate</v>
      </c>
      <c r="AD34" t="s">
        <v>64</v>
      </c>
      <c r="AE34" t="s">
        <v>6</v>
      </c>
    </row>
    <row r="35" spans="2:31" x14ac:dyDescent="0.2">
      <c r="B35">
        <v>33</v>
      </c>
      <c r="C35" t="s">
        <v>365</v>
      </c>
      <c r="D35" t="s">
        <v>4</v>
      </c>
      <c r="E35" s="30" t="str">
        <f t="shared" si="0"/>
        <v>Commercial</v>
      </c>
      <c r="F35" s="17">
        <f t="shared" ref="F35" si="15">H35*SUMIFS($H:$H,$J:$J,D35,$K:$K,E35)/G35</f>
        <v>0.1</v>
      </c>
      <c r="G35" s="17">
        <f t="shared" ref="G35" si="16">SUMIFS($H$2:$H$1000,$E$2:$E$1000,E35,$D$2:$D$1000,D35)</f>
        <v>10</v>
      </c>
      <c r="H35" s="8">
        <v>1</v>
      </c>
      <c r="J35" t="s">
        <v>14</v>
      </c>
      <c r="K35" t="s">
        <v>12</v>
      </c>
      <c r="L35">
        <f t="shared" si="13"/>
        <v>40.625</v>
      </c>
      <c r="M35" s="16">
        <f t="shared" si="8"/>
        <v>100</v>
      </c>
      <c r="N35">
        <f t="shared" si="14"/>
        <v>13</v>
      </c>
      <c r="O35" s="16">
        <f t="shared" si="3"/>
        <v>32</v>
      </c>
      <c r="P35">
        <f t="shared" si="9"/>
        <v>0.99999999999999978</v>
      </c>
      <c r="Q35" s="16">
        <f t="shared" si="12"/>
        <v>0</v>
      </c>
      <c r="X35" s="7"/>
      <c r="Z35" s="17" t="str">
        <v>NSP</v>
      </c>
      <c r="AA35" s="3">
        <f t="shared" si="5"/>
        <v>0.1</v>
      </c>
      <c r="AB35" s="17" t="str">
        <f t="shared" si="11"/>
        <v>Commercial</v>
      </c>
      <c r="AD35" t="s">
        <v>7</v>
      </c>
      <c r="AE35" t="s">
        <v>6</v>
      </c>
    </row>
    <row r="36" spans="2:31" x14ac:dyDescent="0.2">
      <c r="B36">
        <v>1</v>
      </c>
      <c r="C36" t="s">
        <v>64</v>
      </c>
      <c r="D36" t="s">
        <v>10</v>
      </c>
      <c r="E36" s="17" t="str">
        <f t="shared" ref="E36:E77" si="17">VLOOKUP($C36,$AD:$AE,2,FALSE)</f>
        <v>Operations</v>
      </c>
      <c r="F36" s="17">
        <f t="shared" ref="F36:F77" si="18">H36*SUMIFS($H:$H,$J:$J,D36,$K:$K,E36)/G36</f>
        <v>0.25</v>
      </c>
      <c r="G36" s="17">
        <f t="shared" ref="G36:G77" si="19">SUMIFS($H$2:$H$1000,$E$2:$E$1000,E36,$D$2:$D$1000,D36)</f>
        <v>4</v>
      </c>
      <c r="H36" s="8">
        <v>1</v>
      </c>
      <c r="J36" t="s">
        <v>14</v>
      </c>
      <c r="K36" t="s">
        <v>8</v>
      </c>
      <c r="L36">
        <f t="shared" si="13"/>
        <v>15.625</v>
      </c>
      <c r="M36" s="16">
        <f t="shared" si="8"/>
        <v>100</v>
      </c>
      <c r="N36">
        <f t="shared" si="14"/>
        <v>5</v>
      </c>
      <c r="O36" s="16">
        <f t="shared" si="3"/>
        <v>32</v>
      </c>
      <c r="P36">
        <f t="shared" si="9"/>
        <v>1</v>
      </c>
      <c r="Q36" s="16">
        <f t="shared" si="12"/>
        <v>0</v>
      </c>
      <c r="X36" s="7"/>
      <c r="Z36" s="17" t="str">
        <v>COO</v>
      </c>
      <c r="AA36" s="3">
        <f t="shared" si="5"/>
        <v>0.25</v>
      </c>
      <c r="AB36" s="17" t="str">
        <f t="shared" si="11"/>
        <v>Operations</v>
      </c>
      <c r="AD36" t="s">
        <v>42</v>
      </c>
      <c r="AE36" t="s">
        <v>6</v>
      </c>
    </row>
    <row r="37" spans="2:31" x14ac:dyDescent="0.2">
      <c r="B37">
        <v>2</v>
      </c>
      <c r="C37" t="s">
        <v>65</v>
      </c>
      <c r="D37" t="s">
        <v>10</v>
      </c>
      <c r="E37" s="17" t="str">
        <f t="shared" si="17"/>
        <v>Commercial</v>
      </c>
      <c r="F37" s="17">
        <f t="shared" si="18"/>
        <v>8.3333333333333329E-2</v>
      </c>
      <c r="G37" s="17">
        <f t="shared" si="19"/>
        <v>12</v>
      </c>
      <c r="H37" s="8">
        <v>1</v>
      </c>
      <c r="J37" t="s">
        <v>14</v>
      </c>
      <c r="K37" t="s">
        <v>74</v>
      </c>
      <c r="L37">
        <f t="shared" si="13"/>
        <v>3.125</v>
      </c>
      <c r="M37" s="16">
        <f t="shared" si="8"/>
        <v>100</v>
      </c>
      <c r="N37">
        <f t="shared" si="14"/>
        <v>1</v>
      </c>
      <c r="O37" s="16">
        <f t="shared" si="3"/>
        <v>32</v>
      </c>
      <c r="P37">
        <f t="shared" si="9"/>
        <v>1</v>
      </c>
      <c r="Q37" s="16">
        <f t="shared" si="12"/>
        <v>0</v>
      </c>
      <c r="X37" s="7"/>
      <c r="Z37" s="17" t="str">
        <v>CMO</v>
      </c>
      <c r="AA37" s="3">
        <f t="shared" si="5"/>
        <v>8.3333333333333329E-2</v>
      </c>
      <c r="AB37" s="17" t="str">
        <f t="shared" si="11"/>
        <v>Commercial</v>
      </c>
      <c r="AD37" t="s">
        <v>42</v>
      </c>
      <c r="AE37" t="s">
        <v>6</v>
      </c>
    </row>
    <row r="38" spans="2:31" x14ac:dyDescent="0.2">
      <c r="B38">
        <v>3</v>
      </c>
      <c r="C38" t="s">
        <v>67</v>
      </c>
      <c r="D38" t="s">
        <v>10</v>
      </c>
      <c r="E38" s="17" t="str">
        <f t="shared" si="17"/>
        <v>Corporate</v>
      </c>
      <c r="F38" s="17">
        <f t="shared" si="18"/>
        <v>5.5555555555555552E-2</v>
      </c>
      <c r="G38" s="17">
        <f t="shared" si="19"/>
        <v>18</v>
      </c>
      <c r="H38" s="8">
        <v>1</v>
      </c>
      <c r="J38" s="23" t="s">
        <v>14</v>
      </c>
      <c r="K38" s="23" t="s">
        <v>11</v>
      </c>
      <c r="L38">
        <f t="shared" si="13"/>
        <v>3.125</v>
      </c>
      <c r="M38" s="16">
        <f t="shared" si="8"/>
        <v>100</v>
      </c>
      <c r="N38" s="23">
        <f t="shared" si="14"/>
        <v>1</v>
      </c>
      <c r="O38" s="16">
        <f t="shared" si="3"/>
        <v>32</v>
      </c>
      <c r="P38">
        <f t="shared" si="9"/>
        <v>1</v>
      </c>
      <c r="Q38" s="16">
        <f t="shared" si="12"/>
        <v>0</v>
      </c>
      <c r="X38" s="7"/>
      <c r="Z38" s="17" t="str">
        <v>ATC</v>
      </c>
      <c r="AA38" s="3">
        <f t="shared" si="5"/>
        <v>5.5555555555555552E-2</v>
      </c>
      <c r="AB38" s="17" t="str">
        <f t="shared" si="11"/>
        <v>Corporate</v>
      </c>
      <c r="AD38" t="s">
        <v>26</v>
      </c>
      <c r="AE38" t="s">
        <v>6</v>
      </c>
    </row>
    <row r="39" spans="2:31" x14ac:dyDescent="0.2">
      <c r="B39">
        <v>4</v>
      </c>
      <c r="C39" t="s">
        <v>66</v>
      </c>
      <c r="D39" t="s">
        <v>10</v>
      </c>
      <c r="E39" s="17" t="str">
        <f t="shared" si="17"/>
        <v>Commercial</v>
      </c>
      <c r="F39" s="17">
        <f t="shared" si="18"/>
        <v>8.3333333333333329E-2</v>
      </c>
      <c r="G39" s="17">
        <f t="shared" si="19"/>
        <v>12</v>
      </c>
      <c r="H39" s="8">
        <v>1</v>
      </c>
      <c r="J39" s="31" t="s">
        <v>379</v>
      </c>
      <c r="K39" s="24" t="s">
        <v>5</v>
      </c>
      <c r="L39">
        <v>38</v>
      </c>
      <c r="X39" s="7"/>
      <c r="Z39" s="17" t="str">
        <v>CCO</v>
      </c>
      <c r="AA39" s="3">
        <f t="shared" si="5"/>
        <v>8.3333333333333329E-2</v>
      </c>
      <c r="AB39" s="17" t="str">
        <f t="shared" si="11"/>
        <v>Commercial</v>
      </c>
      <c r="AD39" t="s">
        <v>34</v>
      </c>
      <c r="AE39" t="s">
        <v>8</v>
      </c>
    </row>
    <row r="40" spans="2:31" x14ac:dyDescent="0.2">
      <c r="B40">
        <v>5</v>
      </c>
      <c r="C40" t="s">
        <v>68</v>
      </c>
      <c r="D40" t="s">
        <v>10</v>
      </c>
      <c r="E40" s="17" t="str">
        <f t="shared" si="17"/>
        <v>Commercial</v>
      </c>
      <c r="F40" s="17">
        <f t="shared" si="18"/>
        <v>8.3333333333333329E-2</v>
      </c>
      <c r="G40" s="17">
        <f t="shared" si="19"/>
        <v>12</v>
      </c>
      <c r="H40" s="8">
        <v>1</v>
      </c>
      <c r="J40" s="32" t="s">
        <v>379</v>
      </c>
      <c r="K40" t="s">
        <v>6</v>
      </c>
      <c r="L40">
        <v>19</v>
      </c>
      <c r="X40" s="7"/>
      <c r="Z40" s="17" t="str">
        <v>IDC</v>
      </c>
      <c r="AA40" s="3">
        <f t="shared" si="5"/>
        <v>8.3333333333333329E-2</v>
      </c>
      <c r="AB40" s="17" t="str">
        <f t="shared" si="11"/>
        <v>Commercial</v>
      </c>
      <c r="AD40" t="s">
        <v>70</v>
      </c>
      <c r="AE40" t="s">
        <v>8</v>
      </c>
    </row>
    <row r="41" spans="2:31" x14ac:dyDescent="0.2">
      <c r="B41">
        <v>6</v>
      </c>
      <c r="C41" t="s">
        <v>69</v>
      </c>
      <c r="D41" t="s">
        <v>10</v>
      </c>
      <c r="E41" s="17" t="str">
        <f t="shared" si="17"/>
        <v>Corporate</v>
      </c>
      <c r="F41" s="17">
        <f t="shared" si="18"/>
        <v>5.5555555555555552E-2</v>
      </c>
      <c r="G41" s="17">
        <f t="shared" si="19"/>
        <v>18</v>
      </c>
      <c r="H41" s="8">
        <v>1</v>
      </c>
      <c r="J41" s="32" t="s">
        <v>379</v>
      </c>
      <c r="K41" t="s">
        <v>12</v>
      </c>
      <c r="L41">
        <v>19</v>
      </c>
      <c r="X41" s="7"/>
      <c r="Z41" s="17" t="str">
        <v>CFO</v>
      </c>
      <c r="AA41" s="3">
        <f t="shared" si="5"/>
        <v>5.5555555555555552E-2</v>
      </c>
      <c r="AB41" s="17" t="str">
        <f t="shared" si="11"/>
        <v>Corporate</v>
      </c>
      <c r="AD41" t="s">
        <v>9</v>
      </c>
      <c r="AE41" t="s">
        <v>8</v>
      </c>
    </row>
    <row r="42" spans="2:31" x14ac:dyDescent="0.2">
      <c r="B42">
        <v>7</v>
      </c>
      <c r="C42" t="s">
        <v>70</v>
      </c>
      <c r="D42" t="s">
        <v>10</v>
      </c>
      <c r="E42" s="17" t="str">
        <f t="shared" si="17"/>
        <v>Technology</v>
      </c>
      <c r="F42" s="17">
        <f t="shared" si="18"/>
        <v>0.16666666666666666</v>
      </c>
      <c r="G42" s="17">
        <f t="shared" si="19"/>
        <v>6</v>
      </c>
      <c r="H42" s="8">
        <v>1</v>
      </c>
      <c r="J42" s="32" t="s">
        <v>379</v>
      </c>
      <c r="K42" t="s">
        <v>8</v>
      </c>
      <c r="L42">
        <v>17</v>
      </c>
      <c r="X42" s="7"/>
      <c r="Z42" s="17" t="str">
        <v>CIO</v>
      </c>
      <c r="AA42" s="3">
        <f t="shared" si="5"/>
        <v>0.16666666666666666</v>
      </c>
      <c r="AB42" s="17" t="str">
        <f t="shared" si="11"/>
        <v>Technology</v>
      </c>
      <c r="AD42" t="s">
        <v>60</v>
      </c>
      <c r="AE42" t="s">
        <v>8</v>
      </c>
    </row>
    <row r="43" spans="2:31" x14ac:dyDescent="0.2">
      <c r="B43">
        <v>8</v>
      </c>
      <c r="C43" t="s">
        <v>71</v>
      </c>
      <c r="D43" t="s">
        <v>10</v>
      </c>
      <c r="E43" s="17" t="str">
        <f t="shared" si="17"/>
        <v>Corporate</v>
      </c>
      <c r="F43" s="17">
        <f t="shared" si="18"/>
        <v>5.5555555555555552E-2</v>
      </c>
      <c r="G43" s="17">
        <f t="shared" si="19"/>
        <v>18</v>
      </c>
      <c r="H43" s="8">
        <v>1</v>
      </c>
      <c r="J43" s="32" t="s">
        <v>379</v>
      </c>
      <c r="K43" t="s">
        <v>74</v>
      </c>
      <c r="L43">
        <v>5</v>
      </c>
      <c r="X43" s="7"/>
      <c r="Z43" s="17" t="str">
        <v>PRO</v>
      </c>
      <c r="AA43" s="3">
        <f t="shared" si="5"/>
        <v>5.5555555555555552E-2</v>
      </c>
      <c r="AB43" s="17" t="str">
        <f t="shared" si="11"/>
        <v>Corporate</v>
      </c>
      <c r="AD43" t="s">
        <v>59</v>
      </c>
      <c r="AE43" t="s">
        <v>8</v>
      </c>
    </row>
    <row r="44" spans="2:31" x14ac:dyDescent="0.2">
      <c r="B44">
        <v>9</v>
      </c>
      <c r="C44" t="s">
        <v>72</v>
      </c>
      <c r="D44" t="s">
        <v>10</v>
      </c>
      <c r="E44" s="17" t="str">
        <f t="shared" si="17"/>
        <v>Corporate</v>
      </c>
      <c r="F44" s="17">
        <f t="shared" si="18"/>
        <v>5.5555555555555552E-2</v>
      </c>
      <c r="G44" s="17">
        <f t="shared" si="19"/>
        <v>18</v>
      </c>
      <c r="H44" s="8">
        <v>1</v>
      </c>
      <c r="J44" s="33" t="s">
        <v>379</v>
      </c>
      <c r="K44" s="23" t="s">
        <v>11</v>
      </c>
      <c r="L44">
        <v>2</v>
      </c>
      <c r="X44" s="7"/>
      <c r="Z44" s="17" t="str">
        <v>CHR</v>
      </c>
      <c r="AA44" s="3">
        <f t="shared" si="5"/>
        <v>5.5555555555555552E-2</v>
      </c>
      <c r="AB44" s="17" t="str">
        <f t="shared" si="11"/>
        <v>Corporate</v>
      </c>
      <c r="AD44" t="s">
        <v>58</v>
      </c>
      <c r="AE44" t="s">
        <v>8</v>
      </c>
    </row>
    <row r="45" spans="2:31" x14ac:dyDescent="0.2">
      <c r="B45">
        <v>11</v>
      </c>
      <c r="C45" t="s">
        <v>23</v>
      </c>
      <c r="D45" t="s">
        <v>10</v>
      </c>
      <c r="E45" s="17" t="str">
        <f t="shared" si="17"/>
        <v>Commercial</v>
      </c>
      <c r="F45" s="17">
        <f t="shared" si="18"/>
        <v>8.3333333333333329E-2</v>
      </c>
      <c r="G45" s="17">
        <f t="shared" si="19"/>
        <v>12</v>
      </c>
      <c r="H45" s="8">
        <v>1</v>
      </c>
      <c r="X45" s="7"/>
      <c r="Z45" t="str">
        <v>COM</v>
      </c>
      <c r="AA45" s="7"/>
      <c r="AD45" t="s">
        <v>116</v>
      </c>
      <c r="AE45" t="s">
        <v>74</v>
      </c>
    </row>
    <row r="46" spans="2:31" x14ac:dyDescent="0.2">
      <c r="B46">
        <v>12</v>
      </c>
      <c r="C46" t="s">
        <v>11</v>
      </c>
      <c r="D46" t="s">
        <v>10</v>
      </c>
      <c r="E46" s="17" t="str">
        <f t="shared" si="17"/>
        <v>CISO</v>
      </c>
      <c r="F46" s="17">
        <f t="shared" si="18"/>
        <v>1</v>
      </c>
      <c r="G46" s="17">
        <f t="shared" si="19"/>
        <v>1</v>
      </c>
      <c r="H46" s="8">
        <v>1</v>
      </c>
      <c r="X46" s="7"/>
      <c r="Z46">
        <v>0</v>
      </c>
      <c r="AA46" s="7"/>
      <c r="AD46" t="s">
        <v>365</v>
      </c>
      <c r="AE46" t="s">
        <v>5</v>
      </c>
    </row>
    <row r="47" spans="2:31" x14ac:dyDescent="0.2">
      <c r="B47">
        <v>13</v>
      </c>
      <c r="C47" t="s">
        <v>116</v>
      </c>
      <c r="D47" t="s">
        <v>10</v>
      </c>
      <c r="E47" s="17" t="str">
        <f t="shared" si="17"/>
        <v>Data &amp; AI</v>
      </c>
      <c r="F47" s="17">
        <f t="shared" si="18"/>
        <v>1</v>
      </c>
      <c r="G47" s="17">
        <f t="shared" si="19"/>
        <v>1</v>
      </c>
      <c r="H47" s="8">
        <v>1</v>
      </c>
      <c r="X47" s="7"/>
      <c r="AA47" s="7"/>
    </row>
    <row r="48" spans="2:31" x14ac:dyDescent="0.2">
      <c r="B48">
        <v>14</v>
      </c>
      <c r="C48" t="s">
        <v>37</v>
      </c>
      <c r="D48" t="s">
        <v>10</v>
      </c>
      <c r="E48" s="17" t="str">
        <f t="shared" si="17"/>
        <v>Commercial</v>
      </c>
      <c r="F48" s="17">
        <f t="shared" si="18"/>
        <v>8.3333333333333329E-2</v>
      </c>
      <c r="G48" s="17">
        <f t="shared" si="19"/>
        <v>12</v>
      </c>
      <c r="H48" s="8">
        <v>1</v>
      </c>
      <c r="X48" s="7"/>
      <c r="AA48" s="7"/>
    </row>
    <row r="49" spans="2:27" x14ac:dyDescent="0.2">
      <c r="B49">
        <v>15</v>
      </c>
      <c r="C49" t="s">
        <v>7</v>
      </c>
      <c r="D49" t="s">
        <v>10</v>
      </c>
      <c r="E49" s="17" t="str">
        <f t="shared" si="17"/>
        <v>Operations</v>
      </c>
      <c r="F49" s="17">
        <f t="shared" si="18"/>
        <v>0.25</v>
      </c>
      <c r="G49" s="17">
        <f t="shared" si="19"/>
        <v>4</v>
      </c>
      <c r="H49" s="8">
        <v>1</v>
      </c>
      <c r="X49" s="7"/>
      <c r="AA49" s="7"/>
    </row>
    <row r="50" spans="2:27" x14ac:dyDescent="0.2">
      <c r="B50">
        <v>16</v>
      </c>
      <c r="C50" t="s">
        <v>44</v>
      </c>
      <c r="D50" t="s">
        <v>10</v>
      </c>
      <c r="E50" s="17" t="str">
        <f t="shared" si="17"/>
        <v>Corporate</v>
      </c>
      <c r="F50" s="17">
        <f t="shared" si="18"/>
        <v>5.5555555555555552E-2</v>
      </c>
      <c r="G50" s="17">
        <f t="shared" si="19"/>
        <v>18</v>
      </c>
      <c r="H50" s="8">
        <v>1</v>
      </c>
      <c r="X50" s="7"/>
      <c r="AA50" s="7"/>
    </row>
    <row r="51" spans="2:27" x14ac:dyDescent="0.2">
      <c r="B51">
        <v>17</v>
      </c>
      <c r="C51" t="s">
        <v>9</v>
      </c>
      <c r="D51" t="s">
        <v>10</v>
      </c>
      <c r="E51" s="17" t="str">
        <f t="shared" si="17"/>
        <v>Technology</v>
      </c>
      <c r="F51" s="17">
        <f t="shared" si="18"/>
        <v>0.16666666666666666</v>
      </c>
      <c r="G51" s="17">
        <f t="shared" si="19"/>
        <v>6</v>
      </c>
      <c r="H51" s="8">
        <v>1</v>
      </c>
      <c r="X51" s="7"/>
      <c r="AA51" s="7"/>
    </row>
    <row r="52" spans="2:27" x14ac:dyDescent="0.2">
      <c r="B52">
        <v>18</v>
      </c>
      <c r="C52" t="s">
        <v>26</v>
      </c>
      <c r="D52" t="s">
        <v>10</v>
      </c>
      <c r="E52" s="17" t="str">
        <f t="shared" si="17"/>
        <v>Operations</v>
      </c>
      <c r="F52" s="17">
        <f t="shared" si="18"/>
        <v>0.25</v>
      </c>
      <c r="G52" s="17">
        <f t="shared" si="19"/>
        <v>4</v>
      </c>
      <c r="H52" s="8">
        <v>1</v>
      </c>
      <c r="X52" s="7"/>
      <c r="AA52" s="7"/>
    </row>
    <row r="53" spans="2:27" x14ac:dyDescent="0.2">
      <c r="B53">
        <v>19</v>
      </c>
      <c r="C53" t="s">
        <v>22</v>
      </c>
      <c r="D53" t="s">
        <v>10</v>
      </c>
      <c r="E53" s="17" t="str">
        <f t="shared" si="17"/>
        <v>Corporate</v>
      </c>
      <c r="F53" s="17">
        <f t="shared" si="18"/>
        <v>5.5555555555555552E-2</v>
      </c>
      <c r="G53" s="17">
        <f t="shared" si="19"/>
        <v>18</v>
      </c>
      <c r="H53" s="8">
        <v>1</v>
      </c>
      <c r="X53" s="7"/>
      <c r="AA53" s="7"/>
    </row>
    <row r="54" spans="2:27" x14ac:dyDescent="0.2">
      <c r="B54">
        <v>20</v>
      </c>
      <c r="C54" t="s">
        <v>59</v>
      </c>
      <c r="D54" t="s">
        <v>10</v>
      </c>
      <c r="E54" s="17" t="str">
        <f t="shared" si="17"/>
        <v>Technology</v>
      </c>
      <c r="F54" s="17">
        <f t="shared" si="18"/>
        <v>0.16666666666666666</v>
      </c>
      <c r="G54" s="17">
        <f t="shared" si="19"/>
        <v>6</v>
      </c>
      <c r="H54" s="8">
        <v>1</v>
      </c>
      <c r="X54" s="7"/>
      <c r="AA54" s="7"/>
    </row>
    <row r="55" spans="2:27" x14ac:dyDescent="0.2">
      <c r="B55">
        <v>21</v>
      </c>
      <c r="C55" t="s">
        <v>34</v>
      </c>
      <c r="D55" t="s">
        <v>10</v>
      </c>
      <c r="E55" s="17" t="str">
        <f t="shared" si="17"/>
        <v>Technology</v>
      </c>
      <c r="F55" s="17">
        <f t="shared" si="18"/>
        <v>0.16666666666666666</v>
      </c>
      <c r="G55" s="17">
        <f t="shared" si="19"/>
        <v>6</v>
      </c>
      <c r="H55" s="8">
        <v>1</v>
      </c>
      <c r="X55" s="7"/>
      <c r="AA55" s="7"/>
    </row>
    <row r="56" spans="2:27" x14ac:dyDescent="0.2">
      <c r="B56">
        <v>22</v>
      </c>
      <c r="C56" t="s">
        <v>58</v>
      </c>
      <c r="D56" t="s">
        <v>10</v>
      </c>
      <c r="E56" s="17" t="str">
        <f t="shared" si="17"/>
        <v>Technology</v>
      </c>
      <c r="F56" s="17">
        <f t="shared" si="18"/>
        <v>0.16666666666666666</v>
      </c>
      <c r="G56" s="17">
        <f t="shared" si="19"/>
        <v>6</v>
      </c>
      <c r="H56" s="8">
        <v>1</v>
      </c>
      <c r="X56" s="7"/>
      <c r="AA56" s="7"/>
    </row>
    <row r="57" spans="2:27" x14ac:dyDescent="0.2">
      <c r="B57">
        <v>23</v>
      </c>
      <c r="C57" t="s">
        <v>46</v>
      </c>
      <c r="D57" t="s">
        <v>10</v>
      </c>
      <c r="E57" s="17" t="str">
        <f t="shared" si="17"/>
        <v>Corporate</v>
      </c>
      <c r="F57" s="17">
        <f t="shared" si="18"/>
        <v>5.5555555555555552E-2</v>
      </c>
      <c r="G57" s="17">
        <f t="shared" si="19"/>
        <v>18</v>
      </c>
      <c r="H57" s="8">
        <v>1</v>
      </c>
      <c r="X57" s="7"/>
      <c r="AA57" s="7"/>
    </row>
    <row r="58" spans="2:27" x14ac:dyDescent="0.2">
      <c r="B58">
        <v>24</v>
      </c>
      <c r="C58" t="s">
        <v>42</v>
      </c>
      <c r="D58" t="s">
        <v>10</v>
      </c>
      <c r="E58" s="17" t="str">
        <f t="shared" si="17"/>
        <v>Operations</v>
      </c>
      <c r="F58" s="17">
        <f t="shared" si="18"/>
        <v>0.25</v>
      </c>
      <c r="G58" s="17">
        <f t="shared" si="19"/>
        <v>4</v>
      </c>
      <c r="H58" s="8">
        <v>1</v>
      </c>
      <c r="X58" s="7"/>
      <c r="AA58" s="7"/>
    </row>
    <row r="59" spans="2:27" x14ac:dyDescent="0.2">
      <c r="B59">
        <v>25</v>
      </c>
      <c r="C59" t="s">
        <v>36</v>
      </c>
      <c r="D59" t="s">
        <v>10</v>
      </c>
      <c r="E59" s="17" t="str">
        <f t="shared" si="17"/>
        <v>Commercial</v>
      </c>
      <c r="F59" s="17">
        <f t="shared" si="18"/>
        <v>8.3333333333333329E-2</v>
      </c>
      <c r="G59" s="17">
        <f t="shared" si="19"/>
        <v>12</v>
      </c>
      <c r="H59" s="8">
        <v>1</v>
      </c>
      <c r="X59" s="7"/>
      <c r="AA59" s="7"/>
    </row>
    <row r="60" spans="2:27" x14ac:dyDescent="0.2">
      <c r="B60">
        <v>26</v>
      </c>
      <c r="C60" t="s">
        <v>60</v>
      </c>
      <c r="D60" t="s">
        <v>10</v>
      </c>
      <c r="E60" s="17" t="str">
        <f t="shared" si="17"/>
        <v>Technology</v>
      </c>
      <c r="F60" s="17">
        <f t="shared" si="18"/>
        <v>0.16666666666666666</v>
      </c>
      <c r="G60" s="17">
        <f t="shared" si="19"/>
        <v>6</v>
      </c>
      <c r="H60" s="8">
        <v>1</v>
      </c>
      <c r="X60" s="7"/>
      <c r="AA60" s="7"/>
    </row>
    <row r="61" spans="2:27" x14ac:dyDescent="0.2">
      <c r="B61">
        <v>27</v>
      </c>
      <c r="C61" t="s">
        <v>38</v>
      </c>
      <c r="D61" t="s">
        <v>10</v>
      </c>
      <c r="E61" s="17" t="str">
        <f t="shared" si="17"/>
        <v>Commercial</v>
      </c>
      <c r="F61" s="17">
        <f t="shared" si="18"/>
        <v>8.3333333333333329E-2</v>
      </c>
      <c r="G61" s="17">
        <f t="shared" si="19"/>
        <v>12</v>
      </c>
      <c r="H61" s="8">
        <v>1</v>
      </c>
      <c r="X61" s="7"/>
      <c r="AA61" s="7"/>
    </row>
    <row r="62" spans="2:27" x14ac:dyDescent="0.2">
      <c r="B62">
        <v>28</v>
      </c>
      <c r="C62" t="s">
        <v>21</v>
      </c>
      <c r="D62" t="s">
        <v>10</v>
      </c>
      <c r="E62" s="17" t="str">
        <f t="shared" si="17"/>
        <v>Commercial</v>
      </c>
      <c r="F62" s="17">
        <f t="shared" si="18"/>
        <v>8.3333333333333329E-2</v>
      </c>
      <c r="G62" s="17">
        <f t="shared" si="19"/>
        <v>12</v>
      </c>
      <c r="H62" s="8">
        <v>1</v>
      </c>
      <c r="X62" s="7"/>
      <c r="AA62" s="7"/>
    </row>
    <row r="63" spans="2:27" x14ac:dyDescent="0.2">
      <c r="B63">
        <v>29</v>
      </c>
      <c r="C63" t="s">
        <v>54</v>
      </c>
      <c r="D63" t="s">
        <v>10</v>
      </c>
      <c r="E63" s="17" t="str">
        <f t="shared" si="17"/>
        <v>Corporate</v>
      </c>
      <c r="F63" s="17">
        <f t="shared" si="18"/>
        <v>5.5555555555555552E-2</v>
      </c>
      <c r="G63" s="17">
        <f t="shared" si="19"/>
        <v>18</v>
      </c>
      <c r="H63" s="8">
        <v>1</v>
      </c>
      <c r="X63" s="7"/>
      <c r="AA63" s="7"/>
    </row>
    <row r="64" spans="2:27" x14ac:dyDescent="0.2">
      <c r="B64">
        <v>30</v>
      </c>
      <c r="C64" t="s">
        <v>25</v>
      </c>
      <c r="D64" t="s">
        <v>10</v>
      </c>
      <c r="E64" s="17" t="str">
        <f t="shared" si="17"/>
        <v>Commercial</v>
      </c>
      <c r="F64" s="17">
        <f t="shared" si="18"/>
        <v>8.3333333333333329E-2</v>
      </c>
      <c r="G64" s="17">
        <f t="shared" si="19"/>
        <v>12</v>
      </c>
      <c r="H64" s="8">
        <v>1</v>
      </c>
      <c r="X64" s="7"/>
      <c r="AA64" s="7"/>
    </row>
    <row r="65" spans="2:27" x14ac:dyDescent="0.2">
      <c r="B65">
        <v>31</v>
      </c>
      <c r="C65" t="s">
        <v>47</v>
      </c>
      <c r="D65" t="s">
        <v>10</v>
      </c>
      <c r="E65" s="17" t="str">
        <f t="shared" si="17"/>
        <v>Corporate</v>
      </c>
      <c r="F65" s="17">
        <f t="shared" si="18"/>
        <v>5.5555555555555552E-2</v>
      </c>
      <c r="G65" s="17">
        <f t="shared" si="19"/>
        <v>18</v>
      </c>
      <c r="H65" s="8">
        <v>1</v>
      </c>
      <c r="X65" s="7"/>
      <c r="AA65" s="7"/>
    </row>
    <row r="66" spans="2:27" x14ac:dyDescent="0.2">
      <c r="B66">
        <v>32</v>
      </c>
      <c r="C66" t="s">
        <v>24</v>
      </c>
      <c r="D66" t="s">
        <v>10</v>
      </c>
      <c r="E66" s="17" t="str">
        <f t="shared" si="17"/>
        <v>Commercial</v>
      </c>
      <c r="F66" s="17">
        <f t="shared" si="18"/>
        <v>8.3333333333333329E-2</v>
      </c>
      <c r="G66" s="17">
        <f t="shared" si="19"/>
        <v>12</v>
      </c>
      <c r="H66" s="8">
        <v>1</v>
      </c>
      <c r="X66" s="7"/>
      <c r="AA66" s="7"/>
    </row>
    <row r="67" spans="2:27" x14ac:dyDescent="0.2">
      <c r="B67">
        <v>33</v>
      </c>
      <c r="C67" t="s">
        <v>35</v>
      </c>
      <c r="D67" t="s">
        <v>10</v>
      </c>
      <c r="E67" s="17" t="str">
        <f t="shared" si="17"/>
        <v>Corporate</v>
      </c>
      <c r="F67" s="17">
        <f t="shared" si="18"/>
        <v>5.5555555555555552E-2</v>
      </c>
      <c r="G67" s="17">
        <f t="shared" si="19"/>
        <v>18</v>
      </c>
      <c r="H67" s="8">
        <v>1</v>
      </c>
      <c r="X67" s="7"/>
      <c r="AA67" s="7"/>
    </row>
    <row r="68" spans="2:27" x14ac:dyDescent="0.2">
      <c r="B68">
        <v>34</v>
      </c>
      <c r="C68" t="s">
        <v>40</v>
      </c>
      <c r="D68" t="s">
        <v>10</v>
      </c>
      <c r="E68" s="17" t="str">
        <f t="shared" si="17"/>
        <v>Commercial</v>
      </c>
      <c r="F68" s="17">
        <f t="shared" si="18"/>
        <v>8.3333333333333329E-2</v>
      </c>
      <c r="G68" s="17">
        <f t="shared" si="19"/>
        <v>12</v>
      </c>
      <c r="H68" s="8">
        <v>1</v>
      </c>
      <c r="X68" s="7"/>
      <c r="AA68" s="7"/>
    </row>
    <row r="69" spans="2:27" x14ac:dyDescent="0.2">
      <c r="B69">
        <v>35</v>
      </c>
      <c r="C69" t="s">
        <v>98</v>
      </c>
      <c r="D69" t="s">
        <v>10</v>
      </c>
      <c r="E69" s="17" t="str">
        <f t="shared" si="17"/>
        <v>Corporate</v>
      </c>
      <c r="F69" s="17">
        <f t="shared" si="18"/>
        <v>5.5555555555555552E-2</v>
      </c>
      <c r="G69" s="17">
        <f t="shared" si="19"/>
        <v>18</v>
      </c>
      <c r="H69" s="8">
        <v>1</v>
      </c>
      <c r="X69" s="7"/>
      <c r="AA69" s="7"/>
    </row>
    <row r="70" spans="2:27" x14ac:dyDescent="0.2">
      <c r="B70">
        <v>36</v>
      </c>
      <c r="C70" t="s">
        <v>45</v>
      </c>
      <c r="D70" t="s">
        <v>10</v>
      </c>
      <c r="E70" s="17" t="str">
        <f t="shared" si="17"/>
        <v>Corporate</v>
      </c>
      <c r="F70" s="17">
        <f t="shared" si="18"/>
        <v>5.5555555555555552E-2</v>
      </c>
      <c r="G70" s="17">
        <f t="shared" si="19"/>
        <v>18</v>
      </c>
      <c r="H70" s="8">
        <v>1</v>
      </c>
      <c r="X70" s="7"/>
      <c r="AA70" s="7"/>
    </row>
    <row r="71" spans="2:27" x14ac:dyDescent="0.2">
      <c r="B71">
        <v>37</v>
      </c>
      <c r="C71" t="s">
        <v>51</v>
      </c>
      <c r="D71" t="s">
        <v>10</v>
      </c>
      <c r="E71" s="17" t="str">
        <f t="shared" si="17"/>
        <v>Corporate</v>
      </c>
      <c r="F71" s="17">
        <f t="shared" si="18"/>
        <v>5.5555555555555552E-2</v>
      </c>
      <c r="G71" s="17">
        <f t="shared" si="19"/>
        <v>18</v>
      </c>
      <c r="H71" s="8">
        <v>1</v>
      </c>
      <c r="X71" s="7"/>
      <c r="AA71" s="7"/>
    </row>
    <row r="72" spans="2:27" x14ac:dyDescent="0.2">
      <c r="B72">
        <v>38</v>
      </c>
      <c r="C72" t="s">
        <v>48</v>
      </c>
      <c r="D72" t="s">
        <v>10</v>
      </c>
      <c r="E72" s="17" t="str">
        <f t="shared" si="17"/>
        <v>Corporate</v>
      </c>
      <c r="F72" s="17">
        <f t="shared" si="18"/>
        <v>5.5555555555555552E-2</v>
      </c>
      <c r="G72" s="17">
        <f t="shared" si="19"/>
        <v>18</v>
      </c>
      <c r="H72" s="8">
        <v>1</v>
      </c>
      <c r="X72" s="7"/>
      <c r="AA72" s="7"/>
    </row>
    <row r="73" spans="2:27" x14ac:dyDescent="0.2">
      <c r="B73">
        <v>39</v>
      </c>
      <c r="C73" t="s">
        <v>50</v>
      </c>
      <c r="D73" t="s">
        <v>10</v>
      </c>
      <c r="E73" s="17" t="str">
        <f t="shared" si="17"/>
        <v>Corporate</v>
      </c>
      <c r="F73" s="17">
        <f t="shared" si="18"/>
        <v>5.5555555555555552E-2</v>
      </c>
      <c r="G73" s="17">
        <f t="shared" si="19"/>
        <v>18</v>
      </c>
      <c r="H73" s="8">
        <v>1</v>
      </c>
      <c r="X73" s="7"/>
      <c r="AA73" s="7"/>
    </row>
    <row r="74" spans="2:27" x14ac:dyDescent="0.2">
      <c r="B74">
        <v>40</v>
      </c>
      <c r="C74" t="s">
        <v>73</v>
      </c>
      <c r="D74" t="s">
        <v>10</v>
      </c>
      <c r="E74" s="17" t="str">
        <f t="shared" si="17"/>
        <v>Corporate</v>
      </c>
      <c r="F74" s="17">
        <f t="shared" si="18"/>
        <v>5.5555555555555552E-2</v>
      </c>
      <c r="G74" s="17">
        <f t="shared" si="19"/>
        <v>18</v>
      </c>
      <c r="H74" s="8">
        <v>1</v>
      </c>
      <c r="X74" s="7"/>
      <c r="AA74" s="7"/>
    </row>
    <row r="75" spans="2:27" x14ac:dyDescent="0.2">
      <c r="B75">
        <v>41</v>
      </c>
      <c r="C75" t="s">
        <v>56</v>
      </c>
      <c r="D75" t="s">
        <v>10</v>
      </c>
      <c r="E75" s="17" t="str">
        <f t="shared" si="17"/>
        <v>Corporate</v>
      </c>
      <c r="F75" s="17">
        <f t="shared" si="18"/>
        <v>5.5555555555555552E-2</v>
      </c>
      <c r="G75" s="17">
        <f t="shared" si="19"/>
        <v>18</v>
      </c>
      <c r="H75" s="8">
        <v>1</v>
      </c>
      <c r="X75" s="7"/>
      <c r="AA75" s="7"/>
    </row>
    <row r="76" spans="2:27" x14ac:dyDescent="0.2">
      <c r="B76">
        <v>42</v>
      </c>
      <c r="C76" t="s">
        <v>53</v>
      </c>
      <c r="D76" t="s">
        <v>10</v>
      </c>
      <c r="E76" s="17" t="str">
        <f t="shared" si="17"/>
        <v>Corporate</v>
      </c>
      <c r="F76" s="17">
        <f t="shared" si="18"/>
        <v>5.5555555555555552E-2</v>
      </c>
      <c r="G76" s="17">
        <f t="shared" si="19"/>
        <v>18</v>
      </c>
      <c r="H76" s="8">
        <v>1</v>
      </c>
      <c r="X76" s="7"/>
      <c r="AA76" s="7"/>
    </row>
    <row r="77" spans="2:27" x14ac:dyDescent="0.2">
      <c r="B77">
        <v>43</v>
      </c>
      <c r="C77" t="s">
        <v>39</v>
      </c>
      <c r="D77" t="s">
        <v>10</v>
      </c>
      <c r="E77" s="17" t="str">
        <f t="shared" si="17"/>
        <v>Commercial</v>
      </c>
      <c r="F77" s="17">
        <f t="shared" si="18"/>
        <v>8.3333333333333329E-2</v>
      </c>
      <c r="G77" s="17">
        <f t="shared" si="19"/>
        <v>12</v>
      </c>
      <c r="H77" s="8">
        <v>1</v>
      </c>
      <c r="X77" s="7"/>
      <c r="AA77" s="7"/>
    </row>
    <row r="78" spans="2:27" x14ac:dyDescent="0.2">
      <c r="B78">
        <v>1</v>
      </c>
      <c r="C78" t="s">
        <v>23</v>
      </c>
      <c r="D78" t="s">
        <v>14</v>
      </c>
      <c r="E78" s="17" t="str">
        <f t="shared" ref="E78:E99" si="20">VLOOKUP($C78,$AD:$AE,2,FALSE)</f>
        <v>Commercial</v>
      </c>
      <c r="F78" s="17">
        <f t="shared" ref="F78:F99" si="21">H78*SUMIFS($H:$H,$J:$J,D78,$K:$K,E78)/G78</f>
        <v>0.1111111111111111</v>
      </c>
      <c r="G78" s="17">
        <f t="shared" ref="G78:G99" si="22">SUMIFS($H$2:$H$1000,$E$2:$E$1000,E78,$D$2:$D$1000,D78)</f>
        <v>9</v>
      </c>
      <c r="H78" s="8">
        <v>1</v>
      </c>
      <c r="X78" s="7"/>
      <c r="AA78" s="7"/>
    </row>
    <row r="79" spans="2:27" x14ac:dyDescent="0.2">
      <c r="B79">
        <v>2</v>
      </c>
      <c r="C79" t="s">
        <v>26</v>
      </c>
      <c r="D79" t="s">
        <v>14</v>
      </c>
      <c r="E79" s="17" t="str">
        <f t="shared" si="20"/>
        <v>Operations</v>
      </c>
      <c r="F79" s="17">
        <f t="shared" si="21"/>
        <v>0.33333333333333331</v>
      </c>
      <c r="G79" s="17">
        <f t="shared" si="22"/>
        <v>3</v>
      </c>
      <c r="H79" s="8">
        <v>1</v>
      </c>
      <c r="X79" s="7"/>
      <c r="AA79" s="7"/>
    </row>
    <row r="80" spans="2:27" x14ac:dyDescent="0.2">
      <c r="B80">
        <v>3</v>
      </c>
      <c r="C80" t="s">
        <v>22</v>
      </c>
      <c r="D80" t="s">
        <v>14</v>
      </c>
      <c r="E80" s="17" t="str">
        <f t="shared" si="20"/>
        <v>Corporate</v>
      </c>
      <c r="F80" s="17">
        <f t="shared" si="21"/>
        <v>7.6923076923076927E-2</v>
      </c>
      <c r="G80" s="17">
        <f t="shared" si="22"/>
        <v>13</v>
      </c>
      <c r="H80" s="8">
        <v>1</v>
      </c>
      <c r="X80" s="7"/>
      <c r="AA80" s="7"/>
    </row>
    <row r="81" spans="2:27" x14ac:dyDescent="0.2">
      <c r="B81">
        <v>4</v>
      </c>
      <c r="C81" t="s">
        <v>9</v>
      </c>
      <c r="D81" t="s">
        <v>14</v>
      </c>
      <c r="E81" s="17" t="str">
        <f t="shared" si="20"/>
        <v>Technology</v>
      </c>
      <c r="F81" s="17">
        <f t="shared" si="21"/>
        <v>0.2</v>
      </c>
      <c r="G81" s="17">
        <f t="shared" si="22"/>
        <v>5</v>
      </c>
      <c r="H81" s="8">
        <v>1</v>
      </c>
      <c r="X81" s="7"/>
      <c r="AA81" s="7"/>
    </row>
    <row r="82" spans="2:27" x14ac:dyDescent="0.2">
      <c r="B82">
        <v>5</v>
      </c>
      <c r="C82" t="s">
        <v>11</v>
      </c>
      <c r="D82" t="s">
        <v>14</v>
      </c>
      <c r="E82" s="17" t="str">
        <f t="shared" si="20"/>
        <v>CISO</v>
      </c>
      <c r="F82" s="17">
        <f t="shared" si="21"/>
        <v>1</v>
      </c>
      <c r="G82" s="17">
        <f t="shared" si="22"/>
        <v>1</v>
      </c>
      <c r="H82" s="8">
        <v>1</v>
      </c>
      <c r="X82" s="7"/>
      <c r="AA82" s="7"/>
    </row>
    <row r="83" spans="2:27" x14ac:dyDescent="0.2">
      <c r="B83">
        <v>6</v>
      </c>
      <c r="C83" t="s">
        <v>116</v>
      </c>
      <c r="D83" t="s">
        <v>14</v>
      </c>
      <c r="E83" s="17" t="str">
        <f t="shared" si="20"/>
        <v>Data &amp; AI</v>
      </c>
      <c r="F83" s="17">
        <f t="shared" si="21"/>
        <v>1</v>
      </c>
      <c r="G83" s="17">
        <f t="shared" si="22"/>
        <v>1</v>
      </c>
      <c r="H83" s="8">
        <v>1</v>
      </c>
      <c r="X83" s="7"/>
      <c r="AA83" s="7"/>
    </row>
    <row r="84" spans="2:27" x14ac:dyDescent="0.2">
      <c r="B84">
        <v>7</v>
      </c>
      <c r="C84" t="s">
        <v>37</v>
      </c>
      <c r="D84" t="s">
        <v>14</v>
      </c>
      <c r="E84" s="17" t="str">
        <f t="shared" si="20"/>
        <v>Commercial</v>
      </c>
      <c r="F84" s="17">
        <f t="shared" si="21"/>
        <v>0.1111111111111111</v>
      </c>
      <c r="G84" s="17">
        <f t="shared" si="22"/>
        <v>9</v>
      </c>
      <c r="H84" s="8">
        <v>1</v>
      </c>
      <c r="X84" s="7"/>
      <c r="AA84" s="7"/>
    </row>
    <row r="85" spans="2:27" x14ac:dyDescent="0.2">
      <c r="B85">
        <v>8</v>
      </c>
      <c r="C85" t="s">
        <v>44</v>
      </c>
      <c r="D85" t="s">
        <v>14</v>
      </c>
      <c r="E85" s="17" t="str">
        <f t="shared" si="20"/>
        <v>Corporate</v>
      </c>
      <c r="F85" s="17">
        <f t="shared" si="21"/>
        <v>7.6923076923076927E-2</v>
      </c>
      <c r="G85" s="17">
        <f t="shared" si="22"/>
        <v>13</v>
      </c>
      <c r="H85" s="8">
        <v>1</v>
      </c>
      <c r="X85" s="7"/>
      <c r="AA85" s="7"/>
    </row>
    <row r="86" spans="2:27" x14ac:dyDescent="0.2">
      <c r="B86">
        <v>9</v>
      </c>
      <c r="C86" t="s">
        <v>7</v>
      </c>
      <c r="D86" t="s">
        <v>14</v>
      </c>
      <c r="E86" s="17" t="str">
        <f t="shared" si="20"/>
        <v>Operations</v>
      </c>
      <c r="F86" s="17">
        <f t="shared" si="21"/>
        <v>0.33333333333333331</v>
      </c>
      <c r="G86" s="17">
        <f t="shared" si="22"/>
        <v>3</v>
      </c>
      <c r="H86" s="8">
        <v>1</v>
      </c>
      <c r="X86" s="7"/>
      <c r="AA86" s="7"/>
    </row>
    <row r="87" spans="2:27" x14ac:dyDescent="0.2">
      <c r="B87">
        <v>10</v>
      </c>
      <c r="C87" t="s">
        <v>59</v>
      </c>
      <c r="D87" t="s">
        <v>14</v>
      </c>
      <c r="E87" s="17" t="str">
        <f t="shared" si="20"/>
        <v>Technology</v>
      </c>
      <c r="F87" s="17">
        <f t="shared" si="21"/>
        <v>0.2</v>
      </c>
      <c r="G87" s="17">
        <f t="shared" si="22"/>
        <v>5</v>
      </c>
      <c r="H87" s="8">
        <v>1</v>
      </c>
      <c r="X87" s="7"/>
      <c r="AA87" s="7"/>
    </row>
    <row r="88" spans="2:27" x14ac:dyDescent="0.2">
      <c r="B88">
        <v>11</v>
      </c>
      <c r="C88" t="s">
        <v>36</v>
      </c>
      <c r="D88" t="s">
        <v>14</v>
      </c>
      <c r="E88" s="17" t="str">
        <f t="shared" si="20"/>
        <v>Commercial</v>
      </c>
      <c r="F88" s="17">
        <f t="shared" si="21"/>
        <v>0.1111111111111111</v>
      </c>
      <c r="G88" s="17">
        <f t="shared" si="22"/>
        <v>9</v>
      </c>
      <c r="H88" s="8">
        <v>1</v>
      </c>
      <c r="X88" s="7"/>
      <c r="AA88" s="7"/>
    </row>
    <row r="89" spans="2:27" x14ac:dyDescent="0.2">
      <c r="B89">
        <v>12</v>
      </c>
      <c r="C89" t="s">
        <v>46</v>
      </c>
      <c r="D89" t="s">
        <v>14</v>
      </c>
      <c r="E89" s="17" t="str">
        <f t="shared" si="20"/>
        <v>Corporate</v>
      </c>
      <c r="F89" s="17">
        <f t="shared" si="21"/>
        <v>7.6923076923076927E-2</v>
      </c>
      <c r="G89" s="17">
        <f t="shared" si="22"/>
        <v>13</v>
      </c>
      <c r="H89" s="8">
        <v>1</v>
      </c>
      <c r="X89" s="7"/>
      <c r="AA89" s="7"/>
    </row>
    <row r="90" spans="2:27" x14ac:dyDescent="0.2">
      <c r="B90">
        <v>13</v>
      </c>
      <c r="C90" t="s">
        <v>42</v>
      </c>
      <c r="D90" t="s">
        <v>14</v>
      </c>
      <c r="E90" s="17" t="str">
        <f t="shared" si="20"/>
        <v>Operations</v>
      </c>
      <c r="F90" s="17">
        <f t="shared" si="21"/>
        <v>0.33333333333333331</v>
      </c>
      <c r="G90" s="17">
        <f t="shared" si="22"/>
        <v>3</v>
      </c>
      <c r="H90" s="8">
        <v>1</v>
      </c>
      <c r="X90" s="7"/>
      <c r="AA90" s="7"/>
    </row>
    <row r="91" spans="2:27" x14ac:dyDescent="0.2">
      <c r="B91">
        <v>14</v>
      </c>
      <c r="C91" t="s">
        <v>58</v>
      </c>
      <c r="D91" t="s">
        <v>14</v>
      </c>
      <c r="E91" s="17" t="str">
        <f t="shared" si="20"/>
        <v>Technology</v>
      </c>
      <c r="F91" s="17">
        <f t="shared" si="21"/>
        <v>0.2</v>
      </c>
      <c r="G91" s="17">
        <f t="shared" si="22"/>
        <v>5</v>
      </c>
      <c r="H91" s="8">
        <v>1</v>
      </c>
      <c r="X91" s="7"/>
      <c r="AA91" s="7"/>
    </row>
    <row r="92" spans="2:27" x14ac:dyDescent="0.2">
      <c r="B92">
        <v>15</v>
      </c>
      <c r="C92" t="s">
        <v>38</v>
      </c>
      <c r="D92" t="s">
        <v>14</v>
      </c>
      <c r="E92" s="17" t="str">
        <f t="shared" si="20"/>
        <v>Commercial</v>
      </c>
      <c r="F92" s="17">
        <f t="shared" si="21"/>
        <v>0.1111111111111111</v>
      </c>
      <c r="G92" s="17">
        <f t="shared" si="22"/>
        <v>9</v>
      </c>
      <c r="H92" s="8">
        <v>1</v>
      </c>
      <c r="X92" s="7"/>
      <c r="AA92" s="7"/>
    </row>
    <row r="93" spans="2:27" x14ac:dyDescent="0.2">
      <c r="B93">
        <v>16</v>
      </c>
      <c r="C93" t="s">
        <v>47</v>
      </c>
      <c r="D93" t="s">
        <v>14</v>
      </c>
      <c r="E93" s="17" t="str">
        <f t="shared" si="20"/>
        <v>Corporate</v>
      </c>
      <c r="F93" s="17">
        <f t="shared" si="21"/>
        <v>7.6923076923076927E-2</v>
      </c>
      <c r="G93" s="17">
        <f t="shared" si="22"/>
        <v>13</v>
      </c>
      <c r="H93" s="8">
        <v>1</v>
      </c>
      <c r="X93" s="7"/>
      <c r="AA93" s="7"/>
    </row>
    <row r="94" spans="2:27" x14ac:dyDescent="0.2">
      <c r="B94">
        <v>17</v>
      </c>
      <c r="C94" t="s">
        <v>34</v>
      </c>
      <c r="D94" t="s">
        <v>14</v>
      </c>
      <c r="E94" s="17" t="str">
        <f t="shared" si="20"/>
        <v>Technology</v>
      </c>
      <c r="F94" s="17">
        <f t="shared" si="21"/>
        <v>0.2</v>
      </c>
      <c r="G94" s="17">
        <f t="shared" si="22"/>
        <v>5</v>
      </c>
      <c r="H94" s="8">
        <v>1</v>
      </c>
      <c r="X94" s="7"/>
      <c r="AA94" s="7"/>
    </row>
    <row r="95" spans="2:27" x14ac:dyDescent="0.2">
      <c r="B95">
        <v>18</v>
      </c>
      <c r="C95" t="s">
        <v>25</v>
      </c>
      <c r="D95" t="s">
        <v>14</v>
      </c>
      <c r="E95" s="17" t="str">
        <f t="shared" si="20"/>
        <v>Commercial</v>
      </c>
      <c r="F95" s="17">
        <f t="shared" si="21"/>
        <v>0.1111111111111111</v>
      </c>
      <c r="G95" s="17">
        <f t="shared" si="22"/>
        <v>9</v>
      </c>
      <c r="H95" s="8">
        <v>1</v>
      </c>
      <c r="X95" s="7"/>
      <c r="AA95" s="7"/>
    </row>
    <row r="96" spans="2:27" x14ac:dyDescent="0.2">
      <c r="B96">
        <v>19</v>
      </c>
      <c r="C96" t="s">
        <v>35</v>
      </c>
      <c r="D96" t="s">
        <v>14</v>
      </c>
      <c r="E96" s="17" t="str">
        <f t="shared" si="20"/>
        <v>Corporate</v>
      </c>
      <c r="F96" s="17">
        <f t="shared" si="21"/>
        <v>7.6923076923076927E-2</v>
      </c>
      <c r="G96" s="17">
        <f t="shared" si="22"/>
        <v>13</v>
      </c>
      <c r="H96" s="8">
        <v>1</v>
      </c>
      <c r="X96" s="7"/>
      <c r="AA96" s="7"/>
    </row>
    <row r="97" spans="2:27" x14ac:dyDescent="0.2">
      <c r="B97">
        <v>20</v>
      </c>
      <c r="C97" t="s">
        <v>60</v>
      </c>
      <c r="D97" t="s">
        <v>14</v>
      </c>
      <c r="E97" s="17" t="str">
        <f t="shared" si="20"/>
        <v>Technology</v>
      </c>
      <c r="F97" s="17">
        <f t="shared" si="21"/>
        <v>0.2</v>
      </c>
      <c r="G97" s="17">
        <f t="shared" si="22"/>
        <v>5</v>
      </c>
      <c r="H97" s="8">
        <v>1</v>
      </c>
      <c r="X97" s="7"/>
      <c r="AA97" s="7"/>
    </row>
    <row r="98" spans="2:27" x14ac:dyDescent="0.2">
      <c r="B98">
        <v>21</v>
      </c>
      <c r="C98" t="s">
        <v>21</v>
      </c>
      <c r="D98" t="s">
        <v>14</v>
      </c>
      <c r="E98" s="17" t="str">
        <f t="shared" si="20"/>
        <v>Commercial</v>
      </c>
      <c r="F98" s="17">
        <f t="shared" si="21"/>
        <v>0.1111111111111111</v>
      </c>
      <c r="G98" s="17">
        <f t="shared" si="22"/>
        <v>9</v>
      </c>
      <c r="H98" s="8">
        <v>1</v>
      </c>
      <c r="X98" s="7"/>
      <c r="AA98" s="7"/>
    </row>
    <row r="99" spans="2:27" x14ac:dyDescent="0.2">
      <c r="B99">
        <v>22</v>
      </c>
      <c r="C99" t="s">
        <v>98</v>
      </c>
      <c r="D99" t="s">
        <v>14</v>
      </c>
      <c r="E99" s="17" t="str">
        <f t="shared" si="20"/>
        <v>Corporate</v>
      </c>
      <c r="F99" s="17">
        <f t="shared" si="21"/>
        <v>7.6923076923076927E-2</v>
      </c>
      <c r="G99" s="17">
        <f t="shared" si="22"/>
        <v>13</v>
      </c>
      <c r="H99" s="8">
        <v>1</v>
      </c>
      <c r="X99" s="7"/>
      <c r="AA99" s="7"/>
    </row>
    <row r="100" spans="2:27" x14ac:dyDescent="0.2">
      <c r="B100">
        <v>23</v>
      </c>
      <c r="C100" t="s">
        <v>24</v>
      </c>
      <c r="D100" t="s">
        <v>14</v>
      </c>
      <c r="E100" s="17" t="str">
        <f t="shared" ref="E100:E131" si="23">VLOOKUP($C100,$AD:$AE,2,FALSE)</f>
        <v>Commercial</v>
      </c>
      <c r="F100" s="17">
        <f t="shared" ref="F100:F131" si="24">H100*SUMIFS($H:$H,$J:$J,D100,$K:$K,E100)/G100</f>
        <v>0.1111111111111111</v>
      </c>
      <c r="G100" s="17">
        <f t="shared" ref="G100:G131" si="25">SUMIFS($H$2:$H$1000,$E$2:$E$1000,E100,$D$2:$D$1000,D100)</f>
        <v>9</v>
      </c>
      <c r="H100" s="8">
        <v>1</v>
      </c>
      <c r="X100" s="7"/>
      <c r="AA100" s="7"/>
    </row>
    <row r="101" spans="2:27" x14ac:dyDescent="0.2">
      <c r="B101">
        <v>24</v>
      </c>
      <c r="C101" t="s">
        <v>45</v>
      </c>
      <c r="D101" t="s">
        <v>14</v>
      </c>
      <c r="E101" s="17" t="str">
        <f t="shared" si="23"/>
        <v>Corporate</v>
      </c>
      <c r="F101" s="17">
        <f t="shared" si="24"/>
        <v>7.6923076923076927E-2</v>
      </c>
      <c r="G101" s="17">
        <f t="shared" si="25"/>
        <v>13</v>
      </c>
      <c r="H101" s="8">
        <v>1</v>
      </c>
      <c r="X101" s="7"/>
      <c r="AA101" s="7"/>
    </row>
    <row r="102" spans="2:27" x14ac:dyDescent="0.2">
      <c r="B102">
        <v>25</v>
      </c>
      <c r="C102" t="s">
        <v>40</v>
      </c>
      <c r="D102" t="s">
        <v>14</v>
      </c>
      <c r="E102" s="17" t="str">
        <f t="shared" si="23"/>
        <v>Commercial</v>
      </c>
      <c r="F102" s="17">
        <f t="shared" si="24"/>
        <v>0.1111111111111111</v>
      </c>
      <c r="G102" s="17">
        <f t="shared" si="25"/>
        <v>9</v>
      </c>
      <c r="H102" s="8">
        <v>1</v>
      </c>
      <c r="X102" s="7"/>
      <c r="AA102" s="7"/>
    </row>
    <row r="103" spans="2:27" x14ac:dyDescent="0.2">
      <c r="B103">
        <v>26</v>
      </c>
      <c r="C103" t="s">
        <v>48</v>
      </c>
      <c r="D103" t="s">
        <v>14</v>
      </c>
      <c r="E103" s="17" t="str">
        <f t="shared" si="23"/>
        <v>Corporate</v>
      </c>
      <c r="F103" s="17">
        <f t="shared" si="24"/>
        <v>7.6923076923076927E-2</v>
      </c>
      <c r="G103" s="17">
        <f t="shared" si="25"/>
        <v>13</v>
      </c>
      <c r="H103" s="8">
        <v>1</v>
      </c>
      <c r="X103" s="7"/>
      <c r="AA103" s="7"/>
    </row>
    <row r="104" spans="2:27" x14ac:dyDescent="0.2">
      <c r="B104">
        <v>27</v>
      </c>
      <c r="C104" t="s">
        <v>39</v>
      </c>
      <c r="D104" t="s">
        <v>14</v>
      </c>
      <c r="E104" s="17" t="str">
        <f t="shared" si="23"/>
        <v>Commercial</v>
      </c>
      <c r="F104" s="17">
        <f t="shared" si="24"/>
        <v>0.1111111111111111</v>
      </c>
      <c r="G104" s="17">
        <f t="shared" si="25"/>
        <v>9</v>
      </c>
      <c r="H104" s="8">
        <v>1</v>
      </c>
      <c r="X104" s="7"/>
      <c r="AA104" s="7"/>
    </row>
    <row r="105" spans="2:27" x14ac:dyDescent="0.2">
      <c r="B105">
        <v>28</v>
      </c>
      <c r="C105" t="s">
        <v>54</v>
      </c>
      <c r="D105" t="s">
        <v>14</v>
      </c>
      <c r="E105" s="17" t="str">
        <f t="shared" si="23"/>
        <v>Corporate</v>
      </c>
      <c r="F105" s="17">
        <f t="shared" si="24"/>
        <v>7.6923076923076927E-2</v>
      </c>
      <c r="G105" s="17">
        <f t="shared" si="25"/>
        <v>13</v>
      </c>
      <c r="H105" s="8">
        <v>1</v>
      </c>
      <c r="X105" s="7"/>
      <c r="AA105" s="7"/>
    </row>
    <row r="106" spans="2:27" x14ac:dyDescent="0.2">
      <c r="B106">
        <v>29</v>
      </c>
      <c r="C106" t="s">
        <v>50</v>
      </c>
      <c r="D106" t="s">
        <v>14</v>
      </c>
      <c r="E106" s="17" t="str">
        <f t="shared" si="23"/>
        <v>Corporate</v>
      </c>
      <c r="F106" s="17">
        <f t="shared" si="24"/>
        <v>7.6923076923076927E-2</v>
      </c>
      <c r="G106" s="17">
        <f t="shared" si="25"/>
        <v>13</v>
      </c>
      <c r="H106" s="8">
        <v>1</v>
      </c>
      <c r="X106" s="7"/>
      <c r="AA106" s="7"/>
    </row>
    <row r="107" spans="2:27" x14ac:dyDescent="0.2">
      <c r="B107">
        <v>30</v>
      </c>
      <c r="C107" t="s">
        <v>51</v>
      </c>
      <c r="D107" t="s">
        <v>14</v>
      </c>
      <c r="E107" s="17" t="str">
        <f t="shared" si="23"/>
        <v>Corporate</v>
      </c>
      <c r="F107" s="17">
        <f t="shared" si="24"/>
        <v>7.6923076923076927E-2</v>
      </c>
      <c r="G107" s="17">
        <f t="shared" si="25"/>
        <v>13</v>
      </c>
      <c r="H107" s="8">
        <v>1</v>
      </c>
      <c r="X107" s="7"/>
      <c r="AA107" s="7"/>
    </row>
    <row r="108" spans="2:27" x14ac:dyDescent="0.2">
      <c r="B108">
        <v>31</v>
      </c>
      <c r="C108" t="s">
        <v>56</v>
      </c>
      <c r="D108" t="s">
        <v>14</v>
      </c>
      <c r="E108" s="17" t="str">
        <f t="shared" si="23"/>
        <v>Corporate</v>
      </c>
      <c r="F108" s="17">
        <f t="shared" si="24"/>
        <v>7.6923076923076927E-2</v>
      </c>
      <c r="G108" s="17">
        <f t="shared" si="25"/>
        <v>13</v>
      </c>
      <c r="H108" s="8">
        <v>1</v>
      </c>
      <c r="X108" s="7"/>
      <c r="AA108" s="7"/>
    </row>
    <row r="109" spans="2:27" x14ac:dyDescent="0.2">
      <c r="B109">
        <v>32</v>
      </c>
      <c r="C109" t="s">
        <v>53</v>
      </c>
      <c r="D109" t="s">
        <v>14</v>
      </c>
      <c r="E109" s="17" t="str">
        <f t="shared" si="23"/>
        <v>Corporate</v>
      </c>
      <c r="F109" s="17">
        <f t="shared" si="24"/>
        <v>7.6923076923076927E-2</v>
      </c>
      <c r="G109" s="17">
        <f t="shared" si="25"/>
        <v>13</v>
      </c>
      <c r="H109" s="8">
        <v>1</v>
      </c>
      <c r="X109" s="7"/>
      <c r="AA109" s="7"/>
    </row>
    <row r="110" spans="2:27" x14ac:dyDescent="0.2">
      <c r="B110">
        <v>1</v>
      </c>
      <c r="C110" t="s">
        <v>21</v>
      </c>
      <c r="D110" t="s">
        <v>15</v>
      </c>
      <c r="E110" s="17" t="str">
        <f t="shared" si="23"/>
        <v>Commercial</v>
      </c>
      <c r="F110" s="17">
        <f t="shared" si="24"/>
        <v>0.1111111111111111</v>
      </c>
      <c r="G110" s="17">
        <f t="shared" si="25"/>
        <v>9</v>
      </c>
      <c r="H110" s="8">
        <v>1</v>
      </c>
      <c r="X110" s="7"/>
      <c r="AA110" s="7"/>
    </row>
    <row r="111" spans="2:27" x14ac:dyDescent="0.2">
      <c r="B111">
        <v>2</v>
      </c>
      <c r="C111" t="s">
        <v>26</v>
      </c>
      <c r="D111" t="s">
        <v>15</v>
      </c>
      <c r="E111" s="17" t="str">
        <f t="shared" si="23"/>
        <v>Operations</v>
      </c>
      <c r="F111" s="17">
        <f t="shared" si="24"/>
        <v>0.33333333333333331</v>
      </c>
      <c r="G111" s="17">
        <f t="shared" si="25"/>
        <v>3</v>
      </c>
      <c r="H111" s="8">
        <v>1</v>
      </c>
      <c r="X111" s="7"/>
      <c r="AA111" s="7"/>
    </row>
    <row r="112" spans="2:27" x14ac:dyDescent="0.2">
      <c r="B112">
        <v>3</v>
      </c>
      <c r="C112" t="s">
        <v>22</v>
      </c>
      <c r="D112" t="s">
        <v>15</v>
      </c>
      <c r="E112" s="17" t="str">
        <f t="shared" si="23"/>
        <v>Corporate</v>
      </c>
      <c r="F112" s="17">
        <f t="shared" si="24"/>
        <v>7.6923076923076927E-2</v>
      </c>
      <c r="G112" s="17">
        <f t="shared" si="25"/>
        <v>13</v>
      </c>
      <c r="H112" s="8">
        <v>1</v>
      </c>
      <c r="X112" s="7"/>
      <c r="AA112" s="7"/>
    </row>
    <row r="113" spans="2:27" x14ac:dyDescent="0.2">
      <c r="B113">
        <v>4</v>
      </c>
      <c r="C113" t="s">
        <v>9</v>
      </c>
      <c r="D113" t="s">
        <v>15</v>
      </c>
      <c r="E113" s="17" t="str">
        <f t="shared" si="23"/>
        <v>Technology</v>
      </c>
      <c r="F113" s="17">
        <f t="shared" si="24"/>
        <v>0.2</v>
      </c>
      <c r="G113" s="17">
        <f t="shared" si="25"/>
        <v>5</v>
      </c>
      <c r="H113" s="8">
        <v>1</v>
      </c>
      <c r="X113" s="7"/>
      <c r="AA113" s="7"/>
    </row>
    <row r="114" spans="2:27" x14ac:dyDescent="0.2">
      <c r="B114">
        <v>5</v>
      </c>
      <c r="C114" t="s">
        <v>11</v>
      </c>
      <c r="D114" t="s">
        <v>15</v>
      </c>
      <c r="E114" s="17" t="str">
        <f t="shared" si="23"/>
        <v>CISO</v>
      </c>
      <c r="F114" s="17">
        <f t="shared" si="24"/>
        <v>1</v>
      </c>
      <c r="G114" s="17">
        <f t="shared" si="25"/>
        <v>1</v>
      </c>
      <c r="H114" s="8">
        <v>1</v>
      </c>
      <c r="X114" s="7"/>
      <c r="AA114" s="7"/>
    </row>
    <row r="115" spans="2:27" x14ac:dyDescent="0.2">
      <c r="B115">
        <v>6</v>
      </c>
      <c r="C115" t="s">
        <v>116</v>
      </c>
      <c r="D115" t="s">
        <v>15</v>
      </c>
      <c r="E115" s="17" t="str">
        <f t="shared" si="23"/>
        <v>Data &amp; AI</v>
      </c>
      <c r="F115" s="17">
        <f t="shared" si="24"/>
        <v>1</v>
      </c>
      <c r="G115" s="17">
        <f t="shared" si="25"/>
        <v>1</v>
      </c>
      <c r="H115" s="8">
        <v>1</v>
      </c>
      <c r="X115" s="7"/>
      <c r="AA115" s="7"/>
    </row>
    <row r="116" spans="2:27" x14ac:dyDescent="0.2">
      <c r="B116">
        <v>7</v>
      </c>
      <c r="C116" t="s">
        <v>37</v>
      </c>
      <c r="D116" t="s">
        <v>15</v>
      </c>
      <c r="E116" s="17" t="str">
        <f t="shared" si="23"/>
        <v>Commercial</v>
      </c>
      <c r="F116" s="17">
        <f t="shared" si="24"/>
        <v>0.1111111111111111</v>
      </c>
      <c r="G116" s="17">
        <f t="shared" si="25"/>
        <v>9</v>
      </c>
      <c r="H116" s="8">
        <v>1</v>
      </c>
      <c r="X116" s="7"/>
      <c r="AA116" s="7"/>
    </row>
    <row r="117" spans="2:27" x14ac:dyDescent="0.2">
      <c r="B117">
        <v>8</v>
      </c>
      <c r="C117" t="s">
        <v>44</v>
      </c>
      <c r="D117" t="s">
        <v>15</v>
      </c>
      <c r="E117" s="17" t="str">
        <f t="shared" si="23"/>
        <v>Corporate</v>
      </c>
      <c r="F117" s="17">
        <f t="shared" si="24"/>
        <v>7.6923076923076927E-2</v>
      </c>
      <c r="G117" s="17">
        <f t="shared" si="25"/>
        <v>13</v>
      </c>
      <c r="H117" s="8">
        <v>1</v>
      </c>
      <c r="X117" s="7"/>
      <c r="AA117" s="7"/>
    </row>
    <row r="118" spans="2:27" x14ac:dyDescent="0.2">
      <c r="B118">
        <v>9</v>
      </c>
      <c r="C118" t="s">
        <v>7</v>
      </c>
      <c r="D118" t="s">
        <v>15</v>
      </c>
      <c r="E118" s="17" t="str">
        <f t="shared" si="23"/>
        <v>Operations</v>
      </c>
      <c r="F118" s="17">
        <f t="shared" si="24"/>
        <v>0.33333333333333331</v>
      </c>
      <c r="G118" s="17">
        <f t="shared" si="25"/>
        <v>3</v>
      </c>
      <c r="H118" s="8">
        <v>1</v>
      </c>
      <c r="X118" s="7"/>
      <c r="AA118" s="7"/>
    </row>
    <row r="119" spans="2:27" x14ac:dyDescent="0.2">
      <c r="B119">
        <v>10</v>
      </c>
      <c r="C119" t="s">
        <v>59</v>
      </c>
      <c r="D119" t="s">
        <v>15</v>
      </c>
      <c r="E119" s="17" t="str">
        <f t="shared" si="23"/>
        <v>Technology</v>
      </c>
      <c r="F119" s="17">
        <f t="shared" si="24"/>
        <v>0.2</v>
      </c>
      <c r="G119" s="17">
        <f t="shared" si="25"/>
        <v>5</v>
      </c>
      <c r="H119" s="8">
        <v>1</v>
      </c>
      <c r="X119" s="7"/>
      <c r="AA119" s="7"/>
    </row>
    <row r="120" spans="2:27" x14ac:dyDescent="0.2">
      <c r="B120">
        <v>11</v>
      </c>
      <c r="C120" t="s">
        <v>36</v>
      </c>
      <c r="D120" t="s">
        <v>15</v>
      </c>
      <c r="E120" s="17" t="str">
        <f t="shared" si="23"/>
        <v>Commercial</v>
      </c>
      <c r="F120" s="17">
        <f t="shared" si="24"/>
        <v>0.1111111111111111</v>
      </c>
      <c r="G120" s="17">
        <f t="shared" si="25"/>
        <v>9</v>
      </c>
      <c r="H120" s="8">
        <v>1</v>
      </c>
      <c r="X120" s="7"/>
      <c r="AA120" s="7"/>
    </row>
    <row r="121" spans="2:27" x14ac:dyDescent="0.2">
      <c r="B121">
        <v>12</v>
      </c>
      <c r="C121" t="s">
        <v>46</v>
      </c>
      <c r="D121" t="s">
        <v>15</v>
      </c>
      <c r="E121" s="17" t="str">
        <f t="shared" si="23"/>
        <v>Corporate</v>
      </c>
      <c r="F121" s="17">
        <f t="shared" si="24"/>
        <v>7.6923076923076927E-2</v>
      </c>
      <c r="G121" s="17">
        <f t="shared" si="25"/>
        <v>13</v>
      </c>
      <c r="H121" s="8">
        <v>1</v>
      </c>
      <c r="X121" s="7"/>
      <c r="AA121" s="7"/>
    </row>
    <row r="122" spans="2:27" x14ac:dyDescent="0.2">
      <c r="B122">
        <v>13</v>
      </c>
      <c r="C122" t="s">
        <v>42</v>
      </c>
      <c r="D122" t="s">
        <v>15</v>
      </c>
      <c r="E122" s="17" t="str">
        <f t="shared" si="23"/>
        <v>Operations</v>
      </c>
      <c r="F122" s="17">
        <f t="shared" si="24"/>
        <v>0.33333333333333331</v>
      </c>
      <c r="G122" s="17">
        <f t="shared" si="25"/>
        <v>3</v>
      </c>
      <c r="H122" s="8">
        <v>1</v>
      </c>
      <c r="X122" s="7"/>
      <c r="AA122" s="7"/>
    </row>
    <row r="123" spans="2:27" x14ac:dyDescent="0.2">
      <c r="B123">
        <v>14</v>
      </c>
      <c r="C123" t="s">
        <v>58</v>
      </c>
      <c r="D123" t="s">
        <v>15</v>
      </c>
      <c r="E123" s="17" t="str">
        <f t="shared" si="23"/>
        <v>Technology</v>
      </c>
      <c r="F123" s="17">
        <f t="shared" si="24"/>
        <v>0.2</v>
      </c>
      <c r="G123" s="17">
        <f t="shared" si="25"/>
        <v>5</v>
      </c>
      <c r="H123" s="8">
        <v>1</v>
      </c>
      <c r="X123" s="7"/>
      <c r="AA123" s="7"/>
    </row>
    <row r="124" spans="2:27" x14ac:dyDescent="0.2">
      <c r="B124">
        <v>15</v>
      </c>
      <c r="C124" t="s">
        <v>38</v>
      </c>
      <c r="D124" t="s">
        <v>15</v>
      </c>
      <c r="E124" s="17" t="str">
        <f t="shared" si="23"/>
        <v>Commercial</v>
      </c>
      <c r="F124" s="17">
        <f t="shared" si="24"/>
        <v>0.1111111111111111</v>
      </c>
      <c r="G124" s="17">
        <f t="shared" si="25"/>
        <v>9</v>
      </c>
      <c r="H124" s="8">
        <v>1</v>
      </c>
      <c r="X124" s="7"/>
      <c r="AA124" s="7"/>
    </row>
    <row r="125" spans="2:27" x14ac:dyDescent="0.2">
      <c r="B125">
        <v>16</v>
      </c>
      <c r="C125" t="s">
        <v>47</v>
      </c>
      <c r="D125" t="s">
        <v>15</v>
      </c>
      <c r="E125" s="17" t="str">
        <f t="shared" si="23"/>
        <v>Corporate</v>
      </c>
      <c r="F125" s="17">
        <f t="shared" si="24"/>
        <v>7.6923076923076927E-2</v>
      </c>
      <c r="G125" s="17">
        <f t="shared" si="25"/>
        <v>13</v>
      </c>
      <c r="H125" s="8">
        <v>1</v>
      </c>
      <c r="X125" s="7"/>
      <c r="AA125" s="7"/>
    </row>
    <row r="126" spans="2:27" x14ac:dyDescent="0.2">
      <c r="B126">
        <v>17</v>
      </c>
      <c r="C126" t="s">
        <v>34</v>
      </c>
      <c r="D126" t="s">
        <v>15</v>
      </c>
      <c r="E126" s="17" t="str">
        <f t="shared" si="23"/>
        <v>Technology</v>
      </c>
      <c r="F126" s="17">
        <f t="shared" si="24"/>
        <v>0.2</v>
      </c>
      <c r="G126" s="17">
        <f t="shared" si="25"/>
        <v>5</v>
      </c>
      <c r="H126" s="8">
        <v>1</v>
      </c>
      <c r="X126" s="7"/>
      <c r="AA126" s="7"/>
    </row>
    <row r="127" spans="2:27" x14ac:dyDescent="0.2">
      <c r="B127">
        <v>18</v>
      </c>
      <c r="C127" t="s">
        <v>25</v>
      </c>
      <c r="D127" t="s">
        <v>15</v>
      </c>
      <c r="E127" s="17" t="str">
        <f t="shared" si="23"/>
        <v>Commercial</v>
      </c>
      <c r="F127" s="17">
        <f t="shared" si="24"/>
        <v>0.1111111111111111</v>
      </c>
      <c r="G127" s="17">
        <f t="shared" si="25"/>
        <v>9</v>
      </c>
      <c r="H127" s="8">
        <v>1</v>
      </c>
      <c r="X127" s="7"/>
      <c r="AA127" s="7"/>
    </row>
    <row r="128" spans="2:27" x14ac:dyDescent="0.2">
      <c r="B128">
        <v>19</v>
      </c>
      <c r="C128" t="s">
        <v>35</v>
      </c>
      <c r="D128" t="s">
        <v>15</v>
      </c>
      <c r="E128" s="17" t="str">
        <f t="shared" si="23"/>
        <v>Corporate</v>
      </c>
      <c r="F128" s="17">
        <f t="shared" si="24"/>
        <v>7.6923076923076927E-2</v>
      </c>
      <c r="G128" s="17">
        <f t="shared" si="25"/>
        <v>13</v>
      </c>
      <c r="H128" s="8">
        <v>1</v>
      </c>
      <c r="X128" s="7"/>
      <c r="AA128" s="7"/>
    </row>
    <row r="129" spans="2:27" x14ac:dyDescent="0.2">
      <c r="B129">
        <v>20</v>
      </c>
      <c r="C129" t="s">
        <v>60</v>
      </c>
      <c r="D129" t="s">
        <v>15</v>
      </c>
      <c r="E129" s="17" t="str">
        <f t="shared" si="23"/>
        <v>Technology</v>
      </c>
      <c r="F129" s="17">
        <f t="shared" si="24"/>
        <v>0.2</v>
      </c>
      <c r="G129" s="17">
        <f t="shared" si="25"/>
        <v>5</v>
      </c>
      <c r="H129" s="8">
        <v>1</v>
      </c>
      <c r="X129" s="7"/>
      <c r="AA129" s="7"/>
    </row>
    <row r="130" spans="2:27" x14ac:dyDescent="0.2">
      <c r="B130">
        <v>21</v>
      </c>
      <c r="C130" t="s">
        <v>23</v>
      </c>
      <c r="D130" t="s">
        <v>15</v>
      </c>
      <c r="E130" s="17" t="str">
        <f t="shared" si="23"/>
        <v>Commercial</v>
      </c>
      <c r="F130" s="17">
        <f t="shared" si="24"/>
        <v>0.1111111111111111</v>
      </c>
      <c r="G130" s="17">
        <f t="shared" si="25"/>
        <v>9</v>
      </c>
      <c r="H130" s="8">
        <v>1</v>
      </c>
      <c r="X130" s="7"/>
      <c r="AA130" s="7"/>
    </row>
    <row r="131" spans="2:27" x14ac:dyDescent="0.2">
      <c r="B131">
        <v>22</v>
      </c>
      <c r="C131" t="s">
        <v>98</v>
      </c>
      <c r="D131" t="s">
        <v>15</v>
      </c>
      <c r="E131" s="17" t="str">
        <f t="shared" si="23"/>
        <v>Corporate</v>
      </c>
      <c r="F131" s="17">
        <f t="shared" si="24"/>
        <v>7.6923076923076927E-2</v>
      </c>
      <c r="G131" s="17">
        <f t="shared" si="25"/>
        <v>13</v>
      </c>
      <c r="H131" s="8">
        <v>1</v>
      </c>
      <c r="X131" s="7"/>
      <c r="AA131" s="7"/>
    </row>
    <row r="132" spans="2:27" x14ac:dyDescent="0.2">
      <c r="B132">
        <v>23</v>
      </c>
      <c r="C132" t="s">
        <v>24</v>
      </c>
      <c r="D132" t="s">
        <v>15</v>
      </c>
      <c r="E132" s="17" t="str">
        <f t="shared" ref="E132:E163" si="26">VLOOKUP($C132,$AD:$AE,2,FALSE)</f>
        <v>Commercial</v>
      </c>
      <c r="F132" s="17">
        <f t="shared" ref="F132:F163" si="27">H132*SUMIFS($H:$H,$J:$J,D132,$K:$K,E132)/G132</f>
        <v>0.1111111111111111</v>
      </c>
      <c r="G132" s="17">
        <f t="shared" ref="G132:G163" si="28">SUMIFS($H$2:$H$1000,$E$2:$E$1000,E132,$D$2:$D$1000,D132)</f>
        <v>9</v>
      </c>
      <c r="H132" s="8">
        <v>1</v>
      </c>
      <c r="X132" s="7"/>
      <c r="AA132" s="7"/>
    </row>
    <row r="133" spans="2:27" x14ac:dyDescent="0.2">
      <c r="B133">
        <v>24</v>
      </c>
      <c r="C133" t="s">
        <v>45</v>
      </c>
      <c r="D133" t="s">
        <v>15</v>
      </c>
      <c r="E133" s="17" t="str">
        <f t="shared" si="26"/>
        <v>Corporate</v>
      </c>
      <c r="F133" s="17">
        <f t="shared" si="27"/>
        <v>7.6923076923076927E-2</v>
      </c>
      <c r="G133" s="17">
        <f t="shared" si="28"/>
        <v>13</v>
      </c>
      <c r="H133" s="8">
        <v>1</v>
      </c>
      <c r="X133" s="7"/>
      <c r="AA133" s="7"/>
    </row>
    <row r="134" spans="2:27" x14ac:dyDescent="0.2">
      <c r="B134">
        <v>25</v>
      </c>
      <c r="C134" t="s">
        <v>40</v>
      </c>
      <c r="D134" t="s">
        <v>15</v>
      </c>
      <c r="E134" s="17" t="str">
        <f t="shared" si="26"/>
        <v>Commercial</v>
      </c>
      <c r="F134" s="17">
        <f t="shared" si="27"/>
        <v>0.1111111111111111</v>
      </c>
      <c r="G134" s="17">
        <f t="shared" si="28"/>
        <v>9</v>
      </c>
      <c r="H134" s="8">
        <v>1</v>
      </c>
      <c r="X134" s="7"/>
      <c r="AA134" s="7"/>
    </row>
    <row r="135" spans="2:27" x14ac:dyDescent="0.2">
      <c r="B135">
        <v>26</v>
      </c>
      <c r="C135" t="s">
        <v>48</v>
      </c>
      <c r="D135" t="s">
        <v>15</v>
      </c>
      <c r="E135" s="17" t="str">
        <f t="shared" si="26"/>
        <v>Corporate</v>
      </c>
      <c r="F135" s="17">
        <f t="shared" si="27"/>
        <v>7.6923076923076927E-2</v>
      </c>
      <c r="G135" s="17">
        <f t="shared" si="28"/>
        <v>13</v>
      </c>
      <c r="H135" s="8">
        <v>1</v>
      </c>
      <c r="X135" s="7"/>
      <c r="AA135" s="7"/>
    </row>
    <row r="136" spans="2:27" x14ac:dyDescent="0.2">
      <c r="B136">
        <v>27</v>
      </c>
      <c r="C136" t="s">
        <v>39</v>
      </c>
      <c r="D136" t="s">
        <v>15</v>
      </c>
      <c r="E136" s="17" t="str">
        <f t="shared" si="26"/>
        <v>Commercial</v>
      </c>
      <c r="F136" s="17">
        <f t="shared" si="27"/>
        <v>0.1111111111111111</v>
      </c>
      <c r="G136" s="17">
        <f t="shared" si="28"/>
        <v>9</v>
      </c>
      <c r="H136" s="8">
        <v>1</v>
      </c>
      <c r="X136" s="7"/>
      <c r="AA136" s="7"/>
    </row>
    <row r="137" spans="2:27" x14ac:dyDescent="0.2">
      <c r="B137">
        <v>28</v>
      </c>
      <c r="C137" t="s">
        <v>54</v>
      </c>
      <c r="D137" t="s">
        <v>15</v>
      </c>
      <c r="E137" s="17" t="str">
        <f t="shared" si="26"/>
        <v>Corporate</v>
      </c>
      <c r="F137" s="17">
        <f t="shared" si="27"/>
        <v>7.6923076923076927E-2</v>
      </c>
      <c r="G137" s="17">
        <f t="shared" si="28"/>
        <v>13</v>
      </c>
      <c r="H137" s="8">
        <v>1</v>
      </c>
      <c r="X137" s="7"/>
      <c r="AA137" s="7"/>
    </row>
    <row r="138" spans="2:27" x14ac:dyDescent="0.2">
      <c r="B138">
        <v>29</v>
      </c>
      <c r="C138" t="s">
        <v>50</v>
      </c>
      <c r="D138" t="s">
        <v>15</v>
      </c>
      <c r="E138" s="17" t="str">
        <f t="shared" si="26"/>
        <v>Corporate</v>
      </c>
      <c r="F138" s="17">
        <f t="shared" si="27"/>
        <v>7.6923076923076927E-2</v>
      </c>
      <c r="G138" s="17">
        <f t="shared" si="28"/>
        <v>13</v>
      </c>
      <c r="H138" s="8">
        <v>1</v>
      </c>
      <c r="X138" s="7"/>
      <c r="AA138" s="7"/>
    </row>
    <row r="139" spans="2:27" x14ac:dyDescent="0.2">
      <c r="B139">
        <v>30</v>
      </c>
      <c r="C139" t="s">
        <v>51</v>
      </c>
      <c r="D139" t="s">
        <v>15</v>
      </c>
      <c r="E139" s="17" t="str">
        <f t="shared" si="26"/>
        <v>Corporate</v>
      </c>
      <c r="F139" s="17">
        <f t="shared" si="27"/>
        <v>7.6923076923076927E-2</v>
      </c>
      <c r="G139" s="17">
        <f t="shared" si="28"/>
        <v>13</v>
      </c>
      <c r="H139" s="8">
        <v>1</v>
      </c>
      <c r="X139" s="7"/>
      <c r="AA139" s="7"/>
    </row>
    <row r="140" spans="2:27" x14ac:dyDescent="0.2">
      <c r="B140">
        <v>31</v>
      </c>
      <c r="C140" t="s">
        <v>56</v>
      </c>
      <c r="D140" t="s">
        <v>15</v>
      </c>
      <c r="E140" s="17" t="str">
        <f t="shared" si="26"/>
        <v>Corporate</v>
      </c>
      <c r="F140" s="17">
        <f t="shared" si="27"/>
        <v>7.6923076923076927E-2</v>
      </c>
      <c r="G140" s="17">
        <f t="shared" si="28"/>
        <v>13</v>
      </c>
      <c r="H140" s="8">
        <v>1</v>
      </c>
      <c r="X140" s="7"/>
      <c r="AA140" s="7"/>
    </row>
    <row r="141" spans="2:27" x14ac:dyDescent="0.2">
      <c r="B141">
        <v>32</v>
      </c>
      <c r="C141" t="s">
        <v>53</v>
      </c>
      <c r="D141" t="s">
        <v>15</v>
      </c>
      <c r="E141" s="17" t="str">
        <f t="shared" si="26"/>
        <v>Corporate</v>
      </c>
      <c r="F141" s="17">
        <f t="shared" si="27"/>
        <v>7.6923076923076927E-2</v>
      </c>
      <c r="G141" s="17">
        <f t="shared" si="28"/>
        <v>13</v>
      </c>
      <c r="H141" s="8">
        <v>1</v>
      </c>
      <c r="X141" s="7"/>
      <c r="AA141" s="7"/>
    </row>
    <row r="142" spans="2:27" x14ac:dyDescent="0.2">
      <c r="B142">
        <v>1</v>
      </c>
      <c r="C142" t="s">
        <v>24</v>
      </c>
      <c r="D142" t="s">
        <v>16</v>
      </c>
      <c r="E142" s="17" t="str">
        <f t="shared" si="26"/>
        <v>Commercial</v>
      </c>
      <c r="F142" s="17">
        <f t="shared" si="27"/>
        <v>0.1111111111111111</v>
      </c>
      <c r="G142" s="17">
        <f t="shared" si="28"/>
        <v>9</v>
      </c>
      <c r="H142" s="8">
        <v>1</v>
      </c>
      <c r="X142" s="7"/>
      <c r="AA142" s="7"/>
    </row>
    <row r="143" spans="2:27" x14ac:dyDescent="0.2">
      <c r="B143">
        <v>2</v>
      </c>
      <c r="C143" t="s">
        <v>26</v>
      </c>
      <c r="D143" t="s">
        <v>16</v>
      </c>
      <c r="E143" s="17" t="str">
        <f t="shared" si="26"/>
        <v>Operations</v>
      </c>
      <c r="F143" s="17">
        <f t="shared" si="27"/>
        <v>0.33333333333333331</v>
      </c>
      <c r="G143" s="17">
        <f t="shared" si="28"/>
        <v>3</v>
      </c>
      <c r="H143" s="8">
        <v>1</v>
      </c>
      <c r="X143" s="7"/>
      <c r="AA143" s="7"/>
    </row>
    <row r="144" spans="2:27" x14ac:dyDescent="0.2">
      <c r="B144">
        <v>3</v>
      </c>
      <c r="C144" t="s">
        <v>22</v>
      </c>
      <c r="D144" t="s">
        <v>16</v>
      </c>
      <c r="E144" s="17" t="str">
        <f t="shared" si="26"/>
        <v>Corporate</v>
      </c>
      <c r="F144" s="17">
        <f t="shared" si="27"/>
        <v>7.6923076923076927E-2</v>
      </c>
      <c r="G144" s="17">
        <f t="shared" si="28"/>
        <v>13</v>
      </c>
      <c r="H144" s="8">
        <v>1</v>
      </c>
      <c r="X144" s="7"/>
      <c r="AA144" s="7"/>
    </row>
    <row r="145" spans="2:27" x14ac:dyDescent="0.2">
      <c r="B145">
        <v>4</v>
      </c>
      <c r="C145" t="s">
        <v>9</v>
      </c>
      <c r="D145" t="s">
        <v>16</v>
      </c>
      <c r="E145" s="17" t="str">
        <f t="shared" si="26"/>
        <v>Technology</v>
      </c>
      <c r="F145" s="17">
        <f t="shared" si="27"/>
        <v>0.2</v>
      </c>
      <c r="G145" s="17">
        <f t="shared" si="28"/>
        <v>5</v>
      </c>
      <c r="H145" s="8">
        <v>1</v>
      </c>
      <c r="X145" s="7"/>
      <c r="AA145" s="7"/>
    </row>
    <row r="146" spans="2:27" x14ac:dyDescent="0.2">
      <c r="B146">
        <v>5</v>
      </c>
      <c r="C146" t="s">
        <v>11</v>
      </c>
      <c r="D146" t="s">
        <v>16</v>
      </c>
      <c r="E146" s="17" t="str">
        <f t="shared" si="26"/>
        <v>CISO</v>
      </c>
      <c r="F146" s="17">
        <f t="shared" si="27"/>
        <v>1</v>
      </c>
      <c r="G146" s="17">
        <f t="shared" si="28"/>
        <v>1</v>
      </c>
      <c r="H146" s="8">
        <v>1</v>
      </c>
      <c r="X146" s="7"/>
      <c r="AA146" s="7"/>
    </row>
    <row r="147" spans="2:27" x14ac:dyDescent="0.2">
      <c r="B147">
        <v>6</v>
      </c>
      <c r="C147" t="s">
        <v>116</v>
      </c>
      <c r="D147" t="s">
        <v>16</v>
      </c>
      <c r="E147" s="17" t="str">
        <f t="shared" si="26"/>
        <v>Data &amp; AI</v>
      </c>
      <c r="F147" s="17">
        <f t="shared" si="27"/>
        <v>1</v>
      </c>
      <c r="G147" s="17">
        <f t="shared" si="28"/>
        <v>1</v>
      </c>
      <c r="H147" s="8">
        <v>1</v>
      </c>
      <c r="X147" s="7"/>
      <c r="AA147" s="7"/>
    </row>
    <row r="148" spans="2:27" x14ac:dyDescent="0.2">
      <c r="B148">
        <v>7</v>
      </c>
      <c r="C148" t="s">
        <v>37</v>
      </c>
      <c r="D148" t="s">
        <v>16</v>
      </c>
      <c r="E148" s="17" t="str">
        <f t="shared" si="26"/>
        <v>Commercial</v>
      </c>
      <c r="F148" s="17">
        <f t="shared" si="27"/>
        <v>0.1111111111111111</v>
      </c>
      <c r="G148" s="17">
        <f t="shared" si="28"/>
        <v>9</v>
      </c>
      <c r="H148" s="8">
        <v>1</v>
      </c>
      <c r="X148" s="7"/>
      <c r="AA148" s="7"/>
    </row>
    <row r="149" spans="2:27" x14ac:dyDescent="0.2">
      <c r="B149">
        <v>8</v>
      </c>
      <c r="C149" t="s">
        <v>44</v>
      </c>
      <c r="D149" t="s">
        <v>16</v>
      </c>
      <c r="E149" s="17" t="str">
        <f t="shared" si="26"/>
        <v>Corporate</v>
      </c>
      <c r="F149" s="17">
        <f t="shared" si="27"/>
        <v>7.6923076923076927E-2</v>
      </c>
      <c r="G149" s="17">
        <f t="shared" si="28"/>
        <v>13</v>
      </c>
      <c r="H149" s="8">
        <v>1</v>
      </c>
      <c r="X149" s="7"/>
      <c r="AA149" s="7"/>
    </row>
    <row r="150" spans="2:27" x14ac:dyDescent="0.2">
      <c r="B150">
        <v>9</v>
      </c>
      <c r="C150" t="s">
        <v>7</v>
      </c>
      <c r="D150" t="s">
        <v>16</v>
      </c>
      <c r="E150" s="17" t="str">
        <f t="shared" si="26"/>
        <v>Operations</v>
      </c>
      <c r="F150" s="17">
        <f t="shared" si="27"/>
        <v>0.33333333333333331</v>
      </c>
      <c r="G150" s="17">
        <f t="shared" si="28"/>
        <v>3</v>
      </c>
      <c r="H150" s="8">
        <v>1</v>
      </c>
      <c r="X150" s="7"/>
      <c r="AA150" s="7"/>
    </row>
    <row r="151" spans="2:27" x14ac:dyDescent="0.2">
      <c r="B151">
        <v>10</v>
      </c>
      <c r="C151" t="s">
        <v>59</v>
      </c>
      <c r="D151" t="s">
        <v>16</v>
      </c>
      <c r="E151" s="17" t="str">
        <f t="shared" si="26"/>
        <v>Technology</v>
      </c>
      <c r="F151" s="17">
        <f t="shared" si="27"/>
        <v>0.2</v>
      </c>
      <c r="G151" s="17">
        <f t="shared" si="28"/>
        <v>5</v>
      </c>
      <c r="H151" s="8">
        <v>1</v>
      </c>
      <c r="X151" s="7"/>
      <c r="AA151" s="7"/>
    </row>
    <row r="152" spans="2:27" x14ac:dyDescent="0.2">
      <c r="B152">
        <v>11</v>
      </c>
      <c r="C152" t="s">
        <v>36</v>
      </c>
      <c r="D152" t="s">
        <v>16</v>
      </c>
      <c r="E152" s="17" t="str">
        <f t="shared" si="26"/>
        <v>Commercial</v>
      </c>
      <c r="F152" s="17">
        <f t="shared" si="27"/>
        <v>0.1111111111111111</v>
      </c>
      <c r="G152" s="17">
        <f t="shared" si="28"/>
        <v>9</v>
      </c>
      <c r="H152" s="8">
        <v>1</v>
      </c>
      <c r="X152" s="7"/>
      <c r="AA152" s="7"/>
    </row>
    <row r="153" spans="2:27" x14ac:dyDescent="0.2">
      <c r="B153">
        <v>12</v>
      </c>
      <c r="C153" t="s">
        <v>46</v>
      </c>
      <c r="D153" t="s">
        <v>16</v>
      </c>
      <c r="E153" s="17" t="str">
        <f t="shared" si="26"/>
        <v>Corporate</v>
      </c>
      <c r="F153" s="17">
        <f t="shared" si="27"/>
        <v>7.6923076923076927E-2</v>
      </c>
      <c r="G153" s="17">
        <f t="shared" si="28"/>
        <v>13</v>
      </c>
      <c r="H153" s="8">
        <v>1</v>
      </c>
      <c r="X153" s="7"/>
      <c r="AA153" s="7"/>
    </row>
    <row r="154" spans="2:27" x14ac:dyDescent="0.2">
      <c r="B154">
        <v>13</v>
      </c>
      <c r="C154" t="s">
        <v>42</v>
      </c>
      <c r="D154" t="s">
        <v>16</v>
      </c>
      <c r="E154" s="17" t="str">
        <f t="shared" si="26"/>
        <v>Operations</v>
      </c>
      <c r="F154" s="17">
        <f t="shared" si="27"/>
        <v>0.33333333333333331</v>
      </c>
      <c r="G154" s="17">
        <f t="shared" si="28"/>
        <v>3</v>
      </c>
      <c r="H154" s="8">
        <v>1</v>
      </c>
      <c r="X154" s="7"/>
      <c r="AA154" s="7"/>
    </row>
    <row r="155" spans="2:27" x14ac:dyDescent="0.2">
      <c r="B155">
        <v>14</v>
      </c>
      <c r="C155" t="s">
        <v>58</v>
      </c>
      <c r="D155" t="s">
        <v>16</v>
      </c>
      <c r="E155" s="17" t="str">
        <f t="shared" si="26"/>
        <v>Technology</v>
      </c>
      <c r="F155" s="17">
        <f t="shared" si="27"/>
        <v>0.2</v>
      </c>
      <c r="G155" s="17">
        <f t="shared" si="28"/>
        <v>5</v>
      </c>
      <c r="H155" s="8">
        <v>1</v>
      </c>
      <c r="X155" s="7"/>
      <c r="AA155" s="7"/>
    </row>
    <row r="156" spans="2:27" x14ac:dyDescent="0.2">
      <c r="B156">
        <v>15</v>
      </c>
      <c r="C156" t="s">
        <v>38</v>
      </c>
      <c r="D156" t="s">
        <v>16</v>
      </c>
      <c r="E156" s="17" t="str">
        <f t="shared" si="26"/>
        <v>Commercial</v>
      </c>
      <c r="F156" s="17">
        <f t="shared" si="27"/>
        <v>0.1111111111111111</v>
      </c>
      <c r="G156" s="17">
        <f t="shared" si="28"/>
        <v>9</v>
      </c>
      <c r="H156" s="8">
        <v>1</v>
      </c>
      <c r="X156" s="7"/>
      <c r="AA156" s="7"/>
    </row>
    <row r="157" spans="2:27" x14ac:dyDescent="0.2">
      <c r="B157">
        <v>16</v>
      </c>
      <c r="C157" t="s">
        <v>47</v>
      </c>
      <c r="D157" t="s">
        <v>16</v>
      </c>
      <c r="E157" s="17" t="str">
        <f t="shared" si="26"/>
        <v>Corporate</v>
      </c>
      <c r="F157" s="17">
        <f t="shared" si="27"/>
        <v>7.6923076923076927E-2</v>
      </c>
      <c r="G157" s="17">
        <f t="shared" si="28"/>
        <v>13</v>
      </c>
      <c r="H157" s="8">
        <v>1</v>
      </c>
      <c r="X157" s="7"/>
      <c r="AA157" s="7"/>
    </row>
    <row r="158" spans="2:27" x14ac:dyDescent="0.2">
      <c r="B158">
        <v>17</v>
      </c>
      <c r="C158" t="s">
        <v>34</v>
      </c>
      <c r="D158" t="s">
        <v>16</v>
      </c>
      <c r="E158" s="17" t="str">
        <f t="shared" si="26"/>
        <v>Technology</v>
      </c>
      <c r="F158" s="17">
        <f t="shared" si="27"/>
        <v>0.2</v>
      </c>
      <c r="G158" s="17">
        <f t="shared" si="28"/>
        <v>5</v>
      </c>
      <c r="H158" s="8">
        <v>1</v>
      </c>
      <c r="X158" s="7"/>
      <c r="AA158" s="7"/>
    </row>
    <row r="159" spans="2:27" x14ac:dyDescent="0.2">
      <c r="B159">
        <v>18</v>
      </c>
      <c r="C159" t="s">
        <v>25</v>
      </c>
      <c r="D159" t="s">
        <v>16</v>
      </c>
      <c r="E159" s="17" t="str">
        <f t="shared" si="26"/>
        <v>Commercial</v>
      </c>
      <c r="F159" s="17">
        <f t="shared" si="27"/>
        <v>0.1111111111111111</v>
      </c>
      <c r="G159" s="17">
        <f t="shared" si="28"/>
        <v>9</v>
      </c>
      <c r="H159" s="8">
        <v>1</v>
      </c>
      <c r="X159" s="7"/>
      <c r="AA159" s="7"/>
    </row>
    <row r="160" spans="2:27" x14ac:dyDescent="0.2">
      <c r="B160">
        <v>19</v>
      </c>
      <c r="C160" t="s">
        <v>35</v>
      </c>
      <c r="D160" t="s">
        <v>16</v>
      </c>
      <c r="E160" s="17" t="str">
        <f t="shared" si="26"/>
        <v>Corporate</v>
      </c>
      <c r="F160" s="17">
        <f t="shared" si="27"/>
        <v>7.6923076923076927E-2</v>
      </c>
      <c r="G160" s="17">
        <f t="shared" si="28"/>
        <v>13</v>
      </c>
      <c r="H160" s="8">
        <v>1</v>
      </c>
      <c r="X160" s="7"/>
      <c r="AA160" s="7"/>
    </row>
    <row r="161" spans="2:27" x14ac:dyDescent="0.2">
      <c r="B161">
        <v>20</v>
      </c>
      <c r="C161" t="s">
        <v>60</v>
      </c>
      <c r="D161" t="s">
        <v>16</v>
      </c>
      <c r="E161" s="17" t="str">
        <f t="shared" si="26"/>
        <v>Technology</v>
      </c>
      <c r="F161" s="17">
        <f t="shared" si="27"/>
        <v>0.2</v>
      </c>
      <c r="G161" s="17">
        <f t="shared" si="28"/>
        <v>5</v>
      </c>
      <c r="H161" s="8">
        <v>1</v>
      </c>
      <c r="X161" s="7"/>
      <c r="AA161" s="7"/>
    </row>
    <row r="162" spans="2:27" x14ac:dyDescent="0.2">
      <c r="B162">
        <v>21</v>
      </c>
      <c r="C162" t="s">
        <v>23</v>
      </c>
      <c r="D162" t="s">
        <v>16</v>
      </c>
      <c r="E162" s="17" t="str">
        <f t="shared" si="26"/>
        <v>Commercial</v>
      </c>
      <c r="F162" s="17">
        <f t="shared" si="27"/>
        <v>0.1111111111111111</v>
      </c>
      <c r="G162" s="17">
        <f t="shared" si="28"/>
        <v>9</v>
      </c>
      <c r="H162" s="8">
        <v>1</v>
      </c>
      <c r="X162" s="7"/>
      <c r="AA162" s="7"/>
    </row>
    <row r="163" spans="2:27" x14ac:dyDescent="0.2">
      <c r="B163">
        <v>22</v>
      </c>
      <c r="C163" t="s">
        <v>98</v>
      </c>
      <c r="D163" t="s">
        <v>16</v>
      </c>
      <c r="E163" s="17" t="str">
        <f t="shared" si="26"/>
        <v>Corporate</v>
      </c>
      <c r="F163" s="17">
        <f t="shared" si="27"/>
        <v>7.6923076923076927E-2</v>
      </c>
      <c r="G163" s="17">
        <f t="shared" si="28"/>
        <v>13</v>
      </c>
      <c r="H163" s="8">
        <v>1</v>
      </c>
      <c r="X163" s="7"/>
      <c r="AA163" s="7"/>
    </row>
    <row r="164" spans="2:27" x14ac:dyDescent="0.2">
      <c r="B164">
        <v>23</v>
      </c>
      <c r="C164" t="s">
        <v>21</v>
      </c>
      <c r="D164" t="s">
        <v>16</v>
      </c>
      <c r="E164" s="17" t="str">
        <f t="shared" ref="E164:E199" si="29">VLOOKUP($C164,$AD:$AE,2,FALSE)</f>
        <v>Commercial</v>
      </c>
      <c r="F164" s="17">
        <f t="shared" ref="F164:F195" si="30">H164*SUMIFS($H:$H,$J:$J,D164,$K:$K,E164)/G164</f>
        <v>0.1111111111111111</v>
      </c>
      <c r="G164" s="17">
        <f t="shared" ref="G164:G195" si="31">SUMIFS($H$2:$H$1000,$E$2:$E$1000,E164,$D$2:$D$1000,D164)</f>
        <v>9</v>
      </c>
      <c r="H164" s="8">
        <v>1</v>
      </c>
      <c r="X164" s="7"/>
      <c r="AA164" s="7"/>
    </row>
    <row r="165" spans="2:27" x14ac:dyDescent="0.2">
      <c r="B165">
        <v>24</v>
      </c>
      <c r="C165" t="s">
        <v>45</v>
      </c>
      <c r="D165" t="s">
        <v>16</v>
      </c>
      <c r="E165" s="17" t="str">
        <f t="shared" si="29"/>
        <v>Corporate</v>
      </c>
      <c r="F165" s="17">
        <f t="shared" si="30"/>
        <v>7.6923076923076927E-2</v>
      </c>
      <c r="G165" s="17">
        <f t="shared" si="31"/>
        <v>13</v>
      </c>
      <c r="H165" s="8">
        <v>1</v>
      </c>
      <c r="X165" s="7"/>
      <c r="AA165" s="7"/>
    </row>
    <row r="166" spans="2:27" x14ac:dyDescent="0.2">
      <c r="B166">
        <v>25</v>
      </c>
      <c r="C166" t="s">
        <v>40</v>
      </c>
      <c r="D166" t="s">
        <v>16</v>
      </c>
      <c r="E166" s="17" t="str">
        <f t="shared" si="29"/>
        <v>Commercial</v>
      </c>
      <c r="F166" s="17">
        <f t="shared" si="30"/>
        <v>0.1111111111111111</v>
      </c>
      <c r="G166" s="17">
        <f t="shared" si="31"/>
        <v>9</v>
      </c>
      <c r="H166" s="8">
        <v>1</v>
      </c>
      <c r="X166" s="7"/>
      <c r="AA166" s="7"/>
    </row>
    <row r="167" spans="2:27" x14ac:dyDescent="0.2">
      <c r="B167">
        <v>26</v>
      </c>
      <c r="C167" t="s">
        <v>48</v>
      </c>
      <c r="D167" t="s">
        <v>16</v>
      </c>
      <c r="E167" s="17" t="str">
        <f t="shared" si="29"/>
        <v>Corporate</v>
      </c>
      <c r="F167" s="17">
        <f t="shared" si="30"/>
        <v>7.6923076923076927E-2</v>
      </c>
      <c r="G167" s="17">
        <f t="shared" si="31"/>
        <v>13</v>
      </c>
      <c r="H167" s="8">
        <v>1</v>
      </c>
      <c r="X167" s="7"/>
      <c r="AA167" s="7"/>
    </row>
    <row r="168" spans="2:27" x14ac:dyDescent="0.2">
      <c r="B168">
        <v>27</v>
      </c>
      <c r="C168" t="s">
        <v>39</v>
      </c>
      <c r="D168" t="s">
        <v>16</v>
      </c>
      <c r="E168" s="17" t="str">
        <f t="shared" si="29"/>
        <v>Commercial</v>
      </c>
      <c r="F168" s="17">
        <f t="shared" si="30"/>
        <v>0.1111111111111111</v>
      </c>
      <c r="G168" s="17">
        <f t="shared" si="31"/>
        <v>9</v>
      </c>
      <c r="H168" s="8">
        <v>1</v>
      </c>
      <c r="X168" s="7"/>
      <c r="AA168" s="7"/>
    </row>
    <row r="169" spans="2:27" x14ac:dyDescent="0.2">
      <c r="B169">
        <v>28</v>
      </c>
      <c r="C169" t="s">
        <v>54</v>
      </c>
      <c r="D169" t="s">
        <v>16</v>
      </c>
      <c r="E169" s="17" t="str">
        <f t="shared" si="29"/>
        <v>Corporate</v>
      </c>
      <c r="F169" s="17">
        <f t="shared" si="30"/>
        <v>7.6923076923076927E-2</v>
      </c>
      <c r="G169" s="17">
        <f t="shared" si="31"/>
        <v>13</v>
      </c>
      <c r="H169" s="8">
        <v>1</v>
      </c>
      <c r="X169" s="7"/>
      <c r="AA169" s="7"/>
    </row>
    <row r="170" spans="2:27" x14ac:dyDescent="0.2">
      <c r="B170">
        <v>29</v>
      </c>
      <c r="C170" t="s">
        <v>50</v>
      </c>
      <c r="D170" t="s">
        <v>16</v>
      </c>
      <c r="E170" s="17" t="str">
        <f t="shared" si="29"/>
        <v>Corporate</v>
      </c>
      <c r="F170" s="17">
        <f t="shared" si="30"/>
        <v>7.6923076923076927E-2</v>
      </c>
      <c r="G170" s="17">
        <f t="shared" si="31"/>
        <v>13</v>
      </c>
      <c r="H170" s="8">
        <v>1</v>
      </c>
      <c r="X170" s="7"/>
      <c r="AA170" s="7"/>
    </row>
    <row r="171" spans="2:27" x14ac:dyDescent="0.2">
      <c r="B171">
        <v>30</v>
      </c>
      <c r="C171" t="s">
        <v>51</v>
      </c>
      <c r="D171" t="s">
        <v>16</v>
      </c>
      <c r="E171" s="17" t="str">
        <f t="shared" si="29"/>
        <v>Corporate</v>
      </c>
      <c r="F171" s="17">
        <f t="shared" si="30"/>
        <v>7.6923076923076927E-2</v>
      </c>
      <c r="G171" s="17">
        <f t="shared" si="31"/>
        <v>13</v>
      </c>
      <c r="H171" s="8">
        <v>1</v>
      </c>
      <c r="X171" s="7"/>
      <c r="AA171" s="7"/>
    </row>
    <row r="172" spans="2:27" x14ac:dyDescent="0.2">
      <c r="B172">
        <v>31</v>
      </c>
      <c r="C172" t="s">
        <v>56</v>
      </c>
      <c r="D172" t="s">
        <v>16</v>
      </c>
      <c r="E172" s="17" t="str">
        <f t="shared" si="29"/>
        <v>Corporate</v>
      </c>
      <c r="F172" s="17">
        <f t="shared" si="30"/>
        <v>7.6923076923076927E-2</v>
      </c>
      <c r="G172" s="17">
        <f t="shared" si="31"/>
        <v>13</v>
      </c>
      <c r="H172" s="8">
        <v>1</v>
      </c>
      <c r="X172" s="7"/>
      <c r="AA172" s="7"/>
    </row>
    <row r="173" spans="2:27" x14ac:dyDescent="0.2">
      <c r="B173">
        <v>32</v>
      </c>
      <c r="C173" t="s">
        <v>53</v>
      </c>
      <c r="D173" t="s">
        <v>16</v>
      </c>
      <c r="E173" s="17" t="str">
        <f t="shared" si="29"/>
        <v>Corporate</v>
      </c>
      <c r="F173" s="17">
        <f t="shared" si="30"/>
        <v>7.6923076923076927E-2</v>
      </c>
      <c r="G173" s="17">
        <f t="shared" si="31"/>
        <v>13</v>
      </c>
      <c r="H173" s="8">
        <v>1</v>
      </c>
      <c r="X173" s="7"/>
      <c r="AA173" s="7"/>
    </row>
    <row r="174" spans="2:27" x14ac:dyDescent="0.2">
      <c r="B174">
        <v>1</v>
      </c>
      <c r="C174" t="s">
        <v>25</v>
      </c>
      <c r="D174" t="s">
        <v>17</v>
      </c>
      <c r="E174" s="17" t="str">
        <f t="shared" si="29"/>
        <v>Commercial</v>
      </c>
      <c r="F174" s="17">
        <f t="shared" si="30"/>
        <v>0.125</v>
      </c>
      <c r="G174" s="17">
        <f t="shared" si="31"/>
        <v>8</v>
      </c>
      <c r="H174" s="8">
        <v>1</v>
      </c>
      <c r="X174" s="7"/>
      <c r="AA174" s="7"/>
    </row>
    <row r="175" spans="2:27" x14ac:dyDescent="0.2">
      <c r="B175">
        <v>2</v>
      </c>
      <c r="C175" t="s">
        <v>26</v>
      </c>
      <c r="D175" t="s">
        <v>17</v>
      </c>
      <c r="E175" s="17" t="str">
        <f t="shared" si="29"/>
        <v>Operations</v>
      </c>
      <c r="F175" s="17">
        <f t="shared" si="30"/>
        <v>0.33333333333333331</v>
      </c>
      <c r="G175" s="17">
        <f t="shared" si="31"/>
        <v>3</v>
      </c>
      <c r="H175" s="8">
        <v>1</v>
      </c>
      <c r="X175" s="7"/>
      <c r="AA175" s="7"/>
    </row>
    <row r="176" spans="2:27" x14ac:dyDescent="0.2">
      <c r="B176">
        <v>3</v>
      </c>
      <c r="C176" t="s">
        <v>22</v>
      </c>
      <c r="D176" t="s">
        <v>17</v>
      </c>
      <c r="E176" s="17" t="str">
        <f t="shared" si="29"/>
        <v>Corporate</v>
      </c>
      <c r="F176" s="17">
        <f t="shared" si="30"/>
        <v>0.125</v>
      </c>
      <c r="G176" s="17">
        <f t="shared" si="31"/>
        <v>8</v>
      </c>
      <c r="H176" s="8">
        <v>1</v>
      </c>
      <c r="X176" s="7"/>
      <c r="AA176" s="7"/>
    </row>
    <row r="177" spans="2:27" x14ac:dyDescent="0.2">
      <c r="B177">
        <v>4</v>
      </c>
      <c r="C177" t="s">
        <v>9</v>
      </c>
      <c r="D177" t="s">
        <v>17</v>
      </c>
      <c r="E177" s="17" t="str">
        <f t="shared" si="29"/>
        <v>Technology</v>
      </c>
      <c r="F177" s="17">
        <f t="shared" si="30"/>
        <v>0.2</v>
      </c>
      <c r="G177" s="17">
        <f t="shared" si="31"/>
        <v>5</v>
      </c>
      <c r="H177" s="8">
        <v>1</v>
      </c>
      <c r="X177" s="7"/>
      <c r="AA177" s="7"/>
    </row>
    <row r="178" spans="2:27" x14ac:dyDescent="0.2">
      <c r="B178">
        <v>5</v>
      </c>
      <c r="C178" t="s">
        <v>11</v>
      </c>
      <c r="D178" t="s">
        <v>17</v>
      </c>
      <c r="E178" s="17" t="str">
        <f t="shared" si="29"/>
        <v>CISO</v>
      </c>
      <c r="F178" s="17">
        <f t="shared" si="30"/>
        <v>1</v>
      </c>
      <c r="G178" s="17">
        <f t="shared" si="31"/>
        <v>1</v>
      </c>
      <c r="H178" s="8">
        <v>1</v>
      </c>
      <c r="X178" s="7"/>
      <c r="AA178" s="7"/>
    </row>
    <row r="179" spans="2:27" x14ac:dyDescent="0.2">
      <c r="B179">
        <v>6</v>
      </c>
      <c r="C179" t="s">
        <v>116</v>
      </c>
      <c r="D179" t="s">
        <v>17</v>
      </c>
      <c r="E179" s="17" t="str">
        <f t="shared" si="29"/>
        <v>Data &amp; AI</v>
      </c>
      <c r="F179" s="17">
        <f t="shared" si="30"/>
        <v>0.14285714285714285</v>
      </c>
      <c r="G179" s="17">
        <f t="shared" si="31"/>
        <v>7</v>
      </c>
      <c r="H179" s="8">
        <v>1</v>
      </c>
      <c r="X179" s="7"/>
      <c r="AA179" s="7"/>
    </row>
    <row r="180" spans="2:27" x14ac:dyDescent="0.2">
      <c r="B180">
        <v>7</v>
      </c>
      <c r="C180" t="s">
        <v>37</v>
      </c>
      <c r="D180" t="s">
        <v>17</v>
      </c>
      <c r="E180" s="17" t="str">
        <f t="shared" si="29"/>
        <v>Commercial</v>
      </c>
      <c r="F180" s="17">
        <f t="shared" si="30"/>
        <v>0.125</v>
      </c>
      <c r="G180" s="17">
        <f t="shared" si="31"/>
        <v>8</v>
      </c>
      <c r="H180" s="8">
        <v>1</v>
      </c>
      <c r="X180" s="7"/>
      <c r="AA180" s="7"/>
    </row>
    <row r="181" spans="2:27" x14ac:dyDescent="0.2">
      <c r="B181">
        <v>8</v>
      </c>
      <c r="C181" t="s">
        <v>44</v>
      </c>
      <c r="D181" t="s">
        <v>17</v>
      </c>
      <c r="E181" s="17" t="str">
        <f t="shared" si="29"/>
        <v>Corporate</v>
      </c>
      <c r="F181" s="17">
        <f t="shared" si="30"/>
        <v>0.125</v>
      </c>
      <c r="G181" s="17">
        <f t="shared" si="31"/>
        <v>8</v>
      </c>
      <c r="H181" s="8">
        <v>1</v>
      </c>
      <c r="X181" s="7"/>
      <c r="AA181" s="7"/>
    </row>
    <row r="182" spans="2:27" x14ac:dyDescent="0.2">
      <c r="B182">
        <v>9</v>
      </c>
      <c r="C182" t="s">
        <v>7</v>
      </c>
      <c r="D182" t="s">
        <v>17</v>
      </c>
      <c r="E182" s="17" t="str">
        <f t="shared" si="29"/>
        <v>Operations</v>
      </c>
      <c r="F182" s="17">
        <f t="shared" si="30"/>
        <v>0.33333333333333331</v>
      </c>
      <c r="G182" s="17">
        <f t="shared" si="31"/>
        <v>3</v>
      </c>
      <c r="H182" s="8">
        <v>1</v>
      </c>
      <c r="X182" s="7"/>
      <c r="AA182" s="7"/>
    </row>
    <row r="183" spans="2:27" x14ac:dyDescent="0.2">
      <c r="B183">
        <v>10</v>
      </c>
      <c r="C183" t="s">
        <v>59</v>
      </c>
      <c r="D183" t="s">
        <v>17</v>
      </c>
      <c r="E183" s="17" t="str">
        <f t="shared" si="29"/>
        <v>Technology</v>
      </c>
      <c r="F183" s="17">
        <f t="shared" si="30"/>
        <v>0.2</v>
      </c>
      <c r="G183" s="17">
        <f t="shared" si="31"/>
        <v>5</v>
      </c>
      <c r="H183" s="8">
        <v>1</v>
      </c>
      <c r="X183" s="7"/>
      <c r="AA183" s="7"/>
    </row>
    <row r="184" spans="2:27" x14ac:dyDescent="0.2">
      <c r="B184">
        <v>11</v>
      </c>
      <c r="C184" t="s">
        <v>36</v>
      </c>
      <c r="D184" t="s">
        <v>17</v>
      </c>
      <c r="E184" s="17" t="str">
        <f t="shared" si="29"/>
        <v>Commercial</v>
      </c>
      <c r="F184" s="17">
        <f t="shared" si="30"/>
        <v>0.125</v>
      </c>
      <c r="G184" s="17">
        <f t="shared" si="31"/>
        <v>8</v>
      </c>
      <c r="H184" s="8">
        <v>1</v>
      </c>
      <c r="X184" s="7"/>
      <c r="AA184" s="7"/>
    </row>
    <row r="185" spans="2:27" x14ac:dyDescent="0.2">
      <c r="B185">
        <v>12</v>
      </c>
      <c r="C185" t="s">
        <v>46</v>
      </c>
      <c r="D185" t="s">
        <v>17</v>
      </c>
      <c r="E185" s="17" t="str">
        <f t="shared" si="29"/>
        <v>Corporate</v>
      </c>
      <c r="F185" s="17">
        <f t="shared" si="30"/>
        <v>0.125</v>
      </c>
      <c r="G185" s="17">
        <f t="shared" si="31"/>
        <v>8</v>
      </c>
      <c r="H185" s="8">
        <v>1</v>
      </c>
      <c r="X185" s="7"/>
      <c r="AA185" s="7"/>
    </row>
    <row r="186" spans="2:27" x14ac:dyDescent="0.2">
      <c r="B186">
        <v>13</v>
      </c>
      <c r="C186" t="s">
        <v>42</v>
      </c>
      <c r="D186" t="s">
        <v>17</v>
      </c>
      <c r="E186" s="17" t="str">
        <f t="shared" si="29"/>
        <v>Operations</v>
      </c>
      <c r="F186" s="17">
        <f t="shared" si="30"/>
        <v>0.33333333333333331</v>
      </c>
      <c r="G186" s="17">
        <f t="shared" si="31"/>
        <v>3</v>
      </c>
      <c r="H186" s="8">
        <v>1</v>
      </c>
      <c r="X186" s="7"/>
      <c r="AA186" s="7"/>
    </row>
    <row r="187" spans="2:27" x14ac:dyDescent="0.2">
      <c r="B187">
        <v>14</v>
      </c>
      <c r="C187" t="s">
        <v>58</v>
      </c>
      <c r="D187" t="s">
        <v>17</v>
      </c>
      <c r="E187" s="17" t="str">
        <f t="shared" si="29"/>
        <v>Technology</v>
      </c>
      <c r="F187" s="17">
        <f t="shared" si="30"/>
        <v>0.2</v>
      </c>
      <c r="G187" s="17">
        <f t="shared" si="31"/>
        <v>5</v>
      </c>
      <c r="H187" s="8">
        <v>1</v>
      </c>
      <c r="X187" s="7"/>
      <c r="AA187" s="7"/>
    </row>
    <row r="188" spans="2:27" x14ac:dyDescent="0.2">
      <c r="B188">
        <v>15</v>
      </c>
      <c r="C188" t="s">
        <v>38</v>
      </c>
      <c r="D188" t="s">
        <v>17</v>
      </c>
      <c r="E188" s="17" t="str">
        <f t="shared" si="29"/>
        <v>Commercial</v>
      </c>
      <c r="F188" s="17">
        <f t="shared" si="30"/>
        <v>0.125</v>
      </c>
      <c r="G188" s="17">
        <f t="shared" si="31"/>
        <v>8</v>
      </c>
      <c r="H188" s="8">
        <v>1</v>
      </c>
      <c r="X188" s="7"/>
      <c r="AA188" s="7"/>
    </row>
    <row r="189" spans="2:27" x14ac:dyDescent="0.2">
      <c r="B189">
        <v>16</v>
      </c>
      <c r="C189" t="s">
        <v>47</v>
      </c>
      <c r="D189" t="s">
        <v>17</v>
      </c>
      <c r="E189" s="17" t="str">
        <f t="shared" si="29"/>
        <v>Corporate</v>
      </c>
      <c r="F189" s="17">
        <f t="shared" si="30"/>
        <v>0.125</v>
      </c>
      <c r="G189" s="17">
        <f t="shared" si="31"/>
        <v>8</v>
      </c>
      <c r="H189" s="8">
        <v>1</v>
      </c>
      <c r="X189" s="7"/>
      <c r="AA189" s="7"/>
    </row>
    <row r="190" spans="2:27" x14ac:dyDescent="0.2">
      <c r="B190">
        <v>17</v>
      </c>
      <c r="C190" t="s">
        <v>34</v>
      </c>
      <c r="D190" t="s">
        <v>17</v>
      </c>
      <c r="E190" s="17" t="str">
        <f t="shared" si="29"/>
        <v>Technology</v>
      </c>
      <c r="F190" s="17">
        <f t="shared" si="30"/>
        <v>0.2</v>
      </c>
      <c r="G190" s="17">
        <f t="shared" si="31"/>
        <v>5</v>
      </c>
      <c r="H190" s="8">
        <v>1</v>
      </c>
      <c r="X190" s="7"/>
      <c r="AA190" s="7"/>
    </row>
    <row r="191" spans="2:27" x14ac:dyDescent="0.2">
      <c r="B191">
        <v>18</v>
      </c>
      <c r="C191" t="s">
        <v>21</v>
      </c>
      <c r="D191" t="s">
        <v>17</v>
      </c>
      <c r="E191" s="17" t="str">
        <f t="shared" si="29"/>
        <v>Commercial</v>
      </c>
      <c r="F191" s="17">
        <f t="shared" si="30"/>
        <v>0.125</v>
      </c>
      <c r="G191" s="17">
        <f t="shared" si="31"/>
        <v>8</v>
      </c>
      <c r="H191" s="8">
        <v>1</v>
      </c>
      <c r="X191" s="7"/>
      <c r="AA191" s="7"/>
    </row>
    <row r="192" spans="2:27" x14ac:dyDescent="0.2">
      <c r="B192">
        <v>19</v>
      </c>
      <c r="C192" t="s">
        <v>35</v>
      </c>
      <c r="D192" t="s">
        <v>17</v>
      </c>
      <c r="E192" s="17" t="str">
        <f t="shared" si="29"/>
        <v>Corporate</v>
      </c>
      <c r="F192" s="17">
        <f t="shared" si="30"/>
        <v>0.125</v>
      </c>
      <c r="G192" s="17">
        <f t="shared" si="31"/>
        <v>8</v>
      </c>
      <c r="H192" s="8">
        <v>1</v>
      </c>
      <c r="X192" s="7"/>
      <c r="AA192" s="7"/>
    </row>
    <row r="193" spans="2:27" x14ac:dyDescent="0.2">
      <c r="B193">
        <v>20</v>
      </c>
      <c r="C193" t="s">
        <v>60</v>
      </c>
      <c r="D193" t="s">
        <v>17</v>
      </c>
      <c r="E193" s="17" t="str">
        <f t="shared" si="29"/>
        <v>Technology</v>
      </c>
      <c r="F193" s="17">
        <f t="shared" si="30"/>
        <v>0.2</v>
      </c>
      <c r="G193" s="17">
        <f t="shared" si="31"/>
        <v>5</v>
      </c>
      <c r="H193" s="8">
        <v>1</v>
      </c>
      <c r="X193" s="7"/>
      <c r="AA193" s="7"/>
    </row>
    <row r="194" spans="2:27" x14ac:dyDescent="0.2">
      <c r="B194">
        <v>21</v>
      </c>
      <c r="C194" t="s">
        <v>23</v>
      </c>
      <c r="D194" t="s">
        <v>17</v>
      </c>
      <c r="E194" s="17" t="str">
        <f t="shared" si="29"/>
        <v>Commercial</v>
      </c>
      <c r="F194" s="17">
        <f t="shared" si="30"/>
        <v>0.125</v>
      </c>
      <c r="G194" s="17">
        <f t="shared" si="31"/>
        <v>8</v>
      </c>
      <c r="H194" s="8">
        <v>1</v>
      </c>
      <c r="X194" s="7"/>
      <c r="AA194" s="7"/>
    </row>
    <row r="195" spans="2:27" x14ac:dyDescent="0.2">
      <c r="B195">
        <v>22</v>
      </c>
      <c r="C195" t="s">
        <v>98</v>
      </c>
      <c r="D195" t="s">
        <v>17</v>
      </c>
      <c r="E195" s="17" t="str">
        <f t="shared" si="29"/>
        <v>Corporate</v>
      </c>
      <c r="F195" s="17">
        <f t="shared" si="30"/>
        <v>0.125</v>
      </c>
      <c r="G195" s="17">
        <f t="shared" si="31"/>
        <v>8</v>
      </c>
      <c r="H195" s="8">
        <v>1</v>
      </c>
      <c r="X195" s="7"/>
      <c r="AA195" s="7"/>
    </row>
    <row r="196" spans="2:27" x14ac:dyDescent="0.2">
      <c r="B196">
        <v>23</v>
      </c>
      <c r="C196" t="s">
        <v>24</v>
      </c>
      <c r="D196" t="s">
        <v>17</v>
      </c>
      <c r="E196" s="17" t="str">
        <f t="shared" si="29"/>
        <v>Commercial</v>
      </c>
      <c r="F196" s="17">
        <f t="shared" ref="F196:F205" si="32">H196*SUMIFS($H:$H,$J:$J,D196,$K:$K,E196)/G196</f>
        <v>0.125</v>
      </c>
      <c r="G196" s="17">
        <f t="shared" ref="G196:G205" si="33">SUMIFS($H$2:$H$1000,$E$2:$E$1000,E196,$D$2:$D$1000,D196)</f>
        <v>8</v>
      </c>
      <c r="H196" s="8">
        <v>1</v>
      </c>
      <c r="X196" s="7"/>
      <c r="AA196" s="7"/>
    </row>
    <row r="197" spans="2:27" x14ac:dyDescent="0.2">
      <c r="B197">
        <v>24</v>
      </c>
      <c r="C197" t="s">
        <v>45</v>
      </c>
      <c r="D197" t="s">
        <v>17</v>
      </c>
      <c r="E197" s="17" t="str">
        <f t="shared" si="29"/>
        <v>Corporate</v>
      </c>
      <c r="F197" s="17">
        <f t="shared" si="32"/>
        <v>0.125</v>
      </c>
      <c r="G197" s="17">
        <f t="shared" si="33"/>
        <v>8</v>
      </c>
      <c r="H197" s="8">
        <v>1</v>
      </c>
      <c r="X197" s="7"/>
      <c r="AA197" s="7"/>
    </row>
    <row r="198" spans="2:27" x14ac:dyDescent="0.2">
      <c r="B198">
        <v>25</v>
      </c>
      <c r="C198" t="s">
        <v>40</v>
      </c>
      <c r="D198" t="s">
        <v>17</v>
      </c>
      <c r="E198" s="17" t="str">
        <f t="shared" si="29"/>
        <v>Commercial</v>
      </c>
      <c r="F198" s="17">
        <f t="shared" si="32"/>
        <v>0.125</v>
      </c>
      <c r="G198" s="17">
        <f t="shared" si="33"/>
        <v>8</v>
      </c>
      <c r="H198" s="8">
        <v>1</v>
      </c>
      <c r="X198" s="7"/>
      <c r="AA198" s="7"/>
    </row>
    <row r="199" spans="2:27" x14ac:dyDescent="0.2">
      <c r="B199">
        <v>26</v>
      </c>
      <c r="C199" t="s">
        <v>48</v>
      </c>
      <c r="D199" t="s">
        <v>17</v>
      </c>
      <c r="E199" s="17" t="str">
        <f t="shared" si="29"/>
        <v>Corporate</v>
      </c>
      <c r="F199" s="17">
        <f t="shared" si="32"/>
        <v>0.125</v>
      </c>
      <c r="G199" s="17">
        <f t="shared" si="33"/>
        <v>8</v>
      </c>
      <c r="H199" s="8">
        <v>1</v>
      </c>
      <c r="X199" s="7"/>
      <c r="AA199" s="7"/>
    </row>
    <row r="200" spans="2:27" x14ac:dyDescent="0.2">
      <c r="B200">
        <v>27</v>
      </c>
      <c r="C200" t="s">
        <v>39</v>
      </c>
      <c r="D200" t="s">
        <v>17</v>
      </c>
      <c r="E200" s="17" t="s">
        <v>74</v>
      </c>
      <c r="F200" s="17">
        <f t="shared" si="32"/>
        <v>0.14285714285714285</v>
      </c>
      <c r="G200" s="17">
        <f t="shared" si="33"/>
        <v>7</v>
      </c>
      <c r="H200" s="8">
        <v>1</v>
      </c>
      <c r="X200" s="7"/>
      <c r="AA200" s="7"/>
    </row>
    <row r="201" spans="2:27" x14ac:dyDescent="0.2">
      <c r="B201">
        <v>28</v>
      </c>
      <c r="C201" t="s">
        <v>54</v>
      </c>
      <c r="D201" t="s">
        <v>17</v>
      </c>
      <c r="E201" s="17" t="s">
        <v>74</v>
      </c>
      <c r="F201" s="17">
        <f t="shared" si="32"/>
        <v>0.14285714285714285</v>
      </c>
      <c r="G201" s="17">
        <f t="shared" si="33"/>
        <v>7</v>
      </c>
      <c r="H201" s="8">
        <v>1</v>
      </c>
      <c r="X201" s="7"/>
      <c r="AA201" s="7"/>
    </row>
    <row r="202" spans="2:27" x14ac:dyDescent="0.2">
      <c r="B202">
        <v>29</v>
      </c>
      <c r="C202" t="s">
        <v>50</v>
      </c>
      <c r="D202" t="s">
        <v>17</v>
      </c>
      <c r="E202" s="17" t="s">
        <v>74</v>
      </c>
      <c r="F202" s="17">
        <f t="shared" si="32"/>
        <v>0.14285714285714285</v>
      </c>
      <c r="G202" s="17">
        <f t="shared" si="33"/>
        <v>7</v>
      </c>
      <c r="H202" s="8">
        <v>1</v>
      </c>
      <c r="X202" s="7"/>
      <c r="AA202" s="7"/>
    </row>
    <row r="203" spans="2:27" x14ac:dyDescent="0.2">
      <c r="B203">
        <v>30</v>
      </c>
      <c r="C203" t="s">
        <v>51</v>
      </c>
      <c r="D203" t="s">
        <v>17</v>
      </c>
      <c r="E203" s="17" t="s">
        <v>74</v>
      </c>
      <c r="F203" s="17">
        <f t="shared" si="32"/>
        <v>0.14285714285714285</v>
      </c>
      <c r="G203" s="17">
        <f t="shared" si="33"/>
        <v>7</v>
      </c>
      <c r="H203" s="8">
        <v>1</v>
      </c>
      <c r="X203" s="7"/>
      <c r="AA203" s="7"/>
    </row>
    <row r="204" spans="2:27" x14ac:dyDescent="0.2">
      <c r="B204">
        <v>31</v>
      </c>
      <c r="C204" t="s">
        <v>56</v>
      </c>
      <c r="D204" t="s">
        <v>17</v>
      </c>
      <c r="E204" s="17" t="s">
        <v>74</v>
      </c>
      <c r="F204" s="17">
        <f t="shared" si="32"/>
        <v>0.14285714285714285</v>
      </c>
      <c r="G204" s="17">
        <f t="shared" si="33"/>
        <v>7</v>
      </c>
      <c r="H204" s="8">
        <v>1</v>
      </c>
      <c r="X204" s="7"/>
      <c r="AA204" s="7"/>
    </row>
    <row r="205" spans="2:27" x14ac:dyDescent="0.2">
      <c r="B205">
        <v>32</v>
      </c>
      <c r="C205" t="s">
        <v>53</v>
      </c>
      <c r="D205" t="s">
        <v>17</v>
      </c>
      <c r="E205" s="17" t="s">
        <v>74</v>
      </c>
      <c r="F205" s="17">
        <f t="shared" si="32"/>
        <v>0.14285714285714285</v>
      </c>
      <c r="G205" s="17">
        <f t="shared" si="33"/>
        <v>7</v>
      </c>
      <c r="H205" s="8">
        <v>1</v>
      </c>
    </row>
  </sheetData>
  <autoFilter ref="A2:AI204" xr:uid="{D521F980-2E5F-EC49-B62F-4F6A4A27A40F}"/>
  <sortState xmlns:xlrd2="http://schemas.microsoft.com/office/spreadsheetml/2017/richdata2" ref="B36:H77">
    <sortCondition ref="B77"/>
  </sortState>
  <conditionalFormatting sqref="H1:H1048576">
    <cfRule type="colorScale" priority="14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44">
    <cfRule type="colorScale" priority="2">
      <colorScale>
        <cfvo type="min"/>
        <cfvo type="max"/>
        <color rgb="FFFFEF9C"/>
        <color rgb="FF63BE7B"/>
      </colorScale>
    </cfRule>
  </conditionalFormatting>
  <conditionalFormatting sqref="M3:M38">
    <cfRule type="notContainsText" dxfId="31" priority="1" operator="notContains" text="100">
      <formula>ISERROR(SEARCH("100",M3))</formula>
    </cfRule>
  </conditionalFormatting>
  <conditionalFormatting sqref="N3:N38">
    <cfRule type="colorScale" priority="8">
      <colorScale>
        <cfvo type="min"/>
        <cfvo type="max"/>
        <color rgb="FFFFEF9C"/>
        <color rgb="FF63BE7B"/>
      </colorScale>
    </cfRule>
  </conditionalFormatting>
  <conditionalFormatting sqref="O3:O38 Q3:Q38">
    <cfRule type="notContainsText" dxfId="30" priority="5" operator="notContains" text="100">
      <formula>ISERROR(SEARCH("100",O3))</formula>
    </cfRule>
  </conditionalFormatting>
  <conditionalFormatting sqref="P3:P38">
    <cfRule type="colorScale" priority="3">
      <colorScale>
        <cfvo type="min"/>
        <cfvo type="max"/>
        <color rgb="FFFFEF9C"/>
        <color rgb="FF63BE7B"/>
      </colorScale>
    </cfRule>
  </conditionalFormatting>
  <conditionalFormatting sqref="S35:S40">
    <cfRule type="colorScale" priority="4">
      <colorScale>
        <cfvo type="min"/>
        <cfvo type="max"/>
        <color rgb="FFFFEF9C"/>
        <color rgb="FF63BE7B"/>
      </colorScale>
    </cfRule>
  </conditionalFormatting>
  <conditionalFormatting sqref="U3">
    <cfRule type="notContainsText" dxfId="29" priority="6" operator="notContains" text="100">
      <formula>ISERROR(SEARCH("100",U3))</formula>
    </cfRule>
  </conditionalFormatting>
  <conditionalFormatting sqref="X3:X14">
    <cfRule type="colorScale" priority="17">
      <colorScale>
        <cfvo type="min"/>
        <cfvo type="max"/>
        <color rgb="FFFFEF9C"/>
        <color rgb="FF63BE7B"/>
      </colorScale>
    </cfRule>
    <cfRule type="cellIs" dxfId="28" priority="19" operator="equal">
      <formula>100</formula>
    </cfRule>
  </conditionalFormatting>
  <conditionalFormatting sqref="AA3:AA44">
    <cfRule type="colorScale" priority="16">
      <colorScale>
        <cfvo type="min"/>
        <cfvo type="max"/>
        <color rgb="FFFFEF9C"/>
        <color rgb="FF63BE7B"/>
      </colorScale>
    </cfRule>
    <cfRule type="cellIs" dxfId="27" priority="18" operator="equal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74EF-91CA-FB43-946B-11E2196E1813}">
  <sheetPr>
    <tabColor rgb="FF00B0F0"/>
  </sheetPr>
  <dimension ref="A1:AE282"/>
  <sheetViews>
    <sheetView zoomScale="120" zoomScaleNormal="120" workbookViewId="0">
      <pane ySplit="2" topLeftCell="A3" activePane="bottomLeft" state="frozen"/>
      <selection pane="bottomLeft" activeCell="O3" sqref="O3"/>
    </sheetView>
  </sheetViews>
  <sheetFormatPr baseColWidth="10" defaultColWidth="8.83203125" defaultRowHeight="16" x14ac:dyDescent="0.2"/>
  <cols>
    <col min="1" max="1" width="3" customWidth="1"/>
    <col min="2" max="2" width="16.5" bestFit="1" customWidth="1"/>
    <col min="3" max="3" width="11.83203125" bestFit="1" customWidth="1"/>
    <col min="4" max="4" width="9" bestFit="1" customWidth="1"/>
    <col min="5" max="5" width="4.1640625" customWidth="1"/>
    <col min="6" max="6" width="22.83203125" bestFit="1" customWidth="1"/>
    <col min="7" max="7" width="15.1640625" customWidth="1"/>
    <col min="8" max="8" width="9.5" bestFit="1" customWidth="1"/>
    <col min="9" max="9" width="9" bestFit="1" customWidth="1"/>
    <col min="10" max="10" width="2.83203125" customWidth="1"/>
    <col min="11" max="11" width="4.6640625" bestFit="1" customWidth="1"/>
    <col min="12" max="12" width="14.33203125" bestFit="1" customWidth="1"/>
    <col min="13" max="13" width="19.83203125" bestFit="1" customWidth="1"/>
    <col min="14" max="14" width="15.5" bestFit="1" customWidth="1"/>
    <col min="15" max="15" width="12.1640625" bestFit="1" customWidth="1"/>
    <col min="16" max="16" width="11.83203125" bestFit="1" customWidth="1"/>
    <col min="17" max="17" width="5.33203125" customWidth="1"/>
    <col min="18" max="18" width="12" bestFit="1" customWidth="1"/>
    <col min="19" max="19" width="6.5" bestFit="1" customWidth="1"/>
    <col min="20" max="20" width="3" customWidth="1"/>
    <col min="21" max="21" width="14.33203125" bestFit="1" customWidth="1"/>
    <col min="22" max="22" width="6.5" bestFit="1" customWidth="1"/>
    <col min="23" max="23" width="12.5" bestFit="1" customWidth="1"/>
    <col min="24" max="24" width="2.33203125" customWidth="1"/>
    <col min="25" max="25" width="14.33203125" bestFit="1" customWidth="1"/>
    <col min="26" max="26" width="15.5" bestFit="1" customWidth="1"/>
    <col min="27" max="27" width="15.5" customWidth="1"/>
    <col min="29" max="29" width="28" bestFit="1" customWidth="1"/>
    <col min="30" max="30" width="20.1640625" bestFit="1" customWidth="1"/>
    <col min="31" max="31" width="21" bestFit="1" customWidth="1"/>
  </cols>
  <sheetData>
    <row r="1" spans="1:31" x14ac:dyDescent="0.2">
      <c r="B1" s="18" t="s">
        <v>99</v>
      </c>
      <c r="C1" s="16" t="s">
        <v>119</v>
      </c>
      <c r="D1" s="16">
        <f>SUM(C3:C18)</f>
        <v>100</v>
      </c>
      <c r="F1" s="18" t="s">
        <v>99</v>
      </c>
      <c r="G1" s="16" t="s">
        <v>1708</v>
      </c>
      <c r="H1" s="16"/>
      <c r="I1" s="1"/>
      <c r="K1" t="s">
        <v>122</v>
      </c>
      <c r="L1" s="18" t="s">
        <v>99</v>
      </c>
      <c r="M1" s="16" t="s">
        <v>118</v>
      </c>
      <c r="N1" s="16"/>
      <c r="O1" s="16" t="e">
        <f>SUBTOTAL(9,O2:O1000)</f>
        <v>#REF!</v>
      </c>
      <c r="S1" s="7"/>
      <c r="V1" s="7"/>
      <c r="Y1" s="21" t="s">
        <v>102</v>
      </c>
      <c r="Z1" s="20"/>
      <c r="AA1" s="20"/>
      <c r="AC1" s="21" t="s">
        <v>102</v>
      </c>
      <c r="AD1" s="20"/>
      <c r="AE1" s="20"/>
    </row>
    <row r="2" spans="1:31" x14ac:dyDescent="0.2">
      <c r="A2" s="1"/>
      <c r="B2" s="4" t="s">
        <v>0</v>
      </c>
      <c r="C2" s="4" t="s">
        <v>3</v>
      </c>
      <c r="D2" s="6" t="s">
        <v>20</v>
      </c>
      <c r="F2" s="5" t="s">
        <v>0</v>
      </c>
      <c r="G2" s="5" t="s">
        <v>1</v>
      </c>
      <c r="H2" s="5" t="s">
        <v>3</v>
      </c>
      <c r="I2" s="6" t="s">
        <v>20</v>
      </c>
      <c r="J2" s="1"/>
      <c r="K2" s="19" t="s">
        <v>120</v>
      </c>
      <c r="L2" s="5" t="s">
        <v>2</v>
      </c>
      <c r="M2" s="5" t="s">
        <v>0</v>
      </c>
      <c r="N2" s="5" t="s">
        <v>1</v>
      </c>
      <c r="O2" s="5" t="s">
        <v>3</v>
      </c>
      <c r="P2" s="19" t="s">
        <v>100</v>
      </c>
      <c r="R2" s="6" t="str" cm="1">
        <f t="array" ref="R2:R9">_xlfn.UNIQUE(N2:N1003)</f>
        <v>BudgetGroup</v>
      </c>
      <c r="S2" s="6" t="s">
        <v>20</v>
      </c>
      <c r="T2" s="1"/>
      <c r="U2" s="6" t="str" cm="1">
        <f t="array" ref="U2:U48">_xlfn.UNIQUE(L2:L1003)</f>
        <v>RequestingArea</v>
      </c>
      <c r="V2" s="6" t="s">
        <v>20</v>
      </c>
      <c r="W2" s="1" t="s">
        <v>103</v>
      </c>
      <c r="X2" s="1"/>
      <c r="Y2" s="6" t="s">
        <v>2</v>
      </c>
      <c r="Z2" s="6" t="s">
        <v>1</v>
      </c>
      <c r="AA2" s="6" t="s">
        <v>380</v>
      </c>
      <c r="AB2" s="1"/>
      <c r="AC2" s="6" t="s">
        <v>104</v>
      </c>
      <c r="AD2" s="6" t="s">
        <v>105</v>
      </c>
      <c r="AE2" s="6" t="s">
        <v>106</v>
      </c>
    </row>
    <row r="3" spans="1:31" x14ac:dyDescent="0.2">
      <c r="B3" s="2" t="s">
        <v>10</v>
      </c>
      <c r="C3">
        <v>50</v>
      </c>
      <c r="F3" t="s">
        <v>10</v>
      </c>
      <c r="G3" t="s">
        <v>6</v>
      </c>
      <c r="H3">
        <v>25</v>
      </c>
      <c r="I3" s="16">
        <f t="shared" ref="I3:I44" si="0">SUMIF($F:$F,F3,$H:$H)</f>
        <v>100</v>
      </c>
      <c r="K3">
        <v>1</v>
      </c>
      <c r="L3" t="s">
        <v>21</v>
      </c>
      <c r="M3" t="s">
        <v>4</v>
      </c>
      <c r="N3" s="17" t="str">
        <f t="shared" ref="N3:N34" si="1">VLOOKUP($L3,$Y:$Z,2,FALSE)</f>
        <v>Commercial</v>
      </c>
      <c r="O3" s="17" t="e">
        <f>P3*SUMIFS($P:$P,$F:$F,M3,$G:$G,N3)/#REF!</f>
        <v>#REF!</v>
      </c>
      <c r="P3" s="8">
        <v>1</v>
      </c>
      <c r="R3" s="17" t="str">
        <v>Commercial</v>
      </c>
      <c r="S3" s="3" t="e">
        <f t="shared" ref="S3:S14" si="2">SUMIF($N:$N,R3,$O:$O)</f>
        <v>#REF!</v>
      </c>
      <c r="U3" s="17" t="str">
        <v>GP B2B</v>
      </c>
      <c r="V3" s="3" t="e">
        <f t="shared" ref="V3:V46" si="3">SUMIF($L:$L,U3,$O:$O)</f>
        <v>#REF!</v>
      </c>
      <c r="W3" s="17" t="str">
        <f t="shared" ref="W3:W47" si="4">VLOOKUP(U3,$Y:$Z,2,FALSE)</f>
        <v>Commercial</v>
      </c>
      <c r="Y3" t="s">
        <v>11</v>
      </c>
      <c r="Z3" t="s">
        <v>11</v>
      </c>
      <c r="AC3" s="22" t="s">
        <v>107</v>
      </c>
      <c r="AD3" t="str" cm="1">
        <f t="array" ref="AD3:AE3">_xlfn.TEXTSPLIT(AC3,"&gt;",)</f>
        <v xml:space="preserve"> IDEA </v>
      </c>
      <c r="AE3" t="str">
        <v xml:space="preserve"> Backlog</v>
      </c>
    </row>
    <row r="4" spans="1:31" x14ac:dyDescent="0.2">
      <c r="B4" s="2" t="s">
        <v>379</v>
      </c>
      <c r="C4">
        <v>50</v>
      </c>
      <c r="F4" t="s">
        <v>10</v>
      </c>
      <c r="G4" t="s">
        <v>5</v>
      </c>
      <c r="H4">
        <v>25</v>
      </c>
      <c r="I4" s="16">
        <f t="shared" si="0"/>
        <v>100</v>
      </c>
      <c r="K4">
        <v>2</v>
      </c>
      <c r="L4" t="s">
        <v>26</v>
      </c>
      <c r="M4" t="s">
        <v>4</v>
      </c>
      <c r="N4" s="17" t="str">
        <f t="shared" si="1"/>
        <v>Operations</v>
      </c>
      <c r="O4" s="17" t="e">
        <f>P4*SUMIFS($P:$P,$F:$F,M4,$G:$G,N4)/#REF!</f>
        <v>#REF!</v>
      </c>
      <c r="P4" s="8">
        <v>1</v>
      </c>
      <c r="R4" s="17" t="str">
        <v>Operations</v>
      </c>
      <c r="S4" s="3" t="e">
        <f t="shared" si="2"/>
        <v>#REF!</v>
      </c>
      <c r="U4" s="17" t="str">
        <v>SEO</v>
      </c>
      <c r="V4" s="3" t="e">
        <f t="shared" si="3"/>
        <v>#REF!</v>
      </c>
      <c r="W4" s="17" t="str">
        <f t="shared" si="4"/>
        <v>Operations</v>
      </c>
      <c r="Y4" t="s">
        <v>66</v>
      </c>
      <c r="Z4" t="s">
        <v>5</v>
      </c>
      <c r="AC4" s="22" t="s">
        <v>108</v>
      </c>
      <c r="AD4" t="str" cm="1">
        <f t="array" ref="AD4:AE4">_xlfn.TEXTSPLIT(AC4,"&gt;",)</f>
        <v xml:space="preserve"> IDEA </v>
      </c>
      <c r="AE4" t="str">
        <v xml:space="preserve"> Pitch</v>
      </c>
    </row>
    <row r="5" spans="1:31" x14ac:dyDescent="0.2">
      <c r="B5" s="2"/>
      <c r="F5" t="s">
        <v>10</v>
      </c>
      <c r="G5" t="s">
        <v>12</v>
      </c>
      <c r="H5">
        <v>20</v>
      </c>
      <c r="I5" s="16">
        <f t="shared" si="0"/>
        <v>100</v>
      </c>
      <c r="K5">
        <v>3</v>
      </c>
      <c r="L5" t="s">
        <v>22</v>
      </c>
      <c r="M5" t="s">
        <v>4</v>
      </c>
      <c r="N5" s="17" t="str">
        <f t="shared" si="1"/>
        <v>Corporate</v>
      </c>
      <c r="O5" s="17" t="e">
        <f>P5*SUMIFS($P:$P,$F:$F,M5,$G:$G,N5)/#REF!</f>
        <v>#REF!</v>
      </c>
      <c r="P5" s="8">
        <v>1</v>
      </c>
      <c r="R5" s="17" t="str">
        <v>Corporate</v>
      </c>
      <c r="S5" s="3" t="e">
        <f t="shared" si="2"/>
        <v>#REF!</v>
      </c>
      <c r="U5" s="17" t="str">
        <v>CF</v>
      </c>
      <c r="V5" s="3" t="e">
        <f t="shared" si="3"/>
        <v>#REF!</v>
      </c>
      <c r="W5" s="17" t="str">
        <f t="shared" si="4"/>
        <v>Corporate</v>
      </c>
      <c r="Y5" t="s">
        <v>65</v>
      </c>
      <c r="Z5" t="s">
        <v>5</v>
      </c>
      <c r="AC5" s="22" t="s">
        <v>109</v>
      </c>
      <c r="AD5" t="str" cm="1">
        <f t="array" ref="AD5:AE5">_xlfn.TEXTSPLIT(AC5,"&gt;",)</f>
        <v xml:space="preserve"> IDEA </v>
      </c>
      <c r="AE5" t="str">
        <v xml:space="preserve"> In Definition</v>
      </c>
    </row>
    <row r="6" spans="1:31" x14ac:dyDescent="0.2">
      <c r="B6" s="2"/>
      <c r="F6" t="s">
        <v>10</v>
      </c>
      <c r="G6" t="s">
        <v>8</v>
      </c>
      <c r="H6">
        <v>20</v>
      </c>
      <c r="I6" s="16">
        <f t="shared" si="0"/>
        <v>100</v>
      </c>
      <c r="K6">
        <v>4</v>
      </c>
      <c r="L6" t="s">
        <v>9</v>
      </c>
      <c r="M6" t="s">
        <v>4</v>
      </c>
      <c r="N6" s="17" t="str">
        <f t="shared" si="1"/>
        <v>Technology</v>
      </c>
      <c r="O6" s="17" t="e">
        <f>P6*SUMIFS($P:$P,$F:$F,M6,$G:$G,N6)/#REF!</f>
        <v>#REF!</v>
      </c>
      <c r="P6" s="8">
        <v>1</v>
      </c>
      <c r="R6" s="17" t="str">
        <v>Technology</v>
      </c>
      <c r="S6" s="3" t="e">
        <f t="shared" si="2"/>
        <v>#REF!</v>
      </c>
      <c r="U6" s="17" t="str">
        <v>SI</v>
      </c>
      <c r="V6" s="3" t="e">
        <f t="shared" si="3"/>
        <v>#REF!</v>
      </c>
      <c r="W6" s="17" t="str">
        <f t="shared" si="4"/>
        <v>Technology</v>
      </c>
      <c r="Y6" t="s">
        <v>38</v>
      </c>
      <c r="Z6" t="s">
        <v>5</v>
      </c>
      <c r="AC6" s="22" t="s">
        <v>110</v>
      </c>
      <c r="AD6" t="str" cm="1">
        <f t="array" ref="AD6:AE6">_xlfn.TEXTSPLIT(AC6,"&gt;",)</f>
        <v xml:space="preserve"> SOLUTION </v>
      </c>
      <c r="AE6" t="str">
        <v xml:space="preserve"> In Approval</v>
      </c>
    </row>
    <row r="7" spans="1:31" x14ac:dyDescent="0.2">
      <c r="B7" s="2"/>
      <c r="F7" t="s">
        <v>10</v>
      </c>
      <c r="G7" t="s">
        <v>74</v>
      </c>
      <c r="H7">
        <v>5</v>
      </c>
      <c r="I7" s="16">
        <f t="shared" si="0"/>
        <v>100</v>
      </c>
      <c r="K7">
        <v>5</v>
      </c>
      <c r="L7" t="s">
        <v>11</v>
      </c>
      <c r="M7" t="s">
        <v>4</v>
      </c>
      <c r="N7" s="17" t="str">
        <f t="shared" si="1"/>
        <v>CISO</v>
      </c>
      <c r="O7" s="17" t="e">
        <f>P7*SUMIFS($P:$P,$F:$F,M7,$G:$G,N7)/#REF!</f>
        <v>#REF!</v>
      </c>
      <c r="P7" s="8">
        <v>1</v>
      </c>
      <c r="R7" s="17" t="str">
        <v>CISO</v>
      </c>
      <c r="S7" s="3" t="e">
        <f t="shared" si="2"/>
        <v>#REF!</v>
      </c>
      <c r="U7" s="17" t="str">
        <v>CISO</v>
      </c>
      <c r="V7" s="3" t="e">
        <f t="shared" si="3"/>
        <v>#REF!</v>
      </c>
      <c r="W7" s="17" t="str">
        <f t="shared" si="4"/>
        <v>CISO</v>
      </c>
      <c r="Y7" t="s">
        <v>39</v>
      </c>
      <c r="Z7" t="s">
        <v>5</v>
      </c>
      <c r="AC7" s="22" t="s">
        <v>111</v>
      </c>
      <c r="AD7" t="str" cm="1">
        <f t="array" ref="AD7:AE7">_xlfn.TEXTSPLIT(AC7,"&gt;",)</f>
        <v xml:space="preserve"> SOLUTION </v>
      </c>
      <c r="AE7" t="str">
        <v xml:space="preserve"> Ready for Approval</v>
      </c>
    </row>
    <row r="8" spans="1:31" x14ac:dyDescent="0.2">
      <c r="B8" s="2"/>
      <c r="F8" s="23" t="s">
        <v>10</v>
      </c>
      <c r="G8" s="23" t="s">
        <v>11</v>
      </c>
      <c r="H8">
        <v>5</v>
      </c>
      <c r="I8" s="16">
        <f t="shared" si="0"/>
        <v>100</v>
      </c>
      <c r="K8">
        <v>6</v>
      </c>
      <c r="L8" t="s">
        <v>116</v>
      </c>
      <c r="M8" t="s">
        <v>4</v>
      </c>
      <c r="N8" s="17" t="str">
        <f t="shared" si="1"/>
        <v>Data &amp; AI</v>
      </c>
      <c r="O8" s="17" t="e">
        <f>P8*SUMIFS($P:$P,$F:$F,M8,$G:$G,N8)/#REF!</f>
        <v>#REF!</v>
      </c>
      <c r="P8" s="8">
        <v>1</v>
      </c>
      <c r="R8" s="17" t="str">
        <v>Data &amp; AI</v>
      </c>
      <c r="S8" s="3" t="e">
        <f t="shared" si="2"/>
        <v>#REF!</v>
      </c>
      <c r="U8" s="17" t="str">
        <v>IAD</v>
      </c>
      <c r="V8" s="3" t="e">
        <f t="shared" si="3"/>
        <v>#REF!</v>
      </c>
      <c r="W8" s="17" t="str">
        <f t="shared" si="4"/>
        <v>Data &amp; AI</v>
      </c>
      <c r="Y8" t="s">
        <v>36</v>
      </c>
      <c r="Z8" t="s">
        <v>5</v>
      </c>
      <c r="AC8" s="22" t="s">
        <v>112</v>
      </c>
      <c r="AD8" t="str" cm="1">
        <f t="array" ref="AD8:AE8">_xlfn.TEXTSPLIT(AC8,"&gt;",)</f>
        <v xml:space="preserve"> IDEA </v>
      </c>
      <c r="AE8" t="str">
        <v xml:space="preserve"> Ready for Solution</v>
      </c>
    </row>
    <row r="9" spans="1:31" x14ac:dyDescent="0.2">
      <c r="B9" s="13"/>
      <c r="C9" s="14"/>
      <c r="F9" t="s">
        <v>15</v>
      </c>
      <c r="G9" t="s">
        <v>5</v>
      </c>
      <c r="H9">
        <v>25</v>
      </c>
      <c r="I9" s="16">
        <f t="shared" si="0"/>
        <v>100</v>
      </c>
      <c r="K9">
        <v>7</v>
      </c>
      <c r="L9" t="s">
        <v>37</v>
      </c>
      <c r="M9" t="s">
        <v>4</v>
      </c>
      <c r="N9" s="17" t="str">
        <f t="shared" si="1"/>
        <v>Commercial</v>
      </c>
      <c r="O9" s="17" t="e">
        <f>P9*SUMIFS($P:$P,$F:$F,M9,$G:$G,N9)/#REF!</f>
        <v>#REF!</v>
      </c>
      <c r="P9" s="8">
        <v>1</v>
      </c>
      <c r="R9">
        <v>0</v>
      </c>
      <c r="S9" s="3">
        <f t="shared" si="2"/>
        <v>0</v>
      </c>
      <c r="U9" s="17" t="str">
        <v>GS</v>
      </c>
      <c r="V9" s="3" t="e">
        <f t="shared" si="3"/>
        <v>#REF!</v>
      </c>
      <c r="W9" s="17" t="str">
        <f t="shared" si="4"/>
        <v>Commercial</v>
      </c>
      <c r="Y9" t="s">
        <v>40</v>
      </c>
      <c r="Z9" t="s">
        <v>5</v>
      </c>
      <c r="AC9" s="22" t="s">
        <v>113</v>
      </c>
      <c r="AD9" t="str" cm="1">
        <f t="array" ref="AD9:AE9">_xlfn.TEXTSPLIT(AC9,"&gt;",)</f>
        <v xml:space="preserve"> SOLUTION </v>
      </c>
      <c r="AE9" t="str">
        <v xml:space="preserve"> High Level Design</v>
      </c>
    </row>
    <row r="10" spans="1:31" x14ac:dyDescent="0.2">
      <c r="F10" t="s">
        <v>15</v>
      </c>
      <c r="G10" t="s">
        <v>6</v>
      </c>
      <c r="H10">
        <v>25</v>
      </c>
      <c r="I10" s="16">
        <f t="shared" si="0"/>
        <v>100</v>
      </c>
      <c r="K10">
        <v>8</v>
      </c>
      <c r="L10" t="s">
        <v>44</v>
      </c>
      <c r="M10" t="s">
        <v>4</v>
      </c>
      <c r="N10" s="17" t="str">
        <f t="shared" si="1"/>
        <v>Corporate</v>
      </c>
      <c r="O10" s="17" t="e">
        <f>P10*SUMIFS($P:$P,$F:$F,M10,$G:$G,N10)/#REF!</f>
        <v>#REF!</v>
      </c>
      <c r="P10" s="8">
        <v>1</v>
      </c>
      <c r="S10" s="3">
        <f t="shared" si="2"/>
        <v>0</v>
      </c>
      <c r="U10" s="17" t="str">
        <v>ACR</v>
      </c>
      <c r="V10" s="3" t="e">
        <f t="shared" si="3"/>
        <v>#REF!</v>
      </c>
      <c r="W10" s="17" t="str">
        <f t="shared" si="4"/>
        <v>Corporate</v>
      </c>
      <c r="Y10" t="s">
        <v>21</v>
      </c>
      <c r="Z10" t="s">
        <v>5</v>
      </c>
      <c r="AC10" s="22" t="s">
        <v>114</v>
      </c>
      <c r="AD10" t="str" cm="1">
        <f t="array" ref="AD10:AE10">_xlfn.TEXTSPLIT(AC10,"&gt;",)</f>
        <v xml:space="preserve"> SOLUTION </v>
      </c>
      <c r="AE10" t="str">
        <v xml:space="preserve"> Ready for Development</v>
      </c>
    </row>
    <row r="11" spans="1:31" x14ac:dyDescent="0.2">
      <c r="F11" t="s">
        <v>15</v>
      </c>
      <c r="G11" t="s">
        <v>12</v>
      </c>
      <c r="H11">
        <v>20</v>
      </c>
      <c r="I11" s="16">
        <f t="shared" si="0"/>
        <v>100</v>
      </c>
      <c r="K11">
        <v>9</v>
      </c>
      <c r="L11" t="s">
        <v>7</v>
      </c>
      <c r="M11" t="s">
        <v>4</v>
      </c>
      <c r="N11" s="17" t="str">
        <f t="shared" si="1"/>
        <v>Operations</v>
      </c>
      <c r="O11" s="17" t="e">
        <f>P11*SUMIFS($P:$P,$F:$F,M11,$G:$G,N11)/#REF!</f>
        <v>#REF!</v>
      </c>
      <c r="P11" s="8">
        <v>1</v>
      </c>
      <c r="S11" s="3">
        <f t="shared" si="2"/>
        <v>0</v>
      </c>
      <c r="U11" s="17" t="str">
        <v>EDO</v>
      </c>
      <c r="V11" s="3" t="e">
        <f t="shared" si="3"/>
        <v>#REF!</v>
      </c>
      <c r="W11" s="17" t="str">
        <f t="shared" si="4"/>
        <v>Operations</v>
      </c>
      <c r="Y11" t="s">
        <v>25</v>
      </c>
      <c r="Z11" t="s">
        <v>5</v>
      </c>
      <c r="AC11" s="22" t="s">
        <v>115</v>
      </c>
      <c r="AD11" t="str" cm="1">
        <f t="array" ref="AD11:AE11">_xlfn.TEXTSPLIT(AC11,"&gt;",)</f>
        <v xml:space="preserve"> SOLUTION </v>
      </c>
      <c r="AE11" t="str">
        <v xml:space="preserve"> In Definition</v>
      </c>
    </row>
    <row r="12" spans="1:31" x14ac:dyDescent="0.2">
      <c r="F12" t="s">
        <v>15</v>
      </c>
      <c r="G12" t="s">
        <v>8</v>
      </c>
      <c r="H12">
        <v>20</v>
      </c>
      <c r="I12" s="16">
        <f t="shared" si="0"/>
        <v>100</v>
      </c>
      <c r="K12">
        <v>10</v>
      </c>
      <c r="L12" t="s">
        <v>59</v>
      </c>
      <c r="M12" t="s">
        <v>4</v>
      </c>
      <c r="N12" s="17" t="str">
        <f t="shared" si="1"/>
        <v>Technology</v>
      </c>
      <c r="O12" s="17" t="e">
        <f>P12*SUMIFS($P:$P,$F:$F,M12,$G:$G,N12)/#REF!</f>
        <v>#REF!</v>
      </c>
      <c r="P12" s="8">
        <v>1</v>
      </c>
      <c r="S12" s="3">
        <f t="shared" si="2"/>
        <v>0</v>
      </c>
      <c r="U12" s="17" t="str">
        <v>SI-OPS</v>
      </c>
      <c r="V12" s="3" t="e">
        <f t="shared" si="3"/>
        <v>#REF!</v>
      </c>
      <c r="W12" s="17" t="str">
        <f t="shared" si="4"/>
        <v>Technology</v>
      </c>
      <c r="Y12" t="s">
        <v>23</v>
      </c>
      <c r="Z12" t="s">
        <v>5</v>
      </c>
    </row>
    <row r="13" spans="1:31" x14ac:dyDescent="0.2">
      <c r="F13" t="s">
        <v>15</v>
      </c>
      <c r="G13" t="s">
        <v>74</v>
      </c>
      <c r="H13">
        <v>5</v>
      </c>
      <c r="I13" s="16">
        <f t="shared" si="0"/>
        <v>100</v>
      </c>
      <c r="K13">
        <v>11</v>
      </c>
      <c r="L13" t="s">
        <v>36</v>
      </c>
      <c r="M13" t="s">
        <v>4</v>
      </c>
      <c r="N13" s="17" t="str">
        <f t="shared" si="1"/>
        <v>Commercial</v>
      </c>
      <c r="O13" s="17" t="e">
        <f>P13*SUMIFS($P:$P,$F:$F,M13,$G:$G,N13)/#REF!</f>
        <v>#REF!</v>
      </c>
      <c r="P13" s="8">
        <v>1</v>
      </c>
      <c r="S13" s="3">
        <f t="shared" si="2"/>
        <v>0</v>
      </c>
      <c r="U13" s="17" t="str">
        <v>DNI</v>
      </c>
      <c r="V13" s="3" t="e">
        <f t="shared" si="3"/>
        <v>#REF!</v>
      </c>
      <c r="W13" s="17" t="str">
        <f t="shared" si="4"/>
        <v>Commercial</v>
      </c>
      <c r="Y13" t="s">
        <v>24</v>
      </c>
      <c r="Z13" t="s">
        <v>5</v>
      </c>
    </row>
    <row r="14" spans="1:31" x14ac:dyDescent="0.2">
      <c r="F14" s="23" t="s">
        <v>15</v>
      </c>
      <c r="G14" s="23" t="s">
        <v>11</v>
      </c>
      <c r="H14">
        <v>5</v>
      </c>
      <c r="I14" s="16">
        <f t="shared" si="0"/>
        <v>100</v>
      </c>
      <c r="K14">
        <v>12</v>
      </c>
      <c r="L14" t="s">
        <v>46</v>
      </c>
      <c r="M14" t="s">
        <v>4</v>
      </c>
      <c r="N14" s="17" t="str">
        <f t="shared" si="1"/>
        <v>Corporate</v>
      </c>
      <c r="O14" s="17" t="e">
        <f>P14*SUMIFS($P:$P,$F:$F,M14,$G:$G,N14)/#REF!</f>
        <v>#REF!</v>
      </c>
      <c r="P14" s="8">
        <v>1</v>
      </c>
      <c r="S14" s="3">
        <f t="shared" si="2"/>
        <v>0</v>
      </c>
      <c r="U14" s="17" t="str">
        <v>AVC</v>
      </c>
      <c r="V14" s="3" t="e">
        <f t="shared" si="3"/>
        <v>#REF!</v>
      </c>
      <c r="W14" s="17" t="str">
        <f t="shared" si="4"/>
        <v>Corporate</v>
      </c>
      <c r="Y14" t="s">
        <v>37</v>
      </c>
      <c r="Z14" t="s">
        <v>5</v>
      </c>
    </row>
    <row r="15" spans="1:31" x14ac:dyDescent="0.2">
      <c r="F15" s="24" t="s">
        <v>4</v>
      </c>
      <c r="G15" s="24" t="s">
        <v>5</v>
      </c>
      <c r="H15">
        <v>25</v>
      </c>
      <c r="I15" s="16">
        <f t="shared" si="0"/>
        <v>100</v>
      </c>
      <c r="K15">
        <v>13</v>
      </c>
      <c r="L15" t="s">
        <v>42</v>
      </c>
      <c r="M15" t="s">
        <v>4</v>
      </c>
      <c r="N15" s="17" t="str">
        <f t="shared" si="1"/>
        <v>Operations</v>
      </c>
      <c r="O15" s="17" t="e">
        <f>P15*SUMIFS($P:$P,$F:$F,M15,$G:$G,N15)/#REF!</f>
        <v>#REF!</v>
      </c>
      <c r="P15" s="8">
        <v>1</v>
      </c>
      <c r="S15" s="7"/>
      <c r="U15" s="17" t="str">
        <v>EM</v>
      </c>
      <c r="V15" s="3" t="e">
        <f t="shared" si="3"/>
        <v>#REF!</v>
      </c>
      <c r="W15" s="17" t="str">
        <f t="shared" si="4"/>
        <v>Operations</v>
      </c>
      <c r="Y15" t="s">
        <v>68</v>
      </c>
      <c r="Z15" t="s">
        <v>5</v>
      </c>
    </row>
    <row r="16" spans="1:31" x14ac:dyDescent="0.2">
      <c r="F16" t="s">
        <v>4</v>
      </c>
      <c r="G16" t="s">
        <v>6</v>
      </c>
      <c r="H16">
        <v>25</v>
      </c>
      <c r="I16" s="16">
        <f t="shared" si="0"/>
        <v>100</v>
      </c>
      <c r="K16">
        <v>14</v>
      </c>
      <c r="L16" t="s">
        <v>58</v>
      </c>
      <c r="M16" t="s">
        <v>4</v>
      </c>
      <c r="N16" s="17" t="str">
        <f t="shared" si="1"/>
        <v>Technology</v>
      </c>
      <c r="O16" s="17" t="e">
        <f>P16*SUMIFS($P:$P,$F:$F,M16,$G:$G,N16)/#REF!</f>
        <v>#REF!</v>
      </c>
      <c r="P16" s="8">
        <v>1</v>
      </c>
      <c r="S16" s="7"/>
      <c r="U16" s="17" t="str">
        <v>SI-PRD</v>
      </c>
      <c r="V16" s="3" t="e">
        <f t="shared" si="3"/>
        <v>#REF!</v>
      </c>
      <c r="W16" s="17" t="str">
        <f t="shared" si="4"/>
        <v>Technology</v>
      </c>
      <c r="Y16" t="s">
        <v>44</v>
      </c>
      <c r="Z16" t="s">
        <v>12</v>
      </c>
    </row>
    <row r="17" spans="2:26" x14ac:dyDescent="0.2">
      <c r="F17" t="s">
        <v>4</v>
      </c>
      <c r="G17" t="s">
        <v>12</v>
      </c>
      <c r="H17">
        <v>20</v>
      </c>
      <c r="I17" s="16">
        <f t="shared" si="0"/>
        <v>100</v>
      </c>
      <c r="K17">
        <v>15</v>
      </c>
      <c r="L17" t="s">
        <v>38</v>
      </c>
      <c r="M17" t="s">
        <v>4</v>
      </c>
      <c r="N17" s="17" t="str">
        <f t="shared" si="1"/>
        <v>Commercial</v>
      </c>
      <c r="O17" s="17" t="e">
        <f>P17*SUMIFS($P:$P,$F:$F,M17,$G:$G,N17)/#REF!</f>
        <v>#REF!</v>
      </c>
      <c r="P17" s="8">
        <v>1</v>
      </c>
      <c r="S17" s="7"/>
      <c r="U17" s="17" t="str">
        <v>CSI</v>
      </c>
      <c r="V17" s="3" t="e">
        <f t="shared" si="3"/>
        <v>#REF!</v>
      </c>
      <c r="W17" s="17" t="str">
        <f t="shared" si="4"/>
        <v>Commercial</v>
      </c>
      <c r="Y17" t="s">
        <v>67</v>
      </c>
      <c r="Z17" t="s">
        <v>12</v>
      </c>
    </row>
    <row r="18" spans="2:26" x14ac:dyDescent="0.2">
      <c r="B18" s="34"/>
      <c r="F18" t="s">
        <v>4</v>
      </c>
      <c r="G18" t="s">
        <v>8</v>
      </c>
      <c r="H18">
        <v>20</v>
      </c>
      <c r="I18" s="16">
        <f t="shared" si="0"/>
        <v>100</v>
      </c>
      <c r="K18">
        <v>16</v>
      </c>
      <c r="L18" t="s">
        <v>47</v>
      </c>
      <c r="M18" t="s">
        <v>4</v>
      </c>
      <c r="N18" s="17" t="str">
        <f t="shared" si="1"/>
        <v>Corporate</v>
      </c>
      <c r="O18" s="17" t="e">
        <f>P18*SUMIFS($P:$P,$F:$F,M18,$G:$G,N18)/#REF!</f>
        <v>#REF!</v>
      </c>
      <c r="P18" s="8">
        <v>1</v>
      </c>
      <c r="S18" s="7"/>
      <c r="U18" s="17" t="str">
        <v>GT</v>
      </c>
      <c r="V18" s="3" t="e">
        <f t="shared" si="3"/>
        <v>#REF!</v>
      </c>
      <c r="W18" s="17" t="str">
        <f t="shared" si="4"/>
        <v>Corporate</v>
      </c>
      <c r="Y18" t="s">
        <v>46</v>
      </c>
      <c r="Z18" t="s">
        <v>12</v>
      </c>
    </row>
    <row r="19" spans="2:26" x14ac:dyDescent="0.2">
      <c r="F19" t="s">
        <v>4</v>
      </c>
      <c r="G19" t="s">
        <v>74</v>
      </c>
      <c r="H19">
        <v>5</v>
      </c>
      <c r="I19" s="16">
        <f t="shared" si="0"/>
        <v>100</v>
      </c>
      <c r="K19">
        <v>17</v>
      </c>
      <c r="L19" t="s">
        <v>34</v>
      </c>
      <c r="M19" t="s">
        <v>4</v>
      </c>
      <c r="N19" s="17" t="str">
        <f t="shared" si="1"/>
        <v>Technology</v>
      </c>
      <c r="O19" s="17" t="e">
        <f>P19*SUMIFS($P:$P,$F:$F,M19,$G:$G,N19)/#REF!</f>
        <v>#REF!</v>
      </c>
      <c r="P19" s="8">
        <v>1</v>
      </c>
      <c r="S19" s="7"/>
      <c r="U19" s="17" t="str">
        <v>BCTT</v>
      </c>
      <c r="V19" s="3" t="e">
        <f t="shared" si="3"/>
        <v>#REF!</v>
      </c>
      <c r="W19" s="17" t="str">
        <f t="shared" si="4"/>
        <v>Technology</v>
      </c>
      <c r="Y19" t="s">
        <v>22</v>
      </c>
      <c r="Z19" t="s">
        <v>12</v>
      </c>
    </row>
    <row r="20" spans="2:26" x14ac:dyDescent="0.2">
      <c r="F20" s="23" t="s">
        <v>4</v>
      </c>
      <c r="G20" s="23" t="s">
        <v>11</v>
      </c>
      <c r="H20">
        <v>5</v>
      </c>
      <c r="I20" s="16">
        <f t="shared" si="0"/>
        <v>100</v>
      </c>
      <c r="K20">
        <v>18</v>
      </c>
      <c r="L20" t="s">
        <v>25</v>
      </c>
      <c r="M20" t="s">
        <v>4</v>
      </c>
      <c r="N20" s="17" t="str">
        <f t="shared" si="1"/>
        <v>Commercial</v>
      </c>
      <c r="O20" s="17" t="e">
        <f>P20*SUMIFS($P:$P,$F:$F,M20,$G:$G,N20)/#REF!</f>
        <v>#REF!</v>
      </c>
      <c r="P20" s="8">
        <v>1</v>
      </c>
      <c r="S20" s="7"/>
      <c r="U20" s="17" t="str">
        <v>GP B2C</v>
      </c>
      <c r="V20" s="3" t="e">
        <f t="shared" si="3"/>
        <v>#REF!</v>
      </c>
      <c r="W20" s="17" t="str">
        <f t="shared" si="4"/>
        <v>Commercial</v>
      </c>
      <c r="Y20" t="s">
        <v>69</v>
      </c>
      <c r="Z20" t="s">
        <v>12</v>
      </c>
    </row>
    <row r="21" spans="2:26" x14ac:dyDescent="0.2">
      <c r="F21" s="24" t="s">
        <v>17</v>
      </c>
      <c r="G21" s="24" t="s">
        <v>5</v>
      </c>
      <c r="H21">
        <v>25</v>
      </c>
      <c r="I21" s="16">
        <f t="shared" si="0"/>
        <v>100</v>
      </c>
      <c r="K21">
        <v>19</v>
      </c>
      <c r="L21" t="s">
        <v>35</v>
      </c>
      <c r="M21" t="s">
        <v>4</v>
      </c>
      <c r="N21" s="17" t="str">
        <f t="shared" si="1"/>
        <v>Corporate</v>
      </c>
      <c r="O21" s="17" t="e">
        <f>P21*SUMIFS($P:$P,$F:$F,M21,$G:$G,N21)/#REF!</f>
        <v>#REF!</v>
      </c>
      <c r="P21" s="8">
        <v>1</v>
      </c>
      <c r="S21" s="7"/>
      <c r="U21" s="17" t="str">
        <v>GRH</v>
      </c>
      <c r="V21" s="3" t="e">
        <f t="shared" si="3"/>
        <v>#REF!</v>
      </c>
      <c r="W21" s="17" t="str">
        <f t="shared" si="4"/>
        <v>Corporate</v>
      </c>
      <c r="Y21" t="s">
        <v>72</v>
      </c>
      <c r="Z21" t="s">
        <v>12</v>
      </c>
    </row>
    <row r="22" spans="2:26" x14ac:dyDescent="0.2">
      <c r="F22" t="s">
        <v>17</v>
      </c>
      <c r="G22" t="s">
        <v>6</v>
      </c>
      <c r="H22">
        <v>25</v>
      </c>
      <c r="I22" s="16">
        <f t="shared" si="0"/>
        <v>100</v>
      </c>
      <c r="K22">
        <v>20</v>
      </c>
      <c r="L22" t="s">
        <v>60</v>
      </c>
      <c r="M22" t="s">
        <v>4</v>
      </c>
      <c r="N22" s="17" t="str">
        <f t="shared" si="1"/>
        <v>Technology</v>
      </c>
      <c r="O22" s="17" t="e">
        <f>P22*SUMIFS($P:$P,$F:$F,M22,$G:$G,N22)/#REF!</f>
        <v>#REF!</v>
      </c>
      <c r="P22" s="8">
        <v>1</v>
      </c>
      <c r="S22" s="7"/>
      <c r="U22" s="17" t="str">
        <v>SI-CRP</v>
      </c>
      <c r="V22" s="3" t="e">
        <f t="shared" si="3"/>
        <v>#REF!</v>
      </c>
      <c r="W22" s="17" t="str">
        <f t="shared" si="4"/>
        <v>Technology</v>
      </c>
      <c r="Y22" t="s">
        <v>48</v>
      </c>
      <c r="Z22" t="s">
        <v>12</v>
      </c>
    </row>
    <row r="23" spans="2:26" x14ac:dyDescent="0.2">
      <c r="F23" t="s">
        <v>17</v>
      </c>
      <c r="G23" t="s">
        <v>12</v>
      </c>
      <c r="H23">
        <v>20</v>
      </c>
      <c r="I23" s="16">
        <f t="shared" si="0"/>
        <v>100</v>
      </c>
      <c r="K23">
        <v>21</v>
      </c>
      <c r="L23" t="s">
        <v>23</v>
      </c>
      <c r="M23" t="s">
        <v>4</v>
      </c>
      <c r="N23" s="17" t="str">
        <f t="shared" si="1"/>
        <v>Commercial</v>
      </c>
      <c r="O23" s="17" t="e">
        <f>P23*SUMIFS($P:$P,$F:$F,M23,$G:$G,N23)/#REF!</f>
        <v>#REF!</v>
      </c>
      <c r="P23" s="8">
        <v>1</v>
      </c>
      <c r="S23" s="7"/>
      <c r="U23" s="17" t="str">
        <v>GP ECL</v>
      </c>
      <c r="V23" s="3" t="e">
        <f t="shared" si="3"/>
        <v>#REF!</v>
      </c>
      <c r="W23" s="17" t="str">
        <f t="shared" si="4"/>
        <v>Commercial</v>
      </c>
      <c r="Y23" t="s">
        <v>50</v>
      </c>
      <c r="Z23" t="s">
        <v>12</v>
      </c>
    </row>
    <row r="24" spans="2:26" x14ac:dyDescent="0.2">
      <c r="F24" t="s">
        <v>17</v>
      </c>
      <c r="G24" t="s">
        <v>8</v>
      </c>
      <c r="H24">
        <v>20</v>
      </c>
      <c r="I24" s="16">
        <f t="shared" si="0"/>
        <v>100</v>
      </c>
      <c r="K24">
        <v>22</v>
      </c>
      <c r="L24" t="s">
        <v>98</v>
      </c>
      <c r="M24" t="s">
        <v>4</v>
      </c>
      <c r="N24" s="17" t="str">
        <f t="shared" si="1"/>
        <v>Corporate</v>
      </c>
      <c r="O24" s="17" t="e">
        <f>P24*SUMIFS($P:$P,$F:$F,M24,$G:$G,N24)/#REF!</f>
        <v>#REF!</v>
      </c>
      <c r="P24" s="8">
        <v>1</v>
      </c>
      <c r="S24" s="7"/>
      <c r="U24" s="17" t="str">
        <v>PC</v>
      </c>
      <c r="V24" s="3" t="e">
        <f t="shared" si="3"/>
        <v>#REF!</v>
      </c>
      <c r="W24" s="17" t="str">
        <f t="shared" si="4"/>
        <v>Corporate</v>
      </c>
      <c r="Y24" t="s">
        <v>73</v>
      </c>
      <c r="Z24" t="s">
        <v>12</v>
      </c>
    </row>
    <row r="25" spans="2:26" x14ac:dyDescent="0.2">
      <c r="F25" t="s">
        <v>17</v>
      </c>
      <c r="G25" t="s">
        <v>74</v>
      </c>
      <c r="H25">
        <v>5</v>
      </c>
      <c r="I25" s="16">
        <f t="shared" si="0"/>
        <v>100</v>
      </c>
      <c r="K25">
        <v>23</v>
      </c>
      <c r="L25" t="s">
        <v>24</v>
      </c>
      <c r="M25" t="s">
        <v>4</v>
      </c>
      <c r="N25" s="17" t="str">
        <f t="shared" si="1"/>
        <v>Commercial</v>
      </c>
      <c r="O25" s="17" t="e">
        <f>P25*SUMIFS($P:$P,$F:$F,M25,$G:$G,N25)/#REF!</f>
        <v>#REF!</v>
      </c>
      <c r="P25" s="8">
        <v>1</v>
      </c>
      <c r="S25" s="7"/>
      <c r="U25" s="17" t="str">
        <v>GPG</v>
      </c>
      <c r="V25" s="3" t="e">
        <f t="shared" si="3"/>
        <v>#REF!</v>
      </c>
      <c r="W25" s="17" t="str">
        <f t="shared" si="4"/>
        <v>Commercial</v>
      </c>
      <c r="Y25" t="s">
        <v>54</v>
      </c>
      <c r="Z25" t="s">
        <v>12</v>
      </c>
    </row>
    <row r="26" spans="2:26" x14ac:dyDescent="0.2">
      <c r="F26" s="23" t="s">
        <v>17</v>
      </c>
      <c r="G26" s="23" t="s">
        <v>11</v>
      </c>
      <c r="H26">
        <v>5</v>
      </c>
      <c r="I26" s="16">
        <f t="shared" si="0"/>
        <v>100</v>
      </c>
      <c r="K26">
        <v>24</v>
      </c>
      <c r="L26" t="s">
        <v>45</v>
      </c>
      <c r="M26" t="s">
        <v>4</v>
      </c>
      <c r="N26" s="17" t="str">
        <f t="shared" si="1"/>
        <v>Corporate</v>
      </c>
      <c r="O26" s="17" t="e">
        <f>P26*SUMIFS($P:$P,$F:$F,M26,$G:$G,N26)/#REF!</f>
        <v>#REF!</v>
      </c>
      <c r="P26" s="8">
        <v>1</v>
      </c>
      <c r="S26" s="7"/>
      <c r="U26" s="17" t="str">
        <v>RS</v>
      </c>
      <c r="V26" s="3" t="e">
        <f t="shared" si="3"/>
        <v>#REF!</v>
      </c>
      <c r="W26" s="17" t="str">
        <f t="shared" si="4"/>
        <v>Corporate</v>
      </c>
      <c r="Y26" t="s">
        <v>56</v>
      </c>
      <c r="Z26" t="s">
        <v>12</v>
      </c>
    </row>
    <row r="27" spans="2:26" x14ac:dyDescent="0.2">
      <c r="F27" s="24" t="s">
        <v>16</v>
      </c>
      <c r="G27" s="24" t="s">
        <v>5</v>
      </c>
      <c r="H27">
        <v>25</v>
      </c>
      <c r="I27" s="16">
        <f t="shared" si="0"/>
        <v>100</v>
      </c>
      <c r="K27">
        <v>25</v>
      </c>
      <c r="L27" t="s">
        <v>40</v>
      </c>
      <c r="M27" t="s">
        <v>4</v>
      </c>
      <c r="N27" s="17" t="str">
        <f t="shared" si="1"/>
        <v>Commercial</v>
      </c>
      <c r="O27" s="17" t="e">
        <f>P27*SUMIFS($P:$P,$F:$F,M27,$G:$G,N27)/#REF!</f>
        <v>#REF!</v>
      </c>
      <c r="P27" s="8">
        <v>1</v>
      </c>
      <c r="S27" s="7"/>
      <c r="U27" s="17" t="str">
        <v>ECM</v>
      </c>
      <c r="V27" s="3" t="e">
        <f t="shared" si="3"/>
        <v>#REF!</v>
      </c>
      <c r="W27" s="17" t="str">
        <f t="shared" si="4"/>
        <v>Commercial</v>
      </c>
      <c r="Y27" t="s">
        <v>35</v>
      </c>
      <c r="Z27" t="s">
        <v>12</v>
      </c>
    </row>
    <row r="28" spans="2:26" x14ac:dyDescent="0.2">
      <c r="F28" t="s">
        <v>16</v>
      </c>
      <c r="G28" t="s">
        <v>6</v>
      </c>
      <c r="H28">
        <v>25</v>
      </c>
      <c r="I28" s="16">
        <f t="shared" si="0"/>
        <v>100</v>
      </c>
      <c r="K28">
        <v>26</v>
      </c>
      <c r="L28" t="s">
        <v>48</v>
      </c>
      <c r="M28" t="s">
        <v>4</v>
      </c>
      <c r="N28" s="17" t="str">
        <f t="shared" si="1"/>
        <v>Corporate</v>
      </c>
      <c r="O28" s="17" t="e">
        <f>P28*SUMIFS($P:$P,$F:$F,M28,$G:$G,N28)/#REF!</f>
        <v>#REF!</v>
      </c>
      <c r="P28" s="8">
        <v>1</v>
      </c>
      <c r="S28" s="7"/>
      <c r="U28" s="17" t="str">
        <v>CL</v>
      </c>
      <c r="V28" s="3" t="e">
        <f t="shared" si="3"/>
        <v>#REF!</v>
      </c>
      <c r="W28" s="17" t="str">
        <f t="shared" si="4"/>
        <v>Corporate</v>
      </c>
      <c r="Y28" t="s">
        <v>47</v>
      </c>
      <c r="Z28" t="s">
        <v>12</v>
      </c>
    </row>
    <row r="29" spans="2:26" x14ac:dyDescent="0.2">
      <c r="F29" t="s">
        <v>16</v>
      </c>
      <c r="G29" t="s">
        <v>12</v>
      </c>
      <c r="H29">
        <v>20</v>
      </c>
      <c r="I29" s="16">
        <f t="shared" si="0"/>
        <v>100</v>
      </c>
      <c r="K29">
        <v>27</v>
      </c>
      <c r="L29" t="s">
        <v>39</v>
      </c>
      <c r="M29" t="s">
        <v>4</v>
      </c>
      <c r="N29" s="17" t="str">
        <f t="shared" si="1"/>
        <v>Commercial</v>
      </c>
      <c r="O29" s="17" t="e">
        <f>P29*SUMIFS($P:$P,$F:$F,M29,$G:$G,N29)/#REF!</f>
        <v>#REF!</v>
      </c>
      <c r="P29" s="8">
        <v>1</v>
      </c>
      <c r="S29" s="7"/>
      <c r="U29" s="17" t="str">
        <v>CTTE</v>
      </c>
      <c r="V29" s="3" t="e">
        <f t="shared" si="3"/>
        <v>#REF!</v>
      </c>
      <c r="W29" s="17" t="str">
        <f t="shared" si="4"/>
        <v>Commercial</v>
      </c>
      <c r="Y29" t="s">
        <v>98</v>
      </c>
      <c r="Z29" t="s">
        <v>12</v>
      </c>
    </row>
    <row r="30" spans="2:26" x14ac:dyDescent="0.2">
      <c r="F30" t="s">
        <v>16</v>
      </c>
      <c r="G30" t="s">
        <v>8</v>
      </c>
      <c r="H30">
        <v>20</v>
      </c>
      <c r="I30" s="16">
        <f t="shared" si="0"/>
        <v>100</v>
      </c>
      <c r="K30">
        <v>28</v>
      </c>
      <c r="L30" t="s">
        <v>54</v>
      </c>
      <c r="M30" t="s">
        <v>4</v>
      </c>
      <c r="N30" s="17" t="str">
        <f t="shared" si="1"/>
        <v>Corporate</v>
      </c>
      <c r="O30" s="17" t="e">
        <f>P30*SUMIFS($P:$P,$F:$F,M30,$G:$G,N30)/#REF!</f>
        <v>#REF!</v>
      </c>
      <c r="P30" s="8">
        <v>1</v>
      </c>
      <c r="S30" s="7"/>
      <c r="U30" s="17" t="str">
        <v>DPO</v>
      </c>
      <c r="V30" s="3" t="e">
        <f t="shared" si="3"/>
        <v>#REF!</v>
      </c>
      <c r="W30" s="17" t="str">
        <f t="shared" si="4"/>
        <v>Corporate</v>
      </c>
      <c r="Y30" t="s">
        <v>71</v>
      </c>
      <c r="Z30" t="s">
        <v>12</v>
      </c>
    </row>
    <row r="31" spans="2:26" x14ac:dyDescent="0.2">
      <c r="F31" t="s">
        <v>16</v>
      </c>
      <c r="G31" t="s">
        <v>74</v>
      </c>
      <c r="H31">
        <v>5</v>
      </c>
      <c r="I31" s="16">
        <f t="shared" si="0"/>
        <v>100</v>
      </c>
      <c r="K31">
        <v>29</v>
      </c>
      <c r="L31" t="s">
        <v>50</v>
      </c>
      <c r="M31" t="s">
        <v>4</v>
      </c>
      <c r="N31" s="17" t="str">
        <f t="shared" si="1"/>
        <v>Corporate</v>
      </c>
      <c r="O31" s="17" t="e">
        <f>P31*SUMIFS($P:$P,$F:$F,M31,$G:$G,N31)/#REF!</f>
        <v>#REF!</v>
      </c>
      <c r="P31" s="8">
        <v>1</v>
      </c>
      <c r="S31" s="7"/>
      <c r="U31" s="17" t="str">
        <v>CMP</v>
      </c>
      <c r="V31" s="3" t="e">
        <f t="shared" si="3"/>
        <v>#REF!</v>
      </c>
      <c r="W31" s="17" t="str">
        <f t="shared" si="4"/>
        <v>Corporate</v>
      </c>
      <c r="Y31" t="s">
        <v>45</v>
      </c>
      <c r="Z31" t="s">
        <v>12</v>
      </c>
    </row>
    <row r="32" spans="2:26" x14ac:dyDescent="0.2">
      <c r="F32" s="23" t="s">
        <v>16</v>
      </c>
      <c r="G32" s="23" t="s">
        <v>11</v>
      </c>
      <c r="H32">
        <v>5</v>
      </c>
      <c r="I32" s="16">
        <f t="shared" si="0"/>
        <v>100</v>
      </c>
      <c r="K32">
        <v>30</v>
      </c>
      <c r="L32" t="s">
        <v>51</v>
      </c>
      <c r="M32" t="s">
        <v>4</v>
      </c>
      <c r="N32" s="17" t="str">
        <f t="shared" si="1"/>
        <v>Corporate</v>
      </c>
      <c r="O32" s="17" t="e">
        <f>P32*SUMIFS($P:$P,$F:$F,M32,$G:$G,N32)/#REF!</f>
        <v>#REF!</v>
      </c>
      <c r="P32" s="8">
        <v>1</v>
      </c>
      <c r="S32" s="7"/>
      <c r="U32" s="17" t="str">
        <v>ST</v>
      </c>
      <c r="V32" s="3" t="e">
        <f t="shared" si="3"/>
        <v>#REF!</v>
      </c>
      <c r="W32" s="17" t="str">
        <f t="shared" si="4"/>
        <v>Corporate</v>
      </c>
      <c r="Y32" t="s">
        <v>51</v>
      </c>
      <c r="Z32" t="s">
        <v>12</v>
      </c>
    </row>
    <row r="33" spans="6:26" x14ac:dyDescent="0.2">
      <c r="F33" s="24" t="s">
        <v>14</v>
      </c>
      <c r="G33" s="24" t="s">
        <v>5</v>
      </c>
      <c r="H33">
        <v>25</v>
      </c>
      <c r="I33" s="16">
        <f t="shared" si="0"/>
        <v>100</v>
      </c>
      <c r="K33">
        <v>31</v>
      </c>
      <c r="L33" t="s">
        <v>56</v>
      </c>
      <c r="M33" t="s">
        <v>4</v>
      </c>
      <c r="N33" s="17" t="str">
        <f t="shared" si="1"/>
        <v>Corporate</v>
      </c>
      <c r="O33" s="17" t="e">
        <f>P33*SUMIFS($P:$P,$F:$F,M33,$G:$G,N33)/#REF!</f>
        <v>#REF!</v>
      </c>
      <c r="P33" s="8">
        <v>1</v>
      </c>
      <c r="S33" s="7"/>
      <c r="U33" s="17" t="str">
        <v>FL</v>
      </c>
      <c r="V33" s="3" t="e">
        <f t="shared" si="3"/>
        <v>#REF!</v>
      </c>
      <c r="W33" s="17" t="str">
        <f t="shared" si="4"/>
        <v>Corporate</v>
      </c>
      <c r="Y33" t="s">
        <v>53</v>
      </c>
      <c r="Z33" t="s">
        <v>12</v>
      </c>
    </row>
    <row r="34" spans="6:26" x14ac:dyDescent="0.2">
      <c r="F34" t="s">
        <v>14</v>
      </c>
      <c r="G34" t="s">
        <v>6</v>
      </c>
      <c r="H34">
        <v>25</v>
      </c>
      <c r="I34" s="16">
        <f t="shared" si="0"/>
        <v>100</v>
      </c>
      <c r="K34">
        <v>32</v>
      </c>
      <c r="L34" t="s">
        <v>53</v>
      </c>
      <c r="M34" t="s">
        <v>4</v>
      </c>
      <c r="N34" s="17" t="str">
        <f t="shared" si="1"/>
        <v>Corporate</v>
      </c>
      <c r="O34" s="17" t="e">
        <f>P34*SUMIFS($P:$P,$F:$F,M34,$G:$G,N34)/#REF!</f>
        <v>#REF!</v>
      </c>
      <c r="P34" s="8">
        <v>1</v>
      </c>
      <c r="S34" s="7"/>
      <c r="U34" s="17" t="str">
        <v>TF</v>
      </c>
      <c r="V34" s="3" t="e">
        <f t="shared" si="3"/>
        <v>#REF!</v>
      </c>
      <c r="W34" s="17" t="str">
        <f t="shared" si="4"/>
        <v>Corporate</v>
      </c>
      <c r="Y34" t="s">
        <v>64</v>
      </c>
      <c r="Z34" t="s">
        <v>6</v>
      </c>
    </row>
    <row r="35" spans="6:26" x14ac:dyDescent="0.2">
      <c r="F35" t="s">
        <v>14</v>
      </c>
      <c r="G35" t="s">
        <v>12</v>
      </c>
      <c r="H35">
        <v>20</v>
      </c>
      <c r="I35" s="16">
        <f t="shared" si="0"/>
        <v>100</v>
      </c>
      <c r="K35">
        <v>33</v>
      </c>
      <c r="L35" t="s">
        <v>365</v>
      </c>
      <c r="M35" t="s">
        <v>4</v>
      </c>
      <c r="N35" s="30" t="str">
        <f t="shared" ref="N35:N66" si="5">VLOOKUP($L35,$Y:$Z,2,FALSE)</f>
        <v>Corporate</v>
      </c>
      <c r="O35" s="17" t="e">
        <f>P35*SUMIFS($P:$P,$F:$F,M35,$G:$G,N35)/#REF!</f>
        <v>#REF!</v>
      </c>
      <c r="P35" s="8">
        <v>1</v>
      </c>
      <c r="S35" s="7"/>
      <c r="U35" s="17" t="str">
        <v>NSP</v>
      </c>
      <c r="V35" s="3" t="e">
        <f t="shared" si="3"/>
        <v>#REF!</v>
      </c>
      <c r="W35" s="17" t="str">
        <f t="shared" si="4"/>
        <v>Corporate</v>
      </c>
      <c r="Y35" t="s">
        <v>7</v>
      </c>
      <c r="Z35" t="s">
        <v>6</v>
      </c>
    </row>
    <row r="36" spans="6:26" x14ac:dyDescent="0.2">
      <c r="F36" t="s">
        <v>14</v>
      </c>
      <c r="G36" t="s">
        <v>8</v>
      </c>
      <c r="H36">
        <v>20</v>
      </c>
      <c r="I36" s="16">
        <f t="shared" si="0"/>
        <v>100</v>
      </c>
      <c r="K36">
        <v>1</v>
      </c>
      <c r="L36" t="s">
        <v>64</v>
      </c>
      <c r="M36" t="s">
        <v>10</v>
      </c>
      <c r="N36" s="17" t="str">
        <f t="shared" si="5"/>
        <v>Operations</v>
      </c>
      <c r="O36" s="17">
        <v>50</v>
      </c>
      <c r="P36" s="8">
        <v>1</v>
      </c>
      <c r="S36" s="7"/>
      <c r="U36" s="17" t="str">
        <v>COO</v>
      </c>
      <c r="V36" s="3">
        <f t="shared" si="3"/>
        <v>50.000000999999997</v>
      </c>
      <c r="W36" s="17" t="str">
        <f t="shared" si="4"/>
        <v>Operations</v>
      </c>
      <c r="Y36" t="s">
        <v>42</v>
      </c>
      <c r="Z36" t="s">
        <v>6</v>
      </c>
    </row>
    <row r="37" spans="6:26" x14ac:dyDescent="0.2">
      <c r="F37" t="s">
        <v>14</v>
      </c>
      <c r="G37" t="s">
        <v>74</v>
      </c>
      <c r="H37">
        <v>5</v>
      </c>
      <c r="I37" s="16">
        <f t="shared" si="0"/>
        <v>100</v>
      </c>
      <c r="K37">
        <v>2</v>
      </c>
      <c r="L37" t="s">
        <v>65</v>
      </c>
      <c r="M37" t="s">
        <v>10</v>
      </c>
      <c r="N37" s="17" t="str">
        <f t="shared" si="5"/>
        <v>Commercial</v>
      </c>
      <c r="O37" s="17">
        <v>33.4</v>
      </c>
      <c r="P37" s="8">
        <v>1</v>
      </c>
      <c r="S37" s="7"/>
      <c r="U37" s="17" t="str">
        <v>CMO</v>
      </c>
      <c r="V37" s="3">
        <f t="shared" si="3"/>
        <v>33.400000999999996</v>
      </c>
      <c r="W37" s="17" t="str">
        <f t="shared" si="4"/>
        <v>Commercial</v>
      </c>
      <c r="Y37" t="s">
        <v>42</v>
      </c>
      <c r="Z37" t="s">
        <v>6</v>
      </c>
    </row>
    <row r="38" spans="6:26" x14ac:dyDescent="0.2">
      <c r="F38" s="23" t="s">
        <v>14</v>
      </c>
      <c r="G38" s="23" t="s">
        <v>11</v>
      </c>
      <c r="H38">
        <v>5</v>
      </c>
      <c r="I38" s="16">
        <f t="shared" si="0"/>
        <v>100</v>
      </c>
      <c r="K38">
        <v>3</v>
      </c>
      <c r="L38" t="s">
        <v>67</v>
      </c>
      <c r="M38" t="s">
        <v>10</v>
      </c>
      <c r="N38" s="17" t="str">
        <f t="shared" si="5"/>
        <v>Corporate</v>
      </c>
      <c r="O38" s="17">
        <v>40</v>
      </c>
      <c r="P38" s="8">
        <v>1</v>
      </c>
      <c r="S38" s="7"/>
      <c r="U38" s="17" t="str">
        <v>ATC</v>
      </c>
      <c r="V38" s="3">
        <f t="shared" si="3"/>
        <v>40.000000999999997</v>
      </c>
      <c r="W38" s="17" t="str">
        <f t="shared" si="4"/>
        <v>Corporate</v>
      </c>
      <c r="Y38" t="s">
        <v>26</v>
      </c>
      <c r="Z38" t="s">
        <v>6</v>
      </c>
    </row>
    <row r="39" spans="6:26" x14ac:dyDescent="0.2">
      <c r="F39" s="31" t="s">
        <v>379</v>
      </c>
      <c r="G39" s="24" t="s">
        <v>5</v>
      </c>
      <c r="H39">
        <v>25</v>
      </c>
      <c r="I39" s="16">
        <f t="shared" si="0"/>
        <v>100</v>
      </c>
      <c r="K39">
        <v>4</v>
      </c>
      <c r="L39" t="s">
        <v>66</v>
      </c>
      <c r="M39" t="s">
        <v>10</v>
      </c>
      <c r="N39" s="17" t="str">
        <f t="shared" si="5"/>
        <v>Commercial</v>
      </c>
      <c r="O39" s="17">
        <v>33.299999999999997</v>
      </c>
      <c r="P39" s="8">
        <v>1</v>
      </c>
      <c r="S39" s="7"/>
      <c r="U39" s="17" t="str">
        <v>CCO</v>
      </c>
      <c r="V39" s="3">
        <f t="shared" si="3"/>
        <v>33.300000999999995</v>
      </c>
      <c r="W39" s="17" t="str">
        <f t="shared" si="4"/>
        <v>Commercial</v>
      </c>
      <c r="Y39" t="s">
        <v>34</v>
      </c>
      <c r="Z39" t="s">
        <v>8</v>
      </c>
    </row>
    <row r="40" spans="6:26" x14ac:dyDescent="0.2">
      <c r="F40" s="32" t="s">
        <v>379</v>
      </c>
      <c r="G40" t="s">
        <v>6</v>
      </c>
      <c r="H40">
        <v>25</v>
      </c>
      <c r="I40" s="16">
        <f t="shared" si="0"/>
        <v>100</v>
      </c>
      <c r="K40">
        <v>5</v>
      </c>
      <c r="L40" t="s">
        <v>68</v>
      </c>
      <c r="M40" t="s">
        <v>10</v>
      </c>
      <c r="N40" s="17" t="str">
        <f t="shared" si="5"/>
        <v>Commercial</v>
      </c>
      <c r="O40" s="17">
        <v>33.299999999999997</v>
      </c>
      <c r="P40" s="8">
        <v>1</v>
      </c>
      <c r="S40" s="7"/>
      <c r="U40" s="17" t="str">
        <v>IDC</v>
      </c>
      <c r="V40" s="3">
        <f t="shared" si="3"/>
        <v>33.300000999999995</v>
      </c>
      <c r="W40" s="17" t="str">
        <f t="shared" si="4"/>
        <v>Commercial</v>
      </c>
      <c r="Y40" t="s">
        <v>70</v>
      </c>
      <c r="Z40" t="s">
        <v>8</v>
      </c>
    </row>
    <row r="41" spans="6:26" x14ac:dyDescent="0.2">
      <c r="F41" s="32" t="s">
        <v>379</v>
      </c>
      <c r="G41" t="s">
        <v>12</v>
      </c>
      <c r="H41">
        <v>20</v>
      </c>
      <c r="I41" s="16">
        <f t="shared" si="0"/>
        <v>100</v>
      </c>
      <c r="K41">
        <v>6</v>
      </c>
      <c r="L41" t="s">
        <v>69</v>
      </c>
      <c r="M41" t="s">
        <v>10</v>
      </c>
      <c r="N41" s="17" t="str">
        <f t="shared" si="5"/>
        <v>Corporate</v>
      </c>
      <c r="O41" s="17">
        <v>40</v>
      </c>
      <c r="P41" s="8">
        <v>1</v>
      </c>
      <c r="S41" s="7"/>
      <c r="U41" s="17" t="str">
        <v>CFO</v>
      </c>
      <c r="V41" s="3">
        <f t="shared" si="3"/>
        <v>40.000000999999997</v>
      </c>
      <c r="W41" s="17" t="str">
        <f t="shared" si="4"/>
        <v>Corporate</v>
      </c>
      <c r="Y41" t="s">
        <v>9</v>
      </c>
      <c r="Z41" t="s">
        <v>8</v>
      </c>
    </row>
    <row r="42" spans="6:26" x14ac:dyDescent="0.2">
      <c r="F42" s="32" t="s">
        <v>379</v>
      </c>
      <c r="G42" t="s">
        <v>8</v>
      </c>
      <c r="H42">
        <v>20</v>
      </c>
      <c r="I42" s="16">
        <f t="shared" si="0"/>
        <v>100</v>
      </c>
      <c r="K42">
        <v>7</v>
      </c>
      <c r="L42" t="s">
        <v>70</v>
      </c>
      <c r="M42" t="s">
        <v>10</v>
      </c>
      <c r="N42" s="17" t="str">
        <f t="shared" si="5"/>
        <v>Technology</v>
      </c>
      <c r="O42" s="17">
        <v>100</v>
      </c>
      <c r="P42" s="8">
        <v>1</v>
      </c>
      <c r="S42" s="7"/>
      <c r="U42" s="17" t="str">
        <v>CIO</v>
      </c>
      <c r="V42" s="3">
        <f t="shared" si="3"/>
        <v>100.000001</v>
      </c>
      <c r="W42" s="17" t="str">
        <f t="shared" si="4"/>
        <v>Technology</v>
      </c>
      <c r="Y42" t="s">
        <v>60</v>
      </c>
      <c r="Z42" t="s">
        <v>8</v>
      </c>
    </row>
    <row r="43" spans="6:26" x14ac:dyDescent="0.2">
      <c r="F43" s="32" t="s">
        <v>379</v>
      </c>
      <c r="G43" t="s">
        <v>74</v>
      </c>
      <c r="H43">
        <v>5</v>
      </c>
      <c r="I43" s="16">
        <f t="shared" si="0"/>
        <v>100</v>
      </c>
      <c r="K43">
        <v>8</v>
      </c>
      <c r="L43" t="s">
        <v>71</v>
      </c>
      <c r="M43" t="s">
        <v>10</v>
      </c>
      <c r="N43" s="17" t="str">
        <f t="shared" si="5"/>
        <v>Corporate</v>
      </c>
      <c r="O43" s="17">
        <v>10</v>
      </c>
      <c r="P43" s="8">
        <v>1</v>
      </c>
      <c r="S43" s="7"/>
      <c r="U43" s="17" t="str">
        <v>PRO</v>
      </c>
      <c r="V43" s="3">
        <f t="shared" si="3"/>
        <v>10.000000999999999</v>
      </c>
      <c r="W43" s="17" t="str">
        <f t="shared" si="4"/>
        <v>Corporate</v>
      </c>
      <c r="Y43" t="s">
        <v>59</v>
      </c>
      <c r="Z43" t="s">
        <v>8</v>
      </c>
    </row>
    <row r="44" spans="6:26" x14ac:dyDescent="0.2">
      <c r="F44" s="33" t="s">
        <v>379</v>
      </c>
      <c r="G44" s="23" t="s">
        <v>11</v>
      </c>
      <c r="H44">
        <v>5</v>
      </c>
      <c r="I44" s="16">
        <f t="shared" si="0"/>
        <v>100</v>
      </c>
      <c r="K44">
        <v>9</v>
      </c>
      <c r="L44" t="s">
        <v>72</v>
      </c>
      <c r="M44" t="s">
        <v>10</v>
      </c>
      <c r="N44" s="17" t="str">
        <f t="shared" si="5"/>
        <v>Corporate</v>
      </c>
      <c r="O44" s="17">
        <v>5</v>
      </c>
      <c r="P44" s="8">
        <v>1</v>
      </c>
      <c r="S44" s="7"/>
      <c r="U44" s="17" t="str">
        <v>CHR</v>
      </c>
      <c r="V44" s="3">
        <f t="shared" si="3"/>
        <v>5.0000010000000001</v>
      </c>
      <c r="W44" s="17" t="str">
        <f t="shared" si="4"/>
        <v>Corporate</v>
      </c>
      <c r="Y44" t="s">
        <v>58</v>
      </c>
      <c r="Z44" t="s">
        <v>8</v>
      </c>
    </row>
    <row r="45" spans="6:26" x14ac:dyDescent="0.2">
      <c r="K45">
        <v>11</v>
      </c>
      <c r="L45" t="s">
        <v>73</v>
      </c>
      <c r="M45" t="s">
        <v>10</v>
      </c>
      <c r="N45" s="17" t="str">
        <f t="shared" si="5"/>
        <v>Corporate</v>
      </c>
      <c r="O45" s="17">
        <v>5</v>
      </c>
      <c r="P45" s="8">
        <v>1</v>
      </c>
      <c r="S45" s="7"/>
      <c r="U45" s="17" t="str">
        <v>COM</v>
      </c>
      <c r="V45" s="3">
        <f t="shared" si="3"/>
        <v>5.0000010000000001</v>
      </c>
      <c r="W45" s="17" t="str">
        <f t="shared" si="4"/>
        <v>Corporate</v>
      </c>
      <c r="Y45" t="s">
        <v>116</v>
      </c>
      <c r="Z45" t="s">
        <v>74</v>
      </c>
    </row>
    <row r="46" spans="6:26" x14ac:dyDescent="0.2">
      <c r="K46">
        <v>12</v>
      </c>
      <c r="L46" t="s">
        <v>23</v>
      </c>
      <c r="M46" t="s">
        <v>10</v>
      </c>
      <c r="N46" s="17" t="str">
        <f t="shared" si="5"/>
        <v>Commercial</v>
      </c>
      <c r="O46" s="17">
        <v>1E-10</v>
      </c>
      <c r="P46" s="8">
        <v>1</v>
      </c>
      <c r="S46" s="7"/>
      <c r="U46" t="str">
        <v>SSJ</v>
      </c>
      <c r="V46" s="3">
        <f t="shared" si="3"/>
        <v>4.4444444446666669</v>
      </c>
      <c r="W46" s="17" t="str">
        <f t="shared" si="4"/>
        <v>Corporate</v>
      </c>
      <c r="Y46" t="s">
        <v>365</v>
      </c>
      <c r="Z46" t="s">
        <v>12</v>
      </c>
    </row>
    <row r="47" spans="6:26" x14ac:dyDescent="0.2">
      <c r="K47">
        <v>13</v>
      </c>
      <c r="L47" t="s">
        <v>11</v>
      </c>
      <c r="M47" t="s">
        <v>10</v>
      </c>
      <c r="N47" s="17" t="str">
        <f t="shared" si="5"/>
        <v>CISO</v>
      </c>
      <c r="O47" s="17" t="e">
        <f>P47*SUMIFS($P:$P,$F:$F,M47,$G:$G,N47)/#REF!</f>
        <v>#REF!</v>
      </c>
      <c r="P47" s="8">
        <v>1</v>
      </c>
      <c r="S47" s="7"/>
      <c r="U47" t="str">
        <v>RC</v>
      </c>
      <c r="V47" s="7"/>
      <c r="W47" s="30" t="str">
        <f t="shared" si="4"/>
        <v>Corporate</v>
      </c>
      <c r="Y47" t="s">
        <v>55</v>
      </c>
      <c r="Z47" t="s">
        <v>12</v>
      </c>
    </row>
    <row r="48" spans="6:26" x14ac:dyDescent="0.2">
      <c r="K48">
        <v>14</v>
      </c>
      <c r="L48" t="s">
        <v>116</v>
      </c>
      <c r="M48" t="s">
        <v>10</v>
      </c>
      <c r="N48" s="17" t="str">
        <f t="shared" si="5"/>
        <v>Data &amp; AI</v>
      </c>
      <c r="O48" s="17">
        <v>100</v>
      </c>
      <c r="P48" s="8">
        <v>1</v>
      </c>
      <c r="S48" s="7"/>
      <c r="U48">
        <v>0</v>
      </c>
      <c r="V48" s="7"/>
      <c r="Y48" t="s">
        <v>896</v>
      </c>
      <c r="Z48" t="s">
        <v>12</v>
      </c>
    </row>
    <row r="49" spans="11:22" x14ac:dyDescent="0.2">
      <c r="K49">
        <v>15</v>
      </c>
      <c r="L49" t="s">
        <v>37</v>
      </c>
      <c r="M49" t="s">
        <v>10</v>
      </c>
      <c r="N49" s="17" t="str">
        <f t="shared" si="5"/>
        <v>Commercial</v>
      </c>
      <c r="O49" s="17">
        <v>1E-10</v>
      </c>
      <c r="P49" s="8">
        <v>1</v>
      </c>
      <c r="S49" s="7"/>
      <c r="V49" s="7"/>
    </row>
    <row r="50" spans="11:22" x14ac:dyDescent="0.2">
      <c r="K50">
        <v>16</v>
      </c>
      <c r="L50" t="s">
        <v>7</v>
      </c>
      <c r="M50" t="s">
        <v>10</v>
      </c>
      <c r="N50" s="17" t="str">
        <f t="shared" si="5"/>
        <v>Operations</v>
      </c>
      <c r="O50" s="17">
        <v>49</v>
      </c>
      <c r="P50" s="8">
        <v>1</v>
      </c>
      <c r="S50" s="7"/>
      <c r="V50" s="7"/>
    </row>
    <row r="51" spans="11:22" x14ac:dyDescent="0.2">
      <c r="K51">
        <v>17</v>
      </c>
      <c r="L51" t="s">
        <v>44</v>
      </c>
      <c r="M51" t="s">
        <v>10</v>
      </c>
      <c r="N51" s="17" t="str">
        <f t="shared" si="5"/>
        <v>Corporate</v>
      </c>
      <c r="O51" s="17">
        <v>1E-10</v>
      </c>
      <c r="P51" s="8">
        <v>1</v>
      </c>
      <c r="S51" s="7"/>
      <c r="V51" s="7"/>
    </row>
    <row r="52" spans="11:22" x14ac:dyDescent="0.2">
      <c r="K52">
        <v>18</v>
      </c>
      <c r="L52" t="s">
        <v>9</v>
      </c>
      <c r="M52" t="s">
        <v>10</v>
      </c>
      <c r="N52" s="17" t="str">
        <f t="shared" si="5"/>
        <v>Technology</v>
      </c>
      <c r="O52" s="17">
        <v>1E-10</v>
      </c>
      <c r="P52" s="8">
        <v>1</v>
      </c>
      <c r="S52" s="7"/>
      <c r="V52" s="7"/>
    </row>
    <row r="53" spans="11:22" x14ac:dyDescent="0.2">
      <c r="K53">
        <v>19</v>
      </c>
      <c r="L53" t="s">
        <v>26</v>
      </c>
      <c r="M53" t="s">
        <v>10</v>
      </c>
      <c r="N53" s="17" t="str">
        <f t="shared" si="5"/>
        <v>Operations</v>
      </c>
      <c r="O53" s="17">
        <v>1E-10</v>
      </c>
      <c r="P53" s="8">
        <v>1</v>
      </c>
      <c r="S53" s="7"/>
      <c r="V53" s="7"/>
    </row>
    <row r="54" spans="11:22" x14ac:dyDescent="0.2">
      <c r="K54">
        <v>20</v>
      </c>
      <c r="L54" t="s">
        <v>22</v>
      </c>
      <c r="M54" t="s">
        <v>10</v>
      </c>
      <c r="N54" s="17" t="str">
        <f t="shared" si="5"/>
        <v>Corporate</v>
      </c>
      <c r="O54" s="17">
        <v>1E-10</v>
      </c>
      <c r="P54" s="8">
        <v>1</v>
      </c>
      <c r="S54" s="7"/>
      <c r="V54" s="7"/>
    </row>
    <row r="55" spans="11:22" x14ac:dyDescent="0.2">
      <c r="K55">
        <v>21</v>
      </c>
      <c r="L55" t="s">
        <v>59</v>
      </c>
      <c r="M55" t="s">
        <v>10</v>
      </c>
      <c r="N55" s="17" t="str">
        <f t="shared" si="5"/>
        <v>Technology</v>
      </c>
      <c r="O55" s="17">
        <v>1E-10</v>
      </c>
      <c r="P55" s="8">
        <v>1</v>
      </c>
      <c r="S55" s="7"/>
      <c r="V55" s="7"/>
    </row>
    <row r="56" spans="11:22" x14ac:dyDescent="0.2">
      <c r="K56">
        <v>22</v>
      </c>
      <c r="L56" t="s">
        <v>34</v>
      </c>
      <c r="M56" t="s">
        <v>10</v>
      </c>
      <c r="N56" s="17" t="str">
        <f t="shared" si="5"/>
        <v>Technology</v>
      </c>
      <c r="O56" s="17">
        <v>1E-10</v>
      </c>
      <c r="P56" s="8">
        <v>1</v>
      </c>
      <c r="S56" s="7"/>
      <c r="V56" s="7"/>
    </row>
    <row r="57" spans="11:22" x14ac:dyDescent="0.2">
      <c r="K57">
        <v>23</v>
      </c>
      <c r="L57" t="s">
        <v>58</v>
      </c>
      <c r="M57" t="s">
        <v>10</v>
      </c>
      <c r="N57" s="17" t="str">
        <f t="shared" si="5"/>
        <v>Technology</v>
      </c>
      <c r="O57" s="17">
        <v>1E-10</v>
      </c>
      <c r="P57" s="8">
        <v>1</v>
      </c>
      <c r="S57" s="7"/>
      <c r="V57" s="7"/>
    </row>
    <row r="58" spans="11:22" x14ac:dyDescent="0.2">
      <c r="K58">
        <v>24</v>
      </c>
      <c r="L58" t="s">
        <v>46</v>
      </c>
      <c r="M58" t="s">
        <v>10</v>
      </c>
      <c r="N58" s="17" t="str">
        <f t="shared" si="5"/>
        <v>Corporate</v>
      </c>
      <c r="O58" s="17">
        <v>1E-10</v>
      </c>
      <c r="P58" s="8">
        <v>1</v>
      </c>
      <c r="S58" s="7"/>
      <c r="V58" s="7"/>
    </row>
    <row r="59" spans="11:22" x14ac:dyDescent="0.2">
      <c r="K59">
        <v>25</v>
      </c>
      <c r="L59" t="s">
        <v>42</v>
      </c>
      <c r="M59" t="s">
        <v>10</v>
      </c>
      <c r="N59" s="17" t="str">
        <f t="shared" si="5"/>
        <v>Operations</v>
      </c>
      <c r="O59" s="17">
        <v>1</v>
      </c>
      <c r="P59" s="8">
        <v>1</v>
      </c>
      <c r="S59" s="7"/>
      <c r="V59" s="7"/>
    </row>
    <row r="60" spans="11:22" x14ac:dyDescent="0.2">
      <c r="K60">
        <v>26</v>
      </c>
      <c r="L60" t="s">
        <v>36</v>
      </c>
      <c r="M60" t="s">
        <v>10</v>
      </c>
      <c r="N60" s="17" t="str">
        <f t="shared" si="5"/>
        <v>Commercial</v>
      </c>
      <c r="O60" s="17">
        <v>1E-10</v>
      </c>
      <c r="P60" s="8">
        <v>1</v>
      </c>
      <c r="S60" s="7"/>
      <c r="V60" s="7"/>
    </row>
    <row r="61" spans="11:22" x14ac:dyDescent="0.2">
      <c r="K61">
        <v>27</v>
      </c>
      <c r="L61" t="s">
        <v>60</v>
      </c>
      <c r="M61" t="s">
        <v>10</v>
      </c>
      <c r="N61" s="17" t="str">
        <f t="shared" si="5"/>
        <v>Technology</v>
      </c>
      <c r="O61" s="17">
        <v>1E-10</v>
      </c>
      <c r="P61" s="8">
        <v>1</v>
      </c>
      <c r="S61" s="7"/>
      <c r="V61" s="7"/>
    </row>
    <row r="62" spans="11:22" x14ac:dyDescent="0.2">
      <c r="K62">
        <v>28</v>
      </c>
      <c r="L62" t="s">
        <v>38</v>
      </c>
      <c r="M62" t="s">
        <v>10</v>
      </c>
      <c r="N62" s="17" t="str">
        <f t="shared" si="5"/>
        <v>Commercial</v>
      </c>
      <c r="O62" s="17">
        <v>1E-10</v>
      </c>
      <c r="P62" s="8">
        <v>1</v>
      </c>
      <c r="S62" s="7"/>
      <c r="V62" s="7"/>
    </row>
    <row r="63" spans="11:22" x14ac:dyDescent="0.2">
      <c r="K63">
        <v>29</v>
      </c>
      <c r="L63" t="s">
        <v>21</v>
      </c>
      <c r="M63" t="s">
        <v>10</v>
      </c>
      <c r="N63" s="17" t="str">
        <f t="shared" si="5"/>
        <v>Commercial</v>
      </c>
      <c r="O63" s="17">
        <v>1E-10</v>
      </c>
      <c r="P63" s="8">
        <v>1</v>
      </c>
      <c r="S63" s="7"/>
      <c r="V63" s="7"/>
    </row>
    <row r="64" spans="11:22" x14ac:dyDescent="0.2">
      <c r="K64">
        <v>30</v>
      </c>
      <c r="L64" t="s">
        <v>54</v>
      </c>
      <c r="M64" t="s">
        <v>10</v>
      </c>
      <c r="N64" s="17" t="str">
        <f t="shared" si="5"/>
        <v>Corporate</v>
      </c>
      <c r="O64" s="17">
        <v>1E-10</v>
      </c>
      <c r="P64" s="8">
        <v>1</v>
      </c>
      <c r="S64" s="7"/>
      <c r="V64" s="7"/>
    </row>
    <row r="65" spans="11:22" x14ac:dyDescent="0.2">
      <c r="K65">
        <v>31</v>
      </c>
      <c r="L65" t="s">
        <v>25</v>
      </c>
      <c r="M65" t="s">
        <v>10</v>
      </c>
      <c r="N65" s="17" t="str">
        <f t="shared" si="5"/>
        <v>Commercial</v>
      </c>
      <c r="O65" s="17">
        <v>1E-10</v>
      </c>
      <c r="P65" s="8">
        <v>1</v>
      </c>
      <c r="S65" s="7"/>
      <c r="V65" s="7"/>
    </row>
    <row r="66" spans="11:22" x14ac:dyDescent="0.2">
      <c r="K66">
        <v>32</v>
      </c>
      <c r="L66" t="s">
        <v>47</v>
      </c>
      <c r="M66" t="s">
        <v>10</v>
      </c>
      <c r="N66" s="17" t="str">
        <f t="shared" si="5"/>
        <v>Corporate</v>
      </c>
      <c r="O66" s="17">
        <v>1E-10</v>
      </c>
      <c r="P66" s="8">
        <v>1</v>
      </c>
      <c r="S66" s="7"/>
      <c r="V66" s="7"/>
    </row>
    <row r="67" spans="11:22" x14ac:dyDescent="0.2">
      <c r="K67">
        <v>33</v>
      </c>
      <c r="L67" t="s">
        <v>24</v>
      </c>
      <c r="M67" t="s">
        <v>10</v>
      </c>
      <c r="N67" s="17" t="str">
        <f t="shared" ref="N67:N98" si="6">VLOOKUP($L67,$Y:$Z,2,FALSE)</f>
        <v>Commercial</v>
      </c>
      <c r="O67" s="17">
        <v>1E-10</v>
      </c>
      <c r="P67" s="8">
        <v>1</v>
      </c>
      <c r="S67" s="7"/>
      <c r="V67" s="7"/>
    </row>
    <row r="68" spans="11:22" x14ac:dyDescent="0.2">
      <c r="K68">
        <v>34</v>
      </c>
      <c r="L68" t="s">
        <v>35</v>
      </c>
      <c r="M68" t="s">
        <v>10</v>
      </c>
      <c r="N68" s="17" t="str">
        <f t="shared" si="6"/>
        <v>Corporate</v>
      </c>
      <c r="O68" s="17">
        <v>1E-10</v>
      </c>
      <c r="P68" s="8">
        <v>1</v>
      </c>
      <c r="S68" s="7"/>
      <c r="V68" s="7"/>
    </row>
    <row r="69" spans="11:22" x14ac:dyDescent="0.2">
      <c r="K69">
        <v>35</v>
      </c>
      <c r="L69" t="s">
        <v>40</v>
      </c>
      <c r="M69" t="s">
        <v>10</v>
      </c>
      <c r="N69" s="17" t="str">
        <f t="shared" si="6"/>
        <v>Commercial</v>
      </c>
      <c r="O69" s="17">
        <v>1E-10</v>
      </c>
      <c r="P69" s="8">
        <v>1</v>
      </c>
      <c r="S69" s="7"/>
      <c r="V69" s="7"/>
    </row>
    <row r="70" spans="11:22" x14ac:dyDescent="0.2">
      <c r="K70">
        <v>36</v>
      </c>
      <c r="L70" t="s">
        <v>98</v>
      </c>
      <c r="M70" t="s">
        <v>10</v>
      </c>
      <c r="N70" s="17" t="str">
        <f t="shared" si="6"/>
        <v>Corporate</v>
      </c>
      <c r="O70" s="17">
        <v>1E-10</v>
      </c>
      <c r="P70" s="8">
        <v>1</v>
      </c>
      <c r="S70" s="7"/>
      <c r="V70" s="7"/>
    </row>
    <row r="71" spans="11:22" x14ac:dyDescent="0.2">
      <c r="K71">
        <v>37</v>
      </c>
      <c r="L71" t="s">
        <v>45</v>
      </c>
      <c r="M71" t="s">
        <v>10</v>
      </c>
      <c r="N71" s="17" t="str">
        <f t="shared" si="6"/>
        <v>Corporate</v>
      </c>
      <c r="O71" s="17">
        <v>1E-10</v>
      </c>
      <c r="P71" s="8">
        <v>1</v>
      </c>
      <c r="S71" s="7"/>
      <c r="V71" s="7"/>
    </row>
    <row r="72" spans="11:22" x14ac:dyDescent="0.2">
      <c r="K72">
        <v>38</v>
      </c>
      <c r="L72" t="s">
        <v>51</v>
      </c>
      <c r="M72" t="s">
        <v>10</v>
      </c>
      <c r="N72" s="17" t="str">
        <f t="shared" si="6"/>
        <v>Corporate</v>
      </c>
      <c r="O72" s="17">
        <v>1E-10</v>
      </c>
      <c r="P72" s="8">
        <v>1</v>
      </c>
      <c r="S72" s="7"/>
      <c r="V72" s="7"/>
    </row>
    <row r="73" spans="11:22" x14ac:dyDescent="0.2">
      <c r="K73">
        <v>39</v>
      </c>
      <c r="L73" t="s">
        <v>48</v>
      </c>
      <c r="M73" t="s">
        <v>10</v>
      </c>
      <c r="N73" s="17" t="str">
        <f t="shared" si="6"/>
        <v>Corporate</v>
      </c>
      <c r="O73" s="17">
        <v>1E-10</v>
      </c>
      <c r="P73" s="8">
        <v>1</v>
      </c>
      <c r="S73" s="7"/>
      <c r="V73" s="7"/>
    </row>
    <row r="74" spans="11:22" x14ac:dyDescent="0.2">
      <c r="K74">
        <v>40</v>
      </c>
      <c r="L74" t="s">
        <v>50</v>
      </c>
      <c r="M74" t="s">
        <v>10</v>
      </c>
      <c r="N74" s="17" t="str">
        <f t="shared" si="6"/>
        <v>Corporate</v>
      </c>
      <c r="O74" s="17">
        <v>1E-10</v>
      </c>
      <c r="P74" s="8">
        <v>1</v>
      </c>
      <c r="S74" s="7"/>
      <c r="V74" s="7"/>
    </row>
    <row r="75" spans="11:22" x14ac:dyDescent="0.2">
      <c r="K75">
        <v>41</v>
      </c>
      <c r="L75" t="s">
        <v>56</v>
      </c>
      <c r="M75" t="s">
        <v>10</v>
      </c>
      <c r="N75" s="17" t="str">
        <f t="shared" si="6"/>
        <v>Corporate</v>
      </c>
      <c r="O75" s="17">
        <v>1E-10</v>
      </c>
      <c r="P75" s="8">
        <v>1</v>
      </c>
      <c r="S75" s="7"/>
      <c r="V75" s="7"/>
    </row>
    <row r="76" spans="11:22" x14ac:dyDescent="0.2">
      <c r="K76">
        <v>42</v>
      </c>
      <c r="L76" t="s">
        <v>53</v>
      </c>
      <c r="M76" t="s">
        <v>10</v>
      </c>
      <c r="N76" s="17" t="str">
        <f t="shared" si="6"/>
        <v>Corporate</v>
      </c>
      <c r="O76" s="17">
        <v>1E-10</v>
      </c>
      <c r="P76" s="8">
        <v>1</v>
      </c>
      <c r="S76" s="7"/>
      <c r="V76" s="7"/>
    </row>
    <row r="77" spans="11:22" x14ac:dyDescent="0.2">
      <c r="K77">
        <v>43</v>
      </c>
      <c r="L77" t="s">
        <v>39</v>
      </c>
      <c r="M77" t="s">
        <v>10</v>
      </c>
      <c r="N77" s="17" t="str">
        <f t="shared" si="6"/>
        <v>Commercial</v>
      </c>
      <c r="O77" s="17">
        <v>1E-10</v>
      </c>
      <c r="P77" s="8">
        <v>1</v>
      </c>
      <c r="S77" s="7"/>
      <c r="V77" s="7"/>
    </row>
    <row r="78" spans="11:22" x14ac:dyDescent="0.2">
      <c r="K78">
        <v>1</v>
      </c>
      <c r="L78" t="s">
        <v>23</v>
      </c>
      <c r="M78" t="s">
        <v>14</v>
      </c>
      <c r="N78" s="17" t="str">
        <f t="shared" si="6"/>
        <v>Commercial</v>
      </c>
      <c r="O78" s="17" t="e">
        <f>P78*SUMIFS($P:$P,$F:$F,M78,$G:$G,N78)/#REF!</f>
        <v>#REF!</v>
      </c>
      <c r="P78" s="8">
        <v>1</v>
      </c>
      <c r="S78" s="7"/>
      <c r="V78" s="7"/>
    </row>
    <row r="79" spans="11:22" x14ac:dyDescent="0.2">
      <c r="K79">
        <v>2</v>
      </c>
      <c r="L79" t="s">
        <v>26</v>
      </c>
      <c r="M79" t="s">
        <v>14</v>
      </c>
      <c r="N79" s="17" t="str">
        <f t="shared" si="6"/>
        <v>Operations</v>
      </c>
      <c r="O79" s="17" t="e">
        <f>P79*SUMIFS($P:$P,$F:$F,M79,$G:$G,N79)/#REF!</f>
        <v>#REF!</v>
      </c>
      <c r="P79" s="8">
        <v>1</v>
      </c>
      <c r="S79" s="7"/>
      <c r="V79" s="7"/>
    </row>
    <row r="80" spans="11:22" x14ac:dyDescent="0.2">
      <c r="K80">
        <v>3</v>
      </c>
      <c r="L80" t="s">
        <v>22</v>
      </c>
      <c r="M80" t="s">
        <v>14</v>
      </c>
      <c r="N80" s="17" t="str">
        <f t="shared" si="6"/>
        <v>Corporate</v>
      </c>
      <c r="O80" s="17" t="e">
        <f>P80*SUMIFS($P:$P,$F:$F,M80,$G:$G,N80)/#REF!</f>
        <v>#REF!</v>
      </c>
      <c r="P80" s="8">
        <v>1</v>
      </c>
      <c r="S80" s="7"/>
      <c r="V80" s="7"/>
    </row>
    <row r="81" spans="11:22" x14ac:dyDescent="0.2">
      <c r="K81">
        <v>4</v>
      </c>
      <c r="L81" t="s">
        <v>9</v>
      </c>
      <c r="M81" t="s">
        <v>14</v>
      </c>
      <c r="N81" s="17" t="str">
        <f t="shared" si="6"/>
        <v>Technology</v>
      </c>
      <c r="O81" s="17" t="e">
        <f>P81*SUMIFS($P:$P,$F:$F,M81,$G:$G,N81)/#REF!</f>
        <v>#REF!</v>
      </c>
      <c r="P81" s="8">
        <v>1</v>
      </c>
      <c r="S81" s="7"/>
      <c r="V81" s="7"/>
    </row>
    <row r="82" spans="11:22" x14ac:dyDescent="0.2">
      <c r="K82">
        <v>5</v>
      </c>
      <c r="L82" t="s">
        <v>11</v>
      </c>
      <c r="M82" t="s">
        <v>14</v>
      </c>
      <c r="N82" s="17" t="str">
        <f t="shared" si="6"/>
        <v>CISO</v>
      </c>
      <c r="O82" s="17" t="e">
        <f>P82*SUMIFS($P:$P,$F:$F,M82,$G:$G,N82)/#REF!</f>
        <v>#REF!</v>
      </c>
      <c r="P82" s="8">
        <v>1</v>
      </c>
      <c r="S82" s="7"/>
      <c r="V82" s="7"/>
    </row>
    <row r="83" spans="11:22" x14ac:dyDescent="0.2">
      <c r="K83">
        <v>6</v>
      </c>
      <c r="L83" t="s">
        <v>116</v>
      </c>
      <c r="M83" t="s">
        <v>14</v>
      </c>
      <c r="N83" s="17" t="str">
        <f t="shared" si="6"/>
        <v>Data &amp; AI</v>
      </c>
      <c r="O83" s="17" t="e">
        <f>P83*SUMIFS($P:$P,$F:$F,M83,$G:$G,N83)/#REF!</f>
        <v>#REF!</v>
      </c>
      <c r="P83" s="8">
        <v>1</v>
      </c>
      <c r="S83" s="7"/>
      <c r="V83" s="7"/>
    </row>
    <row r="84" spans="11:22" x14ac:dyDescent="0.2">
      <c r="K84">
        <v>7</v>
      </c>
      <c r="L84" t="s">
        <v>37</v>
      </c>
      <c r="M84" t="s">
        <v>14</v>
      </c>
      <c r="N84" s="17" t="str">
        <f t="shared" si="6"/>
        <v>Commercial</v>
      </c>
      <c r="O84" s="17" t="e">
        <f>P84*SUMIFS($P:$P,$F:$F,M84,$G:$G,N84)/#REF!</f>
        <v>#REF!</v>
      </c>
      <c r="P84" s="8">
        <v>1</v>
      </c>
      <c r="S84" s="7"/>
      <c r="V84" s="7"/>
    </row>
    <row r="85" spans="11:22" x14ac:dyDescent="0.2">
      <c r="K85">
        <v>8</v>
      </c>
      <c r="L85" t="s">
        <v>44</v>
      </c>
      <c r="M85" t="s">
        <v>14</v>
      </c>
      <c r="N85" s="17" t="str">
        <f t="shared" si="6"/>
        <v>Corporate</v>
      </c>
      <c r="O85" s="17" t="e">
        <f>P85*SUMIFS($P:$P,$F:$F,M85,$G:$G,N85)/#REF!</f>
        <v>#REF!</v>
      </c>
      <c r="P85" s="8">
        <v>1</v>
      </c>
      <c r="S85" s="7"/>
      <c r="V85" s="7"/>
    </row>
    <row r="86" spans="11:22" x14ac:dyDescent="0.2">
      <c r="K86">
        <v>9</v>
      </c>
      <c r="L86" t="s">
        <v>7</v>
      </c>
      <c r="M86" t="s">
        <v>14</v>
      </c>
      <c r="N86" s="17" t="str">
        <f t="shared" si="6"/>
        <v>Operations</v>
      </c>
      <c r="O86" s="17" t="e">
        <f>P86*SUMIFS($P:$P,$F:$F,M86,$G:$G,N86)/#REF!</f>
        <v>#REF!</v>
      </c>
      <c r="P86" s="8">
        <v>1</v>
      </c>
      <c r="S86" s="7"/>
      <c r="V86" s="7"/>
    </row>
    <row r="87" spans="11:22" x14ac:dyDescent="0.2">
      <c r="K87">
        <v>10</v>
      </c>
      <c r="L87" t="s">
        <v>59</v>
      </c>
      <c r="M87" t="s">
        <v>14</v>
      </c>
      <c r="N87" s="17" t="str">
        <f t="shared" si="6"/>
        <v>Technology</v>
      </c>
      <c r="O87" s="17" t="e">
        <f>P87*SUMIFS($P:$P,$F:$F,M87,$G:$G,N87)/#REF!</f>
        <v>#REF!</v>
      </c>
      <c r="P87" s="8">
        <v>1</v>
      </c>
      <c r="S87" s="7"/>
      <c r="V87" s="7"/>
    </row>
    <row r="88" spans="11:22" x14ac:dyDescent="0.2">
      <c r="K88">
        <v>11</v>
      </c>
      <c r="L88" t="s">
        <v>36</v>
      </c>
      <c r="M88" t="s">
        <v>14</v>
      </c>
      <c r="N88" s="17" t="str">
        <f t="shared" si="6"/>
        <v>Commercial</v>
      </c>
      <c r="O88" s="17" t="e">
        <f>P88*SUMIFS($P:$P,$F:$F,M88,$G:$G,N88)/#REF!</f>
        <v>#REF!</v>
      </c>
      <c r="P88" s="8">
        <v>1</v>
      </c>
      <c r="S88" s="7"/>
      <c r="V88" s="7"/>
    </row>
    <row r="89" spans="11:22" x14ac:dyDescent="0.2">
      <c r="K89">
        <v>12</v>
      </c>
      <c r="L89" t="s">
        <v>46</v>
      </c>
      <c r="M89" t="s">
        <v>14</v>
      </c>
      <c r="N89" s="17" t="str">
        <f t="shared" si="6"/>
        <v>Corporate</v>
      </c>
      <c r="O89" s="17" t="e">
        <f>P89*SUMIFS($P:$P,$F:$F,M89,$G:$G,N89)/#REF!</f>
        <v>#REF!</v>
      </c>
      <c r="P89" s="8">
        <v>1</v>
      </c>
      <c r="S89" s="7"/>
      <c r="V89" s="7"/>
    </row>
    <row r="90" spans="11:22" x14ac:dyDescent="0.2">
      <c r="K90">
        <v>13</v>
      </c>
      <c r="L90" t="s">
        <v>42</v>
      </c>
      <c r="M90" t="s">
        <v>14</v>
      </c>
      <c r="N90" s="17" t="str">
        <f t="shared" si="6"/>
        <v>Operations</v>
      </c>
      <c r="O90" s="17" t="e">
        <f>P90*SUMIFS($P:$P,$F:$F,M90,$G:$G,N90)/#REF!</f>
        <v>#REF!</v>
      </c>
      <c r="P90" s="8">
        <v>1</v>
      </c>
      <c r="S90" s="7"/>
      <c r="V90" s="7"/>
    </row>
    <row r="91" spans="11:22" x14ac:dyDescent="0.2">
      <c r="K91">
        <v>14</v>
      </c>
      <c r="L91" t="s">
        <v>58</v>
      </c>
      <c r="M91" t="s">
        <v>14</v>
      </c>
      <c r="N91" s="17" t="str">
        <f t="shared" si="6"/>
        <v>Technology</v>
      </c>
      <c r="O91" s="17" t="e">
        <f>P91*SUMIFS($P:$P,$F:$F,M91,$G:$G,N91)/#REF!</f>
        <v>#REF!</v>
      </c>
      <c r="P91" s="8">
        <v>1</v>
      </c>
      <c r="S91" s="7"/>
      <c r="V91" s="7"/>
    </row>
    <row r="92" spans="11:22" x14ac:dyDescent="0.2">
      <c r="K92">
        <v>15</v>
      </c>
      <c r="L92" t="s">
        <v>38</v>
      </c>
      <c r="M92" t="s">
        <v>14</v>
      </c>
      <c r="N92" s="17" t="str">
        <f t="shared" si="6"/>
        <v>Commercial</v>
      </c>
      <c r="O92" s="17" t="e">
        <f>P92*SUMIFS($P:$P,$F:$F,M92,$G:$G,N92)/#REF!</f>
        <v>#REF!</v>
      </c>
      <c r="P92" s="8">
        <v>1</v>
      </c>
      <c r="S92" s="7"/>
      <c r="V92" s="7"/>
    </row>
    <row r="93" spans="11:22" x14ac:dyDescent="0.2">
      <c r="K93">
        <v>16</v>
      </c>
      <c r="L93" t="s">
        <v>47</v>
      </c>
      <c r="M93" t="s">
        <v>14</v>
      </c>
      <c r="N93" s="17" t="str">
        <f t="shared" si="6"/>
        <v>Corporate</v>
      </c>
      <c r="O93" s="17" t="e">
        <f>P93*SUMIFS($P:$P,$F:$F,M93,$G:$G,N93)/#REF!</f>
        <v>#REF!</v>
      </c>
      <c r="P93" s="8">
        <v>1</v>
      </c>
      <c r="S93" s="7"/>
      <c r="V93" s="7"/>
    </row>
    <row r="94" spans="11:22" x14ac:dyDescent="0.2">
      <c r="K94">
        <v>17</v>
      </c>
      <c r="L94" t="s">
        <v>34</v>
      </c>
      <c r="M94" t="s">
        <v>14</v>
      </c>
      <c r="N94" s="17" t="str">
        <f t="shared" si="6"/>
        <v>Technology</v>
      </c>
      <c r="O94" s="17" t="e">
        <f>P94*SUMIFS($P:$P,$F:$F,M94,$G:$G,N94)/#REF!</f>
        <v>#REF!</v>
      </c>
      <c r="P94" s="8">
        <v>1</v>
      </c>
      <c r="S94" s="7"/>
      <c r="V94" s="7"/>
    </row>
    <row r="95" spans="11:22" x14ac:dyDescent="0.2">
      <c r="K95">
        <v>18</v>
      </c>
      <c r="L95" t="s">
        <v>25</v>
      </c>
      <c r="M95" t="s">
        <v>14</v>
      </c>
      <c r="N95" s="17" t="str">
        <f t="shared" si="6"/>
        <v>Commercial</v>
      </c>
      <c r="O95" s="17" t="e">
        <f>P95*SUMIFS($P:$P,$F:$F,M95,$G:$G,N95)/#REF!</f>
        <v>#REF!</v>
      </c>
      <c r="P95" s="8">
        <v>1</v>
      </c>
      <c r="S95" s="7"/>
      <c r="V95" s="7"/>
    </row>
    <row r="96" spans="11:22" x14ac:dyDescent="0.2">
      <c r="K96">
        <v>19</v>
      </c>
      <c r="L96" t="s">
        <v>35</v>
      </c>
      <c r="M96" t="s">
        <v>14</v>
      </c>
      <c r="N96" s="17" t="str">
        <f t="shared" si="6"/>
        <v>Corporate</v>
      </c>
      <c r="O96" s="17" t="e">
        <f>P96*SUMIFS($P:$P,$F:$F,M96,$G:$G,N96)/#REF!</f>
        <v>#REF!</v>
      </c>
      <c r="P96" s="8">
        <v>1</v>
      </c>
      <c r="S96" s="7"/>
      <c r="V96" s="7"/>
    </row>
    <row r="97" spans="11:22" x14ac:dyDescent="0.2">
      <c r="K97">
        <v>20</v>
      </c>
      <c r="L97" t="s">
        <v>60</v>
      </c>
      <c r="M97" t="s">
        <v>14</v>
      </c>
      <c r="N97" s="17" t="str">
        <f t="shared" si="6"/>
        <v>Technology</v>
      </c>
      <c r="O97" s="17" t="e">
        <f>P97*SUMIFS($P:$P,$F:$F,M97,$G:$G,N97)/#REF!</f>
        <v>#REF!</v>
      </c>
      <c r="P97" s="8">
        <v>1</v>
      </c>
      <c r="S97" s="7"/>
      <c r="V97" s="7"/>
    </row>
    <row r="98" spans="11:22" x14ac:dyDescent="0.2">
      <c r="K98">
        <v>21</v>
      </c>
      <c r="L98" t="s">
        <v>21</v>
      </c>
      <c r="M98" t="s">
        <v>14</v>
      </c>
      <c r="N98" s="17" t="str">
        <f t="shared" si="6"/>
        <v>Commercial</v>
      </c>
      <c r="O98" s="17" t="e">
        <f>P98*SUMIFS($P:$P,$F:$F,M98,$G:$G,N98)/#REF!</f>
        <v>#REF!</v>
      </c>
      <c r="P98" s="8">
        <v>1</v>
      </c>
      <c r="S98" s="7"/>
      <c r="V98" s="7"/>
    </row>
    <row r="99" spans="11:22" x14ac:dyDescent="0.2">
      <c r="K99">
        <v>22</v>
      </c>
      <c r="L99" t="s">
        <v>98</v>
      </c>
      <c r="M99" t="s">
        <v>14</v>
      </c>
      <c r="N99" s="17" t="str">
        <f t="shared" ref="N99:N130" si="7">VLOOKUP($L99,$Y:$Z,2,FALSE)</f>
        <v>Corporate</v>
      </c>
      <c r="O99" s="17" t="e">
        <f>P99*SUMIFS($P:$P,$F:$F,M99,$G:$G,N99)/#REF!</f>
        <v>#REF!</v>
      </c>
      <c r="P99" s="8">
        <v>1</v>
      </c>
      <c r="S99" s="7"/>
      <c r="V99" s="7"/>
    </row>
    <row r="100" spans="11:22" x14ac:dyDescent="0.2">
      <c r="K100">
        <v>23</v>
      </c>
      <c r="L100" t="s">
        <v>24</v>
      </c>
      <c r="M100" t="s">
        <v>14</v>
      </c>
      <c r="N100" s="17" t="str">
        <f t="shared" si="7"/>
        <v>Commercial</v>
      </c>
      <c r="O100" s="17" t="e">
        <f>P100*SUMIFS($P:$P,$F:$F,M100,$G:$G,N100)/#REF!</f>
        <v>#REF!</v>
      </c>
      <c r="P100" s="8">
        <v>1</v>
      </c>
      <c r="S100" s="7"/>
      <c r="V100" s="7"/>
    </row>
    <row r="101" spans="11:22" x14ac:dyDescent="0.2">
      <c r="K101">
        <v>24</v>
      </c>
      <c r="L101" t="s">
        <v>45</v>
      </c>
      <c r="M101" t="s">
        <v>14</v>
      </c>
      <c r="N101" s="17" t="str">
        <f t="shared" si="7"/>
        <v>Corporate</v>
      </c>
      <c r="O101" s="17" t="e">
        <f>P101*SUMIFS($P:$P,$F:$F,M101,$G:$G,N101)/#REF!</f>
        <v>#REF!</v>
      </c>
      <c r="P101" s="8">
        <v>1</v>
      </c>
      <c r="S101" s="7"/>
      <c r="V101" s="7"/>
    </row>
    <row r="102" spans="11:22" x14ac:dyDescent="0.2">
      <c r="K102">
        <v>25</v>
      </c>
      <c r="L102" t="s">
        <v>40</v>
      </c>
      <c r="M102" t="s">
        <v>14</v>
      </c>
      <c r="N102" s="17" t="str">
        <f t="shared" si="7"/>
        <v>Commercial</v>
      </c>
      <c r="O102" s="17" t="e">
        <f>P102*SUMIFS($P:$P,$F:$F,M102,$G:$G,N102)/#REF!</f>
        <v>#REF!</v>
      </c>
      <c r="P102" s="8">
        <v>1</v>
      </c>
      <c r="S102" s="7"/>
      <c r="V102" s="7"/>
    </row>
    <row r="103" spans="11:22" x14ac:dyDescent="0.2">
      <c r="K103">
        <v>26</v>
      </c>
      <c r="L103" t="s">
        <v>48</v>
      </c>
      <c r="M103" t="s">
        <v>14</v>
      </c>
      <c r="N103" s="17" t="str">
        <f t="shared" si="7"/>
        <v>Corporate</v>
      </c>
      <c r="O103" s="17" t="e">
        <f>P103*SUMIFS($P:$P,$F:$F,M103,$G:$G,N103)/#REF!</f>
        <v>#REF!</v>
      </c>
      <c r="P103" s="8">
        <v>1</v>
      </c>
      <c r="S103" s="7"/>
      <c r="V103" s="7"/>
    </row>
    <row r="104" spans="11:22" x14ac:dyDescent="0.2">
      <c r="K104">
        <v>27</v>
      </c>
      <c r="L104" t="s">
        <v>39</v>
      </c>
      <c r="M104" t="s">
        <v>14</v>
      </c>
      <c r="N104" s="17" t="str">
        <f t="shared" si="7"/>
        <v>Commercial</v>
      </c>
      <c r="O104" s="17" t="e">
        <f>P104*SUMIFS($P:$P,$F:$F,M104,$G:$G,N104)/#REF!</f>
        <v>#REF!</v>
      </c>
      <c r="P104" s="8">
        <v>1</v>
      </c>
      <c r="S104" s="7"/>
      <c r="V104" s="7"/>
    </row>
    <row r="105" spans="11:22" x14ac:dyDescent="0.2">
      <c r="K105">
        <v>28</v>
      </c>
      <c r="L105" t="s">
        <v>54</v>
      </c>
      <c r="M105" t="s">
        <v>14</v>
      </c>
      <c r="N105" s="17" t="str">
        <f t="shared" si="7"/>
        <v>Corporate</v>
      </c>
      <c r="O105" s="17" t="e">
        <f>P105*SUMIFS($P:$P,$F:$F,M105,$G:$G,N105)/#REF!</f>
        <v>#REF!</v>
      </c>
      <c r="P105" s="8">
        <v>1</v>
      </c>
      <c r="S105" s="7"/>
      <c r="V105" s="7"/>
    </row>
    <row r="106" spans="11:22" x14ac:dyDescent="0.2">
      <c r="K106">
        <v>29</v>
      </c>
      <c r="L106" t="s">
        <v>50</v>
      </c>
      <c r="M106" t="s">
        <v>14</v>
      </c>
      <c r="N106" s="17" t="str">
        <f t="shared" si="7"/>
        <v>Corporate</v>
      </c>
      <c r="O106" s="17" t="e">
        <f>P106*SUMIFS($P:$P,$F:$F,M106,$G:$G,N106)/#REF!</f>
        <v>#REF!</v>
      </c>
      <c r="P106" s="8">
        <v>1</v>
      </c>
      <c r="S106" s="7"/>
      <c r="V106" s="7"/>
    </row>
    <row r="107" spans="11:22" x14ac:dyDescent="0.2">
      <c r="K107">
        <v>30</v>
      </c>
      <c r="L107" t="s">
        <v>51</v>
      </c>
      <c r="M107" t="s">
        <v>14</v>
      </c>
      <c r="N107" s="17" t="str">
        <f t="shared" si="7"/>
        <v>Corporate</v>
      </c>
      <c r="O107" s="17" t="e">
        <f>P107*SUMIFS($P:$P,$F:$F,M107,$G:$G,N107)/#REF!</f>
        <v>#REF!</v>
      </c>
      <c r="P107" s="8">
        <v>1</v>
      </c>
      <c r="S107" s="7"/>
      <c r="V107" s="7"/>
    </row>
    <row r="108" spans="11:22" x14ac:dyDescent="0.2">
      <c r="K108">
        <v>31</v>
      </c>
      <c r="L108" t="s">
        <v>56</v>
      </c>
      <c r="M108" t="s">
        <v>14</v>
      </c>
      <c r="N108" s="17" t="str">
        <f t="shared" si="7"/>
        <v>Corporate</v>
      </c>
      <c r="O108" s="17" t="e">
        <f>P108*SUMIFS($P:$P,$F:$F,M108,$G:$G,N108)/#REF!</f>
        <v>#REF!</v>
      </c>
      <c r="P108" s="8">
        <v>1</v>
      </c>
      <c r="S108" s="7"/>
      <c r="V108" s="7"/>
    </row>
    <row r="109" spans="11:22" x14ac:dyDescent="0.2">
      <c r="K109">
        <v>32</v>
      </c>
      <c r="L109" t="s">
        <v>53</v>
      </c>
      <c r="M109" t="s">
        <v>14</v>
      </c>
      <c r="N109" s="17" t="str">
        <f t="shared" si="7"/>
        <v>Corporate</v>
      </c>
      <c r="O109" s="17" t="e">
        <f>P109*SUMIFS($P:$P,$F:$F,M109,$G:$G,N109)/#REF!</f>
        <v>#REF!</v>
      </c>
      <c r="P109" s="8">
        <v>1</v>
      </c>
      <c r="S109" s="7"/>
      <c r="V109" s="7"/>
    </row>
    <row r="110" spans="11:22" x14ac:dyDescent="0.2">
      <c r="K110">
        <v>1</v>
      </c>
      <c r="L110" t="s">
        <v>21</v>
      </c>
      <c r="M110" t="s">
        <v>15</v>
      </c>
      <c r="N110" s="17" t="str">
        <f t="shared" si="7"/>
        <v>Commercial</v>
      </c>
      <c r="O110" s="17" t="e">
        <f>P110*SUMIFS($P:$P,$F:$F,M110,$G:$G,N110)/#REF!</f>
        <v>#REF!</v>
      </c>
      <c r="P110" s="8">
        <v>1</v>
      </c>
      <c r="S110" s="7"/>
      <c r="V110" s="7"/>
    </row>
    <row r="111" spans="11:22" x14ac:dyDescent="0.2">
      <c r="K111">
        <v>2</v>
      </c>
      <c r="L111" t="s">
        <v>26</v>
      </c>
      <c r="M111" t="s">
        <v>15</v>
      </c>
      <c r="N111" s="17" t="str">
        <f t="shared" si="7"/>
        <v>Operations</v>
      </c>
      <c r="O111" s="17" t="e">
        <f>P111*SUMIFS($P:$P,$F:$F,M111,$G:$G,N111)/#REF!</f>
        <v>#REF!</v>
      </c>
      <c r="P111" s="8">
        <v>1</v>
      </c>
      <c r="S111" s="7"/>
      <c r="V111" s="7"/>
    </row>
    <row r="112" spans="11:22" x14ac:dyDescent="0.2">
      <c r="K112">
        <v>3</v>
      </c>
      <c r="L112" t="s">
        <v>22</v>
      </c>
      <c r="M112" t="s">
        <v>15</v>
      </c>
      <c r="N112" s="17" t="str">
        <f t="shared" si="7"/>
        <v>Corporate</v>
      </c>
      <c r="O112" s="17" t="e">
        <f>P112*SUMIFS($P:$P,$F:$F,M112,$G:$G,N112)/#REF!</f>
        <v>#REF!</v>
      </c>
      <c r="P112" s="8">
        <v>1</v>
      </c>
      <c r="S112" s="7"/>
      <c r="V112" s="7"/>
    </row>
    <row r="113" spans="11:22" x14ac:dyDescent="0.2">
      <c r="K113">
        <v>4</v>
      </c>
      <c r="L113" t="s">
        <v>9</v>
      </c>
      <c r="M113" t="s">
        <v>15</v>
      </c>
      <c r="N113" s="17" t="str">
        <f t="shared" si="7"/>
        <v>Technology</v>
      </c>
      <c r="O113" s="17" t="e">
        <f>P113*SUMIFS($P:$P,$F:$F,M113,$G:$G,N113)/#REF!</f>
        <v>#REF!</v>
      </c>
      <c r="P113" s="8">
        <v>1</v>
      </c>
      <c r="S113" s="7"/>
      <c r="V113" s="7"/>
    </row>
    <row r="114" spans="11:22" x14ac:dyDescent="0.2">
      <c r="K114">
        <v>5</v>
      </c>
      <c r="L114" t="s">
        <v>11</v>
      </c>
      <c r="M114" t="s">
        <v>15</v>
      </c>
      <c r="N114" s="17" t="str">
        <f t="shared" si="7"/>
        <v>CISO</v>
      </c>
      <c r="O114" s="17" t="e">
        <f>P114*SUMIFS($P:$P,$F:$F,M114,$G:$G,N114)/#REF!</f>
        <v>#REF!</v>
      </c>
      <c r="P114" s="8">
        <v>1</v>
      </c>
      <c r="S114" s="7"/>
      <c r="V114" s="7"/>
    </row>
    <row r="115" spans="11:22" x14ac:dyDescent="0.2">
      <c r="K115">
        <v>6</v>
      </c>
      <c r="L115" t="s">
        <v>116</v>
      </c>
      <c r="M115" t="s">
        <v>15</v>
      </c>
      <c r="N115" s="17" t="str">
        <f t="shared" si="7"/>
        <v>Data &amp; AI</v>
      </c>
      <c r="O115" s="17" t="e">
        <f>P115*SUMIFS($P:$P,$F:$F,M115,$G:$G,N115)/#REF!</f>
        <v>#REF!</v>
      </c>
      <c r="P115" s="8">
        <v>1</v>
      </c>
      <c r="S115" s="7"/>
      <c r="V115" s="7"/>
    </row>
    <row r="116" spans="11:22" x14ac:dyDescent="0.2">
      <c r="K116">
        <v>7</v>
      </c>
      <c r="L116" t="s">
        <v>37</v>
      </c>
      <c r="M116" t="s">
        <v>15</v>
      </c>
      <c r="N116" s="17" t="str">
        <f t="shared" si="7"/>
        <v>Commercial</v>
      </c>
      <c r="O116" s="17" t="e">
        <f>P116*SUMIFS($P:$P,$F:$F,M116,$G:$G,N116)/#REF!</f>
        <v>#REF!</v>
      </c>
      <c r="P116" s="8">
        <v>1</v>
      </c>
      <c r="S116" s="7"/>
      <c r="V116" s="7"/>
    </row>
    <row r="117" spans="11:22" x14ac:dyDescent="0.2">
      <c r="K117">
        <v>8</v>
      </c>
      <c r="L117" t="s">
        <v>44</v>
      </c>
      <c r="M117" t="s">
        <v>15</v>
      </c>
      <c r="N117" s="17" t="str">
        <f t="shared" si="7"/>
        <v>Corporate</v>
      </c>
      <c r="O117" s="17" t="e">
        <f>P117*SUMIFS($P:$P,$F:$F,M117,$G:$G,N117)/#REF!</f>
        <v>#REF!</v>
      </c>
      <c r="P117" s="8">
        <v>1</v>
      </c>
      <c r="S117" s="7"/>
      <c r="V117" s="7"/>
    </row>
    <row r="118" spans="11:22" x14ac:dyDescent="0.2">
      <c r="K118">
        <v>9</v>
      </c>
      <c r="L118" t="s">
        <v>7</v>
      </c>
      <c r="M118" t="s">
        <v>15</v>
      </c>
      <c r="N118" s="17" t="str">
        <f t="shared" si="7"/>
        <v>Operations</v>
      </c>
      <c r="O118" s="17" t="e">
        <f>P118*SUMIFS($P:$P,$F:$F,M118,$G:$G,N118)/#REF!</f>
        <v>#REF!</v>
      </c>
      <c r="P118" s="8">
        <v>1</v>
      </c>
      <c r="S118" s="7"/>
      <c r="V118" s="7"/>
    </row>
    <row r="119" spans="11:22" x14ac:dyDescent="0.2">
      <c r="K119">
        <v>10</v>
      </c>
      <c r="L119" t="s">
        <v>59</v>
      </c>
      <c r="M119" t="s">
        <v>15</v>
      </c>
      <c r="N119" s="17" t="str">
        <f t="shared" si="7"/>
        <v>Technology</v>
      </c>
      <c r="O119" s="17" t="e">
        <f>P119*SUMIFS($P:$P,$F:$F,M119,$G:$G,N119)/#REF!</f>
        <v>#REF!</v>
      </c>
      <c r="P119" s="8">
        <v>1</v>
      </c>
      <c r="S119" s="7"/>
      <c r="V119" s="7"/>
    </row>
    <row r="120" spans="11:22" x14ac:dyDescent="0.2">
      <c r="K120">
        <v>11</v>
      </c>
      <c r="L120" t="s">
        <v>36</v>
      </c>
      <c r="M120" t="s">
        <v>15</v>
      </c>
      <c r="N120" s="17" t="str">
        <f t="shared" si="7"/>
        <v>Commercial</v>
      </c>
      <c r="O120" s="17" t="e">
        <f>P120*SUMIFS($P:$P,$F:$F,M120,$G:$G,N120)/#REF!</f>
        <v>#REF!</v>
      </c>
      <c r="P120" s="8">
        <v>1</v>
      </c>
      <c r="S120" s="7"/>
      <c r="V120" s="7"/>
    </row>
    <row r="121" spans="11:22" x14ac:dyDescent="0.2">
      <c r="K121">
        <v>12</v>
      </c>
      <c r="L121" t="s">
        <v>46</v>
      </c>
      <c r="M121" t="s">
        <v>15</v>
      </c>
      <c r="N121" s="17" t="str">
        <f t="shared" si="7"/>
        <v>Corporate</v>
      </c>
      <c r="O121" s="17" t="e">
        <f>P121*SUMIFS($P:$P,$F:$F,M121,$G:$G,N121)/#REF!</f>
        <v>#REF!</v>
      </c>
      <c r="P121" s="8">
        <v>1</v>
      </c>
      <c r="S121" s="7"/>
      <c r="V121" s="7"/>
    </row>
    <row r="122" spans="11:22" x14ac:dyDescent="0.2">
      <c r="K122">
        <v>13</v>
      </c>
      <c r="L122" t="s">
        <v>42</v>
      </c>
      <c r="M122" t="s">
        <v>15</v>
      </c>
      <c r="N122" s="17" t="str">
        <f t="shared" si="7"/>
        <v>Operations</v>
      </c>
      <c r="O122" s="17" t="e">
        <f>P122*SUMIFS($P:$P,$F:$F,M122,$G:$G,N122)/#REF!</f>
        <v>#REF!</v>
      </c>
      <c r="P122" s="8">
        <v>1</v>
      </c>
      <c r="S122" s="7"/>
      <c r="V122" s="7"/>
    </row>
    <row r="123" spans="11:22" x14ac:dyDescent="0.2">
      <c r="K123">
        <v>14</v>
      </c>
      <c r="L123" t="s">
        <v>58</v>
      </c>
      <c r="M123" t="s">
        <v>15</v>
      </c>
      <c r="N123" s="17" t="str">
        <f t="shared" si="7"/>
        <v>Technology</v>
      </c>
      <c r="O123" s="17" t="e">
        <f>P123*SUMIFS($P:$P,$F:$F,M123,$G:$G,N123)/#REF!</f>
        <v>#REF!</v>
      </c>
      <c r="P123" s="8">
        <v>1</v>
      </c>
      <c r="S123" s="7"/>
      <c r="V123" s="7"/>
    </row>
    <row r="124" spans="11:22" x14ac:dyDescent="0.2">
      <c r="K124">
        <v>15</v>
      </c>
      <c r="L124" t="s">
        <v>38</v>
      </c>
      <c r="M124" t="s">
        <v>15</v>
      </c>
      <c r="N124" s="17" t="str">
        <f t="shared" si="7"/>
        <v>Commercial</v>
      </c>
      <c r="O124" s="17" t="e">
        <f>P124*SUMIFS($P:$P,$F:$F,M124,$G:$G,N124)/#REF!</f>
        <v>#REF!</v>
      </c>
      <c r="P124" s="8">
        <v>1</v>
      </c>
      <c r="S124" s="7"/>
      <c r="V124" s="7"/>
    </row>
    <row r="125" spans="11:22" x14ac:dyDescent="0.2">
      <c r="K125">
        <v>16</v>
      </c>
      <c r="L125" t="s">
        <v>47</v>
      </c>
      <c r="M125" t="s">
        <v>15</v>
      </c>
      <c r="N125" s="17" t="str">
        <f t="shared" si="7"/>
        <v>Corporate</v>
      </c>
      <c r="O125" s="17" t="e">
        <f>P125*SUMIFS($P:$P,$F:$F,M125,$G:$G,N125)/#REF!</f>
        <v>#REF!</v>
      </c>
      <c r="P125" s="8">
        <v>1</v>
      </c>
      <c r="S125" s="7"/>
      <c r="V125" s="7"/>
    </row>
    <row r="126" spans="11:22" x14ac:dyDescent="0.2">
      <c r="K126">
        <v>17</v>
      </c>
      <c r="L126" t="s">
        <v>34</v>
      </c>
      <c r="M126" t="s">
        <v>15</v>
      </c>
      <c r="N126" s="17" t="str">
        <f t="shared" si="7"/>
        <v>Technology</v>
      </c>
      <c r="O126" s="17" t="e">
        <f>P126*SUMIFS($P:$P,$F:$F,M126,$G:$G,N126)/#REF!</f>
        <v>#REF!</v>
      </c>
      <c r="P126" s="8">
        <v>1</v>
      </c>
      <c r="S126" s="7"/>
      <c r="V126" s="7"/>
    </row>
    <row r="127" spans="11:22" x14ac:dyDescent="0.2">
      <c r="K127">
        <v>18</v>
      </c>
      <c r="L127" t="s">
        <v>25</v>
      </c>
      <c r="M127" t="s">
        <v>15</v>
      </c>
      <c r="N127" s="17" t="str">
        <f t="shared" si="7"/>
        <v>Commercial</v>
      </c>
      <c r="O127" s="17" t="e">
        <f>P127*SUMIFS($P:$P,$F:$F,M127,$G:$G,N127)/#REF!</f>
        <v>#REF!</v>
      </c>
      <c r="P127" s="8">
        <v>1</v>
      </c>
      <c r="S127" s="7"/>
      <c r="V127" s="7"/>
    </row>
    <row r="128" spans="11:22" x14ac:dyDescent="0.2">
      <c r="K128">
        <v>19</v>
      </c>
      <c r="L128" t="s">
        <v>35</v>
      </c>
      <c r="M128" t="s">
        <v>15</v>
      </c>
      <c r="N128" s="17" t="str">
        <f t="shared" si="7"/>
        <v>Corporate</v>
      </c>
      <c r="O128" s="17" t="e">
        <f>P128*SUMIFS($P:$P,$F:$F,M128,$G:$G,N128)/#REF!</f>
        <v>#REF!</v>
      </c>
      <c r="P128" s="8">
        <v>1</v>
      </c>
      <c r="S128" s="7"/>
      <c r="V128" s="7"/>
    </row>
    <row r="129" spans="11:22" x14ac:dyDescent="0.2">
      <c r="K129">
        <v>20</v>
      </c>
      <c r="L129" t="s">
        <v>60</v>
      </c>
      <c r="M129" t="s">
        <v>15</v>
      </c>
      <c r="N129" s="17" t="str">
        <f t="shared" si="7"/>
        <v>Technology</v>
      </c>
      <c r="O129" s="17" t="e">
        <f>P129*SUMIFS($P:$P,$F:$F,M129,$G:$G,N129)/#REF!</f>
        <v>#REF!</v>
      </c>
      <c r="P129" s="8">
        <v>1</v>
      </c>
      <c r="S129" s="7"/>
      <c r="V129" s="7"/>
    </row>
    <row r="130" spans="11:22" x14ac:dyDescent="0.2">
      <c r="K130">
        <v>21</v>
      </c>
      <c r="L130" t="s">
        <v>23</v>
      </c>
      <c r="M130" t="s">
        <v>15</v>
      </c>
      <c r="N130" s="17" t="str">
        <f t="shared" si="7"/>
        <v>Commercial</v>
      </c>
      <c r="O130" s="17" t="e">
        <f>P130*SUMIFS($P:$P,$F:$F,M130,$G:$G,N130)/#REF!</f>
        <v>#REF!</v>
      </c>
      <c r="P130" s="8">
        <v>1</v>
      </c>
      <c r="S130" s="7"/>
      <c r="V130" s="7"/>
    </row>
    <row r="131" spans="11:22" x14ac:dyDescent="0.2">
      <c r="K131">
        <v>22</v>
      </c>
      <c r="L131" t="s">
        <v>98</v>
      </c>
      <c r="M131" t="s">
        <v>15</v>
      </c>
      <c r="N131" s="17" t="str">
        <f t="shared" ref="N131:N162" si="8">VLOOKUP($L131,$Y:$Z,2,FALSE)</f>
        <v>Corporate</v>
      </c>
      <c r="O131" s="17" t="e">
        <f>P131*SUMIFS($P:$P,$F:$F,M131,$G:$G,N131)/#REF!</f>
        <v>#REF!</v>
      </c>
      <c r="P131" s="8">
        <v>1</v>
      </c>
      <c r="S131" s="7"/>
      <c r="V131" s="7"/>
    </row>
    <row r="132" spans="11:22" x14ac:dyDescent="0.2">
      <c r="K132">
        <v>23</v>
      </c>
      <c r="L132" t="s">
        <v>24</v>
      </c>
      <c r="M132" t="s">
        <v>15</v>
      </c>
      <c r="N132" s="17" t="str">
        <f t="shared" si="8"/>
        <v>Commercial</v>
      </c>
      <c r="O132" s="17" t="e">
        <f>P132*SUMIFS($P:$P,$F:$F,M132,$G:$G,N132)/#REF!</f>
        <v>#REF!</v>
      </c>
      <c r="P132" s="8">
        <v>1</v>
      </c>
      <c r="S132" s="7"/>
      <c r="V132" s="7"/>
    </row>
    <row r="133" spans="11:22" x14ac:dyDescent="0.2">
      <c r="K133">
        <v>24</v>
      </c>
      <c r="L133" t="s">
        <v>45</v>
      </c>
      <c r="M133" t="s">
        <v>15</v>
      </c>
      <c r="N133" s="17" t="str">
        <f t="shared" si="8"/>
        <v>Corporate</v>
      </c>
      <c r="O133" s="17" t="e">
        <f>P133*SUMIFS($P:$P,$F:$F,M133,$G:$G,N133)/#REF!</f>
        <v>#REF!</v>
      </c>
      <c r="P133" s="8">
        <v>1</v>
      </c>
      <c r="S133" s="7"/>
      <c r="V133" s="7"/>
    </row>
    <row r="134" spans="11:22" x14ac:dyDescent="0.2">
      <c r="K134">
        <v>25</v>
      </c>
      <c r="L134" t="s">
        <v>40</v>
      </c>
      <c r="M134" t="s">
        <v>15</v>
      </c>
      <c r="N134" s="17" t="str">
        <f t="shared" si="8"/>
        <v>Commercial</v>
      </c>
      <c r="O134" s="17" t="e">
        <f>P134*SUMIFS($P:$P,$F:$F,M134,$G:$G,N134)/#REF!</f>
        <v>#REF!</v>
      </c>
      <c r="P134" s="8">
        <v>1</v>
      </c>
      <c r="S134" s="7"/>
      <c r="V134" s="7"/>
    </row>
    <row r="135" spans="11:22" x14ac:dyDescent="0.2">
      <c r="K135">
        <v>26</v>
      </c>
      <c r="L135" t="s">
        <v>48</v>
      </c>
      <c r="M135" t="s">
        <v>15</v>
      </c>
      <c r="N135" s="17" t="str">
        <f t="shared" si="8"/>
        <v>Corporate</v>
      </c>
      <c r="O135" s="17" t="e">
        <f>P135*SUMIFS($P:$P,$F:$F,M135,$G:$G,N135)/#REF!</f>
        <v>#REF!</v>
      </c>
      <c r="P135" s="8">
        <v>1</v>
      </c>
      <c r="S135" s="7"/>
      <c r="V135" s="7"/>
    </row>
    <row r="136" spans="11:22" x14ac:dyDescent="0.2">
      <c r="K136">
        <v>27</v>
      </c>
      <c r="L136" t="s">
        <v>39</v>
      </c>
      <c r="M136" t="s">
        <v>15</v>
      </c>
      <c r="N136" s="17" t="str">
        <f t="shared" si="8"/>
        <v>Commercial</v>
      </c>
      <c r="O136" s="17" t="e">
        <f>P136*SUMIFS($P:$P,$F:$F,M136,$G:$G,N136)/#REF!</f>
        <v>#REF!</v>
      </c>
      <c r="P136" s="8">
        <v>1</v>
      </c>
      <c r="S136" s="7"/>
      <c r="V136" s="7"/>
    </row>
    <row r="137" spans="11:22" x14ac:dyDescent="0.2">
      <c r="K137">
        <v>28</v>
      </c>
      <c r="L137" t="s">
        <v>54</v>
      </c>
      <c r="M137" t="s">
        <v>15</v>
      </c>
      <c r="N137" s="17" t="str">
        <f t="shared" si="8"/>
        <v>Corporate</v>
      </c>
      <c r="O137" s="17" t="e">
        <f>P137*SUMIFS($P:$P,$F:$F,M137,$G:$G,N137)/#REF!</f>
        <v>#REF!</v>
      </c>
      <c r="P137" s="8">
        <v>1</v>
      </c>
      <c r="S137" s="7"/>
      <c r="V137" s="7"/>
    </row>
    <row r="138" spans="11:22" x14ac:dyDescent="0.2">
      <c r="K138">
        <v>29</v>
      </c>
      <c r="L138" t="s">
        <v>50</v>
      </c>
      <c r="M138" t="s">
        <v>15</v>
      </c>
      <c r="N138" s="17" t="str">
        <f t="shared" si="8"/>
        <v>Corporate</v>
      </c>
      <c r="O138" s="17" t="e">
        <f>P138*SUMIFS($P:$P,$F:$F,M138,$G:$G,N138)/#REF!</f>
        <v>#REF!</v>
      </c>
      <c r="P138" s="8">
        <v>1</v>
      </c>
      <c r="S138" s="7"/>
      <c r="V138" s="7"/>
    </row>
    <row r="139" spans="11:22" x14ac:dyDescent="0.2">
      <c r="K139">
        <v>30</v>
      </c>
      <c r="L139" t="s">
        <v>51</v>
      </c>
      <c r="M139" t="s">
        <v>15</v>
      </c>
      <c r="N139" s="17" t="str">
        <f t="shared" si="8"/>
        <v>Corporate</v>
      </c>
      <c r="O139" s="17" t="e">
        <f>P139*SUMIFS($P:$P,$F:$F,M139,$G:$G,N139)/#REF!</f>
        <v>#REF!</v>
      </c>
      <c r="P139" s="8">
        <v>1</v>
      </c>
      <c r="S139" s="7"/>
      <c r="V139" s="7"/>
    </row>
    <row r="140" spans="11:22" x14ac:dyDescent="0.2">
      <c r="K140">
        <v>31</v>
      </c>
      <c r="L140" t="s">
        <v>56</v>
      </c>
      <c r="M140" t="s">
        <v>15</v>
      </c>
      <c r="N140" s="17" t="str">
        <f t="shared" si="8"/>
        <v>Corporate</v>
      </c>
      <c r="O140" s="17" t="e">
        <f>P140*SUMIFS($P:$P,$F:$F,M140,$G:$G,N140)/#REF!</f>
        <v>#REF!</v>
      </c>
      <c r="P140" s="8">
        <v>1</v>
      </c>
      <c r="S140" s="7"/>
      <c r="V140" s="7"/>
    </row>
    <row r="141" spans="11:22" x14ac:dyDescent="0.2">
      <c r="K141">
        <v>32</v>
      </c>
      <c r="L141" t="s">
        <v>53</v>
      </c>
      <c r="M141" t="s">
        <v>15</v>
      </c>
      <c r="N141" s="17" t="str">
        <f t="shared" si="8"/>
        <v>Corporate</v>
      </c>
      <c r="O141" s="17" t="e">
        <f>P141*SUMIFS($P:$P,$F:$F,M141,$G:$G,N141)/#REF!</f>
        <v>#REF!</v>
      </c>
      <c r="P141" s="8">
        <v>1</v>
      </c>
      <c r="S141" s="7"/>
      <c r="V141" s="7"/>
    </row>
    <row r="142" spans="11:22" x14ac:dyDescent="0.2">
      <c r="K142">
        <v>1</v>
      </c>
      <c r="L142" t="s">
        <v>24</v>
      </c>
      <c r="M142" t="s">
        <v>16</v>
      </c>
      <c r="N142" s="17" t="str">
        <f t="shared" si="8"/>
        <v>Commercial</v>
      </c>
      <c r="O142" s="17" t="e">
        <f>P142*SUMIFS($P:$P,$F:$F,M142,$G:$G,N142)/#REF!</f>
        <v>#REF!</v>
      </c>
      <c r="P142" s="8">
        <v>1</v>
      </c>
      <c r="S142" s="7"/>
      <c r="V142" s="7"/>
    </row>
    <row r="143" spans="11:22" x14ac:dyDescent="0.2">
      <c r="K143">
        <v>2</v>
      </c>
      <c r="L143" t="s">
        <v>26</v>
      </c>
      <c r="M143" t="s">
        <v>16</v>
      </c>
      <c r="N143" s="17" t="str">
        <f t="shared" si="8"/>
        <v>Operations</v>
      </c>
      <c r="O143" s="17" t="e">
        <f>P143*SUMIFS($P:$P,$F:$F,M143,$G:$G,N143)/#REF!</f>
        <v>#REF!</v>
      </c>
      <c r="P143" s="8">
        <v>1</v>
      </c>
      <c r="S143" s="7"/>
      <c r="V143" s="7"/>
    </row>
    <row r="144" spans="11:22" x14ac:dyDescent="0.2">
      <c r="K144">
        <v>3</v>
      </c>
      <c r="L144" t="s">
        <v>22</v>
      </c>
      <c r="M144" t="s">
        <v>16</v>
      </c>
      <c r="N144" s="17" t="str">
        <f t="shared" si="8"/>
        <v>Corporate</v>
      </c>
      <c r="O144" s="17" t="e">
        <f>P144*SUMIFS($P:$P,$F:$F,M144,$G:$G,N144)/#REF!</f>
        <v>#REF!</v>
      </c>
      <c r="P144" s="8">
        <v>1</v>
      </c>
      <c r="S144" s="7"/>
      <c r="V144" s="7"/>
    </row>
    <row r="145" spans="11:22" x14ac:dyDescent="0.2">
      <c r="K145">
        <v>4</v>
      </c>
      <c r="L145" t="s">
        <v>9</v>
      </c>
      <c r="M145" t="s">
        <v>16</v>
      </c>
      <c r="N145" s="17" t="str">
        <f t="shared" si="8"/>
        <v>Technology</v>
      </c>
      <c r="O145" s="17" t="e">
        <f>P145*SUMIFS($P:$P,$F:$F,M145,$G:$G,N145)/#REF!</f>
        <v>#REF!</v>
      </c>
      <c r="P145" s="8">
        <v>1</v>
      </c>
      <c r="S145" s="7"/>
      <c r="V145" s="7"/>
    </row>
    <row r="146" spans="11:22" x14ac:dyDescent="0.2">
      <c r="K146">
        <v>5</v>
      </c>
      <c r="L146" t="s">
        <v>11</v>
      </c>
      <c r="M146" t="s">
        <v>16</v>
      </c>
      <c r="N146" s="17" t="str">
        <f t="shared" si="8"/>
        <v>CISO</v>
      </c>
      <c r="O146" s="17" t="e">
        <f>P146*SUMIFS($P:$P,$F:$F,M146,$G:$G,N146)/#REF!</f>
        <v>#REF!</v>
      </c>
      <c r="P146" s="8">
        <v>1</v>
      </c>
      <c r="S146" s="7"/>
      <c r="V146" s="7"/>
    </row>
    <row r="147" spans="11:22" x14ac:dyDescent="0.2">
      <c r="K147">
        <v>6</v>
      </c>
      <c r="L147" t="s">
        <v>116</v>
      </c>
      <c r="M147" t="s">
        <v>16</v>
      </c>
      <c r="N147" s="17" t="str">
        <f t="shared" si="8"/>
        <v>Data &amp; AI</v>
      </c>
      <c r="O147" s="17" t="e">
        <f>P147*SUMIFS($P:$P,$F:$F,M147,$G:$G,N147)/#REF!</f>
        <v>#REF!</v>
      </c>
      <c r="P147" s="8">
        <v>1</v>
      </c>
      <c r="S147" s="7"/>
      <c r="V147" s="7"/>
    </row>
    <row r="148" spans="11:22" x14ac:dyDescent="0.2">
      <c r="K148">
        <v>7</v>
      </c>
      <c r="L148" t="s">
        <v>37</v>
      </c>
      <c r="M148" t="s">
        <v>16</v>
      </c>
      <c r="N148" s="17" t="str">
        <f t="shared" si="8"/>
        <v>Commercial</v>
      </c>
      <c r="O148" s="17" t="e">
        <f>P148*SUMIFS($P:$P,$F:$F,M148,$G:$G,N148)/#REF!</f>
        <v>#REF!</v>
      </c>
      <c r="P148" s="8">
        <v>1</v>
      </c>
      <c r="S148" s="7"/>
      <c r="V148" s="7"/>
    </row>
    <row r="149" spans="11:22" x14ac:dyDescent="0.2">
      <c r="K149">
        <v>8</v>
      </c>
      <c r="L149" t="s">
        <v>44</v>
      </c>
      <c r="M149" t="s">
        <v>16</v>
      </c>
      <c r="N149" s="17" t="str">
        <f t="shared" si="8"/>
        <v>Corporate</v>
      </c>
      <c r="O149" s="17" t="e">
        <f>P149*SUMIFS($P:$P,$F:$F,M149,$G:$G,N149)/#REF!</f>
        <v>#REF!</v>
      </c>
      <c r="P149" s="8">
        <v>1</v>
      </c>
      <c r="S149" s="7"/>
      <c r="V149" s="7"/>
    </row>
    <row r="150" spans="11:22" x14ac:dyDescent="0.2">
      <c r="K150">
        <v>9</v>
      </c>
      <c r="L150" t="s">
        <v>7</v>
      </c>
      <c r="M150" t="s">
        <v>16</v>
      </c>
      <c r="N150" s="17" t="str">
        <f t="shared" si="8"/>
        <v>Operations</v>
      </c>
      <c r="O150" s="17" t="e">
        <f>P150*SUMIFS($P:$P,$F:$F,M150,$G:$G,N150)/#REF!</f>
        <v>#REF!</v>
      </c>
      <c r="P150" s="8">
        <v>1</v>
      </c>
      <c r="S150" s="7"/>
      <c r="V150" s="7"/>
    </row>
    <row r="151" spans="11:22" x14ac:dyDescent="0.2">
      <c r="K151">
        <v>10</v>
      </c>
      <c r="L151" t="s">
        <v>59</v>
      </c>
      <c r="M151" t="s">
        <v>16</v>
      </c>
      <c r="N151" s="17" t="str">
        <f t="shared" si="8"/>
        <v>Technology</v>
      </c>
      <c r="O151" s="17" t="e">
        <f>P151*SUMIFS($P:$P,$F:$F,M151,$G:$G,N151)/#REF!</f>
        <v>#REF!</v>
      </c>
      <c r="P151" s="8">
        <v>1</v>
      </c>
      <c r="S151" s="7"/>
      <c r="V151" s="7"/>
    </row>
    <row r="152" spans="11:22" x14ac:dyDescent="0.2">
      <c r="K152">
        <v>11</v>
      </c>
      <c r="L152" t="s">
        <v>36</v>
      </c>
      <c r="M152" t="s">
        <v>16</v>
      </c>
      <c r="N152" s="17" t="str">
        <f t="shared" si="8"/>
        <v>Commercial</v>
      </c>
      <c r="O152" s="17" t="e">
        <f>P152*SUMIFS($P:$P,$F:$F,M152,$G:$G,N152)/#REF!</f>
        <v>#REF!</v>
      </c>
      <c r="P152" s="8">
        <v>1</v>
      </c>
      <c r="S152" s="7"/>
      <c r="V152" s="7"/>
    </row>
    <row r="153" spans="11:22" x14ac:dyDescent="0.2">
      <c r="K153">
        <v>12</v>
      </c>
      <c r="L153" t="s">
        <v>46</v>
      </c>
      <c r="M153" t="s">
        <v>16</v>
      </c>
      <c r="N153" s="17" t="str">
        <f t="shared" si="8"/>
        <v>Corporate</v>
      </c>
      <c r="O153" s="17" t="e">
        <f>P153*SUMIFS($P:$P,$F:$F,M153,$G:$G,N153)/#REF!</f>
        <v>#REF!</v>
      </c>
      <c r="P153" s="8">
        <v>1</v>
      </c>
      <c r="S153" s="7"/>
      <c r="V153" s="7"/>
    </row>
    <row r="154" spans="11:22" x14ac:dyDescent="0.2">
      <c r="K154">
        <v>13</v>
      </c>
      <c r="L154" t="s">
        <v>42</v>
      </c>
      <c r="M154" t="s">
        <v>16</v>
      </c>
      <c r="N154" s="17" t="str">
        <f t="shared" si="8"/>
        <v>Operations</v>
      </c>
      <c r="O154" s="17" t="e">
        <f>P154*SUMIFS($P:$P,$F:$F,M154,$G:$G,N154)/#REF!</f>
        <v>#REF!</v>
      </c>
      <c r="P154" s="8">
        <v>1</v>
      </c>
      <c r="S154" s="7"/>
      <c r="V154" s="7"/>
    </row>
    <row r="155" spans="11:22" x14ac:dyDescent="0.2">
      <c r="K155">
        <v>14</v>
      </c>
      <c r="L155" t="s">
        <v>58</v>
      </c>
      <c r="M155" t="s">
        <v>16</v>
      </c>
      <c r="N155" s="17" t="str">
        <f t="shared" si="8"/>
        <v>Technology</v>
      </c>
      <c r="O155" s="17" t="e">
        <f>P155*SUMIFS($P:$P,$F:$F,M155,$G:$G,N155)/#REF!</f>
        <v>#REF!</v>
      </c>
      <c r="P155" s="8">
        <v>1</v>
      </c>
      <c r="S155" s="7"/>
      <c r="V155" s="7"/>
    </row>
    <row r="156" spans="11:22" x14ac:dyDescent="0.2">
      <c r="K156">
        <v>15</v>
      </c>
      <c r="L156" t="s">
        <v>38</v>
      </c>
      <c r="M156" t="s">
        <v>16</v>
      </c>
      <c r="N156" s="17" t="str">
        <f t="shared" si="8"/>
        <v>Commercial</v>
      </c>
      <c r="O156" s="17" t="e">
        <f>P156*SUMIFS($P:$P,$F:$F,M156,$G:$G,N156)/#REF!</f>
        <v>#REF!</v>
      </c>
      <c r="P156" s="8">
        <v>1</v>
      </c>
      <c r="S156" s="7"/>
      <c r="V156" s="7"/>
    </row>
    <row r="157" spans="11:22" x14ac:dyDescent="0.2">
      <c r="K157">
        <v>16</v>
      </c>
      <c r="L157" t="s">
        <v>47</v>
      </c>
      <c r="M157" t="s">
        <v>16</v>
      </c>
      <c r="N157" s="17" t="str">
        <f t="shared" si="8"/>
        <v>Corporate</v>
      </c>
      <c r="O157" s="17" t="e">
        <f>P157*SUMIFS($P:$P,$F:$F,M157,$G:$G,N157)/#REF!</f>
        <v>#REF!</v>
      </c>
      <c r="P157" s="8">
        <v>1</v>
      </c>
      <c r="S157" s="7"/>
      <c r="V157" s="7"/>
    </row>
    <row r="158" spans="11:22" x14ac:dyDescent="0.2">
      <c r="K158">
        <v>17</v>
      </c>
      <c r="L158" t="s">
        <v>34</v>
      </c>
      <c r="M158" t="s">
        <v>16</v>
      </c>
      <c r="N158" s="17" t="str">
        <f t="shared" si="8"/>
        <v>Technology</v>
      </c>
      <c r="O158" s="17" t="e">
        <f>P158*SUMIFS($P:$P,$F:$F,M158,$G:$G,N158)/#REF!</f>
        <v>#REF!</v>
      </c>
      <c r="P158" s="8">
        <v>1</v>
      </c>
      <c r="S158" s="7"/>
      <c r="V158" s="7"/>
    </row>
    <row r="159" spans="11:22" x14ac:dyDescent="0.2">
      <c r="K159">
        <v>18</v>
      </c>
      <c r="L159" t="s">
        <v>25</v>
      </c>
      <c r="M159" t="s">
        <v>16</v>
      </c>
      <c r="N159" s="17" t="str">
        <f t="shared" si="8"/>
        <v>Commercial</v>
      </c>
      <c r="O159" s="17" t="e">
        <f>P159*SUMIFS($P:$P,$F:$F,M159,$G:$G,N159)/#REF!</f>
        <v>#REF!</v>
      </c>
      <c r="P159" s="8">
        <v>1</v>
      </c>
      <c r="S159" s="7"/>
      <c r="V159" s="7"/>
    </row>
    <row r="160" spans="11:22" x14ac:dyDescent="0.2">
      <c r="K160">
        <v>19</v>
      </c>
      <c r="L160" t="s">
        <v>35</v>
      </c>
      <c r="M160" t="s">
        <v>16</v>
      </c>
      <c r="N160" s="17" t="str">
        <f t="shared" si="8"/>
        <v>Corporate</v>
      </c>
      <c r="O160" s="17" t="e">
        <f>P160*SUMIFS($P:$P,$F:$F,M160,$G:$G,N160)/#REF!</f>
        <v>#REF!</v>
      </c>
      <c r="P160" s="8">
        <v>1</v>
      </c>
      <c r="S160" s="7"/>
      <c r="V160" s="7"/>
    </row>
    <row r="161" spans="11:22" x14ac:dyDescent="0.2">
      <c r="K161">
        <v>20</v>
      </c>
      <c r="L161" t="s">
        <v>60</v>
      </c>
      <c r="M161" t="s">
        <v>16</v>
      </c>
      <c r="N161" s="17" t="str">
        <f t="shared" si="8"/>
        <v>Technology</v>
      </c>
      <c r="O161" s="17" t="e">
        <f>P161*SUMIFS($P:$P,$F:$F,M161,$G:$G,N161)/#REF!</f>
        <v>#REF!</v>
      </c>
      <c r="P161" s="8">
        <v>1</v>
      </c>
      <c r="S161" s="7"/>
      <c r="V161" s="7"/>
    </row>
    <row r="162" spans="11:22" x14ac:dyDescent="0.2">
      <c r="K162">
        <v>21</v>
      </c>
      <c r="L162" t="s">
        <v>23</v>
      </c>
      <c r="M162" t="s">
        <v>16</v>
      </c>
      <c r="N162" s="17" t="str">
        <f t="shared" si="8"/>
        <v>Commercial</v>
      </c>
      <c r="O162" s="17" t="e">
        <f>P162*SUMIFS($P:$P,$F:$F,M162,$G:$G,N162)/#REF!</f>
        <v>#REF!</v>
      </c>
      <c r="P162" s="8">
        <v>1</v>
      </c>
      <c r="S162" s="7"/>
      <c r="V162" s="7"/>
    </row>
    <row r="163" spans="11:22" x14ac:dyDescent="0.2">
      <c r="K163">
        <v>22</v>
      </c>
      <c r="L163" t="s">
        <v>98</v>
      </c>
      <c r="M163" t="s">
        <v>16</v>
      </c>
      <c r="N163" s="17" t="str">
        <f t="shared" ref="N163:N199" si="9">VLOOKUP($L163,$Y:$Z,2,FALSE)</f>
        <v>Corporate</v>
      </c>
      <c r="O163" s="17" t="e">
        <f>P163*SUMIFS($P:$P,$F:$F,M163,$G:$G,N163)/#REF!</f>
        <v>#REF!</v>
      </c>
      <c r="P163" s="8">
        <v>1</v>
      </c>
      <c r="S163" s="7"/>
      <c r="V163" s="7"/>
    </row>
    <row r="164" spans="11:22" x14ac:dyDescent="0.2">
      <c r="K164">
        <v>23</v>
      </c>
      <c r="L164" t="s">
        <v>21</v>
      </c>
      <c r="M164" t="s">
        <v>16</v>
      </c>
      <c r="N164" s="17" t="str">
        <f t="shared" si="9"/>
        <v>Commercial</v>
      </c>
      <c r="O164" s="17" t="e">
        <f>P164*SUMIFS($P:$P,$F:$F,M164,$G:$G,N164)/#REF!</f>
        <v>#REF!</v>
      </c>
      <c r="P164" s="8">
        <v>1</v>
      </c>
      <c r="S164" s="7"/>
      <c r="V164" s="7"/>
    </row>
    <row r="165" spans="11:22" x14ac:dyDescent="0.2">
      <c r="K165">
        <v>24</v>
      </c>
      <c r="L165" t="s">
        <v>45</v>
      </c>
      <c r="M165" t="s">
        <v>16</v>
      </c>
      <c r="N165" s="17" t="str">
        <f t="shared" si="9"/>
        <v>Corporate</v>
      </c>
      <c r="O165" s="17" t="e">
        <f>P165*SUMIFS($P:$P,$F:$F,M165,$G:$G,N165)/#REF!</f>
        <v>#REF!</v>
      </c>
      <c r="P165" s="8">
        <v>1</v>
      </c>
      <c r="S165" s="7"/>
      <c r="V165" s="7"/>
    </row>
    <row r="166" spans="11:22" x14ac:dyDescent="0.2">
      <c r="K166">
        <v>25</v>
      </c>
      <c r="L166" t="s">
        <v>40</v>
      </c>
      <c r="M166" t="s">
        <v>16</v>
      </c>
      <c r="N166" s="17" t="str">
        <f t="shared" si="9"/>
        <v>Commercial</v>
      </c>
      <c r="O166" s="17" t="e">
        <f>P166*SUMIFS($P:$P,$F:$F,M166,$G:$G,N166)/#REF!</f>
        <v>#REF!</v>
      </c>
      <c r="P166" s="8">
        <v>1</v>
      </c>
      <c r="S166" s="7"/>
      <c r="V166" s="7"/>
    </row>
    <row r="167" spans="11:22" x14ac:dyDescent="0.2">
      <c r="K167">
        <v>26</v>
      </c>
      <c r="L167" t="s">
        <v>48</v>
      </c>
      <c r="M167" t="s">
        <v>16</v>
      </c>
      <c r="N167" s="17" t="str">
        <f t="shared" si="9"/>
        <v>Corporate</v>
      </c>
      <c r="O167" s="17" t="e">
        <f>P167*SUMIFS($P:$P,$F:$F,M167,$G:$G,N167)/#REF!</f>
        <v>#REF!</v>
      </c>
      <c r="P167" s="8">
        <v>1</v>
      </c>
      <c r="S167" s="7"/>
      <c r="V167" s="7"/>
    </row>
    <row r="168" spans="11:22" x14ac:dyDescent="0.2">
      <c r="K168">
        <v>27</v>
      </c>
      <c r="L168" t="s">
        <v>39</v>
      </c>
      <c r="M168" t="s">
        <v>16</v>
      </c>
      <c r="N168" s="17" t="str">
        <f t="shared" si="9"/>
        <v>Commercial</v>
      </c>
      <c r="O168" s="17" t="e">
        <f>P168*SUMIFS($P:$P,$F:$F,M168,$G:$G,N168)/#REF!</f>
        <v>#REF!</v>
      </c>
      <c r="P168" s="8">
        <v>1</v>
      </c>
      <c r="S168" s="7"/>
      <c r="V168" s="7"/>
    </row>
    <row r="169" spans="11:22" x14ac:dyDescent="0.2">
      <c r="K169">
        <v>28</v>
      </c>
      <c r="L169" t="s">
        <v>54</v>
      </c>
      <c r="M169" t="s">
        <v>16</v>
      </c>
      <c r="N169" s="17" t="str">
        <f t="shared" si="9"/>
        <v>Corporate</v>
      </c>
      <c r="O169" s="17" t="e">
        <f>P169*SUMIFS($P:$P,$F:$F,M169,$G:$G,N169)/#REF!</f>
        <v>#REF!</v>
      </c>
      <c r="P169" s="8">
        <v>1</v>
      </c>
      <c r="S169" s="7"/>
      <c r="V169" s="7"/>
    </row>
    <row r="170" spans="11:22" x14ac:dyDescent="0.2">
      <c r="K170">
        <v>29</v>
      </c>
      <c r="L170" t="s">
        <v>50</v>
      </c>
      <c r="M170" t="s">
        <v>16</v>
      </c>
      <c r="N170" s="17" t="str">
        <f t="shared" si="9"/>
        <v>Corporate</v>
      </c>
      <c r="O170" s="17" t="e">
        <f>P170*SUMIFS($P:$P,$F:$F,M170,$G:$G,N170)/#REF!</f>
        <v>#REF!</v>
      </c>
      <c r="P170" s="8">
        <v>1</v>
      </c>
      <c r="S170" s="7"/>
      <c r="V170" s="7"/>
    </row>
    <row r="171" spans="11:22" x14ac:dyDescent="0.2">
      <c r="K171">
        <v>30</v>
      </c>
      <c r="L171" t="s">
        <v>51</v>
      </c>
      <c r="M171" t="s">
        <v>16</v>
      </c>
      <c r="N171" s="17" t="str">
        <f t="shared" si="9"/>
        <v>Corporate</v>
      </c>
      <c r="O171" s="17" t="e">
        <f>P171*SUMIFS($P:$P,$F:$F,M171,$G:$G,N171)/#REF!</f>
        <v>#REF!</v>
      </c>
      <c r="P171" s="8">
        <v>1</v>
      </c>
      <c r="S171" s="7"/>
      <c r="V171" s="7"/>
    </row>
    <row r="172" spans="11:22" x14ac:dyDescent="0.2">
      <c r="K172">
        <v>31</v>
      </c>
      <c r="L172" t="s">
        <v>56</v>
      </c>
      <c r="M172" t="s">
        <v>16</v>
      </c>
      <c r="N172" s="17" t="str">
        <f t="shared" si="9"/>
        <v>Corporate</v>
      </c>
      <c r="O172" s="17" t="e">
        <f>P172*SUMIFS($P:$P,$F:$F,M172,$G:$G,N172)/#REF!</f>
        <v>#REF!</v>
      </c>
      <c r="P172" s="8">
        <v>1</v>
      </c>
      <c r="S172" s="7"/>
      <c r="V172" s="7"/>
    </row>
    <row r="173" spans="11:22" x14ac:dyDescent="0.2">
      <c r="K173">
        <v>32</v>
      </c>
      <c r="L173" t="s">
        <v>53</v>
      </c>
      <c r="M173" t="s">
        <v>16</v>
      </c>
      <c r="N173" s="17" t="str">
        <f t="shared" si="9"/>
        <v>Corporate</v>
      </c>
      <c r="O173" s="17" t="e">
        <f>P173*SUMIFS($P:$P,$F:$F,M173,$G:$G,N173)/#REF!</f>
        <v>#REF!</v>
      </c>
      <c r="P173" s="8">
        <v>1</v>
      </c>
      <c r="S173" s="7"/>
      <c r="V173" s="7"/>
    </row>
    <row r="174" spans="11:22" x14ac:dyDescent="0.2">
      <c r="K174">
        <v>1</v>
      </c>
      <c r="L174" t="s">
        <v>25</v>
      </c>
      <c r="M174" t="s">
        <v>17</v>
      </c>
      <c r="N174" s="17" t="str">
        <f t="shared" si="9"/>
        <v>Commercial</v>
      </c>
      <c r="O174" s="17" t="e">
        <f>P174*SUMIFS($P:$P,$F:$F,M174,$G:$G,N174)/#REF!</f>
        <v>#REF!</v>
      </c>
      <c r="P174" s="8">
        <v>1</v>
      </c>
      <c r="S174" s="7"/>
      <c r="V174" s="7"/>
    </row>
    <row r="175" spans="11:22" x14ac:dyDescent="0.2">
      <c r="K175">
        <v>2</v>
      </c>
      <c r="L175" t="s">
        <v>26</v>
      </c>
      <c r="M175" t="s">
        <v>17</v>
      </c>
      <c r="N175" s="17" t="str">
        <f t="shared" si="9"/>
        <v>Operations</v>
      </c>
      <c r="O175" s="17" t="e">
        <f>P175*SUMIFS($P:$P,$F:$F,M175,$G:$G,N175)/#REF!</f>
        <v>#REF!</v>
      </c>
      <c r="P175" s="8">
        <v>1</v>
      </c>
      <c r="S175" s="7"/>
      <c r="V175" s="7"/>
    </row>
    <row r="176" spans="11:22" x14ac:dyDescent="0.2">
      <c r="K176">
        <v>3</v>
      </c>
      <c r="L176" t="s">
        <v>22</v>
      </c>
      <c r="M176" t="s">
        <v>17</v>
      </c>
      <c r="N176" s="17" t="str">
        <f t="shared" si="9"/>
        <v>Corporate</v>
      </c>
      <c r="O176" s="17" t="e">
        <f>P176*SUMIFS($P:$P,$F:$F,M176,$G:$G,N176)/#REF!</f>
        <v>#REF!</v>
      </c>
      <c r="P176" s="8">
        <v>1</v>
      </c>
      <c r="S176" s="7"/>
      <c r="V176" s="7"/>
    </row>
    <row r="177" spans="11:22" x14ac:dyDescent="0.2">
      <c r="K177">
        <v>4</v>
      </c>
      <c r="L177" t="s">
        <v>9</v>
      </c>
      <c r="M177" t="s">
        <v>17</v>
      </c>
      <c r="N177" s="17" t="str">
        <f t="shared" si="9"/>
        <v>Technology</v>
      </c>
      <c r="O177" s="17" t="e">
        <f>P177*SUMIFS($P:$P,$F:$F,M177,$G:$G,N177)/#REF!</f>
        <v>#REF!</v>
      </c>
      <c r="P177" s="8">
        <v>1</v>
      </c>
      <c r="S177" s="7"/>
      <c r="V177" s="7"/>
    </row>
    <row r="178" spans="11:22" x14ac:dyDescent="0.2">
      <c r="K178">
        <v>5</v>
      </c>
      <c r="L178" t="s">
        <v>11</v>
      </c>
      <c r="M178" t="s">
        <v>17</v>
      </c>
      <c r="N178" s="17" t="str">
        <f t="shared" si="9"/>
        <v>CISO</v>
      </c>
      <c r="O178" s="17" t="e">
        <f>P178*SUMIFS($P:$P,$F:$F,M178,$G:$G,N178)/#REF!</f>
        <v>#REF!</v>
      </c>
      <c r="P178" s="8">
        <v>1</v>
      </c>
      <c r="S178" s="7"/>
      <c r="V178" s="7"/>
    </row>
    <row r="179" spans="11:22" x14ac:dyDescent="0.2">
      <c r="K179">
        <v>6</v>
      </c>
      <c r="L179" t="s">
        <v>116</v>
      </c>
      <c r="M179" t="s">
        <v>17</v>
      </c>
      <c r="N179" s="17" t="str">
        <f t="shared" si="9"/>
        <v>Data &amp; AI</v>
      </c>
      <c r="O179" s="17" t="e">
        <f>P179*SUMIFS($P:$P,$F:$F,M179,$G:$G,N179)/#REF!</f>
        <v>#REF!</v>
      </c>
      <c r="P179" s="8">
        <v>1</v>
      </c>
      <c r="S179" s="7"/>
      <c r="V179" s="7"/>
    </row>
    <row r="180" spans="11:22" x14ac:dyDescent="0.2">
      <c r="K180">
        <v>7</v>
      </c>
      <c r="L180" t="s">
        <v>37</v>
      </c>
      <c r="M180" t="s">
        <v>17</v>
      </c>
      <c r="N180" s="17" t="str">
        <f t="shared" si="9"/>
        <v>Commercial</v>
      </c>
      <c r="O180" s="17" t="e">
        <f>P180*SUMIFS($P:$P,$F:$F,M180,$G:$G,N180)/#REF!</f>
        <v>#REF!</v>
      </c>
      <c r="P180" s="8">
        <v>1</v>
      </c>
      <c r="S180" s="7"/>
      <c r="V180" s="7"/>
    </row>
    <row r="181" spans="11:22" x14ac:dyDescent="0.2">
      <c r="K181">
        <v>8</v>
      </c>
      <c r="L181" t="s">
        <v>44</v>
      </c>
      <c r="M181" t="s">
        <v>17</v>
      </c>
      <c r="N181" s="17" t="str">
        <f t="shared" si="9"/>
        <v>Corporate</v>
      </c>
      <c r="O181" s="17" t="e">
        <f>P181*SUMIFS($P:$P,$F:$F,M181,$G:$G,N181)/#REF!</f>
        <v>#REF!</v>
      </c>
      <c r="P181" s="8">
        <v>1</v>
      </c>
      <c r="S181" s="7"/>
      <c r="V181" s="7"/>
    </row>
    <row r="182" spans="11:22" x14ac:dyDescent="0.2">
      <c r="K182">
        <v>9</v>
      </c>
      <c r="L182" t="s">
        <v>7</v>
      </c>
      <c r="M182" t="s">
        <v>17</v>
      </c>
      <c r="N182" s="17" t="str">
        <f t="shared" si="9"/>
        <v>Operations</v>
      </c>
      <c r="O182" s="17" t="e">
        <f>P182*SUMIFS($P:$P,$F:$F,M182,$G:$G,N182)/#REF!</f>
        <v>#REF!</v>
      </c>
      <c r="P182" s="8">
        <v>1</v>
      </c>
      <c r="S182" s="7"/>
      <c r="V182" s="7"/>
    </row>
    <row r="183" spans="11:22" x14ac:dyDescent="0.2">
      <c r="K183">
        <v>10</v>
      </c>
      <c r="L183" t="s">
        <v>59</v>
      </c>
      <c r="M183" t="s">
        <v>17</v>
      </c>
      <c r="N183" s="17" t="str">
        <f t="shared" si="9"/>
        <v>Technology</v>
      </c>
      <c r="O183" s="17" t="e">
        <f>P183*SUMIFS($P:$P,$F:$F,M183,$G:$G,N183)/#REF!</f>
        <v>#REF!</v>
      </c>
      <c r="P183" s="8">
        <v>1</v>
      </c>
      <c r="S183" s="7"/>
      <c r="V183" s="7"/>
    </row>
    <row r="184" spans="11:22" x14ac:dyDescent="0.2">
      <c r="K184">
        <v>11</v>
      </c>
      <c r="L184" t="s">
        <v>36</v>
      </c>
      <c r="M184" t="s">
        <v>17</v>
      </c>
      <c r="N184" s="17" t="str">
        <f t="shared" si="9"/>
        <v>Commercial</v>
      </c>
      <c r="O184" s="17" t="e">
        <f>P184*SUMIFS($P:$P,$F:$F,M184,$G:$G,N184)/#REF!</f>
        <v>#REF!</v>
      </c>
      <c r="P184" s="8">
        <v>1</v>
      </c>
      <c r="S184" s="7"/>
      <c r="V184" s="7"/>
    </row>
    <row r="185" spans="11:22" x14ac:dyDescent="0.2">
      <c r="K185">
        <v>12</v>
      </c>
      <c r="L185" t="s">
        <v>46</v>
      </c>
      <c r="M185" t="s">
        <v>17</v>
      </c>
      <c r="N185" s="17" t="str">
        <f t="shared" si="9"/>
        <v>Corporate</v>
      </c>
      <c r="O185" s="17" t="e">
        <f>P185*SUMIFS($P:$P,$F:$F,M185,$G:$G,N185)/#REF!</f>
        <v>#REF!</v>
      </c>
      <c r="P185" s="8">
        <v>1</v>
      </c>
      <c r="S185" s="7"/>
      <c r="V185" s="7"/>
    </row>
    <row r="186" spans="11:22" x14ac:dyDescent="0.2">
      <c r="K186">
        <v>13</v>
      </c>
      <c r="L186" t="s">
        <v>42</v>
      </c>
      <c r="M186" t="s">
        <v>17</v>
      </c>
      <c r="N186" s="17" t="str">
        <f t="shared" si="9"/>
        <v>Operations</v>
      </c>
      <c r="O186" s="17" t="e">
        <f>P186*SUMIFS($P:$P,$F:$F,M186,$G:$G,N186)/#REF!</f>
        <v>#REF!</v>
      </c>
      <c r="P186" s="8">
        <v>1</v>
      </c>
      <c r="S186" s="7"/>
      <c r="V186" s="7"/>
    </row>
    <row r="187" spans="11:22" x14ac:dyDescent="0.2">
      <c r="K187">
        <v>14</v>
      </c>
      <c r="L187" t="s">
        <v>58</v>
      </c>
      <c r="M187" t="s">
        <v>17</v>
      </c>
      <c r="N187" s="17" t="str">
        <f t="shared" si="9"/>
        <v>Technology</v>
      </c>
      <c r="O187" s="17" t="e">
        <f>P187*SUMIFS($P:$P,$F:$F,M187,$G:$G,N187)/#REF!</f>
        <v>#REF!</v>
      </c>
      <c r="P187" s="8">
        <v>1</v>
      </c>
      <c r="S187" s="7"/>
      <c r="V187" s="7"/>
    </row>
    <row r="188" spans="11:22" x14ac:dyDescent="0.2">
      <c r="K188">
        <v>15</v>
      </c>
      <c r="L188" t="s">
        <v>38</v>
      </c>
      <c r="M188" t="s">
        <v>17</v>
      </c>
      <c r="N188" s="17" t="str">
        <f t="shared" si="9"/>
        <v>Commercial</v>
      </c>
      <c r="O188" s="17" t="e">
        <f>P188*SUMIFS($P:$P,$F:$F,M188,$G:$G,N188)/#REF!</f>
        <v>#REF!</v>
      </c>
      <c r="P188" s="8">
        <v>1</v>
      </c>
      <c r="S188" s="7"/>
      <c r="V188" s="7"/>
    </row>
    <row r="189" spans="11:22" x14ac:dyDescent="0.2">
      <c r="K189">
        <v>16</v>
      </c>
      <c r="L189" t="s">
        <v>47</v>
      </c>
      <c r="M189" t="s">
        <v>17</v>
      </c>
      <c r="N189" s="17" t="str">
        <f t="shared" si="9"/>
        <v>Corporate</v>
      </c>
      <c r="O189" s="17" t="e">
        <f>P189*SUMIFS($P:$P,$F:$F,M189,$G:$G,N189)/#REF!</f>
        <v>#REF!</v>
      </c>
      <c r="P189" s="8">
        <v>1</v>
      </c>
      <c r="S189" s="7"/>
      <c r="V189" s="7"/>
    </row>
    <row r="190" spans="11:22" x14ac:dyDescent="0.2">
      <c r="K190">
        <v>17</v>
      </c>
      <c r="L190" t="s">
        <v>34</v>
      </c>
      <c r="M190" t="s">
        <v>17</v>
      </c>
      <c r="N190" s="17" t="str">
        <f t="shared" si="9"/>
        <v>Technology</v>
      </c>
      <c r="O190" s="17" t="e">
        <f>P190*SUMIFS($P:$P,$F:$F,M190,$G:$G,N190)/#REF!</f>
        <v>#REF!</v>
      </c>
      <c r="P190" s="8">
        <v>1</v>
      </c>
      <c r="S190" s="7"/>
      <c r="V190" s="7"/>
    </row>
    <row r="191" spans="11:22" x14ac:dyDescent="0.2">
      <c r="K191">
        <v>18</v>
      </c>
      <c r="L191" t="s">
        <v>21</v>
      </c>
      <c r="M191" t="s">
        <v>17</v>
      </c>
      <c r="N191" s="17" t="str">
        <f t="shared" si="9"/>
        <v>Commercial</v>
      </c>
      <c r="O191" s="17" t="e">
        <f>P191*SUMIFS($P:$P,$F:$F,M191,$G:$G,N191)/#REF!</f>
        <v>#REF!</v>
      </c>
      <c r="P191" s="8">
        <v>1</v>
      </c>
      <c r="S191" s="7"/>
      <c r="V191" s="7"/>
    </row>
    <row r="192" spans="11:22" x14ac:dyDescent="0.2">
      <c r="K192">
        <v>19</v>
      </c>
      <c r="L192" t="s">
        <v>35</v>
      </c>
      <c r="M192" t="s">
        <v>17</v>
      </c>
      <c r="N192" s="17" t="str">
        <f t="shared" si="9"/>
        <v>Corporate</v>
      </c>
      <c r="O192" s="17" t="e">
        <f>P192*SUMIFS($P:$P,$F:$F,M192,$G:$G,N192)/#REF!</f>
        <v>#REF!</v>
      </c>
      <c r="P192" s="8">
        <v>1</v>
      </c>
      <c r="S192" s="7"/>
      <c r="V192" s="7"/>
    </row>
    <row r="193" spans="6:22" x14ac:dyDescent="0.2">
      <c r="K193">
        <v>20</v>
      </c>
      <c r="L193" t="s">
        <v>60</v>
      </c>
      <c r="M193" t="s">
        <v>17</v>
      </c>
      <c r="N193" s="17" t="str">
        <f t="shared" si="9"/>
        <v>Technology</v>
      </c>
      <c r="O193" s="17" t="e">
        <f>P193*SUMIFS($P:$P,$F:$F,M193,$G:$G,N193)/#REF!</f>
        <v>#REF!</v>
      </c>
      <c r="P193" s="8">
        <v>1</v>
      </c>
      <c r="S193" s="7"/>
      <c r="V193" s="7"/>
    </row>
    <row r="194" spans="6:22" x14ac:dyDescent="0.2">
      <c r="K194">
        <v>21</v>
      </c>
      <c r="L194" t="s">
        <v>23</v>
      </c>
      <c r="M194" t="s">
        <v>17</v>
      </c>
      <c r="N194" s="17" t="str">
        <f t="shared" si="9"/>
        <v>Commercial</v>
      </c>
      <c r="O194" s="17" t="e">
        <f>P194*SUMIFS($P:$P,$F:$F,M194,$G:$G,N194)/#REF!</f>
        <v>#REF!</v>
      </c>
      <c r="P194" s="8">
        <v>1</v>
      </c>
      <c r="S194" s="7"/>
      <c r="V194" s="7"/>
    </row>
    <row r="195" spans="6:22" x14ac:dyDescent="0.2">
      <c r="K195">
        <v>22</v>
      </c>
      <c r="L195" t="s">
        <v>98</v>
      </c>
      <c r="M195" t="s">
        <v>17</v>
      </c>
      <c r="N195" s="17" t="str">
        <f t="shared" si="9"/>
        <v>Corporate</v>
      </c>
      <c r="O195" s="17" t="e">
        <f>P195*SUMIFS($P:$P,$F:$F,M195,$G:$G,N195)/#REF!</f>
        <v>#REF!</v>
      </c>
      <c r="P195" s="8">
        <v>1</v>
      </c>
      <c r="S195" s="7"/>
      <c r="V195" s="7"/>
    </row>
    <row r="196" spans="6:22" x14ac:dyDescent="0.2">
      <c r="K196">
        <v>23</v>
      </c>
      <c r="L196" t="s">
        <v>24</v>
      </c>
      <c r="M196" t="s">
        <v>17</v>
      </c>
      <c r="N196" s="17" t="str">
        <f t="shared" si="9"/>
        <v>Commercial</v>
      </c>
      <c r="O196" s="17" t="e">
        <f>P196*SUMIFS($P:$P,$F:$F,M196,$G:$G,N196)/#REF!</f>
        <v>#REF!</v>
      </c>
      <c r="P196" s="8">
        <v>1</v>
      </c>
      <c r="S196" s="7"/>
      <c r="V196" s="7"/>
    </row>
    <row r="197" spans="6:22" x14ac:dyDescent="0.2">
      <c r="K197">
        <v>24</v>
      </c>
      <c r="L197" t="s">
        <v>45</v>
      </c>
      <c r="M197" t="s">
        <v>17</v>
      </c>
      <c r="N197" s="17" t="str">
        <f t="shared" si="9"/>
        <v>Corporate</v>
      </c>
      <c r="O197" s="17" t="e">
        <f>P197*SUMIFS($P:$P,$F:$F,M197,$G:$G,N197)/#REF!</f>
        <v>#REF!</v>
      </c>
      <c r="P197" s="8">
        <v>1</v>
      </c>
      <c r="S197" s="7"/>
      <c r="V197" s="7"/>
    </row>
    <row r="198" spans="6:22" x14ac:dyDescent="0.2">
      <c r="K198">
        <v>25</v>
      </c>
      <c r="L198" t="s">
        <v>40</v>
      </c>
      <c r="M198" t="s">
        <v>17</v>
      </c>
      <c r="N198" s="17" t="str">
        <f t="shared" si="9"/>
        <v>Commercial</v>
      </c>
      <c r="O198" s="17" t="e">
        <f>P198*SUMIFS($P:$P,$F:$F,M198,$G:$G,N198)/#REF!</f>
        <v>#REF!</v>
      </c>
      <c r="P198" s="8">
        <v>1</v>
      </c>
      <c r="S198" s="7"/>
      <c r="V198" s="7"/>
    </row>
    <row r="199" spans="6:22" x14ac:dyDescent="0.2">
      <c r="K199">
        <v>26</v>
      </c>
      <c r="L199" t="s">
        <v>48</v>
      </c>
      <c r="M199" t="s">
        <v>17</v>
      </c>
      <c r="N199" s="17" t="str">
        <f t="shared" si="9"/>
        <v>Corporate</v>
      </c>
      <c r="O199" s="17" t="e">
        <f>P199*SUMIFS($P:$P,$F:$F,M199,$G:$G,N199)/#REF!</f>
        <v>#REF!</v>
      </c>
      <c r="P199" s="8">
        <v>1</v>
      </c>
      <c r="S199" s="7"/>
      <c r="V199" s="7"/>
    </row>
    <row r="200" spans="6:22" x14ac:dyDescent="0.2">
      <c r="K200">
        <v>27</v>
      </c>
      <c r="L200" t="s">
        <v>39</v>
      </c>
      <c r="M200" t="s">
        <v>17</v>
      </c>
      <c r="N200" s="17" t="s">
        <v>74</v>
      </c>
      <c r="O200" s="17" t="e">
        <f>P200*SUMIFS($P:$P,$F:$F,M200,$G:$G,N200)/#REF!</f>
        <v>#REF!</v>
      </c>
      <c r="P200" s="8">
        <v>1</v>
      </c>
      <c r="S200" s="7"/>
      <c r="V200" s="7"/>
    </row>
    <row r="201" spans="6:22" x14ac:dyDescent="0.2">
      <c r="K201">
        <v>28</v>
      </c>
      <c r="L201" t="s">
        <v>54</v>
      </c>
      <c r="M201" t="s">
        <v>17</v>
      </c>
      <c r="N201" s="17" t="s">
        <v>74</v>
      </c>
      <c r="O201" s="17" t="e">
        <f>P201*SUMIFS($P:$P,$F:$F,M201,$G:$G,N201)/#REF!</f>
        <v>#REF!</v>
      </c>
      <c r="P201" s="8">
        <v>1</v>
      </c>
      <c r="S201" s="7"/>
      <c r="V201" s="7"/>
    </row>
    <row r="202" spans="6:22" x14ac:dyDescent="0.2">
      <c r="K202">
        <v>29</v>
      </c>
      <c r="L202" t="s">
        <v>50</v>
      </c>
      <c r="M202" t="s">
        <v>17</v>
      </c>
      <c r="N202" s="17" t="s">
        <v>74</v>
      </c>
      <c r="O202" s="17" t="e">
        <f>P202*SUMIFS($P:$P,$F:$F,M202,$G:$G,N202)/#REF!</f>
        <v>#REF!</v>
      </c>
      <c r="P202" s="8">
        <v>1</v>
      </c>
      <c r="S202" s="7"/>
      <c r="V202" s="7"/>
    </row>
    <row r="203" spans="6:22" x14ac:dyDescent="0.2">
      <c r="K203">
        <v>30</v>
      </c>
      <c r="L203" t="s">
        <v>51</v>
      </c>
      <c r="M203" t="s">
        <v>17</v>
      </c>
      <c r="N203" s="17" t="s">
        <v>74</v>
      </c>
      <c r="O203" s="17" t="e">
        <f>P203*SUMIFS($P:$P,$F:$F,M203,$G:$G,N203)/#REF!</f>
        <v>#REF!</v>
      </c>
      <c r="P203" s="8">
        <v>1</v>
      </c>
      <c r="S203" s="7"/>
      <c r="V203" s="7"/>
    </row>
    <row r="204" spans="6:22" x14ac:dyDescent="0.2">
      <c r="K204">
        <v>31</v>
      </c>
      <c r="L204" t="s">
        <v>56</v>
      </c>
      <c r="M204" t="s">
        <v>17</v>
      </c>
      <c r="N204" s="17" t="s">
        <v>74</v>
      </c>
      <c r="O204" s="17" t="e">
        <f>P204*SUMIFS($P:$P,$F:$F,M204,$G:$G,N204)/#REF!</f>
        <v>#REF!</v>
      </c>
      <c r="P204" s="8">
        <v>1</v>
      </c>
      <c r="S204" s="7"/>
      <c r="V204" s="7"/>
    </row>
    <row r="205" spans="6:22" x14ac:dyDescent="0.2">
      <c r="K205">
        <v>32</v>
      </c>
      <c r="L205" t="s">
        <v>53</v>
      </c>
      <c r="M205" t="s">
        <v>17</v>
      </c>
      <c r="N205" s="17" t="s">
        <v>74</v>
      </c>
      <c r="O205" s="17" t="e">
        <f>P205*SUMIFS($P:$P,$F:$F,M205,$G:$G,N205)/#REF!</f>
        <v>#REF!</v>
      </c>
      <c r="P205" s="8">
        <v>1</v>
      </c>
    </row>
    <row r="206" spans="6:22" x14ac:dyDescent="0.2">
      <c r="F206" t="str">
        <f t="shared" ref="F206:F240" si="10">L206</f>
        <v>GP B2B</v>
      </c>
      <c r="G206" t="str">
        <f t="shared" ref="G206:G240" si="11">N206</f>
        <v>Commercial</v>
      </c>
      <c r="H206" s="45">
        <f t="shared" ref="H206:H240" si="12">O206/100</f>
        <v>0.16</v>
      </c>
      <c r="K206" s="32">
        <v>1</v>
      </c>
      <c r="L206" s="32" t="s">
        <v>21</v>
      </c>
      <c r="M206" s="32" t="s">
        <v>379</v>
      </c>
      <c r="N206" s="17" t="str">
        <f t="shared" ref="N206:N237" si="13">VLOOKUP($L206,$Y:$Z,2,FALSE)</f>
        <v>Commercial</v>
      </c>
      <c r="O206" s="17">
        <v>16</v>
      </c>
      <c r="P206" s="8">
        <v>1</v>
      </c>
    </row>
    <row r="207" spans="6:22" x14ac:dyDescent="0.2">
      <c r="F207" t="str">
        <f t="shared" si="10"/>
        <v>GP ECL</v>
      </c>
      <c r="G207" t="str">
        <f t="shared" si="11"/>
        <v>Commercial</v>
      </c>
      <c r="H207" s="45">
        <f t="shared" si="12"/>
        <v>0.16</v>
      </c>
      <c r="K207" s="32">
        <v>2</v>
      </c>
      <c r="L207" s="32" t="s">
        <v>23</v>
      </c>
      <c r="M207" s="32" t="s">
        <v>379</v>
      </c>
      <c r="N207" s="17" t="str">
        <f t="shared" si="13"/>
        <v>Commercial</v>
      </c>
      <c r="O207" s="17">
        <v>16</v>
      </c>
      <c r="P207" s="8">
        <v>1</v>
      </c>
    </row>
    <row r="208" spans="6:22" x14ac:dyDescent="0.2">
      <c r="F208" t="str">
        <f t="shared" si="10"/>
        <v>DNI</v>
      </c>
      <c r="G208" t="str">
        <f t="shared" si="11"/>
        <v>Commercial</v>
      </c>
      <c r="H208" s="45">
        <f t="shared" si="12"/>
        <v>0.16</v>
      </c>
      <c r="K208" s="32">
        <v>3</v>
      </c>
      <c r="L208" s="32" t="s">
        <v>36</v>
      </c>
      <c r="M208" s="32" t="s">
        <v>379</v>
      </c>
      <c r="N208" s="17" t="str">
        <f t="shared" si="13"/>
        <v>Commercial</v>
      </c>
      <c r="O208" s="17">
        <v>16</v>
      </c>
      <c r="P208" s="8">
        <v>1</v>
      </c>
    </row>
    <row r="209" spans="6:16" x14ac:dyDescent="0.2">
      <c r="F209" t="str">
        <f t="shared" si="10"/>
        <v>GS</v>
      </c>
      <c r="G209" t="str">
        <f t="shared" si="11"/>
        <v>Commercial</v>
      </c>
      <c r="H209" s="45">
        <f t="shared" si="12"/>
        <v>0.12</v>
      </c>
      <c r="K209" s="32">
        <v>4</v>
      </c>
      <c r="L209" s="32" t="s">
        <v>37</v>
      </c>
      <c r="M209" s="32" t="s">
        <v>379</v>
      </c>
      <c r="N209" s="17" t="str">
        <f t="shared" si="13"/>
        <v>Commercial</v>
      </c>
      <c r="O209" s="17">
        <v>12</v>
      </c>
      <c r="P209" s="8">
        <v>1</v>
      </c>
    </row>
    <row r="210" spans="6:16" x14ac:dyDescent="0.2">
      <c r="F210" t="str">
        <f t="shared" si="10"/>
        <v>CSI</v>
      </c>
      <c r="G210" t="str">
        <f t="shared" si="11"/>
        <v>Commercial</v>
      </c>
      <c r="H210" s="45">
        <f t="shared" si="12"/>
        <v>0.1</v>
      </c>
      <c r="K210" s="32">
        <v>5</v>
      </c>
      <c r="L210" s="32" t="s">
        <v>38</v>
      </c>
      <c r="M210" s="32" t="s">
        <v>379</v>
      </c>
      <c r="N210" s="17" t="str">
        <f t="shared" si="13"/>
        <v>Commercial</v>
      </c>
      <c r="O210" s="17">
        <v>10</v>
      </c>
      <c r="P210" s="8">
        <v>1</v>
      </c>
    </row>
    <row r="211" spans="6:16" x14ac:dyDescent="0.2">
      <c r="F211" t="str">
        <f t="shared" si="10"/>
        <v>GP B2C</v>
      </c>
      <c r="G211" t="str">
        <f t="shared" si="11"/>
        <v>Commercial</v>
      </c>
      <c r="H211" s="45">
        <f t="shared" si="12"/>
        <v>0.09</v>
      </c>
      <c r="K211" s="32">
        <v>6</v>
      </c>
      <c r="L211" s="32" t="s">
        <v>25</v>
      </c>
      <c r="M211" s="32" t="s">
        <v>379</v>
      </c>
      <c r="N211" s="17" t="str">
        <f t="shared" si="13"/>
        <v>Commercial</v>
      </c>
      <c r="O211" s="17">
        <v>9</v>
      </c>
      <c r="P211" s="8">
        <v>1</v>
      </c>
    </row>
    <row r="212" spans="6:16" x14ac:dyDescent="0.2">
      <c r="F212" t="str">
        <f t="shared" si="10"/>
        <v>CTTE</v>
      </c>
      <c r="G212" t="str">
        <f t="shared" si="11"/>
        <v>Commercial</v>
      </c>
      <c r="H212" s="45">
        <f t="shared" si="12"/>
        <v>0.09</v>
      </c>
      <c r="K212" s="32">
        <v>7</v>
      </c>
      <c r="L212" s="32" t="s">
        <v>39</v>
      </c>
      <c r="M212" s="32" t="s">
        <v>379</v>
      </c>
      <c r="N212" s="17" t="str">
        <f t="shared" si="13"/>
        <v>Commercial</v>
      </c>
      <c r="O212" s="17">
        <v>9</v>
      </c>
      <c r="P212" s="8">
        <v>1</v>
      </c>
    </row>
    <row r="213" spans="6:16" x14ac:dyDescent="0.2">
      <c r="F213" t="str">
        <f t="shared" si="10"/>
        <v>GPG</v>
      </c>
      <c r="G213" t="str">
        <f t="shared" si="11"/>
        <v>Commercial</v>
      </c>
      <c r="H213" s="45">
        <f t="shared" si="12"/>
        <v>0.09</v>
      </c>
      <c r="K213" s="32">
        <v>8</v>
      </c>
      <c r="L213" s="32" t="s">
        <v>24</v>
      </c>
      <c r="M213" s="32" t="s">
        <v>379</v>
      </c>
      <c r="N213" s="17" t="str">
        <f t="shared" si="13"/>
        <v>Commercial</v>
      </c>
      <c r="O213" s="17">
        <v>9</v>
      </c>
      <c r="P213" s="8">
        <v>1</v>
      </c>
    </row>
    <row r="214" spans="6:16" x14ac:dyDescent="0.2">
      <c r="F214" t="str">
        <f t="shared" si="10"/>
        <v>ECM</v>
      </c>
      <c r="G214" t="str">
        <f t="shared" si="11"/>
        <v>Commercial</v>
      </c>
      <c r="H214" s="45">
        <f t="shared" si="12"/>
        <v>0.03</v>
      </c>
      <c r="K214" s="32">
        <v>9</v>
      </c>
      <c r="L214" s="32" t="s">
        <v>40</v>
      </c>
      <c r="M214" s="32" t="s">
        <v>379</v>
      </c>
      <c r="N214" s="17" t="str">
        <f t="shared" si="13"/>
        <v>Commercial</v>
      </c>
      <c r="O214" s="17">
        <v>3</v>
      </c>
      <c r="P214" s="8">
        <v>1</v>
      </c>
    </row>
    <row r="215" spans="6:16" x14ac:dyDescent="0.2">
      <c r="F215" t="str">
        <f t="shared" si="10"/>
        <v>SEO</v>
      </c>
      <c r="G215" t="str">
        <f t="shared" si="11"/>
        <v>Operations</v>
      </c>
      <c r="H215" s="45">
        <f t="shared" si="12"/>
        <v>0.35</v>
      </c>
      <c r="K215" s="32">
        <v>10</v>
      </c>
      <c r="L215" s="32" t="s">
        <v>26</v>
      </c>
      <c r="M215" s="32" t="s">
        <v>379</v>
      </c>
      <c r="N215" s="17" t="str">
        <f t="shared" si="13"/>
        <v>Operations</v>
      </c>
      <c r="O215" s="17">
        <v>35</v>
      </c>
      <c r="P215" s="8"/>
    </row>
    <row r="216" spans="6:16" x14ac:dyDescent="0.2">
      <c r="F216" t="str">
        <f t="shared" si="10"/>
        <v>EDO</v>
      </c>
      <c r="G216" t="str">
        <f t="shared" si="11"/>
        <v>Operations</v>
      </c>
      <c r="H216" s="45">
        <f t="shared" si="12"/>
        <v>0.35</v>
      </c>
      <c r="K216" s="32">
        <v>11</v>
      </c>
      <c r="L216" s="32" t="s">
        <v>7</v>
      </c>
      <c r="M216" s="32" t="s">
        <v>379</v>
      </c>
      <c r="N216" s="17" t="str">
        <f t="shared" si="13"/>
        <v>Operations</v>
      </c>
      <c r="O216" s="17">
        <v>35</v>
      </c>
      <c r="P216" s="8">
        <v>1</v>
      </c>
    </row>
    <row r="217" spans="6:16" x14ac:dyDescent="0.2">
      <c r="F217" t="str">
        <f t="shared" si="10"/>
        <v>EM</v>
      </c>
      <c r="G217" t="str">
        <f t="shared" si="11"/>
        <v>Operations</v>
      </c>
      <c r="H217" s="45">
        <f t="shared" si="12"/>
        <v>0.3</v>
      </c>
      <c r="K217" s="32">
        <v>12</v>
      </c>
      <c r="L217" s="32" t="s">
        <v>42</v>
      </c>
      <c r="M217" s="32" t="s">
        <v>379</v>
      </c>
      <c r="N217" s="17" t="str">
        <f t="shared" si="13"/>
        <v>Operations</v>
      </c>
      <c r="O217" s="17">
        <v>30</v>
      </c>
      <c r="P217" s="8">
        <v>1</v>
      </c>
    </row>
    <row r="218" spans="6:16" x14ac:dyDescent="0.2">
      <c r="F218" t="str">
        <f t="shared" si="10"/>
        <v>ACR</v>
      </c>
      <c r="G218" t="str">
        <f t="shared" si="11"/>
        <v>Corporate</v>
      </c>
      <c r="H218" s="45">
        <f t="shared" si="12"/>
        <v>6.6666666666666666E-2</v>
      </c>
      <c r="K218" s="32">
        <v>13</v>
      </c>
      <c r="L218" s="32" t="s">
        <v>44</v>
      </c>
      <c r="M218" s="32" t="s">
        <v>379</v>
      </c>
      <c r="N218" s="17" t="str">
        <f t="shared" si="13"/>
        <v>Corporate</v>
      </c>
      <c r="O218" s="17">
        <v>6.666666666666667</v>
      </c>
      <c r="P218" s="8">
        <v>1</v>
      </c>
    </row>
    <row r="219" spans="6:16" x14ac:dyDescent="0.2">
      <c r="F219" t="str">
        <f t="shared" si="10"/>
        <v>CF</v>
      </c>
      <c r="G219" t="str">
        <f t="shared" si="11"/>
        <v>Corporate</v>
      </c>
      <c r="H219" s="45">
        <f t="shared" si="12"/>
        <v>6.6666666666666666E-2</v>
      </c>
      <c r="K219" s="32">
        <v>14</v>
      </c>
      <c r="L219" s="32" t="s">
        <v>22</v>
      </c>
      <c r="M219" s="32" t="s">
        <v>379</v>
      </c>
      <c r="N219" s="17" t="str">
        <f t="shared" si="13"/>
        <v>Corporate</v>
      </c>
      <c r="O219" s="17">
        <v>6.666666666666667</v>
      </c>
      <c r="P219" s="8">
        <v>1</v>
      </c>
    </row>
    <row r="220" spans="6:16" x14ac:dyDescent="0.2">
      <c r="F220" t="str">
        <f t="shared" si="10"/>
        <v>RS</v>
      </c>
      <c r="G220" t="str">
        <f t="shared" si="11"/>
        <v>Corporate</v>
      </c>
      <c r="H220" s="45">
        <f t="shared" si="12"/>
        <v>6.6666666666666666E-2</v>
      </c>
      <c r="K220" s="32">
        <v>15</v>
      </c>
      <c r="L220" s="32" t="s">
        <v>45</v>
      </c>
      <c r="M220" s="32" t="s">
        <v>379</v>
      </c>
      <c r="N220" s="17" t="str">
        <f t="shared" si="13"/>
        <v>Corporate</v>
      </c>
      <c r="O220" s="17">
        <v>6.666666666666667</v>
      </c>
      <c r="P220" s="8">
        <v>1</v>
      </c>
    </row>
    <row r="221" spans="6:16" x14ac:dyDescent="0.2">
      <c r="F221" t="str">
        <f t="shared" si="10"/>
        <v>AVC</v>
      </c>
      <c r="G221" t="str">
        <f t="shared" si="11"/>
        <v>Corporate</v>
      </c>
      <c r="H221" s="45">
        <f t="shared" si="12"/>
        <v>6.6666666666666666E-2</v>
      </c>
      <c r="K221" s="32">
        <v>16</v>
      </c>
      <c r="L221" s="32" t="s">
        <v>46</v>
      </c>
      <c r="M221" s="32" t="s">
        <v>379</v>
      </c>
      <c r="N221" s="17" t="str">
        <f t="shared" si="13"/>
        <v>Corporate</v>
      </c>
      <c r="O221" s="17">
        <v>6.666666666666667</v>
      </c>
      <c r="P221" s="8">
        <v>1</v>
      </c>
    </row>
    <row r="222" spans="6:16" x14ac:dyDescent="0.2">
      <c r="F222" t="str">
        <f t="shared" si="10"/>
        <v>GRH</v>
      </c>
      <c r="G222" t="str">
        <f t="shared" si="11"/>
        <v>Corporate</v>
      </c>
      <c r="H222" s="45">
        <f t="shared" si="12"/>
        <v>6.6666666666666666E-2</v>
      </c>
      <c r="K222" s="32">
        <v>17</v>
      </c>
      <c r="L222" s="32" t="s">
        <v>35</v>
      </c>
      <c r="M222" s="32" t="s">
        <v>379</v>
      </c>
      <c r="N222" s="17" t="str">
        <f t="shared" si="13"/>
        <v>Corporate</v>
      </c>
      <c r="O222" s="17">
        <v>6.666666666666667</v>
      </c>
      <c r="P222" s="8">
        <v>1</v>
      </c>
    </row>
    <row r="223" spans="6:16" x14ac:dyDescent="0.2">
      <c r="F223" t="str">
        <f t="shared" si="10"/>
        <v>GT</v>
      </c>
      <c r="G223" t="str">
        <f t="shared" si="11"/>
        <v>Corporate</v>
      </c>
      <c r="H223" s="45">
        <f t="shared" si="12"/>
        <v>6.6666666666666666E-2</v>
      </c>
      <c r="K223" s="32">
        <v>18</v>
      </c>
      <c r="L223" s="32" t="s">
        <v>47</v>
      </c>
      <c r="M223" s="32" t="s">
        <v>379</v>
      </c>
      <c r="N223" s="17" t="str">
        <f t="shared" si="13"/>
        <v>Corporate</v>
      </c>
      <c r="O223" s="17">
        <v>6.666666666666667</v>
      </c>
      <c r="P223" s="8">
        <v>1</v>
      </c>
    </row>
    <row r="224" spans="6:16" x14ac:dyDescent="0.2">
      <c r="F224" t="str">
        <f t="shared" si="10"/>
        <v>CL</v>
      </c>
      <c r="G224" t="str">
        <f t="shared" si="11"/>
        <v>Corporate</v>
      </c>
      <c r="H224" s="45">
        <f t="shared" si="12"/>
        <v>6.6666666666666666E-2</v>
      </c>
      <c r="K224" s="32">
        <v>19</v>
      </c>
      <c r="L224" s="32" t="s">
        <v>48</v>
      </c>
      <c r="M224" s="32" t="s">
        <v>379</v>
      </c>
      <c r="N224" s="17" t="str">
        <f t="shared" si="13"/>
        <v>Corporate</v>
      </c>
      <c r="O224" s="17">
        <v>6.666666666666667</v>
      </c>
      <c r="P224" s="8">
        <v>1</v>
      </c>
    </row>
    <row r="225" spans="6:16" x14ac:dyDescent="0.2">
      <c r="F225" t="str">
        <f t="shared" si="10"/>
        <v>PC</v>
      </c>
      <c r="G225" t="str">
        <f t="shared" si="11"/>
        <v>Corporate</v>
      </c>
      <c r="H225" s="45">
        <f t="shared" si="12"/>
        <v>6.6666666666666666E-2</v>
      </c>
      <c r="K225" s="32">
        <v>22</v>
      </c>
      <c r="L225" s="32" t="s">
        <v>98</v>
      </c>
      <c r="M225" s="32" t="s">
        <v>379</v>
      </c>
      <c r="N225" s="17" t="str">
        <f t="shared" si="13"/>
        <v>Corporate</v>
      </c>
      <c r="O225" s="17">
        <v>6.666666666666667</v>
      </c>
      <c r="P225" s="8">
        <v>1</v>
      </c>
    </row>
    <row r="226" spans="6:16" x14ac:dyDescent="0.2">
      <c r="F226" t="str">
        <f t="shared" si="10"/>
        <v>DPO</v>
      </c>
      <c r="G226" t="str">
        <f t="shared" si="11"/>
        <v>Corporate</v>
      </c>
      <c r="H226" s="45">
        <f t="shared" si="12"/>
        <v>6.6666666666666666E-2</v>
      </c>
      <c r="K226" s="32">
        <v>28</v>
      </c>
      <c r="L226" s="32" t="s">
        <v>54</v>
      </c>
      <c r="M226" s="32" t="s">
        <v>379</v>
      </c>
      <c r="N226" s="17" t="str">
        <f t="shared" si="13"/>
        <v>Corporate</v>
      </c>
      <c r="O226" s="17">
        <v>6.666666666666667</v>
      </c>
      <c r="P226" s="8">
        <v>1</v>
      </c>
    </row>
    <row r="227" spans="6:16" x14ac:dyDescent="0.2">
      <c r="F227" t="str">
        <f t="shared" si="10"/>
        <v>CMP</v>
      </c>
      <c r="G227" t="str">
        <f t="shared" si="11"/>
        <v>Corporate</v>
      </c>
      <c r="H227" s="45">
        <f t="shared" si="12"/>
        <v>6.6666666669999999E-2</v>
      </c>
      <c r="K227" s="32">
        <v>29</v>
      </c>
      <c r="L227" s="32" t="s">
        <v>50</v>
      </c>
      <c r="M227" s="32" t="s">
        <v>379</v>
      </c>
      <c r="N227" s="17" t="str">
        <f t="shared" si="13"/>
        <v>Corporate</v>
      </c>
      <c r="O227" s="17">
        <v>6.6666666670000003</v>
      </c>
      <c r="P227" s="8">
        <v>1</v>
      </c>
    </row>
    <row r="228" spans="6:16" x14ac:dyDescent="0.2">
      <c r="F228" t="str">
        <f t="shared" si="10"/>
        <v>ST</v>
      </c>
      <c r="G228" t="str">
        <f t="shared" si="11"/>
        <v>Corporate</v>
      </c>
      <c r="H228" s="45">
        <f t="shared" si="12"/>
        <v>6.6666666669999999E-2</v>
      </c>
      <c r="K228" s="32">
        <v>30</v>
      </c>
      <c r="L228" s="32" t="s">
        <v>51</v>
      </c>
      <c r="M228" s="32" t="s">
        <v>379</v>
      </c>
      <c r="N228" s="17" t="str">
        <f t="shared" si="13"/>
        <v>Corporate</v>
      </c>
      <c r="O228" s="17">
        <v>6.6666666670000003</v>
      </c>
      <c r="P228" s="8">
        <v>1</v>
      </c>
    </row>
    <row r="229" spans="6:16" x14ac:dyDescent="0.2">
      <c r="F229" t="str">
        <f t="shared" si="10"/>
        <v>FL</v>
      </c>
      <c r="G229" t="str">
        <f t="shared" si="11"/>
        <v>Corporate</v>
      </c>
      <c r="H229" s="45">
        <f t="shared" si="12"/>
        <v>4.4444444446666669E-2</v>
      </c>
      <c r="K229" s="32">
        <v>31</v>
      </c>
      <c r="L229" s="32" t="s">
        <v>56</v>
      </c>
      <c r="M229" s="32" t="s">
        <v>379</v>
      </c>
      <c r="N229" s="17" t="str">
        <f t="shared" si="13"/>
        <v>Corporate</v>
      </c>
      <c r="O229" s="17">
        <v>4.4444444446666669</v>
      </c>
      <c r="P229" s="8">
        <v>1</v>
      </c>
    </row>
    <row r="230" spans="6:16" x14ac:dyDescent="0.2">
      <c r="F230" t="str">
        <f t="shared" si="10"/>
        <v>NSP</v>
      </c>
      <c r="G230" t="str">
        <f t="shared" si="11"/>
        <v>Corporate</v>
      </c>
      <c r="H230" s="45">
        <f t="shared" si="12"/>
        <v>6.6666666669999999E-2</v>
      </c>
      <c r="K230" s="32">
        <v>32</v>
      </c>
      <c r="L230" s="32" t="s">
        <v>365</v>
      </c>
      <c r="M230" s="32" t="s">
        <v>379</v>
      </c>
      <c r="N230" s="17" t="str">
        <f t="shared" si="13"/>
        <v>Corporate</v>
      </c>
      <c r="O230" s="17">
        <v>6.6666666670000003</v>
      </c>
      <c r="P230" s="8">
        <v>1</v>
      </c>
    </row>
    <row r="231" spans="6:16" x14ac:dyDescent="0.2">
      <c r="F231" t="str">
        <f t="shared" si="10"/>
        <v>TF</v>
      </c>
      <c r="G231" t="str">
        <f t="shared" si="11"/>
        <v>Corporate</v>
      </c>
      <c r="H231" s="45">
        <f t="shared" si="12"/>
        <v>6.6666666669999999E-2</v>
      </c>
      <c r="K231" s="32">
        <v>33</v>
      </c>
      <c r="L231" s="32" t="s">
        <v>53</v>
      </c>
      <c r="M231" s="32" t="s">
        <v>379</v>
      </c>
      <c r="N231" s="17" t="str">
        <f t="shared" si="13"/>
        <v>Corporate</v>
      </c>
      <c r="O231" s="17">
        <v>6.6666666670000003</v>
      </c>
      <c r="P231" s="8">
        <v>1</v>
      </c>
    </row>
    <row r="232" spans="6:16" x14ac:dyDescent="0.2">
      <c r="F232" t="str">
        <f t="shared" si="10"/>
        <v>SSJ</v>
      </c>
      <c r="G232" t="str">
        <f t="shared" si="11"/>
        <v>Corporate</v>
      </c>
      <c r="H232" s="45">
        <f t="shared" si="12"/>
        <v>4.4444444446666669E-2</v>
      </c>
      <c r="K232" s="32">
        <v>33</v>
      </c>
      <c r="L232" s="32" t="s">
        <v>55</v>
      </c>
      <c r="M232" s="32" t="s">
        <v>379</v>
      </c>
      <c r="N232" s="17" t="str">
        <f t="shared" si="13"/>
        <v>Corporate</v>
      </c>
      <c r="O232" s="17">
        <v>4.4444444446666669</v>
      </c>
      <c r="P232" s="8">
        <v>1</v>
      </c>
    </row>
    <row r="233" spans="6:16" x14ac:dyDescent="0.2">
      <c r="F233" t="str">
        <f t="shared" si="10"/>
        <v>RC</v>
      </c>
      <c r="G233" t="str">
        <f t="shared" si="11"/>
        <v>Corporate</v>
      </c>
      <c r="H233" s="45">
        <f t="shared" si="12"/>
        <v>4.4444444446666669E-2</v>
      </c>
      <c r="K233" s="32">
        <v>33</v>
      </c>
      <c r="L233" s="32" t="s">
        <v>896</v>
      </c>
      <c r="M233" s="32" t="s">
        <v>379</v>
      </c>
      <c r="N233" s="17" t="str">
        <f t="shared" si="13"/>
        <v>Corporate</v>
      </c>
      <c r="O233" s="17">
        <v>4.4444444446666669</v>
      </c>
      <c r="P233" s="8">
        <v>1</v>
      </c>
    </row>
    <row r="234" spans="6:16" x14ac:dyDescent="0.2">
      <c r="F234" t="str">
        <f t="shared" si="10"/>
        <v>SI</v>
      </c>
      <c r="G234" t="str">
        <f t="shared" si="11"/>
        <v>Technology</v>
      </c>
      <c r="H234" s="45">
        <f t="shared" si="12"/>
        <v>0.4</v>
      </c>
      <c r="K234" s="32">
        <v>34</v>
      </c>
      <c r="L234" s="32" t="s">
        <v>9</v>
      </c>
      <c r="M234" s="32" t="s">
        <v>379</v>
      </c>
      <c r="N234" s="17" t="str">
        <f t="shared" si="13"/>
        <v>Technology</v>
      </c>
      <c r="O234" s="17">
        <v>40</v>
      </c>
      <c r="P234" s="8">
        <v>1</v>
      </c>
    </row>
    <row r="235" spans="6:16" x14ac:dyDescent="0.2">
      <c r="F235" t="str">
        <f t="shared" si="10"/>
        <v>BCTT</v>
      </c>
      <c r="G235" t="str">
        <f t="shared" si="11"/>
        <v>Technology</v>
      </c>
      <c r="H235" s="45">
        <f t="shared" si="12"/>
        <v>0.15</v>
      </c>
      <c r="K235" s="32">
        <v>35</v>
      </c>
      <c r="L235" s="32" t="s">
        <v>34</v>
      </c>
      <c r="M235" s="32" t="s">
        <v>379</v>
      </c>
      <c r="N235" s="17" t="str">
        <f t="shared" si="13"/>
        <v>Technology</v>
      </c>
      <c r="O235" s="17">
        <v>15</v>
      </c>
      <c r="P235" s="8">
        <v>1</v>
      </c>
    </row>
    <row r="236" spans="6:16" x14ac:dyDescent="0.2">
      <c r="F236" t="str">
        <f t="shared" si="10"/>
        <v>SI-PRD</v>
      </c>
      <c r="G236" t="str">
        <f t="shared" si="11"/>
        <v>Technology</v>
      </c>
      <c r="H236" s="45">
        <f t="shared" si="12"/>
        <v>0.15</v>
      </c>
      <c r="K236" s="32">
        <v>36</v>
      </c>
      <c r="L236" s="32" t="s">
        <v>58</v>
      </c>
      <c r="M236" s="32" t="s">
        <v>379</v>
      </c>
      <c r="N236" s="17" t="str">
        <f t="shared" si="13"/>
        <v>Technology</v>
      </c>
      <c r="O236" s="17">
        <v>15</v>
      </c>
      <c r="P236" s="8">
        <v>1</v>
      </c>
    </row>
    <row r="237" spans="6:16" x14ac:dyDescent="0.2">
      <c r="F237" t="str">
        <f t="shared" si="10"/>
        <v>SI-OPS</v>
      </c>
      <c r="G237" t="str">
        <f t="shared" si="11"/>
        <v>Technology</v>
      </c>
      <c r="H237" s="45">
        <f t="shared" si="12"/>
        <v>0.15</v>
      </c>
      <c r="K237" s="32">
        <v>37</v>
      </c>
      <c r="L237" s="32" t="s">
        <v>59</v>
      </c>
      <c r="M237" s="32" t="s">
        <v>379</v>
      </c>
      <c r="N237" s="17" t="str">
        <f t="shared" si="13"/>
        <v>Technology</v>
      </c>
      <c r="O237" s="17">
        <v>15</v>
      </c>
      <c r="P237" s="8">
        <v>1</v>
      </c>
    </row>
    <row r="238" spans="6:16" x14ac:dyDescent="0.2">
      <c r="F238" t="str">
        <f t="shared" si="10"/>
        <v>SI-CRP</v>
      </c>
      <c r="G238" t="str">
        <f t="shared" si="11"/>
        <v>Technology</v>
      </c>
      <c r="H238" s="45">
        <f t="shared" si="12"/>
        <v>0.15</v>
      </c>
      <c r="K238" s="32">
        <v>38</v>
      </c>
      <c r="L238" s="32" t="s">
        <v>60</v>
      </c>
      <c r="M238" s="32" t="s">
        <v>379</v>
      </c>
      <c r="N238" s="17" t="str">
        <f t="shared" ref="N238:N269" si="14">VLOOKUP($L238,$Y:$Z,2,FALSE)</f>
        <v>Technology</v>
      </c>
      <c r="O238" s="17">
        <v>15</v>
      </c>
      <c r="P238" s="8">
        <v>1</v>
      </c>
    </row>
    <row r="239" spans="6:16" x14ac:dyDescent="0.2">
      <c r="F239" t="str">
        <f t="shared" si="10"/>
        <v>IAD</v>
      </c>
      <c r="G239" t="str">
        <f t="shared" si="11"/>
        <v>Data &amp; AI</v>
      </c>
      <c r="H239" s="45">
        <f t="shared" si="12"/>
        <v>1</v>
      </c>
      <c r="K239" s="32">
        <v>39</v>
      </c>
      <c r="L239" s="32" t="s">
        <v>116</v>
      </c>
      <c r="M239" s="32" t="s">
        <v>379</v>
      </c>
      <c r="N239" s="17" t="str">
        <f t="shared" si="14"/>
        <v>Data &amp; AI</v>
      </c>
      <c r="O239" s="17">
        <v>100</v>
      </c>
      <c r="P239" s="8">
        <v>1</v>
      </c>
    </row>
    <row r="240" spans="6:16" x14ac:dyDescent="0.2">
      <c r="F240" t="str">
        <f t="shared" si="10"/>
        <v>CISO</v>
      </c>
      <c r="G240" t="str">
        <f t="shared" si="11"/>
        <v>CISO</v>
      </c>
      <c r="H240" s="45">
        <f t="shared" si="12"/>
        <v>1</v>
      </c>
      <c r="K240" s="32">
        <v>40</v>
      </c>
      <c r="L240" s="32" t="s">
        <v>11</v>
      </c>
      <c r="M240" s="32" t="s">
        <v>379</v>
      </c>
      <c r="N240" s="17" t="str">
        <f t="shared" si="14"/>
        <v>CISO</v>
      </c>
      <c r="O240" s="17">
        <v>100</v>
      </c>
      <c r="P240" s="8">
        <v>1</v>
      </c>
    </row>
    <row r="241" spans="11:16" x14ac:dyDescent="0.2">
      <c r="K241">
        <v>1</v>
      </c>
      <c r="L241" t="s">
        <v>64</v>
      </c>
      <c r="M241" t="s">
        <v>381</v>
      </c>
      <c r="N241" s="17" t="str">
        <f t="shared" si="14"/>
        <v>Operations</v>
      </c>
      <c r="O241" s="17">
        <v>9.9999999999999995E-7</v>
      </c>
      <c r="P241" s="8">
        <v>1</v>
      </c>
    </row>
    <row r="242" spans="11:16" x14ac:dyDescent="0.2">
      <c r="K242">
        <v>2</v>
      </c>
      <c r="L242" t="s">
        <v>23</v>
      </c>
      <c r="M242" t="s">
        <v>381</v>
      </c>
      <c r="N242" s="17" t="str">
        <f t="shared" si="14"/>
        <v>Commercial</v>
      </c>
      <c r="O242" s="17">
        <v>9.9999999999999995E-7</v>
      </c>
      <c r="P242" s="8">
        <v>1</v>
      </c>
    </row>
    <row r="243" spans="11:16" x14ac:dyDescent="0.2">
      <c r="K243">
        <v>3</v>
      </c>
      <c r="L243" t="s">
        <v>69</v>
      </c>
      <c r="M243" t="s">
        <v>381</v>
      </c>
      <c r="N243" s="17" t="str">
        <f t="shared" si="14"/>
        <v>Corporate</v>
      </c>
      <c r="O243" s="17">
        <v>9.9999999999999995E-7</v>
      </c>
      <c r="P243" s="8">
        <v>1</v>
      </c>
    </row>
    <row r="244" spans="11:16" x14ac:dyDescent="0.2">
      <c r="K244">
        <v>4</v>
      </c>
      <c r="L244" t="s">
        <v>70</v>
      </c>
      <c r="M244" t="s">
        <v>381</v>
      </c>
      <c r="N244" s="17" t="str">
        <f t="shared" si="14"/>
        <v>Technology</v>
      </c>
      <c r="O244" s="17">
        <v>9.9999999999999995E-7</v>
      </c>
      <c r="P244" s="8">
        <v>1</v>
      </c>
    </row>
    <row r="245" spans="11:16" x14ac:dyDescent="0.2">
      <c r="K245">
        <v>5</v>
      </c>
      <c r="L245" t="s">
        <v>11</v>
      </c>
      <c r="M245" t="s">
        <v>381</v>
      </c>
      <c r="N245" s="17" t="str">
        <f t="shared" si="14"/>
        <v>CISO</v>
      </c>
      <c r="O245" s="17">
        <v>9.9999999999999995E-7</v>
      </c>
      <c r="P245" s="8">
        <v>1</v>
      </c>
    </row>
    <row r="246" spans="11:16" x14ac:dyDescent="0.2">
      <c r="K246">
        <v>6</v>
      </c>
      <c r="L246" t="s">
        <v>116</v>
      </c>
      <c r="M246" t="s">
        <v>381</v>
      </c>
      <c r="N246" s="17" t="str">
        <f t="shared" si="14"/>
        <v>Data &amp; AI</v>
      </c>
      <c r="O246" s="17">
        <v>9.9999999999999995E-7</v>
      </c>
      <c r="P246" s="8">
        <v>1</v>
      </c>
    </row>
    <row r="247" spans="11:16" x14ac:dyDescent="0.2">
      <c r="K247">
        <v>7</v>
      </c>
      <c r="L247" t="s">
        <v>37</v>
      </c>
      <c r="M247" t="s">
        <v>381</v>
      </c>
      <c r="N247" s="17" t="str">
        <f t="shared" si="14"/>
        <v>Commercial</v>
      </c>
      <c r="O247" s="17">
        <v>9.9999999999999995E-7</v>
      </c>
      <c r="P247" s="8">
        <v>1</v>
      </c>
    </row>
    <row r="248" spans="11:16" x14ac:dyDescent="0.2">
      <c r="K248">
        <v>8</v>
      </c>
      <c r="L248" t="s">
        <v>7</v>
      </c>
      <c r="M248" t="s">
        <v>381</v>
      </c>
      <c r="N248" s="17" t="str">
        <f t="shared" si="14"/>
        <v>Operations</v>
      </c>
      <c r="O248" s="17">
        <v>9.9999999999999995E-7</v>
      </c>
      <c r="P248" s="8">
        <v>1</v>
      </c>
    </row>
    <row r="249" spans="11:16" x14ac:dyDescent="0.2">
      <c r="K249">
        <v>9</v>
      </c>
      <c r="L249" t="s">
        <v>44</v>
      </c>
      <c r="M249" t="s">
        <v>381</v>
      </c>
      <c r="N249" s="17" t="str">
        <f t="shared" si="14"/>
        <v>Corporate</v>
      </c>
      <c r="O249" s="17">
        <v>9.9999999999999995E-7</v>
      </c>
      <c r="P249" s="8">
        <v>1</v>
      </c>
    </row>
    <row r="250" spans="11:16" x14ac:dyDescent="0.2">
      <c r="K250">
        <v>10</v>
      </c>
      <c r="L250" t="s">
        <v>9</v>
      </c>
      <c r="M250" t="s">
        <v>381</v>
      </c>
      <c r="N250" s="17" t="str">
        <f t="shared" si="14"/>
        <v>Technology</v>
      </c>
      <c r="O250" s="17">
        <v>9.9999999999999995E-7</v>
      </c>
      <c r="P250" s="8">
        <v>1</v>
      </c>
    </row>
    <row r="251" spans="11:16" x14ac:dyDescent="0.2">
      <c r="K251">
        <v>11</v>
      </c>
      <c r="L251" t="s">
        <v>65</v>
      </c>
      <c r="M251" t="s">
        <v>381</v>
      </c>
      <c r="N251" s="17" t="str">
        <f t="shared" si="14"/>
        <v>Commercial</v>
      </c>
      <c r="O251" s="17">
        <v>9.9999999999999995E-7</v>
      </c>
      <c r="P251" s="8">
        <v>1</v>
      </c>
    </row>
    <row r="252" spans="11:16" x14ac:dyDescent="0.2">
      <c r="K252">
        <v>12</v>
      </c>
      <c r="L252" t="s">
        <v>26</v>
      </c>
      <c r="M252" t="s">
        <v>381</v>
      </c>
      <c r="N252" s="17" t="str">
        <f t="shared" si="14"/>
        <v>Operations</v>
      </c>
      <c r="O252" s="17">
        <v>9.9999999999999995E-7</v>
      </c>
      <c r="P252" s="8">
        <v>1</v>
      </c>
    </row>
    <row r="253" spans="11:16" x14ac:dyDescent="0.2">
      <c r="K253">
        <v>13</v>
      </c>
      <c r="L253" t="s">
        <v>22</v>
      </c>
      <c r="M253" t="s">
        <v>381</v>
      </c>
      <c r="N253" s="17" t="str">
        <f t="shared" si="14"/>
        <v>Corporate</v>
      </c>
      <c r="O253" s="17">
        <v>9.9999999999999995E-7</v>
      </c>
      <c r="P253" s="8">
        <v>1</v>
      </c>
    </row>
    <row r="254" spans="11:16" x14ac:dyDescent="0.2">
      <c r="K254">
        <v>14</v>
      </c>
      <c r="L254" t="s">
        <v>59</v>
      </c>
      <c r="M254" t="s">
        <v>381</v>
      </c>
      <c r="N254" s="17" t="str">
        <f t="shared" si="14"/>
        <v>Technology</v>
      </c>
      <c r="O254" s="17">
        <v>9.9999999999999995E-7</v>
      </c>
      <c r="P254" s="8">
        <v>1</v>
      </c>
    </row>
    <row r="255" spans="11:16" x14ac:dyDescent="0.2">
      <c r="K255">
        <v>15</v>
      </c>
      <c r="L255" t="s">
        <v>66</v>
      </c>
      <c r="M255" t="s">
        <v>381</v>
      </c>
      <c r="N255" s="17" t="str">
        <f t="shared" si="14"/>
        <v>Commercial</v>
      </c>
      <c r="O255" s="17">
        <v>9.9999999999999995E-7</v>
      </c>
      <c r="P255" s="8">
        <v>1</v>
      </c>
    </row>
    <row r="256" spans="11:16" x14ac:dyDescent="0.2">
      <c r="K256">
        <v>17</v>
      </c>
      <c r="L256" t="s">
        <v>34</v>
      </c>
      <c r="M256" t="s">
        <v>381</v>
      </c>
      <c r="N256" s="17" t="str">
        <f t="shared" si="14"/>
        <v>Technology</v>
      </c>
      <c r="O256" s="17">
        <v>9.9999999999999995E-7</v>
      </c>
      <c r="P256" s="8">
        <v>1</v>
      </c>
    </row>
    <row r="257" spans="11:16" x14ac:dyDescent="0.2">
      <c r="K257">
        <v>18</v>
      </c>
      <c r="L257" t="s">
        <v>67</v>
      </c>
      <c r="M257" t="s">
        <v>381</v>
      </c>
      <c r="N257" s="17" t="str">
        <f t="shared" si="14"/>
        <v>Corporate</v>
      </c>
      <c r="O257" s="17">
        <v>9.9999999999999995E-7</v>
      </c>
      <c r="P257" s="8">
        <v>1</v>
      </c>
    </row>
    <row r="258" spans="11:16" x14ac:dyDescent="0.2">
      <c r="K258">
        <v>19</v>
      </c>
      <c r="L258" t="s">
        <v>58</v>
      </c>
      <c r="M258" t="s">
        <v>381</v>
      </c>
      <c r="N258" s="17" t="str">
        <f t="shared" si="14"/>
        <v>Technology</v>
      </c>
      <c r="O258" s="17">
        <v>9.9999999999999995E-7</v>
      </c>
      <c r="P258" s="8">
        <v>1</v>
      </c>
    </row>
    <row r="259" spans="11:16" x14ac:dyDescent="0.2">
      <c r="K259">
        <v>20</v>
      </c>
      <c r="L259" t="s">
        <v>68</v>
      </c>
      <c r="M259" t="s">
        <v>381</v>
      </c>
      <c r="N259" s="17" t="str">
        <f t="shared" si="14"/>
        <v>Commercial</v>
      </c>
      <c r="O259" s="17">
        <v>9.9999999999999995E-7</v>
      </c>
      <c r="P259" s="8">
        <v>1</v>
      </c>
    </row>
    <row r="260" spans="11:16" x14ac:dyDescent="0.2">
      <c r="K260">
        <v>21</v>
      </c>
      <c r="L260" t="s">
        <v>46</v>
      </c>
      <c r="M260" t="s">
        <v>381</v>
      </c>
      <c r="N260" s="17" t="str">
        <f t="shared" si="14"/>
        <v>Corporate</v>
      </c>
      <c r="O260" s="17">
        <v>9.9999999999999995E-7</v>
      </c>
      <c r="P260" s="8">
        <v>1</v>
      </c>
    </row>
    <row r="261" spans="11:16" x14ac:dyDescent="0.2">
      <c r="K261">
        <v>22</v>
      </c>
      <c r="L261" t="s">
        <v>42</v>
      </c>
      <c r="M261" t="s">
        <v>381</v>
      </c>
      <c r="N261" s="17" t="str">
        <f t="shared" si="14"/>
        <v>Operations</v>
      </c>
      <c r="O261" s="17">
        <v>9.9999999999999995E-7</v>
      </c>
      <c r="P261" s="8">
        <v>1</v>
      </c>
    </row>
    <row r="262" spans="11:16" x14ac:dyDescent="0.2">
      <c r="K262">
        <v>23</v>
      </c>
      <c r="L262" t="s">
        <v>36</v>
      </c>
      <c r="M262" t="s">
        <v>381</v>
      </c>
      <c r="N262" s="17" t="str">
        <f t="shared" si="14"/>
        <v>Commercial</v>
      </c>
      <c r="O262" s="17">
        <v>9.9999999999999995E-7</v>
      </c>
      <c r="P262" s="8">
        <v>1</v>
      </c>
    </row>
    <row r="263" spans="11:16" x14ac:dyDescent="0.2">
      <c r="K263">
        <v>24</v>
      </c>
      <c r="L263" t="s">
        <v>72</v>
      </c>
      <c r="M263" t="s">
        <v>381</v>
      </c>
      <c r="N263" s="17" t="str">
        <f t="shared" si="14"/>
        <v>Corporate</v>
      </c>
      <c r="O263" s="17">
        <v>9.9999999999999995E-7</v>
      </c>
      <c r="P263" s="8">
        <v>1</v>
      </c>
    </row>
    <row r="264" spans="11:16" x14ac:dyDescent="0.2">
      <c r="K264">
        <v>25</v>
      </c>
      <c r="L264" t="s">
        <v>60</v>
      </c>
      <c r="M264" t="s">
        <v>381</v>
      </c>
      <c r="N264" s="17" t="str">
        <f t="shared" si="14"/>
        <v>Technology</v>
      </c>
      <c r="O264" s="17">
        <v>9.9999999999999995E-7</v>
      </c>
      <c r="P264" s="8">
        <v>1</v>
      </c>
    </row>
    <row r="265" spans="11:16" x14ac:dyDescent="0.2">
      <c r="K265">
        <v>26</v>
      </c>
      <c r="L265" t="s">
        <v>38</v>
      </c>
      <c r="M265" t="s">
        <v>381</v>
      </c>
      <c r="N265" s="17" t="str">
        <f t="shared" si="14"/>
        <v>Commercial</v>
      </c>
      <c r="O265" s="17">
        <v>9.9999999999999995E-7</v>
      </c>
      <c r="P265" s="8">
        <v>1</v>
      </c>
    </row>
    <row r="266" spans="11:16" x14ac:dyDescent="0.2">
      <c r="K266">
        <v>27</v>
      </c>
      <c r="L266" t="s">
        <v>71</v>
      </c>
      <c r="M266" t="s">
        <v>381</v>
      </c>
      <c r="N266" s="17" t="str">
        <f t="shared" si="14"/>
        <v>Corporate</v>
      </c>
      <c r="O266" s="17">
        <v>9.9999999999999995E-7</v>
      </c>
      <c r="P266" s="8">
        <v>1</v>
      </c>
    </row>
    <row r="267" spans="11:16" x14ac:dyDescent="0.2">
      <c r="K267">
        <v>28</v>
      </c>
      <c r="L267" t="s">
        <v>21</v>
      </c>
      <c r="M267" t="s">
        <v>381</v>
      </c>
      <c r="N267" s="17" t="str">
        <f t="shared" si="14"/>
        <v>Commercial</v>
      </c>
      <c r="O267" s="17">
        <v>9.9999999999999995E-7</v>
      </c>
      <c r="P267" s="8">
        <v>1</v>
      </c>
    </row>
    <row r="268" spans="11:16" x14ac:dyDescent="0.2">
      <c r="K268">
        <v>29</v>
      </c>
      <c r="L268" t="s">
        <v>54</v>
      </c>
      <c r="M268" t="s">
        <v>381</v>
      </c>
      <c r="N268" s="17" t="str">
        <f t="shared" si="14"/>
        <v>Corporate</v>
      </c>
      <c r="O268" s="17">
        <v>9.9999999999999995E-7</v>
      </c>
      <c r="P268" s="8">
        <v>1</v>
      </c>
    </row>
    <row r="269" spans="11:16" x14ac:dyDescent="0.2">
      <c r="K269">
        <v>30</v>
      </c>
      <c r="L269" t="s">
        <v>25</v>
      </c>
      <c r="M269" t="s">
        <v>381</v>
      </c>
      <c r="N269" s="17" t="str">
        <f t="shared" si="14"/>
        <v>Commercial</v>
      </c>
      <c r="O269" s="17">
        <v>9.9999999999999995E-7</v>
      </c>
      <c r="P269" s="8">
        <v>1</v>
      </c>
    </row>
    <row r="270" spans="11:16" x14ac:dyDescent="0.2">
      <c r="K270">
        <v>31</v>
      </c>
      <c r="L270" t="s">
        <v>47</v>
      </c>
      <c r="M270" t="s">
        <v>381</v>
      </c>
      <c r="N270" s="17" t="str">
        <f t="shared" ref="N270:N282" si="15">VLOOKUP($L270,$Y:$Z,2,FALSE)</f>
        <v>Corporate</v>
      </c>
      <c r="O270" s="17">
        <v>9.9999999999999995E-7</v>
      </c>
      <c r="P270" s="8">
        <v>1</v>
      </c>
    </row>
    <row r="271" spans="11:16" x14ac:dyDescent="0.2">
      <c r="K271">
        <v>32</v>
      </c>
      <c r="L271" t="s">
        <v>24</v>
      </c>
      <c r="M271" t="s">
        <v>381</v>
      </c>
      <c r="N271" s="17" t="str">
        <f t="shared" si="15"/>
        <v>Commercial</v>
      </c>
      <c r="O271" s="17">
        <v>9.9999999999999995E-7</v>
      </c>
      <c r="P271" s="8">
        <v>1</v>
      </c>
    </row>
    <row r="272" spans="11:16" x14ac:dyDescent="0.2">
      <c r="K272">
        <v>35</v>
      </c>
      <c r="L272" t="s">
        <v>35</v>
      </c>
      <c r="M272" t="s">
        <v>381</v>
      </c>
      <c r="N272" s="17" t="str">
        <f t="shared" si="15"/>
        <v>Corporate</v>
      </c>
      <c r="O272" s="17">
        <v>9.9999999999999995E-7</v>
      </c>
      <c r="P272" s="8">
        <v>1</v>
      </c>
    </row>
    <row r="273" spans="11:16" x14ac:dyDescent="0.2">
      <c r="K273">
        <v>36</v>
      </c>
      <c r="L273" t="s">
        <v>40</v>
      </c>
      <c r="M273" t="s">
        <v>381</v>
      </c>
      <c r="N273" s="17" t="str">
        <f t="shared" si="15"/>
        <v>Commercial</v>
      </c>
      <c r="O273" s="17">
        <v>9.9999999999999995E-7</v>
      </c>
      <c r="P273" s="8">
        <v>1</v>
      </c>
    </row>
    <row r="274" spans="11:16" x14ac:dyDescent="0.2">
      <c r="K274">
        <v>37</v>
      </c>
      <c r="L274" t="s">
        <v>98</v>
      </c>
      <c r="M274" t="s">
        <v>381</v>
      </c>
      <c r="N274" s="17" t="str">
        <f t="shared" si="15"/>
        <v>Corporate</v>
      </c>
      <c r="O274" s="17">
        <v>9.9999999999999995E-7</v>
      </c>
      <c r="P274" s="8">
        <v>1</v>
      </c>
    </row>
    <row r="275" spans="11:16" x14ac:dyDescent="0.2">
      <c r="K275">
        <v>38</v>
      </c>
      <c r="L275" t="s">
        <v>45</v>
      </c>
      <c r="M275" t="s">
        <v>381</v>
      </c>
      <c r="N275" s="17" t="str">
        <f t="shared" si="15"/>
        <v>Corporate</v>
      </c>
      <c r="O275" s="17">
        <v>9.9999999999999995E-7</v>
      </c>
      <c r="P275" s="8">
        <v>1</v>
      </c>
    </row>
    <row r="276" spans="11:16" x14ac:dyDescent="0.2">
      <c r="K276">
        <v>39</v>
      </c>
      <c r="L276" t="s">
        <v>51</v>
      </c>
      <c r="M276" t="s">
        <v>381</v>
      </c>
      <c r="N276" s="17" t="str">
        <f t="shared" si="15"/>
        <v>Corporate</v>
      </c>
      <c r="O276" s="17">
        <v>9.9999999999999995E-7</v>
      </c>
      <c r="P276" s="8">
        <v>1</v>
      </c>
    </row>
    <row r="277" spans="11:16" x14ac:dyDescent="0.2">
      <c r="K277">
        <v>40</v>
      </c>
      <c r="L277" t="s">
        <v>48</v>
      </c>
      <c r="M277" t="s">
        <v>381</v>
      </c>
      <c r="N277" s="17" t="str">
        <f t="shared" si="15"/>
        <v>Corporate</v>
      </c>
      <c r="O277" s="17">
        <v>9.9999999999999995E-7</v>
      </c>
      <c r="P277" s="8">
        <v>1</v>
      </c>
    </row>
    <row r="278" spans="11:16" x14ac:dyDescent="0.2">
      <c r="K278">
        <v>41</v>
      </c>
      <c r="L278" t="s">
        <v>50</v>
      </c>
      <c r="M278" t="s">
        <v>381</v>
      </c>
      <c r="N278" s="17" t="str">
        <f t="shared" si="15"/>
        <v>Corporate</v>
      </c>
      <c r="O278" s="17">
        <v>9.9999999999999995E-7</v>
      </c>
      <c r="P278" s="8">
        <v>1</v>
      </c>
    </row>
    <row r="279" spans="11:16" x14ac:dyDescent="0.2">
      <c r="K279">
        <v>42</v>
      </c>
      <c r="L279" t="s">
        <v>73</v>
      </c>
      <c r="M279" t="s">
        <v>381</v>
      </c>
      <c r="N279" s="17" t="str">
        <f t="shared" si="15"/>
        <v>Corporate</v>
      </c>
      <c r="O279" s="17">
        <v>9.9999999999999995E-7</v>
      </c>
      <c r="P279" s="8">
        <v>1</v>
      </c>
    </row>
    <row r="280" spans="11:16" x14ac:dyDescent="0.2">
      <c r="K280">
        <v>43</v>
      </c>
      <c r="L280" t="s">
        <v>56</v>
      </c>
      <c r="M280" t="s">
        <v>381</v>
      </c>
      <c r="N280" s="17" t="str">
        <f t="shared" si="15"/>
        <v>Corporate</v>
      </c>
      <c r="O280" s="17">
        <v>9.9999999999999995E-7</v>
      </c>
      <c r="P280" s="8">
        <v>1</v>
      </c>
    </row>
    <row r="281" spans="11:16" x14ac:dyDescent="0.2">
      <c r="K281">
        <v>44</v>
      </c>
      <c r="L281" t="s">
        <v>53</v>
      </c>
      <c r="M281" t="s">
        <v>381</v>
      </c>
      <c r="N281" s="17" t="str">
        <f t="shared" si="15"/>
        <v>Corporate</v>
      </c>
      <c r="O281" s="17">
        <v>9.9999999999999995E-7</v>
      </c>
      <c r="P281" s="8">
        <v>1</v>
      </c>
    </row>
    <row r="282" spans="11:16" x14ac:dyDescent="0.2">
      <c r="K282">
        <v>45</v>
      </c>
      <c r="L282" t="s">
        <v>39</v>
      </c>
      <c r="M282" t="s">
        <v>381</v>
      </c>
      <c r="N282" s="17" t="str">
        <f t="shared" si="15"/>
        <v>Commercial</v>
      </c>
      <c r="O282" s="17">
        <v>9.9999999999999995E-7</v>
      </c>
      <c r="P282" s="8">
        <v>1</v>
      </c>
    </row>
  </sheetData>
  <autoFilter ref="A2:AE282" xr:uid="{D521F980-2E5F-EC49-B62F-4F6A4A27A40F}"/>
  <sortState xmlns:xlrd2="http://schemas.microsoft.com/office/spreadsheetml/2017/richdata2" ref="K206:O240">
    <sortCondition ref="K206:K240"/>
  </sortState>
  <conditionalFormatting sqref="B35:B40">
    <cfRule type="colorScale" priority="5">
      <colorScale>
        <cfvo type="min"/>
        <cfvo type="max"/>
        <color rgb="FFFFEF9C"/>
        <color rgb="FF63BE7B"/>
      </colorScale>
    </cfRule>
  </conditionalFormatting>
  <conditionalFormatting sqref="D1 I3:I44">
    <cfRule type="notContainsText" dxfId="26" priority="1" operator="notContains" text="100">
      <formula>ISERROR(SEARCH("100",D1))</formula>
    </cfRule>
  </conditionalFormatting>
  <conditionalFormatting sqref="P1:P1048576"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14">
    <cfRule type="colorScale" priority="12">
      <colorScale>
        <cfvo type="min"/>
        <cfvo type="max"/>
        <color rgb="FFFFEF9C"/>
        <color rgb="FF63BE7B"/>
      </colorScale>
    </cfRule>
    <cfRule type="cellIs" dxfId="25" priority="14" operator="equal">
      <formula>100</formula>
    </cfRule>
  </conditionalFormatting>
  <conditionalFormatting sqref="V3:V46">
    <cfRule type="colorScale" priority="11">
      <colorScale>
        <cfvo type="min"/>
        <cfvo type="max"/>
        <color rgb="FFFFEF9C"/>
        <color rgb="FF63BE7B"/>
      </colorScale>
    </cfRule>
    <cfRule type="cellIs" dxfId="24" priority="13" operator="equal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9606-4C0B-DC47-83A6-B22D8344BA34}">
  <sheetPr>
    <tabColor theme="8"/>
  </sheetPr>
  <dimension ref="A1"/>
  <sheetViews>
    <sheetView workbookViewId="0">
      <selection activeCell="F40" sqref="F40"/>
    </sheetView>
  </sheetViews>
  <sheetFormatPr baseColWidth="10" defaultRowHeight="16" x14ac:dyDescent="0.2"/>
  <sheetData>
    <row r="1" spans="1:1" x14ac:dyDescent="0.2">
      <c r="A1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214D-FC72-DD42-903B-918192557071}">
  <sheetPr>
    <tabColor rgb="FF00B0F0"/>
  </sheetPr>
  <dimension ref="A1:AL282"/>
  <sheetViews>
    <sheetView zoomScale="120" zoomScaleNormal="120" workbookViewId="0">
      <pane ySplit="2" topLeftCell="A3" activePane="bottomLeft" state="frozen"/>
      <selection pane="bottomLeft" activeCell="T1" sqref="T1:W1048576"/>
    </sheetView>
  </sheetViews>
  <sheetFormatPr baseColWidth="10" defaultColWidth="8.83203125" defaultRowHeight="16" x14ac:dyDescent="0.2"/>
  <cols>
    <col min="1" max="1" width="3" customWidth="1"/>
    <col min="2" max="2" width="4.6640625" bestFit="1" customWidth="1"/>
    <col min="3" max="3" width="14.33203125" bestFit="1" customWidth="1"/>
    <col min="4" max="4" width="19.83203125" bestFit="1" customWidth="1"/>
    <col min="5" max="5" width="15.5" bestFit="1" customWidth="1"/>
    <col min="6" max="6" width="12.1640625" bestFit="1" customWidth="1"/>
    <col min="7" max="7" width="13.33203125" bestFit="1" customWidth="1"/>
    <col min="8" max="8" width="11.83203125" bestFit="1" customWidth="1"/>
    <col min="9" max="9" width="5.33203125" customWidth="1"/>
    <col min="10" max="10" width="16.33203125" bestFit="1" customWidth="1"/>
    <col min="11" max="12" width="15.1640625" customWidth="1"/>
    <col min="13" max="13" width="6.5" bestFit="1" customWidth="1"/>
    <col min="14" max="14" width="8.83203125" bestFit="1" customWidth="1"/>
    <col min="15" max="15" width="6.5" bestFit="1" customWidth="1"/>
    <col min="16" max="16" width="7" bestFit="1" customWidth="1"/>
    <col min="17" max="17" width="6.5" bestFit="1" customWidth="1"/>
    <col min="18" max="18" width="7" bestFit="1" customWidth="1"/>
    <col min="19" max="19" width="6.5" bestFit="1" customWidth="1"/>
    <col min="20" max="20" width="4" customWidth="1"/>
    <col min="21" max="21" width="23.33203125" bestFit="1" customWidth="1"/>
    <col min="22" max="22" width="11.83203125" bestFit="1" customWidth="1"/>
    <col min="23" max="23" width="7.1640625" customWidth="1"/>
    <col min="24" max="24" width="2.83203125" customWidth="1"/>
    <col min="25" max="25" width="12" bestFit="1" customWidth="1"/>
    <col min="26" max="26" width="6.5" bestFit="1" customWidth="1"/>
    <col min="27" max="27" width="3" customWidth="1"/>
    <col min="28" max="28" width="14.33203125" bestFit="1" customWidth="1"/>
    <col min="29" max="29" width="6.5" bestFit="1" customWidth="1"/>
    <col min="30" max="30" width="12.5" bestFit="1" customWidth="1"/>
    <col min="31" max="31" width="2.33203125" customWidth="1"/>
    <col min="32" max="32" width="14.33203125" bestFit="1" customWidth="1"/>
    <col min="33" max="33" width="15.5" bestFit="1" customWidth="1"/>
    <col min="34" max="34" width="15.5" customWidth="1"/>
    <col min="36" max="36" width="28" bestFit="1" customWidth="1"/>
    <col min="37" max="37" width="20.1640625" bestFit="1" customWidth="1"/>
    <col min="38" max="38" width="21" bestFit="1" customWidth="1"/>
  </cols>
  <sheetData>
    <row r="1" spans="1:38" x14ac:dyDescent="0.2">
      <c r="B1" t="s">
        <v>122</v>
      </c>
      <c r="C1" s="18" t="s">
        <v>99</v>
      </c>
      <c r="D1" s="16" t="s">
        <v>118</v>
      </c>
      <c r="E1" s="16"/>
      <c r="F1" s="16">
        <f>SUBTOTAL(9,F2:F1000)</f>
        <v>1131.0000420048045</v>
      </c>
      <c r="J1" s="18" t="s">
        <v>99</v>
      </c>
      <c r="K1" s="16" t="s">
        <v>117</v>
      </c>
      <c r="L1" s="16"/>
      <c r="M1" s="1"/>
      <c r="O1" s="1"/>
      <c r="Q1" s="1"/>
      <c r="S1" s="1"/>
      <c r="T1" s="1"/>
      <c r="U1" s="18" t="s">
        <v>99</v>
      </c>
      <c r="V1" s="16" t="s">
        <v>119</v>
      </c>
      <c r="Z1" s="7"/>
      <c r="AC1" s="7"/>
      <c r="AF1" s="21" t="s">
        <v>102</v>
      </c>
      <c r="AG1" s="20"/>
      <c r="AH1" s="20"/>
      <c r="AJ1" s="21" t="s">
        <v>102</v>
      </c>
      <c r="AK1" s="20"/>
      <c r="AL1" s="20"/>
    </row>
    <row r="2" spans="1:38" x14ac:dyDescent="0.2">
      <c r="A2" s="1"/>
      <c r="B2" s="19" t="s">
        <v>120</v>
      </c>
      <c r="C2" s="5" t="s">
        <v>2</v>
      </c>
      <c r="D2" s="5" t="s">
        <v>0</v>
      </c>
      <c r="E2" s="5" t="s">
        <v>1</v>
      </c>
      <c r="F2" s="5" t="s">
        <v>3</v>
      </c>
      <c r="G2" s="19" t="s">
        <v>101</v>
      </c>
      <c r="H2" s="19" t="s">
        <v>100</v>
      </c>
      <c r="J2" s="5" t="s">
        <v>0</v>
      </c>
      <c r="K2" s="5" t="s">
        <v>1</v>
      </c>
      <c r="L2" s="5" t="s">
        <v>3</v>
      </c>
      <c r="M2" s="6" t="s">
        <v>20</v>
      </c>
      <c r="N2" s="6" t="s">
        <v>382</v>
      </c>
      <c r="O2" s="6" t="s">
        <v>20</v>
      </c>
      <c r="P2" s="6" t="s">
        <v>363</v>
      </c>
      <c r="Q2" s="6" t="s">
        <v>20</v>
      </c>
      <c r="R2" s="6" t="s">
        <v>3</v>
      </c>
      <c r="S2" s="6" t="s">
        <v>20</v>
      </c>
      <c r="T2" s="1"/>
      <c r="U2" s="4" t="s">
        <v>0</v>
      </c>
      <c r="V2" s="4" t="s">
        <v>3</v>
      </c>
      <c r="W2" s="6" t="s">
        <v>20</v>
      </c>
      <c r="X2" s="1"/>
      <c r="Y2" s="6" t="str" cm="1">
        <f t="array" ref="Y2:Y9">_xlfn.UNIQUE(E2:E1003)</f>
        <v>BudgetGroup</v>
      </c>
      <c r="Z2" s="6" t="s">
        <v>20</v>
      </c>
      <c r="AA2" s="1"/>
      <c r="AB2" s="6" t="str" cm="1">
        <f t="array" ref="AB2:AB48">_xlfn.UNIQUE(C2:C1003)</f>
        <v>RequestingArea</v>
      </c>
      <c r="AC2" s="6" t="s">
        <v>20</v>
      </c>
      <c r="AD2" s="1" t="s">
        <v>103</v>
      </c>
      <c r="AE2" s="1"/>
      <c r="AF2" s="6" t="s">
        <v>2</v>
      </c>
      <c r="AG2" s="6" t="s">
        <v>1</v>
      </c>
      <c r="AH2" s="6" t="s">
        <v>380</v>
      </c>
      <c r="AI2" s="1"/>
      <c r="AJ2" s="6" t="s">
        <v>104</v>
      </c>
      <c r="AK2" s="6" t="s">
        <v>105</v>
      </c>
      <c r="AL2" s="6" t="s">
        <v>106</v>
      </c>
    </row>
    <row r="3" spans="1:38" x14ac:dyDescent="0.2">
      <c r="B3">
        <v>1</v>
      </c>
      <c r="C3" t="s">
        <v>21</v>
      </c>
      <c r="D3" t="s">
        <v>4</v>
      </c>
      <c r="E3" s="17" t="str">
        <f t="shared" ref="E3:E66" si="0">VLOOKUP($C3,$AF:$AG,2,FALSE)</f>
        <v>Commercial</v>
      </c>
      <c r="F3" s="17">
        <f t="shared" ref="F3:F6" si="1">H3*SUMIFS($H:$H,$J:$J,D3,$K:$K,E3)/G3</f>
        <v>0.1111111111111111</v>
      </c>
      <c r="G3" s="17">
        <f t="shared" ref="G3:G66" si="2">SUMIFS($H$2:$H$1003,$E$2:$E$1003,E3,$D$2:$D$1003,D3)</f>
        <v>9</v>
      </c>
      <c r="H3" s="8">
        <v>1</v>
      </c>
      <c r="J3" t="s">
        <v>10</v>
      </c>
      <c r="K3" t="s">
        <v>6</v>
      </c>
      <c r="L3">
        <v>25</v>
      </c>
      <c r="M3" s="16">
        <f t="shared" ref="M3:M44" si="3">SUMIF($J:$J,J3,$L:$L)</f>
        <v>100</v>
      </c>
      <c r="N3">
        <f t="shared" ref="N3:N38" si="4">P3/Q3*100</f>
        <v>9.5238095238095237</v>
      </c>
      <c r="O3" s="16">
        <f t="shared" ref="O3:O44" si="5">SUMIF($J:$J,J3,$N:$N)</f>
        <v>100</v>
      </c>
      <c r="P3">
        <f t="shared" ref="P3:P44" si="6">COUNTIFS(E:E,K3,D:D,J3)</f>
        <v>4</v>
      </c>
      <c r="Q3" s="16">
        <f t="shared" ref="Q3:Q44" si="7">SUMIF($J:$J,J3,$P:$P)</f>
        <v>42</v>
      </c>
      <c r="R3">
        <f t="shared" ref="R3:R44" si="8">SUMIFS(F:F,E:E,K3,D:D,J3)</f>
        <v>100.0000000001</v>
      </c>
      <c r="S3" s="16">
        <f t="shared" ref="S3:S44" si="9">SUMIF($J:$J,P3,$P:$P)</f>
        <v>0</v>
      </c>
      <c r="U3" s="2" t="s">
        <v>10</v>
      </c>
      <c r="V3">
        <v>50</v>
      </c>
      <c r="W3" s="16">
        <f>SUM(V3:V18)</f>
        <v>100</v>
      </c>
      <c r="Y3" s="17" t="str">
        <v>Commercial</v>
      </c>
      <c r="Z3" s="3">
        <f t="shared" ref="Z3:Z14" si="10">SUMIF($E:$E,Y3,$F:$F)</f>
        <v>205.00001200090006</v>
      </c>
      <c r="AB3" s="17" t="str">
        <v>GP B2B</v>
      </c>
      <c r="AC3" s="3">
        <f t="shared" ref="AC3:AC46" si="11">SUMIF($C:$C,AB3,$F:$F)</f>
        <v>16.569445444544446</v>
      </c>
      <c r="AD3" s="17" t="str">
        <f t="shared" ref="AD3:AD47" si="12">VLOOKUP(AB3,$AF:$AG,2,FALSE)</f>
        <v>Commercial</v>
      </c>
      <c r="AF3" t="s">
        <v>11</v>
      </c>
      <c r="AG3" t="s">
        <v>11</v>
      </c>
      <c r="AJ3" s="22" t="s">
        <v>107</v>
      </c>
      <c r="AK3" t="str" cm="1">
        <f t="array" ref="AK3:AL3">_xlfn.TEXTSPLIT(AJ3,"&gt;",)</f>
        <v xml:space="preserve"> IDEA </v>
      </c>
      <c r="AL3" t="str">
        <v xml:space="preserve"> Backlog</v>
      </c>
    </row>
    <row r="4" spans="1:38" x14ac:dyDescent="0.2">
      <c r="B4">
        <v>2</v>
      </c>
      <c r="C4" t="s">
        <v>26</v>
      </c>
      <c r="D4" t="s">
        <v>4</v>
      </c>
      <c r="E4" s="17" t="str">
        <f t="shared" si="0"/>
        <v>Operations</v>
      </c>
      <c r="F4" s="17">
        <f t="shared" si="1"/>
        <v>0.33333333333333331</v>
      </c>
      <c r="G4" s="17">
        <f t="shared" si="2"/>
        <v>3</v>
      </c>
      <c r="H4" s="8">
        <v>1</v>
      </c>
      <c r="J4" t="s">
        <v>10</v>
      </c>
      <c r="K4" t="s">
        <v>5</v>
      </c>
      <c r="L4">
        <v>25</v>
      </c>
      <c r="M4" s="16">
        <f t="shared" si="3"/>
        <v>100</v>
      </c>
      <c r="N4">
        <f t="shared" si="4"/>
        <v>28.571428571428569</v>
      </c>
      <c r="O4" s="16">
        <f t="shared" si="5"/>
        <v>100</v>
      </c>
      <c r="P4">
        <f t="shared" si="6"/>
        <v>12</v>
      </c>
      <c r="Q4" s="16">
        <f t="shared" si="7"/>
        <v>42</v>
      </c>
      <c r="R4">
        <f t="shared" si="8"/>
        <v>100.0000000009</v>
      </c>
      <c r="S4" s="16">
        <f t="shared" si="9"/>
        <v>0</v>
      </c>
      <c r="U4" s="2" t="s">
        <v>379</v>
      </c>
      <c r="V4">
        <v>50</v>
      </c>
      <c r="Y4" s="17" t="str">
        <v>Operations</v>
      </c>
      <c r="Z4" s="3">
        <f t="shared" si="10"/>
        <v>205.00000400009992</v>
      </c>
      <c r="AB4" s="17" t="str">
        <v>SEO</v>
      </c>
      <c r="AC4" s="3">
        <f t="shared" si="11"/>
        <v>36.666667666766664</v>
      </c>
      <c r="AD4" s="17" t="str">
        <f t="shared" si="12"/>
        <v>Operations</v>
      </c>
      <c r="AF4" t="s">
        <v>66</v>
      </c>
      <c r="AG4" t="s">
        <v>5</v>
      </c>
      <c r="AJ4" s="22" t="s">
        <v>108</v>
      </c>
      <c r="AK4" t="str" cm="1">
        <f t="array" ref="AK4:AL4">_xlfn.TEXTSPLIT(AJ4,"&gt;",)</f>
        <v xml:space="preserve"> IDEA </v>
      </c>
      <c r="AL4" t="str">
        <v xml:space="preserve"> Pitch</v>
      </c>
    </row>
    <row r="5" spans="1:38" x14ac:dyDescent="0.2">
      <c r="B5">
        <v>3</v>
      </c>
      <c r="C5" t="s">
        <v>22</v>
      </c>
      <c r="D5" t="s">
        <v>4</v>
      </c>
      <c r="E5" s="17" t="str">
        <f t="shared" si="0"/>
        <v>Corporate</v>
      </c>
      <c r="F5" s="17">
        <f t="shared" si="1"/>
        <v>7.1428571428571425E-2</v>
      </c>
      <c r="G5" s="17">
        <f t="shared" si="2"/>
        <v>14</v>
      </c>
      <c r="H5" s="8">
        <v>1</v>
      </c>
      <c r="J5" t="s">
        <v>10</v>
      </c>
      <c r="K5" t="s">
        <v>12</v>
      </c>
      <c r="L5">
        <v>20</v>
      </c>
      <c r="M5" s="16">
        <f t="shared" si="3"/>
        <v>100</v>
      </c>
      <c r="N5">
        <f t="shared" si="4"/>
        <v>42.857142857142854</v>
      </c>
      <c r="O5" s="16">
        <f t="shared" si="5"/>
        <v>100</v>
      </c>
      <c r="P5">
        <f t="shared" si="6"/>
        <v>18</v>
      </c>
      <c r="Q5" s="16">
        <f t="shared" si="7"/>
        <v>42</v>
      </c>
      <c r="R5">
        <f t="shared" si="8"/>
        <v>100.00000000130002</v>
      </c>
      <c r="S5" s="16">
        <f t="shared" si="9"/>
        <v>0</v>
      </c>
      <c r="U5" s="2"/>
      <c r="Y5" s="17" t="str">
        <v>Corporate</v>
      </c>
      <c r="Z5" s="3">
        <f t="shared" si="10"/>
        <v>205.0000180033</v>
      </c>
      <c r="AB5" s="17" t="str">
        <v>CF</v>
      </c>
      <c r="AC5" s="3">
        <f t="shared" si="11"/>
        <v>7.0938654689644691</v>
      </c>
      <c r="AD5" s="17" t="str">
        <f t="shared" si="12"/>
        <v>Corporate</v>
      </c>
      <c r="AF5" t="s">
        <v>65</v>
      </c>
      <c r="AG5" t="s">
        <v>5</v>
      </c>
      <c r="AJ5" s="22" t="s">
        <v>109</v>
      </c>
      <c r="AK5" t="str" cm="1">
        <f t="array" ref="AK5:AL5">_xlfn.TEXTSPLIT(AJ5,"&gt;",)</f>
        <v xml:space="preserve"> IDEA </v>
      </c>
      <c r="AL5" t="str">
        <v xml:space="preserve"> In Definition</v>
      </c>
    </row>
    <row r="6" spans="1:38" x14ac:dyDescent="0.2">
      <c r="B6">
        <v>4</v>
      </c>
      <c r="C6" t="s">
        <v>9</v>
      </c>
      <c r="D6" t="s">
        <v>4</v>
      </c>
      <c r="E6" s="17" t="str">
        <f t="shared" si="0"/>
        <v>Technology</v>
      </c>
      <c r="F6" s="17">
        <f t="shared" si="1"/>
        <v>0.2</v>
      </c>
      <c r="G6" s="17">
        <f t="shared" si="2"/>
        <v>5</v>
      </c>
      <c r="H6" s="8">
        <v>1</v>
      </c>
      <c r="J6" t="s">
        <v>10</v>
      </c>
      <c r="K6" t="s">
        <v>8</v>
      </c>
      <c r="L6">
        <v>20</v>
      </c>
      <c r="M6" s="16">
        <f t="shared" si="3"/>
        <v>100</v>
      </c>
      <c r="N6">
        <f t="shared" si="4"/>
        <v>14.285714285714285</v>
      </c>
      <c r="O6" s="16">
        <f t="shared" si="5"/>
        <v>100</v>
      </c>
      <c r="P6">
        <f t="shared" si="6"/>
        <v>6</v>
      </c>
      <c r="Q6" s="16">
        <f t="shared" si="7"/>
        <v>42</v>
      </c>
      <c r="R6">
        <f t="shared" si="8"/>
        <v>100.00000000050001</v>
      </c>
      <c r="S6" s="16">
        <f t="shared" si="9"/>
        <v>0</v>
      </c>
      <c r="U6" s="2"/>
      <c r="Y6" s="17" t="str">
        <v>Technology</v>
      </c>
      <c r="Z6" s="3">
        <f t="shared" si="10"/>
        <v>205.00000600050004</v>
      </c>
      <c r="AB6" s="17" t="str">
        <v>SI</v>
      </c>
      <c r="AC6" s="3">
        <f t="shared" si="11"/>
        <v>41.000001000099999</v>
      </c>
      <c r="AD6" s="17" t="str">
        <f t="shared" si="12"/>
        <v>Technology</v>
      </c>
      <c r="AF6" t="s">
        <v>38</v>
      </c>
      <c r="AG6" t="s">
        <v>5</v>
      </c>
      <c r="AJ6" s="22" t="s">
        <v>110</v>
      </c>
      <c r="AK6" t="str" cm="1">
        <f t="array" ref="AK6:AL6">_xlfn.TEXTSPLIT(AJ6,"&gt;",)</f>
        <v xml:space="preserve"> SOLUTION </v>
      </c>
      <c r="AL6" t="str">
        <v xml:space="preserve"> In Approval</v>
      </c>
    </row>
    <row r="7" spans="1:38" x14ac:dyDescent="0.2">
      <c r="B7">
        <v>5</v>
      </c>
      <c r="C7" t="s">
        <v>11</v>
      </c>
      <c r="D7" t="s">
        <v>4</v>
      </c>
      <c r="E7" s="17" t="str">
        <f t="shared" si="0"/>
        <v>CISO</v>
      </c>
      <c r="F7" s="17">
        <f>H7*SUMIFS($H:$H,$J:$J,D7,$K:$K,E7)/G7</f>
        <v>1</v>
      </c>
      <c r="G7" s="17">
        <f t="shared" si="2"/>
        <v>1</v>
      </c>
      <c r="H7" s="8">
        <v>1</v>
      </c>
      <c r="J7" t="s">
        <v>10</v>
      </c>
      <c r="K7" t="s">
        <v>74</v>
      </c>
      <c r="L7">
        <v>5</v>
      </c>
      <c r="M7" s="16">
        <f t="shared" si="3"/>
        <v>100</v>
      </c>
      <c r="N7">
        <f t="shared" si="4"/>
        <v>2.3809523809523809</v>
      </c>
      <c r="O7" s="16">
        <f t="shared" si="5"/>
        <v>100</v>
      </c>
      <c r="P7">
        <f t="shared" si="6"/>
        <v>1</v>
      </c>
      <c r="Q7" s="16">
        <f t="shared" si="7"/>
        <v>42</v>
      </c>
      <c r="R7">
        <f t="shared" si="8"/>
        <v>100</v>
      </c>
      <c r="S7" s="16">
        <f t="shared" si="9"/>
        <v>0</v>
      </c>
      <c r="U7" s="2"/>
      <c r="Y7" s="17" t="str">
        <v>CISO</v>
      </c>
      <c r="Z7" s="3">
        <f t="shared" si="10"/>
        <v>106.000001</v>
      </c>
      <c r="AB7" s="17" t="str">
        <v>CISO</v>
      </c>
      <c r="AC7" s="3">
        <f t="shared" si="11"/>
        <v>106.000001</v>
      </c>
      <c r="AD7" s="17" t="str">
        <f t="shared" si="12"/>
        <v>CISO</v>
      </c>
      <c r="AF7" t="s">
        <v>39</v>
      </c>
      <c r="AG7" t="s">
        <v>5</v>
      </c>
      <c r="AJ7" s="22" t="s">
        <v>111</v>
      </c>
      <c r="AK7" t="str" cm="1">
        <f t="array" ref="AK7:AL7">_xlfn.TEXTSPLIT(AJ7,"&gt;",)</f>
        <v xml:space="preserve"> SOLUTION </v>
      </c>
      <c r="AL7" t="str">
        <v xml:space="preserve"> Ready for Approval</v>
      </c>
    </row>
    <row r="8" spans="1:38" x14ac:dyDescent="0.2">
      <c r="B8">
        <v>6</v>
      </c>
      <c r="C8" t="s">
        <v>116</v>
      </c>
      <c r="D8" t="s">
        <v>4</v>
      </c>
      <c r="E8" s="17" t="str">
        <f t="shared" si="0"/>
        <v>Data &amp; AI</v>
      </c>
      <c r="F8" s="17">
        <f t="shared" ref="F8:F35" si="13">H8*SUMIFS($H:$H,$J:$J,D8,$K:$K,E8)/G8</f>
        <v>1</v>
      </c>
      <c r="G8" s="17">
        <f t="shared" si="2"/>
        <v>1</v>
      </c>
      <c r="H8" s="8">
        <v>1</v>
      </c>
      <c r="J8" s="23" t="s">
        <v>10</v>
      </c>
      <c r="K8" s="23" t="s">
        <v>11</v>
      </c>
      <c r="L8">
        <v>5</v>
      </c>
      <c r="M8" s="16">
        <f t="shared" si="3"/>
        <v>100</v>
      </c>
      <c r="N8">
        <f t="shared" si="4"/>
        <v>2.3809523809523809</v>
      </c>
      <c r="O8" s="16">
        <f t="shared" si="5"/>
        <v>100</v>
      </c>
      <c r="P8" s="23">
        <f t="shared" si="6"/>
        <v>1</v>
      </c>
      <c r="Q8" s="16">
        <f t="shared" si="7"/>
        <v>42</v>
      </c>
      <c r="R8">
        <f t="shared" si="8"/>
        <v>1</v>
      </c>
      <c r="S8" s="16">
        <f t="shared" si="9"/>
        <v>0</v>
      </c>
      <c r="U8" s="2"/>
      <c r="Y8" s="17" t="str">
        <v>Data &amp; AI</v>
      </c>
      <c r="Z8" s="3">
        <f t="shared" si="10"/>
        <v>205.00000099999997</v>
      </c>
      <c r="AB8" s="17" t="str">
        <v>IAD</v>
      </c>
      <c r="AC8" s="3">
        <f t="shared" si="11"/>
        <v>204.14285814285714</v>
      </c>
      <c r="AD8" s="17" t="str">
        <f t="shared" si="12"/>
        <v>Data &amp; AI</v>
      </c>
      <c r="AF8" t="s">
        <v>36</v>
      </c>
      <c r="AG8" t="s">
        <v>5</v>
      </c>
      <c r="AJ8" s="22" t="s">
        <v>112</v>
      </c>
      <c r="AK8" t="str" cm="1">
        <f t="array" ref="AK8:AL8">_xlfn.TEXTSPLIT(AJ8,"&gt;",)</f>
        <v xml:space="preserve"> IDEA </v>
      </c>
      <c r="AL8" t="str">
        <v xml:space="preserve"> Ready for Solution</v>
      </c>
    </row>
    <row r="9" spans="1:38" x14ac:dyDescent="0.2">
      <c r="B9">
        <v>7</v>
      </c>
      <c r="C9" t="s">
        <v>37</v>
      </c>
      <c r="D9" t="s">
        <v>4</v>
      </c>
      <c r="E9" s="17" t="str">
        <f t="shared" si="0"/>
        <v>Commercial</v>
      </c>
      <c r="F9" s="17">
        <f t="shared" si="13"/>
        <v>0.1111111111111111</v>
      </c>
      <c r="G9" s="17">
        <f t="shared" si="2"/>
        <v>9</v>
      </c>
      <c r="H9" s="8">
        <v>1</v>
      </c>
      <c r="J9" t="s">
        <v>15</v>
      </c>
      <c r="K9" t="s">
        <v>5</v>
      </c>
      <c r="L9">
        <v>25</v>
      </c>
      <c r="M9" s="16">
        <f t="shared" si="3"/>
        <v>100</v>
      </c>
      <c r="N9">
        <f t="shared" si="4"/>
        <v>28.125</v>
      </c>
      <c r="O9" s="16">
        <f t="shared" si="5"/>
        <v>100</v>
      </c>
      <c r="P9">
        <f t="shared" si="6"/>
        <v>9</v>
      </c>
      <c r="Q9" s="16">
        <f t="shared" si="7"/>
        <v>32</v>
      </c>
      <c r="R9">
        <f t="shared" si="8"/>
        <v>1.0000000000000002</v>
      </c>
      <c r="S9" s="16">
        <f t="shared" si="9"/>
        <v>0</v>
      </c>
      <c r="U9" s="13"/>
      <c r="V9" s="14"/>
      <c r="Y9">
        <v>0</v>
      </c>
      <c r="Z9" s="3">
        <f t="shared" si="10"/>
        <v>0</v>
      </c>
      <c r="AB9" s="17" t="str">
        <v>GS</v>
      </c>
      <c r="AC9" s="3">
        <f t="shared" si="11"/>
        <v>12.569445444544444</v>
      </c>
      <c r="AD9" s="17" t="str">
        <f t="shared" si="12"/>
        <v>Commercial</v>
      </c>
      <c r="AF9" t="s">
        <v>40</v>
      </c>
      <c r="AG9" t="s">
        <v>5</v>
      </c>
      <c r="AJ9" s="22" t="s">
        <v>113</v>
      </c>
      <c r="AK9" t="str" cm="1">
        <f t="array" ref="AK9:AL9">_xlfn.TEXTSPLIT(AJ9,"&gt;",)</f>
        <v xml:space="preserve"> SOLUTION </v>
      </c>
      <c r="AL9" t="str">
        <v xml:space="preserve"> High Level Design</v>
      </c>
    </row>
    <row r="10" spans="1:38" x14ac:dyDescent="0.2">
      <c r="B10">
        <v>8</v>
      </c>
      <c r="C10" t="s">
        <v>44</v>
      </c>
      <c r="D10" t="s">
        <v>4</v>
      </c>
      <c r="E10" s="17" t="str">
        <f t="shared" si="0"/>
        <v>Corporate</v>
      </c>
      <c r="F10" s="17">
        <f t="shared" si="13"/>
        <v>7.1428571428571425E-2</v>
      </c>
      <c r="G10" s="17">
        <f t="shared" si="2"/>
        <v>14</v>
      </c>
      <c r="H10" s="8">
        <v>1</v>
      </c>
      <c r="J10" t="s">
        <v>15</v>
      </c>
      <c r="K10" t="s">
        <v>6</v>
      </c>
      <c r="L10">
        <v>25</v>
      </c>
      <c r="M10" s="16">
        <f t="shared" si="3"/>
        <v>100</v>
      </c>
      <c r="N10">
        <f t="shared" si="4"/>
        <v>9.375</v>
      </c>
      <c r="O10" s="16">
        <f t="shared" si="5"/>
        <v>100</v>
      </c>
      <c r="P10">
        <f t="shared" si="6"/>
        <v>3</v>
      </c>
      <c r="Q10" s="16">
        <f t="shared" si="7"/>
        <v>32</v>
      </c>
      <c r="R10">
        <f t="shared" si="8"/>
        <v>1</v>
      </c>
      <c r="S10" s="16">
        <f t="shared" si="9"/>
        <v>0</v>
      </c>
      <c r="Z10" s="3">
        <f t="shared" si="10"/>
        <v>0</v>
      </c>
      <c r="AB10" s="17" t="str">
        <v>ACR</v>
      </c>
      <c r="AC10" s="3">
        <f t="shared" si="11"/>
        <v>7.0938654689644691</v>
      </c>
      <c r="AD10" s="17" t="str">
        <f t="shared" si="12"/>
        <v>Corporate</v>
      </c>
      <c r="AF10" t="s">
        <v>21</v>
      </c>
      <c r="AG10" t="s">
        <v>5</v>
      </c>
      <c r="AJ10" s="22" t="s">
        <v>114</v>
      </c>
      <c r="AK10" t="str" cm="1">
        <f t="array" ref="AK10:AL10">_xlfn.TEXTSPLIT(AJ10,"&gt;",)</f>
        <v xml:space="preserve"> SOLUTION </v>
      </c>
      <c r="AL10" t="str">
        <v xml:space="preserve"> Ready for Development</v>
      </c>
    </row>
    <row r="11" spans="1:38" x14ac:dyDescent="0.2">
      <c r="B11">
        <v>9</v>
      </c>
      <c r="C11" t="s">
        <v>7</v>
      </c>
      <c r="D11" t="s">
        <v>4</v>
      </c>
      <c r="E11" s="17" t="str">
        <f t="shared" si="0"/>
        <v>Operations</v>
      </c>
      <c r="F11" s="17">
        <f t="shared" si="13"/>
        <v>0.33333333333333331</v>
      </c>
      <c r="G11" s="17">
        <f t="shared" si="2"/>
        <v>3</v>
      </c>
      <c r="H11" s="8">
        <v>1</v>
      </c>
      <c r="J11" t="s">
        <v>15</v>
      </c>
      <c r="K11" t="s">
        <v>12</v>
      </c>
      <c r="L11">
        <v>20</v>
      </c>
      <c r="M11" s="16">
        <f t="shared" si="3"/>
        <v>100</v>
      </c>
      <c r="N11">
        <f t="shared" si="4"/>
        <v>40.625</v>
      </c>
      <c r="O11" s="16">
        <f t="shared" si="5"/>
        <v>100</v>
      </c>
      <c r="P11">
        <f t="shared" si="6"/>
        <v>13</v>
      </c>
      <c r="Q11" s="16">
        <f t="shared" si="7"/>
        <v>32</v>
      </c>
      <c r="R11">
        <f t="shared" si="8"/>
        <v>0.99999999999999978</v>
      </c>
      <c r="S11" s="16">
        <f t="shared" si="9"/>
        <v>0</v>
      </c>
      <c r="Z11" s="3">
        <f t="shared" si="10"/>
        <v>0</v>
      </c>
      <c r="AB11" s="17" t="str">
        <v>EDO</v>
      </c>
      <c r="AC11" s="3">
        <f t="shared" si="11"/>
        <v>85.666667666666683</v>
      </c>
      <c r="AD11" s="17" t="str">
        <f t="shared" si="12"/>
        <v>Operations</v>
      </c>
      <c r="AF11" t="s">
        <v>25</v>
      </c>
      <c r="AG11" t="s">
        <v>5</v>
      </c>
      <c r="AJ11" s="22" t="s">
        <v>115</v>
      </c>
      <c r="AK11" t="str" cm="1">
        <f t="array" ref="AK11:AL11">_xlfn.TEXTSPLIT(AJ11,"&gt;",)</f>
        <v xml:space="preserve"> SOLUTION </v>
      </c>
      <c r="AL11" t="str">
        <v xml:space="preserve"> In Definition</v>
      </c>
    </row>
    <row r="12" spans="1:38" x14ac:dyDescent="0.2">
      <c r="B12">
        <v>10</v>
      </c>
      <c r="C12" t="s">
        <v>59</v>
      </c>
      <c r="D12" t="s">
        <v>4</v>
      </c>
      <c r="E12" s="17" t="str">
        <f t="shared" si="0"/>
        <v>Technology</v>
      </c>
      <c r="F12" s="17">
        <f t="shared" si="13"/>
        <v>0.2</v>
      </c>
      <c r="G12" s="17">
        <f t="shared" si="2"/>
        <v>5</v>
      </c>
      <c r="H12" s="8">
        <v>1</v>
      </c>
      <c r="J12" t="s">
        <v>15</v>
      </c>
      <c r="K12" t="s">
        <v>8</v>
      </c>
      <c r="L12">
        <v>20</v>
      </c>
      <c r="M12" s="16">
        <f t="shared" si="3"/>
        <v>100</v>
      </c>
      <c r="N12">
        <f t="shared" si="4"/>
        <v>15.625</v>
      </c>
      <c r="O12" s="16">
        <f t="shared" si="5"/>
        <v>100</v>
      </c>
      <c r="P12">
        <f t="shared" si="6"/>
        <v>5</v>
      </c>
      <c r="Q12" s="16">
        <f t="shared" si="7"/>
        <v>32</v>
      </c>
      <c r="R12">
        <f t="shared" si="8"/>
        <v>1</v>
      </c>
      <c r="S12" s="16">
        <f t="shared" si="9"/>
        <v>0</v>
      </c>
      <c r="Z12" s="3">
        <f t="shared" si="10"/>
        <v>0</v>
      </c>
      <c r="AB12" s="17" t="str">
        <v>SI-OPS</v>
      </c>
      <c r="AC12" s="3">
        <f t="shared" si="11"/>
        <v>16.000001000100003</v>
      </c>
      <c r="AD12" s="17" t="str">
        <f t="shared" si="12"/>
        <v>Technology</v>
      </c>
      <c r="AF12" t="s">
        <v>23</v>
      </c>
      <c r="AG12" t="s">
        <v>5</v>
      </c>
    </row>
    <row r="13" spans="1:38" x14ac:dyDescent="0.2">
      <c r="B13">
        <v>11</v>
      </c>
      <c r="C13" t="s">
        <v>36</v>
      </c>
      <c r="D13" t="s">
        <v>4</v>
      </c>
      <c r="E13" s="17" t="str">
        <f t="shared" si="0"/>
        <v>Commercial</v>
      </c>
      <c r="F13" s="17">
        <f t="shared" si="13"/>
        <v>0.1111111111111111</v>
      </c>
      <c r="G13" s="17">
        <f t="shared" si="2"/>
        <v>9</v>
      </c>
      <c r="H13" s="8">
        <v>1</v>
      </c>
      <c r="J13" t="s">
        <v>15</v>
      </c>
      <c r="K13" t="s">
        <v>74</v>
      </c>
      <c r="L13">
        <v>5</v>
      </c>
      <c r="M13" s="16">
        <f t="shared" si="3"/>
        <v>100</v>
      </c>
      <c r="N13">
        <f t="shared" si="4"/>
        <v>3.125</v>
      </c>
      <c r="O13" s="16">
        <f t="shared" si="5"/>
        <v>100</v>
      </c>
      <c r="P13">
        <f t="shared" si="6"/>
        <v>1</v>
      </c>
      <c r="Q13" s="16">
        <f t="shared" si="7"/>
        <v>32</v>
      </c>
      <c r="R13">
        <f t="shared" si="8"/>
        <v>1</v>
      </c>
      <c r="S13" s="16">
        <f t="shared" si="9"/>
        <v>0</v>
      </c>
      <c r="Z13" s="3">
        <f t="shared" si="10"/>
        <v>0</v>
      </c>
      <c r="AB13" s="17" t="str">
        <v>DNI</v>
      </c>
      <c r="AC13" s="3">
        <f t="shared" si="11"/>
        <v>16.569445444544446</v>
      </c>
      <c r="AD13" s="17" t="str">
        <f t="shared" si="12"/>
        <v>Commercial</v>
      </c>
      <c r="AF13" t="s">
        <v>24</v>
      </c>
      <c r="AG13" t="s">
        <v>5</v>
      </c>
    </row>
    <row r="14" spans="1:38" x14ac:dyDescent="0.2">
      <c r="B14">
        <v>12</v>
      </c>
      <c r="C14" t="s">
        <v>46</v>
      </c>
      <c r="D14" t="s">
        <v>4</v>
      </c>
      <c r="E14" s="17" t="str">
        <f t="shared" si="0"/>
        <v>Corporate</v>
      </c>
      <c r="F14" s="17">
        <f t="shared" si="13"/>
        <v>7.1428571428571425E-2</v>
      </c>
      <c r="G14" s="17">
        <f t="shared" si="2"/>
        <v>14</v>
      </c>
      <c r="H14" s="8">
        <v>1</v>
      </c>
      <c r="J14" s="23" t="s">
        <v>15</v>
      </c>
      <c r="K14" s="23" t="s">
        <v>11</v>
      </c>
      <c r="L14">
        <v>5</v>
      </c>
      <c r="M14" s="16">
        <f t="shared" si="3"/>
        <v>100</v>
      </c>
      <c r="N14">
        <f t="shared" si="4"/>
        <v>3.125</v>
      </c>
      <c r="O14" s="16">
        <f t="shared" si="5"/>
        <v>100</v>
      </c>
      <c r="P14" s="23">
        <f t="shared" si="6"/>
        <v>1</v>
      </c>
      <c r="Q14" s="16">
        <f t="shared" si="7"/>
        <v>32</v>
      </c>
      <c r="R14">
        <f t="shared" si="8"/>
        <v>1</v>
      </c>
      <c r="S14" s="16">
        <f t="shared" si="9"/>
        <v>0</v>
      </c>
      <c r="Z14" s="3">
        <f t="shared" si="10"/>
        <v>0</v>
      </c>
      <c r="AB14" s="17" t="str">
        <v>AVC</v>
      </c>
      <c r="AC14" s="3">
        <f t="shared" si="11"/>
        <v>7.0938654689644691</v>
      </c>
      <c r="AD14" s="17" t="str">
        <f t="shared" si="12"/>
        <v>Corporate</v>
      </c>
      <c r="AF14" t="s">
        <v>37</v>
      </c>
      <c r="AG14" t="s">
        <v>5</v>
      </c>
    </row>
    <row r="15" spans="1:38" x14ac:dyDescent="0.2">
      <c r="B15">
        <v>13</v>
      </c>
      <c r="C15" t="s">
        <v>42</v>
      </c>
      <c r="D15" t="s">
        <v>4</v>
      </c>
      <c r="E15" s="17" t="str">
        <f t="shared" si="0"/>
        <v>Operations</v>
      </c>
      <c r="F15" s="17">
        <f t="shared" si="13"/>
        <v>0.33333333333333331</v>
      </c>
      <c r="G15" s="17">
        <f t="shared" si="2"/>
        <v>3</v>
      </c>
      <c r="H15" s="8">
        <v>1</v>
      </c>
      <c r="J15" s="24" t="s">
        <v>4</v>
      </c>
      <c r="K15" s="24" t="s">
        <v>5</v>
      </c>
      <c r="L15">
        <v>25</v>
      </c>
      <c r="M15" s="16">
        <f t="shared" si="3"/>
        <v>100</v>
      </c>
      <c r="N15">
        <f t="shared" si="4"/>
        <v>27.27272727272727</v>
      </c>
      <c r="O15" s="16">
        <f t="shared" si="5"/>
        <v>100</v>
      </c>
      <c r="P15">
        <f t="shared" si="6"/>
        <v>9</v>
      </c>
      <c r="Q15" s="16">
        <f t="shared" si="7"/>
        <v>33</v>
      </c>
      <c r="R15">
        <f t="shared" si="8"/>
        <v>1.0000000000000002</v>
      </c>
      <c r="S15" s="16">
        <f t="shared" si="9"/>
        <v>0</v>
      </c>
      <c r="Z15" s="7"/>
      <c r="AB15" s="17" t="str">
        <v>EM</v>
      </c>
      <c r="AC15" s="3">
        <f t="shared" si="11"/>
        <v>32.666667666666662</v>
      </c>
      <c r="AD15" s="17" t="str">
        <f t="shared" si="12"/>
        <v>Operations</v>
      </c>
      <c r="AF15" t="s">
        <v>68</v>
      </c>
      <c r="AG15" t="s">
        <v>5</v>
      </c>
    </row>
    <row r="16" spans="1:38" x14ac:dyDescent="0.2">
      <c r="B16">
        <v>14</v>
      </c>
      <c r="C16" t="s">
        <v>58</v>
      </c>
      <c r="D16" t="s">
        <v>4</v>
      </c>
      <c r="E16" s="17" t="str">
        <f t="shared" si="0"/>
        <v>Technology</v>
      </c>
      <c r="F16" s="17">
        <f t="shared" si="13"/>
        <v>0.2</v>
      </c>
      <c r="G16" s="17">
        <f t="shared" si="2"/>
        <v>5</v>
      </c>
      <c r="H16" s="8">
        <v>1</v>
      </c>
      <c r="J16" t="s">
        <v>4</v>
      </c>
      <c r="K16" t="s">
        <v>6</v>
      </c>
      <c r="L16">
        <v>25</v>
      </c>
      <c r="M16" s="16">
        <f t="shared" si="3"/>
        <v>100</v>
      </c>
      <c r="N16">
        <f t="shared" si="4"/>
        <v>9.0909090909090917</v>
      </c>
      <c r="O16" s="16">
        <f t="shared" si="5"/>
        <v>100</v>
      </c>
      <c r="P16">
        <f t="shared" si="6"/>
        <v>3</v>
      </c>
      <c r="Q16" s="16">
        <f t="shared" si="7"/>
        <v>33</v>
      </c>
      <c r="R16">
        <f t="shared" si="8"/>
        <v>1</v>
      </c>
      <c r="S16" s="16">
        <f t="shared" si="9"/>
        <v>0</v>
      </c>
      <c r="Z16" s="7"/>
      <c r="AB16" s="17" t="str">
        <v>SI-PRD</v>
      </c>
      <c r="AC16" s="3">
        <f t="shared" si="11"/>
        <v>16.000001000100003</v>
      </c>
      <c r="AD16" s="17" t="str">
        <f t="shared" si="12"/>
        <v>Technology</v>
      </c>
      <c r="AF16" t="s">
        <v>44</v>
      </c>
      <c r="AG16" t="s">
        <v>12</v>
      </c>
    </row>
    <row r="17" spans="2:33" x14ac:dyDescent="0.2">
      <c r="B17">
        <v>15</v>
      </c>
      <c r="C17" t="s">
        <v>38</v>
      </c>
      <c r="D17" t="s">
        <v>4</v>
      </c>
      <c r="E17" s="17" t="str">
        <f t="shared" si="0"/>
        <v>Commercial</v>
      </c>
      <c r="F17" s="17">
        <f t="shared" si="13"/>
        <v>0.1111111111111111</v>
      </c>
      <c r="G17" s="17">
        <f t="shared" si="2"/>
        <v>9</v>
      </c>
      <c r="H17" s="8">
        <v>1</v>
      </c>
      <c r="J17" t="s">
        <v>4</v>
      </c>
      <c r="K17" t="s">
        <v>12</v>
      </c>
      <c r="L17">
        <v>20</v>
      </c>
      <c r="M17" s="16">
        <f t="shared" si="3"/>
        <v>100</v>
      </c>
      <c r="N17">
        <f t="shared" si="4"/>
        <v>42.424242424242422</v>
      </c>
      <c r="O17" s="16">
        <f t="shared" si="5"/>
        <v>100</v>
      </c>
      <c r="P17">
        <f t="shared" si="6"/>
        <v>14</v>
      </c>
      <c r="Q17" s="16">
        <f t="shared" si="7"/>
        <v>33</v>
      </c>
      <c r="R17">
        <f t="shared" si="8"/>
        <v>0.99999999999999967</v>
      </c>
      <c r="S17" s="16">
        <f t="shared" si="9"/>
        <v>0</v>
      </c>
      <c r="Z17" s="7"/>
      <c r="AB17" s="17" t="str">
        <v>CSI</v>
      </c>
      <c r="AC17" s="3">
        <f t="shared" si="11"/>
        <v>10.569445444544444</v>
      </c>
      <c r="AD17" s="17" t="str">
        <f t="shared" si="12"/>
        <v>Commercial</v>
      </c>
      <c r="AF17" t="s">
        <v>67</v>
      </c>
      <c r="AG17" t="s">
        <v>12</v>
      </c>
    </row>
    <row r="18" spans="2:33" x14ac:dyDescent="0.2">
      <c r="B18">
        <v>16</v>
      </c>
      <c r="C18" t="s">
        <v>47</v>
      </c>
      <c r="D18" t="s">
        <v>4</v>
      </c>
      <c r="E18" s="17" t="str">
        <f t="shared" si="0"/>
        <v>Corporate</v>
      </c>
      <c r="F18" s="17">
        <f t="shared" si="13"/>
        <v>7.1428571428571425E-2</v>
      </c>
      <c r="G18" s="17">
        <f t="shared" si="2"/>
        <v>14</v>
      </c>
      <c r="H18" s="8">
        <v>1</v>
      </c>
      <c r="J18" t="s">
        <v>4</v>
      </c>
      <c r="K18" t="s">
        <v>8</v>
      </c>
      <c r="L18">
        <v>20</v>
      </c>
      <c r="M18" s="16">
        <f t="shared" si="3"/>
        <v>100</v>
      </c>
      <c r="N18">
        <f t="shared" si="4"/>
        <v>15.151515151515152</v>
      </c>
      <c r="O18" s="16">
        <f t="shared" si="5"/>
        <v>100</v>
      </c>
      <c r="P18">
        <f t="shared" si="6"/>
        <v>5</v>
      </c>
      <c r="Q18" s="16">
        <f t="shared" si="7"/>
        <v>33</v>
      </c>
      <c r="R18">
        <f t="shared" si="8"/>
        <v>1</v>
      </c>
      <c r="S18" s="16">
        <f t="shared" si="9"/>
        <v>0</v>
      </c>
      <c r="U18" s="34"/>
      <c r="Z18" s="7"/>
      <c r="AB18" s="17" t="str">
        <v>GT</v>
      </c>
      <c r="AC18" s="3">
        <f t="shared" si="11"/>
        <v>7.0938654689644691</v>
      </c>
      <c r="AD18" s="17" t="str">
        <f t="shared" si="12"/>
        <v>Corporate</v>
      </c>
      <c r="AF18" t="s">
        <v>46</v>
      </c>
      <c r="AG18" t="s">
        <v>12</v>
      </c>
    </row>
    <row r="19" spans="2:33" x14ac:dyDescent="0.2">
      <c r="B19">
        <v>17</v>
      </c>
      <c r="C19" t="s">
        <v>34</v>
      </c>
      <c r="D19" t="s">
        <v>4</v>
      </c>
      <c r="E19" s="17" t="str">
        <f t="shared" si="0"/>
        <v>Technology</v>
      </c>
      <c r="F19" s="17">
        <f t="shared" si="13"/>
        <v>0.2</v>
      </c>
      <c r="G19" s="17">
        <f t="shared" si="2"/>
        <v>5</v>
      </c>
      <c r="H19" s="8">
        <v>1</v>
      </c>
      <c r="J19" t="s">
        <v>4</v>
      </c>
      <c r="K19" t="s">
        <v>74</v>
      </c>
      <c r="L19">
        <v>5</v>
      </c>
      <c r="M19" s="16">
        <f t="shared" si="3"/>
        <v>100</v>
      </c>
      <c r="N19">
        <f t="shared" si="4"/>
        <v>3.0303030303030303</v>
      </c>
      <c r="O19" s="16">
        <f t="shared" si="5"/>
        <v>100</v>
      </c>
      <c r="P19">
        <f t="shared" si="6"/>
        <v>1</v>
      </c>
      <c r="Q19" s="16">
        <f t="shared" si="7"/>
        <v>33</v>
      </c>
      <c r="R19">
        <f t="shared" si="8"/>
        <v>1</v>
      </c>
      <c r="S19" s="16">
        <f t="shared" si="9"/>
        <v>0</v>
      </c>
      <c r="Z19" s="7"/>
      <c r="AB19" s="17" t="str">
        <v>BCTT</v>
      </c>
      <c r="AC19" s="3">
        <f t="shared" si="11"/>
        <v>16.000001000100003</v>
      </c>
      <c r="AD19" s="17" t="str">
        <f t="shared" si="12"/>
        <v>Technology</v>
      </c>
      <c r="AF19" t="s">
        <v>22</v>
      </c>
      <c r="AG19" t="s">
        <v>12</v>
      </c>
    </row>
    <row r="20" spans="2:33" x14ac:dyDescent="0.2">
      <c r="B20">
        <v>18</v>
      </c>
      <c r="C20" t="s">
        <v>25</v>
      </c>
      <c r="D20" t="s">
        <v>4</v>
      </c>
      <c r="E20" s="17" t="str">
        <f t="shared" si="0"/>
        <v>Commercial</v>
      </c>
      <c r="F20" s="17">
        <f t="shared" si="13"/>
        <v>0.1111111111111111</v>
      </c>
      <c r="G20" s="17">
        <f t="shared" si="2"/>
        <v>9</v>
      </c>
      <c r="H20" s="8">
        <v>1</v>
      </c>
      <c r="J20" s="23" t="s">
        <v>4</v>
      </c>
      <c r="K20" s="23" t="s">
        <v>11</v>
      </c>
      <c r="L20">
        <v>5</v>
      </c>
      <c r="M20" s="16">
        <f t="shared" si="3"/>
        <v>100</v>
      </c>
      <c r="N20">
        <f t="shared" si="4"/>
        <v>3.0303030303030303</v>
      </c>
      <c r="O20" s="16">
        <f t="shared" si="5"/>
        <v>100</v>
      </c>
      <c r="P20" s="23">
        <f t="shared" si="6"/>
        <v>1</v>
      </c>
      <c r="Q20" s="16">
        <f t="shared" si="7"/>
        <v>33</v>
      </c>
      <c r="R20">
        <f t="shared" si="8"/>
        <v>1</v>
      </c>
      <c r="S20" s="16">
        <f t="shared" si="9"/>
        <v>0</v>
      </c>
      <c r="Z20" s="7"/>
      <c r="AB20" s="17" t="str">
        <v>GP B2C</v>
      </c>
      <c r="AC20" s="3">
        <f t="shared" si="11"/>
        <v>9.5694454445444439</v>
      </c>
      <c r="AD20" s="17" t="str">
        <f t="shared" si="12"/>
        <v>Commercial</v>
      </c>
      <c r="AF20" t="s">
        <v>69</v>
      </c>
      <c r="AG20" t="s">
        <v>12</v>
      </c>
    </row>
    <row r="21" spans="2:33" x14ac:dyDescent="0.2">
      <c r="B21">
        <v>19</v>
      </c>
      <c r="C21" t="s">
        <v>35</v>
      </c>
      <c r="D21" t="s">
        <v>4</v>
      </c>
      <c r="E21" s="17" t="str">
        <f t="shared" si="0"/>
        <v>Corporate</v>
      </c>
      <c r="F21" s="17">
        <f t="shared" si="13"/>
        <v>7.1428571428571425E-2</v>
      </c>
      <c r="G21" s="17">
        <f t="shared" si="2"/>
        <v>14</v>
      </c>
      <c r="H21" s="8">
        <v>1</v>
      </c>
      <c r="J21" s="24" t="s">
        <v>17</v>
      </c>
      <c r="K21" s="24" t="s">
        <v>5</v>
      </c>
      <c r="L21">
        <v>25</v>
      </c>
      <c r="M21" s="16">
        <f t="shared" si="3"/>
        <v>100</v>
      </c>
      <c r="N21">
        <f t="shared" si="4"/>
        <v>25</v>
      </c>
      <c r="O21" s="16">
        <f t="shared" si="5"/>
        <v>100</v>
      </c>
      <c r="P21">
        <f t="shared" si="6"/>
        <v>8</v>
      </c>
      <c r="Q21" s="16">
        <f t="shared" si="7"/>
        <v>32</v>
      </c>
      <c r="R21">
        <f t="shared" si="8"/>
        <v>1</v>
      </c>
      <c r="S21" s="16">
        <f t="shared" si="9"/>
        <v>0</v>
      </c>
      <c r="Z21" s="7"/>
      <c r="AB21" s="17" t="str">
        <v>GRH</v>
      </c>
      <c r="AC21" s="3">
        <f t="shared" si="11"/>
        <v>7.0938654689644691</v>
      </c>
      <c r="AD21" s="17" t="str">
        <f t="shared" si="12"/>
        <v>Corporate</v>
      </c>
      <c r="AF21" t="s">
        <v>72</v>
      </c>
      <c r="AG21" t="s">
        <v>12</v>
      </c>
    </row>
    <row r="22" spans="2:33" x14ac:dyDescent="0.2">
      <c r="B22">
        <v>20</v>
      </c>
      <c r="C22" t="s">
        <v>60</v>
      </c>
      <c r="D22" t="s">
        <v>4</v>
      </c>
      <c r="E22" s="17" t="str">
        <f t="shared" si="0"/>
        <v>Technology</v>
      </c>
      <c r="F22" s="17">
        <f t="shared" si="13"/>
        <v>0.2</v>
      </c>
      <c r="G22" s="17">
        <f t="shared" si="2"/>
        <v>5</v>
      </c>
      <c r="H22" s="8">
        <v>1</v>
      </c>
      <c r="J22" t="s">
        <v>17</v>
      </c>
      <c r="K22" t="s">
        <v>6</v>
      </c>
      <c r="L22">
        <v>25</v>
      </c>
      <c r="M22" s="16">
        <f t="shared" si="3"/>
        <v>100</v>
      </c>
      <c r="N22">
        <f t="shared" si="4"/>
        <v>9.375</v>
      </c>
      <c r="O22" s="16">
        <f t="shared" si="5"/>
        <v>100</v>
      </c>
      <c r="P22">
        <f t="shared" si="6"/>
        <v>3</v>
      </c>
      <c r="Q22" s="16">
        <f t="shared" si="7"/>
        <v>32</v>
      </c>
      <c r="R22">
        <f t="shared" si="8"/>
        <v>1</v>
      </c>
      <c r="S22" s="16">
        <f t="shared" si="9"/>
        <v>0</v>
      </c>
      <c r="Z22" s="7"/>
      <c r="AB22" s="17" t="str">
        <v>SI-CRP</v>
      </c>
      <c r="AC22" s="3">
        <f t="shared" si="11"/>
        <v>16.000001000100003</v>
      </c>
      <c r="AD22" s="17" t="str">
        <f t="shared" si="12"/>
        <v>Technology</v>
      </c>
      <c r="AF22" t="s">
        <v>48</v>
      </c>
      <c r="AG22" t="s">
        <v>12</v>
      </c>
    </row>
    <row r="23" spans="2:33" x14ac:dyDescent="0.2">
      <c r="B23">
        <v>21</v>
      </c>
      <c r="C23" t="s">
        <v>23</v>
      </c>
      <c r="D23" t="s">
        <v>4</v>
      </c>
      <c r="E23" s="17" t="str">
        <f t="shared" si="0"/>
        <v>Commercial</v>
      </c>
      <c r="F23" s="17">
        <f t="shared" si="13"/>
        <v>0.1111111111111111</v>
      </c>
      <c r="G23" s="17">
        <f t="shared" si="2"/>
        <v>9</v>
      </c>
      <c r="H23" s="8">
        <v>1</v>
      </c>
      <c r="J23" t="s">
        <v>17</v>
      </c>
      <c r="K23" t="s">
        <v>12</v>
      </c>
      <c r="L23">
        <v>20</v>
      </c>
      <c r="M23" s="16">
        <f t="shared" si="3"/>
        <v>100</v>
      </c>
      <c r="N23">
        <f t="shared" si="4"/>
        <v>25</v>
      </c>
      <c r="O23" s="16">
        <f t="shared" si="5"/>
        <v>100</v>
      </c>
      <c r="P23">
        <f t="shared" si="6"/>
        <v>8</v>
      </c>
      <c r="Q23" s="16">
        <f t="shared" si="7"/>
        <v>32</v>
      </c>
      <c r="R23">
        <f t="shared" si="8"/>
        <v>1</v>
      </c>
      <c r="S23" s="16">
        <f t="shared" si="9"/>
        <v>0</v>
      </c>
      <c r="Z23" s="7"/>
      <c r="AB23" s="17" t="str">
        <v>GP ECL</v>
      </c>
      <c r="AC23" s="3">
        <f t="shared" si="11"/>
        <v>16.569445444544446</v>
      </c>
      <c r="AD23" s="17" t="str">
        <f t="shared" si="12"/>
        <v>Commercial</v>
      </c>
      <c r="AF23" t="s">
        <v>50</v>
      </c>
      <c r="AG23" t="s">
        <v>12</v>
      </c>
    </row>
    <row r="24" spans="2:33" x14ac:dyDescent="0.2">
      <c r="B24">
        <v>22</v>
      </c>
      <c r="C24" t="s">
        <v>98</v>
      </c>
      <c r="D24" t="s">
        <v>4</v>
      </c>
      <c r="E24" s="17" t="str">
        <f t="shared" si="0"/>
        <v>Corporate</v>
      </c>
      <c r="F24" s="17">
        <f t="shared" si="13"/>
        <v>7.1428571428571425E-2</v>
      </c>
      <c r="G24" s="17">
        <f t="shared" si="2"/>
        <v>14</v>
      </c>
      <c r="H24" s="8">
        <v>1</v>
      </c>
      <c r="J24" t="s">
        <v>17</v>
      </c>
      <c r="K24" t="s">
        <v>8</v>
      </c>
      <c r="L24">
        <v>20</v>
      </c>
      <c r="M24" s="16">
        <f t="shared" si="3"/>
        <v>100</v>
      </c>
      <c r="N24">
        <f t="shared" si="4"/>
        <v>15.625</v>
      </c>
      <c r="O24" s="16">
        <f t="shared" si="5"/>
        <v>100</v>
      </c>
      <c r="P24">
        <f t="shared" si="6"/>
        <v>5</v>
      </c>
      <c r="Q24" s="16">
        <f t="shared" si="7"/>
        <v>32</v>
      </c>
      <c r="R24">
        <f t="shared" si="8"/>
        <v>1</v>
      </c>
      <c r="S24" s="16">
        <f t="shared" si="9"/>
        <v>0</v>
      </c>
      <c r="Z24" s="7"/>
      <c r="AB24" s="17" t="str">
        <v>PC</v>
      </c>
      <c r="AC24" s="3">
        <f t="shared" si="11"/>
        <v>7.0938654689644691</v>
      </c>
      <c r="AD24" s="17" t="str">
        <f t="shared" si="12"/>
        <v>Corporate</v>
      </c>
      <c r="AF24" t="s">
        <v>73</v>
      </c>
      <c r="AG24" t="s">
        <v>12</v>
      </c>
    </row>
    <row r="25" spans="2:33" x14ac:dyDescent="0.2">
      <c r="B25">
        <v>23</v>
      </c>
      <c r="C25" t="s">
        <v>24</v>
      </c>
      <c r="D25" t="s">
        <v>4</v>
      </c>
      <c r="E25" s="17" t="str">
        <f t="shared" si="0"/>
        <v>Commercial</v>
      </c>
      <c r="F25" s="17">
        <f t="shared" si="13"/>
        <v>0.1111111111111111</v>
      </c>
      <c r="G25" s="17">
        <f t="shared" si="2"/>
        <v>9</v>
      </c>
      <c r="H25" s="8">
        <v>1</v>
      </c>
      <c r="J25" t="s">
        <v>17</v>
      </c>
      <c r="K25" t="s">
        <v>74</v>
      </c>
      <c r="L25">
        <v>5</v>
      </c>
      <c r="M25" s="16">
        <f t="shared" si="3"/>
        <v>100</v>
      </c>
      <c r="N25">
        <f t="shared" si="4"/>
        <v>21.875</v>
      </c>
      <c r="O25" s="16">
        <f t="shared" si="5"/>
        <v>100</v>
      </c>
      <c r="P25">
        <f t="shared" si="6"/>
        <v>7</v>
      </c>
      <c r="Q25" s="16">
        <f t="shared" si="7"/>
        <v>32</v>
      </c>
      <c r="R25">
        <f t="shared" si="8"/>
        <v>0.99999999999999978</v>
      </c>
      <c r="S25" s="16">
        <f t="shared" si="9"/>
        <v>0</v>
      </c>
      <c r="Z25" s="7"/>
      <c r="AB25" s="17" t="str">
        <v>GPG</v>
      </c>
      <c r="AC25" s="3">
        <f t="shared" si="11"/>
        <v>9.5694454445444439</v>
      </c>
      <c r="AD25" s="17" t="str">
        <f t="shared" si="12"/>
        <v>Commercial</v>
      </c>
      <c r="AF25" t="s">
        <v>54</v>
      </c>
      <c r="AG25" t="s">
        <v>12</v>
      </c>
    </row>
    <row r="26" spans="2:33" x14ac:dyDescent="0.2">
      <c r="B26">
        <v>24</v>
      </c>
      <c r="C26" t="s">
        <v>45</v>
      </c>
      <c r="D26" t="s">
        <v>4</v>
      </c>
      <c r="E26" s="17" t="str">
        <f t="shared" si="0"/>
        <v>Corporate</v>
      </c>
      <c r="F26" s="17">
        <f t="shared" si="13"/>
        <v>7.1428571428571425E-2</v>
      </c>
      <c r="G26" s="17">
        <f t="shared" si="2"/>
        <v>14</v>
      </c>
      <c r="H26" s="8">
        <v>1</v>
      </c>
      <c r="J26" s="23" t="s">
        <v>17</v>
      </c>
      <c r="K26" s="23" t="s">
        <v>11</v>
      </c>
      <c r="L26">
        <v>5</v>
      </c>
      <c r="M26" s="16">
        <f t="shared" si="3"/>
        <v>100</v>
      </c>
      <c r="N26">
        <f t="shared" si="4"/>
        <v>3.125</v>
      </c>
      <c r="O26" s="16">
        <f t="shared" si="5"/>
        <v>100</v>
      </c>
      <c r="P26" s="23">
        <f t="shared" si="6"/>
        <v>1</v>
      </c>
      <c r="Q26" s="16">
        <f t="shared" si="7"/>
        <v>32</v>
      </c>
      <c r="R26">
        <f t="shared" si="8"/>
        <v>1</v>
      </c>
      <c r="S26" s="16">
        <f t="shared" si="9"/>
        <v>0</v>
      </c>
      <c r="Z26" s="7"/>
      <c r="AB26" s="17" t="str">
        <v>RS</v>
      </c>
      <c r="AC26" s="3">
        <f t="shared" si="11"/>
        <v>7.0938654689644691</v>
      </c>
      <c r="AD26" s="17" t="str">
        <f t="shared" si="12"/>
        <v>Corporate</v>
      </c>
      <c r="AF26" t="s">
        <v>56</v>
      </c>
      <c r="AG26" t="s">
        <v>12</v>
      </c>
    </row>
    <row r="27" spans="2:33" x14ac:dyDescent="0.2">
      <c r="B27">
        <v>25</v>
      </c>
      <c r="C27" t="s">
        <v>40</v>
      </c>
      <c r="D27" t="s">
        <v>4</v>
      </c>
      <c r="E27" s="17" t="str">
        <f t="shared" si="0"/>
        <v>Commercial</v>
      </c>
      <c r="F27" s="17">
        <f t="shared" si="13"/>
        <v>0.1111111111111111</v>
      </c>
      <c r="G27" s="17">
        <f t="shared" si="2"/>
        <v>9</v>
      </c>
      <c r="H27" s="8">
        <v>1</v>
      </c>
      <c r="J27" s="24" t="s">
        <v>16</v>
      </c>
      <c r="K27" s="24" t="s">
        <v>5</v>
      </c>
      <c r="L27">
        <v>25</v>
      </c>
      <c r="M27" s="16">
        <f t="shared" si="3"/>
        <v>100</v>
      </c>
      <c r="N27">
        <f t="shared" si="4"/>
        <v>28.125</v>
      </c>
      <c r="O27" s="16">
        <f t="shared" si="5"/>
        <v>100</v>
      </c>
      <c r="P27">
        <f t="shared" si="6"/>
        <v>9</v>
      </c>
      <c r="Q27" s="16">
        <f t="shared" si="7"/>
        <v>32</v>
      </c>
      <c r="R27">
        <f t="shared" si="8"/>
        <v>1.0000000000000002</v>
      </c>
      <c r="S27" s="16">
        <f t="shared" si="9"/>
        <v>0</v>
      </c>
      <c r="Z27" s="7"/>
      <c r="AB27" s="17" t="str">
        <v>ECM</v>
      </c>
      <c r="AC27" s="3">
        <f t="shared" si="11"/>
        <v>3.5694454445444448</v>
      </c>
      <c r="AD27" s="17" t="str">
        <f t="shared" si="12"/>
        <v>Commercial</v>
      </c>
      <c r="AF27" t="s">
        <v>35</v>
      </c>
      <c r="AG27" t="s">
        <v>12</v>
      </c>
    </row>
    <row r="28" spans="2:33" x14ac:dyDescent="0.2">
      <c r="B28">
        <v>26</v>
      </c>
      <c r="C28" t="s">
        <v>48</v>
      </c>
      <c r="D28" t="s">
        <v>4</v>
      </c>
      <c r="E28" s="17" t="str">
        <f t="shared" si="0"/>
        <v>Corporate</v>
      </c>
      <c r="F28" s="17">
        <f t="shared" si="13"/>
        <v>7.1428571428571425E-2</v>
      </c>
      <c r="G28" s="17">
        <f t="shared" si="2"/>
        <v>14</v>
      </c>
      <c r="H28" s="8">
        <v>1</v>
      </c>
      <c r="J28" t="s">
        <v>16</v>
      </c>
      <c r="K28" t="s">
        <v>6</v>
      </c>
      <c r="L28">
        <v>25</v>
      </c>
      <c r="M28" s="16">
        <f t="shared" si="3"/>
        <v>100</v>
      </c>
      <c r="N28">
        <f t="shared" si="4"/>
        <v>9.375</v>
      </c>
      <c r="O28" s="16">
        <f t="shared" si="5"/>
        <v>100</v>
      </c>
      <c r="P28">
        <f t="shared" si="6"/>
        <v>3</v>
      </c>
      <c r="Q28" s="16">
        <f t="shared" si="7"/>
        <v>32</v>
      </c>
      <c r="R28">
        <f t="shared" si="8"/>
        <v>1</v>
      </c>
      <c r="S28" s="16">
        <f t="shared" si="9"/>
        <v>0</v>
      </c>
      <c r="Z28" s="7"/>
      <c r="AB28" s="17" t="str">
        <v>CL</v>
      </c>
      <c r="AC28" s="3">
        <f t="shared" si="11"/>
        <v>7.0938654689644691</v>
      </c>
      <c r="AD28" s="17" t="str">
        <f t="shared" si="12"/>
        <v>Corporate</v>
      </c>
      <c r="AF28" t="s">
        <v>47</v>
      </c>
      <c r="AG28" t="s">
        <v>12</v>
      </c>
    </row>
    <row r="29" spans="2:33" x14ac:dyDescent="0.2">
      <c r="B29">
        <v>27</v>
      </c>
      <c r="C29" t="s">
        <v>39</v>
      </c>
      <c r="D29" t="s">
        <v>4</v>
      </c>
      <c r="E29" s="17" t="str">
        <f t="shared" si="0"/>
        <v>Commercial</v>
      </c>
      <c r="F29" s="17">
        <f t="shared" si="13"/>
        <v>0.1111111111111111</v>
      </c>
      <c r="G29" s="17">
        <f t="shared" si="2"/>
        <v>9</v>
      </c>
      <c r="H29" s="8">
        <v>1</v>
      </c>
      <c r="J29" t="s">
        <v>16</v>
      </c>
      <c r="K29" t="s">
        <v>12</v>
      </c>
      <c r="L29">
        <v>20</v>
      </c>
      <c r="M29" s="16">
        <f t="shared" si="3"/>
        <v>100</v>
      </c>
      <c r="N29">
        <f t="shared" si="4"/>
        <v>40.625</v>
      </c>
      <c r="O29" s="16">
        <f t="shared" si="5"/>
        <v>100</v>
      </c>
      <c r="P29">
        <f t="shared" si="6"/>
        <v>13</v>
      </c>
      <c r="Q29" s="16">
        <f t="shared" si="7"/>
        <v>32</v>
      </c>
      <c r="R29">
        <f t="shared" si="8"/>
        <v>0.99999999999999978</v>
      </c>
      <c r="S29" s="16">
        <f t="shared" si="9"/>
        <v>0</v>
      </c>
      <c r="Z29" s="7"/>
      <c r="AB29" s="17" t="str">
        <v>CTTE</v>
      </c>
      <c r="AC29" s="3">
        <f t="shared" si="11"/>
        <v>9.5873025874015863</v>
      </c>
      <c r="AD29" s="17" t="str">
        <f t="shared" si="12"/>
        <v>Commercial</v>
      </c>
      <c r="AF29" t="s">
        <v>98</v>
      </c>
      <c r="AG29" t="s">
        <v>12</v>
      </c>
    </row>
    <row r="30" spans="2:33" x14ac:dyDescent="0.2">
      <c r="B30">
        <v>28</v>
      </c>
      <c r="C30" t="s">
        <v>54</v>
      </c>
      <c r="D30" t="s">
        <v>4</v>
      </c>
      <c r="E30" s="17" t="str">
        <f t="shared" si="0"/>
        <v>Corporate</v>
      </c>
      <c r="F30" s="17">
        <f t="shared" si="13"/>
        <v>7.1428571428571425E-2</v>
      </c>
      <c r="G30" s="17">
        <f t="shared" si="2"/>
        <v>14</v>
      </c>
      <c r="H30" s="8">
        <v>1</v>
      </c>
      <c r="J30" t="s">
        <v>16</v>
      </c>
      <c r="K30" t="s">
        <v>8</v>
      </c>
      <c r="L30">
        <v>20</v>
      </c>
      <c r="M30" s="16">
        <f t="shared" si="3"/>
        <v>100</v>
      </c>
      <c r="N30">
        <f t="shared" si="4"/>
        <v>15.625</v>
      </c>
      <c r="O30" s="16">
        <f t="shared" si="5"/>
        <v>100</v>
      </c>
      <c r="P30">
        <f t="shared" si="6"/>
        <v>5</v>
      </c>
      <c r="Q30" s="16">
        <f t="shared" si="7"/>
        <v>32</v>
      </c>
      <c r="R30">
        <f t="shared" si="8"/>
        <v>1</v>
      </c>
      <c r="S30" s="16">
        <f t="shared" si="9"/>
        <v>0</v>
      </c>
      <c r="Z30" s="7"/>
      <c r="AB30" s="17" t="str">
        <v>DPO</v>
      </c>
      <c r="AC30" s="3">
        <f t="shared" si="11"/>
        <v>7.1117226118216124</v>
      </c>
      <c r="AD30" s="17" t="str">
        <f t="shared" si="12"/>
        <v>Corporate</v>
      </c>
      <c r="AF30" t="s">
        <v>71</v>
      </c>
      <c r="AG30" t="s">
        <v>12</v>
      </c>
    </row>
    <row r="31" spans="2:33" x14ac:dyDescent="0.2">
      <c r="B31">
        <v>29</v>
      </c>
      <c r="C31" t="s">
        <v>50</v>
      </c>
      <c r="D31" t="s">
        <v>4</v>
      </c>
      <c r="E31" s="17" t="str">
        <f t="shared" si="0"/>
        <v>Corporate</v>
      </c>
      <c r="F31" s="17">
        <f t="shared" si="13"/>
        <v>7.1428571428571425E-2</v>
      </c>
      <c r="G31" s="17">
        <f t="shared" si="2"/>
        <v>14</v>
      </c>
      <c r="H31" s="8">
        <v>1</v>
      </c>
      <c r="J31" t="s">
        <v>16</v>
      </c>
      <c r="K31" t="s">
        <v>74</v>
      </c>
      <c r="L31">
        <v>5</v>
      </c>
      <c r="M31" s="16">
        <f t="shared" si="3"/>
        <v>100</v>
      </c>
      <c r="N31">
        <f t="shared" si="4"/>
        <v>3.125</v>
      </c>
      <c r="O31" s="16">
        <f t="shared" si="5"/>
        <v>100</v>
      </c>
      <c r="P31">
        <f t="shared" si="6"/>
        <v>1</v>
      </c>
      <c r="Q31" s="16">
        <f t="shared" si="7"/>
        <v>32</v>
      </c>
      <c r="R31">
        <f t="shared" si="8"/>
        <v>1</v>
      </c>
      <c r="S31" s="16">
        <f t="shared" si="9"/>
        <v>0</v>
      </c>
      <c r="Z31" s="7"/>
      <c r="AB31" s="17" t="str">
        <v>CMP</v>
      </c>
      <c r="AC31" s="3">
        <f t="shared" si="11"/>
        <v>7.1117226121549457</v>
      </c>
      <c r="AD31" s="17" t="str">
        <f t="shared" si="12"/>
        <v>Corporate</v>
      </c>
      <c r="AF31" t="s">
        <v>45</v>
      </c>
      <c r="AG31" t="s">
        <v>12</v>
      </c>
    </row>
    <row r="32" spans="2:33" x14ac:dyDescent="0.2">
      <c r="B32">
        <v>30</v>
      </c>
      <c r="C32" t="s">
        <v>51</v>
      </c>
      <c r="D32" t="s">
        <v>4</v>
      </c>
      <c r="E32" s="17" t="str">
        <f t="shared" si="0"/>
        <v>Corporate</v>
      </c>
      <c r="F32" s="17">
        <f t="shared" si="13"/>
        <v>7.1428571428571425E-2</v>
      </c>
      <c r="G32" s="17">
        <f t="shared" si="2"/>
        <v>14</v>
      </c>
      <c r="H32" s="8">
        <v>1</v>
      </c>
      <c r="J32" s="23" t="s">
        <v>16</v>
      </c>
      <c r="K32" s="23" t="s">
        <v>11</v>
      </c>
      <c r="L32">
        <v>5</v>
      </c>
      <c r="M32" s="16">
        <f t="shared" si="3"/>
        <v>100</v>
      </c>
      <c r="N32">
        <f t="shared" si="4"/>
        <v>3.125</v>
      </c>
      <c r="O32" s="16">
        <f t="shared" si="5"/>
        <v>100</v>
      </c>
      <c r="P32" s="23">
        <f t="shared" si="6"/>
        <v>1</v>
      </c>
      <c r="Q32" s="16">
        <f t="shared" si="7"/>
        <v>32</v>
      </c>
      <c r="R32">
        <f t="shared" si="8"/>
        <v>1</v>
      </c>
      <c r="S32" s="16">
        <f t="shared" si="9"/>
        <v>0</v>
      </c>
      <c r="Z32" s="7"/>
      <c r="AB32" s="17" t="str">
        <v>ST</v>
      </c>
      <c r="AC32" s="3">
        <f t="shared" si="11"/>
        <v>7.1117226121549457</v>
      </c>
      <c r="AD32" s="17" t="str">
        <f t="shared" si="12"/>
        <v>Corporate</v>
      </c>
      <c r="AF32" t="s">
        <v>51</v>
      </c>
      <c r="AG32" t="s">
        <v>12</v>
      </c>
    </row>
    <row r="33" spans="2:33" x14ac:dyDescent="0.2">
      <c r="B33">
        <v>31</v>
      </c>
      <c r="C33" t="s">
        <v>56</v>
      </c>
      <c r="D33" t="s">
        <v>4</v>
      </c>
      <c r="E33" s="17" t="str">
        <f t="shared" si="0"/>
        <v>Corporate</v>
      </c>
      <c r="F33" s="17">
        <f t="shared" si="13"/>
        <v>7.1428571428571425E-2</v>
      </c>
      <c r="G33" s="17">
        <f t="shared" si="2"/>
        <v>14</v>
      </c>
      <c r="H33" s="8">
        <v>1</v>
      </c>
      <c r="J33" s="24" t="s">
        <v>14</v>
      </c>
      <c r="K33" s="24" t="s">
        <v>5</v>
      </c>
      <c r="L33">
        <v>25</v>
      </c>
      <c r="M33" s="16">
        <f t="shared" si="3"/>
        <v>100</v>
      </c>
      <c r="N33">
        <f t="shared" si="4"/>
        <v>28.125</v>
      </c>
      <c r="O33" s="16">
        <f t="shared" si="5"/>
        <v>100</v>
      </c>
      <c r="P33">
        <f t="shared" si="6"/>
        <v>9</v>
      </c>
      <c r="Q33" s="16">
        <f t="shared" si="7"/>
        <v>32</v>
      </c>
      <c r="R33">
        <f t="shared" si="8"/>
        <v>1.0000000000000002</v>
      </c>
      <c r="S33" s="16">
        <f t="shared" si="9"/>
        <v>0</v>
      </c>
      <c r="Z33" s="7"/>
      <c r="AB33" s="17" t="str">
        <v>FL</v>
      </c>
      <c r="AC33" s="3">
        <f t="shared" si="11"/>
        <v>4.8895003898216123</v>
      </c>
      <c r="AD33" s="17" t="str">
        <f t="shared" si="12"/>
        <v>Corporate</v>
      </c>
      <c r="AF33" t="s">
        <v>53</v>
      </c>
      <c r="AG33" t="s">
        <v>12</v>
      </c>
    </row>
    <row r="34" spans="2:33" x14ac:dyDescent="0.2">
      <c r="B34">
        <v>32</v>
      </c>
      <c r="C34" t="s">
        <v>53</v>
      </c>
      <c r="D34" t="s">
        <v>4</v>
      </c>
      <c r="E34" s="17" t="str">
        <f t="shared" si="0"/>
        <v>Corporate</v>
      </c>
      <c r="F34" s="17">
        <f t="shared" si="13"/>
        <v>7.1428571428571425E-2</v>
      </c>
      <c r="G34" s="17">
        <f t="shared" si="2"/>
        <v>14</v>
      </c>
      <c r="H34" s="8">
        <v>1</v>
      </c>
      <c r="J34" t="s">
        <v>14</v>
      </c>
      <c r="K34" t="s">
        <v>6</v>
      </c>
      <c r="L34">
        <v>25</v>
      </c>
      <c r="M34" s="16">
        <f t="shared" si="3"/>
        <v>100</v>
      </c>
      <c r="N34">
        <f t="shared" si="4"/>
        <v>9.375</v>
      </c>
      <c r="O34" s="16">
        <f t="shared" si="5"/>
        <v>100</v>
      </c>
      <c r="P34">
        <f t="shared" si="6"/>
        <v>3</v>
      </c>
      <c r="Q34" s="16">
        <f t="shared" si="7"/>
        <v>32</v>
      </c>
      <c r="R34">
        <f t="shared" si="8"/>
        <v>1</v>
      </c>
      <c r="S34" s="16">
        <f t="shared" si="9"/>
        <v>0</v>
      </c>
      <c r="Z34" s="7"/>
      <c r="AB34" s="17" t="str">
        <v>TF</v>
      </c>
      <c r="AC34" s="3">
        <f t="shared" si="11"/>
        <v>7.1117226121549457</v>
      </c>
      <c r="AD34" s="17" t="str">
        <f t="shared" si="12"/>
        <v>Corporate</v>
      </c>
      <c r="AF34" t="s">
        <v>64</v>
      </c>
      <c r="AG34" t="s">
        <v>6</v>
      </c>
    </row>
    <row r="35" spans="2:33" x14ac:dyDescent="0.2">
      <c r="B35">
        <v>33</v>
      </c>
      <c r="C35" t="s">
        <v>365</v>
      </c>
      <c r="D35" t="s">
        <v>4</v>
      </c>
      <c r="E35" s="30" t="str">
        <f t="shared" si="0"/>
        <v>Corporate</v>
      </c>
      <c r="F35" s="17">
        <f t="shared" si="13"/>
        <v>7.1428571428571425E-2</v>
      </c>
      <c r="G35" s="17">
        <f t="shared" si="2"/>
        <v>14</v>
      </c>
      <c r="H35" s="8">
        <v>1</v>
      </c>
      <c r="J35" t="s">
        <v>14</v>
      </c>
      <c r="K35" t="s">
        <v>12</v>
      </c>
      <c r="L35">
        <v>20</v>
      </c>
      <c r="M35" s="16">
        <f t="shared" si="3"/>
        <v>100</v>
      </c>
      <c r="N35">
        <f t="shared" si="4"/>
        <v>40.625</v>
      </c>
      <c r="O35" s="16">
        <f t="shared" si="5"/>
        <v>100</v>
      </c>
      <c r="P35">
        <f t="shared" si="6"/>
        <v>13</v>
      </c>
      <c r="Q35" s="16">
        <f t="shared" si="7"/>
        <v>32</v>
      </c>
      <c r="R35">
        <f t="shared" si="8"/>
        <v>0.99999999999999978</v>
      </c>
      <c r="S35" s="16">
        <f t="shared" si="9"/>
        <v>0</v>
      </c>
      <c r="Z35" s="7"/>
      <c r="AB35" s="17" t="str">
        <v>NSP</v>
      </c>
      <c r="AC35" s="3">
        <f t="shared" si="11"/>
        <v>6.7380952384285715</v>
      </c>
      <c r="AD35" s="17" t="str">
        <f t="shared" si="12"/>
        <v>Corporate</v>
      </c>
      <c r="AF35" t="s">
        <v>7</v>
      </c>
      <c r="AG35" t="s">
        <v>6</v>
      </c>
    </row>
    <row r="36" spans="2:33" x14ac:dyDescent="0.2">
      <c r="B36">
        <v>1</v>
      </c>
      <c r="C36" t="s">
        <v>64</v>
      </c>
      <c r="D36" t="s">
        <v>10</v>
      </c>
      <c r="E36" s="17" t="str">
        <f t="shared" si="0"/>
        <v>Operations</v>
      </c>
      <c r="F36" s="17">
        <v>50</v>
      </c>
      <c r="G36" s="17">
        <f t="shared" si="2"/>
        <v>4</v>
      </c>
      <c r="H36" s="8">
        <v>1</v>
      </c>
      <c r="J36" t="s">
        <v>14</v>
      </c>
      <c r="K36" t="s">
        <v>8</v>
      </c>
      <c r="L36">
        <v>20</v>
      </c>
      <c r="M36" s="16">
        <f t="shared" si="3"/>
        <v>100</v>
      </c>
      <c r="N36">
        <f t="shared" si="4"/>
        <v>15.625</v>
      </c>
      <c r="O36" s="16">
        <f t="shared" si="5"/>
        <v>100</v>
      </c>
      <c r="P36">
        <f t="shared" si="6"/>
        <v>5</v>
      </c>
      <c r="Q36" s="16">
        <f t="shared" si="7"/>
        <v>32</v>
      </c>
      <c r="R36">
        <f t="shared" si="8"/>
        <v>1</v>
      </c>
      <c r="S36" s="16">
        <f t="shared" si="9"/>
        <v>0</v>
      </c>
      <c r="Z36" s="7"/>
      <c r="AB36" s="17" t="str">
        <v>COO</v>
      </c>
      <c r="AC36" s="3">
        <f t="shared" si="11"/>
        <v>50.000000999999997</v>
      </c>
      <c r="AD36" s="17" t="str">
        <f t="shared" si="12"/>
        <v>Operations</v>
      </c>
      <c r="AF36" t="s">
        <v>42</v>
      </c>
      <c r="AG36" t="s">
        <v>6</v>
      </c>
    </row>
    <row r="37" spans="2:33" x14ac:dyDescent="0.2">
      <c r="B37">
        <v>2</v>
      </c>
      <c r="C37" t="s">
        <v>65</v>
      </c>
      <c r="D37" t="s">
        <v>10</v>
      </c>
      <c r="E37" s="17" t="str">
        <f t="shared" si="0"/>
        <v>Commercial</v>
      </c>
      <c r="F37" s="17">
        <v>33.4</v>
      </c>
      <c r="G37" s="17">
        <f t="shared" si="2"/>
        <v>12</v>
      </c>
      <c r="H37" s="8">
        <v>1</v>
      </c>
      <c r="J37" t="s">
        <v>14</v>
      </c>
      <c r="K37" t="s">
        <v>74</v>
      </c>
      <c r="L37">
        <v>5</v>
      </c>
      <c r="M37" s="16">
        <f t="shared" si="3"/>
        <v>100</v>
      </c>
      <c r="N37">
        <f t="shared" si="4"/>
        <v>3.125</v>
      </c>
      <c r="O37" s="16">
        <f t="shared" si="5"/>
        <v>100</v>
      </c>
      <c r="P37">
        <f t="shared" si="6"/>
        <v>1</v>
      </c>
      <c r="Q37" s="16">
        <f t="shared" si="7"/>
        <v>32</v>
      </c>
      <c r="R37">
        <f t="shared" si="8"/>
        <v>1</v>
      </c>
      <c r="S37" s="16">
        <f t="shared" si="9"/>
        <v>0</v>
      </c>
      <c r="Z37" s="7"/>
      <c r="AB37" s="17" t="str">
        <v>CMO</v>
      </c>
      <c r="AC37" s="3">
        <f t="shared" si="11"/>
        <v>33.400000999999996</v>
      </c>
      <c r="AD37" s="17" t="str">
        <f t="shared" si="12"/>
        <v>Commercial</v>
      </c>
      <c r="AF37" t="s">
        <v>42</v>
      </c>
      <c r="AG37" t="s">
        <v>6</v>
      </c>
    </row>
    <row r="38" spans="2:33" x14ac:dyDescent="0.2">
      <c r="B38">
        <v>3</v>
      </c>
      <c r="C38" t="s">
        <v>67</v>
      </c>
      <c r="D38" t="s">
        <v>10</v>
      </c>
      <c r="E38" s="17" t="str">
        <f t="shared" si="0"/>
        <v>Corporate</v>
      </c>
      <c r="F38" s="17">
        <v>40</v>
      </c>
      <c r="G38" s="17">
        <f t="shared" si="2"/>
        <v>18</v>
      </c>
      <c r="H38" s="8">
        <v>1</v>
      </c>
      <c r="J38" s="23" t="s">
        <v>14</v>
      </c>
      <c r="K38" s="23" t="s">
        <v>11</v>
      </c>
      <c r="L38">
        <v>5</v>
      </c>
      <c r="M38" s="16">
        <f t="shared" si="3"/>
        <v>100</v>
      </c>
      <c r="N38">
        <f t="shared" si="4"/>
        <v>3.125</v>
      </c>
      <c r="O38" s="16">
        <f t="shared" si="5"/>
        <v>100</v>
      </c>
      <c r="P38" s="23">
        <f t="shared" si="6"/>
        <v>1</v>
      </c>
      <c r="Q38" s="16">
        <f t="shared" si="7"/>
        <v>32</v>
      </c>
      <c r="R38">
        <f t="shared" si="8"/>
        <v>1</v>
      </c>
      <c r="S38" s="16">
        <f t="shared" si="9"/>
        <v>0</v>
      </c>
      <c r="Z38" s="7"/>
      <c r="AB38" s="17" t="str">
        <v>ATC</v>
      </c>
      <c r="AC38" s="3">
        <f t="shared" si="11"/>
        <v>40.000000999999997</v>
      </c>
      <c r="AD38" s="17" t="str">
        <f t="shared" si="12"/>
        <v>Corporate</v>
      </c>
      <c r="AF38" t="s">
        <v>26</v>
      </c>
      <c r="AG38" t="s">
        <v>6</v>
      </c>
    </row>
    <row r="39" spans="2:33" x14ac:dyDescent="0.2">
      <c r="B39">
        <v>4</v>
      </c>
      <c r="C39" t="s">
        <v>66</v>
      </c>
      <c r="D39" t="s">
        <v>10</v>
      </c>
      <c r="E39" s="17" t="str">
        <f t="shared" si="0"/>
        <v>Commercial</v>
      </c>
      <c r="F39" s="17">
        <v>33.299999999999997</v>
      </c>
      <c r="G39" s="17">
        <f t="shared" si="2"/>
        <v>12</v>
      </c>
      <c r="H39" s="8">
        <v>1</v>
      </c>
      <c r="J39" s="31" t="s">
        <v>379</v>
      </c>
      <c r="K39" s="24" t="s">
        <v>5</v>
      </c>
      <c r="L39">
        <v>25</v>
      </c>
      <c r="M39" s="16">
        <f t="shared" si="3"/>
        <v>100</v>
      </c>
      <c r="N39">
        <v>38</v>
      </c>
      <c r="O39" s="16">
        <f t="shared" si="5"/>
        <v>100</v>
      </c>
      <c r="P39" s="23">
        <f t="shared" si="6"/>
        <v>9</v>
      </c>
      <c r="Q39" s="16">
        <f t="shared" si="7"/>
        <v>35</v>
      </c>
      <c r="R39">
        <f t="shared" si="8"/>
        <v>100</v>
      </c>
      <c r="S39" s="16">
        <f t="shared" si="9"/>
        <v>0</v>
      </c>
      <c r="Z39" s="7"/>
      <c r="AB39" s="17" t="str">
        <v>CCO</v>
      </c>
      <c r="AC39" s="3">
        <f t="shared" si="11"/>
        <v>33.300000999999995</v>
      </c>
      <c r="AD39" s="17" t="str">
        <f t="shared" si="12"/>
        <v>Commercial</v>
      </c>
      <c r="AF39" t="s">
        <v>34</v>
      </c>
      <c r="AG39" t="s">
        <v>8</v>
      </c>
    </row>
    <row r="40" spans="2:33" x14ac:dyDescent="0.2">
      <c r="B40">
        <v>5</v>
      </c>
      <c r="C40" t="s">
        <v>68</v>
      </c>
      <c r="D40" t="s">
        <v>10</v>
      </c>
      <c r="E40" s="17" t="str">
        <f t="shared" si="0"/>
        <v>Commercial</v>
      </c>
      <c r="F40" s="17">
        <v>33.299999999999997</v>
      </c>
      <c r="G40" s="17">
        <f t="shared" si="2"/>
        <v>12</v>
      </c>
      <c r="H40" s="8">
        <v>1</v>
      </c>
      <c r="J40" s="32" t="s">
        <v>379</v>
      </c>
      <c r="K40" t="s">
        <v>6</v>
      </c>
      <c r="L40">
        <v>25</v>
      </c>
      <c r="M40" s="16">
        <f t="shared" si="3"/>
        <v>100</v>
      </c>
      <c r="N40">
        <v>19</v>
      </c>
      <c r="O40" s="16">
        <f t="shared" si="5"/>
        <v>100</v>
      </c>
      <c r="P40" s="23">
        <f t="shared" si="6"/>
        <v>3</v>
      </c>
      <c r="Q40" s="16">
        <f t="shared" si="7"/>
        <v>35</v>
      </c>
      <c r="R40">
        <f t="shared" si="8"/>
        <v>100</v>
      </c>
      <c r="S40" s="16">
        <f t="shared" si="9"/>
        <v>0</v>
      </c>
      <c r="Z40" s="7"/>
      <c r="AB40" s="17" t="str">
        <v>IDC</v>
      </c>
      <c r="AC40" s="3">
        <f t="shared" si="11"/>
        <v>33.300000999999995</v>
      </c>
      <c r="AD40" s="17" t="str">
        <f t="shared" si="12"/>
        <v>Commercial</v>
      </c>
      <c r="AF40" t="s">
        <v>70</v>
      </c>
      <c r="AG40" t="s">
        <v>8</v>
      </c>
    </row>
    <row r="41" spans="2:33" x14ac:dyDescent="0.2">
      <c r="B41">
        <v>6</v>
      </c>
      <c r="C41" t="s">
        <v>69</v>
      </c>
      <c r="D41" t="s">
        <v>10</v>
      </c>
      <c r="E41" s="17" t="str">
        <f t="shared" si="0"/>
        <v>Corporate</v>
      </c>
      <c r="F41" s="17">
        <v>40</v>
      </c>
      <c r="G41" s="17">
        <f t="shared" si="2"/>
        <v>18</v>
      </c>
      <c r="H41" s="8">
        <v>1</v>
      </c>
      <c r="J41" s="32" t="s">
        <v>379</v>
      </c>
      <c r="K41" t="s">
        <v>12</v>
      </c>
      <c r="L41">
        <v>20</v>
      </c>
      <c r="M41" s="16">
        <f t="shared" si="3"/>
        <v>100</v>
      </c>
      <c r="N41">
        <v>19</v>
      </c>
      <c r="O41" s="16">
        <f t="shared" si="5"/>
        <v>100</v>
      </c>
      <c r="P41" s="23">
        <f t="shared" si="6"/>
        <v>16</v>
      </c>
      <c r="Q41" s="16">
        <f t="shared" si="7"/>
        <v>35</v>
      </c>
      <c r="R41">
        <f t="shared" si="8"/>
        <v>100.00000000200001</v>
      </c>
      <c r="S41" s="16">
        <f t="shared" si="9"/>
        <v>0</v>
      </c>
      <c r="Z41" s="7"/>
      <c r="AB41" s="17" t="str">
        <v>CFO</v>
      </c>
      <c r="AC41" s="3">
        <f t="shared" si="11"/>
        <v>40.000000999999997</v>
      </c>
      <c r="AD41" s="17" t="str">
        <f t="shared" si="12"/>
        <v>Corporate</v>
      </c>
      <c r="AF41" t="s">
        <v>9</v>
      </c>
      <c r="AG41" t="s">
        <v>8</v>
      </c>
    </row>
    <row r="42" spans="2:33" x14ac:dyDescent="0.2">
      <c r="B42">
        <v>7</v>
      </c>
      <c r="C42" t="s">
        <v>70</v>
      </c>
      <c r="D42" t="s">
        <v>10</v>
      </c>
      <c r="E42" s="17" t="str">
        <f t="shared" si="0"/>
        <v>Technology</v>
      </c>
      <c r="F42" s="17">
        <v>100</v>
      </c>
      <c r="G42" s="17">
        <f t="shared" si="2"/>
        <v>6</v>
      </c>
      <c r="H42" s="8">
        <v>1</v>
      </c>
      <c r="J42" s="32" t="s">
        <v>379</v>
      </c>
      <c r="K42" t="s">
        <v>8</v>
      </c>
      <c r="L42">
        <v>20</v>
      </c>
      <c r="M42" s="16">
        <f t="shared" si="3"/>
        <v>100</v>
      </c>
      <c r="N42">
        <v>17</v>
      </c>
      <c r="O42" s="16">
        <f t="shared" si="5"/>
        <v>100</v>
      </c>
      <c r="P42" s="23">
        <f t="shared" si="6"/>
        <v>5</v>
      </c>
      <c r="Q42" s="16">
        <f t="shared" si="7"/>
        <v>35</v>
      </c>
      <c r="R42">
        <f t="shared" si="8"/>
        <v>100</v>
      </c>
      <c r="S42" s="16">
        <f t="shared" si="9"/>
        <v>0</v>
      </c>
      <c r="Z42" s="7"/>
      <c r="AB42" s="17" t="str">
        <v>CIO</v>
      </c>
      <c r="AC42" s="3">
        <f t="shared" si="11"/>
        <v>100.000001</v>
      </c>
      <c r="AD42" s="17" t="str">
        <f t="shared" si="12"/>
        <v>Technology</v>
      </c>
      <c r="AF42" t="s">
        <v>60</v>
      </c>
      <c r="AG42" t="s">
        <v>8</v>
      </c>
    </row>
    <row r="43" spans="2:33" x14ac:dyDescent="0.2">
      <c r="B43">
        <v>8</v>
      </c>
      <c r="C43" t="s">
        <v>71</v>
      </c>
      <c r="D43" t="s">
        <v>10</v>
      </c>
      <c r="E43" s="17" t="str">
        <f t="shared" si="0"/>
        <v>Corporate</v>
      </c>
      <c r="F43" s="17">
        <v>10</v>
      </c>
      <c r="G43" s="17">
        <f t="shared" si="2"/>
        <v>18</v>
      </c>
      <c r="H43" s="8">
        <v>1</v>
      </c>
      <c r="J43" s="32" t="s">
        <v>379</v>
      </c>
      <c r="K43" t="s">
        <v>74</v>
      </c>
      <c r="L43">
        <v>5</v>
      </c>
      <c r="M43" s="16">
        <f t="shared" si="3"/>
        <v>100</v>
      </c>
      <c r="N43">
        <v>5</v>
      </c>
      <c r="O43" s="16">
        <f t="shared" si="5"/>
        <v>100</v>
      </c>
      <c r="P43" s="23">
        <f t="shared" si="6"/>
        <v>1</v>
      </c>
      <c r="Q43" s="16">
        <f t="shared" si="7"/>
        <v>35</v>
      </c>
      <c r="R43">
        <f t="shared" si="8"/>
        <v>100</v>
      </c>
      <c r="S43" s="16">
        <f t="shared" si="9"/>
        <v>0</v>
      </c>
      <c r="Z43" s="7"/>
      <c r="AB43" s="17" t="str">
        <v>PRO</v>
      </c>
      <c r="AC43" s="3">
        <f t="shared" si="11"/>
        <v>10.000000999999999</v>
      </c>
      <c r="AD43" s="17" t="str">
        <f t="shared" si="12"/>
        <v>Corporate</v>
      </c>
      <c r="AF43" t="s">
        <v>59</v>
      </c>
      <c r="AG43" t="s">
        <v>8</v>
      </c>
    </row>
    <row r="44" spans="2:33" x14ac:dyDescent="0.2">
      <c r="B44">
        <v>9</v>
      </c>
      <c r="C44" t="s">
        <v>72</v>
      </c>
      <c r="D44" t="s">
        <v>10</v>
      </c>
      <c r="E44" s="17" t="str">
        <f t="shared" si="0"/>
        <v>Corporate</v>
      </c>
      <c r="F44" s="17">
        <v>5</v>
      </c>
      <c r="G44" s="17">
        <f t="shared" si="2"/>
        <v>18</v>
      </c>
      <c r="H44" s="8">
        <v>1</v>
      </c>
      <c r="J44" s="33" t="s">
        <v>379</v>
      </c>
      <c r="K44" s="23" t="s">
        <v>11</v>
      </c>
      <c r="L44">
        <v>5</v>
      </c>
      <c r="M44" s="16">
        <f t="shared" si="3"/>
        <v>100</v>
      </c>
      <c r="N44">
        <v>2</v>
      </c>
      <c r="O44" s="16">
        <f t="shared" si="5"/>
        <v>100</v>
      </c>
      <c r="P44" s="23">
        <f t="shared" si="6"/>
        <v>1</v>
      </c>
      <c r="Q44" s="16">
        <f t="shared" si="7"/>
        <v>35</v>
      </c>
      <c r="R44">
        <f t="shared" si="8"/>
        <v>100</v>
      </c>
      <c r="S44" s="16">
        <f t="shared" si="9"/>
        <v>0</v>
      </c>
      <c r="Z44" s="7"/>
      <c r="AB44" s="17" t="str">
        <v>CHR</v>
      </c>
      <c r="AC44" s="3">
        <f t="shared" si="11"/>
        <v>5.0000010000000001</v>
      </c>
      <c r="AD44" s="17" t="str">
        <f t="shared" si="12"/>
        <v>Corporate</v>
      </c>
      <c r="AF44" t="s">
        <v>58</v>
      </c>
      <c r="AG44" t="s">
        <v>8</v>
      </c>
    </row>
    <row r="45" spans="2:33" x14ac:dyDescent="0.2">
      <c r="B45">
        <v>11</v>
      </c>
      <c r="C45" t="s">
        <v>73</v>
      </c>
      <c r="D45" t="s">
        <v>10</v>
      </c>
      <c r="E45" s="17" t="str">
        <f t="shared" si="0"/>
        <v>Corporate</v>
      </c>
      <c r="F45" s="17">
        <v>5</v>
      </c>
      <c r="G45" s="17">
        <f t="shared" si="2"/>
        <v>18</v>
      </c>
      <c r="H45" s="8">
        <v>1</v>
      </c>
      <c r="Z45" s="7"/>
      <c r="AB45" s="17" t="str">
        <v>COM</v>
      </c>
      <c r="AC45" s="3">
        <f t="shared" si="11"/>
        <v>5.0000010000000001</v>
      </c>
      <c r="AD45" s="17" t="str">
        <f t="shared" si="12"/>
        <v>Corporate</v>
      </c>
      <c r="AF45" t="s">
        <v>116</v>
      </c>
      <c r="AG45" t="s">
        <v>74</v>
      </c>
    </row>
    <row r="46" spans="2:33" x14ac:dyDescent="0.2">
      <c r="B46">
        <v>12</v>
      </c>
      <c r="C46" t="s">
        <v>23</v>
      </c>
      <c r="D46" t="s">
        <v>10</v>
      </c>
      <c r="E46" s="17" t="str">
        <f t="shared" si="0"/>
        <v>Commercial</v>
      </c>
      <c r="F46" s="17">
        <v>1E-10</v>
      </c>
      <c r="G46" s="17">
        <f t="shared" si="2"/>
        <v>12</v>
      </c>
      <c r="H46" s="8">
        <v>1</v>
      </c>
      <c r="Z46" s="7"/>
      <c r="AB46" t="str">
        <v>SSJ</v>
      </c>
      <c r="AC46" s="3">
        <f t="shared" si="11"/>
        <v>4.4444444446666669</v>
      </c>
      <c r="AD46" s="17" t="str">
        <f t="shared" si="12"/>
        <v>Corporate</v>
      </c>
      <c r="AF46" t="s">
        <v>365</v>
      </c>
      <c r="AG46" t="s">
        <v>12</v>
      </c>
    </row>
    <row r="47" spans="2:33" x14ac:dyDescent="0.2">
      <c r="B47">
        <v>13</v>
      </c>
      <c r="C47" t="s">
        <v>11</v>
      </c>
      <c r="D47" t="s">
        <v>10</v>
      </c>
      <c r="E47" s="17" t="str">
        <f t="shared" si="0"/>
        <v>CISO</v>
      </c>
      <c r="F47" s="17">
        <f>H47*SUMIFS($H:$H,$J:$J,D47,$K:$K,E47)/G47</f>
        <v>1</v>
      </c>
      <c r="G47" s="17">
        <f t="shared" si="2"/>
        <v>1</v>
      </c>
      <c r="H47" s="8">
        <v>1</v>
      </c>
      <c r="Z47" s="7"/>
      <c r="AB47" t="str">
        <v>RC</v>
      </c>
      <c r="AC47" s="7"/>
      <c r="AD47" s="30" t="str">
        <f t="shared" si="12"/>
        <v>Corporate</v>
      </c>
      <c r="AF47" t="s">
        <v>55</v>
      </c>
      <c r="AG47" t="s">
        <v>12</v>
      </c>
    </row>
    <row r="48" spans="2:33" x14ac:dyDescent="0.2">
      <c r="B48">
        <v>14</v>
      </c>
      <c r="C48" t="s">
        <v>116</v>
      </c>
      <c r="D48" t="s">
        <v>10</v>
      </c>
      <c r="E48" s="17" t="str">
        <f t="shared" si="0"/>
        <v>Data &amp; AI</v>
      </c>
      <c r="F48" s="17">
        <v>100</v>
      </c>
      <c r="G48" s="17">
        <f t="shared" si="2"/>
        <v>1</v>
      </c>
      <c r="H48" s="8">
        <v>1</v>
      </c>
      <c r="Z48" s="7"/>
      <c r="AB48">
        <v>0</v>
      </c>
      <c r="AC48" s="7"/>
      <c r="AF48" t="s">
        <v>896</v>
      </c>
      <c r="AG48" t="s">
        <v>12</v>
      </c>
    </row>
    <row r="49" spans="2:29" x14ac:dyDescent="0.2">
      <c r="B49">
        <v>15</v>
      </c>
      <c r="C49" t="s">
        <v>37</v>
      </c>
      <c r="D49" t="s">
        <v>10</v>
      </c>
      <c r="E49" s="17" t="str">
        <f t="shared" si="0"/>
        <v>Commercial</v>
      </c>
      <c r="F49" s="17">
        <v>1E-10</v>
      </c>
      <c r="G49" s="17">
        <f t="shared" si="2"/>
        <v>12</v>
      </c>
      <c r="H49" s="8">
        <v>1</v>
      </c>
      <c r="Z49" s="7"/>
      <c r="AC49" s="7"/>
    </row>
    <row r="50" spans="2:29" x14ac:dyDescent="0.2">
      <c r="B50">
        <v>16</v>
      </c>
      <c r="C50" t="s">
        <v>7</v>
      </c>
      <c r="D50" t="s">
        <v>10</v>
      </c>
      <c r="E50" s="17" t="str">
        <f t="shared" si="0"/>
        <v>Operations</v>
      </c>
      <c r="F50" s="17">
        <v>49</v>
      </c>
      <c r="G50" s="17">
        <f t="shared" si="2"/>
        <v>4</v>
      </c>
      <c r="H50" s="8">
        <v>1</v>
      </c>
      <c r="Z50" s="7"/>
      <c r="AC50" s="7"/>
    </row>
    <row r="51" spans="2:29" x14ac:dyDescent="0.2">
      <c r="B51">
        <v>17</v>
      </c>
      <c r="C51" t="s">
        <v>44</v>
      </c>
      <c r="D51" t="s">
        <v>10</v>
      </c>
      <c r="E51" s="17" t="str">
        <f t="shared" si="0"/>
        <v>Corporate</v>
      </c>
      <c r="F51" s="17">
        <v>1E-10</v>
      </c>
      <c r="G51" s="17">
        <f t="shared" si="2"/>
        <v>18</v>
      </c>
      <c r="H51" s="8">
        <v>1</v>
      </c>
      <c r="Z51" s="7"/>
      <c r="AC51" s="7"/>
    </row>
    <row r="52" spans="2:29" x14ac:dyDescent="0.2">
      <c r="B52">
        <v>18</v>
      </c>
      <c r="C52" t="s">
        <v>9</v>
      </c>
      <c r="D52" t="s">
        <v>10</v>
      </c>
      <c r="E52" s="17" t="str">
        <f t="shared" si="0"/>
        <v>Technology</v>
      </c>
      <c r="F52" s="17">
        <v>1E-10</v>
      </c>
      <c r="G52" s="17">
        <f t="shared" si="2"/>
        <v>6</v>
      </c>
      <c r="H52" s="8">
        <v>1</v>
      </c>
      <c r="Z52" s="7"/>
      <c r="AC52" s="7"/>
    </row>
    <row r="53" spans="2:29" x14ac:dyDescent="0.2">
      <c r="B53">
        <v>19</v>
      </c>
      <c r="C53" t="s">
        <v>26</v>
      </c>
      <c r="D53" t="s">
        <v>10</v>
      </c>
      <c r="E53" s="17" t="str">
        <f t="shared" si="0"/>
        <v>Operations</v>
      </c>
      <c r="F53" s="17">
        <v>1E-10</v>
      </c>
      <c r="G53" s="17">
        <f t="shared" si="2"/>
        <v>4</v>
      </c>
      <c r="H53" s="8">
        <v>1</v>
      </c>
      <c r="Z53" s="7"/>
      <c r="AC53" s="7"/>
    </row>
    <row r="54" spans="2:29" x14ac:dyDescent="0.2">
      <c r="B54">
        <v>20</v>
      </c>
      <c r="C54" t="s">
        <v>22</v>
      </c>
      <c r="D54" t="s">
        <v>10</v>
      </c>
      <c r="E54" s="17" t="str">
        <f t="shared" si="0"/>
        <v>Corporate</v>
      </c>
      <c r="F54" s="17">
        <v>1E-10</v>
      </c>
      <c r="G54" s="17">
        <f t="shared" si="2"/>
        <v>18</v>
      </c>
      <c r="H54" s="8">
        <v>1</v>
      </c>
      <c r="Z54" s="7"/>
      <c r="AC54" s="7"/>
    </row>
    <row r="55" spans="2:29" x14ac:dyDescent="0.2">
      <c r="B55">
        <v>21</v>
      </c>
      <c r="C55" t="s">
        <v>59</v>
      </c>
      <c r="D55" t="s">
        <v>10</v>
      </c>
      <c r="E55" s="17" t="str">
        <f t="shared" si="0"/>
        <v>Technology</v>
      </c>
      <c r="F55" s="17">
        <v>1E-10</v>
      </c>
      <c r="G55" s="17">
        <f t="shared" si="2"/>
        <v>6</v>
      </c>
      <c r="H55" s="8">
        <v>1</v>
      </c>
      <c r="Z55" s="7"/>
      <c r="AC55" s="7"/>
    </row>
    <row r="56" spans="2:29" x14ac:dyDescent="0.2">
      <c r="B56">
        <v>22</v>
      </c>
      <c r="C56" t="s">
        <v>34</v>
      </c>
      <c r="D56" t="s">
        <v>10</v>
      </c>
      <c r="E56" s="17" t="str">
        <f t="shared" si="0"/>
        <v>Technology</v>
      </c>
      <c r="F56" s="17">
        <v>1E-10</v>
      </c>
      <c r="G56" s="17">
        <f t="shared" si="2"/>
        <v>6</v>
      </c>
      <c r="H56" s="8">
        <v>1</v>
      </c>
      <c r="Z56" s="7"/>
      <c r="AC56" s="7"/>
    </row>
    <row r="57" spans="2:29" x14ac:dyDescent="0.2">
      <c r="B57">
        <v>23</v>
      </c>
      <c r="C57" t="s">
        <v>58</v>
      </c>
      <c r="D57" t="s">
        <v>10</v>
      </c>
      <c r="E57" s="17" t="str">
        <f t="shared" si="0"/>
        <v>Technology</v>
      </c>
      <c r="F57" s="17">
        <v>1E-10</v>
      </c>
      <c r="G57" s="17">
        <f t="shared" si="2"/>
        <v>6</v>
      </c>
      <c r="H57" s="8">
        <v>1</v>
      </c>
      <c r="Z57" s="7"/>
      <c r="AC57" s="7"/>
    </row>
    <row r="58" spans="2:29" x14ac:dyDescent="0.2">
      <c r="B58">
        <v>24</v>
      </c>
      <c r="C58" t="s">
        <v>46</v>
      </c>
      <c r="D58" t="s">
        <v>10</v>
      </c>
      <c r="E58" s="17" t="str">
        <f t="shared" si="0"/>
        <v>Corporate</v>
      </c>
      <c r="F58" s="17">
        <v>1E-10</v>
      </c>
      <c r="G58" s="17">
        <f t="shared" si="2"/>
        <v>18</v>
      </c>
      <c r="H58" s="8">
        <v>1</v>
      </c>
      <c r="Z58" s="7"/>
      <c r="AC58" s="7"/>
    </row>
    <row r="59" spans="2:29" x14ac:dyDescent="0.2">
      <c r="B59">
        <v>25</v>
      </c>
      <c r="C59" t="s">
        <v>42</v>
      </c>
      <c r="D59" t="s">
        <v>10</v>
      </c>
      <c r="E59" s="17" t="str">
        <f t="shared" si="0"/>
        <v>Operations</v>
      </c>
      <c r="F59" s="17">
        <v>1</v>
      </c>
      <c r="G59" s="17">
        <f t="shared" si="2"/>
        <v>4</v>
      </c>
      <c r="H59" s="8">
        <v>1</v>
      </c>
      <c r="Z59" s="7"/>
      <c r="AC59" s="7"/>
    </row>
    <row r="60" spans="2:29" x14ac:dyDescent="0.2">
      <c r="B60">
        <v>26</v>
      </c>
      <c r="C60" t="s">
        <v>36</v>
      </c>
      <c r="D60" t="s">
        <v>10</v>
      </c>
      <c r="E60" s="17" t="str">
        <f t="shared" si="0"/>
        <v>Commercial</v>
      </c>
      <c r="F60" s="17">
        <v>1E-10</v>
      </c>
      <c r="G60" s="17">
        <f t="shared" si="2"/>
        <v>12</v>
      </c>
      <c r="H60" s="8">
        <v>1</v>
      </c>
      <c r="Z60" s="7"/>
      <c r="AC60" s="7"/>
    </row>
    <row r="61" spans="2:29" x14ac:dyDescent="0.2">
      <c r="B61">
        <v>27</v>
      </c>
      <c r="C61" t="s">
        <v>60</v>
      </c>
      <c r="D61" t="s">
        <v>10</v>
      </c>
      <c r="E61" s="17" t="str">
        <f t="shared" si="0"/>
        <v>Technology</v>
      </c>
      <c r="F61" s="17">
        <v>1E-10</v>
      </c>
      <c r="G61" s="17">
        <f t="shared" si="2"/>
        <v>6</v>
      </c>
      <c r="H61" s="8">
        <v>1</v>
      </c>
      <c r="Z61" s="7"/>
      <c r="AC61" s="7"/>
    </row>
    <row r="62" spans="2:29" x14ac:dyDescent="0.2">
      <c r="B62">
        <v>28</v>
      </c>
      <c r="C62" t="s">
        <v>38</v>
      </c>
      <c r="D62" t="s">
        <v>10</v>
      </c>
      <c r="E62" s="17" t="str">
        <f t="shared" si="0"/>
        <v>Commercial</v>
      </c>
      <c r="F62" s="17">
        <v>1E-10</v>
      </c>
      <c r="G62" s="17">
        <f t="shared" si="2"/>
        <v>12</v>
      </c>
      <c r="H62" s="8">
        <v>1</v>
      </c>
      <c r="Z62" s="7"/>
      <c r="AC62" s="7"/>
    </row>
    <row r="63" spans="2:29" x14ac:dyDescent="0.2">
      <c r="B63">
        <v>29</v>
      </c>
      <c r="C63" t="s">
        <v>21</v>
      </c>
      <c r="D63" t="s">
        <v>10</v>
      </c>
      <c r="E63" s="17" t="str">
        <f t="shared" si="0"/>
        <v>Commercial</v>
      </c>
      <c r="F63" s="17">
        <v>1E-10</v>
      </c>
      <c r="G63" s="17">
        <f t="shared" si="2"/>
        <v>12</v>
      </c>
      <c r="H63" s="8">
        <v>1</v>
      </c>
      <c r="Z63" s="7"/>
      <c r="AC63" s="7"/>
    </row>
    <row r="64" spans="2:29" x14ac:dyDescent="0.2">
      <c r="B64">
        <v>30</v>
      </c>
      <c r="C64" t="s">
        <v>54</v>
      </c>
      <c r="D64" t="s">
        <v>10</v>
      </c>
      <c r="E64" s="17" t="str">
        <f t="shared" si="0"/>
        <v>Corporate</v>
      </c>
      <c r="F64" s="17">
        <v>1E-10</v>
      </c>
      <c r="G64" s="17">
        <f t="shared" si="2"/>
        <v>18</v>
      </c>
      <c r="H64" s="8">
        <v>1</v>
      </c>
      <c r="Z64" s="7"/>
      <c r="AC64" s="7"/>
    </row>
    <row r="65" spans="2:29" x14ac:dyDescent="0.2">
      <c r="B65">
        <v>31</v>
      </c>
      <c r="C65" t="s">
        <v>25</v>
      </c>
      <c r="D65" t="s">
        <v>10</v>
      </c>
      <c r="E65" s="17" t="str">
        <f t="shared" si="0"/>
        <v>Commercial</v>
      </c>
      <c r="F65" s="17">
        <v>1E-10</v>
      </c>
      <c r="G65" s="17">
        <f t="shared" si="2"/>
        <v>12</v>
      </c>
      <c r="H65" s="8">
        <v>1</v>
      </c>
      <c r="Z65" s="7"/>
      <c r="AC65" s="7"/>
    </row>
    <row r="66" spans="2:29" x14ac:dyDescent="0.2">
      <c r="B66">
        <v>32</v>
      </c>
      <c r="C66" t="s">
        <v>47</v>
      </c>
      <c r="D66" t="s">
        <v>10</v>
      </c>
      <c r="E66" s="17" t="str">
        <f t="shared" si="0"/>
        <v>Corporate</v>
      </c>
      <c r="F66" s="17">
        <v>1E-10</v>
      </c>
      <c r="G66" s="17">
        <f t="shared" si="2"/>
        <v>18</v>
      </c>
      <c r="H66" s="8">
        <v>1</v>
      </c>
      <c r="Z66" s="7"/>
      <c r="AC66" s="7"/>
    </row>
    <row r="67" spans="2:29" x14ac:dyDescent="0.2">
      <c r="B67">
        <v>33</v>
      </c>
      <c r="C67" t="s">
        <v>24</v>
      </c>
      <c r="D67" t="s">
        <v>10</v>
      </c>
      <c r="E67" s="17" t="str">
        <f t="shared" ref="E67:E130" si="14">VLOOKUP($C67,$AF:$AG,2,FALSE)</f>
        <v>Commercial</v>
      </c>
      <c r="F67" s="17">
        <v>1E-10</v>
      </c>
      <c r="G67" s="17">
        <f t="shared" ref="G67:G130" si="15">SUMIFS($H$2:$H$1003,$E$2:$E$1003,E67,$D$2:$D$1003,D67)</f>
        <v>12</v>
      </c>
      <c r="H67" s="8">
        <v>1</v>
      </c>
      <c r="Z67" s="7"/>
      <c r="AC67" s="7"/>
    </row>
    <row r="68" spans="2:29" x14ac:dyDescent="0.2">
      <c r="B68">
        <v>34</v>
      </c>
      <c r="C68" t="s">
        <v>35</v>
      </c>
      <c r="D68" t="s">
        <v>10</v>
      </c>
      <c r="E68" s="17" t="str">
        <f t="shared" si="14"/>
        <v>Corporate</v>
      </c>
      <c r="F68" s="17">
        <v>1E-10</v>
      </c>
      <c r="G68" s="17">
        <f t="shared" si="15"/>
        <v>18</v>
      </c>
      <c r="H68" s="8">
        <v>1</v>
      </c>
      <c r="Z68" s="7"/>
      <c r="AC68" s="7"/>
    </row>
    <row r="69" spans="2:29" x14ac:dyDescent="0.2">
      <c r="B69">
        <v>35</v>
      </c>
      <c r="C69" t="s">
        <v>40</v>
      </c>
      <c r="D69" t="s">
        <v>10</v>
      </c>
      <c r="E69" s="17" t="str">
        <f t="shared" si="14"/>
        <v>Commercial</v>
      </c>
      <c r="F69" s="17">
        <v>1E-10</v>
      </c>
      <c r="G69" s="17">
        <f t="shared" si="15"/>
        <v>12</v>
      </c>
      <c r="H69" s="8">
        <v>1</v>
      </c>
      <c r="Z69" s="7"/>
      <c r="AC69" s="7"/>
    </row>
    <row r="70" spans="2:29" x14ac:dyDescent="0.2">
      <c r="B70">
        <v>36</v>
      </c>
      <c r="C70" t="s">
        <v>98</v>
      </c>
      <c r="D70" t="s">
        <v>10</v>
      </c>
      <c r="E70" s="17" t="str">
        <f t="shared" si="14"/>
        <v>Corporate</v>
      </c>
      <c r="F70" s="17">
        <v>1E-10</v>
      </c>
      <c r="G70" s="17">
        <f t="shared" si="15"/>
        <v>18</v>
      </c>
      <c r="H70" s="8">
        <v>1</v>
      </c>
      <c r="Z70" s="7"/>
      <c r="AC70" s="7"/>
    </row>
    <row r="71" spans="2:29" x14ac:dyDescent="0.2">
      <c r="B71">
        <v>37</v>
      </c>
      <c r="C71" t="s">
        <v>45</v>
      </c>
      <c r="D71" t="s">
        <v>10</v>
      </c>
      <c r="E71" s="17" t="str">
        <f t="shared" si="14"/>
        <v>Corporate</v>
      </c>
      <c r="F71" s="17">
        <v>1E-10</v>
      </c>
      <c r="G71" s="17">
        <f t="shared" si="15"/>
        <v>18</v>
      </c>
      <c r="H71" s="8">
        <v>1</v>
      </c>
      <c r="Z71" s="7"/>
      <c r="AC71" s="7"/>
    </row>
    <row r="72" spans="2:29" x14ac:dyDescent="0.2">
      <c r="B72">
        <v>38</v>
      </c>
      <c r="C72" t="s">
        <v>51</v>
      </c>
      <c r="D72" t="s">
        <v>10</v>
      </c>
      <c r="E72" s="17" t="str">
        <f t="shared" si="14"/>
        <v>Corporate</v>
      </c>
      <c r="F72" s="17">
        <v>1E-10</v>
      </c>
      <c r="G72" s="17">
        <f t="shared" si="15"/>
        <v>18</v>
      </c>
      <c r="H72" s="8">
        <v>1</v>
      </c>
      <c r="Z72" s="7"/>
      <c r="AC72" s="7"/>
    </row>
    <row r="73" spans="2:29" x14ac:dyDescent="0.2">
      <c r="B73">
        <v>39</v>
      </c>
      <c r="C73" t="s">
        <v>48</v>
      </c>
      <c r="D73" t="s">
        <v>10</v>
      </c>
      <c r="E73" s="17" t="str">
        <f t="shared" si="14"/>
        <v>Corporate</v>
      </c>
      <c r="F73" s="17">
        <v>1E-10</v>
      </c>
      <c r="G73" s="17">
        <f t="shared" si="15"/>
        <v>18</v>
      </c>
      <c r="H73" s="8">
        <v>1</v>
      </c>
      <c r="Z73" s="7"/>
      <c r="AC73" s="7"/>
    </row>
    <row r="74" spans="2:29" x14ac:dyDescent="0.2">
      <c r="B74">
        <v>40</v>
      </c>
      <c r="C74" t="s">
        <v>50</v>
      </c>
      <c r="D74" t="s">
        <v>10</v>
      </c>
      <c r="E74" s="17" t="str">
        <f t="shared" si="14"/>
        <v>Corporate</v>
      </c>
      <c r="F74" s="17">
        <v>1E-10</v>
      </c>
      <c r="G74" s="17">
        <f t="shared" si="15"/>
        <v>18</v>
      </c>
      <c r="H74" s="8">
        <v>1</v>
      </c>
      <c r="Z74" s="7"/>
      <c r="AC74" s="7"/>
    </row>
    <row r="75" spans="2:29" x14ac:dyDescent="0.2">
      <c r="B75">
        <v>41</v>
      </c>
      <c r="C75" t="s">
        <v>56</v>
      </c>
      <c r="D75" t="s">
        <v>10</v>
      </c>
      <c r="E75" s="17" t="str">
        <f t="shared" si="14"/>
        <v>Corporate</v>
      </c>
      <c r="F75" s="17">
        <v>1E-10</v>
      </c>
      <c r="G75" s="17">
        <f t="shared" si="15"/>
        <v>18</v>
      </c>
      <c r="H75" s="8">
        <v>1</v>
      </c>
      <c r="Z75" s="7"/>
      <c r="AC75" s="7"/>
    </row>
    <row r="76" spans="2:29" x14ac:dyDescent="0.2">
      <c r="B76">
        <v>42</v>
      </c>
      <c r="C76" t="s">
        <v>53</v>
      </c>
      <c r="D76" t="s">
        <v>10</v>
      </c>
      <c r="E76" s="17" t="str">
        <f t="shared" si="14"/>
        <v>Corporate</v>
      </c>
      <c r="F76" s="17">
        <v>1E-10</v>
      </c>
      <c r="G76" s="17">
        <f t="shared" si="15"/>
        <v>18</v>
      </c>
      <c r="H76" s="8">
        <v>1</v>
      </c>
      <c r="Z76" s="7"/>
      <c r="AC76" s="7"/>
    </row>
    <row r="77" spans="2:29" x14ac:dyDescent="0.2">
      <c r="B77">
        <v>43</v>
      </c>
      <c r="C77" t="s">
        <v>39</v>
      </c>
      <c r="D77" t="s">
        <v>10</v>
      </c>
      <c r="E77" s="17" t="str">
        <f t="shared" si="14"/>
        <v>Commercial</v>
      </c>
      <c r="F77" s="17">
        <v>1E-10</v>
      </c>
      <c r="G77" s="17">
        <f t="shared" si="15"/>
        <v>12</v>
      </c>
      <c r="H77" s="8">
        <v>1</v>
      </c>
      <c r="Z77" s="7"/>
      <c r="AC77" s="7"/>
    </row>
    <row r="78" spans="2:29" x14ac:dyDescent="0.2">
      <c r="B78">
        <v>1</v>
      </c>
      <c r="C78" t="s">
        <v>23</v>
      </c>
      <c r="D78" t="s">
        <v>14</v>
      </c>
      <c r="E78" s="17" t="str">
        <f t="shared" si="14"/>
        <v>Commercial</v>
      </c>
      <c r="F78" s="17">
        <f t="shared" ref="F78:F141" si="16">H78*SUMIFS($H:$H,$J:$J,D78,$K:$K,E78)/G78</f>
        <v>0.1111111111111111</v>
      </c>
      <c r="G78" s="17">
        <f t="shared" si="15"/>
        <v>9</v>
      </c>
      <c r="H78" s="8">
        <v>1</v>
      </c>
      <c r="Z78" s="7"/>
      <c r="AC78" s="7"/>
    </row>
    <row r="79" spans="2:29" x14ac:dyDescent="0.2">
      <c r="B79">
        <v>2</v>
      </c>
      <c r="C79" t="s">
        <v>26</v>
      </c>
      <c r="D79" t="s">
        <v>14</v>
      </c>
      <c r="E79" s="17" t="str">
        <f t="shared" si="14"/>
        <v>Operations</v>
      </c>
      <c r="F79" s="17">
        <f t="shared" si="16"/>
        <v>0.33333333333333331</v>
      </c>
      <c r="G79" s="17">
        <f t="shared" si="15"/>
        <v>3</v>
      </c>
      <c r="H79" s="8">
        <v>1</v>
      </c>
      <c r="Z79" s="7"/>
      <c r="AC79" s="7"/>
    </row>
    <row r="80" spans="2:29" x14ac:dyDescent="0.2">
      <c r="B80">
        <v>3</v>
      </c>
      <c r="C80" t="s">
        <v>22</v>
      </c>
      <c r="D80" t="s">
        <v>14</v>
      </c>
      <c r="E80" s="17" t="str">
        <f t="shared" si="14"/>
        <v>Corporate</v>
      </c>
      <c r="F80" s="17">
        <f t="shared" si="16"/>
        <v>7.6923076923076927E-2</v>
      </c>
      <c r="G80" s="17">
        <f t="shared" si="15"/>
        <v>13</v>
      </c>
      <c r="H80" s="8">
        <v>1</v>
      </c>
      <c r="Z80" s="7"/>
      <c r="AC80" s="7"/>
    </row>
    <row r="81" spans="2:29" x14ac:dyDescent="0.2">
      <c r="B81">
        <v>4</v>
      </c>
      <c r="C81" t="s">
        <v>9</v>
      </c>
      <c r="D81" t="s">
        <v>14</v>
      </c>
      <c r="E81" s="17" t="str">
        <f t="shared" si="14"/>
        <v>Technology</v>
      </c>
      <c r="F81" s="17">
        <f t="shared" si="16"/>
        <v>0.2</v>
      </c>
      <c r="G81" s="17">
        <f t="shared" si="15"/>
        <v>5</v>
      </c>
      <c r="H81" s="8">
        <v>1</v>
      </c>
      <c r="Z81" s="7"/>
      <c r="AC81" s="7"/>
    </row>
    <row r="82" spans="2:29" x14ac:dyDescent="0.2">
      <c r="B82">
        <v>5</v>
      </c>
      <c r="C82" t="s">
        <v>11</v>
      </c>
      <c r="D82" t="s">
        <v>14</v>
      </c>
      <c r="E82" s="17" t="str">
        <f t="shared" si="14"/>
        <v>CISO</v>
      </c>
      <c r="F82" s="17">
        <f t="shared" si="16"/>
        <v>1</v>
      </c>
      <c r="G82" s="17">
        <f t="shared" si="15"/>
        <v>1</v>
      </c>
      <c r="H82" s="8">
        <v>1</v>
      </c>
      <c r="Z82" s="7"/>
      <c r="AC82" s="7"/>
    </row>
    <row r="83" spans="2:29" x14ac:dyDescent="0.2">
      <c r="B83">
        <v>6</v>
      </c>
      <c r="C83" t="s">
        <v>116</v>
      </c>
      <c r="D83" t="s">
        <v>14</v>
      </c>
      <c r="E83" s="17" t="str">
        <f t="shared" si="14"/>
        <v>Data &amp; AI</v>
      </c>
      <c r="F83" s="17">
        <f t="shared" si="16"/>
        <v>1</v>
      </c>
      <c r="G83" s="17">
        <f t="shared" si="15"/>
        <v>1</v>
      </c>
      <c r="H83" s="8">
        <v>1</v>
      </c>
      <c r="Z83" s="7"/>
      <c r="AC83" s="7"/>
    </row>
    <row r="84" spans="2:29" x14ac:dyDescent="0.2">
      <c r="B84">
        <v>7</v>
      </c>
      <c r="C84" t="s">
        <v>37</v>
      </c>
      <c r="D84" t="s">
        <v>14</v>
      </c>
      <c r="E84" s="17" t="str">
        <f t="shared" si="14"/>
        <v>Commercial</v>
      </c>
      <c r="F84" s="17">
        <f t="shared" si="16"/>
        <v>0.1111111111111111</v>
      </c>
      <c r="G84" s="17">
        <f t="shared" si="15"/>
        <v>9</v>
      </c>
      <c r="H84" s="8">
        <v>1</v>
      </c>
      <c r="Z84" s="7"/>
      <c r="AC84" s="7"/>
    </row>
    <row r="85" spans="2:29" x14ac:dyDescent="0.2">
      <c r="B85">
        <v>8</v>
      </c>
      <c r="C85" t="s">
        <v>44</v>
      </c>
      <c r="D85" t="s">
        <v>14</v>
      </c>
      <c r="E85" s="17" t="str">
        <f t="shared" si="14"/>
        <v>Corporate</v>
      </c>
      <c r="F85" s="17">
        <f t="shared" si="16"/>
        <v>7.6923076923076927E-2</v>
      </c>
      <c r="G85" s="17">
        <f t="shared" si="15"/>
        <v>13</v>
      </c>
      <c r="H85" s="8">
        <v>1</v>
      </c>
      <c r="Z85" s="7"/>
      <c r="AC85" s="7"/>
    </row>
    <row r="86" spans="2:29" x14ac:dyDescent="0.2">
      <c r="B86">
        <v>9</v>
      </c>
      <c r="C86" t="s">
        <v>7</v>
      </c>
      <c r="D86" t="s">
        <v>14</v>
      </c>
      <c r="E86" s="17" t="str">
        <f t="shared" si="14"/>
        <v>Operations</v>
      </c>
      <c r="F86" s="17">
        <f t="shared" si="16"/>
        <v>0.33333333333333331</v>
      </c>
      <c r="G86" s="17">
        <f t="shared" si="15"/>
        <v>3</v>
      </c>
      <c r="H86" s="8">
        <v>1</v>
      </c>
      <c r="Z86" s="7"/>
      <c r="AC86" s="7"/>
    </row>
    <row r="87" spans="2:29" x14ac:dyDescent="0.2">
      <c r="B87">
        <v>10</v>
      </c>
      <c r="C87" t="s">
        <v>59</v>
      </c>
      <c r="D87" t="s">
        <v>14</v>
      </c>
      <c r="E87" s="17" t="str">
        <f t="shared" si="14"/>
        <v>Technology</v>
      </c>
      <c r="F87" s="17">
        <f t="shared" si="16"/>
        <v>0.2</v>
      </c>
      <c r="G87" s="17">
        <f t="shared" si="15"/>
        <v>5</v>
      </c>
      <c r="H87" s="8">
        <v>1</v>
      </c>
      <c r="Z87" s="7"/>
      <c r="AC87" s="7"/>
    </row>
    <row r="88" spans="2:29" x14ac:dyDescent="0.2">
      <c r="B88">
        <v>11</v>
      </c>
      <c r="C88" t="s">
        <v>36</v>
      </c>
      <c r="D88" t="s">
        <v>14</v>
      </c>
      <c r="E88" s="17" t="str">
        <f t="shared" si="14"/>
        <v>Commercial</v>
      </c>
      <c r="F88" s="17">
        <f t="shared" si="16"/>
        <v>0.1111111111111111</v>
      </c>
      <c r="G88" s="17">
        <f t="shared" si="15"/>
        <v>9</v>
      </c>
      <c r="H88" s="8">
        <v>1</v>
      </c>
      <c r="Z88" s="7"/>
      <c r="AC88" s="7"/>
    </row>
    <row r="89" spans="2:29" x14ac:dyDescent="0.2">
      <c r="B89">
        <v>12</v>
      </c>
      <c r="C89" t="s">
        <v>46</v>
      </c>
      <c r="D89" t="s">
        <v>14</v>
      </c>
      <c r="E89" s="17" t="str">
        <f t="shared" si="14"/>
        <v>Corporate</v>
      </c>
      <c r="F89" s="17">
        <f t="shared" si="16"/>
        <v>7.6923076923076927E-2</v>
      </c>
      <c r="G89" s="17">
        <f t="shared" si="15"/>
        <v>13</v>
      </c>
      <c r="H89" s="8">
        <v>1</v>
      </c>
      <c r="Z89" s="7"/>
      <c r="AC89" s="7"/>
    </row>
    <row r="90" spans="2:29" x14ac:dyDescent="0.2">
      <c r="B90">
        <v>13</v>
      </c>
      <c r="C90" t="s">
        <v>42</v>
      </c>
      <c r="D90" t="s">
        <v>14</v>
      </c>
      <c r="E90" s="17" t="str">
        <f t="shared" si="14"/>
        <v>Operations</v>
      </c>
      <c r="F90" s="17">
        <f t="shared" si="16"/>
        <v>0.33333333333333331</v>
      </c>
      <c r="G90" s="17">
        <f t="shared" si="15"/>
        <v>3</v>
      </c>
      <c r="H90" s="8">
        <v>1</v>
      </c>
      <c r="Z90" s="7"/>
      <c r="AC90" s="7"/>
    </row>
    <row r="91" spans="2:29" x14ac:dyDescent="0.2">
      <c r="B91">
        <v>14</v>
      </c>
      <c r="C91" t="s">
        <v>58</v>
      </c>
      <c r="D91" t="s">
        <v>14</v>
      </c>
      <c r="E91" s="17" t="str">
        <f t="shared" si="14"/>
        <v>Technology</v>
      </c>
      <c r="F91" s="17">
        <f t="shared" si="16"/>
        <v>0.2</v>
      </c>
      <c r="G91" s="17">
        <f t="shared" si="15"/>
        <v>5</v>
      </c>
      <c r="H91" s="8">
        <v>1</v>
      </c>
      <c r="Z91" s="7"/>
      <c r="AC91" s="7"/>
    </row>
    <row r="92" spans="2:29" x14ac:dyDescent="0.2">
      <c r="B92">
        <v>15</v>
      </c>
      <c r="C92" t="s">
        <v>38</v>
      </c>
      <c r="D92" t="s">
        <v>14</v>
      </c>
      <c r="E92" s="17" t="str">
        <f t="shared" si="14"/>
        <v>Commercial</v>
      </c>
      <c r="F92" s="17">
        <f t="shared" si="16"/>
        <v>0.1111111111111111</v>
      </c>
      <c r="G92" s="17">
        <f t="shared" si="15"/>
        <v>9</v>
      </c>
      <c r="H92" s="8">
        <v>1</v>
      </c>
      <c r="Z92" s="7"/>
      <c r="AC92" s="7"/>
    </row>
    <row r="93" spans="2:29" x14ac:dyDescent="0.2">
      <c r="B93">
        <v>16</v>
      </c>
      <c r="C93" t="s">
        <v>47</v>
      </c>
      <c r="D93" t="s">
        <v>14</v>
      </c>
      <c r="E93" s="17" t="str">
        <f t="shared" si="14"/>
        <v>Corporate</v>
      </c>
      <c r="F93" s="17">
        <f t="shared" si="16"/>
        <v>7.6923076923076927E-2</v>
      </c>
      <c r="G93" s="17">
        <f t="shared" si="15"/>
        <v>13</v>
      </c>
      <c r="H93" s="8">
        <v>1</v>
      </c>
      <c r="Z93" s="7"/>
      <c r="AC93" s="7"/>
    </row>
    <row r="94" spans="2:29" x14ac:dyDescent="0.2">
      <c r="B94">
        <v>17</v>
      </c>
      <c r="C94" t="s">
        <v>34</v>
      </c>
      <c r="D94" t="s">
        <v>14</v>
      </c>
      <c r="E94" s="17" t="str">
        <f t="shared" si="14"/>
        <v>Technology</v>
      </c>
      <c r="F94" s="17">
        <f t="shared" si="16"/>
        <v>0.2</v>
      </c>
      <c r="G94" s="17">
        <f t="shared" si="15"/>
        <v>5</v>
      </c>
      <c r="H94" s="8">
        <v>1</v>
      </c>
      <c r="Z94" s="7"/>
      <c r="AC94" s="7"/>
    </row>
    <row r="95" spans="2:29" x14ac:dyDescent="0.2">
      <c r="B95">
        <v>18</v>
      </c>
      <c r="C95" t="s">
        <v>25</v>
      </c>
      <c r="D95" t="s">
        <v>14</v>
      </c>
      <c r="E95" s="17" t="str">
        <f t="shared" si="14"/>
        <v>Commercial</v>
      </c>
      <c r="F95" s="17">
        <f t="shared" si="16"/>
        <v>0.1111111111111111</v>
      </c>
      <c r="G95" s="17">
        <f t="shared" si="15"/>
        <v>9</v>
      </c>
      <c r="H95" s="8">
        <v>1</v>
      </c>
      <c r="Z95" s="7"/>
      <c r="AC95" s="7"/>
    </row>
    <row r="96" spans="2:29" x14ac:dyDescent="0.2">
      <c r="B96">
        <v>19</v>
      </c>
      <c r="C96" t="s">
        <v>35</v>
      </c>
      <c r="D96" t="s">
        <v>14</v>
      </c>
      <c r="E96" s="17" t="str">
        <f t="shared" si="14"/>
        <v>Corporate</v>
      </c>
      <c r="F96" s="17">
        <f t="shared" si="16"/>
        <v>7.6923076923076927E-2</v>
      </c>
      <c r="G96" s="17">
        <f t="shared" si="15"/>
        <v>13</v>
      </c>
      <c r="H96" s="8">
        <v>1</v>
      </c>
      <c r="Z96" s="7"/>
      <c r="AC96" s="7"/>
    </row>
    <row r="97" spans="2:29" x14ac:dyDescent="0.2">
      <c r="B97">
        <v>20</v>
      </c>
      <c r="C97" t="s">
        <v>60</v>
      </c>
      <c r="D97" t="s">
        <v>14</v>
      </c>
      <c r="E97" s="17" t="str">
        <f t="shared" si="14"/>
        <v>Technology</v>
      </c>
      <c r="F97" s="17">
        <f t="shared" si="16"/>
        <v>0.2</v>
      </c>
      <c r="G97" s="17">
        <f t="shared" si="15"/>
        <v>5</v>
      </c>
      <c r="H97" s="8">
        <v>1</v>
      </c>
      <c r="Z97" s="7"/>
      <c r="AC97" s="7"/>
    </row>
    <row r="98" spans="2:29" x14ac:dyDescent="0.2">
      <c r="B98">
        <v>21</v>
      </c>
      <c r="C98" t="s">
        <v>21</v>
      </c>
      <c r="D98" t="s">
        <v>14</v>
      </c>
      <c r="E98" s="17" t="str">
        <f t="shared" si="14"/>
        <v>Commercial</v>
      </c>
      <c r="F98" s="17">
        <f t="shared" si="16"/>
        <v>0.1111111111111111</v>
      </c>
      <c r="G98" s="17">
        <f t="shared" si="15"/>
        <v>9</v>
      </c>
      <c r="H98" s="8">
        <v>1</v>
      </c>
      <c r="Z98" s="7"/>
      <c r="AC98" s="7"/>
    </row>
    <row r="99" spans="2:29" x14ac:dyDescent="0.2">
      <c r="B99">
        <v>22</v>
      </c>
      <c r="C99" t="s">
        <v>98</v>
      </c>
      <c r="D99" t="s">
        <v>14</v>
      </c>
      <c r="E99" s="17" t="str">
        <f t="shared" si="14"/>
        <v>Corporate</v>
      </c>
      <c r="F99" s="17">
        <f t="shared" si="16"/>
        <v>7.6923076923076927E-2</v>
      </c>
      <c r="G99" s="17">
        <f t="shared" si="15"/>
        <v>13</v>
      </c>
      <c r="H99" s="8">
        <v>1</v>
      </c>
      <c r="Z99" s="7"/>
      <c r="AC99" s="7"/>
    </row>
    <row r="100" spans="2:29" x14ac:dyDescent="0.2">
      <c r="B100">
        <v>23</v>
      </c>
      <c r="C100" t="s">
        <v>24</v>
      </c>
      <c r="D100" t="s">
        <v>14</v>
      </c>
      <c r="E100" s="17" t="str">
        <f t="shared" si="14"/>
        <v>Commercial</v>
      </c>
      <c r="F100" s="17">
        <f t="shared" si="16"/>
        <v>0.1111111111111111</v>
      </c>
      <c r="G100" s="17">
        <f t="shared" si="15"/>
        <v>9</v>
      </c>
      <c r="H100" s="8">
        <v>1</v>
      </c>
      <c r="Z100" s="7"/>
      <c r="AC100" s="7"/>
    </row>
    <row r="101" spans="2:29" x14ac:dyDescent="0.2">
      <c r="B101">
        <v>24</v>
      </c>
      <c r="C101" t="s">
        <v>45</v>
      </c>
      <c r="D101" t="s">
        <v>14</v>
      </c>
      <c r="E101" s="17" t="str">
        <f t="shared" si="14"/>
        <v>Corporate</v>
      </c>
      <c r="F101" s="17">
        <f t="shared" si="16"/>
        <v>7.6923076923076927E-2</v>
      </c>
      <c r="G101" s="17">
        <f t="shared" si="15"/>
        <v>13</v>
      </c>
      <c r="H101" s="8">
        <v>1</v>
      </c>
      <c r="Z101" s="7"/>
      <c r="AC101" s="7"/>
    </row>
    <row r="102" spans="2:29" x14ac:dyDescent="0.2">
      <c r="B102">
        <v>25</v>
      </c>
      <c r="C102" t="s">
        <v>40</v>
      </c>
      <c r="D102" t="s">
        <v>14</v>
      </c>
      <c r="E102" s="17" t="str">
        <f t="shared" si="14"/>
        <v>Commercial</v>
      </c>
      <c r="F102" s="17">
        <f t="shared" si="16"/>
        <v>0.1111111111111111</v>
      </c>
      <c r="G102" s="17">
        <f t="shared" si="15"/>
        <v>9</v>
      </c>
      <c r="H102" s="8">
        <v>1</v>
      </c>
      <c r="Z102" s="7"/>
      <c r="AC102" s="7"/>
    </row>
    <row r="103" spans="2:29" x14ac:dyDescent="0.2">
      <c r="B103">
        <v>26</v>
      </c>
      <c r="C103" t="s">
        <v>48</v>
      </c>
      <c r="D103" t="s">
        <v>14</v>
      </c>
      <c r="E103" s="17" t="str">
        <f t="shared" si="14"/>
        <v>Corporate</v>
      </c>
      <c r="F103" s="17">
        <f t="shared" si="16"/>
        <v>7.6923076923076927E-2</v>
      </c>
      <c r="G103" s="17">
        <f t="shared" si="15"/>
        <v>13</v>
      </c>
      <c r="H103" s="8">
        <v>1</v>
      </c>
      <c r="Z103" s="7"/>
      <c r="AC103" s="7"/>
    </row>
    <row r="104" spans="2:29" x14ac:dyDescent="0.2">
      <c r="B104">
        <v>27</v>
      </c>
      <c r="C104" t="s">
        <v>39</v>
      </c>
      <c r="D104" t="s">
        <v>14</v>
      </c>
      <c r="E104" s="17" t="str">
        <f t="shared" si="14"/>
        <v>Commercial</v>
      </c>
      <c r="F104" s="17">
        <f t="shared" si="16"/>
        <v>0.1111111111111111</v>
      </c>
      <c r="G104" s="17">
        <f t="shared" si="15"/>
        <v>9</v>
      </c>
      <c r="H104" s="8">
        <v>1</v>
      </c>
      <c r="Z104" s="7"/>
      <c r="AC104" s="7"/>
    </row>
    <row r="105" spans="2:29" x14ac:dyDescent="0.2">
      <c r="B105">
        <v>28</v>
      </c>
      <c r="C105" t="s">
        <v>54</v>
      </c>
      <c r="D105" t="s">
        <v>14</v>
      </c>
      <c r="E105" s="17" t="str">
        <f t="shared" si="14"/>
        <v>Corporate</v>
      </c>
      <c r="F105" s="17">
        <f t="shared" si="16"/>
        <v>7.6923076923076927E-2</v>
      </c>
      <c r="G105" s="17">
        <f t="shared" si="15"/>
        <v>13</v>
      </c>
      <c r="H105" s="8">
        <v>1</v>
      </c>
      <c r="Z105" s="7"/>
      <c r="AC105" s="7"/>
    </row>
    <row r="106" spans="2:29" x14ac:dyDescent="0.2">
      <c r="B106">
        <v>29</v>
      </c>
      <c r="C106" t="s">
        <v>50</v>
      </c>
      <c r="D106" t="s">
        <v>14</v>
      </c>
      <c r="E106" s="17" t="str">
        <f t="shared" si="14"/>
        <v>Corporate</v>
      </c>
      <c r="F106" s="17">
        <f t="shared" si="16"/>
        <v>7.6923076923076927E-2</v>
      </c>
      <c r="G106" s="17">
        <f t="shared" si="15"/>
        <v>13</v>
      </c>
      <c r="H106" s="8">
        <v>1</v>
      </c>
      <c r="Z106" s="7"/>
      <c r="AC106" s="7"/>
    </row>
    <row r="107" spans="2:29" x14ac:dyDescent="0.2">
      <c r="B107">
        <v>30</v>
      </c>
      <c r="C107" t="s">
        <v>51</v>
      </c>
      <c r="D107" t="s">
        <v>14</v>
      </c>
      <c r="E107" s="17" t="str">
        <f t="shared" si="14"/>
        <v>Corporate</v>
      </c>
      <c r="F107" s="17">
        <f t="shared" si="16"/>
        <v>7.6923076923076927E-2</v>
      </c>
      <c r="G107" s="17">
        <f t="shared" si="15"/>
        <v>13</v>
      </c>
      <c r="H107" s="8">
        <v>1</v>
      </c>
      <c r="Z107" s="7"/>
      <c r="AC107" s="7"/>
    </row>
    <row r="108" spans="2:29" x14ac:dyDescent="0.2">
      <c r="B108">
        <v>31</v>
      </c>
      <c r="C108" t="s">
        <v>56</v>
      </c>
      <c r="D108" t="s">
        <v>14</v>
      </c>
      <c r="E108" s="17" t="str">
        <f t="shared" si="14"/>
        <v>Corporate</v>
      </c>
      <c r="F108" s="17">
        <f t="shared" si="16"/>
        <v>7.6923076923076927E-2</v>
      </c>
      <c r="G108" s="17">
        <f t="shared" si="15"/>
        <v>13</v>
      </c>
      <c r="H108" s="8">
        <v>1</v>
      </c>
      <c r="Z108" s="7"/>
      <c r="AC108" s="7"/>
    </row>
    <row r="109" spans="2:29" x14ac:dyDescent="0.2">
      <c r="B109">
        <v>32</v>
      </c>
      <c r="C109" t="s">
        <v>53</v>
      </c>
      <c r="D109" t="s">
        <v>14</v>
      </c>
      <c r="E109" s="17" t="str">
        <f t="shared" si="14"/>
        <v>Corporate</v>
      </c>
      <c r="F109" s="17">
        <f t="shared" si="16"/>
        <v>7.6923076923076927E-2</v>
      </c>
      <c r="G109" s="17">
        <f t="shared" si="15"/>
        <v>13</v>
      </c>
      <c r="H109" s="8">
        <v>1</v>
      </c>
      <c r="Z109" s="7"/>
      <c r="AC109" s="7"/>
    </row>
    <row r="110" spans="2:29" x14ac:dyDescent="0.2">
      <c r="B110">
        <v>1</v>
      </c>
      <c r="C110" t="s">
        <v>21</v>
      </c>
      <c r="D110" t="s">
        <v>15</v>
      </c>
      <c r="E110" s="17" t="str">
        <f t="shared" si="14"/>
        <v>Commercial</v>
      </c>
      <c r="F110" s="17">
        <f t="shared" si="16"/>
        <v>0.1111111111111111</v>
      </c>
      <c r="G110" s="17">
        <f t="shared" si="15"/>
        <v>9</v>
      </c>
      <c r="H110" s="8">
        <v>1</v>
      </c>
      <c r="Z110" s="7"/>
      <c r="AC110" s="7"/>
    </row>
    <row r="111" spans="2:29" x14ac:dyDescent="0.2">
      <c r="B111">
        <v>2</v>
      </c>
      <c r="C111" t="s">
        <v>26</v>
      </c>
      <c r="D111" t="s">
        <v>15</v>
      </c>
      <c r="E111" s="17" t="str">
        <f t="shared" si="14"/>
        <v>Operations</v>
      </c>
      <c r="F111" s="17">
        <f t="shared" si="16"/>
        <v>0.33333333333333331</v>
      </c>
      <c r="G111" s="17">
        <f t="shared" si="15"/>
        <v>3</v>
      </c>
      <c r="H111" s="8">
        <v>1</v>
      </c>
      <c r="Z111" s="7"/>
      <c r="AC111" s="7"/>
    </row>
    <row r="112" spans="2:29" x14ac:dyDescent="0.2">
      <c r="B112">
        <v>3</v>
      </c>
      <c r="C112" t="s">
        <v>22</v>
      </c>
      <c r="D112" t="s">
        <v>15</v>
      </c>
      <c r="E112" s="17" t="str">
        <f t="shared" si="14"/>
        <v>Corporate</v>
      </c>
      <c r="F112" s="17">
        <f t="shared" si="16"/>
        <v>7.6923076923076927E-2</v>
      </c>
      <c r="G112" s="17">
        <f t="shared" si="15"/>
        <v>13</v>
      </c>
      <c r="H112" s="8">
        <v>1</v>
      </c>
      <c r="Z112" s="7"/>
      <c r="AC112" s="7"/>
    </row>
    <row r="113" spans="2:29" x14ac:dyDescent="0.2">
      <c r="B113">
        <v>4</v>
      </c>
      <c r="C113" t="s">
        <v>9</v>
      </c>
      <c r="D113" t="s">
        <v>15</v>
      </c>
      <c r="E113" s="17" t="str">
        <f t="shared" si="14"/>
        <v>Technology</v>
      </c>
      <c r="F113" s="17">
        <f t="shared" si="16"/>
        <v>0.2</v>
      </c>
      <c r="G113" s="17">
        <f t="shared" si="15"/>
        <v>5</v>
      </c>
      <c r="H113" s="8">
        <v>1</v>
      </c>
      <c r="Z113" s="7"/>
      <c r="AC113" s="7"/>
    </row>
    <row r="114" spans="2:29" x14ac:dyDescent="0.2">
      <c r="B114">
        <v>5</v>
      </c>
      <c r="C114" t="s">
        <v>11</v>
      </c>
      <c r="D114" t="s">
        <v>15</v>
      </c>
      <c r="E114" s="17" t="str">
        <f t="shared" si="14"/>
        <v>CISO</v>
      </c>
      <c r="F114" s="17">
        <f t="shared" si="16"/>
        <v>1</v>
      </c>
      <c r="G114" s="17">
        <f t="shared" si="15"/>
        <v>1</v>
      </c>
      <c r="H114" s="8">
        <v>1</v>
      </c>
      <c r="Z114" s="7"/>
      <c r="AC114" s="7"/>
    </row>
    <row r="115" spans="2:29" x14ac:dyDescent="0.2">
      <c r="B115">
        <v>6</v>
      </c>
      <c r="C115" t="s">
        <v>116</v>
      </c>
      <c r="D115" t="s">
        <v>15</v>
      </c>
      <c r="E115" s="17" t="str">
        <f t="shared" si="14"/>
        <v>Data &amp; AI</v>
      </c>
      <c r="F115" s="17">
        <f t="shared" si="16"/>
        <v>1</v>
      </c>
      <c r="G115" s="17">
        <f t="shared" si="15"/>
        <v>1</v>
      </c>
      <c r="H115" s="8">
        <v>1</v>
      </c>
      <c r="Z115" s="7"/>
      <c r="AC115" s="7"/>
    </row>
    <row r="116" spans="2:29" x14ac:dyDescent="0.2">
      <c r="B116">
        <v>7</v>
      </c>
      <c r="C116" t="s">
        <v>37</v>
      </c>
      <c r="D116" t="s">
        <v>15</v>
      </c>
      <c r="E116" s="17" t="str">
        <f t="shared" si="14"/>
        <v>Commercial</v>
      </c>
      <c r="F116" s="17">
        <f t="shared" si="16"/>
        <v>0.1111111111111111</v>
      </c>
      <c r="G116" s="17">
        <f t="shared" si="15"/>
        <v>9</v>
      </c>
      <c r="H116" s="8">
        <v>1</v>
      </c>
      <c r="Z116" s="7"/>
      <c r="AC116" s="7"/>
    </row>
    <row r="117" spans="2:29" x14ac:dyDescent="0.2">
      <c r="B117">
        <v>8</v>
      </c>
      <c r="C117" t="s">
        <v>44</v>
      </c>
      <c r="D117" t="s">
        <v>15</v>
      </c>
      <c r="E117" s="17" t="str">
        <f t="shared" si="14"/>
        <v>Corporate</v>
      </c>
      <c r="F117" s="17">
        <f t="shared" si="16"/>
        <v>7.6923076923076927E-2</v>
      </c>
      <c r="G117" s="17">
        <f t="shared" si="15"/>
        <v>13</v>
      </c>
      <c r="H117" s="8">
        <v>1</v>
      </c>
      <c r="Z117" s="7"/>
      <c r="AC117" s="7"/>
    </row>
    <row r="118" spans="2:29" x14ac:dyDescent="0.2">
      <c r="B118">
        <v>9</v>
      </c>
      <c r="C118" t="s">
        <v>7</v>
      </c>
      <c r="D118" t="s">
        <v>15</v>
      </c>
      <c r="E118" s="17" t="str">
        <f t="shared" si="14"/>
        <v>Operations</v>
      </c>
      <c r="F118" s="17">
        <f t="shared" si="16"/>
        <v>0.33333333333333331</v>
      </c>
      <c r="G118" s="17">
        <f t="shared" si="15"/>
        <v>3</v>
      </c>
      <c r="H118" s="8">
        <v>1</v>
      </c>
      <c r="Z118" s="7"/>
      <c r="AC118" s="7"/>
    </row>
    <row r="119" spans="2:29" x14ac:dyDescent="0.2">
      <c r="B119">
        <v>10</v>
      </c>
      <c r="C119" t="s">
        <v>59</v>
      </c>
      <c r="D119" t="s">
        <v>15</v>
      </c>
      <c r="E119" s="17" t="str">
        <f t="shared" si="14"/>
        <v>Technology</v>
      </c>
      <c r="F119" s="17">
        <f t="shared" si="16"/>
        <v>0.2</v>
      </c>
      <c r="G119" s="17">
        <f t="shared" si="15"/>
        <v>5</v>
      </c>
      <c r="H119" s="8">
        <v>1</v>
      </c>
      <c r="Z119" s="7"/>
      <c r="AC119" s="7"/>
    </row>
    <row r="120" spans="2:29" x14ac:dyDescent="0.2">
      <c r="B120">
        <v>11</v>
      </c>
      <c r="C120" t="s">
        <v>36</v>
      </c>
      <c r="D120" t="s">
        <v>15</v>
      </c>
      <c r="E120" s="17" t="str">
        <f t="shared" si="14"/>
        <v>Commercial</v>
      </c>
      <c r="F120" s="17">
        <f t="shared" si="16"/>
        <v>0.1111111111111111</v>
      </c>
      <c r="G120" s="17">
        <f t="shared" si="15"/>
        <v>9</v>
      </c>
      <c r="H120" s="8">
        <v>1</v>
      </c>
      <c r="Z120" s="7"/>
      <c r="AC120" s="7"/>
    </row>
    <row r="121" spans="2:29" x14ac:dyDescent="0.2">
      <c r="B121">
        <v>12</v>
      </c>
      <c r="C121" t="s">
        <v>46</v>
      </c>
      <c r="D121" t="s">
        <v>15</v>
      </c>
      <c r="E121" s="17" t="str">
        <f t="shared" si="14"/>
        <v>Corporate</v>
      </c>
      <c r="F121" s="17">
        <f t="shared" si="16"/>
        <v>7.6923076923076927E-2</v>
      </c>
      <c r="G121" s="17">
        <f t="shared" si="15"/>
        <v>13</v>
      </c>
      <c r="H121" s="8">
        <v>1</v>
      </c>
      <c r="Z121" s="7"/>
      <c r="AC121" s="7"/>
    </row>
    <row r="122" spans="2:29" x14ac:dyDescent="0.2">
      <c r="B122">
        <v>13</v>
      </c>
      <c r="C122" t="s">
        <v>42</v>
      </c>
      <c r="D122" t="s">
        <v>15</v>
      </c>
      <c r="E122" s="17" t="str">
        <f t="shared" si="14"/>
        <v>Operations</v>
      </c>
      <c r="F122" s="17">
        <f t="shared" si="16"/>
        <v>0.33333333333333331</v>
      </c>
      <c r="G122" s="17">
        <f t="shared" si="15"/>
        <v>3</v>
      </c>
      <c r="H122" s="8">
        <v>1</v>
      </c>
      <c r="Z122" s="7"/>
      <c r="AC122" s="7"/>
    </row>
    <row r="123" spans="2:29" x14ac:dyDescent="0.2">
      <c r="B123">
        <v>14</v>
      </c>
      <c r="C123" t="s">
        <v>58</v>
      </c>
      <c r="D123" t="s">
        <v>15</v>
      </c>
      <c r="E123" s="17" t="str">
        <f t="shared" si="14"/>
        <v>Technology</v>
      </c>
      <c r="F123" s="17">
        <f t="shared" si="16"/>
        <v>0.2</v>
      </c>
      <c r="G123" s="17">
        <f t="shared" si="15"/>
        <v>5</v>
      </c>
      <c r="H123" s="8">
        <v>1</v>
      </c>
      <c r="Z123" s="7"/>
      <c r="AC123" s="7"/>
    </row>
    <row r="124" spans="2:29" x14ac:dyDescent="0.2">
      <c r="B124">
        <v>15</v>
      </c>
      <c r="C124" t="s">
        <v>38</v>
      </c>
      <c r="D124" t="s">
        <v>15</v>
      </c>
      <c r="E124" s="17" t="str">
        <f t="shared" si="14"/>
        <v>Commercial</v>
      </c>
      <c r="F124" s="17">
        <f t="shared" si="16"/>
        <v>0.1111111111111111</v>
      </c>
      <c r="G124" s="17">
        <f t="shared" si="15"/>
        <v>9</v>
      </c>
      <c r="H124" s="8">
        <v>1</v>
      </c>
      <c r="Z124" s="7"/>
      <c r="AC124" s="7"/>
    </row>
    <row r="125" spans="2:29" x14ac:dyDescent="0.2">
      <c r="B125">
        <v>16</v>
      </c>
      <c r="C125" t="s">
        <v>47</v>
      </c>
      <c r="D125" t="s">
        <v>15</v>
      </c>
      <c r="E125" s="17" t="str">
        <f t="shared" si="14"/>
        <v>Corporate</v>
      </c>
      <c r="F125" s="17">
        <f t="shared" si="16"/>
        <v>7.6923076923076927E-2</v>
      </c>
      <c r="G125" s="17">
        <f t="shared" si="15"/>
        <v>13</v>
      </c>
      <c r="H125" s="8">
        <v>1</v>
      </c>
      <c r="Z125" s="7"/>
      <c r="AC125" s="7"/>
    </row>
    <row r="126" spans="2:29" x14ac:dyDescent="0.2">
      <c r="B126">
        <v>17</v>
      </c>
      <c r="C126" t="s">
        <v>34</v>
      </c>
      <c r="D126" t="s">
        <v>15</v>
      </c>
      <c r="E126" s="17" t="str">
        <f t="shared" si="14"/>
        <v>Technology</v>
      </c>
      <c r="F126" s="17">
        <f t="shared" si="16"/>
        <v>0.2</v>
      </c>
      <c r="G126" s="17">
        <f t="shared" si="15"/>
        <v>5</v>
      </c>
      <c r="H126" s="8">
        <v>1</v>
      </c>
      <c r="Z126" s="7"/>
      <c r="AC126" s="7"/>
    </row>
    <row r="127" spans="2:29" x14ac:dyDescent="0.2">
      <c r="B127">
        <v>18</v>
      </c>
      <c r="C127" t="s">
        <v>25</v>
      </c>
      <c r="D127" t="s">
        <v>15</v>
      </c>
      <c r="E127" s="17" t="str">
        <f t="shared" si="14"/>
        <v>Commercial</v>
      </c>
      <c r="F127" s="17">
        <f t="shared" si="16"/>
        <v>0.1111111111111111</v>
      </c>
      <c r="G127" s="17">
        <f t="shared" si="15"/>
        <v>9</v>
      </c>
      <c r="H127" s="8">
        <v>1</v>
      </c>
      <c r="Z127" s="7"/>
      <c r="AC127" s="7"/>
    </row>
    <row r="128" spans="2:29" x14ac:dyDescent="0.2">
      <c r="B128">
        <v>19</v>
      </c>
      <c r="C128" t="s">
        <v>35</v>
      </c>
      <c r="D128" t="s">
        <v>15</v>
      </c>
      <c r="E128" s="17" t="str">
        <f t="shared" si="14"/>
        <v>Corporate</v>
      </c>
      <c r="F128" s="17">
        <f t="shared" si="16"/>
        <v>7.6923076923076927E-2</v>
      </c>
      <c r="G128" s="17">
        <f t="shared" si="15"/>
        <v>13</v>
      </c>
      <c r="H128" s="8">
        <v>1</v>
      </c>
      <c r="Z128" s="7"/>
      <c r="AC128" s="7"/>
    </row>
    <row r="129" spans="2:29" x14ac:dyDescent="0.2">
      <c r="B129">
        <v>20</v>
      </c>
      <c r="C129" t="s">
        <v>60</v>
      </c>
      <c r="D129" t="s">
        <v>15</v>
      </c>
      <c r="E129" s="17" t="str">
        <f t="shared" si="14"/>
        <v>Technology</v>
      </c>
      <c r="F129" s="17">
        <f t="shared" si="16"/>
        <v>0.2</v>
      </c>
      <c r="G129" s="17">
        <f t="shared" si="15"/>
        <v>5</v>
      </c>
      <c r="H129" s="8">
        <v>1</v>
      </c>
      <c r="Z129" s="7"/>
      <c r="AC129" s="7"/>
    </row>
    <row r="130" spans="2:29" x14ac:dyDescent="0.2">
      <c r="B130">
        <v>21</v>
      </c>
      <c r="C130" t="s">
        <v>23</v>
      </c>
      <c r="D130" t="s">
        <v>15</v>
      </c>
      <c r="E130" s="17" t="str">
        <f t="shared" si="14"/>
        <v>Commercial</v>
      </c>
      <c r="F130" s="17">
        <f t="shared" si="16"/>
        <v>0.1111111111111111</v>
      </c>
      <c r="G130" s="17">
        <f t="shared" si="15"/>
        <v>9</v>
      </c>
      <c r="H130" s="8">
        <v>1</v>
      </c>
      <c r="Z130" s="7"/>
      <c r="AC130" s="7"/>
    </row>
    <row r="131" spans="2:29" x14ac:dyDescent="0.2">
      <c r="B131">
        <v>22</v>
      </c>
      <c r="C131" t="s">
        <v>98</v>
      </c>
      <c r="D131" t="s">
        <v>15</v>
      </c>
      <c r="E131" s="17" t="str">
        <f t="shared" ref="E131:E194" si="17">VLOOKUP($C131,$AF:$AG,2,FALSE)</f>
        <v>Corporate</v>
      </c>
      <c r="F131" s="17">
        <f t="shared" si="16"/>
        <v>7.6923076923076927E-2</v>
      </c>
      <c r="G131" s="17">
        <f t="shared" ref="G131:G194" si="18">SUMIFS($H$2:$H$1003,$E$2:$E$1003,E131,$D$2:$D$1003,D131)</f>
        <v>13</v>
      </c>
      <c r="H131" s="8">
        <v>1</v>
      </c>
      <c r="Z131" s="7"/>
      <c r="AC131" s="7"/>
    </row>
    <row r="132" spans="2:29" x14ac:dyDescent="0.2">
      <c r="B132">
        <v>23</v>
      </c>
      <c r="C132" t="s">
        <v>24</v>
      </c>
      <c r="D132" t="s">
        <v>15</v>
      </c>
      <c r="E132" s="17" t="str">
        <f t="shared" si="17"/>
        <v>Commercial</v>
      </c>
      <c r="F132" s="17">
        <f t="shared" si="16"/>
        <v>0.1111111111111111</v>
      </c>
      <c r="G132" s="17">
        <f t="shared" si="18"/>
        <v>9</v>
      </c>
      <c r="H132" s="8">
        <v>1</v>
      </c>
      <c r="Z132" s="7"/>
      <c r="AC132" s="7"/>
    </row>
    <row r="133" spans="2:29" x14ac:dyDescent="0.2">
      <c r="B133">
        <v>24</v>
      </c>
      <c r="C133" t="s">
        <v>45</v>
      </c>
      <c r="D133" t="s">
        <v>15</v>
      </c>
      <c r="E133" s="17" t="str">
        <f t="shared" si="17"/>
        <v>Corporate</v>
      </c>
      <c r="F133" s="17">
        <f t="shared" si="16"/>
        <v>7.6923076923076927E-2</v>
      </c>
      <c r="G133" s="17">
        <f t="shared" si="18"/>
        <v>13</v>
      </c>
      <c r="H133" s="8">
        <v>1</v>
      </c>
      <c r="Z133" s="7"/>
      <c r="AC133" s="7"/>
    </row>
    <row r="134" spans="2:29" x14ac:dyDescent="0.2">
      <c r="B134">
        <v>25</v>
      </c>
      <c r="C134" t="s">
        <v>40</v>
      </c>
      <c r="D134" t="s">
        <v>15</v>
      </c>
      <c r="E134" s="17" t="str">
        <f t="shared" si="17"/>
        <v>Commercial</v>
      </c>
      <c r="F134" s="17">
        <f t="shared" si="16"/>
        <v>0.1111111111111111</v>
      </c>
      <c r="G134" s="17">
        <f t="shared" si="18"/>
        <v>9</v>
      </c>
      <c r="H134" s="8">
        <v>1</v>
      </c>
      <c r="Z134" s="7"/>
      <c r="AC134" s="7"/>
    </row>
    <row r="135" spans="2:29" x14ac:dyDescent="0.2">
      <c r="B135">
        <v>26</v>
      </c>
      <c r="C135" t="s">
        <v>48</v>
      </c>
      <c r="D135" t="s">
        <v>15</v>
      </c>
      <c r="E135" s="17" t="str">
        <f t="shared" si="17"/>
        <v>Corporate</v>
      </c>
      <c r="F135" s="17">
        <f t="shared" si="16"/>
        <v>7.6923076923076927E-2</v>
      </c>
      <c r="G135" s="17">
        <f t="shared" si="18"/>
        <v>13</v>
      </c>
      <c r="H135" s="8">
        <v>1</v>
      </c>
      <c r="Z135" s="7"/>
      <c r="AC135" s="7"/>
    </row>
    <row r="136" spans="2:29" x14ac:dyDescent="0.2">
      <c r="B136">
        <v>27</v>
      </c>
      <c r="C136" t="s">
        <v>39</v>
      </c>
      <c r="D136" t="s">
        <v>15</v>
      </c>
      <c r="E136" s="17" t="str">
        <f t="shared" si="17"/>
        <v>Commercial</v>
      </c>
      <c r="F136" s="17">
        <f t="shared" si="16"/>
        <v>0.1111111111111111</v>
      </c>
      <c r="G136" s="17">
        <f t="shared" si="18"/>
        <v>9</v>
      </c>
      <c r="H136" s="8">
        <v>1</v>
      </c>
      <c r="Z136" s="7"/>
      <c r="AC136" s="7"/>
    </row>
    <row r="137" spans="2:29" x14ac:dyDescent="0.2">
      <c r="B137">
        <v>28</v>
      </c>
      <c r="C137" t="s">
        <v>54</v>
      </c>
      <c r="D137" t="s">
        <v>15</v>
      </c>
      <c r="E137" s="17" t="str">
        <f t="shared" si="17"/>
        <v>Corporate</v>
      </c>
      <c r="F137" s="17">
        <f t="shared" si="16"/>
        <v>7.6923076923076927E-2</v>
      </c>
      <c r="G137" s="17">
        <f t="shared" si="18"/>
        <v>13</v>
      </c>
      <c r="H137" s="8">
        <v>1</v>
      </c>
      <c r="Z137" s="7"/>
      <c r="AC137" s="7"/>
    </row>
    <row r="138" spans="2:29" x14ac:dyDescent="0.2">
      <c r="B138">
        <v>29</v>
      </c>
      <c r="C138" t="s">
        <v>50</v>
      </c>
      <c r="D138" t="s">
        <v>15</v>
      </c>
      <c r="E138" s="17" t="str">
        <f t="shared" si="17"/>
        <v>Corporate</v>
      </c>
      <c r="F138" s="17">
        <f t="shared" si="16"/>
        <v>7.6923076923076927E-2</v>
      </c>
      <c r="G138" s="17">
        <f t="shared" si="18"/>
        <v>13</v>
      </c>
      <c r="H138" s="8">
        <v>1</v>
      </c>
      <c r="Z138" s="7"/>
      <c r="AC138" s="7"/>
    </row>
    <row r="139" spans="2:29" x14ac:dyDescent="0.2">
      <c r="B139">
        <v>30</v>
      </c>
      <c r="C139" t="s">
        <v>51</v>
      </c>
      <c r="D139" t="s">
        <v>15</v>
      </c>
      <c r="E139" s="17" t="str">
        <f t="shared" si="17"/>
        <v>Corporate</v>
      </c>
      <c r="F139" s="17">
        <f t="shared" si="16"/>
        <v>7.6923076923076927E-2</v>
      </c>
      <c r="G139" s="17">
        <f t="shared" si="18"/>
        <v>13</v>
      </c>
      <c r="H139" s="8">
        <v>1</v>
      </c>
      <c r="Z139" s="7"/>
      <c r="AC139" s="7"/>
    </row>
    <row r="140" spans="2:29" x14ac:dyDescent="0.2">
      <c r="B140">
        <v>31</v>
      </c>
      <c r="C140" t="s">
        <v>56</v>
      </c>
      <c r="D140" t="s">
        <v>15</v>
      </c>
      <c r="E140" s="17" t="str">
        <f t="shared" si="17"/>
        <v>Corporate</v>
      </c>
      <c r="F140" s="17">
        <f t="shared" si="16"/>
        <v>7.6923076923076927E-2</v>
      </c>
      <c r="G140" s="17">
        <f t="shared" si="18"/>
        <v>13</v>
      </c>
      <c r="H140" s="8">
        <v>1</v>
      </c>
      <c r="Z140" s="7"/>
      <c r="AC140" s="7"/>
    </row>
    <row r="141" spans="2:29" x14ac:dyDescent="0.2">
      <c r="B141">
        <v>32</v>
      </c>
      <c r="C141" t="s">
        <v>53</v>
      </c>
      <c r="D141" t="s">
        <v>15</v>
      </c>
      <c r="E141" s="17" t="str">
        <f t="shared" si="17"/>
        <v>Corporate</v>
      </c>
      <c r="F141" s="17">
        <f t="shared" si="16"/>
        <v>7.6923076923076927E-2</v>
      </c>
      <c r="G141" s="17">
        <f t="shared" si="18"/>
        <v>13</v>
      </c>
      <c r="H141" s="8">
        <v>1</v>
      </c>
      <c r="Z141" s="7"/>
      <c r="AC141" s="7"/>
    </row>
    <row r="142" spans="2:29" x14ac:dyDescent="0.2">
      <c r="B142">
        <v>1</v>
      </c>
      <c r="C142" t="s">
        <v>24</v>
      </c>
      <c r="D142" t="s">
        <v>16</v>
      </c>
      <c r="E142" s="17" t="str">
        <f t="shared" si="17"/>
        <v>Commercial</v>
      </c>
      <c r="F142" s="17">
        <f t="shared" ref="F142:F205" si="19">H142*SUMIFS($H:$H,$J:$J,D142,$K:$K,E142)/G142</f>
        <v>0.1111111111111111</v>
      </c>
      <c r="G142" s="17">
        <f t="shared" si="18"/>
        <v>9</v>
      </c>
      <c r="H142" s="8">
        <v>1</v>
      </c>
      <c r="Z142" s="7"/>
      <c r="AC142" s="7"/>
    </row>
    <row r="143" spans="2:29" x14ac:dyDescent="0.2">
      <c r="B143">
        <v>2</v>
      </c>
      <c r="C143" t="s">
        <v>26</v>
      </c>
      <c r="D143" t="s">
        <v>16</v>
      </c>
      <c r="E143" s="17" t="str">
        <f t="shared" si="17"/>
        <v>Operations</v>
      </c>
      <c r="F143" s="17">
        <f t="shared" si="19"/>
        <v>0.33333333333333331</v>
      </c>
      <c r="G143" s="17">
        <f t="shared" si="18"/>
        <v>3</v>
      </c>
      <c r="H143" s="8">
        <v>1</v>
      </c>
      <c r="Z143" s="7"/>
      <c r="AC143" s="7"/>
    </row>
    <row r="144" spans="2:29" x14ac:dyDescent="0.2">
      <c r="B144">
        <v>3</v>
      </c>
      <c r="C144" t="s">
        <v>22</v>
      </c>
      <c r="D144" t="s">
        <v>16</v>
      </c>
      <c r="E144" s="17" t="str">
        <f t="shared" si="17"/>
        <v>Corporate</v>
      </c>
      <c r="F144" s="17">
        <f t="shared" si="19"/>
        <v>7.6923076923076927E-2</v>
      </c>
      <c r="G144" s="17">
        <f t="shared" si="18"/>
        <v>13</v>
      </c>
      <c r="H144" s="8">
        <v>1</v>
      </c>
      <c r="Z144" s="7"/>
      <c r="AC144" s="7"/>
    </row>
    <row r="145" spans="2:29" x14ac:dyDescent="0.2">
      <c r="B145">
        <v>4</v>
      </c>
      <c r="C145" t="s">
        <v>9</v>
      </c>
      <c r="D145" t="s">
        <v>16</v>
      </c>
      <c r="E145" s="17" t="str">
        <f t="shared" si="17"/>
        <v>Technology</v>
      </c>
      <c r="F145" s="17">
        <f t="shared" si="19"/>
        <v>0.2</v>
      </c>
      <c r="G145" s="17">
        <f t="shared" si="18"/>
        <v>5</v>
      </c>
      <c r="H145" s="8">
        <v>1</v>
      </c>
      <c r="Z145" s="7"/>
      <c r="AC145" s="7"/>
    </row>
    <row r="146" spans="2:29" x14ac:dyDescent="0.2">
      <c r="B146">
        <v>5</v>
      </c>
      <c r="C146" t="s">
        <v>11</v>
      </c>
      <c r="D146" t="s">
        <v>16</v>
      </c>
      <c r="E146" s="17" t="str">
        <f t="shared" si="17"/>
        <v>CISO</v>
      </c>
      <c r="F146" s="17">
        <f t="shared" si="19"/>
        <v>1</v>
      </c>
      <c r="G146" s="17">
        <f t="shared" si="18"/>
        <v>1</v>
      </c>
      <c r="H146" s="8">
        <v>1</v>
      </c>
      <c r="Z146" s="7"/>
      <c r="AC146" s="7"/>
    </row>
    <row r="147" spans="2:29" x14ac:dyDescent="0.2">
      <c r="B147">
        <v>6</v>
      </c>
      <c r="C147" t="s">
        <v>116</v>
      </c>
      <c r="D147" t="s">
        <v>16</v>
      </c>
      <c r="E147" s="17" t="str">
        <f t="shared" si="17"/>
        <v>Data &amp; AI</v>
      </c>
      <c r="F147" s="17">
        <f t="shared" si="19"/>
        <v>1</v>
      </c>
      <c r="G147" s="17">
        <f t="shared" si="18"/>
        <v>1</v>
      </c>
      <c r="H147" s="8">
        <v>1</v>
      </c>
      <c r="Z147" s="7"/>
      <c r="AC147" s="7"/>
    </row>
    <row r="148" spans="2:29" x14ac:dyDescent="0.2">
      <c r="B148">
        <v>7</v>
      </c>
      <c r="C148" t="s">
        <v>37</v>
      </c>
      <c r="D148" t="s">
        <v>16</v>
      </c>
      <c r="E148" s="17" t="str">
        <f t="shared" si="17"/>
        <v>Commercial</v>
      </c>
      <c r="F148" s="17">
        <f t="shared" si="19"/>
        <v>0.1111111111111111</v>
      </c>
      <c r="G148" s="17">
        <f t="shared" si="18"/>
        <v>9</v>
      </c>
      <c r="H148" s="8">
        <v>1</v>
      </c>
      <c r="Z148" s="7"/>
      <c r="AC148" s="7"/>
    </row>
    <row r="149" spans="2:29" x14ac:dyDescent="0.2">
      <c r="B149">
        <v>8</v>
      </c>
      <c r="C149" t="s">
        <v>44</v>
      </c>
      <c r="D149" t="s">
        <v>16</v>
      </c>
      <c r="E149" s="17" t="str">
        <f t="shared" si="17"/>
        <v>Corporate</v>
      </c>
      <c r="F149" s="17">
        <f t="shared" si="19"/>
        <v>7.6923076923076927E-2</v>
      </c>
      <c r="G149" s="17">
        <f t="shared" si="18"/>
        <v>13</v>
      </c>
      <c r="H149" s="8">
        <v>1</v>
      </c>
      <c r="Z149" s="7"/>
      <c r="AC149" s="7"/>
    </row>
    <row r="150" spans="2:29" x14ac:dyDescent="0.2">
      <c r="B150">
        <v>9</v>
      </c>
      <c r="C150" t="s">
        <v>7</v>
      </c>
      <c r="D150" t="s">
        <v>16</v>
      </c>
      <c r="E150" s="17" t="str">
        <f t="shared" si="17"/>
        <v>Operations</v>
      </c>
      <c r="F150" s="17">
        <f t="shared" si="19"/>
        <v>0.33333333333333331</v>
      </c>
      <c r="G150" s="17">
        <f t="shared" si="18"/>
        <v>3</v>
      </c>
      <c r="H150" s="8">
        <v>1</v>
      </c>
      <c r="Z150" s="7"/>
      <c r="AC150" s="7"/>
    </row>
    <row r="151" spans="2:29" x14ac:dyDescent="0.2">
      <c r="B151">
        <v>10</v>
      </c>
      <c r="C151" t="s">
        <v>59</v>
      </c>
      <c r="D151" t="s">
        <v>16</v>
      </c>
      <c r="E151" s="17" t="str">
        <f t="shared" si="17"/>
        <v>Technology</v>
      </c>
      <c r="F151" s="17">
        <f t="shared" si="19"/>
        <v>0.2</v>
      </c>
      <c r="G151" s="17">
        <f t="shared" si="18"/>
        <v>5</v>
      </c>
      <c r="H151" s="8">
        <v>1</v>
      </c>
      <c r="Z151" s="7"/>
      <c r="AC151" s="7"/>
    </row>
    <row r="152" spans="2:29" x14ac:dyDescent="0.2">
      <c r="B152">
        <v>11</v>
      </c>
      <c r="C152" t="s">
        <v>36</v>
      </c>
      <c r="D152" t="s">
        <v>16</v>
      </c>
      <c r="E152" s="17" t="str">
        <f t="shared" si="17"/>
        <v>Commercial</v>
      </c>
      <c r="F152" s="17">
        <f t="shared" si="19"/>
        <v>0.1111111111111111</v>
      </c>
      <c r="G152" s="17">
        <f t="shared" si="18"/>
        <v>9</v>
      </c>
      <c r="H152" s="8">
        <v>1</v>
      </c>
      <c r="Z152" s="7"/>
      <c r="AC152" s="7"/>
    </row>
    <row r="153" spans="2:29" x14ac:dyDescent="0.2">
      <c r="B153">
        <v>12</v>
      </c>
      <c r="C153" t="s">
        <v>46</v>
      </c>
      <c r="D153" t="s">
        <v>16</v>
      </c>
      <c r="E153" s="17" t="str">
        <f t="shared" si="17"/>
        <v>Corporate</v>
      </c>
      <c r="F153" s="17">
        <f t="shared" si="19"/>
        <v>7.6923076923076927E-2</v>
      </c>
      <c r="G153" s="17">
        <f t="shared" si="18"/>
        <v>13</v>
      </c>
      <c r="H153" s="8">
        <v>1</v>
      </c>
      <c r="Z153" s="7"/>
      <c r="AC153" s="7"/>
    </row>
    <row r="154" spans="2:29" x14ac:dyDescent="0.2">
      <c r="B154">
        <v>13</v>
      </c>
      <c r="C154" t="s">
        <v>42</v>
      </c>
      <c r="D154" t="s">
        <v>16</v>
      </c>
      <c r="E154" s="17" t="str">
        <f t="shared" si="17"/>
        <v>Operations</v>
      </c>
      <c r="F154" s="17">
        <f t="shared" si="19"/>
        <v>0.33333333333333331</v>
      </c>
      <c r="G154" s="17">
        <f t="shared" si="18"/>
        <v>3</v>
      </c>
      <c r="H154" s="8">
        <v>1</v>
      </c>
      <c r="Z154" s="7"/>
      <c r="AC154" s="7"/>
    </row>
    <row r="155" spans="2:29" x14ac:dyDescent="0.2">
      <c r="B155">
        <v>14</v>
      </c>
      <c r="C155" t="s">
        <v>58</v>
      </c>
      <c r="D155" t="s">
        <v>16</v>
      </c>
      <c r="E155" s="17" t="str">
        <f t="shared" si="17"/>
        <v>Technology</v>
      </c>
      <c r="F155" s="17">
        <f t="shared" si="19"/>
        <v>0.2</v>
      </c>
      <c r="G155" s="17">
        <f t="shared" si="18"/>
        <v>5</v>
      </c>
      <c r="H155" s="8">
        <v>1</v>
      </c>
      <c r="Z155" s="7"/>
      <c r="AC155" s="7"/>
    </row>
    <row r="156" spans="2:29" x14ac:dyDescent="0.2">
      <c r="B156">
        <v>15</v>
      </c>
      <c r="C156" t="s">
        <v>38</v>
      </c>
      <c r="D156" t="s">
        <v>16</v>
      </c>
      <c r="E156" s="17" t="str">
        <f t="shared" si="17"/>
        <v>Commercial</v>
      </c>
      <c r="F156" s="17">
        <f t="shared" si="19"/>
        <v>0.1111111111111111</v>
      </c>
      <c r="G156" s="17">
        <f t="shared" si="18"/>
        <v>9</v>
      </c>
      <c r="H156" s="8">
        <v>1</v>
      </c>
      <c r="Z156" s="7"/>
      <c r="AC156" s="7"/>
    </row>
    <row r="157" spans="2:29" x14ac:dyDescent="0.2">
      <c r="B157">
        <v>16</v>
      </c>
      <c r="C157" t="s">
        <v>47</v>
      </c>
      <c r="D157" t="s">
        <v>16</v>
      </c>
      <c r="E157" s="17" t="str">
        <f t="shared" si="17"/>
        <v>Corporate</v>
      </c>
      <c r="F157" s="17">
        <f t="shared" si="19"/>
        <v>7.6923076923076927E-2</v>
      </c>
      <c r="G157" s="17">
        <f t="shared" si="18"/>
        <v>13</v>
      </c>
      <c r="H157" s="8">
        <v>1</v>
      </c>
      <c r="Z157" s="7"/>
      <c r="AC157" s="7"/>
    </row>
    <row r="158" spans="2:29" x14ac:dyDescent="0.2">
      <c r="B158">
        <v>17</v>
      </c>
      <c r="C158" t="s">
        <v>34</v>
      </c>
      <c r="D158" t="s">
        <v>16</v>
      </c>
      <c r="E158" s="17" t="str">
        <f t="shared" si="17"/>
        <v>Technology</v>
      </c>
      <c r="F158" s="17">
        <f t="shared" si="19"/>
        <v>0.2</v>
      </c>
      <c r="G158" s="17">
        <f t="shared" si="18"/>
        <v>5</v>
      </c>
      <c r="H158" s="8">
        <v>1</v>
      </c>
      <c r="Z158" s="7"/>
      <c r="AC158" s="7"/>
    </row>
    <row r="159" spans="2:29" x14ac:dyDescent="0.2">
      <c r="B159">
        <v>18</v>
      </c>
      <c r="C159" t="s">
        <v>25</v>
      </c>
      <c r="D159" t="s">
        <v>16</v>
      </c>
      <c r="E159" s="17" t="str">
        <f t="shared" si="17"/>
        <v>Commercial</v>
      </c>
      <c r="F159" s="17">
        <f t="shared" si="19"/>
        <v>0.1111111111111111</v>
      </c>
      <c r="G159" s="17">
        <f t="shared" si="18"/>
        <v>9</v>
      </c>
      <c r="H159" s="8">
        <v>1</v>
      </c>
      <c r="Z159" s="7"/>
      <c r="AC159" s="7"/>
    </row>
    <row r="160" spans="2:29" x14ac:dyDescent="0.2">
      <c r="B160">
        <v>19</v>
      </c>
      <c r="C160" t="s">
        <v>35</v>
      </c>
      <c r="D160" t="s">
        <v>16</v>
      </c>
      <c r="E160" s="17" t="str">
        <f t="shared" si="17"/>
        <v>Corporate</v>
      </c>
      <c r="F160" s="17">
        <f t="shared" si="19"/>
        <v>7.6923076923076927E-2</v>
      </c>
      <c r="G160" s="17">
        <f t="shared" si="18"/>
        <v>13</v>
      </c>
      <c r="H160" s="8">
        <v>1</v>
      </c>
      <c r="Z160" s="7"/>
      <c r="AC160" s="7"/>
    </row>
    <row r="161" spans="2:29" x14ac:dyDescent="0.2">
      <c r="B161">
        <v>20</v>
      </c>
      <c r="C161" t="s">
        <v>60</v>
      </c>
      <c r="D161" t="s">
        <v>16</v>
      </c>
      <c r="E161" s="17" t="str">
        <f t="shared" si="17"/>
        <v>Technology</v>
      </c>
      <c r="F161" s="17">
        <f t="shared" si="19"/>
        <v>0.2</v>
      </c>
      <c r="G161" s="17">
        <f t="shared" si="18"/>
        <v>5</v>
      </c>
      <c r="H161" s="8">
        <v>1</v>
      </c>
      <c r="Z161" s="7"/>
      <c r="AC161" s="7"/>
    </row>
    <row r="162" spans="2:29" x14ac:dyDescent="0.2">
      <c r="B162">
        <v>21</v>
      </c>
      <c r="C162" t="s">
        <v>23</v>
      </c>
      <c r="D162" t="s">
        <v>16</v>
      </c>
      <c r="E162" s="17" t="str">
        <f t="shared" si="17"/>
        <v>Commercial</v>
      </c>
      <c r="F162" s="17">
        <f t="shared" si="19"/>
        <v>0.1111111111111111</v>
      </c>
      <c r="G162" s="17">
        <f t="shared" si="18"/>
        <v>9</v>
      </c>
      <c r="H162" s="8">
        <v>1</v>
      </c>
      <c r="Z162" s="7"/>
      <c r="AC162" s="7"/>
    </row>
    <row r="163" spans="2:29" x14ac:dyDescent="0.2">
      <c r="B163">
        <v>22</v>
      </c>
      <c r="C163" t="s">
        <v>98</v>
      </c>
      <c r="D163" t="s">
        <v>16</v>
      </c>
      <c r="E163" s="17" t="str">
        <f t="shared" si="17"/>
        <v>Corporate</v>
      </c>
      <c r="F163" s="17">
        <f t="shared" si="19"/>
        <v>7.6923076923076927E-2</v>
      </c>
      <c r="G163" s="17">
        <f t="shared" si="18"/>
        <v>13</v>
      </c>
      <c r="H163" s="8">
        <v>1</v>
      </c>
      <c r="Z163" s="7"/>
      <c r="AC163" s="7"/>
    </row>
    <row r="164" spans="2:29" x14ac:dyDescent="0.2">
      <c r="B164">
        <v>23</v>
      </c>
      <c r="C164" t="s">
        <v>21</v>
      </c>
      <c r="D164" t="s">
        <v>16</v>
      </c>
      <c r="E164" s="17" t="str">
        <f t="shared" si="17"/>
        <v>Commercial</v>
      </c>
      <c r="F164" s="17">
        <f t="shared" si="19"/>
        <v>0.1111111111111111</v>
      </c>
      <c r="G164" s="17">
        <f t="shared" si="18"/>
        <v>9</v>
      </c>
      <c r="H164" s="8">
        <v>1</v>
      </c>
      <c r="Z164" s="7"/>
      <c r="AC164" s="7"/>
    </row>
    <row r="165" spans="2:29" x14ac:dyDescent="0.2">
      <c r="B165">
        <v>24</v>
      </c>
      <c r="C165" t="s">
        <v>45</v>
      </c>
      <c r="D165" t="s">
        <v>16</v>
      </c>
      <c r="E165" s="17" t="str">
        <f t="shared" si="17"/>
        <v>Corporate</v>
      </c>
      <c r="F165" s="17">
        <f t="shared" si="19"/>
        <v>7.6923076923076927E-2</v>
      </c>
      <c r="G165" s="17">
        <f t="shared" si="18"/>
        <v>13</v>
      </c>
      <c r="H165" s="8">
        <v>1</v>
      </c>
      <c r="Z165" s="7"/>
      <c r="AC165" s="7"/>
    </row>
    <row r="166" spans="2:29" x14ac:dyDescent="0.2">
      <c r="B166">
        <v>25</v>
      </c>
      <c r="C166" t="s">
        <v>40</v>
      </c>
      <c r="D166" t="s">
        <v>16</v>
      </c>
      <c r="E166" s="17" t="str">
        <f t="shared" si="17"/>
        <v>Commercial</v>
      </c>
      <c r="F166" s="17">
        <f t="shared" si="19"/>
        <v>0.1111111111111111</v>
      </c>
      <c r="G166" s="17">
        <f t="shared" si="18"/>
        <v>9</v>
      </c>
      <c r="H166" s="8">
        <v>1</v>
      </c>
      <c r="Z166" s="7"/>
      <c r="AC166" s="7"/>
    </row>
    <row r="167" spans="2:29" x14ac:dyDescent="0.2">
      <c r="B167">
        <v>26</v>
      </c>
      <c r="C167" t="s">
        <v>48</v>
      </c>
      <c r="D167" t="s">
        <v>16</v>
      </c>
      <c r="E167" s="17" t="str">
        <f t="shared" si="17"/>
        <v>Corporate</v>
      </c>
      <c r="F167" s="17">
        <f t="shared" si="19"/>
        <v>7.6923076923076927E-2</v>
      </c>
      <c r="G167" s="17">
        <f t="shared" si="18"/>
        <v>13</v>
      </c>
      <c r="H167" s="8">
        <v>1</v>
      </c>
      <c r="Z167" s="7"/>
      <c r="AC167" s="7"/>
    </row>
    <row r="168" spans="2:29" x14ac:dyDescent="0.2">
      <c r="B168">
        <v>27</v>
      </c>
      <c r="C168" t="s">
        <v>39</v>
      </c>
      <c r="D168" t="s">
        <v>16</v>
      </c>
      <c r="E168" s="17" t="str">
        <f t="shared" si="17"/>
        <v>Commercial</v>
      </c>
      <c r="F168" s="17">
        <f t="shared" si="19"/>
        <v>0.1111111111111111</v>
      </c>
      <c r="G168" s="17">
        <f t="shared" si="18"/>
        <v>9</v>
      </c>
      <c r="H168" s="8">
        <v>1</v>
      </c>
      <c r="Z168" s="7"/>
      <c r="AC168" s="7"/>
    </row>
    <row r="169" spans="2:29" x14ac:dyDescent="0.2">
      <c r="B169">
        <v>28</v>
      </c>
      <c r="C169" t="s">
        <v>54</v>
      </c>
      <c r="D169" t="s">
        <v>16</v>
      </c>
      <c r="E169" s="17" t="str">
        <f t="shared" si="17"/>
        <v>Corporate</v>
      </c>
      <c r="F169" s="17">
        <f t="shared" si="19"/>
        <v>7.6923076923076927E-2</v>
      </c>
      <c r="G169" s="17">
        <f t="shared" si="18"/>
        <v>13</v>
      </c>
      <c r="H169" s="8">
        <v>1</v>
      </c>
      <c r="Z169" s="7"/>
      <c r="AC169" s="7"/>
    </row>
    <row r="170" spans="2:29" x14ac:dyDescent="0.2">
      <c r="B170">
        <v>29</v>
      </c>
      <c r="C170" t="s">
        <v>50</v>
      </c>
      <c r="D170" t="s">
        <v>16</v>
      </c>
      <c r="E170" s="17" t="str">
        <f t="shared" si="17"/>
        <v>Corporate</v>
      </c>
      <c r="F170" s="17">
        <f t="shared" si="19"/>
        <v>7.6923076923076927E-2</v>
      </c>
      <c r="G170" s="17">
        <f t="shared" si="18"/>
        <v>13</v>
      </c>
      <c r="H170" s="8">
        <v>1</v>
      </c>
      <c r="Z170" s="7"/>
      <c r="AC170" s="7"/>
    </row>
    <row r="171" spans="2:29" x14ac:dyDescent="0.2">
      <c r="B171">
        <v>30</v>
      </c>
      <c r="C171" t="s">
        <v>51</v>
      </c>
      <c r="D171" t="s">
        <v>16</v>
      </c>
      <c r="E171" s="17" t="str">
        <f t="shared" si="17"/>
        <v>Corporate</v>
      </c>
      <c r="F171" s="17">
        <f t="shared" si="19"/>
        <v>7.6923076923076927E-2</v>
      </c>
      <c r="G171" s="17">
        <f t="shared" si="18"/>
        <v>13</v>
      </c>
      <c r="H171" s="8">
        <v>1</v>
      </c>
      <c r="Z171" s="7"/>
      <c r="AC171" s="7"/>
    </row>
    <row r="172" spans="2:29" x14ac:dyDescent="0.2">
      <c r="B172">
        <v>31</v>
      </c>
      <c r="C172" t="s">
        <v>56</v>
      </c>
      <c r="D172" t="s">
        <v>16</v>
      </c>
      <c r="E172" s="17" t="str">
        <f t="shared" si="17"/>
        <v>Corporate</v>
      </c>
      <c r="F172" s="17">
        <f t="shared" si="19"/>
        <v>7.6923076923076927E-2</v>
      </c>
      <c r="G172" s="17">
        <f t="shared" si="18"/>
        <v>13</v>
      </c>
      <c r="H172" s="8">
        <v>1</v>
      </c>
      <c r="Z172" s="7"/>
      <c r="AC172" s="7"/>
    </row>
    <row r="173" spans="2:29" x14ac:dyDescent="0.2">
      <c r="B173">
        <v>32</v>
      </c>
      <c r="C173" t="s">
        <v>53</v>
      </c>
      <c r="D173" t="s">
        <v>16</v>
      </c>
      <c r="E173" s="17" t="str">
        <f t="shared" si="17"/>
        <v>Corporate</v>
      </c>
      <c r="F173" s="17">
        <f t="shared" si="19"/>
        <v>7.6923076923076927E-2</v>
      </c>
      <c r="G173" s="17">
        <f t="shared" si="18"/>
        <v>13</v>
      </c>
      <c r="H173" s="8">
        <v>1</v>
      </c>
      <c r="Z173" s="7"/>
      <c r="AC173" s="7"/>
    </row>
    <row r="174" spans="2:29" x14ac:dyDescent="0.2">
      <c r="B174">
        <v>1</v>
      </c>
      <c r="C174" t="s">
        <v>25</v>
      </c>
      <c r="D174" t="s">
        <v>17</v>
      </c>
      <c r="E174" s="17" t="str">
        <f t="shared" si="17"/>
        <v>Commercial</v>
      </c>
      <c r="F174" s="17">
        <f t="shared" si="19"/>
        <v>0.125</v>
      </c>
      <c r="G174" s="17">
        <f t="shared" si="18"/>
        <v>8</v>
      </c>
      <c r="H174" s="8">
        <v>1</v>
      </c>
      <c r="Z174" s="7"/>
      <c r="AC174" s="7"/>
    </row>
    <row r="175" spans="2:29" x14ac:dyDescent="0.2">
      <c r="B175">
        <v>2</v>
      </c>
      <c r="C175" t="s">
        <v>26</v>
      </c>
      <c r="D175" t="s">
        <v>17</v>
      </c>
      <c r="E175" s="17" t="str">
        <f t="shared" si="17"/>
        <v>Operations</v>
      </c>
      <c r="F175" s="17">
        <f t="shared" si="19"/>
        <v>0.33333333333333331</v>
      </c>
      <c r="G175" s="17">
        <f t="shared" si="18"/>
        <v>3</v>
      </c>
      <c r="H175" s="8">
        <v>1</v>
      </c>
      <c r="Z175" s="7"/>
      <c r="AC175" s="7"/>
    </row>
    <row r="176" spans="2:29" x14ac:dyDescent="0.2">
      <c r="B176">
        <v>3</v>
      </c>
      <c r="C176" t="s">
        <v>22</v>
      </c>
      <c r="D176" t="s">
        <v>17</v>
      </c>
      <c r="E176" s="17" t="str">
        <f t="shared" si="17"/>
        <v>Corporate</v>
      </c>
      <c r="F176" s="17">
        <f t="shared" si="19"/>
        <v>0.125</v>
      </c>
      <c r="G176" s="17">
        <f t="shared" si="18"/>
        <v>8</v>
      </c>
      <c r="H176" s="8">
        <v>1</v>
      </c>
      <c r="Z176" s="7"/>
      <c r="AC176" s="7"/>
    </row>
    <row r="177" spans="2:29" x14ac:dyDescent="0.2">
      <c r="B177">
        <v>4</v>
      </c>
      <c r="C177" t="s">
        <v>9</v>
      </c>
      <c r="D177" t="s">
        <v>17</v>
      </c>
      <c r="E177" s="17" t="str">
        <f t="shared" si="17"/>
        <v>Technology</v>
      </c>
      <c r="F177" s="17">
        <f t="shared" si="19"/>
        <v>0.2</v>
      </c>
      <c r="G177" s="17">
        <f t="shared" si="18"/>
        <v>5</v>
      </c>
      <c r="H177" s="8">
        <v>1</v>
      </c>
      <c r="Z177" s="7"/>
      <c r="AC177" s="7"/>
    </row>
    <row r="178" spans="2:29" x14ac:dyDescent="0.2">
      <c r="B178">
        <v>5</v>
      </c>
      <c r="C178" t="s">
        <v>11</v>
      </c>
      <c r="D178" t="s">
        <v>17</v>
      </c>
      <c r="E178" s="17" t="str">
        <f t="shared" si="17"/>
        <v>CISO</v>
      </c>
      <c r="F178" s="17">
        <f t="shared" si="19"/>
        <v>1</v>
      </c>
      <c r="G178" s="17">
        <f t="shared" si="18"/>
        <v>1</v>
      </c>
      <c r="H178" s="8">
        <v>1</v>
      </c>
      <c r="Z178" s="7"/>
      <c r="AC178" s="7"/>
    </row>
    <row r="179" spans="2:29" x14ac:dyDescent="0.2">
      <c r="B179">
        <v>6</v>
      </c>
      <c r="C179" t="s">
        <v>116</v>
      </c>
      <c r="D179" t="s">
        <v>17</v>
      </c>
      <c r="E179" s="17" t="str">
        <f t="shared" si="17"/>
        <v>Data &amp; AI</v>
      </c>
      <c r="F179" s="17">
        <f t="shared" si="19"/>
        <v>0.14285714285714285</v>
      </c>
      <c r="G179" s="17">
        <f t="shared" si="18"/>
        <v>7</v>
      </c>
      <c r="H179" s="8">
        <v>1</v>
      </c>
      <c r="Z179" s="7"/>
      <c r="AC179" s="7"/>
    </row>
    <row r="180" spans="2:29" x14ac:dyDescent="0.2">
      <c r="B180">
        <v>7</v>
      </c>
      <c r="C180" t="s">
        <v>37</v>
      </c>
      <c r="D180" t="s">
        <v>17</v>
      </c>
      <c r="E180" s="17" t="str">
        <f t="shared" si="17"/>
        <v>Commercial</v>
      </c>
      <c r="F180" s="17">
        <f t="shared" si="19"/>
        <v>0.125</v>
      </c>
      <c r="G180" s="17">
        <f t="shared" si="18"/>
        <v>8</v>
      </c>
      <c r="H180" s="8">
        <v>1</v>
      </c>
      <c r="Z180" s="7"/>
      <c r="AC180" s="7"/>
    </row>
    <row r="181" spans="2:29" x14ac:dyDescent="0.2">
      <c r="B181">
        <v>8</v>
      </c>
      <c r="C181" t="s">
        <v>44</v>
      </c>
      <c r="D181" t="s">
        <v>17</v>
      </c>
      <c r="E181" s="17" t="str">
        <f t="shared" si="17"/>
        <v>Corporate</v>
      </c>
      <c r="F181" s="17">
        <f t="shared" si="19"/>
        <v>0.125</v>
      </c>
      <c r="G181" s="17">
        <f t="shared" si="18"/>
        <v>8</v>
      </c>
      <c r="H181" s="8">
        <v>1</v>
      </c>
      <c r="Z181" s="7"/>
      <c r="AC181" s="7"/>
    </row>
    <row r="182" spans="2:29" x14ac:dyDescent="0.2">
      <c r="B182">
        <v>9</v>
      </c>
      <c r="C182" t="s">
        <v>7</v>
      </c>
      <c r="D182" t="s">
        <v>17</v>
      </c>
      <c r="E182" s="17" t="str">
        <f t="shared" si="17"/>
        <v>Operations</v>
      </c>
      <c r="F182" s="17">
        <f t="shared" si="19"/>
        <v>0.33333333333333331</v>
      </c>
      <c r="G182" s="17">
        <f t="shared" si="18"/>
        <v>3</v>
      </c>
      <c r="H182" s="8">
        <v>1</v>
      </c>
      <c r="Z182" s="7"/>
      <c r="AC182" s="7"/>
    </row>
    <row r="183" spans="2:29" x14ac:dyDescent="0.2">
      <c r="B183">
        <v>10</v>
      </c>
      <c r="C183" t="s">
        <v>59</v>
      </c>
      <c r="D183" t="s">
        <v>17</v>
      </c>
      <c r="E183" s="17" t="str">
        <f t="shared" si="17"/>
        <v>Technology</v>
      </c>
      <c r="F183" s="17">
        <f t="shared" si="19"/>
        <v>0.2</v>
      </c>
      <c r="G183" s="17">
        <f t="shared" si="18"/>
        <v>5</v>
      </c>
      <c r="H183" s="8">
        <v>1</v>
      </c>
      <c r="Z183" s="7"/>
      <c r="AC183" s="7"/>
    </row>
    <row r="184" spans="2:29" x14ac:dyDescent="0.2">
      <c r="B184">
        <v>11</v>
      </c>
      <c r="C184" t="s">
        <v>36</v>
      </c>
      <c r="D184" t="s">
        <v>17</v>
      </c>
      <c r="E184" s="17" t="str">
        <f t="shared" si="17"/>
        <v>Commercial</v>
      </c>
      <c r="F184" s="17">
        <f t="shared" si="19"/>
        <v>0.125</v>
      </c>
      <c r="G184" s="17">
        <f t="shared" si="18"/>
        <v>8</v>
      </c>
      <c r="H184" s="8">
        <v>1</v>
      </c>
      <c r="Z184" s="7"/>
      <c r="AC184" s="7"/>
    </row>
    <row r="185" spans="2:29" x14ac:dyDescent="0.2">
      <c r="B185">
        <v>12</v>
      </c>
      <c r="C185" t="s">
        <v>46</v>
      </c>
      <c r="D185" t="s">
        <v>17</v>
      </c>
      <c r="E185" s="17" t="str">
        <f t="shared" si="17"/>
        <v>Corporate</v>
      </c>
      <c r="F185" s="17">
        <f t="shared" si="19"/>
        <v>0.125</v>
      </c>
      <c r="G185" s="17">
        <f t="shared" si="18"/>
        <v>8</v>
      </c>
      <c r="H185" s="8">
        <v>1</v>
      </c>
      <c r="Z185" s="7"/>
      <c r="AC185" s="7"/>
    </row>
    <row r="186" spans="2:29" x14ac:dyDescent="0.2">
      <c r="B186">
        <v>13</v>
      </c>
      <c r="C186" t="s">
        <v>42</v>
      </c>
      <c r="D186" t="s">
        <v>17</v>
      </c>
      <c r="E186" s="17" t="str">
        <f t="shared" si="17"/>
        <v>Operations</v>
      </c>
      <c r="F186" s="17">
        <f t="shared" si="19"/>
        <v>0.33333333333333331</v>
      </c>
      <c r="G186" s="17">
        <f t="shared" si="18"/>
        <v>3</v>
      </c>
      <c r="H186" s="8">
        <v>1</v>
      </c>
      <c r="Z186" s="7"/>
      <c r="AC186" s="7"/>
    </row>
    <row r="187" spans="2:29" x14ac:dyDescent="0.2">
      <c r="B187">
        <v>14</v>
      </c>
      <c r="C187" t="s">
        <v>58</v>
      </c>
      <c r="D187" t="s">
        <v>17</v>
      </c>
      <c r="E187" s="17" t="str">
        <f t="shared" si="17"/>
        <v>Technology</v>
      </c>
      <c r="F187" s="17">
        <f t="shared" si="19"/>
        <v>0.2</v>
      </c>
      <c r="G187" s="17">
        <f t="shared" si="18"/>
        <v>5</v>
      </c>
      <c r="H187" s="8">
        <v>1</v>
      </c>
      <c r="Z187" s="7"/>
      <c r="AC187" s="7"/>
    </row>
    <row r="188" spans="2:29" x14ac:dyDescent="0.2">
      <c r="B188">
        <v>15</v>
      </c>
      <c r="C188" t="s">
        <v>38</v>
      </c>
      <c r="D188" t="s">
        <v>17</v>
      </c>
      <c r="E188" s="17" t="str">
        <f t="shared" si="17"/>
        <v>Commercial</v>
      </c>
      <c r="F188" s="17">
        <f t="shared" si="19"/>
        <v>0.125</v>
      </c>
      <c r="G188" s="17">
        <f t="shared" si="18"/>
        <v>8</v>
      </c>
      <c r="H188" s="8">
        <v>1</v>
      </c>
      <c r="Z188" s="7"/>
      <c r="AC188" s="7"/>
    </row>
    <row r="189" spans="2:29" x14ac:dyDescent="0.2">
      <c r="B189">
        <v>16</v>
      </c>
      <c r="C189" t="s">
        <v>47</v>
      </c>
      <c r="D189" t="s">
        <v>17</v>
      </c>
      <c r="E189" s="17" t="str">
        <f t="shared" si="17"/>
        <v>Corporate</v>
      </c>
      <c r="F189" s="17">
        <f t="shared" si="19"/>
        <v>0.125</v>
      </c>
      <c r="G189" s="17">
        <f t="shared" si="18"/>
        <v>8</v>
      </c>
      <c r="H189" s="8">
        <v>1</v>
      </c>
      <c r="Z189" s="7"/>
      <c r="AC189" s="7"/>
    </row>
    <row r="190" spans="2:29" x14ac:dyDescent="0.2">
      <c r="B190">
        <v>17</v>
      </c>
      <c r="C190" t="s">
        <v>34</v>
      </c>
      <c r="D190" t="s">
        <v>17</v>
      </c>
      <c r="E190" s="17" t="str">
        <f t="shared" si="17"/>
        <v>Technology</v>
      </c>
      <c r="F190" s="17">
        <f t="shared" si="19"/>
        <v>0.2</v>
      </c>
      <c r="G190" s="17">
        <f t="shared" si="18"/>
        <v>5</v>
      </c>
      <c r="H190" s="8">
        <v>1</v>
      </c>
      <c r="Z190" s="7"/>
      <c r="AC190" s="7"/>
    </row>
    <row r="191" spans="2:29" x14ac:dyDescent="0.2">
      <c r="B191">
        <v>18</v>
      </c>
      <c r="C191" t="s">
        <v>21</v>
      </c>
      <c r="D191" t="s">
        <v>17</v>
      </c>
      <c r="E191" s="17" t="str">
        <f t="shared" si="17"/>
        <v>Commercial</v>
      </c>
      <c r="F191" s="17">
        <f t="shared" si="19"/>
        <v>0.125</v>
      </c>
      <c r="G191" s="17">
        <f t="shared" si="18"/>
        <v>8</v>
      </c>
      <c r="H191" s="8">
        <v>1</v>
      </c>
      <c r="Z191" s="7"/>
      <c r="AC191" s="7"/>
    </row>
    <row r="192" spans="2:29" x14ac:dyDescent="0.2">
      <c r="B192">
        <v>19</v>
      </c>
      <c r="C192" t="s">
        <v>35</v>
      </c>
      <c r="D192" t="s">
        <v>17</v>
      </c>
      <c r="E192" s="17" t="str">
        <f t="shared" si="17"/>
        <v>Corporate</v>
      </c>
      <c r="F192" s="17">
        <f t="shared" si="19"/>
        <v>0.125</v>
      </c>
      <c r="G192" s="17">
        <f t="shared" si="18"/>
        <v>8</v>
      </c>
      <c r="H192" s="8">
        <v>1</v>
      </c>
      <c r="Z192" s="7"/>
      <c r="AC192" s="7"/>
    </row>
    <row r="193" spans="2:29" x14ac:dyDescent="0.2">
      <c r="B193">
        <v>20</v>
      </c>
      <c r="C193" t="s">
        <v>60</v>
      </c>
      <c r="D193" t="s">
        <v>17</v>
      </c>
      <c r="E193" s="17" t="str">
        <f t="shared" si="17"/>
        <v>Technology</v>
      </c>
      <c r="F193" s="17">
        <f t="shared" si="19"/>
        <v>0.2</v>
      </c>
      <c r="G193" s="17">
        <f t="shared" si="18"/>
        <v>5</v>
      </c>
      <c r="H193" s="8">
        <v>1</v>
      </c>
      <c r="Z193" s="7"/>
      <c r="AC193" s="7"/>
    </row>
    <row r="194" spans="2:29" x14ac:dyDescent="0.2">
      <c r="B194">
        <v>21</v>
      </c>
      <c r="C194" t="s">
        <v>23</v>
      </c>
      <c r="D194" t="s">
        <v>17</v>
      </c>
      <c r="E194" s="17" t="str">
        <f t="shared" si="17"/>
        <v>Commercial</v>
      </c>
      <c r="F194" s="17">
        <f t="shared" si="19"/>
        <v>0.125</v>
      </c>
      <c r="G194" s="17">
        <f t="shared" si="18"/>
        <v>8</v>
      </c>
      <c r="H194" s="8">
        <v>1</v>
      </c>
      <c r="Z194" s="7"/>
      <c r="AC194" s="7"/>
    </row>
    <row r="195" spans="2:29" x14ac:dyDescent="0.2">
      <c r="B195">
        <v>22</v>
      </c>
      <c r="C195" t="s">
        <v>98</v>
      </c>
      <c r="D195" t="s">
        <v>17</v>
      </c>
      <c r="E195" s="17" t="str">
        <f t="shared" ref="E195:E199" si="20">VLOOKUP($C195,$AF:$AG,2,FALSE)</f>
        <v>Corporate</v>
      </c>
      <c r="F195" s="17">
        <f t="shared" si="19"/>
        <v>0.125</v>
      </c>
      <c r="G195" s="17">
        <f t="shared" ref="G195:G205" si="21">SUMIFS($H$2:$H$1003,$E$2:$E$1003,E195,$D$2:$D$1003,D195)</f>
        <v>8</v>
      </c>
      <c r="H195" s="8">
        <v>1</v>
      </c>
      <c r="Z195" s="7"/>
      <c r="AC195" s="7"/>
    </row>
    <row r="196" spans="2:29" x14ac:dyDescent="0.2">
      <c r="B196">
        <v>23</v>
      </c>
      <c r="C196" t="s">
        <v>24</v>
      </c>
      <c r="D196" t="s">
        <v>17</v>
      </c>
      <c r="E196" s="17" t="str">
        <f t="shared" si="20"/>
        <v>Commercial</v>
      </c>
      <c r="F196" s="17">
        <f t="shared" si="19"/>
        <v>0.125</v>
      </c>
      <c r="G196" s="17">
        <f t="shared" si="21"/>
        <v>8</v>
      </c>
      <c r="H196" s="8">
        <v>1</v>
      </c>
      <c r="Z196" s="7"/>
      <c r="AC196" s="7"/>
    </row>
    <row r="197" spans="2:29" x14ac:dyDescent="0.2">
      <c r="B197">
        <v>24</v>
      </c>
      <c r="C197" t="s">
        <v>45</v>
      </c>
      <c r="D197" t="s">
        <v>17</v>
      </c>
      <c r="E197" s="17" t="str">
        <f t="shared" si="20"/>
        <v>Corporate</v>
      </c>
      <c r="F197" s="17">
        <f t="shared" si="19"/>
        <v>0.125</v>
      </c>
      <c r="G197" s="17">
        <f t="shared" si="21"/>
        <v>8</v>
      </c>
      <c r="H197" s="8">
        <v>1</v>
      </c>
      <c r="Z197" s="7"/>
      <c r="AC197" s="7"/>
    </row>
    <row r="198" spans="2:29" x14ac:dyDescent="0.2">
      <c r="B198">
        <v>25</v>
      </c>
      <c r="C198" t="s">
        <v>40</v>
      </c>
      <c r="D198" t="s">
        <v>17</v>
      </c>
      <c r="E198" s="17" t="str">
        <f t="shared" si="20"/>
        <v>Commercial</v>
      </c>
      <c r="F198" s="17">
        <f t="shared" si="19"/>
        <v>0.125</v>
      </c>
      <c r="G198" s="17">
        <f t="shared" si="21"/>
        <v>8</v>
      </c>
      <c r="H198" s="8">
        <v>1</v>
      </c>
      <c r="Z198" s="7"/>
      <c r="AC198" s="7"/>
    </row>
    <row r="199" spans="2:29" x14ac:dyDescent="0.2">
      <c r="B199">
        <v>26</v>
      </c>
      <c r="C199" t="s">
        <v>48</v>
      </c>
      <c r="D199" t="s">
        <v>17</v>
      </c>
      <c r="E199" s="17" t="str">
        <f t="shared" si="20"/>
        <v>Corporate</v>
      </c>
      <c r="F199" s="17">
        <f t="shared" si="19"/>
        <v>0.125</v>
      </c>
      <c r="G199" s="17">
        <f t="shared" si="21"/>
        <v>8</v>
      </c>
      <c r="H199" s="8">
        <v>1</v>
      </c>
      <c r="Z199" s="7"/>
      <c r="AC199" s="7"/>
    </row>
    <row r="200" spans="2:29" x14ac:dyDescent="0.2">
      <c r="B200">
        <v>27</v>
      </c>
      <c r="C200" t="s">
        <v>39</v>
      </c>
      <c r="D200" t="s">
        <v>17</v>
      </c>
      <c r="E200" s="17" t="s">
        <v>74</v>
      </c>
      <c r="F200" s="17">
        <f t="shared" si="19"/>
        <v>0.14285714285714285</v>
      </c>
      <c r="G200" s="17">
        <f t="shared" si="21"/>
        <v>7</v>
      </c>
      <c r="H200" s="8">
        <v>1</v>
      </c>
      <c r="Z200" s="7"/>
      <c r="AC200" s="7"/>
    </row>
    <row r="201" spans="2:29" x14ac:dyDescent="0.2">
      <c r="B201">
        <v>28</v>
      </c>
      <c r="C201" t="s">
        <v>54</v>
      </c>
      <c r="D201" t="s">
        <v>17</v>
      </c>
      <c r="E201" s="17" t="s">
        <v>74</v>
      </c>
      <c r="F201" s="17">
        <f t="shared" si="19"/>
        <v>0.14285714285714285</v>
      </c>
      <c r="G201" s="17">
        <f t="shared" si="21"/>
        <v>7</v>
      </c>
      <c r="H201" s="8">
        <v>1</v>
      </c>
      <c r="Z201" s="7"/>
      <c r="AC201" s="7"/>
    </row>
    <row r="202" spans="2:29" x14ac:dyDescent="0.2">
      <c r="B202">
        <v>29</v>
      </c>
      <c r="C202" t="s">
        <v>50</v>
      </c>
      <c r="D202" t="s">
        <v>17</v>
      </c>
      <c r="E202" s="17" t="s">
        <v>74</v>
      </c>
      <c r="F202" s="17">
        <f t="shared" si="19"/>
        <v>0.14285714285714285</v>
      </c>
      <c r="G202" s="17">
        <f t="shared" si="21"/>
        <v>7</v>
      </c>
      <c r="H202" s="8">
        <v>1</v>
      </c>
      <c r="Z202" s="7"/>
      <c r="AC202" s="7"/>
    </row>
    <row r="203" spans="2:29" x14ac:dyDescent="0.2">
      <c r="B203">
        <v>30</v>
      </c>
      <c r="C203" t="s">
        <v>51</v>
      </c>
      <c r="D203" t="s">
        <v>17</v>
      </c>
      <c r="E203" s="17" t="s">
        <v>74</v>
      </c>
      <c r="F203" s="17">
        <f t="shared" si="19"/>
        <v>0.14285714285714285</v>
      </c>
      <c r="G203" s="17">
        <f t="shared" si="21"/>
        <v>7</v>
      </c>
      <c r="H203" s="8">
        <v>1</v>
      </c>
      <c r="Z203" s="7"/>
      <c r="AC203" s="7"/>
    </row>
    <row r="204" spans="2:29" x14ac:dyDescent="0.2">
      <c r="B204">
        <v>31</v>
      </c>
      <c r="C204" t="s">
        <v>56</v>
      </c>
      <c r="D204" t="s">
        <v>17</v>
      </c>
      <c r="E204" s="17" t="s">
        <v>74</v>
      </c>
      <c r="F204" s="17">
        <f t="shared" si="19"/>
        <v>0.14285714285714285</v>
      </c>
      <c r="G204" s="17">
        <f t="shared" si="21"/>
        <v>7</v>
      </c>
      <c r="H204" s="8">
        <v>1</v>
      </c>
      <c r="Z204" s="7"/>
      <c r="AC204" s="7"/>
    </row>
    <row r="205" spans="2:29" x14ac:dyDescent="0.2">
      <c r="B205">
        <v>32</v>
      </c>
      <c r="C205" t="s">
        <v>53</v>
      </c>
      <c r="D205" t="s">
        <v>17</v>
      </c>
      <c r="E205" s="17" t="s">
        <v>74</v>
      </c>
      <c r="F205" s="17">
        <f t="shared" si="19"/>
        <v>0.14285714285714285</v>
      </c>
      <c r="G205" s="17">
        <f t="shared" si="21"/>
        <v>7</v>
      </c>
      <c r="H205" s="8">
        <v>1</v>
      </c>
    </row>
    <row r="206" spans="2:29" x14ac:dyDescent="0.2">
      <c r="B206" s="32">
        <v>1</v>
      </c>
      <c r="C206" s="32" t="s">
        <v>21</v>
      </c>
      <c r="D206" s="32" t="s">
        <v>379</v>
      </c>
      <c r="E206" s="17" t="str">
        <f t="shared" ref="E206:E269" si="22">VLOOKUP($C206,$AF:$AG,2,FALSE)</f>
        <v>Commercial</v>
      </c>
      <c r="F206" s="17">
        <v>16</v>
      </c>
      <c r="G206" s="17">
        <v>1</v>
      </c>
      <c r="H206" s="8">
        <v>1</v>
      </c>
      <c r="J206" t="str">
        <f>C206</f>
        <v>GP B2B</v>
      </c>
      <c r="K206" t="str">
        <f>E206</f>
        <v>Commercial</v>
      </c>
      <c r="L206" s="45">
        <f>F206/100</f>
        <v>0.16</v>
      </c>
    </row>
    <row r="207" spans="2:29" x14ac:dyDescent="0.2">
      <c r="B207" s="32">
        <v>2</v>
      </c>
      <c r="C207" s="32" t="s">
        <v>23</v>
      </c>
      <c r="D207" s="32" t="s">
        <v>379</v>
      </c>
      <c r="E207" s="17" t="str">
        <f t="shared" si="22"/>
        <v>Commercial</v>
      </c>
      <c r="F207" s="17">
        <v>16</v>
      </c>
      <c r="G207" s="17">
        <f t="shared" ref="G207:G270" si="23">SUMIFS($H$2:$H$1003,$E$2:$E$1003,E207,$D$2:$D$1003,D207)</f>
        <v>9</v>
      </c>
      <c r="H207" s="8">
        <v>1</v>
      </c>
      <c r="J207" t="str">
        <f t="shared" ref="J207:J240" si="24">C207</f>
        <v>GP ECL</v>
      </c>
      <c r="K207" t="str">
        <f t="shared" ref="K207:K240" si="25">E207</f>
        <v>Commercial</v>
      </c>
      <c r="L207" s="45">
        <f t="shared" ref="L207:L240" si="26">F207/100</f>
        <v>0.16</v>
      </c>
    </row>
    <row r="208" spans="2:29" x14ac:dyDescent="0.2">
      <c r="B208" s="32">
        <v>3</v>
      </c>
      <c r="C208" s="32" t="s">
        <v>36</v>
      </c>
      <c r="D208" s="32" t="s">
        <v>379</v>
      </c>
      <c r="E208" s="17" t="str">
        <f t="shared" si="22"/>
        <v>Commercial</v>
      </c>
      <c r="F208" s="17">
        <v>16</v>
      </c>
      <c r="G208" s="17">
        <f t="shared" si="23"/>
        <v>9</v>
      </c>
      <c r="H208" s="8">
        <v>1</v>
      </c>
      <c r="J208" t="str">
        <f t="shared" si="24"/>
        <v>DNI</v>
      </c>
      <c r="K208" t="str">
        <f t="shared" si="25"/>
        <v>Commercial</v>
      </c>
      <c r="L208" s="45">
        <f t="shared" si="26"/>
        <v>0.16</v>
      </c>
    </row>
    <row r="209" spans="2:12" x14ac:dyDescent="0.2">
      <c r="B209" s="32">
        <v>4</v>
      </c>
      <c r="C209" s="32" t="s">
        <v>37</v>
      </c>
      <c r="D209" s="32" t="s">
        <v>379</v>
      </c>
      <c r="E209" s="17" t="str">
        <f t="shared" si="22"/>
        <v>Commercial</v>
      </c>
      <c r="F209" s="17">
        <v>12</v>
      </c>
      <c r="G209" s="17">
        <f t="shared" si="23"/>
        <v>9</v>
      </c>
      <c r="H209" s="8">
        <v>1</v>
      </c>
      <c r="J209" t="str">
        <f t="shared" si="24"/>
        <v>GS</v>
      </c>
      <c r="K209" t="str">
        <f t="shared" si="25"/>
        <v>Commercial</v>
      </c>
      <c r="L209" s="45">
        <f t="shared" si="26"/>
        <v>0.12</v>
      </c>
    </row>
    <row r="210" spans="2:12" x14ac:dyDescent="0.2">
      <c r="B210" s="32">
        <v>5</v>
      </c>
      <c r="C210" s="32" t="s">
        <v>38</v>
      </c>
      <c r="D210" s="32" t="s">
        <v>379</v>
      </c>
      <c r="E210" s="17" t="str">
        <f t="shared" si="22"/>
        <v>Commercial</v>
      </c>
      <c r="F210" s="17">
        <v>10</v>
      </c>
      <c r="G210" s="17">
        <f t="shared" si="23"/>
        <v>9</v>
      </c>
      <c r="H210" s="8">
        <v>1</v>
      </c>
      <c r="J210" t="str">
        <f t="shared" si="24"/>
        <v>CSI</v>
      </c>
      <c r="K210" t="str">
        <f t="shared" si="25"/>
        <v>Commercial</v>
      </c>
      <c r="L210" s="45">
        <f t="shared" si="26"/>
        <v>0.1</v>
      </c>
    </row>
    <row r="211" spans="2:12" x14ac:dyDescent="0.2">
      <c r="B211" s="32">
        <v>6</v>
      </c>
      <c r="C211" s="32" t="s">
        <v>25</v>
      </c>
      <c r="D211" s="32" t="s">
        <v>379</v>
      </c>
      <c r="E211" s="17" t="str">
        <f t="shared" si="22"/>
        <v>Commercial</v>
      </c>
      <c r="F211" s="17">
        <v>9</v>
      </c>
      <c r="G211" s="17">
        <f t="shared" si="23"/>
        <v>9</v>
      </c>
      <c r="H211" s="8">
        <v>1</v>
      </c>
      <c r="J211" t="str">
        <f t="shared" si="24"/>
        <v>GP B2C</v>
      </c>
      <c r="K211" t="str">
        <f t="shared" si="25"/>
        <v>Commercial</v>
      </c>
      <c r="L211" s="45">
        <f t="shared" si="26"/>
        <v>0.09</v>
      </c>
    </row>
    <row r="212" spans="2:12" x14ac:dyDescent="0.2">
      <c r="B212" s="32">
        <v>7</v>
      </c>
      <c r="C212" s="32" t="s">
        <v>39</v>
      </c>
      <c r="D212" s="32" t="s">
        <v>379</v>
      </c>
      <c r="E212" s="17" t="str">
        <f t="shared" si="22"/>
        <v>Commercial</v>
      </c>
      <c r="F212" s="17">
        <v>9</v>
      </c>
      <c r="G212" s="17">
        <f t="shared" si="23"/>
        <v>9</v>
      </c>
      <c r="H212" s="8">
        <v>1</v>
      </c>
      <c r="J212" t="str">
        <f t="shared" si="24"/>
        <v>CTTE</v>
      </c>
      <c r="K212" t="str">
        <f t="shared" si="25"/>
        <v>Commercial</v>
      </c>
      <c r="L212" s="45">
        <f t="shared" si="26"/>
        <v>0.09</v>
      </c>
    </row>
    <row r="213" spans="2:12" x14ac:dyDescent="0.2">
      <c r="B213" s="32">
        <v>8</v>
      </c>
      <c r="C213" s="32" t="s">
        <v>24</v>
      </c>
      <c r="D213" s="32" t="s">
        <v>379</v>
      </c>
      <c r="E213" s="17" t="str">
        <f t="shared" si="22"/>
        <v>Commercial</v>
      </c>
      <c r="F213" s="17">
        <v>9</v>
      </c>
      <c r="G213" s="17">
        <f t="shared" si="23"/>
        <v>9</v>
      </c>
      <c r="H213" s="8">
        <v>1</v>
      </c>
      <c r="J213" t="str">
        <f t="shared" si="24"/>
        <v>GPG</v>
      </c>
      <c r="K213" t="str">
        <f t="shared" si="25"/>
        <v>Commercial</v>
      </c>
      <c r="L213" s="45">
        <f t="shared" si="26"/>
        <v>0.09</v>
      </c>
    </row>
    <row r="214" spans="2:12" x14ac:dyDescent="0.2">
      <c r="B214" s="32">
        <v>9</v>
      </c>
      <c r="C214" s="32" t="s">
        <v>40</v>
      </c>
      <c r="D214" s="32" t="s">
        <v>379</v>
      </c>
      <c r="E214" s="17" t="str">
        <f t="shared" si="22"/>
        <v>Commercial</v>
      </c>
      <c r="F214" s="17">
        <v>3</v>
      </c>
      <c r="G214" s="17">
        <f t="shared" si="23"/>
        <v>9</v>
      </c>
      <c r="H214" s="8">
        <v>1</v>
      </c>
      <c r="J214" t="str">
        <f t="shared" si="24"/>
        <v>ECM</v>
      </c>
      <c r="K214" t="str">
        <f t="shared" si="25"/>
        <v>Commercial</v>
      </c>
      <c r="L214" s="45">
        <f t="shared" si="26"/>
        <v>0.03</v>
      </c>
    </row>
    <row r="215" spans="2:12" x14ac:dyDescent="0.2">
      <c r="B215" s="32">
        <v>10</v>
      </c>
      <c r="C215" s="32" t="s">
        <v>26</v>
      </c>
      <c r="D215" s="32" t="s">
        <v>379</v>
      </c>
      <c r="E215" s="17" t="str">
        <f t="shared" si="22"/>
        <v>Operations</v>
      </c>
      <c r="F215" s="17">
        <v>35</v>
      </c>
      <c r="G215" s="17">
        <f t="shared" si="23"/>
        <v>2</v>
      </c>
      <c r="H215" s="8"/>
      <c r="J215" t="str">
        <f t="shared" si="24"/>
        <v>SEO</v>
      </c>
      <c r="K215" t="str">
        <f t="shared" si="25"/>
        <v>Operations</v>
      </c>
      <c r="L215" s="45">
        <f t="shared" si="26"/>
        <v>0.35</v>
      </c>
    </row>
    <row r="216" spans="2:12" x14ac:dyDescent="0.2">
      <c r="B216" s="32">
        <v>11</v>
      </c>
      <c r="C216" s="32" t="s">
        <v>7</v>
      </c>
      <c r="D216" s="32" t="s">
        <v>379</v>
      </c>
      <c r="E216" s="17" t="str">
        <f t="shared" si="22"/>
        <v>Operations</v>
      </c>
      <c r="F216" s="17">
        <v>35</v>
      </c>
      <c r="G216" s="17">
        <f t="shared" si="23"/>
        <v>2</v>
      </c>
      <c r="H216" s="8">
        <v>1</v>
      </c>
      <c r="J216" t="str">
        <f t="shared" si="24"/>
        <v>EDO</v>
      </c>
      <c r="K216" t="str">
        <f t="shared" si="25"/>
        <v>Operations</v>
      </c>
      <c r="L216" s="45">
        <f t="shared" si="26"/>
        <v>0.35</v>
      </c>
    </row>
    <row r="217" spans="2:12" x14ac:dyDescent="0.2">
      <c r="B217" s="32">
        <v>12</v>
      </c>
      <c r="C217" s="32" t="s">
        <v>42</v>
      </c>
      <c r="D217" s="32" t="s">
        <v>379</v>
      </c>
      <c r="E217" s="17" t="str">
        <f t="shared" si="22"/>
        <v>Operations</v>
      </c>
      <c r="F217" s="17">
        <v>30</v>
      </c>
      <c r="G217" s="17">
        <f t="shared" si="23"/>
        <v>2</v>
      </c>
      <c r="H217" s="8">
        <v>1</v>
      </c>
      <c r="J217" t="str">
        <f t="shared" si="24"/>
        <v>EM</v>
      </c>
      <c r="K217" t="str">
        <f t="shared" si="25"/>
        <v>Operations</v>
      </c>
      <c r="L217" s="45">
        <f t="shared" si="26"/>
        <v>0.3</v>
      </c>
    </row>
    <row r="218" spans="2:12" x14ac:dyDescent="0.2">
      <c r="B218" s="32">
        <v>13</v>
      </c>
      <c r="C218" s="32" t="s">
        <v>44</v>
      </c>
      <c r="D218" s="32" t="s">
        <v>379</v>
      </c>
      <c r="E218" s="17" t="str">
        <f t="shared" si="22"/>
        <v>Corporate</v>
      </c>
      <c r="F218" s="17">
        <v>6.666666666666667</v>
      </c>
      <c r="G218" s="17">
        <f t="shared" si="23"/>
        <v>16</v>
      </c>
      <c r="H218" s="8">
        <v>1</v>
      </c>
      <c r="J218" t="str">
        <f t="shared" si="24"/>
        <v>ACR</v>
      </c>
      <c r="K218" t="str">
        <f t="shared" si="25"/>
        <v>Corporate</v>
      </c>
      <c r="L218" s="45">
        <f t="shared" si="26"/>
        <v>6.6666666666666666E-2</v>
      </c>
    </row>
    <row r="219" spans="2:12" x14ac:dyDescent="0.2">
      <c r="B219" s="32">
        <v>14</v>
      </c>
      <c r="C219" s="32" t="s">
        <v>22</v>
      </c>
      <c r="D219" s="32" t="s">
        <v>379</v>
      </c>
      <c r="E219" s="17" t="str">
        <f t="shared" si="22"/>
        <v>Corporate</v>
      </c>
      <c r="F219" s="17">
        <v>6.666666666666667</v>
      </c>
      <c r="G219" s="17">
        <f t="shared" si="23"/>
        <v>16</v>
      </c>
      <c r="H219" s="8">
        <v>1</v>
      </c>
      <c r="J219" t="str">
        <f t="shared" si="24"/>
        <v>CF</v>
      </c>
      <c r="K219" t="str">
        <f t="shared" si="25"/>
        <v>Corporate</v>
      </c>
      <c r="L219" s="45">
        <f t="shared" si="26"/>
        <v>6.6666666666666666E-2</v>
      </c>
    </row>
    <row r="220" spans="2:12" x14ac:dyDescent="0.2">
      <c r="B220" s="32">
        <v>15</v>
      </c>
      <c r="C220" s="32" t="s">
        <v>45</v>
      </c>
      <c r="D220" s="32" t="s">
        <v>379</v>
      </c>
      <c r="E220" s="17" t="str">
        <f t="shared" si="22"/>
        <v>Corporate</v>
      </c>
      <c r="F220" s="17">
        <v>6.666666666666667</v>
      </c>
      <c r="G220" s="17">
        <f t="shared" si="23"/>
        <v>16</v>
      </c>
      <c r="H220" s="8">
        <v>1</v>
      </c>
      <c r="J220" t="str">
        <f t="shared" si="24"/>
        <v>RS</v>
      </c>
      <c r="K220" t="str">
        <f t="shared" si="25"/>
        <v>Corporate</v>
      </c>
      <c r="L220" s="45">
        <f t="shared" si="26"/>
        <v>6.6666666666666666E-2</v>
      </c>
    </row>
    <row r="221" spans="2:12" x14ac:dyDescent="0.2">
      <c r="B221" s="32">
        <v>16</v>
      </c>
      <c r="C221" s="32" t="s">
        <v>46</v>
      </c>
      <c r="D221" s="32" t="s">
        <v>379</v>
      </c>
      <c r="E221" s="17" t="str">
        <f t="shared" si="22"/>
        <v>Corporate</v>
      </c>
      <c r="F221" s="17">
        <v>6.666666666666667</v>
      </c>
      <c r="G221" s="17">
        <f t="shared" si="23"/>
        <v>16</v>
      </c>
      <c r="H221" s="8">
        <v>1</v>
      </c>
      <c r="J221" t="str">
        <f t="shared" si="24"/>
        <v>AVC</v>
      </c>
      <c r="K221" t="str">
        <f t="shared" si="25"/>
        <v>Corporate</v>
      </c>
      <c r="L221" s="45">
        <f t="shared" si="26"/>
        <v>6.6666666666666666E-2</v>
      </c>
    </row>
    <row r="222" spans="2:12" x14ac:dyDescent="0.2">
      <c r="B222" s="32">
        <v>17</v>
      </c>
      <c r="C222" s="32" t="s">
        <v>35</v>
      </c>
      <c r="D222" s="32" t="s">
        <v>379</v>
      </c>
      <c r="E222" s="17" t="str">
        <f t="shared" si="22"/>
        <v>Corporate</v>
      </c>
      <c r="F222" s="17">
        <v>6.666666666666667</v>
      </c>
      <c r="G222" s="17">
        <f t="shared" si="23"/>
        <v>16</v>
      </c>
      <c r="H222" s="8">
        <v>1</v>
      </c>
      <c r="J222" t="str">
        <f t="shared" si="24"/>
        <v>GRH</v>
      </c>
      <c r="K222" t="str">
        <f t="shared" si="25"/>
        <v>Corporate</v>
      </c>
      <c r="L222" s="45">
        <f t="shared" si="26"/>
        <v>6.6666666666666666E-2</v>
      </c>
    </row>
    <row r="223" spans="2:12" x14ac:dyDescent="0.2">
      <c r="B223" s="32">
        <v>18</v>
      </c>
      <c r="C223" s="32" t="s">
        <v>47</v>
      </c>
      <c r="D223" s="32" t="s">
        <v>379</v>
      </c>
      <c r="E223" s="17" t="str">
        <f t="shared" si="22"/>
        <v>Corporate</v>
      </c>
      <c r="F223" s="17">
        <v>6.666666666666667</v>
      </c>
      <c r="G223" s="17">
        <f t="shared" si="23"/>
        <v>16</v>
      </c>
      <c r="H223" s="8">
        <v>1</v>
      </c>
      <c r="J223" t="str">
        <f t="shared" si="24"/>
        <v>GT</v>
      </c>
      <c r="K223" t="str">
        <f t="shared" si="25"/>
        <v>Corporate</v>
      </c>
      <c r="L223" s="45">
        <f t="shared" si="26"/>
        <v>6.6666666666666666E-2</v>
      </c>
    </row>
    <row r="224" spans="2:12" x14ac:dyDescent="0.2">
      <c r="B224" s="32">
        <v>19</v>
      </c>
      <c r="C224" s="32" t="s">
        <v>48</v>
      </c>
      <c r="D224" s="32" t="s">
        <v>379</v>
      </c>
      <c r="E224" s="17" t="str">
        <f t="shared" si="22"/>
        <v>Corporate</v>
      </c>
      <c r="F224" s="17">
        <v>6.666666666666667</v>
      </c>
      <c r="G224" s="17">
        <f t="shared" si="23"/>
        <v>16</v>
      </c>
      <c r="H224" s="8">
        <v>1</v>
      </c>
      <c r="J224" t="str">
        <f t="shared" si="24"/>
        <v>CL</v>
      </c>
      <c r="K224" t="str">
        <f t="shared" si="25"/>
        <v>Corporate</v>
      </c>
      <c r="L224" s="45">
        <f t="shared" si="26"/>
        <v>6.6666666666666666E-2</v>
      </c>
    </row>
    <row r="225" spans="2:12" x14ac:dyDescent="0.2">
      <c r="B225" s="32">
        <v>22</v>
      </c>
      <c r="C225" s="32" t="s">
        <v>98</v>
      </c>
      <c r="D225" s="32" t="s">
        <v>379</v>
      </c>
      <c r="E225" s="17" t="str">
        <f t="shared" si="22"/>
        <v>Corporate</v>
      </c>
      <c r="F225" s="17">
        <v>6.666666666666667</v>
      </c>
      <c r="G225" s="17">
        <f t="shared" si="23"/>
        <v>16</v>
      </c>
      <c r="H225" s="8">
        <v>1</v>
      </c>
      <c r="J225" t="str">
        <f t="shared" si="24"/>
        <v>PC</v>
      </c>
      <c r="K225" t="str">
        <f t="shared" si="25"/>
        <v>Corporate</v>
      </c>
      <c r="L225" s="45">
        <f t="shared" si="26"/>
        <v>6.6666666666666666E-2</v>
      </c>
    </row>
    <row r="226" spans="2:12" x14ac:dyDescent="0.2">
      <c r="B226" s="32">
        <v>28</v>
      </c>
      <c r="C226" s="32" t="s">
        <v>54</v>
      </c>
      <c r="D226" s="32" t="s">
        <v>379</v>
      </c>
      <c r="E226" s="17" t="str">
        <f t="shared" si="22"/>
        <v>Corporate</v>
      </c>
      <c r="F226" s="17">
        <v>6.666666666666667</v>
      </c>
      <c r="G226" s="17">
        <f t="shared" si="23"/>
        <v>16</v>
      </c>
      <c r="H226" s="8">
        <v>1</v>
      </c>
      <c r="J226" t="str">
        <f t="shared" si="24"/>
        <v>DPO</v>
      </c>
      <c r="K226" t="str">
        <f t="shared" si="25"/>
        <v>Corporate</v>
      </c>
      <c r="L226" s="45">
        <f t="shared" si="26"/>
        <v>6.6666666666666666E-2</v>
      </c>
    </row>
    <row r="227" spans="2:12" x14ac:dyDescent="0.2">
      <c r="B227" s="32">
        <v>29</v>
      </c>
      <c r="C227" s="32" t="s">
        <v>50</v>
      </c>
      <c r="D227" s="32" t="s">
        <v>379</v>
      </c>
      <c r="E227" s="17" t="str">
        <f t="shared" si="22"/>
        <v>Corporate</v>
      </c>
      <c r="F227" s="17">
        <v>6.6666666670000003</v>
      </c>
      <c r="G227" s="17">
        <f t="shared" si="23"/>
        <v>16</v>
      </c>
      <c r="H227" s="8">
        <v>1</v>
      </c>
      <c r="J227" t="str">
        <f t="shared" si="24"/>
        <v>CMP</v>
      </c>
      <c r="K227" t="str">
        <f t="shared" si="25"/>
        <v>Corporate</v>
      </c>
      <c r="L227" s="45">
        <f t="shared" si="26"/>
        <v>6.6666666669999999E-2</v>
      </c>
    </row>
    <row r="228" spans="2:12" x14ac:dyDescent="0.2">
      <c r="B228" s="32">
        <v>30</v>
      </c>
      <c r="C228" s="32" t="s">
        <v>51</v>
      </c>
      <c r="D228" s="32" t="s">
        <v>379</v>
      </c>
      <c r="E228" s="17" t="str">
        <f t="shared" si="22"/>
        <v>Corporate</v>
      </c>
      <c r="F228" s="17">
        <v>6.6666666670000003</v>
      </c>
      <c r="G228" s="17">
        <f t="shared" si="23"/>
        <v>16</v>
      </c>
      <c r="H228" s="8">
        <v>1</v>
      </c>
      <c r="J228" t="str">
        <f t="shared" si="24"/>
        <v>ST</v>
      </c>
      <c r="K228" t="str">
        <f t="shared" si="25"/>
        <v>Corporate</v>
      </c>
      <c r="L228" s="45">
        <f t="shared" si="26"/>
        <v>6.6666666669999999E-2</v>
      </c>
    </row>
    <row r="229" spans="2:12" x14ac:dyDescent="0.2">
      <c r="B229" s="32">
        <v>31</v>
      </c>
      <c r="C229" s="32" t="s">
        <v>56</v>
      </c>
      <c r="D229" s="32" t="s">
        <v>379</v>
      </c>
      <c r="E229" s="17" t="str">
        <f t="shared" si="22"/>
        <v>Corporate</v>
      </c>
      <c r="F229" s="17">
        <v>4.4444444446666669</v>
      </c>
      <c r="G229" s="17">
        <f t="shared" si="23"/>
        <v>16</v>
      </c>
      <c r="H229" s="8">
        <v>1</v>
      </c>
      <c r="J229" t="str">
        <f t="shared" si="24"/>
        <v>FL</v>
      </c>
      <c r="K229" t="str">
        <f t="shared" si="25"/>
        <v>Corporate</v>
      </c>
      <c r="L229" s="45">
        <f t="shared" si="26"/>
        <v>4.4444444446666669E-2</v>
      </c>
    </row>
    <row r="230" spans="2:12" x14ac:dyDescent="0.2">
      <c r="B230" s="32">
        <v>32</v>
      </c>
      <c r="C230" s="32" t="s">
        <v>365</v>
      </c>
      <c r="D230" s="32" t="s">
        <v>379</v>
      </c>
      <c r="E230" s="17" t="str">
        <f t="shared" si="22"/>
        <v>Corporate</v>
      </c>
      <c r="F230" s="17">
        <v>6.6666666670000003</v>
      </c>
      <c r="G230" s="17">
        <f t="shared" si="23"/>
        <v>16</v>
      </c>
      <c r="H230" s="8">
        <v>1</v>
      </c>
      <c r="J230" t="str">
        <f t="shared" si="24"/>
        <v>NSP</v>
      </c>
      <c r="K230" t="str">
        <f t="shared" si="25"/>
        <v>Corporate</v>
      </c>
      <c r="L230" s="45">
        <f t="shared" si="26"/>
        <v>6.6666666669999999E-2</v>
      </c>
    </row>
    <row r="231" spans="2:12" x14ac:dyDescent="0.2">
      <c r="B231" s="32">
        <v>33</v>
      </c>
      <c r="C231" s="32" t="s">
        <v>53</v>
      </c>
      <c r="D231" s="32" t="s">
        <v>379</v>
      </c>
      <c r="E231" s="17" t="str">
        <f t="shared" si="22"/>
        <v>Corporate</v>
      </c>
      <c r="F231" s="17">
        <v>6.6666666670000003</v>
      </c>
      <c r="G231" s="17">
        <f t="shared" si="23"/>
        <v>16</v>
      </c>
      <c r="H231" s="8">
        <v>1</v>
      </c>
      <c r="J231" t="str">
        <f t="shared" si="24"/>
        <v>TF</v>
      </c>
      <c r="K231" t="str">
        <f t="shared" si="25"/>
        <v>Corporate</v>
      </c>
      <c r="L231" s="45">
        <f t="shared" si="26"/>
        <v>6.6666666669999999E-2</v>
      </c>
    </row>
    <row r="232" spans="2:12" x14ac:dyDescent="0.2">
      <c r="B232" s="32">
        <v>33</v>
      </c>
      <c r="C232" s="32" t="s">
        <v>55</v>
      </c>
      <c r="D232" s="32" t="s">
        <v>379</v>
      </c>
      <c r="E232" s="17" t="str">
        <f t="shared" si="22"/>
        <v>Corporate</v>
      </c>
      <c r="F232" s="17">
        <v>4.4444444446666669</v>
      </c>
      <c r="G232" s="17">
        <f t="shared" si="23"/>
        <v>16</v>
      </c>
      <c r="H232" s="8">
        <v>1</v>
      </c>
      <c r="J232" t="str">
        <f t="shared" si="24"/>
        <v>SSJ</v>
      </c>
      <c r="K232" t="str">
        <f t="shared" si="25"/>
        <v>Corporate</v>
      </c>
      <c r="L232" s="45">
        <f t="shared" si="26"/>
        <v>4.4444444446666669E-2</v>
      </c>
    </row>
    <row r="233" spans="2:12" x14ac:dyDescent="0.2">
      <c r="B233" s="32">
        <v>33</v>
      </c>
      <c r="C233" s="32" t="s">
        <v>896</v>
      </c>
      <c r="D233" s="32" t="s">
        <v>379</v>
      </c>
      <c r="E233" s="17" t="str">
        <f t="shared" si="22"/>
        <v>Corporate</v>
      </c>
      <c r="F233" s="17">
        <v>4.4444444446666669</v>
      </c>
      <c r="G233" s="17">
        <f t="shared" si="23"/>
        <v>16</v>
      </c>
      <c r="H233" s="8">
        <v>1</v>
      </c>
      <c r="J233" t="str">
        <f t="shared" si="24"/>
        <v>RC</v>
      </c>
      <c r="K233" t="str">
        <f t="shared" si="25"/>
        <v>Corporate</v>
      </c>
      <c r="L233" s="45">
        <f t="shared" si="26"/>
        <v>4.4444444446666669E-2</v>
      </c>
    </row>
    <row r="234" spans="2:12" x14ac:dyDescent="0.2">
      <c r="B234" s="32">
        <v>34</v>
      </c>
      <c r="C234" s="32" t="s">
        <v>9</v>
      </c>
      <c r="D234" s="32" t="s">
        <v>379</v>
      </c>
      <c r="E234" s="17" t="str">
        <f t="shared" si="22"/>
        <v>Technology</v>
      </c>
      <c r="F234" s="17">
        <v>40</v>
      </c>
      <c r="G234" s="17">
        <f t="shared" si="23"/>
        <v>5</v>
      </c>
      <c r="H234" s="8">
        <v>1</v>
      </c>
      <c r="J234" t="str">
        <f t="shared" si="24"/>
        <v>SI</v>
      </c>
      <c r="K234" t="str">
        <f t="shared" si="25"/>
        <v>Technology</v>
      </c>
      <c r="L234" s="45">
        <f t="shared" si="26"/>
        <v>0.4</v>
      </c>
    </row>
    <row r="235" spans="2:12" x14ac:dyDescent="0.2">
      <c r="B235" s="32">
        <v>35</v>
      </c>
      <c r="C235" s="32" t="s">
        <v>34</v>
      </c>
      <c r="D235" s="32" t="s">
        <v>379</v>
      </c>
      <c r="E235" s="17" t="str">
        <f t="shared" si="22"/>
        <v>Technology</v>
      </c>
      <c r="F235" s="17">
        <v>15</v>
      </c>
      <c r="G235" s="17">
        <f t="shared" si="23"/>
        <v>5</v>
      </c>
      <c r="H235" s="8">
        <v>1</v>
      </c>
      <c r="J235" t="str">
        <f t="shared" si="24"/>
        <v>BCTT</v>
      </c>
      <c r="K235" t="str">
        <f t="shared" si="25"/>
        <v>Technology</v>
      </c>
      <c r="L235" s="45">
        <f t="shared" si="26"/>
        <v>0.15</v>
      </c>
    </row>
    <row r="236" spans="2:12" x14ac:dyDescent="0.2">
      <c r="B236" s="32">
        <v>36</v>
      </c>
      <c r="C236" s="32" t="s">
        <v>58</v>
      </c>
      <c r="D236" s="32" t="s">
        <v>379</v>
      </c>
      <c r="E236" s="17" t="str">
        <f t="shared" si="22"/>
        <v>Technology</v>
      </c>
      <c r="F236" s="17">
        <v>15</v>
      </c>
      <c r="G236" s="17">
        <f t="shared" si="23"/>
        <v>5</v>
      </c>
      <c r="H236" s="8">
        <v>1</v>
      </c>
      <c r="J236" t="str">
        <f t="shared" si="24"/>
        <v>SI-PRD</v>
      </c>
      <c r="K236" t="str">
        <f t="shared" si="25"/>
        <v>Technology</v>
      </c>
      <c r="L236" s="45">
        <f t="shared" si="26"/>
        <v>0.15</v>
      </c>
    </row>
    <row r="237" spans="2:12" x14ac:dyDescent="0.2">
      <c r="B237" s="32">
        <v>37</v>
      </c>
      <c r="C237" s="32" t="s">
        <v>59</v>
      </c>
      <c r="D237" s="32" t="s">
        <v>379</v>
      </c>
      <c r="E237" s="17" t="str">
        <f t="shared" si="22"/>
        <v>Technology</v>
      </c>
      <c r="F237" s="17">
        <v>15</v>
      </c>
      <c r="G237" s="17">
        <f t="shared" si="23"/>
        <v>5</v>
      </c>
      <c r="H237" s="8">
        <v>1</v>
      </c>
      <c r="J237" t="str">
        <f t="shared" si="24"/>
        <v>SI-OPS</v>
      </c>
      <c r="K237" t="str">
        <f t="shared" si="25"/>
        <v>Technology</v>
      </c>
      <c r="L237" s="45">
        <f t="shared" si="26"/>
        <v>0.15</v>
      </c>
    </row>
    <row r="238" spans="2:12" x14ac:dyDescent="0.2">
      <c r="B238" s="32">
        <v>38</v>
      </c>
      <c r="C238" s="32" t="s">
        <v>60</v>
      </c>
      <c r="D238" s="32" t="s">
        <v>379</v>
      </c>
      <c r="E238" s="17" t="str">
        <f t="shared" si="22"/>
        <v>Technology</v>
      </c>
      <c r="F238" s="17">
        <v>15</v>
      </c>
      <c r="G238" s="17">
        <f t="shared" si="23"/>
        <v>5</v>
      </c>
      <c r="H238" s="8">
        <v>1</v>
      </c>
      <c r="J238" t="str">
        <f t="shared" si="24"/>
        <v>SI-CRP</v>
      </c>
      <c r="K238" t="str">
        <f t="shared" si="25"/>
        <v>Technology</v>
      </c>
      <c r="L238" s="45">
        <f t="shared" si="26"/>
        <v>0.15</v>
      </c>
    </row>
    <row r="239" spans="2:12" x14ac:dyDescent="0.2">
      <c r="B239" s="32">
        <v>39</v>
      </c>
      <c r="C239" s="32" t="s">
        <v>116</v>
      </c>
      <c r="D239" s="32" t="s">
        <v>379</v>
      </c>
      <c r="E239" s="17" t="str">
        <f t="shared" si="22"/>
        <v>Data &amp; AI</v>
      </c>
      <c r="F239" s="17">
        <v>100</v>
      </c>
      <c r="G239" s="17">
        <f t="shared" si="23"/>
        <v>1</v>
      </c>
      <c r="H239" s="8">
        <v>1</v>
      </c>
      <c r="J239" t="str">
        <f t="shared" si="24"/>
        <v>IAD</v>
      </c>
      <c r="K239" t="str">
        <f t="shared" si="25"/>
        <v>Data &amp; AI</v>
      </c>
      <c r="L239" s="45">
        <f t="shared" si="26"/>
        <v>1</v>
      </c>
    </row>
    <row r="240" spans="2:12" x14ac:dyDescent="0.2">
      <c r="B240" s="32">
        <v>40</v>
      </c>
      <c r="C240" s="32" t="s">
        <v>11</v>
      </c>
      <c r="D240" s="32" t="s">
        <v>379</v>
      </c>
      <c r="E240" s="17" t="str">
        <f t="shared" si="22"/>
        <v>CISO</v>
      </c>
      <c r="F240" s="17">
        <v>100</v>
      </c>
      <c r="G240" s="17">
        <f t="shared" si="23"/>
        <v>1</v>
      </c>
      <c r="H240" s="8">
        <v>1</v>
      </c>
      <c r="J240" t="str">
        <f t="shared" si="24"/>
        <v>CISO</v>
      </c>
      <c r="K240" t="str">
        <f t="shared" si="25"/>
        <v>CISO</v>
      </c>
      <c r="L240" s="45">
        <f t="shared" si="26"/>
        <v>1</v>
      </c>
    </row>
    <row r="241" spans="2:8" x14ac:dyDescent="0.2">
      <c r="B241">
        <v>1</v>
      </c>
      <c r="C241" t="s">
        <v>64</v>
      </c>
      <c r="D241" t="s">
        <v>381</v>
      </c>
      <c r="E241" s="17" t="str">
        <f t="shared" si="22"/>
        <v>Operations</v>
      </c>
      <c r="F241" s="17">
        <v>9.9999999999999995E-7</v>
      </c>
      <c r="G241" s="17">
        <f t="shared" si="23"/>
        <v>4</v>
      </c>
      <c r="H241" s="8">
        <v>1</v>
      </c>
    </row>
    <row r="242" spans="2:8" x14ac:dyDescent="0.2">
      <c r="B242">
        <v>2</v>
      </c>
      <c r="C242" t="s">
        <v>23</v>
      </c>
      <c r="D242" t="s">
        <v>381</v>
      </c>
      <c r="E242" s="17" t="str">
        <f t="shared" si="22"/>
        <v>Commercial</v>
      </c>
      <c r="F242" s="17">
        <v>9.9999999999999995E-7</v>
      </c>
      <c r="G242" s="17">
        <f t="shared" si="23"/>
        <v>12</v>
      </c>
      <c r="H242" s="8">
        <v>1</v>
      </c>
    </row>
    <row r="243" spans="2:8" x14ac:dyDescent="0.2">
      <c r="B243">
        <v>3</v>
      </c>
      <c r="C243" t="s">
        <v>69</v>
      </c>
      <c r="D243" t="s">
        <v>381</v>
      </c>
      <c r="E243" s="17" t="str">
        <f t="shared" si="22"/>
        <v>Corporate</v>
      </c>
      <c r="F243" s="17">
        <v>9.9999999999999995E-7</v>
      </c>
      <c r="G243" s="17">
        <f t="shared" si="23"/>
        <v>18</v>
      </c>
      <c r="H243" s="8">
        <v>1</v>
      </c>
    </row>
    <row r="244" spans="2:8" x14ac:dyDescent="0.2">
      <c r="B244">
        <v>4</v>
      </c>
      <c r="C244" t="s">
        <v>70</v>
      </c>
      <c r="D244" t="s">
        <v>381</v>
      </c>
      <c r="E244" s="17" t="str">
        <f t="shared" si="22"/>
        <v>Technology</v>
      </c>
      <c r="F244" s="17">
        <v>9.9999999999999995E-7</v>
      </c>
      <c r="G244" s="17">
        <f t="shared" si="23"/>
        <v>6</v>
      </c>
      <c r="H244" s="8">
        <v>1</v>
      </c>
    </row>
    <row r="245" spans="2:8" x14ac:dyDescent="0.2">
      <c r="B245">
        <v>5</v>
      </c>
      <c r="C245" t="s">
        <v>11</v>
      </c>
      <c r="D245" t="s">
        <v>381</v>
      </c>
      <c r="E245" s="17" t="str">
        <f t="shared" si="22"/>
        <v>CISO</v>
      </c>
      <c r="F245" s="17">
        <v>9.9999999999999995E-7</v>
      </c>
      <c r="G245" s="17">
        <f t="shared" si="23"/>
        <v>1</v>
      </c>
      <c r="H245" s="8">
        <v>1</v>
      </c>
    </row>
    <row r="246" spans="2:8" x14ac:dyDescent="0.2">
      <c r="B246">
        <v>6</v>
      </c>
      <c r="C246" t="s">
        <v>116</v>
      </c>
      <c r="D246" t="s">
        <v>381</v>
      </c>
      <c r="E246" s="17" t="str">
        <f t="shared" si="22"/>
        <v>Data &amp; AI</v>
      </c>
      <c r="F246" s="17">
        <v>9.9999999999999995E-7</v>
      </c>
      <c r="G246" s="17">
        <f t="shared" si="23"/>
        <v>1</v>
      </c>
      <c r="H246" s="8">
        <v>1</v>
      </c>
    </row>
    <row r="247" spans="2:8" x14ac:dyDescent="0.2">
      <c r="B247">
        <v>7</v>
      </c>
      <c r="C247" t="s">
        <v>37</v>
      </c>
      <c r="D247" t="s">
        <v>381</v>
      </c>
      <c r="E247" s="17" t="str">
        <f t="shared" si="22"/>
        <v>Commercial</v>
      </c>
      <c r="F247" s="17">
        <v>9.9999999999999995E-7</v>
      </c>
      <c r="G247" s="17">
        <f t="shared" si="23"/>
        <v>12</v>
      </c>
      <c r="H247" s="8">
        <v>1</v>
      </c>
    </row>
    <row r="248" spans="2:8" x14ac:dyDescent="0.2">
      <c r="B248">
        <v>8</v>
      </c>
      <c r="C248" t="s">
        <v>7</v>
      </c>
      <c r="D248" t="s">
        <v>381</v>
      </c>
      <c r="E248" s="17" t="str">
        <f t="shared" si="22"/>
        <v>Operations</v>
      </c>
      <c r="F248" s="17">
        <v>9.9999999999999995E-7</v>
      </c>
      <c r="G248" s="17">
        <f t="shared" si="23"/>
        <v>4</v>
      </c>
      <c r="H248" s="8">
        <v>1</v>
      </c>
    </row>
    <row r="249" spans="2:8" x14ac:dyDescent="0.2">
      <c r="B249">
        <v>9</v>
      </c>
      <c r="C249" t="s">
        <v>44</v>
      </c>
      <c r="D249" t="s">
        <v>381</v>
      </c>
      <c r="E249" s="17" t="str">
        <f t="shared" si="22"/>
        <v>Corporate</v>
      </c>
      <c r="F249" s="17">
        <v>9.9999999999999995E-7</v>
      </c>
      <c r="G249" s="17">
        <f t="shared" si="23"/>
        <v>18</v>
      </c>
      <c r="H249" s="8">
        <v>1</v>
      </c>
    </row>
    <row r="250" spans="2:8" x14ac:dyDescent="0.2">
      <c r="B250">
        <v>10</v>
      </c>
      <c r="C250" t="s">
        <v>9</v>
      </c>
      <c r="D250" t="s">
        <v>381</v>
      </c>
      <c r="E250" s="17" t="str">
        <f t="shared" si="22"/>
        <v>Technology</v>
      </c>
      <c r="F250" s="17">
        <v>9.9999999999999995E-7</v>
      </c>
      <c r="G250" s="17">
        <f t="shared" si="23"/>
        <v>6</v>
      </c>
      <c r="H250" s="8">
        <v>1</v>
      </c>
    </row>
    <row r="251" spans="2:8" x14ac:dyDescent="0.2">
      <c r="B251">
        <v>11</v>
      </c>
      <c r="C251" t="s">
        <v>65</v>
      </c>
      <c r="D251" t="s">
        <v>381</v>
      </c>
      <c r="E251" s="17" t="str">
        <f t="shared" si="22"/>
        <v>Commercial</v>
      </c>
      <c r="F251" s="17">
        <v>9.9999999999999995E-7</v>
      </c>
      <c r="G251" s="17">
        <f t="shared" si="23"/>
        <v>12</v>
      </c>
      <c r="H251" s="8">
        <v>1</v>
      </c>
    </row>
    <row r="252" spans="2:8" x14ac:dyDescent="0.2">
      <c r="B252">
        <v>12</v>
      </c>
      <c r="C252" t="s">
        <v>26</v>
      </c>
      <c r="D252" t="s">
        <v>381</v>
      </c>
      <c r="E252" s="17" t="str">
        <f t="shared" si="22"/>
        <v>Operations</v>
      </c>
      <c r="F252" s="17">
        <v>9.9999999999999995E-7</v>
      </c>
      <c r="G252" s="17">
        <f t="shared" si="23"/>
        <v>4</v>
      </c>
      <c r="H252" s="8">
        <v>1</v>
      </c>
    </row>
    <row r="253" spans="2:8" x14ac:dyDescent="0.2">
      <c r="B253">
        <v>13</v>
      </c>
      <c r="C253" t="s">
        <v>22</v>
      </c>
      <c r="D253" t="s">
        <v>381</v>
      </c>
      <c r="E253" s="17" t="str">
        <f t="shared" si="22"/>
        <v>Corporate</v>
      </c>
      <c r="F253" s="17">
        <v>9.9999999999999995E-7</v>
      </c>
      <c r="G253" s="17">
        <f t="shared" si="23"/>
        <v>18</v>
      </c>
      <c r="H253" s="8">
        <v>1</v>
      </c>
    </row>
    <row r="254" spans="2:8" x14ac:dyDescent="0.2">
      <c r="B254">
        <v>14</v>
      </c>
      <c r="C254" t="s">
        <v>59</v>
      </c>
      <c r="D254" t="s">
        <v>381</v>
      </c>
      <c r="E254" s="17" t="str">
        <f t="shared" si="22"/>
        <v>Technology</v>
      </c>
      <c r="F254" s="17">
        <v>9.9999999999999995E-7</v>
      </c>
      <c r="G254" s="17">
        <f t="shared" si="23"/>
        <v>6</v>
      </c>
      <c r="H254" s="8">
        <v>1</v>
      </c>
    </row>
    <row r="255" spans="2:8" x14ac:dyDescent="0.2">
      <c r="B255">
        <v>15</v>
      </c>
      <c r="C255" t="s">
        <v>66</v>
      </c>
      <c r="D255" t="s">
        <v>381</v>
      </c>
      <c r="E255" s="17" t="str">
        <f t="shared" si="22"/>
        <v>Commercial</v>
      </c>
      <c r="F255" s="17">
        <v>9.9999999999999995E-7</v>
      </c>
      <c r="G255" s="17">
        <f t="shared" si="23"/>
        <v>12</v>
      </c>
      <c r="H255" s="8">
        <v>1</v>
      </c>
    </row>
    <row r="256" spans="2:8" x14ac:dyDescent="0.2">
      <c r="B256">
        <v>17</v>
      </c>
      <c r="C256" t="s">
        <v>34</v>
      </c>
      <c r="D256" t="s">
        <v>381</v>
      </c>
      <c r="E256" s="17" t="str">
        <f t="shared" si="22"/>
        <v>Technology</v>
      </c>
      <c r="F256" s="17">
        <v>9.9999999999999995E-7</v>
      </c>
      <c r="G256" s="17">
        <f t="shared" si="23"/>
        <v>6</v>
      </c>
      <c r="H256" s="8">
        <v>1</v>
      </c>
    </row>
    <row r="257" spans="2:8" x14ac:dyDescent="0.2">
      <c r="B257">
        <v>18</v>
      </c>
      <c r="C257" t="s">
        <v>67</v>
      </c>
      <c r="D257" t="s">
        <v>381</v>
      </c>
      <c r="E257" s="17" t="str">
        <f t="shared" si="22"/>
        <v>Corporate</v>
      </c>
      <c r="F257" s="17">
        <v>9.9999999999999995E-7</v>
      </c>
      <c r="G257" s="17">
        <f t="shared" si="23"/>
        <v>18</v>
      </c>
      <c r="H257" s="8">
        <v>1</v>
      </c>
    </row>
    <row r="258" spans="2:8" x14ac:dyDescent="0.2">
      <c r="B258">
        <v>19</v>
      </c>
      <c r="C258" t="s">
        <v>58</v>
      </c>
      <c r="D258" t="s">
        <v>381</v>
      </c>
      <c r="E258" s="17" t="str">
        <f t="shared" si="22"/>
        <v>Technology</v>
      </c>
      <c r="F258" s="17">
        <v>9.9999999999999995E-7</v>
      </c>
      <c r="G258" s="17">
        <f t="shared" si="23"/>
        <v>6</v>
      </c>
      <c r="H258" s="8">
        <v>1</v>
      </c>
    </row>
    <row r="259" spans="2:8" x14ac:dyDescent="0.2">
      <c r="B259">
        <v>20</v>
      </c>
      <c r="C259" t="s">
        <v>68</v>
      </c>
      <c r="D259" t="s">
        <v>381</v>
      </c>
      <c r="E259" s="17" t="str">
        <f t="shared" si="22"/>
        <v>Commercial</v>
      </c>
      <c r="F259" s="17">
        <v>9.9999999999999995E-7</v>
      </c>
      <c r="G259" s="17">
        <f t="shared" si="23"/>
        <v>12</v>
      </c>
      <c r="H259" s="8">
        <v>1</v>
      </c>
    </row>
    <row r="260" spans="2:8" x14ac:dyDescent="0.2">
      <c r="B260">
        <v>21</v>
      </c>
      <c r="C260" t="s">
        <v>46</v>
      </c>
      <c r="D260" t="s">
        <v>381</v>
      </c>
      <c r="E260" s="17" t="str">
        <f t="shared" si="22"/>
        <v>Corporate</v>
      </c>
      <c r="F260" s="17">
        <v>9.9999999999999995E-7</v>
      </c>
      <c r="G260" s="17">
        <f t="shared" si="23"/>
        <v>18</v>
      </c>
      <c r="H260" s="8">
        <v>1</v>
      </c>
    </row>
    <row r="261" spans="2:8" x14ac:dyDescent="0.2">
      <c r="B261">
        <v>22</v>
      </c>
      <c r="C261" t="s">
        <v>42</v>
      </c>
      <c r="D261" t="s">
        <v>381</v>
      </c>
      <c r="E261" s="17" t="str">
        <f t="shared" si="22"/>
        <v>Operations</v>
      </c>
      <c r="F261" s="17">
        <v>9.9999999999999995E-7</v>
      </c>
      <c r="G261" s="17">
        <f t="shared" si="23"/>
        <v>4</v>
      </c>
      <c r="H261" s="8">
        <v>1</v>
      </c>
    </row>
    <row r="262" spans="2:8" x14ac:dyDescent="0.2">
      <c r="B262">
        <v>23</v>
      </c>
      <c r="C262" t="s">
        <v>36</v>
      </c>
      <c r="D262" t="s">
        <v>381</v>
      </c>
      <c r="E262" s="17" t="str">
        <f t="shared" si="22"/>
        <v>Commercial</v>
      </c>
      <c r="F262" s="17">
        <v>9.9999999999999995E-7</v>
      </c>
      <c r="G262" s="17">
        <f t="shared" si="23"/>
        <v>12</v>
      </c>
      <c r="H262" s="8">
        <v>1</v>
      </c>
    </row>
    <row r="263" spans="2:8" x14ac:dyDescent="0.2">
      <c r="B263">
        <v>24</v>
      </c>
      <c r="C263" t="s">
        <v>72</v>
      </c>
      <c r="D263" t="s">
        <v>381</v>
      </c>
      <c r="E263" s="17" t="str">
        <f t="shared" si="22"/>
        <v>Corporate</v>
      </c>
      <c r="F263" s="17">
        <v>9.9999999999999995E-7</v>
      </c>
      <c r="G263" s="17">
        <f t="shared" si="23"/>
        <v>18</v>
      </c>
      <c r="H263" s="8">
        <v>1</v>
      </c>
    </row>
    <row r="264" spans="2:8" x14ac:dyDescent="0.2">
      <c r="B264">
        <v>25</v>
      </c>
      <c r="C264" t="s">
        <v>60</v>
      </c>
      <c r="D264" t="s">
        <v>381</v>
      </c>
      <c r="E264" s="17" t="str">
        <f t="shared" si="22"/>
        <v>Technology</v>
      </c>
      <c r="F264" s="17">
        <v>9.9999999999999995E-7</v>
      </c>
      <c r="G264" s="17">
        <f t="shared" si="23"/>
        <v>6</v>
      </c>
      <c r="H264" s="8">
        <v>1</v>
      </c>
    </row>
    <row r="265" spans="2:8" x14ac:dyDescent="0.2">
      <c r="B265">
        <v>26</v>
      </c>
      <c r="C265" t="s">
        <v>38</v>
      </c>
      <c r="D265" t="s">
        <v>381</v>
      </c>
      <c r="E265" s="17" t="str">
        <f t="shared" si="22"/>
        <v>Commercial</v>
      </c>
      <c r="F265" s="17">
        <v>9.9999999999999995E-7</v>
      </c>
      <c r="G265" s="17">
        <f t="shared" si="23"/>
        <v>12</v>
      </c>
      <c r="H265" s="8">
        <v>1</v>
      </c>
    </row>
    <row r="266" spans="2:8" x14ac:dyDescent="0.2">
      <c r="B266">
        <v>27</v>
      </c>
      <c r="C266" t="s">
        <v>71</v>
      </c>
      <c r="D266" t="s">
        <v>381</v>
      </c>
      <c r="E266" s="17" t="str">
        <f t="shared" si="22"/>
        <v>Corporate</v>
      </c>
      <c r="F266" s="17">
        <v>9.9999999999999995E-7</v>
      </c>
      <c r="G266" s="17">
        <f t="shared" si="23"/>
        <v>18</v>
      </c>
      <c r="H266" s="8">
        <v>1</v>
      </c>
    </row>
    <row r="267" spans="2:8" x14ac:dyDescent="0.2">
      <c r="B267">
        <v>28</v>
      </c>
      <c r="C267" t="s">
        <v>21</v>
      </c>
      <c r="D267" t="s">
        <v>381</v>
      </c>
      <c r="E267" s="17" t="str">
        <f t="shared" si="22"/>
        <v>Commercial</v>
      </c>
      <c r="F267" s="17">
        <v>9.9999999999999995E-7</v>
      </c>
      <c r="G267" s="17">
        <f t="shared" si="23"/>
        <v>12</v>
      </c>
      <c r="H267" s="8">
        <v>1</v>
      </c>
    </row>
    <row r="268" spans="2:8" x14ac:dyDescent="0.2">
      <c r="B268">
        <v>29</v>
      </c>
      <c r="C268" t="s">
        <v>54</v>
      </c>
      <c r="D268" t="s">
        <v>381</v>
      </c>
      <c r="E268" s="17" t="str">
        <f t="shared" si="22"/>
        <v>Corporate</v>
      </c>
      <c r="F268" s="17">
        <v>9.9999999999999995E-7</v>
      </c>
      <c r="G268" s="17">
        <f t="shared" si="23"/>
        <v>18</v>
      </c>
      <c r="H268" s="8">
        <v>1</v>
      </c>
    </row>
    <row r="269" spans="2:8" x14ac:dyDescent="0.2">
      <c r="B269">
        <v>30</v>
      </c>
      <c r="C269" t="s">
        <v>25</v>
      </c>
      <c r="D269" t="s">
        <v>381</v>
      </c>
      <c r="E269" s="17" t="str">
        <f t="shared" si="22"/>
        <v>Commercial</v>
      </c>
      <c r="F269" s="17">
        <v>9.9999999999999995E-7</v>
      </c>
      <c r="G269" s="17">
        <f t="shared" si="23"/>
        <v>12</v>
      </c>
      <c r="H269" s="8">
        <v>1</v>
      </c>
    </row>
    <row r="270" spans="2:8" x14ac:dyDescent="0.2">
      <c r="B270">
        <v>31</v>
      </c>
      <c r="C270" t="s">
        <v>47</v>
      </c>
      <c r="D270" t="s">
        <v>381</v>
      </c>
      <c r="E270" s="17" t="str">
        <f t="shared" ref="E270:E282" si="27">VLOOKUP($C270,$AF:$AG,2,FALSE)</f>
        <v>Corporate</v>
      </c>
      <c r="F270" s="17">
        <v>9.9999999999999995E-7</v>
      </c>
      <c r="G270" s="17">
        <f t="shared" si="23"/>
        <v>18</v>
      </c>
      <c r="H270" s="8">
        <v>1</v>
      </c>
    </row>
    <row r="271" spans="2:8" x14ac:dyDescent="0.2">
      <c r="B271">
        <v>32</v>
      </c>
      <c r="C271" t="s">
        <v>24</v>
      </c>
      <c r="D271" t="s">
        <v>381</v>
      </c>
      <c r="E271" s="17" t="str">
        <f t="shared" si="27"/>
        <v>Commercial</v>
      </c>
      <c r="F271" s="17">
        <v>9.9999999999999995E-7</v>
      </c>
      <c r="G271" s="17">
        <f t="shared" ref="G271:G282" si="28">SUMIFS($H$2:$H$1003,$E$2:$E$1003,E271,$D$2:$D$1003,D271)</f>
        <v>12</v>
      </c>
      <c r="H271" s="8">
        <v>1</v>
      </c>
    </row>
    <row r="272" spans="2:8" x14ac:dyDescent="0.2">
      <c r="B272">
        <v>35</v>
      </c>
      <c r="C272" t="s">
        <v>35</v>
      </c>
      <c r="D272" t="s">
        <v>381</v>
      </c>
      <c r="E272" s="17" t="str">
        <f t="shared" si="27"/>
        <v>Corporate</v>
      </c>
      <c r="F272" s="17">
        <v>9.9999999999999995E-7</v>
      </c>
      <c r="G272" s="17">
        <f t="shared" si="28"/>
        <v>18</v>
      </c>
      <c r="H272" s="8">
        <v>1</v>
      </c>
    </row>
    <row r="273" spans="2:8" x14ac:dyDescent="0.2">
      <c r="B273">
        <v>36</v>
      </c>
      <c r="C273" t="s">
        <v>40</v>
      </c>
      <c r="D273" t="s">
        <v>381</v>
      </c>
      <c r="E273" s="17" t="str">
        <f t="shared" si="27"/>
        <v>Commercial</v>
      </c>
      <c r="F273" s="17">
        <v>9.9999999999999995E-7</v>
      </c>
      <c r="G273" s="17">
        <f t="shared" si="28"/>
        <v>12</v>
      </c>
      <c r="H273" s="8">
        <v>1</v>
      </c>
    </row>
    <row r="274" spans="2:8" x14ac:dyDescent="0.2">
      <c r="B274">
        <v>37</v>
      </c>
      <c r="C274" t="s">
        <v>98</v>
      </c>
      <c r="D274" t="s">
        <v>381</v>
      </c>
      <c r="E274" s="17" t="str">
        <f t="shared" si="27"/>
        <v>Corporate</v>
      </c>
      <c r="F274" s="17">
        <v>9.9999999999999995E-7</v>
      </c>
      <c r="G274" s="17">
        <f t="shared" si="28"/>
        <v>18</v>
      </c>
      <c r="H274" s="8">
        <v>1</v>
      </c>
    </row>
    <row r="275" spans="2:8" x14ac:dyDescent="0.2">
      <c r="B275">
        <v>38</v>
      </c>
      <c r="C275" t="s">
        <v>45</v>
      </c>
      <c r="D275" t="s">
        <v>381</v>
      </c>
      <c r="E275" s="17" t="str">
        <f t="shared" si="27"/>
        <v>Corporate</v>
      </c>
      <c r="F275" s="17">
        <v>9.9999999999999995E-7</v>
      </c>
      <c r="G275" s="17">
        <f t="shared" si="28"/>
        <v>18</v>
      </c>
      <c r="H275" s="8">
        <v>1</v>
      </c>
    </row>
    <row r="276" spans="2:8" x14ac:dyDescent="0.2">
      <c r="B276">
        <v>39</v>
      </c>
      <c r="C276" t="s">
        <v>51</v>
      </c>
      <c r="D276" t="s">
        <v>381</v>
      </c>
      <c r="E276" s="17" t="str">
        <f t="shared" si="27"/>
        <v>Corporate</v>
      </c>
      <c r="F276" s="17">
        <v>9.9999999999999995E-7</v>
      </c>
      <c r="G276" s="17">
        <f t="shared" si="28"/>
        <v>18</v>
      </c>
      <c r="H276" s="8">
        <v>1</v>
      </c>
    </row>
    <row r="277" spans="2:8" x14ac:dyDescent="0.2">
      <c r="B277">
        <v>40</v>
      </c>
      <c r="C277" t="s">
        <v>48</v>
      </c>
      <c r="D277" t="s">
        <v>381</v>
      </c>
      <c r="E277" s="17" t="str">
        <f t="shared" si="27"/>
        <v>Corporate</v>
      </c>
      <c r="F277" s="17">
        <v>9.9999999999999995E-7</v>
      </c>
      <c r="G277" s="17">
        <f t="shared" si="28"/>
        <v>18</v>
      </c>
      <c r="H277" s="8">
        <v>1</v>
      </c>
    </row>
    <row r="278" spans="2:8" x14ac:dyDescent="0.2">
      <c r="B278">
        <v>41</v>
      </c>
      <c r="C278" t="s">
        <v>50</v>
      </c>
      <c r="D278" t="s">
        <v>381</v>
      </c>
      <c r="E278" s="17" t="str">
        <f t="shared" si="27"/>
        <v>Corporate</v>
      </c>
      <c r="F278" s="17">
        <v>9.9999999999999995E-7</v>
      </c>
      <c r="G278" s="17">
        <f t="shared" si="28"/>
        <v>18</v>
      </c>
      <c r="H278" s="8">
        <v>1</v>
      </c>
    </row>
    <row r="279" spans="2:8" x14ac:dyDescent="0.2">
      <c r="B279">
        <v>42</v>
      </c>
      <c r="C279" t="s">
        <v>73</v>
      </c>
      <c r="D279" t="s">
        <v>381</v>
      </c>
      <c r="E279" s="17" t="str">
        <f t="shared" si="27"/>
        <v>Corporate</v>
      </c>
      <c r="F279" s="17">
        <v>9.9999999999999995E-7</v>
      </c>
      <c r="G279" s="17">
        <f t="shared" si="28"/>
        <v>18</v>
      </c>
      <c r="H279" s="8">
        <v>1</v>
      </c>
    </row>
    <row r="280" spans="2:8" x14ac:dyDescent="0.2">
      <c r="B280">
        <v>43</v>
      </c>
      <c r="C280" t="s">
        <v>56</v>
      </c>
      <c r="D280" t="s">
        <v>381</v>
      </c>
      <c r="E280" s="17" t="str">
        <f t="shared" si="27"/>
        <v>Corporate</v>
      </c>
      <c r="F280" s="17">
        <v>9.9999999999999995E-7</v>
      </c>
      <c r="G280" s="17">
        <f t="shared" si="28"/>
        <v>18</v>
      </c>
      <c r="H280" s="8">
        <v>1</v>
      </c>
    </row>
    <row r="281" spans="2:8" x14ac:dyDescent="0.2">
      <c r="B281">
        <v>44</v>
      </c>
      <c r="C281" t="s">
        <v>53</v>
      </c>
      <c r="D281" t="s">
        <v>381</v>
      </c>
      <c r="E281" s="17" t="str">
        <f t="shared" si="27"/>
        <v>Corporate</v>
      </c>
      <c r="F281" s="17">
        <v>9.9999999999999995E-7</v>
      </c>
      <c r="G281" s="17">
        <f t="shared" si="28"/>
        <v>18</v>
      </c>
      <c r="H281" s="8">
        <v>1</v>
      </c>
    </row>
    <row r="282" spans="2:8" x14ac:dyDescent="0.2">
      <c r="B282">
        <v>45</v>
      </c>
      <c r="C282" t="s">
        <v>39</v>
      </c>
      <c r="D282" t="s">
        <v>381</v>
      </c>
      <c r="E282" s="17" t="str">
        <f t="shared" si="27"/>
        <v>Commercial</v>
      </c>
      <c r="F282" s="17">
        <v>9.9999999999999995E-7</v>
      </c>
      <c r="G282" s="17">
        <f t="shared" si="28"/>
        <v>12</v>
      </c>
      <c r="H282" s="8">
        <v>1</v>
      </c>
    </row>
  </sheetData>
  <autoFilter ref="A2:AL282" xr:uid="{D521F980-2E5F-EC49-B62F-4F6A4A27A40F}"/>
  <conditionalFormatting sqref="H1:H1048576"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44">
    <cfRule type="notContainsText" dxfId="23" priority="1" operator="notContains" text="100">
      <formula>ISERROR(SEARCH("100",M3))</formula>
    </cfRule>
  </conditionalFormatting>
  <conditionalFormatting sqref="N3:N44">
    <cfRule type="colorScale" priority="3">
      <colorScale>
        <cfvo type="min"/>
        <cfvo type="max"/>
        <color rgb="FFFFEF9C"/>
        <color rgb="FF63BE7B"/>
      </colorScale>
    </cfRule>
  </conditionalFormatting>
  <conditionalFormatting sqref="O3:O44">
    <cfRule type="notContainsText" dxfId="22" priority="2" operator="notContains" text="100">
      <formula>ISERROR(SEARCH("100",O3))</formula>
    </cfRule>
  </conditionalFormatting>
  <conditionalFormatting sqref="P3:P44">
    <cfRule type="colorScale" priority="8">
      <colorScale>
        <cfvo type="min"/>
        <cfvo type="max"/>
        <color rgb="FFFFEF9C"/>
        <color rgb="FF63BE7B"/>
      </colorScale>
    </cfRule>
  </conditionalFormatting>
  <conditionalFormatting sqref="Q3:Q44 S3:S44">
    <cfRule type="notContainsText" dxfId="21" priority="6" operator="notContains" text="100">
      <formula>ISERROR(SEARCH("100",Q3))</formula>
    </cfRule>
  </conditionalFormatting>
  <conditionalFormatting sqref="R3:R44">
    <cfRule type="colorScale" priority="4">
      <colorScale>
        <cfvo type="min"/>
        <cfvo type="max"/>
        <color rgb="FFFFEF9C"/>
        <color rgb="FF63BE7B"/>
      </colorScale>
    </cfRule>
  </conditionalFormatting>
  <conditionalFormatting sqref="U35:U40">
    <cfRule type="colorScale" priority="5">
      <colorScale>
        <cfvo type="min"/>
        <cfvo type="max"/>
        <color rgb="FFFFEF9C"/>
        <color rgb="FF63BE7B"/>
      </colorScale>
    </cfRule>
  </conditionalFormatting>
  <conditionalFormatting sqref="W3">
    <cfRule type="notContainsText" dxfId="20" priority="7" operator="notContains" text="100">
      <formula>ISERROR(SEARCH("100",W3))</formula>
    </cfRule>
  </conditionalFormatting>
  <conditionalFormatting sqref="Z3:Z14">
    <cfRule type="colorScale" priority="12">
      <colorScale>
        <cfvo type="min"/>
        <cfvo type="max"/>
        <color rgb="FFFFEF9C"/>
        <color rgb="FF63BE7B"/>
      </colorScale>
    </cfRule>
    <cfRule type="cellIs" dxfId="19" priority="14" operator="equal">
      <formula>100</formula>
    </cfRule>
  </conditionalFormatting>
  <conditionalFormatting sqref="AC3:AC46">
    <cfRule type="colorScale" priority="11">
      <colorScale>
        <cfvo type="min"/>
        <cfvo type="max"/>
        <color rgb="FFFFEF9C"/>
        <color rgb="FF63BE7B"/>
      </colorScale>
    </cfRule>
    <cfRule type="cellIs" dxfId="18" priority="13" operator="equal">
      <formula>100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CFDD-B384-984B-8B8F-AC5660789CAC}">
  <dimension ref="A1:M927"/>
  <sheetViews>
    <sheetView workbookViewId="0">
      <pane ySplit="1" topLeftCell="A885" activePane="bottomLeft" state="frozen"/>
      <selection pane="bottomLeft" activeCell="O897" sqref="O897"/>
    </sheetView>
  </sheetViews>
  <sheetFormatPr baseColWidth="10" defaultRowHeight="16" x14ac:dyDescent="0.2"/>
  <cols>
    <col min="1" max="1" width="9.1640625" bestFit="1" customWidth="1"/>
    <col min="2" max="2" width="75.83203125" customWidth="1"/>
    <col min="3" max="3" width="16.33203125" bestFit="1" customWidth="1"/>
    <col min="4" max="4" width="22.83203125" bestFit="1" customWidth="1"/>
    <col min="5" max="5" width="14.33203125" bestFit="1" customWidth="1"/>
    <col min="6" max="6" width="20" bestFit="1" customWidth="1"/>
    <col min="7" max="7" width="11.6640625" bestFit="1" customWidth="1"/>
    <col min="8" max="8" width="8.1640625" bestFit="1" customWidth="1"/>
    <col min="9" max="9" width="10.1640625" bestFit="1" customWidth="1"/>
    <col min="10" max="11" width="7" bestFit="1" customWidth="1"/>
    <col min="12" max="12" width="16.5" bestFit="1" customWidth="1"/>
  </cols>
  <sheetData>
    <row r="1" spans="1:13" x14ac:dyDescent="0.2">
      <c r="A1" s="50" t="s">
        <v>27</v>
      </c>
      <c r="B1" s="50" t="s">
        <v>28</v>
      </c>
      <c r="C1" s="50" t="s">
        <v>2</v>
      </c>
      <c r="D1" s="50" t="s">
        <v>1532</v>
      </c>
      <c r="E1" s="50" t="s">
        <v>1</v>
      </c>
      <c r="F1" s="50" t="s">
        <v>88</v>
      </c>
      <c r="G1" s="50" t="s">
        <v>29</v>
      </c>
      <c r="H1" s="50" t="s">
        <v>30</v>
      </c>
      <c r="I1" s="50" t="s">
        <v>31</v>
      </c>
      <c r="J1" s="50" t="s">
        <v>32</v>
      </c>
      <c r="K1" s="50" t="s">
        <v>33</v>
      </c>
      <c r="L1" s="50" t="s">
        <v>0</v>
      </c>
      <c r="M1" s="50" t="s">
        <v>1662</v>
      </c>
    </row>
    <row r="2" spans="1:13" x14ac:dyDescent="0.2">
      <c r="A2" s="49">
        <v>140213</v>
      </c>
      <c r="B2" s="49" t="s">
        <v>1091</v>
      </c>
      <c r="C2" s="49" t="s">
        <v>7</v>
      </c>
      <c r="D2" s="49" t="s">
        <v>4</v>
      </c>
      <c r="E2" s="49" t="s">
        <v>6</v>
      </c>
      <c r="F2" s="49" t="s">
        <v>91</v>
      </c>
      <c r="G2" s="49">
        <v>18</v>
      </c>
      <c r="H2" s="49"/>
      <c r="I2" s="49"/>
      <c r="J2" s="49"/>
      <c r="K2" s="49"/>
      <c r="L2" s="49" t="s">
        <v>379</v>
      </c>
      <c r="M2" t="s">
        <v>1709</v>
      </c>
    </row>
    <row r="3" spans="1:13" x14ac:dyDescent="0.2">
      <c r="A3" s="49">
        <v>140064</v>
      </c>
      <c r="B3" s="49" t="s">
        <v>1533</v>
      </c>
      <c r="C3" s="49" t="s">
        <v>37</v>
      </c>
      <c r="D3" s="49" t="s">
        <v>15</v>
      </c>
      <c r="E3" s="49" t="s">
        <v>5</v>
      </c>
      <c r="F3" s="49" t="s">
        <v>91</v>
      </c>
      <c r="G3" s="49">
        <v>23</v>
      </c>
      <c r="H3" s="49">
        <v>2</v>
      </c>
      <c r="I3" s="49">
        <v>2</v>
      </c>
      <c r="J3" s="49">
        <v>2</v>
      </c>
      <c r="K3" s="49">
        <v>1</v>
      </c>
      <c r="L3" s="49" t="s">
        <v>379</v>
      </c>
      <c r="M3" t="s">
        <v>1709</v>
      </c>
    </row>
    <row r="4" spans="1:13" x14ac:dyDescent="0.2">
      <c r="A4" s="49">
        <v>139747</v>
      </c>
      <c r="B4" s="49" t="s">
        <v>1534</v>
      </c>
      <c r="C4" s="49" t="s">
        <v>24</v>
      </c>
      <c r="D4" s="49" t="s">
        <v>16</v>
      </c>
      <c r="E4" s="49" t="s">
        <v>8</v>
      </c>
      <c r="F4" s="49" t="s">
        <v>91</v>
      </c>
      <c r="G4" s="49">
        <v>16</v>
      </c>
      <c r="H4" s="49">
        <v>3</v>
      </c>
      <c r="I4" s="49">
        <v>1</v>
      </c>
      <c r="J4" s="49">
        <v>2</v>
      </c>
      <c r="K4" s="49">
        <v>2</v>
      </c>
      <c r="L4" s="49" t="s">
        <v>379</v>
      </c>
      <c r="M4" t="s">
        <v>1709</v>
      </c>
    </row>
    <row r="5" spans="1:13" x14ac:dyDescent="0.2">
      <c r="A5" s="49">
        <v>139693</v>
      </c>
      <c r="B5" s="49" t="s">
        <v>1535</v>
      </c>
      <c r="C5" s="49" t="s">
        <v>36</v>
      </c>
      <c r="D5" s="49" t="s">
        <v>15</v>
      </c>
      <c r="E5" s="49" t="s">
        <v>5</v>
      </c>
      <c r="F5" s="49" t="s">
        <v>91</v>
      </c>
      <c r="G5" s="49">
        <v>7</v>
      </c>
      <c r="H5" s="49"/>
      <c r="I5" s="49"/>
      <c r="J5" s="49"/>
      <c r="K5" s="49"/>
      <c r="L5" s="49" t="s">
        <v>379</v>
      </c>
      <c r="M5" t="s">
        <v>1709</v>
      </c>
    </row>
    <row r="6" spans="1:13" x14ac:dyDescent="0.2">
      <c r="A6" s="49">
        <v>139615</v>
      </c>
      <c r="B6" s="49" t="s">
        <v>1536</v>
      </c>
      <c r="C6" s="49" t="s">
        <v>26</v>
      </c>
      <c r="D6" s="49" t="s">
        <v>15</v>
      </c>
      <c r="E6" s="49" t="s">
        <v>6</v>
      </c>
      <c r="F6" s="49" t="s">
        <v>91</v>
      </c>
      <c r="G6" s="49">
        <v>1</v>
      </c>
      <c r="H6" s="49"/>
      <c r="I6" s="49"/>
      <c r="J6" s="49"/>
      <c r="K6" s="49"/>
      <c r="L6" s="49" t="s">
        <v>379</v>
      </c>
      <c r="M6" t="s">
        <v>1709</v>
      </c>
    </row>
    <row r="7" spans="1:13" x14ac:dyDescent="0.2">
      <c r="A7" s="49">
        <v>139369</v>
      </c>
      <c r="B7" s="49" t="s">
        <v>1143</v>
      </c>
      <c r="C7" s="49" t="s">
        <v>21</v>
      </c>
      <c r="D7" s="49" t="s">
        <v>15</v>
      </c>
      <c r="E7" s="49" t="s">
        <v>5</v>
      </c>
      <c r="F7" s="49" t="s">
        <v>91</v>
      </c>
      <c r="G7" s="49">
        <v>7</v>
      </c>
      <c r="H7" s="49"/>
      <c r="I7" s="49"/>
      <c r="J7" s="49"/>
      <c r="K7" s="49"/>
      <c r="L7" s="49" t="s">
        <v>379</v>
      </c>
      <c r="M7" t="s">
        <v>1709</v>
      </c>
    </row>
    <row r="8" spans="1:13" x14ac:dyDescent="0.2">
      <c r="A8" s="49">
        <v>139342</v>
      </c>
      <c r="B8" s="49" t="s">
        <v>1537</v>
      </c>
      <c r="C8" s="49" t="s">
        <v>59</v>
      </c>
      <c r="D8" s="49" t="s">
        <v>15</v>
      </c>
      <c r="E8" s="49" t="s">
        <v>8</v>
      </c>
      <c r="F8" s="49" t="s">
        <v>97</v>
      </c>
      <c r="G8" s="49">
        <v>4</v>
      </c>
      <c r="H8" s="49">
        <v>4</v>
      </c>
      <c r="I8" s="49">
        <v>3</v>
      </c>
      <c r="J8" s="49">
        <v>3</v>
      </c>
      <c r="K8" s="49">
        <v>3</v>
      </c>
      <c r="L8" s="49" t="s">
        <v>379</v>
      </c>
      <c r="M8" t="s">
        <v>1710</v>
      </c>
    </row>
    <row r="9" spans="1:13" x14ac:dyDescent="0.2">
      <c r="A9" s="49">
        <v>139339</v>
      </c>
      <c r="B9" s="49" t="s">
        <v>1538</v>
      </c>
      <c r="C9" s="49" t="s">
        <v>9</v>
      </c>
      <c r="D9" s="49" t="s">
        <v>15</v>
      </c>
      <c r="E9" s="49" t="s">
        <v>8</v>
      </c>
      <c r="F9" s="49" t="s">
        <v>95</v>
      </c>
      <c r="G9" s="49">
        <v>26</v>
      </c>
      <c r="H9" s="49">
        <v>4</v>
      </c>
      <c r="I9" s="49">
        <v>1</v>
      </c>
      <c r="J9" s="49">
        <v>2</v>
      </c>
      <c r="K9" s="49">
        <v>3</v>
      </c>
      <c r="L9" s="49" t="s">
        <v>379</v>
      </c>
      <c r="M9" t="s">
        <v>1709</v>
      </c>
    </row>
    <row r="10" spans="1:13" x14ac:dyDescent="0.2">
      <c r="A10" s="49">
        <v>139303</v>
      </c>
      <c r="B10" s="49" t="s">
        <v>1539</v>
      </c>
      <c r="C10" s="49" t="s">
        <v>9</v>
      </c>
      <c r="D10" s="49" t="s">
        <v>15</v>
      </c>
      <c r="E10" s="49" t="s">
        <v>8</v>
      </c>
      <c r="F10" s="49" t="s">
        <v>96</v>
      </c>
      <c r="G10" s="49">
        <v>25</v>
      </c>
      <c r="H10" s="49">
        <v>2</v>
      </c>
      <c r="I10" s="49">
        <v>1</v>
      </c>
      <c r="J10" s="49">
        <v>2</v>
      </c>
      <c r="K10" s="49">
        <v>1</v>
      </c>
      <c r="L10" s="49" t="s">
        <v>379</v>
      </c>
      <c r="M10" t="s">
        <v>1711</v>
      </c>
    </row>
    <row r="11" spans="1:13" x14ac:dyDescent="0.2">
      <c r="A11" s="49">
        <v>138855</v>
      </c>
      <c r="B11" s="49" t="s">
        <v>1540</v>
      </c>
      <c r="C11" s="49" t="s">
        <v>9</v>
      </c>
      <c r="D11" s="49" t="s">
        <v>15</v>
      </c>
      <c r="E11" s="49" t="s">
        <v>8</v>
      </c>
      <c r="F11" s="49" t="s">
        <v>95</v>
      </c>
      <c r="G11" s="49">
        <v>17</v>
      </c>
      <c r="H11" s="49"/>
      <c r="I11" s="49"/>
      <c r="J11" s="49"/>
      <c r="K11" s="49"/>
      <c r="L11" s="49" t="s">
        <v>379</v>
      </c>
      <c r="M11" t="s">
        <v>1709</v>
      </c>
    </row>
    <row r="12" spans="1:13" x14ac:dyDescent="0.2">
      <c r="A12" s="49">
        <v>138585</v>
      </c>
      <c r="B12" s="49" t="s">
        <v>1168</v>
      </c>
      <c r="C12" s="49" t="s">
        <v>23</v>
      </c>
      <c r="D12" s="49" t="s">
        <v>10</v>
      </c>
      <c r="E12" s="49" t="s">
        <v>5</v>
      </c>
      <c r="F12" s="49" t="s">
        <v>95</v>
      </c>
      <c r="G12" s="49">
        <v>8</v>
      </c>
      <c r="H12" s="49">
        <v>1</v>
      </c>
      <c r="I12" s="49">
        <v>1</v>
      </c>
      <c r="J12" s="49">
        <v>1</v>
      </c>
      <c r="K12" s="49">
        <v>2</v>
      </c>
      <c r="L12" s="49" t="s">
        <v>379</v>
      </c>
      <c r="M12" t="s">
        <v>1709</v>
      </c>
    </row>
    <row r="13" spans="1:13" x14ac:dyDescent="0.2">
      <c r="A13" s="49">
        <v>138559</v>
      </c>
      <c r="B13" s="49" t="s">
        <v>1095</v>
      </c>
      <c r="C13" s="49" t="s">
        <v>7</v>
      </c>
      <c r="D13" s="49" t="s">
        <v>15</v>
      </c>
      <c r="E13" s="49" t="s">
        <v>6</v>
      </c>
      <c r="F13" s="49" t="s">
        <v>91</v>
      </c>
      <c r="G13" s="49">
        <v>19</v>
      </c>
      <c r="H13" s="49"/>
      <c r="I13" s="49"/>
      <c r="J13" s="49"/>
      <c r="K13" s="49"/>
      <c r="L13" s="49" t="s">
        <v>379</v>
      </c>
      <c r="M13" t="s">
        <v>1709</v>
      </c>
    </row>
    <row r="14" spans="1:13" x14ac:dyDescent="0.2">
      <c r="A14" s="49">
        <v>138419</v>
      </c>
      <c r="B14" s="49" t="s">
        <v>1541</v>
      </c>
      <c r="C14" s="49" t="s">
        <v>23</v>
      </c>
      <c r="D14" s="49" t="s">
        <v>10</v>
      </c>
      <c r="E14" s="49" t="s">
        <v>5</v>
      </c>
      <c r="F14" s="49" t="s">
        <v>91</v>
      </c>
      <c r="G14" s="49">
        <v>12</v>
      </c>
      <c r="H14" s="49">
        <v>3</v>
      </c>
      <c r="I14" s="49">
        <v>1</v>
      </c>
      <c r="J14" s="49">
        <v>1</v>
      </c>
      <c r="K14" s="49"/>
      <c r="L14" s="49" t="s">
        <v>379</v>
      </c>
      <c r="M14" t="s">
        <v>1709</v>
      </c>
    </row>
    <row r="15" spans="1:13" x14ac:dyDescent="0.2">
      <c r="A15" s="49">
        <v>138084</v>
      </c>
      <c r="B15" s="49" t="s">
        <v>1542</v>
      </c>
      <c r="C15" s="49" t="s">
        <v>9</v>
      </c>
      <c r="D15" s="49" t="s">
        <v>10</v>
      </c>
      <c r="E15" s="49" t="s">
        <v>8</v>
      </c>
      <c r="F15" s="49" t="s">
        <v>93</v>
      </c>
      <c r="G15" s="49">
        <v>82</v>
      </c>
      <c r="H15" s="49"/>
      <c r="I15" s="49"/>
      <c r="J15" s="49"/>
      <c r="K15" s="49"/>
      <c r="L15" s="49" t="s">
        <v>379</v>
      </c>
      <c r="M15" t="s">
        <v>1709</v>
      </c>
    </row>
    <row r="16" spans="1:13" x14ac:dyDescent="0.2">
      <c r="A16" s="49">
        <v>137572</v>
      </c>
      <c r="B16" s="49" t="s">
        <v>1543</v>
      </c>
      <c r="C16" s="49" t="s">
        <v>9</v>
      </c>
      <c r="D16" s="49" t="s">
        <v>10</v>
      </c>
      <c r="E16" s="49" t="s">
        <v>8</v>
      </c>
      <c r="F16" s="49" t="s">
        <v>95</v>
      </c>
      <c r="G16" s="49">
        <v>83</v>
      </c>
      <c r="H16" s="49"/>
      <c r="I16" s="49"/>
      <c r="J16" s="49"/>
      <c r="K16" s="49"/>
      <c r="L16" s="49" t="s">
        <v>379</v>
      </c>
      <c r="M16" t="s">
        <v>1709</v>
      </c>
    </row>
    <row r="17" spans="1:13" x14ac:dyDescent="0.2">
      <c r="A17" s="49">
        <v>137551</v>
      </c>
      <c r="B17" s="49" t="s">
        <v>1407</v>
      </c>
      <c r="C17" s="49" t="s">
        <v>9</v>
      </c>
      <c r="D17" s="49" t="s">
        <v>10</v>
      </c>
      <c r="E17" s="49" t="s">
        <v>8</v>
      </c>
      <c r="F17" s="49" t="s">
        <v>95</v>
      </c>
      <c r="G17" s="49">
        <v>87</v>
      </c>
      <c r="H17" s="49"/>
      <c r="I17" s="49"/>
      <c r="J17" s="49"/>
      <c r="K17" s="49"/>
      <c r="L17" s="49" t="s">
        <v>379</v>
      </c>
      <c r="M17" t="s">
        <v>1709</v>
      </c>
    </row>
    <row r="18" spans="1:13" x14ac:dyDescent="0.2">
      <c r="A18" s="49">
        <v>137549</v>
      </c>
      <c r="B18" s="49" t="s">
        <v>1544</v>
      </c>
      <c r="C18" s="49" t="s">
        <v>9</v>
      </c>
      <c r="D18" s="49" t="s">
        <v>10</v>
      </c>
      <c r="E18" s="49" t="s">
        <v>8</v>
      </c>
      <c r="F18" s="49" t="s">
        <v>93</v>
      </c>
      <c r="G18" s="49">
        <v>89</v>
      </c>
      <c r="H18" s="49"/>
      <c r="I18" s="49"/>
      <c r="J18" s="49"/>
      <c r="K18" s="49"/>
      <c r="L18" s="49" t="s">
        <v>379</v>
      </c>
      <c r="M18" t="s">
        <v>1709</v>
      </c>
    </row>
    <row r="19" spans="1:13" x14ac:dyDescent="0.2">
      <c r="A19" s="49">
        <v>137512</v>
      </c>
      <c r="B19" s="49" t="s">
        <v>1545</v>
      </c>
      <c r="C19" s="49" t="s">
        <v>9</v>
      </c>
      <c r="D19" s="49" t="s">
        <v>15</v>
      </c>
      <c r="E19" s="49" t="s">
        <v>8</v>
      </c>
      <c r="F19" s="49" t="s">
        <v>97</v>
      </c>
      <c r="G19" s="49">
        <v>18</v>
      </c>
      <c r="H19" s="49"/>
      <c r="I19" s="49"/>
      <c r="J19" s="49"/>
      <c r="K19" s="49"/>
      <c r="L19" s="49" t="s">
        <v>379</v>
      </c>
      <c r="M19" t="s">
        <v>1711</v>
      </c>
    </row>
    <row r="20" spans="1:13" x14ac:dyDescent="0.2">
      <c r="A20" s="49">
        <v>137466</v>
      </c>
      <c r="B20" s="49" t="s">
        <v>1546</v>
      </c>
      <c r="C20" s="49" t="s">
        <v>24</v>
      </c>
      <c r="D20" s="49" t="s">
        <v>16</v>
      </c>
      <c r="E20" s="49" t="s">
        <v>8</v>
      </c>
      <c r="F20" s="49" t="s">
        <v>91</v>
      </c>
      <c r="G20" s="49">
        <v>15</v>
      </c>
      <c r="H20" s="49"/>
      <c r="I20" s="49"/>
      <c r="J20" s="49"/>
      <c r="K20" s="49"/>
      <c r="L20" s="49" t="s">
        <v>379</v>
      </c>
      <c r="M20" t="s">
        <v>1709</v>
      </c>
    </row>
    <row r="21" spans="1:13" x14ac:dyDescent="0.2">
      <c r="A21" s="49">
        <v>136994</v>
      </c>
      <c r="B21" s="49" t="s">
        <v>1547</v>
      </c>
      <c r="C21" s="49" t="s">
        <v>7</v>
      </c>
      <c r="D21" s="49" t="s">
        <v>15</v>
      </c>
      <c r="E21" s="49" t="s">
        <v>6</v>
      </c>
      <c r="F21" s="49" t="s">
        <v>91</v>
      </c>
      <c r="G21" s="52">
        <v>6</v>
      </c>
      <c r="H21" s="49"/>
      <c r="I21" s="49"/>
      <c r="J21" s="49"/>
      <c r="K21" s="49"/>
      <c r="L21" s="49" t="s">
        <v>379</v>
      </c>
      <c r="M21" t="s">
        <v>1709</v>
      </c>
    </row>
    <row r="22" spans="1:13" x14ac:dyDescent="0.2">
      <c r="A22" s="49">
        <v>136987</v>
      </c>
      <c r="B22" s="49" t="s">
        <v>989</v>
      </c>
      <c r="C22" s="49" t="s">
        <v>7</v>
      </c>
      <c r="D22" s="49" t="s">
        <v>15</v>
      </c>
      <c r="E22" s="49" t="s">
        <v>6</v>
      </c>
      <c r="F22" s="49" t="s">
        <v>91</v>
      </c>
      <c r="G22" s="52">
        <v>5</v>
      </c>
      <c r="H22" s="49"/>
      <c r="I22" s="49"/>
      <c r="J22" s="49"/>
      <c r="K22" s="49"/>
      <c r="L22" s="49" t="s">
        <v>379</v>
      </c>
      <c r="M22" t="s">
        <v>1709</v>
      </c>
    </row>
    <row r="23" spans="1:13" x14ac:dyDescent="0.2">
      <c r="A23" s="49">
        <v>136984</v>
      </c>
      <c r="B23" s="49" t="s">
        <v>1548</v>
      </c>
      <c r="C23" s="49" t="s">
        <v>7</v>
      </c>
      <c r="D23" s="49" t="s">
        <v>15</v>
      </c>
      <c r="E23" s="49" t="s">
        <v>6</v>
      </c>
      <c r="F23" s="49" t="s">
        <v>91</v>
      </c>
      <c r="G23" s="52">
        <v>4</v>
      </c>
      <c r="H23" s="49"/>
      <c r="I23" s="49"/>
      <c r="J23" s="49"/>
      <c r="K23" s="49"/>
      <c r="L23" s="49" t="s">
        <v>379</v>
      </c>
      <c r="M23" t="s">
        <v>1712</v>
      </c>
    </row>
    <row r="24" spans="1:13" x14ac:dyDescent="0.2">
      <c r="A24" s="49">
        <v>136982</v>
      </c>
      <c r="B24" s="49" t="s">
        <v>1549</v>
      </c>
      <c r="C24" s="49" t="s">
        <v>7</v>
      </c>
      <c r="D24" s="49" t="s">
        <v>15</v>
      </c>
      <c r="E24" s="49" t="s">
        <v>6</v>
      </c>
      <c r="F24" s="49" t="s">
        <v>91</v>
      </c>
      <c r="G24" s="52">
        <v>3</v>
      </c>
      <c r="H24" s="49"/>
      <c r="I24" s="49"/>
      <c r="J24" s="49"/>
      <c r="K24" s="49"/>
      <c r="L24" s="49" t="s">
        <v>379</v>
      </c>
      <c r="M24" t="s">
        <v>1712</v>
      </c>
    </row>
    <row r="25" spans="1:13" x14ac:dyDescent="0.2">
      <c r="A25" s="49">
        <v>136621</v>
      </c>
      <c r="B25" s="49" t="s">
        <v>1550</v>
      </c>
      <c r="C25" s="49" t="s">
        <v>24</v>
      </c>
      <c r="D25" s="49" t="s">
        <v>16</v>
      </c>
      <c r="E25" s="49" t="s">
        <v>5</v>
      </c>
      <c r="F25" s="49" t="s">
        <v>91</v>
      </c>
      <c r="G25" s="49">
        <v>14</v>
      </c>
      <c r="H25" s="49"/>
      <c r="I25" s="49"/>
      <c r="J25" s="49"/>
      <c r="K25" s="49"/>
      <c r="L25" s="49" t="s">
        <v>379</v>
      </c>
      <c r="M25" t="s">
        <v>1709</v>
      </c>
    </row>
    <row r="26" spans="1:13" x14ac:dyDescent="0.2">
      <c r="A26" s="49">
        <v>136320</v>
      </c>
      <c r="B26" s="49" t="s">
        <v>1384</v>
      </c>
      <c r="C26" s="49" t="s">
        <v>21</v>
      </c>
      <c r="D26" s="49" t="s">
        <v>15</v>
      </c>
      <c r="E26" s="49" t="s">
        <v>5</v>
      </c>
      <c r="F26" s="49" t="s">
        <v>91</v>
      </c>
      <c r="G26" s="49">
        <v>25</v>
      </c>
      <c r="H26" s="49">
        <v>3</v>
      </c>
      <c r="I26" s="49">
        <v>3</v>
      </c>
      <c r="J26" s="49">
        <v>4</v>
      </c>
      <c r="K26" s="49">
        <v>2</v>
      </c>
      <c r="L26" s="49" t="s">
        <v>379</v>
      </c>
      <c r="M26" t="s">
        <v>1709</v>
      </c>
    </row>
    <row r="27" spans="1:13" x14ac:dyDescent="0.2">
      <c r="A27" s="49">
        <v>135540</v>
      </c>
      <c r="B27" s="49" t="s">
        <v>1405</v>
      </c>
      <c r="C27" s="49" t="s">
        <v>21</v>
      </c>
      <c r="D27" s="49" t="s">
        <v>4</v>
      </c>
      <c r="E27" s="49" t="s">
        <v>5</v>
      </c>
      <c r="F27" s="49" t="s">
        <v>94</v>
      </c>
      <c r="G27" s="49">
        <v>27</v>
      </c>
      <c r="H27" s="49">
        <v>2</v>
      </c>
      <c r="I27" s="49">
        <v>2</v>
      </c>
      <c r="J27" s="49">
        <v>2</v>
      </c>
      <c r="K27" s="49">
        <v>2</v>
      </c>
      <c r="L27" s="49" t="s">
        <v>379</v>
      </c>
      <c r="M27" t="s">
        <v>1713</v>
      </c>
    </row>
    <row r="28" spans="1:13" x14ac:dyDescent="0.2">
      <c r="A28" s="49">
        <v>135537</v>
      </c>
      <c r="B28" s="49" t="s">
        <v>1416</v>
      </c>
      <c r="C28" s="49" t="s">
        <v>21</v>
      </c>
      <c r="D28" s="49" t="s">
        <v>4</v>
      </c>
      <c r="E28" s="49" t="s">
        <v>5</v>
      </c>
      <c r="F28" s="49" t="s">
        <v>94</v>
      </c>
      <c r="G28" s="49">
        <v>28</v>
      </c>
      <c r="H28" s="49">
        <v>3</v>
      </c>
      <c r="I28" s="49">
        <v>2</v>
      </c>
      <c r="J28" s="49">
        <v>2</v>
      </c>
      <c r="K28" s="49">
        <v>2</v>
      </c>
      <c r="L28" s="49" t="s">
        <v>379</v>
      </c>
      <c r="M28" t="s">
        <v>1714</v>
      </c>
    </row>
    <row r="29" spans="1:13" x14ac:dyDescent="0.2">
      <c r="A29" s="49">
        <v>135529</v>
      </c>
      <c r="B29" s="49" t="s">
        <v>1420</v>
      </c>
      <c r="C29" s="49" t="s">
        <v>21</v>
      </c>
      <c r="D29" s="49" t="s">
        <v>4</v>
      </c>
      <c r="E29" s="49" t="s">
        <v>5</v>
      </c>
      <c r="F29" s="49" t="s">
        <v>94</v>
      </c>
      <c r="G29" s="49">
        <v>29</v>
      </c>
      <c r="H29" s="49">
        <v>3</v>
      </c>
      <c r="I29" s="49">
        <v>2</v>
      </c>
      <c r="J29" s="49">
        <v>2</v>
      </c>
      <c r="K29" s="49">
        <v>2</v>
      </c>
      <c r="L29" s="49" t="s">
        <v>379</v>
      </c>
      <c r="M29" t="s">
        <v>1715</v>
      </c>
    </row>
    <row r="30" spans="1:13" x14ac:dyDescent="0.2">
      <c r="A30" s="49">
        <v>135525</v>
      </c>
      <c r="B30" s="49" t="s">
        <v>1426</v>
      </c>
      <c r="C30" s="49" t="s">
        <v>21</v>
      </c>
      <c r="D30" s="49" t="s">
        <v>4</v>
      </c>
      <c r="E30" s="49" t="s">
        <v>5</v>
      </c>
      <c r="F30" s="49" t="s">
        <v>94</v>
      </c>
      <c r="G30" s="49">
        <v>30</v>
      </c>
      <c r="H30" s="49">
        <v>3</v>
      </c>
      <c r="I30" s="49">
        <v>2</v>
      </c>
      <c r="J30" s="49">
        <v>3</v>
      </c>
      <c r="K30" s="49">
        <v>2</v>
      </c>
      <c r="L30" s="49" t="s">
        <v>379</v>
      </c>
      <c r="M30" t="s">
        <v>1716</v>
      </c>
    </row>
    <row r="31" spans="1:13" x14ac:dyDescent="0.2">
      <c r="A31" s="49">
        <v>135517</v>
      </c>
      <c r="B31" s="49" t="s">
        <v>1551</v>
      </c>
      <c r="C31" s="49" t="s">
        <v>9</v>
      </c>
      <c r="D31" s="49" t="s">
        <v>15</v>
      </c>
      <c r="E31" s="49" t="s">
        <v>8</v>
      </c>
      <c r="F31" s="49" t="s">
        <v>91</v>
      </c>
      <c r="G31" s="49">
        <v>2</v>
      </c>
      <c r="H31" s="49"/>
      <c r="I31" s="49"/>
      <c r="J31" s="49"/>
      <c r="K31" s="49"/>
      <c r="L31" s="49" t="s">
        <v>379</v>
      </c>
      <c r="M31" t="s">
        <v>1709</v>
      </c>
    </row>
    <row r="32" spans="1:13" x14ac:dyDescent="0.2">
      <c r="A32" s="49">
        <v>135317</v>
      </c>
      <c r="B32" s="49" t="s">
        <v>144</v>
      </c>
      <c r="C32" s="49" t="s">
        <v>47</v>
      </c>
      <c r="D32" s="49" t="s">
        <v>15</v>
      </c>
      <c r="E32" s="49" t="s">
        <v>12</v>
      </c>
      <c r="F32" s="49" t="s">
        <v>95</v>
      </c>
      <c r="G32" s="49">
        <v>1</v>
      </c>
      <c r="H32" s="49">
        <v>2</v>
      </c>
      <c r="I32" s="49">
        <v>2</v>
      </c>
      <c r="J32" s="49">
        <v>1</v>
      </c>
      <c r="K32" s="49">
        <v>2</v>
      </c>
      <c r="L32" s="49" t="s">
        <v>379</v>
      </c>
      <c r="M32" t="s">
        <v>1717</v>
      </c>
    </row>
    <row r="33" spans="1:13" x14ac:dyDescent="0.2">
      <c r="A33" s="49">
        <v>135288</v>
      </c>
      <c r="B33" s="49" t="s">
        <v>676</v>
      </c>
      <c r="C33" s="49" t="s">
        <v>21</v>
      </c>
      <c r="D33" s="49" t="s">
        <v>4</v>
      </c>
      <c r="E33" s="49" t="s">
        <v>5</v>
      </c>
      <c r="F33" s="49" t="s">
        <v>95</v>
      </c>
      <c r="G33" s="49">
        <v>4</v>
      </c>
      <c r="H33" s="49"/>
      <c r="I33" s="49"/>
      <c r="J33" s="49"/>
      <c r="K33" s="49"/>
      <c r="L33" s="49" t="s">
        <v>379</v>
      </c>
      <c r="M33" t="s">
        <v>1718</v>
      </c>
    </row>
    <row r="34" spans="1:13" x14ac:dyDescent="0.2">
      <c r="A34" s="49">
        <v>135004</v>
      </c>
      <c r="B34" s="49" t="s">
        <v>677</v>
      </c>
      <c r="C34" s="49" t="s">
        <v>9</v>
      </c>
      <c r="D34" s="49" t="s">
        <v>15</v>
      </c>
      <c r="E34" s="49" t="s">
        <v>8</v>
      </c>
      <c r="F34" s="49" t="s">
        <v>94</v>
      </c>
      <c r="G34" s="49">
        <v>81</v>
      </c>
      <c r="H34" s="49">
        <v>3</v>
      </c>
      <c r="I34" s="49">
        <v>4</v>
      </c>
      <c r="J34" s="49">
        <v>1</v>
      </c>
      <c r="K34" s="49">
        <v>1</v>
      </c>
      <c r="L34" s="49" t="s">
        <v>379</v>
      </c>
      <c r="M34" t="s">
        <v>1719</v>
      </c>
    </row>
    <row r="35" spans="1:13" x14ac:dyDescent="0.2">
      <c r="A35" s="49">
        <v>134997</v>
      </c>
      <c r="B35" s="49" t="s">
        <v>678</v>
      </c>
      <c r="C35" s="49" t="s">
        <v>21</v>
      </c>
      <c r="D35" s="49" t="s">
        <v>4</v>
      </c>
      <c r="E35" s="49" t="s">
        <v>5</v>
      </c>
      <c r="F35" s="49" t="s">
        <v>95</v>
      </c>
      <c r="G35" s="49">
        <v>2</v>
      </c>
      <c r="H35" s="49"/>
      <c r="I35" s="49"/>
      <c r="J35" s="49"/>
      <c r="K35" s="49"/>
      <c r="L35" s="49" t="s">
        <v>379</v>
      </c>
      <c r="M35" t="s">
        <v>1720</v>
      </c>
    </row>
    <row r="36" spans="1:13" x14ac:dyDescent="0.2">
      <c r="A36" s="49">
        <v>134943</v>
      </c>
      <c r="B36" s="49" t="s">
        <v>679</v>
      </c>
      <c r="C36" s="49" t="s">
        <v>21</v>
      </c>
      <c r="D36" s="49" t="s">
        <v>15</v>
      </c>
      <c r="E36" s="49" t="s">
        <v>5</v>
      </c>
      <c r="F36" s="49" t="s">
        <v>130</v>
      </c>
      <c r="G36" s="49">
        <v>5</v>
      </c>
      <c r="H36" s="49">
        <v>4</v>
      </c>
      <c r="I36" s="49"/>
      <c r="J36" s="49">
        <v>3</v>
      </c>
      <c r="K36" s="49">
        <v>3</v>
      </c>
      <c r="L36" s="49" t="s">
        <v>379</v>
      </c>
      <c r="M36" t="s">
        <v>1721</v>
      </c>
    </row>
    <row r="37" spans="1:13" x14ac:dyDescent="0.2">
      <c r="A37" s="49">
        <v>134832</v>
      </c>
      <c r="B37" s="49" t="s">
        <v>680</v>
      </c>
      <c r="C37" s="49" t="s">
        <v>59</v>
      </c>
      <c r="D37" s="49" t="s">
        <v>10</v>
      </c>
      <c r="E37" s="49" t="s">
        <v>8</v>
      </c>
      <c r="F37" s="49" t="s">
        <v>95</v>
      </c>
      <c r="G37" s="49">
        <v>6</v>
      </c>
      <c r="H37" s="49"/>
      <c r="I37" s="49">
        <v>3</v>
      </c>
      <c r="J37" s="49">
        <v>4</v>
      </c>
      <c r="K37" s="49">
        <v>2</v>
      </c>
      <c r="L37" s="49" t="s">
        <v>379</v>
      </c>
      <c r="M37" t="s">
        <v>1722</v>
      </c>
    </row>
    <row r="38" spans="1:13" x14ac:dyDescent="0.2">
      <c r="A38" s="49">
        <v>134801</v>
      </c>
      <c r="B38" s="49" t="s">
        <v>681</v>
      </c>
      <c r="C38" s="49" t="s">
        <v>23</v>
      </c>
      <c r="D38" s="49" t="s">
        <v>10</v>
      </c>
      <c r="E38" s="49" t="s">
        <v>5</v>
      </c>
      <c r="F38" s="49" t="s">
        <v>91</v>
      </c>
      <c r="G38" s="49">
        <v>19</v>
      </c>
      <c r="H38" s="49"/>
      <c r="I38" s="49"/>
      <c r="J38" s="49"/>
      <c r="K38" s="49"/>
      <c r="L38" s="49" t="s">
        <v>379</v>
      </c>
      <c r="M38" t="s">
        <v>1723</v>
      </c>
    </row>
    <row r="39" spans="1:13" x14ac:dyDescent="0.2">
      <c r="A39" s="49">
        <v>134587</v>
      </c>
      <c r="B39" s="49" t="s">
        <v>682</v>
      </c>
      <c r="C39" s="49" t="s">
        <v>34</v>
      </c>
      <c r="D39" s="49" t="s">
        <v>15</v>
      </c>
      <c r="E39" s="49" t="s">
        <v>8</v>
      </c>
      <c r="F39" s="49" t="s">
        <v>130</v>
      </c>
      <c r="G39" s="49">
        <v>1</v>
      </c>
      <c r="H39" s="49">
        <v>3</v>
      </c>
      <c r="I39" s="49"/>
      <c r="J39" s="49">
        <v>2</v>
      </c>
      <c r="K39" s="49">
        <v>1</v>
      </c>
      <c r="L39" s="49" t="s">
        <v>379</v>
      </c>
      <c r="M39" t="s">
        <v>1724</v>
      </c>
    </row>
    <row r="40" spans="1:13" x14ac:dyDescent="0.2">
      <c r="A40" s="49">
        <v>134357</v>
      </c>
      <c r="B40" s="49" t="s">
        <v>372</v>
      </c>
      <c r="C40" s="49" t="s">
        <v>9</v>
      </c>
      <c r="D40" s="49" t="s">
        <v>15</v>
      </c>
      <c r="E40" s="49" t="s">
        <v>8</v>
      </c>
      <c r="F40" s="49" t="s">
        <v>94</v>
      </c>
      <c r="G40" s="49">
        <v>5</v>
      </c>
      <c r="H40" s="49">
        <v>4</v>
      </c>
      <c r="I40" s="49">
        <v>3</v>
      </c>
      <c r="J40" s="49">
        <v>3</v>
      </c>
      <c r="K40" s="49">
        <v>2</v>
      </c>
      <c r="L40" s="49" t="s">
        <v>379</v>
      </c>
      <c r="M40" t="s">
        <v>1725</v>
      </c>
    </row>
    <row r="41" spans="1:13" x14ac:dyDescent="0.2">
      <c r="A41" s="49">
        <v>133856</v>
      </c>
      <c r="B41" s="49" t="s">
        <v>1069</v>
      </c>
      <c r="C41" s="49" t="s">
        <v>53</v>
      </c>
      <c r="D41" s="49" t="s">
        <v>10</v>
      </c>
      <c r="E41" s="49" t="s">
        <v>12</v>
      </c>
      <c r="F41" s="49" t="s">
        <v>91</v>
      </c>
      <c r="G41" s="49">
        <v>3</v>
      </c>
      <c r="H41" s="49">
        <v>1</v>
      </c>
      <c r="I41" s="49"/>
      <c r="J41" s="49"/>
      <c r="K41" s="49"/>
      <c r="L41" s="49" t="s">
        <v>379</v>
      </c>
      <c r="M41" t="s">
        <v>1709</v>
      </c>
    </row>
    <row r="42" spans="1:13" x14ac:dyDescent="0.2">
      <c r="A42" s="49">
        <v>133470</v>
      </c>
      <c r="B42" s="49" t="s">
        <v>138</v>
      </c>
      <c r="C42" s="49" t="s">
        <v>21</v>
      </c>
      <c r="D42" s="49" t="s">
        <v>4</v>
      </c>
      <c r="E42" s="49" t="s">
        <v>5</v>
      </c>
      <c r="F42" s="49" t="s">
        <v>91</v>
      </c>
      <c r="G42" s="49">
        <v>8</v>
      </c>
      <c r="H42" s="49"/>
      <c r="I42" s="49"/>
      <c r="J42" s="49"/>
      <c r="K42" s="49"/>
      <c r="L42" s="49" t="s">
        <v>379</v>
      </c>
      <c r="M42" t="s">
        <v>1726</v>
      </c>
    </row>
    <row r="43" spans="1:13" x14ac:dyDescent="0.2">
      <c r="A43" s="49">
        <v>133251</v>
      </c>
      <c r="B43" s="49" t="s">
        <v>931</v>
      </c>
      <c r="C43" s="49" t="s">
        <v>24</v>
      </c>
      <c r="D43" s="49" t="s">
        <v>16</v>
      </c>
      <c r="E43" s="49" t="s">
        <v>5</v>
      </c>
      <c r="F43" s="49" t="s">
        <v>354</v>
      </c>
      <c r="G43" s="49">
        <v>17</v>
      </c>
      <c r="H43" s="49">
        <v>5</v>
      </c>
      <c r="I43" s="49">
        <v>2</v>
      </c>
      <c r="J43" s="49">
        <v>1</v>
      </c>
      <c r="K43" s="49">
        <v>2</v>
      </c>
      <c r="L43" s="49" t="s">
        <v>379</v>
      </c>
      <c r="M43" t="s">
        <v>1727</v>
      </c>
    </row>
    <row r="44" spans="1:13" x14ac:dyDescent="0.2">
      <c r="A44" s="49">
        <v>133243</v>
      </c>
      <c r="B44" s="49" t="s">
        <v>683</v>
      </c>
      <c r="C44" s="49" t="s">
        <v>37</v>
      </c>
      <c r="D44" s="49" t="s">
        <v>15</v>
      </c>
      <c r="E44" s="49" t="s">
        <v>5</v>
      </c>
      <c r="F44" s="49" t="s">
        <v>91</v>
      </c>
      <c r="G44" s="49">
        <v>25</v>
      </c>
      <c r="H44" s="49"/>
      <c r="I44" s="49"/>
      <c r="J44" s="49"/>
      <c r="K44" s="49"/>
      <c r="L44" s="49" t="s">
        <v>379</v>
      </c>
      <c r="M44" t="s">
        <v>1728</v>
      </c>
    </row>
    <row r="45" spans="1:13" x14ac:dyDescent="0.2">
      <c r="A45" s="49">
        <v>132957</v>
      </c>
      <c r="B45" s="49" t="s">
        <v>192</v>
      </c>
      <c r="C45" s="49" t="s">
        <v>9</v>
      </c>
      <c r="D45" s="49" t="s">
        <v>15</v>
      </c>
      <c r="E45" s="49" t="s">
        <v>8</v>
      </c>
      <c r="F45" s="49" t="s">
        <v>91</v>
      </c>
      <c r="G45" s="49">
        <v>8</v>
      </c>
      <c r="H45" s="49"/>
      <c r="I45" s="49"/>
      <c r="J45" s="49"/>
      <c r="K45" s="49"/>
      <c r="L45" s="49" t="s">
        <v>379</v>
      </c>
      <c r="M45" t="s">
        <v>1729</v>
      </c>
    </row>
    <row r="46" spans="1:13" x14ac:dyDescent="0.2">
      <c r="A46" s="49">
        <v>132956</v>
      </c>
      <c r="B46" s="49" t="s">
        <v>287</v>
      </c>
      <c r="C46" s="49" t="s">
        <v>9</v>
      </c>
      <c r="D46" s="49" t="s">
        <v>15</v>
      </c>
      <c r="E46" s="49" t="s">
        <v>8</v>
      </c>
      <c r="F46" s="49" t="s">
        <v>97</v>
      </c>
      <c r="G46" s="49">
        <v>12</v>
      </c>
      <c r="H46" s="49"/>
      <c r="I46" s="49"/>
      <c r="J46" s="49"/>
      <c r="K46" s="49"/>
      <c r="L46" s="49" t="s">
        <v>379</v>
      </c>
      <c r="M46" t="s">
        <v>1730</v>
      </c>
    </row>
    <row r="47" spans="1:13" x14ac:dyDescent="0.2">
      <c r="A47" s="49">
        <v>132425</v>
      </c>
      <c r="B47" s="49" t="s">
        <v>1613</v>
      </c>
      <c r="C47" s="49" t="s">
        <v>21</v>
      </c>
      <c r="D47" s="49" t="s">
        <v>15</v>
      </c>
      <c r="E47" s="49" t="s">
        <v>5</v>
      </c>
      <c r="F47" s="49" t="s">
        <v>95</v>
      </c>
      <c r="G47" s="49">
        <v>21</v>
      </c>
      <c r="H47" s="49">
        <v>3</v>
      </c>
      <c r="I47" s="49">
        <v>3</v>
      </c>
      <c r="J47" s="49">
        <v>3</v>
      </c>
      <c r="K47" s="49">
        <v>2</v>
      </c>
      <c r="L47" s="49" t="s">
        <v>379</v>
      </c>
      <c r="M47" t="s">
        <v>1731</v>
      </c>
    </row>
    <row r="48" spans="1:13" x14ac:dyDescent="0.2">
      <c r="A48" s="49">
        <v>132298</v>
      </c>
      <c r="B48" s="49" t="s">
        <v>684</v>
      </c>
      <c r="C48" s="49" t="s">
        <v>9</v>
      </c>
      <c r="D48" s="49" t="s">
        <v>15</v>
      </c>
      <c r="E48" s="49" t="s">
        <v>8</v>
      </c>
      <c r="F48" s="49" t="s">
        <v>94</v>
      </c>
      <c r="G48" s="49">
        <v>16</v>
      </c>
      <c r="H48" s="49">
        <v>4</v>
      </c>
      <c r="I48" s="49">
        <v>3</v>
      </c>
      <c r="J48" s="49">
        <v>3</v>
      </c>
      <c r="K48" s="49">
        <v>2</v>
      </c>
      <c r="L48" s="49" t="s">
        <v>379</v>
      </c>
      <c r="M48" t="s">
        <v>1732</v>
      </c>
    </row>
    <row r="49" spans="1:13" x14ac:dyDescent="0.2">
      <c r="A49" s="49">
        <v>132278</v>
      </c>
      <c r="B49" s="49" t="s">
        <v>685</v>
      </c>
      <c r="C49" s="49" t="s">
        <v>9</v>
      </c>
      <c r="D49" s="49" t="s">
        <v>15</v>
      </c>
      <c r="E49" s="49" t="s">
        <v>8</v>
      </c>
      <c r="F49" s="49" t="s">
        <v>130</v>
      </c>
      <c r="G49" s="49">
        <v>85</v>
      </c>
      <c r="H49" s="49"/>
      <c r="I49" s="49"/>
      <c r="J49" s="49"/>
      <c r="K49" s="49"/>
      <c r="L49" s="49" t="s">
        <v>379</v>
      </c>
      <c r="M49" t="s">
        <v>1733</v>
      </c>
    </row>
    <row r="50" spans="1:13" x14ac:dyDescent="0.2">
      <c r="A50" s="49">
        <v>132222</v>
      </c>
      <c r="B50" s="49" t="s">
        <v>326</v>
      </c>
      <c r="C50" s="49" t="s">
        <v>9</v>
      </c>
      <c r="D50" s="49" t="s">
        <v>15</v>
      </c>
      <c r="E50" s="49" t="s">
        <v>8</v>
      </c>
      <c r="F50" s="49" t="s">
        <v>91</v>
      </c>
      <c r="G50" s="49">
        <v>22</v>
      </c>
      <c r="H50" s="49"/>
      <c r="I50" s="49"/>
      <c r="J50" s="49"/>
      <c r="K50" s="49"/>
      <c r="L50" s="49" t="s">
        <v>379</v>
      </c>
      <c r="M50" t="s">
        <v>1734</v>
      </c>
    </row>
    <row r="51" spans="1:13" x14ac:dyDescent="0.2">
      <c r="A51" s="49">
        <v>132220</v>
      </c>
      <c r="B51" s="49" t="s">
        <v>377</v>
      </c>
      <c r="C51" s="49" t="s">
        <v>9</v>
      </c>
      <c r="D51" s="49" t="s">
        <v>15</v>
      </c>
      <c r="E51" s="49" t="s">
        <v>8</v>
      </c>
      <c r="F51" s="49" t="s">
        <v>91</v>
      </c>
      <c r="G51" s="49">
        <v>23</v>
      </c>
      <c r="H51" s="49"/>
      <c r="I51" s="49"/>
      <c r="J51" s="49"/>
      <c r="K51" s="49"/>
      <c r="L51" s="49" t="s">
        <v>379</v>
      </c>
      <c r="M51" t="s">
        <v>1735</v>
      </c>
    </row>
    <row r="52" spans="1:13" x14ac:dyDescent="0.2">
      <c r="A52" s="49">
        <v>132219</v>
      </c>
      <c r="B52" s="49" t="s">
        <v>314</v>
      </c>
      <c r="C52" s="49" t="s">
        <v>9</v>
      </c>
      <c r="D52" s="49" t="s">
        <v>15</v>
      </c>
      <c r="E52" s="49" t="s">
        <v>8</v>
      </c>
      <c r="F52" s="49" t="s">
        <v>91</v>
      </c>
      <c r="G52" s="49">
        <v>27</v>
      </c>
      <c r="H52" s="49">
        <v>3</v>
      </c>
      <c r="I52" s="49">
        <v>2</v>
      </c>
      <c r="J52" s="49">
        <v>2</v>
      </c>
      <c r="K52" s="49">
        <v>2</v>
      </c>
      <c r="L52" s="49" t="s">
        <v>379</v>
      </c>
      <c r="M52" t="s">
        <v>1736</v>
      </c>
    </row>
    <row r="53" spans="1:13" x14ac:dyDescent="0.2">
      <c r="A53" s="49">
        <v>132218</v>
      </c>
      <c r="B53" s="49" t="s">
        <v>330</v>
      </c>
      <c r="C53" s="49" t="s">
        <v>9</v>
      </c>
      <c r="D53" s="49" t="s">
        <v>15</v>
      </c>
      <c r="E53" s="49" t="s">
        <v>8</v>
      </c>
      <c r="F53" s="49" t="s">
        <v>91</v>
      </c>
      <c r="G53" s="49">
        <v>11</v>
      </c>
      <c r="H53" s="49">
        <v>3</v>
      </c>
      <c r="I53" s="49">
        <v>2</v>
      </c>
      <c r="J53" s="49">
        <v>1</v>
      </c>
      <c r="K53" s="49">
        <v>1</v>
      </c>
      <c r="L53" s="49" t="s">
        <v>379</v>
      </c>
      <c r="M53" t="s">
        <v>1737</v>
      </c>
    </row>
    <row r="54" spans="1:13" x14ac:dyDescent="0.2">
      <c r="A54" s="49">
        <v>132063</v>
      </c>
      <c r="B54" s="49" t="s">
        <v>686</v>
      </c>
      <c r="C54" s="49" t="s">
        <v>9</v>
      </c>
      <c r="D54" s="49" t="s">
        <v>15</v>
      </c>
      <c r="E54" s="49" t="s">
        <v>8</v>
      </c>
      <c r="F54" s="49" t="s">
        <v>91</v>
      </c>
      <c r="G54" s="49">
        <v>51</v>
      </c>
      <c r="H54" s="49">
        <v>3</v>
      </c>
      <c r="I54" s="49">
        <v>2</v>
      </c>
      <c r="J54" s="49">
        <v>2</v>
      </c>
      <c r="K54" s="49">
        <v>1</v>
      </c>
      <c r="L54" s="49" t="s">
        <v>379</v>
      </c>
      <c r="M54" t="s">
        <v>1738</v>
      </c>
    </row>
    <row r="55" spans="1:13" x14ac:dyDescent="0.2">
      <c r="A55" s="49">
        <v>132062</v>
      </c>
      <c r="B55" s="49" t="s">
        <v>293</v>
      </c>
      <c r="C55" s="49" t="s">
        <v>9</v>
      </c>
      <c r="D55" s="49" t="s">
        <v>15</v>
      </c>
      <c r="E55" s="49" t="s">
        <v>8</v>
      </c>
      <c r="F55" s="49" t="s">
        <v>93</v>
      </c>
      <c r="G55" s="49">
        <v>45</v>
      </c>
      <c r="H55" s="49">
        <v>3</v>
      </c>
      <c r="I55" s="49">
        <v>2</v>
      </c>
      <c r="J55" s="49">
        <v>2</v>
      </c>
      <c r="K55" s="49">
        <v>1</v>
      </c>
      <c r="L55" s="49" t="s">
        <v>379</v>
      </c>
      <c r="M55" t="s">
        <v>1739</v>
      </c>
    </row>
    <row r="56" spans="1:13" x14ac:dyDescent="0.2">
      <c r="A56" s="49">
        <v>132061</v>
      </c>
      <c r="B56" s="49" t="s">
        <v>687</v>
      </c>
      <c r="C56" s="49" t="s">
        <v>9</v>
      </c>
      <c r="D56" s="49" t="s">
        <v>15</v>
      </c>
      <c r="E56" s="49" t="s">
        <v>8</v>
      </c>
      <c r="F56" s="49" t="s">
        <v>97</v>
      </c>
      <c r="G56" s="49">
        <v>10</v>
      </c>
      <c r="H56" s="49">
        <v>2</v>
      </c>
      <c r="I56" s="49">
        <v>4</v>
      </c>
      <c r="J56" s="49">
        <v>4</v>
      </c>
      <c r="K56" s="49">
        <v>1</v>
      </c>
      <c r="L56" s="49" t="s">
        <v>379</v>
      </c>
      <c r="M56" t="s">
        <v>1740</v>
      </c>
    </row>
    <row r="57" spans="1:13" x14ac:dyDescent="0.2">
      <c r="A57" s="49">
        <v>132060</v>
      </c>
      <c r="B57" s="49" t="s">
        <v>688</v>
      </c>
      <c r="C57" s="49" t="s">
        <v>9</v>
      </c>
      <c r="D57" s="49" t="s">
        <v>15</v>
      </c>
      <c r="E57" s="49" t="s">
        <v>8</v>
      </c>
      <c r="F57" s="49" t="s">
        <v>97</v>
      </c>
      <c r="G57" s="49">
        <v>21</v>
      </c>
      <c r="H57" s="49">
        <v>2</v>
      </c>
      <c r="I57" s="49">
        <v>3</v>
      </c>
      <c r="J57" s="49">
        <v>3</v>
      </c>
      <c r="K57" s="49">
        <v>1</v>
      </c>
      <c r="L57" s="49" t="s">
        <v>379</v>
      </c>
      <c r="M57" t="s">
        <v>1741</v>
      </c>
    </row>
    <row r="58" spans="1:13" x14ac:dyDescent="0.2">
      <c r="A58" s="49">
        <v>132059</v>
      </c>
      <c r="B58" s="49" t="s">
        <v>689</v>
      </c>
      <c r="C58" s="49" t="s">
        <v>9</v>
      </c>
      <c r="D58" s="49" t="s">
        <v>15</v>
      </c>
      <c r="E58" s="49" t="s">
        <v>8</v>
      </c>
      <c r="F58" s="49" t="s">
        <v>91</v>
      </c>
      <c r="G58" s="49">
        <v>32</v>
      </c>
      <c r="H58" s="49">
        <v>3</v>
      </c>
      <c r="I58" s="49">
        <v>3</v>
      </c>
      <c r="J58" s="49">
        <v>3</v>
      </c>
      <c r="K58" s="49">
        <v>3</v>
      </c>
      <c r="L58" s="49" t="s">
        <v>379</v>
      </c>
      <c r="M58" t="s">
        <v>1742</v>
      </c>
    </row>
    <row r="59" spans="1:13" x14ac:dyDescent="0.2">
      <c r="A59" s="49">
        <v>132058</v>
      </c>
      <c r="B59" s="49" t="s">
        <v>319</v>
      </c>
      <c r="C59" s="49" t="s">
        <v>9</v>
      </c>
      <c r="D59" s="49" t="s">
        <v>15</v>
      </c>
      <c r="E59" s="49" t="s">
        <v>8</v>
      </c>
      <c r="F59" s="49" t="s">
        <v>93</v>
      </c>
      <c r="G59" s="49">
        <v>63</v>
      </c>
      <c r="H59" s="49">
        <v>2</v>
      </c>
      <c r="I59" s="49"/>
      <c r="J59" s="49">
        <v>1</v>
      </c>
      <c r="K59" s="49">
        <v>1</v>
      </c>
      <c r="L59" s="49" t="s">
        <v>379</v>
      </c>
      <c r="M59" t="s">
        <v>1743</v>
      </c>
    </row>
    <row r="60" spans="1:13" x14ac:dyDescent="0.2">
      <c r="A60" s="49">
        <v>132054</v>
      </c>
      <c r="B60" s="49" t="s">
        <v>283</v>
      </c>
      <c r="C60" s="49" t="s">
        <v>9</v>
      </c>
      <c r="D60" s="49" t="s">
        <v>15</v>
      </c>
      <c r="E60" s="49" t="s">
        <v>8</v>
      </c>
      <c r="F60" s="49" t="s">
        <v>91</v>
      </c>
      <c r="G60" s="49">
        <v>41</v>
      </c>
      <c r="H60" s="49">
        <v>5</v>
      </c>
      <c r="I60" s="49">
        <v>2</v>
      </c>
      <c r="J60" s="49">
        <v>1</v>
      </c>
      <c r="K60" s="49">
        <v>1</v>
      </c>
      <c r="L60" s="49" t="s">
        <v>379</v>
      </c>
      <c r="M60" t="s">
        <v>1744</v>
      </c>
    </row>
    <row r="61" spans="1:13" x14ac:dyDescent="0.2">
      <c r="A61" s="49">
        <v>132024</v>
      </c>
      <c r="B61" s="49" t="s">
        <v>690</v>
      </c>
      <c r="C61" s="49" t="s">
        <v>9</v>
      </c>
      <c r="D61" s="49" t="s">
        <v>15</v>
      </c>
      <c r="E61" s="49" t="s">
        <v>8</v>
      </c>
      <c r="F61" s="49" t="s">
        <v>91</v>
      </c>
      <c r="G61" s="49">
        <v>78</v>
      </c>
      <c r="H61" s="49"/>
      <c r="I61" s="49"/>
      <c r="J61" s="49"/>
      <c r="K61" s="49"/>
      <c r="L61" s="49" t="s">
        <v>379</v>
      </c>
      <c r="M61" t="s">
        <v>1745</v>
      </c>
    </row>
    <row r="62" spans="1:13" x14ac:dyDescent="0.2">
      <c r="A62" s="49">
        <v>132023</v>
      </c>
      <c r="B62" s="49" t="s">
        <v>691</v>
      </c>
      <c r="C62" s="49" t="s">
        <v>9</v>
      </c>
      <c r="D62" s="49" t="s">
        <v>15</v>
      </c>
      <c r="E62" s="49" t="s">
        <v>8</v>
      </c>
      <c r="F62" s="49" t="s">
        <v>91</v>
      </c>
      <c r="G62" s="49">
        <v>77</v>
      </c>
      <c r="H62" s="49"/>
      <c r="I62" s="49"/>
      <c r="J62" s="49"/>
      <c r="K62" s="49"/>
      <c r="L62" s="49" t="s">
        <v>379</v>
      </c>
      <c r="M62" t="s">
        <v>1746</v>
      </c>
    </row>
    <row r="63" spans="1:13" x14ac:dyDescent="0.2">
      <c r="A63" s="49">
        <v>132021</v>
      </c>
      <c r="B63" s="49" t="s">
        <v>692</v>
      </c>
      <c r="C63" s="49" t="s">
        <v>9</v>
      </c>
      <c r="D63" s="49" t="s">
        <v>15</v>
      </c>
      <c r="E63" s="49" t="s">
        <v>8</v>
      </c>
      <c r="F63" s="49" t="s">
        <v>91</v>
      </c>
      <c r="G63" s="49">
        <v>76</v>
      </c>
      <c r="H63" s="49"/>
      <c r="I63" s="49"/>
      <c r="J63" s="49"/>
      <c r="K63" s="49"/>
      <c r="L63" s="49" t="s">
        <v>379</v>
      </c>
      <c r="M63" t="s">
        <v>1747</v>
      </c>
    </row>
    <row r="64" spans="1:13" x14ac:dyDescent="0.2">
      <c r="A64" s="49">
        <v>131995</v>
      </c>
      <c r="B64" s="49" t="s">
        <v>1614</v>
      </c>
      <c r="C64" s="49" t="s">
        <v>9</v>
      </c>
      <c r="D64" s="49" t="s">
        <v>15</v>
      </c>
      <c r="E64" s="49" t="s">
        <v>8</v>
      </c>
      <c r="F64" s="49" t="s">
        <v>91</v>
      </c>
      <c r="G64" s="49">
        <v>55</v>
      </c>
      <c r="H64" s="49"/>
      <c r="I64" s="49"/>
      <c r="J64" s="49"/>
      <c r="K64" s="49"/>
      <c r="L64" s="49" t="s">
        <v>379</v>
      </c>
      <c r="M64" t="s">
        <v>1748</v>
      </c>
    </row>
    <row r="65" spans="1:13" x14ac:dyDescent="0.2">
      <c r="A65" s="49">
        <v>131994</v>
      </c>
      <c r="B65" s="49" t="s">
        <v>1615</v>
      </c>
      <c r="C65" s="49" t="s">
        <v>9</v>
      </c>
      <c r="D65" s="49" t="s">
        <v>15</v>
      </c>
      <c r="E65" s="49" t="s">
        <v>8</v>
      </c>
      <c r="F65" s="49" t="s">
        <v>91</v>
      </c>
      <c r="G65" s="49">
        <v>43</v>
      </c>
      <c r="H65" s="49"/>
      <c r="I65" s="49"/>
      <c r="J65" s="49"/>
      <c r="K65" s="49"/>
      <c r="L65" s="49" t="s">
        <v>379</v>
      </c>
      <c r="M65" t="s">
        <v>1749</v>
      </c>
    </row>
    <row r="66" spans="1:13" x14ac:dyDescent="0.2">
      <c r="A66" s="49">
        <v>131993</v>
      </c>
      <c r="B66" s="49" t="s">
        <v>1616</v>
      </c>
      <c r="C66" s="49" t="s">
        <v>9</v>
      </c>
      <c r="D66" s="49" t="s">
        <v>15</v>
      </c>
      <c r="E66" s="49" t="s">
        <v>8</v>
      </c>
      <c r="F66" s="49" t="s">
        <v>91</v>
      </c>
      <c r="G66" s="49">
        <v>49</v>
      </c>
      <c r="H66" s="49"/>
      <c r="I66" s="49"/>
      <c r="J66" s="49"/>
      <c r="K66" s="49"/>
      <c r="L66" s="49" t="s">
        <v>379</v>
      </c>
      <c r="M66" t="s">
        <v>1750</v>
      </c>
    </row>
    <row r="67" spans="1:13" x14ac:dyDescent="0.2">
      <c r="A67" s="49">
        <v>131992</v>
      </c>
      <c r="B67" s="49" t="s">
        <v>693</v>
      </c>
      <c r="C67" s="49" t="s">
        <v>9</v>
      </c>
      <c r="D67" s="49" t="s">
        <v>15</v>
      </c>
      <c r="E67" s="49" t="s">
        <v>8</v>
      </c>
      <c r="F67" s="49" t="s">
        <v>95</v>
      </c>
      <c r="G67" s="49">
        <v>37</v>
      </c>
      <c r="H67" s="49"/>
      <c r="I67" s="49"/>
      <c r="J67" s="49"/>
      <c r="K67" s="49"/>
      <c r="L67" s="49" t="s">
        <v>379</v>
      </c>
      <c r="M67" t="s">
        <v>1751</v>
      </c>
    </row>
    <row r="68" spans="1:13" x14ac:dyDescent="0.2">
      <c r="A68" s="49">
        <v>131991</v>
      </c>
      <c r="B68" s="49" t="s">
        <v>694</v>
      </c>
      <c r="C68" s="49" t="s">
        <v>9</v>
      </c>
      <c r="D68" s="49" t="s">
        <v>15</v>
      </c>
      <c r="E68" s="49" t="s">
        <v>8</v>
      </c>
      <c r="F68" s="49" t="s">
        <v>91</v>
      </c>
      <c r="G68" s="49">
        <v>61</v>
      </c>
      <c r="H68" s="49"/>
      <c r="I68" s="49"/>
      <c r="J68" s="49"/>
      <c r="K68" s="49"/>
      <c r="L68" s="49" t="s">
        <v>379</v>
      </c>
      <c r="M68" t="s">
        <v>1752</v>
      </c>
    </row>
    <row r="69" spans="1:13" x14ac:dyDescent="0.2">
      <c r="A69" s="49">
        <v>131990</v>
      </c>
      <c r="B69" s="49" t="s">
        <v>695</v>
      </c>
      <c r="C69" s="49" t="s">
        <v>9</v>
      </c>
      <c r="D69" s="49" t="s">
        <v>15</v>
      </c>
      <c r="E69" s="49" t="s">
        <v>8</v>
      </c>
      <c r="F69" s="49" t="s">
        <v>91</v>
      </c>
      <c r="G69" s="49">
        <v>71</v>
      </c>
      <c r="H69" s="49"/>
      <c r="I69" s="49"/>
      <c r="J69" s="49"/>
      <c r="K69" s="49"/>
      <c r="L69" s="49" t="s">
        <v>379</v>
      </c>
      <c r="M69" t="s">
        <v>1753</v>
      </c>
    </row>
    <row r="70" spans="1:13" x14ac:dyDescent="0.2">
      <c r="A70" s="49">
        <v>131989</v>
      </c>
      <c r="B70" s="49" t="s">
        <v>1617</v>
      </c>
      <c r="C70" s="49" t="s">
        <v>9</v>
      </c>
      <c r="D70" s="49" t="s">
        <v>15</v>
      </c>
      <c r="E70" s="49" t="s">
        <v>8</v>
      </c>
      <c r="F70" s="49" t="s">
        <v>91</v>
      </c>
      <c r="G70" s="49">
        <v>66</v>
      </c>
      <c r="H70" s="49"/>
      <c r="I70" s="49"/>
      <c r="J70" s="49"/>
      <c r="K70" s="49"/>
      <c r="L70" s="49" t="s">
        <v>379</v>
      </c>
      <c r="M70" t="s">
        <v>1754</v>
      </c>
    </row>
    <row r="71" spans="1:13" x14ac:dyDescent="0.2">
      <c r="A71" s="49">
        <v>131776</v>
      </c>
      <c r="B71" s="49" t="s">
        <v>1016</v>
      </c>
      <c r="C71" s="49" t="s">
        <v>98</v>
      </c>
      <c r="D71" s="49" t="s">
        <v>15</v>
      </c>
      <c r="E71" s="49" t="s">
        <v>12</v>
      </c>
      <c r="F71" s="49" t="s">
        <v>91</v>
      </c>
      <c r="G71" s="49">
        <v>2</v>
      </c>
      <c r="H71" s="49">
        <v>4</v>
      </c>
      <c r="I71" s="49">
        <v>2</v>
      </c>
      <c r="J71" s="49">
        <v>2</v>
      </c>
      <c r="K71" s="49">
        <v>2</v>
      </c>
      <c r="L71" s="49" t="s">
        <v>379</v>
      </c>
      <c r="M71" t="s">
        <v>1709</v>
      </c>
    </row>
    <row r="72" spans="1:13" x14ac:dyDescent="0.2">
      <c r="A72" s="49">
        <v>131734</v>
      </c>
      <c r="B72" s="49" t="s">
        <v>153</v>
      </c>
      <c r="C72" s="49" t="s">
        <v>21</v>
      </c>
      <c r="D72" s="49" t="s">
        <v>15</v>
      </c>
      <c r="E72" s="49" t="s">
        <v>5</v>
      </c>
      <c r="F72" s="49" t="s">
        <v>95</v>
      </c>
      <c r="G72" s="49">
        <v>1</v>
      </c>
      <c r="H72" s="49">
        <v>1</v>
      </c>
      <c r="I72" s="49"/>
      <c r="J72" s="49">
        <v>1</v>
      </c>
      <c r="K72" s="49">
        <v>2</v>
      </c>
      <c r="L72" s="49" t="s">
        <v>379</v>
      </c>
      <c r="M72" t="s">
        <v>1755</v>
      </c>
    </row>
    <row r="73" spans="1:13" x14ac:dyDescent="0.2">
      <c r="A73" s="49">
        <v>128060</v>
      </c>
      <c r="B73" s="49" t="s">
        <v>696</v>
      </c>
      <c r="C73" s="49" t="s">
        <v>45</v>
      </c>
      <c r="D73" s="49" t="s">
        <v>15</v>
      </c>
      <c r="E73" s="49" t="s">
        <v>12</v>
      </c>
      <c r="F73" s="49" t="s">
        <v>91</v>
      </c>
      <c r="G73" s="49">
        <v>1</v>
      </c>
      <c r="H73" s="49"/>
      <c r="I73" s="49"/>
      <c r="J73" s="49"/>
      <c r="K73" s="49"/>
      <c r="L73" s="49" t="s">
        <v>379</v>
      </c>
      <c r="M73" t="s">
        <v>1756</v>
      </c>
    </row>
    <row r="74" spans="1:13" x14ac:dyDescent="0.2">
      <c r="A74" s="49">
        <v>128057</v>
      </c>
      <c r="B74" s="49" t="s">
        <v>697</v>
      </c>
      <c r="C74" s="49" t="s">
        <v>45</v>
      </c>
      <c r="D74" s="49" t="s">
        <v>15</v>
      </c>
      <c r="E74" s="49" t="s">
        <v>12</v>
      </c>
      <c r="F74" s="49" t="s">
        <v>91</v>
      </c>
      <c r="G74" s="49">
        <v>2</v>
      </c>
      <c r="H74" s="49"/>
      <c r="I74" s="49"/>
      <c r="J74" s="49"/>
      <c r="K74" s="49"/>
      <c r="L74" s="49" t="s">
        <v>379</v>
      </c>
      <c r="M74" t="s">
        <v>1757</v>
      </c>
    </row>
    <row r="75" spans="1:13" x14ac:dyDescent="0.2">
      <c r="A75" s="49">
        <v>127817</v>
      </c>
      <c r="B75" s="49" t="s">
        <v>374</v>
      </c>
      <c r="C75" s="49" t="s">
        <v>9</v>
      </c>
      <c r="D75" s="49" t="s">
        <v>15</v>
      </c>
      <c r="E75" s="49" t="s">
        <v>8</v>
      </c>
      <c r="F75" s="49" t="s">
        <v>91</v>
      </c>
      <c r="G75" s="49">
        <v>53</v>
      </c>
      <c r="H75" s="49">
        <v>5</v>
      </c>
      <c r="I75" s="49">
        <v>1</v>
      </c>
      <c r="J75" s="49">
        <v>1</v>
      </c>
      <c r="K75" s="49">
        <v>2</v>
      </c>
      <c r="L75" s="49" t="s">
        <v>379</v>
      </c>
      <c r="M75" t="s">
        <v>1758</v>
      </c>
    </row>
    <row r="76" spans="1:13" x14ac:dyDescent="0.2">
      <c r="A76" s="49">
        <v>127626</v>
      </c>
      <c r="B76" s="49" t="s">
        <v>302</v>
      </c>
      <c r="C76" s="49" t="s">
        <v>9</v>
      </c>
      <c r="D76" s="49" t="s">
        <v>15</v>
      </c>
      <c r="E76" s="49" t="s">
        <v>8</v>
      </c>
      <c r="F76" s="49" t="s">
        <v>91</v>
      </c>
      <c r="G76" s="49">
        <v>13</v>
      </c>
      <c r="H76" s="49"/>
      <c r="I76" s="49"/>
      <c r="J76" s="49"/>
      <c r="K76" s="49"/>
      <c r="L76" s="49" t="s">
        <v>379</v>
      </c>
      <c r="M76" t="s">
        <v>1759</v>
      </c>
    </row>
    <row r="77" spans="1:13" x14ac:dyDescent="0.2">
      <c r="A77" s="49">
        <v>127624</v>
      </c>
      <c r="B77" s="49" t="s">
        <v>698</v>
      </c>
      <c r="C77" s="49" t="s">
        <v>9</v>
      </c>
      <c r="D77" s="49" t="s">
        <v>15</v>
      </c>
      <c r="E77" s="49" t="s">
        <v>8</v>
      </c>
      <c r="F77" s="49" t="s">
        <v>91</v>
      </c>
      <c r="G77" s="49">
        <v>9</v>
      </c>
      <c r="H77" s="49"/>
      <c r="I77" s="49"/>
      <c r="J77" s="49"/>
      <c r="K77" s="49"/>
      <c r="L77" s="49" t="s">
        <v>379</v>
      </c>
      <c r="M77" t="s">
        <v>1760</v>
      </c>
    </row>
    <row r="78" spans="1:13" x14ac:dyDescent="0.2">
      <c r="A78" s="49">
        <v>127619</v>
      </c>
      <c r="B78" s="49" t="s">
        <v>295</v>
      </c>
      <c r="C78" s="49" t="s">
        <v>9</v>
      </c>
      <c r="D78" s="49" t="s">
        <v>15</v>
      </c>
      <c r="E78" s="49" t="s">
        <v>8</v>
      </c>
      <c r="F78" s="49" t="s">
        <v>95</v>
      </c>
      <c r="G78" s="49">
        <v>46</v>
      </c>
      <c r="H78" s="49"/>
      <c r="I78" s="49"/>
      <c r="J78" s="49"/>
      <c r="K78" s="49"/>
      <c r="L78" s="49" t="s">
        <v>379</v>
      </c>
      <c r="M78" t="s">
        <v>1761</v>
      </c>
    </row>
    <row r="79" spans="1:13" x14ac:dyDescent="0.2">
      <c r="A79" s="49">
        <v>127396</v>
      </c>
      <c r="B79" s="49" t="s">
        <v>1424</v>
      </c>
      <c r="C79" s="49" t="s">
        <v>37</v>
      </c>
      <c r="D79" s="49" t="s">
        <v>15</v>
      </c>
      <c r="E79" s="49" t="s">
        <v>5</v>
      </c>
      <c r="F79" s="49" t="s">
        <v>94</v>
      </c>
      <c r="G79" s="49">
        <v>22</v>
      </c>
      <c r="H79" s="49"/>
      <c r="I79" s="49"/>
      <c r="J79" s="49"/>
      <c r="K79" s="49"/>
      <c r="L79" s="49" t="s">
        <v>379</v>
      </c>
      <c r="M79" t="s">
        <v>1762</v>
      </c>
    </row>
    <row r="80" spans="1:13" x14ac:dyDescent="0.2">
      <c r="A80" s="49">
        <v>127257</v>
      </c>
      <c r="B80" s="49" t="s">
        <v>699</v>
      </c>
      <c r="C80" s="49" t="s">
        <v>21</v>
      </c>
      <c r="D80" s="49" t="s">
        <v>15</v>
      </c>
      <c r="E80" s="49" t="s">
        <v>5</v>
      </c>
      <c r="F80" s="49" t="s">
        <v>91</v>
      </c>
      <c r="G80" s="49">
        <v>22</v>
      </c>
      <c r="H80" s="49"/>
      <c r="I80" s="49"/>
      <c r="J80" s="49"/>
      <c r="K80" s="49"/>
      <c r="L80" s="49" t="s">
        <v>379</v>
      </c>
      <c r="M80" t="s">
        <v>1763</v>
      </c>
    </row>
    <row r="81" spans="1:13" x14ac:dyDescent="0.2">
      <c r="A81" s="49">
        <v>127256</v>
      </c>
      <c r="B81" s="49" t="s">
        <v>238</v>
      </c>
      <c r="C81" s="49" t="s">
        <v>21</v>
      </c>
      <c r="D81" s="49" t="s">
        <v>15</v>
      </c>
      <c r="E81" s="49" t="s">
        <v>5</v>
      </c>
      <c r="F81" s="49" t="s">
        <v>91</v>
      </c>
      <c r="G81" s="49">
        <v>20</v>
      </c>
      <c r="H81" s="49"/>
      <c r="I81" s="49"/>
      <c r="J81" s="49"/>
      <c r="K81" s="49"/>
      <c r="L81" s="49" t="s">
        <v>379</v>
      </c>
      <c r="M81" t="s">
        <v>1764</v>
      </c>
    </row>
    <row r="82" spans="1:13" x14ac:dyDescent="0.2">
      <c r="A82" s="49">
        <v>127240</v>
      </c>
      <c r="B82" s="49" t="s">
        <v>1552</v>
      </c>
      <c r="C82" s="49" t="s">
        <v>60</v>
      </c>
      <c r="D82" s="49" t="s">
        <v>15</v>
      </c>
      <c r="E82" s="49" t="s">
        <v>8</v>
      </c>
      <c r="F82" s="49" t="s">
        <v>91</v>
      </c>
      <c r="G82" s="49">
        <v>6</v>
      </c>
      <c r="H82" s="49">
        <v>2</v>
      </c>
      <c r="I82" s="49">
        <v>3</v>
      </c>
      <c r="J82" s="49">
        <v>3</v>
      </c>
      <c r="K82" s="49">
        <v>2</v>
      </c>
      <c r="L82" s="49" t="s">
        <v>379</v>
      </c>
      <c r="M82" t="s">
        <v>1709</v>
      </c>
    </row>
    <row r="83" spans="1:13" x14ac:dyDescent="0.2">
      <c r="A83" s="49">
        <v>127239</v>
      </c>
      <c r="B83" s="49" t="s">
        <v>1553</v>
      </c>
      <c r="C83" s="49" t="s">
        <v>60</v>
      </c>
      <c r="D83" s="49" t="s">
        <v>15</v>
      </c>
      <c r="E83" s="49" t="s">
        <v>8</v>
      </c>
      <c r="F83" s="49" t="s">
        <v>94</v>
      </c>
      <c r="G83" s="49">
        <v>1</v>
      </c>
      <c r="H83" s="49">
        <v>3</v>
      </c>
      <c r="I83" s="49">
        <v>2</v>
      </c>
      <c r="J83" s="49">
        <v>2</v>
      </c>
      <c r="K83" s="49">
        <v>1</v>
      </c>
      <c r="L83" s="49" t="s">
        <v>379</v>
      </c>
      <c r="M83">
        <v>99999</v>
      </c>
    </row>
    <row r="84" spans="1:13" x14ac:dyDescent="0.2">
      <c r="A84" s="49">
        <v>127066</v>
      </c>
      <c r="B84" s="49" t="s">
        <v>700</v>
      </c>
      <c r="C84" s="49" t="s">
        <v>37</v>
      </c>
      <c r="D84" s="49" t="s">
        <v>10</v>
      </c>
      <c r="E84" s="49" t="s">
        <v>5</v>
      </c>
      <c r="F84" s="49" t="s">
        <v>136</v>
      </c>
      <c r="G84" s="49">
        <v>3</v>
      </c>
      <c r="H84" s="49">
        <v>3</v>
      </c>
      <c r="I84" s="49">
        <v>2</v>
      </c>
      <c r="J84" s="49">
        <v>2</v>
      </c>
      <c r="K84" s="49">
        <v>4</v>
      </c>
      <c r="L84" s="49" t="s">
        <v>379</v>
      </c>
      <c r="M84" t="s">
        <v>1765</v>
      </c>
    </row>
    <row r="85" spans="1:13" x14ac:dyDescent="0.2">
      <c r="A85" s="49">
        <v>127065</v>
      </c>
      <c r="B85" s="49" t="s">
        <v>701</v>
      </c>
      <c r="C85" s="49" t="s">
        <v>37</v>
      </c>
      <c r="D85" s="49" t="s">
        <v>10</v>
      </c>
      <c r="E85" s="49" t="s">
        <v>5</v>
      </c>
      <c r="F85" s="49" t="s">
        <v>130</v>
      </c>
      <c r="G85" s="49">
        <v>4</v>
      </c>
      <c r="H85" s="49">
        <v>3</v>
      </c>
      <c r="I85" s="49">
        <v>2</v>
      </c>
      <c r="J85" s="49">
        <v>1</v>
      </c>
      <c r="K85" s="49">
        <v>3</v>
      </c>
      <c r="L85" s="49" t="s">
        <v>379</v>
      </c>
      <c r="M85" t="s">
        <v>1766</v>
      </c>
    </row>
    <row r="86" spans="1:13" x14ac:dyDescent="0.2">
      <c r="A86" s="49">
        <v>126963</v>
      </c>
      <c r="B86" s="49" t="s">
        <v>1554</v>
      </c>
      <c r="C86" s="49" t="s">
        <v>59</v>
      </c>
      <c r="D86" s="49" t="s">
        <v>15</v>
      </c>
      <c r="E86" s="49" t="s">
        <v>8</v>
      </c>
      <c r="F86" s="49" t="s">
        <v>91</v>
      </c>
      <c r="G86" s="49">
        <v>7</v>
      </c>
      <c r="H86" s="49">
        <v>4</v>
      </c>
      <c r="I86" s="49"/>
      <c r="J86" s="49">
        <v>3</v>
      </c>
      <c r="K86" s="49">
        <v>3</v>
      </c>
      <c r="L86" s="49" t="s">
        <v>379</v>
      </c>
      <c r="M86" t="s">
        <v>1709</v>
      </c>
    </row>
    <row r="87" spans="1:13" x14ac:dyDescent="0.2">
      <c r="A87" s="49">
        <v>126931</v>
      </c>
      <c r="B87" s="49" t="s">
        <v>703</v>
      </c>
      <c r="C87" s="49" t="s">
        <v>37</v>
      </c>
      <c r="D87" s="49" t="s">
        <v>15</v>
      </c>
      <c r="E87" s="49" t="s">
        <v>5</v>
      </c>
      <c r="F87" s="49" t="s">
        <v>91</v>
      </c>
      <c r="G87" s="49">
        <v>6</v>
      </c>
      <c r="H87" s="49"/>
      <c r="I87" s="49"/>
      <c r="J87" s="49"/>
      <c r="K87" s="49"/>
      <c r="L87" s="49" t="s">
        <v>379</v>
      </c>
      <c r="M87" t="s">
        <v>1767</v>
      </c>
    </row>
    <row r="88" spans="1:13" x14ac:dyDescent="0.2">
      <c r="A88" s="49">
        <v>126772</v>
      </c>
      <c r="B88" s="49" t="s">
        <v>704</v>
      </c>
      <c r="C88" s="49" t="s">
        <v>58</v>
      </c>
      <c r="D88" s="49" t="s">
        <v>4</v>
      </c>
      <c r="E88" s="49" t="s">
        <v>8</v>
      </c>
      <c r="F88" s="49" t="s">
        <v>91</v>
      </c>
      <c r="G88" s="49">
        <v>6</v>
      </c>
      <c r="H88" s="49"/>
      <c r="I88" s="49"/>
      <c r="J88" s="49"/>
      <c r="K88" s="49"/>
      <c r="L88" s="49" t="s">
        <v>379</v>
      </c>
      <c r="M88" t="s">
        <v>1768</v>
      </c>
    </row>
    <row r="89" spans="1:13" x14ac:dyDescent="0.2">
      <c r="A89" s="49">
        <v>126749</v>
      </c>
      <c r="B89" s="49" t="s">
        <v>705</v>
      </c>
      <c r="C89" s="49" t="s">
        <v>59</v>
      </c>
      <c r="D89" s="49" t="s">
        <v>15</v>
      </c>
      <c r="E89" s="49" t="s">
        <v>8</v>
      </c>
      <c r="F89" s="49" t="s">
        <v>94</v>
      </c>
      <c r="G89" s="49">
        <v>5</v>
      </c>
      <c r="H89" s="49">
        <v>4</v>
      </c>
      <c r="I89" s="49">
        <v>3</v>
      </c>
      <c r="J89" s="49">
        <v>3</v>
      </c>
      <c r="K89" s="49">
        <v>2</v>
      </c>
      <c r="L89" s="49" t="s">
        <v>379</v>
      </c>
      <c r="M89" t="s">
        <v>1769</v>
      </c>
    </row>
    <row r="90" spans="1:13" x14ac:dyDescent="0.2">
      <c r="A90" s="49">
        <v>126735</v>
      </c>
      <c r="B90" s="49" t="s">
        <v>208</v>
      </c>
      <c r="C90" s="49" t="s">
        <v>98</v>
      </c>
      <c r="D90" s="49" t="s">
        <v>15</v>
      </c>
      <c r="E90" s="49" t="s">
        <v>12</v>
      </c>
      <c r="F90" s="49" t="s">
        <v>91</v>
      </c>
      <c r="G90" s="49">
        <v>7</v>
      </c>
      <c r="H90" s="49">
        <v>3</v>
      </c>
      <c r="I90" s="49"/>
      <c r="J90" s="49"/>
      <c r="K90" s="49"/>
      <c r="L90" s="49" t="s">
        <v>379</v>
      </c>
      <c r="M90" t="s">
        <v>1770</v>
      </c>
    </row>
    <row r="91" spans="1:13" x14ac:dyDescent="0.2">
      <c r="A91" s="49">
        <v>126734</v>
      </c>
      <c r="B91" s="49" t="s">
        <v>145</v>
      </c>
      <c r="C91" s="49" t="s">
        <v>98</v>
      </c>
      <c r="D91" s="49" t="s">
        <v>15</v>
      </c>
      <c r="E91" s="49" t="s">
        <v>12</v>
      </c>
      <c r="F91" s="49" t="s">
        <v>97</v>
      </c>
      <c r="G91" s="49">
        <v>1</v>
      </c>
      <c r="H91" s="49">
        <v>4</v>
      </c>
      <c r="I91" s="49"/>
      <c r="J91" s="49">
        <v>2</v>
      </c>
      <c r="K91" s="49">
        <v>2</v>
      </c>
      <c r="L91" s="49" t="s">
        <v>379</v>
      </c>
      <c r="M91" t="s">
        <v>1771</v>
      </c>
    </row>
    <row r="92" spans="1:13" x14ac:dyDescent="0.2">
      <c r="A92" s="49">
        <v>126656</v>
      </c>
      <c r="B92" s="49" t="s">
        <v>706</v>
      </c>
      <c r="C92" s="49" t="s">
        <v>38</v>
      </c>
      <c r="D92" s="49" t="s">
        <v>15</v>
      </c>
      <c r="E92" s="49" t="s">
        <v>5</v>
      </c>
      <c r="F92" s="49" t="s">
        <v>136</v>
      </c>
      <c r="G92" s="49">
        <v>21</v>
      </c>
      <c r="H92" s="49">
        <v>3</v>
      </c>
      <c r="I92" s="49">
        <v>3</v>
      </c>
      <c r="J92" s="49">
        <v>2</v>
      </c>
      <c r="K92" s="49">
        <v>2</v>
      </c>
      <c r="L92" s="49" t="s">
        <v>379</v>
      </c>
      <c r="M92" t="s">
        <v>1772</v>
      </c>
    </row>
    <row r="93" spans="1:13" x14ac:dyDescent="0.2">
      <c r="A93" s="49">
        <v>126645</v>
      </c>
      <c r="B93" s="49" t="s">
        <v>172</v>
      </c>
      <c r="C93" s="49" t="s">
        <v>22</v>
      </c>
      <c r="D93" s="49" t="s">
        <v>15</v>
      </c>
      <c r="E93" s="49" t="s">
        <v>12</v>
      </c>
      <c r="F93" s="49" t="s">
        <v>136</v>
      </c>
      <c r="G93" s="49">
        <v>3</v>
      </c>
      <c r="H93" s="49">
        <v>3</v>
      </c>
      <c r="I93" s="49">
        <v>2</v>
      </c>
      <c r="J93" s="49">
        <v>1</v>
      </c>
      <c r="K93" s="49">
        <v>2</v>
      </c>
      <c r="L93" s="49" t="s">
        <v>379</v>
      </c>
      <c r="M93" t="s">
        <v>1773</v>
      </c>
    </row>
    <row r="94" spans="1:13" x14ac:dyDescent="0.2">
      <c r="A94" s="49">
        <v>126644</v>
      </c>
      <c r="B94" s="49" t="s">
        <v>132</v>
      </c>
      <c r="C94" s="49" t="s">
        <v>22</v>
      </c>
      <c r="D94" s="49" t="s">
        <v>15</v>
      </c>
      <c r="E94" s="49" t="s">
        <v>12</v>
      </c>
      <c r="F94" s="49" t="s">
        <v>136</v>
      </c>
      <c r="G94" s="49">
        <v>1</v>
      </c>
      <c r="H94" s="49">
        <v>4</v>
      </c>
      <c r="I94" s="49">
        <v>2</v>
      </c>
      <c r="J94" s="49">
        <v>1</v>
      </c>
      <c r="K94" s="49">
        <v>1</v>
      </c>
      <c r="L94" s="49" t="s">
        <v>379</v>
      </c>
      <c r="M94" t="s">
        <v>1774</v>
      </c>
    </row>
    <row r="95" spans="1:13" x14ac:dyDescent="0.2">
      <c r="A95" s="49">
        <v>126643</v>
      </c>
      <c r="B95" s="49" t="s">
        <v>707</v>
      </c>
      <c r="C95" s="49" t="s">
        <v>22</v>
      </c>
      <c r="D95" s="49" t="s">
        <v>15</v>
      </c>
      <c r="E95" s="49" t="s">
        <v>12</v>
      </c>
      <c r="F95" s="49" t="s">
        <v>91</v>
      </c>
      <c r="G95" s="49">
        <v>4</v>
      </c>
      <c r="H95" s="49">
        <v>3</v>
      </c>
      <c r="I95" s="49">
        <v>3</v>
      </c>
      <c r="J95" s="49">
        <v>4</v>
      </c>
      <c r="K95" s="49">
        <v>1</v>
      </c>
      <c r="L95" s="49" t="s">
        <v>379</v>
      </c>
      <c r="M95" t="s">
        <v>1775</v>
      </c>
    </row>
    <row r="96" spans="1:13" x14ac:dyDescent="0.2">
      <c r="A96" s="49">
        <v>126641</v>
      </c>
      <c r="B96" s="49" t="s">
        <v>155</v>
      </c>
      <c r="C96" s="49" t="s">
        <v>22</v>
      </c>
      <c r="D96" s="49" t="s">
        <v>15</v>
      </c>
      <c r="E96" s="49" t="s">
        <v>12</v>
      </c>
      <c r="F96" s="49" t="s">
        <v>97</v>
      </c>
      <c r="G96" s="49">
        <v>2</v>
      </c>
      <c r="H96" s="49">
        <v>4</v>
      </c>
      <c r="I96" s="49">
        <v>2</v>
      </c>
      <c r="J96" s="49">
        <v>2</v>
      </c>
      <c r="K96" s="49">
        <v>2</v>
      </c>
      <c r="L96" s="49" t="s">
        <v>379</v>
      </c>
      <c r="M96" t="s">
        <v>1776</v>
      </c>
    </row>
    <row r="97" spans="1:13" x14ac:dyDescent="0.2">
      <c r="A97" s="49">
        <v>126588</v>
      </c>
      <c r="B97" s="49" t="s">
        <v>708</v>
      </c>
      <c r="C97" s="49" t="s">
        <v>9</v>
      </c>
      <c r="D97" s="49" t="s">
        <v>15</v>
      </c>
      <c r="E97" s="49" t="s">
        <v>8</v>
      </c>
      <c r="F97" s="49" t="s">
        <v>91</v>
      </c>
      <c r="G97" s="49">
        <v>48</v>
      </c>
      <c r="H97" s="49"/>
      <c r="I97" s="49"/>
      <c r="J97" s="49"/>
      <c r="K97" s="49"/>
      <c r="L97" s="49" t="s">
        <v>379</v>
      </c>
      <c r="M97" t="s">
        <v>1777</v>
      </c>
    </row>
    <row r="98" spans="1:13" x14ac:dyDescent="0.2">
      <c r="A98" s="49">
        <v>126586</v>
      </c>
      <c r="B98" s="49" t="s">
        <v>709</v>
      </c>
      <c r="C98" s="49" t="s">
        <v>9</v>
      </c>
      <c r="D98" s="49" t="s">
        <v>15</v>
      </c>
      <c r="E98" s="49" t="s">
        <v>8</v>
      </c>
      <c r="F98" s="49" t="s">
        <v>136</v>
      </c>
      <c r="G98" s="49">
        <v>6</v>
      </c>
      <c r="H98" s="49">
        <v>5</v>
      </c>
      <c r="I98" s="49">
        <v>2</v>
      </c>
      <c r="J98" s="49">
        <v>2</v>
      </c>
      <c r="K98" s="49">
        <v>3</v>
      </c>
      <c r="L98" s="49" t="s">
        <v>379</v>
      </c>
      <c r="M98" t="s">
        <v>1778</v>
      </c>
    </row>
    <row r="99" spans="1:13" x14ac:dyDescent="0.2">
      <c r="A99" s="49">
        <v>126585</v>
      </c>
      <c r="B99" s="49" t="s">
        <v>710</v>
      </c>
      <c r="C99" s="49" t="s">
        <v>9</v>
      </c>
      <c r="D99" s="49" t="s">
        <v>15</v>
      </c>
      <c r="E99" s="49" t="s">
        <v>8</v>
      </c>
      <c r="F99" s="49" t="s">
        <v>95</v>
      </c>
      <c r="G99" s="49">
        <v>20</v>
      </c>
      <c r="H99" s="49">
        <v>5</v>
      </c>
      <c r="I99" s="49">
        <v>2</v>
      </c>
      <c r="J99" s="49">
        <v>5</v>
      </c>
      <c r="K99" s="49">
        <v>2</v>
      </c>
      <c r="L99" s="49" t="s">
        <v>379</v>
      </c>
      <c r="M99" t="s">
        <v>1779</v>
      </c>
    </row>
    <row r="100" spans="1:13" x14ac:dyDescent="0.2">
      <c r="A100" s="49">
        <v>126584</v>
      </c>
      <c r="B100" s="49" t="s">
        <v>272</v>
      </c>
      <c r="C100" s="49" t="s">
        <v>9</v>
      </c>
      <c r="D100" s="49" t="s">
        <v>15</v>
      </c>
      <c r="E100" s="49" t="s">
        <v>8</v>
      </c>
      <c r="F100" s="49" t="s">
        <v>91</v>
      </c>
      <c r="G100" s="49">
        <v>24</v>
      </c>
      <c r="H100" s="49"/>
      <c r="I100" s="49"/>
      <c r="J100" s="49"/>
      <c r="K100" s="49"/>
      <c r="L100" s="49" t="s">
        <v>379</v>
      </c>
      <c r="M100" t="s">
        <v>1780</v>
      </c>
    </row>
    <row r="101" spans="1:13" x14ac:dyDescent="0.2">
      <c r="A101" s="49">
        <v>126583</v>
      </c>
      <c r="B101" s="49" t="s">
        <v>254</v>
      </c>
      <c r="C101" s="49" t="s">
        <v>9</v>
      </c>
      <c r="D101" s="49" t="s">
        <v>15</v>
      </c>
      <c r="E101" s="49" t="s">
        <v>8</v>
      </c>
      <c r="F101" s="49" t="s">
        <v>95</v>
      </c>
      <c r="G101" s="49">
        <v>28</v>
      </c>
      <c r="H101" s="49"/>
      <c r="I101" s="49"/>
      <c r="J101" s="49"/>
      <c r="K101" s="49"/>
      <c r="L101" s="49" t="s">
        <v>379</v>
      </c>
      <c r="M101" t="s">
        <v>1781</v>
      </c>
    </row>
    <row r="102" spans="1:13" x14ac:dyDescent="0.2">
      <c r="A102" s="49">
        <v>126581</v>
      </c>
      <c r="B102" s="49" t="s">
        <v>157</v>
      </c>
      <c r="C102" s="49" t="s">
        <v>9</v>
      </c>
      <c r="D102" s="49" t="s">
        <v>15</v>
      </c>
      <c r="E102" s="49" t="s">
        <v>8</v>
      </c>
      <c r="F102" s="49" t="s">
        <v>95</v>
      </c>
      <c r="G102" s="49">
        <v>31</v>
      </c>
      <c r="H102" s="49"/>
      <c r="I102" s="49"/>
      <c r="J102" s="49"/>
      <c r="K102" s="49"/>
      <c r="L102" s="49" t="s">
        <v>379</v>
      </c>
      <c r="M102" t="s">
        <v>1782</v>
      </c>
    </row>
    <row r="103" spans="1:13" x14ac:dyDescent="0.2">
      <c r="A103" s="49">
        <v>126580</v>
      </c>
      <c r="B103" s="49" t="s">
        <v>307</v>
      </c>
      <c r="C103" s="49" t="s">
        <v>9</v>
      </c>
      <c r="D103" s="49" t="s">
        <v>15</v>
      </c>
      <c r="E103" s="49" t="s">
        <v>8</v>
      </c>
      <c r="F103" s="49" t="s">
        <v>95</v>
      </c>
      <c r="G103" s="49">
        <v>50</v>
      </c>
      <c r="H103" s="49"/>
      <c r="I103" s="49"/>
      <c r="J103" s="49"/>
      <c r="K103" s="49"/>
      <c r="L103" s="49" t="s">
        <v>379</v>
      </c>
      <c r="M103" t="s">
        <v>1783</v>
      </c>
    </row>
    <row r="104" spans="1:13" x14ac:dyDescent="0.2">
      <c r="A104" s="49">
        <v>126579</v>
      </c>
      <c r="B104" s="49" t="s">
        <v>711</v>
      </c>
      <c r="C104" s="49" t="s">
        <v>9</v>
      </c>
      <c r="D104" s="49" t="s">
        <v>15</v>
      </c>
      <c r="E104" s="49" t="s">
        <v>8</v>
      </c>
      <c r="F104" s="49" t="s">
        <v>91</v>
      </c>
      <c r="G104" s="49">
        <v>36</v>
      </c>
      <c r="H104" s="49"/>
      <c r="I104" s="49"/>
      <c r="J104" s="49"/>
      <c r="K104" s="49"/>
      <c r="L104" s="49" t="s">
        <v>379</v>
      </c>
      <c r="M104" t="s">
        <v>1784</v>
      </c>
    </row>
    <row r="105" spans="1:13" x14ac:dyDescent="0.2">
      <c r="A105" s="49">
        <v>126578</v>
      </c>
      <c r="B105" s="49" t="s">
        <v>712</v>
      </c>
      <c r="C105" s="49" t="s">
        <v>9</v>
      </c>
      <c r="D105" s="49" t="s">
        <v>15</v>
      </c>
      <c r="E105" s="49" t="s">
        <v>8</v>
      </c>
      <c r="F105" s="49" t="s">
        <v>91</v>
      </c>
      <c r="G105" s="49">
        <v>38</v>
      </c>
      <c r="H105" s="49"/>
      <c r="I105" s="49"/>
      <c r="J105" s="49"/>
      <c r="K105" s="49"/>
      <c r="L105" s="49" t="s">
        <v>379</v>
      </c>
      <c r="M105" t="s">
        <v>1785</v>
      </c>
    </row>
    <row r="106" spans="1:13" x14ac:dyDescent="0.2">
      <c r="A106" s="49">
        <v>126577</v>
      </c>
      <c r="B106" s="49" t="s">
        <v>713</v>
      </c>
      <c r="C106" s="49" t="s">
        <v>9</v>
      </c>
      <c r="D106" s="49" t="s">
        <v>15</v>
      </c>
      <c r="E106" s="49" t="s">
        <v>8</v>
      </c>
      <c r="F106" s="49" t="s">
        <v>95</v>
      </c>
      <c r="G106" s="49">
        <v>40</v>
      </c>
      <c r="H106" s="49"/>
      <c r="I106" s="49"/>
      <c r="J106" s="49"/>
      <c r="K106" s="49"/>
      <c r="L106" s="49" t="s">
        <v>379</v>
      </c>
      <c r="M106" t="s">
        <v>1786</v>
      </c>
    </row>
    <row r="107" spans="1:13" x14ac:dyDescent="0.2">
      <c r="A107" s="49">
        <v>126576</v>
      </c>
      <c r="B107" s="49" t="s">
        <v>714</v>
      </c>
      <c r="C107" s="49" t="s">
        <v>11</v>
      </c>
      <c r="D107" s="49" t="s">
        <v>15</v>
      </c>
      <c r="E107" s="49" t="s">
        <v>11</v>
      </c>
      <c r="F107" s="49" t="s">
        <v>91</v>
      </c>
      <c r="G107" s="49">
        <v>2</v>
      </c>
      <c r="H107" s="49"/>
      <c r="I107" s="49"/>
      <c r="J107" s="49"/>
      <c r="K107" s="49"/>
      <c r="L107" s="49" t="s">
        <v>379</v>
      </c>
      <c r="M107" t="s">
        <v>1787</v>
      </c>
    </row>
    <row r="108" spans="1:13" x14ac:dyDescent="0.2">
      <c r="A108" s="49">
        <v>126575</v>
      </c>
      <c r="B108" s="49" t="s">
        <v>230</v>
      </c>
      <c r="C108" s="49" t="s">
        <v>11</v>
      </c>
      <c r="D108" s="49" t="s">
        <v>15</v>
      </c>
      <c r="E108" s="49" t="s">
        <v>11</v>
      </c>
      <c r="F108" s="49" t="s">
        <v>91</v>
      </c>
      <c r="G108" s="49">
        <v>10</v>
      </c>
      <c r="H108" s="49"/>
      <c r="I108" s="49"/>
      <c r="J108" s="49"/>
      <c r="K108" s="49"/>
      <c r="L108" s="49" t="s">
        <v>379</v>
      </c>
      <c r="M108" t="s">
        <v>1788</v>
      </c>
    </row>
    <row r="109" spans="1:13" x14ac:dyDescent="0.2">
      <c r="A109" s="49">
        <v>126574</v>
      </c>
      <c r="B109" s="49" t="s">
        <v>158</v>
      </c>
      <c r="C109" s="49" t="s">
        <v>11</v>
      </c>
      <c r="D109" s="49" t="s">
        <v>15</v>
      </c>
      <c r="E109" s="49" t="s">
        <v>11</v>
      </c>
      <c r="F109" s="49" t="s">
        <v>91</v>
      </c>
      <c r="G109" s="49">
        <v>1</v>
      </c>
      <c r="H109" s="49"/>
      <c r="I109" s="49"/>
      <c r="J109" s="49"/>
      <c r="K109" s="49"/>
      <c r="L109" s="49" t="s">
        <v>379</v>
      </c>
      <c r="M109" t="s">
        <v>1789</v>
      </c>
    </row>
    <row r="110" spans="1:13" x14ac:dyDescent="0.2">
      <c r="A110" s="49">
        <v>126509</v>
      </c>
      <c r="B110" s="49" t="s">
        <v>1618</v>
      </c>
      <c r="C110" s="49" t="s">
        <v>7</v>
      </c>
      <c r="D110" s="49" t="s">
        <v>15</v>
      </c>
      <c r="E110" s="49" t="s">
        <v>6</v>
      </c>
      <c r="F110" s="49" t="s">
        <v>91</v>
      </c>
      <c r="G110" s="49">
        <v>8</v>
      </c>
      <c r="H110" s="49"/>
      <c r="I110" s="49"/>
      <c r="J110" s="49"/>
      <c r="K110" s="49"/>
      <c r="L110" s="49" t="s">
        <v>379</v>
      </c>
      <c r="M110" t="s">
        <v>1790</v>
      </c>
    </row>
    <row r="111" spans="1:13" x14ac:dyDescent="0.2">
      <c r="A111" s="49">
        <v>126476</v>
      </c>
      <c r="B111" s="49" t="s">
        <v>1253</v>
      </c>
      <c r="C111" s="49" t="s">
        <v>23</v>
      </c>
      <c r="D111" s="49" t="s">
        <v>10</v>
      </c>
      <c r="E111" s="49" t="s">
        <v>5</v>
      </c>
      <c r="F111" s="49" t="s">
        <v>97</v>
      </c>
      <c r="G111" s="49">
        <v>13</v>
      </c>
      <c r="H111" s="49"/>
      <c r="I111" s="49"/>
      <c r="J111" s="49"/>
      <c r="K111" s="49"/>
      <c r="L111" s="49" t="s">
        <v>379</v>
      </c>
      <c r="M111" t="s">
        <v>1791</v>
      </c>
    </row>
    <row r="112" spans="1:13" x14ac:dyDescent="0.2">
      <c r="A112" s="49">
        <v>126459</v>
      </c>
      <c r="B112" s="49" t="s">
        <v>1619</v>
      </c>
      <c r="C112" s="49" t="s">
        <v>36</v>
      </c>
      <c r="D112" s="49" t="s">
        <v>15</v>
      </c>
      <c r="E112" s="49" t="s">
        <v>5</v>
      </c>
      <c r="F112" s="49" t="s">
        <v>91</v>
      </c>
      <c r="G112" s="49">
        <v>6</v>
      </c>
      <c r="H112" s="49"/>
      <c r="I112" s="49"/>
      <c r="J112" s="49"/>
      <c r="K112" s="49"/>
      <c r="L112" s="49" t="s">
        <v>379</v>
      </c>
      <c r="M112" t="s">
        <v>1792</v>
      </c>
    </row>
    <row r="113" spans="1:13" x14ac:dyDescent="0.2">
      <c r="A113" s="49">
        <v>126458</v>
      </c>
      <c r="B113" s="49" t="s">
        <v>1620</v>
      </c>
      <c r="C113" s="49" t="s">
        <v>36</v>
      </c>
      <c r="D113" s="49" t="s">
        <v>15</v>
      </c>
      <c r="E113" s="49" t="s">
        <v>5</v>
      </c>
      <c r="F113" s="49" t="s">
        <v>95</v>
      </c>
      <c r="G113" s="49">
        <v>1</v>
      </c>
      <c r="H113" s="49">
        <v>3</v>
      </c>
      <c r="I113" s="49"/>
      <c r="J113" s="49"/>
      <c r="K113" s="49"/>
      <c r="L113" s="49" t="s">
        <v>379</v>
      </c>
      <c r="M113" t="s">
        <v>1793</v>
      </c>
    </row>
    <row r="114" spans="1:13" x14ac:dyDescent="0.2">
      <c r="A114" s="49">
        <v>126423</v>
      </c>
      <c r="B114" s="49" t="s">
        <v>1621</v>
      </c>
      <c r="C114" s="49" t="s">
        <v>26</v>
      </c>
      <c r="D114" s="49" t="s">
        <v>15</v>
      </c>
      <c r="E114" s="49" t="s">
        <v>6</v>
      </c>
      <c r="F114" s="49" t="s">
        <v>94</v>
      </c>
      <c r="G114" s="49">
        <v>5</v>
      </c>
      <c r="H114" s="49">
        <v>3</v>
      </c>
      <c r="I114" s="49">
        <v>2</v>
      </c>
      <c r="J114" s="49">
        <v>2</v>
      </c>
      <c r="K114" s="49">
        <v>3</v>
      </c>
      <c r="L114" s="49" t="s">
        <v>379</v>
      </c>
      <c r="M114" t="s">
        <v>1794</v>
      </c>
    </row>
    <row r="115" spans="1:13" x14ac:dyDescent="0.2">
      <c r="A115" s="49">
        <v>126278</v>
      </c>
      <c r="B115" s="49" t="s">
        <v>715</v>
      </c>
      <c r="C115" s="49" t="s">
        <v>50</v>
      </c>
      <c r="D115" s="49" t="s">
        <v>15</v>
      </c>
      <c r="E115" s="49" t="s">
        <v>12</v>
      </c>
      <c r="F115" s="49" t="s">
        <v>91</v>
      </c>
      <c r="G115" s="49">
        <v>2</v>
      </c>
      <c r="H115" s="49">
        <v>2</v>
      </c>
      <c r="I115" s="49">
        <v>2</v>
      </c>
      <c r="J115" s="49">
        <v>2</v>
      </c>
      <c r="K115" s="49">
        <v>3</v>
      </c>
      <c r="L115" s="49" t="s">
        <v>379</v>
      </c>
      <c r="M115" t="s">
        <v>1795</v>
      </c>
    </row>
    <row r="116" spans="1:13" x14ac:dyDescent="0.2">
      <c r="A116" s="49">
        <v>126166</v>
      </c>
      <c r="B116" s="49" t="s">
        <v>197</v>
      </c>
      <c r="C116" s="49" t="s">
        <v>23</v>
      </c>
      <c r="D116" s="49" t="s">
        <v>10</v>
      </c>
      <c r="E116" s="49" t="s">
        <v>5</v>
      </c>
      <c r="F116" s="49" t="s">
        <v>95</v>
      </c>
      <c r="G116" s="49">
        <v>10</v>
      </c>
      <c r="H116" s="49">
        <v>4</v>
      </c>
      <c r="I116" s="49">
        <v>3</v>
      </c>
      <c r="J116" s="49">
        <v>3</v>
      </c>
      <c r="K116" s="49">
        <v>1</v>
      </c>
      <c r="L116" s="49" t="s">
        <v>379</v>
      </c>
      <c r="M116" t="s">
        <v>1796</v>
      </c>
    </row>
    <row r="117" spans="1:13" x14ac:dyDescent="0.2">
      <c r="A117" s="49">
        <v>126099</v>
      </c>
      <c r="B117" s="49" t="s">
        <v>200</v>
      </c>
      <c r="C117" s="49" t="s">
        <v>21</v>
      </c>
      <c r="D117" s="49" t="s">
        <v>15</v>
      </c>
      <c r="E117" s="49" t="s">
        <v>5</v>
      </c>
      <c r="F117" s="49" t="s">
        <v>95</v>
      </c>
      <c r="G117" s="49">
        <v>13</v>
      </c>
      <c r="H117" s="49"/>
      <c r="I117" s="49"/>
      <c r="J117" s="49"/>
      <c r="K117" s="49"/>
      <c r="L117" s="49" t="s">
        <v>379</v>
      </c>
      <c r="M117" t="s">
        <v>1797</v>
      </c>
    </row>
    <row r="118" spans="1:13" x14ac:dyDescent="0.2">
      <c r="A118" s="49">
        <v>126044</v>
      </c>
      <c r="B118" s="49" t="s">
        <v>176</v>
      </c>
      <c r="C118" s="49" t="s">
        <v>36</v>
      </c>
      <c r="D118" s="49" t="s">
        <v>10</v>
      </c>
      <c r="E118" s="49" t="s">
        <v>5</v>
      </c>
      <c r="F118" s="49" t="s">
        <v>95</v>
      </c>
      <c r="G118" s="49">
        <v>2</v>
      </c>
      <c r="H118" s="49"/>
      <c r="I118" s="49"/>
      <c r="J118" s="49"/>
      <c r="K118" s="49"/>
      <c r="L118" s="49" t="s">
        <v>379</v>
      </c>
      <c r="M118" t="s">
        <v>1798</v>
      </c>
    </row>
    <row r="119" spans="1:13" x14ac:dyDescent="0.2">
      <c r="A119" s="49">
        <v>126043</v>
      </c>
      <c r="B119" s="49" t="s">
        <v>716</v>
      </c>
      <c r="C119" s="49" t="s">
        <v>23</v>
      </c>
      <c r="D119" s="49" t="s">
        <v>10</v>
      </c>
      <c r="E119" s="49" t="s">
        <v>5</v>
      </c>
      <c r="F119" s="49" t="s">
        <v>95</v>
      </c>
      <c r="G119" s="49">
        <v>7</v>
      </c>
      <c r="H119" s="49">
        <v>4</v>
      </c>
      <c r="I119" s="49">
        <v>2</v>
      </c>
      <c r="J119" s="49">
        <v>2</v>
      </c>
      <c r="K119" s="49">
        <v>4</v>
      </c>
      <c r="L119" s="49" t="s">
        <v>379</v>
      </c>
      <c r="M119" t="s">
        <v>1799</v>
      </c>
    </row>
    <row r="120" spans="1:13" x14ac:dyDescent="0.2">
      <c r="A120" s="49">
        <v>126023</v>
      </c>
      <c r="B120" s="49" t="s">
        <v>717</v>
      </c>
      <c r="C120" s="49" t="s">
        <v>58</v>
      </c>
      <c r="D120" s="49" t="s">
        <v>4</v>
      </c>
      <c r="E120" s="49" t="s">
        <v>8</v>
      </c>
      <c r="F120" s="49" t="s">
        <v>95</v>
      </c>
      <c r="G120" s="49">
        <v>5</v>
      </c>
      <c r="H120" s="49"/>
      <c r="I120" s="49">
        <v>2</v>
      </c>
      <c r="J120" s="49">
        <v>1</v>
      </c>
      <c r="K120" s="49"/>
      <c r="L120" s="49" t="s">
        <v>379</v>
      </c>
      <c r="M120" t="s">
        <v>1800</v>
      </c>
    </row>
    <row r="121" spans="1:13" x14ac:dyDescent="0.2">
      <c r="A121" s="49">
        <v>125919</v>
      </c>
      <c r="B121" s="49" t="s">
        <v>718</v>
      </c>
      <c r="C121" s="49" t="s">
        <v>58</v>
      </c>
      <c r="D121" s="49" t="s">
        <v>10</v>
      </c>
      <c r="E121" s="49" t="s">
        <v>8</v>
      </c>
      <c r="F121" s="49" t="s">
        <v>91</v>
      </c>
      <c r="G121" s="49">
        <v>2</v>
      </c>
      <c r="H121" s="49"/>
      <c r="I121" s="49"/>
      <c r="J121" s="49"/>
      <c r="K121" s="49"/>
      <c r="L121" s="49" t="s">
        <v>379</v>
      </c>
      <c r="M121" t="s">
        <v>1801</v>
      </c>
    </row>
    <row r="122" spans="1:13" x14ac:dyDescent="0.2">
      <c r="A122" s="49">
        <v>125918</v>
      </c>
      <c r="B122" s="49" t="s">
        <v>719</v>
      </c>
      <c r="C122" s="49" t="s">
        <v>58</v>
      </c>
      <c r="D122" s="49" t="s">
        <v>15</v>
      </c>
      <c r="E122" s="49" t="s">
        <v>8</v>
      </c>
      <c r="F122" s="49" t="s">
        <v>91</v>
      </c>
      <c r="G122" s="49">
        <v>3</v>
      </c>
      <c r="H122" s="49"/>
      <c r="I122" s="49"/>
      <c r="J122" s="49"/>
      <c r="K122" s="49"/>
      <c r="L122" s="49" t="s">
        <v>379</v>
      </c>
      <c r="M122" t="s">
        <v>1802</v>
      </c>
    </row>
    <row r="123" spans="1:13" x14ac:dyDescent="0.2">
      <c r="A123" s="49">
        <v>125916</v>
      </c>
      <c r="B123" s="49" t="s">
        <v>720</v>
      </c>
      <c r="C123" s="49" t="s">
        <v>58</v>
      </c>
      <c r="D123" s="49" t="s">
        <v>15</v>
      </c>
      <c r="E123" s="49" t="s">
        <v>5</v>
      </c>
      <c r="F123" s="49" t="s">
        <v>97</v>
      </c>
      <c r="G123" s="49">
        <v>1</v>
      </c>
      <c r="H123" s="49"/>
      <c r="I123" s="49"/>
      <c r="J123" s="49"/>
      <c r="K123" s="49"/>
      <c r="L123" s="49" t="s">
        <v>379</v>
      </c>
      <c r="M123" t="s">
        <v>1803</v>
      </c>
    </row>
    <row r="124" spans="1:13" x14ac:dyDescent="0.2">
      <c r="A124" s="49">
        <v>125912</v>
      </c>
      <c r="B124" s="49" t="s">
        <v>721</v>
      </c>
      <c r="C124" s="49" t="s">
        <v>21</v>
      </c>
      <c r="D124" s="49" t="s">
        <v>4</v>
      </c>
      <c r="E124" s="49" t="s">
        <v>5</v>
      </c>
      <c r="F124" s="49" t="s">
        <v>91</v>
      </c>
      <c r="G124" s="49">
        <v>10</v>
      </c>
      <c r="H124" s="49">
        <v>2</v>
      </c>
      <c r="I124" s="49">
        <v>2</v>
      </c>
      <c r="J124" s="49">
        <v>3</v>
      </c>
      <c r="K124" s="49">
        <v>2</v>
      </c>
      <c r="L124" s="49" t="s">
        <v>379</v>
      </c>
      <c r="M124" t="s">
        <v>1804</v>
      </c>
    </row>
    <row r="125" spans="1:13" x14ac:dyDescent="0.2">
      <c r="A125" s="49">
        <v>125766</v>
      </c>
      <c r="B125" s="49" t="s">
        <v>239</v>
      </c>
      <c r="C125" s="49" t="s">
        <v>22</v>
      </c>
      <c r="D125" s="49" t="s">
        <v>15</v>
      </c>
      <c r="E125" s="49" t="s">
        <v>12</v>
      </c>
      <c r="F125" s="49" t="s">
        <v>130</v>
      </c>
      <c r="G125" s="49">
        <v>7</v>
      </c>
      <c r="H125" s="49">
        <v>1</v>
      </c>
      <c r="I125" s="49">
        <v>1</v>
      </c>
      <c r="J125" s="49">
        <v>1</v>
      </c>
      <c r="K125" s="49">
        <v>1</v>
      </c>
      <c r="L125" s="49" t="s">
        <v>379</v>
      </c>
      <c r="M125" t="s">
        <v>1805</v>
      </c>
    </row>
    <row r="126" spans="1:13" x14ac:dyDescent="0.2">
      <c r="A126" s="49">
        <v>125697</v>
      </c>
      <c r="B126" s="49" t="s">
        <v>722</v>
      </c>
      <c r="C126" s="49" t="s">
        <v>21</v>
      </c>
      <c r="D126" s="49" t="s">
        <v>15</v>
      </c>
      <c r="E126" s="49" t="s">
        <v>5</v>
      </c>
      <c r="F126" s="49" t="s">
        <v>95</v>
      </c>
      <c r="G126" s="49">
        <v>15</v>
      </c>
      <c r="H126" s="49">
        <v>3</v>
      </c>
      <c r="I126" s="49">
        <v>3</v>
      </c>
      <c r="J126" s="49">
        <v>3</v>
      </c>
      <c r="K126" s="49">
        <v>3</v>
      </c>
      <c r="L126" s="49" t="s">
        <v>379</v>
      </c>
      <c r="M126" t="s">
        <v>1806</v>
      </c>
    </row>
    <row r="127" spans="1:13" x14ac:dyDescent="0.2">
      <c r="A127" s="49">
        <v>125694</v>
      </c>
      <c r="B127" s="49" t="s">
        <v>723</v>
      </c>
      <c r="C127" s="49" t="s">
        <v>9</v>
      </c>
      <c r="D127" s="49" t="s">
        <v>15</v>
      </c>
      <c r="E127" s="49" t="s">
        <v>8</v>
      </c>
      <c r="F127" s="49" t="s">
        <v>95</v>
      </c>
      <c r="G127" s="49">
        <v>84</v>
      </c>
      <c r="H127" s="49"/>
      <c r="I127" s="49"/>
      <c r="J127" s="49"/>
      <c r="K127" s="49"/>
      <c r="L127" s="49" t="s">
        <v>379</v>
      </c>
      <c r="M127" t="s">
        <v>1807</v>
      </c>
    </row>
    <row r="128" spans="1:13" x14ac:dyDescent="0.2">
      <c r="A128" s="49">
        <v>125693</v>
      </c>
      <c r="B128" s="49" t="s">
        <v>300</v>
      </c>
      <c r="C128" s="49" t="s">
        <v>9</v>
      </c>
      <c r="D128" s="49" t="s">
        <v>15</v>
      </c>
      <c r="E128" s="49" t="s">
        <v>8</v>
      </c>
      <c r="F128" s="49" t="s">
        <v>94</v>
      </c>
      <c r="G128" s="49">
        <v>80</v>
      </c>
      <c r="H128" s="49">
        <v>3</v>
      </c>
      <c r="I128" s="49">
        <v>4</v>
      </c>
      <c r="J128" s="49">
        <v>4</v>
      </c>
      <c r="K128" s="49">
        <v>1</v>
      </c>
      <c r="L128" s="49" t="s">
        <v>379</v>
      </c>
      <c r="M128" t="s">
        <v>1808</v>
      </c>
    </row>
    <row r="129" spans="1:13" x14ac:dyDescent="0.2">
      <c r="A129" s="49">
        <v>125692</v>
      </c>
      <c r="B129" s="49" t="s">
        <v>724</v>
      </c>
      <c r="C129" s="49" t="s">
        <v>9</v>
      </c>
      <c r="D129" s="49" t="s">
        <v>15</v>
      </c>
      <c r="E129" s="49" t="s">
        <v>8</v>
      </c>
      <c r="F129" s="49" t="s">
        <v>94</v>
      </c>
      <c r="G129" s="49">
        <v>79</v>
      </c>
      <c r="H129" s="49">
        <v>3</v>
      </c>
      <c r="I129" s="49">
        <v>4</v>
      </c>
      <c r="J129" s="49">
        <v>4</v>
      </c>
      <c r="K129" s="49">
        <v>1</v>
      </c>
      <c r="L129" s="49" t="s">
        <v>379</v>
      </c>
      <c r="M129" t="s">
        <v>1809</v>
      </c>
    </row>
    <row r="130" spans="1:13" x14ac:dyDescent="0.2">
      <c r="A130" s="49">
        <v>125545</v>
      </c>
      <c r="B130" s="49" t="s">
        <v>260</v>
      </c>
      <c r="C130" s="49" t="s">
        <v>9</v>
      </c>
      <c r="D130" s="49" t="s">
        <v>15</v>
      </c>
      <c r="E130" s="49" t="s">
        <v>8</v>
      </c>
      <c r="F130" s="49" t="s">
        <v>91</v>
      </c>
      <c r="G130" s="49">
        <v>34</v>
      </c>
      <c r="H130" s="49">
        <v>5</v>
      </c>
      <c r="I130" s="49">
        <v>2</v>
      </c>
      <c r="J130" s="49">
        <v>1</v>
      </c>
      <c r="K130" s="49"/>
      <c r="L130" s="49" t="s">
        <v>379</v>
      </c>
      <c r="M130" t="s">
        <v>1810</v>
      </c>
    </row>
    <row r="131" spans="1:13" x14ac:dyDescent="0.2">
      <c r="A131" s="49">
        <v>125543</v>
      </c>
      <c r="B131" s="49" t="s">
        <v>173</v>
      </c>
      <c r="C131" s="49" t="s">
        <v>9</v>
      </c>
      <c r="D131" s="49" t="s">
        <v>10</v>
      </c>
      <c r="E131" s="49" t="s">
        <v>8</v>
      </c>
      <c r="F131" s="49" t="s">
        <v>96</v>
      </c>
      <c r="G131" s="49">
        <v>3</v>
      </c>
      <c r="H131" s="49">
        <v>3</v>
      </c>
      <c r="I131" s="49">
        <v>1</v>
      </c>
      <c r="J131" s="49">
        <v>1</v>
      </c>
      <c r="K131" s="49">
        <v>2</v>
      </c>
      <c r="L131" s="49" t="s">
        <v>379</v>
      </c>
      <c r="M131" t="s">
        <v>1811</v>
      </c>
    </row>
    <row r="132" spans="1:13" x14ac:dyDescent="0.2">
      <c r="A132" s="49">
        <v>125275</v>
      </c>
      <c r="B132" s="49" t="s">
        <v>725</v>
      </c>
      <c r="C132" s="49" t="s">
        <v>7</v>
      </c>
      <c r="D132" s="49" t="s">
        <v>15</v>
      </c>
      <c r="E132" s="49" t="s">
        <v>6</v>
      </c>
      <c r="F132" s="49" t="s">
        <v>91</v>
      </c>
      <c r="G132" s="49">
        <v>11</v>
      </c>
      <c r="H132" s="49"/>
      <c r="I132" s="49"/>
      <c r="J132" s="49"/>
      <c r="K132" s="49"/>
      <c r="L132" s="49" t="s">
        <v>379</v>
      </c>
      <c r="M132" t="s">
        <v>1812</v>
      </c>
    </row>
    <row r="133" spans="1:13" x14ac:dyDescent="0.2">
      <c r="A133" s="49">
        <v>125218</v>
      </c>
      <c r="B133" s="49" t="s">
        <v>167</v>
      </c>
      <c r="C133" s="49" t="s">
        <v>98</v>
      </c>
      <c r="D133" s="49" t="s">
        <v>15</v>
      </c>
      <c r="E133" s="49" t="s">
        <v>12</v>
      </c>
      <c r="F133" s="49" t="s">
        <v>97</v>
      </c>
      <c r="G133" s="49">
        <v>3</v>
      </c>
      <c r="H133" s="49"/>
      <c r="I133" s="49"/>
      <c r="J133" s="49"/>
      <c r="K133" s="49"/>
      <c r="L133" s="49" t="s">
        <v>379</v>
      </c>
      <c r="M133" t="s">
        <v>1813</v>
      </c>
    </row>
    <row r="134" spans="1:13" x14ac:dyDescent="0.2">
      <c r="A134" s="49">
        <v>124619</v>
      </c>
      <c r="B134" s="49" t="s">
        <v>726</v>
      </c>
      <c r="C134" s="49" t="s">
        <v>23</v>
      </c>
      <c r="D134" s="49" t="s">
        <v>10</v>
      </c>
      <c r="E134" s="49" t="s">
        <v>5</v>
      </c>
      <c r="F134" s="49" t="s">
        <v>91</v>
      </c>
      <c r="G134" s="49">
        <v>14</v>
      </c>
      <c r="H134" s="49"/>
      <c r="I134" s="49"/>
      <c r="J134" s="49"/>
      <c r="K134" s="49"/>
      <c r="L134" s="49" t="s">
        <v>379</v>
      </c>
      <c r="M134" t="s">
        <v>1814</v>
      </c>
    </row>
    <row r="135" spans="1:13" x14ac:dyDescent="0.2">
      <c r="A135" s="49">
        <v>124599</v>
      </c>
      <c r="B135" s="49" t="s">
        <v>727</v>
      </c>
      <c r="C135" s="49" t="s">
        <v>25</v>
      </c>
      <c r="D135" s="49" t="s">
        <v>17</v>
      </c>
      <c r="E135" s="49" t="s">
        <v>5</v>
      </c>
      <c r="F135" s="49" t="s">
        <v>95</v>
      </c>
      <c r="G135" s="49">
        <v>3</v>
      </c>
      <c r="H135" s="49"/>
      <c r="I135" s="49"/>
      <c r="J135" s="49"/>
      <c r="K135" s="49"/>
      <c r="L135" s="49" t="s">
        <v>379</v>
      </c>
      <c r="M135" t="s">
        <v>1815</v>
      </c>
    </row>
    <row r="136" spans="1:13" x14ac:dyDescent="0.2">
      <c r="A136" s="49">
        <v>124133</v>
      </c>
      <c r="B136" s="49" t="s">
        <v>228</v>
      </c>
      <c r="C136" s="49" t="s">
        <v>22</v>
      </c>
      <c r="D136" s="49" t="s">
        <v>15</v>
      </c>
      <c r="E136" s="49" t="s">
        <v>12</v>
      </c>
      <c r="F136" s="49" t="s">
        <v>91</v>
      </c>
      <c r="G136" s="49">
        <v>8</v>
      </c>
      <c r="H136" s="49"/>
      <c r="I136" s="49"/>
      <c r="J136" s="49"/>
      <c r="K136" s="49"/>
      <c r="L136" s="49" t="s">
        <v>379</v>
      </c>
      <c r="M136" t="s">
        <v>1816</v>
      </c>
    </row>
    <row r="137" spans="1:13" x14ac:dyDescent="0.2">
      <c r="A137" s="49">
        <v>124021</v>
      </c>
      <c r="B137" s="49" t="s">
        <v>728</v>
      </c>
      <c r="C137" s="49" t="s">
        <v>9</v>
      </c>
      <c r="D137" s="49" t="s">
        <v>15</v>
      </c>
      <c r="E137" s="49" t="s">
        <v>8</v>
      </c>
      <c r="F137" s="49" t="s">
        <v>130</v>
      </c>
      <c r="G137" s="49">
        <v>14</v>
      </c>
      <c r="H137" s="49"/>
      <c r="I137" s="49"/>
      <c r="J137" s="49"/>
      <c r="K137" s="49"/>
      <c r="L137" s="49" t="s">
        <v>379</v>
      </c>
      <c r="M137" t="s">
        <v>1817</v>
      </c>
    </row>
    <row r="138" spans="1:13" x14ac:dyDescent="0.2">
      <c r="A138" s="49">
        <v>124000</v>
      </c>
      <c r="B138" s="49" t="s">
        <v>729</v>
      </c>
      <c r="C138" s="49" t="s">
        <v>23</v>
      </c>
      <c r="D138" s="49" t="s">
        <v>10</v>
      </c>
      <c r="E138" s="49" t="s">
        <v>5</v>
      </c>
      <c r="F138" s="49" t="s">
        <v>91</v>
      </c>
      <c r="G138" s="49">
        <v>21</v>
      </c>
      <c r="H138" s="49"/>
      <c r="I138" s="49"/>
      <c r="J138" s="49"/>
      <c r="K138" s="49"/>
      <c r="L138" s="49" t="s">
        <v>379</v>
      </c>
      <c r="M138" t="s">
        <v>1818</v>
      </c>
    </row>
    <row r="139" spans="1:13" x14ac:dyDescent="0.2">
      <c r="A139" s="49">
        <v>123999</v>
      </c>
      <c r="B139" s="49" t="s">
        <v>211</v>
      </c>
      <c r="C139" s="49" t="s">
        <v>23</v>
      </c>
      <c r="D139" s="49" t="s">
        <v>10</v>
      </c>
      <c r="E139" s="49" t="s">
        <v>5</v>
      </c>
      <c r="F139" s="49" t="s">
        <v>95</v>
      </c>
      <c r="G139" s="49">
        <v>24</v>
      </c>
      <c r="H139" s="49"/>
      <c r="I139" s="49"/>
      <c r="J139" s="49"/>
      <c r="K139" s="49"/>
      <c r="L139" s="49" t="s">
        <v>379</v>
      </c>
      <c r="M139" t="s">
        <v>1709</v>
      </c>
    </row>
    <row r="140" spans="1:13" x14ac:dyDescent="0.2">
      <c r="A140" s="49">
        <v>123649</v>
      </c>
      <c r="B140" s="49" t="s">
        <v>134</v>
      </c>
      <c r="C140" s="49" t="s">
        <v>37</v>
      </c>
      <c r="D140" s="49" t="s">
        <v>10</v>
      </c>
      <c r="E140" s="49" t="s">
        <v>5</v>
      </c>
      <c r="F140" s="49" t="s">
        <v>94</v>
      </c>
      <c r="G140" s="49">
        <v>1</v>
      </c>
      <c r="H140" s="49">
        <v>3</v>
      </c>
      <c r="I140" s="49">
        <v>2</v>
      </c>
      <c r="J140" s="49">
        <v>4</v>
      </c>
      <c r="K140" s="49">
        <v>2</v>
      </c>
      <c r="L140" s="49" t="s">
        <v>379</v>
      </c>
      <c r="M140" t="s">
        <v>1819</v>
      </c>
    </row>
    <row r="141" spans="1:13" x14ac:dyDescent="0.2">
      <c r="A141" s="49">
        <v>123648</v>
      </c>
      <c r="B141" s="49" t="s">
        <v>730</v>
      </c>
      <c r="C141" s="49" t="s">
        <v>23</v>
      </c>
      <c r="D141" s="49" t="s">
        <v>10</v>
      </c>
      <c r="E141" s="49" t="s">
        <v>5</v>
      </c>
      <c r="F141" s="49" t="s">
        <v>91</v>
      </c>
      <c r="G141" s="49">
        <v>16</v>
      </c>
      <c r="H141" s="49"/>
      <c r="I141" s="49"/>
      <c r="J141" s="49"/>
      <c r="K141" s="49"/>
      <c r="L141" s="49" t="s">
        <v>379</v>
      </c>
      <c r="M141" t="s">
        <v>1820</v>
      </c>
    </row>
    <row r="142" spans="1:13" x14ac:dyDescent="0.2">
      <c r="A142" s="49">
        <v>123596</v>
      </c>
      <c r="B142" s="49" t="s">
        <v>731</v>
      </c>
      <c r="C142" s="49" t="s">
        <v>58</v>
      </c>
      <c r="D142" s="49" t="s">
        <v>4</v>
      </c>
      <c r="E142" s="49" t="s">
        <v>8</v>
      </c>
      <c r="F142" s="49" t="s">
        <v>91</v>
      </c>
      <c r="G142" s="49">
        <v>4</v>
      </c>
      <c r="H142" s="49"/>
      <c r="I142" s="49"/>
      <c r="J142" s="49"/>
      <c r="K142" s="49"/>
      <c r="L142" s="49" t="s">
        <v>379</v>
      </c>
      <c r="M142" t="s">
        <v>1821</v>
      </c>
    </row>
    <row r="143" spans="1:13" x14ac:dyDescent="0.2">
      <c r="A143" s="49">
        <v>123004</v>
      </c>
      <c r="B143" s="49" t="s">
        <v>732</v>
      </c>
      <c r="C143" s="49" t="s">
        <v>23</v>
      </c>
      <c r="D143" s="49" t="s">
        <v>10</v>
      </c>
      <c r="E143" s="49" t="s">
        <v>5</v>
      </c>
      <c r="F143" s="49" t="s">
        <v>91</v>
      </c>
      <c r="G143" s="49">
        <v>20</v>
      </c>
      <c r="H143" s="49"/>
      <c r="I143" s="49"/>
      <c r="J143" s="49"/>
      <c r="K143" s="49"/>
      <c r="L143" s="49" t="s">
        <v>379</v>
      </c>
      <c r="M143" t="s">
        <v>1822</v>
      </c>
    </row>
    <row r="144" spans="1:13" x14ac:dyDescent="0.2">
      <c r="A144" s="49">
        <v>122320</v>
      </c>
      <c r="B144" s="49" t="s">
        <v>733</v>
      </c>
      <c r="C144" s="49" t="s">
        <v>26</v>
      </c>
      <c r="D144" s="49" t="s">
        <v>15</v>
      </c>
      <c r="E144" s="49" t="s">
        <v>6</v>
      </c>
      <c r="F144" s="49" t="s">
        <v>96</v>
      </c>
      <c r="G144" s="49">
        <v>6</v>
      </c>
      <c r="H144" s="49">
        <v>4</v>
      </c>
      <c r="I144" s="49">
        <v>2</v>
      </c>
      <c r="J144" s="49">
        <v>3</v>
      </c>
      <c r="K144" s="49">
        <v>2</v>
      </c>
      <c r="L144" s="49" t="s">
        <v>379</v>
      </c>
      <c r="M144" t="s">
        <v>1823</v>
      </c>
    </row>
    <row r="145" spans="1:13" x14ac:dyDescent="0.2">
      <c r="A145" s="49">
        <v>121353</v>
      </c>
      <c r="B145" s="49" t="s">
        <v>734</v>
      </c>
      <c r="C145" s="49" t="s">
        <v>24</v>
      </c>
      <c r="D145" s="49" t="s">
        <v>16</v>
      </c>
      <c r="E145" s="49" t="s">
        <v>5</v>
      </c>
      <c r="F145" s="49" t="s">
        <v>91</v>
      </c>
      <c r="G145" s="49">
        <v>2</v>
      </c>
      <c r="H145" s="49"/>
      <c r="I145" s="49"/>
      <c r="J145" s="49"/>
      <c r="K145" s="49"/>
      <c r="L145" s="49" t="s">
        <v>379</v>
      </c>
      <c r="M145" t="s">
        <v>1824</v>
      </c>
    </row>
    <row r="146" spans="1:13" x14ac:dyDescent="0.2">
      <c r="A146" s="49">
        <v>120972</v>
      </c>
      <c r="B146" s="49" t="s">
        <v>131</v>
      </c>
      <c r="C146" s="49" t="s">
        <v>37</v>
      </c>
      <c r="D146" s="49" t="s">
        <v>4</v>
      </c>
      <c r="E146" s="49" t="s">
        <v>5</v>
      </c>
      <c r="F146" s="49" t="s">
        <v>97</v>
      </c>
      <c r="G146" s="49">
        <v>5</v>
      </c>
      <c r="H146" s="49"/>
      <c r="I146" s="49"/>
      <c r="J146" s="49"/>
      <c r="K146" s="49"/>
      <c r="L146" s="49" t="s">
        <v>379</v>
      </c>
      <c r="M146" t="s">
        <v>1825</v>
      </c>
    </row>
    <row r="147" spans="1:13" x14ac:dyDescent="0.2">
      <c r="A147" s="49">
        <v>120815</v>
      </c>
      <c r="B147" s="49" t="s">
        <v>735</v>
      </c>
      <c r="C147" s="49" t="s">
        <v>24</v>
      </c>
      <c r="D147" s="49" t="s">
        <v>16</v>
      </c>
      <c r="E147" s="49" t="s">
        <v>5</v>
      </c>
      <c r="F147" s="49" t="s">
        <v>91</v>
      </c>
      <c r="G147" s="49">
        <v>3</v>
      </c>
      <c r="H147" s="49"/>
      <c r="I147" s="49"/>
      <c r="J147" s="49"/>
      <c r="K147" s="49"/>
      <c r="L147" s="49" t="s">
        <v>379</v>
      </c>
      <c r="M147" t="s">
        <v>1826</v>
      </c>
    </row>
    <row r="148" spans="1:13" x14ac:dyDescent="0.2">
      <c r="A148" s="49">
        <v>120278</v>
      </c>
      <c r="B148" s="49" t="s">
        <v>736</v>
      </c>
      <c r="C148" s="49" t="s">
        <v>98</v>
      </c>
      <c r="D148" s="49" t="s">
        <v>15</v>
      </c>
      <c r="E148" s="49" t="s">
        <v>12</v>
      </c>
      <c r="F148" s="49" t="s">
        <v>91</v>
      </c>
      <c r="G148" s="49">
        <v>5</v>
      </c>
      <c r="H148" s="49"/>
      <c r="I148" s="49"/>
      <c r="J148" s="49"/>
      <c r="K148" s="49"/>
      <c r="L148" s="49" t="s">
        <v>379</v>
      </c>
      <c r="M148" t="s">
        <v>1827</v>
      </c>
    </row>
    <row r="149" spans="1:13" x14ac:dyDescent="0.2">
      <c r="A149" s="49">
        <v>119415</v>
      </c>
      <c r="B149" s="49" t="s">
        <v>738</v>
      </c>
      <c r="C149" s="49" t="s">
        <v>7</v>
      </c>
      <c r="D149" s="49" t="s">
        <v>10</v>
      </c>
      <c r="E149" s="49" t="s">
        <v>6</v>
      </c>
      <c r="F149" s="49" t="s">
        <v>95</v>
      </c>
      <c r="G149" s="49">
        <v>14</v>
      </c>
      <c r="H149" s="49"/>
      <c r="I149" s="49"/>
      <c r="J149" s="49"/>
      <c r="K149" s="49"/>
      <c r="L149" s="49" t="s">
        <v>379</v>
      </c>
      <c r="M149" t="s">
        <v>1828</v>
      </c>
    </row>
    <row r="150" spans="1:13" x14ac:dyDescent="0.2">
      <c r="A150" s="49">
        <v>118750</v>
      </c>
      <c r="B150" s="49" t="s">
        <v>739</v>
      </c>
      <c r="C150" s="49" t="s">
        <v>23</v>
      </c>
      <c r="D150" s="49" t="s">
        <v>10</v>
      </c>
      <c r="E150" s="49" t="s">
        <v>5</v>
      </c>
      <c r="F150" s="49" t="s">
        <v>91</v>
      </c>
      <c r="G150" s="49">
        <v>18</v>
      </c>
      <c r="H150" s="49"/>
      <c r="I150" s="49"/>
      <c r="J150" s="49"/>
      <c r="K150" s="49"/>
      <c r="L150" s="49" t="s">
        <v>379</v>
      </c>
      <c r="M150" t="s">
        <v>1829</v>
      </c>
    </row>
    <row r="151" spans="1:13" x14ac:dyDescent="0.2">
      <c r="A151" s="49">
        <v>118174</v>
      </c>
      <c r="B151" s="49" t="s">
        <v>740</v>
      </c>
      <c r="C151" s="49" t="s">
        <v>25</v>
      </c>
      <c r="D151" s="49" t="s">
        <v>17</v>
      </c>
      <c r="E151" s="49" t="s">
        <v>5</v>
      </c>
      <c r="F151" s="49" t="s">
        <v>91</v>
      </c>
      <c r="G151" s="49">
        <v>1</v>
      </c>
      <c r="H151" s="49"/>
      <c r="I151" s="49"/>
      <c r="J151" s="49"/>
      <c r="K151" s="49"/>
      <c r="L151" s="49" t="s">
        <v>379</v>
      </c>
      <c r="M151" t="s">
        <v>1830</v>
      </c>
    </row>
    <row r="152" spans="1:13" x14ac:dyDescent="0.2">
      <c r="A152" s="49">
        <v>116662</v>
      </c>
      <c r="B152" s="49" t="s">
        <v>741</v>
      </c>
      <c r="C152" s="49" t="s">
        <v>21</v>
      </c>
      <c r="D152" s="49" t="s">
        <v>15</v>
      </c>
      <c r="E152" s="49" t="s">
        <v>5</v>
      </c>
      <c r="F152" s="49" t="s">
        <v>136</v>
      </c>
      <c r="G152" s="49">
        <v>3</v>
      </c>
      <c r="H152" s="49">
        <v>5</v>
      </c>
      <c r="I152" s="49"/>
      <c r="J152" s="49"/>
      <c r="K152" s="49"/>
      <c r="L152" s="49" t="s">
        <v>379</v>
      </c>
      <c r="M152" t="s">
        <v>1831</v>
      </c>
    </row>
    <row r="153" spans="1:13" x14ac:dyDescent="0.2">
      <c r="A153" s="49">
        <v>115295</v>
      </c>
      <c r="B153" s="49" t="s">
        <v>1555</v>
      </c>
      <c r="C153" s="49" t="s">
        <v>7</v>
      </c>
      <c r="D153" s="49" t="s">
        <v>10</v>
      </c>
      <c r="E153" s="49" t="s">
        <v>6</v>
      </c>
      <c r="F153" s="49" t="s">
        <v>1707</v>
      </c>
      <c r="G153" s="49">
        <v>999</v>
      </c>
      <c r="H153" s="49"/>
      <c r="I153" s="49"/>
      <c r="J153" s="49"/>
      <c r="K153" s="49"/>
      <c r="L153" s="49" t="s">
        <v>379</v>
      </c>
      <c r="M153" t="s">
        <v>1709</v>
      </c>
    </row>
    <row r="154" spans="1:13" x14ac:dyDescent="0.2">
      <c r="A154" s="49">
        <v>113960</v>
      </c>
      <c r="B154" s="49" t="s">
        <v>742</v>
      </c>
      <c r="C154" s="49" t="s">
        <v>37</v>
      </c>
      <c r="D154" s="49" t="s">
        <v>15</v>
      </c>
      <c r="E154" s="49" t="s">
        <v>5</v>
      </c>
      <c r="F154" s="49" t="s">
        <v>91</v>
      </c>
      <c r="G154" s="49">
        <v>40</v>
      </c>
      <c r="H154" s="49"/>
      <c r="I154" s="49"/>
      <c r="J154" s="49"/>
      <c r="K154" s="49"/>
      <c r="L154" s="49" t="s">
        <v>379</v>
      </c>
      <c r="M154" t="s">
        <v>1832</v>
      </c>
    </row>
    <row r="155" spans="1:13" x14ac:dyDescent="0.2">
      <c r="A155" s="49">
        <v>111689</v>
      </c>
      <c r="B155" s="49" t="s">
        <v>743</v>
      </c>
      <c r="C155" s="49" t="s">
        <v>24</v>
      </c>
      <c r="D155" s="49" t="s">
        <v>16</v>
      </c>
      <c r="E155" s="49" t="s">
        <v>5</v>
      </c>
      <c r="F155" s="49" t="s">
        <v>91</v>
      </c>
      <c r="G155" s="49">
        <v>8</v>
      </c>
      <c r="H155" s="49"/>
      <c r="I155" s="49"/>
      <c r="J155" s="49"/>
      <c r="K155" s="49"/>
      <c r="L155" s="49" t="s">
        <v>379</v>
      </c>
      <c r="M155" t="s">
        <v>1833</v>
      </c>
    </row>
    <row r="156" spans="1:13" x14ac:dyDescent="0.2">
      <c r="A156" s="49">
        <v>111495</v>
      </c>
      <c r="B156" s="49" t="s">
        <v>165</v>
      </c>
      <c r="C156" s="49" t="s">
        <v>47</v>
      </c>
      <c r="D156" s="49" t="s">
        <v>15</v>
      </c>
      <c r="E156" s="49" t="s">
        <v>12</v>
      </c>
      <c r="F156" s="49" t="s">
        <v>91</v>
      </c>
      <c r="G156" s="49">
        <v>2</v>
      </c>
      <c r="H156" s="49"/>
      <c r="I156" s="49"/>
      <c r="J156" s="49"/>
      <c r="K156" s="49"/>
      <c r="L156" s="49" t="s">
        <v>379</v>
      </c>
      <c r="M156" t="s">
        <v>1834</v>
      </c>
    </row>
    <row r="157" spans="1:13" x14ac:dyDescent="0.2">
      <c r="A157" s="49">
        <v>108370</v>
      </c>
      <c r="B157" s="49" t="s">
        <v>220</v>
      </c>
      <c r="C157" s="49" t="s">
        <v>21</v>
      </c>
      <c r="D157" s="49" t="s">
        <v>15</v>
      </c>
      <c r="E157" s="49" t="s">
        <v>5</v>
      </c>
      <c r="F157" s="49" t="s">
        <v>91</v>
      </c>
      <c r="G157" s="49">
        <v>18</v>
      </c>
      <c r="H157" s="49"/>
      <c r="I157" s="49"/>
      <c r="J157" s="49"/>
      <c r="K157" s="49"/>
      <c r="L157" s="49" t="s">
        <v>379</v>
      </c>
      <c r="M157" t="s">
        <v>1835</v>
      </c>
    </row>
    <row r="158" spans="1:13" x14ac:dyDescent="0.2">
      <c r="A158" s="49">
        <v>107975</v>
      </c>
      <c r="B158" s="49" t="s">
        <v>744</v>
      </c>
      <c r="C158" s="49" t="s">
        <v>58</v>
      </c>
      <c r="D158" s="49" t="s">
        <v>15</v>
      </c>
      <c r="E158" s="49" t="s">
        <v>8</v>
      </c>
      <c r="F158" s="49" t="s">
        <v>91</v>
      </c>
      <c r="G158" s="49">
        <v>7</v>
      </c>
      <c r="H158" s="49"/>
      <c r="I158" s="49"/>
      <c r="J158" s="49"/>
      <c r="K158" s="49"/>
      <c r="L158" s="49" t="s">
        <v>379</v>
      </c>
      <c r="M158" t="s">
        <v>1836</v>
      </c>
    </row>
    <row r="159" spans="1:13" x14ac:dyDescent="0.2">
      <c r="A159" s="49">
        <v>107435</v>
      </c>
      <c r="B159" s="49" t="s">
        <v>745</v>
      </c>
      <c r="C159" s="49" t="s">
        <v>37</v>
      </c>
      <c r="D159" s="49" t="s">
        <v>10</v>
      </c>
      <c r="E159" s="49" t="s">
        <v>5</v>
      </c>
      <c r="F159" s="49" t="s">
        <v>91</v>
      </c>
      <c r="G159" s="49">
        <v>8</v>
      </c>
      <c r="H159" s="49"/>
      <c r="I159" s="49"/>
      <c r="J159" s="49"/>
      <c r="K159" s="49"/>
      <c r="L159" s="49" t="s">
        <v>379</v>
      </c>
      <c r="M159" t="s">
        <v>1837</v>
      </c>
    </row>
    <row r="160" spans="1:13" x14ac:dyDescent="0.2">
      <c r="A160" s="49">
        <v>106746</v>
      </c>
      <c r="B160" s="49" t="s">
        <v>375</v>
      </c>
      <c r="C160" s="49" t="s">
        <v>9</v>
      </c>
      <c r="D160" s="49" t="s">
        <v>15</v>
      </c>
      <c r="E160" s="49" t="s">
        <v>8</v>
      </c>
      <c r="F160" s="49" t="s">
        <v>91</v>
      </c>
      <c r="G160" s="49">
        <v>35</v>
      </c>
      <c r="H160" s="49"/>
      <c r="I160" s="49"/>
      <c r="J160" s="49"/>
      <c r="K160" s="49"/>
      <c r="L160" s="49" t="s">
        <v>379</v>
      </c>
      <c r="M160" t="s">
        <v>1838</v>
      </c>
    </row>
    <row r="161" spans="1:13" x14ac:dyDescent="0.2">
      <c r="A161" s="49">
        <v>105944</v>
      </c>
      <c r="B161" s="49" t="s">
        <v>746</v>
      </c>
      <c r="C161" s="49" t="s">
        <v>23</v>
      </c>
      <c r="D161" s="49" t="s">
        <v>10</v>
      </c>
      <c r="E161" s="49" t="s">
        <v>5</v>
      </c>
      <c r="F161" s="49" t="s">
        <v>95</v>
      </c>
      <c r="G161" s="49">
        <v>9</v>
      </c>
      <c r="H161" s="49"/>
      <c r="I161" s="49"/>
      <c r="J161" s="49"/>
      <c r="K161" s="49"/>
      <c r="L161" s="49" t="s">
        <v>379</v>
      </c>
      <c r="M161" t="s">
        <v>1839</v>
      </c>
    </row>
    <row r="162" spans="1:13" x14ac:dyDescent="0.2">
      <c r="A162" s="49">
        <v>105938</v>
      </c>
      <c r="B162" s="49" t="s">
        <v>747</v>
      </c>
      <c r="C162" s="49" t="s">
        <v>23</v>
      </c>
      <c r="D162" s="49" t="s">
        <v>10</v>
      </c>
      <c r="E162" s="49" t="s">
        <v>5</v>
      </c>
      <c r="F162" s="49" t="s">
        <v>91</v>
      </c>
      <c r="G162" s="49">
        <v>34</v>
      </c>
      <c r="H162" s="49"/>
      <c r="I162" s="49"/>
      <c r="J162" s="49"/>
      <c r="K162" s="49"/>
      <c r="L162" s="49" t="s">
        <v>379</v>
      </c>
      <c r="M162" t="s">
        <v>1840</v>
      </c>
    </row>
    <row r="163" spans="1:13" x14ac:dyDescent="0.2">
      <c r="A163" s="49">
        <v>105685</v>
      </c>
      <c r="B163" s="49" t="s">
        <v>1556</v>
      </c>
      <c r="C163" s="49" t="s">
        <v>60</v>
      </c>
      <c r="D163" s="49" t="s">
        <v>15</v>
      </c>
      <c r="E163" s="49" t="s">
        <v>8</v>
      </c>
      <c r="F163" s="49" t="s">
        <v>91</v>
      </c>
      <c r="G163" s="49">
        <v>3</v>
      </c>
      <c r="H163" s="49"/>
      <c r="I163" s="49"/>
      <c r="J163" s="49"/>
      <c r="K163" s="49"/>
      <c r="L163" s="49" t="s">
        <v>379</v>
      </c>
      <c r="M163" t="s">
        <v>1709</v>
      </c>
    </row>
    <row r="164" spans="1:13" x14ac:dyDescent="0.2">
      <c r="A164" s="49">
        <v>103865</v>
      </c>
      <c r="B164" s="49" t="s">
        <v>748</v>
      </c>
      <c r="C164" s="49" t="s">
        <v>21</v>
      </c>
      <c r="D164" s="49" t="s">
        <v>4</v>
      </c>
      <c r="E164" s="49" t="s">
        <v>5</v>
      </c>
      <c r="F164" s="49" t="s">
        <v>91</v>
      </c>
      <c r="G164" s="49">
        <v>17</v>
      </c>
      <c r="H164" s="49"/>
      <c r="I164" s="49"/>
      <c r="J164" s="49"/>
      <c r="K164" s="49"/>
      <c r="L164" s="49" t="s">
        <v>379</v>
      </c>
      <c r="M164" t="s">
        <v>1841</v>
      </c>
    </row>
    <row r="165" spans="1:13" x14ac:dyDescent="0.2">
      <c r="A165" s="49">
        <v>101572</v>
      </c>
      <c r="B165" s="49" t="s">
        <v>182</v>
      </c>
      <c r="C165" s="49" t="s">
        <v>37</v>
      </c>
      <c r="D165" s="49" t="s">
        <v>15</v>
      </c>
      <c r="E165" s="49" t="s">
        <v>5</v>
      </c>
      <c r="F165" s="49" t="s">
        <v>95</v>
      </c>
      <c r="G165" s="49">
        <v>24</v>
      </c>
      <c r="H165" s="49"/>
      <c r="I165" s="49"/>
      <c r="J165" s="49"/>
      <c r="K165" s="49"/>
      <c r="L165" s="49" t="s">
        <v>379</v>
      </c>
      <c r="M165" t="s">
        <v>1842</v>
      </c>
    </row>
    <row r="166" spans="1:13" x14ac:dyDescent="0.2">
      <c r="A166" s="49">
        <v>100104</v>
      </c>
      <c r="B166" s="49" t="s">
        <v>749</v>
      </c>
      <c r="C166" s="49" t="s">
        <v>58</v>
      </c>
      <c r="D166" s="49" t="s">
        <v>10</v>
      </c>
      <c r="E166" s="49" t="s">
        <v>8</v>
      </c>
      <c r="F166" s="49" t="s">
        <v>91</v>
      </c>
      <c r="G166" s="49">
        <v>8</v>
      </c>
      <c r="H166" s="49"/>
      <c r="I166" s="49"/>
      <c r="J166" s="49"/>
      <c r="K166" s="49"/>
      <c r="L166" s="49" t="s">
        <v>379</v>
      </c>
      <c r="M166" t="s">
        <v>1843</v>
      </c>
    </row>
    <row r="167" spans="1:13" x14ac:dyDescent="0.2">
      <c r="A167" s="49">
        <v>100094</v>
      </c>
      <c r="B167" s="49" t="s">
        <v>750</v>
      </c>
      <c r="C167" s="49" t="s">
        <v>58</v>
      </c>
      <c r="D167" s="49" t="s">
        <v>10</v>
      </c>
      <c r="E167" s="49" t="s">
        <v>8</v>
      </c>
      <c r="F167" s="49" t="s">
        <v>91</v>
      </c>
      <c r="G167" s="49">
        <v>9</v>
      </c>
      <c r="H167" s="49"/>
      <c r="I167" s="49"/>
      <c r="J167" s="49"/>
      <c r="K167" s="49"/>
      <c r="L167" s="49" t="s">
        <v>379</v>
      </c>
      <c r="M167" t="s">
        <v>1844</v>
      </c>
    </row>
    <row r="168" spans="1:13" x14ac:dyDescent="0.2">
      <c r="A168" s="49">
        <v>100093</v>
      </c>
      <c r="B168" s="49" t="s">
        <v>751</v>
      </c>
      <c r="C168" s="49" t="s">
        <v>58</v>
      </c>
      <c r="D168" s="49" t="s">
        <v>10</v>
      </c>
      <c r="E168" s="49" t="s">
        <v>8</v>
      </c>
      <c r="F168" s="49" t="s">
        <v>91</v>
      </c>
      <c r="G168" s="49">
        <v>10</v>
      </c>
      <c r="H168" s="49"/>
      <c r="I168" s="49"/>
      <c r="J168" s="49"/>
      <c r="K168" s="49"/>
      <c r="L168" s="49" t="s">
        <v>379</v>
      </c>
      <c r="M168" t="s">
        <v>1845</v>
      </c>
    </row>
    <row r="169" spans="1:13" x14ac:dyDescent="0.2">
      <c r="A169" s="49">
        <v>100092</v>
      </c>
      <c r="B169" s="49" t="s">
        <v>752</v>
      </c>
      <c r="C169" s="49" t="s">
        <v>58</v>
      </c>
      <c r="D169" s="49" t="s">
        <v>4</v>
      </c>
      <c r="E169" s="49" t="s">
        <v>8</v>
      </c>
      <c r="F169" s="49" t="s">
        <v>91</v>
      </c>
      <c r="G169" s="49">
        <v>11</v>
      </c>
      <c r="H169" s="49"/>
      <c r="I169" s="49"/>
      <c r="J169" s="49"/>
      <c r="K169" s="49"/>
      <c r="L169" s="49" t="s">
        <v>379</v>
      </c>
      <c r="M169" t="s">
        <v>1846</v>
      </c>
    </row>
    <row r="170" spans="1:13" x14ac:dyDescent="0.2">
      <c r="A170" s="49">
        <v>98564</v>
      </c>
      <c r="B170" s="49" t="s">
        <v>303</v>
      </c>
      <c r="C170" s="49" t="s">
        <v>9</v>
      </c>
      <c r="D170" s="49" t="s">
        <v>15</v>
      </c>
      <c r="E170" s="49" t="s">
        <v>8</v>
      </c>
      <c r="F170" s="49" t="s">
        <v>91</v>
      </c>
      <c r="G170" s="49">
        <v>15</v>
      </c>
      <c r="H170" s="49"/>
      <c r="I170" s="49"/>
      <c r="J170" s="49"/>
      <c r="K170" s="49"/>
      <c r="L170" s="49" t="s">
        <v>379</v>
      </c>
      <c r="M170" t="s">
        <v>1847</v>
      </c>
    </row>
    <row r="171" spans="1:13" x14ac:dyDescent="0.2">
      <c r="A171" s="49">
        <v>96334</v>
      </c>
      <c r="B171" s="49" t="s">
        <v>376</v>
      </c>
      <c r="C171" s="49" t="s">
        <v>9</v>
      </c>
      <c r="D171" s="49" t="s">
        <v>15</v>
      </c>
      <c r="E171" s="49" t="s">
        <v>8</v>
      </c>
      <c r="F171" s="49" t="s">
        <v>91</v>
      </c>
      <c r="G171" s="49">
        <v>33</v>
      </c>
      <c r="H171" s="49"/>
      <c r="I171" s="49"/>
      <c r="J171" s="49"/>
      <c r="K171" s="49"/>
      <c r="L171" s="49" t="s">
        <v>379</v>
      </c>
      <c r="M171" t="s">
        <v>1848</v>
      </c>
    </row>
    <row r="172" spans="1:13" x14ac:dyDescent="0.2">
      <c r="A172" s="49">
        <v>96332</v>
      </c>
      <c r="B172" s="49" t="s">
        <v>135</v>
      </c>
      <c r="C172" s="49" t="s">
        <v>9</v>
      </c>
      <c r="D172" s="49" t="s">
        <v>10</v>
      </c>
      <c r="E172" s="49" t="s">
        <v>8</v>
      </c>
      <c r="F172" s="49" t="s">
        <v>130</v>
      </c>
      <c r="G172" s="49">
        <v>4</v>
      </c>
      <c r="H172" s="49"/>
      <c r="I172" s="49"/>
      <c r="J172" s="49"/>
      <c r="K172" s="49"/>
      <c r="L172" s="49" t="s">
        <v>379</v>
      </c>
      <c r="M172" t="s">
        <v>1849</v>
      </c>
    </row>
    <row r="173" spans="1:13" x14ac:dyDescent="0.2">
      <c r="A173" s="49">
        <v>95774</v>
      </c>
      <c r="B173" s="49" t="s">
        <v>754</v>
      </c>
      <c r="C173" s="49" t="s">
        <v>24</v>
      </c>
      <c r="D173" s="49" t="s">
        <v>16</v>
      </c>
      <c r="E173" s="49" t="s">
        <v>5</v>
      </c>
      <c r="F173" s="49" t="s">
        <v>95</v>
      </c>
      <c r="G173" s="49">
        <v>5</v>
      </c>
      <c r="H173" s="49"/>
      <c r="I173" s="49"/>
      <c r="J173" s="49"/>
      <c r="K173" s="49"/>
      <c r="L173" s="49" t="s">
        <v>379</v>
      </c>
      <c r="M173" t="s">
        <v>1850</v>
      </c>
    </row>
    <row r="174" spans="1:13" x14ac:dyDescent="0.2">
      <c r="A174" s="49">
        <v>95633</v>
      </c>
      <c r="B174" s="49" t="s">
        <v>305</v>
      </c>
      <c r="C174" s="49" t="s">
        <v>9</v>
      </c>
      <c r="D174" s="49" t="s">
        <v>15</v>
      </c>
      <c r="E174" s="49" t="s">
        <v>8</v>
      </c>
      <c r="F174" s="49" t="s">
        <v>91</v>
      </c>
      <c r="G174" s="49">
        <v>52</v>
      </c>
      <c r="H174" s="49"/>
      <c r="I174" s="49"/>
      <c r="J174" s="49"/>
      <c r="K174" s="49"/>
      <c r="L174" s="49" t="s">
        <v>379</v>
      </c>
      <c r="M174" t="s">
        <v>1851</v>
      </c>
    </row>
    <row r="175" spans="1:13" x14ac:dyDescent="0.2">
      <c r="A175" s="49">
        <v>94915</v>
      </c>
      <c r="B175" s="49" t="s">
        <v>755</v>
      </c>
      <c r="C175" s="49" t="s">
        <v>38</v>
      </c>
      <c r="D175" s="49" t="s">
        <v>15</v>
      </c>
      <c r="E175" s="49" t="s">
        <v>5</v>
      </c>
      <c r="F175" s="49" t="s">
        <v>91</v>
      </c>
      <c r="G175" s="49">
        <v>19</v>
      </c>
      <c r="H175" s="49"/>
      <c r="I175" s="49"/>
      <c r="J175" s="49"/>
      <c r="K175" s="49"/>
      <c r="L175" s="49" t="s">
        <v>379</v>
      </c>
      <c r="M175" t="s">
        <v>1852</v>
      </c>
    </row>
    <row r="176" spans="1:13" x14ac:dyDescent="0.2">
      <c r="A176" s="49">
        <v>94489</v>
      </c>
      <c r="B176" s="49" t="s">
        <v>756</v>
      </c>
      <c r="C176" s="49" t="s">
        <v>38</v>
      </c>
      <c r="D176" s="49" t="s">
        <v>15</v>
      </c>
      <c r="E176" s="49" t="s">
        <v>5</v>
      </c>
      <c r="F176" s="49" t="s">
        <v>91</v>
      </c>
      <c r="G176" s="49">
        <v>18</v>
      </c>
      <c r="H176" s="49"/>
      <c r="I176" s="49"/>
      <c r="J176" s="49"/>
      <c r="K176" s="49"/>
      <c r="L176" s="49" t="s">
        <v>379</v>
      </c>
      <c r="M176" t="s">
        <v>1853</v>
      </c>
    </row>
    <row r="177" spans="1:13" x14ac:dyDescent="0.2">
      <c r="A177" s="49">
        <v>94164</v>
      </c>
      <c r="B177" s="49" t="s">
        <v>757</v>
      </c>
      <c r="C177" s="49" t="s">
        <v>23</v>
      </c>
      <c r="D177" s="49" t="s">
        <v>10</v>
      </c>
      <c r="E177" s="49" t="s">
        <v>5</v>
      </c>
      <c r="F177" s="49" t="s">
        <v>91</v>
      </c>
      <c r="G177" s="49">
        <v>23</v>
      </c>
      <c r="H177" s="49"/>
      <c r="I177" s="49"/>
      <c r="J177" s="49"/>
      <c r="K177" s="49"/>
      <c r="L177" s="49" t="s">
        <v>379</v>
      </c>
      <c r="M177" t="s">
        <v>1854</v>
      </c>
    </row>
    <row r="178" spans="1:13" x14ac:dyDescent="0.2">
      <c r="A178" s="49">
        <v>93715</v>
      </c>
      <c r="B178" s="49" t="s">
        <v>758</v>
      </c>
      <c r="C178" s="49" t="s">
        <v>7</v>
      </c>
      <c r="D178" s="49" t="s">
        <v>14</v>
      </c>
      <c r="E178" s="49" t="s">
        <v>6</v>
      </c>
      <c r="F178" s="49" t="s">
        <v>136</v>
      </c>
      <c r="G178" s="49">
        <v>12</v>
      </c>
      <c r="H178" s="49"/>
      <c r="I178" s="49"/>
      <c r="J178" s="49"/>
      <c r="K178" s="49"/>
      <c r="L178" s="49" t="s">
        <v>379</v>
      </c>
      <c r="M178" t="s">
        <v>1855</v>
      </c>
    </row>
    <row r="179" spans="1:13" x14ac:dyDescent="0.2">
      <c r="A179" s="49">
        <v>93166</v>
      </c>
      <c r="B179" s="49" t="s">
        <v>759</v>
      </c>
      <c r="C179" s="49" t="s">
        <v>46</v>
      </c>
      <c r="D179" s="49" t="s">
        <v>10</v>
      </c>
      <c r="E179" s="49" t="s">
        <v>12</v>
      </c>
      <c r="F179" s="49" t="s">
        <v>91</v>
      </c>
      <c r="G179" s="49">
        <v>1</v>
      </c>
      <c r="H179" s="49">
        <v>5</v>
      </c>
      <c r="I179" s="49">
        <v>5</v>
      </c>
      <c r="J179" s="49">
        <v>5</v>
      </c>
      <c r="K179" s="49">
        <v>3</v>
      </c>
      <c r="L179" s="49" t="s">
        <v>379</v>
      </c>
      <c r="M179" t="s">
        <v>1856</v>
      </c>
    </row>
    <row r="180" spans="1:13" x14ac:dyDescent="0.2">
      <c r="A180" s="49">
        <v>92337</v>
      </c>
      <c r="B180" s="49" t="s">
        <v>142</v>
      </c>
      <c r="C180" s="49" t="s">
        <v>25</v>
      </c>
      <c r="D180" s="49" t="s">
        <v>17</v>
      </c>
      <c r="E180" s="49" t="s">
        <v>5</v>
      </c>
      <c r="F180" s="49" t="s">
        <v>91</v>
      </c>
      <c r="G180" s="49">
        <v>8</v>
      </c>
      <c r="H180" s="49"/>
      <c r="I180" s="49"/>
      <c r="J180" s="49"/>
      <c r="K180" s="49"/>
      <c r="L180" s="49" t="s">
        <v>379</v>
      </c>
      <c r="M180" t="s">
        <v>1857</v>
      </c>
    </row>
    <row r="181" spans="1:13" x14ac:dyDescent="0.2">
      <c r="A181" s="49">
        <v>91809</v>
      </c>
      <c r="B181" s="49" t="s">
        <v>760</v>
      </c>
      <c r="C181" s="49" t="s">
        <v>7</v>
      </c>
      <c r="D181" s="49" t="s">
        <v>15</v>
      </c>
      <c r="E181" s="49" t="s">
        <v>6</v>
      </c>
      <c r="F181" s="49" t="s">
        <v>136</v>
      </c>
      <c r="G181" s="52">
        <v>2</v>
      </c>
      <c r="H181" s="49"/>
      <c r="I181" s="49"/>
      <c r="J181" s="49"/>
      <c r="K181" s="49"/>
      <c r="L181" s="49" t="s">
        <v>379</v>
      </c>
      <c r="M181" t="s">
        <v>1858</v>
      </c>
    </row>
    <row r="182" spans="1:13" x14ac:dyDescent="0.2">
      <c r="A182" s="49">
        <v>91539</v>
      </c>
      <c r="B182" s="49" t="s">
        <v>761</v>
      </c>
      <c r="C182" s="49" t="s">
        <v>37</v>
      </c>
      <c r="D182" s="49" t="s">
        <v>15</v>
      </c>
      <c r="E182" s="49" t="s">
        <v>5</v>
      </c>
      <c r="F182" s="49" t="s">
        <v>91</v>
      </c>
      <c r="G182" s="49">
        <v>41</v>
      </c>
      <c r="H182" s="49"/>
      <c r="I182" s="49"/>
      <c r="J182" s="49"/>
      <c r="K182" s="49"/>
      <c r="L182" s="49" t="s">
        <v>379</v>
      </c>
      <c r="M182" t="s">
        <v>1859</v>
      </c>
    </row>
    <row r="183" spans="1:13" x14ac:dyDescent="0.2">
      <c r="A183" s="49">
        <v>90947</v>
      </c>
      <c r="B183" s="49" t="s">
        <v>762</v>
      </c>
      <c r="C183" s="49" t="s">
        <v>21</v>
      </c>
      <c r="D183" s="49" t="s">
        <v>15</v>
      </c>
      <c r="E183" s="49" t="s">
        <v>5</v>
      </c>
      <c r="F183" s="49" t="s">
        <v>91</v>
      </c>
      <c r="G183" s="49">
        <v>26</v>
      </c>
      <c r="H183" s="49"/>
      <c r="I183" s="49"/>
      <c r="J183" s="49"/>
      <c r="K183" s="49"/>
      <c r="L183" s="49" t="s">
        <v>379</v>
      </c>
      <c r="M183" t="s">
        <v>1860</v>
      </c>
    </row>
    <row r="184" spans="1:13" x14ac:dyDescent="0.2">
      <c r="A184" s="49">
        <v>88857</v>
      </c>
      <c r="B184" s="49" t="s">
        <v>763</v>
      </c>
      <c r="C184" s="49" t="s">
        <v>22</v>
      </c>
      <c r="D184" s="49" t="s">
        <v>15</v>
      </c>
      <c r="E184" s="49" t="s">
        <v>12</v>
      </c>
      <c r="F184" s="49" t="s">
        <v>91</v>
      </c>
      <c r="G184" s="49">
        <v>6</v>
      </c>
      <c r="H184" s="49"/>
      <c r="I184" s="49"/>
      <c r="J184" s="49"/>
      <c r="K184" s="49"/>
      <c r="L184" s="49" t="s">
        <v>379</v>
      </c>
      <c r="M184" t="s">
        <v>1861</v>
      </c>
    </row>
    <row r="185" spans="1:13" x14ac:dyDescent="0.2">
      <c r="A185" s="49">
        <v>88638</v>
      </c>
      <c r="B185" s="49" t="s">
        <v>764</v>
      </c>
      <c r="C185" s="49" t="s">
        <v>22</v>
      </c>
      <c r="D185" s="49" t="s">
        <v>15</v>
      </c>
      <c r="E185" s="49" t="s">
        <v>12</v>
      </c>
      <c r="F185" s="49" t="s">
        <v>91</v>
      </c>
      <c r="G185" s="49">
        <v>10</v>
      </c>
      <c r="H185" s="49"/>
      <c r="I185" s="49"/>
      <c r="J185" s="49"/>
      <c r="K185" s="49"/>
      <c r="L185" s="49" t="s">
        <v>379</v>
      </c>
      <c r="M185" t="s">
        <v>1862</v>
      </c>
    </row>
    <row r="186" spans="1:13" x14ac:dyDescent="0.2">
      <c r="A186" s="49">
        <v>88579</v>
      </c>
      <c r="B186" s="49" t="s">
        <v>765</v>
      </c>
      <c r="C186" s="49" t="s">
        <v>37</v>
      </c>
      <c r="D186" s="49" t="s">
        <v>15</v>
      </c>
      <c r="E186" s="49" t="s">
        <v>5</v>
      </c>
      <c r="F186" s="49" t="s">
        <v>95</v>
      </c>
      <c r="G186" s="49">
        <v>28</v>
      </c>
      <c r="H186" s="49"/>
      <c r="I186" s="49"/>
      <c r="J186" s="49"/>
      <c r="K186" s="49"/>
      <c r="L186" s="49" t="s">
        <v>379</v>
      </c>
      <c r="M186" t="s">
        <v>1863</v>
      </c>
    </row>
    <row r="187" spans="1:13" x14ac:dyDescent="0.2">
      <c r="A187" s="49">
        <v>87861</v>
      </c>
      <c r="B187" s="49" t="s">
        <v>1557</v>
      </c>
      <c r="C187" s="49" t="s">
        <v>60</v>
      </c>
      <c r="D187" s="49" t="s">
        <v>15</v>
      </c>
      <c r="E187" s="49" t="s">
        <v>8</v>
      </c>
      <c r="F187" s="49" t="s">
        <v>95</v>
      </c>
      <c r="G187" s="49">
        <v>5</v>
      </c>
      <c r="H187" s="49"/>
      <c r="I187" s="49"/>
      <c r="J187" s="49"/>
      <c r="K187" s="49"/>
      <c r="L187" s="49" t="s">
        <v>379</v>
      </c>
      <c r="M187" t="s">
        <v>1709</v>
      </c>
    </row>
    <row r="188" spans="1:13" x14ac:dyDescent="0.2">
      <c r="A188" s="49">
        <v>85670</v>
      </c>
      <c r="B188" s="49" t="s">
        <v>195</v>
      </c>
      <c r="C188" s="49" t="s">
        <v>37</v>
      </c>
      <c r="D188" s="49" t="s">
        <v>15</v>
      </c>
      <c r="E188" s="49" t="s">
        <v>5</v>
      </c>
      <c r="F188" s="49" t="s">
        <v>95</v>
      </c>
      <c r="G188" s="49">
        <v>2</v>
      </c>
      <c r="H188" s="49"/>
      <c r="I188" s="49"/>
      <c r="J188" s="49"/>
      <c r="K188" s="49"/>
      <c r="L188" s="49" t="s">
        <v>379</v>
      </c>
      <c r="M188" t="s">
        <v>1864</v>
      </c>
    </row>
    <row r="189" spans="1:13" x14ac:dyDescent="0.2">
      <c r="A189" s="49">
        <v>85248</v>
      </c>
      <c r="B189" s="49" t="s">
        <v>766</v>
      </c>
      <c r="C189" s="49" t="s">
        <v>37</v>
      </c>
      <c r="D189" s="49" t="s">
        <v>15</v>
      </c>
      <c r="E189" s="49" t="s">
        <v>5</v>
      </c>
      <c r="F189" s="49" t="s">
        <v>91</v>
      </c>
      <c r="G189" s="49">
        <v>30</v>
      </c>
      <c r="H189" s="49"/>
      <c r="I189" s="49"/>
      <c r="J189" s="49"/>
      <c r="K189" s="49"/>
      <c r="L189" s="49" t="s">
        <v>379</v>
      </c>
      <c r="M189" t="s">
        <v>1865</v>
      </c>
    </row>
    <row r="190" spans="1:13" x14ac:dyDescent="0.2">
      <c r="A190" s="49">
        <v>84860</v>
      </c>
      <c r="B190" s="49" t="s">
        <v>767</v>
      </c>
      <c r="C190" s="49" t="s">
        <v>23</v>
      </c>
      <c r="D190" s="49" t="s">
        <v>10</v>
      </c>
      <c r="E190" s="49" t="s">
        <v>5</v>
      </c>
      <c r="F190" s="49" t="s">
        <v>91</v>
      </c>
      <c r="G190" s="49">
        <v>17</v>
      </c>
      <c r="H190" s="49"/>
      <c r="I190" s="49"/>
      <c r="J190" s="49"/>
      <c r="K190" s="49"/>
      <c r="L190" s="49" t="s">
        <v>379</v>
      </c>
      <c r="M190" t="s">
        <v>1866</v>
      </c>
    </row>
    <row r="191" spans="1:13" x14ac:dyDescent="0.2">
      <c r="A191" s="49">
        <v>81605</v>
      </c>
      <c r="B191" s="49" t="s">
        <v>1558</v>
      </c>
      <c r="C191" s="49" t="s">
        <v>24</v>
      </c>
      <c r="D191" s="49" t="s">
        <v>16</v>
      </c>
      <c r="E191" s="49" t="s">
        <v>5</v>
      </c>
      <c r="F191" s="49" t="s">
        <v>95</v>
      </c>
      <c r="G191" s="49">
        <v>6</v>
      </c>
      <c r="H191" s="49"/>
      <c r="I191" s="49"/>
      <c r="J191" s="49"/>
      <c r="K191" s="49"/>
      <c r="L191" s="49" t="s">
        <v>379</v>
      </c>
      <c r="M191" t="s">
        <v>1709</v>
      </c>
    </row>
    <row r="192" spans="1:13" x14ac:dyDescent="0.2">
      <c r="A192" s="49">
        <v>81168</v>
      </c>
      <c r="B192" s="49" t="s">
        <v>152</v>
      </c>
      <c r="C192" s="49" t="s">
        <v>7</v>
      </c>
      <c r="D192" s="49" t="s">
        <v>10</v>
      </c>
      <c r="E192" s="49" t="s">
        <v>6</v>
      </c>
      <c r="F192" s="49" t="s">
        <v>95</v>
      </c>
      <c r="G192" s="49">
        <v>15</v>
      </c>
      <c r="H192" s="49"/>
      <c r="I192" s="49"/>
      <c r="J192" s="49"/>
      <c r="K192" s="49"/>
      <c r="L192" s="49" t="s">
        <v>379</v>
      </c>
      <c r="M192" t="s">
        <v>1867</v>
      </c>
    </row>
    <row r="193" spans="1:13" x14ac:dyDescent="0.2">
      <c r="A193" s="49">
        <v>78905</v>
      </c>
      <c r="B193" s="49" t="s">
        <v>768</v>
      </c>
      <c r="C193" s="49" t="s">
        <v>26</v>
      </c>
      <c r="D193" s="49" t="s">
        <v>15</v>
      </c>
      <c r="E193" s="49" t="s">
        <v>6</v>
      </c>
      <c r="F193" s="49" t="s">
        <v>91</v>
      </c>
      <c r="G193" s="49">
        <v>4</v>
      </c>
      <c r="H193" s="49"/>
      <c r="I193" s="49"/>
      <c r="J193" s="49"/>
      <c r="K193" s="49"/>
      <c r="L193" s="49" t="s">
        <v>379</v>
      </c>
      <c r="M193" t="s">
        <v>1868</v>
      </c>
    </row>
    <row r="194" spans="1:13" x14ac:dyDescent="0.2">
      <c r="A194" s="49">
        <v>78453</v>
      </c>
      <c r="B194" s="49" t="s">
        <v>769</v>
      </c>
      <c r="C194" s="49" t="s">
        <v>23</v>
      </c>
      <c r="D194" s="49" t="s">
        <v>10</v>
      </c>
      <c r="E194" s="49" t="s">
        <v>5</v>
      </c>
      <c r="F194" s="49" t="s">
        <v>91</v>
      </c>
      <c r="G194" s="49">
        <v>22</v>
      </c>
      <c r="H194" s="49"/>
      <c r="I194" s="49"/>
      <c r="J194" s="49"/>
      <c r="K194" s="49"/>
      <c r="L194" s="49" t="s">
        <v>379</v>
      </c>
      <c r="M194" t="s">
        <v>1869</v>
      </c>
    </row>
    <row r="195" spans="1:13" x14ac:dyDescent="0.2">
      <c r="A195" s="49">
        <v>78005</v>
      </c>
      <c r="B195" s="49" t="s">
        <v>171</v>
      </c>
      <c r="C195" s="49" t="s">
        <v>46</v>
      </c>
      <c r="D195" s="49" t="s">
        <v>10</v>
      </c>
      <c r="E195" s="49" t="s">
        <v>12</v>
      </c>
      <c r="F195" s="49" t="s">
        <v>91</v>
      </c>
      <c r="G195" s="49">
        <v>6</v>
      </c>
      <c r="H195" s="49">
        <v>5</v>
      </c>
      <c r="I195" s="49">
        <v>5</v>
      </c>
      <c r="J195" s="49">
        <v>5</v>
      </c>
      <c r="K195" s="49">
        <v>5</v>
      </c>
      <c r="L195" s="49" t="s">
        <v>379</v>
      </c>
      <c r="M195" t="s">
        <v>1870</v>
      </c>
    </row>
    <row r="196" spans="1:13" x14ac:dyDescent="0.2">
      <c r="A196" s="49">
        <v>78003</v>
      </c>
      <c r="B196" s="49" t="s">
        <v>159</v>
      </c>
      <c r="C196" s="49" t="s">
        <v>46</v>
      </c>
      <c r="D196" s="49" t="s">
        <v>10</v>
      </c>
      <c r="E196" s="49" t="s">
        <v>12</v>
      </c>
      <c r="F196" s="49" t="s">
        <v>91</v>
      </c>
      <c r="G196" s="49">
        <v>5</v>
      </c>
      <c r="H196" s="49">
        <v>5</v>
      </c>
      <c r="I196" s="49">
        <v>5</v>
      </c>
      <c r="J196" s="49">
        <v>5</v>
      </c>
      <c r="K196" s="49">
        <v>5</v>
      </c>
      <c r="L196" s="49" t="s">
        <v>379</v>
      </c>
      <c r="M196" t="s">
        <v>1871</v>
      </c>
    </row>
    <row r="197" spans="1:13" x14ac:dyDescent="0.2">
      <c r="A197" s="49">
        <v>78001</v>
      </c>
      <c r="B197" s="49" t="s">
        <v>166</v>
      </c>
      <c r="C197" s="49" t="s">
        <v>46</v>
      </c>
      <c r="D197" s="49" t="s">
        <v>10</v>
      </c>
      <c r="E197" s="49" t="s">
        <v>12</v>
      </c>
      <c r="F197" s="49" t="s">
        <v>91</v>
      </c>
      <c r="G197" s="49">
        <v>3</v>
      </c>
      <c r="H197" s="49">
        <v>5</v>
      </c>
      <c r="I197" s="49">
        <v>5</v>
      </c>
      <c r="J197" s="49">
        <v>5</v>
      </c>
      <c r="K197" s="49">
        <v>5</v>
      </c>
      <c r="L197" s="49" t="s">
        <v>379</v>
      </c>
      <c r="M197" t="s">
        <v>1872</v>
      </c>
    </row>
    <row r="198" spans="1:13" x14ac:dyDescent="0.2">
      <c r="A198" s="49">
        <v>77999</v>
      </c>
      <c r="B198" s="49" t="s">
        <v>147</v>
      </c>
      <c r="C198" s="49" t="s">
        <v>46</v>
      </c>
      <c r="D198" s="49" t="s">
        <v>10</v>
      </c>
      <c r="E198" s="49" t="s">
        <v>12</v>
      </c>
      <c r="F198" s="49" t="s">
        <v>91</v>
      </c>
      <c r="G198" s="49">
        <v>2</v>
      </c>
      <c r="H198" s="49">
        <v>5</v>
      </c>
      <c r="I198" s="49">
        <v>5</v>
      </c>
      <c r="J198" s="49">
        <v>5</v>
      </c>
      <c r="K198" s="49">
        <v>5</v>
      </c>
      <c r="L198" s="49" t="s">
        <v>379</v>
      </c>
      <c r="M198" t="s">
        <v>1873</v>
      </c>
    </row>
    <row r="199" spans="1:13" x14ac:dyDescent="0.2">
      <c r="A199" s="49">
        <v>77828</v>
      </c>
      <c r="B199" s="49" t="s">
        <v>129</v>
      </c>
      <c r="C199" s="49" t="s">
        <v>26</v>
      </c>
      <c r="D199" s="49" t="s">
        <v>10</v>
      </c>
      <c r="E199" s="49" t="s">
        <v>6</v>
      </c>
      <c r="F199" s="49" t="s">
        <v>95</v>
      </c>
      <c r="G199" s="49">
        <v>2</v>
      </c>
      <c r="H199" s="49"/>
      <c r="I199" s="49"/>
      <c r="J199" s="49"/>
      <c r="K199" s="49"/>
      <c r="L199" s="49" t="s">
        <v>379</v>
      </c>
      <c r="M199" t="s">
        <v>1874</v>
      </c>
    </row>
    <row r="200" spans="1:13" x14ac:dyDescent="0.2">
      <c r="A200" s="49">
        <v>76788</v>
      </c>
      <c r="B200" s="49" t="s">
        <v>770</v>
      </c>
      <c r="C200" s="49" t="s">
        <v>7</v>
      </c>
      <c r="D200" s="49" t="s">
        <v>10</v>
      </c>
      <c r="E200" s="49" t="s">
        <v>6</v>
      </c>
      <c r="F200" s="49" t="s">
        <v>91</v>
      </c>
      <c r="G200" s="49">
        <v>16</v>
      </c>
      <c r="H200" s="49"/>
      <c r="I200" s="49"/>
      <c r="J200" s="49"/>
      <c r="K200" s="49"/>
      <c r="L200" s="49" t="s">
        <v>379</v>
      </c>
      <c r="M200" t="s">
        <v>1875</v>
      </c>
    </row>
    <row r="201" spans="1:13" x14ac:dyDescent="0.2">
      <c r="A201" s="49">
        <v>76670</v>
      </c>
      <c r="B201" s="49" t="s">
        <v>771</v>
      </c>
      <c r="C201" s="49" t="s">
        <v>37</v>
      </c>
      <c r="D201" s="49" t="s">
        <v>15</v>
      </c>
      <c r="E201" s="49" t="s">
        <v>5</v>
      </c>
      <c r="F201" s="49" t="s">
        <v>95</v>
      </c>
      <c r="G201" s="49">
        <v>16</v>
      </c>
      <c r="H201" s="49"/>
      <c r="I201" s="49"/>
      <c r="J201" s="49"/>
      <c r="K201" s="49"/>
      <c r="L201" s="49" t="s">
        <v>379</v>
      </c>
      <c r="M201" t="s">
        <v>1876</v>
      </c>
    </row>
    <row r="202" spans="1:13" x14ac:dyDescent="0.2">
      <c r="A202" s="49">
        <v>76554</v>
      </c>
      <c r="B202" s="49" t="s">
        <v>772</v>
      </c>
      <c r="C202" s="49" t="s">
        <v>24</v>
      </c>
      <c r="D202" s="49" t="s">
        <v>16</v>
      </c>
      <c r="E202" s="49" t="s">
        <v>5</v>
      </c>
      <c r="F202" s="49" t="s">
        <v>91</v>
      </c>
      <c r="G202" s="49">
        <v>4</v>
      </c>
      <c r="H202" s="49"/>
      <c r="I202" s="49"/>
      <c r="J202" s="49"/>
      <c r="K202" s="49"/>
      <c r="L202" s="49" t="s">
        <v>379</v>
      </c>
      <c r="M202" t="s">
        <v>1877</v>
      </c>
    </row>
    <row r="203" spans="1:13" x14ac:dyDescent="0.2">
      <c r="A203" s="49">
        <v>76398</v>
      </c>
      <c r="B203" s="49" t="s">
        <v>773</v>
      </c>
      <c r="C203" s="49" t="s">
        <v>37</v>
      </c>
      <c r="D203" s="49" t="s">
        <v>15</v>
      </c>
      <c r="E203" s="49" t="s">
        <v>5</v>
      </c>
      <c r="F203" s="49" t="s">
        <v>95</v>
      </c>
      <c r="G203" s="49">
        <v>17</v>
      </c>
      <c r="H203" s="49"/>
      <c r="I203" s="49"/>
      <c r="J203" s="49"/>
      <c r="K203" s="49"/>
      <c r="L203" s="49" t="s">
        <v>379</v>
      </c>
      <c r="M203" t="s">
        <v>1878</v>
      </c>
    </row>
    <row r="204" spans="1:13" x14ac:dyDescent="0.2">
      <c r="A204" s="49">
        <v>76382</v>
      </c>
      <c r="B204" s="49" t="s">
        <v>203</v>
      </c>
      <c r="C204" s="49" t="s">
        <v>37</v>
      </c>
      <c r="D204" s="49" t="s">
        <v>15</v>
      </c>
      <c r="E204" s="49" t="s">
        <v>5</v>
      </c>
      <c r="F204" s="49" t="s">
        <v>95</v>
      </c>
      <c r="G204" s="49">
        <v>20</v>
      </c>
      <c r="H204" s="49"/>
      <c r="I204" s="49"/>
      <c r="J204" s="49"/>
      <c r="K204" s="49"/>
      <c r="L204" s="49" t="s">
        <v>379</v>
      </c>
      <c r="M204" t="s">
        <v>1879</v>
      </c>
    </row>
    <row r="205" spans="1:13" x14ac:dyDescent="0.2">
      <c r="A205" s="49">
        <v>76303</v>
      </c>
      <c r="B205" s="49" t="s">
        <v>292</v>
      </c>
      <c r="C205" s="49" t="s">
        <v>37</v>
      </c>
      <c r="D205" s="49" t="s">
        <v>15</v>
      </c>
      <c r="E205" s="49" t="s">
        <v>5</v>
      </c>
      <c r="F205" s="49" t="s">
        <v>91</v>
      </c>
      <c r="G205" s="49">
        <v>42</v>
      </c>
      <c r="H205" s="49"/>
      <c r="I205" s="49"/>
      <c r="J205" s="49"/>
      <c r="K205" s="49"/>
      <c r="L205" s="49" t="s">
        <v>379</v>
      </c>
      <c r="M205" t="s">
        <v>1880</v>
      </c>
    </row>
    <row r="206" spans="1:13" x14ac:dyDescent="0.2">
      <c r="A206" s="49">
        <v>76082</v>
      </c>
      <c r="B206" s="49" t="s">
        <v>774</v>
      </c>
      <c r="C206" s="49" t="s">
        <v>25</v>
      </c>
      <c r="D206" s="49" t="s">
        <v>17</v>
      </c>
      <c r="E206" s="49" t="s">
        <v>5</v>
      </c>
      <c r="F206" s="49" t="s">
        <v>91</v>
      </c>
      <c r="G206" s="49">
        <v>4</v>
      </c>
      <c r="H206" s="49"/>
      <c r="I206" s="49"/>
      <c r="J206" s="49"/>
      <c r="K206" s="49"/>
      <c r="L206" s="49" t="s">
        <v>379</v>
      </c>
      <c r="M206" t="s">
        <v>1881</v>
      </c>
    </row>
    <row r="207" spans="1:13" x14ac:dyDescent="0.2">
      <c r="A207" s="49">
        <v>74950</v>
      </c>
      <c r="B207" s="49" t="s">
        <v>1622</v>
      </c>
      <c r="C207" s="49" t="s">
        <v>9</v>
      </c>
      <c r="D207" s="49" t="s">
        <v>15</v>
      </c>
      <c r="E207" s="49" t="s">
        <v>8</v>
      </c>
      <c r="F207" s="49" t="s">
        <v>91</v>
      </c>
      <c r="G207" s="49">
        <v>54</v>
      </c>
      <c r="H207" s="49"/>
      <c r="I207" s="49"/>
      <c r="J207" s="49"/>
      <c r="K207" s="49"/>
      <c r="L207" s="49" t="s">
        <v>379</v>
      </c>
      <c r="M207" t="s">
        <v>1882</v>
      </c>
    </row>
    <row r="208" spans="1:13" x14ac:dyDescent="0.2">
      <c r="A208" s="49">
        <v>74510</v>
      </c>
      <c r="B208" s="49" t="s">
        <v>775</v>
      </c>
      <c r="C208" s="49" t="s">
        <v>38</v>
      </c>
      <c r="D208" s="49" t="s">
        <v>15</v>
      </c>
      <c r="E208" s="49" t="s">
        <v>5</v>
      </c>
      <c r="F208" s="49" t="s">
        <v>91</v>
      </c>
      <c r="G208" s="49">
        <v>11</v>
      </c>
      <c r="H208" s="49"/>
      <c r="I208" s="49"/>
      <c r="J208" s="49"/>
      <c r="K208" s="49"/>
      <c r="L208" s="49" t="s">
        <v>379</v>
      </c>
      <c r="M208" t="s">
        <v>1883</v>
      </c>
    </row>
    <row r="209" spans="1:13" x14ac:dyDescent="0.2">
      <c r="A209" s="49">
        <v>71501</v>
      </c>
      <c r="B209" s="49" t="s">
        <v>776</v>
      </c>
      <c r="C209" s="49" t="s">
        <v>22</v>
      </c>
      <c r="D209" s="49" t="s">
        <v>15</v>
      </c>
      <c r="E209" s="49" t="s">
        <v>12</v>
      </c>
      <c r="F209" s="49" t="s">
        <v>95</v>
      </c>
      <c r="G209" s="49">
        <v>13</v>
      </c>
      <c r="H209" s="49"/>
      <c r="I209" s="49"/>
      <c r="J209" s="49"/>
      <c r="K209" s="49"/>
      <c r="L209" s="49" t="s">
        <v>379</v>
      </c>
      <c r="M209" t="s">
        <v>1884</v>
      </c>
    </row>
    <row r="210" spans="1:13" x14ac:dyDescent="0.2">
      <c r="A210" s="49">
        <v>71332</v>
      </c>
      <c r="B210" s="49" t="s">
        <v>1623</v>
      </c>
      <c r="C210" s="49" t="s">
        <v>9</v>
      </c>
      <c r="D210" s="49" t="s">
        <v>15</v>
      </c>
      <c r="E210" s="49" t="s">
        <v>8</v>
      </c>
      <c r="F210" s="49" t="s">
        <v>93</v>
      </c>
      <c r="G210" s="49">
        <v>42</v>
      </c>
      <c r="H210" s="49"/>
      <c r="I210" s="49"/>
      <c r="J210" s="49"/>
      <c r="K210" s="49">
        <v>4</v>
      </c>
      <c r="L210" s="49" t="s">
        <v>379</v>
      </c>
      <c r="M210" t="s">
        <v>1885</v>
      </c>
    </row>
    <row r="211" spans="1:13" x14ac:dyDescent="0.2">
      <c r="A211" s="49">
        <v>71073</v>
      </c>
      <c r="B211" s="49" t="s">
        <v>777</v>
      </c>
      <c r="C211" s="49" t="s">
        <v>34</v>
      </c>
      <c r="D211" s="49" t="s">
        <v>15</v>
      </c>
      <c r="E211" s="49" t="s">
        <v>8</v>
      </c>
      <c r="F211" s="49" t="s">
        <v>91</v>
      </c>
      <c r="G211" s="49">
        <v>5</v>
      </c>
      <c r="H211" s="49">
        <v>3</v>
      </c>
      <c r="I211" s="49"/>
      <c r="J211" s="49">
        <v>2</v>
      </c>
      <c r="K211" s="49">
        <v>1</v>
      </c>
      <c r="L211" s="49" t="s">
        <v>379</v>
      </c>
      <c r="M211" t="s">
        <v>1886</v>
      </c>
    </row>
    <row r="212" spans="1:13" x14ac:dyDescent="0.2">
      <c r="A212" s="49">
        <v>70736</v>
      </c>
      <c r="B212" s="49" t="s">
        <v>778</v>
      </c>
      <c r="C212" s="49" t="s">
        <v>98</v>
      </c>
      <c r="D212" s="49" t="s">
        <v>15</v>
      </c>
      <c r="E212" s="49" t="s">
        <v>12</v>
      </c>
      <c r="F212" s="49" t="s">
        <v>94</v>
      </c>
      <c r="G212" s="49">
        <v>4</v>
      </c>
      <c r="H212" s="49"/>
      <c r="I212" s="49"/>
      <c r="J212" s="49"/>
      <c r="K212" s="49"/>
      <c r="L212" s="49" t="s">
        <v>379</v>
      </c>
      <c r="M212" t="s">
        <v>1887</v>
      </c>
    </row>
    <row r="213" spans="1:13" x14ac:dyDescent="0.2">
      <c r="A213" s="49">
        <v>70697</v>
      </c>
      <c r="B213" s="49" t="s">
        <v>140</v>
      </c>
      <c r="C213" s="49" t="s">
        <v>36</v>
      </c>
      <c r="D213" s="49" t="s">
        <v>10</v>
      </c>
      <c r="E213" s="49" t="s">
        <v>5</v>
      </c>
      <c r="F213" s="49" t="s">
        <v>91</v>
      </c>
      <c r="G213" s="49">
        <v>3</v>
      </c>
      <c r="H213" s="49"/>
      <c r="I213" s="49"/>
      <c r="J213" s="49"/>
      <c r="K213" s="49"/>
      <c r="L213" s="49" t="s">
        <v>379</v>
      </c>
      <c r="M213" t="s">
        <v>1888</v>
      </c>
    </row>
    <row r="214" spans="1:13" x14ac:dyDescent="0.2">
      <c r="A214" s="49">
        <v>70695</v>
      </c>
      <c r="B214" s="49" t="s">
        <v>143</v>
      </c>
      <c r="C214" s="49" t="s">
        <v>98</v>
      </c>
      <c r="D214" s="49" t="s">
        <v>10</v>
      </c>
      <c r="E214" s="49" t="s">
        <v>12</v>
      </c>
      <c r="F214" s="49" t="s">
        <v>95</v>
      </c>
      <c r="G214" s="49">
        <v>8</v>
      </c>
      <c r="H214" s="49"/>
      <c r="I214" s="49"/>
      <c r="J214" s="49"/>
      <c r="K214" s="49"/>
      <c r="L214" s="49" t="s">
        <v>379</v>
      </c>
      <c r="M214" t="s">
        <v>1889</v>
      </c>
    </row>
    <row r="215" spans="1:13" x14ac:dyDescent="0.2">
      <c r="A215" s="49">
        <v>70559</v>
      </c>
      <c r="B215" s="49" t="s">
        <v>779</v>
      </c>
      <c r="C215" s="49" t="s">
        <v>38</v>
      </c>
      <c r="D215" s="49" t="s">
        <v>15</v>
      </c>
      <c r="E215" s="49" t="s">
        <v>5</v>
      </c>
      <c r="F215" s="49" t="s">
        <v>91</v>
      </c>
      <c r="G215" s="49">
        <v>7</v>
      </c>
      <c r="H215" s="49"/>
      <c r="I215" s="49"/>
      <c r="J215" s="49"/>
      <c r="K215" s="49"/>
      <c r="L215" s="49" t="s">
        <v>379</v>
      </c>
      <c r="M215" t="s">
        <v>1890</v>
      </c>
    </row>
    <row r="216" spans="1:13" x14ac:dyDescent="0.2">
      <c r="A216" s="49">
        <v>70015</v>
      </c>
      <c r="B216" s="49" t="s">
        <v>780</v>
      </c>
      <c r="C216" s="49" t="s">
        <v>34</v>
      </c>
      <c r="D216" s="49" t="s">
        <v>15</v>
      </c>
      <c r="E216" s="49" t="s">
        <v>8</v>
      </c>
      <c r="F216" s="49" t="s">
        <v>91</v>
      </c>
      <c r="G216" s="49">
        <v>9</v>
      </c>
      <c r="H216" s="49"/>
      <c r="I216" s="49"/>
      <c r="J216" s="49"/>
      <c r="K216" s="49"/>
      <c r="L216" s="49" t="s">
        <v>379</v>
      </c>
      <c r="M216" t="s">
        <v>1891</v>
      </c>
    </row>
    <row r="217" spans="1:13" x14ac:dyDescent="0.2">
      <c r="A217" s="49">
        <v>69892</v>
      </c>
      <c r="B217" s="49" t="s">
        <v>781</v>
      </c>
      <c r="C217" s="49" t="s">
        <v>7</v>
      </c>
      <c r="D217" s="49" t="s">
        <v>15</v>
      </c>
      <c r="E217" s="49" t="s">
        <v>6</v>
      </c>
      <c r="F217" s="49" t="s">
        <v>91</v>
      </c>
      <c r="G217" s="49">
        <v>10</v>
      </c>
      <c r="H217" s="49"/>
      <c r="I217" s="49"/>
      <c r="J217" s="49"/>
      <c r="K217" s="49"/>
      <c r="L217" s="49" t="s">
        <v>379</v>
      </c>
      <c r="M217" t="s">
        <v>1892</v>
      </c>
    </row>
    <row r="218" spans="1:13" x14ac:dyDescent="0.2">
      <c r="A218" s="49">
        <v>69406</v>
      </c>
      <c r="B218" s="49" t="s">
        <v>1000</v>
      </c>
      <c r="C218" s="49" t="s">
        <v>60</v>
      </c>
      <c r="D218" s="49" t="s">
        <v>10</v>
      </c>
      <c r="E218" s="49" t="s">
        <v>8</v>
      </c>
      <c r="F218" s="49" t="s">
        <v>95</v>
      </c>
      <c r="G218" s="49">
        <v>2</v>
      </c>
      <c r="H218" s="49"/>
      <c r="I218" s="49"/>
      <c r="J218" s="49"/>
      <c r="K218" s="49"/>
      <c r="L218" s="49" t="s">
        <v>379</v>
      </c>
      <c r="M218" t="s">
        <v>1709</v>
      </c>
    </row>
    <row r="219" spans="1:13" x14ac:dyDescent="0.2">
      <c r="A219" s="49">
        <v>69341</v>
      </c>
      <c r="B219" s="49" t="s">
        <v>782</v>
      </c>
      <c r="C219" s="49" t="s">
        <v>22</v>
      </c>
      <c r="D219" s="49" t="s">
        <v>15</v>
      </c>
      <c r="E219" s="49" t="s">
        <v>12</v>
      </c>
      <c r="F219" s="49" t="s">
        <v>91</v>
      </c>
      <c r="G219" s="49">
        <v>12</v>
      </c>
      <c r="H219" s="49"/>
      <c r="I219" s="49"/>
      <c r="J219" s="49"/>
      <c r="K219" s="49"/>
      <c r="L219" s="49" t="s">
        <v>379</v>
      </c>
      <c r="M219" t="s">
        <v>1893</v>
      </c>
    </row>
    <row r="220" spans="1:13" x14ac:dyDescent="0.2">
      <c r="A220" s="49">
        <v>69337</v>
      </c>
      <c r="B220" s="49" t="s">
        <v>252</v>
      </c>
      <c r="C220" s="49" t="s">
        <v>22</v>
      </c>
      <c r="D220" s="49" t="s">
        <v>10</v>
      </c>
      <c r="E220" s="49" t="s">
        <v>12</v>
      </c>
      <c r="F220" s="49" t="s">
        <v>91</v>
      </c>
      <c r="G220" s="49">
        <v>11</v>
      </c>
      <c r="H220" s="49"/>
      <c r="I220" s="49"/>
      <c r="J220" s="49"/>
      <c r="K220" s="49"/>
      <c r="L220" s="49" t="s">
        <v>379</v>
      </c>
      <c r="M220" t="s">
        <v>1894</v>
      </c>
    </row>
    <row r="221" spans="1:13" x14ac:dyDescent="0.2">
      <c r="A221" s="49">
        <v>69196</v>
      </c>
      <c r="B221" s="49" t="s">
        <v>340</v>
      </c>
      <c r="C221" s="49" t="s">
        <v>9</v>
      </c>
      <c r="D221" s="49" t="s">
        <v>15</v>
      </c>
      <c r="E221" s="49" t="s">
        <v>8</v>
      </c>
      <c r="F221" s="49" t="s">
        <v>91</v>
      </c>
      <c r="G221" s="49">
        <v>75</v>
      </c>
      <c r="H221" s="49"/>
      <c r="I221" s="49"/>
      <c r="J221" s="49"/>
      <c r="K221" s="49"/>
      <c r="L221" s="49" t="s">
        <v>379</v>
      </c>
      <c r="M221" t="s">
        <v>1895</v>
      </c>
    </row>
    <row r="222" spans="1:13" x14ac:dyDescent="0.2">
      <c r="A222" s="49">
        <v>68919</v>
      </c>
      <c r="B222" s="49" t="s">
        <v>783</v>
      </c>
      <c r="C222" s="49" t="s">
        <v>37</v>
      </c>
      <c r="D222" s="49" t="s">
        <v>17</v>
      </c>
      <c r="E222" s="49" t="s">
        <v>5</v>
      </c>
      <c r="F222" s="49" t="s">
        <v>95</v>
      </c>
      <c r="G222" s="49">
        <v>31</v>
      </c>
      <c r="H222" s="49"/>
      <c r="I222" s="49"/>
      <c r="J222" s="49"/>
      <c r="K222" s="49"/>
      <c r="L222" s="49" t="s">
        <v>379</v>
      </c>
      <c r="M222" t="s">
        <v>1896</v>
      </c>
    </row>
    <row r="223" spans="1:13" x14ac:dyDescent="0.2">
      <c r="A223" s="49">
        <v>68794</v>
      </c>
      <c r="B223" s="49" t="s">
        <v>784</v>
      </c>
      <c r="C223" s="49" t="s">
        <v>7</v>
      </c>
      <c r="D223" s="49" t="s">
        <v>10</v>
      </c>
      <c r="E223" s="49" t="s">
        <v>6</v>
      </c>
      <c r="F223" s="49" t="s">
        <v>95</v>
      </c>
      <c r="G223" s="49">
        <v>13</v>
      </c>
      <c r="H223" s="49"/>
      <c r="I223" s="49"/>
      <c r="J223" s="49"/>
      <c r="K223" s="49"/>
      <c r="L223" s="49" t="s">
        <v>379</v>
      </c>
      <c r="M223" t="s">
        <v>1897</v>
      </c>
    </row>
    <row r="224" spans="1:13" x14ac:dyDescent="0.2">
      <c r="A224" s="49">
        <v>68791</v>
      </c>
      <c r="B224" s="49" t="s">
        <v>785</v>
      </c>
      <c r="C224" s="49" t="s">
        <v>7</v>
      </c>
      <c r="D224" s="49" t="s">
        <v>10</v>
      </c>
      <c r="E224" s="49" t="s">
        <v>6</v>
      </c>
      <c r="F224" s="49" t="s">
        <v>95</v>
      </c>
      <c r="G224" s="49">
        <v>17</v>
      </c>
      <c r="H224" s="49"/>
      <c r="I224" s="49"/>
      <c r="J224" s="49"/>
      <c r="K224" s="49"/>
      <c r="L224" s="49" t="s">
        <v>379</v>
      </c>
      <c r="M224" t="s">
        <v>1898</v>
      </c>
    </row>
    <row r="225" spans="1:13" x14ac:dyDescent="0.2">
      <c r="A225" s="49">
        <v>68267</v>
      </c>
      <c r="B225" s="49" t="s">
        <v>236</v>
      </c>
      <c r="C225" s="49" t="s">
        <v>98</v>
      </c>
      <c r="D225" s="49" t="s">
        <v>15</v>
      </c>
      <c r="E225" s="49" t="s">
        <v>12</v>
      </c>
      <c r="F225" s="49" t="s">
        <v>91</v>
      </c>
      <c r="G225" s="49">
        <v>11</v>
      </c>
      <c r="H225" s="49"/>
      <c r="I225" s="49"/>
      <c r="J225" s="49"/>
      <c r="K225" s="49"/>
      <c r="L225" s="49" t="s">
        <v>379</v>
      </c>
      <c r="M225" t="s">
        <v>1899</v>
      </c>
    </row>
    <row r="226" spans="1:13" x14ac:dyDescent="0.2">
      <c r="A226" s="49">
        <v>68236</v>
      </c>
      <c r="B226" s="49" t="s">
        <v>786</v>
      </c>
      <c r="C226" s="49" t="s">
        <v>21</v>
      </c>
      <c r="D226" s="49" t="s">
        <v>15</v>
      </c>
      <c r="E226" s="49" t="s">
        <v>5</v>
      </c>
      <c r="F226" s="49" t="s">
        <v>95</v>
      </c>
      <c r="G226" s="49">
        <v>6</v>
      </c>
      <c r="H226" s="49"/>
      <c r="I226" s="49"/>
      <c r="J226" s="49"/>
      <c r="K226" s="49"/>
      <c r="L226" s="49" t="s">
        <v>379</v>
      </c>
      <c r="M226" t="s">
        <v>1900</v>
      </c>
    </row>
    <row r="227" spans="1:13" x14ac:dyDescent="0.2">
      <c r="A227" s="49">
        <v>67870</v>
      </c>
      <c r="B227" s="49" t="s">
        <v>787</v>
      </c>
      <c r="C227" s="49" t="s">
        <v>34</v>
      </c>
      <c r="D227" s="49" t="s">
        <v>15</v>
      </c>
      <c r="E227" s="49" t="s">
        <v>8</v>
      </c>
      <c r="F227" s="49" t="s">
        <v>91</v>
      </c>
      <c r="G227" s="49">
        <v>7</v>
      </c>
      <c r="H227" s="49"/>
      <c r="I227" s="49"/>
      <c r="J227" s="49"/>
      <c r="K227" s="49"/>
      <c r="L227" s="49" t="s">
        <v>379</v>
      </c>
      <c r="M227" t="s">
        <v>1901</v>
      </c>
    </row>
    <row r="228" spans="1:13" x14ac:dyDescent="0.2">
      <c r="A228" s="49">
        <v>65266</v>
      </c>
      <c r="B228" s="49" t="s">
        <v>788</v>
      </c>
      <c r="C228" s="49" t="s">
        <v>9</v>
      </c>
      <c r="D228" s="49" t="s">
        <v>15</v>
      </c>
      <c r="E228" s="49" t="s">
        <v>8</v>
      </c>
      <c r="F228" s="49" t="s">
        <v>91</v>
      </c>
      <c r="G228" s="49">
        <v>86</v>
      </c>
      <c r="H228" s="49"/>
      <c r="I228" s="49"/>
      <c r="J228" s="49"/>
      <c r="K228" s="49"/>
      <c r="L228" s="49" t="s">
        <v>379</v>
      </c>
      <c r="M228" t="s">
        <v>1902</v>
      </c>
    </row>
    <row r="229" spans="1:13" x14ac:dyDescent="0.2">
      <c r="A229" s="49">
        <v>65058</v>
      </c>
      <c r="B229" s="49" t="s">
        <v>789</v>
      </c>
      <c r="C229" s="49" t="s">
        <v>37</v>
      </c>
      <c r="D229" s="49" t="s">
        <v>15</v>
      </c>
      <c r="E229" s="49" t="s">
        <v>5</v>
      </c>
      <c r="F229" s="49" t="s">
        <v>95</v>
      </c>
      <c r="G229" s="49">
        <v>36</v>
      </c>
      <c r="H229" s="49"/>
      <c r="I229" s="49"/>
      <c r="J229" s="49"/>
      <c r="K229" s="49"/>
      <c r="L229" s="49" t="s">
        <v>379</v>
      </c>
      <c r="M229" t="s">
        <v>1903</v>
      </c>
    </row>
    <row r="230" spans="1:13" x14ac:dyDescent="0.2">
      <c r="A230" s="49">
        <v>63944</v>
      </c>
      <c r="B230" s="49" t="s">
        <v>790</v>
      </c>
      <c r="C230" s="49" t="s">
        <v>37</v>
      </c>
      <c r="D230" s="49" t="s">
        <v>10</v>
      </c>
      <c r="E230" s="49" t="s">
        <v>5</v>
      </c>
      <c r="F230" s="49" t="s">
        <v>95</v>
      </c>
      <c r="G230" s="49">
        <v>21</v>
      </c>
      <c r="H230" s="49"/>
      <c r="I230" s="49"/>
      <c r="J230" s="49"/>
      <c r="K230" s="49"/>
      <c r="L230" s="49" t="s">
        <v>379</v>
      </c>
      <c r="M230" t="s">
        <v>1904</v>
      </c>
    </row>
    <row r="231" spans="1:13" x14ac:dyDescent="0.2">
      <c r="A231" s="49">
        <v>63424</v>
      </c>
      <c r="B231" s="49" t="s">
        <v>791</v>
      </c>
      <c r="C231" s="49" t="s">
        <v>21</v>
      </c>
      <c r="D231" s="49" t="s">
        <v>4</v>
      </c>
      <c r="E231" s="49" t="s">
        <v>5</v>
      </c>
      <c r="F231" s="49" t="s">
        <v>95</v>
      </c>
      <c r="G231" s="49">
        <v>14</v>
      </c>
      <c r="H231" s="49"/>
      <c r="I231" s="49"/>
      <c r="J231" s="49"/>
      <c r="K231" s="49"/>
      <c r="L231" s="49" t="s">
        <v>379</v>
      </c>
      <c r="M231" t="s">
        <v>1905</v>
      </c>
    </row>
    <row r="232" spans="1:13" x14ac:dyDescent="0.2">
      <c r="A232" s="49">
        <v>61947</v>
      </c>
      <c r="B232" s="49" t="s">
        <v>1624</v>
      </c>
      <c r="C232" s="49" t="s">
        <v>45</v>
      </c>
      <c r="D232" s="49" t="s">
        <v>15</v>
      </c>
      <c r="E232" s="49" t="s">
        <v>12</v>
      </c>
      <c r="F232" s="49" t="s">
        <v>91</v>
      </c>
      <c r="G232" s="49">
        <v>4</v>
      </c>
      <c r="H232" s="49"/>
      <c r="I232" s="49"/>
      <c r="J232" s="49"/>
      <c r="K232" s="49"/>
      <c r="L232" s="49" t="s">
        <v>379</v>
      </c>
      <c r="M232" t="s">
        <v>1906</v>
      </c>
    </row>
    <row r="233" spans="1:13" x14ac:dyDescent="0.2">
      <c r="A233" s="49">
        <v>60938</v>
      </c>
      <c r="B233" s="49" t="s">
        <v>792</v>
      </c>
      <c r="C233" s="49" t="s">
        <v>37</v>
      </c>
      <c r="D233" s="49" t="s">
        <v>17</v>
      </c>
      <c r="E233" s="49" t="s">
        <v>5</v>
      </c>
      <c r="F233" s="49" t="s">
        <v>91</v>
      </c>
      <c r="G233" s="49">
        <v>32</v>
      </c>
      <c r="H233" s="49"/>
      <c r="I233" s="49"/>
      <c r="J233" s="49"/>
      <c r="K233" s="49"/>
      <c r="L233" s="49" t="s">
        <v>379</v>
      </c>
      <c r="M233" t="s">
        <v>1907</v>
      </c>
    </row>
    <row r="234" spans="1:13" x14ac:dyDescent="0.2">
      <c r="A234" s="49">
        <v>60599</v>
      </c>
      <c r="B234" s="49" t="s">
        <v>139</v>
      </c>
      <c r="C234" s="49" t="s">
        <v>46</v>
      </c>
      <c r="D234" s="49" t="s">
        <v>10</v>
      </c>
      <c r="E234" s="49" t="s">
        <v>12</v>
      </c>
      <c r="F234" s="49" t="s">
        <v>91</v>
      </c>
      <c r="G234" s="49">
        <v>4</v>
      </c>
      <c r="H234" s="49">
        <v>5</v>
      </c>
      <c r="I234" s="49">
        <v>5</v>
      </c>
      <c r="J234" s="49">
        <v>5</v>
      </c>
      <c r="K234" s="49">
        <v>5</v>
      </c>
      <c r="L234" s="49" t="s">
        <v>379</v>
      </c>
      <c r="M234" t="s">
        <v>1908</v>
      </c>
    </row>
    <row r="235" spans="1:13" x14ac:dyDescent="0.2">
      <c r="A235" s="49">
        <v>60596</v>
      </c>
      <c r="B235" s="49" t="s">
        <v>793</v>
      </c>
      <c r="C235" s="49" t="s">
        <v>53</v>
      </c>
      <c r="D235" s="49" t="s">
        <v>15</v>
      </c>
      <c r="E235" s="49" t="s">
        <v>12</v>
      </c>
      <c r="F235" s="49" t="s">
        <v>91</v>
      </c>
      <c r="G235" s="49">
        <v>2</v>
      </c>
      <c r="H235" s="49"/>
      <c r="I235" s="49"/>
      <c r="J235" s="49"/>
      <c r="K235" s="49"/>
      <c r="L235" s="49" t="s">
        <v>379</v>
      </c>
      <c r="M235" t="s">
        <v>1909</v>
      </c>
    </row>
    <row r="236" spans="1:13" x14ac:dyDescent="0.2">
      <c r="A236" s="49">
        <v>60584</v>
      </c>
      <c r="B236" s="49" t="s">
        <v>163</v>
      </c>
      <c r="C236" s="49" t="s">
        <v>37</v>
      </c>
      <c r="D236" s="49" t="s">
        <v>10</v>
      </c>
      <c r="E236" s="49" t="s">
        <v>5</v>
      </c>
      <c r="F236" s="49" t="s">
        <v>95</v>
      </c>
      <c r="G236" s="49">
        <v>15</v>
      </c>
      <c r="H236" s="49"/>
      <c r="I236" s="49"/>
      <c r="J236" s="49"/>
      <c r="K236" s="49"/>
      <c r="L236" s="49" t="s">
        <v>379</v>
      </c>
      <c r="M236" t="s">
        <v>1910</v>
      </c>
    </row>
    <row r="237" spans="1:13" x14ac:dyDescent="0.2">
      <c r="A237" s="49">
        <v>60579</v>
      </c>
      <c r="B237" s="49" t="s">
        <v>794</v>
      </c>
      <c r="C237" s="49" t="s">
        <v>23</v>
      </c>
      <c r="D237" s="49" t="s">
        <v>10</v>
      </c>
      <c r="E237" s="49" t="s">
        <v>5</v>
      </c>
      <c r="F237" s="49" t="s">
        <v>130</v>
      </c>
      <c r="G237" s="49">
        <v>6</v>
      </c>
      <c r="H237" s="49"/>
      <c r="I237" s="49"/>
      <c r="J237" s="49"/>
      <c r="K237" s="49"/>
      <c r="L237" s="49" t="s">
        <v>379</v>
      </c>
      <c r="M237" t="s">
        <v>1911</v>
      </c>
    </row>
    <row r="238" spans="1:13" x14ac:dyDescent="0.2">
      <c r="A238" s="49">
        <v>59257</v>
      </c>
      <c r="B238" s="49" t="s">
        <v>185</v>
      </c>
      <c r="C238" s="49" t="s">
        <v>47</v>
      </c>
      <c r="D238" s="49" t="s">
        <v>15</v>
      </c>
      <c r="E238" s="49" t="s">
        <v>12</v>
      </c>
      <c r="F238" s="49" t="s">
        <v>91</v>
      </c>
      <c r="G238" s="49">
        <v>4</v>
      </c>
      <c r="H238" s="49"/>
      <c r="I238" s="49"/>
      <c r="J238" s="49"/>
      <c r="K238" s="49"/>
      <c r="L238" s="49" t="s">
        <v>379</v>
      </c>
      <c r="M238" t="s">
        <v>1912</v>
      </c>
    </row>
    <row r="239" spans="1:13" x14ac:dyDescent="0.2">
      <c r="A239" s="49">
        <v>59256</v>
      </c>
      <c r="B239" s="49" t="s">
        <v>175</v>
      </c>
      <c r="C239" s="49" t="s">
        <v>47</v>
      </c>
      <c r="D239" s="49" t="s">
        <v>15</v>
      </c>
      <c r="E239" s="49" t="s">
        <v>12</v>
      </c>
      <c r="F239" s="49" t="s">
        <v>91</v>
      </c>
      <c r="G239" s="49">
        <v>3</v>
      </c>
      <c r="H239" s="49"/>
      <c r="I239" s="49"/>
      <c r="J239" s="49"/>
      <c r="K239" s="49"/>
      <c r="L239" s="49" t="s">
        <v>379</v>
      </c>
      <c r="M239" t="s">
        <v>1913</v>
      </c>
    </row>
    <row r="240" spans="1:13" x14ac:dyDescent="0.2">
      <c r="A240" s="49">
        <v>59177</v>
      </c>
      <c r="B240" s="49" t="s">
        <v>222</v>
      </c>
      <c r="C240" s="49" t="s">
        <v>22</v>
      </c>
      <c r="D240" s="49" t="s">
        <v>15</v>
      </c>
      <c r="E240" s="49" t="s">
        <v>12</v>
      </c>
      <c r="F240" s="49" t="s">
        <v>91</v>
      </c>
      <c r="G240" s="49">
        <v>5</v>
      </c>
      <c r="H240" s="49"/>
      <c r="I240" s="49"/>
      <c r="J240" s="49"/>
      <c r="K240" s="49"/>
      <c r="L240" s="49" t="s">
        <v>379</v>
      </c>
      <c r="M240" t="s">
        <v>1914</v>
      </c>
    </row>
    <row r="241" spans="1:13" x14ac:dyDescent="0.2">
      <c r="A241" s="49">
        <v>58934</v>
      </c>
      <c r="B241" s="49" t="s">
        <v>795</v>
      </c>
      <c r="C241" s="49" t="s">
        <v>45</v>
      </c>
      <c r="D241" s="49" t="s">
        <v>15</v>
      </c>
      <c r="E241" s="49" t="s">
        <v>12</v>
      </c>
      <c r="F241" s="49" t="s">
        <v>95</v>
      </c>
      <c r="G241" s="49">
        <v>5</v>
      </c>
      <c r="H241" s="49"/>
      <c r="I241" s="49"/>
      <c r="J241" s="49"/>
      <c r="K241" s="49"/>
      <c r="L241" s="49" t="s">
        <v>379</v>
      </c>
      <c r="M241" t="s">
        <v>1915</v>
      </c>
    </row>
    <row r="242" spans="1:13" x14ac:dyDescent="0.2">
      <c r="A242" s="49">
        <v>58133</v>
      </c>
      <c r="B242" s="49" t="s">
        <v>796</v>
      </c>
      <c r="C242" s="49" t="s">
        <v>34</v>
      </c>
      <c r="D242" s="49" t="s">
        <v>15</v>
      </c>
      <c r="E242" s="49" t="s">
        <v>8</v>
      </c>
      <c r="F242" s="49" t="s">
        <v>95</v>
      </c>
      <c r="G242" s="49">
        <v>8</v>
      </c>
      <c r="H242" s="49"/>
      <c r="I242" s="49"/>
      <c r="J242" s="49"/>
      <c r="K242" s="49"/>
      <c r="L242" s="49" t="s">
        <v>379</v>
      </c>
      <c r="M242" t="s">
        <v>1916</v>
      </c>
    </row>
    <row r="243" spans="1:13" x14ac:dyDescent="0.2">
      <c r="A243" s="49">
        <v>56652</v>
      </c>
      <c r="B243" s="49" t="s">
        <v>797</v>
      </c>
      <c r="C243" s="49" t="s">
        <v>24</v>
      </c>
      <c r="D243" s="49" t="s">
        <v>16</v>
      </c>
      <c r="E243" s="49" t="s">
        <v>5</v>
      </c>
      <c r="F243" s="49" t="s">
        <v>95</v>
      </c>
      <c r="G243" s="49">
        <v>11</v>
      </c>
      <c r="H243" s="49"/>
      <c r="I243" s="49"/>
      <c r="J243" s="49"/>
      <c r="K243" s="49"/>
      <c r="L243" s="49" t="s">
        <v>379</v>
      </c>
      <c r="M243" t="s">
        <v>1917</v>
      </c>
    </row>
    <row r="244" spans="1:13" x14ac:dyDescent="0.2">
      <c r="A244" s="49">
        <v>55478</v>
      </c>
      <c r="B244" s="49" t="s">
        <v>798</v>
      </c>
      <c r="C244" s="49" t="s">
        <v>37</v>
      </c>
      <c r="D244" s="49" t="s">
        <v>15</v>
      </c>
      <c r="E244" s="49" t="s">
        <v>5</v>
      </c>
      <c r="F244" s="49" t="s">
        <v>95</v>
      </c>
      <c r="G244" s="49">
        <v>37</v>
      </c>
      <c r="H244" s="49"/>
      <c r="I244" s="49"/>
      <c r="J244" s="49"/>
      <c r="K244" s="49"/>
      <c r="L244" s="49" t="s">
        <v>379</v>
      </c>
      <c r="M244" t="s">
        <v>1918</v>
      </c>
    </row>
    <row r="245" spans="1:13" x14ac:dyDescent="0.2">
      <c r="A245" s="49">
        <v>55327</v>
      </c>
      <c r="B245" s="49" t="s">
        <v>799</v>
      </c>
      <c r="C245" s="49" t="s">
        <v>45</v>
      </c>
      <c r="D245" s="49" t="s">
        <v>15</v>
      </c>
      <c r="E245" s="49" t="s">
        <v>12</v>
      </c>
      <c r="F245" s="49" t="s">
        <v>91</v>
      </c>
      <c r="G245" s="49">
        <v>6</v>
      </c>
      <c r="H245" s="49"/>
      <c r="I245" s="49"/>
      <c r="J245" s="49"/>
      <c r="K245" s="49"/>
      <c r="L245" s="49" t="s">
        <v>379</v>
      </c>
      <c r="M245" t="s">
        <v>1919</v>
      </c>
    </row>
    <row r="246" spans="1:13" x14ac:dyDescent="0.2">
      <c r="A246" s="49">
        <v>55326</v>
      </c>
      <c r="B246" s="49" t="s">
        <v>800</v>
      </c>
      <c r="C246" s="49" t="s">
        <v>45</v>
      </c>
      <c r="D246" s="49" t="s">
        <v>15</v>
      </c>
      <c r="E246" s="49" t="s">
        <v>12</v>
      </c>
      <c r="F246" s="49" t="s">
        <v>95</v>
      </c>
      <c r="G246" s="49">
        <v>3</v>
      </c>
      <c r="H246" s="49"/>
      <c r="I246" s="49"/>
      <c r="J246" s="49"/>
      <c r="K246" s="49"/>
      <c r="L246" s="49" t="s">
        <v>379</v>
      </c>
      <c r="M246" t="s">
        <v>1920</v>
      </c>
    </row>
    <row r="247" spans="1:13" x14ac:dyDescent="0.2">
      <c r="A247" s="49">
        <v>55216</v>
      </c>
      <c r="B247" s="49" t="s">
        <v>148</v>
      </c>
      <c r="C247" s="49" t="s">
        <v>51</v>
      </c>
      <c r="D247" s="49" t="s">
        <v>15</v>
      </c>
      <c r="E247" s="49" t="s">
        <v>12</v>
      </c>
      <c r="F247" s="49" t="s">
        <v>95</v>
      </c>
      <c r="G247" s="49">
        <v>1</v>
      </c>
      <c r="H247" s="49"/>
      <c r="I247" s="49"/>
      <c r="J247" s="49"/>
      <c r="K247" s="49"/>
      <c r="L247" s="49" t="s">
        <v>379</v>
      </c>
      <c r="M247" t="s">
        <v>1921</v>
      </c>
    </row>
    <row r="248" spans="1:13" x14ac:dyDescent="0.2">
      <c r="A248" s="49">
        <v>54059</v>
      </c>
      <c r="B248" s="49" t="s">
        <v>801</v>
      </c>
      <c r="C248" s="49" t="s">
        <v>37</v>
      </c>
      <c r="D248" s="49" t="s">
        <v>16</v>
      </c>
      <c r="E248" s="49" t="s">
        <v>5</v>
      </c>
      <c r="F248" s="49" t="s">
        <v>95</v>
      </c>
      <c r="G248" s="49">
        <v>9</v>
      </c>
      <c r="H248" s="49"/>
      <c r="I248" s="49"/>
      <c r="J248" s="49"/>
      <c r="K248" s="49"/>
      <c r="L248" s="49" t="s">
        <v>379</v>
      </c>
      <c r="M248" t="s">
        <v>1922</v>
      </c>
    </row>
    <row r="249" spans="1:13" x14ac:dyDescent="0.2">
      <c r="A249" s="49">
        <v>53828</v>
      </c>
      <c r="B249" s="49" t="s">
        <v>802</v>
      </c>
      <c r="C249" s="49" t="s">
        <v>11</v>
      </c>
      <c r="D249" s="49" t="s">
        <v>15</v>
      </c>
      <c r="E249" s="49" t="s">
        <v>11</v>
      </c>
      <c r="F249" s="49" t="s">
        <v>91</v>
      </c>
      <c r="G249" s="49">
        <v>9</v>
      </c>
      <c r="H249" s="49"/>
      <c r="I249" s="49"/>
      <c r="J249" s="49"/>
      <c r="K249" s="49"/>
      <c r="L249" s="49" t="s">
        <v>379</v>
      </c>
      <c r="M249" t="s">
        <v>1923</v>
      </c>
    </row>
    <row r="250" spans="1:13" x14ac:dyDescent="0.2">
      <c r="A250" s="49">
        <v>53781</v>
      </c>
      <c r="B250" s="49" t="s">
        <v>803</v>
      </c>
      <c r="C250" s="49" t="s">
        <v>24</v>
      </c>
      <c r="D250" s="49" t="s">
        <v>16</v>
      </c>
      <c r="E250" s="49" t="s">
        <v>5</v>
      </c>
      <c r="F250" s="49" t="s">
        <v>95</v>
      </c>
      <c r="G250" s="49">
        <v>7</v>
      </c>
      <c r="H250" s="49"/>
      <c r="I250" s="49"/>
      <c r="J250" s="49"/>
      <c r="K250" s="49"/>
      <c r="L250" s="49" t="s">
        <v>379</v>
      </c>
      <c r="M250" t="s">
        <v>1924</v>
      </c>
    </row>
    <row r="251" spans="1:13" x14ac:dyDescent="0.2">
      <c r="A251" s="49">
        <v>51052</v>
      </c>
      <c r="B251" s="49" t="s">
        <v>1559</v>
      </c>
      <c r="C251" s="49" t="s">
        <v>11</v>
      </c>
      <c r="D251" s="49" t="s">
        <v>15</v>
      </c>
      <c r="E251" s="49" t="s">
        <v>11</v>
      </c>
      <c r="F251" s="49" t="s">
        <v>91</v>
      </c>
      <c r="G251" s="49">
        <v>7</v>
      </c>
      <c r="H251" s="49"/>
      <c r="I251" s="49"/>
      <c r="J251" s="49"/>
      <c r="K251" s="49"/>
      <c r="L251" s="49" t="s">
        <v>379</v>
      </c>
      <c r="M251" t="s">
        <v>1709</v>
      </c>
    </row>
    <row r="252" spans="1:13" x14ac:dyDescent="0.2">
      <c r="A252" s="49">
        <v>51051</v>
      </c>
      <c r="B252" s="49" t="s">
        <v>1560</v>
      </c>
      <c r="C252" s="49" t="s">
        <v>11</v>
      </c>
      <c r="D252" s="49" t="s">
        <v>15</v>
      </c>
      <c r="E252" s="49" t="s">
        <v>11</v>
      </c>
      <c r="F252" s="49" t="s">
        <v>91</v>
      </c>
      <c r="G252" s="49">
        <v>8</v>
      </c>
      <c r="H252" s="49"/>
      <c r="I252" s="49"/>
      <c r="J252" s="49"/>
      <c r="K252" s="49"/>
      <c r="L252" s="49" t="s">
        <v>379</v>
      </c>
      <c r="M252" t="s">
        <v>1709</v>
      </c>
    </row>
    <row r="253" spans="1:13" x14ac:dyDescent="0.2">
      <c r="A253" s="49">
        <v>51049</v>
      </c>
      <c r="B253" s="49" t="s">
        <v>804</v>
      </c>
      <c r="C253" s="49" t="s">
        <v>11</v>
      </c>
      <c r="D253" s="49" t="s">
        <v>15</v>
      </c>
      <c r="E253" s="49" t="s">
        <v>11</v>
      </c>
      <c r="F253" s="49" t="s">
        <v>91</v>
      </c>
      <c r="G253" s="49">
        <v>6</v>
      </c>
      <c r="H253" s="49"/>
      <c r="I253" s="49"/>
      <c r="J253" s="49"/>
      <c r="K253" s="49"/>
      <c r="L253" s="49" t="s">
        <v>379</v>
      </c>
      <c r="M253" t="s">
        <v>1925</v>
      </c>
    </row>
    <row r="254" spans="1:13" x14ac:dyDescent="0.2">
      <c r="A254" s="49">
        <v>50994</v>
      </c>
      <c r="B254" s="49" t="s">
        <v>805</v>
      </c>
      <c r="C254" s="49" t="s">
        <v>9</v>
      </c>
      <c r="D254" s="49" t="s">
        <v>15</v>
      </c>
      <c r="E254" s="49" t="s">
        <v>8</v>
      </c>
      <c r="F254" s="49" t="s">
        <v>91</v>
      </c>
      <c r="G254" s="49">
        <v>1</v>
      </c>
      <c r="H254" s="49"/>
      <c r="I254" s="49"/>
      <c r="J254" s="49"/>
      <c r="K254" s="49"/>
      <c r="L254" s="49" t="s">
        <v>379</v>
      </c>
      <c r="M254" t="s">
        <v>1926</v>
      </c>
    </row>
    <row r="255" spans="1:13" x14ac:dyDescent="0.2">
      <c r="A255" s="49">
        <v>50856</v>
      </c>
      <c r="B255" s="49" t="s">
        <v>806</v>
      </c>
      <c r="C255" s="49" t="s">
        <v>11</v>
      </c>
      <c r="D255" s="49" t="s">
        <v>15</v>
      </c>
      <c r="E255" s="49" t="s">
        <v>11</v>
      </c>
      <c r="F255" s="49" t="s">
        <v>91</v>
      </c>
      <c r="G255" s="49">
        <v>5</v>
      </c>
      <c r="H255" s="49"/>
      <c r="I255" s="49"/>
      <c r="J255" s="49"/>
      <c r="K255" s="49"/>
      <c r="L255" s="49" t="s">
        <v>379</v>
      </c>
      <c r="M255" t="s">
        <v>1927</v>
      </c>
    </row>
    <row r="256" spans="1:13" x14ac:dyDescent="0.2">
      <c r="A256" s="49">
        <v>50849</v>
      </c>
      <c r="B256" s="49" t="s">
        <v>194</v>
      </c>
      <c r="C256" s="49" t="s">
        <v>11</v>
      </c>
      <c r="D256" s="49" t="s">
        <v>15</v>
      </c>
      <c r="E256" s="49" t="s">
        <v>11</v>
      </c>
      <c r="F256" s="49" t="s">
        <v>91</v>
      </c>
      <c r="G256" s="49">
        <v>4</v>
      </c>
      <c r="H256" s="49"/>
      <c r="I256" s="49"/>
      <c r="J256" s="49"/>
      <c r="K256" s="49"/>
      <c r="L256" s="49" t="s">
        <v>379</v>
      </c>
      <c r="M256" t="s">
        <v>1928</v>
      </c>
    </row>
    <row r="257" spans="1:13" x14ac:dyDescent="0.2">
      <c r="A257" s="49">
        <v>50788</v>
      </c>
      <c r="B257" s="49" t="s">
        <v>807</v>
      </c>
      <c r="C257" s="49" t="s">
        <v>22</v>
      </c>
      <c r="D257" s="49" t="s">
        <v>15</v>
      </c>
      <c r="E257" s="49" t="s">
        <v>12</v>
      </c>
      <c r="F257" s="49" t="s">
        <v>91</v>
      </c>
      <c r="G257" s="49">
        <v>9</v>
      </c>
      <c r="H257" s="49"/>
      <c r="I257" s="49"/>
      <c r="J257" s="49"/>
      <c r="K257" s="49"/>
      <c r="L257" s="49" t="s">
        <v>379</v>
      </c>
      <c r="M257" t="s">
        <v>1929</v>
      </c>
    </row>
    <row r="258" spans="1:13" x14ac:dyDescent="0.2">
      <c r="A258" s="49">
        <v>50738</v>
      </c>
      <c r="B258" s="49" t="s">
        <v>276</v>
      </c>
      <c r="C258" s="49" t="s">
        <v>37</v>
      </c>
      <c r="D258" s="49" t="s">
        <v>15</v>
      </c>
      <c r="E258" s="49" t="s">
        <v>5</v>
      </c>
      <c r="F258" s="49" t="s">
        <v>91</v>
      </c>
      <c r="G258" s="49">
        <v>29</v>
      </c>
      <c r="H258" s="49"/>
      <c r="I258" s="49"/>
      <c r="J258" s="49"/>
      <c r="K258" s="49"/>
      <c r="L258" s="49" t="s">
        <v>379</v>
      </c>
      <c r="M258" t="s">
        <v>1930</v>
      </c>
    </row>
    <row r="259" spans="1:13" x14ac:dyDescent="0.2">
      <c r="A259" s="49">
        <v>50641</v>
      </c>
      <c r="B259" s="49" t="s">
        <v>323</v>
      </c>
      <c r="C259" s="49" t="s">
        <v>9</v>
      </c>
      <c r="D259" s="49" t="s">
        <v>15</v>
      </c>
      <c r="E259" s="49" t="s">
        <v>8</v>
      </c>
      <c r="F259" s="49" t="s">
        <v>91</v>
      </c>
      <c r="G259" s="49">
        <v>58</v>
      </c>
      <c r="H259" s="49"/>
      <c r="I259" s="49"/>
      <c r="J259" s="49"/>
      <c r="K259" s="49"/>
      <c r="L259" s="49" t="s">
        <v>379</v>
      </c>
      <c r="M259" t="s">
        <v>1931</v>
      </c>
    </row>
    <row r="260" spans="1:13" x14ac:dyDescent="0.2">
      <c r="A260" s="49">
        <v>50544</v>
      </c>
      <c r="B260" s="49" t="s">
        <v>808</v>
      </c>
      <c r="C260" s="49" t="s">
        <v>46</v>
      </c>
      <c r="D260" s="49" t="s">
        <v>15</v>
      </c>
      <c r="E260" s="49" t="s">
        <v>12</v>
      </c>
      <c r="F260" s="49" t="s">
        <v>91</v>
      </c>
      <c r="G260" s="49">
        <v>10</v>
      </c>
      <c r="H260" s="49">
        <v>3</v>
      </c>
      <c r="I260" s="49">
        <v>2</v>
      </c>
      <c r="J260" s="49">
        <v>2</v>
      </c>
      <c r="K260" s="49">
        <v>3</v>
      </c>
      <c r="L260" s="49" t="s">
        <v>379</v>
      </c>
      <c r="M260" t="s">
        <v>1932</v>
      </c>
    </row>
    <row r="261" spans="1:13" x14ac:dyDescent="0.2">
      <c r="A261" s="49">
        <v>50206</v>
      </c>
      <c r="B261" s="49" t="s">
        <v>809</v>
      </c>
      <c r="C261" s="49" t="s">
        <v>37</v>
      </c>
      <c r="D261" s="49" t="s">
        <v>15</v>
      </c>
      <c r="E261" s="49" t="s">
        <v>5</v>
      </c>
      <c r="F261" s="49" t="s">
        <v>91</v>
      </c>
      <c r="G261" s="49">
        <v>38</v>
      </c>
      <c r="H261" s="49"/>
      <c r="I261" s="49"/>
      <c r="J261" s="49"/>
      <c r="K261" s="49"/>
      <c r="L261" s="49" t="s">
        <v>379</v>
      </c>
      <c r="M261" t="s">
        <v>1933</v>
      </c>
    </row>
    <row r="262" spans="1:13" x14ac:dyDescent="0.2">
      <c r="A262" s="49">
        <v>49513</v>
      </c>
      <c r="B262" s="49" t="s">
        <v>810</v>
      </c>
      <c r="C262" s="49" t="s">
        <v>9</v>
      </c>
      <c r="D262" s="49" t="s">
        <v>15</v>
      </c>
      <c r="E262" s="49" t="s">
        <v>8</v>
      </c>
      <c r="F262" s="49" t="s">
        <v>91</v>
      </c>
      <c r="G262" s="49">
        <v>30</v>
      </c>
      <c r="H262" s="49"/>
      <c r="I262" s="49"/>
      <c r="J262" s="49"/>
      <c r="K262" s="49"/>
      <c r="L262" s="49" t="s">
        <v>379</v>
      </c>
      <c r="M262" t="s">
        <v>1934</v>
      </c>
    </row>
    <row r="263" spans="1:13" x14ac:dyDescent="0.2">
      <c r="A263" s="49">
        <v>49198</v>
      </c>
      <c r="B263" s="49" t="s">
        <v>811</v>
      </c>
      <c r="C263" s="49" t="s">
        <v>58</v>
      </c>
      <c r="D263" s="49" t="s">
        <v>15</v>
      </c>
      <c r="E263" s="49" t="s">
        <v>8</v>
      </c>
      <c r="F263" s="49" t="s">
        <v>91</v>
      </c>
      <c r="G263" s="49">
        <v>12</v>
      </c>
      <c r="H263" s="49"/>
      <c r="I263" s="49"/>
      <c r="J263" s="49"/>
      <c r="K263" s="49"/>
      <c r="L263" s="49" t="s">
        <v>379</v>
      </c>
      <c r="M263" t="s">
        <v>1935</v>
      </c>
    </row>
    <row r="264" spans="1:13" x14ac:dyDescent="0.2">
      <c r="A264" s="49">
        <v>49197</v>
      </c>
      <c r="B264" s="49" t="s">
        <v>133</v>
      </c>
      <c r="C264" s="49" t="s">
        <v>58</v>
      </c>
      <c r="D264" s="49" t="s">
        <v>4</v>
      </c>
      <c r="E264" s="49" t="s">
        <v>5</v>
      </c>
      <c r="F264" s="49" t="s">
        <v>97</v>
      </c>
      <c r="G264" s="49">
        <v>13</v>
      </c>
      <c r="H264" s="49">
        <v>5</v>
      </c>
      <c r="I264" s="49"/>
      <c r="J264" s="49"/>
      <c r="K264" s="49"/>
      <c r="L264" s="49" t="s">
        <v>379</v>
      </c>
      <c r="M264" t="s">
        <v>1936</v>
      </c>
    </row>
    <row r="265" spans="1:13" x14ac:dyDescent="0.2">
      <c r="A265" s="49">
        <v>48991</v>
      </c>
      <c r="B265" s="49" t="s">
        <v>196</v>
      </c>
      <c r="C265" s="49" t="s">
        <v>36</v>
      </c>
      <c r="D265" s="49" t="s">
        <v>15</v>
      </c>
      <c r="E265" s="49" t="s">
        <v>5</v>
      </c>
      <c r="F265" s="49" t="s">
        <v>91</v>
      </c>
      <c r="G265" s="49">
        <v>5</v>
      </c>
      <c r="H265" s="49"/>
      <c r="I265" s="49"/>
      <c r="J265" s="49"/>
      <c r="K265" s="49"/>
      <c r="L265" s="49" t="s">
        <v>379</v>
      </c>
      <c r="M265" t="s">
        <v>1937</v>
      </c>
    </row>
    <row r="266" spans="1:13" x14ac:dyDescent="0.2">
      <c r="A266" s="49">
        <v>48989</v>
      </c>
      <c r="B266" s="49" t="s">
        <v>812</v>
      </c>
      <c r="C266" s="49" t="s">
        <v>50</v>
      </c>
      <c r="D266" s="49" t="s">
        <v>15</v>
      </c>
      <c r="E266" s="49" t="s">
        <v>12</v>
      </c>
      <c r="F266" s="49" t="s">
        <v>91</v>
      </c>
      <c r="G266" s="49">
        <v>1</v>
      </c>
      <c r="H266" s="49"/>
      <c r="I266" s="49"/>
      <c r="J266" s="49"/>
      <c r="K266" s="49"/>
      <c r="L266" s="49" t="s">
        <v>379</v>
      </c>
      <c r="M266" t="s">
        <v>1938</v>
      </c>
    </row>
    <row r="267" spans="1:13" x14ac:dyDescent="0.2">
      <c r="A267" s="49">
        <v>48167</v>
      </c>
      <c r="B267" s="49" t="s">
        <v>813</v>
      </c>
      <c r="C267" s="49" t="s">
        <v>25</v>
      </c>
      <c r="D267" s="49" t="s">
        <v>17</v>
      </c>
      <c r="E267" s="49" t="s">
        <v>5</v>
      </c>
      <c r="F267" s="49" t="s">
        <v>91</v>
      </c>
      <c r="G267" s="49">
        <v>6</v>
      </c>
      <c r="H267" s="49"/>
      <c r="I267" s="49"/>
      <c r="J267" s="49"/>
      <c r="K267" s="49"/>
      <c r="L267" s="49" t="s">
        <v>379</v>
      </c>
      <c r="M267" t="s">
        <v>1939</v>
      </c>
    </row>
    <row r="268" spans="1:13" x14ac:dyDescent="0.2">
      <c r="A268" s="49">
        <v>48158</v>
      </c>
      <c r="B268" s="49" t="s">
        <v>814</v>
      </c>
      <c r="C268" s="49" t="s">
        <v>9</v>
      </c>
      <c r="D268" s="49" t="s">
        <v>15</v>
      </c>
      <c r="E268" s="49" t="s">
        <v>8</v>
      </c>
      <c r="F268" s="49" t="s">
        <v>91</v>
      </c>
      <c r="G268" s="49">
        <v>56</v>
      </c>
      <c r="H268" s="49"/>
      <c r="I268" s="49"/>
      <c r="J268" s="49"/>
      <c r="K268" s="49"/>
      <c r="L268" s="49" t="s">
        <v>379</v>
      </c>
      <c r="M268" t="s">
        <v>1940</v>
      </c>
    </row>
    <row r="269" spans="1:13" x14ac:dyDescent="0.2">
      <c r="A269" s="49">
        <v>48157</v>
      </c>
      <c r="B269" s="49" t="s">
        <v>815</v>
      </c>
      <c r="C269" s="49" t="s">
        <v>9</v>
      </c>
      <c r="D269" s="49" t="s">
        <v>15</v>
      </c>
      <c r="E269" s="49" t="s">
        <v>8</v>
      </c>
      <c r="F269" s="49" t="s">
        <v>91</v>
      </c>
      <c r="G269" s="49">
        <v>59</v>
      </c>
      <c r="H269" s="49"/>
      <c r="I269" s="49"/>
      <c r="J269" s="49"/>
      <c r="K269" s="49"/>
      <c r="L269" s="49" t="s">
        <v>379</v>
      </c>
      <c r="M269" t="s">
        <v>1941</v>
      </c>
    </row>
    <row r="270" spans="1:13" x14ac:dyDescent="0.2">
      <c r="A270" s="49">
        <v>48156</v>
      </c>
      <c r="B270" s="49" t="s">
        <v>816</v>
      </c>
      <c r="C270" s="49" t="s">
        <v>9</v>
      </c>
      <c r="D270" s="49" t="s">
        <v>15</v>
      </c>
      <c r="E270" s="49" t="s">
        <v>8</v>
      </c>
      <c r="F270" s="49" t="s">
        <v>91</v>
      </c>
      <c r="G270" s="49">
        <v>60</v>
      </c>
      <c r="H270" s="49"/>
      <c r="I270" s="49"/>
      <c r="J270" s="49"/>
      <c r="K270" s="49"/>
      <c r="L270" s="49" t="s">
        <v>379</v>
      </c>
      <c r="M270" t="s">
        <v>1942</v>
      </c>
    </row>
    <row r="271" spans="1:13" x14ac:dyDescent="0.2">
      <c r="A271" s="49">
        <v>46567</v>
      </c>
      <c r="B271" s="49" t="s">
        <v>1625</v>
      </c>
      <c r="C271" s="49" t="s">
        <v>37</v>
      </c>
      <c r="D271" s="49" t="s">
        <v>15</v>
      </c>
      <c r="E271" s="49" t="s">
        <v>5</v>
      </c>
      <c r="F271" s="49" t="s">
        <v>91</v>
      </c>
      <c r="G271" s="49">
        <v>43</v>
      </c>
      <c r="H271" s="49"/>
      <c r="I271" s="49"/>
      <c r="J271" s="49"/>
      <c r="K271" s="49"/>
      <c r="L271" s="49" t="s">
        <v>379</v>
      </c>
      <c r="M271" t="s">
        <v>1943</v>
      </c>
    </row>
    <row r="272" spans="1:13" x14ac:dyDescent="0.2">
      <c r="A272" s="49">
        <v>46558</v>
      </c>
      <c r="B272" s="49" t="s">
        <v>817</v>
      </c>
      <c r="C272" s="49" t="s">
        <v>37</v>
      </c>
      <c r="D272" s="49" t="s">
        <v>15</v>
      </c>
      <c r="E272" s="49" t="s">
        <v>5</v>
      </c>
      <c r="F272" s="49" t="s">
        <v>91</v>
      </c>
      <c r="G272" s="49">
        <v>35</v>
      </c>
      <c r="H272" s="49"/>
      <c r="I272" s="49"/>
      <c r="J272" s="49"/>
      <c r="K272" s="49"/>
      <c r="L272" s="49" t="s">
        <v>379</v>
      </c>
      <c r="M272" t="s">
        <v>1944</v>
      </c>
    </row>
    <row r="273" spans="1:13" x14ac:dyDescent="0.2">
      <c r="A273" s="49">
        <v>44975</v>
      </c>
      <c r="B273" s="49" t="s">
        <v>1626</v>
      </c>
      <c r="C273" s="49" t="s">
        <v>7</v>
      </c>
      <c r="D273" s="49" t="s">
        <v>10</v>
      </c>
      <c r="E273" s="49" t="s">
        <v>6</v>
      </c>
      <c r="F273" s="49" t="s">
        <v>91</v>
      </c>
      <c r="G273" s="49">
        <v>9</v>
      </c>
      <c r="H273" s="49"/>
      <c r="I273" s="49"/>
      <c r="J273" s="49"/>
      <c r="K273" s="49"/>
      <c r="L273" s="49" t="s">
        <v>379</v>
      </c>
      <c r="M273" t="s">
        <v>1945</v>
      </c>
    </row>
    <row r="274" spans="1:13" x14ac:dyDescent="0.2">
      <c r="A274" s="49">
        <v>44675</v>
      </c>
      <c r="B274" s="49" t="s">
        <v>818</v>
      </c>
      <c r="C274" s="49" t="s">
        <v>25</v>
      </c>
      <c r="D274" s="49" t="s">
        <v>17</v>
      </c>
      <c r="E274" s="49" t="s">
        <v>5</v>
      </c>
      <c r="F274" s="49" t="s">
        <v>91</v>
      </c>
      <c r="G274" s="49">
        <v>5</v>
      </c>
      <c r="H274" s="49"/>
      <c r="I274" s="49"/>
      <c r="J274" s="49"/>
      <c r="K274" s="49"/>
      <c r="L274" s="49" t="s">
        <v>379</v>
      </c>
      <c r="M274" t="s">
        <v>1946</v>
      </c>
    </row>
    <row r="275" spans="1:13" x14ac:dyDescent="0.2">
      <c r="A275" s="49">
        <v>44136</v>
      </c>
      <c r="B275" s="49" t="s">
        <v>1627</v>
      </c>
      <c r="C275" s="49" t="s">
        <v>37</v>
      </c>
      <c r="D275" s="49" t="s">
        <v>15</v>
      </c>
      <c r="E275" s="49" t="s">
        <v>5</v>
      </c>
      <c r="F275" s="49" t="s">
        <v>95</v>
      </c>
      <c r="G275" s="49">
        <v>14</v>
      </c>
      <c r="H275" s="49"/>
      <c r="I275" s="49"/>
      <c r="J275" s="49"/>
      <c r="K275" s="49"/>
      <c r="L275" s="49" t="s">
        <v>379</v>
      </c>
      <c r="M275" t="s">
        <v>1947</v>
      </c>
    </row>
    <row r="276" spans="1:13" x14ac:dyDescent="0.2">
      <c r="A276" s="49">
        <v>43204</v>
      </c>
      <c r="B276" s="49" t="s">
        <v>819</v>
      </c>
      <c r="C276" s="49" t="s">
        <v>37</v>
      </c>
      <c r="D276" s="49" t="s">
        <v>17</v>
      </c>
      <c r="E276" s="49" t="s">
        <v>5</v>
      </c>
      <c r="F276" s="49" t="s">
        <v>95</v>
      </c>
      <c r="G276" s="49">
        <v>26</v>
      </c>
      <c r="H276" s="49"/>
      <c r="I276" s="49"/>
      <c r="J276" s="49"/>
      <c r="K276" s="49"/>
      <c r="L276" s="49" t="s">
        <v>379</v>
      </c>
      <c r="M276" t="s">
        <v>1948</v>
      </c>
    </row>
    <row r="277" spans="1:13" x14ac:dyDescent="0.2">
      <c r="A277" s="49">
        <v>42676</v>
      </c>
      <c r="B277" s="49" t="s">
        <v>1628</v>
      </c>
      <c r="C277" s="49" t="s">
        <v>58</v>
      </c>
      <c r="D277" s="49" t="s">
        <v>15</v>
      </c>
      <c r="E277" s="49" t="s">
        <v>8</v>
      </c>
      <c r="F277" s="49" t="s">
        <v>95</v>
      </c>
      <c r="G277" s="49">
        <v>14</v>
      </c>
      <c r="H277" s="49"/>
      <c r="I277" s="49"/>
      <c r="J277" s="49"/>
      <c r="K277" s="49"/>
      <c r="L277" s="49" t="s">
        <v>379</v>
      </c>
      <c r="M277" t="s">
        <v>1949</v>
      </c>
    </row>
    <row r="278" spans="1:13" x14ac:dyDescent="0.2">
      <c r="A278" s="49">
        <v>41221</v>
      </c>
      <c r="B278" s="49" t="s">
        <v>820</v>
      </c>
      <c r="C278" s="49" t="s">
        <v>11</v>
      </c>
      <c r="D278" s="49" t="s">
        <v>15</v>
      </c>
      <c r="E278" s="49" t="s">
        <v>11</v>
      </c>
      <c r="F278" s="49" t="s">
        <v>95</v>
      </c>
      <c r="G278" s="49">
        <v>3</v>
      </c>
      <c r="H278" s="49"/>
      <c r="I278" s="49"/>
      <c r="J278" s="49"/>
      <c r="K278" s="49"/>
      <c r="L278" s="49" t="s">
        <v>379</v>
      </c>
      <c r="M278" t="s">
        <v>1950</v>
      </c>
    </row>
    <row r="279" spans="1:13" x14ac:dyDescent="0.2">
      <c r="A279" s="49">
        <v>39126</v>
      </c>
      <c r="B279" s="49" t="s">
        <v>162</v>
      </c>
      <c r="C279" s="49" t="s">
        <v>46</v>
      </c>
      <c r="D279" s="49" t="s">
        <v>15</v>
      </c>
      <c r="E279" s="49" t="s">
        <v>12</v>
      </c>
      <c r="F279" s="49" t="s">
        <v>91</v>
      </c>
      <c r="G279" s="49">
        <v>9</v>
      </c>
      <c r="H279" s="49">
        <v>3</v>
      </c>
      <c r="I279" s="49">
        <v>2</v>
      </c>
      <c r="J279" s="49">
        <v>2</v>
      </c>
      <c r="K279" s="49">
        <v>3</v>
      </c>
      <c r="L279" s="49" t="s">
        <v>379</v>
      </c>
      <c r="M279" t="s">
        <v>1951</v>
      </c>
    </row>
    <row r="280" spans="1:13" x14ac:dyDescent="0.2">
      <c r="A280" s="49">
        <v>36549</v>
      </c>
      <c r="B280" s="49" t="s">
        <v>821</v>
      </c>
      <c r="C280" s="49" t="s">
        <v>58</v>
      </c>
      <c r="D280" s="49" t="s">
        <v>15</v>
      </c>
      <c r="E280" s="49" t="s">
        <v>8</v>
      </c>
      <c r="F280" s="49" t="s">
        <v>91</v>
      </c>
      <c r="G280" s="49">
        <v>15</v>
      </c>
      <c r="H280" s="49"/>
      <c r="I280" s="49"/>
      <c r="J280" s="49"/>
      <c r="K280" s="49"/>
      <c r="L280" s="49" t="s">
        <v>379</v>
      </c>
      <c r="M280" t="s">
        <v>1952</v>
      </c>
    </row>
    <row r="281" spans="1:13" x14ac:dyDescent="0.2">
      <c r="A281" s="49">
        <v>36274</v>
      </c>
      <c r="B281" s="49" t="s">
        <v>822</v>
      </c>
      <c r="C281" s="49" t="s">
        <v>38</v>
      </c>
      <c r="D281" s="49" t="s">
        <v>15</v>
      </c>
      <c r="E281" s="49" t="s">
        <v>5</v>
      </c>
      <c r="F281" s="49" t="s">
        <v>95</v>
      </c>
      <c r="G281" s="49">
        <v>13</v>
      </c>
      <c r="H281" s="49"/>
      <c r="I281" s="49"/>
      <c r="J281" s="49"/>
      <c r="K281" s="49"/>
      <c r="L281" s="49" t="s">
        <v>379</v>
      </c>
      <c r="M281" t="s">
        <v>1953</v>
      </c>
    </row>
    <row r="282" spans="1:13" x14ac:dyDescent="0.2">
      <c r="A282" s="49">
        <v>36196</v>
      </c>
      <c r="B282" s="49" t="s">
        <v>823</v>
      </c>
      <c r="C282" s="49" t="s">
        <v>58</v>
      </c>
      <c r="D282" s="49" t="s">
        <v>10</v>
      </c>
      <c r="E282" s="49" t="s">
        <v>8</v>
      </c>
      <c r="F282" s="49" t="s">
        <v>91</v>
      </c>
      <c r="G282" s="49">
        <v>16</v>
      </c>
      <c r="H282" s="49"/>
      <c r="I282" s="49"/>
      <c r="J282" s="49"/>
      <c r="K282" s="49"/>
      <c r="L282" s="49" t="s">
        <v>379</v>
      </c>
      <c r="M282" t="s">
        <v>1954</v>
      </c>
    </row>
    <row r="283" spans="1:13" x14ac:dyDescent="0.2">
      <c r="A283" s="49">
        <v>35914</v>
      </c>
      <c r="B283" s="49" t="s">
        <v>824</v>
      </c>
      <c r="C283" s="49" t="s">
        <v>9</v>
      </c>
      <c r="D283" s="49" t="s">
        <v>15</v>
      </c>
      <c r="E283" s="49" t="s">
        <v>8</v>
      </c>
      <c r="F283" s="49" t="s">
        <v>91</v>
      </c>
      <c r="G283" s="49">
        <v>62</v>
      </c>
      <c r="H283" s="49"/>
      <c r="I283" s="49"/>
      <c r="J283" s="49"/>
      <c r="K283" s="49"/>
      <c r="L283" s="49" t="s">
        <v>379</v>
      </c>
      <c r="M283" t="s">
        <v>1955</v>
      </c>
    </row>
    <row r="284" spans="1:13" x14ac:dyDescent="0.2">
      <c r="A284" s="49">
        <v>35445</v>
      </c>
      <c r="B284" s="49" t="s">
        <v>373</v>
      </c>
      <c r="C284" s="49" t="s">
        <v>98</v>
      </c>
      <c r="D284" s="49" t="s">
        <v>15</v>
      </c>
      <c r="E284" s="49" t="s">
        <v>12</v>
      </c>
      <c r="F284" s="49" t="s">
        <v>130</v>
      </c>
      <c r="G284" s="49">
        <v>6</v>
      </c>
      <c r="H284" s="49"/>
      <c r="I284" s="49"/>
      <c r="J284" s="49"/>
      <c r="K284" s="49"/>
      <c r="L284" s="49" t="s">
        <v>379</v>
      </c>
      <c r="M284" t="s">
        <v>1956</v>
      </c>
    </row>
    <row r="285" spans="1:13" x14ac:dyDescent="0.2">
      <c r="A285" s="49">
        <v>207256</v>
      </c>
      <c r="B285" s="49" t="s">
        <v>825</v>
      </c>
      <c r="C285" s="49" t="s">
        <v>37</v>
      </c>
      <c r="D285" s="49" t="s">
        <v>16</v>
      </c>
      <c r="E285" s="49" t="s">
        <v>5</v>
      </c>
      <c r="F285" s="49" t="s">
        <v>91</v>
      </c>
      <c r="G285" s="49">
        <v>44</v>
      </c>
      <c r="H285" s="49"/>
      <c r="I285" s="49"/>
      <c r="J285" s="49"/>
      <c r="K285" s="49"/>
      <c r="L285" s="49" t="s">
        <v>379</v>
      </c>
      <c r="M285" t="s">
        <v>1709</v>
      </c>
    </row>
    <row r="286" spans="1:13" x14ac:dyDescent="0.2">
      <c r="A286" s="49">
        <v>206177</v>
      </c>
      <c r="B286" s="49" t="s">
        <v>232</v>
      </c>
      <c r="C286" s="49" t="s">
        <v>37</v>
      </c>
      <c r="D286" s="49" t="s">
        <v>15</v>
      </c>
      <c r="E286" s="49" t="s">
        <v>5</v>
      </c>
      <c r="F286" s="49" t="s">
        <v>91</v>
      </c>
      <c r="G286" s="49">
        <v>18</v>
      </c>
      <c r="H286" s="49"/>
      <c r="I286" s="49"/>
      <c r="J286" s="49"/>
      <c r="K286" s="49"/>
      <c r="L286" s="49" t="s">
        <v>379</v>
      </c>
      <c r="M286" t="s">
        <v>1709</v>
      </c>
    </row>
    <row r="287" spans="1:13" x14ac:dyDescent="0.2">
      <c r="A287" s="49">
        <v>205107</v>
      </c>
      <c r="B287" s="49" t="s">
        <v>259</v>
      </c>
      <c r="C287" s="49" t="s">
        <v>98</v>
      </c>
      <c r="D287" s="49" t="s">
        <v>15</v>
      </c>
      <c r="E287" s="49" t="s">
        <v>12</v>
      </c>
      <c r="F287" s="49" t="s">
        <v>91</v>
      </c>
      <c r="G287" s="49">
        <v>10</v>
      </c>
      <c r="H287" s="49"/>
      <c r="I287" s="49"/>
      <c r="J287" s="49"/>
      <c r="K287" s="49"/>
      <c r="L287" s="49" t="s">
        <v>379</v>
      </c>
      <c r="M287" t="s">
        <v>1709</v>
      </c>
    </row>
    <row r="288" spans="1:13" x14ac:dyDescent="0.2">
      <c r="A288" s="49">
        <v>204677</v>
      </c>
      <c r="B288" s="49" t="s">
        <v>826</v>
      </c>
      <c r="C288" s="49" t="s">
        <v>37</v>
      </c>
      <c r="D288" s="49" t="s">
        <v>15</v>
      </c>
      <c r="E288" s="49" t="s">
        <v>5</v>
      </c>
      <c r="F288" s="49" t="s">
        <v>91</v>
      </c>
      <c r="G288" s="49">
        <v>33</v>
      </c>
      <c r="H288" s="49"/>
      <c r="I288" s="49"/>
      <c r="J288" s="49"/>
      <c r="K288" s="49"/>
      <c r="L288" s="49" t="s">
        <v>379</v>
      </c>
      <c r="M288" t="s">
        <v>1709</v>
      </c>
    </row>
    <row r="289" spans="1:13" x14ac:dyDescent="0.2">
      <c r="A289" s="49">
        <v>204653</v>
      </c>
      <c r="B289" s="49" t="s">
        <v>827</v>
      </c>
      <c r="C289" s="49" t="s">
        <v>23</v>
      </c>
      <c r="D289" s="49" t="s">
        <v>10</v>
      </c>
      <c r="E289" s="49" t="s">
        <v>5</v>
      </c>
      <c r="F289" s="49" t="s">
        <v>95</v>
      </c>
      <c r="G289" s="49">
        <v>15</v>
      </c>
      <c r="H289" s="49"/>
      <c r="I289" s="49"/>
      <c r="J289" s="49"/>
      <c r="K289" s="49"/>
      <c r="L289" s="49" t="s">
        <v>379</v>
      </c>
      <c r="M289" t="s">
        <v>1709</v>
      </c>
    </row>
    <row r="290" spans="1:13" x14ac:dyDescent="0.2">
      <c r="A290" s="49">
        <v>204261</v>
      </c>
      <c r="B290" s="49" t="s">
        <v>828</v>
      </c>
      <c r="C290" s="49" t="s">
        <v>23</v>
      </c>
      <c r="D290" s="49" t="s">
        <v>10</v>
      </c>
      <c r="E290" s="49" t="s">
        <v>5</v>
      </c>
      <c r="F290" s="49" t="s">
        <v>91</v>
      </c>
      <c r="G290" s="49">
        <v>26</v>
      </c>
      <c r="H290" s="49"/>
      <c r="I290" s="49"/>
      <c r="J290" s="49"/>
      <c r="K290" s="49"/>
      <c r="L290" s="49" t="s">
        <v>379</v>
      </c>
      <c r="M290" t="s">
        <v>1709</v>
      </c>
    </row>
    <row r="291" spans="1:13" x14ac:dyDescent="0.2">
      <c r="A291" s="49">
        <v>203999</v>
      </c>
      <c r="B291" s="49" t="s">
        <v>829</v>
      </c>
      <c r="C291" s="49" t="s">
        <v>37</v>
      </c>
      <c r="D291" s="49" t="s">
        <v>15</v>
      </c>
      <c r="E291" s="49" t="s">
        <v>5</v>
      </c>
      <c r="F291" s="49" t="s">
        <v>91</v>
      </c>
      <c r="G291" s="49">
        <v>45</v>
      </c>
      <c r="H291" s="49"/>
      <c r="I291" s="49"/>
      <c r="J291" s="49"/>
      <c r="K291" s="49"/>
      <c r="L291" s="49" t="s">
        <v>379</v>
      </c>
      <c r="M291" t="s">
        <v>1709</v>
      </c>
    </row>
    <row r="292" spans="1:13" x14ac:dyDescent="0.2">
      <c r="A292" s="49">
        <v>203901</v>
      </c>
      <c r="B292" s="49" t="s">
        <v>830</v>
      </c>
      <c r="C292" s="49" t="s">
        <v>46</v>
      </c>
      <c r="D292" s="49" t="s">
        <v>15</v>
      </c>
      <c r="E292" s="49" t="s">
        <v>12</v>
      </c>
      <c r="F292" s="49" t="s">
        <v>95</v>
      </c>
      <c r="G292" s="49">
        <v>7</v>
      </c>
      <c r="H292" s="49">
        <v>3</v>
      </c>
      <c r="I292" s="49">
        <v>2</v>
      </c>
      <c r="J292" s="49">
        <v>2</v>
      </c>
      <c r="K292" s="49">
        <v>3</v>
      </c>
      <c r="L292" s="49" t="s">
        <v>379</v>
      </c>
      <c r="M292" t="s">
        <v>1709</v>
      </c>
    </row>
    <row r="293" spans="1:13" x14ac:dyDescent="0.2">
      <c r="A293" s="49">
        <v>203853</v>
      </c>
      <c r="B293" s="49" t="s">
        <v>831</v>
      </c>
      <c r="C293" s="49" t="s">
        <v>24</v>
      </c>
      <c r="D293" s="49" t="s">
        <v>16</v>
      </c>
      <c r="E293" s="49" t="s">
        <v>5</v>
      </c>
      <c r="F293" s="49" t="s">
        <v>91</v>
      </c>
      <c r="G293" s="49">
        <v>12</v>
      </c>
      <c r="H293" s="49"/>
      <c r="I293" s="49"/>
      <c r="J293" s="49"/>
      <c r="K293" s="49"/>
      <c r="L293" s="49" t="s">
        <v>379</v>
      </c>
      <c r="M293" t="s">
        <v>1709</v>
      </c>
    </row>
    <row r="294" spans="1:13" x14ac:dyDescent="0.2">
      <c r="A294" s="49">
        <v>203114</v>
      </c>
      <c r="B294" s="49" t="s">
        <v>174</v>
      </c>
      <c r="C294" s="49" t="s">
        <v>98</v>
      </c>
      <c r="D294" s="49" t="s">
        <v>10</v>
      </c>
      <c r="E294" s="49" t="s">
        <v>12</v>
      </c>
      <c r="F294" s="49" t="s">
        <v>91</v>
      </c>
      <c r="G294" s="49">
        <v>12</v>
      </c>
      <c r="H294" s="49"/>
      <c r="I294" s="49"/>
      <c r="J294" s="49"/>
      <c r="K294" s="49"/>
      <c r="L294" s="49" t="s">
        <v>379</v>
      </c>
      <c r="M294" t="s">
        <v>1709</v>
      </c>
    </row>
    <row r="295" spans="1:13" x14ac:dyDescent="0.2">
      <c r="A295" s="49">
        <v>203092</v>
      </c>
      <c r="B295" s="49" t="s">
        <v>832</v>
      </c>
      <c r="C295" s="49" t="s">
        <v>58</v>
      </c>
      <c r="D295" s="49" t="s">
        <v>15</v>
      </c>
      <c r="E295" s="49" t="s">
        <v>8</v>
      </c>
      <c r="F295" s="49" t="s">
        <v>91</v>
      </c>
      <c r="G295" s="49">
        <v>17</v>
      </c>
      <c r="H295" s="49"/>
      <c r="I295" s="49"/>
      <c r="J295" s="49"/>
      <c r="K295" s="49"/>
      <c r="L295" s="49" t="s">
        <v>379</v>
      </c>
      <c r="M295" t="s">
        <v>1709</v>
      </c>
    </row>
    <row r="296" spans="1:13" x14ac:dyDescent="0.2">
      <c r="A296" s="49">
        <v>202075</v>
      </c>
      <c r="B296" s="49" t="s">
        <v>1629</v>
      </c>
      <c r="C296" s="49" t="s">
        <v>60</v>
      </c>
      <c r="D296" s="49" t="s">
        <v>15</v>
      </c>
      <c r="E296" s="49" t="s">
        <v>8</v>
      </c>
      <c r="F296" s="49" t="s">
        <v>95</v>
      </c>
      <c r="G296" s="49">
        <v>4</v>
      </c>
      <c r="H296" s="49"/>
      <c r="I296" s="49"/>
      <c r="J296" s="49"/>
      <c r="K296" s="49"/>
      <c r="L296" s="49" t="s">
        <v>379</v>
      </c>
      <c r="M296" t="s">
        <v>1709</v>
      </c>
    </row>
    <row r="297" spans="1:13" x14ac:dyDescent="0.2">
      <c r="A297" s="49">
        <v>201686</v>
      </c>
      <c r="B297" s="49" t="s">
        <v>240</v>
      </c>
      <c r="C297" s="49" t="s">
        <v>37</v>
      </c>
      <c r="D297" s="49" t="s">
        <v>15</v>
      </c>
      <c r="E297" s="49" t="s">
        <v>5</v>
      </c>
      <c r="F297" s="49" t="s">
        <v>91</v>
      </c>
      <c r="G297" s="49">
        <v>19</v>
      </c>
      <c r="H297" s="49"/>
      <c r="I297" s="49"/>
      <c r="J297" s="49"/>
      <c r="K297" s="49"/>
      <c r="L297" s="49" t="s">
        <v>379</v>
      </c>
      <c r="M297" t="s">
        <v>1709</v>
      </c>
    </row>
    <row r="298" spans="1:13" x14ac:dyDescent="0.2">
      <c r="A298" s="49">
        <v>199977</v>
      </c>
      <c r="B298" s="49" t="s">
        <v>250</v>
      </c>
      <c r="C298" s="49" t="s">
        <v>98</v>
      </c>
      <c r="D298" s="49" t="s">
        <v>15</v>
      </c>
      <c r="E298" s="49" t="s">
        <v>12</v>
      </c>
      <c r="F298" s="49" t="s">
        <v>91</v>
      </c>
      <c r="G298" s="49">
        <v>19</v>
      </c>
      <c r="H298" s="49"/>
      <c r="I298" s="49"/>
      <c r="J298" s="49"/>
      <c r="K298" s="49"/>
      <c r="L298" s="49" t="s">
        <v>379</v>
      </c>
      <c r="M298" t="s">
        <v>1709</v>
      </c>
    </row>
    <row r="299" spans="1:13" x14ac:dyDescent="0.2">
      <c r="A299" s="49">
        <v>199976</v>
      </c>
      <c r="B299" s="49" t="s">
        <v>833</v>
      </c>
      <c r="C299" s="49" t="s">
        <v>98</v>
      </c>
      <c r="D299" s="49" t="s">
        <v>15</v>
      </c>
      <c r="E299" s="49" t="s">
        <v>12</v>
      </c>
      <c r="F299" s="49" t="s">
        <v>91</v>
      </c>
      <c r="G299" s="49">
        <v>18</v>
      </c>
      <c r="H299" s="49"/>
      <c r="I299" s="49"/>
      <c r="J299" s="49"/>
      <c r="K299" s="49"/>
      <c r="L299" s="49" t="s">
        <v>379</v>
      </c>
      <c r="M299" t="s">
        <v>1709</v>
      </c>
    </row>
    <row r="300" spans="1:13" x14ac:dyDescent="0.2">
      <c r="A300" s="49">
        <v>199556</v>
      </c>
      <c r="B300" s="49" t="s">
        <v>834</v>
      </c>
      <c r="C300" s="49" t="s">
        <v>21</v>
      </c>
      <c r="D300" s="49" t="s">
        <v>15</v>
      </c>
      <c r="E300" s="49" t="s">
        <v>5</v>
      </c>
      <c r="F300" s="49" t="s">
        <v>91</v>
      </c>
      <c r="G300" s="49">
        <v>24</v>
      </c>
      <c r="H300" s="49"/>
      <c r="I300" s="49"/>
      <c r="J300" s="49"/>
      <c r="K300" s="49"/>
      <c r="L300" s="49" t="s">
        <v>379</v>
      </c>
      <c r="M300" t="s">
        <v>1709</v>
      </c>
    </row>
    <row r="301" spans="1:13" x14ac:dyDescent="0.2">
      <c r="A301" s="49">
        <v>196287</v>
      </c>
      <c r="B301" s="49" t="s">
        <v>835</v>
      </c>
      <c r="C301" s="49" t="s">
        <v>37</v>
      </c>
      <c r="D301" s="49" t="s">
        <v>15</v>
      </c>
      <c r="E301" s="49" t="s">
        <v>5</v>
      </c>
      <c r="F301" s="49" t="s">
        <v>91</v>
      </c>
      <c r="G301" s="49">
        <v>34</v>
      </c>
      <c r="H301" s="49"/>
      <c r="I301" s="49"/>
      <c r="J301" s="49"/>
      <c r="K301" s="49"/>
      <c r="L301" s="49" t="s">
        <v>379</v>
      </c>
      <c r="M301" t="s">
        <v>1709</v>
      </c>
    </row>
    <row r="302" spans="1:13" x14ac:dyDescent="0.2">
      <c r="A302" s="49">
        <v>195972</v>
      </c>
      <c r="B302" s="49" t="s">
        <v>836</v>
      </c>
      <c r="C302" s="49" t="s">
        <v>37</v>
      </c>
      <c r="D302" s="49" t="s">
        <v>15</v>
      </c>
      <c r="E302" s="49" t="s">
        <v>5</v>
      </c>
      <c r="F302" s="49" t="s">
        <v>91</v>
      </c>
      <c r="G302" s="49">
        <v>7</v>
      </c>
      <c r="H302" s="49"/>
      <c r="I302" s="49"/>
      <c r="J302" s="49"/>
      <c r="K302" s="49"/>
      <c r="L302" s="49" t="s">
        <v>379</v>
      </c>
      <c r="M302" t="s">
        <v>1709</v>
      </c>
    </row>
    <row r="303" spans="1:13" x14ac:dyDescent="0.2">
      <c r="A303" s="49">
        <v>194112</v>
      </c>
      <c r="B303" s="49" t="s">
        <v>837</v>
      </c>
      <c r="C303" s="49" t="s">
        <v>58</v>
      </c>
      <c r="D303" s="49" t="s">
        <v>4</v>
      </c>
      <c r="E303" s="49" t="s">
        <v>8</v>
      </c>
      <c r="F303" s="49" t="s">
        <v>95</v>
      </c>
      <c r="G303" s="49">
        <v>18</v>
      </c>
      <c r="H303" s="49"/>
      <c r="I303" s="49"/>
      <c r="J303" s="49"/>
      <c r="K303" s="49"/>
      <c r="L303" s="49" t="s">
        <v>379</v>
      </c>
      <c r="M303" t="s">
        <v>1709</v>
      </c>
    </row>
    <row r="304" spans="1:13" x14ac:dyDescent="0.2">
      <c r="A304" s="49">
        <v>193256</v>
      </c>
      <c r="B304" s="49" t="s">
        <v>838</v>
      </c>
      <c r="C304" s="49" t="s">
        <v>38</v>
      </c>
      <c r="D304" s="49" t="s">
        <v>15</v>
      </c>
      <c r="E304" s="49" t="s">
        <v>5</v>
      </c>
      <c r="F304" s="49" t="s">
        <v>91</v>
      </c>
      <c r="G304" s="49">
        <v>17</v>
      </c>
      <c r="H304" s="49"/>
      <c r="I304" s="49"/>
      <c r="J304" s="49"/>
      <c r="K304" s="49"/>
      <c r="L304" s="49" t="s">
        <v>379</v>
      </c>
      <c r="M304" t="s">
        <v>1709</v>
      </c>
    </row>
    <row r="305" spans="1:13" x14ac:dyDescent="0.2">
      <c r="A305" s="49">
        <v>193041</v>
      </c>
      <c r="B305" s="49" t="s">
        <v>839</v>
      </c>
      <c r="C305" s="49" t="s">
        <v>34</v>
      </c>
      <c r="D305" s="49" t="s">
        <v>15</v>
      </c>
      <c r="E305" s="49" t="s">
        <v>8</v>
      </c>
      <c r="F305" s="49" t="s">
        <v>91</v>
      </c>
      <c r="G305" s="49">
        <v>6</v>
      </c>
      <c r="H305" s="49"/>
      <c r="I305" s="49"/>
      <c r="J305" s="49"/>
      <c r="K305" s="49"/>
      <c r="L305" s="49" t="s">
        <v>379</v>
      </c>
      <c r="M305" t="s">
        <v>1709</v>
      </c>
    </row>
    <row r="306" spans="1:13" x14ac:dyDescent="0.2">
      <c r="A306" s="49">
        <v>192862</v>
      </c>
      <c r="B306" s="49" t="s">
        <v>840</v>
      </c>
      <c r="C306" s="49" t="s">
        <v>38</v>
      </c>
      <c r="D306" s="49" t="s">
        <v>15</v>
      </c>
      <c r="E306" s="49" t="s">
        <v>5</v>
      </c>
      <c r="F306" s="49" t="s">
        <v>91</v>
      </c>
      <c r="G306" s="49">
        <v>25</v>
      </c>
      <c r="H306" s="49"/>
      <c r="I306" s="49"/>
      <c r="J306" s="49"/>
      <c r="K306" s="49"/>
      <c r="L306" s="49" t="s">
        <v>379</v>
      </c>
      <c r="M306" t="s">
        <v>1709</v>
      </c>
    </row>
    <row r="307" spans="1:13" x14ac:dyDescent="0.2">
      <c r="A307" s="49">
        <v>192640</v>
      </c>
      <c r="B307" s="49" t="s">
        <v>309</v>
      </c>
      <c r="C307" s="49" t="s">
        <v>9</v>
      </c>
      <c r="D307" s="49" t="s">
        <v>15</v>
      </c>
      <c r="E307" s="49" t="s">
        <v>8</v>
      </c>
      <c r="F307" s="49" t="s">
        <v>91</v>
      </c>
      <c r="G307" s="49">
        <v>64</v>
      </c>
      <c r="H307" s="49"/>
      <c r="I307" s="49"/>
      <c r="J307" s="49"/>
      <c r="K307" s="49"/>
      <c r="L307" s="49" t="s">
        <v>379</v>
      </c>
      <c r="M307" t="s">
        <v>1709</v>
      </c>
    </row>
    <row r="308" spans="1:13" x14ac:dyDescent="0.2">
      <c r="A308" s="49">
        <v>192060</v>
      </c>
      <c r="B308" s="49" t="s">
        <v>218</v>
      </c>
      <c r="C308" s="49" t="s">
        <v>98</v>
      </c>
      <c r="D308" s="49" t="s">
        <v>15</v>
      </c>
      <c r="E308" s="49" t="s">
        <v>12</v>
      </c>
      <c r="F308" s="49" t="s">
        <v>91</v>
      </c>
      <c r="G308" s="49">
        <v>17</v>
      </c>
      <c r="H308" s="49"/>
      <c r="I308" s="49"/>
      <c r="J308" s="49"/>
      <c r="K308" s="49"/>
      <c r="L308" s="49" t="s">
        <v>379</v>
      </c>
      <c r="M308" t="s">
        <v>1709</v>
      </c>
    </row>
    <row r="309" spans="1:13" x14ac:dyDescent="0.2">
      <c r="A309" s="49">
        <v>192059</v>
      </c>
      <c r="B309" s="49" t="s">
        <v>841</v>
      </c>
      <c r="C309" s="49" t="s">
        <v>25</v>
      </c>
      <c r="D309" s="49" t="s">
        <v>17</v>
      </c>
      <c r="E309" s="49" t="s">
        <v>5</v>
      </c>
      <c r="F309" s="49" t="s">
        <v>95</v>
      </c>
      <c r="G309" s="49">
        <v>2</v>
      </c>
      <c r="H309" s="49"/>
      <c r="I309" s="49"/>
      <c r="J309" s="49"/>
      <c r="K309" s="49"/>
      <c r="L309" s="49" t="s">
        <v>379</v>
      </c>
      <c r="M309" t="s">
        <v>1709</v>
      </c>
    </row>
    <row r="310" spans="1:13" x14ac:dyDescent="0.2">
      <c r="A310" s="49">
        <v>192033</v>
      </c>
      <c r="B310" s="49" t="s">
        <v>842</v>
      </c>
      <c r="C310" s="49" t="s">
        <v>9</v>
      </c>
      <c r="D310" s="49" t="s">
        <v>15</v>
      </c>
      <c r="E310" s="49" t="s">
        <v>8</v>
      </c>
      <c r="F310" s="49" t="s">
        <v>91</v>
      </c>
      <c r="G310" s="49">
        <v>65</v>
      </c>
      <c r="H310" s="49"/>
      <c r="I310" s="49"/>
      <c r="J310" s="49"/>
      <c r="K310" s="49"/>
      <c r="L310" s="49" t="s">
        <v>379</v>
      </c>
      <c r="M310" t="s">
        <v>1709</v>
      </c>
    </row>
    <row r="311" spans="1:13" x14ac:dyDescent="0.2">
      <c r="A311" s="49">
        <v>192027</v>
      </c>
      <c r="B311" s="49" t="s">
        <v>843</v>
      </c>
      <c r="C311" s="49" t="s">
        <v>34</v>
      </c>
      <c r="D311" s="49" t="s">
        <v>15</v>
      </c>
      <c r="E311" s="49" t="s">
        <v>8</v>
      </c>
      <c r="F311" s="49" t="s">
        <v>91</v>
      </c>
      <c r="G311" s="49">
        <v>4</v>
      </c>
      <c r="H311" s="49"/>
      <c r="I311" s="49"/>
      <c r="J311" s="49"/>
      <c r="K311" s="49"/>
      <c r="L311" s="49" t="s">
        <v>379</v>
      </c>
      <c r="M311" t="s">
        <v>1709</v>
      </c>
    </row>
    <row r="312" spans="1:13" x14ac:dyDescent="0.2">
      <c r="A312" s="49">
        <v>190603</v>
      </c>
      <c r="B312" s="49" t="s">
        <v>844</v>
      </c>
      <c r="C312" s="49" t="s">
        <v>37</v>
      </c>
      <c r="D312" s="49" t="s">
        <v>15</v>
      </c>
      <c r="E312" s="49" t="s">
        <v>5</v>
      </c>
      <c r="F312" s="49" t="s">
        <v>91</v>
      </c>
      <c r="G312" s="49">
        <v>51</v>
      </c>
      <c r="H312" s="49"/>
      <c r="I312" s="49"/>
      <c r="J312" s="49"/>
      <c r="K312" s="49"/>
      <c r="L312" s="49" t="s">
        <v>379</v>
      </c>
      <c r="M312" t="s">
        <v>1709</v>
      </c>
    </row>
    <row r="313" spans="1:13" x14ac:dyDescent="0.2">
      <c r="A313" s="49">
        <v>190399</v>
      </c>
      <c r="B313" s="49" t="s">
        <v>845</v>
      </c>
      <c r="C313" s="49" t="s">
        <v>58</v>
      </c>
      <c r="D313" s="49" t="s">
        <v>4</v>
      </c>
      <c r="E313" s="49" t="s">
        <v>8</v>
      </c>
      <c r="F313" s="49" t="s">
        <v>91</v>
      </c>
      <c r="G313" s="49">
        <v>19</v>
      </c>
      <c r="H313" s="49"/>
      <c r="I313" s="49"/>
      <c r="J313" s="49"/>
      <c r="K313" s="49"/>
      <c r="L313" s="49" t="s">
        <v>379</v>
      </c>
      <c r="M313" t="s">
        <v>1709</v>
      </c>
    </row>
    <row r="314" spans="1:13" x14ac:dyDescent="0.2">
      <c r="A314" s="49">
        <v>190291</v>
      </c>
      <c r="B314" s="49" t="s">
        <v>846</v>
      </c>
      <c r="C314" s="49" t="s">
        <v>37</v>
      </c>
      <c r="D314" s="49" t="s">
        <v>15</v>
      </c>
      <c r="E314" s="49" t="s">
        <v>5</v>
      </c>
      <c r="F314" s="49" t="s">
        <v>95</v>
      </c>
      <c r="G314" s="49">
        <v>13</v>
      </c>
      <c r="H314" s="49"/>
      <c r="I314" s="49"/>
      <c r="J314" s="49"/>
      <c r="K314" s="49"/>
      <c r="L314" s="49" t="s">
        <v>379</v>
      </c>
      <c r="M314" t="s">
        <v>1709</v>
      </c>
    </row>
    <row r="315" spans="1:13" x14ac:dyDescent="0.2">
      <c r="A315" s="49">
        <v>189983</v>
      </c>
      <c r="B315" s="49" t="s">
        <v>847</v>
      </c>
      <c r="C315" s="49" t="s">
        <v>25</v>
      </c>
      <c r="D315" s="49" t="s">
        <v>17</v>
      </c>
      <c r="E315" s="49" t="s">
        <v>5</v>
      </c>
      <c r="F315" s="49" t="s">
        <v>91</v>
      </c>
      <c r="G315" s="49">
        <v>7</v>
      </c>
      <c r="H315" s="49"/>
      <c r="I315" s="49"/>
      <c r="J315" s="49"/>
      <c r="K315" s="49"/>
      <c r="L315" s="49" t="s">
        <v>379</v>
      </c>
      <c r="M315" t="s">
        <v>1709</v>
      </c>
    </row>
    <row r="316" spans="1:13" x14ac:dyDescent="0.2">
      <c r="A316" s="49">
        <v>189783</v>
      </c>
      <c r="B316" s="49" t="s">
        <v>848</v>
      </c>
      <c r="C316" s="49" t="s">
        <v>21</v>
      </c>
      <c r="D316" s="49" t="s">
        <v>15</v>
      </c>
      <c r="E316" s="49" t="s">
        <v>5</v>
      </c>
      <c r="F316" s="49" t="s">
        <v>91</v>
      </c>
      <c r="G316" s="49">
        <v>23</v>
      </c>
      <c r="H316" s="49"/>
      <c r="I316" s="49"/>
      <c r="J316" s="49"/>
      <c r="K316" s="49"/>
      <c r="L316" s="49" t="s">
        <v>379</v>
      </c>
      <c r="M316" t="s">
        <v>1709</v>
      </c>
    </row>
    <row r="317" spans="1:13" x14ac:dyDescent="0.2">
      <c r="A317" s="49">
        <v>189526</v>
      </c>
      <c r="B317" s="49" t="s">
        <v>849</v>
      </c>
      <c r="C317" s="49" t="s">
        <v>25</v>
      </c>
      <c r="D317" s="49" t="s">
        <v>17</v>
      </c>
      <c r="E317" s="49" t="s">
        <v>5</v>
      </c>
      <c r="F317" s="49" t="s">
        <v>95</v>
      </c>
      <c r="G317" s="49">
        <v>11</v>
      </c>
      <c r="H317" s="49"/>
      <c r="I317" s="49"/>
      <c r="J317" s="49"/>
      <c r="K317" s="49"/>
      <c r="L317" s="49" t="s">
        <v>379</v>
      </c>
      <c r="M317" t="s">
        <v>1709</v>
      </c>
    </row>
    <row r="318" spans="1:13" x14ac:dyDescent="0.2">
      <c r="A318" s="49">
        <v>188749</v>
      </c>
      <c r="B318" s="49" t="s">
        <v>1630</v>
      </c>
      <c r="C318" s="49" t="s">
        <v>24</v>
      </c>
      <c r="D318" s="49" t="s">
        <v>16</v>
      </c>
      <c r="E318" s="49" t="s">
        <v>5</v>
      </c>
      <c r="F318" s="49" t="s">
        <v>91</v>
      </c>
      <c r="G318" s="49">
        <v>13</v>
      </c>
      <c r="H318" s="49"/>
      <c r="I318" s="49"/>
      <c r="J318" s="49"/>
      <c r="K318" s="49"/>
      <c r="L318" s="49" t="s">
        <v>379</v>
      </c>
      <c r="M318" t="s">
        <v>1709</v>
      </c>
    </row>
    <row r="319" spans="1:13" x14ac:dyDescent="0.2">
      <c r="A319" s="49">
        <v>188737</v>
      </c>
      <c r="B319" s="49" t="s">
        <v>149</v>
      </c>
      <c r="C319" s="49" t="s">
        <v>98</v>
      </c>
      <c r="D319" s="49" t="s">
        <v>10</v>
      </c>
      <c r="E319" s="49" t="s">
        <v>12</v>
      </c>
      <c r="F319" s="49" t="s">
        <v>95</v>
      </c>
      <c r="G319" s="49">
        <v>9</v>
      </c>
      <c r="H319" s="49"/>
      <c r="I319" s="49"/>
      <c r="J319" s="49"/>
      <c r="K319" s="49"/>
      <c r="L319" s="49" t="s">
        <v>379</v>
      </c>
      <c r="M319" t="s">
        <v>1709</v>
      </c>
    </row>
    <row r="320" spans="1:13" x14ac:dyDescent="0.2">
      <c r="A320" s="49">
        <v>188477</v>
      </c>
      <c r="B320" s="49" t="s">
        <v>256</v>
      </c>
      <c r="C320" s="49" t="s">
        <v>37</v>
      </c>
      <c r="D320" s="49" t="s">
        <v>15</v>
      </c>
      <c r="E320" s="49" t="s">
        <v>5</v>
      </c>
      <c r="F320" s="49" t="s">
        <v>95</v>
      </c>
      <c r="G320" s="49">
        <v>27</v>
      </c>
      <c r="H320" s="49"/>
      <c r="I320" s="49"/>
      <c r="J320" s="49"/>
      <c r="K320" s="49"/>
      <c r="L320" s="49" t="s">
        <v>379</v>
      </c>
      <c r="M320" t="s">
        <v>1709</v>
      </c>
    </row>
    <row r="321" spans="1:13" x14ac:dyDescent="0.2">
      <c r="A321" s="49">
        <v>185996</v>
      </c>
      <c r="B321" s="49" t="s">
        <v>850</v>
      </c>
      <c r="C321" s="49" t="s">
        <v>37</v>
      </c>
      <c r="D321" s="49" t="s">
        <v>17</v>
      </c>
      <c r="E321" s="49" t="s">
        <v>5</v>
      </c>
      <c r="F321" s="49" t="s">
        <v>91</v>
      </c>
      <c r="G321" s="49">
        <v>47</v>
      </c>
      <c r="H321" s="49"/>
      <c r="I321" s="49"/>
      <c r="J321" s="49"/>
      <c r="K321" s="49"/>
      <c r="L321" s="49" t="s">
        <v>379</v>
      </c>
      <c r="M321" t="s">
        <v>1709</v>
      </c>
    </row>
    <row r="322" spans="1:13" x14ac:dyDescent="0.2">
      <c r="A322" s="49">
        <v>185664</v>
      </c>
      <c r="B322" s="49" t="s">
        <v>164</v>
      </c>
      <c r="C322" s="49" t="s">
        <v>38</v>
      </c>
      <c r="D322" s="49" t="s">
        <v>15</v>
      </c>
      <c r="E322" s="49" t="s">
        <v>5</v>
      </c>
      <c r="F322" s="49" t="s">
        <v>95</v>
      </c>
      <c r="G322" s="49">
        <v>2</v>
      </c>
      <c r="H322" s="49"/>
      <c r="I322" s="49"/>
      <c r="J322" s="49"/>
      <c r="K322" s="49"/>
      <c r="L322" s="49" t="s">
        <v>379</v>
      </c>
      <c r="M322" t="s">
        <v>1709</v>
      </c>
    </row>
    <row r="323" spans="1:13" x14ac:dyDescent="0.2">
      <c r="A323" s="49">
        <v>181624</v>
      </c>
      <c r="B323" s="49" t="s">
        <v>851</v>
      </c>
      <c r="C323" s="49" t="s">
        <v>34</v>
      </c>
      <c r="D323" s="49" t="s">
        <v>15</v>
      </c>
      <c r="E323" s="49" t="s">
        <v>8</v>
      </c>
      <c r="F323" s="49" t="s">
        <v>91</v>
      </c>
      <c r="G323" s="49">
        <v>3</v>
      </c>
      <c r="H323" s="49">
        <v>3</v>
      </c>
      <c r="I323" s="49"/>
      <c r="J323" s="49"/>
      <c r="K323" s="49"/>
      <c r="L323" s="49" t="s">
        <v>379</v>
      </c>
      <c r="M323" t="s">
        <v>1709</v>
      </c>
    </row>
    <row r="324" spans="1:13" x14ac:dyDescent="0.2">
      <c r="A324" s="49">
        <v>181384</v>
      </c>
      <c r="B324" s="49" t="s">
        <v>852</v>
      </c>
      <c r="C324" s="49" t="s">
        <v>38</v>
      </c>
      <c r="D324" s="49" t="s">
        <v>15</v>
      </c>
      <c r="E324" s="49" t="s">
        <v>5</v>
      </c>
      <c r="F324" s="49" t="s">
        <v>95</v>
      </c>
      <c r="G324" s="49">
        <v>1</v>
      </c>
      <c r="H324" s="49"/>
      <c r="I324" s="49"/>
      <c r="J324" s="49"/>
      <c r="K324" s="49"/>
      <c r="L324" s="49" t="s">
        <v>379</v>
      </c>
      <c r="M324" t="s">
        <v>1709</v>
      </c>
    </row>
    <row r="325" spans="1:13" x14ac:dyDescent="0.2">
      <c r="A325" s="49">
        <v>180676</v>
      </c>
      <c r="B325" s="49" t="s">
        <v>853</v>
      </c>
      <c r="C325" s="49" t="s">
        <v>9</v>
      </c>
      <c r="D325" s="49" t="s">
        <v>15</v>
      </c>
      <c r="E325" s="49" t="s">
        <v>8</v>
      </c>
      <c r="F325" s="49" t="s">
        <v>91</v>
      </c>
      <c r="G325" s="49">
        <v>67</v>
      </c>
      <c r="H325" s="49"/>
      <c r="I325" s="49"/>
      <c r="J325" s="49"/>
      <c r="K325" s="49"/>
      <c r="L325" s="49" t="s">
        <v>379</v>
      </c>
      <c r="M325" t="s">
        <v>1709</v>
      </c>
    </row>
    <row r="326" spans="1:13" x14ac:dyDescent="0.2">
      <c r="A326" s="49">
        <v>180673</v>
      </c>
      <c r="B326" s="49" t="s">
        <v>854</v>
      </c>
      <c r="C326" s="49" t="s">
        <v>9</v>
      </c>
      <c r="D326" s="49" t="s">
        <v>15</v>
      </c>
      <c r="E326" s="49" t="s">
        <v>8</v>
      </c>
      <c r="F326" s="49" t="s">
        <v>91</v>
      </c>
      <c r="G326" s="49">
        <v>69</v>
      </c>
      <c r="H326" s="49"/>
      <c r="I326" s="49"/>
      <c r="J326" s="49"/>
      <c r="K326" s="49"/>
      <c r="L326" s="49" t="s">
        <v>379</v>
      </c>
      <c r="M326" t="s">
        <v>1709</v>
      </c>
    </row>
    <row r="327" spans="1:13" x14ac:dyDescent="0.2">
      <c r="A327" s="49">
        <v>180670</v>
      </c>
      <c r="B327" s="49" t="s">
        <v>213</v>
      </c>
      <c r="C327" s="49" t="s">
        <v>9</v>
      </c>
      <c r="D327" s="49" t="s">
        <v>15</v>
      </c>
      <c r="E327" s="49" t="s">
        <v>8</v>
      </c>
      <c r="F327" s="49" t="s">
        <v>136</v>
      </c>
      <c r="G327" s="49">
        <v>7</v>
      </c>
      <c r="H327" s="49"/>
      <c r="I327" s="49"/>
      <c r="J327" s="49"/>
      <c r="K327" s="49"/>
      <c r="L327" s="49" t="s">
        <v>379</v>
      </c>
      <c r="M327" t="s">
        <v>1709</v>
      </c>
    </row>
    <row r="328" spans="1:13" x14ac:dyDescent="0.2">
      <c r="A328" s="49">
        <v>178627</v>
      </c>
      <c r="B328" s="49" t="s">
        <v>855</v>
      </c>
      <c r="C328" s="49" t="s">
        <v>23</v>
      </c>
      <c r="D328" s="49" t="s">
        <v>10</v>
      </c>
      <c r="E328" s="49" t="s">
        <v>5</v>
      </c>
      <c r="F328" s="49" t="s">
        <v>91</v>
      </c>
      <c r="G328" s="49">
        <v>27</v>
      </c>
      <c r="H328" s="49"/>
      <c r="I328" s="49"/>
      <c r="J328" s="49"/>
      <c r="K328" s="49"/>
      <c r="L328" s="49" t="s">
        <v>379</v>
      </c>
      <c r="M328" t="s">
        <v>1709</v>
      </c>
    </row>
    <row r="329" spans="1:13" x14ac:dyDescent="0.2">
      <c r="A329" s="49">
        <v>177539</v>
      </c>
      <c r="B329" s="49" t="s">
        <v>856</v>
      </c>
      <c r="C329" s="49" t="s">
        <v>58</v>
      </c>
      <c r="D329" s="49" t="s">
        <v>4</v>
      </c>
      <c r="E329" s="49" t="s">
        <v>8</v>
      </c>
      <c r="F329" s="49" t="s">
        <v>91</v>
      </c>
      <c r="G329" s="49">
        <v>20</v>
      </c>
      <c r="H329" s="49"/>
      <c r="I329" s="49"/>
      <c r="J329" s="49"/>
      <c r="K329" s="49"/>
      <c r="L329" s="49" t="s">
        <v>379</v>
      </c>
      <c r="M329" t="s">
        <v>1709</v>
      </c>
    </row>
    <row r="330" spans="1:13" x14ac:dyDescent="0.2">
      <c r="A330" s="49">
        <v>177129</v>
      </c>
      <c r="B330" s="49" t="s">
        <v>857</v>
      </c>
      <c r="C330" s="49" t="s">
        <v>9</v>
      </c>
      <c r="D330" s="49" t="s">
        <v>15</v>
      </c>
      <c r="E330" s="49" t="s">
        <v>8</v>
      </c>
      <c r="F330" s="49" t="s">
        <v>91</v>
      </c>
      <c r="G330" s="49">
        <v>70</v>
      </c>
      <c r="H330" s="49"/>
      <c r="I330" s="49"/>
      <c r="J330" s="49"/>
      <c r="K330" s="49"/>
      <c r="L330" s="49" t="s">
        <v>379</v>
      </c>
      <c r="M330" t="s">
        <v>1709</v>
      </c>
    </row>
    <row r="331" spans="1:13" x14ac:dyDescent="0.2">
      <c r="A331" s="49">
        <v>177128</v>
      </c>
      <c r="B331" s="49" t="s">
        <v>858</v>
      </c>
      <c r="C331" s="49" t="s">
        <v>9</v>
      </c>
      <c r="D331" s="49" t="s">
        <v>15</v>
      </c>
      <c r="E331" s="49" t="s">
        <v>8</v>
      </c>
      <c r="F331" s="49" t="s">
        <v>91</v>
      </c>
      <c r="G331" s="49">
        <v>72</v>
      </c>
      <c r="H331" s="49"/>
      <c r="I331" s="49"/>
      <c r="J331" s="49"/>
      <c r="K331" s="49"/>
      <c r="L331" s="49" t="s">
        <v>379</v>
      </c>
      <c r="M331" t="s">
        <v>1709</v>
      </c>
    </row>
    <row r="332" spans="1:13" x14ac:dyDescent="0.2">
      <c r="A332" s="49">
        <v>177126</v>
      </c>
      <c r="B332" s="49" t="s">
        <v>859</v>
      </c>
      <c r="C332" s="49" t="s">
        <v>9</v>
      </c>
      <c r="D332" s="49" t="s">
        <v>15</v>
      </c>
      <c r="E332" s="49" t="s">
        <v>8</v>
      </c>
      <c r="F332" s="49" t="s">
        <v>91</v>
      </c>
      <c r="G332" s="49">
        <v>73</v>
      </c>
      <c r="H332" s="49"/>
      <c r="I332" s="49"/>
      <c r="J332" s="49"/>
      <c r="K332" s="49"/>
      <c r="L332" s="49" t="s">
        <v>379</v>
      </c>
      <c r="M332" t="s">
        <v>1709</v>
      </c>
    </row>
    <row r="333" spans="1:13" x14ac:dyDescent="0.2">
      <c r="A333" s="49">
        <v>177125</v>
      </c>
      <c r="B333" s="49" t="s">
        <v>860</v>
      </c>
      <c r="C333" s="49" t="s">
        <v>9</v>
      </c>
      <c r="D333" s="49" t="s">
        <v>15</v>
      </c>
      <c r="E333" s="49" t="s">
        <v>8</v>
      </c>
      <c r="F333" s="49" t="s">
        <v>91</v>
      </c>
      <c r="G333" s="49">
        <v>74</v>
      </c>
      <c r="H333" s="49"/>
      <c r="I333" s="49"/>
      <c r="J333" s="49"/>
      <c r="K333" s="49"/>
      <c r="L333" s="49" t="s">
        <v>379</v>
      </c>
      <c r="M333" t="s">
        <v>1709</v>
      </c>
    </row>
    <row r="334" spans="1:13" x14ac:dyDescent="0.2">
      <c r="A334" s="49">
        <v>177123</v>
      </c>
      <c r="B334" s="49" t="s">
        <v>861</v>
      </c>
      <c r="C334" s="49" t="s">
        <v>34</v>
      </c>
      <c r="D334" s="49" t="s">
        <v>15</v>
      </c>
      <c r="E334" s="49" t="s">
        <v>8</v>
      </c>
      <c r="F334" s="49" t="s">
        <v>91</v>
      </c>
      <c r="G334" s="49">
        <v>13</v>
      </c>
      <c r="H334" s="49"/>
      <c r="I334" s="49"/>
      <c r="J334" s="49"/>
      <c r="K334" s="49"/>
      <c r="L334" s="49" t="s">
        <v>379</v>
      </c>
      <c r="M334" t="s">
        <v>1709</v>
      </c>
    </row>
    <row r="335" spans="1:13" x14ac:dyDescent="0.2">
      <c r="A335" s="49">
        <v>176414</v>
      </c>
      <c r="B335" s="49" t="s">
        <v>862</v>
      </c>
      <c r="C335" s="49" t="s">
        <v>98</v>
      </c>
      <c r="D335" s="49" t="s">
        <v>10</v>
      </c>
      <c r="E335" s="49" t="s">
        <v>12</v>
      </c>
      <c r="F335" s="49" t="s">
        <v>91</v>
      </c>
      <c r="G335" s="49">
        <v>13</v>
      </c>
      <c r="H335" s="49"/>
      <c r="I335" s="49"/>
      <c r="J335" s="49"/>
      <c r="K335" s="49"/>
      <c r="L335" s="49" t="s">
        <v>379</v>
      </c>
      <c r="M335" t="s">
        <v>1709</v>
      </c>
    </row>
    <row r="336" spans="1:13" x14ac:dyDescent="0.2">
      <c r="A336" s="49">
        <v>175823</v>
      </c>
      <c r="B336" s="49" t="s">
        <v>863</v>
      </c>
      <c r="C336" s="49" t="s">
        <v>34</v>
      </c>
      <c r="D336" s="49" t="s">
        <v>15</v>
      </c>
      <c r="E336" s="49" t="s">
        <v>8</v>
      </c>
      <c r="F336" s="49" t="s">
        <v>91</v>
      </c>
      <c r="G336" s="49">
        <v>11</v>
      </c>
      <c r="H336" s="49"/>
      <c r="I336" s="49"/>
      <c r="J336" s="49"/>
      <c r="K336" s="49"/>
      <c r="L336" s="49" t="s">
        <v>379</v>
      </c>
      <c r="M336" t="s">
        <v>1709</v>
      </c>
    </row>
    <row r="337" spans="1:13" x14ac:dyDescent="0.2">
      <c r="A337" s="49">
        <v>174328</v>
      </c>
      <c r="B337" s="49" t="s">
        <v>267</v>
      </c>
      <c r="C337" s="49" t="s">
        <v>21</v>
      </c>
      <c r="D337" s="49" t="s">
        <v>15</v>
      </c>
      <c r="E337" s="49" t="s">
        <v>5</v>
      </c>
      <c r="F337" s="49" t="s">
        <v>91</v>
      </c>
      <c r="G337" s="49">
        <v>9</v>
      </c>
      <c r="H337" s="49"/>
      <c r="I337" s="49"/>
      <c r="J337" s="49"/>
      <c r="K337" s="49"/>
      <c r="L337" s="49" t="s">
        <v>379</v>
      </c>
      <c r="M337" t="s">
        <v>1709</v>
      </c>
    </row>
    <row r="338" spans="1:13" x14ac:dyDescent="0.2">
      <c r="A338" s="49">
        <v>173698</v>
      </c>
      <c r="B338" s="49" t="s">
        <v>864</v>
      </c>
      <c r="C338" s="49" t="s">
        <v>38</v>
      </c>
      <c r="D338" s="49" t="s">
        <v>15</v>
      </c>
      <c r="E338" s="49" t="s">
        <v>5</v>
      </c>
      <c r="F338" s="49" t="s">
        <v>91</v>
      </c>
      <c r="G338" s="49">
        <v>5</v>
      </c>
      <c r="H338" s="49"/>
      <c r="I338" s="49"/>
      <c r="J338" s="49"/>
      <c r="K338" s="49"/>
      <c r="L338" s="49" t="s">
        <v>379</v>
      </c>
      <c r="M338" t="s">
        <v>1709</v>
      </c>
    </row>
    <row r="339" spans="1:13" x14ac:dyDescent="0.2">
      <c r="A339" s="49">
        <v>173452</v>
      </c>
      <c r="B339" s="49" t="s">
        <v>865</v>
      </c>
      <c r="C339" s="49" t="s">
        <v>37</v>
      </c>
      <c r="D339" s="49" t="s">
        <v>15</v>
      </c>
      <c r="E339" s="49" t="s">
        <v>5</v>
      </c>
      <c r="F339" s="49" t="s">
        <v>91</v>
      </c>
      <c r="G339" s="49">
        <v>50</v>
      </c>
      <c r="H339" s="49"/>
      <c r="I339" s="49"/>
      <c r="J339" s="49"/>
      <c r="K339" s="49"/>
      <c r="L339" s="49" t="s">
        <v>379</v>
      </c>
      <c r="M339" t="s">
        <v>1709</v>
      </c>
    </row>
    <row r="340" spans="1:13" x14ac:dyDescent="0.2">
      <c r="A340" s="49">
        <v>173335</v>
      </c>
      <c r="B340" s="49" t="s">
        <v>265</v>
      </c>
      <c r="C340" s="49" t="s">
        <v>38</v>
      </c>
      <c r="D340" s="49" t="s">
        <v>15</v>
      </c>
      <c r="E340" s="49" t="s">
        <v>5</v>
      </c>
      <c r="F340" s="49" t="s">
        <v>91</v>
      </c>
      <c r="G340" s="49">
        <v>14</v>
      </c>
      <c r="H340" s="49"/>
      <c r="I340" s="49"/>
      <c r="J340" s="49"/>
      <c r="K340" s="49"/>
      <c r="L340" s="49" t="s">
        <v>379</v>
      </c>
      <c r="M340" t="s">
        <v>1709</v>
      </c>
    </row>
    <row r="341" spans="1:13" x14ac:dyDescent="0.2">
      <c r="A341" s="49">
        <v>173286</v>
      </c>
      <c r="B341" s="49" t="s">
        <v>241</v>
      </c>
      <c r="C341" s="49" t="s">
        <v>38</v>
      </c>
      <c r="D341" s="49" t="s">
        <v>15</v>
      </c>
      <c r="E341" s="49" t="s">
        <v>5</v>
      </c>
      <c r="F341" s="49" t="s">
        <v>91</v>
      </c>
      <c r="G341" s="49">
        <v>10</v>
      </c>
      <c r="H341" s="49"/>
      <c r="I341" s="49"/>
      <c r="J341" s="49"/>
      <c r="K341" s="49"/>
      <c r="L341" s="49" t="s">
        <v>379</v>
      </c>
      <c r="M341" t="s">
        <v>1709</v>
      </c>
    </row>
    <row r="342" spans="1:13" x14ac:dyDescent="0.2">
      <c r="A342" s="49">
        <v>173285</v>
      </c>
      <c r="B342" s="49" t="s">
        <v>233</v>
      </c>
      <c r="C342" s="49" t="s">
        <v>38</v>
      </c>
      <c r="D342" s="49" t="s">
        <v>15</v>
      </c>
      <c r="E342" s="49" t="s">
        <v>5</v>
      </c>
      <c r="F342" s="49" t="s">
        <v>91</v>
      </c>
      <c r="G342" s="49">
        <v>8</v>
      </c>
      <c r="H342" s="49"/>
      <c r="I342" s="49"/>
      <c r="J342" s="49"/>
      <c r="K342" s="49"/>
      <c r="L342" s="49" t="s">
        <v>379</v>
      </c>
      <c r="M342" t="s">
        <v>1709</v>
      </c>
    </row>
    <row r="343" spans="1:13" x14ac:dyDescent="0.2">
      <c r="A343" s="49">
        <v>173281</v>
      </c>
      <c r="B343" s="49" t="s">
        <v>271</v>
      </c>
      <c r="C343" s="49" t="s">
        <v>38</v>
      </c>
      <c r="D343" s="49" t="s">
        <v>15</v>
      </c>
      <c r="E343" s="49" t="s">
        <v>5</v>
      </c>
      <c r="F343" s="49" t="s">
        <v>91</v>
      </c>
      <c r="G343" s="49">
        <v>16</v>
      </c>
      <c r="H343" s="49"/>
      <c r="I343" s="49"/>
      <c r="J343" s="49"/>
      <c r="K343" s="49"/>
      <c r="L343" s="49" t="s">
        <v>379</v>
      </c>
      <c r="M343" t="s">
        <v>1709</v>
      </c>
    </row>
    <row r="344" spans="1:13" x14ac:dyDescent="0.2">
      <c r="A344" s="49">
        <v>173279</v>
      </c>
      <c r="B344" s="49" t="s">
        <v>269</v>
      </c>
      <c r="C344" s="49" t="s">
        <v>38</v>
      </c>
      <c r="D344" s="49" t="s">
        <v>15</v>
      </c>
      <c r="E344" s="49" t="s">
        <v>5</v>
      </c>
      <c r="F344" s="49" t="s">
        <v>91</v>
      </c>
      <c r="G344" s="49">
        <v>15</v>
      </c>
      <c r="H344" s="49"/>
      <c r="I344" s="49"/>
      <c r="J344" s="49"/>
      <c r="K344" s="49"/>
      <c r="L344" s="49" t="s">
        <v>379</v>
      </c>
      <c r="M344" t="s">
        <v>1709</v>
      </c>
    </row>
    <row r="345" spans="1:13" x14ac:dyDescent="0.2">
      <c r="A345" s="49">
        <v>173278</v>
      </c>
      <c r="B345" s="49" t="s">
        <v>248</v>
      </c>
      <c r="C345" s="49" t="s">
        <v>38</v>
      </c>
      <c r="D345" s="49" t="s">
        <v>15</v>
      </c>
      <c r="E345" s="49" t="s">
        <v>5</v>
      </c>
      <c r="F345" s="49" t="s">
        <v>91</v>
      </c>
      <c r="G345" s="49">
        <v>9</v>
      </c>
      <c r="H345" s="49"/>
      <c r="I345" s="49"/>
      <c r="J345" s="49"/>
      <c r="K345" s="49"/>
      <c r="L345" s="49" t="s">
        <v>379</v>
      </c>
      <c r="M345" t="s">
        <v>1709</v>
      </c>
    </row>
    <row r="346" spans="1:13" x14ac:dyDescent="0.2">
      <c r="A346" s="49">
        <v>173201</v>
      </c>
      <c r="B346" s="49" t="s">
        <v>866</v>
      </c>
      <c r="C346" s="49" t="s">
        <v>9</v>
      </c>
      <c r="D346" s="49" t="s">
        <v>15</v>
      </c>
      <c r="E346" s="49" t="s">
        <v>8</v>
      </c>
      <c r="F346" s="49" t="s">
        <v>91</v>
      </c>
      <c r="G346" s="49">
        <v>44</v>
      </c>
      <c r="H346" s="49"/>
      <c r="I346" s="49"/>
      <c r="J346" s="49"/>
      <c r="K346" s="49"/>
      <c r="L346" s="49" t="s">
        <v>379</v>
      </c>
      <c r="M346" t="s">
        <v>1709</v>
      </c>
    </row>
    <row r="347" spans="1:13" x14ac:dyDescent="0.2">
      <c r="A347" s="49">
        <v>173104</v>
      </c>
      <c r="B347" s="49" t="s">
        <v>867</v>
      </c>
      <c r="C347" s="49" t="s">
        <v>38</v>
      </c>
      <c r="D347" s="49" t="s">
        <v>15</v>
      </c>
      <c r="E347" s="49" t="s">
        <v>5</v>
      </c>
      <c r="F347" s="49" t="s">
        <v>95</v>
      </c>
      <c r="G347" s="49">
        <v>3</v>
      </c>
      <c r="H347" s="49"/>
      <c r="I347" s="49"/>
      <c r="J347" s="49"/>
      <c r="K347" s="49"/>
      <c r="L347" s="49" t="s">
        <v>379</v>
      </c>
      <c r="M347" t="s">
        <v>1709</v>
      </c>
    </row>
    <row r="348" spans="1:13" x14ac:dyDescent="0.2">
      <c r="A348" s="49">
        <v>172578</v>
      </c>
      <c r="B348" s="49" t="s">
        <v>868</v>
      </c>
      <c r="C348" s="49" t="s">
        <v>34</v>
      </c>
      <c r="D348" s="49" t="s">
        <v>15</v>
      </c>
      <c r="E348" s="49" t="s">
        <v>8</v>
      </c>
      <c r="F348" s="49" t="s">
        <v>91</v>
      </c>
      <c r="G348" s="49">
        <v>12</v>
      </c>
      <c r="H348" s="49"/>
      <c r="I348" s="49"/>
      <c r="J348" s="49"/>
      <c r="K348" s="49"/>
      <c r="L348" s="49" t="s">
        <v>379</v>
      </c>
      <c r="M348" t="s">
        <v>1709</v>
      </c>
    </row>
    <row r="349" spans="1:13" x14ac:dyDescent="0.2">
      <c r="A349" s="49">
        <v>169812</v>
      </c>
      <c r="B349" s="49" t="s">
        <v>869</v>
      </c>
      <c r="C349" s="49" t="s">
        <v>38</v>
      </c>
      <c r="D349" s="49" t="s">
        <v>15</v>
      </c>
      <c r="E349" s="49" t="s">
        <v>5</v>
      </c>
      <c r="F349" s="49" t="s">
        <v>91</v>
      </c>
      <c r="G349" s="49">
        <v>22</v>
      </c>
      <c r="H349" s="49"/>
      <c r="I349" s="49"/>
      <c r="J349" s="49"/>
      <c r="K349" s="49"/>
      <c r="L349" s="49" t="s">
        <v>379</v>
      </c>
      <c r="M349" t="s">
        <v>1709</v>
      </c>
    </row>
    <row r="350" spans="1:13" x14ac:dyDescent="0.2">
      <c r="A350" s="49">
        <v>168516</v>
      </c>
      <c r="B350" s="49" t="s">
        <v>870</v>
      </c>
      <c r="C350" s="49" t="s">
        <v>24</v>
      </c>
      <c r="D350" s="49" t="s">
        <v>16</v>
      </c>
      <c r="E350" s="49" t="s">
        <v>5</v>
      </c>
      <c r="F350" s="49" t="s">
        <v>91</v>
      </c>
      <c r="G350" s="49">
        <v>1</v>
      </c>
      <c r="H350" s="49"/>
      <c r="I350" s="49"/>
      <c r="J350" s="49"/>
      <c r="K350" s="49"/>
      <c r="L350" s="49" t="s">
        <v>379</v>
      </c>
      <c r="M350" t="s">
        <v>1709</v>
      </c>
    </row>
    <row r="351" spans="1:13" x14ac:dyDescent="0.2">
      <c r="A351" s="49">
        <v>166289</v>
      </c>
      <c r="B351" s="49" t="s">
        <v>871</v>
      </c>
      <c r="C351" s="49" t="s">
        <v>98</v>
      </c>
      <c r="D351" s="49" t="s">
        <v>15</v>
      </c>
      <c r="E351" s="49" t="s">
        <v>12</v>
      </c>
      <c r="F351" s="49" t="s">
        <v>91</v>
      </c>
      <c r="G351" s="49">
        <v>16</v>
      </c>
      <c r="H351" s="49"/>
      <c r="I351" s="49"/>
      <c r="J351" s="49"/>
      <c r="K351" s="49"/>
      <c r="L351" s="49" t="s">
        <v>379</v>
      </c>
      <c r="M351" t="s">
        <v>1709</v>
      </c>
    </row>
    <row r="352" spans="1:13" x14ac:dyDescent="0.2">
      <c r="A352" s="49">
        <v>163331</v>
      </c>
      <c r="B352" s="49" t="s">
        <v>219</v>
      </c>
      <c r="C352" s="49" t="s">
        <v>23</v>
      </c>
      <c r="D352" s="49" t="s">
        <v>10</v>
      </c>
      <c r="E352" s="49" t="s">
        <v>5</v>
      </c>
      <c r="F352" s="49" t="s">
        <v>91</v>
      </c>
      <c r="G352" s="49">
        <v>25</v>
      </c>
      <c r="H352" s="49"/>
      <c r="I352" s="49"/>
      <c r="J352" s="49"/>
      <c r="K352" s="49"/>
      <c r="L352" s="49" t="s">
        <v>379</v>
      </c>
      <c r="M352" t="s">
        <v>1709</v>
      </c>
    </row>
    <row r="353" spans="1:13" x14ac:dyDescent="0.2">
      <c r="A353" s="49">
        <v>160300</v>
      </c>
      <c r="B353" s="49" t="s">
        <v>872</v>
      </c>
      <c r="C353" s="49" t="s">
        <v>37</v>
      </c>
      <c r="D353" s="49" t="s">
        <v>15</v>
      </c>
      <c r="E353" s="49" t="s">
        <v>5</v>
      </c>
      <c r="F353" s="49" t="s">
        <v>91</v>
      </c>
      <c r="G353" s="49">
        <v>60</v>
      </c>
      <c r="H353" s="49"/>
      <c r="I353" s="49"/>
      <c r="J353" s="49"/>
      <c r="K353" s="49"/>
      <c r="L353" s="49" t="s">
        <v>379</v>
      </c>
      <c r="M353" t="s">
        <v>1709</v>
      </c>
    </row>
    <row r="354" spans="1:13" x14ac:dyDescent="0.2">
      <c r="A354" s="49">
        <v>160028</v>
      </c>
      <c r="B354" s="49" t="s">
        <v>291</v>
      </c>
      <c r="C354" s="49" t="s">
        <v>38</v>
      </c>
      <c r="D354" s="49" t="s">
        <v>15</v>
      </c>
      <c r="E354" s="49" t="s">
        <v>5</v>
      </c>
      <c r="F354" s="49" t="s">
        <v>91</v>
      </c>
      <c r="G354" s="49">
        <v>24</v>
      </c>
      <c r="H354" s="49"/>
      <c r="I354" s="49"/>
      <c r="J354" s="49"/>
      <c r="K354" s="49"/>
      <c r="L354" s="49" t="s">
        <v>379</v>
      </c>
      <c r="M354" t="s">
        <v>1709</v>
      </c>
    </row>
    <row r="355" spans="1:13" x14ac:dyDescent="0.2">
      <c r="A355" s="49">
        <v>159032</v>
      </c>
      <c r="B355" s="49" t="s">
        <v>873</v>
      </c>
      <c r="C355" s="49" t="s">
        <v>37</v>
      </c>
      <c r="D355" s="49" t="s">
        <v>15</v>
      </c>
      <c r="E355" s="49" t="s">
        <v>5</v>
      </c>
      <c r="F355" s="49" t="s">
        <v>91</v>
      </c>
      <c r="G355" s="49">
        <v>49</v>
      </c>
      <c r="H355" s="49"/>
      <c r="I355" s="49"/>
      <c r="J355" s="49"/>
      <c r="K355" s="49"/>
      <c r="L355" s="49" t="s">
        <v>379</v>
      </c>
      <c r="M355" t="s">
        <v>1709</v>
      </c>
    </row>
    <row r="356" spans="1:13" x14ac:dyDescent="0.2">
      <c r="A356" s="49">
        <v>158454</v>
      </c>
      <c r="B356" s="49" t="s">
        <v>332</v>
      </c>
      <c r="C356" s="49" t="s">
        <v>9</v>
      </c>
      <c r="D356" s="49" t="s">
        <v>15</v>
      </c>
      <c r="E356" s="49" t="s">
        <v>8</v>
      </c>
      <c r="F356" s="49" t="s">
        <v>91</v>
      </c>
      <c r="G356" s="49">
        <v>57</v>
      </c>
      <c r="H356" s="49"/>
      <c r="I356" s="49"/>
      <c r="J356" s="49"/>
      <c r="K356" s="49"/>
      <c r="L356" s="49" t="s">
        <v>379</v>
      </c>
      <c r="M356" t="s">
        <v>1709</v>
      </c>
    </row>
    <row r="357" spans="1:13" x14ac:dyDescent="0.2">
      <c r="A357" s="49">
        <v>157527</v>
      </c>
      <c r="B357" s="49" t="s">
        <v>874</v>
      </c>
      <c r="C357" s="49" t="s">
        <v>23</v>
      </c>
      <c r="D357" s="49" t="s">
        <v>10</v>
      </c>
      <c r="E357" s="49" t="s">
        <v>5</v>
      </c>
      <c r="F357" s="49" t="s">
        <v>91</v>
      </c>
      <c r="G357" s="49">
        <v>29</v>
      </c>
      <c r="H357" s="49"/>
      <c r="I357" s="49"/>
      <c r="J357" s="49"/>
      <c r="K357" s="49"/>
      <c r="L357" s="49" t="s">
        <v>379</v>
      </c>
      <c r="M357" t="s">
        <v>1709</v>
      </c>
    </row>
    <row r="358" spans="1:13" x14ac:dyDescent="0.2">
      <c r="A358" s="49">
        <v>156771</v>
      </c>
      <c r="B358" s="49" t="s">
        <v>875</v>
      </c>
      <c r="C358" s="49" t="s">
        <v>25</v>
      </c>
      <c r="D358" s="49" t="s">
        <v>17</v>
      </c>
      <c r="E358" s="49" t="s">
        <v>5</v>
      </c>
      <c r="F358" s="49" t="s">
        <v>91</v>
      </c>
      <c r="G358" s="49">
        <v>12</v>
      </c>
      <c r="H358" s="49"/>
      <c r="I358" s="49"/>
      <c r="J358" s="49"/>
      <c r="K358" s="49"/>
      <c r="L358" s="49" t="s">
        <v>379</v>
      </c>
      <c r="M358" t="s">
        <v>1709</v>
      </c>
    </row>
    <row r="359" spans="1:13" x14ac:dyDescent="0.2">
      <c r="A359" s="49">
        <v>155973</v>
      </c>
      <c r="B359" s="49" t="s">
        <v>177</v>
      </c>
      <c r="C359" s="49" t="s">
        <v>37</v>
      </c>
      <c r="D359" s="49" t="s">
        <v>10</v>
      </c>
      <c r="E359" s="49" t="s">
        <v>5</v>
      </c>
      <c r="F359" s="49" t="s">
        <v>91</v>
      </c>
      <c r="G359" s="49">
        <v>62</v>
      </c>
      <c r="H359" s="49"/>
      <c r="I359" s="49"/>
      <c r="J359" s="49"/>
      <c r="K359" s="49"/>
      <c r="L359" s="49" t="s">
        <v>379</v>
      </c>
      <c r="M359" t="s">
        <v>1709</v>
      </c>
    </row>
    <row r="360" spans="1:13" x14ac:dyDescent="0.2">
      <c r="A360" s="49">
        <v>155967</v>
      </c>
      <c r="B360" s="49" t="s">
        <v>876</v>
      </c>
      <c r="C360" s="49" t="s">
        <v>37</v>
      </c>
      <c r="D360" s="49" t="s">
        <v>10</v>
      </c>
      <c r="E360" s="49" t="s">
        <v>5</v>
      </c>
      <c r="F360" s="49" t="s">
        <v>91</v>
      </c>
      <c r="G360" s="49">
        <v>61</v>
      </c>
      <c r="H360" s="49"/>
      <c r="I360" s="49"/>
      <c r="J360" s="49"/>
      <c r="K360" s="49"/>
      <c r="L360" s="49" t="s">
        <v>379</v>
      </c>
      <c r="M360" t="s">
        <v>1709</v>
      </c>
    </row>
    <row r="361" spans="1:13" x14ac:dyDescent="0.2">
      <c r="A361" s="49">
        <v>152796</v>
      </c>
      <c r="B361" s="49" t="s">
        <v>877</v>
      </c>
      <c r="C361" s="49" t="s">
        <v>24</v>
      </c>
      <c r="D361" s="49" t="s">
        <v>16</v>
      </c>
      <c r="E361" s="49" t="s">
        <v>5</v>
      </c>
      <c r="F361" s="49" t="s">
        <v>91</v>
      </c>
      <c r="G361" s="49">
        <v>10</v>
      </c>
      <c r="H361" s="49"/>
      <c r="I361" s="49"/>
      <c r="J361" s="49"/>
      <c r="K361" s="49"/>
      <c r="L361" s="49" t="s">
        <v>379</v>
      </c>
      <c r="M361" t="s">
        <v>1709</v>
      </c>
    </row>
    <row r="362" spans="1:13" x14ac:dyDescent="0.2">
      <c r="A362" s="49">
        <v>150434</v>
      </c>
      <c r="B362" s="49" t="s">
        <v>878</v>
      </c>
      <c r="C362" s="49" t="s">
        <v>98</v>
      </c>
      <c r="D362" s="49" t="s">
        <v>10</v>
      </c>
      <c r="E362" s="49" t="s">
        <v>12</v>
      </c>
      <c r="F362" s="49" t="s">
        <v>91</v>
      </c>
      <c r="G362" s="49">
        <v>14</v>
      </c>
      <c r="H362" s="49"/>
      <c r="I362" s="49"/>
      <c r="J362" s="49"/>
      <c r="K362" s="49"/>
      <c r="L362" s="49" t="s">
        <v>379</v>
      </c>
      <c r="M362" t="s">
        <v>1709</v>
      </c>
    </row>
    <row r="363" spans="1:13" x14ac:dyDescent="0.2">
      <c r="A363" s="49">
        <v>148011</v>
      </c>
      <c r="B363" s="49" t="s">
        <v>879</v>
      </c>
      <c r="C363" s="49" t="s">
        <v>38</v>
      </c>
      <c r="D363" s="49" t="s">
        <v>15</v>
      </c>
      <c r="E363" s="49" t="s">
        <v>5</v>
      </c>
      <c r="F363" s="49" t="s">
        <v>95</v>
      </c>
      <c r="G363" s="49">
        <v>4</v>
      </c>
      <c r="H363" s="49"/>
      <c r="I363" s="49"/>
      <c r="J363" s="49"/>
      <c r="K363" s="49"/>
      <c r="L363" s="49" t="s">
        <v>379</v>
      </c>
      <c r="M363" t="s">
        <v>1709</v>
      </c>
    </row>
    <row r="364" spans="1:13" x14ac:dyDescent="0.2">
      <c r="A364" s="49">
        <v>147251</v>
      </c>
      <c r="B364" s="49" t="s">
        <v>188</v>
      </c>
      <c r="C364" s="49" t="s">
        <v>21</v>
      </c>
      <c r="D364" s="49" t="s">
        <v>15</v>
      </c>
      <c r="E364" s="49" t="s">
        <v>5</v>
      </c>
      <c r="F364" s="49" t="s">
        <v>91</v>
      </c>
      <c r="G364" s="49">
        <v>19</v>
      </c>
      <c r="H364" s="49"/>
      <c r="I364" s="49"/>
      <c r="J364" s="49"/>
      <c r="K364" s="49"/>
      <c r="L364" s="49" t="s">
        <v>379</v>
      </c>
      <c r="M364" t="s">
        <v>1709</v>
      </c>
    </row>
    <row r="365" spans="1:13" x14ac:dyDescent="0.2">
      <c r="A365" s="49">
        <v>146437</v>
      </c>
      <c r="B365" s="49" t="s">
        <v>880</v>
      </c>
      <c r="C365" s="49" t="s">
        <v>37</v>
      </c>
      <c r="D365" s="49" t="s">
        <v>15</v>
      </c>
      <c r="E365" s="49" t="s">
        <v>5</v>
      </c>
      <c r="F365" s="49" t="s">
        <v>91</v>
      </c>
      <c r="G365" s="49">
        <v>46</v>
      </c>
      <c r="H365" s="49"/>
      <c r="I365" s="49"/>
      <c r="J365" s="49"/>
      <c r="K365" s="49"/>
      <c r="L365" s="49" t="s">
        <v>379</v>
      </c>
      <c r="M365" t="s">
        <v>1709</v>
      </c>
    </row>
    <row r="366" spans="1:13" x14ac:dyDescent="0.2">
      <c r="A366" s="49">
        <v>142362</v>
      </c>
      <c r="B366" s="49" t="s">
        <v>288</v>
      </c>
      <c r="C366" s="49" t="s">
        <v>38</v>
      </c>
      <c r="D366" s="49" t="s">
        <v>15</v>
      </c>
      <c r="E366" s="49" t="s">
        <v>5</v>
      </c>
      <c r="F366" s="49" t="s">
        <v>91</v>
      </c>
      <c r="G366" s="49">
        <v>23</v>
      </c>
      <c r="H366" s="49"/>
      <c r="I366" s="49"/>
      <c r="J366" s="49"/>
      <c r="K366" s="49"/>
      <c r="L366" s="49" t="s">
        <v>379</v>
      </c>
      <c r="M366" t="s">
        <v>1709</v>
      </c>
    </row>
    <row r="367" spans="1:13" x14ac:dyDescent="0.2">
      <c r="A367" s="49">
        <v>140468</v>
      </c>
      <c r="B367" s="49" t="s">
        <v>881</v>
      </c>
      <c r="C367" s="49" t="s">
        <v>23</v>
      </c>
      <c r="D367" s="49" t="s">
        <v>10</v>
      </c>
      <c r="E367" s="49" t="s">
        <v>5</v>
      </c>
      <c r="F367" s="49" t="s">
        <v>91</v>
      </c>
      <c r="G367" s="49">
        <v>30</v>
      </c>
      <c r="H367" s="49"/>
      <c r="I367" s="49"/>
      <c r="J367" s="49"/>
      <c r="K367" s="49"/>
      <c r="L367" s="49" t="s">
        <v>379</v>
      </c>
      <c r="M367" t="s">
        <v>1709</v>
      </c>
    </row>
    <row r="368" spans="1:13" x14ac:dyDescent="0.2">
      <c r="A368" s="49">
        <v>138225</v>
      </c>
      <c r="B368" s="49" t="s">
        <v>160</v>
      </c>
      <c r="C368" s="49" t="s">
        <v>23</v>
      </c>
      <c r="D368" s="49" t="s">
        <v>10</v>
      </c>
      <c r="E368" s="49" t="s">
        <v>5</v>
      </c>
      <c r="F368" s="49" t="s">
        <v>91</v>
      </c>
      <c r="G368" s="49">
        <v>11</v>
      </c>
      <c r="H368" s="49"/>
      <c r="I368" s="49"/>
      <c r="J368" s="49"/>
      <c r="K368" s="49"/>
      <c r="L368" s="49" t="s">
        <v>379</v>
      </c>
      <c r="M368" t="s">
        <v>1709</v>
      </c>
    </row>
    <row r="369" spans="1:13" x14ac:dyDescent="0.2">
      <c r="A369" s="49">
        <v>133560</v>
      </c>
      <c r="B369" s="49" t="s">
        <v>882</v>
      </c>
      <c r="C369" s="49" t="s">
        <v>37</v>
      </c>
      <c r="D369" s="49" t="s">
        <v>17</v>
      </c>
      <c r="E369" s="49" t="s">
        <v>5</v>
      </c>
      <c r="F369" s="49" t="s">
        <v>91</v>
      </c>
      <c r="G369" s="49">
        <v>39</v>
      </c>
      <c r="H369" s="49"/>
      <c r="I369" s="49"/>
      <c r="J369" s="49"/>
      <c r="K369" s="49"/>
      <c r="L369" s="49" t="s">
        <v>379</v>
      </c>
      <c r="M369" t="s">
        <v>1709</v>
      </c>
    </row>
    <row r="370" spans="1:13" x14ac:dyDescent="0.2">
      <c r="A370" s="49">
        <v>133246</v>
      </c>
      <c r="B370" s="49" t="s">
        <v>883</v>
      </c>
      <c r="C370" s="49" t="s">
        <v>38</v>
      </c>
      <c r="D370" s="49" t="s">
        <v>15</v>
      </c>
      <c r="E370" s="49" t="s">
        <v>5</v>
      </c>
      <c r="F370" s="49" t="s">
        <v>91</v>
      </c>
      <c r="G370" s="49">
        <v>26</v>
      </c>
      <c r="H370" s="49"/>
      <c r="I370" s="49"/>
      <c r="J370" s="49"/>
      <c r="K370" s="49"/>
      <c r="L370" s="49" t="s">
        <v>379</v>
      </c>
      <c r="M370" t="s">
        <v>1709</v>
      </c>
    </row>
    <row r="371" spans="1:13" x14ac:dyDescent="0.2">
      <c r="A371" s="49">
        <v>131505</v>
      </c>
      <c r="B371" s="49" t="s">
        <v>246</v>
      </c>
      <c r="C371" s="49" t="s">
        <v>23</v>
      </c>
      <c r="D371" s="49" t="s">
        <v>10</v>
      </c>
      <c r="E371" s="49" t="s">
        <v>5</v>
      </c>
      <c r="F371" s="49" t="s">
        <v>91</v>
      </c>
      <c r="G371" s="49">
        <v>31</v>
      </c>
      <c r="H371" s="49"/>
      <c r="I371" s="49"/>
      <c r="J371" s="49"/>
      <c r="K371" s="49"/>
      <c r="L371" s="49" t="s">
        <v>379</v>
      </c>
      <c r="M371" t="s">
        <v>1709</v>
      </c>
    </row>
    <row r="372" spans="1:13" x14ac:dyDescent="0.2">
      <c r="A372" s="49">
        <v>128714</v>
      </c>
      <c r="B372" s="49" t="s">
        <v>884</v>
      </c>
      <c r="C372" s="49" t="s">
        <v>98</v>
      </c>
      <c r="D372" s="49" t="s">
        <v>10</v>
      </c>
      <c r="E372" s="49" t="s">
        <v>12</v>
      </c>
      <c r="F372" s="49" t="s">
        <v>91</v>
      </c>
      <c r="G372" s="49">
        <v>15</v>
      </c>
      <c r="H372" s="49"/>
      <c r="I372" s="49"/>
      <c r="J372" s="49"/>
      <c r="K372" s="49"/>
      <c r="L372" s="49" t="s">
        <v>379</v>
      </c>
      <c r="M372" t="s">
        <v>1709</v>
      </c>
    </row>
    <row r="373" spans="1:13" x14ac:dyDescent="0.2">
      <c r="A373" s="49">
        <v>123106</v>
      </c>
      <c r="B373" s="49" t="s">
        <v>885</v>
      </c>
      <c r="C373" s="49" t="s">
        <v>37</v>
      </c>
      <c r="D373" s="49" t="s">
        <v>15</v>
      </c>
      <c r="E373" s="49" t="s">
        <v>5</v>
      </c>
      <c r="F373" s="49" t="s">
        <v>95</v>
      </c>
      <c r="G373" s="49">
        <v>12</v>
      </c>
      <c r="H373" s="49"/>
      <c r="I373" s="49"/>
      <c r="J373" s="49"/>
      <c r="K373" s="49"/>
      <c r="L373" s="49" t="s">
        <v>379</v>
      </c>
      <c r="M373" t="s">
        <v>1709</v>
      </c>
    </row>
    <row r="374" spans="1:13" x14ac:dyDescent="0.2">
      <c r="A374" s="49">
        <v>120372</v>
      </c>
      <c r="B374" s="49" t="s">
        <v>151</v>
      </c>
      <c r="C374" s="49" t="s">
        <v>24</v>
      </c>
      <c r="D374" s="49" t="s">
        <v>16</v>
      </c>
      <c r="E374" s="49" t="s">
        <v>5</v>
      </c>
      <c r="F374" s="49" t="s">
        <v>91</v>
      </c>
      <c r="G374" s="49">
        <v>9</v>
      </c>
      <c r="H374" s="49"/>
      <c r="I374" s="49"/>
      <c r="J374" s="49"/>
      <c r="K374" s="49"/>
      <c r="L374" s="49" t="s">
        <v>379</v>
      </c>
      <c r="M374" t="s">
        <v>1709</v>
      </c>
    </row>
    <row r="375" spans="1:13" x14ac:dyDescent="0.2">
      <c r="A375" s="49">
        <v>109623</v>
      </c>
      <c r="B375" s="49" t="s">
        <v>886</v>
      </c>
      <c r="C375" s="49" t="s">
        <v>53</v>
      </c>
      <c r="D375" s="49" t="s">
        <v>15</v>
      </c>
      <c r="E375" s="49" t="s">
        <v>12</v>
      </c>
      <c r="F375" s="49" t="s">
        <v>130</v>
      </c>
      <c r="G375" s="49">
        <v>1</v>
      </c>
      <c r="H375" s="49"/>
      <c r="I375" s="49"/>
      <c r="J375" s="49"/>
      <c r="K375" s="49"/>
      <c r="L375" s="49" t="s">
        <v>379</v>
      </c>
      <c r="M375" t="s">
        <v>1709</v>
      </c>
    </row>
    <row r="376" spans="1:13" x14ac:dyDescent="0.2">
      <c r="A376" s="49">
        <v>99517</v>
      </c>
      <c r="B376" s="49" t="s">
        <v>887</v>
      </c>
      <c r="C376" s="49" t="s">
        <v>23</v>
      </c>
      <c r="D376" s="49" t="s">
        <v>10</v>
      </c>
      <c r="E376" s="49" t="s">
        <v>5</v>
      </c>
      <c r="F376" s="49" t="s">
        <v>91</v>
      </c>
      <c r="G376" s="49">
        <v>32</v>
      </c>
      <c r="H376" s="49"/>
      <c r="I376" s="49"/>
      <c r="J376" s="49"/>
      <c r="K376" s="49"/>
      <c r="L376" s="49" t="s">
        <v>379</v>
      </c>
      <c r="M376" t="s">
        <v>1709</v>
      </c>
    </row>
    <row r="377" spans="1:13" x14ac:dyDescent="0.2">
      <c r="A377" s="49">
        <v>96860</v>
      </c>
      <c r="B377" s="49" t="s">
        <v>235</v>
      </c>
      <c r="C377" s="49" t="s">
        <v>34</v>
      </c>
      <c r="D377" s="49" t="s">
        <v>15</v>
      </c>
      <c r="E377" s="49" t="s">
        <v>8</v>
      </c>
      <c r="F377" s="49" t="s">
        <v>91</v>
      </c>
      <c r="G377" s="49">
        <v>10</v>
      </c>
      <c r="H377" s="49"/>
      <c r="I377" s="49"/>
      <c r="J377" s="49"/>
      <c r="K377" s="49"/>
      <c r="L377" s="49" t="s">
        <v>379</v>
      </c>
      <c r="M377" t="s">
        <v>1709</v>
      </c>
    </row>
    <row r="378" spans="1:13" x14ac:dyDescent="0.2">
      <c r="A378" s="49">
        <v>76019</v>
      </c>
      <c r="B378" s="49" t="s">
        <v>1631</v>
      </c>
      <c r="C378" s="49" t="s">
        <v>25</v>
      </c>
      <c r="D378" s="49" t="s">
        <v>17</v>
      </c>
      <c r="E378" s="49" t="s">
        <v>5</v>
      </c>
      <c r="F378" s="49" t="s">
        <v>91</v>
      </c>
      <c r="G378" s="49">
        <v>9</v>
      </c>
      <c r="H378" s="49"/>
      <c r="I378" s="49"/>
      <c r="J378" s="49"/>
      <c r="K378" s="49"/>
      <c r="L378" s="49" t="s">
        <v>379</v>
      </c>
      <c r="M378" t="s">
        <v>1709</v>
      </c>
    </row>
    <row r="379" spans="1:13" x14ac:dyDescent="0.2">
      <c r="A379" s="49">
        <v>71425</v>
      </c>
      <c r="B379" s="49" t="s">
        <v>257</v>
      </c>
      <c r="C379" s="49" t="s">
        <v>23</v>
      </c>
      <c r="D379" s="49" t="s">
        <v>10</v>
      </c>
      <c r="E379" s="49" t="s">
        <v>5</v>
      </c>
      <c r="F379" s="49" t="s">
        <v>91</v>
      </c>
      <c r="G379" s="49">
        <v>33</v>
      </c>
      <c r="H379" s="49"/>
      <c r="I379" s="49"/>
      <c r="J379" s="49"/>
      <c r="K379" s="49"/>
      <c r="L379" s="49" t="s">
        <v>379</v>
      </c>
      <c r="M379" t="s">
        <v>1709</v>
      </c>
    </row>
    <row r="380" spans="1:13" x14ac:dyDescent="0.2">
      <c r="A380" s="49">
        <v>66650</v>
      </c>
      <c r="B380" s="49" t="s">
        <v>888</v>
      </c>
      <c r="C380" s="49" t="s">
        <v>37</v>
      </c>
      <c r="D380" s="49" t="s">
        <v>15</v>
      </c>
      <c r="E380" s="49" t="s">
        <v>5</v>
      </c>
      <c r="F380" s="49" t="s">
        <v>91</v>
      </c>
      <c r="G380" s="49">
        <v>52</v>
      </c>
      <c r="H380" s="49"/>
      <c r="I380" s="49"/>
      <c r="J380" s="49"/>
      <c r="K380" s="49"/>
      <c r="L380" s="49" t="s">
        <v>379</v>
      </c>
      <c r="M380" t="s">
        <v>1709</v>
      </c>
    </row>
    <row r="381" spans="1:13" x14ac:dyDescent="0.2">
      <c r="A381" s="49">
        <v>51911</v>
      </c>
      <c r="B381" s="49" t="s">
        <v>889</v>
      </c>
      <c r="C381" s="49" t="s">
        <v>46</v>
      </c>
      <c r="D381" s="49" t="s">
        <v>15</v>
      </c>
      <c r="E381" s="49" t="s">
        <v>12</v>
      </c>
      <c r="F381" s="49" t="s">
        <v>95</v>
      </c>
      <c r="G381" s="49">
        <v>8</v>
      </c>
      <c r="H381" s="49">
        <v>3</v>
      </c>
      <c r="I381" s="49">
        <v>2</v>
      </c>
      <c r="J381" s="49">
        <v>2</v>
      </c>
      <c r="K381" s="49">
        <v>3</v>
      </c>
      <c r="L381" s="49" t="s">
        <v>379</v>
      </c>
      <c r="M381" t="s">
        <v>1709</v>
      </c>
    </row>
    <row r="382" spans="1:13" x14ac:dyDescent="0.2">
      <c r="A382" s="49">
        <v>50493</v>
      </c>
      <c r="B382" s="49" t="s">
        <v>1632</v>
      </c>
      <c r="C382" s="49" t="s">
        <v>37</v>
      </c>
      <c r="D382" s="49" t="s">
        <v>10</v>
      </c>
      <c r="E382" s="49" t="s">
        <v>5</v>
      </c>
      <c r="F382" s="49" t="s">
        <v>91</v>
      </c>
      <c r="G382" s="49">
        <v>54</v>
      </c>
      <c r="H382" s="49"/>
      <c r="I382" s="49"/>
      <c r="J382" s="49"/>
      <c r="K382" s="49"/>
      <c r="L382" s="49" t="s">
        <v>379</v>
      </c>
      <c r="M382" t="s">
        <v>1709</v>
      </c>
    </row>
    <row r="383" spans="1:13" x14ac:dyDescent="0.2">
      <c r="A383" s="49">
        <v>50482</v>
      </c>
      <c r="B383" s="49" t="s">
        <v>890</v>
      </c>
      <c r="C383" s="49" t="s">
        <v>37</v>
      </c>
      <c r="D383" s="49" t="s">
        <v>15</v>
      </c>
      <c r="E383" s="49" t="s">
        <v>5</v>
      </c>
      <c r="F383" s="49" t="s">
        <v>91</v>
      </c>
      <c r="G383" s="49">
        <v>55</v>
      </c>
      <c r="H383" s="49"/>
      <c r="I383" s="49"/>
      <c r="J383" s="49"/>
      <c r="K383" s="49"/>
      <c r="L383" s="49" t="s">
        <v>379</v>
      </c>
      <c r="M383" t="s">
        <v>1709</v>
      </c>
    </row>
    <row r="384" spans="1:13" x14ac:dyDescent="0.2">
      <c r="A384" s="49">
        <v>50095</v>
      </c>
      <c r="B384" s="49" t="s">
        <v>891</v>
      </c>
      <c r="C384" s="49" t="s">
        <v>38</v>
      </c>
      <c r="D384" s="49" t="s">
        <v>15</v>
      </c>
      <c r="E384" s="49" t="s">
        <v>5</v>
      </c>
      <c r="F384" s="49" t="s">
        <v>91</v>
      </c>
      <c r="G384" s="49">
        <v>6</v>
      </c>
      <c r="H384" s="49"/>
      <c r="I384" s="49"/>
      <c r="J384" s="49"/>
      <c r="K384" s="49"/>
      <c r="L384" s="49" t="s">
        <v>379</v>
      </c>
      <c r="M384" t="s">
        <v>1709</v>
      </c>
    </row>
    <row r="385" spans="1:13" x14ac:dyDescent="0.2">
      <c r="A385" s="49">
        <v>48860</v>
      </c>
      <c r="B385" s="49" t="s">
        <v>311</v>
      </c>
      <c r="C385" s="49" t="s">
        <v>37</v>
      </c>
      <c r="D385" s="49" t="s">
        <v>15</v>
      </c>
      <c r="E385" s="49" t="s">
        <v>5</v>
      </c>
      <c r="F385" s="49" t="s">
        <v>91</v>
      </c>
      <c r="G385" s="49">
        <v>56</v>
      </c>
      <c r="H385" s="49"/>
      <c r="I385" s="49"/>
      <c r="J385" s="49"/>
      <c r="K385" s="49"/>
      <c r="L385" s="49" t="s">
        <v>379</v>
      </c>
      <c r="M385" t="s">
        <v>1709</v>
      </c>
    </row>
    <row r="386" spans="1:13" x14ac:dyDescent="0.2">
      <c r="A386" s="49">
        <v>46750</v>
      </c>
      <c r="B386" s="49" t="s">
        <v>892</v>
      </c>
      <c r="C386" s="49" t="s">
        <v>38</v>
      </c>
      <c r="D386" s="49" t="s">
        <v>15</v>
      </c>
      <c r="E386" s="49" t="s">
        <v>5</v>
      </c>
      <c r="F386" s="49" t="s">
        <v>91</v>
      </c>
      <c r="G386" s="49">
        <v>20</v>
      </c>
      <c r="H386" s="49"/>
      <c r="I386" s="49"/>
      <c r="J386" s="49"/>
      <c r="K386" s="49"/>
      <c r="L386" s="49" t="s">
        <v>379</v>
      </c>
      <c r="M386" t="s">
        <v>1709</v>
      </c>
    </row>
    <row r="387" spans="1:13" x14ac:dyDescent="0.2">
      <c r="A387" s="49">
        <v>43366</v>
      </c>
      <c r="B387" s="49" t="s">
        <v>1633</v>
      </c>
      <c r="C387" s="49" t="s">
        <v>23</v>
      </c>
      <c r="D387" s="49" t="s">
        <v>10</v>
      </c>
      <c r="E387" s="49" t="s">
        <v>5</v>
      </c>
      <c r="F387" s="49" t="s">
        <v>91</v>
      </c>
      <c r="G387" s="49">
        <v>28</v>
      </c>
      <c r="H387" s="49"/>
      <c r="I387" s="49"/>
      <c r="J387" s="49"/>
      <c r="K387" s="49"/>
      <c r="L387" s="49" t="s">
        <v>379</v>
      </c>
      <c r="M387" t="s">
        <v>1709</v>
      </c>
    </row>
    <row r="388" spans="1:13" x14ac:dyDescent="0.2">
      <c r="A388" s="49">
        <v>28297</v>
      </c>
      <c r="B388" s="49" t="s">
        <v>893</v>
      </c>
      <c r="C388" s="49" t="s">
        <v>25</v>
      </c>
      <c r="D388" s="49" t="s">
        <v>17</v>
      </c>
      <c r="E388" s="49" t="s">
        <v>5</v>
      </c>
      <c r="F388" s="49" t="s">
        <v>91</v>
      </c>
      <c r="G388" s="49">
        <v>13</v>
      </c>
      <c r="H388" s="49"/>
      <c r="I388" s="49"/>
      <c r="J388" s="49"/>
      <c r="K388" s="49"/>
      <c r="L388" s="49" t="s">
        <v>379</v>
      </c>
      <c r="M388" t="s">
        <v>1709</v>
      </c>
    </row>
    <row r="389" spans="1:13" x14ac:dyDescent="0.2">
      <c r="A389" s="49">
        <v>16889</v>
      </c>
      <c r="B389" s="49" t="s">
        <v>894</v>
      </c>
      <c r="C389" s="49" t="s">
        <v>37</v>
      </c>
      <c r="D389" s="49" t="s">
        <v>15</v>
      </c>
      <c r="E389" s="49" t="s">
        <v>5</v>
      </c>
      <c r="F389" s="49" t="s">
        <v>91</v>
      </c>
      <c r="G389" s="49">
        <v>53</v>
      </c>
      <c r="H389" s="49"/>
      <c r="I389" s="49"/>
      <c r="J389" s="49"/>
      <c r="K389" s="49"/>
      <c r="L389" s="49" t="s">
        <v>379</v>
      </c>
      <c r="M389" t="s">
        <v>1709</v>
      </c>
    </row>
    <row r="390" spans="1:13" x14ac:dyDescent="0.2">
      <c r="A390" s="49">
        <v>16508</v>
      </c>
      <c r="B390" s="49" t="s">
        <v>895</v>
      </c>
      <c r="C390" s="49" t="s">
        <v>25</v>
      </c>
      <c r="D390" s="49" t="s">
        <v>17</v>
      </c>
      <c r="E390" s="49" t="s">
        <v>5</v>
      </c>
      <c r="F390" s="49" t="s">
        <v>91</v>
      </c>
      <c r="G390" s="49">
        <v>10</v>
      </c>
      <c r="H390" s="49"/>
      <c r="I390" s="49"/>
      <c r="J390" s="49"/>
      <c r="K390" s="49"/>
      <c r="L390" s="49" t="s">
        <v>379</v>
      </c>
      <c r="M390" t="s">
        <v>1709</v>
      </c>
    </row>
    <row r="391" spans="1:13" x14ac:dyDescent="0.2">
      <c r="A391" s="49">
        <v>10344</v>
      </c>
      <c r="B391" s="49" t="s">
        <v>313</v>
      </c>
      <c r="C391" s="49" t="s">
        <v>37</v>
      </c>
      <c r="D391" s="49" t="s">
        <v>15</v>
      </c>
      <c r="E391" s="49" t="s">
        <v>5</v>
      </c>
      <c r="F391" s="49" t="s">
        <v>91</v>
      </c>
      <c r="G391" s="49">
        <v>48</v>
      </c>
      <c r="H391" s="49"/>
      <c r="I391" s="49"/>
      <c r="J391" s="49"/>
      <c r="K391" s="49"/>
      <c r="L391" s="49" t="s">
        <v>379</v>
      </c>
      <c r="M391" t="s">
        <v>1709</v>
      </c>
    </row>
    <row r="392" spans="1:13" x14ac:dyDescent="0.2">
      <c r="A392" s="49">
        <v>139883</v>
      </c>
      <c r="B392" s="49" t="s">
        <v>1022</v>
      </c>
      <c r="C392" s="49" t="s">
        <v>7</v>
      </c>
      <c r="D392" s="49" t="s">
        <v>10</v>
      </c>
      <c r="E392" s="49" t="s">
        <v>6</v>
      </c>
      <c r="F392" s="49" t="s">
        <v>95</v>
      </c>
      <c r="G392" s="51">
        <v>1</v>
      </c>
      <c r="H392" s="49"/>
      <c r="I392" s="49"/>
      <c r="J392" s="49"/>
      <c r="K392" s="49"/>
      <c r="L392" s="49" t="s">
        <v>379</v>
      </c>
      <c r="M392" t="s">
        <v>1957</v>
      </c>
    </row>
    <row r="393" spans="1:13" x14ac:dyDescent="0.2">
      <c r="A393" s="49">
        <v>139708</v>
      </c>
      <c r="B393" s="49" t="s">
        <v>940</v>
      </c>
      <c r="C393" s="49" t="s">
        <v>23</v>
      </c>
      <c r="D393" s="49" t="s">
        <v>10</v>
      </c>
      <c r="E393" s="49" t="s">
        <v>5</v>
      </c>
      <c r="F393" s="49" t="s">
        <v>91</v>
      </c>
      <c r="G393" s="49">
        <v>1</v>
      </c>
      <c r="H393" s="49"/>
      <c r="I393" s="49"/>
      <c r="J393" s="49"/>
      <c r="K393" s="49"/>
      <c r="L393" s="49" t="s">
        <v>379</v>
      </c>
      <c r="M393" t="s">
        <v>1709</v>
      </c>
    </row>
    <row r="394" spans="1:13" x14ac:dyDescent="0.2">
      <c r="A394" s="49">
        <v>137662</v>
      </c>
      <c r="B394" s="49" t="s">
        <v>1184</v>
      </c>
      <c r="C394" s="49" t="s">
        <v>46</v>
      </c>
      <c r="D394" s="49" t="s">
        <v>10</v>
      </c>
      <c r="E394" s="49" t="s">
        <v>12</v>
      </c>
      <c r="F394" s="49" t="s">
        <v>91</v>
      </c>
      <c r="G394" s="49">
        <v>11</v>
      </c>
      <c r="H394" s="49">
        <v>3</v>
      </c>
      <c r="I394" s="49">
        <v>2</v>
      </c>
      <c r="J394" s="49">
        <v>2</v>
      </c>
      <c r="K394" s="49">
        <v>3</v>
      </c>
      <c r="L394" s="49" t="s">
        <v>379</v>
      </c>
      <c r="M394" t="s">
        <v>1709</v>
      </c>
    </row>
    <row r="395" spans="1:13" x14ac:dyDescent="0.2">
      <c r="A395" s="49">
        <v>140431</v>
      </c>
      <c r="B395" s="49" t="s">
        <v>1561</v>
      </c>
      <c r="C395" s="49" t="s">
        <v>9</v>
      </c>
      <c r="D395" s="49" t="s">
        <v>15</v>
      </c>
      <c r="E395" s="49" t="s">
        <v>8</v>
      </c>
      <c r="F395" s="49" t="s">
        <v>91</v>
      </c>
      <c r="G395" s="49">
        <v>19</v>
      </c>
      <c r="H395" s="49"/>
      <c r="I395" s="49"/>
      <c r="J395" s="49"/>
      <c r="K395" s="49"/>
      <c r="L395" s="49" t="s">
        <v>379</v>
      </c>
      <c r="M395" t="s">
        <v>1709</v>
      </c>
    </row>
    <row r="396" spans="1:13" x14ac:dyDescent="0.2">
      <c r="A396" s="49">
        <v>140430</v>
      </c>
      <c r="B396" s="49" t="s">
        <v>1562</v>
      </c>
      <c r="C396" s="49" t="s">
        <v>21</v>
      </c>
      <c r="D396" s="49" t="s">
        <v>15</v>
      </c>
      <c r="E396" s="49" t="s">
        <v>5</v>
      </c>
      <c r="F396" s="49" t="s">
        <v>91</v>
      </c>
      <c r="G396" s="49">
        <v>11</v>
      </c>
      <c r="H396" s="49"/>
      <c r="I396" s="49"/>
      <c r="J396" s="49"/>
      <c r="K396" s="49"/>
      <c r="L396" s="49" t="s">
        <v>379</v>
      </c>
      <c r="M396" t="s">
        <v>1709</v>
      </c>
    </row>
    <row r="397" spans="1:13" x14ac:dyDescent="0.2">
      <c r="A397" s="49">
        <v>140414</v>
      </c>
      <c r="B397" s="49" t="s">
        <v>1171</v>
      </c>
      <c r="C397" s="49" t="s">
        <v>36</v>
      </c>
      <c r="D397" s="49" t="s">
        <v>15</v>
      </c>
      <c r="E397" s="49" t="s">
        <v>5</v>
      </c>
      <c r="F397" s="49" t="s">
        <v>91</v>
      </c>
      <c r="G397" s="49">
        <v>8</v>
      </c>
      <c r="H397" s="49"/>
      <c r="I397" s="49"/>
      <c r="J397" s="49"/>
      <c r="K397" s="49"/>
      <c r="L397" s="49" t="s">
        <v>379</v>
      </c>
      <c r="M397" t="s">
        <v>1709</v>
      </c>
    </row>
    <row r="398" spans="1:13" x14ac:dyDescent="0.2">
      <c r="A398" s="49">
        <v>140404</v>
      </c>
      <c r="B398" s="49" t="s">
        <v>1563</v>
      </c>
      <c r="C398" s="49" t="s">
        <v>36</v>
      </c>
      <c r="D398" s="49" t="s">
        <v>10</v>
      </c>
      <c r="E398" s="49" t="s">
        <v>5</v>
      </c>
      <c r="F398" s="49" t="s">
        <v>91</v>
      </c>
      <c r="G398" s="49">
        <v>9</v>
      </c>
      <c r="H398" s="49">
        <v>3</v>
      </c>
      <c r="I398" s="49">
        <v>2</v>
      </c>
      <c r="J398" s="49">
        <v>1</v>
      </c>
      <c r="K398" s="49">
        <v>3</v>
      </c>
      <c r="L398" s="49" t="s">
        <v>379</v>
      </c>
      <c r="M398" t="s">
        <v>1709</v>
      </c>
    </row>
    <row r="399" spans="1:13" x14ac:dyDescent="0.2">
      <c r="A399" s="49">
        <v>140378</v>
      </c>
      <c r="B399" s="49" t="s">
        <v>1564</v>
      </c>
      <c r="C399" s="49" t="s">
        <v>26</v>
      </c>
      <c r="D399" s="49" t="s">
        <v>10</v>
      </c>
      <c r="E399" s="49" t="s">
        <v>6</v>
      </c>
      <c r="F399" s="49" t="s">
        <v>91</v>
      </c>
      <c r="G399" s="49">
        <v>3</v>
      </c>
      <c r="H399" s="49"/>
      <c r="I399" s="49"/>
      <c r="J399" s="49"/>
      <c r="K399" s="49"/>
      <c r="L399" s="49" t="s">
        <v>379</v>
      </c>
      <c r="M399" t="s">
        <v>1709</v>
      </c>
    </row>
    <row r="400" spans="1:13" x14ac:dyDescent="0.2">
      <c r="A400" s="49">
        <v>140332</v>
      </c>
      <c r="B400" s="49" t="s">
        <v>1079</v>
      </c>
      <c r="C400" s="49" t="s">
        <v>36</v>
      </c>
      <c r="D400" s="49" t="s">
        <v>10</v>
      </c>
      <c r="E400" s="49" t="s">
        <v>5</v>
      </c>
      <c r="F400" s="49" t="s">
        <v>91</v>
      </c>
      <c r="G400" s="49">
        <v>4</v>
      </c>
      <c r="H400" s="49">
        <v>3</v>
      </c>
      <c r="I400" s="49"/>
      <c r="J400" s="49"/>
      <c r="K400" s="49">
        <v>4</v>
      </c>
      <c r="L400" s="49" t="s">
        <v>379</v>
      </c>
      <c r="M400" t="s">
        <v>1709</v>
      </c>
    </row>
    <row r="401" spans="1:13" x14ac:dyDescent="0.2">
      <c r="A401" s="49">
        <v>140323</v>
      </c>
      <c r="B401" s="49" t="s">
        <v>947</v>
      </c>
      <c r="C401" s="49" t="s">
        <v>59</v>
      </c>
      <c r="D401" s="49" t="s">
        <v>15</v>
      </c>
      <c r="E401" s="49" t="s">
        <v>6</v>
      </c>
      <c r="F401" s="49" t="s">
        <v>95</v>
      </c>
      <c r="G401" s="49">
        <v>2</v>
      </c>
      <c r="H401" s="49">
        <v>2</v>
      </c>
      <c r="I401" s="49">
        <v>4</v>
      </c>
      <c r="J401" s="49">
        <v>3</v>
      </c>
      <c r="K401" s="49">
        <v>3</v>
      </c>
      <c r="L401" s="49" t="s">
        <v>379</v>
      </c>
      <c r="M401" t="s">
        <v>1709</v>
      </c>
    </row>
    <row r="402" spans="1:13" x14ac:dyDescent="0.2">
      <c r="A402" s="49">
        <v>140483</v>
      </c>
      <c r="B402" s="49" t="s">
        <v>1565</v>
      </c>
      <c r="C402" s="49" t="s">
        <v>9</v>
      </c>
      <c r="D402" s="49" t="s">
        <v>15</v>
      </c>
      <c r="E402" s="49" t="s">
        <v>8</v>
      </c>
      <c r="F402" s="49" t="s">
        <v>95</v>
      </c>
      <c r="G402" s="49">
        <v>29</v>
      </c>
      <c r="H402" s="49">
        <v>2</v>
      </c>
      <c r="I402" s="49">
        <v>1</v>
      </c>
      <c r="J402" s="49">
        <v>1</v>
      </c>
      <c r="K402" s="49">
        <v>1</v>
      </c>
      <c r="L402" s="49" t="s">
        <v>379</v>
      </c>
      <c r="M402" t="s">
        <v>1958</v>
      </c>
    </row>
    <row r="403" spans="1:13" x14ac:dyDescent="0.2">
      <c r="A403" s="49">
        <v>140470</v>
      </c>
      <c r="B403" s="49" t="s">
        <v>1566</v>
      </c>
      <c r="C403" s="49" t="s">
        <v>9</v>
      </c>
      <c r="D403" s="49" t="s">
        <v>15</v>
      </c>
      <c r="E403" s="49" t="s">
        <v>8</v>
      </c>
      <c r="F403" s="49" t="s">
        <v>91</v>
      </c>
      <c r="G403" s="49">
        <v>39</v>
      </c>
      <c r="H403" s="49"/>
      <c r="I403" s="49"/>
      <c r="J403" s="49"/>
      <c r="K403" s="49"/>
      <c r="L403" s="49" t="s">
        <v>379</v>
      </c>
      <c r="M403" t="s">
        <v>1709</v>
      </c>
    </row>
    <row r="404" spans="1:13" x14ac:dyDescent="0.2">
      <c r="A404" s="49">
        <v>140465</v>
      </c>
      <c r="B404" s="49" t="s">
        <v>1410</v>
      </c>
      <c r="C404" s="49" t="s">
        <v>9</v>
      </c>
      <c r="D404" s="49" t="s">
        <v>10</v>
      </c>
      <c r="E404" s="49" t="s">
        <v>8</v>
      </c>
      <c r="F404" s="49" t="s">
        <v>91</v>
      </c>
      <c r="G404" s="49">
        <v>88</v>
      </c>
      <c r="H404" s="49"/>
      <c r="I404" s="49"/>
      <c r="J404" s="49"/>
      <c r="K404" s="49"/>
      <c r="L404" s="49" t="s">
        <v>379</v>
      </c>
      <c r="M404" t="s">
        <v>1709</v>
      </c>
    </row>
    <row r="405" spans="1:13" x14ac:dyDescent="0.2">
      <c r="A405" s="49">
        <v>140460</v>
      </c>
      <c r="B405" s="49" t="s">
        <v>1351</v>
      </c>
      <c r="C405" s="49" t="s">
        <v>9</v>
      </c>
      <c r="D405" s="49" t="s">
        <v>15</v>
      </c>
      <c r="E405" s="49" t="s">
        <v>8</v>
      </c>
      <c r="F405" s="49" t="s">
        <v>91</v>
      </c>
      <c r="G405" s="49">
        <v>68</v>
      </c>
      <c r="H405" s="49">
        <v>2</v>
      </c>
      <c r="I405" s="49">
        <v>1</v>
      </c>
      <c r="J405" s="49">
        <v>1</v>
      </c>
      <c r="K405" s="49">
        <v>1</v>
      </c>
      <c r="L405" s="49" t="s">
        <v>379</v>
      </c>
      <c r="M405" t="s">
        <v>1709</v>
      </c>
    </row>
    <row r="406" spans="1:13" x14ac:dyDescent="0.2">
      <c r="A406" s="49">
        <v>140454</v>
      </c>
      <c r="B406" s="49" t="s">
        <v>1288</v>
      </c>
      <c r="C406" s="49" t="s">
        <v>9</v>
      </c>
      <c r="D406" s="49" t="s">
        <v>10</v>
      </c>
      <c r="E406" s="49" t="s">
        <v>8</v>
      </c>
      <c r="F406" s="49" t="s">
        <v>91</v>
      </c>
      <c r="G406" s="49">
        <v>47</v>
      </c>
      <c r="H406" s="49"/>
      <c r="I406" s="49"/>
      <c r="J406" s="49"/>
      <c r="K406" s="49"/>
      <c r="L406" s="49" t="s">
        <v>379</v>
      </c>
      <c r="M406" t="s">
        <v>1709</v>
      </c>
    </row>
    <row r="407" spans="1:13" x14ac:dyDescent="0.2">
      <c r="A407" s="49">
        <v>139711</v>
      </c>
      <c r="B407" s="49" t="s">
        <v>1073</v>
      </c>
      <c r="C407" s="49" t="s">
        <v>23</v>
      </c>
      <c r="D407" s="49" t="s">
        <v>10</v>
      </c>
      <c r="E407" s="49" t="s">
        <v>5</v>
      </c>
      <c r="F407" s="49" t="s">
        <v>91</v>
      </c>
      <c r="G407" s="49">
        <v>4</v>
      </c>
      <c r="H407" s="49"/>
      <c r="I407" s="49"/>
      <c r="J407" s="49"/>
      <c r="K407" s="49"/>
      <c r="L407" s="49" t="s">
        <v>379</v>
      </c>
      <c r="M407" t="s">
        <v>1709</v>
      </c>
    </row>
    <row r="408" spans="1:13" x14ac:dyDescent="0.2">
      <c r="A408" s="49">
        <v>139710</v>
      </c>
      <c r="B408" s="49" t="s">
        <v>1634</v>
      </c>
      <c r="C408" s="49" t="s">
        <v>23</v>
      </c>
      <c r="D408" s="49" t="s">
        <v>10</v>
      </c>
      <c r="E408" s="49" t="s">
        <v>5</v>
      </c>
      <c r="F408" s="49" t="s">
        <v>91</v>
      </c>
      <c r="G408" s="49">
        <v>3</v>
      </c>
      <c r="H408" s="49"/>
      <c r="I408" s="49"/>
      <c r="J408" s="49"/>
      <c r="K408" s="49"/>
      <c r="L408" s="49" t="s">
        <v>379</v>
      </c>
      <c r="M408" t="s">
        <v>1709</v>
      </c>
    </row>
    <row r="409" spans="1:13" x14ac:dyDescent="0.2">
      <c r="A409" s="49">
        <v>139709</v>
      </c>
      <c r="B409" s="49" t="s">
        <v>1635</v>
      </c>
      <c r="C409" s="49" t="s">
        <v>23</v>
      </c>
      <c r="D409" s="49" t="s">
        <v>10</v>
      </c>
      <c r="E409" s="49" t="s">
        <v>5</v>
      </c>
      <c r="F409" s="49" t="s">
        <v>91</v>
      </c>
      <c r="G409" s="49">
        <v>5</v>
      </c>
      <c r="H409" s="49"/>
      <c r="I409" s="49"/>
      <c r="J409" s="49"/>
      <c r="K409" s="49"/>
      <c r="L409" s="49" t="s">
        <v>379</v>
      </c>
      <c r="M409" t="s">
        <v>1709</v>
      </c>
    </row>
    <row r="410" spans="1:13" x14ac:dyDescent="0.2">
      <c r="A410" s="49">
        <v>139707</v>
      </c>
      <c r="B410" s="49" t="s">
        <v>995</v>
      </c>
      <c r="C410" s="49" t="s">
        <v>23</v>
      </c>
      <c r="D410" s="49" t="s">
        <v>10</v>
      </c>
      <c r="E410" s="49" t="s">
        <v>5</v>
      </c>
      <c r="F410" s="49" t="s">
        <v>91</v>
      </c>
      <c r="G410" s="49">
        <v>2</v>
      </c>
      <c r="H410" s="49"/>
      <c r="I410" s="49"/>
      <c r="J410" s="49"/>
      <c r="K410" s="49"/>
      <c r="L410" s="49" t="s">
        <v>379</v>
      </c>
      <c r="M410" t="s">
        <v>1709</v>
      </c>
    </row>
    <row r="411" spans="1:13" x14ac:dyDescent="0.2">
      <c r="A411" s="49">
        <v>140528</v>
      </c>
      <c r="B411" s="49" t="s">
        <v>1567</v>
      </c>
      <c r="C411" s="49" t="s">
        <v>37</v>
      </c>
      <c r="D411" s="49" t="s">
        <v>4</v>
      </c>
      <c r="E411" s="49" t="s">
        <v>5</v>
      </c>
      <c r="F411" s="49" t="s">
        <v>91</v>
      </c>
      <c r="G411" s="49">
        <v>11</v>
      </c>
      <c r="H411" s="49"/>
      <c r="I411" s="49"/>
      <c r="J411" s="49"/>
      <c r="K411" s="49"/>
      <c r="L411" s="49" t="s">
        <v>379</v>
      </c>
      <c r="M411" t="s">
        <v>1709</v>
      </c>
    </row>
    <row r="412" spans="1:13" x14ac:dyDescent="0.2">
      <c r="A412" s="49">
        <v>140516</v>
      </c>
      <c r="B412" s="49" t="s">
        <v>1568</v>
      </c>
      <c r="C412" s="49" t="s">
        <v>37</v>
      </c>
      <c r="D412" s="49" t="s">
        <v>15</v>
      </c>
      <c r="E412" s="49" t="s">
        <v>5</v>
      </c>
      <c r="F412" s="49" t="s">
        <v>91</v>
      </c>
      <c r="G412" s="49">
        <v>10</v>
      </c>
      <c r="H412" s="49"/>
      <c r="I412" s="49"/>
      <c r="J412" s="49"/>
      <c r="K412" s="49"/>
      <c r="L412" s="49" t="s">
        <v>379</v>
      </c>
      <c r="M412" t="s">
        <v>1709</v>
      </c>
    </row>
    <row r="413" spans="1:13" x14ac:dyDescent="0.2">
      <c r="A413" s="49">
        <v>140719</v>
      </c>
      <c r="B413" s="49" t="s">
        <v>1569</v>
      </c>
      <c r="C413" s="49" t="s">
        <v>896</v>
      </c>
      <c r="D413" s="49" t="s">
        <v>15</v>
      </c>
      <c r="E413" s="49" t="s">
        <v>5</v>
      </c>
      <c r="F413" s="49" t="s">
        <v>91</v>
      </c>
      <c r="G413" s="49">
        <v>1</v>
      </c>
      <c r="H413" s="49">
        <v>3</v>
      </c>
      <c r="I413" s="49">
        <v>3</v>
      </c>
      <c r="J413" s="49">
        <v>5</v>
      </c>
      <c r="K413" s="49">
        <v>2</v>
      </c>
      <c r="L413" s="49" t="s">
        <v>379</v>
      </c>
      <c r="M413" t="s">
        <v>1709</v>
      </c>
    </row>
    <row r="414" spans="1:13" x14ac:dyDescent="0.2">
      <c r="A414" s="49">
        <v>140781</v>
      </c>
      <c r="B414" s="49" t="s">
        <v>1570</v>
      </c>
      <c r="C414" s="49" t="s">
        <v>21</v>
      </c>
      <c r="D414" s="49" t="s">
        <v>15</v>
      </c>
      <c r="E414" s="49" t="s">
        <v>5</v>
      </c>
      <c r="F414" s="49" t="s">
        <v>91</v>
      </c>
      <c r="G414" s="49">
        <v>12</v>
      </c>
      <c r="H414" s="49"/>
      <c r="I414" s="49"/>
      <c r="J414" s="49"/>
      <c r="K414" s="49"/>
      <c r="L414" s="49" t="s">
        <v>379</v>
      </c>
      <c r="M414" t="s">
        <v>1709</v>
      </c>
    </row>
    <row r="415" spans="1:13" x14ac:dyDescent="0.2">
      <c r="A415" s="49">
        <v>140779</v>
      </c>
      <c r="B415" s="49" t="s">
        <v>1571</v>
      </c>
      <c r="C415" s="49" t="s">
        <v>21</v>
      </c>
      <c r="D415" s="49" t="s">
        <v>15</v>
      </c>
      <c r="E415" s="49" t="s">
        <v>5</v>
      </c>
      <c r="F415" s="49" t="s">
        <v>91</v>
      </c>
      <c r="G415" s="49">
        <v>16</v>
      </c>
      <c r="H415" s="49"/>
      <c r="I415" s="49"/>
      <c r="J415" s="49"/>
      <c r="K415" s="49"/>
      <c r="L415" s="49" t="s">
        <v>379</v>
      </c>
      <c r="M415" t="s">
        <v>1709</v>
      </c>
    </row>
    <row r="416" spans="1:13" x14ac:dyDescent="0.2">
      <c r="A416" s="49">
        <v>141295</v>
      </c>
      <c r="B416" s="49" t="s">
        <v>1605</v>
      </c>
      <c r="C416" s="49" t="s">
        <v>34</v>
      </c>
      <c r="D416" s="49" t="s">
        <v>15</v>
      </c>
      <c r="E416" s="49" t="s">
        <v>8</v>
      </c>
      <c r="F416" s="49" t="s">
        <v>91</v>
      </c>
      <c r="G416" s="49">
        <v>2</v>
      </c>
      <c r="H416" s="49"/>
      <c r="I416" s="49"/>
      <c r="J416" s="49"/>
      <c r="K416" s="49"/>
      <c r="L416" s="49" t="s">
        <v>379</v>
      </c>
      <c r="M416" t="s">
        <v>1709</v>
      </c>
    </row>
    <row r="417" spans="1:13" x14ac:dyDescent="0.2">
      <c r="A417" s="49">
        <v>85297</v>
      </c>
      <c r="B417" s="49" t="s">
        <v>912</v>
      </c>
      <c r="C417" s="49" t="s">
        <v>37</v>
      </c>
      <c r="D417" s="49" t="s">
        <v>15</v>
      </c>
      <c r="E417" s="49" t="s">
        <v>5</v>
      </c>
      <c r="F417" s="49" t="s">
        <v>90</v>
      </c>
      <c r="G417" s="49">
        <v>1001</v>
      </c>
      <c r="H417" s="49"/>
      <c r="I417" s="49"/>
      <c r="J417" s="49"/>
      <c r="K417" s="49"/>
      <c r="L417" s="49" t="s">
        <v>379</v>
      </c>
      <c r="M417">
        <v>1</v>
      </c>
    </row>
    <row r="418" spans="1:13" x14ac:dyDescent="0.2">
      <c r="A418">
        <v>53918</v>
      </c>
      <c r="B418" t="s">
        <v>540</v>
      </c>
      <c r="C418" t="s">
        <v>64</v>
      </c>
      <c r="D418" t="s">
        <v>10</v>
      </c>
      <c r="E418" t="s">
        <v>6</v>
      </c>
      <c r="F418" t="s">
        <v>90</v>
      </c>
      <c r="G418" s="49">
        <v>1002</v>
      </c>
      <c r="L418" t="s">
        <v>10</v>
      </c>
      <c r="M418">
        <v>2</v>
      </c>
    </row>
    <row r="419" spans="1:13" x14ac:dyDescent="0.2">
      <c r="A419" s="49">
        <v>88802</v>
      </c>
      <c r="B419" s="49" t="s">
        <v>1579</v>
      </c>
      <c r="C419" s="49" t="s">
        <v>46</v>
      </c>
      <c r="D419" s="49" t="s">
        <v>15</v>
      </c>
      <c r="E419" s="49" t="s">
        <v>12</v>
      </c>
      <c r="F419" s="49" t="s">
        <v>90</v>
      </c>
      <c r="G419" s="49">
        <v>1003</v>
      </c>
      <c r="H419" s="49"/>
      <c r="I419" s="49"/>
      <c r="J419" s="49"/>
      <c r="K419" s="49"/>
      <c r="L419" s="49" t="s">
        <v>379</v>
      </c>
      <c r="M419">
        <v>3</v>
      </c>
    </row>
    <row r="420" spans="1:13" x14ac:dyDescent="0.2">
      <c r="A420" s="49">
        <v>60535</v>
      </c>
      <c r="B420" s="49" t="s">
        <v>485</v>
      </c>
      <c r="C420" s="49" t="s">
        <v>70</v>
      </c>
      <c r="D420" s="49" t="s">
        <v>10</v>
      </c>
      <c r="E420" s="49" t="s">
        <v>8</v>
      </c>
      <c r="F420" s="49" t="s">
        <v>90</v>
      </c>
      <c r="G420" s="49">
        <v>1004</v>
      </c>
      <c r="H420" s="49"/>
      <c r="I420" s="49"/>
      <c r="J420" s="49"/>
      <c r="K420" s="49"/>
      <c r="L420" s="49" t="s">
        <v>10</v>
      </c>
      <c r="M420">
        <v>4</v>
      </c>
    </row>
    <row r="421" spans="1:13" x14ac:dyDescent="0.2">
      <c r="A421">
        <v>46806</v>
      </c>
      <c r="B421" t="s">
        <v>620</v>
      </c>
      <c r="C421" t="s">
        <v>67</v>
      </c>
      <c r="D421" t="s">
        <v>10</v>
      </c>
      <c r="E421" t="s">
        <v>12</v>
      </c>
      <c r="F421" t="s">
        <v>90</v>
      </c>
      <c r="G421" s="49">
        <v>1005</v>
      </c>
      <c r="L421" t="s">
        <v>10</v>
      </c>
      <c r="M421">
        <v>5</v>
      </c>
    </row>
    <row r="422" spans="1:13" x14ac:dyDescent="0.2">
      <c r="A422" s="49">
        <v>69008</v>
      </c>
      <c r="B422" s="49" t="s">
        <v>1581</v>
      </c>
      <c r="C422" s="49" t="s">
        <v>9</v>
      </c>
      <c r="D422" s="49" t="s">
        <v>15</v>
      </c>
      <c r="E422" s="49" t="s">
        <v>8</v>
      </c>
      <c r="F422" s="49" t="s">
        <v>90</v>
      </c>
      <c r="G422" s="49">
        <v>1006</v>
      </c>
      <c r="H422" s="49"/>
      <c r="I422" s="49"/>
      <c r="J422" s="49"/>
      <c r="K422" s="49"/>
      <c r="L422" s="49" t="s">
        <v>379</v>
      </c>
      <c r="M422">
        <v>6</v>
      </c>
    </row>
    <row r="423" spans="1:13" x14ac:dyDescent="0.2">
      <c r="A423" s="49">
        <v>129623</v>
      </c>
      <c r="B423" s="49" t="s">
        <v>921</v>
      </c>
      <c r="C423" s="49" t="s">
        <v>35</v>
      </c>
      <c r="D423" s="49" t="s">
        <v>15</v>
      </c>
      <c r="E423" s="49" t="s">
        <v>12</v>
      </c>
      <c r="F423" s="49" t="s">
        <v>90</v>
      </c>
      <c r="G423" s="49">
        <v>1007</v>
      </c>
      <c r="H423" s="49">
        <v>2</v>
      </c>
      <c r="I423" s="49">
        <v>4</v>
      </c>
      <c r="J423" s="49">
        <v>3</v>
      </c>
      <c r="K423" s="49">
        <v>2</v>
      </c>
      <c r="L423" s="49" t="s">
        <v>379</v>
      </c>
      <c r="M423">
        <v>7</v>
      </c>
    </row>
    <row r="424" spans="1:13" x14ac:dyDescent="0.2">
      <c r="A424" s="49">
        <v>57319</v>
      </c>
      <c r="B424" s="49" t="s">
        <v>368</v>
      </c>
      <c r="C424" s="49" t="s">
        <v>66</v>
      </c>
      <c r="D424" s="49" t="s">
        <v>10</v>
      </c>
      <c r="E424" s="49" t="s">
        <v>5</v>
      </c>
      <c r="F424" s="49" t="s">
        <v>92</v>
      </c>
      <c r="G424" s="49">
        <v>1008</v>
      </c>
      <c r="H424" s="49"/>
      <c r="I424" s="49"/>
      <c r="J424" s="49"/>
      <c r="K424" s="49"/>
      <c r="L424" s="49" t="s">
        <v>10</v>
      </c>
      <c r="M424">
        <v>8</v>
      </c>
    </row>
    <row r="425" spans="1:13" x14ac:dyDescent="0.2">
      <c r="A425" s="49">
        <v>57268</v>
      </c>
      <c r="B425" s="49" t="s">
        <v>1612</v>
      </c>
      <c r="C425" s="49" t="s">
        <v>65</v>
      </c>
      <c r="D425" s="49" t="s">
        <v>10</v>
      </c>
      <c r="E425" s="49" t="s">
        <v>5</v>
      </c>
      <c r="F425" s="49" t="s">
        <v>92</v>
      </c>
      <c r="G425" s="49">
        <v>1009</v>
      </c>
      <c r="H425" s="49"/>
      <c r="I425" s="49"/>
      <c r="J425" s="49"/>
      <c r="K425" s="49"/>
      <c r="L425" s="49" t="s">
        <v>10</v>
      </c>
      <c r="M425">
        <v>9</v>
      </c>
    </row>
    <row r="426" spans="1:13" x14ac:dyDescent="0.2">
      <c r="A426" s="49">
        <v>62247</v>
      </c>
      <c r="B426" s="49" t="s">
        <v>285</v>
      </c>
      <c r="C426" s="49" t="s">
        <v>64</v>
      </c>
      <c r="D426" s="49" t="s">
        <v>10</v>
      </c>
      <c r="E426" s="49" t="s">
        <v>6</v>
      </c>
      <c r="F426" s="49" t="s">
        <v>92</v>
      </c>
      <c r="G426" s="49">
        <v>1010</v>
      </c>
      <c r="H426" s="49"/>
      <c r="I426" s="49"/>
      <c r="J426" s="49"/>
      <c r="K426" s="49"/>
      <c r="L426" s="49" t="s">
        <v>10</v>
      </c>
      <c r="M426">
        <v>10</v>
      </c>
    </row>
    <row r="427" spans="1:13" x14ac:dyDescent="0.2">
      <c r="A427" s="49">
        <v>120277</v>
      </c>
      <c r="B427" s="49" t="s">
        <v>924</v>
      </c>
      <c r="C427" s="49" t="s">
        <v>98</v>
      </c>
      <c r="D427" s="49" t="s">
        <v>15</v>
      </c>
      <c r="E427" s="49" t="s">
        <v>12</v>
      </c>
      <c r="F427" s="49" t="s">
        <v>92</v>
      </c>
      <c r="G427" s="49">
        <v>1011</v>
      </c>
      <c r="H427" s="49"/>
      <c r="I427" s="49"/>
      <c r="J427" s="49"/>
      <c r="K427" s="49"/>
      <c r="L427" s="49" t="s">
        <v>379</v>
      </c>
      <c r="M427">
        <v>11</v>
      </c>
    </row>
    <row r="428" spans="1:13" x14ac:dyDescent="0.2">
      <c r="A428" s="49">
        <v>94146</v>
      </c>
      <c r="B428" s="49" t="s">
        <v>1578</v>
      </c>
      <c r="C428" s="49" t="s">
        <v>23</v>
      </c>
      <c r="D428" s="49" t="s">
        <v>15</v>
      </c>
      <c r="E428" s="49" t="s">
        <v>5</v>
      </c>
      <c r="F428" s="49" t="s">
        <v>92</v>
      </c>
      <c r="G428" s="49">
        <v>1012</v>
      </c>
      <c r="H428" s="49"/>
      <c r="I428" s="49"/>
      <c r="J428" s="49"/>
      <c r="K428" s="49"/>
      <c r="L428" s="49" t="s">
        <v>379</v>
      </c>
      <c r="M428">
        <v>12</v>
      </c>
    </row>
    <row r="429" spans="1:13" x14ac:dyDescent="0.2">
      <c r="A429" s="49">
        <v>133333</v>
      </c>
      <c r="B429" s="49" t="s">
        <v>1573</v>
      </c>
      <c r="C429" s="49" t="s">
        <v>26</v>
      </c>
      <c r="D429" s="49" t="s">
        <v>14</v>
      </c>
      <c r="E429" s="49" t="s">
        <v>6</v>
      </c>
      <c r="F429" s="49" t="s">
        <v>89</v>
      </c>
      <c r="G429" s="49">
        <v>1038</v>
      </c>
      <c r="H429" s="49">
        <v>3</v>
      </c>
      <c r="I429" s="49">
        <v>2</v>
      </c>
      <c r="J429" s="49">
        <v>3</v>
      </c>
      <c r="K429" s="49">
        <v>3</v>
      </c>
      <c r="L429" s="49" t="s">
        <v>379</v>
      </c>
      <c r="M429">
        <v>9999</v>
      </c>
    </row>
    <row r="430" spans="1:13" x14ac:dyDescent="0.2">
      <c r="A430" s="49">
        <v>70181</v>
      </c>
      <c r="B430" s="49" t="s">
        <v>1580</v>
      </c>
      <c r="C430" s="49" t="s">
        <v>24</v>
      </c>
      <c r="D430" s="49" t="s">
        <v>15</v>
      </c>
      <c r="E430" s="49" t="s">
        <v>5</v>
      </c>
      <c r="F430" s="49" t="s">
        <v>89</v>
      </c>
      <c r="G430" s="49">
        <v>1021</v>
      </c>
      <c r="H430" s="49">
        <v>4</v>
      </c>
      <c r="I430" s="49">
        <v>4</v>
      </c>
      <c r="J430" s="49">
        <v>3</v>
      </c>
      <c r="K430" s="49">
        <v>4</v>
      </c>
      <c r="L430" s="49" t="s">
        <v>379</v>
      </c>
      <c r="M430" t="s">
        <v>1709</v>
      </c>
    </row>
    <row r="431" spans="1:13" x14ac:dyDescent="0.2">
      <c r="A431" s="49">
        <v>201921</v>
      </c>
      <c r="B431" s="49" t="s">
        <v>1583</v>
      </c>
      <c r="C431" s="49" t="s">
        <v>34</v>
      </c>
      <c r="D431" s="49" t="s">
        <v>15</v>
      </c>
      <c r="E431" s="49" t="s">
        <v>8</v>
      </c>
      <c r="F431" s="49" t="s">
        <v>89</v>
      </c>
      <c r="G431" s="49">
        <v>1023</v>
      </c>
      <c r="H431" s="49"/>
      <c r="I431" s="49"/>
      <c r="J431" s="49"/>
      <c r="K431" s="49"/>
      <c r="L431" s="49" t="s">
        <v>379</v>
      </c>
      <c r="M431" t="s">
        <v>1709</v>
      </c>
    </row>
    <row r="432" spans="1:13" x14ac:dyDescent="0.2">
      <c r="A432" s="49">
        <v>200523</v>
      </c>
      <c r="B432" s="49" t="s">
        <v>1584</v>
      </c>
      <c r="C432" s="49" t="s">
        <v>24</v>
      </c>
      <c r="D432" s="49" t="s">
        <v>16</v>
      </c>
      <c r="E432" s="49" t="s">
        <v>5</v>
      </c>
      <c r="F432" s="49" t="s">
        <v>89</v>
      </c>
      <c r="G432" s="49">
        <v>1039</v>
      </c>
      <c r="H432" s="49"/>
      <c r="I432" s="49"/>
      <c r="J432" s="49"/>
      <c r="K432" s="49"/>
      <c r="L432" s="49" t="s">
        <v>379</v>
      </c>
      <c r="M432" t="s">
        <v>1709</v>
      </c>
    </row>
    <row r="433" spans="1:13" x14ac:dyDescent="0.2">
      <c r="A433" s="49">
        <v>194066</v>
      </c>
      <c r="B433" s="49" t="s">
        <v>1585</v>
      </c>
      <c r="C433" s="49" t="s">
        <v>37</v>
      </c>
      <c r="D433" s="49" t="s">
        <v>15</v>
      </c>
      <c r="E433" s="49" t="s">
        <v>5</v>
      </c>
      <c r="F433" s="49" t="s">
        <v>89</v>
      </c>
      <c r="G433" s="49">
        <v>1022</v>
      </c>
      <c r="H433" s="49"/>
      <c r="I433" s="49"/>
      <c r="J433" s="49"/>
      <c r="K433" s="49"/>
      <c r="L433" s="49" t="s">
        <v>379</v>
      </c>
      <c r="M433" t="s">
        <v>1709</v>
      </c>
    </row>
    <row r="434" spans="1:13" x14ac:dyDescent="0.2">
      <c r="A434" s="49">
        <v>192929</v>
      </c>
      <c r="B434" s="49" t="s">
        <v>908</v>
      </c>
      <c r="C434" s="49" t="s">
        <v>7</v>
      </c>
      <c r="D434" s="49" t="s">
        <v>15</v>
      </c>
      <c r="E434" s="49" t="s">
        <v>6</v>
      </c>
      <c r="F434" s="49" t="s">
        <v>89</v>
      </c>
      <c r="G434" s="49">
        <v>1014</v>
      </c>
      <c r="H434" s="49"/>
      <c r="I434" s="49"/>
      <c r="J434" s="49"/>
      <c r="K434" s="49"/>
      <c r="L434" s="49" t="s">
        <v>379</v>
      </c>
      <c r="M434" t="s">
        <v>1709</v>
      </c>
    </row>
    <row r="435" spans="1:13" x14ac:dyDescent="0.2">
      <c r="A435" s="49">
        <v>149884</v>
      </c>
      <c r="B435" s="49" t="s">
        <v>1586</v>
      </c>
      <c r="C435" s="49" t="s">
        <v>21</v>
      </c>
      <c r="D435" s="49" t="s">
        <v>15</v>
      </c>
      <c r="E435" s="49" t="s">
        <v>5</v>
      </c>
      <c r="F435" s="49" t="s">
        <v>89</v>
      </c>
      <c r="G435" s="49">
        <v>1019</v>
      </c>
      <c r="H435" s="49"/>
      <c r="I435" s="49"/>
      <c r="J435" s="49"/>
      <c r="K435" s="49"/>
      <c r="L435" s="49" t="s">
        <v>379</v>
      </c>
      <c r="M435" t="s">
        <v>1709</v>
      </c>
    </row>
    <row r="436" spans="1:13" x14ac:dyDescent="0.2">
      <c r="A436" s="49">
        <v>121981</v>
      </c>
      <c r="B436" s="49" t="s">
        <v>1587</v>
      </c>
      <c r="C436" s="49" t="s">
        <v>44</v>
      </c>
      <c r="D436" s="49" t="s">
        <v>15</v>
      </c>
      <c r="E436" s="49" t="s">
        <v>12</v>
      </c>
      <c r="F436" s="49" t="s">
        <v>89</v>
      </c>
      <c r="G436" s="49">
        <v>1040</v>
      </c>
      <c r="H436" s="49"/>
      <c r="I436" s="49"/>
      <c r="J436" s="49"/>
      <c r="K436" s="49"/>
      <c r="L436" s="49" t="s">
        <v>379</v>
      </c>
      <c r="M436" t="s">
        <v>1709</v>
      </c>
    </row>
    <row r="437" spans="1:13" x14ac:dyDescent="0.2">
      <c r="A437" s="49">
        <v>62519</v>
      </c>
      <c r="B437" s="49" t="s">
        <v>369</v>
      </c>
      <c r="C437" s="49" t="s">
        <v>64</v>
      </c>
      <c r="D437" s="49" t="s">
        <v>10</v>
      </c>
      <c r="E437" s="49" t="s">
        <v>6</v>
      </c>
      <c r="F437" s="49" t="s">
        <v>89</v>
      </c>
      <c r="G437" s="49">
        <v>1013</v>
      </c>
      <c r="H437" s="49">
        <v>2</v>
      </c>
      <c r="I437" s="49"/>
      <c r="J437" s="49"/>
      <c r="K437" s="49">
        <v>2</v>
      </c>
      <c r="L437" s="49" t="s">
        <v>10</v>
      </c>
      <c r="M437" t="s">
        <v>1709</v>
      </c>
    </row>
    <row r="438" spans="1:13" x14ac:dyDescent="0.2">
      <c r="A438" s="49">
        <v>61318</v>
      </c>
      <c r="B438" s="49" t="s">
        <v>370</v>
      </c>
      <c r="C438" s="49" t="s">
        <v>65</v>
      </c>
      <c r="D438" s="49" t="s">
        <v>10</v>
      </c>
      <c r="E438" s="49" t="s">
        <v>5</v>
      </c>
      <c r="F438" s="49" t="s">
        <v>89</v>
      </c>
      <c r="G438" s="49">
        <v>1018</v>
      </c>
      <c r="H438" s="49">
        <v>5</v>
      </c>
      <c r="I438" s="49"/>
      <c r="J438" s="49">
        <v>2</v>
      </c>
      <c r="K438" s="49">
        <v>4</v>
      </c>
      <c r="L438" s="49" t="s">
        <v>10</v>
      </c>
      <c r="M438" t="s">
        <v>1709</v>
      </c>
    </row>
    <row r="439" spans="1:13" x14ac:dyDescent="0.2">
      <c r="A439" s="49">
        <v>60703</v>
      </c>
      <c r="B439" s="49" t="s">
        <v>483</v>
      </c>
      <c r="C439" s="49" t="s">
        <v>65</v>
      </c>
      <c r="D439" s="49" t="s">
        <v>10</v>
      </c>
      <c r="E439" s="49" t="s">
        <v>5</v>
      </c>
      <c r="F439" s="49" t="s">
        <v>89</v>
      </c>
      <c r="G439" s="49">
        <v>1027</v>
      </c>
      <c r="H439" s="49"/>
      <c r="I439" s="49"/>
      <c r="J439" s="49"/>
      <c r="K439" s="49"/>
      <c r="L439" s="49" t="s">
        <v>10</v>
      </c>
      <c r="M439" t="s">
        <v>1709</v>
      </c>
    </row>
    <row r="440" spans="1:13" x14ac:dyDescent="0.2">
      <c r="A440" s="49">
        <v>58466</v>
      </c>
      <c r="B440" s="49" t="s">
        <v>504</v>
      </c>
      <c r="C440" s="49" t="s">
        <v>65</v>
      </c>
      <c r="D440" s="49" t="s">
        <v>10</v>
      </c>
      <c r="E440" s="49" t="s">
        <v>5</v>
      </c>
      <c r="F440" s="49" t="s">
        <v>89</v>
      </c>
      <c r="G440" s="49">
        <v>1020</v>
      </c>
      <c r="H440" s="49"/>
      <c r="I440" s="49"/>
      <c r="J440" s="49"/>
      <c r="K440" s="49"/>
      <c r="L440" s="49" t="s">
        <v>10</v>
      </c>
      <c r="M440" t="s">
        <v>1709</v>
      </c>
    </row>
    <row r="441" spans="1:13" x14ac:dyDescent="0.2">
      <c r="A441">
        <v>47872</v>
      </c>
      <c r="B441" t="s">
        <v>914</v>
      </c>
      <c r="C441" t="s">
        <v>65</v>
      </c>
      <c r="D441" t="s">
        <v>10</v>
      </c>
      <c r="E441" t="s">
        <v>5</v>
      </c>
      <c r="F441" t="s">
        <v>89</v>
      </c>
      <c r="G441" s="49">
        <v>1028</v>
      </c>
      <c r="L441" t="s">
        <v>10</v>
      </c>
      <c r="M441" t="s">
        <v>1709</v>
      </c>
    </row>
    <row r="442" spans="1:13" x14ac:dyDescent="0.2">
      <c r="A442">
        <v>43578</v>
      </c>
      <c r="B442" t="s">
        <v>367</v>
      </c>
      <c r="C442" t="s">
        <v>65</v>
      </c>
      <c r="D442" t="s">
        <v>10</v>
      </c>
      <c r="E442" t="s">
        <v>5</v>
      </c>
      <c r="F442" t="s">
        <v>89</v>
      </c>
      <c r="G442" s="49">
        <v>1032</v>
      </c>
      <c r="L442" t="s">
        <v>10</v>
      </c>
      <c r="M442" t="s">
        <v>1709</v>
      </c>
    </row>
    <row r="443" spans="1:13" x14ac:dyDescent="0.2">
      <c r="A443" s="49">
        <v>68962</v>
      </c>
      <c r="B443" s="49" t="s">
        <v>913</v>
      </c>
      <c r="C443" s="49" t="s">
        <v>45</v>
      </c>
      <c r="D443" s="49" t="s">
        <v>15</v>
      </c>
      <c r="E443" s="49" t="s">
        <v>12</v>
      </c>
      <c r="F443" s="49" t="s">
        <v>89</v>
      </c>
      <c r="G443" s="49">
        <v>1024</v>
      </c>
      <c r="H443" s="49"/>
      <c r="I443" s="49"/>
      <c r="J443" s="49"/>
      <c r="K443" s="49"/>
      <c r="L443" s="49" t="s">
        <v>379</v>
      </c>
      <c r="M443" t="s">
        <v>1959</v>
      </c>
    </row>
    <row r="444" spans="1:13" x14ac:dyDescent="0.2">
      <c r="A444" s="49">
        <v>50855</v>
      </c>
      <c r="B444" s="49" t="s">
        <v>1582</v>
      </c>
      <c r="C444" s="49" t="s">
        <v>11</v>
      </c>
      <c r="D444" s="49" t="s">
        <v>16</v>
      </c>
      <c r="E444" s="49" t="s">
        <v>11</v>
      </c>
      <c r="F444" s="49" t="s">
        <v>89</v>
      </c>
      <c r="G444" s="49">
        <v>1025</v>
      </c>
      <c r="H444" s="49"/>
      <c r="I444" s="49"/>
      <c r="J444" s="49"/>
      <c r="K444" s="49"/>
      <c r="L444" s="49" t="s">
        <v>379</v>
      </c>
      <c r="M444" t="s">
        <v>1960</v>
      </c>
    </row>
    <row r="445" spans="1:13" x14ac:dyDescent="0.2">
      <c r="A445" s="49">
        <v>141298</v>
      </c>
      <c r="B445" s="49" t="s">
        <v>1606</v>
      </c>
      <c r="C445" s="49" t="s">
        <v>68</v>
      </c>
      <c r="D445" s="49" t="s">
        <v>10</v>
      </c>
      <c r="E445" s="49" t="s">
        <v>5</v>
      </c>
      <c r="F445" s="49" t="s">
        <v>95</v>
      </c>
      <c r="G445" s="49">
        <v>20</v>
      </c>
      <c r="H445" s="49"/>
      <c r="I445" s="49"/>
      <c r="J445" s="49"/>
      <c r="K445" s="49"/>
      <c r="L445" s="49" t="s">
        <v>10</v>
      </c>
      <c r="M445" t="s">
        <v>1709</v>
      </c>
    </row>
    <row r="446" spans="1:13" x14ac:dyDescent="0.2">
      <c r="A446" s="49">
        <v>140672</v>
      </c>
      <c r="B446" s="49" t="s">
        <v>1607</v>
      </c>
      <c r="C446" s="49" t="s">
        <v>65</v>
      </c>
      <c r="D446" s="49" t="s">
        <v>10</v>
      </c>
      <c r="E446" s="49" t="s">
        <v>5</v>
      </c>
      <c r="F446" s="49" t="s">
        <v>95</v>
      </c>
      <c r="G446" s="49">
        <v>134</v>
      </c>
      <c r="H446" s="49"/>
      <c r="I446" s="49"/>
      <c r="J446" s="49"/>
      <c r="K446" s="49"/>
      <c r="L446" s="49" t="s">
        <v>10</v>
      </c>
      <c r="M446" t="s">
        <v>1709</v>
      </c>
    </row>
    <row r="447" spans="1:13" x14ac:dyDescent="0.2">
      <c r="A447" s="49">
        <v>140635</v>
      </c>
      <c r="B447" s="49" t="s">
        <v>1588</v>
      </c>
      <c r="C447" s="49" t="s">
        <v>65</v>
      </c>
      <c r="D447" s="49" t="s">
        <v>10</v>
      </c>
      <c r="E447" s="49" t="s">
        <v>5</v>
      </c>
      <c r="F447" s="49" t="s">
        <v>136</v>
      </c>
      <c r="G447" s="49">
        <v>1</v>
      </c>
      <c r="H447" s="49">
        <v>3</v>
      </c>
      <c r="I447" s="49">
        <v>3</v>
      </c>
      <c r="J447" s="49">
        <v>3</v>
      </c>
      <c r="K447" s="49"/>
      <c r="L447" s="49" t="s">
        <v>10</v>
      </c>
      <c r="M447" t="s">
        <v>1961</v>
      </c>
    </row>
    <row r="448" spans="1:13" x14ac:dyDescent="0.2">
      <c r="A448" s="49">
        <v>140632</v>
      </c>
      <c r="B448" s="49" t="s">
        <v>1608</v>
      </c>
      <c r="C448" s="49" t="s">
        <v>68</v>
      </c>
      <c r="D448" s="49" t="s">
        <v>10</v>
      </c>
      <c r="E448" s="49" t="s">
        <v>5</v>
      </c>
      <c r="F448" s="49" t="s">
        <v>95</v>
      </c>
      <c r="G448" s="49">
        <v>10</v>
      </c>
      <c r="H448" s="49"/>
      <c r="I448" s="49"/>
      <c r="J448" s="49"/>
      <c r="K448" s="49"/>
      <c r="L448" s="49" t="s">
        <v>10</v>
      </c>
      <c r="M448" t="s">
        <v>1709</v>
      </c>
    </row>
    <row r="449" spans="1:13" x14ac:dyDescent="0.2">
      <c r="A449" s="49">
        <v>140627</v>
      </c>
      <c r="B449" s="49" t="s">
        <v>1609</v>
      </c>
      <c r="C449" s="49" t="s">
        <v>65</v>
      </c>
      <c r="D449" s="49" t="s">
        <v>10</v>
      </c>
      <c r="E449" s="49" t="s">
        <v>5</v>
      </c>
      <c r="F449" s="49" t="s">
        <v>95</v>
      </c>
      <c r="G449" s="49">
        <v>135</v>
      </c>
      <c r="H449" s="49"/>
      <c r="I449" s="49"/>
      <c r="J449" s="49">
        <v>2</v>
      </c>
      <c r="K449" s="49">
        <v>3</v>
      </c>
      <c r="L449" s="49" t="s">
        <v>10</v>
      </c>
      <c r="M449" t="s">
        <v>1709</v>
      </c>
    </row>
    <row r="450" spans="1:13" x14ac:dyDescent="0.2">
      <c r="A450" s="49">
        <v>140623</v>
      </c>
      <c r="B450" s="49" t="s">
        <v>1589</v>
      </c>
      <c r="C450" s="49" t="s">
        <v>66</v>
      </c>
      <c r="D450" s="49" t="s">
        <v>10</v>
      </c>
      <c r="E450" s="49" t="s">
        <v>5</v>
      </c>
      <c r="F450" s="49" t="s">
        <v>91</v>
      </c>
      <c r="G450" s="49">
        <v>8</v>
      </c>
      <c r="H450" s="49"/>
      <c r="I450" s="49"/>
      <c r="J450" s="49"/>
      <c r="K450" s="49"/>
      <c r="L450" s="49" t="s">
        <v>10</v>
      </c>
      <c r="M450" t="s">
        <v>1962</v>
      </c>
    </row>
    <row r="451" spans="1:13" x14ac:dyDescent="0.2">
      <c r="A451" s="49">
        <v>140620</v>
      </c>
      <c r="B451" s="49" t="s">
        <v>1590</v>
      </c>
      <c r="C451" s="49" t="s">
        <v>66</v>
      </c>
      <c r="D451" s="49" t="s">
        <v>10</v>
      </c>
      <c r="E451" s="49" t="s">
        <v>5</v>
      </c>
      <c r="F451" s="49" t="s">
        <v>91</v>
      </c>
      <c r="G451" s="49">
        <v>9</v>
      </c>
      <c r="H451" s="49"/>
      <c r="I451" s="49"/>
      <c r="J451" s="49"/>
      <c r="K451" s="49"/>
      <c r="L451" s="49" t="s">
        <v>10</v>
      </c>
      <c r="M451" t="s">
        <v>1963</v>
      </c>
    </row>
    <row r="452" spans="1:13" x14ac:dyDescent="0.2">
      <c r="A452" s="49">
        <v>140541</v>
      </c>
      <c r="B452" s="49" t="s">
        <v>1591</v>
      </c>
      <c r="C452" s="49" t="s">
        <v>66</v>
      </c>
      <c r="D452" s="49" t="s">
        <v>10</v>
      </c>
      <c r="E452" s="49" t="s">
        <v>5</v>
      </c>
      <c r="F452" s="49" t="s">
        <v>95</v>
      </c>
      <c r="G452" s="49">
        <v>10</v>
      </c>
      <c r="H452" s="49"/>
      <c r="I452" s="49"/>
      <c r="J452" s="49"/>
      <c r="K452" s="49"/>
      <c r="L452" s="49" t="s">
        <v>10</v>
      </c>
      <c r="M452" t="s">
        <v>1964</v>
      </c>
    </row>
    <row r="453" spans="1:13" x14ac:dyDescent="0.2">
      <c r="A453" s="49">
        <v>139907</v>
      </c>
      <c r="B453" s="49" t="s">
        <v>1592</v>
      </c>
      <c r="C453" s="49" t="s">
        <v>66</v>
      </c>
      <c r="D453" s="49" t="s">
        <v>10</v>
      </c>
      <c r="E453" s="49" t="s">
        <v>5</v>
      </c>
      <c r="F453" s="49" t="s">
        <v>91</v>
      </c>
      <c r="G453" s="49">
        <v>22</v>
      </c>
      <c r="H453" s="49"/>
      <c r="I453" s="49"/>
      <c r="J453" s="49"/>
      <c r="K453" s="49"/>
      <c r="L453" s="49" t="s">
        <v>10</v>
      </c>
      <c r="M453" t="s">
        <v>1965</v>
      </c>
    </row>
    <row r="454" spans="1:13" x14ac:dyDescent="0.2">
      <c r="A454" s="49">
        <v>139789</v>
      </c>
      <c r="B454" s="49" t="s">
        <v>1167</v>
      </c>
      <c r="C454" s="49" t="s">
        <v>64</v>
      </c>
      <c r="D454" s="49" t="s">
        <v>10</v>
      </c>
      <c r="E454" s="49" t="s">
        <v>6</v>
      </c>
      <c r="F454" s="49" t="s">
        <v>91</v>
      </c>
      <c r="G454" s="49">
        <v>48</v>
      </c>
      <c r="H454" s="49">
        <v>2</v>
      </c>
      <c r="I454" s="49">
        <v>5</v>
      </c>
      <c r="J454" s="49">
        <v>2</v>
      </c>
      <c r="K454" s="49">
        <v>2</v>
      </c>
      <c r="L454" s="49" t="s">
        <v>10</v>
      </c>
      <c r="M454" t="s">
        <v>1709</v>
      </c>
    </row>
    <row r="455" spans="1:13" x14ac:dyDescent="0.2">
      <c r="A455" s="49">
        <v>139670</v>
      </c>
      <c r="B455" s="49" t="s">
        <v>1172</v>
      </c>
      <c r="C455" s="49" t="s">
        <v>64</v>
      </c>
      <c r="D455" s="49" t="s">
        <v>10</v>
      </c>
      <c r="E455" s="49" t="s">
        <v>6</v>
      </c>
      <c r="F455" s="49" t="s">
        <v>91</v>
      </c>
      <c r="G455" s="49">
        <v>50</v>
      </c>
      <c r="H455" s="49">
        <v>3</v>
      </c>
      <c r="I455" s="49">
        <v>2</v>
      </c>
      <c r="J455" s="49">
        <v>2</v>
      </c>
      <c r="K455" s="49">
        <v>2</v>
      </c>
      <c r="L455" s="49" t="s">
        <v>10</v>
      </c>
      <c r="M455" t="s">
        <v>1709</v>
      </c>
    </row>
    <row r="456" spans="1:13" x14ac:dyDescent="0.2">
      <c r="A456" s="49">
        <v>139490</v>
      </c>
      <c r="B456" s="49" t="s">
        <v>1525</v>
      </c>
      <c r="C456" s="49" t="s">
        <v>65</v>
      </c>
      <c r="D456" s="49" t="s">
        <v>10</v>
      </c>
      <c r="E456" s="49" t="s">
        <v>5</v>
      </c>
      <c r="F456" s="49" t="s">
        <v>91</v>
      </c>
      <c r="G456" s="49">
        <v>136</v>
      </c>
      <c r="H456" s="49"/>
      <c r="I456" s="49"/>
      <c r="J456" s="49"/>
      <c r="K456" s="49"/>
      <c r="L456" s="49" t="s">
        <v>10</v>
      </c>
      <c r="M456" t="s">
        <v>1709</v>
      </c>
    </row>
    <row r="457" spans="1:13" x14ac:dyDescent="0.2">
      <c r="A457" s="49">
        <v>139483</v>
      </c>
      <c r="B457" s="49" t="s">
        <v>949</v>
      </c>
      <c r="C457" s="49" t="s">
        <v>65</v>
      </c>
      <c r="D457" s="49" t="s">
        <v>10</v>
      </c>
      <c r="E457" s="49" t="s">
        <v>5</v>
      </c>
      <c r="F457" s="49" t="s">
        <v>95</v>
      </c>
      <c r="G457" s="49">
        <v>8</v>
      </c>
      <c r="H457" s="49"/>
      <c r="I457" s="49"/>
      <c r="J457" s="49"/>
      <c r="K457" s="49"/>
      <c r="L457" s="49" t="s">
        <v>10</v>
      </c>
      <c r="M457" t="s">
        <v>1966</v>
      </c>
    </row>
    <row r="458" spans="1:13" x14ac:dyDescent="0.2">
      <c r="A458" s="49">
        <v>139449</v>
      </c>
      <c r="B458" s="49" t="s">
        <v>1593</v>
      </c>
      <c r="C458" s="49" t="s">
        <v>64</v>
      </c>
      <c r="D458" s="49" t="s">
        <v>10</v>
      </c>
      <c r="E458" s="49" t="s">
        <v>6</v>
      </c>
      <c r="F458" s="49" t="s">
        <v>91</v>
      </c>
      <c r="G458" s="49">
        <v>51</v>
      </c>
      <c r="H458" s="49">
        <v>2</v>
      </c>
      <c r="I458" s="49">
        <v>1</v>
      </c>
      <c r="J458" s="49">
        <v>2</v>
      </c>
      <c r="K458" s="49">
        <v>2</v>
      </c>
      <c r="L458" s="49" t="s">
        <v>10</v>
      </c>
      <c r="M458" t="s">
        <v>1709</v>
      </c>
    </row>
    <row r="459" spans="1:13" x14ac:dyDescent="0.2">
      <c r="A459" s="49">
        <v>139346</v>
      </c>
      <c r="B459" s="49" t="s">
        <v>949</v>
      </c>
      <c r="C459" s="49" t="s">
        <v>65</v>
      </c>
      <c r="D459" s="49" t="s">
        <v>10</v>
      </c>
      <c r="E459" s="49" t="s">
        <v>5</v>
      </c>
      <c r="F459" s="49" t="s">
        <v>91</v>
      </c>
      <c r="G459" s="49">
        <v>133</v>
      </c>
      <c r="H459" s="49"/>
      <c r="I459" s="49"/>
      <c r="J459" s="49"/>
      <c r="K459" s="49"/>
      <c r="L459" s="49" t="s">
        <v>10</v>
      </c>
      <c r="M459" t="s">
        <v>1967</v>
      </c>
    </row>
    <row r="460" spans="1:13" x14ac:dyDescent="0.2">
      <c r="A460" s="49">
        <v>139282</v>
      </c>
      <c r="B460" s="49" t="s">
        <v>1594</v>
      </c>
      <c r="C460" s="49" t="s">
        <v>65</v>
      </c>
      <c r="D460" s="49" t="s">
        <v>10</v>
      </c>
      <c r="E460" s="49" t="s">
        <v>5</v>
      </c>
      <c r="F460" s="49" t="s">
        <v>95</v>
      </c>
      <c r="G460" s="49">
        <v>137</v>
      </c>
      <c r="H460" s="49"/>
      <c r="I460" s="49"/>
      <c r="J460" s="49"/>
      <c r="K460" s="49"/>
      <c r="L460" s="49" t="s">
        <v>10</v>
      </c>
      <c r="M460" t="s">
        <v>1709</v>
      </c>
    </row>
    <row r="461" spans="1:13" x14ac:dyDescent="0.2">
      <c r="A461" s="49">
        <v>139048</v>
      </c>
      <c r="B461" s="49" t="s">
        <v>1595</v>
      </c>
      <c r="C461" s="49" t="s">
        <v>66</v>
      </c>
      <c r="D461" s="49" t="s">
        <v>10</v>
      </c>
      <c r="E461" s="49" t="s">
        <v>5</v>
      </c>
      <c r="F461" s="49" t="s">
        <v>91</v>
      </c>
      <c r="G461" s="49">
        <v>47</v>
      </c>
      <c r="H461" s="49"/>
      <c r="I461" s="49"/>
      <c r="J461" s="49"/>
      <c r="K461" s="49"/>
      <c r="L461" s="49" t="s">
        <v>10</v>
      </c>
      <c r="M461" t="s">
        <v>1709</v>
      </c>
    </row>
    <row r="462" spans="1:13" x14ac:dyDescent="0.2">
      <c r="A462" s="49">
        <v>139047</v>
      </c>
      <c r="B462" s="49" t="s">
        <v>1459</v>
      </c>
      <c r="C462" s="49" t="s">
        <v>66</v>
      </c>
      <c r="D462" s="49" t="s">
        <v>10</v>
      </c>
      <c r="E462" s="49" t="s">
        <v>5</v>
      </c>
      <c r="F462" s="49" t="s">
        <v>91</v>
      </c>
      <c r="G462" s="49">
        <v>48</v>
      </c>
      <c r="H462" s="49"/>
      <c r="I462" s="49"/>
      <c r="J462" s="49"/>
      <c r="K462" s="49"/>
      <c r="L462" s="49" t="s">
        <v>10</v>
      </c>
      <c r="M462" t="s">
        <v>1709</v>
      </c>
    </row>
    <row r="463" spans="1:13" x14ac:dyDescent="0.2">
      <c r="A463" s="49">
        <v>138573</v>
      </c>
      <c r="B463" s="49" t="s">
        <v>1596</v>
      </c>
      <c r="C463" s="49" t="s">
        <v>65</v>
      </c>
      <c r="D463" s="49" t="s">
        <v>10</v>
      </c>
      <c r="E463" s="49" t="s">
        <v>5</v>
      </c>
      <c r="F463" s="49" t="s">
        <v>95</v>
      </c>
      <c r="G463" s="49">
        <v>138</v>
      </c>
      <c r="H463" s="49"/>
      <c r="I463" s="49"/>
      <c r="J463" s="49"/>
      <c r="K463" s="49"/>
      <c r="L463" s="49" t="s">
        <v>10</v>
      </c>
      <c r="M463" t="s">
        <v>1709</v>
      </c>
    </row>
    <row r="464" spans="1:13" x14ac:dyDescent="0.2">
      <c r="A464" s="49">
        <v>138420</v>
      </c>
      <c r="B464" s="49" t="s">
        <v>1597</v>
      </c>
      <c r="C464" s="49" t="s">
        <v>65</v>
      </c>
      <c r="D464" s="49" t="s">
        <v>10</v>
      </c>
      <c r="E464" s="49" t="s">
        <v>5</v>
      </c>
      <c r="F464" s="49" t="s">
        <v>95</v>
      </c>
      <c r="G464" s="49">
        <v>139</v>
      </c>
      <c r="H464" s="49"/>
      <c r="I464" s="49"/>
      <c r="J464" s="49"/>
      <c r="K464" s="49"/>
      <c r="L464" s="49" t="s">
        <v>10</v>
      </c>
      <c r="M464" t="s">
        <v>1709</v>
      </c>
    </row>
    <row r="465" spans="1:13" x14ac:dyDescent="0.2">
      <c r="A465" s="49">
        <v>138350</v>
      </c>
      <c r="B465" s="49" t="s">
        <v>371</v>
      </c>
      <c r="C465" s="49" t="s">
        <v>65</v>
      </c>
      <c r="D465" s="49" t="s">
        <v>10</v>
      </c>
      <c r="E465" s="49" t="s">
        <v>5</v>
      </c>
      <c r="F465" s="49" t="s">
        <v>130</v>
      </c>
      <c r="G465" s="49">
        <v>12</v>
      </c>
      <c r="H465" s="49"/>
      <c r="I465" s="49"/>
      <c r="J465" s="49"/>
      <c r="K465" s="49"/>
      <c r="L465" s="49" t="s">
        <v>10</v>
      </c>
      <c r="M465" t="s">
        <v>1968</v>
      </c>
    </row>
    <row r="466" spans="1:13" x14ac:dyDescent="0.2">
      <c r="A466" s="49">
        <v>138308</v>
      </c>
      <c r="B466" s="49" t="s">
        <v>1598</v>
      </c>
      <c r="C466" s="49" t="s">
        <v>65</v>
      </c>
      <c r="D466" s="49" t="s">
        <v>10</v>
      </c>
      <c r="E466" s="49" t="s">
        <v>5</v>
      </c>
      <c r="F466" s="49" t="s">
        <v>136</v>
      </c>
      <c r="G466" s="49">
        <v>10</v>
      </c>
      <c r="H466" s="49"/>
      <c r="I466" s="49"/>
      <c r="J466" s="49"/>
      <c r="K466" s="49"/>
      <c r="L466" s="49" t="s">
        <v>10</v>
      </c>
      <c r="M466" t="s">
        <v>1969</v>
      </c>
    </row>
    <row r="467" spans="1:13" x14ac:dyDescent="0.2">
      <c r="A467" s="49">
        <v>138224</v>
      </c>
      <c r="B467" s="49" t="s">
        <v>1522</v>
      </c>
      <c r="C467" s="49" t="s">
        <v>65</v>
      </c>
      <c r="D467" s="49" t="s">
        <v>10</v>
      </c>
      <c r="E467" s="49" t="s">
        <v>5</v>
      </c>
      <c r="F467" s="49" t="s">
        <v>91</v>
      </c>
      <c r="G467" s="49">
        <v>140</v>
      </c>
      <c r="H467" s="49"/>
      <c r="I467" s="49"/>
      <c r="J467" s="49"/>
      <c r="K467" s="49"/>
      <c r="L467" s="49" t="s">
        <v>10</v>
      </c>
      <c r="M467" t="s">
        <v>1709</v>
      </c>
    </row>
    <row r="468" spans="1:13" x14ac:dyDescent="0.2">
      <c r="A468" s="49">
        <v>138211</v>
      </c>
      <c r="B468" s="49" t="s">
        <v>1599</v>
      </c>
      <c r="C468" s="49" t="s">
        <v>64</v>
      </c>
      <c r="D468" s="49" t="s">
        <v>10</v>
      </c>
      <c r="E468" s="49" t="s">
        <v>6</v>
      </c>
      <c r="F468" s="49" t="s">
        <v>91</v>
      </c>
      <c r="G468" s="49">
        <v>52</v>
      </c>
      <c r="H468" s="49"/>
      <c r="I468" s="49"/>
      <c r="J468" s="49"/>
      <c r="K468" s="49"/>
      <c r="L468" s="49" t="s">
        <v>10</v>
      </c>
      <c r="M468" t="s">
        <v>1709</v>
      </c>
    </row>
    <row r="469" spans="1:13" x14ac:dyDescent="0.2">
      <c r="A469" s="49">
        <v>138044</v>
      </c>
      <c r="B469" s="49" t="s">
        <v>1600</v>
      </c>
      <c r="C469" s="49" t="s">
        <v>65</v>
      </c>
      <c r="D469" s="49" t="s">
        <v>10</v>
      </c>
      <c r="E469" s="49" t="s">
        <v>5</v>
      </c>
      <c r="F469" s="49" t="s">
        <v>91</v>
      </c>
      <c r="G469" s="49">
        <v>141</v>
      </c>
      <c r="H469" s="49"/>
      <c r="I469" s="49"/>
      <c r="J469" s="49"/>
      <c r="K469" s="49"/>
      <c r="L469" s="49" t="s">
        <v>10</v>
      </c>
      <c r="M469" t="s">
        <v>1709</v>
      </c>
    </row>
    <row r="470" spans="1:13" x14ac:dyDescent="0.2">
      <c r="A470" s="49">
        <v>137457</v>
      </c>
      <c r="B470" s="49" t="s">
        <v>1373</v>
      </c>
      <c r="C470" s="49" t="s">
        <v>69</v>
      </c>
      <c r="D470" s="49" t="s">
        <v>10</v>
      </c>
      <c r="E470" s="49" t="s">
        <v>12</v>
      </c>
      <c r="F470" s="49" t="s">
        <v>91</v>
      </c>
      <c r="G470" s="49">
        <v>71</v>
      </c>
      <c r="H470" s="49"/>
      <c r="I470" s="49"/>
      <c r="J470" s="49"/>
      <c r="K470" s="49"/>
      <c r="L470" s="49" t="s">
        <v>10</v>
      </c>
      <c r="M470" t="s">
        <v>1709</v>
      </c>
    </row>
    <row r="471" spans="1:13" x14ac:dyDescent="0.2">
      <c r="A471" s="49">
        <v>137343</v>
      </c>
      <c r="B471" s="49" t="s">
        <v>1498</v>
      </c>
      <c r="C471" s="49" t="s">
        <v>68</v>
      </c>
      <c r="D471" s="49" t="s">
        <v>10</v>
      </c>
      <c r="E471" s="49" t="s">
        <v>5</v>
      </c>
      <c r="F471" s="49" t="s">
        <v>95</v>
      </c>
      <c r="G471" s="49">
        <v>60</v>
      </c>
      <c r="H471" s="49"/>
      <c r="I471" s="49"/>
      <c r="J471" s="49"/>
      <c r="K471" s="49"/>
      <c r="L471" s="49" t="s">
        <v>10</v>
      </c>
      <c r="M471" t="s">
        <v>1709</v>
      </c>
    </row>
    <row r="472" spans="1:13" x14ac:dyDescent="0.2">
      <c r="A472" s="49">
        <v>137246</v>
      </c>
      <c r="B472" s="49" t="s">
        <v>1530</v>
      </c>
      <c r="C472" s="49" t="s">
        <v>65</v>
      </c>
      <c r="D472" s="49" t="s">
        <v>10</v>
      </c>
      <c r="E472" s="49" t="s">
        <v>5</v>
      </c>
      <c r="F472" s="49" t="s">
        <v>91</v>
      </c>
      <c r="G472" s="49">
        <v>142</v>
      </c>
      <c r="H472" s="49">
        <v>5</v>
      </c>
      <c r="I472" s="49"/>
      <c r="J472" s="49"/>
      <c r="K472" s="49">
        <v>4</v>
      </c>
      <c r="L472" s="49" t="s">
        <v>10</v>
      </c>
      <c r="M472" t="s">
        <v>1709</v>
      </c>
    </row>
    <row r="473" spans="1:13" x14ac:dyDescent="0.2">
      <c r="A473" s="49">
        <v>137212</v>
      </c>
      <c r="B473" s="49" t="s">
        <v>1500</v>
      </c>
      <c r="C473" s="49" t="s">
        <v>68</v>
      </c>
      <c r="D473" s="49" t="s">
        <v>10</v>
      </c>
      <c r="E473" s="49" t="s">
        <v>5</v>
      </c>
      <c r="F473" s="49" t="s">
        <v>95</v>
      </c>
      <c r="G473" s="49">
        <v>61</v>
      </c>
      <c r="H473" s="49"/>
      <c r="I473" s="49"/>
      <c r="J473" s="49"/>
      <c r="K473" s="49"/>
      <c r="L473" s="49" t="s">
        <v>10</v>
      </c>
      <c r="M473" t="s">
        <v>1709</v>
      </c>
    </row>
    <row r="474" spans="1:13" x14ac:dyDescent="0.2">
      <c r="A474" s="49">
        <v>137068</v>
      </c>
      <c r="B474" s="49" t="s">
        <v>1531</v>
      </c>
      <c r="C474" s="49" t="s">
        <v>65</v>
      </c>
      <c r="D474" s="49" t="s">
        <v>10</v>
      </c>
      <c r="E474" s="49" t="s">
        <v>5</v>
      </c>
      <c r="F474" s="49" t="s">
        <v>95</v>
      </c>
      <c r="G474" s="49">
        <v>96</v>
      </c>
      <c r="H474" s="49">
        <v>3</v>
      </c>
      <c r="I474" s="49">
        <v>2</v>
      </c>
      <c r="J474" s="49">
        <v>1</v>
      </c>
      <c r="K474" s="49">
        <v>1</v>
      </c>
      <c r="L474" s="49" t="s">
        <v>10</v>
      </c>
      <c r="M474" t="s">
        <v>1970</v>
      </c>
    </row>
    <row r="475" spans="1:13" x14ac:dyDescent="0.2">
      <c r="A475" s="49">
        <v>136973</v>
      </c>
      <c r="B475" s="49" t="s">
        <v>383</v>
      </c>
      <c r="C475" s="49" t="s">
        <v>66</v>
      </c>
      <c r="D475" s="49" t="s">
        <v>10</v>
      </c>
      <c r="E475" s="49" t="s">
        <v>5</v>
      </c>
      <c r="F475" s="49" t="s">
        <v>91</v>
      </c>
      <c r="G475" s="49">
        <v>39</v>
      </c>
      <c r="H475" s="49"/>
      <c r="I475" s="49"/>
      <c r="J475" s="49"/>
      <c r="K475" s="49"/>
      <c r="L475" s="49" t="s">
        <v>10</v>
      </c>
      <c r="M475" t="s">
        <v>1971</v>
      </c>
    </row>
    <row r="476" spans="1:13" x14ac:dyDescent="0.2">
      <c r="A476" s="49">
        <v>136610</v>
      </c>
      <c r="B476" s="49" t="s">
        <v>344</v>
      </c>
      <c r="C476" s="49" t="s">
        <v>65</v>
      </c>
      <c r="D476" s="49" t="s">
        <v>10</v>
      </c>
      <c r="E476" s="49" t="s">
        <v>5</v>
      </c>
      <c r="F476" s="49" t="s">
        <v>95</v>
      </c>
      <c r="G476" s="49">
        <v>97</v>
      </c>
      <c r="H476" s="49">
        <v>3</v>
      </c>
      <c r="I476" s="49"/>
      <c r="J476" s="49">
        <v>2</v>
      </c>
      <c r="K476" s="49">
        <v>1</v>
      </c>
      <c r="L476" s="49" t="s">
        <v>10</v>
      </c>
      <c r="M476" t="s">
        <v>1972</v>
      </c>
    </row>
    <row r="477" spans="1:13" x14ac:dyDescent="0.2">
      <c r="A477" s="49">
        <v>136346</v>
      </c>
      <c r="B477" s="49" t="s">
        <v>384</v>
      </c>
      <c r="C477" s="49" t="s">
        <v>65</v>
      </c>
      <c r="D477" s="49" t="s">
        <v>10</v>
      </c>
      <c r="E477" s="49" t="s">
        <v>5</v>
      </c>
      <c r="F477" s="49" t="s">
        <v>91</v>
      </c>
      <c r="G477" s="49">
        <v>98</v>
      </c>
      <c r="H477" s="49"/>
      <c r="I477" s="49"/>
      <c r="J477" s="49"/>
      <c r="K477" s="49"/>
      <c r="L477" s="49" t="s">
        <v>10</v>
      </c>
      <c r="M477" t="s">
        <v>1973</v>
      </c>
    </row>
    <row r="478" spans="1:13" x14ac:dyDescent="0.2">
      <c r="A478" s="49">
        <v>136235</v>
      </c>
      <c r="B478" s="49" t="s">
        <v>170</v>
      </c>
      <c r="C478" s="49" t="s">
        <v>68</v>
      </c>
      <c r="D478" s="49" t="s">
        <v>10</v>
      </c>
      <c r="E478" s="49" t="s">
        <v>5</v>
      </c>
      <c r="F478" s="49" t="s">
        <v>95</v>
      </c>
      <c r="G478" s="49">
        <v>5</v>
      </c>
      <c r="H478" s="49"/>
      <c r="I478" s="49"/>
      <c r="J478" s="49"/>
      <c r="K478" s="49"/>
      <c r="L478" s="49" t="s">
        <v>10</v>
      </c>
      <c r="M478" t="s">
        <v>1974</v>
      </c>
    </row>
    <row r="479" spans="1:13" x14ac:dyDescent="0.2">
      <c r="A479" s="49">
        <v>136234</v>
      </c>
      <c r="B479" s="49" t="s">
        <v>317</v>
      </c>
      <c r="C479" s="49" t="s">
        <v>68</v>
      </c>
      <c r="D479" s="49" t="s">
        <v>10</v>
      </c>
      <c r="E479" s="49" t="s">
        <v>5</v>
      </c>
      <c r="F479" s="49" t="s">
        <v>95</v>
      </c>
      <c r="G479" s="49">
        <v>54</v>
      </c>
      <c r="H479" s="49"/>
      <c r="I479" s="49"/>
      <c r="J479" s="49"/>
      <c r="K479" s="49"/>
      <c r="L479" s="49" t="s">
        <v>10</v>
      </c>
      <c r="M479" t="s">
        <v>1975</v>
      </c>
    </row>
    <row r="480" spans="1:13" x14ac:dyDescent="0.2">
      <c r="A480" s="49">
        <v>136233</v>
      </c>
      <c r="B480" s="49" t="s">
        <v>199</v>
      </c>
      <c r="C480" s="49" t="s">
        <v>68</v>
      </c>
      <c r="D480" s="49" t="s">
        <v>10</v>
      </c>
      <c r="E480" s="49" t="s">
        <v>5</v>
      </c>
      <c r="F480" s="49" t="s">
        <v>95</v>
      </c>
      <c r="G480" s="49">
        <v>13</v>
      </c>
      <c r="H480" s="49"/>
      <c r="I480" s="49"/>
      <c r="J480" s="49"/>
      <c r="K480" s="49"/>
      <c r="L480" s="49" t="s">
        <v>10</v>
      </c>
      <c r="M480" t="s">
        <v>1976</v>
      </c>
    </row>
    <row r="481" spans="1:13" x14ac:dyDescent="0.2">
      <c r="A481" s="49">
        <v>136179</v>
      </c>
      <c r="B481" s="49" t="s">
        <v>318</v>
      </c>
      <c r="C481" s="49" t="s">
        <v>68</v>
      </c>
      <c r="D481" s="49" t="s">
        <v>10</v>
      </c>
      <c r="E481" s="49" t="s">
        <v>5</v>
      </c>
      <c r="F481" s="49" t="s">
        <v>95</v>
      </c>
      <c r="G481" s="49">
        <v>55</v>
      </c>
      <c r="H481" s="49"/>
      <c r="I481" s="49"/>
      <c r="J481" s="49"/>
      <c r="K481" s="49"/>
      <c r="L481" s="49" t="s">
        <v>10</v>
      </c>
      <c r="M481" t="s">
        <v>1977</v>
      </c>
    </row>
    <row r="482" spans="1:13" x14ac:dyDescent="0.2">
      <c r="A482" s="49">
        <v>136177</v>
      </c>
      <c r="B482" s="49" t="s">
        <v>320</v>
      </c>
      <c r="C482" s="49" t="s">
        <v>68</v>
      </c>
      <c r="D482" s="49" t="s">
        <v>10</v>
      </c>
      <c r="E482" s="49" t="s">
        <v>5</v>
      </c>
      <c r="F482" s="49" t="s">
        <v>95</v>
      </c>
      <c r="G482" s="49">
        <v>56</v>
      </c>
      <c r="H482" s="49"/>
      <c r="I482" s="49"/>
      <c r="J482" s="49"/>
      <c r="K482" s="49"/>
      <c r="L482" s="49" t="s">
        <v>10</v>
      </c>
      <c r="M482" t="s">
        <v>1978</v>
      </c>
    </row>
    <row r="483" spans="1:13" x14ac:dyDescent="0.2">
      <c r="A483" s="49">
        <v>136173</v>
      </c>
      <c r="B483" s="49" t="s">
        <v>322</v>
      </c>
      <c r="C483" s="49" t="s">
        <v>68</v>
      </c>
      <c r="D483" s="49" t="s">
        <v>10</v>
      </c>
      <c r="E483" s="49" t="s">
        <v>5</v>
      </c>
      <c r="F483" s="49" t="s">
        <v>95</v>
      </c>
      <c r="G483" s="49">
        <v>57</v>
      </c>
      <c r="H483" s="49"/>
      <c r="I483" s="49"/>
      <c r="J483" s="49"/>
      <c r="K483" s="49"/>
      <c r="L483" s="49" t="s">
        <v>10</v>
      </c>
      <c r="M483" t="s">
        <v>1979</v>
      </c>
    </row>
    <row r="484" spans="1:13" x14ac:dyDescent="0.2">
      <c r="A484" s="49">
        <v>136127</v>
      </c>
      <c r="B484" s="49" t="s">
        <v>385</v>
      </c>
      <c r="C484" s="49" t="s">
        <v>64</v>
      </c>
      <c r="D484" s="49" t="s">
        <v>10</v>
      </c>
      <c r="E484" s="49" t="s">
        <v>6</v>
      </c>
      <c r="F484" s="49" t="s">
        <v>95</v>
      </c>
      <c r="G484" s="49">
        <v>41</v>
      </c>
      <c r="H484" s="49">
        <v>2</v>
      </c>
      <c r="I484" s="49">
        <v>2</v>
      </c>
      <c r="J484" s="49">
        <v>1</v>
      </c>
      <c r="K484" s="49">
        <v>1</v>
      </c>
      <c r="L484" s="49" t="s">
        <v>10</v>
      </c>
      <c r="M484" t="s">
        <v>1980</v>
      </c>
    </row>
    <row r="485" spans="1:13" x14ac:dyDescent="0.2">
      <c r="A485" s="49">
        <v>136116</v>
      </c>
      <c r="B485" s="49" t="s">
        <v>181</v>
      </c>
      <c r="C485" s="49" t="s">
        <v>68</v>
      </c>
      <c r="D485" s="49" t="s">
        <v>10</v>
      </c>
      <c r="E485" s="49" t="s">
        <v>5</v>
      </c>
      <c r="F485" s="49" t="s">
        <v>95</v>
      </c>
      <c r="G485" s="49">
        <v>8</v>
      </c>
      <c r="H485" s="49"/>
      <c r="I485" s="49"/>
      <c r="J485" s="49"/>
      <c r="K485" s="49"/>
      <c r="L485" s="49" t="s">
        <v>10</v>
      </c>
      <c r="M485" t="s">
        <v>1981</v>
      </c>
    </row>
    <row r="486" spans="1:13" x14ac:dyDescent="0.2">
      <c r="A486" s="49">
        <v>135956</v>
      </c>
      <c r="B486" s="49" t="s">
        <v>1610</v>
      </c>
      <c r="C486" s="49" t="s">
        <v>68</v>
      </c>
      <c r="D486" s="49" t="s">
        <v>10</v>
      </c>
      <c r="E486" s="49" t="s">
        <v>5</v>
      </c>
      <c r="F486" s="49" t="s">
        <v>95</v>
      </c>
      <c r="G486" s="49">
        <v>58</v>
      </c>
      <c r="H486" s="49">
        <v>3</v>
      </c>
      <c r="I486" s="49"/>
      <c r="J486" s="49"/>
      <c r="K486" s="49"/>
      <c r="L486" s="49" t="s">
        <v>10</v>
      </c>
      <c r="M486" t="s">
        <v>1982</v>
      </c>
    </row>
    <row r="487" spans="1:13" x14ac:dyDescent="0.2">
      <c r="A487" s="49">
        <v>135612</v>
      </c>
      <c r="B487" s="49" t="s">
        <v>386</v>
      </c>
      <c r="C487" s="49" t="s">
        <v>64</v>
      </c>
      <c r="D487" s="49" t="s">
        <v>10</v>
      </c>
      <c r="E487" s="49" t="s">
        <v>6</v>
      </c>
      <c r="F487" s="49" t="s">
        <v>91</v>
      </c>
      <c r="G487" s="49">
        <v>42</v>
      </c>
      <c r="H487" s="49"/>
      <c r="I487" s="49"/>
      <c r="J487" s="49"/>
      <c r="K487" s="49"/>
      <c r="L487" s="49" t="s">
        <v>10</v>
      </c>
      <c r="M487" t="s">
        <v>1983</v>
      </c>
    </row>
    <row r="488" spans="1:13" x14ac:dyDescent="0.2">
      <c r="A488" s="49">
        <v>135524</v>
      </c>
      <c r="B488" s="49" t="s">
        <v>1638</v>
      </c>
      <c r="C488" s="49" t="s">
        <v>65</v>
      </c>
      <c r="D488" s="49" t="s">
        <v>10</v>
      </c>
      <c r="E488" s="49" t="s">
        <v>5</v>
      </c>
      <c r="F488" s="49" t="s">
        <v>91</v>
      </c>
      <c r="G488" s="49">
        <v>99</v>
      </c>
      <c r="H488" s="49"/>
      <c r="I488" s="49"/>
      <c r="J488" s="49"/>
      <c r="K488" s="49"/>
      <c r="L488" s="49" t="s">
        <v>10</v>
      </c>
      <c r="M488" t="s">
        <v>1984</v>
      </c>
    </row>
    <row r="489" spans="1:13" x14ac:dyDescent="0.2">
      <c r="A489" s="49">
        <v>135447</v>
      </c>
      <c r="B489" s="49" t="s">
        <v>1187</v>
      </c>
      <c r="C489" s="49" t="s">
        <v>64</v>
      </c>
      <c r="D489" s="49" t="s">
        <v>10</v>
      </c>
      <c r="E489" s="49" t="s">
        <v>6</v>
      </c>
      <c r="F489" s="49" t="s">
        <v>91</v>
      </c>
      <c r="G489" s="49">
        <v>53</v>
      </c>
      <c r="H489" s="49"/>
      <c r="I489" s="49"/>
      <c r="J489" s="49"/>
      <c r="K489" s="49"/>
      <c r="L489" s="49" t="s">
        <v>10</v>
      </c>
      <c r="M489" t="s">
        <v>1709</v>
      </c>
    </row>
    <row r="490" spans="1:13" x14ac:dyDescent="0.2">
      <c r="A490" s="49">
        <v>135345</v>
      </c>
      <c r="B490" s="49" t="s">
        <v>387</v>
      </c>
      <c r="C490" s="49" t="s">
        <v>65</v>
      </c>
      <c r="D490" s="49" t="s">
        <v>10</v>
      </c>
      <c r="E490" s="49" t="s">
        <v>5</v>
      </c>
      <c r="F490" s="49" t="s">
        <v>91</v>
      </c>
      <c r="G490" s="49">
        <v>100</v>
      </c>
      <c r="H490" s="49"/>
      <c r="I490" s="49"/>
      <c r="J490" s="49"/>
      <c r="K490" s="49"/>
      <c r="L490" s="49" t="s">
        <v>10</v>
      </c>
      <c r="M490" t="s">
        <v>1985</v>
      </c>
    </row>
    <row r="491" spans="1:13" x14ac:dyDescent="0.2">
      <c r="A491" s="49">
        <v>135153</v>
      </c>
      <c r="B491" s="49" t="s">
        <v>388</v>
      </c>
      <c r="C491" s="49" t="s">
        <v>64</v>
      </c>
      <c r="D491" s="49" t="s">
        <v>10</v>
      </c>
      <c r="E491" s="49" t="s">
        <v>6</v>
      </c>
      <c r="F491" s="49" t="s">
        <v>95</v>
      </c>
      <c r="G491" s="49">
        <v>43</v>
      </c>
      <c r="H491" s="49">
        <v>3</v>
      </c>
      <c r="I491" s="49">
        <v>1</v>
      </c>
      <c r="J491" s="49">
        <v>1</v>
      </c>
      <c r="K491" s="49">
        <v>2</v>
      </c>
      <c r="L491" s="49" t="s">
        <v>10</v>
      </c>
      <c r="M491" t="s">
        <v>1986</v>
      </c>
    </row>
    <row r="492" spans="1:13" x14ac:dyDescent="0.2">
      <c r="A492" s="49">
        <v>135097</v>
      </c>
      <c r="B492" s="49" t="s">
        <v>389</v>
      </c>
      <c r="C492" s="49" t="s">
        <v>65</v>
      </c>
      <c r="D492" s="49" t="s">
        <v>10</v>
      </c>
      <c r="E492" s="49" t="s">
        <v>5</v>
      </c>
      <c r="F492" s="49" t="s">
        <v>91</v>
      </c>
      <c r="G492" s="49">
        <v>101</v>
      </c>
      <c r="H492" s="49"/>
      <c r="I492" s="49"/>
      <c r="J492" s="49"/>
      <c r="K492" s="49"/>
      <c r="L492" s="49" t="s">
        <v>10</v>
      </c>
      <c r="M492" t="s">
        <v>1987</v>
      </c>
    </row>
    <row r="493" spans="1:13" x14ac:dyDescent="0.2">
      <c r="A493" s="49">
        <v>135029</v>
      </c>
      <c r="B493" s="49" t="s">
        <v>390</v>
      </c>
      <c r="C493" s="49" t="s">
        <v>66</v>
      </c>
      <c r="D493" s="49" t="s">
        <v>10</v>
      </c>
      <c r="E493" s="49" t="s">
        <v>5</v>
      </c>
      <c r="F493" s="49" t="s">
        <v>91</v>
      </c>
      <c r="G493" s="49">
        <v>40</v>
      </c>
      <c r="H493" s="49">
        <v>3</v>
      </c>
      <c r="I493" s="49">
        <v>5</v>
      </c>
      <c r="J493" s="49">
        <v>5</v>
      </c>
      <c r="K493" s="49">
        <v>5</v>
      </c>
      <c r="L493" s="49" t="s">
        <v>10</v>
      </c>
      <c r="M493" t="s">
        <v>1988</v>
      </c>
    </row>
    <row r="494" spans="1:13" x14ac:dyDescent="0.2">
      <c r="A494" s="49">
        <v>134746</v>
      </c>
      <c r="B494" s="49" t="s">
        <v>345</v>
      </c>
      <c r="C494" s="49" t="s">
        <v>65</v>
      </c>
      <c r="D494" s="49" t="s">
        <v>10</v>
      </c>
      <c r="E494" s="49" t="s">
        <v>5</v>
      </c>
      <c r="F494" s="49" t="s">
        <v>91</v>
      </c>
      <c r="G494" s="49">
        <v>102</v>
      </c>
      <c r="H494" s="49"/>
      <c r="I494" s="49"/>
      <c r="J494" s="49"/>
      <c r="K494" s="49"/>
      <c r="L494" s="49" t="s">
        <v>10</v>
      </c>
      <c r="M494" t="s">
        <v>1989</v>
      </c>
    </row>
    <row r="495" spans="1:13" x14ac:dyDescent="0.2">
      <c r="A495" s="49">
        <v>134702</v>
      </c>
      <c r="B495" s="49" t="s">
        <v>391</v>
      </c>
      <c r="C495" s="49" t="s">
        <v>69</v>
      </c>
      <c r="D495" s="49" t="s">
        <v>10</v>
      </c>
      <c r="E495" s="49" t="s">
        <v>12</v>
      </c>
      <c r="F495" s="49" t="s">
        <v>136</v>
      </c>
      <c r="G495" s="49">
        <v>4</v>
      </c>
      <c r="H495" s="49"/>
      <c r="I495" s="49"/>
      <c r="J495" s="49"/>
      <c r="K495" s="49"/>
      <c r="L495" s="49" t="s">
        <v>10</v>
      </c>
      <c r="M495" t="s">
        <v>1990</v>
      </c>
    </row>
    <row r="496" spans="1:13" x14ac:dyDescent="0.2">
      <c r="A496" s="49">
        <v>134614</v>
      </c>
      <c r="B496" s="49" t="s">
        <v>346</v>
      </c>
      <c r="C496" s="49" t="s">
        <v>65</v>
      </c>
      <c r="D496" s="49" t="s">
        <v>10</v>
      </c>
      <c r="E496" s="49" t="s">
        <v>5</v>
      </c>
      <c r="F496" s="49" t="s">
        <v>91</v>
      </c>
      <c r="G496" s="49">
        <v>103</v>
      </c>
      <c r="H496" s="49"/>
      <c r="I496" s="49"/>
      <c r="J496" s="49"/>
      <c r="K496" s="49"/>
      <c r="L496" s="49" t="s">
        <v>10</v>
      </c>
      <c r="M496" t="s">
        <v>1991</v>
      </c>
    </row>
    <row r="497" spans="1:13" x14ac:dyDescent="0.2">
      <c r="A497" s="49">
        <v>134613</v>
      </c>
      <c r="B497" s="49" t="s">
        <v>392</v>
      </c>
      <c r="C497" s="49" t="s">
        <v>65</v>
      </c>
      <c r="D497" s="49" t="s">
        <v>10</v>
      </c>
      <c r="E497" s="49" t="s">
        <v>5</v>
      </c>
      <c r="F497" s="49" t="s">
        <v>91</v>
      </c>
      <c r="G497" s="49">
        <v>104</v>
      </c>
      <c r="H497" s="49"/>
      <c r="I497" s="49"/>
      <c r="J497" s="49"/>
      <c r="K497" s="49"/>
      <c r="L497" s="49" t="s">
        <v>10</v>
      </c>
      <c r="M497" t="s">
        <v>1992</v>
      </c>
    </row>
    <row r="498" spans="1:13" x14ac:dyDescent="0.2">
      <c r="A498" s="49">
        <v>134602</v>
      </c>
      <c r="B498" s="49" t="s">
        <v>393</v>
      </c>
      <c r="C498" s="49" t="s">
        <v>65</v>
      </c>
      <c r="D498" s="49" t="s">
        <v>10</v>
      </c>
      <c r="E498" s="49" t="s">
        <v>5</v>
      </c>
      <c r="F498" s="49" t="s">
        <v>91</v>
      </c>
      <c r="G498" s="49">
        <v>105</v>
      </c>
      <c r="H498" s="49"/>
      <c r="I498" s="49"/>
      <c r="J498" s="49"/>
      <c r="K498" s="49"/>
      <c r="L498" s="49" t="s">
        <v>10</v>
      </c>
      <c r="M498" t="s">
        <v>1993</v>
      </c>
    </row>
    <row r="499" spans="1:13" x14ac:dyDescent="0.2">
      <c r="A499" s="49">
        <v>134467</v>
      </c>
      <c r="B499" s="49" t="s">
        <v>394</v>
      </c>
      <c r="C499" s="49" t="s">
        <v>64</v>
      </c>
      <c r="D499" s="49" t="s">
        <v>10</v>
      </c>
      <c r="E499" s="49" t="s">
        <v>6</v>
      </c>
      <c r="F499" s="49" t="s">
        <v>95</v>
      </c>
      <c r="G499" s="49">
        <v>44</v>
      </c>
      <c r="H499" s="49">
        <v>3</v>
      </c>
      <c r="I499" s="49">
        <v>2</v>
      </c>
      <c r="J499" s="49">
        <v>1</v>
      </c>
      <c r="K499" s="49">
        <v>1</v>
      </c>
      <c r="L499" s="49" t="s">
        <v>10</v>
      </c>
      <c r="M499" t="s">
        <v>1994</v>
      </c>
    </row>
    <row r="500" spans="1:13" x14ac:dyDescent="0.2">
      <c r="A500" s="49">
        <v>133992</v>
      </c>
      <c r="B500" s="49" t="s">
        <v>378</v>
      </c>
      <c r="C500" s="49" t="s">
        <v>65</v>
      </c>
      <c r="D500" s="49" t="s">
        <v>10</v>
      </c>
      <c r="E500" s="49" t="s">
        <v>5</v>
      </c>
      <c r="F500" s="49" t="s">
        <v>91</v>
      </c>
      <c r="G500" s="49">
        <v>106</v>
      </c>
      <c r="H500" s="49"/>
      <c r="I500" s="49"/>
      <c r="J500" s="49"/>
      <c r="K500" s="49"/>
      <c r="L500" s="49" t="s">
        <v>10</v>
      </c>
      <c r="M500" t="s">
        <v>1995</v>
      </c>
    </row>
    <row r="501" spans="1:13" x14ac:dyDescent="0.2">
      <c r="A501" s="49">
        <v>133988</v>
      </c>
      <c r="B501" s="49" t="s">
        <v>395</v>
      </c>
      <c r="C501" s="49" t="s">
        <v>65</v>
      </c>
      <c r="D501" s="49" t="s">
        <v>10</v>
      </c>
      <c r="E501" s="49" t="s">
        <v>5</v>
      </c>
      <c r="F501" s="49" t="s">
        <v>91</v>
      </c>
      <c r="G501" s="49">
        <v>107</v>
      </c>
      <c r="H501" s="49"/>
      <c r="I501" s="49"/>
      <c r="J501" s="49"/>
      <c r="K501" s="49"/>
      <c r="L501" s="49" t="s">
        <v>10</v>
      </c>
      <c r="M501" t="s">
        <v>1996</v>
      </c>
    </row>
    <row r="502" spans="1:13" x14ac:dyDescent="0.2">
      <c r="A502" s="49">
        <v>133834</v>
      </c>
      <c r="B502" s="49" t="s">
        <v>396</v>
      </c>
      <c r="C502" s="49" t="s">
        <v>65</v>
      </c>
      <c r="D502" s="49" t="s">
        <v>10</v>
      </c>
      <c r="E502" s="49" t="s">
        <v>5</v>
      </c>
      <c r="F502" s="49" t="s">
        <v>93</v>
      </c>
      <c r="G502" s="49">
        <v>108</v>
      </c>
      <c r="H502" s="49"/>
      <c r="I502" s="49"/>
      <c r="J502" s="49"/>
      <c r="K502" s="49"/>
      <c r="L502" s="49" t="s">
        <v>10</v>
      </c>
      <c r="M502" t="s">
        <v>1997</v>
      </c>
    </row>
    <row r="503" spans="1:13" x14ac:dyDescent="0.2">
      <c r="A503" s="49">
        <v>133185</v>
      </c>
      <c r="B503" s="49" t="s">
        <v>289</v>
      </c>
      <c r="C503" s="49" t="s">
        <v>64</v>
      </c>
      <c r="D503" s="49" t="s">
        <v>10</v>
      </c>
      <c r="E503" s="49" t="s">
        <v>6</v>
      </c>
      <c r="F503" s="49" t="s">
        <v>91</v>
      </c>
      <c r="G503" s="49">
        <v>45</v>
      </c>
      <c r="H503" s="49"/>
      <c r="I503" s="49"/>
      <c r="J503" s="49"/>
      <c r="K503" s="49"/>
      <c r="L503" s="49" t="s">
        <v>10</v>
      </c>
      <c r="M503" t="s">
        <v>1998</v>
      </c>
    </row>
    <row r="504" spans="1:13" x14ac:dyDescent="0.2">
      <c r="A504" s="49">
        <v>132736</v>
      </c>
      <c r="B504" s="49" t="s">
        <v>397</v>
      </c>
      <c r="C504" s="49" t="s">
        <v>68</v>
      </c>
      <c r="D504" s="49" t="s">
        <v>10</v>
      </c>
      <c r="E504" s="49" t="s">
        <v>5</v>
      </c>
      <c r="F504" s="49" t="s">
        <v>95</v>
      </c>
      <c r="G504" s="49">
        <v>59</v>
      </c>
      <c r="H504" s="49"/>
      <c r="I504" s="49"/>
      <c r="J504" s="49"/>
      <c r="K504" s="49"/>
      <c r="L504" s="49" t="s">
        <v>10</v>
      </c>
      <c r="M504" t="s">
        <v>1999</v>
      </c>
    </row>
    <row r="505" spans="1:13" x14ac:dyDescent="0.2">
      <c r="A505" s="49">
        <v>132537</v>
      </c>
      <c r="B505" s="49" t="s">
        <v>1601</v>
      </c>
      <c r="C505" s="49" t="s">
        <v>66</v>
      </c>
      <c r="D505" s="49" t="s">
        <v>10</v>
      </c>
      <c r="E505" s="49" t="s">
        <v>5</v>
      </c>
      <c r="F505" s="49" t="s">
        <v>96</v>
      </c>
      <c r="G505" s="49">
        <v>7</v>
      </c>
      <c r="H505" s="49">
        <v>3</v>
      </c>
      <c r="I505" s="49"/>
      <c r="J505" s="49">
        <v>2</v>
      </c>
      <c r="K505" s="49"/>
      <c r="L505" s="49" t="s">
        <v>10</v>
      </c>
      <c r="M505" t="s">
        <v>2000</v>
      </c>
    </row>
    <row r="506" spans="1:13" x14ac:dyDescent="0.2">
      <c r="A506" s="49">
        <v>132534</v>
      </c>
      <c r="B506" s="49" t="s">
        <v>398</v>
      </c>
      <c r="C506" s="49" t="s">
        <v>66</v>
      </c>
      <c r="D506" s="49" t="s">
        <v>10</v>
      </c>
      <c r="E506" s="49" t="s">
        <v>5</v>
      </c>
      <c r="F506" s="49" t="s">
        <v>93</v>
      </c>
      <c r="G506" s="49">
        <v>3</v>
      </c>
      <c r="H506" s="49">
        <v>2</v>
      </c>
      <c r="I506" s="49"/>
      <c r="J506" s="49"/>
      <c r="K506" s="49"/>
      <c r="L506" s="49" t="s">
        <v>10</v>
      </c>
      <c r="M506" t="s">
        <v>2001</v>
      </c>
    </row>
    <row r="507" spans="1:13" x14ac:dyDescent="0.2">
      <c r="A507" s="49">
        <v>66400</v>
      </c>
      <c r="B507" s="49" t="s">
        <v>399</v>
      </c>
      <c r="C507" s="49" t="s">
        <v>65</v>
      </c>
      <c r="D507" s="49" t="s">
        <v>10</v>
      </c>
      <c r="E507" s="49" t="s">
        <v>5</v>
      </c>
      <c r="F507" s="49" t="s">
        <v>91</v>
      </c>
      <c r="G507" s="49">
        <v>109</v>
      </c>
      <c r="H507" s="49"/>
      <c r="I507" s="49"/>
      <c r="J507" s="49"/>
      <c r="K507" s="49"/>
      <c r="L507" s="49" t="s">
        <v>10</v>
      </c>
      <c r="M507" t="s">
        <v>1709</v>
      </c>
    </row>
    <row r="508" spans="1:13" x14ac:dyDescent="0.2">
      <c r="A508" s="49">
        <v>66371</v>
      </c>
      <c r="B508" s="49" t="s">
        <v>347</v>
      </c>
      <c r="C508" s="49" t="s">
        <v>65</v>
      </c>
      <c r="D508" s="49" t="s">
        <v>10</v>
      </c>
      <c r="E508" s="49" t="s">
        <v>5</v>
      </c>
      <c r="F508" s="49" t="s">
        <v>91</v>
      </c>
      <c r="G508" s="49">
        <v>110</v>
      </c>
      <c r="H508" s="49"/>
      <c r="I508" s="49"/>
      <c r="J508" s="49"/>
      <c r="K508" s="49"/>
      <c r="L508" s="49" t="s">
        <v>10</v>
      </c>
      <c r="M508" t="s">
        <v>1709</v>
      </c>
    </row>
    <row r="509" spans="1:13" x14ac:dyDescent="0.2">
      <c r="A509" s="49">
        <v>66282</v>
      </c>
      <c r="B509" s="49" t="s">
        <v>331</v>
      </c>
      <c r="C509" s="49" t="s">
        <v>69</v>
      </c>
      <c r="D509" s="49" t="s">
        <v>10</v>
      </c>
      <c r="E509" s="49" t="s">
        <v>12</v>
      </c>
      <c r="F509" s="49" t="s">
        <v>91</v>
      </c>
      <c r="G509" s="49">
        <v>67</v>
      </c>
      <c r="H509" s="49"/>
      <c r="I509" s="49"/>
      <c r="J509" s="49"/>
      <c r="K509" s="49"/>
      <c r="L509" s="49" t="s">
        <v>10</v>
      </c>
      <c r="M509" t="s">
        <v>1709</v>
      </c>
    </row>
    <row r="510" spans="1:13" x14ac:dyDescent="0.2">
      <c r="A510" s="49">
        <v>66213</v>
      </c>
      <c r="B510" s="49" t="s">
        <v>400</v>
      </c>
      <c r="C510" s="49" t="s">
        <v>65</v>
      </c>
      <c r="D510" s="49" t="s">
        <v>10</v>
      </c>
      <c r="E510" s="49" t="s">
        <v>5</v>
      </c>
      <c r="F510" s="49" t="s">
        <v>91</v>
      </c>
      <c r="G510" s="49">
        <v>111</v>
      </c>
      <c r="H510" s="49"/>
      <c r="I510" s="49"/>
      <c r="J510" s="49"/>
      <c r="K510" s="49"/>
      <c r="L510" s="49" t="s">
        <v>10</v>
      </c>
      <c r="M510" t="s">
        <v>1709</v>
      </c>
    </row>
    <row r="511" spans="1:13" x14ac:dyDescent="0.2">
      <c r="A511" s="49">
        <v>66183</v>
      </c>
      <c r="B511" s="49" t="s">
        <v>348</v>
      </c>
      <c r="C511" s="49" t="s">
        <v>65</v>
      </c>
      <c r="D511" s="49" t="s">
        <v>10</v>
      </c>
      <c r="E511" s="49" t="s">
        <v>5</v>
      </c>
      <c r="F511" s="49" t="s">
        <v>91</v>
      </c>
      <c r="G511" s="49">
        <v>112</v>
      </c>
      <c r="H511" s="49"/>
      <c r="I511" s="49"/>
      <c r="J511" s="49"/>
      <c r="K511" s="49"/>
      <c r="L511" s="49" t="s">
        <v>10</v>
      </c>
      <c r="M511" t="s">
        <v>1709</v>
      </c>
    </row>
    <row r="512" spans="1:13" x14ac:dyDescent="0.2">
      <c r="A512" s="49">
        <v>66165</v>
      </c>
      <c r="B512" s="49" t="s">
        <v>349</v>
      </c>
      <c r="C512" s="49" t="s">
        <v>65</v>
      </c>
      <c r="D512" s="49" t="s">
        <v>10</v>
      </c>
      <c r="E512" s="49" t="s">
        <v>5</v>
      </c>
      <c r="F512" s="49" t="s">
        <v>91</v>
      </c>
      <c r="G512" s="49">
        <v>113</v>
      </c>
      <c r="H512" s="49"/>
      <c r="I512" s="49"/>
      <c r="J512" s="49"/>
      <c r="K512" s="49"/>
      <c r="L512" s="49" t="s">
        <v>10</v>
      </c>
      <c r="M512" t="s">
        <v>1709</v>
      </c>
    </row>
    <row r="513" spans="1:13" x14ac:dyDescent="0.2">
      <c r="A513" s="49">
        <v>66163</v>
      </c>
      <c r="B513" s="49" t="s">
        <v>401</v>
      </c>
      <c r="C513" s="49" t="s">
        <v>65</v>
      </c>
      <c r="D513" s="49" t="s">
        <v>10</v>
      </c>
      <c r="E513" s="49" t="s">
        <v>5</v>
      </c>
      <c r="F513" s="49" t="s">
        <v>91</v>
      </c>
      <c r="G513" s="49">
        <v>114</v>
      </c>
      <c r="H513" s="49"/>
      <c r="I513" s="49"/>
      <c r="J513" s="49"/>
      <c r="K513" s="49"/>
      <c r="L513" s="49" t="s">
        <v>10</v>
      </c>
      <c r="M513" t="s">
        <v>1709</v>
      </c>
    </row>
    <row r="514" spans="1:13" x14ac:dyDescent="0.2">
      <c r="A514" s="49">
        <v>66161</v>
      </c>
      <c r="B514" s="49" t="s">
        <v>402</v>
      </c>
      <c r="C514" s="49" t="s">
        <v>65</v>
      </c>
      <c r="D514" s="49" t="s">
        <v>10</v>
      </c>
      <c r="E514" s="49" t="s">
        <v>5</v>
      </c>
      <c r="F514" s="49" t="s">
        <v>91</v>
      </c>
      <c r="G514" s="49">
        <v>115</v>
      </c>
      <c r="H514" s="49"/>
      <c r="I514" s="49"/>
      <c r="J514" s="49"/>
      <c r="K514" s="49"/>
      <c r="L514" s="49" t="s">
        <v>10</v>
      </c>
      <c r="M514" t="s">
        <v>1709</v>
      </c>
    </row>
    <row r="515" spans="1:13" x14ac:dyDescent="0.2">
      <c r="A515" s="49">
        <v>66141</v>
      </c>
      <c r="B515" s="49" t="s">
        <v>403</v>
      </c>
      <c r="C515" s="49" t="s">
        <v>65</v>
      </c>
      <c r="D515" s="49" t="s">
        <v>10</v>
      </c>
      <c r="E515" s="49" t="s">
        <v>5</v>
      </c>
      <c r="F515" s="49" t="s">
        <v>91</v>
      </c>
      <c r="G515" s="49">
        <v>116</v>
      </c>
      <c r="H515" s="49"/>
      <c r="I515" s="49"/>
      <c r="J515" s="49"/>
      <c r="K515" s="49"/>
      <c r="L515" s="49" t="s">
        <v>10</v>
      </c>
      <c r="M515" t="s">
        <v>1709</v>
      </c>
    </row>
    <row r="516" spans="1:13" x14ac:dyDescent="0.2">
      <c r="A516" s="49">
        <v>66118</v>
      </c>
      <c r="B516" s="49" t="s">
        <v>404</v>
      </c>
      <c r="C516" s="49" t="s">
        <v>65</v>
      </c>
      <c r="D516" s="49" t="s">
        <v>10</v>
      </c>
      <c r="E516" s="49" t="s">
        <v>5</v>
      </c>
      <c r="F516" s="49" t="s">
        <v>91</v>
      </c>
      <c r="G516" s="49">
        <v>117</v>
      </c>
      <c r="H516" s="49"/>
      <c r="I516" s="49"/>
      <c r="J516" s="49"/>
      <c r="K516" s="49"/>
      <c r="L516" s="49" t="s">
        <v>10</v>
      </c>
      <c r="M516" t="s">
        <v>1709</v>
      </c>
    </row>
    <row r="517" spans="1:13" x14ac:dyDescent="0.2">
      <c r="A517" s="49">
        <v>66112</v>
      </c>
      <c r="B517" s="49" t="s">
        <v>217</v>
      </c>
      <c r="C517" s="49" t="s">
        <v>68</v>
      </c>
      <c r="D517" s="49" t="s">
        <v>10</v>
      </c>
      <c r="E517" s="49" t="s">
        <v>5</v>
      </c>
      <c r="F517" s="49" t="s">
        <v>91</v>
      </c>
      <c r="G517" s="49">
        <v>17</v>
      </c>
      <c r="H517" s="49"/>
      <c r="I517" s="49"/>
      <c r="J517" s="49"/>
      <c r="K517" s="49"/>
      <c r="L517" s="49" t="s">
        <v>10</v>
      </c>
      <c r="M517" t="s">
        <v>1709</v>
      </c>
    </row>
    <row r="518" spans="1:13" x14ac:dyDescent="0.2">
      <c r="A518" s="49">
        <v>66062</v>
      </c>
      <c r="B518" s="49" t="s">
        <v>405</v>
      </c>
      <c r="C518" s="49" t="s">
        <v>65</v>
      </c>
      <c r="D518" s="49" t="s">
        <v>10</v>
      </c>
      <c r="E518" s="49" t="s">
        <v>5</v>
      </c>
      <c r="F518" s="49" t="s">
        <v>91</v>
      </c>
      <c r="G518" s="49">
        <v>118</v>
      </c>
      <c r="H518" s="49"/>
      <c r="I518" s="49"/>
      <c r="J518" s="49"/>
      <c r="K518" s="49"/>
      <c r="L518" s="49" t="s">
        <v>10</v>
      </c>
      <c r="M518" t="s">
        <v>1709</v>
      </c>
    </row>
    <row r="519" spans="1:13" x14ac:dyDescent="0.2">
      <c r="A519" s="49">
        <v>65926</v>
      </c>
      <c r="B519" s="49" t="s">
        <v>406</v>
      </c>
      <c r="C519" s="49" t="s">
        <v>64</v>
      </c>
      <c r="D519" s="49" t="s">
        <v>10</v>
      </c>
      <c r="E519" s="49" t="s">
        <v>6</v>
      </c>
      <c r="F519" s="49" t="s">
        <v>91</v>
      </c>
      <c r="G519" s="49">
        <v>46</v>
      </c>
      <c r="H519" s="49"/>
      <c r="I519" s="49"/>
      <c r="J519" s="49"/>
      <c r="K519" s="49"/>
      <c r="L519" s="49" t="s">
        <v>10</v>
      </c>
      <c r="M519" t="s">
        <v>1709</v>
      </c>
    </row>
    <row r="520" spans="1:13" x14ac:dyDescent="0.2">
      <c r="A520" s="49">
        <v>65922</v>
      </c>
      <c r="B520" s="49" t="s">
        <v>407</v>
      </c>
      <c r="C520" s="49" t="s">
        <v>64</v>
      </c>
      <c r="D520" s="49" t="s">
        <v>10</v>
      </c>
      <c r="E520" s="49" t="s">
        <v>6</v>
      </c>
      <c r="F520" s="49" t="s">
        <v>91</v>
      </c>
      <c r="G520" s="49">
        <v>39</v>
      </c>
      <c r="H520" s="49"/>
      <c r="I520" s="49"/>
      <c r="J520" s="49"/>
      <c r="K520" s="49"/>
      <c r="L520" s="49" t="s">
        <v>10</v>
      </c>
      <c r="M520" t="s">
        <v>1709</v>
      </c>
    </row>
    <row r="521" spans="1:13" x14ac:dyDescent="0.2">
      <c r="A521" s="49">
        <v>65866</v>
      </c>
      <c r="B521" s="49" t="s">
        <v>408</v>
      </c>
      <c r="C521" s="49" t="s">
        <v>65</v>
      </c>
      <c r="D521" s="49" t="s">
        <v>10</v>
      </c>
      <c r="E521" s="49" t="s">
        <v>5</v>
      </c>
      <c r="F521" s="49" t="s">
        <v>91</v>
      </c>
      <c r="G521" s="49">
        <v>32</v>
      </c>
      <c r="H521" s="49"/>
      <c r="I521" s="49"/>
      <c r="J521" s="49"/>
      <c r="K521" s="49"/>
      <c r="L521" s="49" t="s">
        <v>10</v>
      </c>
      <c r="M521" t="s">
        <v>1709</v>
      </c>
    </row>
    <row r="522" spans="1:13" x14ac:dyDescent="0.2">
      <c r="A522" s="49">
        <v>65865</v>
      </c>
      <c r="B522" s="49" t="s">
        <v>350</v>
      </c>
      <c r="C522" s="49" t="s">
        <v>65</v>
      </c>
      <c r="D522" s="49" t="s">
        <v>10</v>
      </c>
      <c r="E522" s="49" t="s">
        <v>5</v>
      </c>
      <c r="F522" s="49" t="s">
        <v>91</v>
      </c>
      <c r="G522" s="49">
        <v>119</v>
      </c>
      <c r="H522" s="49"/>
      <c r="I522" s="49"/>
      <c r="J522" s="49"/>
      <c r="K522" s="49"/>
      <c r="L522" s="49" t="s">
        <v>10</v>
      </c>
      <c r="M522" t="s">
        <v>1709</v>
      </c>
    </row>
    <row r="523" spans="1:13" x14ac:dyDescent="0.2">
      <c r="A523" s="49">
        <v>65864</v>
      </c>
      <c r="B523" s="49" t="s">
        <v>409</v>
      </c>
      <c r="C523" s="49" t="s">
        <v>65</v>
      </c>
      <c r="D523" s="49" t="s">
        <v>10</v>
      </c>
      <c r="E523" s="49" t="s">
        <v>5</v>
      </c>
      <c r="F523" s="49" t="s">
        <v>91</v>
      </c>
      <c r="G523" s="49">
        <v>120</v>
      </c>
      <c r="H523" s="49"/>
      <c r="I523" s="49"/>
      <c r="J523" s="49"/>
      <c r="K523" s="49"/>
      <c r="L523" s="49" t="s">
        <v>10</v>
      </c>
      <c r="M523" t="s">
        <v>1709</v>
      </c>
    </row>
    <row r="524" spans="1:13" x14ac:dyDescent="0.2">
      <c r="A524" s="49">
        <v>65861</v>
      </c>
      <c r="B524" s="49" t="s">
        <v>410</v>
      </c>
      <c r="C524" s="49" t="s">
        <v>64</v>
      </c>
      <c r="D524" s="49" t="s">
        <v>10</v>
      </c>
      <c r="E524" s="49" t="s">
        <v>6</v>
      </c>
      <c r="F524" s="49" t="s">
        <v>91</v>
      </c>
      <c r="G524" s="49">
        <v>26</v>
      </c>
      <c r="H524" s="49"/>
      <c r="I524" s="49"/>
      <c r="J524" s="49"/>
      <c r="K524" s="49"/>
      <c r="L524" s="49" t="s">
        <v>10</v>
      </c>
      <c r="M524" t="s">
        <v>1709</v>
      </c>
    </row>
    <row r="525" spans="1:13" x14ac:dyDescent="0.2">
      <c r="A525" s="49">
        <v>65860</v>
      </c>
      <c r="B525" s="49" t="s">
        <v>411</v>
      </c>
      <c r="C525" s="49" t="s">
        <v>64</v>
      </c>
      <c r="D525" s="49" t="s">
        <v>10</v>
      </c>
      <c r="E525" s="49" t="s">
        <v>6</v>
      </c>
      <c r="F525" s="49" t="s">
        <v>91</v>
      </c>
      <c r="G525" s="49">
        <v>17</v>
      </c>
      <c r="H525" s="49"/>
      <c r="I525" s="49"/>
      <c r="J525" s="49"/>
      <c r="K525" s="49"/>
      <c r="L525" s="49" t="s">
        <v>10</v>
      </c>
      <c r="M525" t="s">
        <v>1709</v>
      </c>
    </row>
    <row r="526" spans="1:13" x14ac:dyDescent="0.2">
      <c r="A526" s="49">
        <v>65859</v>
      </c>
      <c r="B526" s="49" t="s">
        <v>412</v>
      </c>
      <c r="C526" s="49" t="s">
        <v>64</v>
      </c>
      <c r="D526" s="49" t="s">
        <v>10</v>
      </c>
      <c r="E526" s="49" t="s">
        <v>6</v>
      </c>
      <c r="F526" s="49" t="s">
        <v>91</v>
      </c>
      <c r="G526" s="49">
        <v>16</v>
      </c>
      <c r="H526" s="49"/>
      <c r="I526" s="49"/>
      <c r="J526" s="49"/>
      <c r="K526" s="49"/>
      <c r="L526" s="49" t="s">
        <v>10</v>
      </c>
      <c r="M526" t="s">
        <v>1709</v>
      </c>
    </row>
    <row r="527" spans="1:13" x14ac:dyDescent="0.2">
      <c r="A527" s="49">
        <v>65858</v>
      </c>
      <c r="B527" s="49" t="s">
        <v>413</v>
      </c>
      <c r="C527" s="49" t="s">
        <v>64</v>
      </c>
      <c r="D527" s="49" t="s">
        <v>10</v>
      </c>
      <c r="E527" s="49" t="s">
        <v>6</v>
      </c>
      <c r="F527" s="49" t="s">
        <v>91</v>
      </c>
      <c r="G527" s="49">
        <v>18</v>
      </c>
      <c r="H527" s="49"/>
      <c r="I527" s="49"/>
      <c r="J527" s="49"/>
      <c r="K527" s="49"/>
      <c r="L527" s="49" t="s">
        <v>10</v>
      </c>
      <c r="M527" t="s">
        <v>1709</v>
      </c>
    </row>
    <row r="528" spans="1:13" x14ac:dyDescent="0.2">
      <c r="A528" s="49">
        <v>65857</v>
      </c>
      <c r="B528" s="49" t="s">
        <v>414</v>
      </c>
      <c r="C528" s="49" t="s">
        <v>64</v>
      </c>
      <c r="D528" s="49" t="s">
        <v>10</v>
      </c>
      <c r="E528" s="49" t="s">
        <v>6</v>
      </c>
      <c r="F528" s="49" t="s">
        <v>91</v>
      </c>
      <c r="G528" s="49">
        <v>29</v>
      </c>
      <c r="H528" s="49"/>
      <c r="I528" s="49"/>
      <c r="J528" s="49"/>
      <c r="K528" s="49"/>
      <c r="L528" s="49" t="s">
        <v>10</v>
      </c>
      <c r="M528" t="s">
        <v>1709</v>
      </c>
    </row>
    <row r="529" spans="1:13" x14ac:dyDescent="0.2">
      <c r="A529" s="49">
        <v>65856</v>
      </c>
      <c r="B529" s="49" t="s">
        <v>1639</v>
      </c>
      <c r="C529" s="49" t="s">
        <v>64</v>
      </c>
      <c r="D529" s="49" t="s">
        <v>10</v>
      </c>
      <c r="E529" s="49" t="s">
        <v>6</v>
      </c>
      <c r="F529" s="49" t="s">
        <v>91</v>
      </c>
      <c r="G529" s="49">
        <v>24</v>
      </c>
      <c r="H529" s="49"/>
      <c r="I529" s="49"/>
      <c r="J529" s="49"/>
      <c r="K529" s="49"/>
      <c r="L529" s="49" t="s">
        <v>10</v>
      </c>
      <c r="M529" t="s">
        <v>1709</v>
      </c>
    </row>
    <row r="530" spans="1:13" x14ac:dyDescent="0.2">
      <c r="A530" s="49">
        <v>65828</v>
      </c>
      <c r="B530" s="49" t="s">
        <v>336</v>
      </c>
      <c r="C530" s="49" t="s">
        <v>70</v>
      </c>
      <c r="D530" s="49" t="s">
        <v>10</v>
      </c>
      <c r="E530" s="49" t="s">
        <v>8</v>
      </c>
      <c r="F530" s="49" t="s">
        <v>95</v>
      </c>
      <c r="G530" s="49">
        <v>69</v>
      </c>
      <c r="H530" s="49"/>
      <c r="I530" s="49"/>
      <c r="J530" s="49"/>
      <c r="K530" s="49"/>
      <c r="L530" s="49" t="s">
        <v>10</v>
      </c>
      <c r="M530" t="s">
        <v>1709</v>
      </c>
    </row>
    <row r="531" spans="1:13" x14ac:dyDescent="0.2">
      <c r="A531" s="49">
        <v>65806</v>
      </c>
      <c r="B531" s="49" t="s">
        <v>415</v>
      </c>
      <c r="C531" s="49" t="s">
        <v>64</v>
      </c>
      <c r="D531" s="49" t="s">
        <v>10</v>
      </c>
      <c r="E531" s="49" t="s">
        <v>6</v>
      </c>
      <c r="F531" s="49" t="s">
        <v>354</v>
      </c>
      <c r="G531" s="49">
        <v>9</v>
      </c>
      <c r="H531" s="49"/>
      <c r="I531" s="49"/>
      <c r="J531" s="49"/>
      <c r="K531" s="49"/>
      <c r="L531" s="49" t="s">
        <v>10</v>
      </c>
      <c r="M531" t="s">
        <v>1709</v>
      </c>
    </row>
    <row r="532" spans="1:13" x14ac:dyDescent="0.2">
      <c r="A532" s="49">
        <v>65798</v>
      </c>
      <c r="B532" s="49" t="s">
        <v>416</v>
      </c>
      <c r="C532" s="49" t="s">
        <v>71</v>
      </c>
      <c r="D532" s="49" t="s">
        <v>10</v>
      </c>
      <c r="E532" s="49" t="s">
        <v>12</v>
      </c>
      <c r="F532" s="49" t="s">
        <v>91</v>
      </c>
      <c r="G532" s="49">
        <v>10</v>
      </c>
      <c r="H532" s="49"/>
      <c r="I532" s="49"/>
      <c r="J532" s="49"/>
      <c r="K532" s="49"/>
      <c r="L532" s="49" t="s">
        <v>10</v>
      </c>
      <c r="M532" t="s">
        <v>1709</v>
      </c>
    </row>
    <row r="533" spans="1:13" x14ac:dyDescent="0.2">
      <c r="A533" s="49">
        <v>65757</v>
      </c>
      <c r="B533" s="49" t="s">
        <v>417</v>
      </c>
      <c r="C533" s="49" t="s">
        <v>70</v>
      </c>
      <c r="D533" s="49" t="s">
        <v>10</v>
      </c>
      <c r="E533" s="49" t="s">
        <v>8</v>
      </c>
      <c r="F533" s="49" t="s">
        <v>95</v>
      </c>
      <c r="G533" s="49">
        <v>68</v>
      </c>
      <c r="H533" s="49"/>
      <c r="I533" s="49"/>
      <c r="J533" s="49"/>
      <c r="K533" s="49"/>
      <c r="L533" s="49" t="s">
        <v>10</v>
      </c>
      <c r="M533" t="s">
        <v>1709</v>
      </c>
    </row>
    <row r="534" spans="1:13" x14ac:dyDescent="0.2">
      <c r="A534" s="49">
        <v>65738</v>
      </c>
      <c r="B534" s="49" t="s">
        <v>1602</v>
      </c>
      <c r="C534" s="49" t="s">
        <v>65</v>
      </c>
      <c r="D534" s="49" t="s">
        <v>10</v>
      </c>
      <c r="E534" s="49" t="s">
        <v>5</v>
      </c>
      <c r="F534" s="49" t="s">
        <v>91</v>
      </c>
      <c r="G534" s="49">
        <v>132</v>
      </c>
      <c r="H534" s="49"/>
      <c r="I534" s="49"/>
      <c r="J534" s="49"/>
      <c r="K534" s="49"/>
      <c r="L534" s="49" t="s">
        <v>10</v>
      </c>
      <c r="M534" t="s">
        <v>1709</v>
      </c>
    </row>
    <row r="535" spans="1:13" x14ac:dyDescent="0.2">
      <c r="A535" s="49">
        <v>65737</v>
      </c>
      <c r="B535" s="49" t="s">
        <v>1603</v>
      </c>
      <c r="C535" s="49" t="s">
        <v>69</v>
      </c>
      <c r="D535" s="49" t="s">
        <v>10</v>
      </c>
      <c r="E535" s="49" t="s">
        <v>12</v>
      </c>
      <c r="F535" s="49" t="s">
        <v>130</v>
      </c>
      <c r="G535" s="49">
        <v>2</v>
      </c>
      <c r="H535" s="49"/>
      <c r="I535" s="49"/>
      <c r="J535" s="49"/>
      <c r="K535" s="49"/>
      <c r="L535" s="49" t="s">
        <v>10</v>
      </c>
      <c r="M535" t="s">
        <v>1709</v>
      </c>
    </row>
    <row r="536" spans="1:13" x14ac:dyDescent="0.2">
      <c r="A536" s="49">
        <v>65568</v>
      </c>
      <c r="B536" s="49" t="s">
        <v>156</v>
      </c>
      <c r="C536" s="49" t="s">
        <v>65</v>
      </c>
      <c r="D536" s="49" t="s">
        <v>10</v>
      </c>
      <c r="E536" s="49" t="s">
        <v>5</v>
      </c>
      <c r="F536" s="49" t="s">
        <v>130</v>
      </c>
      <c r="G536" s="49">
        <v>9</v>
      </c>
      <c r="H536" s="49"/>
      <c r="I536" s="49"/>
      <c r="J536" s="49"/>
      <c r="K536" s="49"/>
      <c r="L536" s="49" t="s">
        <v>10</v>
      </c>
      <c r="M536" t="s">
        <v>1709</v>
      </c>
    </row>
    <row r="537" spans="1:13" x14ac:dyDescent="0.2">
      <c r="A537" s="49">
        <v>65512</v>
      </c>
      <c r="B537" s="49" t="s">
        <v>418</v>
      </c>
      <c r="C537" s="49" t="s">
        <v>64</v>
      </c>
      <c r="D537" s="49" t="s">
        <v>10</v>
      </c>
      <c r="E537" s="49" t="s">
        <v>6</v>
      </c>
      <c r="F537" s="49" t="s">
        <v>91</v>
      </c>
      <c r="G537" s="49">
        <v>25</v>
      </c>
      <c r="H537" s="49"/>
      <c r="I537" s="49"/>
      <c r="J537" s="49"/>
      <c r="K537" s="49"/>
      <c r="L537" s="49" t="s">
        <v>10</v>
      </c>
      <c r="M537" t="s">
        <v>1709</v>
      </c>
    </row>
    <row r="538" spans="1:13" x14ac:dyDescent="0.2">
      <c r="A538" s="49">
        <v>65505</v>
      </c>
      <c r="B538" s="49" t="s">
        <v>1640</v>
      </c>
      <c r="C538" s="49" t="s">
        <v>65</v>
      </c>
      <c r="D538" s="49" t="s">
        <v>10</v>
      </c>
      <c r="E538" s="49" t="s">
        <v>5</v>
      </c>
      <c r="F538" s="49" t="s">
        <v>136</v>
      </c>
      <c r="G538" s="49">
        <v>13</v>
      </c>
      <c r="H538" s="49">
        <v>4</v>
      </c>
      <c r="I538" s="49"/>
      <c r="J538" s="49">
        <v>2</v>
      </c>
      <c r="K538" s="49">
        <v>3</v>
      </c>
      <c r="L538" s="49" t="s">
        <v>10</v>
      </c>
      <c r="M538" t="s">
        <v>1709</v>
      </c>
    </row>
    <row r="539" spans="1:13" x14ac:dyDescent="0.2">
      <c r="A539" s="49">
        <v>65407</v>
      </c>
      <c r="B539" s="49" t="s">
        <v>419</v>
      </c>
      <c r="C539" s="49" t="s">
        <v>65</v>
      </c>
      <c r="D539" s="49" t="s">
        <v>10</v>
      </c>
      <c r="E539" s="49" t="s">
        <v>5</v>
      </c>
      <c r="F539" s="49" t="s">
        <v>91</v>
      </c>
      <c r="G539" s="49">
        <v>121</v>
      </c>
      <c r="H539" s="49"/>
      <c r="I539" s="49"/>
      <c r="J539" s="49"/>
      <c r="K539" s="49"/>
      <c r="L539" s="49" t="s">
        <v>10</v>
      </c>
      <c r="M539" t="s">
        <v>1709</v>
      </c>
    </row>
    <row r="540" spans="1:13" x14ac:dyDescent="0.2">
      <c r="A540" s="49">
        <v>65352</v>
      </c>
      <c r="B540" s="49" t="s">
        <v>351</v>
      </c>
      <c r="C540" s="49" t="s">
        <v>65</v>
      </c>
      <c r="D540" s="49" t="s">
        <v>10</v>
      </c>
      <c r="E540" s="49" t="s">
        <v>5</v>
      </c>
      <c r="F540" s="49" t="s">
        <v>91</v>
      </c>
      <c r="G540" s="49">
        <v>122</v>
      </c>
      <c r="H540" s="49"/>
      <c r="I540" s="49"/>
      <c r="J540" s="49"/>
      <c r="K540" s="49"/>
      <c r="L540" s="49" t="s">
        <v>10</v>
      </c>
      <c r="M540" t="s">
        <v>1709</v>
      </c>
    </row>
    <row r="541" spans="1:13" x14ac:dyDescent="0.2">
      <c r="A541" s="49">
        <v>65302</v>
      </c>
      <c r="B541" s="49" t="s">
        <v>420</v>
      </c>
      <c r="C541" s="49" t="s">
        <v>64</v>
      </c>
      <c r="D541" s="49" t="s">
        <v>10</v>
      </c>
      <c r="E541" s="49" t="s">
        <v>6</v>
      </c>
      <c r="F541" s="49" t="s">
        <v>354</v>
      </c>
      <c r="G541" s="49">
        <v>8</v>
      </c>
      <c r="H541" s="49"/>
      <c r="I541" s="49"/>
      <c r="J541" s="49"/>
      <c r="K541" s="49"/>
      <c r="L541" s="49" t="s">
        <v>10</v>
      </c>
      <c r="M541" t="s">
        <v>1709</v>
      </c>
    </row>
    <row r="542" spans="1:13" x14ac:dyDescent="0.2">
      <c r="A542" s="49">
        <v>65260</v>
      </c>
      <c r="B542" s="49" t="s">
        <v>421</v>
      </c>
      <c r="C542" s="49" t="s">
        <v>71</v>
      </c>
      <c r="D542" s="49" t="s">
        <v>10</v>
      </c>
      <c r="E542" s="49" t="s">
        <v>12</v>
      </c>
      <c r="F542" s="49" t="s">
        <v>91</v>
      </c>
      <c r="G542" s="49">
        <v>4</v>
      </c>
      <c r="H542" s="49"/>
      <c r="I542" s="49"/>
      <c r="J542" s="49"/>
      <c r="K542" s="49"/>
      <c r="L542" s="49" t="s">
        <v>10</v>
      </c>
      <c r="M542" t="s">
        <v>1709</v>
      </c>
    </row>
    <row r="543" spans="1:13" x14ac:dyDescent="0.2">
      <c r="A543" s="49">
        <v>65257</v>
      </c>
      <c r="B543" s="49" t="s">
        <v>422</v>
      </c>
      <c r="C543" s="49" t="s">
        <v>71</v>
      </c>
      <c r="D543" s="49" t="s">
        <v>10</v>
      </c>
      <c r="E543" s="49" t="s">
        <v>12</v>
      </c>
      <c r="F543" s="49" t="s">
        <v>97</v>
      </c>
      <c r="G543" s="49">
        <v>3</v>
      </c>
      <c r="H543" s="49"/>
      <c r="I543" s="49"/>
      <c r="J543" s="49"/>
      <c r="K543" s="49"/>
      <c r="L543" s="49" t="s">
        <v>10</v>
      </c>
      <c r="M543" t="s">
        <v>1709</v>
      </c>
    </row>
    <row r="544" spans="1:13" x14ac:dyDescent="0.2">
      <c r="A544" s="49">
        <v>65198</v>
      </c>
      <c r="B544" s="49" t="s">
        <v>161</v>
      </c>
      <c r="C544" s="49" t="s">
        <v>70</v>
      </c>
      <c r="D544" s="49" t="s">
        <v>10</v>
      </c>
      <c r="E544" s="49" t="s">
        <v>8</v>
      </c>
      <c r="F544" s="49" t="s">
        <v>95</v>
      </c>
      <c r="G544" s="49">
        <v>4</v>
      </c>
      <c r="H544" s="49"/>
      <c r="I544" s="49"/>
      <c r="J544" s="49"/>
      <c r="K544" s="49"/>
      <c r="L544" s="49" t="s">
        <v>10</v>
      </c>
      <c r="M544" t="s">
        <v>1709</v>
      </c>
    </row>
    <row r="545" spans="1:13" x14ac:dyDescent="0.2">
      <c r="A545" s="49">
        <v>65195</v>
      </c>
      <c r="B545" s="49" t="s">
        <v>423</v>
      </c>
      <c r="C545" s="49" t="s">
        <v>70</v>
      </c>
      <c r="D545" s="49" t="s">
        <v>10</v>
      </c>
      <c r="E545" s="49" t="s">
        <v>8</v>
      </c>
      <c r="F545" s="49" t="s">
        <v>91</v>
      </c>
      <c r="G545" s="49">
        <v>3</v>
      </c>
      <c r="H545" s="49"/>
      <c r="I545" s="49"/>
      <c r="J545" s="49"/>
      <c r="K545" s="49"/>
      <c r="L545" s="49" t="s">
        <v>10</v>
      </c>
      <c r="M545" t="s">
        <v>1709</v>
      </c>
    </row>
    <row r="546" spans="1:13" x14ac:dyDescent="0.2">
      <c r="A546" s="49">
        <v>65194</v>
      </c>
      <c r="B546" s="49" t="s">
        <v>424</v>
      </c>
      <c r="C546" s="49" t="s">
        <v>70</v>
      </c>
      <c r="D546" s="49" t="s">
        <v>10</v>
      </c>
      <c r="E546" s="49" t="s">
        <v>8</v>
      </c>
      <c r="F546" s="49" t="s">
        <v>91</v>
      </c>
      <c r="G546" s="49">
        <v>2</v>
      </c>
      <c r="H546" s="49"/>
      <c r="I546" s="49"/>
      <c r="J546" s="49"/>
      <c r="K546" s="49"/>
      <c r="L546" s="49" t="s">
        <v>10</v>
      </c>
      <c r="M546" t="s">
        <v>1709</v>
      </c>
    </row>
    <row r="547" spans="1:13" x14ac:dyDescent="0.2">
      <c r="A547" s="49">
        <v>65000</v>
      </c>
      <c r="B547" s="49" t="s">
        <v>168</v>
      </c>
      <c r="C547" s="49" t="s">
        <v>69</v>
      </c>
      <c r="D547" s="49" t="s">
        <v>10</v>
      </c>
      <c r="E547" s="49" t="s">
        <v>12</v>
      </c>
      <c r="F547" s="49" t="s">
        <v>91</v>
      </c>
      <c r="G547" s="49">
        <v>5</v>
      </c>
      <c r="H547" s="49"/>
      <c r="I547" s="49"/>
      <c r="J547" s="49"/>
      <c r="K547" s="49"/>
      <c r="L547" s="49" t="s">
        <v>10</v>
      </c>
      <c r="M547" t="s">
        <v>1709</v>
      </c>
    </row>
    <row r="548" spans="1:13" x14ac:dyDescent="0.2">
      <c r="A548" s="49">
        <v>64785</v>
      </c>
      <c r="B548" s="49" t="s">
        <v>425</v>
      </c>
      <c r="C548" s="49" t="s">
        <v>68</v>
      </c>
      <c r="D548" s="49" t="s">
        <v>10</v>
      </c>
      <c r="E548" s="49" t="s">
        <v>5</v>
      </c>
      <c r="F548" s="49" t="s">
        <v>91</v>
      </c>
      <c r="G548" s="49">
        <v>52</v>
      </c>
      <c r="H548" s="49"/>
      <c r="I548" s="49"/>
      <c r="J548" s="49"/>
      <c r="K548" s="49"/>
      <c r="L548" s="49" t="s">
        <v>10</v>
      </c>
      <c r="M548" t="s">
        <v>1709</v>
      </c>
    </row>
    <row r="549" spans="1:13" x14ac:dyDescent="0.2">
      <c r="A549" s="49">
        <v>64718</v>
      </c>
      <c r="B549" s="49" t="s">
        <v>426</v>
      </c>
      <c r="C549" s="49" t="s">
        <v>70</v>
      </c>
      <c r="D549" s="49" t="s">
        <v>10</v>
      </c>
      <c r="E549" s="49" t="s">
        <v>8</v>
      </c>
      <c r="F549" s="49" t="s">
        <v>95</v>
      </c>
      <c r="G549" s="49">
        <v>57</v>
      </c>
      <c r="H549" s="49"/>
      <c r="I549" s="49"/>
      <c r="J549" s="49"/>
      <c r="K549" s="49"/>
      <c r="L549" s="49" t="s">
        <v>10</v>
      </c>
      <c r="M549" t="s">
        <v>1709</v>
      </c>
    </row>
    <row r="550" spans="1:13" x14ac:dyDescent="0.2">
      <c r="A550" s="49">
        <v>64579</v>
      </c>
      <c r="B550" s="49" t="s">
        <v>427</v>
      </c>
      <c r="C550" s="49" t="s">
        <v>65</v>
      </c>
      <c r="D550" s="49" t="s">
        <v>10</v>
      </c>
      <c r="E550" s="49" t="s">
        <v>5</v>
      </c>
      <c r="F550" s="49" t="s">
        <v>97</v>
      </c>
      <c r="G550" s="49">
        <v>28</v>
      </c>
      <c r="H550" s="49"/>
      <c r="I550" s="49"/>
      <c r="J550" s="49"/>
      <c r="K550" s="49"/>
      <c r="L550" s="49" t="s">
        <v>10</v>
      </c>
      <c r="M550" t="s">
        <v>1709</v>
      </c>
    </row>
    <row r="551" spans="1:13" x14ac:dyDescent="0.2">
      <c r="A551" s="49">
        <v>64410</v>
      </c>
      <c r="B551" s="49" t="s">
        <v>428</v>
      </c>
      <c r="C551" s="49" t="s">
        <v>71</v>
      </c>
      <c r="D551" s="49" t="s">
        <v>10</v>
      </c>
      <c r="E551" s="49" t="s">
        <v>12</v>
      </c>
      <c r="F551" s="49" t="s">
        <v>91</v>
      </c>
      <c r="G551" s="49">
        <v>5</v>
      </c>
      <c r="H551" s="49"/>
      <c r="I551" s="49"/>
      <c r="J551" s="49"/>
      <c r="K551" s="49"/>
      <c r="L551" s="49" t="s">
        <v>10</v>
      </c>
      <c r="M551" t="s">
        <v>1709</v>
      </c>
    </row>
    <row r="552" spans="1:13" x14ac:dyDescent="0.2">
      <c r="A552" s="49">
        <v>64248</v>
      </c>
      <c r="B552" s="49" t="s">
        <v>1641</v>
      </c>
      <c r="C552" s="49" t="s">
        <v>65</v>
      </c>
      <c r="D552" s="49" t="s">
        <v>10</v>
      </c>
      <c r="E552" s="49" t="s">
        <v>5</v>
      </c>
      <c r="F552" s="49" t="s">
        <v>91</v>
      </c>
      <c r="G552" s="49">
        <v>94</v>
      </c>
      <c r="H552" s="49"/>
      <c r="I552" s="49"/>
      <c r="J552" s="49"/>
      <c r="K552" s="49"/>
      <c r="L552" s="49" t="s">
        <v>10</v>
      </c>
      <c r="M552" t="s">
        <v>1709</v>
      </c>
    </row>
    <row r="553" spans="1:13" x14ac:dyDescent="0.2">
      <c r="A553" s="49">
        <v>64193</v>
      </c>
      <c r="B553" s="49" t="s">
        <v>312</v>
      </c>
      <c r="C553" s="49" t="s">
        <v>68</v>
      </c>
      <c r="D553" s="49" t="s">
        <v>10</v>
      </c>
      <c r="E553" s="49" t="s">
        <v>5</v>
      </c>
      <c r="F553" s="49" t="s">
        <v>95</v>
      </c>
      <c r="G553" s="49">
        <v>49</v>
      </c>
      <c r="H553" s="49"/>
      <c r="I553" s="49"/>
      <c r="J553" s="49"/>
      <c r="K553" s="49"/>
      <c r="L553" s="49" t="s">
        <v>10</v>
      </c>
      <c r="M553" t="s">
        <v>1709</v>
      </c>
    </row>
    <row r="554" spans="1:13" x14ac:dyDescent="0.2">
      <c r="A554" s="49">
        <v>64115</v>
      </c>
      <c r="B554" s="49" t="s">
        <v>429</v>
      </c>
      <c r="C554" s="49" t="s">
        <v>67</v>
      </c>
      <c r="D554" s="49" t="s">
        <v>10</v>
      </c>
      <c r="E554" s="49" t="s">
        <v>12</v>
      </c>
      <c r="F554" s="49" t="s">
        <v>91</v>
      </c>
      <c r="G554" s="49">
        <v>18</v>
      </c>
      <c r="H554" s="49"/>
      <c r="I554" s="49"/>
      <c r="J554" s="49"/>
      <c r="K554" s="49"/>
      <c r="L554" s="49" t="s">
        <v>10</v>
      </c>
      <c r="M554" t="s">
        <v>1709</v>
      </c>
    </row>
    <row r="555" spans="1:13" x14ac:dyDescent="0.2">
      <c r="A555" s="49">
        <v>64102</v>
      </c>
      <c r="B555" s="49" t="s">
        <v>343</v>
      </c>
      <c r="C555" s="49" t="s">
        <v>65</v>
      </c>
      <c r="D555" s="49" t="s">
        <v>10</v>
      </c>
      <c r="E555" s="49" t="s">
        <v>5</v>
      </c>
      <c r="F555" s="49" t="s">
        <v>91</v>
      </c>
      <c r="G555" s="49">
        <v>93</v>
      </c>
      <c r="H555" s="49"/>
      <c r="I555" s="49"/>
      <c r="J555" s="49"/>
      <c r="K555" s="49"/>
      <c r="L555" s="49" t="s">
        <v>10</v>
      </c>
      <c r="M555" t="s">
        <v>1709</v>
      </c>
    </row>
    <row r="556" spans="1:13" x14ac:dyDescent="0.2">
      <c r="A556" s="49">
        <v>64075</v>
      </c>
      <c r="B556" s="49" t="s">
        <v>179</v>
      </c>
      <c r="C556" s="49" t="s">
        <v>68</v>
      </c>
      <c r="D556" s="49" t="s">
        <v>10</v>
      </c>
      <c r="E556" s="49" t="s">
        <v>5</v>
      </c>
      <c r="F556" s="49" t="s">
        <v>91</v>
      </c>
      <c r="G556" s="49">
        <v>7</v>
      </c>
      <c r="H556" s="49"/>
      <c r="I556" s="49"/>
      <c r="J556" s="49"/>
      <c r="K556" s="49"/>
      <c r="L556" s="49" t="s">
        <v>10</v>
      </c>
      <c r="M556" t="s">
        <v>1709</v>
      </c>
    </row>
    <row r="557" spans="1:13" x14ac:dyDescent="0.2">
      <c r="A557" s="49">
        <v>64010</v>
      </c>
      <c r="B557" s="49" t="s">
        <v>430</v>
      </c>
      <c r="C557" s="49" t="s">
        <v>68</v>
      </c>
      <c r="D557" s="49" t="s">
        <v>10</v>
      </c>
      <c r="E557" s="49" t="s">
        <v>5</v>
      </c>
      <c r="F557" s="49" t="s">
        <v>91</v>
      </c>
      <c r="G557" s="49">
        <v>48</v>
      </c>
      <c r="H557" s="49"/>
      <c r="I557" s="49"/>
      <c r="J557" s="49"/>
      <c r="K557" s="49"/>
      <c r="L557" s="49" t="s">
        <v>10</v>
      </c>
      <c r="M557" t="s">
        <v>1709</v>
      </c>
    </row>
    <row r="558" spans="1:13" x14ac:dyDescent="0.2">
      <c r="A558" s="49">
        <v>64002</v>
      </c>
      <c r="B558" s="49" t="s">
        <v>431</v>
      </c>
      <c r="C558" s="49" t="s">
        <v>66</v>
      </c>
      <c r="D558" s="49" t="s">
        <v>10</v>
      </c>
      <c r="E558" s="49" t="s">
        <v>5</v>
      </c>
      <c r="F558" s="49" t="s">
        <v>93</v>
      </c>
      <c r="G558" s="49">
        <v>4</v>
      </c>
      <c r="H558" s="49"/>
      <c r="I558" s="49"/>
      <c r="J558" s="49"/>
      <c r="K558" s="49"/>
      <c r="L558" s="49" t="s">
        <v>10</v>
      </c>
      <c r="M558" t="s">
        <v>1709</v>
      </c>
    </row>
    <row r="559" spans="1:13" x14ac:dyDescent="0.2">
      <c r="A559" s="49">
        <v>63942</v>
      </c>
      <c r="B559" s="49" t="s">
        <v>432</v>
      </c>
      <c r="C559" s="49" t="s">
        <v>64</v>
      </c>
      <c r="D559" s="49" t="s">
        <v>10</v>
      </c>
      <c r="E559" s="49" t="s">
        <v>6</v>
      </c>
      <c r="F559" s="49" t="s">
        <v>95</v>
      </c>
      <c r="G559" s="49">
        <v>6</v>
      </c>
      <c r="H559" s="49"/>
      <c r="I559" s="49"/>
      <c r="J559" s="49"/>
      <c r="K559" s="49"/>
      <c r="L559" s="49" t="s">
        <v>10</v>
      </c>
      <c r="M559" t="s">
        <v>1709</v>
      </c>
    </row>
    <row r="560" spans="1:13" x14ac:dyDescent="0.2">
      <c r="A560" s="49">
        <v>63935</v>
      </c>
      <c r="B560" s="49" t="s">
        <v>433</v>
      </c>
      <c r="C560" s="49" t="s">
        <v>68</v>
      </c>
      <c r="D560" s="49" t="s">
        <v>10</v>
      </c>
      <c r="E560" s="49" t="s">
        <v>5</v>
      </c>
      <c r="F560" s="49" t="s">
        <v>91</v>
      </c>
      <c r="G560" s="49">
        <v>47</v>
      </c>
      <c r="H560" s="49"/>
      <c r="I560" s="49"/>
      <c r="J560" s="49"/>
      <c r="K560" s="49"/>
      <c r="L560" s="49" t="s">
        <v>10</v>
      </c>
      <c r="M560" t="s">
        <v>1709</v>
      </c>
    </row>
    <row r="561" spans="1:13" x14ac:dyDescent="0.2">
      <c r="A561" s="49">
        <v>63932</v>
      </c>
      <c r="B561" s="49" t="s">
        <v>434</v>
      </c>
      <c r="C561" s="49" t="s">
        <v>68</v>
      </c>
      <c r="D561" s="49" t="s">
        <v>10</v>
      </c>
      <c r="E561" s="49" t="s">
        <v>5</v>
      </c>
      <c r="F561" s="49" t="s">
        <v>91</v>
      </c>
      <c r="G561" s="49">
        <v>46</v>
      </c>
      <c r="H561" s="49"/>
      <c r="I561" s="49"/>
      <c r="J561" s="49"/>
      <c r="K561" s="49"/>
      <c r="L561" s="49" t="s">
        <v>10</v>
      </c>
      <c r="M561" t="s">
        <v>1709</v>
      </c>
    </row>
    <row r="562" spans="1:13" x14ac:dyDescent="0.2">
      <c r="A562" s="49">
        <v>63799</v>
      </c>
      <c r="B562" s="49" t="s">
        <v>202</v>
      </c>
      <c r="C562" s="49" t="s">
        <v>64</v>
      </c>
      <c r="D562" s="49" t="s">
        <v>10</v>
      </c>
      <c r="E562" s="49" t="s">
        <v>6</v>
      </c>
      <c r="F562" s="49" t="s">
        <v>91</v>
      </c>
      <c r="G562" s="49">
        <v>34</v>
      </c>
      <c r="H562" s="49"/>
      <c r="I562" s="49">
        <v>1</v>
      </c>
      <c r="J562" s="49"/>
      <c r="K562" s="49">
        <v>1</v>
      </c>
      <c r="L562" s="49" t="s">
        <v>10</v>
      </c>
      <c r="M562" t="s">
        <v>1709</v>
      </c>
    </row>
    <row r="563" spans="1:13" x14ac:dyDescent="0.2">
      <c r="A563" s="49">
        <v>63768</v>
      </c>
      <c r="B563" s="49" t="s">
        <v>435</v>
      </c>
      <c r="C563" s="49" t="s">
        <v>64</v>
      </c>
      <c r="D563" s="49" t="s">
        <v>10</v>
      </c>
      <c r="E563" s="49" t="s">
        <v>6</v>
      </c>
      <c r="F563" s="49" t="s">
        <v>136</v>
      </c>
      <c r="G563" s="49">
        <v>11</v>
      </c>
      <c r="H563" s="49"/>
      <c r="I563" s="49"/>
      <c r="J563" s="49"/>
      <c r="K563" s="49"/>
      <c r="L563" s="49" t="s">
        <v>10</v>
      </c>
      <c r="M563" t="s">
        <v>1709</v>
      </c>
    </row>
    <row r="564" spans="1:13" x14ac:dyDescent="0.2">
      <c r="A564" s="49">
        <v>63762</v>
      </c>
      <c r="B564" s="49" t="s">
        <v>1642</v>
      </c>
      <c r="C564" s="49" t="s">
        <v>70</v>
      </c>
      <c r="D564" s="49" t="s">
        <v>10</v>
      </c>
      <c r="E564" s="49" t="s">
        <v>8</v>
      </c>
      <c r="F564" s="49" t="s">
        <v>95</v>
      </c>
      <c r="G564" s="49">
        <v>63</v>
      </c>
      <c r="H564" s="49"/>
      <c r="I564" s="49"/>
      <c r="J564" s="49"/>
      <c r="K564" s="49"/>
      <c r="L564" s="49" t="s">
        <v>10</v>
      </c>
      <c r="M564" t="s">
        <v>1709</v>
      </c>
    </row>
    <row r="565" spans="1:13" x14ac:dyDescent="0.2">
      <c r="A565" s="49">
        <v>63750</v>
      </c>
      <c r="B565" s="49" t="s">
        <v>436</v>
      </c>
      <c r="C565" s="49" t="s">
        <v>65</v>
      </c>
      <c r="D565" s="49" t="s">
        <v>10</v>
      </c>
      <c r="E565" s="49" t="s">
        <v>5</v>
      </c>
      <c r="F565" s="49" t="s">
        <v>91</v>
      </c>
      <c r="G565" s="49">
        <v>91</v>
      </c>
      <c r="H565" s="49"/>
      <c r="I565" s="49"/>
      <c r="J565" s="49"/>
      <c r="K565" s="49"/>
      <c r="L565" s="49" t="s">
        <v>10</v>
      </c>
      <c r="M565" t="s">
        <v>1709</v>
      </c>
    </row>
    <row r="566" spans="1:13" x14ac:dyDescent="0.2">
      <c r="A566" s="49">
        <v>63723</v>
      </c>
      <c r="B566" s="49" t="s">
        <v>437</v>
      </c>
      <c r="C566" s="49" t="s">
        <v>70</v>
      </c>
      <c r="D566" s="49" t="s">
        <v>10</v>
      </c>
      <c r="E566" s="49" t="s">
        <v>8</v>
      </c>
      <c r="F566" s="49" t="s">
        <v>95</v>
      </c>
      <c r="G566" s="49">
        <v>14</v>
      </c>
      <c r="H566" s="49"/>
      <c r="I566" s="49"/>
      <c r="J566" s="49"/>
      <c r="K566" s="49"/>
      <c r="L566" s="49" t="s">
        <v>10</v>
      </c>
      <c r="M566" t="s">
        <v>1709</v>
      </c>
    </row>
    <row r="567" spans="1:13" x14ac:dyDescent="0.2">
      <c r="A567" s="49">
        <v>63696</v>
      </c>
      <c r="B567" s="49" t="s">
        <v>333</v>
      </c>
      <c r="C567" s="49" t="s">
        <v>69</v>
      </c>
      <c r="D567" s="49" t="s">
        <v>10</v>
      </c>
      <c r="E567" s="49" t="s">
        <v>12</v>
      </c>
      <c r="F567" s="49" t="s">
        <v>95</v>
      </c>
      <c r="G567" s="49">
        <v>68</v>
      </c>
      <c r="H567" s="49"/>
      <c r="I567" s="49"/>
      <c r="J567" s="49"/>
      <c r="K567" s="49"/>
      <c r="L567" s="49" t="s">
        <v>10</v>
      </c>
      <c r="M567" t="s">
        <v>1709</v>
      </c>
    </row>
    <row r="568" spans="1:13" x14ac:dyDescent="0.2">
      <c r="A568" s="49">
        <v>63645</v>
      </c>
      <c r="B568" s="49" t="s">
        <v>438</v>
      </c>
      <c r="C568" s="49" t="s">
        <v>70</v>
      </c>
      <c r="D568" s="49" t="s">
        <v>10</v>
      </c>
      <c r="E568" s="49" t="s">
        <v>8</v>
      </c>
      <c r="F568" s="49" t="s">
        <v>91</v>
      </c>
      <c r="G568" s="49">
        <v>56</v>
      </c>
      <c r="H568" s="49"/>
      <c r="I568" s="49"/>
      <c r="J568" s="49"/>
      <c r="K568" s="49"/>
      <c r="L568" s="49" t="s">
        <v>10</v>
      </c>
      <c r="M568" t="s">
        <v>1709</v>
      </c>
    </row>
    <row r="569" spans="1:13" x14ac:dyDescent="0.2">
      <c r="A569" s="49">
        <v>63592</v>
      </c>
      <c r="B569" s="49" t="s">
        <v>1524</v>
      </c>
      <c r="C569" s="49" t="s">
        <v>65</v>
      </c>
      <c r="D569" s="49" t="s">
        <v>10</v>
      </c>
      <c r="E569" s="49" t="s">
        <v>5</v>
      </c>
      <c r="F569" s="49" t="s">
        <v>91</v>
      </c>
      <c r="G569" s="49">
        <v>143</v>
      </c>
      <c r="H569" s="49"/>
      <c r="I569" s="49"/>
      <c r="J569" s="49"/>
      <c r="K569" s="49"/>
      <c r="L569" s="49" t="s">
        <v>10</v>
      </c>
      <c r="M569" t="s">
        <v>1709</v>
      </c>
    </row>
    <row r="570" spans="1:13" x14ac:dyDescent="0.2">
      <c r="A570" s="49">
        <v>63578</v>
      </c>
      <c r="B570" s="49" t="s">
        <v>439</v>
      </c>
      <c r="C570" s="49" t="s">
        <v>65</v>
      </c>
      <c r="D570" s="49" t="s">
        <v>10</v>
      </c>
      <c r="E570" s="49" t="s">
        <v>5</v>
      </c>
      <c r="F570" s="49" t="s">
        <v>97</v>
      </c>
      <c r="G570" s="49">
        <v>95</v>
      </c>
      <c r="H570" s="49"/>
      <c r="I570" s="49"/>
      <c r="J570" s="49"/>
      <c r="K570" s="49"/>
      <c r="L570" s="49" t="s">
        <v>10</v>
      </c>
      <c r="M570" t="s">
        <v>1709</v>
      </c>
    </row>
    <row r="571" spans="1:13" x14ac:dyDescent="0.2">
      <c r="A571" s="49">
        <v>63574</v>
      </c>
      <c r="B571" s="49" t="s">
        <v>440</v>
      </c>
      <c r="C571" s="49" t="s">
        <v>70</v>
      </c>
      <c r="D571" s="49" t="s">
        <v>10</v>
      </c>
      <c r="E571" s="49" t="s">
        <v>8</v>
      </c>
      <c r="F571" s="49" t="s">
        <v>91</v>
      </c>
      <c r="G571" s="49">
        <v>55</v>
      </c>
      <c r="H571" s="49"/>
      <c r="I571" s="49"/>
      <c r="J571" s="49"/>
      <c r="K571" s="49"/>
      <c r="L571" s="49" t="s">
        <v>10</v>
      </c>
      <c r="M571" t="s">
        <v>1709</v>
      </c>
    </row>
    <row r="572" spans="1:13" x14ac:dyDescent="0.2">
      <c r="A572" s="49">
        <v>63457</v>
      </c>
      <c r="B572" s="49" t="s">
        <v>441</v>
      </c>
      <c r="C572" s="49" t="s">
        <v>67</v>
      </c>
      <c r="D572" s="49" t="s">
        <v>10</v>
      </c>
      <c r="E572" s="49" t="s">
        <v>12</v>
      </c>
      <c r="F572" s="49" t="s">
        <v>97</v>
      </c>
      <c r="G572" s="49">
        <v>8</v>
      </c>
      <c r="H572" s="49"/>
      <c r="I572" s="49"/>
      <c r="J572" s="49"/>
      <c r="K572" s="49"/>
      <c r="L572" s="49" t="s">
        <v>10</v>
      </c>
      <c r="M572" t="s">
        <v>1709</v>
      </c>
    </row>
    <row r="573" spans="1:13" x14ac:dyDescent="0.2">
      <c r="A573" s="49">
        <v>63429</v>
      </c>
      <c r="B573" s="49" t="s">
        <v>187</v>
      </c>
      <c r="C573" s="49" t="s">
        <v>66</v>
      </c>
      <c r="D573" s="49" t="s">
        <v>10</v>
      </c>
      <c r="E573" s="49" t="s">
        <v>5</v>
      </c>
      <c r="F573" s="49" t="s">
        <v>95</v>
      </c>
      <c r="G573" s="49">
        <v>13</v>
      </c>
      <c r="H573" s="49"/>
      <c r="I573" s="49"/>
      <c r="J573" s="49"/>
      <c r="K573" s="49"/>
      <c r="L573" s="49" t="s">
        <v>10</v>
      </c>
      <c r="M573" t="s">
        <v>1709</v>
      </c>
    </row>
    <row r="574" spans="1:13" x14ac:dyDescent="0.2">
      <c r="A574" s="49">
        <v>63428</v>
      </c>
      <c r="B574" s="49" t="s">
        <v>325</v>
      </c>
      <c r="C574" s="49" t="s">
        <v>70</v>
      </c>
      <c r="D574" s="49" t="s">
        <v>10</v>
      </c>
      <c r="E574" s="49" t="s">
        <v>8</v>
      </c>
      <c r="F574" s="49" t="s">
        <v>91</v>
      </c>
      <c r="G574" s="49">
        <v>62</v>
      </c>
      <c r="H574" s="49"/>
      <c r="I574" s="49"/>
      <c r="J574" s="49"/>
      <c r="K574" s="49"/>
      <c r="L574" s="49" t="s">
        <v>10</v>
      </c>
      <c r="M574" t="s">
        <v>1709</v>
      </c>
    </row>
    <row r="575" spans="1:13" x14ac:dyDescent="0.2">
      <c r="A575" s="49">
        <v>130826</v>
      </c>
      <c r="B575" s="49" t="s">
        <v>442</v>
      </c>
      <c r="C575" s="49" t="s">
        <v>66</v>
      </c>
      <c r="D575" s="49" t="s">
        <v>10</v>
      </c>
      <c r="E575" s="49" t="s">
        <v>5</v>
      </c>
      <c r="F575" s="49" t="s">
        <v>91</v>
      </c>
      <c r="G575" s="49">
        <v>24</v>
      </c>
      <c r="H575" s="49"/>
      <c r="I575" s="49"/>
      <c r="J575" s="49"/>
      <c r="K575" s="49"/>
      <c r="L575" s="49" t="s">
        <v>10</v>
      </c>
      <c r="M575" t="s">
        <v>2002</v>
      </c>
    </row>
    <row r="576" spans="1:13" x14ac:dyDescent="0.2">
      <c r="A576" s="49">
        <v>63422</v>
      </c>
      <c r="B576" s="49" t="s">
        <v>443</v>
      </c>
      <c r="C576" s="49" t="s">
        <v>65</v>
      </c>
      <c r="D576" s="49" t="s">
        <v>10</v>
      </c>
      <c r="E576" s="49" t="s">
        <v>5</v>
      </c>
      <c r="F576" s="49" t="s">
        <v>91</v>
      </c>
      <c r="G576" s="49">
        <v>35</v>
      </c>
      <c r="H576" s="49"/>
      <c r="I576" s="49"/>
      <c r="J576" s="49"/>
      <c r="K576" s="49"/>
      <c r="L576" s="49" t="s">
        <v>10</v>
      </c>
      <c r="M576" t="s">
        <v>1709</v>
      </c>
    </row>
    <row r="577" spans="1:13" x14ac:dyDescent="0.2">
      <c r="A577" s="49">
        <v>63389</v>
      </c>
      <c r="B577" s="49" t="s">
        <v>444</v>
      </c>
      <c r="C577" s="49" t="s">
        <v>65</v>
      </c>
      <c r="D577" s="49" t="s">
        <v>10</v>
      </c>
      <c r="E577" s="49" t="s">
        <v>5</v>
      </c>
      <c r="F577" s="49" t="s">
        <v>95</v>
      </c>
      <c r="G577" s="49">
        <v>123</v>
      </c>
      <c r="H577" s="49"/>
      <c r="I577" s="49"/>
      <c r="J577" s="49"/>
      <c r="K577" s="49"/>
      <c r="L577" s="49" t="s">
        <v>10</v>
      </c>
      <c r="M577" t="s">
        <v>1709</v>
      </c>
    </row>
    <row r="578" spans="1:13" x14ac:dyDescent="0.2">
      <c r="A578" s="49">
        <v>63361</v>
      </c>
      <c r="B578" s="49" t="s">
        <v>445</v>
      </c>
      <c r="C578" s="49" t="s">
        <v>70</v>
      </c>
      <c r="D578" s="49" t="s">
        <v>10</v>
      </c>
      <c r="E578" s="49" t="s">
        <v>8</v>
      </c>
      <c r="F578" s="49" t="s">
        <v>91</v>
      </c>
      <c r="G578" s="49">
        <v>61</v>
      </c>
      <c r="H578" s="49"/>
      <c r="I578" s="49"/>
      <c r="J578" s="49"/>
      <c r="K578" s="49"/>
      <c r="L578" s="49" t="s">
        <v>10</v>
      </c>
      <c r="M578" t="s">
        <v>1709</v>
      </c>
    </row>
    <row r="579" spans="1:13" x14ac:dyDescent="0.2">
      <c r="A579" s="49">
        <v>63296</v>
      </c>
      <c r="B579" s="49" t="s">
        <v>150</v>
      </c>
      <c r="C579" s="49" t="s">
        <v>64</v>
      </c>
      <c r="D579" s="49" t="s">
        <v>10</v>
      </c>
      <c r="E579" s="49" t="s">
        <v>6</v>
      </c>
      <c r="F579" s="49" t="s">
        <v>94</v>
      </c>
      <c r="G579" s="49">
        <v>7</v>
      </c>
      <c r="H579" s="49"/>
      <c r="I579" s="49"/>
      <c r="J579" s="49"/>
      <c r="K579" s="49"/>
      <c r="L579" s="49" t="s">
        <v>10</v>
      </c>
      <c r="M579" t="s">
        <v>1709</v>
      </c>
    </row>
    <row r="580" spans="1:13" x14ac:dyDescent="0.2">
      <c r="A580" s="49">
        <v>63279</v>
      </c>
      <c r="B580" s="49" t="s">
        <v>315</v>
      </c>
      <c r="C580" s="49" t="s">
        <v>68</v>
      </c>
      <c r="D580" s="49" t="s">
        <v>10</v>
      </c>
      <c r="E580" s="49" t="s">
        <v>5</v>
      </c>
      <c r="F580" s="49" t="s">
        <v>95</v>
      </c>
      <c r="G580" s="49">
        <v>53</v>
      </c>
      <c r="H580" s="49"/>
      <c r="I580" s="49"/>
      <c r="J580" s="49"/>
      <c r="K580" s="49"/>
      <c r="L580" s="49" t="s">
        <v>10</v>
      </c>
      <c r="M580" t="s">
        <v>1709</v>
      </c>
    </row>
    <row r="581" spans="1:13" x14ac:dyDescent="0.2">
      <c r="A581" s="49">
        <v>63262</v>
      </c>
      <c r="B581" s="49" t="s">
        <v>446</v>
      </c>
      <c r="C581" s="49" t="s">
        <v>65</v>
      </c>
      <c r="D581" s="49" t="s">
        <v>10</v>
      </c>
      <c r="E581" s="49" t="s">
        <v>5</v>
      </c>
      <c r="F581" s="49" t="s">
        <v>91</v>
      </c>
      <c r="G581" s="49">
        <v>40</v>
      </c>
      <c r="H581" s="49"/>
      <c r="I581" s="49"/>
      <c r="J581" s="49"/>
      <c r="K581" s="49"/>
      <c r="L581" s="49" t="s">
        <v>10</v>
      </c>
      <c r="M581" t="s">
        <v>1709</v>
      </c>
    </row>
    <row r="582" spans="1:13" x14ac:dyDescent="0.2">
      <c r="A582" s="49">
        <v>63250</v>
      </c>
      <c r="B582" s="49" t="s">
        <v>224</v>
      </c>
      <c r="C582" s="49" t="s">
        <v>66</v>
      </c>
      <c r="D582" s="49" t="s">
        <v>10</v>
      </c>
      <c r="E582" s="49" t="s">
        <v>5</v>
      </c>
      <c r="F582" s="49" t="s">
        <v>91</v>
      </c>
      <c r="G582" s="49">
        <v>21</v>
      </c>
      <c r="H582" s="49"/>
      <c r="I582" s="49"/>
      <c r="J582" s="49"/>
      <c r="K582" s="49"/>
      <c r="L582" s="49" t="s">
        <v>10</v>
      </c>
      <c r="M582" t="s">
        <v>1709</v>
      </c>
    </row>
    <row r="583" spans="1:13" x14ac:dyDescent="0.2">
      <c r="A583" s="49">
        <v>63179</v>
      </c>
      <c r="B583" s="49" t="s">
        <v>447</v>
      </c>
      <c r="C583" s="49" t="s">
        <v>70</v>
      </c>
      <c r="D583" s="49" t="s">
        <v>10</v>
      </c>
      <c r="E583" s="49" t="s">
        <v>8</v>
      </c>
      <c r="F583" s="49" t="s">
        <v>91</v>
      </c>
      <c r="G583" s="49">
        <v>60</v>
      </c>
      <c r="H583" s="49"/>
      <c r="I583" s="49"/>
      <c r="J583" s="49"/>
      <c r="K583" s="49"/>
      <c r="L583" s="49" t="s">
        <v>10</v>
      </c>
      <c r="M583" t="s">
        <v>1709</v>
      </c>
    </row>
    <row r="584" spans="1:13" x14ac:dyDescent="0.2">
      <c r="A584" s="49">
        <v>63175</v>
      </c>
      <c r="B584" s="49" t="s">
        <v>448</v>
      </c>
      <c r="C584" s="49" t="s">
        <v>64</v>
      </c>
      <c r="D584" s="49" t="s">
        <v>10</v>
      </c>
      <c r="E584" s="49" t="s">
        <v>6</v>
      </c>
      <c r="F584" s="49" t="s">
        <v>97</v>
      </c>
      <c r="G584" s="49">
        <v>47</v>
      </c>
      <c r="H584" s="49"/>
      <c r="I584" s="49"/>
      <c r="J584" s="49"/>
      <c r="K584" s="49"/>
      <c r="L584" s="49" t="s">
        <v>10</v>
      </c>
      <c r="M584" t="s">
        <v>1709</v>
      </c>
    </row>
    <row r="585" spans="1:13" x14ac:dyDescent="0.2">
      <c r="A585" s="49">
        <v>63173</v>
      </c>
      <c r="B585" s="49" t="s">
        <v>449</v>
      </c>
      <c r="C585" s="49" t="s">
        <v>70</v>
      </c>
      <c r="D585" s="49" t="s">
        <v>10</v>
      </c>
      <c r="E585" s="49" t="s">
        <v>8</v>
      </c>
      <c r="F585" s="49" t="s">
        <v>91</v>
      </c>
      <c r="G585" s="49">
        <v>59</v>
      </c>
      <c r="H585" s="49"/>
      <c r="I585" s="49"/>
      <c r="J585" s="49"/>
      <c r="K585" s="49"/>
      <c r="L585" s="49" t="s">
        <v>10</v>
      </c>
      <c r="M585" t="s">
        <v>1709</v>
      </c>
    </row>
    <row r="586" spans="1:13" x14ac:dyDescent="0.2">
      <c r="A586" s="49">
        <v>63046</v>
      </c>
      <c r="B586" s="49" t="s">
        <v>450</v>
      </c>
      <c r="C586" s="49" t="s">
        <v>66</v>
      </c>
      <c r="D586" s="49" t="s">
        <v>10</v>
      </c>
      <c r="E586" s="49" t="s">
        <v>5</v>
      </c>
      <c r="F586" s="49" t="s">
        <v>93</v>
      </c>
      <c r="G586" s="49">
        <v>6</v>
      </c>
      <c r="H586" s="49"/>
      <c r="I586" s="49"/>
      <c r="J586" s="49"/>
      <c r="K586" s="49"/>
      <c r="L586" s="49" t="s">
        <v>10</v>
      </c>
      <c r="M586" t="s">
        <v>1709</v>
      </c>
    </row>
    <row r="587" spans="1:13" x14ac:dyDescent="0.2">
      <c r="A587" s="49">
        <v>62979</v>
      </c>
      <c r="B587" s="49" t="s">
        <v>215</v>
      </c>
      <c r="C587" s="49" t="s">
        <v>66</v>
      </c>
      <c r="D587" s="49" t="s">
        <v>10</v>
      </c>
      <c r="E587" s="49" t="s">
        <v>5</v>
      </c>
      <c r="F587" s="49" t="s">
        <v>95</v>
      </c>
      <c r="G587" s="49">
        <v>19</v>
      </c>
      <c r="H587" s="49"/>
      <c r="I587" s="49"/>
      <c r="J587" s="49"/>
      <c r="K587" s="49"/>
      <c r="L587" s="49" t="s">
        <v>10</v>
      </c>
      <c r="M587" t="s">
        <v>1709</v>
      </c>
    </row>
    <row r="588" spans="1:13" x14ac:dyDescent="0.2">
      <c r="A588" s="49">
        <v>62973</v>
      </c>
      <c r="B588" s="49" t="s">
        <v>225</v>
      </c>
      <c r="C588" s="49" t="s">
        <v>68</v>
      </c>
      <c r="D588" s="49" t="s">
        <v>10</v>
      </c>
      <c r="E588" s="49" t="s">
        <v>5</v>
      </c>
      <c r="F588" s="49" t="s">
        <v>97</v>
      </c>
      <c r="G588" s="49">
        <v>18</v>
      </c>
      <c r="H588" s="49"/>
      <c r="I588" s="49"/>
      <c r="J588" s="49"/>
      <c r="K588" s="49"/>
      <c r="L588" s="49" t="s">
        <v>10</v>
      </c>
      <c r="M588" t="s">
        <v>1709</v>
      </c>
    </row>
    <row r="589" spans="1:13" x14ac:dyDescent="0.2">
      <c r="A589" s="49">
        <v>62945</v>
      </c>
      <c r="B589" s="49" t="s">
        <v>451</v>
      </c>
      <c r="C589" s="49" t="s">
        <v>66</v>
      </c>
      <c r="D589" s="49" t="s">
        <v>10</v>
      </c>
      <c r="E589" s="49" t="s">
        <v>5</v>
      </c>
      <c r="F589" s="49" t="s">
        <v>95</v>
      </c>
      <c r="G589" s="49">
        <v>5</v>
      </c>
      <c r="H589" s="49"/>
      <c r="I589" s="49"/>
      <c r="J589" s="49"/>
      <c r="K589" s="49"/>
      <c r="L589" s="49" t="s">
        <v>10</v>
      </c>
      <c r="M589" t="s">
        <v>1709</v>
      </c>
    </row>
    <row r="590" spans="1:13" x14ac:dyDescent="0.2">
      <c r="A590" s="49">
        <v>62882</v>
      </c>
      <c r="B590" s="49" t="s">
        <v>191</v>
      </c>
      <c r="C590" s="49" t="s">
        <v>64</v>
      </c>
      <c r="D590" s="49" t="s">
        <v>10</v>
      </c>
      <c r="E590" s="49" t="s">
        <v>6</v>
      </c>
      <c r="F590" s="49" t="s">
        <v>91</v>
      </c>
      <c r="G590" s="49">
        <v>28</v>
      </c>
      <c r="H590" s="49"/>
      <c r="I590" s="49"/>
      <c r="J590" s="49"/>
      <c r="K590" s="49"/>
      <c r="L590" s="49" t="s">
        <v>10</v>
      </c>
      <c r="M590" t="s">
        <v>1709</v>
      </c>
    </row>
    <row r="591" spans="1:13" x14ac:dyDescent="0.2">
      <c r="A591" s="49">
        <v>62846</v>
      </c>
      <c r="B591" s="49" t="s">
        <v>452</v>
      </c>
      <c r="C591" s="49" t="s">
        <v>69</v>
      </c>
      <c r="D591" s="49" t="s">
        <v>10</v>
      </c>
      <c r="E591" s="49" t="s">
        <v>12</v>
      </c>
      <c r="F591" s="49" t="s">
        <v>91</v>
      </c>
      <c r="G591" s="49">
        <v>66</v>
      </c>
      <c r="H591" s="49"/>
      <c r="I591" s="49"/>
      <c r="J591" s="49"/>
      <c r="K591" s="49"/>
      <c r="L591" s="49" t="s">
        <v>10</v>
      </c>
      <c r="M591" t="s">
        <v>1709</v>
      </c>
    </row>
    <row r="592" spans="1:13" x14ac:dyDescent="0.2">
      <c r="A592" s="49">
        <v>62833</v>
      </c>
      <c r="B592" s="49" t="s">
        <v>453</v>
      </c>
      <c r="C592" s="49" t="s">
        <v>65</v>
      </c>
      <c r="D592" s="49" t="s">
        <v>10</v>
      </c>
      <c r="E592" s="49" t="s">
        <v>5</v>
      </c>
      <c r="F592" s="49" t="s">
        <v>93</v>
      </c>
      <c r="G592" s="49">
        <v>55</v>
      </c>
      <c r="H592" s="49"/>
      <c r="I592" s="49"/>
      <c r="J592" s="49"/>
      <c r="K592" s="49"/>
      <c r="L592" s="49" t="s">
        <v>10</v>
      </c>
      <c r="M592" t="s">
        <v>1709</v>
      </c>
    </row>
    <row r="593" spans="1:13" x14ac:dyDescent="0.2">
      <c r="A593" s="49">
        <v>62731</v>
      </c>
      <c r="B593" s="49" t="s">
        <v>454</v>
      </c>
      <c r="C593" s="49" t="s">
        <v>65</v>
      </c>
      <c r="D593" s="49" t="s">
        <v>10</v>
      </c>
      <c r="E593" s="49" t="s">
        <v>5</v>
      </c>
      <c r="F593" s="49" t="s">
        <v>91</v>
      </c>
      <c r="G593" s="49">
        <v>46</v>
      </c>
      <c r="H593" s="49"/>
      <c r="I593" s="49"/>
      <c r="J593" s="49"/>
      <c r="K593" s="49"/>
      <c r="L593" s="49" t="s">
        <v>10</v>
      </c>
      <c r="M593" t="s">
        <v>1709</v>
      </c>
    </row>
    <row r="594" spans="1:13" x14ac:dyDescent="0.2">
      <c r="A594" s="49">
        <v>62641</v>
      </c>
      <c r="B594" s="49" t="s">
        <v>455</v>
      </c>
      <c r="C594" s="49" t="s">
        <v>70</v>
      </c>
      <c r="D594" s="49" t="s">
        <v>10</v>
      </c>
      <c r="E594" s="49" t="s">
        <v>8</v>
      </c>
      <c r="F594" s="49" t="s">
        <v>91</v>
      </c>
      <c r="G594" s="49">
        <v>58</v>
      </c>
      <c r="H594" s="49"/>
      <c r="I594" s="49"/>
      <c r="J594" s="49"/>
      <c r="K594" s="49"/>
      <c r="L594" s="49" t="s">
        <v>10</v>
      </c>
      <c r="M594" t="s">
        <v>1709</v>
      </c>
    </row>
    <row r="595" spans="1:13" x14ac:dyDescent="0.2">
      <c r="A595" s="49">
        <v>62466</v>
      </c>
      <c r="B595" s="49" t="s">
        <v>456</v>
      </c>
      <c r="C595" s="49" t="s">
        <v>64</v>
      </c>
      <c r="D595" s="49" t="s">
        <v>10</v>
      </c>
      <c r="E595" s="49" t="s">
        <v>6</v>
      </c>
      <c r="F595" s="49" t="s">
        <v>97</v>
      </c>
      <c r="G595" s="49">
        <v>27</v>
      </c>
      <c r="H595" s="49"/>
      <c r="I595" s="49"/>
      <c r="J595" s="49"/>
      <c r="K595" s="49"/>
      <c r="L595" s="49" t="s">
        <v>10</v>
      </c>
      <c r="M595" t="s">
        <v>1709</v>
      </c>
    </row>
    <row r="596" spans="1:13" x14ac:dyDescent="0.2">
      <c r="A596" s="49">
        <v>62456</v>
      </c>
      <c r="B596" s="49" t="s">
        <v>457</v>
      </c>
      <c r="C596" s="49" t="s">
        <v>70</v>
      </c>
      <c r="D596" s="49" t="s">
        <v>10</v>
      </c>
      <c r="E596" s="49" t="s">
        <v>8</v>
      </c>
      <c r="F596" s="49" t="s">
        <v>97</v>
      </c>
      <c r="G596" s="49">
        <v>36</v>
      </c>
      <c r="H596" s="49"/>
      <c r="I596" s="49"/>
      <c r="J596" s="49"/>
      <c r="K596" s="49"/>
      <c r="L596" s="49" t="s">
        <v>10</v>
      </c>
      <c r="M596" t="s">
        <v>1709</v>
      </c>
    </row>
    <row r="597" spans="1:13" x14ac:dyDescent="0.2">
      <c r="A597" s="49">
        <v>62413</v>
      </c>
      <c r="B597" s="49" t="s">
        <v>458</v>
      </c>
      <c r="C597" s="49" t="s">
        <v>70</v>
      </c>
      <c r="D597" s="49" t="s">
        <v>10</v>
      </c>
      <c r="E597" s="49" t="s">
        <v>8</v>
      </c>
      <c r="F597" s="49" t="s">
        <v>95</v>
      </c>
      <c r="G597" s="49">
        <v>65</v>
      </c>
      <c r="H597" s="49"/>
      <c r="I597" s="49"/>
      <c r="J597" s="49"/>
      <c r="K597" s="49"/>
      <c r="L597" s="49" t="s">
        <v>10</v>
      </c>
      <c r="M597" t="s">
        <v>1709</v>
      </c>
    </row>
    <row r="598" spans="1:13" x14ac:dyDescent="0.2">
      <c r="A598" s="49">
        <v>62339</v>
      </c>
      <c r="B598" s="49" t="s">
        <v>459</v>
      </c>
      <c r="C598" s="49" t="s">
        <v>64</v>
      </c>
      <c r="D598" s="49" t="s">
        <v>10</v>
      </c>
      <c r="E598" s="49" t="s">
        <v>6</v>
      </c>
      <c r="F598" s="49" t="s">
        <v>136</v>
      </c>
      <c r="G598" s="49">
        <v>5</v>
      </c>
      <c r="H598" s="49"/>
      <c r="I598" s="49"/>
      <c r="J598" s="49"/>
      <c r="K598" s="49"/>
      <c r="L598" s="49" t="s">
        <v>10</v>
      </c>
      <c r="M598" t="s">
        <v>1709</v>
      </c>
    </row>
    <row r="599" spans="1:13" x14ac:dyDescent="0.2">
      <c r="A599" s="49">
        <v>62285</v>
      </c>
      <c r="B599" s="49" t="s">
        <v>328</v>
      </c>
      <c r="C599" s="49" t="s">
        <v>70</v>
      </c>
      <c r="D599" s="49" t="s">
        <v>10</v>
      </c>
      <c r="E599" s="49" t="s">
        <v>8</v>
      </c>
      <c r="F599" s="49" t="s">
        <v>91</v>
      </c>
      <c r="G599" s="49">
        <v>64</v>
      </c>
      <c r="H599" s="49"/>
      <c r="I599" s="49"/>
      <c r="J599" s="49"/>
      <c r="K599" s="49"/>
      <c r="L599" s="49" t="s">
        <v>10</v>
      </c>
      <c r="M599" t="s">
        <v>1709</v>
      </c>
    </row>
    <row r="600" spans="1:13" x14ac:dyDescent="0.2">
      <c r="A600" s="49">
        <v>62205</v>
      </c>
      <c r="B600" s="49" t="s">
        <v>184</v>
      </c>
      <c r="C600" s="49" t="s">
        <v>68</v>
      </c>
      <c r="D600" s="49" t="s">
        <v>10</v>
      </c>
      <c r="E600" s="49" t="s">
        <v>5</v>
      </c>
      <c r="F600" s="49" t="s">
        <v>95</v>
      </c>
      <c r="G600" s="49">
        <v>9</v>
      </c>
      <c r="H600" s="49"/>
      <c r="I600" s="49"/>
      <c r="J600" s="49"/>
      <c r="K600" s="49"/>
      <c r="L600" s="49" t="s">
        <v>10</v>
      </c>
      <c r="M600" t="s">
        <v>1709</v>
      </c>
    </row>
    <row r="601" spans="1:13" x14ac:dyDescent="0.2">
      <c r="A601" s="49">
        <v>62187</v>
      </c>
      <c r="B601" s="49" t="s">
        <v>460</v>
      </c>
      <c r="C601" s="49" t="s">
        <v>67</v>
      </c>
      <c r="D601" s="49" t="s">
        <v>10</v>
      </c>
      <c r="E601" s="49" t="s">
        <v>12</v>
      </c>
      <c r="F601" s="49" t="s">
        <v>97</v>
      </c>
      <c r="G601" s="49">
        <v>10</v>
      </c>
      <c r="H601" s="49"/>
      <c r="I601" s="49"/>
      <c r="J601" s="49"/>
      <c r="K601" s="49"/>
      <c r="L601" s="49" t="s">
        <v>10</v>
      </c>
      <c r="M601" t="s">
        <v>1709</v>
      </c>
    </row>
    <row r="602" spans="1:13" x14ac:dyDescent="0.2">
      <c r="A602" s="49">
        <v>62062</v>
      </c>
      <c r="B602" s="49" t="s">
        <v>296</v>
      </c>
      <c r="C602" s="49" t="s">
        <v>65</v>
      </c>
      <c r="D602" s="49" t="s">
        <v>10</v>
      </c>
      <c r="E602" s="49" t="s">
        <v>5</v>
      </c>
      <c r="F602" s="49" t="s">
        <v>91</v>
      </c>
      <c r="G602" s="49">
        <v>47</v>
      </c>
      <c r="H602" s="49"/>
      <c r="I602" s="49"/>
      <c r="J602" s="49"/>
      <c r="K602" s="49"/>
      <c r="L602" s="49" t="s">
        <v>10</v>
      </c>
      <c r="M602" t="s">
        <v>1709</v>
      </c>
    </row>
    <row r="603" spans="1:13" x14ac:dyDescent="0.2">
      <c r="A603" s="49">
        <v>62059</v>
      </c>
      <c r="B603" s="49" t="s">
        <v>461</v>
      </c>
      <c r="C603" s="49" t="s">
        <v>70</v>
      </c>
      <c r="D603" s="49" t="s">
        <v>10</v>
      </c>
      <c r="E603" s="49" t="s">
        <v>8</v>
      </c>
      <c r="F603" s="49" t="s">
        <v>91</v>
      </c>
      <c r="G603" s="49">
        <v>66</v>
      </c>
      <c r="H603" s="49"/>
      <c r="I603" s="49"/>
      <c r="J603" s="49"/>
      <c r="K603" s="49"/>
      <c r="L603" s="49" t="s">
        <v>10</v>
      </c>
      <c r="M603" t="s">
        <v>1709</v>
      </c>
    </row>
    <row r="604" spans="1:13" x14ac:dyDescent="0.2">
      <c r="A604" s="49">
        <v>61995</v>
      </c>
      <c r="B604" s="49" t="s">
        <v>462</v>
      </c>
      <c r="C604" s="49" t="s">
        <v>70</v>
      </c>
      <c r="D604" s="49" t="s">
        <v>10</v>
      </c>
      <c r="E604" s="49" t="s">
        <v>8</v>
      </c>
      <c r="F604" s="49" t="s">
        <v>91</v>
      </c>
      <c r="G604" s="49">
        <v>17</v>
      </c>
      <c r="H604" s="49"/>
      <c r="I604" s="49"/>
      <c r="J604" s="49"/>
      <c r="K604" s="49"/>
      <c r="L604" s="49" t="s">
        <v>10</v>
      </c>
      <c r="M604" t="s">
        <v>1709</v>
      </c>
    </row>
    <row r="605" spans="1:13" x14ac:dyDescent="0.2">
      <c r="A605" s="49">
        <v>61994</v>
      </c>
      <c r="B605" s="49" t="s">
        <v>463</v>
      </c>
      <c r="C605" s="49" t="s">
        <v>70</v>
      </c>
      <c r="D605" s="49" t="s">
        <v>10</v>
      </c>
      <c r="E605" s="49" t="s">
        <v>8</v>
      </c>
      <c r="F605" s="49" t="s">
        <v>91</v>
      </c>
      <c r="G605" s="49">
        <v>16</v>
      </c>
      <c r="H605" s="49"/>
      <c r="I605" s="49"/>
      <c r="J605" s="49"/>
      <c r="K605" s="49"/>
      <c r="L605" s="49" t="s">
        <v>10</v>
      </c>
      <c r="M605" t="s">
        <v>1709</v>
      </c>
    </row>
    <row r="606" spans="1:13" x14ac:dyDescent="0.2">
      <c r="A606" s="49">
        <v>61993</v>
      </c>
      <c r="B606" s="49" t="s">
        <v>464</v>
      </c>
      <c r="C606" s="49" t="s">
        <v>70</v>
      </c>
      <c r="D606" s="49" t="s">
        <v>10</v>
      </c>
      <c r="E606" s="49" t="s">
        <v>8</v>
      </c>
      <c r="F606" s="49" t="s">
        <v>91</v>
      </c>
      <c r="G606" s="49">
        <v>15</v>
      </c>
      <c r="H606" s="49"/>
      <c r="I606" s="49"/>
      <c r="J606" s="49"/>
      <c r="K606" s="49"/>
      <c r="L606" s="49" t="s">
        <v>10</v>
      </c>
      <c r="M606" t="s">
        <v>1709</v>
      </c>
    </row>
    <row r="607" spans="1:13" x14ac:dyDescent="0.2">
      <c r="A607" s="49">
        <v>61991</v>
      </c>
      <c r="B607" s="49" t="s">
        <v>465</v>
      </c>
      <c r="C607" s="49" t="s">
        <v>70</v>
      </c>
      <c r="D607" s="49" t="s">
        <v>10</v>
      </c>
      <c r="E607" s="49" t="s">
        <v>8</v>
      </c>
      <c r="F607" s="49" t="s">
        <v>91</v>
      </c>
      <c r="G607" s="49">
        <v>12</v>
      </c>
      <c r="H607" s="49"/>
      <c r="I607" s="49"/>
      <c r="J607" s="49"/>
      <c r="K607" s="49"/>
      <c r="L607" s="49" t="s">
        <v>10</v>
      </c>
      <c r="M607" t="s">
        <v>1709</v>
      </c>
    </row>
    <row r="608" spans="1:13" x14ac:dyDescent="0.2">
      <c r="A608" s="49">
        <v>61990</v>
      </c>
      <c r="B608" s="49" t="s">
        <v>466</v>
      </c>
      <c r="C608" s="49" t="s">
        <v>70</v>
      </c>
      <c r="D608" s="49" t="s">
        <v>10</v>
      </c>
      <c r="E608" s="49" t="s">
        <v>8</v>
      </c>
      <c r="F608" s="49" t="s">
        <v>91</v>
      </c>
      <c r="G608" s="49">
        <v>9</v>
      </c>
      <c r="H608" s="49"/>
      <c r="I608" s="49"/>
      <c r="J608" s="49"/>
      <c r="K608" s="49"/>
      <c r="L608" s="49" t="s">
        <v>10</v>
      </c>
      <c r="M608" t="s">
        <v>1709</v>
      </c>
    </row>
    <row r="609" spans="1:13" x14ac:dyDescent="0.2">
      <c r="A609" s="49">
        <v>61989</v>
      </c>
      <c r="B609" s="49" t="s">
        <v>467</v>
      </c>
      <c r="C609" s="49" t="s">
        <v>70</v>
      </c>
      <c r="D609" s="49" t="s">
        <v>10</v>
      </c>
      <c r="E609" s="49" t="s">
        <v>8</v>
      </c>
      <c r="F609" s="49" t="s">
        <v>91</v>
      </c>
      <c r="G609" s="49">
        <v>8</v>
      </c>
      <c r="H609" s="49"/>
      <c r="I609" s="49"/>
      <c r="J609" s="49"/>
      <c r="K609" s="49"/>
      <c r="L609" s="49" t="s">
        <v>10</v>
      </c>
      <c r="M609" t="s">
        <v>1709</v>
      </c>
    </row>
    <row r="610" spans="1:13" x14ac:dyDescent="0.2">
      <c r="A610" s="49">
        <v>61988</v>
      </c>
      <c r="B610" s="49" t="s">
        <v>468</v>
      </c>
      <c r="C610" s="49" t="s">
        <v>70</v>
      </c>
      <c r="D610" s="49" t="s">
        <v>10</v>
      </c>
      <c r="E610" s="49" t="s">
        <v>8</v>
      </c>
      <c r="F610" s="49" t="s">
        <v>91</v>
      </c>
      <c r="G610" s="49">
        <v>7</v>
      </c>
      <c r="H610" s="49"/>
      <c r="I610" s="49"/>
      <c r="J610" s="49"/>
      <c r="K610" s="49"/>
      <c r="L610" s="49" t="s">
        <v>10</v>
      </c>
      <c r="M610" t="s">
        <v>1709</v>
      </c>
    </row>
    <row r="611" spans="1:13" x14ac:dyDescent="0.2">
      <c r="A611" s="49">
        <v>61986</v>
      </c>
      <c r="B611" s="49" t="s">
        <v>169</v>
      </c>
      <c r="C611" s="49" t="s">
        <v>70</v>
      </c>
      <c r="D611" s="49" t="s">
        <v>10</v>
      </c>
      <c r="E611" s="49" t="s">
        <v>8</v>
      </c>
      <c r="F611" s="49" t="s">
        <v>91</v>
      </c>
      <c r="G611" s="49">
        <v>5</v>
      </c>
      <c r="H611" s="49"/>
      <c r="I611" s="49"/>
      <c r="J611" s="49"/>
      <c r="K611" s="49"/>
      <c r="L611" s="49" t="s">
        <v>10</v>
      </c>
      <c r="M611" t="s">
        <v>1709</v>
      </c>
    </row>
    <row r="612" spans="1:13" x14ac:dyDescent="0.2">
      <c r="A612" s="49">
        <v>61984</v>
      </c>
      <c r="B612" s="49" t="s">
        <v>469</v>
      </c>
      <c r="C612" s="49" t="s">
        <v>70</v>
      </c>
      <c r="D612" s="49" t="s">
        <v>10</v>
      </c>
      <c r="E612" s="49" t="s">
        <v>8</v>
      </c>
      <c r="F612" s="49" t="s">
        <v>95</v>
      </c>
      <c r="G612" s="49">
        <v>54</v>
      </c>
      <c r="H612" s="49"/>
      <c r="I612" s="49"/>
      <c r="J612" s="49"/>
      <c r="K612" s="49"/>
      <c r="L612" s="49" t="s">
        <v>10</v>
      </c>
      <c r="M612" t="s">
        <v>1709</v>
      </c>
    </row>
    <row r="613" spans="1:13" x14ac:dyDescent="0.2">
      <c r="A613" s="49">
        <v>61968</v>
      </c>
      <c r="B613" s="49" t="s">
        <v>1611</v>
      </c>
      <c r="C613" s="49" t="s">
        <v>64</v>
      </c>
      <c r="D613" s="49" t="s">
        <v>10</v>
      </c>
      <c r="E613" s="49" t="s">
        <v>6</v>
      </c>
      <c r="F613" s="49" t="s">
        <v>136</v>
      </c>
      <c r="G613" s="49">
        <v>33</v>
      </c>
      <c r="H613" s="49">
        <v>2</v>
      </c>
      <c r="I613" s="49">
        <v>2</v>
      </c>
      <c r="J613" s="49">
        <v>2</v>
      </c>
      <c r="K613" s="49">
        <v>2</v>
      </c>
      <c r="L613" s="49" t="s">
        <v>10</v>
      </c>
      <c r="M613" t="s">
        <v>1709</v>
      </c>
    </row>
    <row r="614" spans="1:13" x14ac:dyDescent="0.2">
      <c r="A614" s="49">
        <v>61906</v>
      </c>
      <c r="B614" s="49" t="s">
        <v>245</v>
      </c>
      <c r="C614" s="49" t="s">
        <v>68</v>
      </c>
      <c r="D614" s="49" t="s">
        <v>10</v>
      </c>
      <c r="E614" s="49" t="s">
        <v>5</v>
      </c>
      <c r="F614" s="49" t="s">
        <v>91</v>
      </c>
      <c r="G614" s="49">
        <v>22</v>
      </c>
      <c r="H614" s="49"/>
      <c r="I614" s="49"/>
      <c r="J614" s="49"/>
      <c r="K614" s="49"/>
      <c r="L614" s="49" t="s">
        <v>10</v>
      </c>
      <c r="M614" t="s">
        <v>1709</v>
      </c>
    </row>
    <row r="615" spans="1:13" x14ac:dyDescent="0.2">
      <c r="A615" s="49">
        <v>61841</v>
      </c>
      <c r="B615" s="49" t="s">
        <v>470</v>
      </c>
      <c r="C615" s="49" t="s">
        <v>69</v>
      </c>
      <c r="D615" s="49" t="s">
        <v>10</v>
      </c>
      <c r="E615" s="49" t="s">
        <v>12</v>
      </c>
      <c r="F615" s="49" t="s">
        <v>91</v>
      </c>
      <c r="G615" s="49">
        <v>65</v>
      </c>
      <c r="H615" s="49"/>
      <c r="I615" s="49"/>
      <c r="J615" s="49"/>
      <c r="K615" s="49"/>
      <c r="L615" s="49" t="s">
        <v>10</v>
      </c>
      <c r="M615" t="s">
        <v>1709</v>
      </c>
    </row>
    <row r="616" spans="1:13" x14ac:dyDescent="0.2">
      <c r="A616" s="49">
        <v>61798</v>
      </c>
      <c r="B616" s="49" t="s">
        <v>1604</v>
      </c>
      <c r="C616" s="49" t="s">
        <v>71</v>
      </c>
      <c r="D616" s="49" t="s">
        <v>10</v>
      </c>
      <c r="E616" s="49" t="s">
        <v>12</v>
      </c>
      <c r="F616" s="49" t="s">
        <v>93</v>
      </c>
      <c r="G616" s="49">
        <v>2</v>
      </c>
      <c r="H616" s="49"/>
      <c r="I616" s="49"/>
      <c r="J616" s="49"/>
      <c r="K616" s="49"/>
      <c r="L616" s="49" t="s">
        <v>10</v>
      </c>
      <c r="M616" t="s">
        <v>1709</v>
      </c>
    </row>
    <row r="617" spans="1:13" x14ac:dyDescent="0.2">
      <c r="A617" s="49">
        <v>61789</v>
      </c>
      <c r="B617" s="49" t="s">
        <v>471</v>
      </c>
      <c r="C617" s="49" t="s">
        <v>70</v>
      </c>
      <c r="D617" s="49" t="s">
        <v>10</v>
      </c>
      <c r="E617" s="49" t="s">
        <v>8</v>
      </c>
      <c r="F617" s="49" t="s">
        <v>91</v>
      </c>
      <c r="G617" s="49">
        <v>52</v>
      </c>
      <c r="H617" s="49"/>
      <c r="I617" s="49"/>
      <c r="J617" s="49"/>
      <c r="K617" s="49"/>
      <c r="L617" s="49" t="s">
        <v>10</v>
      </c>
      <c r="M617" t="s">
        <v>1709</v>
      </c>
    </row>
    <row r="618" spans="1:13" x14ac:dyDescent="0.2">
      <c r="A618" s="49">
        <v>61754</v>
      </c>
      <c r="B618" s="49" t="s">
        <v>472</v>
      </c>
      <c r="C618" s="49" t="s">
        <v>65</v>
      </c>
      <c r="D618" s="49" t="s">
        <v>10</v>
      </c>
      <c r="E618" s="49" t="s">
        <v>5</v>
      </c>
      <c r="F618" s="49" t="s">
        <v>97</v>
      </c>
      <c r="G618" s="49">
        <v>124</v>
      </c>
      <c r="H618" s="49"/>
      <c r="I618" s="49"/>
      <c r="J618" s="49"/>
      <c r="K618" s="49"/>
      <c r="L618" s="49" t="s">
        <v>10</v>
      </c>
      <c r="M618" t="s">
        <v>1709</v>
      </c>
    </row>
    <row r="619" spans="1:13" x14ac:dyDescent="0.2">
      <c r="A619" s="49">
        <v>61744</v>
      </c>
      <c r="B619" s="49" t="s">
        <v>473</v>
      </c>
      <c r="C619" s="49" t="s">
        <v>65</v>
      </c>
      <c r="D619" s="49" t="s">
        <v>10</v>
      </c>
      <c r="E619" s="49" t="s">
        <v>5</v>
      </c>
      <c r="F619" s="49" t="s">
        <v>95</v>
      </c>
      <c r="G619" s="49">
        <v>90</v>
      </c>
      <c r="H619" s="49"/>
      <c r="I619" s="49"/>
      <c r="J619" s="49"/>
      <c r="K619" s="49"/>
      <c r="L619" s="49" t="s">
        <v>10</v>
      </c>
      <c r="M619" t="s">
        <v>1709</v>
      </c>
    </row>
    <row r="620" spans="1:13" x14ac:dyDescent="0.2">
      <c r="A620" s="49">
        <v>61734</v>
      </c>
      <c r="B620" s="49" t="s">
        <v>262</v>
      </c>
      <c r="C620" s="49" t="s">
        <v>65</v>
      </c>
      <c r="D620" s="49" t="s">
        <v>10</v>
      </c>
      <c r="E620" s="49" t="s">
        <v>5</v>
      </c>
      <c r="F620" s="49" t="s">
        <v>95</v>
      </c>
      <c r="G620" s="49">
        <v>34</v>
      </c>
      <c r="H620" s="49"/>
      <c r="I620" s="49"/>
      <c r="J620" s="49"/>
      <c r="K620" s="49"/>
      <c r="L620" s="49" t="s">
        <v>10</v>
      </c>
      <c r="M620" t="s">
        <v>1709</v>
      </c>
    </row>
    <row r="621" spans="1:13" x14ac:dyDescent="0.2">
      <c r="A621" s="49">
        <v>61721</v>
      </c>
      <c r="B621" s="49" t="s">
        <v>227</v>
      </c>
      <c r="C621" s="49" t="s">
        <v>68</v>
      </c>
      <c r="D621" s="49" t="s">
        <v>10</v>
      </c>
      <c r="E621" s="49" t="s">
        <v>5</v>
      </c>
      <c r="F621" s="49" t="s">
        <v>95</v>
      </c>
      <c r="G621" s="49">
        <v>19</v>
      </c>
      <c r="H621" s="49"/>
      <c r="I621" s="49"/>
      <c r="J621" s="49"/>
      <c r="K621" s="49"/>
      <c r="L621" s="49" t="s">
        <v>10</v>
      </c>
      <c r="M621" t="s">
        <v>1709</v>
      </c>
    </row>
    <row r="622" spans="1:13" x14ac:dyDescent="0.2">
      <c r="A622" s="49">
        <v>61633</v>
      </c>
      <c r="B622" s="49" t="s">
        <v>180</v>
      </c>
      <c r="C622" s="49" t="s">
        <v>66</v>
      </c>
      <c r="D622" s="49" t="s">
        <v>10</v>
      </c>
      <c r="E622" s="49" t="s">
        <v>5</v>
      </c>
      <c r="F622" s="49" t="s">
        <v>95</v>
      </c>
      <c r="G622" s="49">
        <v>11</v>
      </c>
      <c r="H622" s="49"/>
      <c r="I622" s="49"/>
      <c r="J622" s="49"/>
      <c r="K622" s="49"/>
      <c r="L622" s="49" t="s">
        <v>10</v>
      </c>
      <c r="M622" t="s">
        <v>1709</v>
      </c>
    </row>
    <row r="623" spans="1:13" x14ac:dyDescent="0.2">
      <c r="A623" s="49">
        <v>61629</v>
      </c>
      <c r="B623" s="49" t="s">
        <v>308</v>
      </c>
      <c r="C623" s="49" t="s">
        <v>70</v>
      </c>
      <c r="D623" s="49" t="s">
        <v>10</v>
      </c>
      <c r="E623" s="49" t="s">
        <v>8</v>
      </c>
      <c r="F623" s="49" t="s">
        <v>91</v>
      </c>
      <c r="G623" s="49">
        <v>51</v>
      </c>
      <c r="H623" s="49"/>
      <c r="I623" s="49"/>
      <c r="J623" s="49"/>
      <c r="K623" s="49"/>
      <c r="L623" s="49" t="s">
        <v>10</v>
      </c>
      <c r="M623" t="s">
        <v>1709</v>
      </c>
    </row>
    <row r="624" spans="1:13" x14ac:dyDescent="0.2">
      <c r="A624" s="49">
        <v>61617</v>
      </c>
      <c r="B624" s="49" t="s">
        <v>306</v>
      </c>
      <c r="C624" s="49" t="s">
        <v>70</v>
      </c>
      <c r="D624" s="49" t="s">
        <v>10</v>
      </c>
      <c r="E624" s="49" t="s">
        <v>8</v>
      </c>
      <c r="F624" s="49" t="s">
        <v>91</v>
      </c>
      <c r="G624" s="49">
        <v>50</v>
      </c>
      <c r="H624" s="49"/>
      <c r="I624" s="49"/>
      <c r="J624" s="49"/>
      <c r="K624" s="49"/>
      <c r="L624" s="49" t="s">
        <v>10</v>
      </c>
      <c r="M624" t="s">
        <v>1709</v>
      </c>
    </row>
    <row r="625" spans="1:13" x14ac:dyDescent="0.2">
      <c r="A625" s="49">
        <v>61393</v>
      </c>
      <c r="B625" s="49" t="s">
        <v>334</v>
      </c>
      <c r="C625" s="49" t="s">
        <v>65</v>
      </c>
      <c r="D625" s="49" t="s">
        <v>10</v>
      </c>
      <c r="E625" s="49" t="s">
        <v>5</v>
      </c>
      <c r="F625" s="49" t="s">
        <v>91</v>
      </c>
      <c r="G625" s="49">
        <v>69</v>
      </c>
      <c r="H625" s="49"/>
      <c r="I625" s="49"/>
      <c r="J625" s="49"/>
      <c r="K625" s="49"/>
      <c r="L625" s="49" t="s">
        <v>10</v>
      </c>
      <c r="M625" t="s">
        <v>1709</v>
      </c>
    </row>
    <row r="626" spans="1:13" x14ac:dyDescent="0.2">
      <c r="A626" s="49">
        <v>61365</v>
      </c>
      <c r="B626" s="49" t="s">
        <v>474</v>
      </c>
      <c r="C626" s="49" t="s">
        <v>65</v>
      </c>
      <c r="D626" s="49" t="s">
        <v>10</v>
      </c>
      <c r="E626" s="49" t="s">
        <v>5</v>
      </c>
      <c r="F626" s="49" t="s">
        <v>91</v>
      </c>
      <c r="G626" s="49">
        <v>89</v>
      </c>
      <c r="H626" s="49"/>
      <c r="I626" s="49"/>
      <c r="J626" s="49"/>
      <c r="K626" s="49"/>
      <c r="L626" s="49" t="s">
        <v>10</v>
      </c>
      <c r="M626" t="s">
        <v>1709</v>
      </c>
    </row>
    <row r="627" spans="1:13" x14ac:dyDescent="0.2">
      <c r="A627" s="49">
        <v>61337</v>
      </c>
      <c r="B627" s="49" t="s">
        <v>475</v>
      </c>
      <c r="C627" s="49" t="s">
        <v>70</v>
      </c>
      <c r="D627" s="49" t="s">
        <v>10</v>
      </c>
      <c r="E627" s="49" t="s">
        <v>8</v>
      </c>
      <c r="F627" s="49" t="s">
        <v>95</v>
      </c>
      <c r="G627" s="49">
        <v>6</v>
      </c>
      <c r="H627" s="49"/>
      <c r="I627" s="49"/>
      <c r="J627" s="49"/>
      <c r="K627" s="49"/>
      <c r="L627" s="49" t="s">
        <v>10</v>
      </c>
      <c r="M627" t="s">
        <v>1709</v>
      </c>
    </row>
    <row r="628" spans="1:13" x14ac:dyDescent="0.2">
      <c r="A628" s="49">
        <v>61292</v>
      </c>
      <c r="B628" s="49" t="s">
        <v>476</v>
      </c>
      <c r="C628" s="49" t="s">
        <v>68</v>
      </c>
      <c r="D628" s="49" t="s">
        <v>10</v>
      </c>
      <c r="E628" s="49" t="s">
        <v>5</v>
      </c>
      <c r="F628" s="49" t="s">
        <v>95</v>
      </c>
      <c r="G628" s="49">
        <v>6</v>
      </c>
      <c r="H628" s="49"/>
      <c r="I628" s="49"/>
      <c r="J628" s="49"/>
      <c r="K628" s="49"/>
      <c r="L628" s="49" t="s">
        <v>10</v>
      </c>
      <c r="M628" t="s">
        <v>1709</v>
      </c>
    </row>
    <row r="629" spans="1:13" x14ac:dyDescent="0.2">
      <c r="A629" s="49">
        <v>61260</v>
      </c>
      <c r="B629" s="49" t="s">
        <v>201</v>
      </c>
      <c r="C629" s="49" t="s">
        <v>68</v>
      </c>
      <c r="D629" s="49" t="s">
        <v>10</v>
      </c>
      <c r="E629" s="49" t="s">
        <v>5</v>
      </c>
      <c r="F629" s="49" t="s">
        <v>95</v>
      </c>
      <c r="G629" s="49">
        <v>14</v>
      </c>
      <c r="H629" s="49"/>
      <c r="I629" s="49"/>
      <c r="J629" s="49"/>
      <c r="K629" s="49"/>
      <c r="L629" s="49" t="s">
        <v>10</v>
      </c>
      <c r="M629" t="s">
        <v>1709</v>
      </c>
    </row>
    <row r="630" spans="1:13" x14ac:dyDescent="0.2">
      <c r="A630" s="49">
        <v>61207</v>
      </c>
      <c r="B630" s="49" t="s">
        <v>137</v>
      </c>
      <c r="C630" s="49" t="s">
        <v>66</v>
      </c>
      <c r="D630" s="49" t="s">
        <v>10</v>
      </c>
      <c r="E630" s="49" t="s">
        <v>5</v>
      </c>
      <c r="F630" s="49" t="s">
        <v>130</v>
      </c>
      <c r="G630" s="49">
        <v>2</v>
      </c>
      <c r="H630" s="49"/>
      <c r="I630" s="49"/>
      <c r="J630" s="49"/>
      <c r="K630" s="49"/>
      <c r="L630" s="49" t="s">
        <v>10</v>
      </c>
      <c r="M630" t="s">
        <v>1709</v>
      </c>
    </row>
    <row r="631" spans="1:13" x14ac:dyDescent="0.2">
      <c r="A631" s="49">
        <v>61203</v>
      </c>
      <c r="B631" s="49" t="s">
        <v>342</v>
      </c>
      <c r="C631" s="49" t="s">
        <v>65</v>
      </c>
      <c r="D631" s="49" t="s">
        <v>10</v>
      </c>
      <c r="E631" s="49" t="s">
        <v>5</v>
      </c>
      <c r="F631" s="49" t="s">
        <v>91</v>
      </c>
      <c r="G631" s="49">
        <v>86</v>
      </c>
      <c r="H631" s="49"/>
      <c r="I631" s="49"/>
      <c r="J631" s="49"/>
      <c r="K631" s="49"/>
      <c r="L631" s="49" t="s">
        <v>10</v>
      </c>
      <c r="M631" t="s">
        <v>1709</v>
      </c>
    </row>
    <row r="632" spans="1:13" x14ac:dyDescent="0.2">
      <c r="A632" s="49">
        <v>61101</v>
      </c>
      <c r="B632" s="49" t="s">
        <v>477</v>
      </c>
      <c r="C632" s="49" t="s">
        <v>70</v>
      </c>
      <c r="D632" s="49" t="s">
        <v>10</v>
      </c>
      <c r="E632" s="49" t="s">
        <v>8</v>
      </c>
      <c r="F632" s="49" t="s">
        <v>91</v>
      </c>
      <c r="G632" s="49">
        <v>49</v>
      </c>
      <c r="H632" s="49"/>
      <c r="I632" s="49"/>
      <c r="J632" s="49"/>
      <c r="K632" s="49"/>
      <c r="L632" s="49" t="s">
        <v>10</v>
      </c>
      <c r="M632" t="s">
        <v>1709</v>
      </c>
    </row>
    <row r="633" spans="1:13" x14ac:dyDescent="0.2">
      <c r="A633" s="49">
        <v>61096</v>
      </c>
      <c r="B633" s="49" t="s">
        <v>478</v>
      </c>
      <c r="C633" s="49" t="s">
        <v>65</v>
      </c>
      <c r="D633" s="49" t="s">
        <v>10</v>
      </c>
      <c r="E633" s="49" t="s">
        <v>5</v>
      </c>
      <c r="F633" s="49" t="s">
        <v>91</v>
      </c>
      <c r="G633" s="49">
        <v>87</v>
      </c>
      <c r="H633" s="49"/>
      <c r="I633" s="49"/>
      <c r="J633" s="49"/>
      <c r="K633" s="49"/>
      <c r="L633" s="49" t="s">
        <v>10</v>
      </c>
      <c r="M633" t="s">
        <v>1709</v>
      </c>
    </row>
    <row r="634" spans="1:13" x14ac:dyDescent="0.2">
      <c r="A634" s="49">
        <v>61010</v>
      </c>
      <c r="B634" s="49" t="s">
        <v>479</v>
      </c>
      <c r="C634" s="49" t="s">
        <v>68</v>
      </c>
      <c r="D634" s="49" t="s">
        <v>10</v>
      </c>
      <c r="E634" s="49" t="s">
        <v>5</v>
      </c>
      <c r="F634" s="49" t="s">
        <v>91</v>
      </c>
      <c r="G634" s="49">
        <v>42</v>
      </c>
      <c r="H634" s="49"/>
      <c r="I634" s="49"/>
      <c r="J634" s="49"/>
      <c r="K634" s="49"/>
      <c r="L634" s="49" t="s">
        <v>10</v>
      </c>
      <c r="M634" t="s">
        <v>1709</v>
      </c>
    </row>
    <row r="635" spans="1:13" x14ac:dyDescent="0.2">
      <c r="A635" s="49">
        <v>60855</v>
      </c>
      <c r="B635" s="49" t="s">
        <v>480</v>
      </c>
      <c r="C635" s="49" t="s">
        <v>68</v>
      </c>
      <c r="D635" s="49" t="s">
        <v>10</v>
      </c>
      <c r="E635" s="49" t="s">
        <v>5</v>
      </c>
      <c r="F635" s="49" t="s">
        <v>91</v>
      </c>
      <c r="G635" s="49">
        <v>45</v>
      </c>
      <c r="H635" s="49"/>
      <c r="I635" s="49"/>
      <c r="J635" s="49"/>
      <c r="K635" s="49"/>
      <c r="L635" s="49" t="s">
        <v>10</v>
      </c>
      <c r="M635" t="s">
        <v>1709</v>
      </c>
    </row>
    <row r="636" spans="1:13" x14ac:dyDescent="0.2">
      <c r="A636" s="49">
        <v>60817</v>
      </c>
      <c r="B636" s="49" t="s">
        <v>481</v>
      </c>
      <c r="C636" s="49" t="s">
        <v>68</v>
      </c>
      <c r="D636" s="49" t="s">
        <v>10</v>
      </c>
      <c r="E636" s="49" t="s">
        <v>5</v>
      </c>
      <c r="F636" s="49" t="s">
        <v>95</v>
      </c>
      <c r="G636" s="49">
        <v>3</v>
      </c>
      <c r="H636" s="49"/>
      <c r="I636" s="49"/>
      <c r="J636" s="49"/>
      <c r="K636" s="49"/>
      <c r="L636" s="49" t="s">
        <v>10</v>
      </c>
      <c r="M636" t="s">
        <v>1709</v>
      </c>
    </row>
    <row r="637" spans="1:13" x14ac:dyDescent="0.2">
      <c r="A637" s="49">
        <v>60729</v>
      </c>
      <c r="B637" s="49" t="s">
        <v>341</v>
      </c>
      <c r="C637" s="49" t="s">
        <v>65</v>
      </c>
      <c r="D637" s="49" t="s">
        <v>10</v>
      </c>
      <c r="E637" s="49" t="s">
        <v>5</v>
      </c>
      <c r="F637" s="49" t="s">
        <v>95</v>
      </c>
      <c r="G637" s="49">
        <v>85</v>
      </c>
      <c r="H637" s="49"/>
      <c r="I637" s="49"/>
      <c r="J637" s="49"/>
      <c r="K637" s="49"/>
      <c r="L637" s="49" t="s">
        <v>10</v>
      </c>
      <c r="M637" t="s">
        <v>1709</v>
      </c>
    </row>
    <row r="638" spans="1:13" x14ac:dyDescent="0.2">
      <c r="A638" s="49">
        <v>60722</v>
      </c>
      <c r="B638" s="49" t="s">
        <v>482</v>
      </c>
      <c r="C638" s="49" t="s">
        <v>65</v>
      </c>
      <c r="D638" s="49" t="s">
        <v>10</v>
      </c>
      <c r="E638" s="49" t="s">
        <v>5</v>
      </c>
      <c r="F638" s="49" t="s">
        <v>91</v>
      </c>
      <c r="G638" s="49">
        <v>84</v>
      </c>
      <c r="H638" s="49"/>
      <c r="I638" s="49"/>
      <c r="J638" s="49"/>
      <c r="K638" s="49"/>
      <c r="L638" s="49" t="s">
        <v>10</v>
      </c>
      <c r="M638" t="s">
        <v>1709</v>
      </c>
    </row>
    <row r="639" spans="1:13" x14ac:dyDescent="0.2">
      <c r="A639" s="49">
        <v>60649</v>
      </c>
      <c r="B639" s="49" t="s">
        <v>484</v>
      </c>
      <c r="C639" s="49" t="s">
        <v>68</v>
      </c>
      <c r="D639" s="49" t="s">
        <v>10</v>
      </c>
      <c r="E639" s="49" t="s">
        <v>5</v>
      </c>
      <c r="F639" s="49" t="s">
        <v>136</v>
      </c>
      <c r="G639" s="49">
        <v>1</v>
      </c>
      <c r="H639" s="49"/>
      <c r="I639" s="49"/>
      <c r="J639" s="49"/>
      <c r="K639" s="49"/>
      <c r="L639" s="49" t="s">
        <v>10</v>
      </c>
      <c r="M639" t="s">
        <v>1709</v>
      </c>
    </row>
    <row r="640" spans="1:13" x14ac:dyDescent="0.2">
      <c r="A640" s="49">
        <v>60531</v>
      </c>
      <c r="B640" s="49" t="s">
        <v>486</v>
      </c>
      <c r="C640" s="49" t="s">
        <v>70</v>
      </c>
      <c r="D640" s="49" t="s">
        <v>10</v>
      </c>
      <c r="E640" s="49" t="s">
        <v>8</v>
      </c>
      <c r="F640" s="49" t="s">
        <v>136</v>
      </c>
      <c r="G640" s="49">
        <v>11</v>
      </c>
      <c r="H640" s="49"/>
      <c r="I640" s="49"/>
      <c r="J640" s="49"/>
      <c r="K640" s="49"/>
      <c r="L640" s="49" t="s">
        <v>10</v>
      </c>
      <c r="M640" t="s">
        <v>1709</v>
      </c>
    </row>
    <row r="641" spans="1:13" x14ac:dyDescent="0.2">
      <c r="A641" s="49">
        <v>60381</v>
      </c>
      <c r="B641" s="49" t="s">
        <v>487</v>
      </c>
      <c r="C641" s="49" t="s">
        <v>68</v>
      </c>
      <c r="D641" s="49" t="s">
        <v>10</v>
      </c>
      <c r="E641" s="49" t="s">
        <v>5</v>
      </c>
      <c r="F641" s="49" t="s">
        <v>95</v>
      </c>
      <c r="G641" s="49">
        <v>50</v>
      </c>
      <c r="H641" s="49"/>
      <c r="I641" s="49"/>
      <c r="J641" s="49"/>
      <c r="K641" s="49"/>
      <c r="L641" s="49" t="s">
        <v>10</v>
      </c>
      <c r="M641" t="s">
        <v>1709</v>
      </c>
    </row>
    <row r="642" spans="1:13" x14ac:dyDescent="0.2">
      <c r="A642" s="49">
        <v>60294</v>
      </c>
      <c r="B642" s="49" t="s">
        <v>488</v>
      </c>
      <c r="C642" s="49" t="s">
        <v>67</v>
      </c>
      <c r="D642" s="49" t="s">
        <v>10</v>
      </c>
      <c r="E642" s="49" t="s">
        <v>12</v>
      </c>
      <c r="F642" s="49" t="s">
        <v>97</v>
      </c>
      <c r="G642" s="49">
        <v>20</v>
      </c>
      <c r="H642" s="49"/>
      <c r="I642" s="49"/>
      <c r="J642" s="49"/>
      <c r="K642" s="49"/>
      <c r="L642" s="49" t="s">
        <v>10</v>
      </c>
      <c r="M642" t="s">
        <v>1709</v>
      </c>
    </row>
    <row r="643" spans="1:13" x14ac:dyDescent="0.2">
      <c r="A643" s="49">
        <v>60289</v>
      </c>
      <c r="B643" s="49" t="s">
        <v>489</v>
      </c>
      <c r="C643" s="49" t="s">
        <v>65</v>
      </c>
      <c r="D643" s="49" t="s">
        <v>10</v>
      </c>
      <c r="E643" s="49" t="s">
        <v>5</v>
      </c>
      <c r="F643" s="49" t="s">
        <v>91</v>
      </c>
      <c r="G643" s="49">
        <v>83</v>
      </c>
      <c r="H643" s="49"/>
      <c r="I643" s="49"/>
      <c r="J643" s="49"/>
      <c r="K643" s="49"/>
      <c r="L643" s="49" t="s">
        <v>10</v>
      </c>
      <c r="M643" t="s">
        <v>1709</v>
      </c>
    </row>
    <row r="644" spans="1:13" x14ac:dyDescent="0.2">
      <c r="A644" s="49">
        <v>60003</v>
      </c>
      <c r="B644" s="49" t="s">
        <v>1643</v>
      </c>
      <c r="C644" s="49" t="s">
        <v>65</v>
      </c>
      <c r="D644" s="49" t="s">
        <v>10</v>
      </c>
      <c r="E644" s="49" t="s">
        <v>5</v>
      </c>
      <c r="F644" s="49" t="s">
        <v>91</v>
      </c>
      <c r="G644" s="49">
        <v>82</v>
      </c>
      <c r="H644" s="49"/>
      <c r="I644" s="49"/>
      <c r="J644" s="49"/>
      <c r="K644" s="49"/>
      <c r="L644" s="49" t="s">
        <v>10</v>
      </c>
      <c r="M644" t="s">
        <v>1709</v>
      </c>
    </row>
    <row r="645" spans="1:13" x14ac:dyDescent="0.2">
      <c r="A645" s="49">
        <v>59700</v>
      </c>
      <c r="B645" s="49" t="s">
        <v>490</v>
      </c>
      <c r="C645" s="49" t="s">
        <v>66</v>
      </c>
      <c r="D645" s="49" t="s">
        <v>10</v>
      </c>
      <c r="E645" s="49" t="s">
        <v>5</v>
      </c>
      <c r="F645" s="49" t="s">
        <v>95</v>
      </c>
      <c r="G645" s="49">
        <v>16</v>
      </c>
      <c r="H645" s="49"/>
      <c r="I645" s="49"/>
      <c r="J645" s="49"/>
      <c r="K645" s="49"/>
      <c r="L645" s="49" t="s">
        <v>10</v>
      </c>
      <c r="M645" t="s">
        <v>1709</v>
      </c>
    </row>
    <row r="646" spans="1:13" x14ac:dyDescent="0.2">
      <c r="A646" s="49">
        <v>59669</v>
      </c>
      <c r="B646" s="49" t="s">
        <v>491</v>
      </c>
      <c r="C646" s="49" t="s">
        <v>68</v>
      </c>
      <c r="D646" s="49" t="s">
        <v>10</v>
      </c>
      <c r="E646" s="49" t="s">
        <v>5</v>
      </c>
      <c r="F646" s="49" t="s">
        <v>91</v>
      </c>
      <c r="G646" s="49">
        <v>12</v>
      </c>
      <c r="H646" s="49"/>
      <c r="I646" s="49"/>
      <c r="J646" s="49"/>
      <c r="K646" s="49"/>
      <c r="L646" s="49" t="s">
        <v>10</v>
      </c>
      <c r="M646" t="s">
        <v>1709</v>
      </c>
    </row>
    <row r="647" spans="1:13" x14ac:dyDescent="0.2">
      <c r="A647" s="49">
        <v>59553</v>
      </c>
      <c r="B647" s="49" t="s">
        <v>492</v>
      </c>
      <c r="C647" s="49" t="s">
        <v>73</v>
      </c>
      <c r="D647" s="49" t="s">
        <v>10</v>
      </c>
      <c r="E647" s="49" t="s">
        <v>12</v>
      </c>
      <c r="F647" s="49" t="s">
        <v>91</v>
      </c>
      <c r="G647" s="49">
        <v>1</v>
      </c>
      <c r="H647" s="49"/>
      <c r="I647" s="49"/>
      <c r="J647" s="49"/>
      <c r="K647" s="49"/>
      <c r="L647" s="49" t="s">
        <v>10</v>
      </c>
      <c r="M647" t="s">
        <v>1709</v>
      </c>
    </row>
    <row r="648" spans="1:13" x14ac:dyDescent="0.2">
      <c r="A648" s="49">
        <v>59462</v>
      </c>
      <c r="B648" s="49" t="s">
        <v>268</v>
      </c>
      <c r="C648" s="49" t="s">
        <v>65</v>
      </c>
      <c r="D648" s="49" t="s">
        <v>10</v>
      </c>
      <c r="E648" s="49" t="s">
        <v>5</v>
      </c>
      <c r="F648" s="49" t="s">
        <v>95</v>
      </c>
      <c r="G648" s="49">
        <v>36</v>
      </c>
      <c r="H648" s="49"/>
      <c r="I648" s="49"/>
      <c r="J648" s="49"/>
      <c r="K648" s="49"/>
      <c r="L648" s="49" t="s">
        <v>10</v>
      </c>
      <c r="M648" t="s">
        <v>1709</v>
      </c>
    </row>
    <row r="649" spans="1:13" x14ac:dyDescent="0.2">
      <c r="A649" s="49">
        <v>59457</v>
      </c>
      <c r="B649" s="49" t="s">
        <v>493</v>
      </c>
      <c r="C649" s="49" t="s">
        <v>70</v>
      </c>
      <c r="D649" s="49" t="s">
        <v>10</v>
      </c>
      <c r="E649" s="49" t="s">
        <v>8</v>
      </c>
      <c r="F649" s="49" t="s">
        <v>95</v>
      </c>
      <c r="G649" s="49">
        <v>10</v>
      </c>
      <c r="H649" s="49"/>
      <c r="I649" s="49"/>
      <c r="J649" s="49"/>
      <c r="K649" s="49"/>
      <c r="L649" s="49" t="s">
        <v>10</v>
      </c>
      <c r="M649" t="s">
        <v>1709</v>
      </c>
    </row>
    <row r="650" spans="1:13" x14ac:dyDescent="0.2">
      <c r="A650" s="49">
        <v>59404</v>
      </c>
      <c r="B650" s="49" t="s">
        <v>494</v>
      </c>
      <c r="C650" s="49" t="s">
        <v>70</v>
      </c>
      <c r="D650" s="49" t="s">
        <v>10</v>
      </c>
      <c r="E650" s="49" t="s">
        <v>8</v>
      </c>
      <c r="F650" s="49" t="s">
        <v>97</v>
      </c>
      <c r="G650" s="49">
        <v>41</v>
      </c>
      <c r="H650" s="49"/>
      <c r="I650" s="49"/>
      <c r="J650" s="49"/>
      <c r="K650" s="49"/>
      <c r="L650" s="49" t="s">
        <v>10</v>
      </c>
      <c r="M650" t="s">
        <v>1709</v>
      </c>
    </row>
    <row r="651" spans="1:13" x14ac:dyDescent="0.2">
      <c r="A651" s="49">
        <v>59403</v>
      </c>
      <c r="B651" s="49" t="s">
        <v>261</v>
      </c>
      <c r="C651" s="49" t="s">
        <v>70</v>
      </c>
      <c r="D651" s="49" t="s">
        <v>10</v>
      </c>
      <c r="E651" s="49" t="s">
        <v>8</v>
      </c>
      <c r="F651" s="49" t="s">
        <v>91</v>
      </c>
      <c r="G651" s="49">
        <v>28</v>
      </c>
      <c r="H651" s="49"/>
      <c r="I651" s="49"/>
      <c r="J651" s="49"/>
      <c r="K651" s="49"/>
      <c r="L651" s="49" t="s">
        <v>10</v>
      </c>
      <c r="M651" t="s">
        <v>1709</v>
      </c>
    </row>
    <row r="652" spans="1:13" x14ac:dyDescent="0.2">
      <c r="A652" s="49">
        <v>59334</v>
      </c>
      <c r="B652" s="49" t="s">
        <v>301</v>
      </c>
      <c r="C652" s="49" t="s">
        <v>70</v>
      </c>
      <c r="D652" s="49" t="s">
        <v>10</v>
      </c>
      <c r="E652" s="49" t="s">
        <v>8</v>
      </c>
      <c r="F652" s="49" t="s">
        <v>91</v>
      </c>
      <c r="G652" s="49">
        <v>45</v>
      </c>
      <c r="H652" s="49"/>
      <c r="I652" s="49"/>
      <c r="J652" s="49"/>
      <c r="K652" s="49"/>
      <c r="L652" s="49" t="s">
        <v>10</v>
      </c>
      <c r="M652" t="s">
        <v>1709</v>
      </c>
    </row>
    <row r="653" spans="1:13" x14ac:dyDescent="0.2">
      <c r="A653" s="49">
        <v>59333</v>
      </c>
      <c r="B653" s="49" t="s">
        <v>298</v>
      </c>
      <c r="C653" s="49" t="s">
        <v>70</v>
      </c>
      <c r="D653" s="49" t="s">
        <v>10</v>
      </c>
      <c r="E653" s="49" t="s">
        <v>8</v>
      </c>
      <c r="F653" s="49" t="s">
        <v>91</v>
      </c>
      <c r="G653" s="49">
        <v>44</v>
      </c>
      <c r="H653" s="49"/>
      <c r="I653" s="49"/>
      <c r="J653" s="49"/>
      <c r="K653" s="49"/>
      <c r="L653" s="49" t="s">
        <v>10</v>
      </c>
      <c r="M653" t="s">
        <v>1709</v>
      </c>
    </row>
    <row r="654" spans="1:13" x14ac:dyDescent="0.2">
      <c r="A654" s="49">
        <v>59315</v>
      </c>
      <c r="B654" s="49" t="s">
        <v>495</v>
      </c>
      <c r="C654" s="49" t="s">
        <v>65</v>
      </c>
      <c r="D654" s="49" t="s">
        <v>10</v>
      </c>
      <c r="E654" s="49" t="s">
        <v>5</v>
      </c>
      <c r="F654" s="49" t="s">
        <v>91</v>
      </c>
      <c r="G654" s="49">
        <v>88</v>
      </c>
      <c r="H654" s="49"/>
      <c r="I654" s="49"/>
      <c r="J654" s="49"/>
      <c r="K654" s="49"/>
      <c r="L654" s="49" t="s">
        <v>10</v>
      </c>
      <c r="M654" t="s">
        <v>1709</v>
      </c>
    </row>
    <row r="655" spans="1:13" x14ac:dyDescent="0.2">
      <c r="A655" s="49">
        <v>59266</v>
      </c>
      <c r="B655" s="49" t="s">
        <v>496</v>
      </c>
      <c r="C655" s="49" t="s">
        <v>65</v>
      </c>
      <c r="D655" s="49" t="s">
        <v>10</v>
      </c>
      <c r="E655" s="49" t="s">
        <v>5</v>
      </c>
      <c r="F655" s="49" t="s">
        <v>91</v>
      </c>
      <c r="G655" s="49">
        <v>33</v>
      </c>
      <c r="H655" s="49"/>
      <c r="I655" s="49"/>
      <c r="J655" s="49"/>
      <c r="K655" s="49"/>
      <c r="L655" s="49" t="s">
        <v>10</v>
      </c>
      <c r="M655" t="s">
        <v>1709</v>
      </c>
    </row>
    <row r="656" spans="1:13" x14ac:dyDescent="0.2">
      <c r="A656" s="49">
        <v>59163</v>
      </c>
      <c r="B656" s="49" t="s">
        <v>497</v>
      </c>
      <c r="C656" s="49" t="s">
        <v>69</v>
      </c>
      <c r="D656" s="49" t="s">
        <v>10</v>
      </c>
      <c r="E656" s="49" t="s">
        <v>12</v>
      </c>
      <c r="F656" s="49" t="s">
        <v>91</v>
      </c>
      <c r="G656" s="49">
        <v>25</v>
      </c>
      <c r="H656" s="49"/>
      <c r="I656" s="49"/>
      <c r="J656" s="49"/>
      <c r="K656" s="49"/>
      <c r="L656" s="49" t="s">
        <v>10</v>
      </c>
      <c r="M656" t="s">
        <v>1709</v>
      </c>
    </row>
    <row r="657" spans="1:13" x14ac:dyDescent="0.2">
      <c r="A657" s="49">
        <v>59126</v>
      </c>
      <c r="B657" s="49" t="s">
        <v>498</v>
      </c>
      <c r="C657" s="49" t="s">
        <v>70</v>
      </c>
      <c r="D657" s="49" t="s">
        <v>10</v>
      </c>
      <c r="E657" s="49" t="s">
        <v>8</v>
      </c>
      <c r="F657" s="49" t="s">
        <v>91</v>
      </c>
      <c r="G657" s="49">
        <v>34</v>
      </c>
      <c r="H657" s="49"/>
      <c r="I657" s="49"/>
      <c r="J657" s="49"/>
      <c r="K657" s="49"/>
      <c r="L657" s="49" t="s">
        <v>10</v>
      </c>
      <c r="M657" t="s">
        <v>1709</v>
      </c>
    </row>
    <row r="658" spans="1:13" x14ac:dyDescent="0.2">
      <c r="A658" s="49">
        <v>59039</v>
      </c>
      <c r="B658" s="49" t="s">
        <v>1644</v>
      </c>
      <c r="C658" s="49" t="s">
        <v>65</v>
      </c>
      <c r="D658" s="49" t="s">
        <v>10</v>
      </c>
      <c r="E658" s="49" t="s">
        <v>5</v>
      </c>
      <c r="F658" s="49" t="s">
        <v>91</v>
      </c>
      <c r="G658" s="49">
        <v>81</v>
      </c>
      <c r="H658" s="49"/>
      <c r="I658" s="49"/>
      <c r="J658" s="49"/>
      <c r="K658" s="49"/>
      <c r="L658" s="49" t="s">
        <v>10</v>
      </c>
      <c r="M658" t="s">
        <v>1709</v>
      </c>
    </row>
    <row r="659" spans="1:13" x14ac:dyDescent="0.2">
      <c r="A659" s="49">
        <v>59011</v>
      </c>
      <c r="B659" s="49" t="s">
        <v>499</v>
      </c>
      <c r="C659" s="49" t="s">
        <v>68</v>
      </c>
      <c r="D659" s="49" t="s">
        <v>10</v>
      </c>
      <c r="E659" s="49" t="s">
        <v>5</v>
      </c>
      <c r="F659" s="49" t="s">
        <v>91</v>
      </c>
      <c r="G659" s="49">
        <v>44</v>
      </c>
      <c r="H659" s="49"/>
      <c r="I659" s="49"/>
      <c r="J659" s="49"/>
      <c r="K659" s="49"/>
      <c r="L659" s="49" t="s">
        <v>10</v>
      </c>
      <c r="M659" t="s">
        <v>1709</v>
      </c>
    </row>
    <row r="660" spans="1:13" x14ac:dyDescent="0.2">
      <c r="A660" s="49">
        <v>58980</v>
      </c>
      <c r="B660" s="49" t="s">
        <v>249</v>
      </c>
      <c r="C660" s="49" t="s">
        <v>68</v>
      </c>
      <c r="D660" s="49" t="s">
        <v>10</v>
      </c>
      <c r="E660" s="49" t="s">
        <v>5</v>
      </c>
      <c r="F660" s="49" t="s">
        <v>95</v>
      </c>
      <c r="G660" s="49">
        <v>23</v>
      </c>
      <c r="H660" s="49"/>
      <c r="I660" s="49"/>
      <c r="J660" s="49"/>
      <c r="K660" s="49"/>
      <c r="L660" s="49" t="s">
        <v>10</v>
      </c>
      <c r="M660" t="s">
        <v>1709</v>
      </c>
    </row>
    <row r="661" spans="1:13" x14ac:dyDescent="0.2">
      <c r="A661" s="49">
        <v>130472</v>
      </c>
      <c r="B661" s="49" t="s">
        <v>329</v>
      </c>
      <c r="C661" s="49" t="s">
        <v>65</v>
      </c>
      <c r="D661" s="49" t="s">
        <v>10</v>
      </c>
      <c r="E661" s="49" t="s">
        <v>5</v>
      </c>
      <c r="F661" s="49" t="s">
        <v>91</v>
      </c>
      <c r="G661" s="49">
        <v>67</v>
      </c>
      <c r="H661" s="49"/>
      <c r="I661" s="49"/>
      <c r="J661" s="49"/>
      <c r="K661" s="49"/>
      <c r="L661" s="49" t="s">
        <v>10</v>
      </c>
      <c r="M661" t="s">
        <v>2003</v>
      </c>
    </row>
    <row r="662" spans="1:13" x14ac:dyDescent="0.2">
      <c r="A662" s="49">
        <v>58802</v>
      </c>
      <c r="B662" s="49" t="s">
        <v>244</v>
      </c>
      <c r="C662" s="49" t="s">
        <v>67</v>
      </c>
      <c r="D662" s="49" t="s">
        <v>10</v>
      </c>
      <c r="E662" s="49" t="s">
        <v>12</v>
      </c>
      <c r="F662" s="49" t="s">
        <v>91</v>
      </c>
      <c r="G662" s="49">
        <v>25</v>
      </c>
      <c r="H662" s="49"/>
      <c r="I662" s="49"/>
      <c r="J662" s="49"/>
      <c r="K662" s="49"/>
      <c r="L662" s="49" t="s">
        <v>10</v>
      </c>
      <c r="M662" t="s">
        <v>1709</v>
      </c>
    </row>
    <row r="663" spans="1:13" x14ac:dyDescent="0.2">
      <c r="A663" s="49">
        <v>58727</v>
      </c>
      <c r="B663" s="49" t="s">
        <v>500</v>
      </c>
      <c r="C663" s="49" t="s">
        <v>65</v>
      </c>
      <c r="D663" s="49" t="s">
        <v>10</v>
      </c>
      <c r="E663" s="49" t="s">
        <v>5</v>
      </c>
      <c r="F663" s="49" t="s">
        <v>91</v>
      </c>
      <c r="G663" s="49">
        <v>79</v>
      </c>
      <c r="H663" s="49"/>
      <c r="I663" s="49"/>
      <c r="J663" s="49"/>
      <c r="K663" s="49"/>
      <c r="L663" s="49" t="s">
        <v>10</v>
      </c>
      <c r="M663" t="s">
        <v>1709</v>
      </c>
    </row>
    <row r="664" spans="1:13" x14ac:dyDescent="0.2">
      <c r="A664" s="49">
        <v>58528</v>
      </c>
      <c r="B664" s="49" t="s">
        <v>501</v>
      </c>
      <c r="C664" s="49" t="s">
        <v>65</v>
      </c>
      <c r="D664" s="49" t="s">
        <v>10</v>
      </c>
      <c r="E664" s="49" t="s">
        <v>5</v>
      </c>
      <c r="F664" s="49" t="s">
        <v>91</v>
      </c>
      <c r="G664" s="49">
        <v>80</v>
      </c>
      <c r="H664" s="49"/>
      <c r="I664" s="49"/>
      <c r="J664" s="49"/>
      <c r="K664" s="49"/>
      <c r="L664" s="49" t="s">
        <v>10</v>
      </c>
      <c r="M664" t="s">
        <v>1709</v>
      </c>
    </row>
    <row r="665" spans="1:13" x14ac:dyDescent="0.2">
      <c r="A665" s="49">
        <v>58518</v>
      </c>
      <c r="B665" s="49" t="s">
        <v>1645</v>
      </c>
      <c r="C665" s="49" t="s">
        <v>65</v>
      </c>
      <c r="D665" s="49" t="s">
        <v>10</v>
      </c>
      <c r="E665" s="49" t="s">
        <v>5</v>
      </c>
      <c r="F665" s="49" t="s">
        <v>95</v>
      </c>
      <c r="G665" s="49">
        <v>71</v>
      </c>
      <c r="H665" s="49"/>
      <c r="I665" s="49"/>
      <c r="J665" s="49"/>
      <c r="K665" s="49"/>
      <c r="L665" s="49" t="s">
        <v>10</v>
      </c>
      <c r="M665" t="s">
        <v>1709</v>
      </c>
    </row>
    <row r="666" spans="1:13" x14ac:dyDescent="0.2">
      <c r="A666" s="49">
        <v>58487</v>
      </c>
      <c r="B666" s="49" t="s">
        <v>502</v>
      </c>
      <c r="C666" s="49" t="s">
        <v>65</v>
      </c>
      <c r="D666" s="49" t="s">
        <v>10</v>
      </c>
      <c r="E666" s="49" t="s">
        <v>5</v>
      </c>
      <c r="F666" s="49" t="s">
        <v>91</v>
      </c>
      <c r="G666" s="49">
        <v>70</v>
      </c>
      <c r="H666" s="49"/>
      <c r="I666" s="49"/>
      <c r="J666" s="49"/>
      <c r="K666" s="49"/>
      <c r="L666" s="49" t="s">
        <v>10</v>
      </c>
      <c r="M666" t="s">
        <v>1709</v>
      </c>
    </row>
    <row r="667" spans="1:13" x14ac:dyDescent="0.2">
      <c r="A667" s="49">
        <v>58472</v>
      </c>
      <c r="B667" s="49" t="s">
        <v>503</v>
      </c>
      <c r="C667" s="49" t="s">
        <v>65</v>
      </c>
      <c r="D667" s="49" t="s">
        <v>10</v>
      </c>
      <c r="E667" s="49" t="s">
        <v>5</v>
      </c>
      <c r="F667" s="49" t="s">
        <v>93</v>
      </c>
      <c r="G667" s="49">
        <v>24</v>
      </c>
      <c r="H667" s="49"/>
      <c r="I667" s="49"/>
      <c r="J667" s="49"/>
      <c r="K667" s="49"/>
      <c r="L667" s="49" t="s">
        <v>10</v>
      </c>
      <c r="M667" t="s">
        <v>1709</v>
      </c>
    </row>
    <row r="668" spans="1:13" x14ac:dyDescent="0.2">
      <c r="A668" s="49">
        <v>58417</v>
      </c>
      <c r="B668" s="49" t="s">
        <v>505</v>
      </c>
      <c r="C668" s="49" t="s">
        <v>66</v>
      </c>
      <c r="D668" s="49" t="s">
        <v>10</v>
      </c>
      <c r="E668" s="49" t="s">
        <v>5</v>
      </c>
      <c r="F668" s="49" t="s">
        <v>136</v>
      </c>
      <c r="G668" s="49">
        <v>12</v>
      </c>
      <c r="H668" s="49"/>
      <c r="I668" s="49"/>
      <c r="J668" s="49"/>
      <c r="K668" s="49"/>
      <c r="L668" s="49" t="s">
        <v>10</v>
      </c>
      <c r="M668" t="s">
        <v>1709</v>
      </c>
    </row>
    <row r="669" spans="1:13" x14ac:dyDescent="0.2">
      <c r="A669" s="49">
        <v>58393</v>
      </c>
      <c r="B669" s="49" t="s">
        <v>1646</v>
      </c>
      <c r="C669" s="49" t="s">
        <v>65</v>
      </c>
      <c r="D669" s="49" t="s">
        <v>10</v>
      </c>
      <c r="E669" s="49" t="s">
        <v>5</v>
      </c>
      <c r="F669" s="49" t="s">
        <v>91</v>
      </c>
      <c r="G669" s="49">
        <v>92</v>
      </c>
      <c r="H669" s="49"/>
      <c r="I669" s="49"/>
      <c r="J669" s="49"/>
      <c r="K669" s="49"/>
      <c r="L669" s="49" t="s">
        <v>10</v>
      </c>
      <c r="M669" t="s">
        <v>1709</v>
      </c>
    </row>
    <row r="670" spans="1:13" x14ac:dyDescent="0.2">
      <c r="A670" s="49">
        <v>58380</v>
      </c>
      <c r="B670" s="49" t="s">
        <v>506</v>
      </c>
      <c r="C670" s="49" t="s">
        <v>65</v>
      </c>
      <c r="D670" s="49" t="s">
        <v>10</v>
      </c>
      <c r="E670" s="49" t="s">
        <v>5</v>
      </c>
      <c r="F670" s="49" t="s">
        <v>91</v>
      </c>
      <c r="G670" s="49">
        <v>45</v>
      </c>
      <c r="H670" s="49"/>
      <c r="I670" s="49"/>
      <c r="J670" s="49"/>
      <c r="K670" s="49"/>
      <c r="L670" s="49" t="s">
        <v>10</v>
      </c>
      <c r="M670" t="s">
        <v>1709</v>
      </c>
    </row>
    <row r="671" spans="1:13" x14ac:dyDescent="0.2">
      <c r="A671" s="49">
        <v>58287</v>
      </c>
      <c r="B671" s="49" t="s">
        <v>507</v>
      </c>
      <c r="C671" s="49" t="s">
        <v>65</v>
      </c>
      <c r="D671" s="49" t="s">
        <v>10</v>
      </c>
      <c r="E671" s="49" t="s">
        <v>5</v>
      </c>
      <c r="F671" s="49" t="s">
        <v>91</v>
      </c>
      <c r="G671" s="49">
        <v>53</v>
      </c>
      <c r="H671" s="49"/>
      <c r="I671" s="49"/>
      <c r="J671" s="49"/>
      <c r="K671" s="49"/>
      <c r="L671" s="49" t="s">
        <v>10</v>
      </c>
      <c r="M671" t="s">
        <v>1709</v>
      </c>
    </row>
    <row r="672" spans="1:13" x14ac:dyDescent="0.2">
      <c r="A672" s="49">
        <v>58269</v>
      </c>
      <c r="B672" s="49" t="s">
        <v>508</v>
      </c>
      <c r="C672" s="49" t="s">
        <v>70</v>
      </c>
      <c r="D672" s="49" t="s">
        <v>10</v>
      </c>
      <c r="E672" s="49" t="s">
        <v>8</v>
      </c>
      <c r="F672" s="49" t="s">
        <v>91</v>
      </c>
      <c r="G672" s="49">
        <v>48</v>
      </c>
      <c r="H672" s="49"/>
      <c r="I672" s="49"/>
      <c r="J672" s="49"/>
      <c r="K672" s="49"/>
      <c r="L672" s="49" t="s">
        <v>10</v>
      </c>
      <c r="M672" t="s">
        <v>1709</v>
      </c>
    </row>
    <row r="673" spans="1:13" x14ac:dyDescent="0.2">
      <c r="A673" s="49">
        <v>58264</v>
      </c>
      <c r="B673" s="49" t="s">
        <v>509</v>
      </c>
      <c r="C673" s="49" t="s">
        <v>65</v>
      </c>
      <c r="D673" s="49" t="s">
        <v>10</v>
      </c>
      <c r="E673" s="49" t="s">
        <v>5</v>
      </c>
      <c r="F673" s="49" t="s">
        <v>136</v>
      </c>
      <c r="G673" s="49">
        <v>16</v>
      </c>
      <c r="H673" s="49"/>
      <c r="I673" s="49"/>
      <c r="J673" s="49"/>
      <c r="K673" s="49"/>
      <c r="L673" s="49" t="s">
        <v>10</v>
      </c>
      <c r="M673" t="s">
        <v>1709</v>
      </c>
    </row>
    <row r="674" spans="1:13" x14ac:dyDescent="0.2">
      <c r="A674" s="49">
        <v>58180</v>
      </c>
      <c r="B674" s="49" t="s">
        <v>510</v>
      </c>
      <c r="C674" s="49" t="s">
        <v>70</v>
      </c>
      <c r="D674" s="49" t="s">
        <v>10</v>
      </c>
      <c r="E674" s="49" t="s">
        <v>8</v>
      </c>
      <c r="F674" s="49" t="s">
        <v>97</v>
      </c>
      <c r="G674" s="49">
        <v>25</v>
      </c>
      <c r="H674" s="49"/>
      <c r="I674" s="49"/>
      <c r="J674" s="49"/>
      <c r="K674" s="49"/>
      <c r="L674" s="49" t="s">
        <v>10</v>
      </c>
      <c r="M674" t="s">
        <v>1709</v>
      </c>
    </row>
    <row r="675" spans="1:13" x14ac:dyDescent="0.2">
      <c r="A675" s="49">
        <v>58143</v>
      </c>
      <c r="B675" s="49" t="s">
        <v>1647</v>
      </c>
      <c r="C675" s="49" t="s">
        <v>65</v>
      </c>
      <c r="D675" s="49" t="s">
        <v>10</v>
      </c>
      <c r="E675" s="49" t="s">
        <v>5</v>
      </c>
      <c r="F675" s="49" t="s">
        <v>93</v>
      </c>
      <c r="G675" s="49">
        <v>23</v>
      </c>
      <c r="H675" s="49"/>
      <c r="I675" s="49"/>
      <c r="J675" s="49"/>
      <c r="K675" s="49"/>
      <c r="L675" s="49" t="s">
        <v>10</v>
      </c>
      <c r="M675" t="s">
        <v>1709</v>
      </c>
    </row>
    <row r="676" spans="1:13" x14ac:dyDescent="0.2">
      <c r="A676" s="49">
        <v>57915</v>
      </c>
      <c r="B676" s="49" t="s">
        <v>511</v>
      </c>
      <c r="C676" s="49" t="s">
        <v>67</v>
      </c>
      <c r="D676" s="49" t="s">
        <v>10</v>
      </c>
      <c r="E676" s="49" t="s">
        <v>12</v>
      </c>
      <c r="F676" s="49" t="s">
        <v>136</v>
      </c>
      <c r="G676" s="49">
        <v>2</v>
      </c>
      <c r="H676" s="49"/>
      <c r="I676" s="49"/>
      <c r="J676" s="49"/>
      <c r="K676" s="49"/>
      <c r="L676" s="49" t="s">
        <v>10</v>
      </c>
      <c r="M676" t="s">
        <v>1709</v>
      </c>
    </row>
    <row r="677" spans="1:13" x14ac:dyDescent="0.2">
      <c r="A677" s="49">
        <v>57776</v>
      </c>
      <c r="B677" s="49" t="s">
        <v>512</v>
      </c>
      <c r="C677" s="49" t="s">
        <v>66</v>
      </c>
      <c r="D677" s="49" t="s">
        <v>10</v>
      </c>
      <c r="E677" s="49" t="s">
        <v>5</v>
      </c>
      <c r="F677" s="49" t="s">
        <v>91</v>
      </c>
      <c r="G677" s="49">
        <v>31</v>
      </c>
      <c r="H677" s="49"/>
      <c r="I677" s="49"/>
      <c r="J677" s="49"/>
      <c r="K677" s="49"/>
      <c r="L677" s="49" t="s">
        <v>10</v>
      </c>
      <c r="M677" t="s">
        <v>1709</v>
      </c>
    </row>
    <row r="678" spans="1:13" x14ac:dyDescent="0.2">
      <c r="A678" s="49">
        <v>57765</v>
      </c>
      <c r="B678" s="49" t="s">
        <v>253</v>
      </c>
      <c r="C678" s="49" t="s">
        <v>66</v>
      </c>
      <c r="D678" s="49" t="s">
        <v>10</v>
      </c>
      <c r="E678" s="49" t="s">
        <v>5</v>
      </c>
      <c r="F678" s="49" t="s">
        <v>91</v>
      </c>
      <c r="G678" s="49">
        <v>28</v>
      </c>
      <c r="H678" s="49"/>
      <c r="I678" s="49"/>
      <c r="J678" s="49"/>
      <c r="K678" s="49"/>
      <c r="L678" s="49" t="s">
        <v>10</v>
      </c>
      <c r="M678" t="s">
        <v>1709</v>
      </c>
    </row>
    <row r="679" spans="1:13" x14ac:dyDescent="0.2">
      <c r="A679" s="49">
        <v>57596</v>
      </c>
      <c r="B679" s="49" t="s">
        <v>327</v>
      </c>
      <c r="C679" s="49" t="s">
        <v>65</v>
      </c>
      <c r="D679" s="49" t="s">
        <v>10</v>
      </c>
      <c r="E679" s="49" t="s">
        <v>5</v>
      </c>
      <c r="F679" s="49" t="s">
        <v>91</v>
      </c>
      <c r="G679" s="49">
        <v>64</v>
      </c>
      <c r="H679" s="49"/>
      <c r="I679" s="49"/>
      <c r="J679" s="49"/>
      <c r="K679" s="49"/>
      <c r="L679" s="49" t="s">
        <v>10</v>
      </c>
      <c r="M679" t="s">
        <v>1709</v>
      </c>
    </row>
    <row r="680" spans="1:13" x14ac:dyDescent="0.2">
      <c r="A680" s="49">
        <v>57552</v>
      </c>
      <c r="B680" s="49" t="s">
        <v>513</v>
      </c>
      <c r="C680" s="49" t="s">
        <v>65</v>
      </c>
      <c r="D680" s="49" t="s">
        <v>10</v>
      </c>
      <c r="E680" s="49" t="s">
        <v>5</v>
      </c>
      <c r="F680" s="49" t="s">
        <v>136</v>
      </c>
      <c r="G680" s="49">
        <v>20</v>
      </c>
      <c r="H680" s="49"/>
      <c r="I680" s="49"/>
      <c r="J680" s="49"/>
      <c r="K680" s="49"/>
      <c r="L680" s="49" t="s">
        <v>10</v>
      </c>
      <c r="M680" t="s">
        <v>1709</v>
      </c>
    </row>
    <row r="681" spans="1:13" x14ac:dyDescent="0.2">
      <c r="A681" s="49">
        <v>57434</v>
      </c>
      <c r="B681" s="49" t="s">
        <v>514</v>
      </c>
      <c r="C681" s="49" t="s">
        <v>68</v>
      </c>
      <c r="D681" s="49" t="s">
        <v>10</v>
      </c>
      <c r="E681" s="49" t="s">
        <v>5</v>
      </c>
      <c r="F681" s="49" t="s">
        <v>93</v>
      </c>
      <c r="G681" s="49">
        <v>2</v>
      </c>
      <c r="H681" s="49">
        <v>3</v>
      </c>
      <c r="I681" s="49"/>
      <c r="J681" s="49"/>
      <c r="K681" s="49"/>
      <c r="L681" s="49" t="s">
        <v>10</v>
      </c>
      <c r="M681" t="s">
        <v>1709</v>
      </c>
    </row>
    <row r="682" spans="1:13" x14ac:dyDescent="0.2">
      <c r="A682" s="49">
        <v>57409</v>
      </c>
      <c r="B682" s="49" t="s">
        <v>515</v>
      </c>
      <c r="C682" s="49" t="s">
        <v>70</v>
      </c>
      <c r="D682" s="49" t="s">
        <v>10</v>
      </c>
      <c r="E682" s="49" t="s">
        <v>8</v>
      </c>
      <c r="F682" s="49" t="s">
        <v>91</v>
      </c>
      <c r="G682" s="49">
        <v>20</v>
      </c>
      <c r="H682" s="49"/>
      <c r="I682" s="49"/>
      <c r="J682" s="49"/>
      <c r="K682" s="49"/>
      <c r="L682" s="49" t="s">
        <v>10</v>
      </c>
      <c r="M682" t="s">
        <v>1709</v>
      </c>
    </row>
    <row r="683" spans="1:13" x14ac:dyDescent="0.2">
      <c r="A683" s="49">
        <v>57310</v>
      </c>
      <c r="B683" s="49" t="s">
        <v>247</v>
      </c>
      <c r="C683" s="49" t="s">
        <v>66</v>
      </c>
      <c r="D683" s="49" t="s">
        <v>10</v>
      </c>
      <c r="E683" s="49" t="s">
        <v>5</v>
      </c>
      <c r="F683" s="49" t="s">
        <v>97</v>
      </c>
      <c r="G683" s="49">
        <v>27</v>
      </c>
      <c r="H683" s="49"/>
      <c r="I683" s="49"/>
      <c r="J683" s="49"/>
      <c r="K683" s="49"/>
      <c r="L683" s="49" t="s">
        <v>10</v>
      </c>
      <c r="M683" t="s">
        <v>1709</v>
      </c>
    </row>
    <row r="684" spans="1:13" x14ac:dyDescent="0.2">
      <c r="A684" s="49">
        <v>57283</v>
      </c>
      <c r="B684" s="49" t="s">
        <v>516</v>
      </c>
      <c r="C684" s="49" t="s">
        <v>69</v>
      </c>
      <c r="D684" s="49" t="s">
        <v>10</v>
      </c>
      <c r="E684" s="49" t="s">
        <v>12</v>
      </c>
      <c r="F684" s="49" t="s">
        <v>91</v>
      </c>
      <c r="G684" s="49">
        <v>22</v>
      </c>
      <c r="H684" s="49"/>
      <c r="I684" s="49"/>
      <c r="J684" s="49"/>
      <c r="K684" s="49"/>
      <c r="L684" s="49" t="s">
        <v>10</v>
      </c>
      <c r="M684" t="s">
        <v>1709</v>
      </c>
    </row>
    <row r="685" spans="1:13" x14ac:dyDescent="0.2">
      <c r="A685" s="49">
        <v>57275</v>
      </c>
      <c r="B685" s="49" t="s">
        <v>517</v>
      </c>
      <c r="C685" s="49" t="s">
        <v>70</v>
      </c>
      <c r="D685" s="49" t="s">
        <v>10</v>
      </c>
      <c r="E685" s="49" t="s">
        <v>8</v>
      </c>
      <c r="F685" s="49" t="s">
        <v>91</v>
      </c>
      <c r="G685" s="49">
        <v>72</v>
      </c>
      <c r="H685" s="49"/>
      <c r="I685" s="49"/>
      <c r="J685" s="49"/>
      <c r="K685" s="49"/>
      <c r="L685" s="49" t="s">
        <v>10</v>
      </c>
      <c r="M685" t="s">
        <v>1709</v>
      </c>
    </row>
    <row r="686" spans="1:13" x14ac:dyDescent="0.2">
      <c r="A686" s="49">
        <v>57238</v>
      </c>
      <c r="B686" s="49" t="s">
        <v>1648</v>
      </c>
      <c r="C686" s="49" t="s">
        <v>70</v>
      </c>
      <c r="D686" s="49" t="s">
        <v>10</v>
      </c>
      <c r="E686" s="49" t="s">
        <v>8</v>
      </c>
      <c r="F686" s="49" t="s">
        <v>91</v>
      </c>
      <c r="G686" s="49">
        <v>27</v>
      </c>
      <c r="H686" s="49"/>
      <c r="I686" s="49"/>
      <c r="J686" s="49"/>
      <c r="K686" s="49"/>
      <c r="L686" s="49" t="s">
        <v>10</v>
      </c>
      <c r="M686" t="s">
        <v>1709</v>
      </c>
    </row>
    <row r="687" spans="1:13" x14ac:dyDescent="0.2">
      <c r="A687" s="49">
        <v>57152</v>
      </c>
      <c r="B687" s="49" t="s">
        <v>518</v>
      </c>
      <c r="C687" s="49" t="s">
        <v>68</v>
      </c>
      <c r="D687" s="49" t="s">
        <v>10</v>
      </c>
      <c r="E687" s="49" t="s">
        <v>5</v>
      </c>
      <c r="F687" s="49" t="s">
        <v>95</v>
      </c>
      <c r="G687" s="49">
        <v>11</v>
      </c>
      <c r="H687" s="49"/>
      <c r="I687" s="49"/>
      <c r="J687" s="49"/>
      <c r="K687" s="49"/>
      <c r="L687" s="49" t="s">
        <v>10</v>
      </c>
      <c r="M687" t="s">
        <v>1709</v>
      </c>
    </row>
    <row r="688" spans="1:13" x14ac:dyDescent="0.2">
      <c r="A688" s="49">
        <v>57115</v>
      </c>
      <c r="B688" s="49" t="s">
        <v>231</v>
      </c>
      <c r="C688" s="49" t="s">
        <v>68</v>
      </c>
      <c r="D688" s="49" t="s">
        <v>10</v>
      </c>
      <c r="E688" s="49" t="s">
        <v>5</v>
      </c>
      <c r="F688" s="49" t="s">
        <v>91</v>
      </c>
      <c r="G688" s="49">
        <v>20</v>
      </c>
      <c r="H688" s="49"/>
      <c r="I688" s="49"/>
      <c r="J688" s="49"/>
      <c r="K688" s="49"/>
      <c r="L688" s="49" t="s">
        <v>10</v>
      </c>
      <c r="M688" t="s">
        <v>1709</v>
      </c>
    </row>
    <row r="689" spans="1:13" x14ac:dyDescent="0.2">
      <c r="A689" s="49">
        <v>57023</v>
      </c>
      <c r="B689" s="49" t="s">
        <v>519</v>
      </c>
      <c r="C689" s="49" t="s">
        <v>68</v>
      </c>
      <c r="D689" s="49" t="s">
        <v>10</v>
      </c>
      <c r="E689" s="49" t="s">
        <v>5</v>
      </c>
      <c r="F689" s="49" t="s">
        <v>91</v>
      </c>
      <c r="G689" s="49">
        <v>51</v>
      </c>
      <c r="H689" s="49"/>
      <c r="I689" s="49"/>
      <c r="J689" s="49"/>
      <c r="K689" s="49"/>
      <c r="L689" s="49" t="s">
        <v>10</v>
      </c>
      <c r="M689" t="s">
        <v>1709</v>
      </c>
    </row>
    <row r="690" spans="1:13" x14ac:dyDescent="0.2">
      <c r="A690" s="49">
        <v>57021</v>
      </c>
      <c r="B690" s="49" t="s">
        <v>275</v>
      </c>
      <c r="C690" s="49" t="s">
        <v>68</v>
      </c>
      <c r="D690" s="49" t="s">
        <v>10</v>
      </c>
      <c r="E690" s="49" t="s">
        <v>5</v>
      </c>
      <c r="F690" s="49" t="s">
        <v>91</v>
      </c>
      <c r="G690" s="49">
        <v>31</v>
      </c>
      <c r="H690" s="49"/>
      <c r="I690" s="49"/>
      <c r="J690" s="49"/>
      <c r="K690" s="49"/>
      <c r="L690" s="49" t="s">
        <v>10</v>
      </c>
      <c r="M690" t="s">
        <v>1709</v>
      </c>
    </row>
    <row r="691" spans="1:13" x14ac:dyDescent="0.2">
      <c r="A691" s="49">
        <v>56929</v>
      </c>
      <c r="B691" s="49" t="s">
        <v>299</v>
      </c>
      <c r="C691" s="49" t="s">
        <v>65</v>
      </c>
      <c r="D691" s="49" t="s">
        <v>10</v>
      </c>
      <c r="E691" s="49" t="s">
        <v>5</v>
      </c>
      <c r="F691" s="49" t="s">
        <v>97</v>
      </c>
      <c r="G691" s="49">
        <v>48</v>
      </c>
      <c r="H691" s="49"/>
      <c r="I691" s="49"/>
      <c r="J691" s="49"/>
      <c r="K691" s="49"/>
      <c r="L691" s="49" t="s">
        <v>10</v>
      </c>
      <c r="M691" t="s">
        <v>1709</v>
      </c>
    </row>
    <row r="692" spans="1:13" x14ac:dyDescent="0.2">
      <c r="A692" s="49">
        <v>56901</v>
      </c>
      <c r="B692" s="49" t="s">
        <v>520</v>
      </c>
      <c r="C692" s="49" t="s">
        <v>70</v>
      </c>
      <c r="D692" s="49" t="s">
        <v>10</v>
      </c>
      <c r="E692" s="49" t="s">
        <v>8</v>
      </c>
      <c r="F692" s="49" t="s">
        <v>91</v>
      </c>
      <c r="G692" s="49">
        <v>47</v>
      </c>
      <c r="H692" s="49"/>
      <c r="I692" s="49"/>
      <c r="J692" s="49"/>
      <c r="K692" s="49"/>
      <c r="L692" s="49" t="s">
        <v>10</v>
      </c>
      <c r="M692" t="s">
        <v>1709</v>
      </c>
    </row>
    <row r="693" spans="1:13" x14ac:dyDescent="0.2">
      <c r="A693" s="49">
        <v>56900</v>
      </c>
      <c r="B693" s="49" t="s">
        <v>521</v>
      </c>
      <c r="C693" s="49" t="s">
        <v>70</v>
      </c>
      <c r="D693" s="49" t="s">
        <v>10</v>
      </c>
      <c r="E693" s="49" t="s">
        <v>8</v>
      </c>
      <c r="F693" s="49" t="s">
        <v>91</v>
      </c>
      <c r="G693" s="49">
        <v>46</v>
      </c>
      <c r="H693" s="49"/>
      <c r="I693" s="49"/>
      <c r="J693" s="49"/>
      <c r="K693" s="49"/>
      <c r="L693" s="49" t="s">
        <v>10</v>
      </c>
      <c r="M693" t="s">
        <v>1709</v>
      </c>
    </row>
    <row r="694" spans="1:13" x14ac:dyDescent="0.2">
      <c r="A694" s="49">
        <v>56880</v>
      </c>
      <c r="B694" s="49" t="s">
        <v>214</v>
      </c>
      <c r="C694" s="49" t="s">
        <v>65</v>
      </c>
      <c r="D694" s="49" t="s">
        <v>10</v>
      </c>
      <c r="E694" s="49" t="s">
        <v>5</v>
      </c>
      <c r="F694" s="49" t="s">
        <v>95</v>
      </c>
      <c r="G694" s="49">
        <v>25</v>
      </c>
      <c r="H694" s="49"/>
      <c r="I694" s="49"/>
      <c r="J694" s="49"/>
      <c r="K694" s="49"/>
      <c r="L694" s="49" t="s">
        <v>10</v>
      </c>
      <c r="M694" t="s">
        <v>1709</v>
      </c>
    </row>
    <row r="695" spans="1:13" x14ac:dyDescent="0.2">
      <c r="A695" s="49">
        <v>56874</v>
      </c>
      <c r="B695" s="49" t="s">
        <v>339</v>
      </c>
      <c r="C695" s="49" t="s">
        <v>65</v>
      </c>
      <c r="D695" s="49" t="s">
        <v>10</v>
      </c>
      <c r="E695" s="49" t="s">
        <v>5</v>
      </c>
      <c r="F695" s="49" t="s">
        <v>91</v>
      </c>
      <c r="G695" s="49">
        <v>76</v>
      </c>
      <c r="H695" s="49"/>
      <c r="I695" s="49"/>
      <c r="J695" s="49"/>
      <c r="K695" s="49"/>
      <c r="L695" s="49" t="s">
        <v>10</v>
      </c>
      <c r="M695" t="s">
        <v>1709</v>
      </c>
    </row>
    <row r="696" spans="1:13" x14ac:dyDescent="0.2">
      <c r="A696" s="49">
        <v>56840</v>
      </c>
      <c r="B696" s="49" t="s">
        <v>146</v>
      </c>
      <c r="C696" s="49" t="s">
        <v>65</v>
      </c>
      <c r="D696" s="49" t="s">
        <v>10</v>
      </c>
      <c r="E696" s="49" t="s">
        <v>5</v>
      </c>
      <c r="F696" s="49" t="s">
        <v>354</v>
      </c>
      <c r="G696" s="49">
        <v>7</v>
      </c>
      <c r="H696" s="49"/>
      <c r="I696" s="49"/>
      <c r="J696" s="49"/>
      <c r="K696" s="49"/>
      <c r="L696" s="49" t="s">
        <v>10</v>
      </c>
      <c r="M696" t="s">
        <v>1709</v>
      </c>
    </row>
    <row r="697" spans="1:13" x14ac:dyDescent="0.2">
      <c r="A697" s="49">
        <v>56826</v>
      </c>
      <c r="B697" s="49" t="s">
        <v>338</v>
      </c>
      <c r="C697" s="49" t="s">
        <v>65</v>
      </c>
      <c r="D697" s="49" t="s">
        <v>10</v>
      </c>
      <c r="E697" s="49" t="s">
        <v>5</v>
      </c>
      <c r="F697" s="49" t="s">
        <v>91</v>
      </c>
      <c r="G697" s="49">
        <v>75</v>
      </c>
      <c r="H697" s="49"/>
      <c r="I697" s="49"/>
      <c r="J697" s="49"/>
      <c r="K697" s="49"/>
      <c r="L697" s="49" t="s">
        <v>10</v>
      </c>
      <c r="M697" t="s">
        <v>1709</v>
      </c>
    </row>
    <row r="698" spans="1:13" x14ac:dyDescent="0.2">
      <c r="A698" s="49">
        <v>56821</v>
      </c>
      <c r="B698" s="49" t="s">
        <v>522</v>
      </c>
      <c r="C698" s="49" t="s">
        <v>65</v>
      </c>
      <c r="D698" s="49" t="s">
        <v>10</v>
      </c>
      <c r="E698" s="49" t="s">
        <v>5</v>
      </c>
      <c r="F698" s="49" t="s">
        <v>95</v>
      </c>
      <c r="G698" s="49">
        <v>30</v>
      </c>
      <c r="H698" s="49"/>
      <c r="I698" s="49"/>
      <c r="J698" s="49"/>
      <c r="K698" s="49"/>
      <c r="L698" s="49" t="s">
        <v>10</v>
      </c>
      <c r="M698" t="s">
        <v>1709</v>
      </c>
    </row>
    <row r="699" spans="1:13" x14ac:dyDescent="0.2">
      <c r="A699" s="49">
        <v>56782</v>
      </c>
      <c r="B699" s="49" t="s">
        <v>523</v>
      </c>
      <c r="C699" s="49" t="s">
        <v>68</v>
      </c>
      <c r="D699" s="49" t="s">
        <v>10</v>
      </c>
      <c r="E699" s="49" t="s">
        <v>5</v>
      </c>
      <c r="F699" s="49" t="s">
        <v>91</v>
      </c>
      <c r="G699" s="49">
        <v>43</v>
      </c>
      <c r="H699" s="49"/>
      <c r="I699" s="49"/>
      <c r="J699" s="49"/>
      <c r="K699" s="49"/>
      <c r="L699" s="49" t="s">
        <v>10</v>
      </c>
      <c r="M699" t="s">
        <v>1709</v>
      </c>
    </row>
    <row r="700" spans="1:13" x14ac:dyDescent="0.2">
      <c r="A700" s="49">
        <v>56625</v>
      </c>
      <c r="B700" s="49" t="s">
        <v>335</v>
      </c>
      <c r="C700" s="49" t="s">
        <v>69</v>
      </c>
      <c r="D700" s="49" t="s">
        <v>10</v>
      </c>
      <c r="E700" s="49" t="s">
        <v>12</v>
      </c>
      <c r="F700" s="49" t="s">
        <v>97</v>
      </c>
      <c r="G700" s="49">
        <v>69</v>
      </c>
      <c r="H700" s="49"/>
      <c r="I700" s="49"/>
      <c r="J700" s="49"/>
      <c r="K700" s="49"/>
      <c r="L700" s="49" t="s">
        <v>10</v>
      </c>
      <c r="M700" t="s">
        <v>1709</v>
      </c>
    </row>
    <row r="701" spans="1:13" x14ac:dyDescent="0.2">
      <c r="A701" s="49">
        <v>56551</v>
      </c>
      <c r="B701" s="49" t="s">
        <v>524</v>
      </c>
      <c r="C701" s="49" t="s">
        <v>67</v>
      </c>
      <c r="D701" s="49" t="s">
        <v>10</v>
      </c>
      <c r="E701" s="49" t="s">
        <v>12</v>
      </c>
      <c r="F701" s="49" t="s">
        <v>91</v>
      </c>
      <c r="G701" s="49">
        <v>24</v>
      </c>
      <c r="H701" s="49"/>
      <c r="I701" s="49"/>
      <c r="J701" s="49"/>
      <c r="K701" s="49"/>
      <c r="L701" s="49" t="s">
        <v>10</v>
      </c>
      <c r="M701" t="s">
        <v>1709</v>
      </c>
    </row>
    <row r="702" spans="1:13" x14ac:dyDescent="0.2">
      <c r="A702" s="49">
        <v>56222</v>
      </c>
      <c r="B702" s="49" t="s">
        <v>251</v>
      </c>
      <c r="C702" s="49" t="s">
        <v>69</v>
      </c>
      <c r="D702" s="49" t="s">
        <v>10</v>
      </c>
      <c r="E702" s="49" t="s">
        <v>12</v>
      </c>
      <c r="F702" s="49" t="s">
        <v>91</v>
      </c>
      <c r="G702" s="49">
        <v>26</v>
      </c>
      <c r="H702" s="49"/>
      <c r="I702" s="49"/>
      <c r="J702" s="49"/>
      <c r="K702" s="49"/>
      <c r="L702" s="49" t="s">
        <v>10</v>
      </c>
      <c r="M702" t="s">
        <v>1709</v>
      </c>
    </row>
    <row r="703" spans="1:13" x14ac:dyDescent="0.2">
      <c r="A703" s="49">
        <v>56100</v>
      </c>
      <c r="B703" s="49" t="s">
        <v>525</v>
      </c>
      <c r="C703" s="49" t="s">
        <v>65</v>
      </c>
      <c r="D703" s="49" t="s">
        <v>10</v>
      </c>
      <c r="E703" s="49" t="s">
        <v>5</v>
      </c>
      <c r="F703" s="49" t="s">
        <v>91</v>
      </c>
      <c r="G703" s="49">
        <v>63</v>
      </c>
      <c r="H703" s="49"/>
      <c r="I703" s="49"/>
      <c r="J703" s="49"/>
      <c r="K703" s="49"/>
      <c r="L703" s="49" t="s">
        <v>10</v>
      </c>
      <c r="M703" t="s">
        <v>1709</v>
      </c>
    </row>
    <row r="704" spans="1:13" x14ac:dyDescent="0.2">
      <c r="A704" s="49">
        <v>55776</v>
      </c>
      <c r="B704" s="49" t="s">
        <v>526</v>
      </c>
      <c r="C704" s="49" t="s">
        <v>64</v>
      </c>
      <c r="D704" s="49" t="s">
        <v>10</v>
      </c>
      <c r="E704" s="49" t="s">
        <v>6</v>
      </c>
      <c r="F704" s="49" t="s">
        <v>91</v>
      </c>
      <c r="G704" s="49">
        <v>32</v>
      </c>
      <c r="H704" s="49"/>
      <c r="I704" s="49"/>
      <c r="J704" s="49"/>
      <c r="K704" s="49"/>
      <c r="L704" s="49" t="s">
        <v>10</v>
      </c>
      <c r="M704" t="s">
        <v>1709</v>
      </c>
    </row>
    <row r="705" spans="1:13" x14ac:dyDescent="0.2">
      <c r="A705" s="49">
        <v>55732</v>
      </c>
      <c r="B705" s="49" t="s">
        <v>1649</v>
      </c>
      <c r="C705" s="49" t="s">
        <v>69</v>
      </c>
      <c r="D705" s="49" t="s">
        <v>10</v>
      </c>
      <c r="E705" s="49" t="s">
        <v>12</v>
      </c>
      <c r="F705" s="49" t="s">
        <v>91</v>
      </c>
      <c r="G705" s="49">
        <v>60</v>
      </c>
      <c r="H705" s="49"/>
      <c r="I705" s="49"/>
      <c r="J705" s="49"/>
      <c r="K705" s="49"/>
      <c r="L705" s="49" t="s">
        <v>10</v>
      </c>
      <c r="M705" t="s">
        <v>1709</v>
      </c>
    </row>
    <row r="706" spans="1:13" x14ac:dyDescent="0.2">
      <c r="A706" s="49">
        <v>55715</v>
      </c>
      <c r="B706" s="49" t="s">
        <v>527</v>
      </c>
      <c r="C706" s="49" t="s">
        <v>65</v>
      </c>
      <c r="D706" s="49" t="s">
        <v>10</v>
      </c>
      <c r="E706" s="49" t="s">
        <v>5</v>
      </c>
      <c r="F706" s="49" t="s">
        <v>91</v>
      </c>
      <c r="G706" s="49">
        <v>77</v>
      </c>
      <c r="H706" s="49"/>
      <c r="I706" s="49"/>
      <c r="J706" s="49"/>
      <c r="K706" s="49"/>
      <c r="L706" s="49" t="s">
        <v>10</v>
      </c>
      <c r="M706" t="s">
        <v>1709</v>
      </c>
    </row>
    <row r="707" spans="1:13" x14ac:dyDescent="0.2">
      <c r="A707" s="49">
        <v>55712</v>
      </c>
      <c r="B707" s="49" t="s">
        <v>189</v>
      </c>
      <c r="C707" s="49" t="s">
        <v>65</v>
      </c>
      <c r="D707" s="49" t="s">
        <v>10</v>
      </c>
      <c r="E707" s="49" t="s">
        <v>5</v>
      </c>
      <c r="F707" s="49" t="s">
        <v>97</v>
      </c>
      <c r="G707" s="49">
        <v>19</v>
      </c>
      <c r="H707" s="49"/>
      <c r="I707" s="49"/>
      <c r="J707" s="49"/>
      <c r="K707" s="49"/>
      <c r="L707" s="49" t="s">
        <v>10</v>
      </c>
      <c r="M707" t="s">
        <v>1709</v>
      </c>
    </row>
    <row r="708" spans="1:13" x14ac:dyDescent="0.2">
      <c r="A708" s="49">
        <v>55564</v>
      </c>
      <c r="B708" s="49" t="s">
        <v>528</v>
      </c>
      <c r="C708" s="49" t="s">
        <v>66</v>
      </c>
      <c r="D708" s="49" t="s">
        <v>10</v>
      </c>
      <c r="E708" s="49" t="s">
        <v>5</v>
      </c>
      <c r="F708" s="49" t="s">
        <v>91</v>
      </c>
      <c r="G708" s="49">
        <v>25</v>
      </c>
      <c r="H708" s="49"/>
      <c r="I708" s="49"/>
      <c r="J708" s="49"/>
      <c r="K708" s="49"/>
      <c r="L708" s="49" t="s">
        <v>10</v>
      </c>
      <c r="M708" t="s">
        <v>1709</v>
      </c>
    </row>
    <row r="709" spans="1:13" x14ac:dyDescent="0.2">
      <c r="A709" s="49">
        <v>55559</v>
      </c>
      <c r="B709" s="49" t="s">
        <v>237</v>
      </c>
      <c r="C709" s="49" t="s">
        <v>68</v>
      </c>
      <c r="D709" s="49" t="s">
        <v>10</v>
      </c>
      <c r="E709" s="49" t="s">
        <v>5</v>
      </c>
      <c r="F709" s="49" t="s">
        <v>91</v>
      </c>
      <c r="G709" s="49">
        <v>21</v>
      </c>
      <c r="H709" s="49"/>
      <c r="I709" s="49"/>
      <c r="J709" s="49"/>
      <c r="K709" s="49"/>
      <c r="L709" s="49" t="s">
        <v>10</v>
      </c>
      <c r="M709" t="s">
        <v>1709</v>
      </c>
    </row>
    <row r="710" spans="1:13" x14ac:dyDescent="0.2">
      <c r="A710" s="49">
        <v>55474</v>
      </c>
      <c r="B710" s="49" t="s">
        <v>529</v>
      </c>
      <c r="C710" s="49" t="s">
        <v>67</v>
      </c>
      <c r="D710" s="49" t="s">
        <v>10</v>
      </c>
      <c r="E710" s="49" t="s">
        <v>12</v>
      </c>
      <c r="F710" s="49" t="s">
        <v>95</v>
      </c>
      <c r="G710" s="49">
        <v>3</v>
      </c>
      <c r="H710" s="49"/>
      <c r="I710" s="49"/>
      <c r="J710" s="49"/>
      <c r="K710" s="49"/>
      <c r="L710" s="49" t="s">
        <v>10</v>
      </c>
      <c r="M710" t="s">
        <v>1709</v>
      </c>
    </row>
    <row r="711" spans="1:13" x14ac:dyDescent="0.2">
      <c r="A711" s="49">
        <v>55200</v>
      </c>
      <c r="B711" s="49" t="s">
        <v>284</v>
      </c>
      <c r="C711" s="49" t="s">
        <v>68</v>
      </c>
      <c r="D711" s="49" t="s">
        <v>10</v>
      </c>
      <c r="E711" s="49" t="s">
        <v>5</v>
      </c>
      <c r="F711" s="49" t="s">
        <v>97</v>
      </c>
      <c r="G711" s="49">
        <v>34</v>
      </c>
      <c r="H711" s="49"/>
      <c r="I711" s="49"/>
      <c r="J711" s="49"/>
      <c r="K711" s="49"/>
      <c r="L711" s="49" t="s">
        <v>10</v>
      </c>
      <c r="M711" t="s">
        <v>1709</v>
      </c>
    </row>
    <row r="712" spans="1:13" x14ac:dyDescent="0.2">
      <c r="A712" s="49">
        <v>55104</v>
      </c>
      <c r="B712" s="49" t="s">
        <v>530</v>
      </c>
      <c r="C712" s="49" t="s">
        <v>65</v>
      </c>
      <c r="D712" s="49" t="s">
        <v>10</v>
      </c>
      <c r="E712" s="49" t="s">
        <v>5</v>
      </c>
      <c r="F712" s="49" t="s">
        <v>91</v>
      </c>
      <c r="G712" s="49">
        <v>73</v>
      </c>
      <c r="H712" s="49"/>
      <c r="I712" s="49"/>
      <c r="J712" s="49"/>
      <c r="K712" s="49"/>
      <c r="L712" s="49" t="s">
        <v>10</v>
      </c>
      <c r="M712" t="s">
        <v>1709</v>
      </c>
    </row>
    <row r="713" spans="1:13" x14ac:dyDescent="0.2">
      <c r="A713" s="49">
        <v>55058</v>
      </c>
      <c r="B713" s="49" t="s">
        <v>274</v>
      </c>
      <c r="C713" s="49" t="s">
        <v>66</v>
      </c>
      <c r="D713" s="49" t="s">
        <v>10</v>
      </c>
      <c r="E713" s="49" t="s">
        <v>5</v>
      </c>
      <c r="F713" s="49" t="s">
        <v>130</v>
      </c>
      <c r="G713" s="49">
        <v>35</v>
      </c>
      <c r="H713" s="49"/>
      <c r="I713" s="49"/>
      <c r="J713" s="49"/>
      <c r="K713" s="49">
        <v>1</v>
      </c>
      <c r="L713" s="49" t="s">
        <v>10</v>
      </c>
      <c r="M713" t="s">
        <v>1709</v>
      </c>
    </row>
    <row r="714" spans="1:13" x14ac:dyDescent="0.2">
      <c r="A714" s="49">
        <v>54990</v>
      </c>
      <c r="B714" s="49" t="s">
        <v>531</v>
      </c>
      <c r="C714" s="49" t="s">
        <v>65</v>
      </c>
      <c r="D714" s="49" t="s">
        <v>10</v>
      </c>
      <c r="E714" s="49" t="s">
        <v>5</v>
      </c>
      <c r="F714" s="49" t="s">
        <v>91</v>
      </c>
      <c r="G714" s="49">
        <v>72</v>
      </c>
      <c r="H714" s="49"/>
      <c r="I714" s="49"/>
      <c r="J714" s="49"/>
      <c r="K714" s="49"/>
      <c r="L714" s="49" t="s">
        <v>10</v>
      </c>
      <c r="M714" t="s">
        <v>1709</v>
      </c>
    </row>
    <row r="715" spans="1:13" x14ac:dyDescent="0.2">
      <c r="A715" s="49">
        <v>54986</v>
      </c>
      <c r="B715" s="49" t="s">
        <v>532</v>
      </c>
      <c r="C715" s="49" t="s">
        <v>65</v>
      </c>
      <c r="D715" s="49" t="s">
        <v>10</v>
      </c>
      <c r="E715" s="49" t="s">
        <v>5</v>
      </c>
      <c r="F715" s="49" t="s">
        <v>91</v>
      </c>
      <c r="G715" s="49">
        <v>60</v>
      </c>
      <c r="H715" s="49"/>
      <c r="I715" s="49"/>
      <c r="J715" s="49"/>
      <c r="K715" s="49"/>
      <c r="L715" s="49" t="s">
        <v>10</v>
      </c>
      <c r="M715" t="s">
        <v>1709</v>
      </c>
    </row>
    <row r="716" spans="1:13" x14ac:dyDescent="0.2">
      <c r="A716" s="49">
        <v>54777</v>
      </c>
      <c r="B716" s="49" t="s">
        <v>533</v>
      </c>
      <c r="C716" s="49" t="s">
        <v>66</v>
      </c>
      <c r="D716" s="49" t="s">
        <v>10</v>
      </c>
      <c r="E716" s="49" t="s">
        <v>5</v>
      </c>
      <c r="F716" s="49" t="s">
        <v>91</v>
      </c>
      <c r="G716" s="49">
        <v>41</v>
      </c>
      <c r="H716" s="49"/>
      <c r="I716" s="49"/>
      <c r="J716" s="49"/>
      <c r="K716" s="49"/>
      <c r="L716" s="49" t="s">
        <v>10</v>
      </c>
      <c r="M716" t="s">
        <v>1709</v>
      </c>
    </row>
    <row r="717" spans="1:13" x14ac:dyDescent="0.2">
      <c r="A717" s="49">
        <v>54720</v>
      </c>
      <c r="B717" s="49" t="s">
        <v>278</v>
      </c>
      <c r="C717" s="49" t="s">
        <v>66</v>
      </c>
      <c r="D717" s="49" t="s">
        <v>10</v>
      </c>
      <c r="E717" s="49" t="s">
        <v>5</v>
      </c>
      <c r="F717" s="49" t="s">
        <v>91</v>
      </c>
      <c r="G717" s="49">
        <v>36</v>
      </c>
      <c r="H717" s="49"/>
      <c r="I717" s="49"/>
      <c r="J717" s="49"/>
      <c r="K717" s="49"/>
      <c r="L717" s="49" t="s">
        <v>10</v>
      </c>
      <c r="M717" t="s">
        <v>1709</v>
      </c>
    </row>
    <row r="718" spans="1:13" x14ac:dyDescent="0.2">
      <c r="A718" s="49">
        <v>54464</v>
      </c>
      <c r="B718" s="49" t="s">
        <v>263</v>
      </c>
      <c r="C718" s="49" t="s">
        <v>66</v>
      </c>
      <c r="D718" s="49" t="s">
        <v>10</v>
      </c>
      <c r="E718" s="49" t="s">
        <v>5</v>
      </c>
      <c r="F718" s="49" t="s">
        <v>91</v>
      </c>
      <c r="G718" s="49">
        <v>30</v>
      </c>
      <c r="H718" s="49"/>
      <c r="I718" s="49"/>
      <c r="J718" s="49"/>
      <c r="K718" s="49"/>
      <c r="L718" s="49" t="s">
        <v>10</v>
      </c>
      <c r="M718" t="s">
        <v>1709</v>
      </c>
    </row>
    <row r="719" spans="1:13" x14ac:dyDescent="0.2">
      <c r="A719" s="49">
        <v>54317</v>
      </c>
      <c r="B719" s="49" t="s">
        <v>534</v>
      </c>
      <c r="C719" s="49" t="s">
        <v>65</v>
      </c>
      <c r="D719" s="49" t="s">
        <v>10</v>
      </c>
      <c r="E719" s="49" t="s">
        <v>5</v>
      </c>
      <c r="F719" s="49" t="s">
        <v>91</v>
      </c>
      <c r="G719" s="49">
        <v>42</v>
      </c>
      <c r="H719" s="49"/>
      <c r="I719" s="49"/>
      <c r="J719" s="49"/>
      <c r="K719" s="49"/>
      <c r="L719" s="49" t="s">
        <v>10</v>
      </c>
      <c r="M719" t="s">
        <v>1709</v>
      </c>
    </row>
    <row r="720" spans="1:13" x14ac:dyDescent="0.2">
      <c r="A720" s="49">
        <v>54275</v>
      </c>
      <c r="B720" s="49" t="s">
        <v>535</v>
      </c>
      <c r="C720" s="49" t="s">
        <v>65</v>
      </c>
      <c r="D720" s="49" t="s">
        <v>10</v>
      </c>
      <c r="E720" s="49" t="s">
        <v>5</v>
      </c>
      <c r="F720" s="49" t="s">
        <v>91</v>
      </c>
      <c r="G720" s="49">
        <v>61</v>
      </c>
      <c r="H720" s="49"/>
      <c r="I720" s="49"/>
      <c r="J720" s="49"/>
      <c r="K720" s="49"/>
      <c r="L720" s="49" t="s">
        <v>10</v>
      </c>
      <c r="M720" t="s">
        <v>1709</v>
      </c>
    </row>
    <row r="721" spans="1:13" x14ac:dyDescent="0.2">
      <c r="A721" s="49">
        <v>54222</v>
      </c>
      <c r="B721" s="49" t="s">
        <v>210</v>
      </c>
      <c r="C721" s="49" t="s">
        <v>68</v>
      </c>
      <c r="D721" s="49" t="s">
        <v>10</v>
      </c>
      <c r="E721" s="49" t="s">
        <v>5</v>
      </c>
      <c r="F721" s="49" t="s">
        <v>91</v>
      </c>
      <c r="G721" s="49">
        <v>15</v>
      </c>
      <c r="H721" s="49"/>
      <c r="I721" s="49"/>
      <c r="J721" s="49"/>
      <c r="K721" s="49"/>
      <c r="L721" s="49" t="s">
        <v>10</v>
      </c>
      <c r="M721" t="s">
        <v>1709</v>
      </c>
    </row>
    <row r="722" spans="1:13" x14ac:dyDescent="0.2">
      <c r="A722" s="49">
        <v>54192</v>
      </c>
      <c r="B722" s="49" t="s">
        <v>536</v>
      </c>
      <c r="C722" s="49" t="s">
        <v>65</v>
      </c>
      <c r="D722" s="49" t="s">
        <v>10</v>
      </c>
      <c r="E722" s="49" t="s">
        <v>5</v>
      </c>
      <c r="F722" s="49" t="s">
        <v>91</v>
      </c>
      <c r="G722" s="49">
        <v>65</v>
      </c>
      <c r="H722" s="49"/>
      <c r="I722" s="49"/>
      <c r="J722" s="49"/>
      <c r="K722" s="49"/>
      <c r="L722" s="49" t="s">
        <v>10</v>
      </c>
      <c r="M722" t="s">
        <v>1709</v>
      </c>
    </row>
    <row r="723" spans="1:13" x14ac:dyDescent="0.2">
      <c r="A723" s="49">
        <v>54189</v>
      </c>
      <c r="B723" s="49" t="s">
        <v>537</v>
      </c>
      <c r="C723" s="49" t="s">
        <v>68</v>
      </c>
      <c r="D723" s="49" t="s">
        <v>10</v>
      </c>
      <c r="E723" s="49" t="s">
        <v>5</v>
      </c>
      <c r="F723" s="49" t="s">
        <v>95</v>
      </c>
      <c r="G723" s="49">
        <v>4</v>
      </c>
      <c r="H723" s="49"/>
      <c r="I723" s="49"/>
      <c r="J723" s="49"/>
      <c r="K723" s="49"/>
      <c r="L723" s="49" t="s">
        <v>10</v>
      </c>
      <c r="M723" t="s">
        <v>1709</v>
      </c>
    </row>
    <row r="724" spans="1:13" x14ac:dyDescent="0.2">
      <c r="A724" s="49">
        <v>54162</v>
      </c>
      <c r="B724" s="49" t="s">
        <v>538</v>
      </c>
      <c r="C724" s="49" t="s">
        <v>70</v>
      </c>
      <c r="D724" s="49" t="s">
        <v>10</v>
      </c>
      <c r="E724" s="49" t="s">
        <v>8</v>
      </c>
      <c r="F724" s="49" t="s">
        <v>95</v>
      </c>
      <c r="G724" s="49">
        <v>38</v>
      </c>
      <c r="H724" s="49"/>
      <c r="I724" s="49"/>
      <c r="J724" s="49"/>
      <c r="K724" s="49"/>
      <c r="L724" s="49" t="s">
        <v>10</v>
      </c>
      <c r="M724" t="s">
        <v>1709</v>
      </c>
    </row>
    <row r="725" spans="1:13" x14ac:dyDescent="0.2">
      <c r="A725" s="49">
        <v>54066</v>
      </c>
      <c r="B725" s="49" t="s">
        <v>539</v>
      </c>
      <c r="C725" s="49" t="s">
        <v>64</v>
      </c>
      <c r="D725" s="49" t="s">
        <v>10</v>
      </c>
      <c r="E725" s="49" t="s">
        <v>6</v>
      </c>
      <c r="F725" s="49" t="s">
        <v>91</v>
      </c>
      <c r="G725" s="49">
        <v>31</v>
      </c>
      <c r="H725" s="49"/>
      <c r="I725" s="49"/>
      <c r="J725" s="49"/>
      <c r="K725" s="49"/>
      <c r="L725" s="49" t="s">
        <v>10</v>
      </c>
      <c r="M725" t="s">
        <v>1709</v>
      </c>
    </row>
    <row r="726" spans="1:13" x14ac:dyDescent="0.2">
      <c r="A726" s="49">
        <v>53788</v>
      </c>
      <c r="B726" s="49" t="s">
        <v>541</v>
      </c>
      <c r="C726" s="49" t="s">
        <v>70</v>
      </c>
      <c r="D726" s="49" t="s">
        <v>10</v>
      </c>
      <c r="E726" s="49" t="s">
        <v>8</v>
      </c>
      <c r="F726" s="49" t="s">
        <v>91</v>
      </c>
      <c r="G726" s="49">
        <v>67</v>
      </c>
      <c r="H726" s="49"/>
      <c r="I726" s="49"/>
      <c r="J726" s="49"/>
      <c r="K726" s="49"/>
      <c r="L726" s="49" t="s">
        <v>10</v>
      </c>
      <c r="M726" t="s">
        <v>1709</v>
      </c>
    </row>
    <row r="727" spans="1:13" x14ac:dyDescent="0.2">
      <c r="A727" s="49">
        <v>53473</v>
      </c>
      <c r="B727" s="49" t="s">
        <v>542</v>
      </c>
      <c r="C727" s="49" t="s">
        <v>68</v>
      </c>
      <c r="D727" s="49" t="s">
        <v>10</v>
      </c>
      <c r="E727" s="49" t="s">
        <v>5</v>
      </c>
      <c r="F727" s="49" t="s">
        <v>91</v>
      </c>
      <c r="G727" s="49">
        <v>16</v>
      </c>
      <c r="H727" s="49"/>
      <c r="I727" s="49"/>
      <c r="J727" s="49"/>
      <c r="K727" s="49"/>
      <c r="L727" s="49" t="s">
        <v>10</v>
      </c>
      <c r="M727" t="s">
        <v>1709</v>
      </c>
    </row>
    <row r="728" spans="1:13" x14ac:dyDescent="0.2">
      <c r="A728" s="49">
        <v>53215</v>
      </c>
      <c r="B728" s="49" t="s">
        <v>543</v>
      </c>
      <c r="C728" s="49" t="s">
        <v>65</v>
      </c>
      <c r="D728" s="49" t="s">
        <v>10</v>
      </c>
      <c r="E728" s="49" t="s">
        <v>5</v>
      </c>
      <c r="F728" s="49" t="s">
        <v>91</v>
      </c>
      <c r="G728" s="49">
        <v>38</v>
      </c>
      <c r="H728" s="49"/>
      <c r="I728" s="49"/>
      <c r="J728" s="49"/>
      <c r="K728" s="49"/>
      <c r="L728" s="49" t="s">
        <v>10</v>
      </c>
      <c r="M728" t="s">
        <v>1709</v>
      </c>
    </row>
    <row r="729" spans="1:13" x14ac:dyDescent="0.2">
      <c r="A729" s="49">
        <v>53166</v>
      </c>
      <c r="B729" s="49" t="s">
        <v>544</v>
      </c>
      <c r="C729" s="49" t="s">
        <v>68</v>
      </c>
      <c r="D729" s="49" t="s">
        <v>10</v>
      </c>
      <c r="E729" s="49" t="s">
        <v>5</v>
      </c>
      <c r="F729" s="49" t="s">
        <v>91</v>
      </c>
      <c r="G729" s="49">
        <v>30</v>
      </c>
      <c r="H729" s="49"/>
      <c r="I729" s="49"/>
      <c r="J729" s="49"/>
      <c r="K729" s="49"/>
      <c r="L729" s="49" t="s">
        <v>10</v>
      </c>
      <c r="M729" t="s">
        <v>1709</v>
      </c>
    </row>
    <row r="730" spans="1:13" x14ac:dyDescent="0.2">
      <c r="A730" s="49">
        <v>53144</v>
      </c>
      <c r="B730" s="49" t="s">
        <v>545</v>
      </c>
      <c r="C730" s="49" t="s">
        <v>65</v>
      </c>
      <c r="D730" s="49" t="s">
        <v>10</v>
      </c>
      <c r="E730" s="49" t="s">
        <v>5</v>
      </c>
      <c r="F730" s="49" t="s">
        <v>91</v>
      </c>
      <c r="G730" s="49">
        <v>58</v>
      </c>
      <c r="H730" s="49"/>
      <c r="I730" s="49"/>
      <c r="J730" s="49"/>
      <c r="K730" s="49"/>
      <c r="L730" s="49" t="s">
        <v>10</v>
      </c>
      <c r="M730" t="s">
        <v>1709</v>
      </c>
    </row>
    <row r="731" spans="1:13" x14ac:dyDescent="0.2">
      <c r="A731" s="49">
        <v>52992</v>
      </c>
      <c r="B731" s="49" t="s">
        <v>546</v>
      </c>
      <c r="C731" s="49" t="s">
        <v>70</v>
      </c>
      <c r="D731" s="49" t="s">
        <v>10</v>
      </c>
      <c r="E731" s="49" t="s">
        <v>8</v>
      </c>
      <c r="F731" s="49" t="s">
        <v>91</v>
      </c>
      <c r="G731" s="49">
        <v>42</v>
      </c>
      <c r="H731" s="49"/>
      <c r="I731" s="49"/>
      <c r="J731" s="49"/>
      <c r="K731" s="49"/>
      <c r="L731" s="49" t="s">
        <v>10</v>
      </c>
      <c r="M731" t="s">
        <v>1709</v>
      </c>
    </row>
    <row r="732" spans="1:13" x14ac:dyDescent="0.2">
      <c r="A732" s="49">
        <v>52728</v>
      </c>
      <c r="B732" s="49" t="s">
        <v>264</v>
      </c>
      <c r="C732" s="49" t="s">
        <v>68</v>
      </c>
      <c r="D732" s="49" t="s">
        <v>10</v>
      </c>
      <c r="E732" s="49" t="s">
        <v>5</v>
      </c>
      <c r="F732" s="49" t="s">
        <v>91</v>
      </c>
      <c r="G732" s="49">
        <v>26</v>
      </c>
      <c r="H732" s="49"/>
      <c r="I732" s="49"/>
      <c r="J732" s="49"/>
      <c r="K732" s="49"/>
      <c r="L732" s="49" t="s">
        <v>10</v>
      </c>
      <c r="M732" t="s">
        <v>1709</v>
      </c>
    </row>
    <row r="733" spans="1:13" x14ac:dyDescent="0.2">
      <c r="A733" s="49">
        <v>52691</v>
      </c>
      <c r="B733" s="49" t="s">
        <v>337</v>
      </c>
      <c r="C733" s="49" t="s">
        <v>70</v>
      </c>
      <c r="D733" s="49" t="s">
        <v>10</v>
      </c>
      <c r="E733" s="49" t="s">
        <v>8</v>
      </c>
      <c r="F733" s="49" t="s">
        <v>91</v>
      </c>
      <c r="G733" s="49">
        <v>71</v>
      </c>
      <c r="H733" s="49"/>
      <c r="I733" s="49"/>
      <c r="J733" s="49"/>
      <c r="K733" s="49"/>
      <c r="L733" s="49" t="s">
        <v>10</v>
      </c>
      <c r="M733" t="s">
        <v>1709</v>
      </c>
    </row>
    <row r="734" spans="1:13" x14ac:dyDescent="0.2">
      <c r="A734" s="49">
        <v>52618</v>
      </c>
      <c r="B734" s="49" t="s">
        <v>547</v>
      </c>
      <c r="C734" s="49" t="s">
        <v>68</v>
      </c>
      <c r="D734" s="49" t="s">
        <v>10</v>
      </c>
      <c r="E734" s="49" t="s">
        <v>5</v>
      </c>
      <c r="F734" s="49" t="s">
        <v>95</v>
      </c>
      <c r="G734" s="49">
        <v>10</v>
      </c>
      <c r="H734" s="49"/>
      <c r="I734" s="49"/>
      <c r="J734" s="49"/>
      <c r="K734" s="49"/>
      <c r="L734" s="49" t="s">
        <v>10</v>
      </c>
      <c r="M734" t="s">
        <v>1709</v>
      </c>
    </row>
    <row r="735" spans="1:13" x14ac:dyDescent="0.2">
      <c r="A735" s="49">
        <v>52607</v>
      </c>
      <c r="B735" s="49" t="s">
        <v>548</v>
      </c>
      <c r="C735" s="49" t="s">
        <v>70</v>
      </c>
      <c r="D735" s="49" t="s">
        <v>10</v>
      </c>
      <c r="E735" s="49" t="s">
        <v>8</v>
      </c>
      <c r="F735" s="49" t="s">
        <v>91</v>
      </c>
      <c r="G735" s="49">
        <v>26</v>
      </c>
      <c r="H735" s="49"/>
      <c r="I735" s="49"/>
      <c r="J735" s="49"/>
      <c r="K735" s="49"/>
      <c r="L735" s="49" t="s">
        <v>10</v>
      </c>
      <c r="M735" t="s">
        <v>1709</v>
      </c>
    </row>
    <row r="736" spans="1:13" x14ac:dyDescent="0.2">
      <c r="A736" s="49">
        <v>52579</v>
      </c>
      <c r="B736" s="49" t="s">
        <v>549</v>
      </c>
      <c r="C736" s="49" t="s">
        <v>68</v>
      </c>
      <c r="D736" s="49" t="s">
        <v>10</v>
      </c>
      <c r="E736" s="49" t="s">
        <v>5</v>
      </c>
      <c r="F736" s="49" t="s">
        <v>91</v>
      </c>
      <c r="G736" s="49">
        <v>38</v>
      </c>
      <c r="H736" s="49"/>
      <c r="I736" s="49"/>
      <c r="J736" s="49"/>
      <c r="K736" s="49"/>
      <c r="L736" s="49" t="s">
        <v>10</v>
      </c>
      <c r="M736" t="s">
        <v>1709</v>
      </c>
    </row>
    <row r="737" spans="1:13" x14ac:dyDescent="0.2">
      <c r="A737" s="49">
        <v>52556</v>
      </c>
      <c r="B737" s="49" t="s">
        <v>550</v>
      </c>
      <c r="C737" s="49" t="s">
        <v>69</v>
      </c>
      <c r="D737" s="49" t="s">
        <v>10</v>
      </c>
      <c r="E737" s="49" t="s">
        <v>12</v>
      </c>
      <c r="F737" s="49" t="s">
        <v>91</v>
      </c>
      <c r="G737" s="49">
        <v>29</v>
      </c>
      <c r="H737" s="49"/>
      <c r="I737" s="49"/>
      <c r="J737" s="49"/>
      <c r="K737" s="49"/>
      <c r="L737" s="49" t="s">
        <v>10</v>
      </c>
      <c r="M737" t="s">
        <v>1709</v>
      </c>
    </row>
    <row r="738" spans="1:13" x14ac:dyDescent="0.2">
      <c r="A738" s="49">
        <v>52527</v>
      </c>
      <c r="B738" s="49" t="s">
        <v>1650</v>
      </c>
      <c r="C738" s="49" t="s">
        <v>65</v>
      </c>
      <c r="D738" s="49" t="s">
        <v>10</v>
      </c>
      <c r="E738" s="49" t="s">
        <v>5</v>
      </c>
      <c r="F738" s="49" t="s">
        <v>95</v>
      </c>
      <c r="G738" s="49">
        <v>74</v>
      </c>
      <c r="H738" s="49"/>
      <c r="I738" s="49"/>
      <c r="J738" s="49"/>
      <c r="K738" s="49"/>
      <c r="L738" s="49" t="s">
        <v>10</v>
      </c>
      <c r="M738" t="s">
        <v>1709</v>
      </c>
    </row>
    <row r="739" spans="1:13" x14ac:dyDescent="0.2">
      <c r="A739" s="49">
        <v>52452</v>
      </c>
      <c r="B739" s="49" t="s">
        <v>551</v>
      </c>
      <c r="C739" s="49" t="s">
        <v>64</v>
      </c>
      <c r="D739" s="49" t="s">
        <v>10</v>
      </c>
      <c r="E739" s="49" t="s">
        <v>6</v>
      </c>
      <c r="F739" s="49" t="s">
        <v>91</v>
      </c>
      <c r="G739" s="49">
        <v>21</v>
      </c>
      <c r="H739" s="49"/>
      <c r="I739" s="49"/>
      <c r="J739" s="49"/>
      <c r="K739" s="49"/>
      <c r="L739" s="49" t="s">
        <v>10</v>
      </c>
      <c r="M739" t="s">
        <v>1709</v>
      </c>
    </row>
    <row r="740" spans="1:13" x14ac:dyDescent="0.2">
      <c r="A740" s="49">
        <v>52450</v>
      </c>
      <c r="B740" s="49" t="s">
        <v>552</v>
      </c>
      <c r="C740" s="49" t="s">
        <v>64</v>
      </c>
      <c r="D740" s="49" t="s">
        <v>10</v>
      </c>
      <c r="E740" s="49" t="s">
        <v>6</v>
      </c>
      <c r="F740" s="49" t="s">
        <v>95</v>
      </c>
      <c r="G740" s="49">
        <v>23</v>
      </c>
      <c r="H740" s="49"/>
      <c r="I740" s="49"/>
      <c r="J740" s="49"/>
      <c r="K740" s="49"/>
      <c r="L740" s="49" t="s">
        <v>10</v>
      </c>
      <c r="M740" t="s">
        <v>1709</v>
      </c>
    </row>
    <row r="741" spans="1:13" x14ac:dyDescent="0.2">
      <c r="A741" s="49">
        <v>52449</v>
      </c>
      <c r="B741" s="49" t="s">
        <v>553</v>
      </c>
      <c r="C741" s="49" t="s">
        <v>64</v>
      </c>
      <c r="D741" s="49" t="s">
        <v>10</v>
      </c>
      <c r="E741" s="49" t="s">
        <v>6</v>
      </c>
      <c r="F741" s="49" t="s">
        <v>91</v>
      </c>
      <c r="G741" s="49">
        <v>20</v>
      </c>
      <c r="H741" s="49"/>
      <c r="I741" s="49"/>
      <c r="J741" s="49"/>
      <c r="K741" s="49"/>
      <c r="L741" s="49" t="s">
        <v>10</v>
      </c>
      <c r="M741" t="s">
        <v>1709</v>
      </c>
    </row>
    <row r="742" spans="1:13" x14ac:dyDescent="0.2">
      <c r="A742" s="49">
        <v>52443</v>
      </c>
      <c r="B742" s="49" t="s">
        <v>554</v>
      </c>
      <c r="C742" s="49" t="s">
        <v>64</v>
      </c>
      <c r="D742" s="49" t="s">
        <v>10</v>
      </c>
      <c r="E742" s="49" t="s">
        <v>6</v>
      </c>
      <c r="F742" s="49" t="s">
        <v>95</v>
      </c>
      <c r="G742" s="49">
        <v>13</v>
      </c>
      <c r="H742" s="49"/>
      <c r="I742" s="49"/>
      <c r="J742" s="49"/>
      <c r="K742" s="49"/>
      <c r="L742" s="49" t="s">
        <v>10</v>
      </c>
      <c r="M742" t="s">
        <v>1709</v>
      </c>
    </row>
    <row r="743" spans="1:13" x14ac:dyDescent="0.2">
      <c r="A743" s="49">
        <v>52442</v>
      </c>
      <c r="B743" s="49" t="s">
        <v>555</v>
      </c>
      <c r="C743" s="49" t="s">
        <v>64</v>
      </c>
      <c r="D743" s="49" t="s">
        <v>10</v>
      </c>
      <c r="E743" s="49" t="s">
        <v>6</v>
      </c>
      <c r="F743" s="49" t="s">
        <v>91</v>
      </c>
      <c r="G743" s="49">
        <v>14</v>
      </c>
      <c r="H743" s="49"/>
      <c r="I743" s="49"/>
      <c r="J743" s="49"/>
      <c r="K743" s="49"/>
      <c r="L743" s="49" t="s">
        <v>10</v>
      </c>
      <c r="M743" t="s">
        <v>1709</v>
      </c>
    </row>
    <row r="744" spans="1:13" x14ac:dyDescent="0.2">
      <c r="A744" s="49">
        <v>52441</v>
      </c>
      <c r="B744" s="49" t="s">
        <v>556</v>
      </c>
      <c r="C744" s="49" t="s">
        <v>64</v>
      </c>
      <c r="D744" s="49" t="s">
        <v>10</v>
      </c>
      <c r="E744" s="49" t="s">
        <v>6</v>
      </c>
      <c r="F744" s="49" t="s">
        <v>91</v>
      </c>
      <c r="G744" s="49">
        <v>19</v>
      </c>
      <c r="H744" s="49"/>
      <c r="I744" s="49"/>
      <c r="J744" s="49"/>
      <c r="K744" s="49"/>
      <c r="L744" s="49" t="s">
        <v>10</v>
      </c>
      <c r="M744" t="s">
        <v>1709</v>
      </c>
    </row>
    <row r="745" spans="1:13" x14ac:dyDescent="0.2">
      <c r="A745" s="49">
        <v>52408</v>
      </c>
      <c r="B745" s="49" t="s">
        <v>557</v>
      </c>
      <c r="C745" s="49" t="s">
        <v>69</v>
      </c>
      <c r="D745" s="49" t="s">
        <v>10</v>
      </c>
      <c r="E745" s="49" t="s">
        <v>12</v>
      </c>
      <c r="F745" s="49" t="s">
        <v>91</v>
      </c>
      <c r="G745" s="49">
        <v>28</v>
      </c>
      <c r="H745" s="49"/>
      <c r="I745" s="49"/>
      <c r="J745" s="49"/>
      <c r="K745" s="49"/>
      <c r="L745" s="49" t="s">
        <v>10</v>
      </c>
      <c r="M745" t="s">
        <v>1709</v>
      </c>
    </row>
    <row r="746" spans="1:13" x14ac:dyDescent="0.2">
      <c r="A746" s="49">
        <v>52306</v>
      </c>
      <c r="B746" s="49" t="s">
        <v>558</v>
      </c>
      <c r="C746" s="49" t="s">
        <v>67</v>
      </c>
      <c r="D746" s="49" t="s">
        <v>10</v>
      </c>
      <c r="E746" s="49" t="s">
        <v>12</v>
      </c>
      <c r="F746" s="49" t="s">
        <v>95</v>
      </c>
      <c r="G746" s="49">
        <v>19</v>
      </c>
      <c r="H746" s="49"/>
      <c r="I746" s="49"/>
      <c r="J746" s="49"/>
      <c r="K746" s="49"/>
      <c r="L746" s="49" t="s">
        <v>10</v>
      </c>
      <c r="M746" t="s">
        <v>1709</v>
      </c>
    </row>
    <row r="747" spans="1:13" x14ac:dyDescent="0.2">
      <c r="A747" s="49">
        <v>52298</v>
      </c>
      <c r="B747" s="49" t="s">
        <v>1651</v>
      </c>
      <c r="C747" s="49" t="s">
        <v>65</v>
      </c>
      <c r="D747" s="49" t="s">
        <v>10</v>
      </c>
      <c r="E747" s="49" t="s">
        <v>5</v>
      </c>
      <c r="F747" s="49" t="s">
        <v>97</v>
      </c>
      <c r="G747" s="49">
        <v>15</v>
      </c>
      <c r="H747" s="49"/>
      <c r="I747" s="49"/>
      <c r="J747" s="49"/>
      <c r="K747" s="49"/>
      <c r="L747" s="49" t="s">
        <v>10</v>
      </c>
      <c r="M747" t="s">
        <v>1709</v>
      </c>
    </row>
    <row r="748" spans="1:13" x14ac:dyDescent="0.2">
      <c r="A748" s="49">
        <v>52204</v>
      </c>
      <c r="B748" s="49" t="s">
        <v>559</v>
      </c>
      <c r="C748" s="49" t="s">
        <v>65</v>
      </c>
      <c r="D748" s="49" t="s">
        <v>10</v>
      </c>
      <c r="E748" s="49" t="s">
        <v>5</v>
      </c>
      <c r="F748" s="49" t="s">
        <v>91</v>
      </c>
      <c r="G748" s="49">
        <v>59</v>
      </c>
      <c r="H748" s="49"/>
      <c r="I748" s="49"/>
      <c r="J748" s="49"/>
      <c r="K748" s="49"/>
      <c r="L748" s="49" t="s">
        <v>10</v>
      </c>
      <c r="M748" t="s">
        <v>1709</v>
      </c>
    </row>
    <row r="749" spans="1:13" x14ac:dyDescent="0.2">
      <c r="A749" s="49">
        <v>52049</v>
      </c>
      <c r="B749" s="49" t="s">
        <v>560</v>
      </c>
      <c r="C749" s="49" t="s">
        <v>71</v>
      </c>
      <c r="D749" s="49" t="s">
        <v>10</v>
      </c>
      <c r="E749" s="49" t="s">
        <v>12</v>
      </c>
      <c r="F749" s="49" t="s">
        <v>91</v>
      </c>
      <c r="G749" s="49">
        <v>7</v>
      </c>
      <c r="H749" s="49"/>
      <c r="I749" s="49"/>
      <c r="J749" s="49"/>
      <c r="K749" s="49"/>
      <c r="L749" s="49" t="s">
        <v>10</v>
      </c>
      <c r="M749" t="s">
        <v>1709</v>
      </c>
    </row>
    <row r="750" spans="1:13" x14ac:dyDescent="0.2">
      <c r="A750" s="49">
        <v>52046</v>
      </c>
      <c r="B750" s="49" t="s">
        <v>561</v>
      </c>
      <c r="C750" s="49" t="s">
        <v>70</v>
      </c>
      <c r="D750" s="49" t="s">
        <v>10</v>
      </c>
      <c r="E750" s="49" t="s">
        <v>8</v>
      </c>
      <c r="F750" s="49" t="s">
        <v>91</v>
      </c>
      <c r="G750" s="49">
        <v>31</v>
      </c>
      <c r="H750" s="49"/>
      <c r="I750" s="49"/>
      <c r="J750" s="49"/>
      <c r="K750" s="49"/>
      <c r="L750" s="49" t="s">
        <v>10</v>
      </c>
      <c r="M750" t="s">
        <v>1709</v>
      </c>
    </row>
    <row r="751" spans="1:13" x14ac:dyDescent="0.2">
      <c r="A751" s="49">
        <v>52039</v>
      </c>
      <c r="B751" s="49" t="s">
        <v>562</v>
      </c>
      <c r="C751" s="49" t="s">
        <v>70</v>
      </c>
      <c r="D751" s="49" t="s">
        <v>10</v>
      </c>
      <c r="E751" s="49" t="s">
        <v>8</v>
      </c>
      <c r="F751" s="49" t="s">
        <v>91</v>
      </c>
      <c r="G751" s="49">
        <v>30</v>
      </c>
      <c r="H751" s="49"/>
      <c r="I751" s="49"/>
      <c r="J751" s="49"/>
      <c r="K751" s="49"/>
      <c r="L751" s="49" t="s">
        <v>10</v>
      </c>
      <c r="M751" t="s">
        <v>1709</v>
      </c>
    </row>
    <row r="752" spans="1:13" x14ac:dyDescent="0.2">
      <c r="A752" s="49">
        <v>52038</v>
      </c>
      <c r="B752" s="49" t="s">
        <v>1652</v>
      </c>
      <c r="C752" s="49" t="s">
        <v>70</v>
      </c>
      <c r="D752" s="49" t="s">
        <v>10</v>
      </c>
      <c r="E752" s="49" t="s">
        <v>8</v>
      </c>
      <c r="F752" s="49" t="s">
        <v>91</v>
      </c>
      <c r="G752" s="49">
        <v>43</v>
      </c>
      <c r="H752" s="49"/>
      <c r="I752" s="49"/>
      <c r="J752" s="49"/>
      <c r="K752" s="49"/>
      <c r="L752" s="49" t="s">
        <v>10</v>
      </c>
      <c r="M752" t="s">
        <v>1709</v>
      </c>
    </row>
    <row r="753" spans="1:13" x14ac:dyDescent="0.2">
      <c r="A753" s="49">
        <v>52036</v>
      </c>
      <c r="B753" s="49" t="s">
        <v>563</v>
      </c>
      <c r="C753" s="49" t="s">
        <v>70</v>
      </c>
      <c r="D753" s="49" t="s">
        <v>10</v>
      </c>
      <c r="E753" s="49" t="s">
        <v>8</v>
      </c>
      <c r="F753" s="49" t="s">
        <v>91</v>
      </c>
      <c r="G753" s="49">
        <v>18</v>
      </c>
      <c r="H753" s="49"/>
      <c r="I753" s="49"/>
      <c r="J753" s="49"/>
      <c r="K753" s="49"/>
      <c r="L753" s="49" t="s">
        <v>10</v>
      </c>
      <c r="M753" t="s">
        <v>1709</v>
      </c>
    </row>
    <row r="754" spans="1:13" x14ac:dyDescent="0.2">
      <c r="A754" s="49">
        <v>52035</v>
      </c>
      <c r="B754" s="49" t="s">
        <v>1653</v>
      </c>
      <c r="C754" s="49" t="s">
        <v>69</v>
      </c>
      <c r="D754" s="49" t="s">
        <v>10</v>
      </c>
      <c r="E754" s="49" t="s">
        <v>12</v>
      </c>
      <c r="F754" s="49" t="s">
        <v>91</v>
      </c>
      <c r="G754" s="49">
        <v>64</v>
      </c>
      <c r="H754" s="49"/>
      <c r="I754" s="49"/>
      <c r="J754" s="49"/>
      <c r="K754" s="49"/>
      <c r="L754" s="49" t="s">
        <v>10</v>
      </c>
      <c r="M754" t="s">
        <v>1709</v>
      </c>
    </row>
    <row r="755" spans="1:13" x14ac:dyDescent="0.2">
      <c r="A755" s="49">
        <v>52034</v>
      </c>
      <c r="B755" s="49" t="s">
        <v>564</v>
      </c>
      <c r="C755" s="49" t="s">
        <v>69</v>
      </c>
      <c r="D755" s="49" t="s">
        <v>10</v>
      </c>
      <c r="E755" s="49" t="s">
        <v>12</v>
      </c>
      <c r="F755" s="49" t="s">
        <v>91</v>
      </c>
      <c r="G755" s="49">
        <v>63</v>
      </c>
      <c r="H755" s="49"/>
      <c r="I755" s="49"/>
      <c r="J755" s="49"/>
      <c r="K755" s="49"/>
      <c r="L755" s="49" t="s">
        <v>10</v>
      </c>
      <c r="M755" t="s">
        <v>1709</v>
      </c>
    </row>
    <row r="756" spans="1:13" x14ac:dyDescent="0.2">
      <c r="A756" s="49">
        <v>52032</v>
      </c>
      <c r="B756" s="49" t="s">
        <v>324</v>
      </c>
      <c r="C756" s="49" t="s">
        <v>69</v>
      </c>
      <c r="D756" s="49" t="s">
        <v>10</v>
      </c>
      <c r="E756" s="49" t="s">
        <v>12</v>
      </c>
      <c r="F756" s="49" t="s">
        <v>91</v>
      </c>
      <c r="G756" s="49">
        <v>62</v>
      </c>
      <c r="H756" s="49"/>
      <c r="I756" s="49"/>
      <c r="J756" s="49"/>
      <c r="K756" s="49"/>
      <c r="L756" s="49" t="s">
        <v>10</v>
      </c>
      <c r="M756" t="s">
        <v>1709</v>
      </c>
    </row>
    <row r="757" spans="1:13" x14ac:dyDescent="0.2">
      <c r="A757" s="49">
        <v>52025</v>
      </c>
      <c r="B757" s="49" t="s">
        <v>565</v>
      </c>
      <c r="C757" s="49" t="s">
        <v>69</v>
      </c>
      <c r="D757" s="49" t="s">
        <v>10</v>
      </c>
      <c r="E757" s="49" t="s">
        <v>12</v>
      </c>
      <c r="F757" s="49" t="s">
        <v>91</v>
      </c>
      <c r="G757" s="49">
        <v>61</v>
      </c>
      <c r="H757" s="49"/>
      <c r="I757" s="49"/>
      <c r="J757" s="49"/>
      <c r="K757" s="49"/>
      <c r="L757" s="49" t="s">
        <v>10</v>
      </c>
      <c r="M757" t="s">
        <v>1709</v>
      </c>
    </row>
    <row r="758" spans="1:13" x14ac:dyDescent="0.2">
      <c r="A758" s="49">
        <v>52023</v>
      </c>
      <c r="B758" s="49" t="s">
        <v>566</v>
      </c>
      <c r="C758" s="49" t="s">
        <v>71</v>
      </c>
      <c r="D758" s="49" t="s">
        <v>10</v>
      </c>
      <c r="E758" s="49" t="s">
        <v>12</v>
      </c>
      <c r="F758" s="49" t="s">
        <v>91</v>
      </c>
      <c r="G758" s="49">
        <v>6</v>
      </c>
      <c r="H758" s="49"/>
      <c r="I758" s="49"/>
      <c r="J758" s="49"/>
      <c r="K758" s="49"/>
      <c r="L758" s="49" t="s">
        <v>10</v>
      </c>
      <c r="M758" t="s">
        <v>1709</v>
      </c>
    </row>
    <row r="759" spans="1:13" x14ac:dyDescent="0.2">
      <c r="A759" s="49">
        <v>52021</v>
      </c>
      <c r="B759" s="49" t="s">
        <v>567</v>
      </c>
      <c r="C759" s="49" t="s">
        <v>69</v>
      </c>
      <c r="D759" s="49" t="s">
        <v>10</v>
      </c>
      <c r="E759" s="49" t="s">
        <v>12</v>
      </c>
      <c r="F759" s="49" t="s">
        <v>91</v>
      </c>
      <c r="G759" s="49">
        <v>59</v>
      </c>
      <c r="H759" s="49"/>
      <c r="I759" s="49"/>
      <c r="J759" s="49"/>
      <c r="K759" s="49"/>
      <c r="L759" s="49" t="s">
        <v>10</v>
      </c>
      <c r="M759" t="s">
        <v>1709</v>
      </c>
    </row>
    <row r="760" spans="1:13" x14ac:dyDescent="0.2">
      <c r="A760" s="49">
        <v>52020</v>
      </c>
      <c r="B760" s="49" t="s">
        <v>568</v>
      </c>
      <c r="C760" s="49" t="s">
        <v>71</v>
      </c>
      <c r="D760" s="49" t="s">
        <v>10</v>
      </c>
      <c r="E760" s="49" t="s">
        <v>12</v>
      </c>
      <c r="F760" s="49" t="s">
        <v>91</v>
      </c>
      <c r="G760" s="49">
        <v>8</v>
      </c>
      <c r="H760" s="49"/>
      <c r="I760" s="49"/>
      <c r="J760" s="49"/>
      <c r="K760" s="49"/>
      <c r="L760" s="49" t="s">
        <v>10</v>
      </c>
      <c r="M760" t="s">
        <v>1709</v>
      </c>
    </row>
    <row r="761" spans="1:13" x14ac:dyDescent="0.2">
      <c r="A761" s="49">
        <v>51569</v>
      </c>
      <c r="B761" s="49" t="s">
        <v>266</v>
      </c>
      <c r="C761" s="49" t="s">
        <v>68</v>
      </c>
      <c r="D761" s="49" t="s">
        <v>10</v>
      </c>
      <c r="E761" s="49" t="s">
        <v>5</v>
      </c>
      <c r="F761" s="49" t="s">
        <v>91</v>
      </c>
      <c r="G761" s="49">
        <v>27</v>
      </c>
      <c r="H761" s="49"/>
      <c r="I761" s="49"/>
      <c r="J761" s="49"/>
      <c r="K761" s="49"/>
      <c r="L761" s="49" t="s">
        <v>10</v>
      </c>
      <c r="M761" t="s">
        <v>1709</v>
      </c>
    </row>
    <row r="762" spans="1:13" x14ac:dyDescent="0.2">
      <c r="A762" s="49">
        <v>51544</v>
      </c>
      <c r="B762" s="49" t="s">
        <v>569</v>
      </c>
      <c r="C762" s="49" t="s">
        <v>69</v>
      </c>
      <c r="D762" s="49" t="s">
        <v>10</v>
      </c>
      <c r="E762" s="49" t="s">
        <v>12</v>
      </c>
      <c r="F762" s="49" t="s">
        <v>91</v>
      </c>
      <c r="G762" s="49">
        <v>7</v>
      </c>
      <c r="H762" s="49"/>
      <c r="I762" s="49"/>
      <c r="J762" s="49"/>
      <c r="K762" s="49"/>
      <c r="L762" s="49" t="s">
        <v>10</v>
      </c>
      <c r="M762" t="s">
        <v>1709</v>
      </c>
    </row>
    <row r="763" spans="1:13" x14ac:dyDescent="0.2">
      <c r="A763" s="49">
        <v>51426</v>
      </c>
      <c r="B763" s="49" t="s">
        <v>280</v>
      </c>
      <c r="C763" s="49" t="s">
        <v>64</v>
      </c>
      <c r="D763" s="49" t="s">
        <v>10</v>
      </c>
      <c r="E763" s="49" t="s">
        <v>6</v>
      </c>
      <c r="F763" s="49" t="s">
        <v>97</v>
      </c>
      <c r="G763" s="49">
        <v>38</v>
      </c>
      <c r="H763" s="49"/>
      <c r="I763" s="49"/>
      <c r="J763" s="49"/>
      <c r="K763" s="49"/>
      <c r="L763" s="49" t="s">
        <v>10</v>
      </c>
      <c r="M763" t="s">
        <v>1709</v>
      </c>
    </row>
    <row r="764" spans="1:13" x14ac:dyDescent="0.2">
      <c r="A764" s="49">
        <v>51230</v>
      </c>
      <c r="B764" s="49" t="s">
        <v>570</v>
      </c>
      <c r="C764" s="49" t="s">
        <v>68</v>
      </c>
      <c r="D764" s="49" t="s">
        <v>10</v>
      </c>
      <c r="E764" s="49" t="s">
        <v>5</v>
      </c>
      <c r="F764" s="49" t="s">
        <v>95</v>
      </c>
      <c r="G764" s="49">
        <v>37</v>
      </c>
      <c r="H764" s="49"/>
      <c r="I764" s="49"/>
      <c r="J764" s="49"/>
      <c r="K764" s="49"/>
      <c r="L764" s="49" t="s">
        <v>10</v>
      </c>
      <c r="M764" t="s">
        <v>1709</v>
      </c>
    </row>
    <row r="765" spans="1:13" x14ac:dyDescent="0.2">
      <c r="A765" s="49">
        <v>50904</v>
      </c>
      <c r="B765" s="49" t="s">
        <v>571</v>
      </c>
      <c r="C765" s="49" t="s">
        <v>70</v>
      </c>
      <c r="D765" s="49" t="s">
        <v>10</v>
      </c>
      <c r="E765" s="49" t="s">
        <v>8</v>
      </c>
      <c r="F765" s="49" t="s">
        <v>91</v>
      </c>
      <c r="G765" s="49">
        <v>53</v>
      </c>
      <c r="H765" s="49"/>
      <c r="I765" s="49"/>
      <c r="J765" s="49"/>
      <c r="K765" s="49"/>
      <c r="L765" s="49" t="s">
        <v>10</v>
      </c>
      <c r="M765" t="s">
        <v>1709</v>
      </c>
    </row>
    <row r="766" spans="1:13" x14ac:dyDescent="0.2">
      <c r="A766" s="49">
        <v>50818</v>
      </c>
      <c r="B766" s="49" t="s">
        <v>572</v>
      </c>
      <c r="C766" s="49" t="s">
        <v>64</v>
      </c>
      <c r="D766" s="49" t="s">
        <v>10</v>
      </c>
      <c r="E766" s="49" t="s">
        <v>6</v>
      </c>
      <c r="F766" s="49" t="s">
        <v>95</v>
      </c>
      <c r="G766" s="49">
        <v>15</v>
      </c>
      <c r="H766" s="49"/>
      <c r="I766" s="49"/>
      <c r="J766" s="49"/>
      <c r="K766" s="49"/>
      <c r="L766" s="49" t="s">
        <v>10</v>
      </c>
      <c r="M766" t="s">
        <v>1709</v>
      </c>
    </row>
    <row r="767" spans="1:13" x14ac:dyDescent="0.2">
      <c r="A767" s="49">
        <v>50627</v>
      </c>
      <c r="B767" s="49" t="s">
        <v>243</v>
      </c>
      <c r="C767" s="49" t="s">
        <v>66</v>
      </c>
      <c r="D767" s="49" t="s">
        <v>10</v>
      </c>
      <c r="E767" s="49" t="s">
        <v>5</v>
      </c>
      <c r="F767" s="49" t="s">
        <v>91</v>
      </c>
      <c r="G767" s="49">
        <v>26</v>
      </c>
      <c r="H767" s="49"/>
      <c r="I767" s="49"/>
      <c r="J767" s="49"/>
      <c r="K767" s="49"/>
      <c r="L767" s="49" t="s">
        <v>10</v>
      </c>
      <c r="M767" t="s">
        <v>1709</v>
      </c>
    </row>
    <row r="768" spans="1:13" x14ac:dyDescent="0.2">
      <c r="A768" s="49">
        <v>50425</v>
      </c>
      <c r="B768" s="49" t="s">
        <v>573</v>
      </c>
      <c r="C768" s="49" t="s">
        <v>69</v>
      </c>
      <c r="D768" s="49" t="s">
        <v>10</v>
      </c>
      <c r="E768" s="49" t="s">
        <v>12</v>
      </c>
      <c r="F768" s="49" t="s">
        <v>130</v>
      </c>
      <c r="G768" s="49">
        <v>1</v>
      </c>
      <c r="H768" s="49"/>
      <c r="I768" s="49"/>
      <c r="J768" s="49"/>
      <c r="K768" s="49"/>
      <c r="L768" s="49" t="s">
        <v>10</v>
      </c>
      <c r="M768" t="s">
        <v>1709</v>
      </c>
    </row>
    <row r="769" spans="1:13" x14ac:dyDescent="0.2">
      <c r="A769" s="49">
        <v>50399</v>
      </c>
      <c r="B769" s="49" t="s">
        <v>321</v>
      </c>
      <c r="C769" s="49" t="s">
        <v>65</v>
      </c>
      <c r="D769" s="49" t="s">
        <v>10</v>
      </c>
      <c r="E769" s="49" t="s">
        <v>5</v>
      </c>
      <c r="F769" s="49" t="s">
        <v>91</v>
      </c>
      <c r="G769" s="49">
        <v>62</v>
      </c>
      <c r="H769" s="49"/>
      <c r="I769" s="49"/>
      <c r="J769" s="49"/>
      <c r="K769" s="49"/>
      <c r="L769" s="49" t="s">
        <v>10</v>
      </c>
      <c r="M769" t="s">
        <v>1709</v>
      </c>
    </row>
    <row r="770" spans="1:13" x14ac:dyDescent="0.2">
      <c r="A770" s="49">
        <v>50323</v>
      </c>
      <c r="B770" s="49" t="s">
        <v>574</v>
      </c>
      <c r="C770" s="49" t="s">
        <v>71</v>
      </c>
      <c r="D770" s="49" t="s">
        <v>10</v>
      </c>
      <c r="E770" s="49" t="s">
        <v>12</v>
      </c>
      <c r="F770" s="49" t="s">
        <v>91</v>
      </c>
      <c r="G770" s="49">
        <v>9</v>
      </c>
      <c r="H770" s="49"/>
      <c r="I770" s="49"/>
      <c r="J770" s="49"/>
      <c r="K770" s="49"/>
      <c r="L770" s="49" t="s">
        <v>10</v>
      </c>
      <c r="M770" t="s">
        <v>1709</v>
      </c>
    </row>
    <row r="771" spans="1:13" x14ac:dyDescent="0.2">
      <c r="A771" s="49">
        <v>50204</v>
      </c>
      <c r="B771" s="49" t="s">
        <v>190</v>
      </c>
      <c r="C771" s="49" t="s">
        <v>67</v>
      </c>
      <c r="D771" s="49" t="s">
        <v>10</v>
      </c>
      <c r="E771" s="49" t="s">
        <v>12</v>
      </c>
      <c r="F771" s="49" t="s">
        <v>95</v>
      </c>
      <c r="G771" s="49">
        <v>13</v>
      </c>
      <c r="H771" s="49"/>
      <c r="I771" s="49"/>
      <c r="J771" s="49"/>
      <c r="K771" s="49"/>
      <c r="L771" s="49" t="s">
        <v>10</v>
      </c>
      <c r="M771" t="s">
        <v>1709</v>
      </c>
    </row>
    <row r="772" spans="1:13" x14ac:dyDescent="0.2">
      <c r="A772" s="49">
        <v>50054</v>
      </c>
      <c r="B772" s="49" t="s">
        <v>575</v>
      </c>
      <c r="C772" s="49" t="s">
        <v>64</v>
      </c>
      <c r="D772" s="49" t="s">
        <v>10</v>
      </c>
      <c r="E772" s="49" t="s">
        <v>6</v>
      </c>
      <c r="F772" s="49" t="s">
        <v>97</v>
      </c>
      <c r="G772" s="49">
        <v>10</v>
      </c>
      <c r="H772" s="49"/>
      <c r="I772" s="49"/>
      <c r="J772" s="49"/>
      <c r="K772" s="49"/>
      <c r="L772" s="49" t="s">
        <v>10</v>
      </c>
      <c r="M772" t="s">
        <v>1709</v>
      </c>
    </row>
    <row r="773" spans="1:13" x14ac:dyDescent="0.2">
      <c r="A773" s="49">
        <v>50029</v>
      </c>
      <c r="B773" s="49" t="s">
        <v>576</v>
      </c>
      <c r="C773" s="49" t="s">
        <v>65</v>
      </c>
      <c r="D773" s="49" t="s">
        <v>10</v>
      </c>
      <c r="E773" s="49" t="s">
        <v>5</v>
      </c>
      <c r="F773" s="49" t="s">
        <v>91</v>
      </c>
      <c r="G773" s="49">
        <v>66</v>
      </c>
      <c r="H773" s="49"/>
      <c r="I773" s="49"/>
      <c r="J773" s="49"/>
      <c r="K773" s="49"/>
      <c r="L773" s="49" t="s">
        <v>10</v>
      </c>
      <c r="M773" t="s">
        <v>1709</v>
      </c>
    </row>
    <row r="774" spans="1:13" x14ac:dyDescent="0.2">
      <c r="A774" s="49">
        <v>49975</v>
      </c>
      <c r="B774" s="49" t="s">
        <v>577</v>
      </c>
      <c r="C774" s="49" t="s">
        <v>65</v>
      </c>
      <c r="D774" s="49" t="s">
        <v>10</v>
      </c>
      <c r="E774" s="49" t="s">
        <v>5</v>
      </c>
      <c r="F774" s="49" t="s">
        <v>95</v>
      </c>
      <c r="G774" s="49">
        <v>43</v>
      </c>
      <c r="H774" s="49"/>
      <c r="I774" s="49"/>
      <c r="J774" s="49"/>
      <c r="K774" s="49"/>
      <c r="L774" s="49" t="s">
        <v>10</v>
      </c>
      <c r="M774" t="s">
        <v>1709</v>
      </c>
    </row>
    <row r="775" spans="1:13" x14ac:dyDescent="0.2">
      <c r="A775" s="49">
        <v>49943</v>
      </c>
      <c r="B775" s="49" t="s">
        <v>578</v>
      </c>
      <c r="C775" s="49" t="s">
        <v>65</v>
      </c>
      <c r="D775" s="49" t="s">
        <v>10</v>
      </c>
      <c r="E775" s="49" t="s">
        <v>5</v>
      </c>
      <c r="F775" s="49" t="s">
        <v>91</v>
      </c>
      <c r="G775" s="49">
        <v>125</v>
      </c>
      <c r="H775" s="49"/>
      <c r="I775" s="49"/>
      <c r="J775" s="49"/>
      <c r="K775" s="49"/>
      <c r="L775" s="49" t="s">
        <v>10</v>
      </c>
      <c r="M775" t="s">
        <v>1709</v>
      </c>
    </row>
    <row r="776" spans="1:13" x14ac:dyDescent="0.2">
      <c r="A776" s="49">
        <v>49850</v>
      </c>
      <c r="B776" s="49" t="s">
        <v>579</v>
      </c>
      <c r="C776" s="49" t="s">
        <v>65</v>
      </c>
      <c r="D776" s="49" t="s">
        <v>10</v>
      </c>
      <c r="E776" s="49" t="s">
        <v>5</v>
      </c>
      <c r="F776" s="49" t="s">
        <v>91</v>
      </c>
      <c r="G776" s="49">
        <v>126</v>
      </c>
      <c r="H776" s="49"/>
      <c r="I776" s="49"/>
      <c r="J776" s="49"/>
      <c r="K776" s="49"/>
      <c r="L776" s="49" t="s">
        <v>10</v>
      </c>
      <c r="M776" t="s">
        <v>1709</v>
      </c>
    </row>
    <row r="777" spans="1:13" x14ac:dyDescent="0.2">
      <c r="A777" s="49">
        <v>49778</v>
      </c>
      <c r="B777" s="49" t="s">
        <v>580</v>
      </c>
      <c r="C777" s="49" t="s">
        <v>65</v>
      </c>
      <c r="D777" s="49" t="s">
        <v>10</v>
      </c>
      <c r="E777" s="49" t="s">
        <v>5</v>
      </c>
      <c r="F777" s="49" t="s">
        <v>91</v>
      </c>
      <c r="G777" s="49">
        <v>41</v>
      </c>
      <c r="H777" s="49"/>
      <c r="I777" s="49"/>
      <c r="J777" s="49"/>
      <c r="K777" s="49"/>
      <c r="L777" s="49" t="s">
        <v>10</v>
      </c>
      <c r="M777" t="s">
        <v>1709</v>
      </c>
    </row>
    <row r="778" spans="1:13" x14ac:dyDescent="0.2">
      <c r="A778" s="49">
        <v>49640</v>
      </c>
      <c r="B778" s="49" t="s">
        <v>581</v>
      </c>
      <c r="C778" s="49" t="s">
        <v>65</v>
      </c>
      <c r="D778" s="49" t="s">
        <v>10</v>
      </c>
      <c r="E778" s="49" t="s">
        <v>5</v>
      </c>
      <c r="F778" s="49" t="s">
        <v>95</v>
      </c>
      <c r="G778" s="49">
        <v>57</v>
      </c>
      <c r="H778" s="49"/>
      <c r="I778" s="49"/>
      <c r="J778" s="49"/>
      <c r="K778" s="49"/>
      <c r="L778" s="49" t="s">
        <v>10</v>
      </c>
      <c r="M778" t="s">
        <v>1709</v>
      </c>
    </row>
    <row r="779" spans="1:13" x14ac:dyDescent="0.2">
      <c r="A779" s="49">
        <v>49432</v>
      </c>
      <c r="B779" s="49" t="s">
        <v>216</v>
      </c>
      <c r="C779" s="49" t="s">
        <v>65</v>
      </c>
      <c r="D779" s="49" t="s">
        <v>10</v>
      </c>
      <c r="E779" s="49" t="s">
        <v>5</v>
      </c>
      <c r="F779" s="49" t="s">
        <v>97</v>
      </c>
      <c r="G779" s="49">
        <v>26</v>
      </c>
      <c r="H779" s="49">
        <v>3</v>
      </c>
      <c r="I779" s="49"/>
      <c r="J779" s="49">
        <v>2</v>
      </c>
      <c r="K779" s="49">
        <v>2</v>
      </c>
      <c r="L779" s="49" t="s">
        <v>10</v>
      </c>
      <c r="M779" t="s">
        <v>1709</v>
      </c>
    </row>
    <row r="780" spans="1:13" x14ac:dyDescent="0.2">
      <c r="A780" s="49">
        <v>49370</v>
      </c>
      <c r="B780" s="49" t="s">
        <v>582</v>
      </c>
      <c r="C780" s="49" t="s">
        <v>64</v>
      </c>
      <c r="D780" s="49" t="s">
        <v>10</v>
      </c>
      <c r="E780" s="49" t="s">
        <v>6</v>
      </c>
      <c r="F780" s="49" t="s">
        <v>136</v>
      </c>
      <c r="G780" s="49">
        <v>12</v>
      </c>
      <c r="H780" s="49">
        <v>3</v>
      </c>
      <c r="I780" s="49">
        <v>4</v>
      </c>
      <c r="J780" s="49">
        <v>4</v>
      </c>
      <c r="K780" s="49">
        <v>4</v>
      </c>
      <c r="L780" s="49" t="s">
        <v>10</v>
      </c>
      <c r="M780" t="s">
        <v>1709</v>
      </c>
    </row>
    <row r="781" spans="1:13" x14ac:dyDescent="0.2">
      <c r="A781" s="49">
        <v>49250</v>
      </c>
      <c r="B781" s="49" t="s">
        <v>583</v>
      </c>
      <c r="C781" s="49" t="s">
        <v>65</v>
      </c>
      <c r="D781" s="49" t="s">
        <v>10</v>
      </c>
      <c r="E781" s="49" t="s">
        <v>5</v>
      </c>
      <c r="F781" s="49" t="s">
        <v>95</v>
      </c>
      <c r="G781" s="49">
        <v>49</v>
      </c>
      <c r="H781" s="49"/>
      <c r="I781" s="49"/>
      <c r="J781" s="49"/>
      <c r="K781" s="49"/>
      <c r="L781" s="49" t="s">
        <v>10</v>
      </c>
      <c r="M781" t="s">
        <v>1709</v>
      </c>
    </row>
    <row r="782" spans="1:13" x14ac:dyDescent="0.2">
      <c r="A782" s="49">
        <v>49214</v>
      </c>
      <c r="B782" s="49" t="s">
        <v>206</v>
      </c>
      <c r="C782" s="49" t="s">
        <v>67</v>
      </c>
      <c r="D782" s="49" t="s">
        <v>10</v>
      </c>
      <c r="E782" s="49" t="s">
        <v>12</v>
      </c>
      <c r="F782" s="49" t="s">
        <v>95</v>
      </c>
      <c r="G782" s="49">
        <v>17</v>
      </c>
      <c r="H782" s="49"/>
      <c r="I782" s="49"/>
      <c r="J782" s="49"/>
      <c r="K782" s="49"/>
      <c r="L782" s="49" t="s">
        <v>10</v>
      </c>
      <c r="M782" t="s">
        <v>1709</v>
      </c>
    </row>
    <row r="783" spans="1:13" x14ac:dyDescent="0.2">
      <c r="A783" s="49">
        <v>49095</v>
      </c>
      <c r="B783" s="49" t="s">
        <v>584</v>
      </c>
      <c r="C783" s="49" t="s">
        <v>67</v>
      </c>
      <c r="D783" s="49" t="s">
        <v>10</v>
      </c>
      <c r="E783" s="49" t="s">
        <v>12</v>
      </c>
      <c r="F783" s="49" t="s">
        <v>136</v>
      </c>
      <c r="G783" s="49">
        <v>5</v>
      </c>
      <c r="H783" s="49"/>
      <c r="I783" s="49"/>
      <c r="J783" s="49"/>
      <c r="K783" s="49"/>
      <c r="L783" s="49" t="s">
        <v>10</v>
      </c>
      <c r="M783" t="s">
        <v>1709</v>
      </c>
    </row>
    <row r="784" spans="1:13" x14ac:dyDescent="0.2">
      <c r="A784" s="49">
        <v>49082</v>
      </c>
      <c r="B784" s="49" t="s">
        <v>585</v>
      </c>
      <c r="C784" s="49" t="s">
        <v>66</v>
      </c>
      <c r="D784" s="49" t="s">
        <v>10</v>
      </c>
      <c r="E784" s="49" t="s">
        <v>5</v>
      </c>
      <c r="F784" s="49" t="s">
        <v>95</v>
      </c>
      <c r="G784" s="49">
        <v>14</v>
      </c>
      <c r="H784" s="49"/>
      <c r="I784" s="49"/>
      <c r="J784" s="49"/>
      <c r="K784" s="49"/>
      <c r="L784" s="49" t="s">
        <v>10</v>
      </c>
      <c r="M784" t="s">
        <v>1709</v>
      </c>
    </row>
    <row r="785" spans="1:13" x14ac:dyDescent="0.2">
      <c r="A785" s="49">
        <v>49078</v>
      </c>
      <c r="B785" s="49" t="s">
        <v>586</v>
      </c>
      <c r="C785" s="49" t="s">
        <v>66</v>
      </c>
      <c r="D785" s="49" t="s">
        <v>10</v>
      </c>
      <c r="E785" s="49" t="s">
        <v>5</v>
      </c>
      <c r="F785" s="49" t="s">
        <v>91</v>
      </c>
      <c r="G785" s="49">
        <v>23</v>
      </c>
      <c r="H785" s="49"/>
      <c r="I785" s="49"/>
      <c r="J785" s="49"/>
      <c r="K785" s="49"/>
      <c r="L785" s="49" t="s">
        <v>10</v>
      </c>
      <c r="M785" t="s">
        <v>1709</v>
      </c>
    </row>
    <row r="786" spans="1:13" x14ac:dyDescent="0.2">
      <c r="A786" s="49">
        <v>49015</v>
      </c>
      <c r="B786" s="49" t="s">
        <v>286</v>
      </c>
      <c r="C786" s="49" t="s">
        <v>68</v>
      </c>
      <c r="D786" s="49" t="s">
        <v>10</v>
      </c>
      <c r="E786" s="49" t="s">
        <v>5</v>
      </c>
      <c r="F786" s="49" t="s">
        <v>95</v>
      </c>
      <c r="G786" s="49">
        <v>35</v>
      </c>
      <c r="H786" s="49"/>
      <c r="I786" s="49"/>
      <c r="J786" s="49"/>
      <c r="K786" s="49"/>
      <c r="L786" s="49" t="s">
        <v>10</v>
      </c>
      <c r="M786" t="s">
        <v>1709</v>
      </c>
    </row>
    <row r="787" spans="1:13" x14ac:dyDescent="0.2">
      <c r="A787" s="49">
        <v>49004</v>
      </c>
      <c r="B787" s="49" t="s">
        <v>587</v>
      </c>
      <c r="C787" s="49" t="s">
        <v>65</v>
      </c>
      <c r="D787" s="49" t="s">
        <v>10</v>
      </c>
      <c r="E787" s="49" t="s">
        <v>5</v>
      </c>
      <c r="F787" s="49" t="s">
        <v>95</v>
      </c>
      <c r="G787" s="49">
        <v>54</v>
      </c>
      <c r="H787" s="49"/>
      <c r="I787" s="49"/>
      <c r="J787" s="49"/>
      <c r="K787" s="49"/>
      <c r="L787" s="49" t="s">
        <v>10</v>
      </c>
      <c r="M787" t="s">
        <v>1709</v>
      </c>
    </row>
    <row r="788" spans="1:13" x14ac:dyDescent="0.2">
      <c r="A788" s="49">
        <v>48908</v>
      </c>
      <c r="B788" s="49" t="s">
        <v>588</v>
      </c>
      <c r="C788" s="49" t="s">
        <v>68</v>
      </c>
      <c r="D788" s="49" t="s">
        <v>10</v>
      </c>
      <c r="E788" s="49" t="s">
        <v>5</v>
      </c>
      <c r="F788" s="49" t="s">
        <v>95</v>
      </c>
      <c r="G788" s="49">
        <v>28</v>
      </c>
      <c r="H788" s="49"/>
      <c r="I788" s="49"/>
      <c r="J788" s="49"/>
      <c r="K788" s="49"/>
      <c r="L788" s="49" t="s">
        <v>10</v>
      </c>
      <c r="M788" t="s">
        <v>1709</v>
      </c>
    </row>
    <row r="789" spans="1:13" x14ac:dyDescent="0.2">
      <c r="A789" s="49">
        <v>48741</v>
      </c>
      <c r="B789" s="49" t="s">
        <v>589</v>
      </c>
      <c r="C789" s="49" t="s">
        <v>66</v>
      </c>
      <c r="D789" s="49" t="s">
        <v>10</v>
      </c>
      <c r="E789" s="49" t="s">
        <v>5</v>
      </c>
      <c r="F789" s="49" t="s">
        <v>91</v>
      </c>
      <c r="G789" s="49">
        <v>34</v>
      </c>
      <c r="H789" s="49"/>
      <c r="I789" s="49"/>
      <c r="J789" s="49"/>
      <c r="K789" s="49"/>
      <c r="L789" s="49" t="s">
        <v>10</v>
      </c>
      <c r="M789" t="s">
        <v>1709</v>
      </c>
    </row>
    <row r="790" spans="1:13" x14ac:dyDescent="0.2">
      <c r="A790" s="49">
        <v>48629</v>
      </c>
      <c r="B790" s="49" t="s">
        <v>590</v>
      </c>
      <c r="C790" s="49" t="s">
        <v>67</v>
      </c>
      <c r="D790" s="49" t="s">
        <v>10</v>
      </c>
      <c r="E790" s="49" t="s">
        <v>12</v>
      </c>
      <c r="F790" s="49" t="s">
        <v>95</v>
      </c>
      <c r="G790" s="49">
        <v>4</v>
      </c>
      <c r="H790" s="49"/>
      <c r="I790" s="49"/>
      <c r="J790" s="49"/>
      <c r="K790" s="49"/>
      <c r="L790" s="49" t="s">
        <v>10</v>
      </c>
      <c r="M790" t="s">
        <v>1709</v>
      </c>
    </row>
    <row r="791" spans="1:13" x14ac:dyDescent="0.2">
      <c r="A791" s="49">
        <v>48628</v>
      </c>
      <c r="B791" s="49" t="s">
        <v>591</v>
      </c>
      <c r="C791" s="49" t="s">
        <v>67</v>
      </c>
      <c r="D791" s="49" t="s">
        <v>10</v>
      </c>
      <c r="E791" s="49" t="s">
        <v>12</v>
      </c>
      <c r="F791" s="49" t="s">
        <v>97</v>
      </c>
      <c r="G791" s="49">
        <v>7</v>
      </c>
      <c r="H791" s="49"/>
      <c r="I791" s="49"/>
      <c r="J791" s="49"/>
      <c r="K791" s="49"/>
      <c r="L791" s="49" t="s">
        <v>10</v>
      </c>
      <c r="M791" t="s">
        <v>1709</v>
      </c>
    </row>
    <row r="792" spans="1:13" x14ac:dyDescent="0.2">
      <c r="A792" s="49">
        <v>48584</v>
      </c>
      <c r="B792" s="49" t="s">
        <v>592</v>
      </c>
      <c r="C792" s="49" t="s">
        <v>70</v>
      </c>
      <c r="D792" s="49" t="s">
        <v>10</v>
      </c>
      <c r="E792" s="49" t="s">
        <v>5</v>
      </c>
      <c r="F792" s="49" t="s">
        <v>95</v>
      </c>
      <c r="G792" s="49">
        <v>22</v>
      </c>
      <c r="H792" s="49"/>
      <c r="I792" s="49"/>
      <c r="J792" s="49"/>
      <c r="K792" s="49"/>
      <c r="L792" s="49" t="s">
        <v>10</v>
      </c>
      <c r="M792" t="s">
        <v>1709</v>
      </c>
    </row>
    <row r="793" spans="1:13" x14ac:dyDescent="0.2">
      <c r="A793" s="49">
        <v>48431</v>
      </c>
      <c r="B793" s="49" t="s">
        <v>593</v>
      </c>
      <c r="C793" s="49" t="s">
        <v>69</v>
      </c>
      <c r="D793" s="49" t="s">
        <v>10</v>
      </c>
      <c r="E793" s="49" t="s">
        <v>12</v>
      </c>
      <c r="F793" s="49" t="s">
        <v>91</v>
      </c>
      <c r="G793" s="49">
        <v>41</v>
      </c>
      <c r="H793" s="49"/>
      <c r="I793" s="49"/>
      <c r="J793" s="49"/>
      <c r="K793" s="49"/>
      <c r="L793" s="49" t="s">
        <v>10</v>
      </c>
      <c r="M793" t="s">
        <v>1709</v>
      </c>
    </row>
    <row r="794" spans="1:13" x14ac:dyDescent="0.2">
      <c r="A794" s="49">
        <v>48388</v>
      </c>
      <c r="B794" s="49" t="s">
        <v>207</v>
      </c>
      <c r="C794" s="49" t="s">
        <v>69</v>
      </c>
      <c r="D794" s="49" t="s">
        <v>10</v>
      </c>
      <c r="E794" s="49" t="s">
        <v>12</v>
      </c>
      <c r="F794" s="49" t="s">
        <v>97</v>
      </c>
      <c r="G794" s="49">
        <v>16</v>
      </c>
      <c r="H794" s="49"/>
      <c r="I794" s="49"/>
      <c r="J794" s="49"/>
      <c r="K794" s="49"/>
      <c r="L794" s="49" t="s">
        <v>10</v>
      </c>
      <c r="M794" t="s">
        <v>1709</v>
      </c>
    </row>
    <row r="795" spans="1:13" x14ac:dyDescent="0.2">
      <c r="A795" s="49">
        <v>48131</v>
      </c>
      <c r="B795" s="49" t="s">
        <v>594</v>
      </c>
      <c r="C795" s="49" t="s">
        <v>70</v>
      </c>
      <c r="D795" s="49" t="s">
        <v>10</v>
      </c>
      <c r="E795" s="49" t="s">
        <v>8</v>
      </c>
      <c r="F795" s="49" t="s">
        <v>97</v>
      </c>
      <c r="G795" s="49">
        <v>37</v>
      </c>
      <c r="H795" s="49"/>
      <c r="I795" s="49"/>
      <c r="J795" s="49"/>
      <c r="K795" s="49"/>
      <c r="L795" s="49" t="s">
        <v>10</v>
      </c>
      <c r="M795" t="s">
        <v>1709</v>
      </c>
    </row>
    <row r="796" spans="1:13" x14ac:dyDescent="0.2">
      <c r="A796" s="49">
        <v>48122</v>
      </c>
      <c r="B796" s="49" t="s">
        <v>141</v>
      </c>
      <c r="C796" s="49" t="s">
        <v>71</v>
      </c>
      <c r="D796" s="49" t="s">
        <v>10</v>
      </c>
      <c r="E796" s="49" t="s">
        <v>12</v>
      </c>
      <c r="F796" s="49" t="s">
        <v>95</v>
      </c>
      <c r="G796" s="49">
        <v>1</v>
      </c>
      <c r="H796" s="49"/>
      <c r="I796" s="49"/>
      <c r="J796" s="49"/>
      <c r="K796" s="49"/>
      <c r="L796" s="49" t="s">
        <v>10</v>
      </c>
      <c r="M796" t="s">
        <v>1709</v>
      </c>
    </row>
    <row r="797" spans="1:13" x14ac:dyDescent="0.2">
      <c r="A797" s="49">
        <v>48027</v>
      </c>
      <c r="B797" s="49" t="s">
        <v>595</v>
      </c>
      <c r="C797" s="49" t="s">
        <v>65</v>
      </c>
      <c r="D797" s="49" t="s">
        <v>10</v>
      </c>
      <c r="E797" s="49" t="s">
        <v>5</v>
      </c>
      <c r="F797" s="49" t="s">
        <v>97</v>
      </c>
      <c r="G797" s="49">
        <v>14</v>
      </c>
      <c r="H797" s="49"/>
      <c r="I797" s="49"/>
      <c r="J797" s="49"/>
      <c r="K797" s="49"/>
      <c r="L797" s="49" t="s">
        <v>10</v>
      </c>
      <c r="M797" t="s">
        <v>1709</v>
      </c>
    </row>
    <row r="798" spans="1:13" x14ac:dyDescent="0.2">
      <c r="A798" s="49">
        <v>47879</v>
      </c>
      <c r="B798" s="49" t="s">
        <v>596</v>
      </c>
      <c r="C798" s="49" t="s">
        <v>65</v>
      </c>
      <c r="D798" s="49" t="s">
        <v>10</v>
      </c>
      <c r="E798" s="49" t="s">
        <v>5</v>
      </c>
      <c r="F798" s="49" t="s">
        <v>93</v>
      </c>
      <c r="G798" s="49">
        <v>44</v>
      </c>
      <c r="H798" s="49"/>
      <c r="I798" s="49"/>
      <c r="J798" s="49"/>
      <c r="K798" s="49"/>
      <c r="L798" s="49" t="s">
        <v>10</v>
      </c>
      <c r="M798" t="s">
        <v>1709</v>
      </c>
    </row>
    <row r="799" spans="1:13" x14ac:dyDescent="0.2">
      <c r="A799" s="49">
        <v>47877</v>
      </c>
      <c r="B799" s="49" t="s">
        <v>597</v>
      </c>
      <c r="C799" s="49" t="s">
        <v>68</v>
      </c>
      <c r="D799" s="49" t="s">
        <v>10</v>
      </c>
      <c r="E799" s="49" t="s">
        <v>5</v>
      </c>
      <c r="F799" s="49" t="s">
        <v>95</v>
      </c>
      <c r="G799" s="49">
        <v>32</v>
      </c>
      <c r="H799" s="49"/>
      <c r="I799" s="49"/>
      <c r="J799" s="49"/>
      <c r="K799" s="49"/>
      <c r="L799" s="49" t="s">
        <v>10</v>
      </c>
      <c r="M799" t="s">
        <v>1709</v>
      </c>
    </row>
    <row r="800" spans="1:13" x14ac:dyDescent="0.2">
      <c r="A800" s="49">
        <v>47733</v>
      </c>
      <c r="B800" s="49" t="s">
        <v>242</v>
      </c>
      <c r="C800" s="49" t="s">
        <v>70</v>
      </c>
      <c r="D800" s="49" t="s">
        <v>10</v>
      </c>
      <c r="E800" s="49" t="s">
        <v>8</v>
      </c>
      <c r="F800" s="49" t="s">
        <v>95</v>
      </c>
      <c r="G800" s="49">
        <v>24</v>
      </c>
      <c r="H800" s="49"/>
      <c r="I800" s="49"/>
      <c r="J800" s="49"/>
      <c r="K800" s="49"/>
      <c r="L800" s="49" t="s">
        <v>10</v>
      </c>
      <c r="M800" t="s">
        <v>1709</v>
      </c>
    </row>
    <row r="801" spans="1:13" x14ac:dyDescent="0.2">
      <c r="A801" s="49">
        <v>47557</v>
      </c>
      <c r="B801" s="49" t="s">
        <v>598</v>
      </c>
      <c r="C801" s="49" t="s">
        <v>67</v>
      </c>
      <c r="D801" s="49" t="s">
        <v>10</v>
      </c>
      <c r="E801" s="49" t="s">
        <v>12</v>
      </c>
      <c r="F801" s="49" t="s">
        <v>95</v>
      </c>
      <c r="G801" s="49">
        <v>15</v>
      </c>
      <c r="H801" s="49"/>
      <c r="I801" s="49"/>
      <c r="J801" s="49"/>
      <c r="K801" s="49"/>
      <c r="L801" s="49" t="s">
        <v>10</v>
      </c>
      <c r="M801" t="s">
        <v>1709</v>
      </c>
    </row>
    <row r="802" spans="1:13" x14ac:dyDescent="0.2">
      <c r="A802" s="49">
        <v>47352</v>
      </c>
      <c r="B802" s="49" t="s">
        <v>599</v>
      </c>
      <c r="C802" s="49" t="s">
        <v>66</v>
      </c>
      <c r="D802" s="49" t="s">
        <v>10</v>
      </c>
      <c r="E802" s="49" t="s">
        <v>5</v>
      </c>
      <c r="F802" s="49" t="s">
        <v>91</v>
      </c>
      <c r="G802" s="49">
        <v>20</v>
      </c>
      <c r="H802" s="49"/>
      <c r="I802" s="49"/>
      <c r="J802" s="49"/>
      <c r="K802" s="49"/>
      <c r="L802" s="49" t="s">
        <v>10</v>
      </c>
      <c r="M802" t="s">
        <v>1709</v>
      </c>
    </row>
    <row r="803" spans="1:13" x14ac:dyDescent="0.2">
      <c r="A803" s="49">
        <v>47341</v>
      </c>
      <c r="B803" s="49" t="s">
        <v>1654</v>
      </c>
      <c r="C803" s="49" t="s">
        <v>65</v>
      </c>
      <c r="D803" s="49" t="s">
        <v>10</v>
      </c>
      <c r="E803" s="49" t="s">
        <v>5</v>
      </c>
      <c r="F803" s="49" t="s">
        <v>91</v>
      </c>
      <c r="G803" s="49">
        <v>127</v>
      </c>
      <c r="H803" s="49"/>
      <c r="I803" s="49"/>
      <c r="J803" s="49"/>
      <c r="K803" s="49"/>
      <c r="L803" s="49" t="s">
        <v>10</v>
      </c>
      <c r="M803" t="s">
        <v>1709</v>
      </c>
    </row>
    <row r="804" spans="1:13" x14ac:dyDescent="0.2">
      <c r="A804" s="49">
        <v>47268</v>
      </c>
      <c r="B804" s="49" t="s">
        <v>600</v>
      </c>
      <c r="C804" s="49" t="s">
        <v>68</v>
      </c>
      <c r="D804" s="49" t="s">
        <v>10</v>
      </c>
      <c r="E804" s="49" t="s">
        <v>5</v>
      </c>
      <c r="F804" s="49" t="s">
        <v>91</v>
      </c>
      <c r="G804" s="49">
        <v>25</v>
      </c>
      <c r="H804" s="49"/>
      <c r="I804" s="49"/>
      <c r="J804" s="49"/>
      <c r="K804" s="49"/>
      <c r="L804" s="49" t="s">
        <v>10</v>
      </c>
      <c r="M804" t="s">
        <v>1709</v>
      </c>
    </row>
    <row r="805" spans="1:13" x14ac:dyDescent="0.2">
      <c r="A805" s="49">
        <v>47194</v>
      </c>
      <c r="B805" s="49" t="s">
        <v>290</v>
      </c>
      <c r="C805" s="49" t="s">
        <v>70</v>
      </c>
      <c r="D805" s="49" t="s">
        <v>10</v>
      </c>
      <c r="E805" s="49" t="s">
        <v>8</v>
      </c>
      <c r="F805" s="49" t="s">
        <v>97</v>
      </c>
      <c r="G805" s="49">
        <v>39</v>
      </c>
      <c r="H805" s="49"/>
      <c r="I805" s="49"/>
      <c r="J805" s="49"/>
      <c r="K805" s="49"/>
      <c r="L805" s="49" t="s">
        <v>10</v>
      </c>
      <c r="M805" t="s">
        <v>1709</v>
      </c>
    </row>
    <row r="806" spans="1:13" x14ac:dyDescent="0.2">
      <c r="A806" s="49">
        <v>47102</v>
      </c>
      <c r="B806" s="49" t="s">
        <v>270</v>
      </c>
      <c r="C806" s="49" t="s">
        <v>65</v>
      </c>
      <c r="D806" s="49" t="s">
        <v>10</v>
      </c>
      <c r="E806" s="49" t="s">
        <v>5</v>
      </c>
      <c r="F806" s="49" t="s">
        <v>95</v>
      </c>
      <c r="G806" s="49">
        <v>37</v>
      </c>
      <c r="H806" s="49"/>
      <c r="I806" s="49"/>
      <c r="J806" s="49"/>
      <c r="K806" s="49"/>
      <c r="L806" s="49" t="s">
        <v>10</v>
      </c>
      <c r="M806" t="s">
        <v>1709</v>
      </c>
    </row>
    <row r="807" spans="1:13" x14ac:dyDescent="0.2">
      <c r="A807" s="49">
        <v>46973</v>
      </c>
      <c r="B807" s="49" t="s">
        <v>601</v>
      </c>
      <c r="C807" s="49" t="s">
        <v>70</v>
      </c>
      <c r="D807" s="49" t="s">
        <v>10</v>
      </c>
      <c r="E807" s="49" t="s">
        <v>8</v>
      </c>
      <c r="F807" s="49" t="s">
        <v>97</v>
      </c>
      <c r="G807" s="49">
        <v>35</v>
      </c>
      <c r="H807" s="49"/>
      <c r="I807" s="49"/>
      <c r="J807" s="49"/>
      <c r="K807" s="49"/>
      <c r="L807" s="49" t="s">
        <v>10</v>
      </c>
      <c r="M807" t="s">
        <v>1709</v>
      </c>
    </row>
    <row r="808" spans="1:13" x14ac:dyDescent="0.2">
      <c r="A808" s="49">
        <v>46968</v>
      </c>
      <c r="B808" s="49" t="s">
        <v>602</v>
      </c>
      <c r="C808" s="49" t="s">
        <v>70</v>
      </c>
      <c r="D808" s="49" t="s">
        <v>10</v>
      </c>
      <c r="E808" s="49" t="s">
        <v>8</v>
      </c>
      <c r="F808" s="49" t="s">
        <v>95</v>
      </c>
      <c r="G808" s="49">
        <v>19</v>
      </c>
      <c r="H808" s="49"/>
      <c r="I808" s="49"/>
      <c r="J808" s="49"/>
      <c r="K808" s="49"/>
      <c r="L808" s="49" t="s">
        <v>10</v>
      </c>
      <c r="M808" t="s">
        <v>1709</v>
      </c>
    </row>
    <row r="809" spans="1:13" x14ac:dyDescent="0.2">
      <c r="A809" s="49">
        <v>46956</v>
      </c>
      <c r="B809" s="49" t="s">
        <v>603</v>
      </c>
      <c r="C809" s="49" t="s">
        <v>67</v>
      </c>
      <c r="D809" s="49" t="s">
        <v>10</v>
      </c>
      <c r="E809" s="49" t="s">
        <v>12</v>
      </c>
      <c r="F809" s="49" t="s">
        <v>97</v>
      </c>
      <c r="G809" s="49">
        <v>6</v>
      </c>
      <c r="H809" s="49"/>
      <c r="I809" s="49"/>
      <c r="J809" s="49"/>
      <c r="K809" s="49"/>
      <c r="L809" s="49" t="s">
        <v>10</v>
      </c>
      <c r="M809" t="s">
        <v>1709</v>
      </c>
    </row>
    <row r="810" spans="1:13" x14ac:dyDescent="0.2">
      <c r="A810" s="49">
        <v>46944</v>
      </c>
      <c r="B810" s="49" t="s">
        <v>604</v>
      </c>
      <c r="C810" s="49" t="s">
        <v>65</v>
      </c>
      <c r="D810" s="49" t="s">
        <v>10</v>
      </c>
      <c r="E810" s="49" t="s">
        <v>5</v>
      </c>
      <c r="F810" s="49" t="s">
        <v>97</v>
      </c>
      <c r="G810" s="49">
        <v>22</v>
      </c>
      <c r="H810" s="49"/>
      <c r="I810" s="49"/>
      <c r="J810" s="49"/>
      <c r="K810" s="49"/>
      <c r="L810" s="49" t="s">
        <v>10</v>
      </c>
      <c r="M810" t="s">
        <v>1709</v>
      </c>
    </row>
    <row r="811" spans="1:13" x14ac:dyDescent="0.2">
      <c r="A811" s="49">
        <v>46938</v>
      </c>
      <c r="B811" s="49" t="s">
        <v>605</v>
      </c>
      <c r="C811" s="49" t="s">
        <v>65</v>
      </c>
      <c r="D811" s="49" t="s">
        <v>10</v>
      </c>
      <c r="E811" s="49" t="s">
        <v>5</v>
      </c>
      <c r="F811" s="49" t="s">
        <v>91</v>
      </c>
      <c r="G811" s="49">
        <v>52</v>
      </c>
      <c r="H811" s="49"/>
      <c r="I811" s="49"/>
      <c r="J811" s="49"/>
      <c r="K811" s="49"/>
      <c r="L811" s="49" t="s">
        <v>10</v>
      </c>
      <c r="M811" t="s">
        <v>1709</v>
      </c>
    </row>
    <row r="812" spans="1:13" x14ac:dyDescent="0.2">
      <c r="A812" s="49">
        <v>46937</v>
      </c>
      <c r="B812" s="49" t="s">
        <v>304</v>
      </c>
      <c r="C812" s="49" t="s">
        <v>65</v>
      </c>
      <c r="D812" s="49" t="s">
        <v>10</v>
      </c>
      <c r="E812" s="49" t="s">
        <v>5</v>
      </c>
      <c r="F812" s="49" t="s">
        <v>91</v>
      </c>
      <c r="G812" s="49">
        <v>51</v>
      </c>
      <c r="H812" s="49"/>
      <c r="I812" s="49"/>
      <c r="J812" s="49"/>
      <c r="K812" s="49"/>
      <c r="L812" s="49" t="s">
        <v>10</v>
      </c>
      <c r="M812" t="s">
        <v>1709</v>
      </c>
    </row>
    <row r="813" spans="1:13" x14ac:dyDescent="0.2">
      <c r="A813" s="49">
        <v>46924</v>
      </c>
      <c r="B813" s="49" t="s">
        <v>606</v>
      </c>
      <c r="C813" s="49" t="s">
        <v>65</v>
      </c>
      <c r="D813" s="49" t="s">
        <v>10</v>
      </c>
      <c r="E813" s="49" t="s">
        <v>5</v>
      </c>
      <c r="F813" s="49" t="s">
        <v>95</v>
      </c>
      <c r="G813" s="49">
        <v>29</v>
      </c>
      <c r="H813" s="49"/>
      <c r="I813" s="49"/>
      <c r="J813" s="49"/>
      <c r="K813" s="49"/>
      <c r="L813" s="49" t="s">
        <v>10</v>
      </c>
      <c r="M813" t="s">
        <v>1709</v>
      </c>
    </row>
    <row r="814" spans="1:13" x14ac:dyDescent="0.2">
      <c r="A814" s="49">
        <v>46923</v>
      </c>
      <c r="B814" s="49" t="s">
        <v>607</v>
      </c>
      <c r="C814" s="49" t="s">
        <v>65</v>
      </c>
      <c r="D814" s="49" t="s">
        <v>10</v>
      </c>
      <c r="E814" s="49" t="s">
        <v>5</v>
      </c>
      <c r="F814" s="49" t="s">
        <v>95</v>
      </c>
      <c r="G814" s="49">
        <v>128</v>
      </c>
      <c r="H814" s="49"/>
      <c r="I814" s="49"/>
      <c r="J814" s="49"/>
      <c r="K814" s="49"/>
      <c r="L814" s="49" t="s">
        <v>10</v>
      </c>
      <c r="M814" t="s">
        <v>1709</v>
      </c>
    </row>
    <row r="815" spans="1:13" x14ac:dyDescent="0.2">
      <c r="A815" s="49">
        <v>46916</v>
      </c>
      <c r="B815" s="49" t="s">
        <v>186</v>
      </c>
      <c r="C815" s="49" t="s">
        <v>65</v>
      </c>
      <c r="D815" s="49" t="s">
        <v>10</v>
      </c>
      <c r="E815" s="49" t="s">
        <v>5</v>
      </c>
      <c r="F815" s="49" t="s">
        <v>97</v>
      </c>
      <c r="G815" s="49">
        <v>18</v>
      </c>
      <c r="H815" s="49"/>
      <c r="I815" s="49"/>
      <c r="J815" s="49"/>
      <c r="K815" s="49"/>
      <c r="L815" s="49" t="s">
        <v>10</v>
      </c>
      <c r="M815" t="s">
        <v>1709</v>
      </c>
    </row>
    <row r="816" spans="1:13" x14ac:dyDescent="0.2">
      <c r="A816" s="49">
        <v>46913</v>
      </c>
      <c r="B816" s="49" t="s">
        <v>608</v>
      </c>
      <c r="C816" s="49" t="s">
        <v>65</v>
      </c>
      <c r="D816" s="49" t="s">
        <v>10</v>
      </c>
      <c r="E816" s="49" t="s">
        <v>5</v>
      </c>
      <c r="F816" s="49" t="s">
        <v>95</v>
      </c>
      <c r="G816" s="49">
        <v>39</v>
      </c>
      <c r="H816" s="49"/>
      <c r="I816" s="49"/>
      <c r="J816" s="49"/>
      <c r="K816" s="49"/>
      <c r="L816" s="49" t="s">
        <v>10</v>
      </c>
      <c r="M816" t="s">
        <v>1709</v>
      </c>
    </row>
    <row r="817" spans="1:13" x14ac:dyDescent="0.2">
      <c r="A817" s="49">
        <v>46911</v>
      </c>
      <c r="B817" s="49" t="s">
        <v>609</v>
      </c>
      <c r="C817" s="49" t="s">
        <v>65</v>
      </c>
      <c r="D817" s="49" t="s">
        <v>10</v>
      </c>
      <c r="E817" s="49" t="s">
        <v>5</v>
      </c>
      <c r="F817" s="49" t="s">
        <v>91</v>
      </c>
      <c r="G817" s="49">
        <v>68</v>
      </c>
      <c r="H817" s="49"/>
      <c r="I817" s="49"/>
      <c r="J817" s="49"/>
      <c r="K817" s="49"/>
      <c r="L817" s="49" t="s">
        <v>10</v>
      </c>
      <c r="M817" t="s">
        <v>1709</v>
      </c>
    </row>
    <row r="818" spans="1:13" x14ac:dyDescent="0.2">
      <c r="A818" s="49">
        <v>46909</v>
      </c>
      <c r="B818" s="49" t="s">
        <v>610</v>
      </c>
      <c r="C818" s="49" t="s">
        <v>65</v>
      </c>
      <c r="D818" s="49" t="s">
        <v>10</v>
      </c>
      <c r="E818" s="49" t="s">
        <v>5</v>
      </c>
      <c r="F818" s="49" t="s">
        <v>91</v>
      </c>
      <c r="G818" s="49">
        <v>78</v>
      </c>
      <c r="H818" s="49"/>
      <c r="I818" s="49"/>
      <c r="J818" s="49"/>
      <c r="K818" s="49"/>
      <c r="L818" s="49" t="s">
        <v>10</v>
      </c>
      <c r="M818" t="s">
        <v>1709</v>
      </c>
    </row>
    <row r="819" spans="1:13" x14ac:dyDescent="0.2">
      <c r="A819" s="49">
        <v>46856</v>
      </c>
      <c r="B819" s="49" t="s">
        <v>1655</v>
      </c>
      <c r="C819" s="49" t="s">
        <v>70</v>
      </c>
      <c r="D819" s="49" t="s">
        <v>10</v>
      </c>
      <c r="E819" s="49" t="s">
        <v>8</v>
      </c>
      <c r="F819" s="49" t="s">
        <v>91</v>
      </c>
      <c r="G819" s="49">
        <v>70</v>
      </c>
      <c r="H819" s="49"/>
      <c r="I819" s="49"/>
      <c r="J819" s="49"/>
      <c r="K819" s="49"/>
      <c r="L819" s="49" t="s">
        <v>10</v>
      </c>
      <c r="M819" t="s">
        <v>1709</v>
      </c>
    </row>
    <row r="820" spans="1:13" x14ac:dyDescent="0.2">
      <c r="A820" s="49">
        <v>46855</v>
      </c>
      <c r="B820" s="49" t="s">
        <v>611</v>
      </c>
      <c r="C820" s="49" t="s">
        <v>66</v>
      </c>
      <c r="D820" s="49" t="s">
        <v>10</v>
      </c>
      <c r="E820" s="49" t="s">
        <v>5</v>
      </c>
      <c r="F820" s="49" t="s">
        <v>91</v>
      </c>
      <c r="G820" s="49">
        <v>42</v>
      </c>
      <c r="H820" s="49"/>
      <c r="I820" s="49"/>
      <c r="J820" s="49"/>
      <c r="K820" s="49"/>
      <c r="L820" s="49" t="s">
        <v>10</v>
      </c>
      <c r="M820" t="s">
        <v>1709</v>
      </c>
    </row>
    <row r="821" spans="1:13" x14ac:dyDescent="0.2">
      <c r="A821" s="49">
        <v>46845</v>
      </c>
      <c r="B821" s="49" t="s">
        <v>612</v>
      </c>
      <c r="C821" s="49" t="s">
        <v>67</v>
      </c>
      <c r="D821" s="49" t="s">
        <v>10</v>
      </c>
      <c r="E821" s="49" t="s">
        <v>12</v>
      </c>
      <c r="F821" s="49" t="s">
        <v>91</v>
      </c>
      <c r="G821" s="49">
        <v>26</v>
      </c>
      <c r="H821" s="49"/>
      <c r="I821" s="49"/>
      <c r="J821" s="49"/>
      <c r="K821" s="49"/>
      <c r="L821" s="49" t="s">
        <v>10</v>
      </c>
      <c r="M821" t="s">
        <v>1709</v>
      </c>
    </row>
    <row r="822" spans="1:13" x14ac:dyDescent="0.2">
      <c r="A822" s="49">
        <v>46844</v>
      </c>
      <c r="B822" s="49" t="s">
        <v>613</v>
      </c>
      <c r="C822" s="49" t="s">
        <v>66</v>
      </c>
      <c r="D822" s="49" t="s">
        <v>10</v>
      </c>
      <c r="E822" s="49" t="s">
        <v>5</v>
      </c>
      <c r="F822" s="49" t="s">
        <v>91</v>
      </c>
      <c r="G822" s="49">
        <v>43</v>
      </c>
      <c r="H822" s="49"/>
      <c r="I822" s="49"/>
      <c r="J822" s="49"/>
      <c r="K822" s="49"/>
      <c r="L822" s="49" t="s">
        <v>10</v>
      </c>
      <c r="M822" t="s">
        <v>1709</v>
      </c>
    </row>
    <row r="823" spans="1:13" x14ac:dyDescent="0.2">
      <c r="A823" s="49">
        <v>46838</v>
      </c>
      <c r="B823" s="49" t="s">
        <v>352</v>
      </c>
      <c r="C823" s="49" t="s">
        <v>65</v>
      </c>
      <c r="D823" s="49" t="s">
        <v>10</v>
      </c>
      <c r="E823" s="49" t="s">
        <v>5</v>
      </c>
      <c r="F823" s="49" t="s">
        <v>91</v>
      </c>
      <c r="G823" s="49">
        <v>129</v>
      </c>
      <c r="H823" s="49"/>
      <c r="I823" s="49"/>
      <c r="J823" s="49"/>
      <c r="K823" s="49"/>
      <c r="L823" s="49" t="s">
        <v>10</v>
      </c>
      <c r="M823" t="s">
        <v>1709</v>
      </c>
    </row>
    <row r="824" spans="1:13" x14ac:dyDescent="0.2">
      <c r="A824" s="49">
        <v>46837</v>
      </c>
      <c r="B824" s="49" t="s">
        <v>614</v>
      </c>
      <c r="C824" s="49" t="s">
        <v>65</v>
      </c>
      <c r="D824" s="49" t="s">
        <v>10</v>
      </c>
      <c r="E824" s="49" t="s">
        <v>5</v>
      </c>
      <c r="F824" s="49" t="s">
        <v>91</v>
      </c>
      <c r="G824" s="49">
        <v>130</v>
      </c>
      <c r="H824" s="49"/>
      <c r="I824" s="49"/>
      <c r="J824" s="49"/>
      <c r="K824" s="49"/>
      <c r="L824" s="49" t="s">
        <v>10</v>
      </c>
      <c r="M824" t="s">
        <v>1709</v>
      </c>
    </row>
    <row r="825" spans="1:13" x14ac:dyDescent="0.2">
      <c r="A825" s="49">
        <v>46829</v>
      </c>
      <c r="B825" s="49" t="s">
        <v>615</v>
      </c>
      <c r="C825" s="49" t="s">
        <v>64</v>
      </c>
      <c r="D825" s="49" t="s">
        <v>10</v>
      </c>
      <c r="E825" s="49" t="s">
        <v>6</v>
      </c>
      <c r="F825" s="49" t="s">
        <v>95</v>
      </c>
      <c r="G825" s="49">
        <v>36</v>
      </c>
      <c r="H825" s="49"/>
      <c r="I825" s="49"/>
      <c r="J825" s="49"/>
      <c r="K825" s="49"/>
      <c r="L825" s="49" t="s">
        <v>10</v>
      </c>
      <c r="M825" t="s">
        <v>1709</v>
      </c>
    </row>
    <row r="826" spans="1:13" x14ac:dyDescent="0.2">
      <c r="A826" s="49">
        <v>46827</v>
      </c>
      <c r="B826" s="49" t="s">
        <v>616</v>
      </c>
      <c r="C826" s="49" t="s">
        <v>64</v>
      </c>
      <c r="D826" s="49" t="s">
        <v>10</v>
      </c>
      <c r="E826" s="49" t="s">
        <v>6</v>
      </c>
      <c r="F826" s="49" t="s">
        <v>95</v>
      </c>
      <c r="G826" s="49">
        <v>35</v>
      </c>
      <c r="H826" s="49"/>
      <c r="I826" s="49"/>
      <c r="J826" s="49"/>
      <c r="K826" s="49"/>
      <c r="L826" s="49" t="s">
        <v>10</v>
      </c>
      <c r="M826" t="s">
        <v>1709</v>
      </c>
    </row>
    <row r="827" spans="1:13" x14ac:dyDescent="0.2">
      <c r="A827" s="49">
        <v>46818</v>
      </c>
      <c r="B827" s="49" t="s">
        <v>617</v>
      </c>
      <c r="C827" s="49" t="s">
        <v>65</v>
      </c>
      <c r="D827" s="49" t="s">
        <v>10</v>
      </c>
      <c r="E827" s="49" t="s">
        <v>5</v>
      </c>
      <c r="F827" s="49" t="s">
        <v>95</v>
      </c>
      <c r="G827" s="49">
        <v>131</v>
      </c>
      <c r="H827" s="49"/>
      <c r="I827" s="49"/>
      <c r="J827" s="49"/>
      <c r="K827" s="49"/>
      <c r="L827" s="49" t="s">
        <v>10</v>
      </c>
      <c r="M827" t="s">
        <v>1709</v>
      </c>
    </row>
    <row r="828" spans="1:13" x14ac:dyDescent="0.2">
      <c r="A828" s="49">
        <v>46817</v>
      </c>
      <c r="B828" s="49" t="s">
        <v>618</v>
      </c>
      <c r="C828" s="49" t="s">
        <v>69</v>
      </c>
      <c r="D828" s="49" t="s">
        <v>10</v>
      </c>
      <c r="E828" s="49" t="s">
        <v>12</v>
      </c>
      <c r="F828" s="49" t="s">
        <v>95</v>
      </c>
      <c r="G828" s="49">
        <v>70</v>
      </c>
      <c r="H828" s="49"/>
      <c r="I828" s="49"/>
      <c r="J828" s="49"/>
      <c r="K828" s="49"/>
      <c r="L828" s="49" t="s">
        <v>10</v>
      </c>
      <c r="M828" t="s">
        <v>1709</v>
      </c>
    </row>
    <row r="829" spans="1:13" x14ac:dyDescent="0.2">
      <c r="A829" s="49">
        <v>46807</v>
      </c>
      <c r="B829" s="49" t="s">
        <v>619</v>
      </c>
      <c r="C829" s="49" t="s">
        <v>67</v>
      </c>
      <c r="D829" s="49" t="s">
        <v>10</v>
      </c>
      <c r="E829" s="49" t="s">
        <v>12</v>
      </c>
      <c r="F829" s="49" t="s">
        <v>91</v>
      </c>
      <c r="G829" s="49">
        <v>12</v>
      </c>
      <c r="H829" s="49"/>
      <c r="I829" s="49"/>
      <c r="J829" s="49"/>
      <c r="K829" s="49"/>
      <c r="L829" s="49" t="s">
        <v>10</v>
      </c>
      <c r="M829" t="s">
        <v>1709</v>
      </c>
    </row>
    <row r="830" spans="1:13" x14ac:dyDescent="0.2">
      <c r="A830" s="49">
        <v>46800</v>
      </c>
      <c r="B830" s="49" t="s">
        <v>178</v>
      </c>
      <c r="C830" s="49" t="s">
        <v>67</v>
      </c>
      <c r="D830" s="49" t="s">
        <v>10</v>
      </c>
      <c r="E830" s="49" t="s">
        <v>12</v>
      </c>
      <c r="F830" s="49" t="s">
        <v>95</v>
      </c>
      <c r="G830" s="49">
        <v>9</v>
      </c>
      <c r="H830" s="49"/>
      <c r="I830" s="49"/>
      <c r="J830" s="49"/>
      <c r="K830" s="49"/>
      <c r="L830" s="49" t="s">
        <v>10</v>
      </c>
      <c r="M830" t="s">
        <v>1709</v>
      </c>
    </row>
    <row r="831" spans="1:13" x14ac:dyDescent="0.2">
      <c r="A831" s="49">
        <v>46713</v>
      </c>
      <c r="B831" s="49" t="s">
        <v>621</v>
      </c>
      <c r="C831" s="49" t="s">
        <v>70</v>
      </c>
      <c r="D831" s="49" t="s">
        <v>10</v>
      </c>
      <c r="E831" s="49" t="s">
        <v>8</v>
      </c>
      <c r="F831" s="49" t="s">
        <v>91</v>
      </c>
      <c r="G831" s="49">
        <v>23</v>
      </c>
      <c r="H831" s="49"/>
      <c r="I831" s="49"/>
      <c r="J831" s="49"/>
      <c r="K831" s="49"/>
      <c r="L831" s="49" t="s">
        <v>10</v>
      </c>
      <c r="M831" t="s">
        <v>1709</v>
      </c>
    </row>
    <row r="832" spans="1:13" x14ac:dyDescent="0.2">
      <c r="A832" s="49">
        <v>46690</v>
      </c>
      <c r="B832" s="49" t="s">
        <v>183</v>
      </c>
      <c r="C832" s="49" t="s">
        <v>67</v>
      </c>
      <c r="D832" s="49" t="s">
        <v>10</v>
      </c>
      <c r="E832" s="49" t="s">
        <v>12</v>
      </c>
      <c r="F832" s="49" t="s">
        <v>97</v>
      </c>
      <c r="G832" s="49">
        <v>11</v>
      </c>
      <c r="H832" s="49"/>
      <c r="I832" s="49"/>
      <c r="J832" s="49"/>
      <c r="K832" s="49"/>
      <c r="L832" s="49" t="s">
        <v>10</v>
      </c>
      <c r="M832" t="s">
        <v>1709</v>
      </c>
    </row>
    <row r="833" spans="1:13" x14ac:dyDescent="0.2">
      <c r="A833" s="49">
        <v>46679</v>
      </c>
      <c r="B833" s="49" t="s">
        <v>622</v>
      </c>
      <c r="C833" s="49" t="s">
        <v>64</v>
      </c>
      <c r="D833" s="49" t="s">
        <v>10</v>
      </c>
      <c r="E833" s="49" t="s">
        <v>6</v>
      </c>
      <c r="F833" s="49" t="s">
        <v>95</v>
      </c>
      <c r="G833" s="49">
        <v>30</v>
      </c>
      <c r="H833" s="49"/>
      <c r="I833" s="49"/>
      <c r="J833" s="49"/>
      <c r="K833" s="49"/>
      <c r="L833" s="49" t="s">
        <v>10</v>
      </c>
      <c r="M833" t="s">
        <v>1709</v>
      </c>
    </row>
    <row r="834" spans="1:13" x14ac:dyDescent="0.2">
      <c r="A834" s="49">
        <v>46675</v>
      </c>
      <c r="B834" s="49" t="s">
        <v>623</v>
      </c>
      <c r="C834" s="49" t="s">
        <v>67</v>
      </c>
      <c r="D834" s="49" t="s">
        <v>10</v>
      </c>
      <c r="E834" s="49" t="s">
        <v>12</v>
      </c>
      <c r="F834" s="49" t="s">
        <v>91</v>
      </c>
      <c r="G834" s="49">
        <v>22</v>
      </c>
      <c r="H834" s="49"/>
      <c r="I834" s="49"/>
      <c r="J834" s="49"/>
      <c r="K834" s="49"/>
      <c r="L834" s="49" t="s">
        <v>10</v>
      </c>
      <c r="M834" t="s">
        <v>1709</v>
      </c>
    </row>
    <row r="835" spans="1:13" x14ac:dyDescent="0.2">
      <c r="A835" s="49">
        <v>46622</v>
      </c>
      <c r="B835" s="49" t="s">
        <v>255</v>
      </c>
      <c r="C835" s="49" t="s">
        <v>68</v>
      </c>
      <c r="D835" s="49" t="s">
        <v>10</v>
      </c>
      <c r="E835" s="49" t="s">
        <v>5</v>
      </c>
      <c r="F835" s="49" t="s">
        <v>91</v>
      </c>
      <c r="G835" s="49">
        <v>24</v>
      </c>
      <c r="H835" s="49"/>
      <c r="I835" s="49"/>
      <c r="J835" s="49"/>
      <c r="K835" s="49"/>
      <c r="L835" s="49" t="s">
        <v>10</v>
      </c>
      <c r="M835" t="s">
        <v>1709</v>
      </c>
    </row>
    <row r="836" spans="1:13" x14ac:dyDescent="0.2">
      <c r="A836" s="49">
        <v>46606</v>
      </c>
      <c r="B836" s="49" t="s">
        <v>624</v>
      </c>
      <c r="C836" s="49" t="s">
        <v>70</v>
      </c>
      <c r="D836" s="49" t="s">
        <v>10</v>
      </c>
      <c r="E836" s="49" t="s">
        <v>8</v>
      </c>
      <c r="F836" s="49" t="s">
        <v>91</v>
      </c>
      <c r="G836" s="49">
        <v>21</v>
      </c>
      <c r="H836" s="49"/>
      <c r="I836" s="49"/>
      <c r="J836" s="49"/>
      <c r="K836" s="49"/>
      <c r="L836" s="49" t="s">
        <v>10</v>
      </c>
      <c r="M836" t="s">
        <v>1709</v>
      </c>
    </row>
    <row r="837" spans="1:13" x14ac:dyDescent="0.2">
      <c r="A837" s="49">
        <v>46543</v>
      </c>
      <c r="B837" s="49" t="s">
        <v>625</v>
      </c>
      <c r="C837" s="49" t="s">
        <v>66</v>
      </c>
      <c r="D837" s="49" t="s">
        <v>10</v>
      </c>
      <c r="E837" s="49" t="s">
        <v>5</v>
      </c>
      <c r="F837" s="49" t="s">
        <v>91</v>
      </c>
      <c r="G837" s="49">
        <v>44</v>
      </c>
      <c r="H837" s="49"/>
      <c r="I837" s="49"/>
      <c r="J837" s="49"/>
      <c r="K837" s="49"/>
      <c r="L837" s="49" t="s">
        <v>10</v>
      </c>
      <c r="M837" t="s">
        <v>1709</v>
      </c>
    </row>
    <row r="838" spans="1:13" x14ac:dyDescent="0.2">
      <c r="A838" s="49">
        <v>46453</v>
      </c>
      <c r="B838" s="49" t="s">
        <v>626</v>
      </c>
      <c r="C838" s="49" t="s">
        <v>66</v>
      </c>
      <c r="D838" s="49" t="s">
        <v>10</v>
      </c>
      <c r="E838" s="49" t="s">
        <v>5</v>
      </c>
      <c r="F838" s="49" t="s">
        <v>91</v>
      </c>
      <c r="G838" s="49">
        <v>45</v>
      </c>
      <c r="H838" s="49"/>
      <c r="I838" s="49"/>
      <c r="J838" s="49"/>
      <c r="K838" s="49"/>
      <c r="L838" s="49" t="s">
        <v>10</v>
      </c>
      <c r="M838" t="s">
        <v>1709</v>
      </c>
    </row>
    <row r="839" spans="1:13" x14ac:dyDescent="0.2">
      <c r="A839" s="49">
        <v>46418</v>
      </c>
      <c r="B839" s="49" t="s">
        <v>627</v>
      </c>
      <c r="C839" s="49" t="s">
        <v>66</v>
      </c>
      <c r="D839" s="49" t="s">
        <v>10</v>
      </c>
      <c r="E839" s="49" t="s">
        <v>5</v>
      </c>
      <c r="F839" s="49" t="s">
        <v>91</v>
      </c>
      <c r="G839" s="49">
        <v>46</v>
      </c>
      <c r="H839" s="49"/>
      <c r="I839" s="49"/>
      <c r="J839" s="49"/>
      <c r="K839" s="49"/>
      <c r="L839" s="49" t="s">
        <v>10</v>
      </c>
      <c r="M839" t="s">
        <v>1709</v>
      </c>
    </row>
    <row r="840" spans="1:13" x14ac:dyDescent="0.2">
      <c r="A840" s="49">
        <v>46344</v>
      </c>
      <c r="B840" s="49" t="s">
        <v>628</v>
      </c>
      <c r="C840" s="49" t="s">
        <v>68</v>
      </c>
      <c r="D840" s="49" t="s">
        <v>10</v>
      </c>
      <c r="E840" s="49" t="s">
        <v>5</v>
      </c>
      <c r="F840" s="49" t="s">
        <v>97</v>
      </c>
      <c r="G840" s="49">
        <v>41</v>
      </c>
      <c r="H840" s="49"/>
      <c r="I840" s="49"/>
      <c r="J840" s="49"/>
      <c r="K840" s="49"/>
      <c r="L840" s="49" t="s">
        <v>10</v>
      </c>
      <c r="M840" t="s">
        <v>1709</v>
      </c>
    </row>
    <row r="841" spans="1:13" x14ac:dyDescent="0.2">
      <c r="A841" s="49">
        <v>46343</v>
      </c>
      <c r="B841" s="49" t="s">
        <v>629</v>
      </c>
      <c r="C841" s="49" t="s">
        <v>68</v>
      </c>
      <c r="D841" s="49" t="s">
        <v>10</v>
      </c>
      <c r="E841" s="49" t="s">
        <v>5</v>
      </c>
      <c r="F841" s="49" t="s">
        <v>91</v>
      </c>
      <c r="G841" s="49">
        <v>40</v>
      </c>
      <c r="H841" s="49"/>
      <c r="I841" s="49"/>
      <c r="J841" s="49"/>
      <c r="K841" s="49"/>
      <c r="L841" s="49" t="s">
        <v>10</v>
      </c>
      <c r="M841" t="s">
        <v>1709</v>
      </c>
    </row>
    <row r="842" spans="1:13" x14ac:dyDescent="0.2">
      <c r="A842" s="49">
        <v>46339</v>
      </c>
      <c r="B842" s="49" t="s">
        <v>630</v>
      </c>
      <c r="C842" s="49" t="s">
        <v>69</v>
      </c>
      <c r="D842" s="49" t="s">
        <v>10</v>
      </c>
      <c r="E842" s="49" t="s">
        <v>12</v>
      </c>
      <c r="F842" s="49" t="s">
        <v>97</v>
      </c>
      <c r="G842" s="49">
        <v>13</v>
      </c>
      <c r="H842" s="49"/>
      <c r="I842" s="49"/>
      <c r="J842" s="49"/>
      <c r="K842" s="49"/>
      <c r="L842" s="49" t="s">
        <v>10</v>
      </c>
      <c r="M842" t="s">
        <v>1709</v>
      </c>
    </row>
    <row r="843" spans="1:13" x14ac:dyDescent="0.2">
      <c r="A843" s="49">
        <v>46225</v>
      </c>
      <c r="B843" s="49" t="s">
        <v>631</v>
      </c>
      <c r="C843" s="49" t="s">
        <v>68</v>
      </c>
      <c r="D843" s="49" t="s">
        <v>10</v>
      </c>
      <c r="E843" s="49" t="s">
        <v>5</v>
      </c>
      <c r="F843" s="49" t="s">
        <v>95</v>
      </c>
      <c r="G843" s="49">
        <v>36</v>
      </c>
      <c r="H843" s="49"/>
      <c r="I843" s="49"/>
      <c r="J843" s="49"/>
      <c r="K843" s="49"/>
      <c r="L843" s="49" t="s">
        <v>10</v>
      </c>
      <c r="M843" t="s">
        <v>1709</v>
      </c>
    </row>
    <row r="844" spans="1:13" x14ac:dyDescent="0.2">
      <c r="A844" s="49">
        <v>46220</v>
      </c>
      <c r="B844" s="49" t="s">
        <v>632</v>
      </c>
      <c r="C844" s="49" t="s">
        <v>66</v>
      </c>
      <c r="D844" s="49" t="s">
        <v>10</v>
      </c>
      <c r="E844" s="49" t="s">
        <v>5</v>
      </c>
      <c r="F844" s="49" t="s">
        <v>91</v>
      </c>
      <c r="G844" s="49">
        <v>32</v>
      </c>
      <c r="H844" s="49"/>
      <c r="I844" s="49"/>
      <c r="J844" s="49"/>
      <c r="K844" s="49"/>
      <c r="L844" s="49" t="s">
        <v>10</v>
      </c>
      <c r="M844" t="s">
        <v>1709</v>
      </c>
    </row>
    <row r="845" spans="1:13" x14ac:dyDescent="0.2">
      <c r="A845" s="49">
        <v>46218</v>
      </c>
      <c r="B845" s="49" t="s">
        <v>279</v>
      </c>
      <c r="C845" s="49" t="s">
        <v>66</v>
      </c>
      <c r="D845" s="49" t="s">
        <v>10</v>
      </c>
      <c r="E845" s="49" t="s">
        <v>5</v>
      </c>
      <c r="F845" s="49" t="s">
        <v>91</v>
      </c>
      <c r="G845" s="49">
        <v>37</v>
      </c>
      <c r="H845" s="49"/>
      <c r="I845" s="49"/>
      <c r="J845" s="49"/>
      <c r="K845" s="49"/>
      <c r="L845" s="49" t="s">
        <v>10</v>
      </c>
      <c r="M845" t="s">
        <v>1709</v>
      </c>
    </row>
    <row r="846" spans="1:13" x14ac:dyDescent="0.2">
      <c r="A846" s="49">
        <v>46216</v>
      </c>
      <c r="B846" s="49" t="s">
        <v>282</v>
      </c>
      <c r="C846" s="49" t="s">
        <v>66</v>
      </c>
      <c r="D846" s="49" t="s">
        <v>10</v>
      </c>
      <c r="E846" s="49" t="s">
        <v>5</v>
      </c>
      <c r="F846" s="49" t="s">
        <v>91</v>
      </c>
      <c r="G846" s="49">
        <v>38</v>
      </c>
      <c r="H846" s="49"/>
      <c r="I846" s="49"/>
      <c r="J846" s="49"/>
      <c r="K846" s="49"/>
      <c r="L846" s="49" t="s">
        <v>10</v>
      </c>
      <c r="M846" t="s">
        <v>1709</v>
      </c>
    </row>
    <row r="847" spans="1:13" x14ac:dyDescent="0.2">
      <c r="A847" s="49">
        <v>46164</v>
      </c>
      <c r="B847" s="49" t="s">
        <v>633</v>
      </c>
      <c r="C847" s="49" t="s">
        <v>67</v>
      </c>
      <c r="D847" s="49" t="s">
        <v>10</v>
      </c>
      <c r="E847" s="49" t="s">
        <v>12</v>
      </c>
      <c r="F847" s="49" t="s">
        <v>95</v>
      </c>
      <c r="G847" s="49">
        <v>21</v>
      </c>
      <c r="H847" s="49"/>
      <c r="I847" s="49"/>
      <c r="J847" s="49"/>
      <c r="K847" s="49"/>
      <c r="L847" s="49" t="s">
        <v>10</v>
      </c>
      <c r="M847" t="s">
        <v>1709</v>
      </c>
    </row>
    <row r="848" spans="1:13" x14ac:dyDescent="0.2">
      <c r="A848" s="49">
        <v>45965</v>
      </c>
      <c r="B848" s="49" t="s">
        <v>634</v>
      </c>
      <c r="C848" s="49" t="s">
        <v>68</v>
      </c>
      <c r="D848" s="49" t="s">
        <v>10</v>
      </c>
      <c r="E848" s="49" t="s">
        <v>5</v>
      </c>
      <c r="F848" s="49" t="s">
        <v>97</v>
      </c>
      <c r="G848" s="49">
        <v>39</v>
      </c>
      <c r="H848" s="49"/>
      <c r="I848" s="49"/>
      <c r="J848" s="49"/>
      <c r="K848" s="49"/>
      <c r="L848" s="49" t="s">
        <v>10</v>
      </c>
      <c r="M848" t="s">
        <v>1709</v>
      </c>
    </row>
    <row r="849" spans="1:13" x14ac:dyDescent="0.2">
      <c r="A849" s="49">
        <v>45893</v>
      </c>
      <c r="B849" s="49" t="s">
        <v>635</v>
      </c>
      <c r="C849" s="49" t="s">
        <v>65</v>
      </c>
      <c r="D849" s="49" t="s">
        <v>10</v>
      </c>
      <c r="E849" s="49" t="s">
        <v>5</v>
      </c>
      <c r="F849" s="49" t="s">
        <v>97</v>
      </c>
      <c r="G849" s="49">
        <v>31</v>
      </c>
      <c r="H849" s="49"/>
      <c r="I849" s="49"/>
      <c r="J849" s="49"/>
      <c r="K849" s="49"/>
      <c r="L849" s="49" t="s">
        <v>10</v>
      </c>
      <c r="M849" t="s">
        <v>1709</v>
      </c>
    </row>
    <row r="850" spans="1:13" x14ac:dyDescent="0.2">
      <c r="A850" s="49">
        <v>45892</v>
      </c>
      <c r="B850" s="49" t="s">
        <v>636</v>
      </c>
      <c r="C850" s="49" t="s">
        <v>66</v>
      </c>
      <c r="D850" s="49" t="s">
        <v>10</v>
      </c>
      <c r="E850" s="49" t="s">
        <v>5</v>
      </c>
      <c r="F850" s="49" t="s">
        <v>97</v>
      </c>
      <c r="G850" s="49">
        <v>29</v>
      </c>
      <c r="H850" s="49"/>
      <c r="I850" s="49"/>
      <c r="J850" s="49"/>
      <c r="K850" s="49"/>
      <c r="L850" s="49" t="s">
        <v>10</v>
      </c>
      <c r="M850" t="s">
        <v>1709</v>
      </c>
    </row>
    <row r="851" spans="1:13" x14ac:dyDescent="0.2">
      <c r="A851" s="49">
        <v>45758</v>
      </c>
      <c r="B851" s="49" t="s">
        <v>637</v>
      </c>
      <c r="C851" s="49" t="s">
        <v>65</v>
      </c>
      <c r="D851" s="49" t="s">
        <v>10</v>
      </c>
      <c r="E851" s="49" t="s">
        <v>5</v>
      </c>
      <c r="F851" s="49" t="s">
        <v>91</v>
      </c>
      <c r="G851" s="49">
        <v>50</v>
      </c>
      <c r="H851" s="49"/>
      <c r="I851" s="49"/>
      <c r="J851" s="49"/>
      <c r="K851" s="49"/>
      <c r="L851" s="49" t="s">
        <v>10</v>
      </c>
      <c r="M851" t="s">
        <v>1709</v>
      </c>
    </row>
    <row r="852" spans="1:13" x14ac:dyDescent="0.2">
      <c r="A852" s="49">
        <v>45725</v>
      </c>
      <c r="B852" s="49" t="s">
        <v>1656</v>
      </c>
      <c r="C852" s="49" t="s">
        <v>69</v>
      </c>
      <c r="D852" s="49" t="s">
        <v>10</v>
      </c>
      <c r="E852" s="49" t="s">
        <v>12</v>
      </c>
      <c r="F852" s="49" t="s">
        <v>91</v>
      </c>
      <c r="G852" s="49">
        <v>35</v>
      </c>
      <c r="H852" s="49"/>
      <c r="I852" s="49"/>
      <c r="J852" s="49"/>
      <c r="K852" s="49"/>
      <c r="L852" s="49" t="s">
        <v>10</v>
      </c>
      <c r="M852" t="s">
        <v>1709</v>
      </c>
    </row>
    <row r="853" spans="1:13" x14ac:dyDescent="0.2">
      <c r="A853" s="49">
        <v>45298</v>
      </c>
      <c r="B853" s="49" t="s">
        <v>221</v>
      </c>
      <c r="C853" s="49" t="s">
        <v>69</v>
      </c>
      <c r="D853" s="49" t="s">
        <v>10</v>
      </c>
      <c r="E853" s="49" t="s">
        <v>12</v>
      </c>
      <c r="F853" s="49" t="s">
        <v>91</v>
      </c>
      <c r="G853" s="49">
        <v>19</v>
      </c>
      <c r="H853" s="49"/>
      <c r="I853" s="49"/>
      <c r="J853" s="49"/>
      <c r="K853" s="49"/>
      <c r="L853" s="49" t="s">
        <v>10</v>
      </c>
      <c r="M853" t="s">
        <v>1709</v>
      </c>
    </row>
    <row r="854" spans="1:13" x14ac:dyDescent="0.2">
      <c r="A854" s="49">
        <v>44547</v>
      </c>
      <c r="B854" s="49" t="s">
        <v>638</v>
      </c>
      <c r="C854" s="49" t="s">
        <v>68</v>
      </c>
      <c r="D854" s="49" t="s">
        <v>10</v>
      </c>
      <c r="E854" s="49" t="s">
        <v>5</v>
      </c>
      <c r="F854" s="49" t="s">
        <v>95</v>
      </c>
      <c r="G854" s="49">
        <v>29</v>
      </c>
      <c r="H854" s="49"/>
      <c r="I854" s="49"/>
      <c r="J854" s="49"/>
      <c r="K854" s="49"/>
      <c r="L854" s="49" t="s">
        <v>10</v>
      </c>
      <c r="M854" t="s">
        <v>1709</v>
      </c>
    </row>
    <row r="855" spans="1:13" x14ac:dyDescent="0.2">
      <c r="A855" s="49">
        <v>44497</v>
      </c>
      <c r="B855" s="49" t="s">
        <v>639</v>
      </c>
      <c r="C855" s="49" t="s">
        <v>66</v>
      </c>
      <c r="D855" s="49" t="s">
        <v>10</v>
      </c>
      <c r="E855" s="49" t="s">
        <v>5</v>
      </c>
      <c r="F855" s="49" t="s">
        <v>95</v>
      </c>
      <c r="G855" s="49">
        <v>18</v>
      </c>
      <c r="H855" s="49"/>
      <c r="I855" s="49"/>
      <c r="J855" s="49"/>
      <c r="K855" s="49"/>
      <c r="L855" s="49" t="s">
        <v>10</v>
      </c>
      <c r="M855" t="s">
        <v>1709</v>
      </c>
    </row>
    <row r="856" spans="1:13" x14ac:dyDescent="0.2">
      <c r="A856" s="49">
        <v>44475</v>
      </c>
      <c r="B856" s="49" t="s">
        <v>234</v>
      </c>
      <c r="C856" s="49" t="s">
        <v>65</v>
      </c>
      <c r="D856" s="49" t="s">
        <v>10</v>
      </c>
      <c r="E856" s="49" t="s">
        <v>5</v>
      </c>
      <c r="F856" s="49" t="s">
        <v>91</v>
      </c>
      <c r="G856" s="49">
        <v>17</v>
      </c>
      <c r="H856" s="49"/>
      <c r="I856" s="49"/>
      <c r="J856" s="49"/>
      <c r="K856" s="49"/>
      <c r="L856" s="49" t="s">
        <v>10</v>
      </c>
      <c r="M856" t="s">
        <v>1709</v>
      </c>
    </row>
    <row r="857" spans="1:13" x14ac:dyDescent="0.2">
      <c r="A857" s="49">
        <v>44473</v>
      </c>
      <c r="B857" s="49" t="s">
        <v>229</v>
      </c>
      <c r="C857" s="49" t="s">
        <v>67</v>
      </c>
      <c r="D857" s="49" t="s">
        <v>10</v>
      </c>
      <c r="E857" s="49" t="s">
        <v>12</v>
      </c>
      <c r="F857" s="49" t="s">
        <v>95</v>
      </c>
      <c r="G857" s="49">
        <v>23</v>
      </c>
      <c r="H857" s="49"/>
      <c r="I857" s="49"/>
      <c r="J857" s="49"/>
      <c r="K857" s="49"/>
      <c r="L857" s="49" t="s">
        <v>10</v>
      </c>
      <c r="M857" t="s">
        <v>1709</v>
      </c>
    </row>
    <row r="858" spans="1:13" x14ac:dyDescent="0.2">
      <c r="A858" s="49">
        <v>44470</v>
      </c>
      <c r="B858" s="49" t="s">
        <v>209</v>
      </c>
      <c r="C858" s="49" t="s">
        <v>66</v>
      </c>
      <c r="D858" s="49" t="s">
        <v>10</v>
      </c>
      <c r="E858" s="49" t="s">
        <v>5</v>
      </c>
      <c r="F858" s="49" t="s">
        <v>95</v>
      </c>
      <c r="G858" s="49">
        <v>17</v>
      </c>
      <c r="H858" s="49"/>
      <c r="I858" s="49"/>
      <c r="J858" s="49"/>
      <c r="K858" s="49"/>
      <c r="L858" s="49" t="s">
        <v>10</v>
      </c>
      <c r="M858" t="s">
        <v>1709</v>
      </c>
    </row>
    <row r="859" spans="1:13" x14ac:dyDescent="0.2">
      <c r="A859" s="49">
        <v>44446</v>
      </c>
      <c r="B859" s="49" t="s">
        <v>640</v>
      </c>
      <c r="C859" s="49" t="s">
        <v>70</v>
      </c>
      <c r="D859" s="49" t="s">
        <v>10</v>
      </c>
      <c r="E859" s="49" t="s">
        <v>8</v>
      </c>
      <c r="F859" s="49" t="s">
        <v>95</v>
      </c>
      <c r="G859" s="49">
        <v>33</v>
      </c>
      <c r="H859" s="49"/>
      <c r="I859" s="49"/>
      <c r="J859" s="49"/>
      <c r="K859" s="49"/>
      <c r="L859" s="49" t="s">
        <v>10</v>
      </c>
      <c r="M859" t="s">
        <v>1709</v>
      </c>
    </row>
    <row r="860" spans="1:13" x14ac:dyDescent="0.2">
      <c r="A860" s="49">
        <v>44443</v>
      </c>
      <c r="B860" s="49" t="s">
        <v>641</v>
      </c>
      <c r="C860" s="49" t="s">
        <v>67</v>
      </c>
      <c r="D860" s="49" t="s">
        <v>10</v>
      </c>
      <c r="E860" s="49" t="s">
        <v>12</v>
      </c>
      <c r="F860" s="49" t="s">
        <v>95</v>
      </c>
      <c r="G860" s="49">
        <v>14</v>
      </c>
      <c r="H860" s="49"/>
      <c r="I860" s="49"/>
      <c r="J860" s="49"/>
      <c r="K860" s="49"/>
      <c r="L860" s="49" t="s">
        <v>10</v>
      </c>
      <c r="M860" t="s">
        <v>1709</v>
      </c>
    </row>
    <row r="861" spans="1:13" x14ac:dyDescent="0.2">
      <c r="A861" s="49">
        <v>44441</v>
      </c>
      <c r="B861" s="49" t="s">
        <v>642</v>
      </c>
      <c r="C861" s="49" t="s">
        <v>70</v>
      </c>
      <c r="D861" s="49" t="s">
        <v>10</v>
      </c>
      <c r="E861" s="49" t="s">
        <v>8</v>
      </c>
      <c r="F861" s="49" t="s">
        <v>97</v>
      </c>
      <c r="G861" s="49">
        <v>32</v>
      </c>
      <c r="H861" s="49"/>
      <c r="I861" s="49"/>
      <c r="J861" s="49"/>
      <c r="K861" s="49"/>
      <c r="L861" s="49" t="s">
        <v>10</v>
      </c>
      <c r="M861" t="s">
        <v>1709</v>
      </c>
    </row>
    <row r="862" spans="1:13" x14ac:dyDescent="0.2">
      <c r="A862" s="49">
        <v>44439</v>
      </c>
      <c r="B862" s="49" t="s">
        <v>643</v>
      </c>
      <c r="C862" s="49" t="s">
        <v>70</v>
      </c>
      <c r="D862" s="49" t="s">
        <v>10</v>
      </c>
      <c r="E862" s="49" t="s">
        <v>8</v>
      </c>
      <c r="F862" s="49" t="s">
        <v>97</v>
      </c>
      <c r="G862" s="49">
        <v>13</v>
      </c>
      <c r="H862" s="49"/>
      <c r="I862" s="49"/>
      <c r="J862" s="49"/>
      <c r="K862" s="49"/>
      <c r="L862" s="49" t="s">
        <v>10</v>
      </c>
      <c r="M862" t="s">
        <v>1709</v>
      </c>
    </row>
    <row r="863" spans="1:13" x14ac:dyDescent="0.2">
      <c r="A863" s="49">
        <v>44431</v>
      </c>
      <c r="B863" s="49" t="s">
        <v>644</v>
      </c>
      <c r="C863" s="49" t="s">
        <v>70</v>
      </c>
      <c r="D863" s="49" t="s">
        <v>10</v>
      </c>
      <c r="E863" s="49" t="s">
        <v>8</v>
      </c>
      <c r="F863" s="49" t="s">
        <v>95</v>
      </c>
      <c r="G863" s="49">
        <v>29</v>
      </c>
      <c r="H863" s="49"/>
      <c r="I863" s="49"/>
      <c r="J863" s="49"/>
      <c r="K863" s="49"/>
      <c r="L863" s="49" t="s">
        <v>10</v>
      </c>
      <c r="M863" t="s">
        <v>1709</v>
      </c>
    </row>
    <row r="864" spans="1:13" x14ac:dyDescent="0.2">
      <c r="A864" s="49">
        <v>44050</v>
      </c>
      <c r="B864" s="49" t="s">
        <v>645</v>
      </c>
      <c r="C864" s="49" t="s">
        <v>64</v>
      </c>
      <c r="D864" s="49" t="s">
        <v>10</v>
      </c>
      <c r="E864" s="49" t="s">
        <v>6</v>
      </c>
      <c r="F864" s="49" t="s">
        <v>95</v>
      </c>
      <c r="G864" s="49">
        <v>37</v>
      </c>
      <c r="H864" s="49"/>
      <c r="I864" s="49"/>
      <c r="J864" s="49"/>
      <c r="K864" s="49"/>
      <c r="L864" s="49" t="s">
        <v>10</v>
      </c>
      <c r="M864" t="s">
        <v>1709</v>
      </c>
    </row>
    <row r="865" spans="1:13" x14ac:dyDescent="0.2">
      <c r="A865" s="49">
        <v>44047</v>
      </c>
      <c r="B865" s="49" t="s">
        <v>646</v>
      </c>
      <c r="C865" s="49" t="s">
        <v>64</v>
      </c>
      <c r="D865" s="49" t="s">
        <v>10</v>
      </c>
      <c r="E865" s="49" t="s">
        <v>6</v>
      </c>
      <c r="F865" s="49" t="s">
        <v>95</v>
      </c>
      <c r="G865" s="49">
        <v>22</v>
      </c>
      <c r="H865" s="49"/>
      <c r="I865" s="49"/>
      <c r="J865" s="49"/>
      <c r="K865" s="49"/>
      <c r="L865" s="49" t="s">
        <v>10</v>
      </c>
      <c r="M865" t="s">
        <v>1709</v>
      </c>
    </row>
    <row r="866" spans="1:13" x14ac:dyDescent="0.2">
      <c r="A866" s="49">
        <v>44020</v>
      </c>
      <c r="B866" s="49" t="s">
        <v>647</v>
      </c>
      <c r="C866" s="49" t="s">
        <v>66</v>
      </c>
      <c r="D866" s="49" t="s">
        <v>10</v>
      </c>
      <c r="E866" s="49" t="s">
        <v>5</v>
      </c>
      <c r="F866" s="49" t="s">
        <v>97</v>
      </c>
      <c r="G866" s="49">
        <v>33</v>
      </c>
      <c r="H866" s="49"/>
      <c r="I866" s="49"/>
      <c r="J866" s="49"/>
      <c r="K866" s="49"/>
      <c r="L866" s="49" t="s">
        <v>10</v>
      </c>
      <c r="M866" t="s">
        <v>1709</v>
      </c>
    </row>
    <row r="867" spans="1:13" x14ac:dyDescent="0.2">
      <c r="A867" s="49">
        <v>43648</v>
      </c>
      <c r="B867" s="49" t="s">
        <v>648</v>
      </c>
      <c r="C867" s="49" t="s">
        <v>70</v>
      </c>
      <c r="D867" s="49" t="s">
        <v>10</v>
      </c>
      <c r="E867" s="49" t="s">
        <v>8</v>
      </c>
      <c r="F867" s="49" t="s">
        <v>91</v>
      </c>
      <c r="G867" s="49">
        <v>40</v>
      </c>
      <c r="H867" s="49"/>
      <c r="I867" s="49"/>
      <c r="J867" s="49"/>
      <c r="K867" s="49"/>
      <c r="L867" s="49" t="s">
        <v>10</v>
      </c>
      <c r="M867" t="s">
        <v>1709</v>
      </c>
    </row>
    <row r="868" spans="1:13" x14ac:dyDescent="0.2">
      <c r="A868" s="49">
        <v>43598</v>
      </c>
      <c r="B868" s="49" t="s">
        <v>649</v>
      </c>
      <c r="C868" s="49" t="s">
        <v>65</v>
      </c>
      <c r="D868" s="49" t="s">
        <v>10</v>
      </c>
      <c r="E868" s="49" t="s">
        <v>5</v>
      </c>
      <c r="F868" s="49" t="s">
        <v>91</v>
      </c>
      <c r="G868" s="49">
        <v>56</v>
      </c>
      <c r="H868" s="49"/>
      <c r="I868" s="49"/>
      <c r="J868" s="49"/>
      <c r="K868" s="49"/>
      <c r="L868" s="49" t="s">
        <v>10</v>
      </c>
      <c r="M868" t="s">
        <v>1709</v>
      </c>
    </row>
    <row r="869" spans="1:13" x14ac:dyDescent="0.2">
      <c r="A869" s="49">
        <v>43586</v>
      </c>
      <c r="B869" s="49" t="s">
        <v>205</v>
      </c>
      <c r="C869" s="49" t="s">
        <v>66</v>
      </c>
      <c r="D869" s="49" t="s">
        <v>10</v>
      </c>
      <c r="E869" s="49" t="s">
        <v>5</v>
      </c>
      <c r="F869" s="49" t="s">
        <v>95</v>
      </c>
      <c r="G869" s="49">
        <v>15</v>
      </c>
      <c r="H869" s="49"/>
      <c r="I869" s="49"/>
      <c r="J869" s="49"/>
      <c r="K869" s="49"/>
      <c r="L869" s="49" t="s">
        <v>10</v>
      </c>
      <c r="M869" t="s">
        <v>1709</v>
      </c>
    </row>
    <row r="870" spans="1:13" x14ac:dyDescent="0.2">
      <c r="A870" s="49">
        <v>43583</v>
      </c>
      <c r="B870" s="49" t="s">
        <v>198</v>
      </c>
      <c r="C870" s="49" t="s">
        <v>65</v>
      </c>
      <c r="D870" s="49" t="s">
        <v>10</v>
      </c>
      <c r="E870" s="49" t="s">
        <v>5</v>
      </c>
      <c r="F870" s="49" t="s">
        <v>97</v>
      </c>
      <c r="G870" s="49">
        <v>21</v>
      </c>
      <c r="H870" s="49"/>
      <c r="I870" s="49"/>
      <c r="J870" s="49"/>
      <c r="K870" s="49"/>
      <c r="L870" s="49" t="s">
        <v>10</v>
      </c>
      <c r="M870" t="s">
        <v>1709</v>
      </c>
    </row>
    <row r="871" spans="1:13" x14ac:dyDescent="0.2">
      <c r="A871" s="49">
        <v>43558</v>
      </c>
      <c r="B871" s="49" t="s">
        <v>650</v>
      </c>
      <c r="C871" s="49" t="s">
        <v>69</v>
      </c>
      <c r="D871" s="49" t="s">
        <v>10</v>
      </c>
      <c r="E871" s="49" t="s">
        <v>12</v>
      </c>
      <c r="F871" s="49" t="s">
        <v>91</v>
      </c>
      <c r="G871" s="49">
        <v>58</v>
      </c>
      <c r="H871" s="49"/>
      <c r="I871" s="49"/>
      <c r="J871" s="49"/>
      <c r="K871" s="49"/>
      <c r="L871" s="49" t="s">
        <v>10</v>
      </c>
      <c r="M871" t="s">
        <v>1709</v>
      </c>
    </row>
    <row r="872" spans="1:13" x14ac:dyDescent="0.2">
      <c r="A872" s="49">
        <v>43557</v>
      </c>
      <c r="B872" s="49" t="s">
        <v>204</v>
      </c>
      <c r="C872" s="49" t="s">
        <v>69</v>
      </c>
      <c r="D872" s="49" t="s">
        <v>10</v>
      </c>
      <c r="E872" s="49" t="s">
        <v>12</v>
      </c>
      <c r="F872" s="49" t="s">
        <v>93</v>
      </c>
      <c r="G872" s="49">
        <v>15</v>
      </c>
      <c r="H872" s="49"/>
      <c r="I872" s="49"/>
      <c r="J872" s="49"/>
      <c r="K872" s="49"/>
      <c r="L872" s="49" t="s">
        <v>10</v>
      </c>
      <c r="M872" t="s">
        <v>1709</v>
      </c>
    </row>
    <row r="873" spans="1:13" x14ac:dyDescent="0.2">
      <c r="A873" s="49">
        <v>43556</v>
      </c>
      <c r="B873" s="49" t="s">
        <v>651</v>
      </c>
      <c r="C873" s="49" t="s">
        <v>69</v>
      </c>
      <c r="D873" s="49" t="s">
        <v>10</v>
      </c>
      <c r="E873" s="49" t="s">
        <v>12</v>
      </c>
      <c r="F873" s="49" t="s">
        <v>97</v>
      </c>
      <c r="G873" s="49">
        <v>10</v>
      </c>
      <c r="H873" s="49"/>
      <c r="I873" s="49"/>
      <c r="J873" s="49"/>
      <c r="K873" s="49"/>
      <c r="L873" s="49" t="s">
        <v>10</v>
      </c>
      <c r="M873" t="s">
        <v>1709</v>
      </c>
    </row>
    <row r="874" spans="1:13" x14ac:dyDescent="0.2">
      <c r="A874" s="49">
        <v>43555</v>
      </c>
      <c r="B874" s="49" t="s">
        <v>652</v>
      </c>
      <c r="C874" s="49" t="s">
        <v>69</v>
      </c>
      <c r="D874" s="49" t="s">
        <v>10</v>
      </c>
      <c r="E874" s="49" t="s">
        <v>12</v>
      </c>
      <c r="F874" s="49" t="s">
        <v>91</v>
      </c>
      <c r="G874" s="49">
        <v>21</v>
      </c>
      <c r="H874" s="49"/>
      <c r="I874" s="49"/>
      <c r="J874" s="49"/>
      <c r="K874" s="49"/>
      <c r="L874" s="49" t="s">
        <v>10</v>
      </c>
      <c r="M874" t="s">
        <v>1709</v>
      </c>
    </row>
    <row r="875" spans="1:13" x14ac:dyDescent="0.2">
      <c r="A875" s="49">
        <v>43553</v>
      </c>
      <c r="B875" s="49" t="s">
        <v>653</v>
      </c>
      <c r="C875" s="49" t="s">
        <v>69</v>
      </c>
      <c r="D875" s="49" t="s">
        <v>10</v>
      </c>
      <c r="E875" s="49" t="s">
        <v>12</v>
      </c>
      <c r="F875" s="49" t="s">
        <v>91</v>
      </c>
      <c r="G875" s="49">
        <v>48</v>
      </c>
      <c r="H875" s="49"/>
      <c r="I875" s="49"/>
      <c r="J875" s="49"/>
      <c r="K875" s="49"/>
      <c r="L875" s="49" t="s">
        <v>10</v>
      </c>
      <c r="M875" t="s">
        <v>1709</v>
      </c>
    </row>
    <row r="876" spans="1:13" x14ac:dyDescent="0.2">
      <c r="A876" s="49">
        <v>43552</v>
      </c>
      <c r="B876" s="49" t="s">
        <v>226</v>
      </c>
      <c r="C876" s="49" t="s">
        <v>69</v>
      </c>
      <c r="D876" s="49" t="s">
        <v>10</v>
      </c>
      <c r="E876" s="49" t="s">
        <v>12</v>
      </c>
      <c r="F876" s="49" t="s">
        <v>91</v>
      </c>
      <c r="G876" s="49">
        <v>20</v>
      </c>
      <c r="H876" s="49"/>
      <c r="I876" s="49"/>
      <c r="J876" s="49"/>
      <c r="K876" s="49"/>
      <c r="L876" s="49" t="s">
        <v>10</v>
      </c>
      <c r="M876" t="s">
        <v>1709</v>
      </c>
    </row>
    <row r="877" spans="1:13" x14ac:dyDescent="0.2">
      <c r="A877" s="49">
        <v>43551</v>
      </c>
      <c r="B877" s="49" t="s">
        <v>1657</v>
      </c>
      <c r="C877" s="49" t="s">
        <v>69</v>
      </c>
      <c r="D877" s="49" t="s">
        <v>10</v>
      </c>
      <c r="E877" s="49" t="s">
        <v>12</v>
      </c>
      <c r="F877" s="49" t="s">
        <v>91</v>
      </c>
      <c r="G877" s="49">
        <v>50</v>
      </c>
      <c r="H877" s="49"/>
      <c r="I877" s="49"/>
      <c r="J877" s="49"/>
      <c r="K877" s="49"/>
      <c r="L877" s="49" t="s">
        <v>10</v>
      </c>
      <c r="M877" t="s">
        <v>1709</v>
      </c>
    </row>
    <row r="878" spans="1:13" x14ac:dyDescent="0.2">
      <c r="A878" s="49">
        <v>43549</v>
      </c>
      <c r="B878" s="49" t="s">
        <v>193</v>
      </c>
      <c r="C878" s="49" t="s">
        <v>69</v>
      </c>
      <c r="D878" s="49" t="s">
        <v>10</v>
      </c>
      <c r="E878" s="49" t="s">
        <v>12</v>
      </c>
      <c r="F878" s="49" t="s">
        <v>97</v>
      </c>
      <c r="G878" s="49">
        <v>12</v>
      </c>
      <c r="H878" s="49"/>
      <c r="I878" s="49"/>
      <c r="J878" s="49"/>
      <c r="K878" s="49"/>
      <c r="L878" s="49" t="s">
        <v>10</v>
      </c>
      <c r="M878" t="s">
        <v>1709</v>
      </c>
    </row>
    <row r="879" spans="1:13" x14ac:dyDescent="0.2">
      <c r="A879" s="49">
        <v>43547</v>
      </c>
      <c r="B879" s="49" t="s">
        <v>1658</v>
      </c>
      <c r="C879" s="49" t="s">
        <v>69</v>
      </c>
      <c r="D879" s="49" t="s">
        <v>10</v>
      </c>
      <c r="E879" s="49" t="s">
        <v>12</v>
      </c>
      <c r="F879" s="49" t="s">
        <v>91</v>
      </c>
      <c r="G879" s="49">
        <v>39</v>
      </c>
      <c r="H879" s="49"/>
      <c r="I879" s="49"/>
      <c r="J879" s="49"/>
      <c r="K879" s="49"/>
      <c r="L879" s="49" t="s">
        <v>10</v>
      </c>
      <c r="M879" t="s">
        <v>1709</v>
      </c>
    </row>
    <row r="880" spans="1:13" x14ac:dyDescent="0.2">
      <c r="A880" s="49">
        <v>43546</v>
      </c>
      <c r="B880" s="49" t="s">
        <v>212</v>
      </c>
      <c r="C880" s="49" t="s">
        <v>69</v>
      </c>
      <c r="D880" s="49" t="s">
        <v>10</v>
      </c>
      <c r="E880" s="49" t="s">
        <v>12</v>
      </c>
      <c r="F880" s="49" t="s">
        <v>91</v>
      </c>
      <c r="G880" s="49">
        <v>17</v>
      </c>
      <c r="H880" s="49"/>
      <c r="I880" s="49"/>
      <c r="J880" s="49"/>
      <c r="K880" s="49"/>
      <c r="L880" s="49" t="s">
        <v>10</v>
      </c>
      <c r="M880" t="s">
        <v>1709</v>
      </c>
    </row>
    <row r="881" spans="1:13" x14ac:dyDescent="0.2">
      <c r="A881" s="49">
        <v>43545</v>
      </c>
      <c r="B881" s="49" t="s">
        <v>654</v>
      </c>
      <c r="C881" s="49" t="s">
        <v>69</v>
      </c>
      <c r="D881" s="49" t="s">
        <v>10</v>
      </c>
      <c r="E881" s="49" t="s">
        <v>12</v>
      </c>
      <c r="F881" s="49" t="s">
        <v>91</v>
      </c>
      <c r="G881" s="49">
        <v>37</v>
      </c>
      <c r="H881" s="49"/>
      <c r="I881" s="49"/>
      <c r="J881" s="49"/>
      <c r="K881" s="49"/>
      <c r="L881" s="49" t="s">
        <v>10</v>
      </c>
      <c r="M881" t="s">
        <v>1709</v>
      </c>
    </row>
    <row r="882" spans="1:13" x14ac:dyDescent="0.2">
      <c r="A882" s="49">
        <v>43544</v>
      </c>
      <c r="B882" s="49" t="s">
        <v>1659</v>
      </c>
      <c r="C882" s="49" t="s">
        <v>69</v>
      </c>
      <c r="D882" s="49" t="s">
        <v>10</v>
      </c>
      <c r="E882" s="49" t="s">
        <v>12</v>
      </c>
      <c r="F882" s="49" t="s">
        <v>91</v>
      </c>
      <c r="G882" s="49">
        <v>30</v>
      </c>
      <c r="H882" s="49"/>
      <c r="I882" s="49"/>
      <c r="J882" s="49"/>
      <c r="K882" s="49"/>
      <c r="L882" s="49" t="s">
        <v>10</v>
      </c>
      <c r="M882" t="s">
        <v>1709</v>
      </c>
    </row>
    <row r="883" spans="1:13" x14ac:dyDescent="0.2">
      <c r="A883" s="49">
        <v>43543</v>
      </c>
      <c r="B883" s="49" t="s">
        <v>655</v>
      </c>
      <c r="C883" s="49" t="s">
        <v>69</v>
      </c>
      <c r="D883" s="49" t="s">
        <v>10</v>
      </c>
      <c r="E883" s="49" t="s">
        <v>12</v>
      </c>
      <c r="F883" s="49" t="s">
        <v>91</v>
      </c>
      <c r="G883" s="49">
        <v>38</v>
      </c>
      <c r="H883" s="49"/>
      <c r="I883" s="49"/>
      <c r="J883" s="49"/>
      <c r="K883" s="49"/>
      <c r="L883" s="49" t="s">
        <v>10</v>
      </c>
      <c r="M883" t="s">
        <v>1709</v>
      </c>
    </row>
    <row r="884" spans="1:13" x14ac:dyDescent="0.2">
      <c r="A884" s="49">
        <v>43542</v>
      </c>
      <c r="B884" s="49" t="s">
        <v>656</v>
      </c>
      <c r="C884" s="49" t="s">
        <v>69</v>
      </c>
      <c r="D884" s="49" t="s">
        <v>10</v>
      </c>
      <c r="E884" s="49" t="s">
        <v>12</v>
      </c>
      <c r="F884" s="49" t="s">
        <v>91</v>
      </c>
      <c r="G884" s="49">
        <v>40</v>
      </c>
      <c r="H884" s="49"/>
      <c r="I884" s="49"/>
      <c r="J884" s="49"/>
      <c r="K884" s="49"/>
      <c r="L884" s="49" t="s">
        <v>10</v>
      </c>
      <c r="M884" t="s">
        <v>1709</v>
      </c>
    </row>
    <row r="885" spans="1:13" x14ac:dyDescent="0.2">
      <c r="A885" s="49">
        <v>43541</v>
      </c>
      <c r="B885" s="49" t="s">
        <v>657</v>
      </c>
      <c r="C885" s="49" t="s">
        <v>69</v>
      </c>
      <c r="D885" s="49" t="s">
        <v>10</v>
      </c>
      <c r="E885" s="49" t="s">
        <v>12</v>
      </c>
      <c r="F885" s="49" t="s">
        <v>91</v>
      </c>
      <c r="G885" s="49">
        <v>31</v>
      </c>
      <c r="H885" s="49"/>
      <c r="I885" s="49"/>
      <c r="J885" s="49"/>
      <c r="K885" s="49"/>
      <c r="L885" s="49" t="s">
        <v>10</v>
      </c>
      <c r="M885" t="s">
        <v>1709</v>
      </c>
    </row>
    <row r="886" spans="1:13" x14ac:dyDescent="0.2">
      <c r="A886" s="49">
        <v>43540</v>
      </c>
      <c r="B886" s="49" t="s">
        <v>1660</v>
      </c>
      <c r="C886" s="49" t="s">
        <v>69</v>
      </c>
      <c r="D886" s="49" t="s">
        <v>10</v>
      </c>
      <c r="E886" s="49" t="s">
        <v>12</v>
      </c>
      <c r="F886" s="49" t="s">
        <v>91</v>
      </c>
      <c r="G886" s="49">
        <v>42</v>
      </c>
      <c r="H886" s="49"/>
      <c r="I886" s="49"/>
      <c r="J886" s="49"/>
      <c r="K886" s="49"/>
      <c r="L886" s="49" t="s">
        <v>10</v>
      </c>
      <c r="M886" t="s">
        <v>1709</v>
      </c>
    </row>
    <row r="887" spans="1:13" x14ac:dyDescent="0.2">
      <c r="A887" s="49">
        <v>43538</v>
      </c>
      <c r="B887" s="49" t="s">
        <v>658</v>
      </c>
      <c r="C887" s="49" t="s">
        <v>69</v>
      </c>
      <c r="D887" s="49" t="s">
        <v>10</v>
      </c>
      <c r="E887" s="49" t="s">
        <v>12</v>
      </c>
      <c r="F887" s="49" t="s">
        <v>136</v>
      </c>
      <c r="G887" s="49">
        <v>6</v>
      </c>
      <c r="H887" s="49"/>
      <c r="I887" s="49"/>
      <c r="J887" s="49"/>
      <c r="K887" s="49"/>
      <c r="L887" s="49" t="s">
        <v>10</v>
      </c>
      <c r="M887" t="s">
        <v>1709</v>
      </c>
    </row>
    <row r="888" spans="1:13" x14ac:dyDescent="0.2">
      <c r="A888" s="49">
        <v>43537</v>
      </c>
      <c r="B888" s="49" t="s">
        <v>1661</v>
      </c>
      <c r="C888" s="49" t="s">
        <v>69</v>
      </c>
      <c r="D888" s="49" t="s">
        <v>10</v>
      </c>
      <c r="E888" s="49" t="s">
        <v>12</v>
      </c>
      <c r="F888" s="49" t="s">
        <v>91</v>
      </c>
      <c r="G888" s="49">
        <v>14</v>
      </c>
      <c r="H888" s="49"/>
      <c r="I888" s="49"/>
      <c r="J888" s="49"/>
      <c r="K888" s="49"/>
      <c r="L888" s="49" t="s">
        <v>10</v>
      </c>
      <c r="M888" t="s">
        <v>1709</v>
      </c>
    </row>
    <row r="889" spans="1:13" x14ac:dyDescent="0.2">
      <c r="A889" s="49">
        <v>43536</v>
      </c>
      <c r="B889" s="49" t="s">
        <v>297</v>
      </c>
      <c r="C889" s="49" t="s">
        <v>69</v>
      </c>
      <c r="D889" s="49" t="s">
        <v>10</v>
      </c>
      <c r="E889" s="49" t="s">
        <v>12</v>
      </c>
      <c r="F889" s="49" t="s">
        <v>91</v>
      </c>
      <c r="G889" s="49">
        <v>44</v>
      </c>
      <c r="H889" s="49"/>
      <c r="I889" s="49"/>
      <c r="J889" s="49"/>
      <c r="K889" s="49"/>
      <c r="L889" s="49" t="s">
        <v>10</v>
      </c>
      <c r="M889" t="s">
        <v>1709</v>
      </c>
    </row>
    <row r="890" spans="1:13" x14ac:dyDescent="0.2">
      <c r="A890" s="49">
        <v>43535</v>
      </c>
      <c r="B890" s="49" t="s">
        <v>659</v>
      </c>
      <c r="C890" s="49" t="s">
        <v>69</v>
      </c>
      <c r="D890" s="49" t="s">
        <v>10</v>
      </c>
      <c r="E890" s="49" t="s">
        <v>12</v>
      </c>
      <c r="F890" s="49" t="s">
        <v>91</v>
      </c>
      <c r="G890" s="49">
        <v>49</v>
      </c>
      <c r="H890" s="49"/>
      <c r="I890" s="49"/>
      <c r="J890" s="49"/>
      <c r="K890" s="49"/>
      <c r="L890" s="49" t="s">
        <v>10</v>
      </c>
      <c r="M890" t="s">
        <v>1709</v>
      </c>
    </row>
    <row r="891" spans="1:13" x14ac:dyDescent="0.2">
      <c r="A891" s="49">
        <v>43534</v>
      </c>
      <c r="B891" s="49" t="s">
        <v>660</v>
      </c>
      <c r="C891" s="49" t="s">
        <v>69</v>
      </c>
      <c r="D891" s="49" t="s">
        <v>10</v>
      </c>
      <c r="E891" s="49" t="s">
        <v>12</v>
      </c>
      <c r="F891" s="49" t="s">
        <v>91</v>
      </c>
      <c r="G891" s="49">
        <v>51</v>
      </c>
      <c r="H891" s="49"/>
      <c r="I891" s="49"/>
      <c r="J891" s="49"/>
      <c r="K891" s="49"/>
      <c r="L891" s="49" t="s">
        <v>10</v>
      </c>
      <c r="M891" t="s">
        <v>1709</v>
      </c>
    </row>
    <row r="892" spans="1:13" x14ac:dyDescent="0.2">
      <c r="A892" s="49">
        <v>43532</v>
      </c>
      <c r="B892" s="49" t="s">
        <v>661</v>
      </c>
      <c r="C892" s="49" t="s">
        <v>69</v>
      </c>
      <c r="D892" s="49" t="s">
        <v>10</v>
      </c>
      <c r="E892" s="49" t="s">
        <v>12</v>
      </c>
      <c r="F892" s="49" t="s">
        <v>97</v>
      </c>
      <c r="G892" s="49">
        <v>8</v>
      </c>
      <c r="H892" s="49"/>
      <c r="I892" s="49"/>
      <c r="J892" s="49"/>
      <c r="K892" s="49"/>
      <c r="L892" s="49" t="s">
        <v>10</v>
      </c>
      <c r="M892" t="s">
        <v>1709</v>
      </c>
    </row>
    <row r="893" spans="1:13" x14ac:dyDescent="0.2">
      <c r="A893" s="49">
        <v>43531</v>
      </c>
      <c r="B893" s="49" t="s">
        <v>310</v>
      </c>
      <c r="C893" s="49" t="s">
        <v>69</v>
      </c>
      <c r="D893" s="49" t="s">
        <v>10</v>
      </c>
      <c r="E893" s="49" t="s">
        <v>12</v>
      </c>
      <c r="F893" s="49" t="s">
        <v>91</v>
      </c>
      <c r="G893" s="49">
        <v>52</v>
      </c>
      <c r="H893" s="49"/>
      <c r="I893" s="49"/>
      <c r="J893" s="49"/>
      <c r="K893" s="49"/>
      <c r="L893" s="49" t="s">
        <v>10</v>
      </c>
      <c r="M893" t="s">
        <v>1709</v>
      </c>
    </row>
    <row r="894" spans="1:13" x14ac:dyDescent="0.2">
      <c r="A894" s="49">
        <v>43530</v>
      </c>
      <c r="B894" s="49" t="s">
        <v>662</v>
      </c>
      <c r="C894" s="49" t="s">
        <v>69</v>
      </c>
      <c r="D894" s="49" t="s">
        <v>10</v>
      </c>
      <c r="E894" s="49" t="s">
        <v>12</v>
      </c>
      <c r="F894" s="49" t="s">
        <v>97</v>
      </c>
      <c r="G894" s="49">
        <v>9</v>
      </c>
      <c r="H894" s="49"/>
      <c r="I894" s="49"/>
      <c r="J894" s="49"/>
      <c r="K894" s="49"/>
      <c r="L894" s="49" t="s">
        <v>10</v>
      </c>
      <c r="M894" t="s">
        <v>1709</v>
      </c>
    </row>
    <row r="895" spans="1:13" x14ac:dyDescent="0.2">
      <c r="A895" s="49">
        <v>43529</v>
      </c>
      <c r="B895" s="49" t="s">
        <v>663</v>
      </c>
      <c r="C895" s="49" t="s">
        <v>69</v>
      </c>
      <c r="D895" s="49" t="s">
        <v>10</v>
      </c>
      <c r="E895" s="49" t="s">
        <v>12</v>
      </c>
      <c r="F895" s="49" t="s">
        <v>91</v>
      </c>
      <c r="G895" s="49">
        <v>53</v>
      </c>
      <c r="H895" s="49"/>
      <c r="I895" s="49"/>
      <c r="J895" s="49"/>
      <c r="K895" s="49"/>
      <c r="L895" s="49" t="s">
        <v>10</v>
      </c>
      <c r="M895" t="s">
        <v>1709</v>
      </c>
    </row>
    <row r="896" spans="1:13" x14ac:dyDescent="0.2">
      <c r="A896" s="49">
        <v>43528</v>
      </c>
      <c r="B896" s="49" t="s">
        <v>664</v>
      </c>
      <c r="C896" s="49" t="s">
        <v>69</v>
      </c>
      <c r="D896" s="49" t="s">
        <v>10</v>
      </c>
      <c r="E896" s="49" t="s">
        <v>12</v>
      </c>
      <c r="F896" s="49" t="s">
        <v>91</v>
      </c>
      <c r="G896" s="49">
        <v>54</v>
      </c>
      <c r="H896" s="49"/>
      <c r="I896" s="49"/>
      <c r="J896" s="49"/>
      <c r="K896" s="49"/>
      <c r="L896" s="49" t="s">
        <v>10</v>
      </c>
      <c r="M896" t="s">
        <v>1709</v>
      </c>
    </row>
    <row r="897" spans="1:13" x14ac:dyDescent="0.2">
      <c r="A897" s="49">
        <v>43526</v>
      </c>
      <c r="B897" s="49" t="s">
        <v>665</v>
      </c>
      <c r="C897" s="49" t="s">
        <v>69</v>
      </c>
      <c r="D897" s="49" t="s">
        <v>10</v>
      </c>
      <c r="E897" s="49" t="s">
        <v>12</v>
      </c>
      <c r="F897" s="49" t="s">
        <v>91</v>
      </c>
      <c r="G897" s="49">
        <v>55</v>
      </c>
      <c r="H897" s="49"/>
      <c r="I897" s="49"/>
      <c r="J897" s="49"/>
      <c r="K897" s="49"/>
      <c r="L897" s="49" t="s">
        <v>10</v>
      </c>
      <c r="M897" t="s">
        <v>1709</v>
      </c>
    </row>
    <row r="898" spans="1:13" x14ac:dyDescent="0.2">
      <c r="A898" s="49">
        <v>43525</v>
      </c>
      <c r="B898" s="49" t="s">
        <v>666</v>
      </c>
      <c r="C898" s="49" t="s">
        <v>69</v>
      </c>
      <c r="D898" s="49" t="s">
        <v>10</v>
      </c>
      <c r="E898" s="49" t="s">
        <v>12</v>
      </c>
      <c r="F898" s="49" t="s">
        <v>91</v>
      </c>
      <c r="G898" s="49">
        <v>18</v>
      </c>
      <c r="H898" s="49"/>
      <c r="I898" s="49"/>
      <c r="J898" s="49"/>
      <c r="K898" s="49"/>
      <c r="L898" s="49" t="s">
        <v>10</v>
      </c>
      <c r="M898" t="s">
        <v>1709</v>
      </c>
    </row>
    <row r="899" spans="1:13" x14ac:dyDescent="0.2">
      <c r="A899" s="49">
        <v>43524</v>
      </c>
      <c r="B899" s="49" t="s">
        <v>316</v>
      </c>
      <c r="C899" s="49" t="s">
        <v>69</v>
      </c>
      <c r="D899" s="49" t="s">
        <v>10</v>
      </c>
      <c r="E899" s="49" t="s">
        <v>12</v>
      </c>
      <c r="F899" s="49" t="s">
        <v>91</v>
      </c>
      <c r="G899" s="49">
        <v>57</v>
      </c>
      <c r="H899" s="49"/>
      <c r="I899" s="49"/>
      <c r="J899" s="49"/>
      <c r="K899" s="49"/>
      <c r="L899" s="49" t="s">
        <v>10</v>
      </c>
      <c r="M899" t="s">
        <v>1709</v>
      </c>
    </row>
    <row r="900" spans="1:13" x14ac:dyDescent="0.2">
      <c r="A900" s="49">
        <v>43520</v>
      </c>
      <c r="B900" s="49" t="s">
        <v>667</v>
      </c>
      <c r="C900" s="49" t="s">
        <v>69</v>
      </c>
      <c r="D900" s="49" t="s">
        <v>10</v>
      </c>
      <c r="E900" s="49" t="s">
        <v>12</v>
      </c>
      <c r="F900" s="49" t="s">
        <v>91</v>
      </c>
      <c r="G900" s="49">
        <v>32</v>
      </c>
      <c r="H900" s="49"/>
      <c r="I900" s="49"/>
      <c r="J900" s="49"/>
      <c r="K900" s="49"/>
      <c r="L900" s="49" t="s">
        <v>10</v>
      </c>
      <c r="M900" t="s">
        <v>1709</v>
      </c>
    </row>
    <row r="901" spans="1:13" x14ac:dyDescent="0.2">
      <c r="A901" s="49">
        <v>43518</v>
      </c>
      <c r="B901" s="49" t="s">
        <v>668</v>
      </c>
      <c r="C901" s="49" t="s">
        <v>69</v>
      </c>
      <c r="D901" s="49" t="s">
        <v>10</v>
      </c>
      <c r="E901" s="49" t="s">
        <v>12</v>
      </c>
      <c r="F901" s="49" t="s">
        <v>97</v>
      </c>
      <c r="G901" s="49">
        <v>24</v>
      </c>
      <c r="H901" s="49"/>
      <c r="I901" s="49"/>
      <c r="J901" s="49"/>
      <c r="K901" s="49"/>
      <c r="L901" s="49" t="s">
        <v>10</v>
      </c>
      <c r="M901" t="s">
        <v>1709</v>
      </c>
    </row>
    <row r="902" spans="1:13" x14ac:dyDescent="0.2">
      <c r="A902" s="49">
        <v>43517</v>
      </c>
      <c r="B902" s="49" t="s">
        <v>669</v>
      </c>
      <c r="C902" s="49" t="s">
        <v>69</v>
      </c>
      <c r="D902" s="49" t="s">
        <v>10</v>
      </c>
      <c r="E902" s="49" t="s">
        <v>12</v>
      </c>
      <c r="F902" s="49" t="s">
        <v>91</v>
      </c>
      <c r="G902" s="49">
        <v>56</v>
      </c>
      <c r="H902" s="49"/>
      <c r="I902" s="49"/>
      <c r="J902" s="49"/>
      <c r="K902" s="49"/>
      <c r="L902" s="49" t="s">
        <v>10</v>
      </c>
      <c r="M902" t="s">
        <v>1709</v>
      </c>
    </row>
    <row r="903" spans="1:13" x14ac:dyDescent="0.2">
      <c r="A903" s="49">
        <v>43516</v>
      </c>
      <c r="B903" s="49" t="s">
        <v>154</v>
      </c>
      <c r="C903" s="49" t="s">
        <v>69</v>
      </c>
      <c r="D903" s="49" t="s">
        <v>10</v>
      </c>
      <c r="E903" s="49" t="s">
        <v>12</v>
      </c>
      <c r="F903" s="49" t="s">
        <v>91</v>
      </c>
      <c r="G903" s="49">
        <v>3</v>
      </c>
      <c r="H903" s="49"/>
      <c r="I903" s="49"/>
      <c r="J903" s="49"/>
      <c r="K903" s="49"/>
      <c r="L903" s="49" t="s">
        <v>10</v>
      </c>
      <c r="M903" t="s">
        <v>1709</v>
      </c>
    </row>
    <row r="904" spans="1:13" x14ac:dyDescent="0.2">
      <c r="A904" s="49">
        <v>43514</v>
      </c>
      <c r="B904" s="49" t="s">
        <v>277</v>
      </c>
      <c r="C904" s="49" t="s">
        <v>69</v>
      </c>
      <c r="D904" s="49" t="s">
        <v>10</v>
      </c>
      <c r="E904" s="49" t="s">
        <v>12</v>
      </c>
      <c r="F904" s="49" t="s">
        <v>91</v>
      </c>
      <c r="G904" s="49">
        <v>34</v>
      </c>
      <c r="H904" s="49"/>
      <c r="I904" s="49"/>
      <c r="J904" s="49"/>
      <c r="K904" s="49"/>
      <c r="L904" s="49" t="s">
        <v>10</v>
      </c>
      <c r="M904" t="s">
        <v>1709</v>
      </c>
    </row>
    <row r="905" spans="1:13" x14ac:dyDescent="0.2">
      <c r="A905" s="49">
        <v>43513</v>
      </c>
      <c r="B905" s="49" t="s">
        <v>670</v>
      </c>
      <c r="C905" s="49" t="s">
        <v>69</v>
      </c>
      <c r="D905" s="49" t="s">
        <v>10</v>
      </c>
      <c r="E905" s="49" t="s">
        <v>12</v>
      </c>
      <c r="F905" s="49" t="s">
        <v>91</v>
      </c>
      <c r="G905" s="49">
        <v>11</v>
      </c>
      <c r="H905" s="49"/>
      <c r="I905" s="49"/>
      <c r="J905" s="49"/>
      <c r="K905" s="49"/>
      <c r="L905" s="49" t="s">
        <v>10</v>
      </c>
      <c r="M905" t="s">
        <v>1709</v>
      </c>
    </row>
    <row r="906" spans="1:13" x14ac:dyDescent="0.2">
      <c r="A906" s="49">
        <v>43511</v>
      </c>
      <c r="B906" s="49" t="s">
        <v>281</v>
      </c>
      <c r="C906" s="49" t="s">
        <v>69</v>
      </c>
      <c r="D906" s="49" t="s">
        <v>10</v>
      </c>
      <c r="E906" s="49" t="s">
        <v>12</v>
      </c>
      <c r="F906" s="49" t="s">
        <v>91</v>
      </c>
      <c r="G906" s="49">
        <v>36</v>
      </c>
      <c r="H906" s="49"/>
      <c r="I906" s="49"/>
      <c r="J906" s="49"/>
      <c r="K906" s="49"/>
      <c r="L906" s="49" t="s">
        <v>10</v>
      </c>
      <c r="M906" t="s">
        <v>1709</v>
      </c>
    </row>
    <row r="907" spans="1:13" x14ac:dyDescent="0.2">
      <c r="A907" s="49">
        <v>43509</v>
      </c>
      <c r="B907" s="49" t="s">
        <v>223</v>
      </c>
      <c r="C907" s="49" t="s">
        <v>65</v>
      </c>
      <c r="D907" s="49" t="s">
        <v>10</v>
      </c>
      <c r="E907" s="49" t="s">
        <v>5</v>
      </c>
      <c r="F907" s="49" t="s">
        <v>95</v>
      </c>
      <c r="G907" s="49">
        <v>27</v>
      </c>
      <c r="H907" s="49"/>
      <c r="I907" s="49"/>
      <c r="J907" s="49"/>
      <c r="K907" s="49"/>
      <c r="L907" s="49" t="s">
        <v>10</v>
      </c>
      <c r="M907" t="s">
        <v>1709</v>
      </c>
    </row>
    <row r="908" spans="1:13" x14ac:dyDescent="0.2">
      <c r="A908" s="49">
        <v>43505</v>
      </c>
      <c r="B908" s="49" t="s">
        <v>671</v>
      </c>
      <c r="C908" s="49" t="s">
        <v>69</v>
      </c>
      <c r="D908" s="49" t="s">
        <v>10</v>
      </c>
      <c r="E908" s="49" t="s">
        <v>12</v>
      </c>
      <c r="F908" s="49" t="s">
        <v>91</v>
      </c>
      <c r="G908" s="49">
        <v>47</v>
      </c>
      <c r="H908" s="49"/>
      <c r="I908" s="49"/>
      <c r="J908" s="49"/>
      <c r="K908" s="49"/>
      <c r="L908" s="49" t="s">
        <v>10</v>
      </c>
      <c r="M908" t="s">
        <v>1709</v>
      </c>
    </row>
    <row r="909" spans="1:13" x14ac:dyDescent="0.2">
      <c r="A909" s="49">
        <v>43504</v>
      </c>
      <c r="B909" s="49" t="s">
        <v>672</v>
      </c>
      <c r="C909" s="49" t="s">
        <v>69</v>
      </c>
      <c r="D909" s="49" t="s">
        <v>10</v>
      </c>
      <c r="E909" s="49" t="s">
        <v>12</v>
      </c>
      <c r="F909" s="49" t="s">
        <v>91</v>
      </c>
      <c r="G909" s="49">
        <v>46</v>
      </c>
      <c r="H909" s="49"/>
      <c r="I909" s="49"/>
      <c r="J909" s="49"/>
      <c r="K909" s="49"/>
      <c r="L909" s="49" t="s">
        <v>10</v>
      </c>
      <c r="M909" t="s">
        <v>1709</v>
      </c>
    </row>
    <row r="910" spans="1:13" x14ac:dyDescent="0.2">
      <c r="A910" s="49">
        <v>43503</v>
      </c>
      <c r="B910" s="49" t="s">
        <v>673</v>
      </c>
      <c r="C910" s="49" t="s">
        <v>69</v>
      </c>
      <c r="D910" s="49" t="s">
        <v>10</v>
      </c>
      <c r="E910" s="49" t="s">
        <v>12</v>
      </c>
      <c r="F910" s="49" t="s">
        <v>91</v>
      </c>
      <c r="G910" s="49">
        <v>45</v>
      </c>
      <c r="H910" s="49"/>
      <c r="I910" s="49"/>
      <c r="J910" s="49"/>
      <c r="K910" s="49"/>
      <c r="L910" s="49" t="s">
        <v>10</v>
      </c>
      <c r="M910" t="s">
        <v>1709</v>
      </c>
    </row>
    <row r="911" spans="1:13" x14ac:dyDescent="0.2">
      <c r="A911" s="49">
        <v>43502</v>
      </c>
      <c r="B911" s="49" t="s">
        <v>258</v>
      </c>
      <c r="C911" s="49" t="s">
        <v>69</v>
      </c>
      <c r="D911" s="49" t="s">
        <v>10</v>
      </c>
      <c r="E911" s="49" t="s">
        <v>12</v>
      </c>
      <c r="F911" s="49" t="s">
        <v>91</v>
      </c>
      <c r="G911" s="49">
        <v>27</v>
      </c>
      <c r="H911" s="49"/>
      <c r="I911" s="49"/>
      <c r="J911" s="49"/>
      <c r="K911" s="49"/>
      <c r="L911" s="49" t="s">
        <v>10</v>
      </c>
      <c r="M911" t="s">
        <v>1709</v>
      </c>
    </row>
    <row r="912" spans="1:13" x14ac:dyDescent="0.2">
      <c r="A912" s="49">
        <v>43501</v>
      </c>
      <c r="B912" s="49" t="s">
        <v>674</v>
      </c>
      <c r="C912" s="49" t="s">
        <v>69</v>
      </c>
      <c r="D912" s="49" t="s">
        <v>10</v>
      </c>
      <c r="E912" s="49" t="s">
        <v>12</v>
      </c>
      <c r="F912" s="49" t="s">
        <v>91</v>
      </c>
      <c r="G912" s="49">
        <v>23</v>
      </c>
      <c r="H912" s="49"/>
      <c r="I912" s="49"/>
      <c r="J912" s="49"/>
      <c r="K912" s="49"/>
      <c r="L912" s="49" t="s">
        <v>10</v>
      </c>
      <c r="M912" t="s">
        <v>1709</v>
      </c>
    </row>
    <row r="913" spans="1:13" x14ac:dyDescent="0.2">
      <c r="A913" s="49">
        <v>43500</v>
      </c>
      <c r="B913" s="49" t="s">
        <v>294</v>
      </c>
      <c r="C913" s="49" t="s">
        <v>69</v>
      </c>
      <c r="D913" s="49" t="s">
        <v>10</v>
      </c>
      <c r="E913" s="49" t="s">
        <v>12</v>
      </c>
      <c r="F913" s="49" t="s">
        <v>91</v>
      </c>
      <c r="G913" s="49">
        <v>43</v>
      </c>
      <c r="H913" s="49"/>
      <c r="I913" s="49"/>
      <c r="J913" s="49"/>
      <c r="K913" s="49"/>
      <c r="L913" s="49" t="s">
        <v>10</v>
      </c>
      <c r="M913" t="s">
        <v>1709</v>
      </c>
    </row>
    <row r="914" spans="1:13" x14ac:dyDescent="0.2">
      <c r="A914" s="49">
        <v>43499</v>
      </c>
      <c r="B914" s="49" t="s">
        <v>273</v>
      </c>
      <c r="C914" s="49" t="s">
        <v>69</v>
      </c>
      <c r="D914" s="49" t="s">
        <v>10</v>
      </c>
      <c r="E914" s="49" t="s">
        <v>12</v>
      </c>
      <c r="F914" s="49" t="s">
        <v>91</v>
      </c>
      <c r="G914" s="49">
        <v>33</v>
      </c>
      <c r="H914" s="49"/>
      <c r="I914" s="49"/>
      <c r="J914" s="49"/>
      <c r="K914" s="49"/>
      <c r="L914" s="49" t="s">
        <v>10</v>
      </c>
      <c r="M914" t="s">
        <v>1709</v>
      </c>
    </row>
    <row r="915" spans="1:13" x14ac:dyDescent="0.2">
      <c r="A915" s="49">
        <v>38972</v>
      </c>
      <c r="B915" s="49" t="s">
        <v>675</v>
      </c>
      <c r="C915" s="49" t="s">
        <v>68</v>
      </c>
      <c r="D915" s="49" t="s">
        <v>10</v>
      </c>
      <c r="E915" s="49" t="s">
        <v>5</v>
      </c>
      <c r="F915" s="49" t="s">
        <v>95</v>
      </c>
      <c r="G915" s="49">
        <v>33</v>
      </c>
      <c r="H915" s="49"/>
      <c r="I915" s="49"/>
      <c r="J915" s="49"/>
      <c r="K915" s="49"/>
      <c r="L915" s="49" t="s">
        <v>10</v>
      </c>
      <c r="M915" t="s">
        <v>1709</v>
      </c>
    </row>
    <row r="916" spans="1:13" x14ac:dyDescent="0.2">
      <c r="A916" s="49">
        <v>104489</v>
      </c>
      <c r="B916" s="49" t="s">
        <v>928</v>
      </c>
      <c r="C916" s="49" t="s">
        <v>35</v>
      </c>
      <c r="D916" s="49" t="s">
        <v>15</v>
      </c>
      <c r="E916" s="49" t="s">
        <v>12</v>
      </c>
      <c r="F916" s="49" t="s">
        <v>89</v>
      </c>
      <c r="G916" s="49">
        <v>1026</v>
      </c>
      <c r="H916" s="49"/>
      <c r="I916" s="49"/>
      <c r="J916" s="49"/>
      <c r="K916" s="49"/>
      <c r="L916" s="49" t="s">
        <v>379</v>
      </c>
      <c r="M916" t="s">
        <v>2004</v>
      </c>
    </row>
    <row r="917" spans="1:13" x14ac:dyDescent="0.2">
      <c r="A917" s="49">
        <v>110212</v>
      </c>
      <c r="B917" s="49" t="s">
        <v>1577</v>
      </c>
      <c r="C917" s="49" t="s">
        <v>21</v>
      </c>
      <c r="D917" s="49" t="s">
        <v>15</v>
      </c>
      <c r="E917" s="49" t="s">
        <v>5</v>
      </c>
      <c r="F917" s="49" t="s">
        <v>89</v>
      </c>
      <c r="G917" s="49">
        <v>1015</v>
      </c>
      <c r="H917" s="49">
        <v>4</v>
      </c>
      <c r="I917" s="49"/>
      <c r="J917" s="49">
        <v>2</v>
      </c>
      <c r="K917" s="49">
        <v>4</v>
      </c>
      <c r="L917" s="49" t="s">
        <v>379</v>
      </c>
      <c r="M917" t="s">
        <v>2005</v>
      </c>
    </row>
    <row r="918" spans="1:13" x14ac:dyDescent="0.2">
      <c r="A918" s="49">
        <v>99804</v>
      </c>
      <c r="B918" s="49" t="s">
        <v>910</v>
      </c>
      <c r="C918" s="49" t="s">
        <v>22</v>
      </c>
      <c r="D918" s="49" t="s">
        <v>17</v>
      </c>
      <c r="E918" s="49" t="s">
        <v>12</v>
      </c>
      <c r="F918" s="49" t="s">
        <v>89</v>
      </c>
      <c r="G918" s="49">
        <v>1029</v>
      </c>
      <c r="H918" s="49"/>
      <c r="I918" s="49"/>
      <c r="J918" s="49"/>
      <c r="K918" s="49"/>
      <c r="L918" s="49" t="s">
        <v>379</v>
      </c>
      <c r="M918" t="s">
        <v>2006</v>
      </c>
    </row>
    <row r="919" spans="1:13" x14ac:dyDescent="0.2">
      <c r="A919" s="49">
        <v>120528</v>
      </c>
      <c r="B919" s="49" t="s">
        <v>1576</v>
      </c>
      <c r="C919" s="49" t="s">
        <v>44</v>
      </c>
      <c r="D919" s="49" t="s">
        <v>15</v>
      </c>
      <c r="E919" s="49" t="s">
        <v>12</v>
      </c>
      <c r="F919" s="49" t="s">
        <v>89</v>
      </c>
      <c r="G919" s="49">
        <v>1030</v>
      </c>
      <c r="H919" s="49"/>
      <c r="I919" s="49"/>
      <c r="J919" s="49"/>
      <c r="K919" s="49"/>
      <c r="L919" s="49" t="s">
        <v>379</v>
      </c>
      <c r="M919" t="s">
        <v>2007</v>
      </c>
    </row>
    <row r="920" spans="1:13" x14ac:dyDescent="0.2">
      <c r="A920" s="49">
        <v>120533</v>
      </c>
      <c r="B920" s="49" t="s">
        <v>1575</v>
      </c>
      <c r="C920" s="49" t="s">
        <v>44</v>
      </c>
      <c r="D920" s="49" t="s">
        <v>15</v>
      </c>
      <c r="E920" s="49" t="s">
        <v>12</v>
      </c>
      <c r="F920" s="49" t="s">
        <v>89</v>
      </c>
      <c r="G920" s="49">
        <v>1031</v>
      </c>
      <c r="H920" s="49"/>
      <c r="I920" s="49"/>
      <c r="J920" s="49"/>
      <c r="K920" s="49"/>
      <c r="L920" s="49" t="s">
        <v>379</v>
      </c>
      <c r="M920" t="s">
        <v>2008</v>
      </c>
    </row>
    <row r="921" spans="1:13" x14ac:dyDescent="0.2">
      <c r="A921" s="49">
        <v>127822</v>
      </c>
      <c r="B921" s="49" t="s">
        <v>1574</v>
      </c>
      <c r="C921" s="49" t="s">
        <v>9</v>
      </c>
      <c r="D921" s="49" t="s">
        <v>15</v>
      </c>
      <c r="E921" s="49" t="s">
        <v>8</v>
      </c>
      <c r="F921" s="49" t="s">
        <v>89</v>
      </c>
      <c r="G921" s="49">
        <v>1016</v>
      </c>
      <c r="H921" s="49">
        <v>4</v>
      </c>
      <c r="I921" s="49">
        <v>5</v>
      </c>
      <c r="J921" s="49">
        <v>3</v>
      </c>
      <c r="K921" s="49">
        <v>4</v>
      </c>
      <c r="L921" s="49" t="s">
        <v>379</v>
      </c>
      <c r="M921" t="s">
        <v>2009</v>
      </c>
    </row>
    <row r="922" spans="1:13" x14ac:dyDescent="0.2">
      <c r="A922" s="49">
        <v>120240</v>
      </c>
      <c r="B922" s="49" t="s">
        <v>737</v>
      </c>
      <c r="C922" s="49" t="s">
        <v>9</v>
      </c>
      <c r="D922" s="49" t="s">
        <v>15</v>
      </c>
      <c r="E922" s="49" t="s">
        <v>8</v>
      </c>
      <c r="F922" s="49" t="s">
        <v>89</v>
      </c>
      <c r="G922" s="49">
        <v>1033</v>
      </c>
      <c r="H922" s="49">
        <v>4</v>
      </c>
      <c r="I922" s="49">
        <v>2</v>
      </c>
      <c r="J922" s="49">
        <v>2</v>
      </c>
      <c r="K922" s="49">
        <v>3</v>
      </c>
      <c r="L922" s="49" t="s">
        <v>379</v>
      </c>
      <c r="M922" t="s">
        <v>2010</v>
      </c>
    </row>
    <row r="923" spans="1:13" x14ac:dyDescent="0.2">
      <c r="A923" s="49">
        <v>98651</v>
      </c>
      <c r="B923" s="49" t="s">
        <v>753</v>
      </c>
      <c r="C923" s="49" t="s">
        <v>35</v>
      </c>
      <c r="D923" s="49" t="s">
        <v>15</v>
      </c>
      <c r="E923" s="49" t="s">
        <v>12</v>
      </c>
      <c r="F923" s="49" t="s">
        <v>89</v>
      </c>
      <c r="G923" s="49">
        <v>1034</v>
      </c>
      <c r="H923" s="49">
        <v>2</v>
      </c>
      <c r="I923" s="49">
        <v>2</v>
      </c>
      <c r="J923" s="49">
        <v>2</v>
      </c>
      <c r="K923" s="49">
        <v>1</v>
      </c>
      <c r="L923" s="49" t="s">
        <v>379</v>
      </c>
      <c r="M923" t="s">
        <v>2011</v>
      </c>
    </row>
    <row r="924" spans="1:13" x14ac:dyDescent="0.2">
      <c r="A924" s="49">
        <v>99510</v>
      </c>
      <c r="B924" s="49" t="s">
        <v>1636</v>
      </c>
      <c r="C924" s="49" t="s">
        <v>35</v>
      </c>
      <c r="D924" s="49" t="s">
        <v>15</v>
      </c>
      <c r="E924" s="49" t="s">
        <v>12</v>
      </c>
      <c r="F924" s="49" t="s">
        <v>89</v>
      </c>
      <c r="G924" s="49">
        <v>1035</v>
      </c>
      <c r="H924" s="49">
        <v>3</v>
      </c>
      <c r="I924" s="49">
        <v>2</v>
      </c>
      <c r="J924" s="49">
        <v>2</v>
      </c>
      <c r="K924" s="49">
        <v>1</v>
      </c>
      <c r="L924" s="49" t="s">
        <v>379</v>
      </c>
      <c r="M924" t="s">
        <v>2012</v>
      </c>
    </row>
    <row r="925" spans="1:13" x14ac:dyDescent="0.2">
      <c r="A925" s="49">
        <v>50852</v>
      </c>
      <c r="B925" s="49" t="s">
        <v>1637</v>
      </c>
      <c r="C925" s="49" t="s">
        <v>11</v>
      </c>
      <c r="D925" s="49" t="s">
        <v>15</v>
      </c>
      <c r="E925" s="49" t="s">
        <v>11</v>
      </c>
      <c r="F925" s="49" t="s">
        <v>89</v>
      </c>
      <c r="G925" s="49">
        <v>1017</v>
      </c>
      <c r="H925" s="49"/>
      <c r="I925" s="49"/>
      <c r="J925" s="49"/>
      <c r="K925" s="49"/>
      <c r="L925" s="49" t="s">
        <v>379</v>
      </c>
      <c r="M925" t="s">
        <v>2013</v>
      </c>
    </row>
    <row r="926" spans="1:13" x14ac:dyDescent="0.2">
      <c r="A926" s="49">
        <v>126944</v>
      </c>
      <c r="B926" s="49" t="s">
        <v>702</v>
      </c>
      <c r="C926" s="49" t="s">
        <v>59</v>
      </c>
      <c r="D926" s="49" t="s">
        <v>15</v>
      </c>
      <c r="E926" s="49" t="s">
        <v>8</v>
      </c>
      <c r="F926" s="49" t="s">
        <v>89</v>
      </c>
      <c r="G926" s="49">
        <v>1036</v>
      </c>
      <c r="H926" s="49">
        <v>4</v>
      </c>
      <c r="I926" s="49">
        <v>3</v>
      </c>
      <c r="J926" s="49">
        <v>3</v>
      </c>
      <c r="K926" s="49">
        <v>3</v>
      </c>
      <c r="L926" s="49" t="s">
        <v>379</v>
      </c>
      <c r="M926" t="s">
        <v>2014</v>
      </c>
    </row>
    <row r="927" spans="1:13" x14ac:dyDescent="0.2">
      <c r="A927" s="49">
        <v>136770</v>
      </c>
      <c r="B927" s="49" t="s">
        <v>1572</v>
      </c>
      <c r="C927" s="49" t="s">
        <v>59</v>
      </c>
      <c r="D927" s="49" t="s">
        <v>15</v>
      </c>
      <c r="E927" s="49" t="s">
        <v>8</v>
      </c>
      <c r="F927" s="49" t="s">
        <v>89</v>
      </c>
      <c r="G927" s="49">
        <v>1037</v>
      </c>
      <c r="H927" s="49">
        <v>4</v>
      </c>
      <c r="I927" s="49">
        <v>3</v>
      </c>
      <c r="J927" s="49">
        <v>3</v>
      </c>
      <c r="K927" s="49">
        <v>2</v>
      </c>
      <c r="L927" s="49" t="s">
        <v>379</v>
      </c>
      <c r="M927" t="s">
        <v>2015</v>
      </c>
    </row>
  </sheetData>
  <autoFilter ref="A1:M927" xr:uid="{3375CFDD-B384-984B-8B8F-AC5660789CA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37AB-C2CB-8D43-BD8D-11D3278E662B}">
  <dimension ref="A1:AG999"/>
  <sheetViews>
    <sheetView tabSelected="1" topLeftCell="H1" zoomScaleNormal="100" workbookViewId="0">
      <pane ySplit="1" topLeftCell="A2" activePane="bottomLeft" state="frozen"/>
      <selection pane="bottomLeft" activeCell="U34" sqref="U34"/>
    </sheetView>
  </sheetViews>
  <sheetFormatPr baseColWidth="10" defaultColWidth="13" defaultRowHeight="16" x14ac:dyDescent="0.2"/>
  <cols>
    <col min="1" max="1" width="9" bestFit="1" customWidth="1"/>
    <col min="2" max="2" width="11" bestFit="1" customWidth="1"/>
    <col min="4" max="4" width="9.1640625" bestFit="1" customWidth="1"/>
    <col min="5" max="5" width="75.1640625" customWidth="1"/>
    <col min="6" max="6" width="16.33203125" bestFit="1" customWidth="1"/>
    <col min="7" max="7" width="16.5" bestFit="1" customWidth="1"/>
    <col min="8" max="8" width="14.33203125" bestFit="1" customWidth="1"/>
    <col min="9" max="9" width="20.33203125" bestFit="1" customWidth="1"/>
    <col min="10" max="10" width="11.6640625" bestFit="1" customWidth="1"/>
    <col min="11" max="11" width="13.5" bestFit="1" customWidth="1"/>
    <col min="12" max="12" width="5.6640625" bestFit="1" customWidth="1"/>
    <col min="13" max="13" width="7.6640625" bestFit="1" customWidth="1"/>
    <col min="14" max="15" width="4.5" bestFit="1" customWidth="1"/>
    <col min="16" max="16" width="6.1640625" bestFit="1" customWidth="1"/>
    <col min="17" max="17" width="7.83203125" customWidth="1"/>
    <col min="18" max="18" width="3.83203125" customWidth="1"/>
    <col min="19" max="19" width="9" bestFit="1" customWidth="1"/>
    <col min="20" max="20" width="11" bestFit="1" customWidth="1"/>
    <col min="21" max="21" width="10.5" bestFit="1" customWidth="1"/>
    <col min="22" max="22" width="7.1640625" bestFit="1" customWidth="1"/>
    <col min="23" max="23" width="75.33203125" customWidth="1"/>
    <col min="24" max="24" width="16.33203125" bestFit="1" customWidth="1"/>
    <col min="25" max="25" width="22.83203125" bestFit="1" customWidth="1"/>
    <col min="27" max="27" width="20.33203125" bestFit="1" customWidth="1"/>
    <col min="28" max="28" width="9.1640625" bestFit="1" customWidth="1"/>
    <col min="29" max="29" width="11" bestFit="1" customWidth="1"/>
    <col min="30" max="30" width="5.6640625" bestFit="1" customWidth="1"/>
    <col min="31" max="31" width="7.6640625" bestFit="1" customWidth="1"/>
    <col min="32" max="33" width="4.5" bestFit="1" customWidth="1"/>
  </cols>
  <sheetData>
    <row r="1" spans="1:33" x14ac:dyDescent="0.2">
      <c r="A1" t="s">
        <v>123</v>
      </c>
      <c r="B1" t="s">
        <v>124</v>
      </c>
      <c r="C1" t="s">
        <v>125</v>
      </c>
      <c r="D1" t="s">
        <v>27</v>
      </c>
      <c r="E1" t="s">
        <v>28</v>
      </c>
      <c r="F1" t="s">
        <v>2</v>
      </c>
      <c r="G1" t="s">
        <v>0</v>
      </c>
      <c r="H1" t="s">
        <v>1</v>
      </c>
      <c r="I1" t="s">
        <v>88</v>
      </c>
      <c r="J1" t="s">
        <v>29</v>
      </c>
      <c r="K1" t="s">
        <v>126</v>
      </c>
      <c r="L1" t="s">
        <v>30</v>
      </c>
      <c r="M1" t="s">
        <v>31</v>
      </c>
      <c r="N1" t="s">
        <v>32</v>
      </c>
      <c r="O1" t="s">
        <v>33</v>
      </c>
      <c r="P1" t="s">
        <v>355</v>
      </c>
      <c r="Q1" s="53">
        <v>141</v>
      </c>
      <c r="S1" s="50" t="str">
        <f t="shared" ref="S1:AG1" si="0">A1</f>
        <v>Queue</v>
      </c>
      <c r="T1" s="50" t="str">
        <f t="shared" si="0"/>
        <v>Method</v>
      </c>
      <c r="U1" s="50" t="str">
        <f t="shared" si="0"/>
        <v>GlobalRank</v>
      </c>
      <c r="V1" s="50" t="str">
        <f t="shared" si="0"/>
        <v>ID</v>
      </c>
      <c r="W1" s="50" t="str">
        <f t="shared" si="0"/>
        <v>Name</v>
      </c>
      <c r="X1" s="50" t="str">
        <f t="shared" si="0"/>
        <v>RequestingArea</v>
      </c>
      <c r="Y1" s="50" t="str">
        <f t="shared" si="0"/>
        <v>RevenueStream</v>
      </c>
      <c r="Z1" s="50" t="str">
        <f t="shared" si="0"/>
        <v>BudgetGroup</v>
      </c>
      <c r="AA1" s="50" t="str">
        <f t="shared" si="0"/>
        <v>MicroPhase</v>
      </c>
      <c r="AB1" s="50" t="str">
        <f t="shared" si="0"/>
        <v>PriorityRA</v>
      </c>
      <c r="AC1" s="50" t="str">
        <f t="shared" si="0"/>
        <v>WSJF_Score</v>
      </c>
      <c r="AD1" s="50" t="str">
        <f t="shared" si="0"/>
        <v>Value</v>
      </c>
      <c r="AE1" s="50" t="str">
        <f t="shared" si="0"/>
        <v>Urgency</v>
      </c>
      <c r="AF1" s="50" t="str">
        <f t="shared" si="0"/>
        <v>Risk</v>
      </c>
      <c r="AG1" s="50" t="str">
        <f t="shared" si="0"/>
        <v>Size</v>
      </c>
    </row>
    <row r="2" spans="1:33" x14ac:dyDescent="0.2">
      <c r="A2" t="s">
        <v>366</v>
      </c>
      <c r="B2" t="s">
        <v>128</v>
      </c>
      <c r="C2">
        <v>1</v>
      </c>
      <c r="D2">
        <v>57268</v>
      </c>
      <c r="E2" t="s">
        <v>1663</v>
      </c>
      <c r="F2" t="s">
        <v>65</v>
      </c>
      <c r="G2" t="s">
        <v>10</v>
      </c>
      <c r="H2" t="s">
        <v>5</v>
      </c>
      <c r="I2" t="s">
        <v>92</v>
      </c>
      <c r="J2">
        <v>1009</v>
      </c>
      <c r="K2">
        <v>0.03</v>
      </c>
      <c r="L2">
        <v>1</v>
      </c>
      <c r="M2">
        <v>1</v>
      </c>
      <c r="N2">
        <v>1</v>
      </c>
      <c r="O2">
        <v>100</v>
      </c>
      <c r="P2" t="b">
        <f t="shared" ref="P2:P65" si="1">AND(C2&lt;$Q$1,IF(ISBLANK(C2),0,C2)&gt;0)</f>
        <v>1</v>
      </c>
      <c r="S2" t="str">
        <f t="shared" ref="S2:S33" si="2">A2</f>
        <v>NOW</v>
      </c>
      <c r="T2" t="str">
        <f t="shared" ref="T2:T33" si="3">B2</f>
        <v>SainteLague</v>
      </c>
      <c r="U2">
        <f t="shared" ref="U2:U33" si="4">C2</f>
        <v>1</v>
      </c>
      <c r="V2">
        <f t="shared" ref="V2:V33" si="5">D2</f>
        <v>57268</v>
      </c>
      <c r="W2" s="8" t="str">
        <f>VLOOKUP(V2,'ideas-input'!$A:$B,2,FALSE)</f>
        <v>[Nexus Piloto Operacional] Generación y consumo del POD para Fase 2</v>
      </c>
      <c r="X2" t="str">
        <f t="shared" ref="X2:X65" si="6">F2</f>
        <v>CMO</v>
      </c>
      <c r="Y2" s="8" t="str">
        <f>VLOOKUP(V2,'ideas-input'!$A:$D,4,FALSE)</f>
        <v>eCommerce</v>
      </c>
      <c r="Z2" t="str">
        <f t="shared" ref="Z2:Z65" si="7">H2</f>
        <v>Commercial</v>
      </c>
      <c r="AA2" t="str">
        <f t="shared" ref="AA2:AA65" si="8">I2</f>
        <v>Ready for Acceptance</v>
      </c>
      <c r="AB2">
        <f t="shared" ref="AB2:AB65" si="9">J2</f>
        <v>1009</v>
      </c>
      <c r="AC2">
        <f t="shared" ref="AC2:AC65" si="10">K2</f>
        <v>0.03</v>
      </c>
      <c r="AD2">
        <f t="shared" ref="AD2:AD65" si="11">L2</f>
        <v>1</v>
      </c>
      <c r="AE2">
        <f t="shared" ref="AE2:AE65" si="12">M2</f>
        <v>1</v>
      </c>
      <c r="AF2">
        <f t="shared" ref="AF2:AF65" si="13">N2</f>
        <v>1</v>
      </c>
      <c r="AG2">
        <f t="shared" ref="AG2:AG65" si="14">O2</f>
        <v>100</v>
      </c>
    </row>
    <row r="3" spans="1:33" x14ac:dyDescent="0.2">
      <c r="A3" t="s">
        <v>366</v>
      </c>
      <c r="B3" t="s">
        <v>128</v>
      </c>
      <c r="C3">
        <v>2</v>
      </c>
      <c r="D3">
        <v>110212</v>
      </c>
      <c r="E3" t="s">
        <v>899</v>
      </c>
      <c r="F3" t="s">
        <v>21</v>
      </c>
      <c r="G3" t="s">
        <v>379</v>
      </c>
      <c r="H3" t="s">
        <v>5</v>
      </c>
      <c r="I3" t="s">
        <v>89</v>
      </c>
      <c r="J3">
        <v>1015</v>
      </c>
      <c r="K3">
        <v>1.75</v>
      </c>
      <c r="L3">
        <v>4</v>
      </c>
      <c r="M3">
        <v>1</v>
      </c>
      <c r="N3">
        <v>2</v>
      </c>
      <c r="O3">
        <v>4</v>
      </c>
      <c r="P3" t="b">
        <f t="shared" si="1"/>
        <v>1</v>
      </c>
      <c r="S3" t="str">
        <f t="shared" si="2"/>
        <v>NOW</v>
      </c>
      <c r="T3" t="str">
        <f t="shared" si="3"/>
        <v>SainteLague</v>
      </c>
      <c r="U3">
        <f t="shared" si="4"/>
        <v>2</v>
      </c>
      <c r="V3">
        <f t="shared" si="5"/>
        <v>110212</v>
      </c>
      <c r="W3" s="8" t="str">
        <f>VLOOKUP(V3,'ideas-input'!$A:$B,2,FALSE)</f>
        <v>DeMinimisEUA - Solução CTT para permitir retomar envios de mercadorias para os EUA</v>
      </c>
      <c r="X3" t="str">
        <f t="shared" si="6"/>
        <v>GP B2B</v>
      </c>
      <c r="Y3" s="8" t="str">
        <f>VLOOKUP(V3,'ideas-input'!$A:$D,4,FALSE)</f>
        <v>Mail</v>
      </c>
      <c r="Z3" t="str">
        <f t="shared" si="7"/>
        <v>Commercial</v>
      </c>
      <c r="AA3" t="str">
        <f t="shared" si="8"/>
        <v>In Development</v>
      </c>
      <c r="AB3">
        <f t="shared" si="9"/>
        <v>1015</v>
      </c>
      <c r="AC3">
        <f t="shared" si="10"/>
        <v>1.75</v>
      </c>
      <c r="AD3">
        <f t="shared" si="11"/>
        <v>4</v>
      </c>
      <c r="AE3">
        <f t="shared" si="12"/>
        <v>1</v>
      </c>
      <c r="AF3">
        <f t="shared" si="13"/>
        <v>2</v>
      </c>
      <c r="AG3">
        <f t="shared" si="14"/>
        <v>4</v>
      </c>
    </row>
    <row r="4" spans="1:33" x14ac:dyDescent="0.2">
      <c r="A4" t="s">
        <v>366</v>
      </c>
      <c r="B4" t="s">
        <v>128</v>
      </c>
      <c r="C4">
        <v>3</v>
      </c>
      <c r="D4">
        <v>53918</v>
      </c>
      <c r="E4" t="s">
        <v>900</v>
      </c>
      <c r="F4" t="s">
        <v>64</v>
      </c>
      <c r="G4" t="s">
        <v>10</v>
      </c>
      <c r="H4" t="s">
        <v>6</v>
      </c>
      <c r="I4" t="s">
        <v>90</v>
      </c>
      <c r="J4">
        <v>1002</v>
      </c>
      <c r="K4">
        <v>0.03</v>
      </c>
      <c r="L4">
        <v>1</v>
      </c>
      <c r="M4">
        <v>1</v>
      </c>
      <c r="N4">
        <v>1</v>
      </c>
      <c r="O4">
        <v>100</v>
      </c>
      <c r="P4" t="b">
        <f t="shared" si="1"/>
        <v>1</v>
      </c>
      <c r="S4" t="str">
        <f t="shared" si="2"/>
        <v>NOW</v>
      </c>
      <c r="T4" t="str">
        <f t="shared" si="3"/>
        <v>SainteLague</v>
      </c>
      <c r="U4">
        <f t="shared" si="4"/>
        <v>3</v>
      </c>
      <c r="V4">
        <f t="shared" si="5"/>
        <v>53918</v>
      </c>
      <c r="W4" s="8" t="str">
        <f>VLOOKUP(V4,'ideas-input'!$A:$B,2,FALSE)</f>
        <v>[Desconexión SGC] Evolución pantalla web Nexus (modulo seguimiento de rutas/ recogidas)</v>
      </c>
      <c r="X4" t="str">
        <f t="shared" si="6"/>
        <v>COO</v>
      </c>
      <c r="Y4" s="8" t="str">
        <f>VLOOKUP(V4,'ideas-input'!$A:$D,4,FALSE)</f>
        <v>eCommerce</v>
      </c>
      <c r="Z4" t="str">
        <f t="shared" si="7"/>
        <v>Operations</v>
      </c>
      <c r="AA4" t="str">
        <f t="shared" si="8"/>
        <v>In Acceptance</v>
      </c>
      <c r="AB4">
        <f t="shared" si="9"/>
        <v>1002</v>
      </c>
      <c r="AC4">
        <f t="shared" si="10"/>
        <v>0.03</v>
      </c>
      <c r="AD4">
        <f t="shared" si="11"/>
        <v>1</v>
      </c>
      <c r="AE4">
        <f t="shared" si="12"/>
        <v>1</v>
      </c>
      <c r="AF4">
        <f t="shared" si="13"/>
        <v>1</v>
      </c>
      <c r="AG4">
        <f t="shared" si="14"/>
        <v>100</v>
      </c>
    </row>
    <row r="5" spans="1:33" x14ac:dyDescent="0.2">
      <c r="A5" t="s">
        <v>366</v>
      </c>
      <c r="B5" t="s">
        <v>128</v>
      </c>
      <c r="C5">
        <v>4</v>
      </c>
      <c r="D5">
        <v>133333</v>
      </c>
      <c r="E5" t="s">
        <v>901</v>
      </c>
      <c r="F5" t="s">
        <v>26</v>
      </c>
      <c r="G5" t="s">
        <v>379</v>
      </c>
      <c r="H5" t="s">
        <v>6</v>
      </c>
      <c r="I5" t="s">
        <v>89</v>
      </c>
      <c r="J5">
        <v>1038</v>
      </c>
      <c r="K5">
        <v>2.6669999999999998</v>
      </c>
      <c r="L5">
        <v>3</v>
      </c>
      <c r="M5">
        <v>2</v>
      </c>
      <c r="N5">
        <v>3</v>
      </c>
      <c r="O5">
        <v>3</v>
      </c>
      <c r="P5" t="b">
        <f t="shared" si="1"/>
        <v>1</v>
      </c>
      <c r="S5" t="str">
        <f t="shared" si="2"/>
        <v>NOW</v>
      </c>
      <c r="T5" t="str">
        <f t="shared" si="3"/>
        <v>SainteLague</v>
      </c>
      <c r="U5">
        <f t="shared" si="4"/>
        <v>4</v>
      </c>
      <c r="V5">
        <f t="shared" si="5"/>
        <v>133333</v>
      </c>
      <c r="W5" s="8" t="str">
        <f>VLOOKUP(V5,'ideas-input'!$A:$B,2,FALSE)</f>
        <v>Evolutivos SAP Logística Q1 2026</v>
      </c>
      <c r="X5" t="str">
        <f t="shared" si="6"/>
        <v>SEO</v>
      </c>
      <c r="Y5" s="8" t="str">
        <f>VLOOKUP(V5,'ideas-input'!$A:$D,4,FALSE)</f>
        <v>Fulfilment</v>
      </c>
      <c r="Z5" t="str">
        <f t="shared" si="7"/>
        <v>Operations</v>
      </c>
      <c r="AA5" t="str">
        <f t="shared" si="8"/>
        <v>In Development</v>
      </c>
      <c r="AB5">
        <f t="shared" si="9"/>
        <v>1038</v>
      </c>
      <c r="AC5">
        <f t="shared" si="10"/>
        <v>2.6669999999999998</v>
      </c>
      <c r="AD5">
        <f t="shared" si="11"/>
        <v>3</v>
      </c>
      <c r="AE5">
        <f t="shared" si="12"/>
        <v>2</v>
      </c>
      <c r="AF5">
        <f t="shared" si="13"/>
        <v>3</v>
      </c>
      <c r="AG5">
        <f t="shared" si="14"/>
        <v>3</v>
      </c>
    </row>
    <row r="6" spans="1:33" x14ac:dyDescent="0.2">
      <c r="A6" t="s">
        <v>366</v>
      </c>
      <c r="B6" t="s">
        <v>128</v>
      </c>
      <c r="C6">
        <v>5</v>
      </c>
      <c r="D6">
        <v>46806</v>
      </c>
      <c r="E6" t="s">
        <v>902</v>
      </c>
      <c r="F6" t="s">
        <v>67</v>
      </c>
      <c r="G6" t="s">
        <v>10</v>
      </c>
      <c r="H6" t="s">
        <v>12</v>
      </c>
      <c r="I6" t="s">
        <v>90</v>
      </c>
      <c r="J6">
        <v>1005</v>
      </c>
      <c r="K6">
        <v>0.03</v>
      </c>
      <c r="L6">
        <v>1</v>
      </c>
      <c r="M6">
        <v>1</v>
      </c>
      <c r="N6">
        <v>1</v>
      </c>
      <c r="O6">
        <v>100</v>
      </c>
      <c r="P6" t="b">
        <f t="shared" si="1"/>
        <v>1</v>
      </c>
      <c r="S6" t="str">
        <f t="shared" si="2"/>
        <v>NOW</v>
      </c>
      <c r="T6" t="str">
        <f t="shared" si="3"/>
        <v>SainteLague</v>
      </c>
      <c r="U6">
        <f t="shared" si="4"/>
        <v>5</v>
      </c>
      <c r="V6">
        <f t="shared" si="5"/>
        <v>46806</v>
      </c>
      <c r="W6" s="8" t="str">
        <f>VLOOKUP(V6,'ideas-input'!$A:$B,2,FALSE)</f>
        <v>[Qlik] - APP Contact Center Integrar toda la información de casos de Salesforce</v>
      </c>
      <c r="X6" t="str">
        <f t="shared" si="6"/>
        <v>ATC</v>
      </c>
      <c r="Y6" s="8" t="str">
        <f>VLOOKUP(V6,'ideas-input'!$A:$D,4,FALSE)</f>
        <v>eCommerce</v>
      </c>
      <c r="Z6" t="str">
        <f t="shared" si="7"/>
        <v>Corporate</v>
      </c>
      <c r="AA6" t="str">
        <f t="shared" si="8"/>
        <v>In Acceptance</v>
      </c>
      <c r="AB6">
        <f t="shared" si="9"/>
        <v>1005</v>
      </c>
      <c r="AC6">
        <f t="shared" si="10"/>
        <v>0.03</v>
      </c>
      <c r="AD6">
        <f t="shared" si="11"/>
        <v>1</v>
      </c>
      <c r="AE6">
        <f t="shared" si="12"/>
        <v>1</v>
      </c>
      <c r="AF6">
        <f t="shared" si="13"/>
        <v>1</v>
      </c>
      <c r="AG6">
        <f t="shared" si="14"/>
        <v>100</v>
      </c>
    </row>
    <row r="7" spans="1:33" x14ac:dyDescent="0.2">
      <c r="A7" t="s">
        <v>366</v>
      </c>
      <c r="B7" t="s">
        <v>128</v>
      </c>
      <c r="C7">
        <v>6</v>
      </c>
      <c r="D7">
        <v>120528</v>
      </c>
      <c r="E7" t="s">
        <v>927</v>
      </c>
      <c r="F7" t="s">
        <v>44</v>
      </c>
      <c r="G7" t="s">
        <v>379</v>
      </c>
      <c r="H7" t="s">
        <v>12</v>
      </c>
      <c r="I7" t="s">
        <v>89</v>
      </c>
      <c r="J7">
        <v>1030</v>
      </c>
      <c r="K7">
        <v>0.03</v>
      </c>
      <c r="L7">
        <v>1</v>
      </c>
      <c r="M7">
        <v>1</v>
      </c>
      <c r="N7">
        <v>1</v>
      </c>
      <c r="O7">
        <v>100</v>
      </c>
      <c r="P7" t="b">
        <f t="shared" si="1"/>
        <v>1</v>
      </c>
      <c r="S7" t="str">
        <f t="shared" si="2"/>
        <v>NOW</v>
      </c>
      <c r="T7" t="str">
        <f t="shared" si="3"/>
        <v>SainteLague</v>
      </c>
      <c r="U7">
        <f t="shared" si="4"/>
        <v>6</v>
      </c>
      <c r="V7">
        <f t="shared" si="5"/>
        <v>120528</v>
      </c>
      <c r="W7" s="8" t="str">
        <f>VLOOKUP(V7,'ideas-input'!$A:$B,2,FALSE)</f>
        <v>Auditoria 2.0 - Criação de Data Lake para implementação de Auditoria Contínua e Auditoria à Distancia - Entrega R1</v>
      </c>
      <c r="X7" t="str">
        <f t="shared" si="6"/>
        <v>ACR</v>
      </c>
      <c r="Y7" s="8" t="str">
        <f>VLOOKUP(V7,'ideas-input'!$A:$D,4,FALSE)</f>
        <v>Mail</v>
      </c>
      <c r="Z7" t="str">
        <f t="shared" si="7"/>
        <v>Corporate</v>
      </c>
      <c r="AA7" t="str">
        <f t="shared" si="8"/>
        <v>In Development</v>
      </c>
      <c r="AB7">
        <f t="shared" si="9"/>
        <v>1030</v>
      </c>
      <c r="AC7">
        <f t="shared" si="10"/>
        <v>0.03</v>
      </c>
      <c r="AD7">
        <f t="shared" si="11"/>
        <v>1</v>
      </c>
      <c r="AE7">
        <f t="shared" si="12"/>
        <v>1</v>
      </c>
      <c r="AF7">
        <f t="shared" si="13"/>
        <v>1</v>
      </c>
      <c r="AG7">
        <f t="shared" si="14"/>
        <v>100</v>
      </c>
    </row>
    <row r="8" spans="1:33" x14ac:dyDescent="0.2">
      <c r="A8" t="s">
        <v>366</v>
      </c>
      <c r="B8" t="s">
        <v>128</v>
      </c>
      <c r="C8">
        <v>7</v>
      </c>
      <c r="D8">
        <v>60535</v>
      </c>
      <c r="E8" t="s">
        <v>904</v>
      </c>
      <c r="F8" t="s">
        <v>70</v>
      </c>
      <c r="G8" t="s">
        <v>10</v>
      </c>
      <c r="H8" t="s">
        <v>8</v>
      </c>
      <c r="I8" t="s">
        <v>90</v>
      </c>
      <c r="J8">
        <v>1004</v>
      </c>
      <c r="K8">
        <v>0.03</v>
      </c>
      <c r="L8">
        <v>1</v>
      </c>
      <c r="M8">
        <v>1</v>
      </c>
      <c r="N8">
        <v>1</v>
      </c>
      <c r="O8">
        <v>100</v>
      </c>
      <c r="P8" t="b">
        <f t="shared" si="1"/>
        <v>1</v>
      </c>
      <c r="S8" t="str">
        <f t="shared" si="2"/>
        <v>NOW</v>
      </c>
      <c r="T8" t="str">
        <f t="shared" si="3"/>
        <v>SainteLague</v>
      </c>
      <c r="U8">
        <f t="shared" si="4"/>
        <v>7</v>
      </c>
      <c r="V8">
        <f t="shared" si="5"/>
        <v>60535</v>
      </c>
      <c r="W8" s="8" t="str">
        <f>VLOOKUP(V8,'ideas-input'!$A:$B,2,FALSE)</f>
        <v>[WebHook] - Shein ADT - Migración de infraestructura de Shein ADT</v>
      </c>
      <c r="X8" t="str">
        <f t="shared" si="6"/>
        <v>CIO</v>
      </c>
      <c r="Y8" s="8" t="str">
        <f>VLOOKUP(V8,'ideas-input'!$A:$D,4,FALSE)</f>
        <v>eCommerce</v>
      </c>
      <c r="Z8" t="str">
        <f t="shared" si="7"/>
        <v>Technology</v>
      </c>
      <c r="AA8" t="str">
        <f t="shared" si="8"/>
        <v>In Acceptance</v>
      </c>
      <c r="AB8">
        <f t="shared" si="9"/>
        <v>1004</v>
      </c>
      <c r="AC8">
        <f t="shared" si="10"/>
        <v>0.03</v>
      </c>
      <c r="AD8">
        <f t="shared" si="11"/>
        <v>1</v>
      </c>
      <c r="AE8">
        <f t="shared" si="12"/>
        <v>1</v>
      </c>
      <c r="AF8">
        <f t="shared" si="13"/>
        <v>1</v>
      </c>
      <c r="AG8">
        <f t="shared" si="14"/>
        <v>100</v>
      </c>
    </row>
    <row r="9" spans="1:33" x14ac:dyDescent="0.2">
      <c r="A9" t="s">
        <v>366</v>
      </c>
      <c r="B9" t="s">
        <v>128</v>
      </c>
      <c r="C9">
        <v>8</v>
      </c>
      <c r="D9">
        <v>69008</v>
      </c>
      <c r="E9" t="s">
        <v>922</v>
      </c>
      <c r="F9" t="s">
        <v>9</v>
      </c>
      <c r="G9" t="s">
        <v>379</v>
      </c>
      <c r="H9" t="s">
        <v>8</v>
      </c>
      <c r="I9" t="s">
        <v>90</v>
      </c>
      <c r="J9">
        <v>1006</v>
      </c>
      <c r="K9">
        <v>0.03</v>
      </c>
      <c r="L9">
        <v>1</v>
      </c>
      <c r="M9">
        <v>1</v>
      </c>
      <c r="N9">
        <v>1</v>
      </c>
      <c r="O9">
        <v>100</v>
      </c>
      <c r="P9" t="b">
        <f t="shared" si="1"/>
        <v>1</v>
      </c>
      <c r="S9" t="str">
        <f t="shared" si="2"/>
        <v>NOW</v>
      </c>
      <c r="T9" t="str">
        <f t="shared" si="3"/>
        <v>SainteLague</v>
      </c>
      <c r="U9">
        <f t="shared" si="4"/>
        <v>8</v>
      </c>
      <c r="V9">
        <f t="shared" si="5"/>
        <v>69008</v>
      </c>
      <c r="W9" s="8" t="str">
        <f>VLOOKUP(V9,'ideas-input'!$A:$B,2,FALSE)</f>
        <v>APT | Migração APIs IBM em Mulesoft - Iniciativa 4</v>
      </c>
      <c r="X9" t="str">
        <f t="shared" si="6"/>
        <v>SI</v>
      </c>
      <c r="Y9" s="8" t="str">
        <f>VLOOKUP(V9,'ideas-input'!$A:$D,4,FALSE)</f>
        <v>Mail</v>
      </c>
      <c r="Z9" t="str">
        <f t="shared" si="7"/>
        <v>Technology</v>
      </c>
      <c r="AA9" t="str">
        <f t="shared" si="8"/>
        <v>In Acceptance</v>
      </c>
      <c r="AB9">
        <f t="shared" si="9"/>
        <v>1006</v>
      </c>
      <c r="AC9">
        <f t="shared" si="10"/>
        <v>0.03</v>
      </c>
      <c r="AD9">
        <f t="shared" si="11"/>
        <v>1</v>
      </c>
      <c r="AE9">
        <f t="shared" si="12"/>
        <v>1</v>
      </c>
      <c r="AF9">
        <f t="shared" si="13"/>
        <v>1</v>
      </c>
      <c r="AG9">
        <f t="shared" si="14"/>
        <v>100</v>
      </c>
    </row>
    <row r="10" spans="1:33" x14ac:dyDescent="0.2">
      <c r="A10" t="s">
        <v>366</v>
      </c>
      <c r="B10" t="s">
        <v>128</v>
      </c>
      <c r="C10">
        <v>9</v>
      </c>
      <c r="D10">
        <v>57319</v>
      </c>
      <c r="E10" t="s">
        <v>368</v>
      </c>
      <c r="F10" t="s">
        <v>66</v>
      </c>
      <c r="G10" t="s">
        <v>10</v>
      </c>
      <c r="H10" t="s">
        <v>5</v>
      </c>
      <c r="I10" t="s">
        <v>92</v>
      </c>
      <c r="J10">
        <v>1008</v>
      </c>
      <c r="K10">
        <v>0.03</v>
      </c>
      <c r="L10">
        <v>1</v>
      </c>
      <c r="M10">
        <v>1</v>
      </c>
      <c r="N10">
        <v>1</v>
      </c>
      <c r="O10">
        <v>100</v>
      </c>
      <c r="P10" t="b">
        <f t="shared" si="1"/>
        <v>1</v>
      </c>
      <c r="S10" t="str">
        <f t="shared" si="2"/>
        <v>NOW</v>
      </c>
      <c r="T10" t="str">
        <f t="shared" si="3"/>
        <v>SainteLague</v>
      </c>
      <c r="U10">
        <f t="shared" si="4"/>
        <v>9</v>
      </c>
      <c r="V10">
        <f t="shared" si="5"/>
        <v>57319</v>
      </c>
      <c r="W10" s="8" t="str">
        <f>VLOOKUP(V10,'ideas-input'!$A:$B,2,FALSE)</f>
        <v>[Nexus] [We Sell] Carga de clientes de PT en Salesforce Sales</v>
      </c>
      <c r="X10" t="str">
        <f t="shared" si="6"/>
        <v>CCO</v>
      </c>
      <c r="Y10" s="8" t="str">
        <f>VLOOKUP(V10,'ideas-input'!$A:$D,4,FALSE)</f>
        <v>eCommerce</v>
      </c>
      <c r="Z10" t="str">
        <f t="shared" si="7"/>
        <v>Commercial</v>
      </c>
      <c r="AA10" t="str">
        <f t="shared" si="8"/>
        <v>Ready for Acceptance</v>
      </c>
      <c r="AB10">
        <f t="shared" si="9"/>
        <v>1008</v>
      </c>
      <c r="AC10">
        <f t="shared" si="10"/>
        <v>0.03</v>
      </c>
      <c r="AD10">
        <f t="shared" si="11"/>
        <v>1</v>
      </c>
      <c r="AE10">
        <f t="shared" si="12"/>
        <v>1</v>
      </c>
      <c r="AF10">
        <f t="shared" si="13"/>
        <v>1</v>
      </c>
      <c r="AG10">
        <f t="shared" si="14"/>
        <v>100</v>
      </c>
    </row>
    <row r="11" spans="1:33" x14ac:dyDescent="0.2">
      <c r="A11" t="s">
        <v>366</v>
      </c>
      <c r="B11" t="s">
        <v>128</v>
      </c>
      <c r="C11">
        <v>10</v>
      </c>
      <c r="D11">
        <v>94146</v>
      </c>
      <c r="E11" t="s">
        <v>907</v>
      </c>
      <c r="F11" t="s">
        <v>23</v>
      </c>
      <c r="G11" t="s">
        <v>379</v>
      </c>
      <c r="H11" t="s">
        <v>5</v>
      </c>
      <c r="I11" t="s">
        <v>92</v>
      </c>
      <c r="J11">
        <v>1012</v>
      </c>
      <c r="K11">
        <v>0.03</v>
      </c>
      <c r="L11">
        <v>1</v>
      </c>
      <c r="M11">
        <v>1</v>
      </c>
      <c r="N11">
        <v>1</v>
      </c>
      <c r="O11">
        <v>100</v>
      </c>
      <c r="P11" t="b">
        <f t="shared" si="1"/>
        <v>1</v>
      </c>
      <c r="S11" t="str">
        <f t="shared" si="2"/>
        <v>NOW</v>
      </c>
      <c r="T11" t="str">
        <f t="shared" si="3"/>
        <v>SainteLague</v>
      </c>
      <c r="U11">
        <f t="shared" si="4"/>
        <v>10</v>
      </c>
      <c r="V11">
        <f t="shared" si="5"/>
        <v>94146</v>
      </c>
      <c r="W11" s="8" t="str">
        <f>VLOOKUP(V11,'ideas-input'!$A:$B,2,FALSE)</f>
        <v>Validação Antecipada de Objetos a Recolher</v>
      </c>
      <c r="X11" t="str">
        <f t="shared" si="6"/>
        <v>GP ECL</v>
      </c>
      <c r="Y11" s="8" t="str">
        <f>VLOOKUP(V11,'ideas-input'!$A:$D,4,FALSE)</f>
        <v>Mail</v>
      </c>
      <c r="Z11" t="str">
        <f t="shared" si="7"/>
        <v>Commercial</v>
      </c>
      <c r="AA11" t="str">
        <f t="shared" si="8"/>
        <v>Ready for Acceptance</v>
      </c>
      <c r="AB11">
        <f t="shared" si="9"/>
        <v>1012</v>
      </c>
      <c r="AC11">
        <f t="shared" si="10"/>
        <v>0.03</v>
      </c>
      <c r="AD11">
        <f t="shared" si="11"/>
        <v>1</v>
      </c>
      <c r="AE11">
        <f t="shared" si="12"/>
        <v>1</v>
      </c>
      <c r="AF11">
        <f t="shared" si="13"/>
        <v>1</v>
      </c>
      <c r="AG11">
        <f t="shared" si="14"/>
        <v>100</v>
      </c>
    </row>
    <row r="12" spans="1:33" x14ac:dyDescent="0.2">
      <c r="A12" t="s">
        <v>366</v>
      </c>
      <c r="B12" t="s">
        <v>128</v>
      </c>
      <c r="C12">
        <v>11</v>
      </c>
      <c r="D12">
        <v>62247</v>
      </c>
      <c r="E12" t="s">
        <v>285</v>
      </c>
      <c r="F12" t="s">
        <v>64</v>
      </c>
      <c r="G12" t="s">
        <v>10</v>
      </c>
      <c r="H12" t="s">
        <v>6</v>
      </c>
      <c r="I12" t="s">
        <v>92</v>
      </c>
      <c r="J12">
        <v>1010</v>
      </c>
      <c r="K12">
        <v>0.03</v>
      </c>
      <c r="L12">
        <v>1</v>
      </c>
      <c r="M12">
        <v>1</v>
      </c>
      <c r="N12">
        <v>1</v>
      </c>
      <c r="O12">
        <v>100</v>
      </c>
      <c r="P12" t="b">
        <f t="shared" si="1"/>
        <v>1</v>
      </c>
      <c r="S12" t="str">
        <f t="shared" si="2"/>
        <v>NOW</v>
      </c>
      <c r="T12" t="str">
        <f t="shared" si="3"/>
        <v>SainteLague</v>
      </c>
      <c r="U12">
        <f t="shared" si="4"/>
        <v>11</v>
      </c>
      <c r="V12">
        <f t="shared" si="5"/>
        <v>62247</v>
      </c>
      <c r="W12" s="8" t="str">
        <f>VLOOKUP(V12,'ideas-input'!$A:$B,2,FALSE)</f>
        <v>[Qlik Sense][A-Scan] - Nuevos Filtros</v>
      </c>
      <c r="X12" t="str">
        <f t="shared" si="6"/>
        <v>COO</v>
      </c>
      <c r="Y12" s="8" t="str">
        <f>VLOOKUP(V12,'ideas-input'!$A:$D,4,FALSE)</f>
        <v>eCommerce</v>
      </c>
      <c r="Z12" t="str">
        <f t="shared" si="7"/>
        <v>Operations</v>
      </c>
      <c r="AA12" t="str">
        <f t="shared" si="8"/>
        <v>Ready for Acceptance</v>
      </c>
      <c r="AB12">
        <f t="shared" si="9"/>
        <v>1010</v>
      </c>
      <c r="AC12">
        <f t="shared" si="10"/>
        <v>0.03</v>
      </c>
      <c r="AD12">
        <f t="shared" si="11"/>
        <v>1</v>
      </c>
      <c r="AE12">
        <f t="shared" si="12"/>
        <v>1</v>
      </c>
      <c r="AF12">
        <f t="shared" si="13"/>
        <v>1</v>
      </c>
      <c r="AG12">
        <f t="shared" si="14"/>
        <v>100</v>
      </c>
    </row>
    <row r="13" spans="1:33" x14ac:dyDescent="0.2">
      <c r="A13" t="s">
        <v>366</v>
      </c>
      <c r="B13" t="s">
        <v>128</v>
      </c>
      <c r="C13">
        <v>12</v>
      </c>
      <c r="D13">
        <v>192929</v>
      </c>
      <c r="E13" t="s">
        <v>908</v>
      </c>
      <c r="F13" t="s">
        <v>7</v>
      </c>
      <c r="G13" t="s">
        <v>379</v>
      </c>
      <c r="H13" t="s">
        <v>6</v>
      </c>
      <c r="I13" t="s">
        <v>89</v>
      </c>
      <c r="J13">
        <v>1014</v>
      </c>
      <c r="K13">
        <v>0.03</v>
      </c>
      <c r="L13">
        <v>1</v>
      </c>
      <c r="M13">
        <v>1</v>
      </c>
      <c r="N13">
        <v>1</v>
      </c>
      <c r="O13">
        <v>100</v>
      </c>
      <c r="P13" t="b">
        <f t="shared" si="1"/>
        <v>1</v>
      </c>
      <c r="S13" t="str">
        <f t="shared" si="2"/>
        <v>NOW</v>
      </c>
      <c r="T13" t="str">
        <f t="shared" si="3"/>
        <v>SainteLague</v>
      </c>
      <c r="U13">
        <f t="shared" si="4"/>
        <v>12</v>
      </c>
      <c r="V13">
        <f t="shared" si="5"/>
        <v>192929</v>
      </c>
      <c r="W13" s="8" t="str">
        <f>VLOOKUP(V13,'ideas-input'!$A:$B,2,FALSE)</f>
        <v>Postman Digital Brain - Fase 1 &amp; 2</v>
      </c>
      <c r="X13" t="str">
        <f t="shared" si="6"/>
        <v>EDO</v>
      </c>
      <c r="Y13" s="8" t="str">
        <f>VLOOKUP(V13,'ideas-input'!$A:$D,4,FALSE)</f>
        <v>Mail</v>
      </c>
      <c r="Z13" t="str">
        <f t="shared" si="7"/>
        <v>Operations</v>
      </c>
      <c r="AA13" t="str">
        <f t="shared" si="8"/>
        <v>In Development</v>
      </c>
      <c r="AB13">
        <f t="shared" si="9"/>
        <v>1014</v>
      </c>
      <c r="AC13">
        <f t="shared" si="10"/>
        <v>0.03</v>
      </c>
      <c r="AD13">
        <f t="shared" si="11"/>
        <v>1</v>
      </c>
      <c r="AE13">
        <f t="shared" si="12"/>
        <v>1</v>
      </c>
      <c r="AF13">
        <f t="shared" si="13"/>
        <v>1</v>
      </c>
      <c r="AG13">
        <f t="shared" si="14"/>
        <v>100</v>
      </c>
    </row>
    <row r="14" spans="1:33" x14ac:dyDescent="0.2">
      <c r="A14" t="s">
        <v>366</v>
      </c>
      <c r="B14" t="s">
        <v>128</v>
      </c>
      <c r="C14">
        <v>13</v>
      </c>
      <c r="D14">
        <v>61318</v>
      </c>
      <c r="E14" t="s">
        <v>370</v>
      </c>
      <c r="F14" t="s">
        <v>65</v>
      </c>
      <c r="G14" t="s">
        <v>10</v>
      </c>
      <c r="H14" t="s">
        <v>5</v>
      </c>
      <c r="I14" t="s">
        <v>89</v>
      </c>
      <c r="J14">
        <v>1018</v>
      </c>
      <c r="K14">
        <v>2</v>
      </c>
      <c r="L14">
        <v>5</v>
      </c>
      <c r="M14">
        <v>1</v>
      </c>
      <c r="N14">
        <v>2</v>
      </c>
      <c r="O14">
        <v>4</v>
      </c>
      <c r="P14" t="b">
        <f t="shared" si="1"/>
        <v>1</v>
      </c>
      <c r="S14" t="str">
        <f t="shared" si="2"/>
        <v>NOW</v>
      </c>
      <c r="T14" t="str">
        <f t="shared" si="3"/>
        <v>SainteLague</v>
      </c>
      <c r="U14">
        <f t="shared" si="4"/>
        <v>13</v>
      </c>
      <c r="V14">
        <f t="shared" si="5"/>
        <v>61318</v>
      </c>
      <c r="W14" s="8" t="str">
        <f>VLOOKUP(V14,'ideas-input'!$A:$B,2,FALSE)</f>
        <v>[Nexus][Internacional]-[Nuevo Producto ECONOMY]- DHL-PARCEL</v>
      </c>
      <c r="X14" t="str">
        <f t="shared" si="6"/>
        <v>CMO</v>
      </c>
      <c r="Y14" s="8" t="str">
        <f>VLOOKUP(V14,'ideas-input'!$A:$D,4,FALSE)</f>
        <v>eCommerce</v>
      </c>
      <c r="Z14" t="str">
        <f t="shared" si="7"/>
        <v>Commercial</v>
      </c>
      <c r="AA14" t="str">
        <f t="shared" si="8"/>
        <v>In Development</v>
      </c>
      <c r="AB14">
        <f t="shared" si="9"/>
        <v>1018</v>
      </c>
      <c r="AC14">
        <f t="shared" si="10"/>
        <v>2</v>
      </c>
      <c r="AD14">
        <f t="shared" si="11"/>
        <v>5</v>
      </c>
      <c r="AE14">
        <f t="shared" si="12"/>
        <v>1</v>
      </c>
      <c r="AF14">
        <f t="shared" si="13"/>
        <v>2</v>
      </c>
      <c r="AG14">
        <f t="shared" si="14"/>
        <v>4</v>
      </c>
    </row>
    <row r="15" spans="1:33" x14ac:dyDescent="0.2">
      <c r="A15" t="s">
        <v>366</v>
      </c>
      <c r="B15" t="s">
        <v>128</v>
      </c>
      <c r="C15">
        <v>14</v>
      </c>
      <c r="D15">
        <v>99804</v>
      </c>
      <c r="E15" t="s">
        <v>910</v>
      </c>
      <c r="F15" t="s">
        <v>22</v>
      </c>
      <c r="G15" t="s">
        <v>379</v>
      </c>
      <c r="H15" t="s">
        <v>12</v>
      </c>
      <c r="I15" t="s">
        <v>89</v>
      </c>
      <c r="J15">
        <v>1029</v>
      </c>
      <c r="K15">
        <v>0.03</v>
      </c>
      <c r="L15">
        <v>1</v>
      </c>
      <c r="M15">
        <v>1</v>
      </c>
      <c r="N15">
        <v>1</v>
      </c>
      <c r="O15">
        <v>100</v>
      </c>
      <c r="P15" t="b">
        <f t="shared" si="1"/>
        <v>1</v>
      </c>
      <c r="S15" t="str">
        <f t="shared" si="2"/>
        <v>NOW</v>
      </c>
      <c r="T15" t="str">
        <f t="shared" si="3"/>
        <v>SainteLague</v>
      </c>
      <c r="U15">
        <f t="shared" si="4"/>
        <v>14</v>
      </c>
      <c r="V15">
        <f t="shared" si="5"/>
        <v>99804</v>
      </c>
      <c r="W15" s="8" t="str">
        <f>VLOOKUP(V15,'ideas-input'!$A:$B,2,FALSE)</f>
        <v>NOTA (fase 3) Controlo de Fundos de Maneio das Lojas</v>
      </c>
      <c r="X15" t="str">
        <f t="shared" si="6"/>
        <v>CF</v>
      </c>
      <c r="Y15" s="8" t="str">
        <f>VLOOKUP(V15,'ideas-input'!$A:$D,4,FALSE)</f>
        <v>Retail &amp; Financial Services</v>
      </c>
      <c r="Z15" t="str">
        <f t="shared" si="7"/>
        <v>Corporate</v>
      </c>
      <c r="AA15" t="str">
        <f t="shared" si="8"/>
        <v>In Development</v>
      </c>
      <c r="AB15">
        <f t="shared" si="9"/>
        <v>1029</v>
      </c>
      <c r="AC15">
        <f t="shared" si="10"/>
        <v>0.03</v>
      </c>
      <c r="AD15">
        <f t="shared" si="11"/>
        <v>1</v>
      </c>
      <c r="AE15">
        <f t="shared" si="12"/>
        <v>1</v>
      </c>
      <c r="AF15">
        <f t="shared" si="13"/>
        <v>1</v>
      </c>
      <c r="AG15">
        <f t="shared" si="14"/>
        <v>100</v>
      </c>
    </row>
    <row r="16" spans="1:33" x14ac:dyDescent="0.2">
      <c r="A16" t="s">
        <v>366</v>
      </c>
      <c r="B16" t="s">
        <v>128</v>
      </c>
      <c r="C16">
        <v>15</v>
      </c>
      <c r="D16">
        <v>62519</v>
      </c>
      <c r="E16" t="s">
        <v>369</v>
      </c>
      <c r="F16" t="s">
        <v>64</v>
      </c>
      <c r="G16" t="s">
        <v>10</v>
      </c>
      <c r="H16" t="s">
        <v>6</v>
      </c>
      <c r="I16" t="s">
        <v>89</v>
      </c>
      <c r="J16">
        <v>1013</v>
      </c>
      <c r="K16">
        <v>2</v>
      </c>
      <c r="L16">
        <v>2</v>
      </c>
      <c r="M16">
        <v>1</v>
      </c>
      <c r="N16">
        <v>1</v>
      </c>
      <c r="O16">
        <v>2</v>
      </c>
      <c r="P16" t="b">
        <f t="shared" si="1"/>
        <v>1</v>
      </c>
      <c r="S16" t="str">
        <f t="shared" si="2"/>
        <v>NOW</v>
      </c>
      <c r="T16" t="str">
        <f t="shared" si="3"/>
        <v>SainteLague</v>
      </c>
      <c r="U16">
        <f t="shared" si="4"/>
        <v>15</v>
      </c>
      <c r="V16">
        <f t="shared" si="5"/>
        <v>62519</v>
      </c>
      <c r="W16" s="8" t="str">
        <f>VLOOKUP(V16,'ideas-input'!$A:$B,2,FALSE)</f>
        <v>Los usuarios de las delegaciones no tienen que ver las liquidaciones de LH de los proveedores</v>
      </c>
      <c r="X16" t="str">
        <f t="shared" si="6"/>
        <v>COO</v>
      </c>
      <c r="Y16" s="8" t="str">
        <f>VLOOKUP(V16,'ideas-input'!$A:$D,4,FALSE)</f>
        <v>eCommerce</v>
      </c>
      <c r="Z16" t="str">
        <f t="shared" si="7"/>
        <v>Operations</v>
      </c>
      <c r="AA16" t="str">
        <f t="shared" si="8"/>
        <v>In Development</v>
      </c>
      <c r="AB16">
        <f t="shared" si="9"/>
        <v>1013</v>
      </c>
      <c r="AC16">
        <f t="shared" si="10"/>
        <v>2</v>
      </c>
      <c r="AD16">
        <f t="shared" si="11"/>
        <v>2</v>
      </c>
      <c r="AE16">
        <f t="shared" si="12"/>
        <v>1</v>
      </c>
      <c r="AF16">
        <f t="shared" si="13"/>
        <v>1</v>
      </c>
      <c r="AG16">
        <f t="shared" si="14"/>
        <v>2</v>
      </c>
    </row>
    <row r="17" spans="1:33" x14ac:dyDescent="0.2">
      <c r="A17" t="s">
        <v>366</v>
      </c>
      <c r="B17" t="s">
        <v>128</v>
      </c>
      <c r="C17">
        <v>16</v>
      </c>
      <c r="D17">
        <v>201921</v>
      </c>
      <c r="E17" t="s">
        <v>911</v>
      </c>
      <c r="F17" t="s">
        <v>34</v>
      </c>
      <c r="G17" t="s">
        <v>379</v>
      </c>
      <c r="H17" t="s">
        <v>8</v>
      </c>
      <c r="I17" t="s">
        <v>89</v>
      </c>
      <c r="J17">
        <v>1023</v>
      </c>
      <c r="K17">
        <v>0.03</v>
      </c>
      <c r="L17">
        <v>1</v>
      </c>
      <c r="M17">
        <v>1</v>
      </c>
      <c r="N17">
        <v>1</v>
      </c>
      <c r="O17">
        <v>100</v>
      </c>
      <c r="P17" t="b">
        <f t="shared" si="1"/>
        <v>1</v>
      </c>
      <c r="S17" t="str">
        <f t="shared" si="2"/>
        <v>NOW</v>
      </c>
      <c r="T17" t="str">
        <f t="shared" si="3"/>
        <v>SainteLague</v>
      </c>
      <c r="U17">
        <f t="shared" si="4"/>
        <v>16</v>
      </c>
      <c r="V17">
        <f t="shared" si="5"/>
        <v>201921</v>
      </c>
      <c r="W17" s="8" t="str">
        <f>VLOOKUP(V17,'ideas-input'!$A:$B,2,FALSE)</f>
        <v>Esforço CTT de apoio ao Banco CTT - Segregação de Identidades e Serviços Microsoft 365</v>
      </c>
      <c r="X17" t="str">
        <f t="shared" si="6"/>
        <v>BCTT</v>
      </c>
      <c r="Y17" s="8" t="str">
        <f>VLOOKUP(V17,'ideas-input'!$A:$D,4,FALSE)</f>
        <v>Mail</v>
      </c>
      <c r="Z17" t="str">
        <f t="shared" si="7"/>
        <v>Technology</v>
      </c>
      <c r="AA17" t="str">
        <f t="shared" si="8"/>
        <v>In Development</v>
      </c>
      <c r="AB17">
        <f t="shared" si="9"/>
        <v>1023</v>
      </c>
      <c r="AC17">
        <f t="shared" si="10"/>
        <v>0.03</v>
      </c>
      <c r="AD17">
        <f t="shared" si="11"/>
        <v>1</v>
      </c>
      <c r="AE17">
        <f t="shared" si="12"/>
        <v>1</v>
      </c>
      <c r="AF17">
        <f t="shared" si="13"/>
        <v>1</v>
      </c>
      <c r="AG17">
        <f t="shared" si="14"/>
        <v>100</v>
      </c>
    </row>
    <row r="18" spans="1:33" x14ac:dyDescent="0.2">
      <c r="A18" t="s">
        <v>366</v>
      </c>
      <c r="B18" t="s">
        <v>128</v>
      </c>
      <c r="C18">
        <v>17</v>
      </c>
      <c r="D18">
        <v>58466</v>
      </c>
      <c r="E18" t="s">
        <v>909</v>
      </c>
      <c r="F18" t="s">
        <v>65</v>
      </c>
      <c r="G18" t="s">
        <v>10</v>
      </c>
      <c r="H18" t="s">
        <v>5</v>
      </c>
      <c r="I18" t="s">
        <v>89</v>
      </c>
      <c r="J18">
        <v>1020</v>
      </c>
      <c r="K18">
        <v>0.03</v>
      </c>
      <c r="L18">
        <v>1</v>
      </c>
      <c r="M18">
        <v>1</v>
      </c>
      <c r="N18">
        <v>1</v>
      </c>
      <c r="O18">
        <v>100</v>
      </c>
      <c r="P18" t="b">
        <f t="shared" si="1"/>
        <v>1</v>
      </c>
      <c r="S18" t="str">
        <f t="shared" si="2"/>
        <v>NOW</v>
      </c>
      <c r="T18" t="str">
        <f t="shared" si="3"/>
        <v>SainteLague</v>
      </c>
      <c r="U18">
        <f t="shared" si="4"/>
        <v>17</v>
      </c>
      <c r="V18">
        <f t="shared" si="5"/>
        <v>58466</v>
      </c>
      <c r="W18" s="8" t="str">
        <f>VLOOKUP(V18,'ideas-input'!$A:$B,2,FALSE)</f>
        <v>[Web de Clientes][Web de Cambios] - Trazabilidad - Actualización de literales en visión de Web de clientes y Destinatario (Web de cambios)</v>
      </c>
      <c r="X18" t="str">
        <f t="shared" si="6"/>
        <v>CMO</v>
      </c>
      <c r="Y18" s="8" t="str">
        <f>VLOOKUP(V18,'ideas-input'!$A:$D,4,FALSE)</f>
        <v>eCommerce</v>
      </c>
      <c r="Z18" t="str">
        <f t="shared" si="7"/>
        <v>Commercial</v>
      </c>
      <c r="AA18" t="str">
        <f t="shared" si="8"/>
        <v>In Development</v>
      </c>
      <c r="AB18">
        <f t="shared" si="9"/>
        <v>1020</v>
      </c>
      <c r="AC18">
        <f t="shared" si="10"/>
        <v>0.03</v>
      </c>
      <c r="AD18">
        <f t="shared" si="11"/>
        <v>1</v>
      </c>
      <c r="AE18">
        <f t="shared" si="12"/>
        <v>1</v>
      </c>
      <c r="AF18">
        <f t="shared" si="13"/>
        <v>1</v>
      </c>
      <c r="AG18">
        <f t="shared" si="14"/>
        <v>100</v>
      </c>
    </row>
    <row r="19" spans="1:33" x14ac:dyDescent="0.2">
      <c r="A19" t="s">
        <v>366</v>
      </c>
      <c r="B19" t="s">
        <v>128</v>
      </c>
      <c r="C19">
        <v>18</v>
      </c>
      <c r="D19">
        <v>85297</v>
      </c>
      <c r="E19" t="s">
        <v>912</v>
      </c>
      <c r="F19" t="s">
        <v>37</v>
      </c>
      <c r="G19" t="s">
        <v>379</v>
      </c>
      <c r="H19" t="s">
        <v>5</v>
      </c>
      <c r="I19" t="s">
        <v>90</v>
      </c>
      <c r="J19">
        <v>1001</v>
      </c>
      <c r="K19">
        <v>0.03</v>
      </c>
      <c r="L19">
        <v>1</v>
      </c>
      <c r="M19">
        <v>1</v>
      </c>
      <c r="N19">
        <v>1</v>
      </c>
      <c r="O19">
        <v>100</v>
      </c>
      <c r="P19" t="b">
        <f t="shared" si="1"/>
        <v>1</v>
      </c>
      <c r="S19" t="str">
        <f t="shared" si="2"/>
        <v>NOW</v>
      </c>
      <c r="T19" t="str">
        <f t="shared" si="3"/>
        <v>SainteLague</v>
      </c>
      <c r="U19">
        <f t="shared" si="4"/>
        <v>18</v>
      </c>
      <c r="V19">
        <f t="shared" si="5"/>
        <v>85297</v>
      </c>
      <c r="W19" s="8" t="str">
        <f>VLOOKUP(V19,'ideas-input'!$A:$B,2,FALSE)</f>
        <v>Programa Galaxy - Jornada de envios "Correio Registado Nacional e Expresso Nacional"</v>
      </c>
      <c r="X19" t="str">
        <f t="shared" si="6"/>
        <v>GS</v>
      </c>
      <c r="Y19" s="8" t="str">
        <f>VLOOKUP(V19,'ideas-input'!$A:$D,4,FALSE)</f>
        <v>Mail</v>
      </c>
      <c r="Z19" t="str">
        <f t="shared" si="7"/>
        <v>Commercial</v>
      </c>
      <c r="AA19" t="str">
        <f t="shared" si="8"/>
        <v>In Acceptance</v>
      </c>
      <c r="AB19">
        <f t="shared" si="9"/>
        <v>1001</v>
      </c>
      <c r="AC19">
        <f t="shared" si="10"/>
        <v>0.03</v>
      </c>
      <c r="AD19">
        <f t="shared" si="11"/>
        <v>1</v>
      </c>
      <c r="AE19">
        <f t="shared" si="12"/>
        <v>1</v>
      </c>
      <c r="AF19">
        <f t="shared" si="13"/>
        <v>1</v>
      </c>
      <c r="AG19">
        <f t="shared" si="14"/>
        <v>100</v>
      </c>
    </row>
    <row r="20" spans="1:33" x14ac:dyDescent="0.2">
      <c r="A20" t="s">
        <v>366</v>
      </c>
      <c r="B20" t="s">
        <v>128</v>
      </c>
      <c r="C20">
        <v>19</v>
      </c>
      <c r="D20">
        <v>60703</v>
      </c>
      <c r="E20" t="s">
        <v>916</v>
      </c>
      <c r="F20" t="s">
        <v>65</v>
      </c>
      <c r="G20" t="s">
        <v>10</v>
      </c>
      <c r="H20" t="s">
        <v>5</v>
      </c>
      <c r="I20" t="s">
        <v>89</v>
      </c>
      <c r="J20">
        <v>1027</v>
      </c>
      <c r="K20">
        <v>0.03</v>
      </c>
      <c r="L20">
        <v>1</v>
      </c>
      <c r="M20">
        <v>1</v>
      </c>
      <c r="N20">
        <v>1</v>
      </c>
      <c r="O20">
        <v>100</v>
      </c>
      <c r="P20" t="b">
        <f t="shared" si="1"/>
        <v>1</v>
      </c>
      <c r="S20" t="str">
        <f t="shared" si="2"/>
        <v>NOW</v>
      </c>
      <c r="T20" t="str">
        <f t="shared" si="3"/>
        <v>SainteLague</v>
      </c>
      <c r="U20">
        <f t="shared" si="4"/>
        <v>19</v>
      </c>
      <c r="V20">
        <f t="shared" si="5"/>
        <v>60703</v>
      </c>
      <c r="W20" s="8" t="str">
        <f>VLOOKUP(V20,'ideas-input'!$A:$B,2,FALSE)</f>
        <v>[PUDOS] - Incluir selección origen PT en Web Clientes para servicios RDP origen PT con manifiesto en ES</v>
      </c>
      <c r="X20" t="str">
        <f t="shared" si="6"/>
        <v>CMO</v>
      </c>
      <c r="Y20" s="8" t="str">
        <f>VLOOKUP(V20,'ideas-input'!$A:$D,4,FALSE)</f>
        <v>eCommerce</v>
      </c>
      <c r="Z20" t="str">
        <f t="shared" si="7"/>
        <v>Commercial</v>
      </c>
      <c r="AA20" t="str">
        <f t="shared" si="8"/>
        <v>In Development</v>
      </c>
      <c r="AB20">
        <f t="shared" si="9"/>
        <v>1027</v>
      </c>
      <c r="AC20">
        <f t="shared" si="10"/>
        <v>0.03</v>
      </c>
      <c r="AD20">
        <f t="shared" si="11"/>
        <v>1</v>
      </c>
      <c r="AE20">
        <f t="shared" si="12"/>
        <v>1</v>
      </c>
      <c r="AF20">
        <f t="shared" si="13"/>
        <v>1</v>
      </c>
      <c r="AG20">
        <f t="shared" si="14"/>
        <v>100</v>
      </c>
    </row>
    <row r="21" spans="1:33" x14ac:dyDescent="0.2">
      <c r="A21" t="s">
        <v>366</v>
      </c>
      <c r="B21" t="s">
        <v>128</v>
      </c>
      <c r="C21">
        <v>20</v>
      </c>
      <c r="D21">
        <v>50852</v>
      </c>
      <c r="E21" t="s">
        <v>1664</v>
      </c>
      <c r="F21" t="s">
        <v>11</v>
      </c>
      <c r="G21" t="s">
        <v>379</v>
      </c>
      <c r="H21" t="s">
        <v>11</v>
      </c>
      <c r="I21" t="s">
        <v>89</v>
      </c>
      <c r="J21">
        <v>1017</v>
      </c>
      <c r="K21">
        <v>0.03</v>
      </c>
      <c r="L21">
        <v>1</v>
      </c>
      <c r="M21">
        <v>1</v>
      </c>
      <c r="N21">
        <v>1</v>
      </c>
      <c r="O21">
        <v>100</v>
      </c>
      <c r="P21" t="b">
        <f t="shared" si="1"/>
        <v>1</v>
      </c>
      <c r="S21" t="str">
        <f t="shared" si="2"/>
        <v>NOW</v>
      </c>
      <c r="T21" t="str">
        <f t="shared" si="3"/>
        <v>SainteLague</v>
      </c>
      <c r="U21">
        <f t="shared" si="4"/>
        <v>20</v>
      </c>
      <c r="V21">
        <f t="shared" si="5"/>
        <v>50852</v>
      </c>
      <c r="W21" s="8" t="str">
        <f>VLOOKUP(V21,'ideas-input'!$A:$B,2,FALSE)</f>
        <v>SOC  - operacionalização do serviço</v>
      </c>
      <c r="X21" t="str">
        <f t="shared" si="6"/>
        <v>CISO</v>
      </c>
      <c r="Y21" s="8" t="str">
        <f>VLOOKUP(V21,'ideas-input'!$A:$D,4,FALSE)</f>
        <v>Mail</v>
      </c>
      <c r="Z21" t="str">
        <f t="shared" si="7"/>
        <v>CISO</v>
      </c>
      <c r="AA21" t="str">
        <f t="shared" si="8"/>
        <v>In Development</v>
      </c>
      <c r="AB21">
        <f t="shared" si="9"/>
        <v>1017</v>
      </c>
      <c r="AC21">
        <f t="shared" si="10"/>
        <v>0.03</v>
      </c>
      <c r="AD21">
        <f t="shared" si="11"/>
        <v>1</v>
      </c>
      <c r="AE21">
        <f t="shared" si="12"/>
        <v>1</v>
      </c>
      <c r="AF21">
        <f t="shared" si="13"/>
        <v>1</v>
      </c>
      <c r="AG21">
        <f t="shared" si="14"/>
        <v>100</v>
      </c>
    </row>
    <row r="22" spans="1:33" x14ac:dyDescent="0.2">
      <c r="A22" t="s">
        <v>366</v>
      </c>
      <c r="B22" t="s">
        <v>128</v>
      </c>
      <c r="C22">
        <v>21</v>
      </c>
      <c r="D22">
        <v>47872</v>
      </c>
      <c r="E22" t="s">
        <v>914</v>
      </c>
      <c r="F22" t="s">
        <v>65</v>
      </c>
      <c r="G22" t="s">
        <v>10</v>
      </c>
      <c r="H22" t="s">
        <v>5</v>
      </c>
      <c r="I22" t="s">
        <v>89</v>
      </c>
      <c r="J22">
        <v>1028</v>
      </c>
      <c r="K22">
        <v>0.03</v>
      </c>
      <c r="L22">
        <v>1</v>
      </c>
      <c r="M22">
        <v>1</v>
      </c>
      <c r="N22">
        <v>1</v>
      </c>
      <c r="O22">
        <v>100</v>
      </c>
      <c r="P22" t="b">
        <f t="shared" si="1"/>
        <v>1</v>
      </c>
      <c r="S22" t="str">
        <f t="shared" si="2"/>
        <v>NOW</v>
      </c>
      <c r="T22" t="str">
        <f t="shared" si="3"/>
        <v>SainteLague</v>
      </c>
      <c r="U22">
        <f t="shared" si="4"/>
        <v>21</v>
      </c>
      <c r="V22">
        <f t="shared" si="5"/>
        <v>47872</v>
      </c>
      <c r="W22" s="8" t="str">
        <f>VLOOKUP(V22,'ideas-input'!$A:$B,2,FALSE)</f>
        <v>[Internacional]-[Nuevo Producto Low Cost]- SKYNET</v>
      </c>
      <c r="X22" t="str">
        <f t="shared" si="6"/>
        <v>CMO</v>
      </c>
      <c r="Y22" s="8" t="str">
        <f>VLOOKUP(V22,'ideas-input'!$A:$D,4,FALSE)</f>
        <v>eCommerce</v>
      </c>
      <c r="Z22" t="str">
        <f t="shared" si="7"/>
        <v>Commercial</v>
      </c>
      <c r="AA22" t="str">
        <f t="shared" si="8"/>
        <v>In Development</v>
      </c>
      <c r="AB22">
        <f t="shared" si="9"/>
        <v>1028</v>
      </c>
      <c r="AC22">
        <f t="shared" si="10"/>
        <v>0.03</v>
      </c>
      <c r="AD22">
        <f t="shared" si="11"/>
        <v>1</v>
      </c>
      <c r="AE22">
        <f t="shared" si="12"/>
        <v>1</v>
      </c>
      <c r="AF22">
        <f t="shared" si="13"/>
        <v>1</v>
      </c>
      <c r="AG22">
        <f t="shared" si="14"/>
        <v>100</v>
      </c>
    </row>
    <row r="23" spans="1:33" x14ac:dyDescent="0.2">
      <c r="A23" t="s">
        <v>366</v>
      </c>
      <c r="B23" t="s">
        <v>128</v>
      </c>
      <c r="C23">
        <v>22</v>
      </c>
      <c r="D23">
        <v>68962</v>
      </c>
      <c r="E23" t="s">
        <v>913</v>
      </c>
      <c r="F23" t="s">
        <v>45</v>
      </c>
      <c r="G23" t="s">
        <v>379</v>
      </c>
      <c r="H23" t="s">
        <v>12</v>
      </c>
      <c r="I23" t="s">
        <v>89</v>
      </c>
      <c r="J23">
        <v>1024</v>
      </c>
      <c r="K23">
        <v>0.03</v>
      </c>
      <c r="L23">
        <v>1</v>
      </c>
      <c r="M23">
        <v>1</v>
      </c>
      <c r="N23">
        <v>1</v>
      </c>
      <c r="O23">
        <v>100</v>
      </c>
      <c r="P23" t="b">
        <f t="shared" si="1"/>
        <v>1</v>
      </c>
      <c r="S23" t="str">
        <f t="shared" si="2"/>
        <v>NOW</v>
      </c>
      <c r="T23" t="str">
        <f t="shared" si="3"/>
        <v>SainteLague</v>
      </c>
      <c r="U23">
        <f t="shared" si="4"/>
        <v>22</v>
      </c>
      <c r="V23">
        <f t="shared" si="5"/>
        <v>68962</v>
      </c>
      <c r="W23" s="8" t="str">
        <f>VLOOKUP(V23,'ideas-input'!$A:$B,2,FALSE)</f>
        <v>XRP - FASE 2: CTT e novas funcionalidades</v>
      </c>
      <c r="X23" t="str">
        <f t="shared" si="6"/>
        <v>RS</v>
      </c>
      <c r="Y23" s="8" t="str">
        <f>VLOOKUP(V23,'ideas-input'!$A:$D,4,FALSE)</f>
        <v>Mail</v>
      </c>
      <c r="Z23" t="str">
        <f t="shared" si="7"/>
        <v>Corporate</v>
      </c>
      <c r="AA23" t="str">
        <f t="shared" si="8"/>
        <v>In Development</v>
      </c>
      <c r="AB23">
        <f t="shared" si="9"/>
        <v>1024</v>
      </c>
      <c r="AC23">
        <f t="shared" si="10"/>
        <v>0.03</v>
      </c>
      <c r="AD23">
        <f t="shared" si="11"/>
        <v>1</v>
      </c>
      <c r="AE23">
        <f t="shared" si="12"/>
        <v>1</v>
      </c>
      <c r="AF23">
        <f t="shared" si="13"/>
        <v>1</v>
      </c>
      <c r="AG23">
        <f t="shared" si="14"/>
        <v>100</v>
      </c>
    </row>
    <row r="24" spans="1:33" x14ac:dyDescent="0.2">
      <c r="A24" t="s">
        <v>366</v>
      </c>
      <c r="B24" t="s">
        <v>128</v>
      </c>
      <c r="C24">
        <v>23</v>
      </c>
      <c r="D24">
        <v>43578</v>
      </c>
      <c r="E24" t="s">
        <v>367</v>
      </c>
      <c r="F24" t="s">
        <v>65</v>
      </c>
      <c r="G24" t="s">
        <v>10</v>
      </c>
      <c r="H24" t="s">
        <v>5</v>
      </c>
      <c r="I24" t="s">
        <v>89</v>
      </c>
      <c r="J24">
        <v>1032</v>
      </c>
      <c r="K24">
        <v>0.03</v>
      </c>
      <c r="L24">
        <v>1</v>
      </c>
      <c r="M24">
        <v>1</v>
      </c>
      <c r="N24">
        <v>1</v>
      </c>
      <c r="O24">
        <v>100</v>
      </c>
      <c r="P24" t="b">
        <f t="shared" si="1"/>
        <v>1</v>
      </c>
      <c r="S24" t="str">
        <f t="shared" si="2"/>
        <v>NOW</v>
      </c>
      <c r="T24" t="str">
        <f t="shared" si="3"/>
        <v>SainteLague</v>
      </c>
      <c r="U24">
        <f t="shared" si="4"/>
        <v>23</v>
      </c>
      <c r="V24">
        <f t="shared" si="5"/>
        <v>43578</v>
      </c>
      <c r="W24" s="8" t="str">
        <f>VLOOKUP(V24,'ideas-input'!$A:$B,2,FALSE)</f>
        <v>[PUDOS] - Venta Internacional en PUDOS</v>
      </c>
      <c r="X24" t="str">
        <f t="shared" si="6"/>
        <v>CMO</v>
      </c>
      <c r="Y24" s="8" t="str">
        <f>VLOOKUP(V24,'ideas-input'!$A:$D,4,FALSE)</f>
        <v>eCommerce</v>
      </c>
      <c r="Z24" t="str">
        <f t="shared" si="7"/>
        <v>Commercial</v>
      </c>
      <c r="AA24" t="str">
        <f t="shared" si="8"/>
        <v>In Development</v>
      </c>
      <c r="AB24">
        <f t="shared" si="9"/>
        <v>1032</v>
      </c>
      <c r="AC24">
        <f t="shared" si="10"/>
        <v>0.03</v>
      </c>
      <c r="AD24">
        <f t="shared" si="11"/>
        <v>1</v>
      </c>
      <c r="AE24">
        <f t="shared" si="12"/>
        <v>1</v>
      </c>
      <c r="AF24">
        <f t="shared" si="13"/>
        <v>1</v>
      </c>
      <c r="AG24">
        <f t="shared" si="14"/>
        <v>100</v>
      </c>
    </row>
    <row r="25" spans="1:33" x14ac:dyDescent="0.2">
      <c r="A25" t="s">
        <v>366</v>
      </c>
      <c r="B25" t="s">
        <v>128</v>
      </c>
      <c r="C25">
        <v>24</v>
      </c>
      <c r="D25">
        <v>126944</v>
      </c>
      <c r="E25" t="s">
        <v>925</v>
      </c>
      <c r="F25" t="s">
        <v>59</v>
      </c>
      <c r="G25" t="s">
        <v>379</v>
      </c>
      <c r="H25" t="s">
        <v>8</v>
      </c>
      <c r="I25" t="s">
        <v>89</v>
      </c>
      <c r="J25">
        <v>1036</v>
      </c>
      <c r="K25">
        <v>3.3330000000000002</v>
      </c>
      <c r="L25">
        <v>4</v>
      </c>
      <c r="M25">
        <v>3</v>
      </c>
      <c r="N25">
        <v>3</v>
      </c>
      <c r="O25">
        <v>3</v>
      </c>
      <c r="P25" t="b">
        <f t="shared" si="1"/>
        <v>1</v>
      </c>
      <c r="S25" t="str">
        <f t="shared" si="2"/>
        <v>NOW</v>
      </c>
      <c r="T25" t="str">
        <f t="shared" si="3"/>
        <v>SainteLague</v>
      </c>
      <c r="U25">
        <f t="shared" si="4"/>
        <v>24</v>
      </c>
      <c r="V25">
        <f t="shared" si="5"/>
        <v>126944</v>
      </c>
      <c r="W25" s="8" t="str">
        <f>VLOOKUP(V25,'ideas-input'!$A:$B,2,FALSE)</f>
        <v>GitHub Migration - Aplicações Wave 1</v>
      </c>
      <c r="X25" t="str">
        <f t="shared" si="6"/>
        <v>SI-OPS</v>
      </c>
      <c r="Y25" s="8" t="str">
        <f>VLOOKUP(V25,'ideas-input'!$A:$D,4,FALSE)</f>
        <v>Mail</v>
      </c>
      <c r="Z25" t="str">
        <f t="shared" si="7"/>
        <v>Technology</v>
      </c>
      <c r="AA25" t="str">
        <f t="shared" si="8"/>
        <v>In Development</v>
      </c>
      <c r="AB25">
        <f t="shared" si="9"/>
        <v>1036</v>
      </c>
      <c r="AC25">
        <f t="shared" si="10"/>
        <v>3.3330000000000002</v>
      </c>
      <c r="AD25">
        <f t="shared" si="11"/>
        <v>4</v>
      </c>
      <c r="AE25">
        <f t="shared" si="12"/>
        <v>3</v>
      </c>
      <c r="AF25">
        <f t="shared" si="13"/>
        <v>3</v>
      </c>
      <c r="AG25">
        <f t="shared" si="14"/>
        <v>3</v>
      </c>
    </row>
    <row r="26" spans="1:33" x14ac:dyDescent="0.2">
      <c r="A26" t="s">
        <v>366</v>
      </c>
      <c r="B26" t="s">
        <v>128</v>
      </c>
      <c r="C26">
        <v>25</v>
      </c>
      <c r="D26">
        <v>70181</v>
      </c>
      <c r="E26" t="s">
        <v>917</v>
      </c>
      <c r="F26" t="s">
        <v>24</v>
      </c>
      <c r="G26" t="s">
        <v>379</v>
      </c>
      <c r="H26" t="s">
        <v>5</v>
      </c>
      <c r="I26" t="s">
        <v>89</v>
      </c>
      <c r="J26">
        <v>1021</v>
      </c>
      <c r="K26">
        <v>2.75</v>
      </c>
      <c r="L26">
        <v>4</v>
      </c>
      <c r="M26">
        <v>4</v>
      </c>
      <c r="N26">
        <v>3</v>
      </c>
      <c r="O26">
        <v>4</v>
      </c>
      <c r="P26" t="b">
        <f t="shared" si="1"/>
        <v>1</v>
      </c>
      <c r="S26" t="str">
        <f t="shared" si="2"/>
        <v>NOW</v>
      </c>
      <c r="T26" t="str">
        <f t="shared" si="3"/>
        <v>SainteLague</v>
      </c>
      <c r="U26">
        <f t="shared" si="4"/>
        <v>25</v>
      </c>
      <c r="V26">
        <f t="shared" si="5"/>
        <v>70181</v>
      </c>
      <c r="W26" s="8" t="str">
        <f>VLOOKUP(V26,'ideas-input'!$A:$B,2,FALSE)</f>
        <v>Novo Modelo operativo - Postos CTT não NAVe</v>
      </c>
      <c r="X26" t="str">
        <f t="shared" si="6"/>
        <v>GPG</v>
      </c>
      <c r="Y26" s="8" t="str">
        <f>VLOOKUP(V26,'ideas-input'!$A:$D,4,FALSE)</f>
        <v>Mail</v>
      </c>
      <c r="Z26" t="str">
        <f t="shared" si="7"/>
        <v>Commercial</v>
      </c>
      <c r="AA26" t="str">
        <f t="shared" si="8"/>
        <v>In Development</v>
      </c>
      <c r="AB26">
        <f t="shared" si="9"/>
        <v>1021</v>
      </c>
      <c r="AC26">
        <f t="shared" si="10"/>
        <v>2.75</v>
      </c>
      <c r="AD26">
        <f t="shared" si="11"/>
        <v>4</v>
      </c>
      <c r="AE26">
        <f t="shared" si="12"/>
        <v>4</v>
      </c>
      <c r="AF26">
        <f t="shared" si="13"/>
        <v>3</v>
      </c>
      <c r="AG26">
        <f t="shared" si="14"/>
        <v>4</v>
      </c>
    </row>
    <row r="27" spans="1:33" x14ac:dyDescent="0.2">
      <c r="A27" t="s">
        <v>366</v>
      </c>
      <c r="B27" t="s">
        <v>128</v>
      </c>
      <c r="C27">
        <v>26</v>
      </c>
      <c r="D27">
        <v>88802</v>
      </c>
      <c r="E27" t="s">
        <v>918</v>
      </c>
      <c r="F27" t="s">
        <v>46</v>
      </c>
      <c r="G27" t="s">
        <v>379</v>
      </c>
      <c r="H27" t="s">
        <v>12</v>
      </c>
      <c r="I27" t="s">
        <v>90</v>
      </c>
      <c r="J27">
        <v>1003</v>
      </c>
      <c r="K27">
        <v>0.03</v>
      </c>
      <c r="L27">
        <v>1</v>
      </c>
      <c r="M27">
        <v>1</v>
      </c>
      <c r="N27">
        <v>1</v>
      </c>
      <c r="O27">
        <v>100</v>
      </c>
      <c r="P27" t="b">
        <f t="shared" si="1"/>
        <v>1</v>
      </c>
      <c r="S27" t="str">
        <f t="shared" si="2"/>
        <v>NOW</v>
      </c>
      <c r="T27" t="str">
        <f t="shared" si="3"/>
        <v>SainteLague</v>
      </c>
      <c r="U27">
        <f t="shared" si="4"/>
        <v>26</v>
      </c>
      <c r="V27">
        <f t="shared" si="5"/>
        <v>88802</v>
      </c>
      <c r="W27" s="8" t="str">
        <f>VLOOKUP(V27,'ideas-input'!$A:$B,2,FALSE)</f>
        <v>Helena Evolução + Arquitetura de referência para Soluções AI - Incremento 1</v>
      </c>
      <c r="X27" t="str">
        <f t="shared" si="6"/>
        <v>AVC</v>
      </c>
      <c r="Y27" s="8" t="str">
        <f>VLOOKUP(V27,'ideas-input'!$A:$D,4,FALSE)</f>
        <v>Mail</v>
      </c>
      <c r="Z27" t="str">
        <f t="shared" si="7"/>
        <v>Corporate</v>
      </c>
      <c r="AA27" t="str">
        <f t="shared" si="8"/>
        <v>In Acceptance</v>
      </c>
      <c r="AB27">
        <f t="shared" si="9"/>
        <v>1003</v>
      </c>
      <c r="AC27">
        <f t="shared" si="10"/>
        <v>0.03</v>
      </c>
      <c r="AD27">
        <f t="shared" si="11"/>
        <v>1</v>
      </c>
      <c r="AE27">
        <f t="shared" si="12"/>
        <v>1</v>
      </c>
      <c r="AF27">
        <f t="shared" si="13"/>
        <v>1</v>
      </c>
      <c r="AG27">
        <f t="shared" si="14"/>
        <v>100</v>
      </c>
    </row>
    <row r="28" spans="1:33" x14ac:dyDescent="0.2">
      <c r="A28" t="s">
        <v>366</v>
      </c>
      <c r="B28" t="s">
        <v>128</v>
      </c>
      <c r="C28">
        <v>27</v>
      </c>
      <c r="D28">
        <v>127822</v>
      </c>
      <c r="E28" t="s">
        <v>905</v>
      </c>
      <c r="F28" t="s">
        <v>9</v>
      </c>
      <c r="G28" t="s">
        <v>379</v>
      </c>
      <c r="H28" t="s">
        <v>8</v>
      </c>
      <c r="I28" t="s">
        <v>89</v>
      </c>
      <c r="J28">
        <v>1016</v>
      </c>
      <c r="K28">
        <v>3</v>
      </c>
      <c r="L28">
        <v>4</v>
      </c>
      <c r="M28">
        <v>5</v>
      </c>
      <c r="N28">
        <v>3</v>
      </c>
      <c r="O28">
        <v>4</v>
      </c>
      <c r="P28" t="b">
        <f t="shared" si="1"/>
        <v>1</v>
      </c>
      <c r="S28" t="str">
        <f t="shared" si="2"/>
        <v>NOW</v>
      </c>
      <c r="T28" t="str">
        <f t="shared" si="3"/>
        <v>SainteLague</v>
      </c>
      <c r="U28">
        <f t="shared" si="4"/>
        <v>27</v>
      </c>
      <c r="V28">
        <f t="shared" si="5"/>
        <v>127822</v>
      </c>
      <c r="W28" s="8" t="str">
        <f>VLOOKUP(V28,'ideas-input'!$A:$B,2,FALSE)</f>
        <v>APT | Migração APIs IBM em Mulesoft - Fase 5/5</v>
      </c>
      <c r="X28" t="str">
        <f t="shared" si="6"/>
        <v>SI</v>
      </c>
      <c r="Y28" s="8" t="str">
        <f>VLOOKUP(V28,'ideas-input'!$A:$D,4,FALSE)</f>
        <v>Mail</v>
      </c>
      <c r="Z28" t="str">
        <f t="shared" si="7"/>
        <v>Technology</v>
      </c>
      <c r="AA28" t="str">
        <f t="shared" si="8"/>
        <v>In Development</v>
      </c>
      <c r="AB28">
        <f t="shared" si="9"/>
        <v>1016</v>
      </c>
      <c r="AC28">
        <f t="shared" si="10"/>
        <v>3</v>
      </c>
      <c r="AD28">
        <f t="shared" si="11"/>
        <v>4</v>
      </c>
      <c r="AE28">
        <f t="shared" si="12"/>
        <v>5</v>
      </c>
      <c r="AF28">
        <f t="shared" si="13"/>
        <v>3</v>
      </c>
      <c r="AG28">
        <f t="shared" si="14"/>
        <v>4</v>
      </c>
    </row>
    <row r="29" spans="1:33" x14ac:dyDescent="0.2">
      <c r="A29" t="s">
        <v>366</v>
      </c>
      <c r="B29" t="s">
        <v>128</v>
      </c>
      <c r="C29">
        <v>28</v>
      </c>
      <c r="D29">
        <v>149884</v>
      </c>
      <c r="E29" t="s">
        <v>920</v>
      </c>
      <c r="F29" t="s">
        <v>21</v>
      </c>
      <c r="G29" t="s">
        <v>379</v>
      </c>
      <c r="H29" t="s">
        <v>5</v>
      </c>
      <c r="I29" t="s">
        <v>89</v>
      </c>
      <c r="J29">
        <v>1019</v>
      </c>
      <c r="K29">
        <v>0.03</v>
      </c>
      <c r="L29">
        <v>1</v>
      </c>
      <c r="M29">
        <v>1</v>
      </c>
      <c r="N29">
        <v>1</v>
      </c>
      <c r="O29">
        <v>100</v>
      </c>
      <c r="P29" t="b">
        <f t="shared" si="1"/>
        <v>1</v>
      </c>
      <c r="S29" t="str">
        <f t="shared" si="2"/>
        <v>NOW</v>
      </c>
      <c r="T29" t="str">
        <f t="shared" si="3"/>
        <v>SainteLague</v>
      </c>
      <c r="U29">
        <f t="shared" si="4"/>
        <v>28</v>
      </c>
      <c r="V29">
        <f t="shared" si="5"/>
        <v>149884</v>
      </c>
      <c r="W29" s="8" t="str">
        <f>VLOOKUP(V29,'ideas-input'!$A:$B,2,FALSE)</f>
        <v>Aviso de Receção (AR) Digital</v>
      </c>
      <c r="X29" t="str">
        <f t="shared" si="6"/>
        <v>GP B2B</v>
      </c>
      <c r="Y29" s="8" t="str">
        <f>VLOOKUP(V29,'ideas-input'!$A:$D,4,FALSE)</f>
        <v>Mail</v>
      </c>
      <c r="Z29" t="str">
        <f t="shared" si="7"/>
        <v>Commercial</v>
      </c>
      <c r="AA29" t="str">
        <f t="shared" si="8"/>
        <v>In Development</v>
      </c>
      <c r="AB29">
        <f t="shared" si="9"/>
        <v>1019</v>
      </c>
      <c r="AC29">
        <f t="shared" si="10"/>
        <v>0.03</v>
      </c>
      <c r="AD29">
        <f t="shared" si="11"/>
        <v>1</v>
      </c>
      <c r="AE29">
        <f t="shared" si="12"/>
        <v>1</v>
      </c>
      <c r="AF29">
        <f t="shared" si="13"/>
        <v>1</v>
      </c>
      <c r="AG29">
        <f t="shared" si="14"/>
        <v>100</v>
      </c>
    </row>
    <row r="30" spans="1:33" x14ac:dyDescent="0.2">
      <c r="A30" t="s">
        <v>366</v>
      </c>
      <c r="B30" t="s">
        <v>128</v>
      </c>
      <c r="C30">
        <v>29</v>
      </c>
      <c r="D30">
        <v>194066</v>
      </c>
      <c r="E30" t="s">
        <v>923</v>
      </c>
      <c r="F30" t="s">
        <v>37</v>
      </c>
      <c r="G30" t="s">
        <v>379</v>
      </c>
      <c r="H30" t="s">
        <v>5</v>
      </c>
      <c r="I30" t="s">
        <v>89</v>
      </c>
      <c r="J30">
        <v>1022</v>
      </c>
      <c r="K30">
        <v>0.03</v>
      </c>
      <c r="L30">
        <v>1</v>
      </c>
      <c r="M30">
        <v>1</v>
      </c>
      <c r="N30">
        <v>1</v>
      </c>
      <c r="O30">
        <v>100</v>
      </c>
      <c r="P30" t="b">
        <f t="shared" si="1"/>
        <v>1</v>
      </c>
      <c r="S30" t="str">
        <f t="shared" si="2"/>
        <v>NOW</v>
      </c>
      <c r="T30" t="str">
        <f t="shared" si="3"/>
        <v>SainteLague</v>
      </c>
      <c r="U30">
        <f t="shared" si="4"/>
        <v>29</v>
      </c>
      <c r="V30">
        <f t="shared" si="5"/>
        <v>194066</v>
      </c>
      <c r="W30" s="8" t="str">
        <f>VLOOKUP(V30,'ideas-input'!$A:$B,2,FALSE)</f>
        <v>GALAXY (Stream Periféricos)| Aceitação de Novos Códigos de Barras em NAVe (Cobrança Postal)</v>
      </c>
      <c r="X30" t="str">
        <f t="shared" si="6"/>
        <v>GS</v>
      </c>
      <c r="Y30" s="8" t="str">
        <f>VLOOKUP(V30,'ideas-input'!$A:$D,4,FALSE)</f>
        <v>Mail</v>
      </c>
      <c r="Z30" t="str">
        <f t="shared" si="7"/>
        <v>Commercial</v>
      </c>
      <c r="AA30" t="str">
        <f t="shared" si="8"/>
        <v>In Development</v>
      </c>
      <c r="AB30">
        <f t="shared" si="9"/>
        <v>1022</v>
      </c>
      <c r="AC30">
        <f t="shared" si="10"/>
        <v>0.03</v>
      </c>
      <c r="AD30">
        <f t="shared" si="11"/>
        <v>1</v>
      </c>
      <c r="AE30">
        <f t="shared" si="12"/>
        <v>1</v>
      </c>
      <c r="AF30">
        <f t="shared" si="13"/>
        <v>1</v>
      </c>
      <c r="AG30">
        <f t="shared" si="14"/>
        <v>100</v>
      </c>
    </row>
    <row r="31" spans="1:33" x14ac:dyDescent="0.2">
      <c r="A31" t="s">
        <v>366</v>
      </c>
      <c r="B31" t="s">
        <v>128</v>
      </c>
      <c r="C31">
        <v>30</v>
      </c>
      <c r="D31">
        <v>129623</v>
      </c>
      <c r="E31" t="s">
        <v>921</v>
      </c>
      <c r="F31" t="s">
        <v>35</v>
      </c>
      <c r="G31" t="s">
        <v>379</v>
      </c>
      <c r="H31" t="s">
        <v>12</v>
      </c>
      <c r="I31" t="s">
        <v>90</v>
      </c>
      <c r="J31">
        <v>1007</v>
      </c>
      <c r="K31">
        <v>4.5</v>
      </c>
      <c r="L31">
        <v>2</v>
      </c>
      <c r="M31">
        <v>4</v>
      </c>
      <c r="N31">
        <v>3</v>
      </c>
      <c r="O31">
        <v>2</v>
      </c>
      <c r="P31" t="b">
        <f t="shared" si="1"/>
        <v>1</v>
      </c>
      <c r="S31" t="str">
        <f t="shared" si="2"/>
        <v>NOW</v>
      </c>
      <c r="T31" t="str">
        <f t="shared" si="3"/>
        <v>SainteLague</v>
      </c>
      <c r="U31">
        <f t="shared" si="4"/>
        <v>30</v>
      </c>
      <c r="V31">
        <f t="shared" si="5"/>
        <v>129623</v>
      </c>
      <c r="W31" s="8" t="str">
        <f>VLOOKUP(V31,'ideas-input'!$A:$B,2,FALSE)</f>
        <v>SAPSF Evolutivos 01.2026</v>
      </c>
      <c r="X31" t="str">
        <f t="shared" si="6"/>
        <v>GRH</v>
      </c>
      <c r="Y31" s="8" t="str">
        <f>VLOOKUP(V31,'ideas-input'!$A:$D,4,FALSE)</f>
        <v>Mail</v>
      </c>
      <c r="Z31" t="str">
        <f t="shared" si="7"/>
        <v>Corporate</v>
      </c>
      <c r="AA31" t="str">
        <f t="shared" si="8"/>
        <v>In Acceptance</v>
      </c>
      <c r="AB31">
        <f t="shared" si="9"/>
        <v>1007</v>
      </c>
      <c r="AC31">
        <f t="shared" si="10"/>
        <v>4.5</v>
      </c>
      <c r="AD31">
        <f t="shared" si="11"/>
        <v>2</v>
      </c>
      <c r="AE31">
        <f t="shared" si="12"/>
        <v>4</v>
      </c>
      <c r="AF31">
        <f t="shared" si="13"/>
        <v>3</v>
      </c>
      <c r="AG31">
        <f t="shared" si="14"/>
        <v>2</v>
      </c>
    </row>
    <row r="32" spans="1:33" x14ac:dyDescent="0.2">
      <c r="A32" t="s">
        <v>366</v>
      </c>
      <c r="B32" t="s">
        <v>128</v>
      </c>
      <c r="C32">
        <v>31</v>
      </c>
      <c r="D32">
        <v>120240</v>
      </c>
      <c r="E32" t="s">
        <v>919</v>
      </c>
      <c r="F32" t="s">
        <v>9</v>
      </c>
      <c r="G32" t="s">
        <v>379</v>
      </c>
      <c r="H32" t="s">
        <v>8</v>
      </c>
      <c r="I32" t="s">
        <v>89</v>
      </c>
      <c r="J32">
        <v>1033</v>
      </c>
      <c r="K32">
        <v>2.6669999999999998</v>
      </c>
      <c r="L32">
        <v>4</v>
      </c>
      <c r="M32">
        <v>2</v>
      </c>
      <c r="N32">
        <v>2</v>
      </c>
      <c r="O32">
        <v>3</v>
      </c>
      <c r="P32" t="b">
        <f t="shared" si="1"/>
        <v>1</v>
      </c>
      <c r="S32" t="str">
        <f t="shared" si="2"/>
        <v>NOW</v>
      </c>
      <c r="T32" t="str">
        <f t="shared" si="3"/>
        <v>SainteLague</v>
      </c>
      <c r="U32">
        <f t="shared" si="4"/>
        <v>31</v>
      </c>
      <c r="V32">
        <f t="shared" si="5"/>
        <v>120240</v>
      </c>
      <c r="W32" s="8" t="str">
        <f>VLOOKUP(V32,'ideas-input'!$A:$B,2,FALSE)</f>
        <v>Mata Aplicações - Wave 1.14</v>
      </c>
      <c r="X32" t="str">
        <f t="shared" si="6"/>
        <v>SI</v>
      </c>
      <c r="Y32" s="8" t="str">
        <f>VLOOKUP(V32,'ideas-input'!$A:$D,4,FALSE)</f>
        <v>Mail</v>
      </c>
      <c r="Z32" t="str">
        <f t="shared" si="7"/>
        <v>Technology</v>
      </c>
      <c r="AA32" t="str">
        <f t="shared" si="8"/>
        <v>In Development</v>
      </c>
      <c r="AB32">
        <f t="shared" si="9"/>
        <v>1033</v>
      </c>
      <c r="AC32">
        <f t="shared" si="10"/>
        <v>2.6669999999999998</v>
      </c>
      <c r="AD32">
        <f t="shared" si="11"/>
        <v>4</v>
      </c>
      <c r="AE32">
        <f t="shared" si="12"/>
        <v>2</v>
      </c>
      <c r="AF32">
        <f t="shared" si="13"/>
        <v>2</v>
      </c>
      <c r="AG32">
        <f t="shared" si="14"/>
        <v>3</v>
      </c>
    </row>
    <row r="33" spans="1:33" x14ac:dyDescent="0.2">
      <c r="A33" t="s">
        <v>366</v>
      </c>
      <c r="B33" t="s">
        <v>128</v>
      </c>
      <c r="C33">
        <v>32</v>
      </c>
      <c r="D33">
        <v>200523</v>
      </c>
      <c r="E33" t="s">
        <v>926</v>
      </c>
      <c r="F33" t="s">
        <v>24</v>
      </c>
      <c r="G33" t="s">
        <v>379</v>
      </c>
      <c r="H33" t="s">
        <v>5</v>
      </c>
      <c r="I33" t="s">
        <v>89</v>
      </c>
      <c r="J33">
        <v>1039</v>
      </c>
      <c r="K33">
        <v>0.03</v>
      </c>
      <c r="L33">
        <v>1</v>
      </c>
      <c r="M33">
        <v>1</v>
      </c>
      <c r="N33">
        <v>1</v>
      </c>
      <c r="O33">
        <v>100</v>
      </c>
      <c r="P33" t="b">
        <f t="shared" si="1"/>
        <v>1</v>
      </c>
      <c r="S33" t="str">
        <f t="shared" si="2"/>
        <v>NOW</v>
      </c>
      <c r="T33" t="str">
        <f t="shared" si="3"/>
        <v>SainteLague</v>
      </c>
      <c r="U33">
        <f t="shared" si="4"/>
        <v>32</v>
      </c>
      <c r="V33">
        <f t="shared" si="5"/>
        <v>200523</v>
      </c>
      <c r="W33" s="8" t="str">
        <f>VLOOKUP(V33,'ideas-input'!$A:$B,2,FALSE)</f>
        <v>Site Payshop | Duplicação do Template do Site CTT para Payshop</v>
      </c>
      <c r="X33" t="str">
        <f t="shared" si="6"/>
        <v>GPG</v>
      </c>
      <c r="Y33" s="8" t="str">
        <f>VLOOKUP(V33,'ideas-input'!$A:$D,4,FALSE)</f>
        <v>Payments</v>
      </c>
      <c r="Z33" t="str">
        <f t="shared" si="7"/>
        <v>Commercial</v>
      </c>
      <c r="AA33" t="str">
        <f t="shared" si="8"/>
        <v>In Development</v>
      </c>
      <c r="AB33">
        <f t="shared" si="9"/>
        <v>1039</v>
      </c>
      <c r="AC33">
        <f t="shared" si="10"/>
        <v>0.03</v>
      </c>
      <c r="AD33">
        <f t="shared" si="11"/>
        <v>1</v>
      </c>
      <c r="AE33">
        <f t="shared" si="12"/>
        <v>1</v>
      </c>
      <c r="AF33">
        <f t="shared" si="13"/>
        <v>1</v>
      </c>
      <c r="AG33">
        <f t="shared" si="14"/>
        <v>100</v>
      </c>
    </row>
    <row r="34" spans="1:33" x14ac:dyDescent="0.2">
      <c r="A34" t="s">
        <v>366</v>
      </c>
      <c r="B34" t="s">
        <v>128</v>
      </c>
      <c r="C34">
        <v>33</v>
      </c>
      <c r="D34">
        <v>120277</v>
      </c>
      <c r="E34" t="s">
        <v>924</v>
      </c>
      <c r="F34" t="s">
        <v>98</v>
      </c>
      <c r="G34" t="s">
        <v>379</v>
      </c>
      <c r="H34" t="s">
        <v>12</v>
      </c>
      <c r="I34" t="s">
        <v>92</v>
      </c>
      <c r="J34">
        <v>1011</v>
      </c>
      <c r="K34">
        <v>0.03</v>
      </c>
      <c r="L34">
        <v>1</v>
      </c>
      <c r="M34">
        <v>1</v>
      </c>
      <c r="N34">
        <v>1</v>
      </c>
      <c r="O34">
        <v>100</v>
      </c>
      <c r="P34" t="b">
        <f t="shared" si="1"/>
        <v>1</v>
      </c>
      <c r="S34" t="str">
        <f t="shared" ref="S34:S65" si="15">A34</f>
        <v>NOW</v>
      </c>
      <c r="T34" t="str">
        <f t="shared" ref="T34:T65" si="16">B34</f>
        <v>SainteLague</v>
      </c>
      <c r="U34">
        <f t="shared" ref="U34:U65" si="17">C34</f>
        <v>33</v>
      </c>
      <c r="V34">
        <f t="shared" ref="V34:V65" si="18">D34</f>
        <v>120277</v>
      </c>
      <c r="W34" s="8" t="str">
        <f>VLOOKUP(V34,'ideas-input'!$A:$B,2,FALSE)</f>
        <v>revamp.EPM - Framework CPM 360 MVP (BCR + PBF)</v>
      </c>
      <c r="X34" t="str">
        <f t="shared" si="6"/>
        <v>PC</v>
      </c>
      <c r="Y34" s="8" t="str">
        <f>VLOOKUP(V34,'ideas-input'!$A:$D,4,FALSE)</f>
        <v>Mail</v>
      </c>
      <c r="Z34" t="str">
        <f t="shared" si="7"/>
        <v>Corporate</v>
      </c>
      <c r="AA34" t="str">
        <f t="shared" si="8"/>
        <v>Ready for Acceptance</v>
      </c>
      <c r="AB34">
        <f t="shared" si="9"/>
        <v>1011</v>
      </c>
      <c r="AC34">
        <f t="shared" si="10"/>
        <v>0.03</v>
      </c>
      <c r="AD34">
        <f t="shared" si="11"/>
        <v>1</v>
      </c>
      <c r="AE34">
        <f t="shared" si="12"/>
        <v>1</v>
      </c>
      <c r="AF34">
        <f t="shared" si="13"/>
        <v>1</v>
      </c>
      <c r="AG34">
        <f t="shared" si="14"/>
        <v>100</v>
      </c>
    </row>
    <row r="35" spans="1:33" x14ac:dyDescent="0.2">
      <c r="A35" t="s">
        <v>366</v>
      </c>
      <c r="B35" t="s">
        <v>128</v>
      </c>
      <c r="C35">
        <v>34</v>
      </c>
      <c r="D35">
        <v>136770</v>
      </c>
      <c r="E35" t="s">
        <v>915</v>
      </c>
      <c r="F35" t="s">
        <v>59</v>
      </c>
      <c r="G35" t="s">
        <v>379</v>
      </c>
      <c r="H35" t="s">
        <v>8</v>
      </c>
      <c r="I35" t="s">
        <v>89</v>
      </c>
      <c r="J35">
        <v>1037</v>
      </c>
      <c r="K35">
        <v>5</v>
      </c>
      <c r="L35">
        <v>4</v>
      </c>
      <c r="M35">
        <v>3</v>
      </c>
      <c r="N35">
        <v>3</v>
      </c>
      <c r="O35">
        <v>2</v>
      </c>
      <c r="P35" t="b">
        <f t="shared" si="1"/>
        <v>1</v>
      </c>
      <c r="S35" t="str">
        <f t="shared" si="15"/>
        <v>NOW</v>
      </c>
      <c r="T35" t="str">
        <f t="shared" si="16"/>
        <v>SainteLague</v>
      </c>
      <c r="U35">
        <f t="shared" si="17"/>
        <v>34</v>
      </c>
      <c r="V35">
        <f t="shared" si="18"/>
        <v>136770</v>
      </c>
      <c r="W35" s="8" t="str">
        <f>VLOOKUP(V35,'ideas-input'!$A:$B,2,FALSE)</f>
        <v>GitHub Migration - Aplicações Wave 2</v>
      </c>
      <c r="X35" t="str">
        <f t="shared" si="6"/>
        <v>SI-OPS</v>
      </c>
      <c r="Y35" s="8" t="str">
        <f>VLOOKUP(V35,'ideas-input'!$A:$D,4,FALSE)</f>
        <v>Mail</v>
      </c>
      <c r="Z35" t="str">
        <f t="shared" si="7"/>
        <v>Technology</v>
      </c>
      <c r="AA35" t="str">
        <f t="shared" si="8"/>
        <v>In Development</v>
      </c>
      <c r="AB35">
        <f t="shared" si="9"/>
        <v>1037</v>
      </c>
      <c r="AC35">
        <f t="shared" si="10"/>
        <v>5</v>
      </c>
      <c r="AD35">
        <f t="shared" si="11"/>
        <v>4</v>
      </c>
      <c r="AE35">
        <f t="shared" si="12"/>
        <v>3</v>
      </c>
      <c r="AF35">
        <f t="shared" si="13"/>
        <v>3</v>
      </c>
      <c r="AG35">
        <f t="shared" si="14"/>
        <v>2</v>
      </c>
    </row>
    <row r="36" spans="1:33" x14ac:dyDescent="0.2">
      <c r="A36" t="s">
        <v>366</v>
      </c>
      <c r="B36" t="s">
        <v>128</v>
      </c>
      <c r="C36">
        <v>35</v>
      </c>
      <c r="D36">
        <v>50855</v>
      </c>
      <c r="E36" t="s">
        <v>906</v>
      </c>
      <c r="F36" t="s">
        <v>11</v>
      </c>
      <c r="G36" t="s">
        <v>379</v>
      </c>
      <c r="H36" t="s">
        <v>11</v>
      </c>
      <c r="I36" t="s">
        <v>89</v>
      </c>
      <c r="J36">
        <v>1025</v>
      </c>
      <c r="K36">
        <v>0.03</v>
      </c>
      <c r="L36">
        <v>1</v>
      </c>
      <c r="M36">
        <v>1</v>
      </c>
      <c r="N36">
        <v>1</v>
      </c>
      <c r="O36">
        <v>100</v>
      </c>
      <c r="P36" t="b">
        <f t="shared" si="1"/>
        <v>1</v>
      </c>
      <c r="S36" t="str">
        <f t="shared" si="15"/>
        <v>NOW</v>
      </c>
      <c r="T36" t="str">
        <f t="shared" si="16"/>
        <v>SainteLague</v>
      </c>
      <c r="U36">
        <f t="shared" si="17"/>
        <v>35</v>
      </c>
      <c r="V36">
        <f t="shared" si="18"/>
        <v>50855</v>
      </c>
      <c r="W36" s="8" t="str">
        <f>VLOOKUP(V36,'ideas-input'!$A:$B,2,FALSE)</f>
        <v>DORA - implementação de remediações (Payshop)</v>
      </c>
      <c r="X36" t="str">
        <f t="shared" si="6"/>
        <v>CISO</v>
      </c>
      <c r="Y36" s="8" t="str">
        <f>VLOOKUP(V36,'ideas-input'!$A:$D,4,FALSE)</f>
        <v>Payments</v>
      </c>
      <c r="Z36" t="str">
        <f t="shared" si="7"/>
        <v>CISO</v>
      </c>
      <c r="AA36" t="str">
        <f t="shared" si="8"/>
        <v>In Development</v>
      </c>
      <c r="AB36">
        <f t="shared" si="9"/>
        <v>1025</v>
      </c>
      <c r="AC36">
        <f t="shared" si="10"/>
        <v>0.03</v>
      </c>
      <c r="AD36">
        <f t="shared" si="11"/>
        <v>1</v>
      </c>
      <c r="AE36">
        <f t="shared" si="12"/>
        <v>1</v>
      </c>
      <c r="AF36">
        <f t="shared" si="13"/>
        <v>1</v>
      </c>
      <c r="AG36">
        <f t="shared" si="14"/>
        <v>100</v>
      </c>
    </row>
    <row r="37" spans="1:33" x14ac:dyDescent="0.2">
      <c r="A37" t="s">
        <v>366</v>
      </c>
      <c r="B37" t="s">
        <v>128</v>
      </c>
      <c r="C37">
        <v>36</v>
      </c>
      <c r="D37">
        <v>120533</v>
      </c>
      <c r="E37" t="s">
        <v>903</v>
      </c>
      <c r="F37" t="s">
        <v>44</v>
      </c>
      <c r="G37" t="s">
        <v>379</v>
      </c>
      <c r="H37" t="s">
        <v>12</v>
      </c>
      <c r="I37" t="s">
        <v>89</v>
      </c>
      <c r="J37">
        <v>1031</v>
      </c>
      <c r="K37">
        <v>0.03</v>
      </c>
      <c r="L37">
        <v>1</v>
      </c>
      <c r="M37">
        <v>1</v>
      </c>
      <c r="N37">
        <v>1</v>
      </c>
      <c r="O37">
        <v>100</v>
      </c>
      <c r="P37" t="b">
        <f t="shared" si="1"/>
        <v>1</v>
      </c>
      <c r="S37" t="str">
        <f t="shared" si="15"/>
        <v>NOW</v>
      </c>
      <c r="T37" t="str">
        <f t="shared" si="16"/>
        <v>SainteLague</v>
      </c>
      <c r="U37">
        <f t="shared" si="17"/>
        <v>36</v>
      </c>
      <c r="V37">
        <f t="shared" si="18"/>
        <v>120533</v>
      </c>
      <c r="W37" s="8" t="str">
        <f>VLOOKUP(V37,'ideas-input'!$A:$B,2,FALSE)</f>
        <v>Auditoria 2.0 - Criação de Data Lake para implementação de Auditoria Contínua e Auditoria à Distancia - Entrega R2</v>
      </c>
      <c r="X37" t="str">
        <f t="shared" si="6"/>
        <v>ACR</v>
      </c>
      <c r="Y37" s="8" t="str">
        <f>VLOOKUP(V37,'ideas-input'!$A:$D,4,FALSE)</f>
        <v>Mail</v>
      </c>
      <c r="Z37" t="str">
        <f t="shared" si="7"/>
        <v>Corporate</v>
      </c>
      <c r="AA37" t="str">
        <f t="shared" si="8"/>
        <v>In Development</v>
      </c>
      <c r="AB37">
        <f t="shared" si="9"/>
        <v>1031</v>
      </c>
      <c r="AC37">
        <f t="shared" si="10"/>
        <v>0.03</v>
      </c>
      <c r="AD37">
        <f t="shared" si="11"/>
        <v>1</v>
      </c>
      <c r="AE37">
        <f t="shared" si="12"/>
        <v>1</v>
      </c>
      <c r="AF37">
        <f t="shared" si="13"/>
        <v>1</v>
      </c>
      <c r="AG37">
        <f t="shared" si="14"/>
        <v>100</v>
      </c>
    </row>
    <row r="38" spans="1:33" x14ac:dyDescent="0.2">
      <c r="A38" t="s">
        <v>366</v>
      </c>
      <c r="B38" t="s">
        <v>128</v>
      </c>
      <c r="C38">
        <v>37</v>
      </c>
      <c r="D38">
        <v>104489</v>
      </c>
      <c r="E38" t="s">
        <v>928</v>
      </c>
      <c r="F38" t="s">
        <v>35</v>
      </c>
      <c r="G38" t="s">
        <v>379</v>
      </c>
      <c r="H38" t="s">
        <v>12</v>
      </c>
      <c r="I38" t="s">
        <v>89</v>
      </c>
      <c r="J38">
        <v>1026</v>
      </c>
      <c r="K38">
        <v>0.03</v>
      </c>
      <c r="L38">
        <v>1</v>
      </c>
      <c r="M38">
        <v>1</v>
      </c>
      <c r="N38">
        <v>1</v>
      </c>
      <c r="O38">
        <v>100</v>
      </c>
      <c r="P38" t="b">
        <f t="shared" si="1"/>
        <v>1</v>
      </c>
      <c r="S38" t="str">
        <f t="shared" si="15"/>
        <v>NOW</v>
      </c>
      <c r="T38" t="str">
        <f t="shared" si="16"/>
        <v>SainteLague</v>
      </c>
      <c r="U38">
        <f t="shared" si="17"/>
        <v>37</v>
      </c>
      <c r="V38">
        <f t="shared" si="18"/>
        <v>104489</v>
      </c>
      <c r="W38" s="8" t="str">
        <f>VLOOKUP(V38,'ideas-input'!$A:$B,2,FALSE)</f>
        <v>SAPSF - Wave 2 (RECrutamento, ONBoarding)</v>
      </c>
      <c r="X38" t="str">
        <f t="shared" si="6"/>
        <v>GRH</v>
      </c>
      <c r="Y38" s="8" t="str">
        <f>VLOOKUP(V38,'ideas-input'!$A:$D,4,FALSE)</f>
        <v>Mail</v>
      </c>
      <c r="Z38" t="str">
        <f t="shared" si="7"/>
        <v>Corporate</v>
      </c>
      <c r="AA38" t="str">
        <f t="shared" si="8"/>
        <v>In Development</v>
      </c>
      <c r="AB38">
        <f t="shared" si="9"/>
        <v>1026</v>
      </c>
      <c r="AC38">
        <f t="shared" si="10"/>
        <v>0.03</v>
      </c>
      <c r="AD38">
        <f t="shared" si="11"/>
        <v>1</v>
      </c>
      <c r="AE38">
        <f t="shared" si="12"/>
        <v>1</v>
      </c>
      <c r="AF38">
        <f t="shared" si="13"/>
        <v>1</v>
      </c>
      <c r="AG38">
        <f t="shared" si="14"/>
        <v>100</v>
      </c>
    </row>
    <row r="39" spans="1:33" x14ac:dyDescent="0.2">
      <c r="A39" t="s">
        <v>366</v>
      </c>
      <c r="B39" t="s">
        <v>128</v>
      </c>
      <c r="C39">
        <v>38</v>
      </c>
      <c r="D39">
        <v>121981</v>
      </c>
      <c r="E39" t="s">
        <v>929</v>
      </c>
      <c r="F39" t="s">
        <v>44</v>
      </c>
      <c r="G39" t="s">
        <v>379</v>
      </c>
      <c r="H39" t="s">
        <v>12</v>
      </c>
      <c r="I39" t="s">
        <v>89</v>
      </c>
      <c r="J39">
        <v>1040</v>
      </c>
      <c r="K39">
        <v>0.03</v>
      </c>
      <c r="L39">
        <v>1</v>
      </c>
      <c r="M39">
        <v>1</v>
      </c>
      <c r="N39">
        <v>1</v>
      </c>
      <c r="O39">
        <v>100</v>
      </c>
      <c r="P39" t="b">
        <f t="shared" si="1"/>
        <v>1</v>
      </c>
      <c r="S39" t="str">
        <f t="shared" si="15"/>
        <v>NOW</v>
      </c>
      <c r="T39" t="str">
        <f t="shared" si="16"/>
        <v>SainteLague</v>
      </c>
      <c r="U39">
        <f t="shared" si="17"/>
        <v>38</v>
      </c>
      <c r="V39">
        <f t="shared" si="18"/>
        <v>121981</v>
      </c>
      <c r="W39" s="8" t="str">
        <f>VLOOKUP(V39,'ideas-input'!$A:$B,2,FALSE)</f>
        <v>Auditoria 2.0 - Criação de Data Lake para implementação de Auditoria Contínua e Auditoria à Distancia - Entrega R3</v>
      </c>
      <c r="X39" t="str">
        <f t="shared" si="6"/>
        <v>ACR</v>
      </c>
      <c r="Y39" s="8" t="str">
        <f>VLOOKUP(V39,'ideas-input'!$A:$D,4,FALSE)</f>
        <v>Mail</v>
      </c>
      <c r="Z39" t="str">
        <f t="shared" si="7"/>
        <v>Corporate</v>
      </c>
      <c r="AA39" t="str">
        <f t="shared" si="8"/>
        <v>In Development</v>
      </c>
      <c r="AB39">
        <f t="shared" si="9"/>
        <v>1040</v>
      </c>
      <c r="AC39">
        <f t="shared" si="10"/>
        <v>0.03</v>
      </c>
      <c r="AD39">
        <f t="shared" si="11"/>
        <v>1</v>
      </c>
      <c r="AE39">
        <f t="shared" si="12"/>
        <v>1</v>
      </c>
      <c r="AF39">
        <f t="shared" si="13"/>
        <v>1</v>
      </c>
      <c r="AG39">
        <f t="shared" si="14"/>
        <v>100</v>
      </c>
    </row>
    <row r="40" spans="1:33" x14ac:dyDescent="0.2">
      <c r="A40" t="s">
        <v>366</v>
      </c>
      <c r="B40" t="s">
        <v>128</v>
      </c>
      <c r="C40">
        <v>39</v>
      </c>
      <c r="D40">
        <v>98651</v>
      </c>
      <c r="E40" t="s">
        <v>930</v>
      </c>
      <c r="F40" t="s">
        <v>35</v>
      </c>
      <c r="G40" t="s">
        <v>379</v>
      </c>
      <c r="H40" t="s">
        <v>12</v>
      </c>
      <c r="I40" t="s">
        <v>89</v>
      </c>
      <c r="J40">
        <v>1034</v>
      </c>
      <c r="K40">
        <v>6</v>
      </c>
      <c r="L40">
        <v>2</v>
      </c>
      <c r="M40">
        <v>2</v>
      </c>
      <c r="N40">
        <v>2</v>
      </c>
      <c r="O40">
        <v>1</v>
      </c>
      <c r="P40" t="b">
        <f t="shared" si="1"/>
        <v>1</v>
      </c>
      <c r="S40" t="str">
        <f t="shared" si="15"/>
        <v>NOW</v>
      </c>
      <c r="T40" t="str">
        <f t="shared" si="16"/>
        <v>SainteLague</v>
      </c>
      <c r="U40">
        <f t="shared" si="17"/>
        <v>39</v>
      </c>
      <c r="V40">
        <f t="shared" si="18"/>
        <v>98651</v>
      </c>
      <c r="W40" s="8" t="str">
        <f>VLOOKUP(V40,'ideas-input'!$A:$B,2,FALSE)</f>
        <v>SAPSF - encriptação ficheiros SEPA CTT + CTTE</v>
      </c>
      <c r="X40" t="str">
        <f t="shared" si="6"/>
        <v>GRH</v>
      </c>
      <c r="Y40" s="8" t="str">
        <f>VLOOKUP(V40,'ideas-input'!$A:$D,4,FALSE)</f>
        <v>Mail</v>
      </c>
      <c r="Z40" t="str">
        <f t="shared" si="7"/>
        <v>Corporate</v>
      </c>
      <c r="AA40" t="str">
        <f t="shared" si="8"/>
        <v>In Development</v>
      </c>
      <c r="AB40">
        <f t="shared" si="9"/>
        <v>1034</v>
      </c>
      <c r="AC40">
        <f t="shared" si="10"/>
        <v>6</v>
      </c>
      <c r="AD40">
        <f t="shared" si="11"/>
        <v>2</v>
      </c>
      <c r="AE40">
        <f t="shared" si="12"/>
        <v>2</v>
      </c>
      <c r="AF40">
        <f t="shared" si="13"/>
        <v>2</v>
      </c>
      <c r="AG40">
        <f t="shared" si="14"/>
        <v>1</v>
      </c>
    </row>
    <row r="41" spans="1:33" x14ac:dyDescent="0.2">
      <c r="A41" t="s">
        <v>366</v>
      </c>
      <c r="B41" t="s">
        <v>128</v>
      </c>
      <c r="C41">
        <v>40</v>
      </c>
      <c r="D41">
        <v>99510</v>
      </c>
      <c r="E41" t="s">
        <v>1665</v>
      </c>
      <c r="F41" t="s">
        <v>35</v>
      </c>
      <c r="G41" t="s">
        <v>379</v>
      </c>
      <c r="H41" t="s">
        <v>12</v>
      </c>
      <c r="I41" t="s">
        <v>89</v>
      </c>
      <c r="J41">
        <v>1035</v>
      </c>
      <c r="K41">
        <v>7</v>
      </c>
      <c r="L41">
        <v>3</v>
      </c>
      <c r="M41">
        <v>2</v>
      </c>
      <c r="N41">
        <v>2</v>
      </c>
      <c r="O41">
        <v>1</v>
      </c>
      <c r="P41" t="b">
        <f t="shared" si="1"/>
        <v>1</v>
      </c>
      <c r="S41" t="str">
        <f t="shared" si="15"/>
        <v>NOW</v>
      </c>
      <c r="T41" t="str">
        <f t="shared" si="16"/>
        <v>SainteLague</v>
      </c>
      <c r="U41">
        <f t="shared" si="17"/>
        <v>40</v>
      </c>
      <c r="V41">
        <f t="shared" si="18"/>
        <v>99510</v>
      </c>
      <c r="W41" s="8" t="str">
        <f>VLOOKUP(V41,'ideas-input'!$A:$B,2,FALSE)</f>
        <v>SAPSF -  Solução de Interoperabilidade com a Segurança Social (Regulatório)</v>
      </c>
      <c r="X41" t="str">
        <f t="shared" si="6"/>
        <v>GRH</v>
      </c>
      <c r="Y41" s="8" t="str">
        <f>VLOOKUP(V41,'ideas-input'!$A:$D,4,FALSE)</f>
        <v>Mail</v>
      </c>
      <c r="Z41" t="str">
        <f t="shared" si="7"/>
        <v>Corporate</v>
      </c>
      <c r="AA41" t="str">
        <f t="shared" si="8"/>
        <v>In Development</v>
      </c>
      <c r="AB41">
        <f t="shared" si="9"/>
        <v>1035</v>
      </c>
      <c r="AC41">
        <f t="shared" si="10"/>
        <v>7</v>
      </c>
      <c r="AD41">
        <f t="shared" si="11"/>
        <v>3</v>
      </c>
      <c r="AE41">
        <f t="shared" si="12"/>
        <v>2</v>
      </c>
      <c r="AF41">
        <f t="shared" si="13"/>
        <v>2</v>
      </c>
      <c r="AG41">
        <f t="shared" si="14"/>
        <v>1</v>
      </c>
    </row>
    <row r="42" spans="1:33" x14ac:dyDescent="0.2">
      <c r="A42" t="s">
        <v>353</v>
      </c>
      <c r="B42" t="s">
        <v>128</v>
      </c>
      <c r="C42">
        <v>41</v>
      </c>
      <c r="D42">
        <v>56840</v>
      </c>
      <c r="E42" t="s">
        <v>146</v>
      </c>
      <c r="F42" t="s">
        <v>65</v>
      </c>
      <c r="G42" t="s">
        <v>10</v>
      </c>
      <c r="H42" t="s">
        <v>5</v>
      </c>
      <c r="I42" t="s">
        <v>354</v>
      </c>
      <c r="J42">
        <v>7</v>
      </c>
      <c r="K42">
        <v>0.03</v>
      </c>
      <c r="L42">
        <v>1</v>
      </c>
      <c r="M42">
        <v>1</v>
      </c>
      <c r="N42">
        <v>1</v>
      </c>
      <c r="O42">
        <v>100</v>
      </c>
      <c r="P42" t="b">
        <f t="shared" si="1"/>
        <v>1</v>
      </c>
      <c r="S42" t="str">
        <f t="shared" si="15"/>
        <v>NEXT</v>
      </c>
      <c r="T42" t="str">
        <f t="shared" si="16"/>
        <v>SainteLague</v>
      </c>
      <c r="U42">
        <f t="shared" si="17"/>
        <v>41</v>
      </c>
      <c r="V42">
        <f t="shared" si="18"/>
        <v>56840</v>
      </c>
      <c r="W42" s="8" t="str">
        <f>VLOOKUP(V42,'ideas-input'!$A:$B,2,FALSE)</f>
        <v>[Nuevo Producto]-[Minerva]-Producto 48h a Islas Canarias</v>
      </c>
      <c r="X42" t="str">
        <f t="shared" si="6"/>
        <v>CMO</v>
      </c>
      <c r="Y42" s="8" t="str">
        <f>VLOOKUP(V42,'ideas-input'!$A:$D,4,FALSE)</f>
        <v>eCommerce</v>
      </c>
      <c r="Z42" t="str">
        <f t="shared" si="7"/>
        <v>Commercial</v>
      </c>
      <c r="AA42" t="str">
        <f t="shared" si="8"/>
        <v>Ready for Development</v>
      </c>
      <c r="AB42">
        <f t="shared" si="9"/>
        <v>7</v>
      </c>
      <c r="AC42">
        <f t="shared" si="10"/>
        <v>0.03</v>
      </c>
      <c r="AD42">
        <f t="shared" si="11"/>
        <v>1</v>
      </c>
      <c r="AE42">
        <f t="shared" si="12"/>
        <v>1</v>
      </c>
      <c r="AF42">
        <f t="shared" si="13"/>
        <v>1</v>
      </c>
      <c r="AG42">
        <f t="shared" si="14"/>
        <v>100</v>
      </c>
    </row>
    <row r="43" spans="1:33" x14ac:dyDescent="0.2">
      <c r="A43" t="s">
        <v>353</v>
      </c>
      <c r="B43" t="s">
        <v>128</v>
      </c>
      <c r="C43">
        <v>42</v>
      </c>
      <c r="D43">
        <v>133251</v>
      </c>
      <c r="E43" t="s">
        <v>931</v>
      </c>
      <c r="F43" t="s">
        <v>24</v>
      </c>
      <c r="G43" t="s">
        <v>379</v>
      </c>
      <c r="H43" t="s">
        <v>5</v>
      </c>
      <c r="I43" t="s">
        <v>354</v>
      </c>
      <c r="J43">
        <v>17</v>
      </c>
      <c r="K43">
        <v>4</v>
      </c>
      <c r="L43">
        <v>5</v>
      </c>
      <c r="M43">
        <v>2</v>
      </c>
      <c r="N43">
        <v>1</v>
      </c>
      <c r="O43">
        <v>2</v>
      </c>
      <c r="P43" t="b">
        <f t="shared" si="1"/>
        <v>1</v>
      </c>
      <c r="S43" t="str">
        <f t="shared" si="15"/>
        <v>NEXT</v>
      </c>
      <c r="T43" t="str">
        <f t="shared" si="16"/>
        <v>SainteLague</v>
      </c>
      <c r="U43">
        <f t="shared" si="17"/>
        <v>42</v>
      </c>
      <c r="V43">
        <f t="shared" si="18"/>
        <v>133251</v>
      </c>
      <c r="W43" s="8" t="str">
        <f>VLOOKUP(V43,'ideas-input'!$A:$B,2,FALSE)</f>
        <v>Evolutivas SAP - Mapeamentos contabilisticos &amp; testes</v>
      </c>
      <c r="X43" t="str">
        <f t="shared" si="6"/>
        <v>GPG</v>
      </c>
      <c r="Y43" s="8" t="str">
        <f>VLOOKUP(V43,'ideas-input'!$A:$D,4,FALSE)</f>
        <v>Payments</v>
      </c>
      <c r="Z43" t="str">
        <f t="shared" si="7"/>
        <v>Commercial</v>
      </c>
      <c r="AA43" t="str">
        <f t="shared" si="8"/>
        <v>Ready for Development</v>
      </c>
      <c r="AB43">
        <f t="shared" si="9"/>
        <v>17</v>
      </c>
      <c r="AC43">
        <f t="shared" si="10"/>
        <v>4</v>
      </c>
      <c r="AD43">
        <f t="shared" si="11"/>
        <v>5</v>
      </c>
      <c r="AE43">
        <f t="shared" si="12"/>
        <v>2</v>
      </c>
      <c r="AF43">
        <f t="shared" si="13"/>
        <v>1</v>
      </c>
      <c r="AG43">
        <f t="shared" si="14"/>
        <v>2</v>
      </c>
    </row>
    <row r="44" spans="1:33" x14ac:dyDescent="0.2">
      <c r="A44" t="s">
        <v>353</v>
      </c>
      <c r="B44" t="s">
        <v>128</v>
      </c>
      <c r="C44">
        <v>43</v>
      </c>
      <c r="D44">
        <v>65302</v>
      </c>
      <c r="E44" t="s">
        <v>951</v>
      </c>
      <c r="F44" t="s">
        <v>64</v>
      </c>
      <c r="G44" t="s">
        <v>10</v>
      </c>
      <c r="H44" t="s">
        <v>6</v>
      </c>
      <c r="I44" t="s">
        <v>354</v>
      </c>
      <c r="J44">
        <v>8</v>
      </c>
      <c r="K44">
        <v>0.03</v>
      </c>
      <c r="L44">
        <v>1</v>
      </c>
      <c r="M44">
        <v>1</v>
      </c>
      <c r="N44">
        <v>1</v>
      </c>
      <c r="O44">
        <v>100</v>
      </c>
      <c r="P44" t="b">
        <f t="shared" si="1"/>
        <v>1</v>
      </c>
      <c r="S44" t="str">
        <f t="shared" si="15"/>
        <v>NEXT</v>
      </c>
      <c r="T44" t="str">
        <f t="shared" si="16"/>
        <v>SainteLague</v>
      </c>
      <c r="U44">
        <f t="shared" si="17"/>
        <v>43</v>
      </c>
      <c r="V44">
        <f t="shared" si="18"/>
        <v>65302</v>
      </c>
      <c r="W44" s="8" t="str">
        <f>VLOOKUP(V44,'ideas-input'!$A:$B,2,FALSE)</f>
        <v>Envíos Amazon destino Braga solo manifestados para entrar en senda</v>
      </c>
      <c r="X44" t="str">
        <f t="shared" si="6"/>
        <v>COO</v>
      </c>
      <c r="Y44" s="8" t="str">
        <f>VLOOKUP(V44,'ideas-input'!$A:$D,4,FALSE)</f>
        <v>eCommerce</v>
      </c>
      <c r="Z44" t="str">
        <f t="shared" si="7"/>
        <v>Operations</v>
      </c>
      <c r="AA44" t="str">
        <f t="shared" si="8"/>
        <v>Ready for Development</v>
      </c>
      <c r="AB44">
        <f t="shared" si="9"/>
        <v>8</v>
      </c>
      <c r="AC44">
        <f t="shared" si="10"/>
        <v>0.03</v>
      </c>
      <c r="AD44">
        <f t="shared" si="11"/>
        <v>1</v>
      </c>
      <c r="AE44">
        <f t="shared" si="12"/>
        <v>1</v>
      </c>
      <c r="AF44">
        <f t="shared" si="13"/>
        <v>1</v>
      </c>
      <c r="AG44">
        <f t="shared" si="14"/>
        <v>100</v>
      </c>
    </row>
    <row r="45" spans="1:33" x14ac:dyDescent="0.2">
      <c r="A45" t="s">
        <v>353</v>
      </c>
      <c r="B45" t="s">
        <v>128</v>
      </c>
      <c r="C45">
        <v>44</v>
      </c>
      <c r="D45">
        <v>65806</v>
      </c>
      <c r="E45" t="s">
        <v>932</v>
      </c>
      <c r="F45" t="s">
        <v>64</v>
      </c>
      <c r="G45" t="s">
        <v>10</v>
      </c>
      <c r="H45" t="s">
        <v>6</v>
      </c>
      <c r="I45" t="s">
        <v>354</v>
      </c>
      <c r="J45">
        <v>9</v>
      </c>
      <c r="K45">
        <v>0.03</v>
      </c>
      <c r="L45">
        <v>1</v>
      </c>
      <c r="M45">
        <v>1</v>
      </c>
      <c r="N45">
        <v>1</v>
      </c>
      <c r="O45">
        <v>100</v>
      </c>
      <c r="P45" t="b">
        <f t="shared" si="1"/>
        <v>1</v>
      </c>
      <c r="S45" t="str">
        <f t="shared" si="15"/>
        <v>NEXT</v>
      </c>
      <c r="T45" t="str">
        <f t="shared" si="16"/>
        <v>SainteLague</v>
      </c>
      <c r="U45">
        <f t="shared" si="17"/>
        <v>44</v>
      </c>
      <c r="V45">
        <f t="shared" si="18"/>
        <v>65806</v>
      </c>
      <c r="W45" s="8" t="str">
        <f>VLOOKUP(V45,'ideas-input'!$A:$B,2,FALSE)</f>
        <v>[Nexus Piloto Operacional] Puesta en marcha Fase 2 del Piloto Operacional con el flujo de envíos PT-PT</v>
      </c>
      <c r="X45" t="str">
        <f t="shared" si="6"/>
        <v>COO</v>
      </c>
      <c r="Y45" s="8" t="str">
        <f>VLOOKUP(V45,'ideas-input'!$A:$D,4,FALSE)</f>
        <v>eCommerce</v>
      </c>
      <c r="Z45" t="str">
        <f t="shared" si="7"/>
        <v>Operations</v>
      </c>
      <c r="AA45" t="str">
        <f t="shared" si="8"/>
        <v>Ready for Development</v>
      </c>
      <c r="AB45">
        <f t="shared" si="9"/>
        <v>9</v>
      </c>
      <c r="AC45">
        <f t="shared" si="10"/>
        <v>0.03</v>
      </c>
      <c r="AD45">
        <f t="shared" si="11"/>
        <v>1</v>
      </c>
      <c r="AE45">
        <f t="shared" si="12"/>
        <v>1</v>
      </c>
      <c r="AF45">
        <f t="shared" si="13"/>
        <v>1</v>
      </c>
      <c r="AG45">
        <f t="shared" si="14"/>
        <v>100</v>
      </c>
    </row>
    <row r="46" spans="1:33" x14ac:dyDescent="0.2">
      <c r="A46" t="s">
        <v>127</v>
      </c>
      <c r="B46" t="s">
        <v>128</v>
      </c>
      <c r="C46">
        <v>45</v>
      </c>
      <c r="D46">
        <v>140635</v>
      </c>
      <c r="E46" t="s">
        <v>967</v>
      </c>
      <c r="F46" t="s">
        <v>65</v>
      </c>
      <c r="G46" t="s">
        <v>10</v>
      </c>
      <c r="H46" t="s">
        <v>5</v>
      </c>
      <c r="I46" t="s">
        <v>136</v>
      </c>
      <c r="J46">
        <v>1</v>
      </c>
      <c r="K46">
        <v>0.09</v>
      </c>
      <c r="L46">
        <v>3</v>
      </c>
      <c r="M46">
        <v>3</v>
      </c>
      <c r="N46">
        <v>3</v>
      </c>
      <c r="O46">
        <v>100</v>
      </c>
      <c r="P46" t="b">
        <f t="shared" si="1"/>
        <v>1</v>
      </c>
      <c r="S46" t="str">
        <f t="shared" si="15"/>
        <v>LATER</v>
      </c>
      <c r="T46" t="str">
        <f t="shared" si="16"/>
        <v>SainteLague</v>
      </c>
      <c r="U46">
        <f t="shared" si="17"/>
        <v>45</v>
      </c>
      <c r="V46">
        <f t="shared" si="18"/>
        <v>140635</v>
      </c>
      <c r="W46" s="8" t="str">
        <f>VLOOKUP(V46,'ideas-input'!$A:$B,2,FALSE)</f>
        <v>[PUDOS] - Lockers Locky - PT - Recogidas + Detalle de localización de Lockys</v>
      </c>
      <c r="X46" t="str">
        <f t="shared" si="6"/>
        <v>CMO</v>
      </c>
      <c r="Y46" s="8" t="str">
        <f>VLOOKUP(V46,'ideas-input'!$A:$D,4,FALSE)</f>
        <v>eCommerce</v>
      </c>
      <c r="Z46" t="str">
        <f t="shared" si="7"/>
        <v>Commercial</v>
      </c>
      <c r="AA46" t="str">
        <f t="shared" si="8"/>
        <v>In Solution</v>
      </c>
      <c r="AB46">
        <f t="shared" si="9"/>
        <v>1</v>
      </c>
      <c r="AC46">
        <f t="shared" si="10"/>
        <v>0.09</v>
      </c>
      <c r="AD46">
        <f t="shared" si="11"/>
        <v>3</v>
      </c>
      <c r="AE46">
        <f t="shared" si="12"/>
        <v>3</v>
      </c>
      <c r="AF46">
        <f t="shared" si="13"/>
        <v>3</v>
      </c>
      <c r="AG46">
        <f t="shared" si="14"/>
        <v>100</v>
      </c>
    </row>
    <row r="47" spans="1:33" x14ac:dyDescent="0.2">
      <c r="A47" t="s">
        <v>127</v>
      </c>
      <c r="B47" t="s">
        <v>128</v>
      </c>
      <c r="C47">
        <v>46</v>
      </c>
      <c r="D47">
        <v>131734</v>
      </c>
      <c r="E47" t="s">
        <v>153</v>
      </c>
      <c r="F47" t="s">
        <v>21</v>
      </c>
      <c r="G47" t="s">
        <v>379</v>
      </c>
      <c r="H47" t="s">
        <v>5</v>
      </c>
      <c r="I47" t="s">
        <v>95</v>
      </c>
      <c r="J47">
        <v>1</v>
      </c>
      <c r="K47">
        <v>1.5</v>
      </c>
      <c r="L47">
        <v>1</v>
      </c>
      <c r="M47">
        <v>1</v>
      </c>
      <c r="N47">
        <v>1</v>
      </c>
      <c r="O47">
        <v>2</v>
      </c>
      <c r="P47" t="b">
        <f t="shared" si="1"/>
        <v>1</v>
      </c>
      <c r="S47" t="str">
        <f t="shared" si="15"/>
        <v>LATER</v>
      </c>
      <c r="T47" t="str">
        <f t="shared" si="16"/>
        <v>SainteLague</v>
      </c>
      <c r="U47">
        <f t="shared" si="17"/>
        <v>46</v>
      </c>
      <c r="V47">
        <f t="shared" si="18"/>
        <v>131734</v>
      </c>
      <c r="W47" s="8" t="str">
        <f>VLOOKUP(V47,'ideas-input'!$A:$B,2,FALSE)</f>
        <v>Controlo de correio JPP</v>
      </c>
      <c r="X47" t="str">
        <f t="shared" si="6"/>
        <v>GP B2B</v>
      </c>
      <c r="Y47" s="8" t="str">
        <f>VLOOKUP(V47,'ideas-input'!$A:$D,4,FALSE)</f>
        <v>Mail</v>
      </c>
      <c r="Z47" t="str">
        <f t="shared" si="7"/>
        <v>Commercial</v>
      </c>
      <c r="AA47" t="str">
        <f t="shared" si="8"/>
        <v>In Definition</v>
      </c>
      <c r="AB47">
        <f t="shared" si="9"/>
        <v>1</v>
      </c>
      <c r="AC47">
        <f t="shared" si="10"/>
        <v>1.5</v>
      </c>
      <c r="AD47">
        <f t="shared" si="11"/>
        <v>1</v>
      </c>
      <c r="AE47">
        <f t="shared" si="12"/>
        <v>1</v>
      </c>
      <c r="AF47">
        <f t="shared" si="13"/>
        <v>1</v>
      </c>
      <c r="AG47">
        <f t="shared" si="14"/>
        <v>2</v>
      </c>
    </row>
    <row r="48" spans="1:33" x14ac:dyDescent="0.2">
      <c r="A48" t="s">
        <v>127</v>
      </c>
      <c r="B48" t="s">
        <v>128</v>
      </c>
      <c r="C48">
        <v>47</v>
      </c>
      <c r="D48">
        <v>62339</v>
      </c>
      <c r="E48" t="s">
        <v>934</v>
      </c>
      <c r="F48" t="s">
        <v>64</v>
      </c>
      <c r="G48" t="s">
        <v>10</v>
      </c>
      <c r="H48" t="s">
        <v>6</v>
      </c>
      <c r="I48" t="s">
        <v>136</v>
      </c>
      <c r="J48">
        <v>5</v>
      </c>
      <c r="K48">
        <v>0.03</v>
      </c>
      <c r="L48">
        <v>1</v>
      </c>
      <c r="M48">
        <v>1</v>
      </c>
      <c r="N48">
        <v>1</v>
      </c>
      <c r="O48">
        <v>100</v>
      </c>
      <c r="P48" t="b">
        <f t="shared" si="1"/>
        <v>1</v>
      </c>
      <c r="S48" t="str">
        <f t="shared" si="15"/>
        <v>LATER</v>
      </c>
      <c r="T48" t="str">
        <f t="shared" si="16"/>
        <v>SainteLague</v>
      </c>
      <c r="U48">
        <f t="shared" si="17"/>
        <v>47</v>
      </c>
      <c r="V48">
        <f t="shared" si="18"/>
        <v>62339</v>
      </c>
      <c r="W48" s="8" t="str">
        <f>VLOOKUP(V48,'ideas-input'!$A:$B,2,FALSE)</f>
        <v>Nuevos desarrollos Normalización de direcciones</v>
      </c>
      <c r="X48" t="str">
        <f t="shared" si="6"/>
        <v>COO</v>
      </c>
      <c r="Y48" s="8" t="str">
        <f>VLOOKUP(V48,'ideas-input'!$A:$D,4,FALSE)</f>
        <v>eCommerce</v>
      </c>
      <c r="Z48" t="str">
        <f t="shared" si="7"/>
        <v>Operations</v>
      </c>
      <c r="AA48" t="str">
        <f t="shared" si="8"/>
        <v>In Solution</v>
      </c>
      <c r="AB48">
        <f t="shared" si="9"/>
        <v>5</v>
      </c>
      <c r="AC48">
        <f t="shared" si="10"/>
        <v>0.03</v>
      </c>
      <c r="AD48">
        <f t="shared" si="11"/>
        <v>1</v>
      </c>
      <c r="AE48">
        <f t="shared" si="12"/>
        <v>1</v>
      </c>
      <c r="AF48">
        <f t="shared" si="13"/>
        <v>1</v>
      </c>
      <c r="AG48">
        <f t="shared" si="14"/>
        <v>100</v>
      </c>
    </row>
    <row r="49" spans="1:33" x14ac:dyDescent="0.2">
      <c r="A49" t="s">
        <v>127</v>
      </c>
      <c r="B49" t="s">
        <v>128</v>
      </c>
      <c r="C49">
        <v>48</v>
      </c>
      <c r="D49">
        <v>139615</v>
      </c>
      <c r="E49" t="s">
        <v>935</v>
      </c>
      <c r="F49" t="s">
        <v>26</v>
      </c>
      <c r="G49" t="s">
        <v>379</v>
      </c>
      <c r="H49" t="s">
        <v>6</v>
      </c>
      <c r="I49" t="s">
        <v>91</v>
      </c>
      <c r="J49">
        <v>1</v>
      </c>
      <c r="K49">
        <v>0.03</v>
      </c>
      <c r="L49">
        <v>1</v>
      </c>
      <c r="M49">
        <v>1</v>
      </c>
      <c r="N49">
        <v>1</v>
      </c>
      <c r="O49">
        <v>100</v>
      </c>
      <c r="P49" t="b">
        <f t="shared" si="1"/>
        <v>1</v>
      </c>
      <c r="S49" t="str">
        <f t="shared" si="15"/>
        <v>LATER</v>
      </c>
      <c r="T49" t="str">
        <f t="shared" si="16"/>
        <v>SainteLague</v>
      </c>
      <c r="U49">
        <f t="shared" si="17"/>
        <v>48</v>
      </c>
      <c r="V49">
        <f t="shared" si="18"/>
        <v>139615</v>
      </c>
      <c r="W49" s="8" t="str">
        <f>VLOOKUP(V49,'ideas-input'!$A:$B,2,FALSE)</f>
        <v>Automatização da alocação das recolhas (Correio Registado Locker)</v>
      </c>
      <c r="X49" t="str">
        <f t="shared" si="6"/>
        <v>SEO</v>
      </c>
      <c r="Y49" s="8" t="str">
        <f>VLOOKUP(V49,'ideas-input'!$A:$D,4,FALSE)</f>
        <v>Mail</v>
      </c>
      <c r="Z49" t="str">
        <f t="shared" si="7"/>
        <v>Operations</v>
      </c>
      <c r="AA49" t="str">
        <f t="shared" si="8"/>
        <v>Backlog</v>
      </c>
      <c r="AB49">
        <f t="shared" si="9"/>
        <v>1</v>
      </c>
      <c r="AC49">
        <f t="shared" si="10"/>
        <v>0.03</v>
      </c>
      <c r="AD49">
        <f t="shared" si="11"/>
        <v>1</v>
      </c>
      <c r="AE49">
        <f t="shared" si="12"/>
        <v>1</v>
      </c>
      <c r="AF49">
        <f t="shared" si="13"/>
        <v>1</v>
      </c>
      <c r="AG49">
        <f t="shared" si="14"/>
        <v>100</v>
      </c>
    </row>
    <row r="50" spans="1:33" x14ac:dyDescent="0.2">
      <c r="A50" t="s">
        <v>127</v>
      </c>
      <c r="B50" t="s">
        <v>128</v>
      </c>
      <c r="C50">
        <v>49</v>
      </c>
      <c r="D50">
        <v>57915</v>
      </c>
      <c r="E50" t="s">
        <v>936</v>
      </c>
      <c r="F50" t="s">
        <v>67</v>
      </c>
      <c r="G50" t="s">
        <v>10</v>
      </c>
      <c r="H50" t="s">
        <v>12</v>
      </c>
      <c r="I50" t="s">
        <v>136</v>
      </c>
      <c r="J50">
        <v>2</v>
      </c>
      <c r="K50">
        <v>0.03</v>
      </c>
      <c r="L50">
        <v>1</v>
      </c>
      <c r="M50">
        <v>1</v>
      </c>
      <c r="N50">
        <v>1</v>
      </c>
      <c r="O50">
        <v>100</v>
      </c>
      <c r="P50" t="b">
        <f t="shared" si="1"/>
        <v>1</v>
      </c>
      <c r="S50" t="str">
        <f t="shared" si="15"/>
        <v>LATER</v>
      </c>
      <c r="T50" t="str">
        <f t="shared" si="16"/>
        <v>SainteLague</v>
      </c>
      <c r="U50">
        <f t="shared" si="17"/>
        <v>49</v>
      </c>
      <c r="V50">
        <f t="shared" si="18"/>
        <v>57915</v>
      </c>
      <c r="W50" s="8" t="str">
        <f>VLOOKUP(V50,'ideas-input'!$A:$B,2,FALSE)</f>
        <v>[Desconexión SGC] - Creación nuevo estado "No realizado"</v>
      </c>
      <c r="X50" t="str">
        <f t="shared" si="6"/>
        <v>ATC</v>
      </c>
      <c r="Y50" s="8" t="str">
        <f>VLOOKUP(V50,'ideas-input'!$A:$D,4,FALSE)</f>
        <v>eCommerce</v>
      </c>
      <c r="Z50" t="str">
        <f t="shared" si="7"/>
        <v>Corporate</v>
      </c>
      <c r="AA50" t="str">
        <f t="shared" si="8"/>
        <v>In Solution</v>
      </c>
      <c r="AB50">
        <f t="shared" si="9"/>
        <v>2</v>
      </c>
      <c r="AC50">
        <f t="shared" si="10"/>
        <v>0.03</v>
      </c>
      <c r="AD50">
        <f t="shared" si="11"/>
        <v>1</v>
      </c>
      <c r="AE50">
        <f t="shared" si="12"/>
        <v>1</v>
      </c>
      <c r="AF50">
        <f t="shared" si="13"/>
        <v>1</v>
      </c>
      <c r="AG50">
        <f t="shared" si="14"/>
        <v>100</v>
      </c>
    </row>
    <row r="51" spans="1:33" x14ac:dyDescent="0.2">
      <c r="A51" t="s">
        <v>127</v>
      </c>
      <c r="B51" t="s">
        <v>128</v>
      </c>
      <c r="C51">
        <v>50</v>
      </c>
      <c r="D51">
        <v>126644</v>
      </c>
      <c r="E51" t="s">
        <v>132</v>
      </c>
      <c r="F51" t="s">
        <v>22</v>
      </c>
      <c r="G51" t="s">
        <v>379</v>
      </c>
      <c r="H51" t="s">
        <v>12</v>
      </c>
      <c r="I51" t="s">
        <v>136</v>
      </c>
      <c r="J51">
        <v>1</v>
      </c>
      <c r="K51">
        <v>7</v>
      </c>
      <c r="L51">
        <v>4</v>
      </c>
      <c r="M51">
        <v>2</v>
      </c>
      <c r="N51">
        <v>1</v>
      </c>
      <c r="O51">
        <v>1</v>
      </c>
      <c r="P51" t="b">
        <f t="shared" si="1"/>
        <v>1</v>
      </c>
      <c r="S51" t="str">
        <f t="shared" si="15"/>
        <v>LATER</v>
      </c>
      <c r="T51" t="str">
        <f t="shared" si="16"/>
        <v>SainteLague</v>
      </c>
      <c r="U51">
        <f t="shared" si="17"/>
        <v>50</v>
      </c>
      <c r="V51">
        <f t="shared" si="18"/>
        <v>126644</v>
      </c>
      <c r="W51" s="8" t="str">
        <f>VLOOKUP(V51,'ideas-input'!$A:$B,2,FALSE)</f>
        <v>GENAI- Rossum</v>
      </c>
      <c r="X51" t="str">
        <f t="shared" si="6"/>
        <v>CF</v>
      </c>
      <c r="Y51" s="8" t="str">
        <f>VLOOKUP(V51,'ideas-input'!$A:$D,4,FALSE)</f>
        <v>Mail</v>
      </c>
      <c r="Z51" t="str">
        <f t="shared" si="7"/>
        <v>Corporate</v>
      </c>
      <c r="AA51" t="str">
        <f t="shared" si="8"/>
        <v>In Solution</v>
      </c>
      <c r="AB51">
        <f t="shared" si="9"/>
        <v>1</v>
      </c>
      <c r="AC51">
        <f t="shared" si="10"/>
        <v>7</v>
      </c>
      <c r="AD51">
        <f t="shared" si="11"/>
        <v>4</v>
      </c>
      <c r="AE51">
        <f t="shared" si="12"/>
        <v>2</v>
      </c>
      <c r="AF51">
        <f t="shared" si="13"/>
        <v>1</v>
      </c>
      <c r="AG51">
        <f t="shared" si="14"/>
        <v>1</v>
      </c>
    </row>
    <row r="52" spans="1:33" x14ac:dyDescent="0.2">
      <c r="A52" t="s">
        <v>127</v>
      </c>
      <c r="B52" t="s">
        <v>128</v>
      </c>
      <c r="C52">
        <v>51</v>
      </c>
      <c r="D52">
        <v>65194</v>
      </c>
      <c r="E52" t="s">
        <v>937</v>
      </c>
      <c r="F52" t="s">
        <v>70</v>
      </c>
      <c r="G52" t="s">
        <v>10</v>
      </c>
      <c r="H52" t="s">
        <v>8</v>
      </c>
      <c r="I52" t="s">
        <v>91</v>
      </c>
      <c r="J52">
        <v>2</v>
      </c>
      <c r="K52">
        <v>0.03</v>
      </c>
      <c r="L52">
        <v>1</v>
      </c>
      <c r="M52">
        <v>1</v>
      </c>
      <c r="N52">
        <v>1</v>
      </c>
      <c r="O52">
        <v>100</v>
      </c>
      <c r="P52" t="b">
        <f t="shared" si="1"/>
        <v>1</v>
      </c>
      <c r="S52" t="str">
        <f t="shared" si="15"/>
        <v>LATER</v>
      </c>
      <c r="T52" t="str">
        <f t="shared" si="16"/>
        <v>SainteLague</v>
      </c>
      <c r="U52">
        <f t="shared" si="17"/>
        <v>51</v>
      </c>
      <c r="V52">
        <f t="shared" si="18"/>
        <v>65194</v>
      </c>
      <c r="W52" s="8" t="str">
        <f>VLOOKUP(V52,'ideas-input'!$A:$B,2,FALSE)</f>
        <v>Desconexión de SGC - Definición del RoadMap</v>
      </c>
      <c r="X52" t="str">
        <f t="shared" si="6"/>
        <v>CIO</v>
      </c>
      <c r="Y52" s="8" t="str">
        <f>VLOOKUP(V52,'ideas-input'!$A:$D,4,FALSE)</f>
        <v>eCommerce</v>
      </c>
      <c r="Z52" t="str">
        <f t="shared" si="7"/>
        <v>Technology</v>
      </c>
      <c r="AA52" t="str">
        <f t="shared" si="8"/>
        <v>Backlog</v>
      </c>
      <c r="AB52">
        <f t="shared" si="9"/>
        <v>2</v>
      </c>
      <c r="AC52">
        <f t="shared" si="10"/>
        <v>0.03</v>
      </c>
      <c r="AD52">
        <f t="shared" si="11"/>
        <v>1</v>
      </c>
      <c r="AE52">
        <f t="shared" si="12"/>
        <v>1</v>
      </c>
      <c r="AF52">
        <f t="shared" si="13"/>
        <v>1</v>
      </c>
      <c r="AG52">
        <f t="shared" si="14"/>
        <v>100</v>
      </c>
    </row>
    <row r="53" spans="1:33" x14ac:dyDescent="0.2">
      <c r="A53" t="s">
        <v>127</v>
      </c>
      <c r="B53" t="s">
        <v>128</v>
      </c>
      <c r="C53">
        <v>52</v>
      </c>
      <c r="D53">
        <v>50994</v>
      </c>
      <c r="E53" t="s">
        <v>938</v>
      </c>
      <c r="F53" t="s">
        <v>9</v>
      </c>
      <c r="G53" t="s">
        <v>379</v>
      </c>
      <c r="H53" t="s">
        <v>8</v>
      </c>
      <c r="I53" t="s">
        <v>91</v>
      </c>
      <c r="J53">
        <v>1</v>
      </c>
      <c r="K53">
        <v>0.03</v>
      </c>
      <c r="L53">
        <v>1</v>
      </c>
      <c r="M53">
        <v>1</v>
      </c>
      <c r="N53">
        <v>1</v>
      </c>
      <c r="O53">
        <v>100</v>
      </c>
      <c r="P53" t="b">
        <f t="shared" si="1"/>
        <v>1</v>
      </c>
      <c r="S53" t="str">
        <f t="shared" si="15"/>
        <v>LATER</v>
      </c>
      <c r="T53" t="str">
        <f t="shared" si="16"/>
        <v>SainteLague</v>
      </c>
      <c r="U53">
        <f t="shared" si="17"/>
        <v>52</v>
      </c>
      <c r="V53">
        <f t="shared" si="18"/>
        <v>50994</v>
      </c>
      <c r="W53" s="8" t="str">
        <f>VLOOKUP(V53,'ideas-input'!$A:$B,2,FALSE)</f>
        <v>APT | Mata Aplicações - Wave 1.13</v>
      </c>
      <c r="X53" t="str">
        <f t="shared" si="6"/>
        <v>SI</v>
      </c>
      <c r="Y53" s="8" t="str">
        <f>VLOOKUP(V53,'ideas-input'!$A:$D,4,FALSE)</f>
        <v>Mail</v>
      </c>
      <c r="Z53" t="str">
        <f t="shared" si="7"/>
        <v>Technology</v>
      </c>
      <c r="AA53" t="str">
        <f t="shared" si="8"/>
        <v>Backlog</v>
      </c>
      <c r="AB53">
        <f t="shared" si="9"/>
        <v>1</v>
      </c>
      <c r="AC53">
        <f t="shared" si="10"/>
        <v>0.03</v>
      </c>
      <c r="AD53">
        <f t="shared" si="11"/>
        <v>1</v>
      </c>
      <c r="AE53">
        <f t="shared" si="12"/>
        <v>1</v>
      </c>
      <c r="AF53">
        <f t="shared" si="13"/>
        <v>1</v>
      </c>
      <c r="AG53">
        <f t="shared" si="14"/>
        <v>100</v>
      </c>
    </row>
    <row r="54" spans="1:33" x14ac:dyDescent="0.2">
      <c r="A54" t="s">
        <v>127</v>
      </c>
      <c r="B54" t="s">
        <v>128</v>
      </c>
      <c r="C54">
        <v>53</v>
      </c>
      <c r="D54">
        <v>61207</v>
      </c>
      <c r="E54" t="s">
        <v>137</v>
      </c>
      <c r="F54" t="s">
        <v>66</v>
      </c>
      <c r="G54" t="s">
        <v>10</v>
      </c>
      <c r="H54" t="s">
        <v>5</v>
      </c>
      <c r="I54" t="s">
        <v>130</v>
      </c>
      <c r="J54">
        <v>2</v>
      </c>
      <c r="K54">
        <v>0.03</v>
      </c>
      <c r="L54">
        <v>1</v>
      </c>
      <c r="M54">
        <v>1</v>
      </c>
      <c r="N54">
        <v>1</v>
      </c>
      <c r="O54">
        <v>100</v>
      </c>
      <c r="P54" t="b">
        <f t="shared" si="1"/>
        <v>1</v>
      </c>
      <c r="S54" t="str">
        <f t="shared" si="15"/>
        <v>LATER</v>
      </c>
      <c r="T54" t="str">
        <f t="shared" si="16"/>
        <v>SainteLague</v>
      </c>
      <c r="U54">
        <f t="shared" si="17"/>
        <v>53</v>
      </c>
      <c r="V54">
        <f t="shared" si="18"/>
        <v>61207</v>
      </c>
      <c r="W54" s="8" t="str">
        <f>VLOOKUP(V54,'ideas-input'!$A:$B,2,FALSE)</f>
        <v>[Salesforce Sales] - Multi oportunidad en Cuentas</v>
      </c>
      <c r="X54" t="str">
        <f t="shared" si="6"/>
        <v>CCO</v>
      </c>
      <c r="Y54" s="8" t="str">
        <f>VLOOKUP(V54,'ideas-input'!$A:$D,4,FALSE)</f>
        <v>eCommerce</v>
      </c>
      <c r="Z54" t="str">
        <f t="shared" si="7"/>
        <v>Commercial</v>
      </c>
      <c r="AA54" t="str">
        <f t="shared" si="8"/>
        <v>High Level Design</v>
      </c>
      <c r="AB54">
        <f t="shared" si="9"/>
        <v>2</v>
      </c>
      <c r="AC54">
        <f t="shared" si="10"/>
        <v>0.03</v>
      </c>
      <c r="AD54">
        <f t="shared" si="11"/>
        <v>1</v>
      </c>
      <c r="AE54">
        <f t="shared" si="12"/>
        <v>1</v>
      </c>
      <c r="AF54">
        <f t="shared" si="13"/>
        <v>1</v>
      </c>
      <c r="AG54">
        <f t="shared" si="14"/>
        <v>100</v>
      </c>
    </row>
    <row r="55" spans="1:33" x14ac:dyDescent="0.2">
      <c r="A55" t="s">
        <v>127</v>
      </c>
      <c r="B55" t="s">
        <v>128</v>
      </c>
      <c r="C55">
        <v>54</v>
      </c>
      <c r="D55">
        <v>139708</v>
      </c>
      <c r="E55" t="s">
        <v>940</v>
      </c>
      <c r="F55" t="s">
        <v>23</v>
      </c>
      <c r="G55" t="s">
        <v>379</v>
      </c>
      <c r="H55" t="s">
        <v>5</v>
      </c>
      <c r="I55" t="s">
        <v>91</v>
      </c>
      <c r="J55">
        <v>1</v>
      </c>
      <c r="K55">
        <v>0.03</v>
      </c>
      <c r="L55">
        <v>1</v>
      </c>
      <c r="M55">
        <v>1</v>
      </c>
      <c r="N55">
        <v>1</v>
      </c>
      <c r="O55">
        <v>100</v>
      </c>
      <c r="P55" t="b">
        <f t="shared" si="1"/>
        <v>1</v>
      </c>
      <c r="S55" t="str">
        <f t="shared" si="15"/>
        <v>LATER</v>
      </c>
      <c r="T55" t="str">
        <f t="shared" si="16"/>
        <v>SainteLague</v>
      </c>
      <c r="U55">
        <f t="shared" si="17"/>
        <v>54</v>
      </c>
      <c r="V55">
        <f t="shared" si="18"/>
        <v>139708</v>
      </c>
      <c r="W55" s="8" t="str">
        <f>VLOOKUP(V55,'ideas-input'!$A:$B,2,FALSE)</f>
        <v>[NEXUS][PT]- PRODUCTO BANCA</v>
      </c>
      <c r="X55" t="str">
        <f t="shared" si="6"/>
        <v>GP ECL</v>
      </c>
      <c r="Y55" s="8" t="str">
        <f>VLOOKUP(V55,'ideas-input'!$A:$D,4,FALSE)</f>
        <v>eCommerce</v>
      </c>
      <c r="Z55" t="str">
        <f t="shared" si="7"/>
        <v>Commercial</v>
      </c>
      <c r="AA55" t="str">
        <f t="shared" si="8"/>
        <v>Backlog</v>
      </c>
      <c r="AB55">
        <f t="shared" si="9"/>
        <v>1</v>
      </c>
      <c r="AC55">
        <f t="shared" si="10"/>
        <v>0.03</v>
      </c>
      <c r="AD55">
        <f t="shared" si="11"/>
        <v>1</v>
      </c>
      <c r="AE55">
        <f t="shared" si="12"/>
        <v>1</v>
      </c>
      <c r="AF55">
        <f t="shared" si="13"/>
        <v>1</v>
      </c>
      <c r="AG55">
        <f t="shared" si="14"/>
        <v>100</v>
      </c>
    </row>
    <row r="56" spans="1:33" x14ac:dyDescent="0.2">
      <c r="A56" t="s">
        <v>127</v>
      </c>
      <c r="B56" t="s">
        <v>128</v>
      </c>
      <c r="C56">
        <v>55</v>
      </c>
      <c r="D56">
        <v>63942</v>
      </c>
      <c r="E56" t="s">
        <v>939</v>
      </c>
      <c r="F56" t="s">
        <v>64</v>
      </c>
      <c r="G56" t="s">
        <v>10</v>
      </c>
      <c r="H56" t="s">
        <v>6</v>
      </c>
      <c r="I56" t="s">
        <v>95</v>
      </c>
      <c r="J56">
        <v>6</v>
      </c>
      <c r="K56">
        <v>0.03</v>
      </c>
      <c r="L56">
        <v>1</v>
      </c>
      <c r="M56">
        <v>1</v>
      </c>
      <c r="N56">
        <v>1</v>
      </c>
      <c r="O56">
        <v>100</v>
      </c>
      <c r="P56" t="b">
        <f t="shared" si="1"/>
        <v>1</v>
      </c>
      <c r="S56" t="str">
        <f t="shared" si="15"/>
        <v>LATER</v>
      </c>
      <c r="T56" t="str">
        <f t="shared" si="16"/>
        <v>SainteLague</v>
      </c>
      <c r="U56">
        <f t="shared" si="17"/>
        <v>55</v>
      </c>
      <c r="V56">
        <f t="shared" si="18"/>
        <v>63942</v>
      </c>
      <c r="W56" s="8" t="str">
        <f>VLOOKUP(V56,'ideas-input'!$A:$B,2,FALSE)</f>
        <v>Expansión de lectura en contenedores (Propios y de clientes)</v>
      </c>
      <c r="X56" t="str">
        <f t="shared" si="6"/>
        <v>COO</v>
      </c>
      <c r="Y56" s="8" t="str">
        <f>VLOOKUP(V56,'ideas-input'!$A:$D,4,FALSE)</f>
        <v>eCommerce</v>
      </c>
      <c r="Z56" t="str">
        <f t="shared" si="7"/>
        <v>Operations</v>
      </c>
      <c r="AA56" t="str">
        <f t="shared" si="8"/>
        <v>In Definition</v>
      </c>
      <c r="AB56">
        <f t="shared" si="9"/>
        <v>6</v>
      </c>
      <c r="AC56">
        <f t="shared" si="10"/>
        <v>0.03</v>
      </c>
      <c r="AD56">
        <f t="shared" si="11"/>
        <v>1</v>
      </c>
      <c r="AE56">
        <f t="shared" si="12"/>
        <v>1</v>
      </c>
      <c r="AF56">
        <f t="shared" si="13"/>
        <v>1</v>
      </c>
      <c r="AG56">
        <f t="shared" si="14"/>
        <v>100</v>
      </c>
    </row>
    <row r="57" spans="1:33" x14ac:dyDescent="0.2">
      <c r="A57" t="s">
        <v>127</v>
      </c>
      <c r="B57" t="s">
        <v>128</v>
      </c>
      <c r="C57">
        <v>56</v>
      </c>
      <c r="D57">
        <v>139883</v>
      </c>
      <c r="E57" t="s">
        <v>1022</v>
      </c>
      <c r="F57" t="s">
        <v>7</v>
      </c>
      <c r="G57" t="s">
        <v>379</v>
      </c>
      <c r="H57" t="s">
        <v>6</v>
      </c>
      <c r="I57" t="s">
        <v>95</v>
      </c>
      <c r="J57">
        <v>1</v>
      </c>
      <c r="K57">
        <v>0.03</v>
      </c>
      <c r="L57">
        <v>1</v>
      </c>
      <c r="M57">
        <v>1</v>
      </c>
      <c r="N57">
        <v>1</v>
      </c>
      <c r="O57">
        <v>100</v>
      </c>
      <c r="P57" t="b">
        <f t="shared" si="1"/>
        <v>1</v>
      </c>
      <c r="S57" t="str">
        <f t="shared" si="15"/>
        <v>LATER</v>
      </c>
      <c r="T57" t="str">
        <f t="shared" si="16"/>
        <v>SainteLague</v>
      </c>
      <c r="U57">
        <f t="shared" si="17"/>
        <v>56</v>
      </c>
      <c r="V57">
        <f t="shared" si="18"/>
        <v>139883</v>
      </c>
      <c r="W57" s="8" t="str">
        <f>VLOOKUP(V57,'ideas-input'!$A:$B,2,FALSE)</f>
        <v>[NEXUS] [Fase 2] Decision Server define the exit based on Route</v>
      </c>
      <c r="X57" t="str">
        <f t="shared" si="6"/>
        <v>EDO</v>
      </c>
      <c r="Y57" s="8" t="str">
        <f>VLOOKUP(V57,'ideas-input'!$A:$D,4,FALSE)</f>
        <v>eCommerce</v>
      </c>
      <c r="Z57" t="str">
        <f t="shared" si="7"/>
        <v>Operations</v>
      </c>
      <c r="AA57" t="str">
        <f t="shared" si="8"/>
        <v>In Definition</v>
      </c>
      <c r="AB57">
        <f t="shared" si="9"/>
        <v>1</v>
      </c>
      <c r="AC57">
        <f t="shared" si="10"/>
        <v>0.03</v>
      </c>
      <c r="AD57">
        <f t="shared" si="11"/>
        <v>1</v>
      </c>
      <c r="AE57">
        <f t="shared" si="12"/>
        <v>1</v>
      </c>
      <c r="AF57">
        <f t="shared" si="13"/>
        <v>1</v>
      </c>
      <c r="AG57">
        <f t="shared" si="14"/>
        <v>100</v>
      </c>
    </row>
    <row r="58" spans="1:33" x14ac:dyDescent="0.2">
      <c r="A58" t="s">
        <v>127</v>
      </c>
      <c r="B58" t="s">
        <v>128</v>
      </c>
      <c r="C58">
        <v>57</v>
      </c>
      <c r="D58">
        <v>50425</v>
      </c>
      <c r="E58" t="s">
        <v>941</v>
      </c>
      <c r="F58" t="s">
        <v>69</v>
      </c>
      <c r="G58" t="s">
        <v>10</v>
      </c>
      <c r="H58" t="s">
        <v>12</v>
      </c>
      <c r="I58" t="s">
        <v>130</v>
      </c>
      <c r="J58">
        <v>1</v>
      </c>
      <c r="K58">
        <v>0.03</v>
      </c>
      <c r="L58">
        <v>1</v>
      </c>
      <c r="M58">
        <v>1</v>
      </c>
      <c r="N58">
        <v>1</v>
      </c>
      <c r="O58">
        <v>100</v>
      </c>
      <c r="P58" t="b">
        <f t="shared" si="1"/>
        <v>1</v>
      </c>
      <c r="S58" t="str">
        <f t="shared" si="15"/>
        <v>LATER</v>
      </c>
      <c r="T58" t="str">
        <f t="shared" si="16"/>
        <v>SainteLague</v>
      </c>
      <c r="U58">
        <f t="shared" si="17"/>
        <v>57</v>
      </c>
      <c r="V58">
        <f t="shared" si="18"/>
        <v>50425</v>
      </c>
      <c r="W58" s="8" t="str">
        <f>VLOOKUP(V58,'ideas-input'!$A:$B,2,FALSE)</f>
        <v>Reconciliación bancaria de Cobros por tarjeta y Bizum</v>
      </c>
      <c r="X58" t="str">
        <f t="shared" si="6"/>
        <v>CFO</v>
      </c>
      <c r="Y58" s="8" t="str">
        <f>VLOOKUP(V58,'ideas-input'!$A:$D,4,FALSE)</f>
        <v>eCommerce</v>
      </c>
      <c r="Z58" t="str">
        <f t="shared" si="7"/>
        <v>Corporate</v>
      </c>
      <c r="AA58" t="str">
        <f t="shared" si="8"/>
        <v>High Level Design</v>
      </c>
      <c r="AB58">
        <f t="shared" si="9"/>
        <v>1</v>
      </c>
      <c r="AC58">
        <f t="shared" si="10"/>
        <v>0.03</v>
      </c>
      <c r="AD58">
        <f t="shared" si="11"/>
        <v>1</v>
      </c>
      <c r="AE58">
        <f t="shared" si="12"/>
        <v>1</v>
      </c>
      <c r="AF58">
        <f t="shared" si="13"/>
        <v>1</v>
      </c>
      <c r="AG58">
        <f t="shared" si="14"/>
        <v>100</v>
      </c>
    </row>
    <row r="59" spans="1:33" x14ac:dyDescent="0.2">
      <c r="A59" t="s">
        <v>127</v>
      </c>
      <c r="B59" t="s">
        <v>128</v>
      </c>
      <c r="C59">
        <v>58</v>
      </c>
      <c r="D59">
        <v>128060</v>
      </c>
      <c r="E59" t="s">
        <v>944</v>
      </c>
      <c r="F59" t="s">
        <v>45</v>
      </c>
      <c r="G59" t="s">
        <v>379</v>
      </c>
      <c r="H59" t="s">
        <v>12</v>
      </c>
      <c r="I59" t="s">
        <v>91</v>
      </c>
      <c r="J59">
        <v>1</v>
      </c>
      <c r="K59">
        <v>0.03</v>
      </c>
      <c r="L59">
        <v>1</v>
      </c>
      <c r="M59">
        <v>1</v>
      </c>
      <c r="N59">
        <v>1</v>
      </c>
      <c r="O59">
        <v>100</v>
      </c>
      <c r="P59" t="b">
        <f t="shared" si="1"/>
        <v>1</v>
      </c>
      <c r="S59" t="str">
        <f t="shared" si="15"/>
        <v>LATER</v>
      </c>
      <c r="T59" t="str">
        <f t="shared" si="16"/>
        <v>SainteLague</v>
      </c>
      <c r="U59">
        <f t="shared" si="17"/>
        <v>58</v>
      </c>
      <c r="V59">
        <f t="shared" si="18"/>
        <v>128060</v>
      </c>
      <c r="W59" s="8" t="str">
        <f>VLOOKUP(V59,'ideas-input'!$A:$B,2,FALSE)</f>
        <v>XRP | Alteração do fluxo de contabilização</v>
      </c>
      <c r="X59" t="str">
        <f t="shared" si="6"/>
        <v>RS</v>
      </c>
      <c r="Y59" s="8" t="str">
        <f>VLOOKUP(V59,'ideas-input'!$A:$D,4,FALSE)</f>
        <v>Mail</v>
      </c>
      <c r="Z59" t="str">
        <f t="shared" si="7"/>
        <v>Corporate</v>
      </c>
      <c r="AA59" t="str">
        <f t="shared" si="8"/>
        <v>Backlog</v>
      </c>
      <c r="AB59">
        <f t="shared" si="9"/>
        <v>1</v>
      </c>
      <c r="AC59">
        <f t="shared" si="10"/>
        <v>0.03</v>
      </c>
      <c r="AD59">
        <f t="shared" si="11"/>
        <v>1</v>
      </c>
      <c r="AE59">
        <f t="shared" si="12"/>
        <v>1</v>
      </c>
      <c r="AF59">
        <f t="shared" si="13"/>
        <v>1</v>
      </c>
      <c r="AG59">
        <f t="shared" si="14"/>
        <v>100</v>
      </c>
    </row>
    <row r="60" spans="1:33" x14ac:dyDescent="0.2">
      <c r="A60" t="s">
        <v>127</v>
      </c>
      <c r="B60" t="s">
        <v>128</v>
      </c>
      <c r="C60">
        <v>59</v>
      </c>
      <c r="D60">
        <v>65195</v>
      </c>
      <c r="E60" t="s">
        <v>943</v>
      </c>
      <c r="F60" t="s">
        <v>70</v>
      </c>
      <c r="G60" t="s">
        <v>10</v>
      </c>
      <c r="H60" t="s">
        <v>8</v>
      </c>
      <c r="I60" t="s">
        <v>91</v>
      </c>
      <c r="J60">
        <v>3</v>
      </c>
      <c r="K60">
        <v>0.03</v>
      </c>
      <c r="L60">
        <v>1</v>
      </c>
      <c r="M60">
        <v>1</v>
      </c>
      <c r="N60">
        <v>1</v>
      </c>
      <c r="O60">
        <v>100</v>
      </c>
      <c r="P60" t="b">
        <f t="shared" si="1"/>
        <v>1</v>
      </c>
      <c r="S60" t="str">
        <f t="shared" si="15"/>
        <v>LATER</v>
      </c>
      <c r="T60" t="str">
        <f t="shared" si="16"/>
        <v>SainteLague</v>
      </c>
      <c r="U60">
        <f t="shared" si="17"/>
        <v>59</v>
      </c>
      <c r="V60">
        <f t="shared" si="18"/>
        <v>65195</v>
      </c>
      <c r="W60" s="8" t="str">
        <f>VLOOKUP(V60,'ideas-input'!$A:$B,2,FALSE)</f>
        <v>Stack Observabilidad Ibérico</v>
      </c>
      <c r="X60" t="str">
        <f t="shared" si="6"/>
        <v>CIO</v>
      </c>
      <c r="Y60" s="8" t="str">
        <f>VLOOKUP(V60,'ideas-input'!$A:$D,4,FALSE)</f>
        <v>eCommerce</v>
      </c>
      <c r="Z60" t="str">
        <f t="shared" si="7"/>
        <v>Technology</v>
      </c>
      <c r="AA60" t="str">
        <f t="shared" si="8"/>
        <v>Backlog</v>
      </c>
      <c r="AB60">
        <f t="shared" si="9"/>
        <v>3</v>
      </c>
      <c r="AC60">
        <f t="shared" si="10"/>
        <v>0.03</v>
      </c>
      <c r="AD60">
        <f t="shared" si="11"/>
        <v>1</v>
      </c>
      <c r="AE60">
        <f t="shared" si="12"/>
        <v>1</v>
      </c>
      <c r="AF60">
        <f t="shared" si="13"/>
        <v>1</v>
      </c>
      <c r="AG60">
        <f t="shared" si="14"/>
        <v>100</v>
      </c>
    </row>
    <row r="61" spans="1:33" x14ac:dyDescent="0.2">
      <c r="A61" t="s">
        <v>127</v>
      </c>
      <c r="B61" t="s">
        <v>128</v>
      </c>
      <c r="C61">
        <v>60</v>
      </c>
      <c r="D61">
        <v>134587</v>
      </c>
      <c r="E61" t="s">
        <v>946</v>
      </c>
      <c r="F61" t="s">
        <v>34</v>
      </c>
      <c r="G61" t="s">
        <v>379</v>
      </c>
      <c r="H61" t="s">
        <v>8</v>
      </c>
      <c r="I61" t="s">
        <v>130</v>
      </c>
      <c r="J61">
        <v>1</v>
      </c>
      <c r="K61">
        <v>6</v>
      </c>
      <c r="L61">
        <v>3</v>
      </c>
      <c r="M61">
        <v>1</v>
      </c>
      <c r="N61">
        <v>2</v>
      </c>
      <c r="O61">
        <v>1</v>
      </c>
      <c r="P61" t="b">
        <f t="shared" si="1"/>
        <v>1</v>
      </c>
      <c r="S61" t="str">
        <f t="shared" si="15"/>
        <v>LATER</v>
      </c>
      <c r="T61" t="str">
        <f t="shared" si="16"/>
        <v>SainteLague</v>
      </c>
      <c r="U61">
        <f t="shared" si="17"/>
        <v>60</v>
      </c>
      <c r="V61">
        <f t="shared" si="18"/>
        <v>134587</v>
      </c>
      <c r="W61" s="8" t="str">
        <f>VLOOKUP(V61,'ideas-input'!$A:$B,2,FALSE)</f>
        <v>BCTT - Relatório Sendgrid</v>
      </c>
      <c r="X61" t="str">
        <f t="shared" si="6"/>
        <v>BCTT</v>
      </c>
      <c r="Y61" s="8" t="str">
        <f>VLOOKUP(V61,'ideas-input'!$A:$D,4,FALSE)</f>
        <v>Mail</v>
      </c>
      <c r="Z61" t="str">
        <f t="shared" si="7"/>
        <v>Technology</v>
      </c>
      <c r="AA61" t="str">
        <f t="shared" si="8"/>
        <v>High Level Design</v>
      </c>
      <c r="AB61">
        <f t="shared" si="9"/>
        <v>1</v>
      </c>
      <c r="AC61">
        <f t="shared" si="10"/>
        <v>6</v>
      </c>
      <c r="AD61">
        <f t="shared" si="11"/>
        <v>3</v>
      </c>
      <c r="AE61">
        <f t="shared" si="12"/>
        <v>1</v>
      </c>
      <c r="AF61">
        <f t="shared" si="13"/>
        <v>2</v>
      </c>
      <c r="AG61">
        <f t="shared" si="14"/>
        <v>1</v>
      </c>
    </row>
    <row r="62" spans="1:33" x14ac:dyDescent="0.2">
      <c r="A62" t="s">
        <v>127</v>
      </c>
      <c r="B62" t="s">
        <v>128</v>
      </c>
      <c r="C62">
        <v>61</v>
      </c>
      <c r="D62">
        <v>60649</v>
      </c>
      <c r="E62" t="s">
        <v>945</v>
      </c>
      <c r="F62" t="s">
        <v>68</v>
      </c>
      <c r="G62" t="s">
        <v>10</v>
      </c>
      <c r="H62" t="s">
        <v>5</v>
      </c>
      <c r="I62" t="s">
        <v>136</v>
      </c>
      <c r="J62">
        <v>1</v>
      </c>
      <c r="K62">
        <v>0.03</v>
      </c>
      <c r="L62">
        <v>1</v>
      </c>
      <c r="M62">
        <v>1</v>
      </c>
      <c r="N62">
        <v>1</v>
      </c>
      <c r="O62">
        <v>100</v>
      </c>
      <c r="P62" t="b">
        <f t="shared" si="1"/>
        <v>1</v>
      </c>
      <c r="S62" t="str">
        <f t="shared" si="15"/>
        <v>LATER</v>
      </c>
      <c r="T62" t="str">
        <f t="shared" si="16"/>
        <v>SainteLague</v>
      </c>
      <c r="U62">
        <f t="shared" si="17"/>
        <v>61</v>
      </c>
      <c r="V62">
        <f t="shared" si="18"/>
        <v>60649</v>
      </c>
      <c r="W62" s="8" t="str">
        <f>VLOOKUP(V62,'ideas-input'!$A:$B,2,FALSE)</f>
        <v>Automatizar la carga del maestro de CP7 de Portugal [Objetos con origen en España sin Cp7]</v>
      </c>
      <c r="X62" t="str">
        <f t="shared" si="6"/>
        <v>IDC</v>
      </c>
      <c r="Y62" s="8" t="str">
        <f>VLOOKUP(V62,'ideas-input'!$A:$D,4,FALSE)</f>
        <v>eCommerce</v>
      </c>
      <c r="Z62" t="str">
        <f t="shared" si="7"/>
        <v>Commercial</v>
      </c>
      <c r="AA62" t="str">
        <f t="shared" si="8"/>
        <v>In Solution</v>
      </c>
      <c r="AB62">
        <f t="shared" si="9"/>
        <v>1</v>
      </c>
      <c r="AC62">
        <f t="shared" si="10"/>
        <v>0.03</v>
      </c>
      <c r="AD62">
        <f t="shared" si="11"/>
        <v>1</v>
      </c>
      <c r="AE62">
        <f t="shared" si="12"/>
        <v>1</v>
      </c>
      <c r="AF62">
        <f t="shared" si="13"/>
        <v>1</v>
      </c>
      <c r="AG62">
        <f t="shared" si="14"/>
        <v>100</v>
      </c>
    </row>
    <row r="63" spans="1:33" x14ac:dyDescent="0.2">
      <c r="A63" t="s">
        <v>127</v>
      </c>
      <c r="B63" t="s">
        <v>128</v>
      </c>
      <c r="C63">
        <v>62</v>
      </c>
      <c r="D63">
        <v>126458</v>
      </c>
      <c r="E63" t="s">
        <v>1666</v>
      </c>
      <c r="F63" t="s">
        <v>36</v>
      </c>
      <c r="G63" t="s">
        <v>379</v>
      </c>
      <c r="H63" t="s">
        <v>5</v>
      </c>
      <c r="I63" t="s">
        <v>95</v>
      </c>
      <c r="J63">
        <v>1</v>
      </c>
      <c r="K63">
        <v>0.05</v>
      </c>
      <c r="L63">
        <v>3</v>
      </c>
      <c r="M63">
        <v>1</v>
      </c>
      <c r="N63">
        <v>1</v>
      </c>
      <c r="O63">
        <v>100</v>
      </c>
      <c r="P63" t="b">
        <f t="shared" si="1"/>
        <v>1</v>
      </c>
      <c r="S63" t="str">
        <f t="shared" si="15"/>
        <v>LATER</v>
      </c>
      <c r="T63" t="str">
        <f t="shared" si="16"/>
        <v>SainteLague</v>
      </c>
      <c r="U63">
        <f t="shared" si="17"/>
        <v>62</v>
      </c>
      <c r="V63">
        <f t="shared" si="18"/>
        <v>126458</v>
      </c>
      <c r="W63" s="8" t="str">
        <f>VLOOKUP(V63,'ideas-input'!$A:$B,2,FALSE)</f>
        <v>Super B2C (App + Área Cliente) |  Alterar forma de gerar push notification na App</v>
      </c>
      <c r="X63" t="str">
        <f t="shared" si="6"/>
        <v>DNI</v>
      </c>
      <c r="Y63" s="8" t="str">
        <f>VLOOKUP(V63,'ideas-input'!$A:$D,4,FALSE)</f>
        <v>Mail</v>
      </c>
      <c r="Z63" t="str">
        <f t="shared" si="7"/>
        <v>Commercial</v>
      </c>
      <c r="AA63" t="str">
        <f t="shared" si="8"/>
        <v>In Definition</v>
      </c>
      <c r="AB63">
        <f t="shared" si="9"/>
        <v>1</v>
      </c>
      <c r="AC63">
        <f t="shared" si="10"/>
        <v>0.05</v>
      </c>
      <c r="AD63">
        <f t="shared" si="11"/>
        <v>3</v>
      </c>
      <c r="AE63">
        <f t="shared" si="12"/>
        <v>1</v>
      </c>
      <c r="AF63">
        <f t="shared" si="13"/>
        <v>1</v>
      </c>
      <c r="AG63">
        <f t="shared" si="14"/>
        <v>100</v>
      </c>
    </row>
    <row r="64" spans="1:33" x14ac:dyDescent="0.2">
      <c r="A64" t="s">
        <v>127</v>
      </c>
      <c r="B64" t="s">
        <v>128</v>
      </c>
      <c r="C64">
        <v>63</v>
      </c>
      <c r="D64">
        <v>63296</v>
      </c>
      <c r="E64" t="s">
        <v>150</v>
      </c>
      <c r="F64" t="s">
        <v>64</v>
      </c>
      <c r="G64" t="s">
        <v>10</v>
      </c>
      <c r="H64" t="s">
        <v>6</v>
      </c>
      <c r="I64" t="s">
        <v>94</v>
      </c>
      <c r="J64">
        <v>7</v>
      </c>
      <c r="K64">
        <v>0.03</v>
      </c>
      <c r="L64">
        <v>1</v>
      </c>
      <c r="M64">
        <v>1</v>
      </c>
      <c r="N64">
        <v>1</v>
      </c>
      <c r="O64">
        <v>100</v>
      </c>
      <c r="P64" t="b">
        <f t="shared" si="1"/>
        <v>1</v>
      </c>
      <c r="S64" t="str">
        <f t="shared" si="15"/>
        <v>LATER</v>
      </c>
      <c r="T64" t="str">
        <f t="shared" si="16"/>
        <v>SainteLague</v>
      </c>
      <c r="U64">
        <f t="shared" si="17"/>
        <v>63</v>
      </c>
      <c r="V64">
        <f t="shared" si="18"/>
        <v>63296</v>
      </c>
      <c r="W64" s="8" t="str">
        <f>VLOOKUP(V64,'ideas-input'!$A:$B,2,FALSE)</f>
        <v>Acciones para evitar la duplicidad de recogidas de clientes v2</v>
      </c>
      <c r="X64" t="str">
        <f t="shared" si="6"/>
        <v>COO</v>
      </c>
      <c r="Y64" s="8" t="str">
        <f>VLOOKUP(V64,'ideas-input'!$A:$D,4,FALSE)</f>
        <v>eCommerce</v>
      </c>
      <c r="Z64" t="str">
        <f t="shared" si="7"/>
        <v>Operations</v>
      </c>
      <c r="AA64" t="str">
        <f t="shared" si="8"/>
        <v>In Approval</v>
      </c>
      <c r="AB64">
        <f t="shared" si="9"/>
        <v>7</v>
      </c>
      <c r="AC64">
        <f t="shared" si="10"/>
        <v>0.03</v>
      </c>
      <c r="AD64">
        <f t="shared" si="11"/>
        <v>1</v>
      </c>
      <c r="AE64">
        <f t="shared" si="12"/>
        <v>1</v>
      </c>
      <c r="AF64">
        <f t="shared" si="13"/>
        <v>1</v>
      </c>
      <c r="AG64">
        <f t="shared" si="14"/>
        <v>100</v>
      </c>
    </row>
    <row r="65" spans="1:33" x14ac:dyDescent="0.2">
      <c r="A65" t="s">
        <v>127</v>
      </c>
      <c r="B65" t="s">
        <v>128</v>
      </c>
      <c r="C65">
        <v>64</v>
      </c>
      <c r="D65">
        <v>140323</v>
      </c>
      <c r="E65" t="s">
        <v>947</v>
      </c>
      <c r="F65" t="s">
        <v>59</v>
      </c>
      <c r="G65" t="s">
        <v>379</v>
      </c>
      <c r="H65" t="s">
        <v>6</v>
      </c>
      <c r="I65" t="s">
        <v>95</v>
      </c>
      <c r="J65">
        <v>2</v>
      </c>
      <c r="K65">
        <v>3</v>
      </c>
      <c r="L65">
        <v>2</v>
      </c>
      <c r="M65">
        <v>4</v>
      </c>
      <c r="N65">
        <v>3</v>
      </c>
      <c r="O65">
        <v>3</v>
      </c>
      <c r="P65" t="b">
        <f t="shared" si="1"/>
        <v>1</v>
      </c>
      <c r="S65" t="str">
        <f t="shared" si="15"/>
        <v>LATER</v>
      </c>
      <c r="T65" t="str">
        <f t="shared" si="16"/>
        <v>SainteLague</v>
      </c>
      <c r="U65">
        <f t="shared" si="17"/>
        <v>64</v>
      </c>
      <c r="V65">
        <f t="shared" si="18"/>
        <v>140323</v>
      </c>
      <c r="W65" s="8" t="str">
        <f>VLOOKUP(V65,'ideas-input'!$A:$B,2,FALSE)</f>
        <v>Migration of J1CPTA - Data flows towards IPMX -NGIPMX-716 NGIPMX-699 NGIPMX-601</v>
      </c>
      <c r="X65" t="str">
        <f t="shared" si="6"/>
        <v>SI-OPS</v>
      </c>
      <c r="Y65" s="8" t="str">
        <f>VLOOKUP(V65,'ideas-input'!$A:$D,4,FALSE)</f>
        <v>Mail</v>
      </c>
      <c r="Z65" t="str">
        <f t="shared" si="7"/>
        <v>Operations</v>
      </c>
      <c r="AA65" t="str">
        <f t="shared" si="8"/>
        <v>In Definition</v>
      </c>
      <c r="AB65">
        <f t="shared" si="9"/>
        <v>2</v>
      </c>
      <c r="AC65">
        <f t="shared" si="10"/>
        <v>3</v>
      </c>
      <c r="AD65">
        <f t="shared" si="11"/>
        <v>2</v>
      </c>
      <c r="AE65">
        <f t="shared" si="12"/>
        <v>4</v>
      </c>
      <c r="AF65">
        <f t="shared" si="13"/>
        <v>3</v>
      </c>
      <c r="AG65">
        <f t="shared" si="14"/>
        <v>3</v>
      </c>
    </row>
    <row r="66" spans="1:33" x14ac:dyDescent="0.2">
      <c r="A66" t="s">
        <v>127</v>
      </c>
      <c r="B66" t="s">
        <v>128</v>
      </c>
      <c r="C66">
        <v>65</v>
      </c>
      <c r="D66">
        <v>55474</v>
      </c>
      <c r="E66" t="s">
        <v>953</v>
      </c>
      <c r="F66" t="s">
        <v>67</v>
      </c>
      <c r="G66" t="s">
        <v>10</v>
      </c>
      <c r="H66" t="s">
        <v>12</v>
      </c>
      <c r="I66" t="s">
        <v>95</v>
      </c>
      <c r="J66">
        <v>3</v>
      </c>
      <c r="K66">
        <v>0.03</v>
      </c>
      <c r="L66">
        <v>1</v>
      </c>
      <c r="M66">
        <v>1</v>
      </c>
      <c r="N66">
        <v>1</v>
      </c>
      <c r="O66">
        <v>100</v>
      </c>
      <c r="P66" t="b">
        <f t="shared" ref="P66:P129" si="19">AND(C66&lt;$Q$1,IF(ISBLANK(C66),0,C66)&gt;0)</f>
        <v>1</v>
      </c>
      <c r="S66" t="str">
        <f t="shared" ref="S66:S86" si="20">A66</f>
        <v>LATER</v>
      </c>
      <c r="T66" t="str">
        <f t="shared" ref="T66:T86" si="21">B66</f>
        <v>SainteLague</v>
      </c>
      <c r="U66">
        <f t="shared" ref="U66:U86" si="22">C66</f>
        <v>65</v>
      </c>
      <c r="V66">
        <f t="shared" ref="V66:V86" si="23">D66</f>
        <v>55474</v>
      </c>
      <c r="W66" s="8" t="str">
        <f>VLOOKUP(V66,'ideas-input'!$A:$B,2,FALSE)</f>
        <v>[Desconexión SGC] [Salesforce Service] - Abonos, Siniestros e indemnizaciones</v>
      </c>
      <c r="X66" t="str">
        <f t="shared" ref="X66:X129" si="24">F66</f>
        <v>ATC</v>
      </c>
      <c r="Y66" s="8" t="str">
        <f>VLOOKUP(V66,'ideas-input'!$A:$D,4,FALSE)</f>
        <v>eCommerce</v>
      </c>
      <c r="Z66" t="str">
        <f t="shared" ref="Z66:Z129" si="25">H66</f>
        <v>Corporate</v>
      </c>
      <c r="AA66" t="str">
        <f t="shared" ref="AA66:AA129" si="26">I66</f>
        <v>In Definition</v>
      </c>
      <c r="AB66">
        <f t="shared" ref="AB66:AB129" si="27">J66</f>
        <v>3</v>
      </c>
      <c r="AC66">
        <f t="shared" ref="AC66:AC129" si="28">K66</f>
        <v>0.03</v>
      </c>
      <c r="AD66">
        <f t="shared" ref="AD66:AD129" si="29">L66</f>
        <v>1</v>
      </c>
      <c r="AE66">
        <f t="shared" ref="AE66:AE129" si="30">M66</f>
        <v>1</v>
      </c>
      <c r="AF66">
        <f t="shared" ref="AF66:AF129" si="31">N66</f>
        <v>1</v>
      </c>
      <c r="AG66">
        <f t="shared" ref="AG66:AG129" si="32">O66</f>
        <v>100</v>
      </c>
    </row>
    <row r="67" spans="1:33" x14ac:dyDescent="0.2">
      <c r="A67" t="s">
        <v>127</v>
      </c>
      <c r="B67" t="s">
        <v>128</v>
      </c>
      <c r="C67">
        <v>66</v>
      </c>
      <c r="D67">
        <v>126574</v>
      </c>
      <c r="E67" t="s">
        <v>158</v>
      </c>
      <c r="F67" t="s">
        <v>11</v>
      </c>
      <c r="G67" t="s">
        <v>379</v>
      </c>
      <c r="H67" t="s">
        <v>11</v>
      </c>
      <c r="I67" t="s">
        <v>91</v>
      </c>
      <c r="J67">
        <v>1</v>
      </c>
      <c r="K67">
        <v>0.03</v>
      </c>
      <c r="L67">
        <v>1</v>
      </c>
      <c r="M67">
        <v>1</v>
      </c>
      <c r="N67">
        <v>1</v>
      </c>
      <c r="O67">
        <v>100</v>
      </c>
      <c r="P67" t="b">
        <f t="shared" si="19"/>
        <v>1</v>
      </c>
      <c r="S67" t="str">
        <f t="shared" si="20"/>
        <v>LATER</v>
      </c>
      <c r="T67" t="str">
        <f t="shared" si="21"/>
        <v>SainteLague</v>
      </c>
      <c r="U67">
        <f t="shared" si="22"/>
        <v>66</v>
      </c>
      <c r="V67">
        <f t="shared" si="23"/>
        <v>126574</v>
      </c>
      <c r="W67" s="8" t="str">
        <f>VLOOKUP(V67,'ideas-input'!$A:$B,2,FALSE)</f>
        <v>DLP (Data Loss Prevention) - Wave 1</v>
      </c>
      <c r="X67" t="str">
        <f t="shared" si="24"/>
        <v>CISO</v>
      </c>
      <c r="Y67" s="8" t="str">
        <f>VLOOKUP(V67,'ideas-input'!$A:$D,4,FALSE)</f>
        <v>Mail</v>
      </c>
      <c r="Z67" t="str">
        <f t="shared" si="25"/>
        <v>CISO</v>
      </c>
      <c r="AA67" t="str">
        <f t="shared" si="26"/>
        <v>Backlog</v>
      </c>
      <c r="AB67">
        <f t="shared" si="27"/>
        <v>1</v>
      </c>
      <c r="AC67">
        <f t="shared" si="28"/>
        <v>0.03</v>
      </c>
      <c r="AD67">
        <f t="shared" si="29"/>
        <v>1</v>
      </c>
      <c r="AE67">
        <f t="shared" si="30"/>
        <v>1</v>
      </c>
      <c r="AF67">
        <f t="shared" si="31"/>
        <v>1</v>
      </c>
      <c r="AG67">
        <f t="shared" si="32"/>
        <v>100</v>
      </c>
    </row>
    <row r="68" spans="1:33" x14ac:dyDescent="0.2">
      <c r="A68" t="s">
        <v>127</v>
      </c>
      <c r="B68" t="s">
        <v>128</v>
      </c>
      <c r="C68">
        <v>67</v>
      </c>
      <c r="D68">
        <v>65198</v>
      </c>
      <c r="E68" t="s">
        <v>161</v>
      </c>
      <c r="F68" t="s">
        <v>70</v>
      </c>
      <c r="G68" t="s">
        <v>10</v>
      </c>
      <c r="H68" t="s">
        <v>8</v>
      </c>
      <c r="I68" t="s">
        <v>95</v>
      </c>
      <c r="J68">
        <v>4</v>
      </c>
      <c r="K68">
        <v>0.03</v>
      </c>
      <c r="L68">
        <v>1</v>
      </c>
      <c r="M68">
        <v>1</v>
      </c>
      <c r="N68">
        <v>1</v>
      </c>
      <c r="O68">
        <v>100</v>
      </c>
      <c r="P68" t="b">
        <f t="shared" si="19"/>
        <v>1</v>
      </c>
      <c r="S68" t="str">
        <f t="shared" si="20"/>
        <v>LATER</v>
      </c>
      <c r="T68" t="str">
        <f t="shared" si="21"/>
        <v>SainteLague</v>
      </c>
      <c r="U68">
        <f t="shared" si="22"/>
        <v>67</v>
      </c>
      <c r="V68">
        <f t="shared" si="23"/>
        <v>65198</v>
      </c>
      <c r="W68" s="8" t="str">
        <f>VLOOKUP(V68,'ideas-input'!$A:$B,2,FALSE)</f>
        <v>Crear entornos no productivos</v>
      </c>
      <c r="X68" t="str">
        <f t="shared" si="24"/>
        <v>CIO</v>
      </c>
      <c r="Y68" s="8" t="str">
        <f>VLOOKUP(V68,'ideas-input'!$A:$D,4,FALSE)</f>
        <v>eCommerce</v>
      </c>
      <c r="Z68" t="str">
        <f t="shared" si="25"/>
        <v>Technology</v>
      </c>
      <c r="AA68" t="str">
        <f t="shared" si="26"/>
        <v>In Definition</v>
      </c>
      <c r="AB68">
        <f t="shared" si="27"/>
        <v>4</v>
      </c>
      <c r="AC68">
        <f t="shared" si="28"/>
        <v>0.03</v>
      </c>
      <c r="AD68">
        <f t="shared" si="29"/>
        <v>1</v>
      </c>
      <c r="AE68">
        <f t="shared" si="30"/>
        <v>1</v>
      </c>
      <c r="AF68">
        <f t="shared" si="31"/>
        <v>1</v>
      </c>
      <c r="AG68">
        <f t="shared" si="32"/>
        <v>100</v>
      </c>
    </row>
    <row r="69" spans="1:33" x14ac:dyDescent="0.2">
      <c r="A69" t="s">
        <v>127</v>
      </c>
      <c r="B69" t="s">
        <v>128</v>
      </c>
      <c r="C69">
        <v>68</v>
      </c>
      <c r="D69">
        <v>93166</v>
      </c>
      <c r="E69" t="s">
        <v>948</v>
      </c>
      <c r="F69" t="s">
        <v>46</v>
      </c>
      <c r="G69" t="s">
        <v>379</v>
      </c>
      <c r="H69" t="s">
        <v>12</v>
      </c>
      <c r="I69" t="s">
        <v>91</v>
      </c>
      <c r="J69">
        <v>1</v>
      </c>
      <c r="K69">
        <v>5</v>
      </c>
      <c r="L69">
        <v>5</v>
      </c>
      <c r="M69">
        <v>5</v>
      </c>
      <c r="N69">
        <v>5</v>
      </c>
      <c r="O69">
        <v>3</v>
      </c>
      <c r="P69" t="b">
        <f t="shared" si="19"/>
        <v>1</v>
      </c>
      <c r="S69" t="str">
        <f t="shared" si="20"/>
        <v>LATER</v>
      </c>
      <c r="T69" t="str">
        <f t="shared" si="21"/>
        <v>SainteLague</v>
      </c>
      <c r="U69">
        <f t="shared" si="22"/>
        <v>68</v>
      </c>
      <c r="V69">
        <f t="shared" si="23"/>
        <v>93166</v>
      </c>
      <c r="W69" s="8" t="str">
        <f>VLOOKUP(V69,'ideas-input'!$A:$B,2,FALSE)</f>
        <v>Integração Automaise - Novo Voice Bot - Substituir as atuais "primas"</v>
      </c>
      <c r="X69" t="str">
        <f t="shared" si="24"/>
        <v>AVC</v>
      </c>
      <c r="Y69" s="8" t="str">
        <f>VLOOKUP(V69,'ideas-input'!$A:$D,4,FALSE)</f>
        <v>eCommerce</v>
      </c>
      <c r="Z69" t="str">
        <f t="shared" si="25"/>
        <v>Corporate</v>
      </c>
      <c r="AA69" t="str">
        <f t="shared" si="26"/>
        <v>Backlog</v>
      </c>
      <c r="AB69">
        <f t="shared" si="27"/>
        <v>1</v>
      </c>
      <c r="AC69">
        <f t="shared" si="28"/>
        <v>5</v>
      </c>
      <c r="AD69">
        <f t="shared" si="29"/>
        <v>5</v>
      </c>
      <c r="AE69">
        <f t="shared" si="30"/>
        <v>5</v>
      </c>
      <c r="AF69">
        <f t="shared" si="31"/>
        <v>5</v>
      </c>
      <c r="AG69">
        <f t="shared" si="32"/>
        <v>3</v>
      </c>
    </row>
    <row r="70" spans="1:33" x14ac:dyDescent="0.2">
      <c r="A70" t="s">
        <v>127</v>
      </c>
      <c r="B70" t="s">
        <v>128</v>
      </c>
      <c r="C70">
        <v>69</v>
      </c>
      <c r="D70">
        <v>139483</v>
      </c>
      <c r="E70" t="s">
        <v>949</v>
      </c>
      <c r="F70" t="s">
        <v>65</v>
      </c>
      <c r="G70" t="s">
        <v>10</v>
      </c>
      <c r="H70" t="s">
        <v>5</v>
      </c>
      <c r="I70" t="s">
        <v>95</v>
      </c>
      <c r="J70">
        <v>8</v>
      </c>
      <c r="K70">
        <v>0.03</v>
      </c>
      <c r="L70">
        <v>1</v>
      </c>
      <c r="M70">
        <v>1</v>
      </c>
      <c r="N70">
        <v>1</v>
      </c>
      <c r="O70">
        <v>100</v>
      </c>
      <c r="P70" t="b">
        <f t="shared" si="19"/>
        <v>1</v>
      </c>
      <c r="S70" t="str">
        <f t="shared" si="20"/>
        <v>LATER</v>
      </c>
      <c r="T70" t="str">
        <f t="shared" si="21"/>
        <v>SainteLague</v>
      </c>
      <c r="U70">
        <f t="shared" si="22"/>
        <v>69</v>
      </c>
      <c r="V70">
        <f t="shared" si="23"/>
        <v>139483</v>
      </c>
      <c r="W70" s="8" t="str">
        <f>VLOOKUP(V70,'ideas-input'!$A:$B,2,FALSE)</f>
        <v>WS - Mejorar Experiencia en PUDO's</v>
      </c>
      <c r="X70" t="str">
        <f t="shared" si="24"/>
        <v>CMO</v>
      </c>
      <c r="Y70" s="8" t="str">
        <f>VLOOKUP(V70,'ideas-input'!$A:$D,4,FALSE)</f>
        <v>eCommerce</v>
      </c>
      <c r="Z70" t="str">
        <f t="shared" si="25"/>
        <v>Commercial</v>
      </c>
      <c r="AA70" t="str">
        <f t="shared" si="26"/>
        <v>In Definition</v>
      </c>
      <c r="AB70">
        <f t="shared" si="27"/>
        <v>8</v>
      </c>
      <c r="AC70">
        <f t="shared" si="28"/>
        <v>0.03</v>
      </c>
      <c r="AD70">
        <f t="shared" si="29"/>
        <v>1</v>
      </c>
      <c r="AE70">
        <f t="shared" si="30"/>
        <v>1</v>
      </c>
      <c r="AF70">
        <f t="shared" si="31"/>
        <v>1</v>
      </c>
      <c r="AG70">
        <f t="shared" si="32"/>
        <v>100</v>
      </c>
    </row>
    <row r="71" spans="1:33" x14ac:dyDescent="0.2">
      <c r="A71" t="s">
        <v>127</v>
      </c>
      <c r="B71" t="s">
        <v>128</v>
      </c>
      <c r="C71">
        <v>70</v>
      </c>
      <c r="D71">
        <v>127239</v>
      </c>
      <c r="E71" t="s">
        <v>950</v>
      </c>
      <c r="F71" t="s">
        <v>60</v>
      </c>
      <c r="G71" t="s">
        <v>379</v>
      </c>
      <c r="H71" t="s">
        <v>8</v>
      </c>
      <c r="I71" t="s">
        <v>94</v>
      </c>
      <c r="J71">
        <v>1</v>
      </c>
      <c r="K71">
        <v>7</v>
      </c>
      <c r="L71">
        <v>3</v>
      </c>
      <c r="M71">
        <v>2</v>
      </c>
      <c r="N71">
        <v>2</v>
      </c>
      <c r="O71">
        <v>1</v>
      </c>
      <c r="P71" t="b">
        <f t="shared" si="19"/>
        <v>1</v>
      </c>
      <c r="S71" t="str">
        <f t="shared" si="20"/>
        <v>LATER</v>
      </c>
      <c r="T71" t="str">
        <f t="shared" si="21"/>
        <v>SainteLague</v>
      </c>
      <c r="U71">
        <f t="shared" si="22"/>
        <v>70</v>
      </c>
      <c r="V71">
        <f t="shared" si="23"/>
        <v>127239</v>
      </c>
      <c r="W71" s="8" t="str">
        <f>VLOOKUP(V71,'ideas-input'!$A:$B,2,FALSE)</f>
        <v>Evolutivos SAP BRIM (1º TRIM 26)</v>
      </c>
      <c r="X71" t="str">
        <f t="shared" si="24"/>
        <v>SI-CRP</v>
      </c>
      <c r="Y71" s="8" t="str">
        <f>VLOOKUP(V71,'ideas-input'!$A:$D,4,FALSE)</f>
        <v>Mail</v>
      </c>
      <c r="Z71" t="str">
        <f t="shared" si="25"/>
        <v>Technology</v>
      </c>
      <c r="AA71" t="str">
        <f t="shared" si="26"/>
        <v>In Approval</v>
      </c>
      <c r="AB71">
        <f t="shared" si="27"/>
        <v>1</v>
      </c>
      <c r="AC71">
        <f t="shared" si="28"/>
        <v>7</v>
      </c>
      <c r="AD71">
        <f t="shared" si="29"/>
        <v>3</v>
      </c>
      <c r="AE71">
        <f t="shared" si="30"/>
        <v>2</v>
      </c>
      <c r="AF71">
        <f t="shared" si="31"/>
        <v>2</v>
      </c>
      <c r="AG71">
        <f t="shared" si="32"/>
        <v>1</v>
      </c>
    </row>
    <row r="72" spans="1:33" x14ac:dyDescent="0.2">
      <c r="A72" t="s">
        <v>127</v>
      </c>
      <c r="B72" t="s">
        <v>128</v>
      </c>
      <c r="C72">
        <v>71</v>
      </c>
      <c r="D72">
        <v>50054</v>
      </c>
      <c r="E72" t="s">
        <v>956</v>
      </c>
      <c r="F72" t="s">
        <v>64</v>
      </c>
      <c r="G72" t="s">
        <v>10</v>
      </c>
      <c r="H72" t="s">
        <v>6</v>
      </c>
      <c r="I72" t="s">
        <v>97</v>
      </c>
      <c r="J72">
        <v>10</v>
      </c>
      <c r="K72">
        <v>0.03</v>
      </c>
      <c r="L72">
        <v>1</v>
      </c>
      <c r="M72">
        <v>1</v>
      </c>
      <c r="N72">
        <v>1</v>
      </c>
      <c r="O72">
        <v>100</v>
      </c>
      <c r="P72" t="b">
        <f t="shared" si="19"/>
        <v>1</v>
      </c>
      <c r="S72" t="str">
        <f t="shared" si="20"/>
        <v>LATER</v>
      </c>
      <c r="T72" t="str">
        <f t="shared" si="21"/>
        <v>SainteLague</v>
      </c>
      <c r="U72">
        <f t="shared" si="22"/>
        <v>71</v>
      </c>
      <c r="V72">
        <f t="shared" si="23"/>
        <v>50054</v>
      </c>
      <c r="W72" s="8" t="str">
        <f>VLOOKUP(V72,'ideas-input'!$A:$B,2,FALSE)</f>
        <v>Cálculo de la franja horaria de entrega y elaboración de los KPIS de seguimiento</v>
      </c>
      <c r="X72" t="str">
        <f t="shared" si="24"/>
        <v>COO</v>
      </c>
      <c r="Y72" s="8" t="str">
        <f>VLOOKUP(V72,'ideas-input'!$A:$D,4,FALSE)</f>
        <v>eCommerce</v>
      </c>
      <c r="Z72" t="str">
        <f t="shared" si="25"/>
        <v>Operations</v>
      </c>
      <c r="AA72" t="str">
        <f t="shared" si="26"/>
        <v>Ready for Solution</v>
      </c>
      <c r="AB72">
        <f t="shared" si="27"/>
        <v>10</v>
      </c>
      <c r="AC72">
        <f t="shared" si="28"/>
        <v>0.03</v>
      </c>
      <c r="AD72">
        <f t="shared" si="29"/>
        <v>1</v>
      </c>
      <c r="AE72">
        <f t="shared" si="30"/>
        <v>1</v>
      </c>
      <c r="AF72">
        <f t="shared" si="31"/>
        <v>1</v>
      </c>
      <c r="AG72">
        <f t="shared" si="32"/>
        <v>100</v>
      </c>
    </row>
    <row r="73" spans="1:33" x14ac:dyDescent="0.2">
      <c r="A73" t="s">
        <v>127</v>
      </c>
      <c r="B73" t="s">
        <v>128</v>
      </c>
      <c r="C73">
        <v>72</v>
      </c>
      <c r="D73">
        <v>125916</v>
      </c>
      <c r="E73" t="s">
        <v>954</v>
      </c>
      <c r="F73" t="s">
        <v>58</v>
      </c>
      <c r="G73" t="s">
        <v>379</v>
      </c>
      <c r="H73" t="s">
        <v>5</v>
      </c>
      <c r="I73" t="s">
        <v>97</v>
      </c>
      <c r="J73">
        <v>1</v>
      </c>
      <c r="K73">
        <v>0.03</v>
      </c>
      <c r="L73">
        <v>1</v>
      </c>
      <c r="M73">
        <v>1</v>
      </c>
      <c r="N73">
        <v>1</v>
      </c>
      <c r="O73">
        <v>100</v>
      </c>
      <c r="P73" t="b">
        <f t="shared" si="19"/>
        <v>1</v>
      </c>
      <c r="S73" t="str">
        <f t="shared" si="20"/>
        <v>LATER</v>
      </c>
      <c r="T73" t="str">
        <f t="shared" si="21"/>
        <v>SainteLague</v>
      </c>
      <c r="U73">
        <f t="shared" si="22"/>
        <v>72</v>
      </c>
      <c r="V73">
        <f t="shared" si="23"/>
        <v>125916</v>
      </c>
      <c r="W73" s="8" t="str">
        <f>VLOOKUP(V73,'ideas-input'!$A:$B,2,FALSE)</f>
        <v>Paperless - Faturação eletrónica em loja</v>
      </c>
      <c r="X73" t="str">
        <f t="shared" si="24"/>
        <v>SI-PRD</v>
      </c>
      <c r="Y73" s="8" t="str">
        <f>VLOOKUP(V73,'ideas-input'!$A:$D,4,FALSE)</f>
        <v>Mail</v>
      </c>
      <c r="Z73" t="str">
        <f t="shared" si="25"/>
        <v>Commercial</v>
      </c>
      <c r="AA73" t="str">
        <f t="shared" si="26"/>
        <v>Ready for Solution</v>
      </c>
      <c r="AB73">
        <f t="shared" si="27"/>
        <v>1</v>
      </c>
      <c r="AC73">
        <f t="shared" si="28"/>
        <v>0.03</v>
      </c>
      <c r="AD73">
        <f t="shared" si="29"/>
        <v>1</v>
      </c>
      <c r="AE73">
        <f t="shared" si="30"/>
        <v>1</v>
      </c>
      <c r="AF73">
        <f t="shared" si="31"/>
        <v>1</v>
      </c>
      <c r="AG73">
        <f t="shared" si="32"/>
        <v>100</v>
      </c>
    </row>
    <row r="74" spans="1:33" x14ac:dyDescent="0.2">
      <c r="A74" t="s">
        <v>127</v>
      </c>
      <c r="B74" t="s">
        <v>128</v>
      </c>
      <c r="C74">
        <v>73</v>
      </c>
      <c r="D74">
        <v>65737</v>
      </c>
      <c r="E74" t="s">
        <v>958</v>
      </c>
      <c r="F74" t="s">
        <v>69</v>
      </c>
      <c r="G74" t="s">
        <v>10</v>
      </c>
      <c r="H74" t="s">
        <v>12</v>
      </c>
      <c r="I74" t="s">
        <v>130</v>
      </c>
      <c r="J74">
        <v>2</v>
      </c>
      <c r="K74">
        <v>0.03</v>
      </c>
      <c r="L74">
        <v>1</v>
      </c>
      <c r="M74">
        <v>1</v>
      </c>
      <c r="N74">
        <v>1</v>
      </c>
      <c r="O74">
        <v>100</v>
      </c>
      <c r="P74" t="b">
        <f t="shared" si="19"/>
        <v>1</v>
      </c>
      <c r="S74" t="str">
        <f t="shared" si="20"/>
        <v>LATER</v>
      </c>
      <c r="T74" t="str">
        <f t="shared" si="21"/>
        <v>SainteLague</v>
      </c>
      <c r="U74">
        <f t="shared" si="22"/>
        <v>73</v>
      </c>
      <c r="V74">
        <f t="shared" si="23"/>
        <v>65737</v>
      </c>
      <c r="W74" s="8" t="str">
        <f>VLOOKUP(V74,'ideas-input'!$A:$B,2,FALSE)</f>
        <v>Herramienta de Verificación de Pagos (Área de Ingresos)</v>
      </c>
      <c r="X74" t="str">
        <f t="shared" si="24"/>
        <v>CFO</v>
      </c>
      <c r="Y74" s="8" t="str">
        <f>VLOOKUP(V74,'ideas-input'!$A:$D,4,FALSE)</f>
        <v>eCommerce</v>
      </c>
      <c r="Z74" t="str">
        <f t="shared" si="25"/>
        <v>Corporate</v>
      </c>
      <c r="AA74" t="str">
        <f t="shared" si="26"/>
        <v>High Level Design</v>
      </c>
      <c r="AB74">
        <f t="shared" si="27"/>
        <v>2</v>
      </c>
      <c r="AC74">
        <f t="shared" si="28"/>
        <v>0.03</v>
      </c>
      <c r="AD74">
        <f t="shared" si="29"/>
        <v>1</v>
      </c>
      <c r="AE74">
        <f t="shared" si="30"/>
        <v>1</v>
      </c>
      <c r="AF74">
        <f t="shared" si="31"/>
        <v>1</v>
      </c>
      <c r="AG74">
        <f t="shared" si="32"/>
        <v>100</v>
      </c>
    </row>
    <row r="75" spans="1:33" x14ac:dyDescent="0.2">
      <c r="A75" t="s">
        <v>127</v>
      </c>
      <c r="B75" t="s">
        <v>128</v>
      </c>
      <c r="C75">
        <v>74</v>
      </c>
      <c r="D75">
        <v>77828</v>
      </c>
      <c r="E75" t="s">
        <v>129</v>
      </c>
      <c r="F75" t="s">
        <v>26</v>
      </c>
      <c r="G75" t="s">
        <v>379</v>
      </c>
      <c r="H75" t="s">
        <v>6</v>
      </c>
      <c r="I75" t="s">
        <v>95</v>
      </c>
      <c r="J75">
        <v>2</v>
      </c>
      <c r="K75">
        <v>0.03</v>
      </c>
      <c r="L75">
        <v>1</v>
      </c>
      <c r="M75">
        <v>1</v>
      </c>
      <c r="N75">
        <v>1</v>
      </c>
      <c r="O75">
        <v>100</v>
      </c>
      <c r="P75" t="b">
        <f t="shared" si="19"/>
        <v>1</v>
      </c>
      <c r="S75" t="str">
        <f t="shared" si="20"/>
        <v>LATER</v>
      </c>
      <c r="T75" t="str">
        <f t="shared" si="21"/>
        <v>SainteLague</v>
      </c>
      <c r="U75">
        <f t="shared" si="22"/>
        <v>74</v>
      </c>
      <c r="V75">
        <f t="shared" si="23"/>
        <v>77828</v>
      </c>
      <c r="W75" s="8" t="str">
        <f>VLOOKUP(V75,'ideas-input'!$A:$B,2,FALSE)</f>
        <v>Base Dados Modelo de Incentivos CTT Expresso</v>
      </c>
      <c r="X75" t="str">
        <f t="shared" si="24"/>
        <v>SEO</v>
      </c>
      <c r="Y75" s="8" t="str">
        <f>VLOOKUP(V75,'ideas-input'!$A:$D,4,FALSE)</f>
        <v>eCommerce</v>
      </c>
      <c r="Z75" t="str">
        <f t="shared" si="25"/>
        <v>Operations</v>
      </c>
      <c r="AA75" t="str">
        <f t="shared" si="26"/>
        <v>In Definition</v>
      </c>
      <c r="AB75">
        <f t="shared" si="27"/>
        <v>2</v>
      </c>
      <c r="AC75">
        <f t="shared" si="28"/>
        <v>0.03</v>
      </c>
      <c r="AD75">
        <f t="shared" si="29"/>
        <v>1</v>
      </c>
      <c r="AE75">
        <f t="shared" si="30"/>
        <v>1</v>
      </c>
      <c r="AF75">
        <f t="shared" si="31"/>
        <v>1</v>
      </c>
      <c r="AG75">
        <f t="shared" si="32"/>
        <v>100</v>
      </c>
    </row>
    <row r="76" spans="1:33" x14ac:dyDescent="0.2">
      <c r="A76" t="s">
        <v>127</v>
      </c>
      <c r="B76" t="s">
        <v>128</v>
      </c>
      <c r="C76">
        <v>75</v>
      </c>
      <c r="D76">
        <v>61986</v>
      </c>
      <c r="E76" t="s">
        <v>169</v>
      </c>
      <c r="F76" t="s">
        <v>70</v>
      </c>
      <c r="G76" t="s">
        <v>10</v>
      </c>
      <c r="H76" t="s">
        <v>8</v>
      </c>
      <c r="I76" t="s">
        <v>91</v>
      </c>
      <c r="J76">
        <v>5</v>
      </c>
      <c r="K76">
        <v>0.03</v>
      </c>
      <c r="L76">
        <v>1</v>
      </c>
      <c r="M76">
        <v>1</v>
      </c>
      <c r="N76">
        <v>1</v>
      </c>
      <c r="O76">
        <v>100</v>
      </c>
      <c r="P76" t="b">
        <f t="shared" si="19"/>
        <v>1</v>
      </c>
      <c r="S76" t="str">
        <f t="shared" si="20"/>
        <v>LATER</v>
      </c>
      <c r="T76" t="str">
        <f t="shared" si="21"/>
        <v>SainteLague</v>
      </c>
      <c r="U76">
        <f t="shared" si="22"/>
        <v>75</v>
      </c>
      <c r="V76">
        <f t="shared" si="23"/>
        <v>61986</v>
      </c>
      <c r="W76" s="8" t="str">
        <f>VLOOKUP(V76,'ideas-input'!$A:$B,2,FALSE)</f>
        <v>API Clientes - Authorization</v>
      </c>
      <c r="X76" t="str">
        <f t="shared" si="24"/>
        <v>CIO</v>
      </c>
      <c r="Y76" s="8" t="str">
        <f>VLOOKUP(V76,'ideas-input'!$A:$D,4,FALSE)</f>
        <v>eCommerce</v>
      </c>
      <c r="Z76" t="str">
        <f t="shared" si="25"/>
        <v>Technology</v>
      </c>
      <c r="AA76" t="str">
        <f t="shared" si="26"/>
        <v>Backlog</v>
      </c>
      <c r="AB76">
        <f t="shared" si="27"/>
        <v>5</v>
      </c>
      <c r="AC76">
        <f t="shared" si="28"/>
        <v>0.03</v>
      </c>
      <c r="AD76">
        <f t="shared" si="29"/>
        <v>1</v>
      </c>
      <c r="AE76">
        <f t="shared" si="30"/>
        <v>1</v>
      </c>
      <c r="AF76">
        <f t="shared" si="31"/>
        <v>1</v>
      </c>
      <c r="AG76">
        <f t="shared" si="32"/>
        <v>100</v>
      </c>
    </row>
    <row r="77" spans="1:33" x14ac:dyDescent="0.2">
      <c r="A77" t="s">
        <v>127</v>
      </c>
      <c r="B77" t="s">
        <v>128</v>
      </c>
      <c r="C77">
        <v>76</v>
      </c>
      <c r="D77">
        <v>135317</v>
      </c>
      <c r="E77" t="s">
        <v>144</v>
      </c>
      <c r="F77" t="s">
        <v>47</v>
      </c>
      <c r="G77" t="s">
        <v>379</v>
      </c>
      <c r="H77" t="s">
        <v>12</v>
      </c>
      <c r="I77" t="s">
        <v>95</v>
      </c>
      <c r="J77">
        <v>1</v>
      </c>
      <c r="K77">
        <v>2.5</v>
      </c>
      <c r="L77">
        <v>2</v>
      </c>
      <c r="M77">
        <v>2</v>
      </c>
      <c r="N77">
        <v>1</v>
      </c>
      <c r="O77">
        <v>2</v>
      </c>
      <c r="P77" t="b">
        <f t="shared" si="19"/>
        <v>1</v>
      </c>
      <c r="S77" t="str">
        <f t="shared" si="20"/>
        <v>LATER</v>
      </c>
      <c r="T77" t="str">
        <f t="shared" si="21"/>
        <v>SainteLague</v>
      </c>
      <c r="U77">
        <f t="shared" si="22"/>
        <v>76</v>
      </c>
      <c r="V77">
        <f t="shared" si="23"/>
        <v>135317</v>
      </c>
      <c r="W77" s="8" t="str">
        <f>VLOOKUP(V77,'ideas-input'!$A:$B,2,FALSE)</f>
        <v>SAPSF - GoFluent</v>
      </c>
      <c r="X77" t="str">
        <f t="shared" si="24"/>
        <v>GT</v>
      </c>
      <c r="Y77" s="8" t="str">
        <f>VLOOKUP(V77,'ideas-input'!$A:$D,4,FALSE)</f>
        <v>Mail</v>
      </c>
      <c r="Z77" t="str">
        <f t="shared" si="25"/>
        <v>Corporate</v>
      </c>
      <c r="AA77" t="str">
        <f t="shared" si="26"/>
        <v>In Definition</v>
      </c>
      <c r="AB77">
        <f t="shared" si="27"/>
        <v>1</v>
      </c>
      <c r="AC77">
        <f t="shared" si="28"/>
        <v>2.5</v>
      </c>
      <c r="AD77">
        <f t="shared" si="29"/>
        <v>2</v>
      </c>
      <c r="AE77">
        <f t="shared" si="30"/>
        <v>2</v>
      </c>
      <c r="AF77">
        <f t="shared" si="31"/>
        <v>1</v>
      </c>
      <c r="AG77">
        <f t="shared" si="32"/>
        <v>2</v>
      </c>
    </row>
    <row r="78" spans="1:33" x14ac:dyDescent="0.2">
      <c r="A78" t="s">
        <v>127</v>
      </c>
      <c r="B78" t="s">
        <v>128</v>
      </c>
      <c r="C78">
        <v>77</v>
      </c>
      <c r="D78">
        <v>132534</v>
      </c>
      <c r="E78" t="s">
        <v>955</v>
      </c>
      <c r="F78" t="s">
        <v>66</v>
      </c>
      <c r="G78" t="s">
        <v>10</v>
      </c>
      <c r="H78" t="s">
        <v>5</v>
      </c>
      <c r="I78" t="s">
        <v>93</v>
      </c>
      <c r="J78">
        <v>3</v>
      </c>
      <c r="K78">
        <v>0.04</v>
      </c>
      <c r="L78">
        <v>2</v>
      </c>
      <c r="M78">
        <v>1</v>
      </c>
      <c r="N78">
        <v>1</v>
      </c>
      <c r="O78">
        <v>100</v>
      </c>
      <c r="P78" t="b">
        <f t="shared" si="19"/>
        <v>1</v>
      </c>
      <c r="S78" t="str">
        <f t="shared" si="20"/>
        <v>LATER</v>
      </c>
      <c r="T78" t="str">
        <f t="shared" si="21"/>
        <v>SainteLague</v>
      </c>
      <c r="U78">
        <f t="shared" si="22"/>
        <v>77</v>
      </c>
      <c r="V78">
        <f t="shared" si="23"/>
        <v>132534</v>
      </c>
      <c r="W78" s="8" t="str">
        <f>VLOOKUP(V78,'ideas-input'!$A:$B,2,FALSE)</f>
        <v>[Qlik] - Gestión de oportunidades - Hito semanal por comercial disponible</v>
      </c>
      <c r="X78" t="str">
        <f t="shared" si="24"/>
        <v>CCO</v>
      </c>
      <c r="Y78" s="8" t="str">
        <f>VLOOKUP(V78,'ideas-input'!$A:$D,4,FALSE)</f>
        <v>eCommerce</v>
      </c>
      <c r="Z78" t="str">
        <f t="shared" si="25"/>
        <v>Commercial</v>
      </c>
      <c r="AA78" t="str">
        <f t="shared" si="26"/>
        <v>Pitch</v>
      </c>
      <c r="AB78">
        <f t="shared" si="27"/>
        <v>3</v>
      </c>
      <c r="AC78">
        <f t="shared" si="28"/>
        <v>0.04</v>
      </c>
      <c r="AD78">
        <f t="shared" si="29"/>
        <v>2</v>
      </c>
      <c r="AE78">
        <f t="shared" si="30"/>
        <v>1</v>
      </c>
      <c r="AF78">
        <f t="shared" si="31"/>
        <v>1</v>
      </c>
      <c r="AG78">
        <f t="shared" si="32"/>
        <v>100</v>
      </c>
    </row>
    <row r="79" spans="1:33" x14ac:dyDescent="0.2">
      <c r="A79" t="s">
        <v>127</v>
      </c>
      <c r="B79" t="s">
        <v>128</v>
      </c>
      <c r="C79">
        <v>78</v>
      </c>
      <c r="D79">
        <v>135517</v>
      </c>
      <c r="E79" t="s">
        <v>957</v>
      </c>
      <c r="F79" t="s">
        <v>9</v>
      </c>
      <c r="G79" t="s">
        <v>379</v>
      </c>
      <c r="H79" t="s">
        <v>8</v>
      </c>
      <c r="I79" t="s">
        <v>91</v>
      </c>
      <c r="J79">
        <v>2</v>
      </c>
      <c r="K79">
        <v>0.03</v>
      </c>
      <c r="L79">
        <v>1</v>
      </c>
      <c r="M79">
        <v>1</v>
      </c>
      <c r="N79">
        <v>1</v>
      </c>
      <c r="O79">
        <v>100</v>
      </c>
      <c r="P79" t="b">
        <f t="shared" si="19"/>
        <v>1</v>
      </c>
      <c r="S79" t="str">
        <f t="shared" si="20"/>
        <v>LATER</v>
      </c>
      <c r="T79" t="str">
        <f t="shared" si="21"/>
        <v>SainteLague</v>
      </c>
      <c r="U79">
        <f t="shared" si="22"/>
        <v>78</v>
      </c>
      <c r="V79">
        <f t="shared" si="23"/>
        <v>135517</v>
      </c>
      <c r="W79" s="8" t="str">
        <f>VLOOKUP(V79,'ideas-input'!$A:$B,2,FALSE)</f>
        <v>Renovação Infoblox - Grid, DNS, DHCP, NTP e IPAM</v>
      </c>
      <c r="X79" t="str">
        <f t="shared" si="24"/>
        <v>SI</v>
      </c>
      <c r="Y79" s="8" t="str">
        <f>VLOOKUP(V79,'ideas-input'!$A:$D,4,FALSE)</f>
        <v>Mail</v>
      </c>
      <c r="Z79" t="str">
        <f t="shared" si="25"/>
        <v>Technology</v>
      </c>
      <c r="AA79" t="str">
        <f t="shared" si="26"/>
        <v>Backlog</v>
      </c>
      <c r="AB79">
        <f t="shared" si="27"/>
        <v>2</v>
      </c>
      <c r="AC79">
        <f t="shared" si="28"/>
        <v>0.03</v>
      </c>
      <c r="AD79">
        <f t="shared" si="29"/>
        <v>1</v>
      </c>
      <c r="AE79">
        <f t="shared" si="30"/>
        <v>1</v>
      </c>
      <c r="AF79">
        <f t="shared" si="31"/>
        <v>1</v>
      </c>
      <c r="AG79">
        <f t="shared" si="32"/>
        <v>100</v>
      </c>
    </row>
    <row r="80" spans="1:33" x14ac:dyDescent="0.2">
      <c r="A80" t="s">
        <v>127</v>
      </c>
      <c r="B80" t="s">
        <v>128</v>
      </c>
      <c r="C80">
        <v>79</v>
      </c>
      <c r="D80">
        <v>63768</v>
      </c>
      <c r="E80" t="s">
        <v>962</v>
      </c>
      <c r="F80" t="s">
        <v>64</v>
      </c>
      <c r="G80" t="s">
        <v>10</v>
      </c>
      <c r="H80" t="s">
        <v>6</v>
      </c>
      <c r="I80" t="s">
        <v>136</v>
      </c>
      <c r="J80">
        <v>11</v>
      </c>
      <c r="K80">
        <v>0.03</v>
      </c>
      <c r="L80">
        <v>1</v>
      </c>
      <c r="M80">
        <v>1</v>
      </c>
      <c r="N80">
        <v>1</v>
      </c>
      <c r="O80">
        <v>100</v>
      </c>
      <c r="P80" t="b">
        <f t="shared" si="19"/>
        <v>1</v>
      </c>
      <c r="S80" t="str">
        <f t="shared" si="20"/>
        <v>LATER</v>
      </c>
      <c r="T80" t="str">
        <f t="shared" si="21"/>
        <v>SainteLague</v>
      </c>
      <c r="U80">
        <f t="shared" si="22"/>
        <v>79</v>
      </c>
      <c r="V80">
        <f t="shared" si="23"/>
        <v>63768</v>
      </c>
      <c r="W80" s="8" t="str">
        <f>VLOOKUP(V80,'ideas-input'!$A:$B,2,FALSE)</f>
        <v>[Nexus Piloto Operacional] [We Serve] Incremento de envíos en Piloto y despliegue Nexus</v>
      </c>
      <c r="X80" t="str">
        <f t="shared" si="24"/>
        <v>COO</v>
      </c>
      <c r="Y80" s="8" t="str">
        <f>VLOOKUP(V80,'ideas-input'!$A:$D,4,FALSE)</f>
        <v>eCommerce</v>
      </c>
      <c r="Z80" t="str">
        <f t="shared" si="25"/>
        <v>Operations</v>
      </c>
      <c r="AA80" t="str">
        <f t="shared" si="26"/>
        <v>In Solution</v>
      </c>
      <c r="AB80">
        <f t="shared" si="27"/>
        <v>11</v>
      </c>
      <c r="AC80">
        <f t="shared" si="28"/>
        <v>0.03</v>
      </c>
      <c r="AD80">
        <f t="shared" si="29"/>
        <v>1</v>
      </c>
      <c r="AE80">
        <f t="shared" si="30"/>
        <v>1</v>
      </c>
      <c r="AF80">
        <f t="shared" si="31"/>
        <v>1</v>
      </c>
      <c r="AG80">
        <f t="shared" si="32"/>
        <v>100</v>
      </c>
    </row>
    <row r="81" spans="1:33" x14ac:dyDescent="0.2">
      <c r="A81" t="s">
        <v>127</v>
      </c>
      <c r="B81" t="s">
        <v>128</v>
      </c>
      <c r="C81">
        <v>80</v>
      </c>
      <c r="D81">
        <v>123649</v>
      </c>
      <c r="E81" t="s">
        <v>134</v>
      </c>
      <c r="F81" t="s">
        <v>37</v>
      </c>
      <c r="G81" t="s">
        <v>379</v>
      </c>
      <c r="H81" t="s">
        <v>5</v>
      </c>
      <c r="I81" t="s">
        <v>94</v>
      </c>
      <c r="J81">
        <v>1</v>
      </c>
      <c r="K81">
        <v>4.5</v>
      </c>
      <c r="L81">
        <v>3</v>
      </c>
      <c r="M81">
        <v>2</v>
      </c>
      <c r="N81">
        <v>4</v>
      </c>
      <c r="O81">
        <v>2</v>
      </c>
      <c r="P81" t="b">
        <f t="shared" si="19"/>
        <v>1</v>
      </c>
      <c r="S81" t="str">
        <f t="shared" si="20"/>
        <v>LATER</v>
      </c>
      <c r="T81" t="str">
        <f t="shared" si="21"/>
        <v>SainteLague</v>
      </c>
      <c r="U81">
        <f t="shared" si="22"/>
        <v>80</v>
      </c>
      <c r="V81">
        <f t="shared" si="23"/>
        <v>123649</v>
      </c>
      <c r="W81" s="8" t="str">
        <f>VLOOKUP(V81,'ideas-input'!$A:$B,2,FALSE)</f>
        <v>Entrega em pontos para a cainiao</v>
      </c>
      <c r="X81" t="str">
        <f t="shared" si="24"/>
        <v>GS</v>
      </c>
      <c r="Y81" s="8" t="str">
        <f>VLOOKUP(V81,'ideas-input'!$A:$D,4,FALSE)</f>
        <v>eCommerce</v>
      </c>
      <c r="Z81" t="str">
        <f t="shared" si="25"/>
        <v>Commercial</v>
      </c>
      <c r="AA81" t="str">
        <f t="shared" si="26"/>
        <v>In Approval</v>
      </c>
      <c r="AB81">
        <f t="shared" si="27"/>
        <v>1</v>
      </c>
      <c r="AC81">
        <f t="shared" si="28"/>
        <v>4.5</v>
      </c>
      <c r="AD81">
        <f t="shared" si="29"/>
        <v>3</v>
      </c>
      <c r="AE81">
        <f t="shared" si="30"/>
        <v>2</v>
      </c>
      <c r="AF81">
        <f t="shared" si="31"/>
        <v>4</v>
      </c>
      <c r="AG81">
        <f t="shared" si="32"/>
        <v>2</v>
      </c>
    </row>
    <row r="82" spans="1:33" x14ac:dyDescent="0.2">
      <c r="A82" t="s">
        <v>127</v>
      </c>
      <c r="B82" t="s">
        <v>128</v>
      </c>
      <c r="C82">
        <v>81</v>
      </c>
      <c r="D82">
        <v>57434</v>
      </c>
      <c r="E82" t="s">
        <v>961</v>
      </c>
      <c r="F82" t="s">
        <v>68</v>
      </c>
      <c r="G82" t="s">
        <v>10</v>
      </c>
      <c r="H82" t="s">
        <v>5</v>
      </c>
      <c r="I82" t="s">
        <v>93</v>
      </c>
      <c r="J82">
        <v>2</v>
      </c>
      <c r="K82">
        <v>0.05</v>
      </c>
      <c r="L82">
        <v>3</v>
      </c>
      <c r="M82">
        <v>1</v>
      </c>
      <c r="N82">
        <v>1</v>
      </c>
      <c r="O82">
        <v>100</v>
      </c>
      <c r="P82" t="b">
        <f t="shared" si="19"/>
        <v>1</v>
      </c>
      <c r="S82" t="str">
        <f t="shared" si="20"/>
        <v>LATER</v>
      </c>
      <c r="T82" t="str">
        <f t="shared" si="21"/>
        <v>SainteLague</v>
      </c>
      <c r="U82">
        <f t="shared" si="22"/>
        <v>81</v>
      </c>
      <c r="V82">
        <f t="shared" si="23"/>
        <v>57434</v>
      </c>
      <c r="W82" s="8" t="str">
        <f>VLOOKUP(V82,'ideas-input'!$A:$B,2,FALSE)</f>
        <v>[WebHook] - Mediapost - Transmisión de estados en mensaje NO estándar</v>
      </c>
      <c r="X82" t="str">
        <f t="shared" si="24"/>
        <v>IDC</v>
      </c>
      <c r="Y82" s="8" t="str">
        <f>VLOOKUP(V82,'ideas-input'!$A:$D,4,FALSE)</f>
        <v>eCommerce</v>
      </c>
      <c r="Z82" t="str">
        <f t="shared" si="25"/>
        <v>Commercial</v>
      </c>
      <c r="AA82" t="str">
        <f t="shared" si="26"/>
        <v>Pitch</v>
      </c>
      <c r="AB82">
        <f t="shared" si="27"/>
        <v>2</v>
      </c>
      <c r="AC82">
        <f t="shared" si="28"/>
        <v>0.05</v>
      </c>
      <c r="AD82">
        <f t="shared" si="29"/>
        <v>3</v>
      </c>
      <c r="AE82">
        <f t="shared" si="30"/>
        <v>1</v>
      </c>
      <c r="AF82">
        <f t="shared" si="31"/>
        <v>1</v>
      </c>
      <c r="AG82">
        <f t="shared" si="32"/>
        <v>100</v>
      </c>
    </row>
    <row r="83" spans="1:33" x14ac:dyDescent="0.2">
      <c r="A83" t="s">
        <v>127</v>
      </c>
      <c r="B83" t="s">
        <v>128</v>
      </c>
      <c r="C83">
        <v>82</v>
      </c>
      <c r="D83">
        <v>91809</v>
      </c>
      <c r="E83" t="s">
        <v>942</v>
      </c>
      <c r="F83" t="s">
        <v>7</v>
      </c>
      <c r="G83" t="s">
        <v>379</v>
      </c>
      <c r="H83" t="s">
        <v>6</v>
      </c>
      <c r="I83" t="s">
        <v>136</v>
      </c>
      <c r="J83">
        <v>2</v>
      </c>
      <c r="K83">
        <v>0.03</v>
      </c>
      <c r="L83">
        <v>1</v>
      </c>
      <c r="M83">
        <v>1</v>
      </c>
      <c r="N83">
        <v>1</v>
      </c>
      <c r="O83">
        <v>100</v>
      </c>
      <c r="P83" t="b">
        <f t="shared" si="19"/>
        <v>1</v>
      </c>
      <c r="S83" t="str">
        <f t="shared" si="20"/>
        <v>LATER</v>
      </c>
      <c r="T83" t="str">
        <f t="shared" si="21"/>
        <v>SainteLague</v>
      </c>
      <c r="U83">
        <f t="shared" si="22"/>
        <v>82</v>
      </c>
      <c r="V83">
        <f t="shared" si="23"/>
        <v>91809</v>
      </c>
      <c r="W83" s="8" t="str">
        <f>VLOOKUP(V83,'ideas-input'!$A:$B,2,FALSE)</f>
        <v>DSD | Criar as Listas de Correio Registado e de EMS em Simultâneo</v>
      </c>
      <c r="X83" t="str">
        <f t="shared" si="24"/>
        <v>EDO</v>
      </c>
      <c r="Y83" s="8" t="str">
        <f>VLOOKUP(V83,'ideas-input'!$A:$D,4,FALSE)</f>
        <v>Mail</v>
      </c>
      <c r="Z83" t="str">
        <f t="shared" si="25"/>
        <v>Operations</v>
      </c>
      <c r="AA83" t="str">
        <f t="shared" si="26"/>
        <v>In Solution</v>
      </c>
      <c r="AB83">
        <f t="shared" si="27"/>
        <v>2</v>
      </c>
      <c r="AC83">
        <f t="shared" si="28"/>
        <v>0.03</v>
      </c>
      <c r="AD83">
        <f t="shared" si="29"/>
        <v>1</v>
      </c>
      <c r="AE83">
        <f t="shared" si="30"/>
        <v>1</v>
      </c>
      <c r="AF83">
        <f t="shared" si="31"/>
        <v>1</v>
      </c>
      <c r="AG83">
        <f t="shared" si="32"/>
        <v>100</v>
      </c>
    </row>
    <row r="84" spans="1:33" x14ac:dyDescent="0.2">
      <c r="A84" t="s">
        <v>127</v>
      </c>
      <c r="B84" t="s">
        <v>128</v>
      </c>
      <c r="C84">
        <v>83</v>
      </c>
      <c r="D84">
        <v>49370</v>
      </c>
      <c r="E84" t="s">
        <v>969</v>
      </c>
      <c r="F84" t="s">
        <v>64</v>
      </c>
      <c r="G84" t="s">
        <v>10</v>
      </c>
      <c r="H84" t="s">
        <v>6</v>
      </c>
      <c r="I84" t="s">
        <v>136</v>
      </c>
      <c r="J84">
        <v>12</v>
      </c>
      <c r="K84">
        <v>2.75</v>
      </c>
      <c r="L84">
        <v>3</v>
      </c>
      <c r="M84">
        <v>4</v>
      </c>
      <c r="N84">
        <v>4</v>
      </c>
      <c r="O84">
        <v>4</v>
      </c>
      <c r="P84" t="b">
        <f t="shared" si="19"/>
        <v>1</v>
      </c>
      <c r="S84" t="str">
        <f t="shared" si="20"/>
        <v>LATER</v>
      </c>
      <c r="T84" t="str">
        <f t="shared" si="21"/>
        <v>SainteLague</v>
      </c>
      <c r="U84">
        <f t="shared" si="22"/>
        <v>83</v>
      </c>
      <c r="V84">
        <f t="shared" si="23"/>
        <v>49370</v>
      </c>
      <c r="W84" s="8" t="str">
        <f>VLOOKUP(V84,'ideas-input'!$A:$B,2,FALSE)</f>
        <v>Sistema de seguimiento de rutas de arrastre - Implementación de eCMR</v>
      </c>
      <c r="X84" t="str">
        <f t="shared" si="24"/>
        <v>COO</v>
      </c>
      <c r="Y84" s="8" t="str">
        <f>VLOOKUP(V84,'ideas-input'!$A:$D,4,FALSE)</f>
        <v>eCommerce</v>
      </c>
      <c r="Z84" t="str">
        <f t="shared" si="25"/>
        <v>Operations</v>
      </c>
      <c r="AA84" t="str">
        <f t="shared" si="26"/>
        <v>In Solution</v>
      </c>
      <c r="AB84">
        <f t="shared" si="27"/>
        <v>12</v>
      </c>
      <c r="AC84">
        <f t="shared" si="28"/>
        <v>2.75</v>
      </c>
      <c r="AD84">
        <f t="shared" si="29"/>
        <v>3</v>
      </c>
      <c r="AE84">
        <f t="shared" si="30"/>
        <v>4</v>
      </c>
      <c r="AF84">
        <f t="shared" si="31"/>
        <v>4</v>
      </c>
      <c r="AG84">
        <f t="shared" si="32"/>
        <v>4</v>
      </c>
    </row>
    <row r="85" spans="1:33" x14ac:dyDescent="0.2">
      <c r="A85" t="s">
        <v>127</v>
      </c>
      <c r="B85" t="s">
        <v>128</v>
      </c>
      <c r="C85">
        <v>84</v>
      </c>
      <c r="D85">
        <v>181384</v>
      </c>
      <c r="E85" t="s">
        <v>966</v>
      </c>
      <c r="F85" t="s">
        <v>38</v>
      </c>
      <c r="G85" t="s">
        <v>379</v>
      </c>
      <c r="H85" t="s">
        <v>5</v>
      </c>
      <c r="I85" t="s">
        <v>95</v>
      </c>
      <c r="J85">
        <v>1</v>
      </c>
      <c r="K85">
        <v>0.03</v>
      </c>
      <c r="L85">
        <v>1</v>
      </c>
      <c r="M85">
        <v>1</v>
      </c>
      <c r="N85">
        <v>1</v>
      </c>
      <c r="O85">
        <v>100</v>
      </c>
      <c r="P85" t="b">
        <f t="shared" si="19"/>
        <v>1</v>
      </c>
      <c r="S85" t="str">
        <f t="shared" si="20"/>
        <v>LATER</v>
      </c>
      <c r="T85" t="str">
        <f t="shared" si="21"/>
        <v>SainteLague</v>
      </c>
      <c r="U85">
        <f t="shared" si="22"/>
        <v>84</v>
      </c>
      <c r="V85">
        <f t="shared" si="23"/>
        <v>181384</v>
      </c>
      <c r="W85" s="8" t="str">
        <f>VLOOKUP(V85,'ideas-input'!$A:$B,2,FALSE)</f>
        <v>PAY - Instrumento Transferências - Alteração Requisitos - Fev</v>
      </c>
      <c r="X85" t="str">
        <f t="shared" si="24"/>
        <v>CSI</v>
      </c>
      <c r="Y85" s="8" t="str">
        <f>VLOOKUP(V85,'ideas-input'!$A:$D,4,FALSE)</f>
        <v>Mail</v>
      </c>
      <c r="Z85" t="str">
        <f t="shared" si="25"/>
        <v>Commercial</v>
      </c>
      <c r="AA85" t="str">
        <f t="shared" si="26"/>
        <v>In Definition</v>
      </c>
      <c r="AB85">
        <f t="shared" si="27"/>
        <v>1</v>
      </c>
      <c r="AC85">
        <f t="shared" si="28"/>
        <v>0.03</v>
      </c>
      <c r="AD85">
        <f t="shared" si="29"/>
        <v>1</v>
      </c>
      <c r="AE85">
        <f t="shared" si="30"/>
        <v>1</v>
      </c>
      <c r="AF85">
        <f t="shared" si="31"/>
        <v>1</v>
      </c>
      <c r="AG85">
        <f t="shared" si="32"/>
        <v>100</v>
      </c>
    </row>
    <row r="86" spans="1:33" x14ac:dyDescent="0.2">
      <c r="A86" t="s">
        <v>127</v>
      </c>
      <c r="B86" t="s">
        <v>128</v>
      </c>
      <c r="C86">
        <v>85</v>
      </c>
      <c r="D86">
        <v>48122</v>
      </c>
      <c r="E86" t="s">
        <v>141</v>
      </c>
      <c r="F86" t="s">
        <v>71</v>
      </c>
      <c r="G86" t="s">
        <v>10</v>
      </c>
      <c r="H86" t="s">
        <v>12</v>
      </c>
      <c r="I86" t="s">
        <v>95</v>
      </c>
      <c r="J86">
        <v>1</v>
      </c>
      <c r="K86">
        <v>0.03</v>
      </c>
      <c r="L86">
        <v>1</v>
      </c>
      <c r="M86">
        <v>1</v>
      </c>
      <c r="N86">
        <v>1</v>
      </c>
      <c r="O86">
        <v>100</v>
      </c>
      <c r="P86" t="b">
        <f t="shared" si="19"/>
        <v>1</v>
      </c>
      <c r="S86" t="str">
        <f t="shared" si="20"/>
        <v>LATER</v>
      </c>
      <c r="T86" t="str">
        <f t="shared" si="21"/>
        <v>SainteLague</v>
      </c>
      <c r="U86">
        <f t="shared" si="22"/>
        <v>85</v>
      </c>
      <c r="V86">
        <f t="shared" si="23"/>
        <v>48122</v>
      </c>
      <c r="W86" s="8" t="str">
        <f>VLOOKUP(V86,'ideas-input'!$A:$B,2,FALSE)</f>
        <v>Trazabilidad</v>
      </c>
      <c r="X86" t="str">
        <f t="shared" si="24"/>
        <v>PRO</v>
      </c>
      <c r="Y86" s="8" t="str">
        <f>VLOOKUP(V86,'ideas-input'!$A:$D,4,FALSE)</f>
        <v>eCommerce</v>
      </c>
      <c r="Z86" t="str">
        <f t="shared" si="25"/>
        <v>Corporate</v>
      </c>
      <c r="AA86" t="str">
        <f t="shared" si="26"/>
        <v>In Definition</v>
      </c>
      <c r="AB86">
        <f t="shared" si="27"/>
        <v>1</v>
      </c>
      <c r="AC86">
        <f t="shared" si="28"/>
        <v>0.03</v>
      </c>
      <c r="AD86">
        <f t="shared" si="29"/>
        <v>1</v>
      </c>
      <c r="AE86">
        <f t="shared" si="30"/>
        <v>1</v>
      </c>
      <c r="AF86">
        <f t="shared" si="31"/>
        <v>1</v>
      </c>
      <c r="AG86">
        <f t="shared" si="32"/>
        <v>100</v>
      </c>
    </row>
    <row r="87" spans="1:33" x14ac:dyDescent="0.2">
      <c r="A87" t="s">
        <v>127</v>
      </c>
      <c r="B87" t="s">
        <v>128</v>
      </c>
      <c r="C87">
        <v>86</v>
      </c>
      <c r="D87">
        <v>140378</v>
      </c>
      <c r="E87" t="s">
        <v>968</v>
      </c>
      <c r="F87" t="s">
        <v>26</v>
      </c>
      <c r="G87" t="s">
        <v>379</v>
      </c>
      <c r="H87" t="s">
        <v>6</v>
      </c>
      <c r="I87" t="s">
        <v>91</v>
      </c>
      <c r="J87">
        <v>3</v>
      </c>
      <c r="K87">
        <v>0.03</v>
      </c>
      <c r="L87">
        <v>1</v>
      </c>
      <c r="M87">
        <v>1</v>
      </c>
      <c r="N87">
        <v>1</v>
      </c>
      <c r="O87">
        <v>100</v>
      </c>
      <c r="P87" t="b">
        <f t="shared" si="19"/>
        <v>1</v>
      </c>
      <c r="S87" t="str">
        <f t="shared" ref="S87:S150" si="33">A87</f>
        <v>LATER</v>
      </c>
      <c r="T87" t="str">
        <f t="shared" ref="T87:T150" si="34">B87</f>
        <v>SainteLague</v>
      </c>
      <c r="U87" s="8">
        <v>43</v>
      </c>
      <c r="V87">
        <f t="shared" ref="V87:V150" si="35">D87</f>
        <v>140378</v>
      </c>
      <c r="W87" s="8" t="str">
        <f>VLOOKUP(V87,'ideas-input'!$A:$B,2,FALSE)</f>
        <v>Dados Operações Online</v>
      </c>
      <c r="X87" t="str">
        <f t="shared" si="24"/>
        <v>SEO</v>
      </c>
      <c r="Y87" s="8" t="str">
        <f>VLOOKUP(V87,'ideas-input'!$A:$D,4,FALSE)</f>
        <v>eCommerce</v>
      </c>
      <c r="Z87" t="str">
        <f t="shared" si="25"/>
        <v>Operations</v>
      </c>
      <c r="AA87" t="str">
        <f t="shared" si="26"/>
        <v>Backlog</v>
      </c>
      <c r="AB87">
        <f t="shared" si="27"/>
        <v>3</v>
      </c>
      <c r="AC87">
        <f t="shared" si="28"/>
        <v>0.03</v>
      </c>
      <c r="AD87">
        <f t="shared" si="29"/>
        <v>1</v>
      </c>
      <c r="AE87">
        <f t="shared" si="30"/>
        <v>1</v>
      </c>
      <c r="AF87">
        <f t="shared" si="31"/>
        <v>1</v>
      </c>
      <c r="AG87">
        <f t="shared" si="32"/>
        <v>100</v>
      </c>
    </row>
    <row r="88" spans="1:33" x14ac:dyDescent="0.2">
      <c r="A88" t="s">
        <v>127</v>
      </c>
      <c r="B88" t="s">
        <v>128</v>
      </c>
      <c r="C88">
        <v>87</v>
      </c>
      <c r="D88">
        <v>61337</v>
      </c>
      <c r="E88" t="s">
        <v>959</v>
      </c>
      <c r="F88" t="s">
        <v>70</v>
      </c>
      <c r="G88" t="s">
        <v>10</v>
      </c>
      <c r="H88" t="s">
        <v>8</v>
      </c>
      <c r="I88" t="s">
        <v>95</v>
      </c>
      <c r="J88">
        <v>6</v>
      </c>
      <c r="K88">
        <v>0.03</v>
      </c>
      <c r="L88">
        <v>1</v>
      </c>
      <c r="M88">
        <v>1</v>
      </c>
      <c r="N88">
        <v>1</v>
      </c>
      <c r="O88">
        <v>100</v>
      </c>
      <c r="P88" t="b">
        <f t="shared" si="19"/>
        <v>1</v>
      </c>
      <c r="S88" t="str">
        <f t="shared" si="33"/>
        <v>LATER</v>
      </c>
      <c r="T88" t="str">
        <f t="shared" si="34"/>
        <v>SainteLague</v>
      </c>
      <c r="U88" s="8">
        <v>44</v>
      </c>
      <c r="V88">
        <f t="shared" si="35"/>
        <v>61337</v>
      </c>
      <c r="W88" s="8" t="str">
        <f>VLOOKUP(V88,'ideas-input'!$A:$B,2,FALSE)</f>
        <v>[Web Pública] [CIBERSEGURIDAD] - Migración de infraestructura de MiddleWare de PhP</v>
      </c>
      <c r="X88" t="str">
        <f t="shared" si="24"/>
        <v>CIO</v>
      </c>
      <c r="Y88" s="8" t="str">
        <f>VLOOKUP(V88,'ideas-input'!$A:$D,4,FALSE)</f>
        <v>eCommerce</v>
      </c>
      <c r="Z88" t="str">
        <f t="shared" si="25"/>
        <v>Technology</v>
      </c>
      <c r="AA88" t="str">
        <f t="shared" si="26"/>
        <v>In Definition</v>
      </c>
      <c r="AB88">
        <f t="shared" si="27"/>
        <v>6</v>
      </c>
      <c r="AC88">
        <f t="shared" si="28"/>
        <v>0.03</v>
      </c>
      <c r="AD88">
        <f t="shared" si="29"/>
        <v>1</v>
      </c>
      <c r="AE88">
        <f t="shared" si="30"/>
        <v>1</v>
      </c>
      <c r="AF88">
        <f t="shared" si="31"/>
        <v>1</v>
      </c>
      <c r="AG88">
        <f t="shared" si="32"/>
        <v>100</v>
      </c>
    </row>
    <row r="89" spans="1:33" x14ac:dyDescent="0.2">
      <c r="A89" t="s">
        <v>127</v>
      </c>
      <c r="B89" t="s">
        <v>128</v>
      </c>
      <c r="C89">
        <v>88</v>
      </c>
      <c r="D89">
        <v>126734</v>
      </c>
      <c r="E89" t="s">
        <v>145</v>
      </c>
      <c r="F89" t="s">
        <v>98</v>
      </c>
      <c r="G89" t="s">
        <v>379</v>
      </c>
      <c r="H89" t="s">
        <v>12</v>
      </c>
      <c r="I89" t="s">
        <v>97</v>
      </c>
      <c r="J89">
        <v>1</v>
      </c>
      <c r="K89">
        <v>3.5</v>
      </c>
      <c r="L89">
        <v>4</v>
      </c>
      <c r="M89">
        <v>1</v>
      </c>
      <c r="N89">
        <v>2</v>
      </c>
      <c r="O89">
        <v>2</v>
      </c>
      <c r="P89" t="b">
        <f t="shared" si="19"/>
        <v>1</v>
      </c>
      <c r="S89" t="str">
        <f t="shared" si="33"/>
        <v>LATER</v>
      </c>
      <c r="T89" t="str">
        <f t="shared" si="34"/>
        <v>SainteLague</v>
      </c>
      <c r="U89" s="8">
        <v>42</v>
      </c>
      <c r="V89">
        <f t="shared" si="35"/>
        <v>126734</v>
      </c>
      <c r="W89" s="8" t="str">
        <f>VLOOKUP(V89,'ideas-input'!$A:$B,2,FALSE)</f>
        <v>Migrate Azure Devops to Github Repos and Github Actions - Data repos</v>
      </c>
      <c r="X89" t="str">
        <f t="shared" si="24"/>
        <v>PC</v>
      </c>
      <c r="Y89" s="8" t="str">
        <f>VLOOKUP(V89,'ideas-input'!$A:$D,4,FALSE)</f>
        <v>Mail</v>
      </c>
      <c r="Z89" t="str">
        <f t="shared" si="25"/>
        <v>Corporate</v>
      </c>
      <c r="AA89" t="str">
        <f t="shared" si="26"/>
        <v>Ready for Solution</v>
      </c>
      <c r="AB89">
        <f t="shared" si="27"/>
        <v>1</v>
      </c>
      <c r="AC89">
        <f t="shared" si="28"/>
        <v>3.5</v>
      </c>
      <c r="AD89">
        <f t="shared" si="29"/>
        <v>4</v>
      </c>
      <c r="AE89">
        <f t="shared" si="30"/>
        <v>1</v>
      </c>
      <c r="AF89">
        <f t="shared" si="31"/>
        <v>2</v>
      </c>
      <c r="AG89">
        <f t="shared" si="32"/>
        <v>2</v>
      </c>
    </row>
    <row r="90" spans="1:33" x14ac:dyDescent="0.2">
      <c r="A90" t="s">
        <v>127</v>
      </c>
      <c r="B90" t="s">
        <v>128</v>
      </c>
      <c r="C90">
        <v>89</v>
      </c>
      <c r="D90">
        <v>65568</v>
      </c>
      <c r="E90" t="s">
        <v>156</v>
      </c>
      <c r="F90" t="s">
        <v>65</v>
      </c>
      <c r="G90" t="s">
        <v>10</v>
      </c>
      <c r="H90" t="s">
        <v>5</v>
      </c>
      <c r="I90" t="s">
        <v>130</v>
      </c>
      <c r="J90">
        <v>9</v>
      </c>
      <c r="K90">
        <v>0.03</v>
      </c>
      <c r="L90">
        <v>1</v>
      </c>
      <c r="M90">
        <v>1</v>
      </c>
      <c r="N90">
        <v>1</v>
      </c>
      <c r="O90">
        <v>100</v>
      </c>
      <c r="P90" t="b">
        <f t="shared" si="19"/>
        <v>1</v>
      </c>
      <c r="S90" t="str">
        <f t="shared" si="33"/>
        <v>LATER</v>
      </c>
      <c r="T90" t="str">
        <f t="shared" si="34"/>
        <v>SainteLague</v>
      </c>
      <c r="U90">
        <f t="shared" ref="U90:U153" si="36">C90</f>
        <v>89</v>
      </c>
      <c r="V90">
        <f t="shared" si="35"/>
        <v>65568</v>
      </c>
      <c r="W90" s="8" t="str">
        <f>VLOOKUP(V90,'ideas-input'!$A:$B,2,FALSE)</f>
        <v>[PUDOS] - Herramienta para orden de recogidas en PUDOS</v>
      </c>
      <c r="X90" t="str">
        <f t="shared" si="24"/>
        <v>CMO</v>
      </c>
      <c r="Y90" s="8" t="str">
        <f>VLOOKUP(V90,'ideas-input'!$A:$D,4,FALSE)</f>
        <v>eCommerce</v>
      </c>
      <c r="Z90" t="str">
        <f t="shared" si="25"/>
        <v>Commercial</v>
      </c>
      <c r="AA90" t="str">
        <f t="shared" si="26"/>
        <v>High Level Design</v>
      </c>
      <c r="AB90">
        <f t="shared" si="27"/>
        <v>9</v>
      </c>
      <c r="AC90">
        <f t="shared" si="28"/>
        <v>0.03</v>
      </c>
      <c r="AD90">
        <f t="shared" si="29"/>
        <v>1</v>
      </c>
      <c r="AE90">
        <f t="shared" si="30"/>
        <v>1</v>
      </c>
      <c r="AF90">
        <f t="shared" si="31"/>
        <v>1</v>
      </c>
      <c r="AG90">
        <f t="shared" si="32"/>
        <v>100</v>
      </c>
    </row>
    <row r="91" spans="1:33" x14ac:dyDescent="0.2">
      <c r="A91" t="s">
        <v>127</v>
      </c>
      <c r="B91" t="s">
        <v>128</v>
      </c>
      <c r="C91">
        <v>90</v>
      </c>
      <c r="D91">
        <v>125543</v>
      </c>
      <c r="E91" t="s">
        <v>173</v>
      </c>
      <c r="F91" t="s">
        <v>9</v>
      </c>
      <c r="G91" t="s">
        <v>379</v>
      </c>
      <c r="H91" t="s">
        <v>8</v>
      </c>
      <c r="I91" t="s">
        <v>96</v>
      </c>
      <c r="J91">
        <v>3</v>
      </c>
      <c r="K91">
        <v>2.5</v>
      </c>
      <c r="L91">
        <v>3</v>
      </c>
      <c r="M91">
        <v>1</v>
      </c>
      <c r="N91">
        <v>1</v>
      </c>
      <c r="O91">
        <v>2</v>
      </c>
      <c r="P91" t="b">
        <f t="shared" si="19"/>
        <v>1</v>
      </c>
      <c r="S91" t="str">
        <f t="shared" si="33"/>
        <v>LATER</v>
      </c>
      <c r="T91" t="str">
        <f t="shared" si="34"/>
        <v>SainteLague</v>
      </c>
      <c r="U91">
        <f t="shared" si="36"/>
        <v>90</v>
      </c>
      <c r="V91">
        <f t="shared" si="35"/>
        <v>125543</v>
      </c>
      <c r="W91" s="8" t="str">
        <f>VLOOKUP(V91,'ideas-input'!$A:$B,2,FALSE)</f>
        <v>ODIN | Iberian Observability Stack</v>
      </c>
      <c r="X91" t="str">
        <f t="shared" si="24"/>
        <v>SI</v>
      </c>
      <c r="Y91" s="8" t="str">
        <f>VLOOKUP(V91,'ideas-input'!$A:$D,4,FALSE)</f>
        <v>eCommerce</v>
      </c>
      <c r="Z91" t="str">
        <f t="shared" si="25"/>
        <v>Technology</v>
      </c>
      <c r="AA91" t="str">
        <f t="shared" si="26"/>
        <v>Ready for Approval</v>
      </c>
      <c r="AB91">
        <f t="shared" si="27"/>
        <v>3</v>
      </c>
      <c r="AC91">
        <f t="shared" si="28"/>
        <v>2.5</v>
      </c>
      <c r="AD91">
        <f t="shared" si="29"/>
        <v>3</v>
      </c>
      <c r="AE91">
        <f t="shared" si="30"/>
        <v>1</v>
      </c>
      <c r="AF91">
        <f t="shared" si="31"/>
        <v>1</v>
      </c>
      <c r="AG91">
        <f t="shared" si="32"/>
        <v>2</v>
      </c>
    </row>
    <row r="92" spans="1:33" x14ac:dyDescent="0.2">
      <c r="A92" t="s">
        <v>127</v>
      </c>
      <c r="B92" t="s">
        <v>128</v>
      </c>
      <c r="C92">
        <v>91</v>
      </c>
      <c r="D92">
        <v>52443</v>
      </c>
      <c r="E92" t="s">
        <v>975</v>
      </c>
      <c r="F92" t="s">
        <v>64</v>
      </c>
      <c r="G92" t="s">
        <v>10</v>
      </c>
      <c r="H92" t="s">
        <v>6</v>
      </c>
      <c r="I92" t="s">
        <v>95</v>
      </c>
      <c r="J92">
        <v>13</v>
      </c>
      <c r="K92">
        <v>0.03</v>
      </c>
      <c r="L92">
        <v>1</v>
      </c>
      <c r="M92">
        <v>1</v>
      </c>
      <c r="N92">
        <v>1</v>
      </c>
      <c r="O92">
        <v>100</v>
      </c>
      <c r="P92" t="b">
        <f t="shared" si="19"/>
        <v>1</v>
      </c>
      <c r="S92" t="str">
        <f t="shared" si="33"/>
        <v>LATER</v>
      </c>
      <c r="T92" t="str">
        <f t="shared" si="34"/>
        <v>SainteLague</v>
      </c>
      <c r="U92">
        <f t="shared" si="36"/>
        <v>91</v>
      </c>
      <c r="V92">
        <f t="shared" si="35"/>
        <v>52443</v>
      </c>
      <c r="W92" s="8" t="str">
        <f>VLOOKUP(V92,'ideas-input'!$A:$B,2,FALSE)</f>
        <v>[Desconexión SGC] Cierre diario: Liquidación de portes debidos y reembolsos</v>
      </c>
      <c r="X92" t="str">
        <f t="shared" si="24"/>
        <v>COO</v>
      </c>
      <c r="Y92" s="8" t="str">
        <f>VLOOKUP(V92,'ideas-input'!$A:$D,4,FALSE)</f>
        <v>eCommerce</v>
      </c>
      <c r="Z92" t="str">
        <f t="shared" si="25"/>
        <v>Operations</v>
      </c>
      <c r="AA92" t="str">
        <f t="shared" si="26"/>
        <v>In Definition</v>
      </c>
      <c r="AB92">
        <f t="shared" si="27"/>
        <v>13</v>
      </c>
      <c r="AC92">
        <f t="shared" si="28"/>
        <v>0.03</v>
      </c>
      <c r="AD92">
        <f t="shared" si="29"/>
        <v>1</v>
      </c>
      <c r="AE92">
        <f t="shared" si="30"/>
        <v>1</v>
      </c>
      <c r="AF92">
        <f t="shared" si="31"/>
        <v>1</v>
      </c>
      <c r="AG92">
        <f t="shared" si="32"/>
        <v>100</v>
      </c>
    </row>
    <row r="93" spans="1:33" x14ac:dyDescent="0.2">
      <c r="A93" t="s">
        <v>127</v>
      </c>
      <c r="B93" t="s">
        <v>128</v>
      </c>
      <c r="C93">
        <v>92</v>
      </c>
      <c r="D93">
        <v>118174</v>
      </c>
      <c r="E93" t="s">
        <v>973</v>
      </c>
      <c r="F93" t="s">
        <v>25</v>
      </c>
      <c r="G93" t="s">
        <v>379</v>
      </c>
      <c r="H93" t="s">
        <v>5</v>
      </c>
      <c r="I93" t="s">
        <v>91</v>
      </c>
      <c r="J93">
        <v>1</v>
      </c>
      <c r="K93">
        <v>0.03</v>
      </c>
      <c r="L93">
        <v>1</v>
      </c>
      <c r="M93">
        <v>1</v>
      </c>
      <c r="N93">
        <v>1</v>
      </c>
      <c r="O93">
        <v>100</v>
      </c>
      <c r="P93" t="b">
        <f t="shared" si="19"/>
        <v>1</v>
      </c>
      <c r="S93" t="str">
        <f t="shared" si="33"/>
        <v>LATER</v>
      </c>
      <c r="T93" t="str">
        <f t="shared" si="34"/>
        <v>SainteLague</v>
      </c>
      <c r="U93">
        <f t="shared" si="36"/>
        <v>92</v>
      </c>
      <c r="V93">
        <f t="shared" si="35"/>
        <v>118174</v>
      </c>
      <c r="W93" s="8" t="str">
        <f>VLOOKUP(V93,'ideas-input'!$A:$B,2,FALSE)</f>
        <v>GPB2C | Parceria Unicâmbio - Operacionalização de serviço de cambio</v>
      </c>
      <c r="X93" t="str">
        <f t="shared" si="24"/>
        <v>GP B2C</v>
      </c>
      <c r="Y93" s="8" t="str">
        <f>VLOOKUP(V93,'ideas-input'!$A:$D,4,FALSE)</f>
        <v>Retail &amp; Financial Services</v>
      </c>
      <c r="Z93" t="str">
        <f t="shared" si="25"/>
        <v>Commercial</v>
      </c>
      <c r="AA93" t="str">
        <f t="shared" si="26"/>
        <v>Backlog</v>
      </c>
      <c r="AB93">
        <f t="shared" si="27"/>
        <v>1</v>
      </c>
      <c r="AC93">
        <f t="shared" si="28"/>
        <v>0.03</v>
      </c>
      <c r="AD93">
        <f t="shared" si="29"/>
        <v>1</v>
      </c>
      <c r="AE93">
        <f t="shared" si="30"/>
        <v>1</v>
      </c>
      <c r="AF93">
        <f t="shared" si="31"/>
        <v>1</v>
      </c>
      <c r="AG93">
        <f t="shared" si="32"/>
        <v>100</v>
      </c>
    </row>
    <row r="94" spans="1:33" x14ac:dyDescent="0.2">
      <c r="A94" t="s">
        <v>127</v>
      </c>
      <c r="B94" t="s">
        <v>128</v>
      </c>
      <c r="C94">
        <v>93</v>
      </c>
      <c r="D94">
        <v>48629</v>
      </c>
      <c r="E94" t="s">
        <v>971</v>
      </c>
      <c r="F94" t="s">
        <v>67</v>
      </c>
      <c r="G94" t="s">
        <v>10</v>
      </c>
      <c r="H94" t="s">
        <v>12</v>
      </c>
      <c r="I94" t="s">
        <v>95</v>
      </c>
      <c r="J94">
        <v>4</v>
      </c>
      <c r="K94">
        <v>0.03</v>
      </c>
      <c r="L94">
        <v>1</v>
      </c>
      <c r="M94">
        <v>1</v>
      </c>
      <c r="N94">
        <v>1</v>
      </c>
      <c r="O94">
        <v>100</v>
      </c>
      <c r="P94" t="b">
        <f t="shared" si="19"/>
        <v>1</v>
      </c>
      <c r="S94" t="str">
        <f t="shared" si="33"/>
        <v>LATER</v>
      </c>
      <c r="T94" t="str">
        <f t="shared" si="34"/>
        <v>SainteLague</v>
      </c>
      <c r="U94">
        <f t="shared" si="36"/>
        <v>93</v>
      </c>
      <c r="V94">
        <f t="shared" si="35"/>
        <v>48629</v>
      </c>
      <c r="W94" s="8" t="str">
        <f>VLOOKUP(V94,'ideas-input'!$A:$B,2,FALSE)</f>
        <v>[Desconexión SGC] [Nexia] - Consulta masiva de envíos y acciones sobre los resultados + export/import en Excel</v>
      </c>
      <c r="X94" t="str">
        <f t="shared" si="24"/>
        <v>ATC</v>
      </c>
      <c r="Y94" s="8" t="str">
        <f>VLOOKUP(V94,'ideas-input'!$A:$D,4,FALSE)</f>
        <v>eCommerce</v>
      </c>
      <c r="Z94" t="str">
        <f t="shared" si="25"/>
        <v>Corporate</v>
      </c>
      <c r="AA94" t="str">
        <f t="shared" si="26"/>
        <v>In Definition</v>
      </c>
      <c r="AB94">
        <f t="shared" si="27"/>
        <v>4</v>
      </c>
      <c r="AC94">
        <f t="shared" si="28"/>
        <v>0.03</v>
      </c>
      <c r="AD94">
        <f t="shared" si="29"/>
        <v>1</v>
      </c>
      <c r="AE94">
        <f t="shared" si="30"/>
        <v>1</v>
      </c>
      <c r="AF94">
        <f t="shared" si="31"/>
        <v>1</v>
      </c>
      <c r="AG94">
        <f t="shared" si="32"/>
        <v>100</v>
      </c>
    </row>
    <row r="95" spans="1:33" x14ac:dyDescent="0.2">
      <c r="A95" t="s">
        <v>127</v>
      </c>
      <c r="B95" t="s">
        <v>128</v>
      </c>
      <c r="C95">
        <v>94</v>
      </c>
      <c r="D95">
        <v>136982</v>
      </c>
      <c r="E95" t="s">
        <v>960</v>
      </c>
      <c r="F95" t="s">
        <v>7</v>
      </c>
      <c r="G95" t="s">
        <v>379</v>
      </c>
      <c r="H95" t="s">
        <v>6</v>
      </c>
      <c r="I95" t="s">
        <v>91</v>
      </c>
      <c r="J95">
        <v>3</v>
      </c>
      <c r="K95">
        <v>0.03</v>
      </c>
      <c r="L95">
        <v>1</v>
      </c>
      <c r="M95">
        <v>1</v>
      </c>
      <c r="N95">
        <v>1</v>
      </c>
      <c r="O95">
        <v>100</v>
      </c>
      <c r="P95" t="b">
        <f t="shared" si="19"/>
        <v>1</v>
      </c>
      <c r="S95" t="str">
        <f t="shared" si="33"/>
        <v>LATER</v>
      </c>
      <c r="T95" t="str">
        <f t="shared" si="34"/>
        <v>SainteLague</v>
      </c>
      <c r="U95">
        <f t="shared" si="36"/>
        <v>94</v>
      </c>
      <c r="V95">
        <f t="shared" si="35"/>
        <v>136982</v>
      </c>
      <c r="W95" s="8" t="str">
        <f>VLOOKUP(V95,'ideas-input'!$A:$B,2,FALSE)</f>
        <v>DSD | Mobi - Permitir a Leitura do Código Laranja do Correio Azul</v>
      </c>
      <c r="X95" t="str">
        <f t="shared" si="24"/>
        <v>EDO</v>
      </c>
      <c r="Y95" s="8" t="str">
        <f>VLOOKUP(V95,'ideas-input'!$A:$D,4,FALSE)</f>
        <v>Mail</v>
      </c>
      <c r="Z95" t="str">
        <f t="shared" si="25"/>
        <v>Operations</v>
      </c>
      <c r="AA95" t="str">
        <f t="shared" si="26"/>
        <v>Backlog</v>
      </c>
      <c r="AB95">
        <f t="shared" si="27"/>
        <v>3</v>
      </c>
      <c r="AC95">
        <f t="shared" si="28"/>
        <v>0.03</v>
      </c>
      <c r="AD95">
        <f t="shared" si="29"/>
        <v>1</v>
      </c>
      <c r="AE95">
        <f t="shared" si="30"/>
        <v>1</v>
      </c>
      <c r="AF95">
        <f t="shared" si="31"/>
        <v>1</v>
      </c>
      <c r="AG95">
        <f t="shared" si="32"/>
        <v>100</v>
      </c>
    </row>
    <row r="96" spans="1:33" x14ac:dyDescent="0.2">
      <c r="A96" t="s">
        <v>127</v>
      </c>
      <c r="B96" t="s">
        <v>128</v>
      </c>
      <c r="C96">
        <v>95</v>
      </c>
      <c r="D96">
        <v>61988</v>
      </c>
      <c r="E96" t="s">
        <v>965</v>
      </c>
      <c r="F96" t="s">
        <v>70</v>
      </c>
      <c r="G96" t="s">
        <v>10</v>
      </c>
      <c r="H96" t="s">
        <v>8</v>
      </c>
      <c r="I96" t="s">
        <v>91</v>
      </c>
      <c r="J96">
        <v>7</v>
      </c>
      <c r="K96">
        <v>0.03</v>
      </c>
      <c r="L96">
        <v>1</v>
      </c>
      <c r="M96">
        <v>1</v>
      </c>
      <c r="N96">
        <v>1</v>
      </c>
      <c r="O96">
        <v>100</v>
      </c>
      <c r="P96" t="b">
        <f t="shared" si="19"/>
        <v>1</v>
      </c>
      <c r="S96" t="str">
        <f t="shared" si="33"/>
        <v>LATER</v>
      </c>
      <c r="T96" t="str">
        <f t="shared" si="34"/>
        <v>SainteLague</v>
      </c>
      <c r="U96">
        <f t="shared" si="36"/>
        <v>95</v>
      </c>
      <c r="V96">
        <f t="shared" si="35"/>
        <v>61988</v>
      </c>
      <c r="W96" s="8" t="str">
        <f>VLOOKUP(V96,'ideas-input'!$A:$B,2,FALSE)</f>
        <v>Definición Arquitectura .Net Ibérico</v>
      </c>
      <c r="X96" t="str">
        <f t="shared" si="24"/>
        <v>CIO</v>
      </c>
      <c r="Y96" s="8" t="str">
        <f>VLOOKUP(V96,'ideas-input'!$A:$D,4,FALSE)</f>
        <v>eCommerce</v>
      </c>
      <c r="Z96" t="str">
        <f t="shared" si="25"/>
        <v>Technology</v>
      </c>
      <c r="AA96" t="str">
        <f t="shared" si="26"/>
        <v>Backlog</v>
      </c>
      <c r="AB96">
        <f t="shared" si="27"/>
        <v>7</v>
      </c>
      <c r="AC96">
        <f t="shared" si="28"/>
        <v>0.03</v>
      </c>
      <c r="AD96">
        <f t="shared" si="29"/>
        <v>1</v>
      </c>
      <c r="AE96">
        <f t="shared" si="30"/>
        <v>1</v>
      </c>
      <c r="AF96">
        <f t="shared" si="31"/>
        <v>1</v>
      </c>
      <c r="AG96">
        <f t="shared" si="32"/>
        <v>100</v>
      </c>
    </row>
    <row r="97" spans="1:33" x14ac:dyDescent="0.2">
      <c r="A97" t="s">
        <v>127</v>
      </c>
      <c r="B97" t="s">
        <v>128</v>
      </c>
      <c r="C97">
        <v>96</v>
      </c>
      <c r="D97">
        <v>48989</v>
      </c>
      <c r="E97" t="s">
        <v>970</v>
      </c>
      <c r="F97" t="s">
        <v>50</v>
      </c>
      <c r="G97" t="s">
        <v>379</v>
      </c>
      <c r="H97" t="s">
        <v>12</v>
      </c>
      <c r="I97" t="s">
        <v>91</v>
      </c>
      <c r="J97">
        <v>1</v>
      </c>
      <c r="K97">
        <v>0.03</v>
      </c>
      <c r="L97">
        <v>1</v>
      </c>
      <c r="M97">
        <v>1</v>
      </c>
      <c r="N97">
        <v>1</v>
      </c>
      <c r="O97">
        <v>100</v>
      </c>
      <c r="P97" t="b">
        <f t="shared" si="19"/>
        <v>1</v>
      </c>
      <c r="S97" t="str">
        <f t="shared" si="33"/>
        <v>LATER</v>
      </c>
      <c r="T97" t="str">
        <f t="shared" si="34"/>
        <v>SainteLague</v>
      </c>
      <c r="U97">
        <f t="shared" si="36"/>
        <v>96</v>
      </c>
      <c r="V97">
        <f t="shared" si="35"/>
        <v>48989</v>
      </c>
      <c r="W97" s="8" t="str">
        <f>VLOOKUP(V97,'ideas-input'!$A:$B,2,FALSE)</f>
        <v>Evolução Pesquisa Pontos de Contacto CTT</v>
      </c>
      <c r="X97" t="str">
        <f t="shared" si="24"/>
        <v>CMP</v>
      </c>
      <c r="Y97" s="8" t="str">
        <f>VLOOKUP(V97,'ideas-input'!$A:$D,4,FALSE)</f>
        <v>Mail</v>
      </c>
      <c r="Z97" t="str">
        <f t="shared" si="25"/>
        <v>Corporate</v>
      </c>
      <c r="AA97" t="str">
        <f t="shared" si="26"/>
        <v>Backlog</v>
      </c>
      <c r="AB97">
        <f t="shared" si="27"/>
        <v>1</v>
      </c>
      <c r="AC97">
        <f t="shared" si="28"/>
        <v>0.03</v>
      </c>
      <c r="AD97">
        <f t="shared" si="29"/>
        <v>1</v>
      </c>
      <c r="AE97">
        <f t="shared" si="30"/>
        <v>1</v>
      </c>
      <c r="AF97">
        <f t="shared" si="31"/>
        <v>1</v>
      </c>
      <c r="AG97">
        <f t="shared" si="32"/>
        <v>100</v>
      </c>
    </row>
    <row r="98" spans="1:33" x14ac:dyDescent="0.2">
      <c r="A98" t="s">
        <v>127</v>
      </c>
      <c r="B98" t="s">
        <v>128</v>
      </c>
      <c r="C98">
        <v>97</v>
      </c>
      <c r="D98">
        <v>64002</v>
      </c>
      <c r="E98" t="s">
        <v>978</v>
      </c>
      <c r="F98" t="s">
        <v>66</v>
      </c>
      <c r="G98" t="s">
        <v>10</v>
      </c>
      <c r="H98" t="s">
        <v>5</v>
      </c>
      <c r="I98" t="s">
        <v>93</v>
      </c>
      <c r="J98">
        <v>4</v>
      </c>
      <c r="K98">
        <v>0.03</v>
      </c>
      <c r="L98">
        <v>1</v>
      </c>
      <c r="M98">
        <v>1</v>
      </c>
      <c r="N98">
        <v>1</v>
      </c>
      <c r="O98">
        <v>100</v>
      </c>
      <c r="P98" t="b">
        <f t="shared" si="19"/>
        <v>1</v>
      </c>
      <c r="S98" t="str">
        <f t="shared" si="33"/>
        <v>LATER</v>
      </c>
      <c r="T98" t="str">
        <f t="shared" si="34"/>
        <v>SainteLague</v>
      </c>
      <c r="U98">
        <f t="shared" si="36"/>
        <v>97</v>
      </c>
      <c r="V98">
        <f t="shared" si="35"/>
        <v>64002</v>
      </c>
      <c r="W98" s="8" t="str">
        <f>VLOOKUP(V98,'ideas-input'!$A:$B,2,FALSE)</f>
        <v>[SGC] - Lógica de aplicación de perfil tarifario a nuevos centros en SGC</v>
      </c>
      <c r="X98" t="str">
        <f t="shared" si="24"/>
        <v>CCO</v>
      </c>
      <c r="Y98" s="8" t="str">
        <f>VLOOKUP(V98,'ideas-input'!$A:$D,4,FALSE)</f>
        <v>eCommerce</v>
      </c>
      <c r="Z98" t="str">
        <f t="shared" si="25"/>
        <v>Commercial</v>
      </c>
      <c r="AA98" t="str">
        <f t="shared" si="26"/>
        <v>Pitch</v>
      </c>
      <c r="AB98">
        <f t="shared" si="27"/>
        <v>4</v>
      </c>
      <c r="AC98">
        <f t="shared" si="28"/>
        <v>0.03</v>
      </c>
      <c r="AD98">
        <f t="shared" si="29"/>
        <v>1</v>
      </c>
      <c r="AE98">
        <f t="shared" si="30"/>
        <v>1</v>
      </c>
      <c r="AF98">
        <f t="shared" si="31"/>
        <v>1</v>
      </c>
      <c r="AG98">
        <f t="shared" si="32"/>
        <v>100</v>
      </c>
    </row>
    <row r="99" spans="1:33" x14ac:dyDescent="0.2">
      <c r="A99" t="s">
        <v>127</v>
      </c>
      <c r="B99" t="s">
        <v>128</v>
      </c>
      <c r="C99">
        <v>98</v>
      </c>
      <c r="D99">
        <v>96332</v>
      </c>
      <c r="E99" t="s">
        <v>135</v>
      </c>
      <c r="F99" t="s">
        <v>9</v>
      </c>
      <c r="G99" t="s">
        <v>379</v>
      </c>
      <c r="H99" t="s">
        <v>8</v>
      </c>
      <c r="I99" t="s">
        <v>130</v>
      </c>
      <c r="J99">
        <v>4</v>
      </c>
      <c r="K99">
        <v>0.03</v>
      </c>
      <c r="L99">
        <v>1</v>
      </c>
      <c r="M99">
        <v>1</v>
      </c>
      <c r="N99">
        <v>1</v>
      </c>
      <c r="O99">
        <v>100</v>
      </c>
      <c r="P99" t="b">
        <f t="shared" si="19"/>
        <v>1</v>
      </c>
      <c r="S99" t="str">
        <f t="shared" si="33"/>
        <v>LATER</v>
      </c>
      <c r="T99" t="str">
        <f t="shared" si="34"/>
        <v>SainteLague</v>
      </c>
      <c r="U99">
        <f t="shared" si="36"/>
        <v>98</v>
      </c>
      <c r="V99">
        <f t="shared" si="35"/>
        <v>96332</v>
      </c>
      <c r="W99" s="8" t="str">
        <f>VLOOKUP(V99,'ideas-input'!$A:$B,2,FALSE)</f>
        <v>CCP | OTP | Rebuild application in the current tech stack</v>
      </c>
      <c r="X99" t="str">
        <f t="shared" si="24"/>
        <v>SI</v>
      </c>
      <c r="Y99" s="8" t="str">
        <f>VLOOKUP(V99,'ideas-input'!$A:$D,4,FALSE)</f>
        <v>eCommerce</v>
      </c>
      <c r="Z99" t="str">
        <f t="shared" si="25"/>
        <v>Technology</v>
      </c>
      <c r="AA99" t="str">
        <f t="shared" si="26"/>
        <v>High Level Design</v>
      </c>
      <c r="AB99">
        <f t="shared" si="27"/>
        <v>4</v>
      </c>
      <c r="AC99">
        <f t="shared" si="28"/>
        <v>0.03</v>
      </c>
      <c r="AD99">
        <f t="shared" si="29"/>
        <v>1</v>
      </c>
      <c r="AE99">
        <f t="shared" si="30"/>
        <v>1</v>
      </c>
      <c r="AF99">
        <f t="shared" si="31"/>
        <v>1</v>
      </c>
      <c r="AG99">
        <f t="shared" si="32"/>
        <v>100</v>
      </c>
    </row>
    <row r="100" spans="1:33" x14ac:dyDescent="0.2">
      <c r="A100" t="s">
        <v>127</v>
      </c>
      <c r="B100" t="s">
        <v>128</v>
      </c>
      <c r="C100">
        <v>99</v>
      </c>
      <c r="D100">
        <v>52442</v>
      </c>
      <c r="E100" t="s">
        <v>980</v>
      </c>
      <c r="F100" t="s">
        <v>64</v>
      </c>
      <c r="G100" t="s">
        <v>10</v>
      </c>
      <c r="H100" t="s">
        <v>6</v>
      </c>
      <c r="I100" t="s">
        <v>91</v>
      </c>
      <c r="J100">
        <v>14</v>
      </c>
      <c r="K100">
        <v>0.03</v>
      </c>
      <c r="L100">
        <v>1</v>
      </c>
      <c r="M100">
        <v>1</v>
      </c>
      <c r="N100">
        <v>1</v>
      </c>
      <c r="O100">
        <v>100</v>
      </c>
      <c r="P100" t="b">
        <f t="shared" si="19"/>
        <v>1</v>
      </c>
      <c r="S100" t="str">
        <f t="shared" si="33"/>
        <v>LATER</v>
      </c>
      <c r="T100" t="str">
        <f t="shared" si="34"/>
        <v>SainteLague</v>
      </c>
      <c r="U100">
        <f t="shared" si="36"/>
        <v>99</v>
      </c>
      <c r="V100">
        <f t="shared" si="35"/>
        <v>52442</v>
      </c>
      <c r="W100" s="8" t="str">
        <f>VLOOKUP(V100,'ideas-input'!$A:$B,2,FALSE)</f>
        <v>[Desconexión SGC] Cierre diario: Incidencias</v>
      </c>
      <c r="X100" t="str">
        <f t="shared" si="24"/>
        <v>COO</v>
      </c>
      <c r="Y100" s="8" t="str">
        <f>VLOOKUP(V100,'ideas-input'!$A:$D,4,FALSE)</f>
        <v>eCommerce</v>
      </c>
      <c r="Z100" t="str">
        <f t="shared" si="25"/>
        <v>Operations</v>
      </c>
      <c r="AA100" t="str">
        <f t="shared" si="26"/>
        <v>Backlog</v>
      </c>
      <c r="AB100">
        <f t="shared" si="27"/>
        <v>14</v>
      </c>
      <c r="AC100">
        <f t="shared" si="28"/>
        <v>0.03</v>
      </c>
      <c r="AD100">
        <f t="shared" si="29"/>
        <v>1</v>
      </c>
      <c r="AE100">
        <f t="shared" si="30"/>
        <v>1</v>
      </c>
      <c r="AF100">
        <f t="shared" si="31"/>
        <v>1</v>
      </c>
      <c r="AG100">
        <f t="shared" si="32"/>
        <v>100</v>
      </c>
    </row>
    <row r="101" spans="1:33" x14ac:dyDescent="0.2">
      <c r="A101" t="s">
        <v>127</v>
      </c>
      <c r="B101" t="s">
        <v>128</v>
      </c>
      <c r="C101">
        <v>100</v>
      </c>
      <c r="D101">
        <v>168516</v>
      </c>
      <c r="E101" t="s">
        <v>979</v>
      </c>
      <c r="F101" t="s">
        <v>24</v>
      </c>
      <c r="G101" t="s">
        <v>379</v>
      </c>
      <c r="H101" t="s">
        <v>5</v>
      </c>
      <c r="I101" t="s">
        <v>91</v>
      </c>
      <c r="J101">
        <v>1</v>
      </c>
      <c r="K101">
        <v>0.03</v>
      </c>
      <c r="L101">
        <v>1</v>
      </c>
      <c r="M101">
        <v>1</v>
      </c>
      <c r="N101">
        <v>1</v>
      </c>
      <c r="O101">
        <v>100</v>
      </c>
      <c r="P101" t="b">
        <f t="shared" si="19"/>
        <v>1</v>
      </c>
      <c r="S101" t="str">
        <f t="shared" si="33"/>
        <v>LATER</v>
      </c>
      <c r="T101" t="str">
        <f t="shared" si="34"/>
        <v>SainteLague</v>
      </c>
      <c r="U101">
        <f t="shared" si="36"/>
        <v>100</v>
      </c>
      <c r="V101">
        <f t="shared" si="35"/>
        <v>168516</v>
      </c>
      <c r="W101" s="8" t="str">
        <f>VLOOKUP(V101,'ideas-input'!$A:$B,2,FALSE)</f>
        <v>Geração de ficheiro excel com dados NEV</v>
      </c>
      <c r="X101" t="str">
        <f t="shared" si="24"/>
        <v>GPG</v>
      </c>
      <c r="Y101" s="8" t="str">
        <f>VLOOKUP(V101,'ideas-input'!$A:$D,4,FALSE)</f>
        <v>Payments</v>
      </c>
      <c r="Z101" t="str">
        <f t="shared" si="25"/>
        <v>Commercial</v>
      </c>
      <c r="AA101" t="str">
        <f t="shared" si="26"/>
        <v>Backlog</v>
      </c>
      <c r="AB101">
        <f t="shared" si="27"/>
        <v>1</v>
      </c>
      <c r="AC101">
        <f t="shared" si="28"/>
        <v>0.03</v>
      </c>
      <c r="AD101">
        <f t="shared" si="29"/>
        <v>1</v>
      </c>
      <c r="AE101">
        <f t="shared" si="30"/>
        <v>1</v>
      </c>
      <c r="AF101">
        <f t="shared" si="31"/>
        <v>1</v>
      </c>
      <c r="AG101">
        <f t="shared" si="32"/>
        <v>100</v>
      </c>
    </row>
    <row r="102" spans="1:33" x14ac:dyDescent="0.2">
      <c r="A102" t="s">
        <v>127</v>
      </c>
      <c r="B102" t="s">
        <v>128</v>
      </c>
      <c r="C102">
        <v>101</v>
      </c>
      <c r="D102">
        <v>43516</v>
      </c>
      <c r="E102" t="s">
        <v>154</v>
      </c>
      <c r="F102" t="s">
        <v>69</v>
      </c>
      <c r="G102" t="s">
        <v>10</v>
      </c>
      <c r="H102" t="s">
        <v>12</v>
      </c>
      <c r="I102" t="s">
        <v>91</v>
      </c>
      <c r="J102">
        <v>3</v>
      </c>
      <c r="K102">
        <v>0.03</v>
      </c>
      <c r="L102">
        <v>1</v>
      </c>
      <c r="M102">
        <v>1</v>
      </c>
      <c r="N102">
        <v>1</v>
      </c>
      <c r="O102">
        <v>100</v>
      </c>
      <c r="P102" t="b">
        <f t="shared" si="19"/>
        <v>1</v>
      </c>
      <c r="S102" t="str">
        <f t="shared" si="33"/>
        <v>LATER</v>
      </c>
      <c r="T102" t="str">
        <f t="shared" si="34"/>
        <v>SainteLague</v>
      </c>
      <c r="U102">
        <f t="shared" si="36"/>
        <v>101</v>
      </c>
      <c r="V102">
        <f t="shared" si="35"/>
        <v>43516</v>
      </c>
      <c r="W102" s="8" t="str">
        <f>VLOOKUP(V102,'ideas-input'!$A:$B,2,FALSE)</f>
        <v>[SAP] - Vincular Docuware a SAP</v>
      </c>
      <c r="X102" t="str">
        <f t="shared" si="24"/>
        <v>CFO</v>
      </c>
      <c r="Y102" s="8" t="str">
        <f>VLOOKUP(V102,'ideas-input'!$A:$D,4,FALSE)</f>
        <v>eCommerce</v>
      </c>
      <c r="Z102" t="str">
        <f t="shared" si="25"/>
        <v>Corporate</v>
      </c>
      <c r="AA102" t="str">
        <f t="shared" si="26"/>
        <v>Backlog</v>
      </c>
      <c r="AB102">
        <f t="shared" si="27"/>
        <v>3</v>
      </c>
      <c r="AC102">
        <f t="shared" si="28"/>
        <v>0.03</v>
      </c>
      <c r="AD102">
        <f t="shared" si="29"/>
        <v>1</v>
      </c>
      <c r="AE102">
        <f t="shared" si="30"/>
        <v>1</v>
      </c>
      <c r="AF102">
        <f t="shared" si="31"/>
        <v>1</v>
      </c>
      <c r="AG102">
        <f t="shared" si="32"/>
        <v>100</v>
      </c>
    </row>
    <row r="103" spans="1:33" x14ac:dyDescent="0.2">
      <c r="A103" t="s">
        <v>127</v>
      </c>
      <c r="B103" t="s">
        <v>128</v>
      </c>
      <c r="C103">
        <v>102</v>
      </c>
      <c r="D103">
        <v>78905</v>
      </c>
      <c r="E103" t="s">
        <v>981</v>
      </c>
      <c r="F103" t="s">
        <v>26</v>
      </c>
      <c r="G103" t="s">
        <v>379</v>
      </c>
      <c r="H103" t="s">
        <v>6</v>
      </c>
      <c r="I103" t="s">
        <v>91</v>
      </c>
      <c r="J103">
        <v>4</v>
      </c>
      <c r="K103">
        <v>0.03</v>
      </c>
      <c r="L103">
        <v>1</v>
      </c>
      <c r="M103">
        <v>1</v>
      </c>
      <c r="N103">
        <v>1</v>
      </c>
      <c r="O103">
        <v>100</v>
      </c>
      <c r="P103" t="b">
        <f t="shared" si="19"/>
        <v>1</v>
      </c>
      <c r="S103" t="str">
        <f t="shared" si="33"/>
        <v>LATER</v>
      </c>
      <c r="T103" t="str">
        <f t="shared" si="34"/>
        <v>SainteLague</v>
      </c>
      <c r="U103">
        <f t="shared" si="36"/>
        <v>102</v>
      </c>
      <c r="V103">
        <f t="shared" si="35"/>
        <v>78905</v>
      </c>
      <c r="W103" s="8" t="str">
        <f>VLOOKUP(V103,'ideas-input'!$A:$B,2,FALSE)</f>
        <v>Evolução Modelo de Incentivos Distribuição</v>
      </c>
      <c r="X103" t="str">
        <f t="shared" si="24"/>
        <v>SEO</v>
      </c>
      <c r="Y103" s="8" t="str">
        <f>VLOOKUP(V103,'ideas-input'!$A:$D,4,FALSE)</f>
        <v>Mail</v>
      </c>
      <c r="Z103" t="str">
        <f t="shared" si="25"/>
        <v>Operations</v>
      </c>
      <c r="AA103" t="str">
        <f t="shared" si="26"/>
        <v>Backlog</v>
      </c>
      <c r="AB103">
        <f t="shared" si="27"/>
        <v>4</v>
      </c>
      <c r="AC103">
        <f t="shared" si="28"/>
        <v>0.03</v>
      </c>
      <c r="AD103">
        <f t="shared" si="29"/>
        <v>1</v>
      </c>
      <c r="AE103">
        <f t="shared" si="30"/>
        <v>1</v>
      </c>
      <c r="AF103">
        <f t="shared" si="31"/>
        <v>1</v>
      </c>
      <c r="AG103">
        <f t="shared" si="32"/>
        <v>100</v>
      </c>
    </row>
    <row r="104" spans="1:33" x14ac:dyDescent="0.2">
      <c r="A104" t="s">
        <v>127</v>
      </c>
      <c r="B104" t="s">
        <v>128</v>
      </c>
      <c r="C104">
        <v>103</v>
      </c>
      <c r="D104">
        <v>61989</v>
      </c>
      <c r="E104" t="s">
        <v>972</v>
      </c>
      <c r="F104" t="s">
        <v>70</v>
      </c>
      <c r="G104" t="s">
        <v>10</v>
      </c>
      <c r="H104" t="s">
        <v>8</v>
      </c>
      <c r="I104" t="s">
        <v>91</v>
      </c>
      <c r="J104">
        <v>8</v>
      </c>
      <c r="K104">
        <v>0.03</v>
      </c>
      <c r="L104">
        <v>1</v>
      </c>
      <c r="M104">
        <v>1</v>
      </c>
      <c r="N104">
        <v>1</v>
      </c>
      <c r="O104">
        <v>100</v>
      </c>
      <c r="P104" t="b">
        <f t="shared" si="19"/>
        <v>1</v>
      </c>
      <c r="S104" t="str">
        <f t="shared" si="33"/>
        <v>LATER</v>
      </c>
      <c r="T104" t="str">
        <f t="shared" si="34"/>
        <v>SainteLague</v>
      </c>
      <c r="U104">
        <f t="shared" si="36"/>
        <v>103</v>
      </c>
      <c r="V104">
        <f t="shared" si="35"/>
        <v>61989</v>
      </c>
      <c r="W104" s="8" t="str">
        <f>VLOOKUP(V104,'ideas-input'!$A:$B,2,FALSE)</f>
        <v>Definición Arquitectura React Ibérico</v>
      </c>
      <c r="X104" t="str">
        <f t="shared" si="24"/>
        <v>CIO</v>
      </c>
      <c r="Y104" s="8" t="str">
        <f>VLOOKUP(V104,'ideas-input'!$A:$D,4,FALSE)</f>
        <v>eCommerce</v>
      </c>
      <c r="Z104" t="str">
        <f t="shared" si="25"/>
        <v>Technology</v>
      </c>
      <c r="AA104" t="str">
        <f t="shared" si="26"/>
        <v>Backlog</v>
      </c>
      <c r="AB104">
        <f t="shared" si="27"/>
        <v>8</v>
      </c>
      <c r="AC104">
        <f t="shared" si="28"/>
        <v>0.03</v>
      </c>
      <c r="AD104">
        <f t="shared" si="29"/>
        <v>1</v>
      </c>
      <c r="AE104">
        <f t="shared" si="30"/>
        <v>1</v>
      </c>
      <c r="AF104">
        <f t="shared" si="31"/>
        <v>1</v>
      </c>
      <c r="AG104">
        <f t="shared" si="32"/>
        <v>100</v>
      </c>
    </row>
    <row r="105" spans="1:33" x14ac:dyDescent="0.2">
      <c r="A105" t="s">
        <v>127</v>
      </c>
      <c r="B105" t="s">
        <v>128</v>
      </c>
      <c r="C105">
        <v>104</v>
      </c>
      <c r="D105">
        <v>126576</v>
      </c>
      <c r="E105" t="s">
        <v>952</v>
      </c>
      <c r="F105" t="s">
        <v>11</v>
      </c>
      <c r="G105" t="s">
        <v>379</v>
      </c>
      <c r="H105" t="s">
        <v>11</v>
      </c>
      <c r="I105" t="s">
        <v>91</v>
      </c>
      <c r="J105">
        <v>2</v>
      </c>
      <c r="K105">
        <v>0.03</v>
      </c>
      <c r="L105">
        <v>1</v>
      </c>
      <c r="M105">
        <v>1</v>
      </c>
      <c r="N105">
        <v>1</v>
      </c>
      <c r="O105">
        <v>100</v>
      </c>
      <c r="P105" t="b">
        <f t="shared" si="19"/>
        <v>1</v>
      </c>
      <c r="S105" t="str">
        <f t="shared" si="33"/>
        <v>LATER</v>
      </c>
      <c r="T105" t="str">
        <f t="shared" si="34"/>
        <v>SainteLague</v>
      </c>
      <c r="U105">
        <f t="shared" si="36"/>
        <v>104</v>
      </c>
      <c r="V105">
        <f t="shared" si="35"/>
        <v>126576</v>
      </c>
      <c r="W105" s="8" t="str">
        <f>VLOOKUP(V105,'ideas-input'!$A:$B,2,FALSE)</f>
        <v>Plano de formação (global e board)</v>
      </c>
      <c r="X105" t="str">
        <f t="shared" si="24"/>
        <v>CISO</v>
      </c>
      <c r="Y105" s="8" t="str">
        <f>VLOOKUP(V105,'ideas-input'!$A:$D,4,FALSE)</f>
        <v>Mail</v>
      </c>
      <c r="Z105" t="str">
        <f t="shared" si="25"/>
        <v>CISO</v>
      </c>
      <c r="AA105" t="str">
        <f t="shared" si="26"/>
        <v>Backlog</v>
      </c>
      <c r="AB105">
        <f t="shared" si="27"/>
        <v>2</v>
      </c>
      <c r="AC105">
        <f t="shared" si="28"/>
        <v>0.03</v>
      </c>
      <c r="AD105">
        <f t="shared" si="29"/>
        <v>1</v>
      </c>
      <c r="AE105">
        <f t="shared" si="30"/>
        <v>1</v>
      </c>
      <c r="AF105">
        <f t="shared" si="31"/>
        <v>1</v>
      </c>
      <c r="AG105">
        <f t="shared" si="32"/>
        <v>100</v>
      </c>
    </row>
    <row r="106" spans="1:33" x14ac:dyDescent="0.2">
      <c r="A106" t="s">
        <v>127</v>
      </c>
      <c r="B106" t="s">
        <v>128</v>
      </c>
      <c r="C106">
        <v>105</v>
      </c>
      <c r="D106">
        <v>60817</v>
      </c>
      <c r="E106" t="s">
        <v>986</v>
      </c>
      <c r="F106" t="s">
        <v>68</v>
      </c>
      <c r="G106" t="s">
        <v>10</v>
      </c>
      <c r="H106" t="s">
        <v>5</v>
      </c>
      <c r="I106" t="s">
        <v>95</v>
      </c>
      <c r="J106">
        <v>3</v>
      </c>
      <c r="K106">
        <v>0.03</v>
      </c>
      <c r="L106">
        <v>1</v>
      </c>
      <c r="M106">
        <v>1</v>
      </c>
      <c r="N106">
        <v>1</v>
      </c>
      <c r="O106">
        <v>100</v>
      </c>
      <c r="P106" t="b">
        <f t="shared" si="19"/>
        <v>1</v>
      </c>
      <c r="S106" t="str">
        <f t="shared" si="33"/>
        <v>LATER</v>
      </c>
      <c r="T106" t="str">
        <f t="shared" si="34"/>
        <v>SainteLague</v>
      </c>
      <c r="U106">
        <f t="shared" si="36"/>
        <v>105</v>
      </c>
      <c r="V106">
        <f t="shared" si="35"/>
        <v>60817</v>
      </c>
      <c r="W106" s="8" t="str">
        <f>VLOOKUP(V106,'ideas-input'!$A:$B,2,FALSE)</f>
        <v>Mejorar el algoritmo de aproximación de calculo de CP/Poblacion de manifiestos [Objetos con origen en España sin Cp7]</v>
      </c>
      <c r="X106" t="str">
        <f t="shared" si="24"/>
        <v>IDC</v>
      </c>
      <c r="Y106" s="8" t="str">
        <f>VLOOKUP(V106,'ideas-input'!$A:$D,4,FALSE)</f>
        <v>eCommerce</v>
      </c>
      <c r="Z106" t="str">
        <f t="shared" si="25"/>
        <v>Commercial</v>
      </c>
      <c r="AA106" t="str">
        <f t="shared" si="26"/>
        <v>In Definition</v>
      </c>
      <c r="AB106">
        <f t="shared" si="27"/>
        <v>3</v>
      </c>
      <c r="AC106">
        <f t="shared" si="28"/>
        <v>0.03</v>
      </c>
      <c r="AD106">
        <f t="shared" si="29"/>
        <v>1</v>
      </c>
      <c r="AE106">
        <f t="shared" si="30"/>
        <v>1</v>
      </c>
      <c r="AF106">
        <f t="shared" si="31"/>
        <v>1</v>
      </c>
      <c r="AG106">
        <f t="shared" si="32"/>
        <v>100</v>
      </c>
    </row>
    <row r="107" spans="1:33" x14ac:dyDescent="0.2">
      <c r="A107" t="s">
        <v>127</v>
      </c>
      <c r="B107" t="s">
        <v>128</v>
      </c>
      <c r="C107">
        <v>106</v>
      </c>
      <c r="D107">
        <v>55216</v>
      </c>
      <c r="E107" t="s">
        <v>148</v>
      </c>
      <c r="F107" t="s">
        <v>51</v>
      </c>
      <c r="G107" t="s">
        <v>379</v>
      </c>
      <c r="H107" t="s">
        <v>12</v>
      </c>
      <c r="I107" t="s">
        <v>95</v>
      </c>
      <c r="J107">
        <v>1</v>
      </c>
      <c r="K107">
        <v>0.03</v>
      </c>
      <c r="L107">
        <v>1</v>
      </c>
      <c r="M107">
        <v>1</v>
      </c>
      <c r="N107">
        <v>1</v>
      </c>
      <c r="O107">
        <v>100</v>
      </c>
      <c r="P107" t="b">
        <f t="shared" si="19"/>
        <v>1</v>
      </c>
      <c r="S107" t="str">
        <f t="shared" si="33"/>
        <v>LATER</v>
      </c>
      <c r="T107" t="str">
        <f t="shared" si="34"/>
        <v>SainteLague</v>
      </c>
      <c r="U107">
        <f t="shared" si="36"/>
        <v>106</v>
      </c>
      <c r="V107">
        <f t="shared" si="35"/>
        <v>55216</v>
      </c>
      <c r="W107" s="8" t="str">
        <f>VLOOKUP(V107,'ideas-input'!$A:$B,2,FALSE)</f>
        <v>ESG - Incremento 1</v>
      </c>
      <c r="X107" t="str">
        <f t="shared" si="24"/>
        <v>ST</v>
      </c>
      <c r="Y107" s="8" t="str">
        <f>VLOOKUP(V107,'ideas-input'!$A:$D,4,FALSE)</f>
        <v>Mail</v>
      </c>
      <c r="Z107" t="str">
        <f t="shared" si="25"/>
        <v>Corporate</v>
      </c>
      <c r="AA107" t="str">
        <f t="shared" si="26"/>
        <v>In Definition</v>
      </c>
      <c r="AB107">
        <f t="shared" si="27"/>
        <v>1</v>
      </c>
      <c r="AC107">
        <f t="shared" si="28"/>
        <v>0.03</v>
      </c>
      <c r="AD107">
        <f t="shared" si="29"/>
        <v>1</v>
      </c>
      <c r="AE107">
        <f t="shared" si="30"/>
        <v>1</v>
      </c>
      <c r="AF107">
        <f t="shared" si="31"/>
        <v>1</v>
      </c>
      <c r="AG107">
        <f t="shared" si="32"/>
        <v>100</v>
      </c>
    </row>
    <row r="108" spans="1:33" x14ac:dyDescent="0.2">
      <c r="A108" t="s">
        <v>127</v>
      </c>
      <c r="B108" t="s">
        <v>128</v>
      </c>
      <c r="C108">
        <v>107</v>
      </c>
      <c r="D108">
        <v>50818</v>
      </c>
      <c r="E108" t="s">
        <v>988</v>
      </c>
      <c r="F108" t="s">
        <v>64</v>
      </c>
      <c r="G108" t="s">
        <v>10</v>
      </c>
      <c r="H108" t="s">
        <v>6</v>
      </c>
      <c r="I108" t="s">
        <v>95</v>
      </c>
      <c r="J108">
        <v>15</v>
      </c>
      <c r="K108">
        <v>0.03</v>
      </c>
      <c r="L108">
        <v>1</v>
      </c>
      <c r="M108">
        <v>1</v>
      </c>
      <c r="N108">
        <v>1</v>
      </c>
      <c r="O108">
        <v>100</v>
      </c>
      <c r="P108" t="b">
        <f t="shared" si="19"/>
        <v>1</v>
      </c>
      <c r="S108" t="str">
        <f t="shared" si="33"/>
        <v>LATER</v>
      </c>
      <c r="T108" t="str">
        <f t="shared" si="34"/>
        <v>SainteLague</v>
      </c>
      <c r="U108">
        <f t="shared" si="36"/>
        <v>107</v>
      </c>
      <c r="V108">
        <f t="shared" si="35"/>
        <v>50818</v>
      </c>
      <c r="W108" s="8" t="str">
        <f>VLOOKUP(V108,'ideas-input'!$A:$B,2,FALSE)</f>
        <v>[Desconexión SGC] Gestión de Incidencias y Soluciones</v>
      </c>
      <c r="X108" t="str">
        <f t="shared" si="24"/>
        <v>COO</v>
      </c>
      <c r="Y108" s="8" t="str">
        <f>VLOOKUP(V108,'ideas-input'!$A:$D,4,FALSE)</f>
        <v>eCommerce</v>
      </c>
      <c r="Z108" t="str">
        <f t="shared" si="25"/>
        <v>Operations</v>
      </c>
      <c r="AA108" t="str">
        <f t="shared" si="26"/>
        <v>In Definition</v>
      </c>
      <c r="AB108">
        <f t="shared" si="27"/>
        <v>15</v>
      </c>
      <c r="AC108">
        <f t="shared" si="28"/>
        <v>0.03</v>
      </c>
      <c r="AD108">
        <f t="shared" si="29"/>
        <v>1</v>
      </c>
      <c r="AE108">
        <f t="shared" si="30"/>
        <v>1</v>
      </c>
      <c r="AF108">
        <f t="shared" si="31"/>
        <v>1</v>
      </c>
      <c r="AG108">
        <f t="shared" si="32"/>
        <v>100</v>
      </c>
    </row>
    <row r="109" spans="1:33" x14ac:dyDescent="0.2">
      <c r="A109" t="s">
        <v>127</v>
      </c>
      <c r="B109" t="s">
        <v>128</v>
      </c>
      <c r="C109">
        <v>108</v>
      </c>
      <c r="D109">
        <v>141295</v>
      </c>
      <c r="E109" t="s">
        <v>1667</v>
      </c>
      <c r="F109" t="s">
        <v>34</v>
      </c>
      <c r="G109" t="s">
        <v>379</v>
      </c>
      <c r="H109" t="s">
        <v>8</v>
      </c>
      <c r="I109" t="s">
        <v>91</v>
      </c>
      <c r="J109">
        <v>2</v>
      </c>
      <c r="K109">
        <v>0.03</v>
      </c>
      <c r="L109">
        <v>1</v>
      </c>
      <c r="M109">
        <v>1</v>
      </c>
      <c r="N109">
        <v>1</v>
      </c>
      <c r="O109">
        <v>100</v>
      </c>
      <c r="P109" t="b">
        <f t="shared" si="19"/>
        <v>1</v>
      </c>
      <c r="S109" t="str">
        <f t="shared" si="33"/>
        <v>LATER</v>
      </c>
      <c r="T109" t="str">
        <f t="shared" si="34"/>
        <v>SainteLague</v>
      </c>
      <c r="U109">
        <f t="shared" si="36"/>
        <v>108</v>
      </c>
      <c r="V109">
        <f t="shared" si="35"/>
        <v>141295</v>
      </c>
      <c r="W109" s="8" t="str">
        <f>VLOOKUP(V109,'ideas-input'!$A:$B,2,FALSE)</f>
        <v>BCTT Mudança de datacenter Kyndryl</v>
      </c>
      <c r="X109" t="str">
        <f t="shared" si="24"/>
        <v>BCTT</v>
      </c>
      <c r="Y109" s="8" t="str">
        <f>VLOOKUP(V109,'ideas-input'!$A:$D,4,FALSE)</f>
        <v>Mail</v>
      </c>
      <c r="Z109" t="str">
        <f t="shared" si="25"/>
        <v>Technology</v>
      </c>
      <c r="AA109" t="str">
        <f t="shared" si="26"/>
        <v>Backlog</v>
      </c>
      <c r="AB109">
        <f t="shared" si="27"/>
        <v>2</v>
      </c>
      <c r="AC109">
        <f t="shared" si="28"/>
        <v>0.03</v>
      </c>
      <c r="AD109">
        <f t="shared" si="29"/>
        <v>1</v>
      </c>
      <c r="AE109">
        <f t="shared" si="30"/>
        <v>1</v>
      </c>
      <c r="AF109">
        <f t="shared" si="31"/>
        <v>1</v>
      </c>
      <c r="AG109">
        <f t="shared" si="32"/>
        <v>100</v>
      </c>
    </row>
    <row r="110" spans="1:33" x14ac:dyDescent="0.2">
      <c r="A110" t="s">
        <v>127</v>
      </c>
      <c r="B110" t="s">
        <v>128</v>
      </c>
      <c r="C110">
        <v>109</v>
      </c>
      <c r="D110">
        <v>49095</v>
      </c>
      <c r="E110" t="s">
        <v>990</v>
      </c>
      <c r="F110" t="s">
        <v>67</v>
      </c>
      <c r="G110" t="s">
        <v>10</v>
      </c>
      <c r="H110" t="s">
        <v>12</v>
      </c>
      <c r="I110" t="s">
        <v>136</v>
      </c>
      <c r="J110">
        <v>5</v>
      </c>
      <c r="K110">
        <v>0.03</v>
      </c>
      <c r="L110">
        <v>1</v>
      </c>
      <c r="M110">
        <v>1</v>
      </c>
      <c r="N110">
        <v>1</v>
      </c>
      <c r="O110">
        <v>100</v>
      </c>
      <c r="P110" t="b">
        <f t="shared" si="19"/>
        <v>1</v>
      </c>
      <c r="S110" t="str">
        <f t="shared" si="33"/>
        <v>LATER</v>
      </c>
      <c r="T110" t="str">
        <f t="shared" si="34"/>
        <v>SainteLague</v>
      </c>
      <c r="U110">
        <f t="shared" si="36"/>
        <v>109</v>
      </c>
      <c r="V110">
        <f t="shared" si="35"/>
        <v>49095</v>
      </c>
      <c r="W110" s="8" t="str">
        <f>VLOOKUP(V110,'ideas-input'!$A:$B,2,FALSE)</f>
        <v>[Desconexión SGC] [Salesforce Service] - Creación de flujos de trabajo entre Salesforce-Service y Nexia</v>
      </c>
      <c r="X110" t="str">
        <f t="shared" si="24"/>
        <v>ATC</v>
      </c>
      <c r="Y110" s="8" t="str">
        <f>VLOOKUP(V110,'ideas-input'!$A:$D,4,FALSE)</f>
        <v>eCommerce</v>
      </c>
      <c r="Z110" t="str">
        <f t="shared" si="25"/>
        <v>Corporate</v>
      </c>
      <c r="AA110" t="str">
        <f t="shared" si="26"/>
        <v>In Solution</v>
      </c>
      <c r="AB110">
        <f t="shared" si="27"/>
        <v>5</v>
      </c>
      <c r="AC110">
        <f t="shared" si="28"/>
        <v>0.03</v>
      </c>
      <c r="AD110">
        <f t="shared" si="29"/>
        <v>1</v>
      </c>
      <c r="AE110">
        <f t="shared" si="30"/>
        <v>1</v>
      </c>
      <c r="AF110">
        <f t="shared" si="31"/>
        <v>1</v>
      </c>
      <c r="AG110">
        <f t="shared" si="32"/>
        <v>100</v>
      </c>
    </row>
    <row r="111" spans="1:33" x14ac:dyDescent="0.2">
      <c r="A111" t="s">
        <v>127</v>
      </c>
      <c r="B111" t="s">
        <v>128</v>
      </c>
      <c r="C111">
        <v>110</v>
      </c>
      <c r="D111">
        <v>134997</v>
      </c>
      <c r="E111" t="s">
        <v>987</v>
      </c>
      <c r="F111" t="s">
        <v>21</v>
      </c>
      <c r="G111" t="s">
        <v>379</v>
      </c>
      <c r="H111" t="s">
        <v>5</v>
      </c>
      <c r="I111" t="s">
        <v>95</v>
      </c>
      <c r="J111">
        <v>2</v>
      </c>
      <c r="K111">
        <v>0.03</v>
      </c>
      <c r="L111">
        <v>1</v>
      </c>
      <c r="M111">
        <v>1</v>
      </c>
      <c r="N111">
        <v>1</v>
      </c>
      <c r="O111">
        <v>100</v>
      </c>
      <c r="P111" t="b">
        <f t="shared" si="19"/>
        <v>1</v>
      </c>
      <c r="S111" t="str">
        <f t="shared" si="33"/>
        <v>LATER</v>
      </c>
      <c r="T111" t="str">
        <f t="shared" si="34"/>
        <v>SainteLague</v>
      </c>
      <c r="U111">
        <f t="shared" si="36"/>
        <v>110</v>
      </c>
      <c r="V111">
        <f t="shared" si="35"/>
        <v>134997</v>
      </c>
      <c r="W111" s="8" t="str">
        <f>VLOOKUP(V111,'ideas-input'!$A:$B,2,FALSE)</f>
        <v>Correio Inteligente - Alarmística</v>
      </c>
      <c r="X111" t="str">
        <f t="shared" si="24"/>
        <v>GP B2B</v>
      </c>
      <c r="Y111" s="8" t="str">
        <f>VLOOKUP(V111,'ideas-input'!$A:$D,4,FALSE)</f>
        <v>Business Solutions</v>
      </c>
      <c r="Z111" t="str">
        <f t="shared" si="25"/>
        <v>Commercial</v>
      </c>
      <c r="AA111" t="str">
        <f t="shared" si="26"/>
        <v>In Definition</v>
      </c>
      <c r="AB111">
        <f t="shared" si="27"/>
        <v>2</v>
      </c>
      <c r="AC111">
        <f t="shared" si="28"/>
        <v>0.03</v>
      </c>
      <c r="AD111">
        <f t="shared" si="29"/>
        <v>1</v>
      </c>
      <c r="AE111">
        <f t="shared" si="30"/>
        <v>1</v>
      </c>
      <c r="AF111">
        <f t="shared" si="31"/>
        <v>1</v>
      </c>
      <c r="AG111">
        <f t="shared" si="32"/>
        <v>100</v>
      </c>
    </row>
    <row r="112" spans="1:33" x14ac:dyDescent="0.2">
      <c r="A112" t="s">
        <v>127</v>
      </c>
      <c r="B112" t="s">
        <v>128</v>
      </c>
      <c r="C112">
        <v>111</v>
      </c>
      <c r="D112">
        <v>61990</v>
      </c>
      <c r="E112" t="s">
        <v>977</v>
      </c>
      <c r="F112" t="s">
        <v>70</v>
      </c>
      <c r="G112" t="s">
        <v>10</v>
      </c>
      <c r="H112" t="s">
        <v>8</v>
      </c>
      <c r="I112" t="s">
        <v>91</v>
      </c>
      <c r="J112">
        <v>9</v>
      </c>
      <c r="K112">
        <v>0.03</v>
      </c>
      <c r="L112">
        <v>1</v>
      </c>
      <c r="M112">
        <v>1</v>
      </c>
      <c r="N112">
        <v>1</v>
      </c>
      <c r="O112">
        <v>100</v>
      </c>
      <c r="P112" t="b">
        <f t="shared" si="19"/>
        <v>1</v>
      </c>
      <c r="S112" t="str">
        <f t="shared" si="33"/>
        <v>LATER</v>
      </c>
      <c r="T112" t="str">
        <f t="shared" si="34"/>
        <v>SainteLague</v>
      </c>
      <c r="U112">
        <f t="shared" si="36"/>
        <v>111</v>
      </c>
      <c r="V112">
        <f t="shared" si="35"/>
        <v>61990</v>
      </c>
      <c r="W112" s="8" t="str">
        <f>VLOOKUP(V112,'ideas-input'!$A:$B,2,FALSE)</f>
        <v>Definición Arquitectura Kotlin Ibérico</v>
      </c>
      <c r="X112" t="str">
        <f t="shared" si="24"/>
        <v>CIO</v>
      </c>
      <c r="Y112" s="8" t="str">
        <f>VLOOKUP(V112,'ideas-input'!$A:$D,4,FALSE)</f>
        <v>eCommerce</v>
      </c>
      <c r="Z112" t="str">
        <f t="shared" si="25"/>
        <v>Technology</v>
      </c>
      <c r="AA112" t="str">
        <f t="shared" si="26"/>
        <v>Backlog</v>
      </c>
      <c r="AB112">
        <f t="shared" si="27"/>
        <v>9</v>
      </c>
      <c r="AC112">
        <f t="shared" si="28"/>
        <v>0.03</v>
      </c>
      <c r="AD112">
        <f t="shared" si="29"/>
        <v>1</v>
      </c>
      <c r="AE112">
        <f t="shared" si="30"/>
        <v>1</v>
      </c>
      <c r="AF112">
        <f t="shared" si="31"/>
        <v>1</v>
      </c>
      <c r="AG112">
        <f t="shared" si="32"/>
        <v>100</v>
      </c>
    </row>
    <row r="113" spans="1:33" x14ac:dyDescent="0.2">
      <c r="A113" t="s">
        <v>127</v>
      </c>
      <c r="B113" t="s">
        <v>128</v>
      </c>
      <c r="C113">
        <v>112</v>
      </c>
      <c r="D113">
        <v>136984</v>
      </c>
      <c r="E113" t="s">
        <v>974</v>
      </c>
      <c r="F113" t="s">
        <v>7</v>
      </c>
      <c r="G113" t="s">
        <v>379</v>
      </c>
      <c r="H113" t="s">
        <v>6</v>
      </c>
      <c r="I113" t="s">
        <v>91</v>
      </c>
      <c r="J113">
        <v>4</v>
      </c>
      <c r="K113">
        <v>0.03</v>
      </c>
      <c r="L113">
        <v>1</v>
      </c>
      <c r="M113">
        <v>1</v>
      </c>
      <c r="N113">
        <v>1</v>
      </c>
      <c r="O113">
        <v>100</v>
      </c>
      <c r="P113" t="b">
        <f t="shared" si="19"/>
        <v>1</v>
      </c>
      <c r="S113" t="str">
        <f t="shared" si="33"/>
        <v>LATER</v>
      </c>
      <c r="T113" t="str">
        <f t="shared" si="34"/>
        <v>SainteLague</v>
      </c>
      <c r="U113">
        <f t="shared" si="36"/>
        <v>112</v>
      </c>
      <c r="V113">
        <f t="shared" si="35"/>
        <v>136984</v>
      </c>
      <c r="W113" s="8" t="str">
        <f>VLOOKUP(V113,'ideas-input'!$A:$B,2,FALSE)</f>
        <v>DSD | Atualizar a Informação Ficha de Registo - Sistema Solistic</v>
      </c>
      <c r="X113" t="str">
        <f t="shared" si="24"/>
        <v>EDO</v>
      </c>
      <c r="Y113" s="8" t="str">
        <f>VLOOKUP(V113,'ideas-input'!$A:$D,4,FALSE)</f>
        <v>Mail</v>
      </c>
      <c r="Z113" t="str">
        <f t="shared" si="25"/>
        <v>Operations</v>
      </c>
      <c r="AA113" t="str">
        <f t="shared" si="26"/>
        <v>Backlog</v>
      </c>
      <c r="AB113">
        <f t="shared" si="27"/>
        <v>4</v>
      </c>
      <c r="AC113">
        <f t="shared" si="28"/>
        <v>0.03</v>
      </c>
      <c r="AD113">
        <f t="shared" si="29"/>
        <v>1</v>
      </c>
      <c r="AE113">
        <f t="shared" si="30"/>
        <v>1</v>
      </c>
      <c r="AF113">
        <f t="shared" si="31"/>
        <v>1</v>
      </c>
      <c r="AG113">
        <f t="shared" si="32"/>
        <v>100</v>
      </c>
    </row>
    <row r="114" spans="1:33" x14ac:dyDescent="0.2">
      <c r="A114" t="s">
        <v>127</v>
      </c>
      <c r="B114" t="s">
        <v>128</v>
      </c>
      <c r="C114">
        <v>113</v>
      </c>
      <c r="D114">
        <v>138308</v>
      </c>
      <c r="E114" t="s">
        <v>933</v>
      </c>
      <c r="F114" t="s">
        <v>65</v>
      </c>
      <c r="G114" t="s">
        <v>10</v>
      </c>
      <c r="H114" t="s">
        <v>5</v>
      </c>
      <c r="I114" t="s">
        <v>136</v>
      </c>
      <c r="J114">
        <v>10</v>
      </c>
      <c r="K114">
        <v>0.03</v>
      </c>
      <c r="L114">
        <v>1</v>
      </c>
      <c r="M114">
        <v>1</v>
      </c>
      <c r="N114">
        <v>1</v>
      </c>
      <c r="O114">
        <v>100</v>
      </c>
      <c r="P114" t="b">
        <f t="shared" si="19"/>
        <v>1</v>
      </c>
      <c r="S114" t="str">
        <f t="shared" si="33"/>
        <v>LATER</v>
      </c>
      <c r="T114" t="str">
        <f t="shared" si="34"/>
        <v>SainteLague</v>
      </c>
      <c r="U114">
        <f t="shared" si="36"/>
        <v>113</v>
      </c>
      <c r="V114">
        <f t="shared" si="35"/>
        <v>138308</v>
      </c>
      <c r="W114" s="8" t="str">
        <f>VLOOKUP(V114,'ideas-input'!$A:$B,2,FALSE)</f>
        <v>[Notificaciones] -Fake Delivery - Actualización de campos de PDA y notificación de entrega</v>
      </c>
      <c r="X114" t="str">
        <f t="shared" si="24"/>
        <v>CMO</v>
      </c>
      <c r="Y114" s="8" t="str">
        <f>VLOOKUP(V114,'ideas-input'!$A:$D,4,FALSE)</f>
        <v>eCommerce</v>
      </c>
      <c r="Z114" t="str">
        <f t="shared" si="25"/>
        <v>Commercial</v>
      </c>
      <c r="AA114" t="str">
        <f t="shared" si="26"/>
        <v>In Solution</v>
      </c>
      <c r="AB114">
        <f t="shared" si="27"/>
        <v>10</v>
      </c>
      <c r="AC114">
        <f t="shared" si="28"/>
        <v>0.03</v>
      </c>
      <c r="AD114">
        <f t="shared" si="29"/>
        <v>1</v>
      </c>
      <c r="AE114">
        <f t="shared" si="30"/>
        <v>1</v>
      </c>
      <c r="AF114">
        <f t="shared" si="31"/>
        <v>1</v>
      </c>
      <c r="AG114">
        <f t="shared" si="32"/>
        <v>100</v>
      </c>
    </row>
    <row r="115" spans="1:33" x14ac:dyDescent="0.2">
      <c r="A115" t="s">
        <v>127</v>
      </c>
      <c r="B115" t="s">
        <v>128</v>
      </c>
      <c r="C115">
        <v>114</v>
      </c>
      <c r="D115">
        <v>109623</v>
      </c>
      <c r="E115" t="s">
        <v>983</v>
      </c>
      <c r="F115" t="s">
        <v>53</v>
      </c>
      <c r="G115" t="s">
        <v>379</v>
      </c>
      <c r="H115" t="s">
        <v>12</v>
      </c>
      <c r="I115" t="s">
        <v>130</v>
      </c>
      <c r="J115">
        <v>1</v>
      </c>
      <c r="K115">
        <v>0.03</v>
      </c>
      <c r="L115">
        <v>1</v>
      </c>
      <c r="M115">
        <v>1</v>
      </c>
      <c r="N115">
        <v>1</v>
      </c>
      <c r="O115">
        <v>100</v>
      </c>
      <c r="P115" t="b">
        <f t="shared" si="19"/>
        <v>1</v>
      </c>
      <c r="S115" t="str">
        <f t="shared" si="33"/>
        <v>LATER</v>
      </c>
      <c r="T115" t="str">
        <f t="shared" si="34"/>
        <v>SainteLague</v>
      </c>
      <c r="U115">
        <f t="shared" si="36"/>
        <v>114</v>
      </c>
      <c r="V115">
        <f t="shared" si="35"/>
        <v>109623</v>
      </c>
      <c r="W115" s="8" t="str">
        <f>VLOOKUP(V115,'ideas-input'!$A:$B,2,FALSE)</f>
        <v>e-SIGN: Nova solução de assinatura digital CTT</v>
      </c>
      <c r="X115" t="str">
        <f t="shared" si="24"/>
        <v>TF</v>
      </c>
      <c r="Y115" s="8" t="str">
        <f>VLOOKUP(V115,'ideas-input'!$A:$D,4,FALSE)</f>
        <v>Mail</v>
      </c>
      <c r="Z115" t="str">
        <f t="shared" si="25"/>
        <v>Corporate</v>
      </c>
      <c r="AA115" t="str">
        <f t="shared" si="26"/>
        <v>High Level Design</v>
      </c>
      <c r="AB115">
        <f t="shared" si="27"/>
        <v>1</v>
      </c>
      <c r="AC115">
        <f t="shared" si="28"/>
        <v>0.03</v>
      </c>
      <c r="AD115">
        <f t="shared" si="29"/>
        <v>1</v>
      </c>
      <c r="AE115">
        <f t="shared" si="30"/>
        <v>1</v>
      </c>
      <c r="AF115">
        <f t="shared" si="31"/>
        <v>1</v>
      </c>
      <c r="AG115">
        <f t="shared" si="32"/>
        <v>100</v>
      </c>
    </row>
    <row r="116" spans="1:33" x14ac:dyDescent="0.2">
      <c r="A116" t="s">
        <v>127</v>
      </c>
      <c r="B116" t="s">
        <v>128</v>
      </c>
      <c r="C116">
        <v>115</v>
      </c>
      <c r="D116">
        <v>65859</v>
      </c>
      <c r="E116" t="s">
        <v>994</v>
      </c>
      <c r="F116" t="s">
        <v>64</v>
      </c>
      <c r="G116" t="s">
        <v>10</v>
      </c>
      <c r="H116" t="s">
        <v>6</v>
      </c>
      <c r="I116" t="s">
        <v>91</v>
      </c>
      <c r="J116">
        <v>16</v>
      </c>
      <c r="K116">
        <v>0.03</v>
      </c>
      <c r="L116">
        <v>1</v>
      </c>
      <c r="M116">
        <v>1</v>
      </c>
      <c r="N116">
        <v>1</v>
      </c>
      <c r="O116">
        <v>100</v>
      </c>
      <c r="P116" t="b">
        <f t="shared" si="19"/>
        <v>1</v>
      </c>
      <c r="S116" t="str">
        <f t="shared" si="33"/>
        <v>LATER</v>
      </c>
      <c r="T116" t="str">
        <f t="shared" si="34"/>
        <v>SainteLague</v>
      </c>
      <c r="U116">
        <f t="shared" si="36"/>
        <v>115</v>
      </c>
      <c r="V116">
        <f t="shared" si="35"/>
        <v>65859</v>
      </c>
      <c r="W116" s="8" t="str">
        <f>VLOOKUP(V116,'ideas-input'!$A:$B,2,FALSE)</f>
        <v>[Desconexión SGC]: Creación y mantenimiento de CO's</v>
      </c>
      <c r="X116" t="str">
        <f t="shared" si="24"/>
        <v>COO</v>
      </c>
      <c r="Y116" s="8" t="str">
        <f>VLOOKUP(V116,'ideas-input'!$A:$D,4,FALSE)</f>
        <v>eCommerce</v>
      </c>
      <c r="Z116" t="str">
        <f t="shared" si="25"/>
        <v>Operations</v>
      </c>
      <c r="AA116" t="str">
        <f t="shared" si="26"/>
        <v>Backlog</v>
      </c>
      <c r="AB116">
        <f t="shared" si="27"/>
        <v>16</v>
      </c>
      <c r="AC116">
        <f t="shared" si="28"/>
        <v>0.03</v>
      </c>
      <c r="AD116">
        <f t="shared" si="29"/>
        <v>1</v>
      </c>
      <c r="AE116">
        <f t="shared" si="30"/>
        <v>1</v>
      </c>
      <c r="AF116">
        <f t="shared" si="31"/>
        <v>1</v>
      </c>
      <c r="AG116">
        <f t="shared" si="32"/>
        <v>100</v>
      </c>
    </row>
    <row r="117" spans="1:33" x14ac:dyDescent="0.2">
      <c r="A117" t="s">
        <v>127</v>
      </c>
      <c r="B117" t="s">
        <v>128</v>
      </c>
      <c r="C117">
        <v>116</v>
      </c>
      <c r="D117">
        <v>125919</v>
      </c>
      <c r="E117" t="s">
        <v>985</v>
      </c>
      <c r="F117" t="s">
        <v>58</v>
      </c>
      <c r="G117" t="s">
        <v>379</v>
      </c>
      <c r="H117" t="s">
        <v>8</v>
      </c>
      <c r="I117" t="s">
        <v>91</v>
      </c>
      <c r="J117">
        <v>2</v>
      </c>
      <c r="K117">
        <v>0.03</v>
      </c>
      <c r="L117">
        <v>1</v>
      </c>
      <c r="M117">
        <v>1</v>
      </c>
      <c r="N117">
        <v>1</v>
      </c>
      <c r="O117">
        <v>100</v>
      </c>
      <c r="P117" t="b">
        <f t="shared" si="19"/>
        <v>1</v>
      </c>
      <c r="S117" t="str">
        <f t="shared" si="33"/>
        <v>LATER</v>
      </c>
      <c r="T117" t="str">
        <f t="shared" si="34"/>
        <v>SainteLague</v>
      </c>
      <c r="U117">
        <f t="shared" si="36"/>
        <v>116</v>
      </c>
      <c r="V117">
        <f t="shared" si="35"/>
        <v>125919</v>
      </c>
      <c r="W117" s="8" t="str">
        <f>VLOOKUP(V117,'ideas-input'!$A:$B,2,FALSE)</f>
        <v>Criação de chatbot no portal ctt expresso</v>
      </c>
      <c r="X117" t="str">
        <f t="shared" si="24"/>
        <v>SI-PRD</v>
      </c>
      <c r="Y117" s="8" t="str">
        <f>VLOOKUP(V117,'ideas-input'!$A:$D,4,FALSE)</f>
        <v>eCommerce</v>
      </c>
      <c r="Z117" t="str">
        <f t="shared" si="25"/>
        <v>Technology</v>
      </c>
      <c r="AA117" t="str">
        <f t="shared" si="26"/>
        <v>Backlog</v>
      </c>
      <c r="AB117">
        <f t="shared" si="27"/>
        <v>2</v>
      </c>
      <c r="AC117">
        <f t="shared" si="28"/>
        <v>0.03</v>
      </c>
      <c r="AD117">
        <f t="shared" si="29"/>
        <v>1</v>
      </c>
      <c r="AE117">
        <f t="shared" si="30"/>
        <v>1</v>
      </c>
      <c r="AF117">
        <f t="shared" si="31"/>
        <v>1</v>
      </c>
      <c r="AG117">
        <f t="shared" si="32"/>
        <v>100</v>
      </c>
    </row>
    <row r="118" spans="1:33" x14ac:dyDescent="0.2">
      <c r="A118" t="s">
        <v>127</v>
      </c>
      <c r="B118" t="s">
        <v>128</v>
      </c>
      <c r="C118">
        <v>117</v>
      </c>
      <c r="D118">
        <v>62945</v>
      </c>
      <c r="E118" t="s">
        <v>999</v>
      </c>
      <c r="F118" t="s">
        <v>66</v>
      </c>
      <c r="G118" t="s">
        <v>10</v>
      </c>
      <c r="H118" t="s">
        <v>5</v>
      </c>
      <c r="I118" t="s">
        <v>95</v>
      </c>
      <c r="J118">
        <v>5</v>
      </c>
      <c r="K118">
        <v>0.03</v>
      </c>
      <c r="L118">
        <v>1</v>
      </c>
      <c r="M118">
        <v>1</v>
      </c>
      <c r="N118">
        <v>1</v>
      </c>
      <c r="O118">
        <v>100</v>
      </c>
      <c r="P118" t="b">
        <f t="shared" si="19"/>
        <v>1</v>
      </c>
      <c r="S118" t="str">
        <f t="shared" si="33"/>
        <v>LATER</v>
      </c>
      <c r="T118" t="str">
        <f t="shared" si="34"/>
        <v>SainteLague</v>
      </c>
      <c r="U118">
        <f t="shared" si="36"/>
        <v>117</v>
      </c>
      <c r="V118">
        <f t="shared" si="35"/>
        <v>62945</v>
      </c>
      <c r="W118" s="8" t="str">
        <f>VLOOKUP(V118,'ideas-input'!$A:$B,2,FALSE)</f>
        <v>[Integración de Clientes] Tik Tok - Bloqueo del dato publicado de peso y medidas después del estado definitivo.</v>
      </c>
      <c r="X118" t="str">
        <f t="shared" si="24"/>
        <v>CCO</v>
      </c>
      <c r="Y118" s="8" t="str">
        <f>VLOOKUP(V118,'ideas-input'!$A:$D,4,FALSE)</f>
        <v>eCommerce</v>
      </c>
      <c r="Z118" t="str">
        <f t="shared" si="25"/>
        <v>Commercial</v>
      </c>
      <c r="AA118" t="str">
        <f t="shared" si="26"/>
        <v>In Definition</v>
      </c>
      <c r="AB118">
        <f t="shared" si="27"/>
        <v>5</v>
      </c>
      <c r="AC118">
        <f t="shared" si="28"/>
        <v>0.03</v>
      </c>
      <c r="AD118">
        <f t="shared" si="29"/>
        <v>1</v>
      </c>
      <c r="AE118">
        <f t="shared" si="30"/>
        <v>1</v>
      </c>
      <c r="AF118">
        <f t="shared" si="31"/>
        <v>1</v>
      </c>
      <c r="AG118">
        <f t="shared" si="32"/>
        <v>100</v>
      </c>
    </row>
    <row r="119" spans="1:33" x14ac:dyDescent="0.2">
      <c r="A119" t="s">
        <v>127</v>
      </c>
      <c r="B119" t="s">
        <v>128</v>
      </c>
      <c r="C119">
        <v>118</v>
      </c>
      <c r="D119">
        <v>139707</v>
      </c>
      <c r="E119" t="s">
        <v>995</v>
      </c>
      <c r="F119" t="s">
        <v>23</v>
      </c>
      <c r="G119" t="s">
        <v>379</v>
      </c>
      <c r="H119" t="s">
        <v>5</v>
      </c>
      <c r="I119" t="s">
        <v>91</v>
      </c>
      <c r="J119">
        <v>2</v>
      </c>
      <c r="K119">
        <v>0.03</v>
      </c>
      <c r="L119">
        <v>1</v>
      </c>
      <c r="M119">
        <v>1</v>
      </c>
      <c r="N119">
        <v>1</v>
      </c>
      <c r="O119">
        <v>100</v>
      </c>
      <c r="P119" t="b">
        <f t="shared" si="19"/>
        <v>1</v>
      </c>
      <c r="S119" t="str">
        <f t="shared" si="33"/>
        <v>LATER</v>
      </c>
      <c r="T119" t="str">
        <f t="shared" si="34"/>
        <v>SainteLague</v>
      </c>
      <c r="U119">
        <f t="shared" si="36"/>
        <v>118</v>
      </c>
      <c r="V119">
        <f t="shared" si="35"/>
        <v>139707</v>
      </c>
      <c r="W119" s="8" t="str">
        <f>VLOOKUP(V119,'ideas-input'!$A:$B,2,FALSE)</f>
        <v>[NEXUS][PT]- PRODUCTO CARGA</v>
      </c>
      <c r="X119" t="str">
        <f t="shared" si="24"/>
        <v>GP ECL</v>
      </c>
      <c r="Y119" s="8" t="str">
        <f>VLOOKUP(V119,'ideas-input'!$A:$D,4,FALSE)</f>
        <v>eCommerce</v>
      </c>
      <c r="Z119" t="str">
        <f t="shared" si="25"/>
        <v>Commercial</v>
      </c>
      <c r="AA119" t="str">
        <f t="shared" si="26"/>
        <v>Backlog</v>
      </c>
      <c r="AB119">
        <f t="shared" si="27"/>
        <v>2</v>
      </c>
      <c r="AC119">
        <f t="shared" si="28"/>
        <v>0.03</v>
      </c>
      <c r="AD119">
        <f t="shared" si="29"/>
        <v>1</v>
      </c>
      <c r="AE119">
        <f t="shared" si="30"/>
        <v>1</v>
      </c>
      <c r="AF119">
        <f t="shared" si="31"/>
        <v>1</v>
      </c>
      <c r="AG119">
        <f t="shared" si="32"/>
        <v>100</v>
      </c>
    </row>
    <row r="120" spans="1:33" x14ac:dyDescent="0.2">
      <c r="A120" t="s">
        <v>127</v>
      </c>
      <c r="B120" t="s">
        <v>128</v>
      </c>
      <c r="C120">
        <v>119</v>
      </c>
      <c r="D120">
        <v>65860</v>
      </c>
      <c r="E120" t="s">
        <v>1001</v>
      </c>
      <c r="F120" t="s">
        <v>64</v>
      </c>
      <c r="G120" t="s">
        <v>10</v>
      </c>
      <c r="H120" t="s">
        <v>6</v>
      </c>
      <c r="I120" t="s">
        <v>91</v>
      </c>
      <c r="J120">
        <v>17</v>
      </c>
      <c r="K120">
        <v>0.03</v>
      </c>
      <c r="L120">
        <v>1</v>
      </c>
      <c r="M120">
        <v>1</v>
      </c>
      <c r="N120">
        <v>1</v>
      </c>
      <c r="O120">
        <v>100</v>
      </c>
      <c r="P120" t="b">
        <f t="shared" si="19"/>
        <v>1</v>
      </c>
      <c r="S120" t="str">
        <f t="shared" si="33"/>
        <v>LATER</v>
      </c>
      <c r="T120" t="str">
        <f t="shared" si="34"/>
        <v>SainteLague</v>
      </c>
      <c r="U120">
        <f t="shared" si="36"/>
        <v>119</v>
      </c>
      <c r="V120">
        <f t="shared" si="35"/>
        <v>65860</v>
      </c>
      <c r="W120" s="8" t="str">
        <f>VLOOKUP(V120,'ideas-input'!$A:$B,2,FALSE)</f>
        <v>[Desconexión SGC]: Brokers y Franquicias: grabación de envíos con/sin entrega</v>
      </c>
      <c r="X120" t="str">
        <f t="shared" si="24"/>
        <v>COO</v>
      </c>
      <c r="Y120" s="8" t="str">
        <f>VLOOKUP(V120,'ideas-input'!$A:$D,4,FALSE)</f>
        <v>eCommerce</v>
      </c>
      <c r="Z120" t="str">
        <f t="shared" si="25"/>
        <v>Operations</v>
      </c>
      <c r="AA120" t="str">
        <f t="shared" si="26"/>
        <v>Backlog</v>
      </c>
      <c r="AB120">
        <f t="shared" si="27"/>
        <v>17</v>
      </c>
      <c r="AC120">
        <f t="shared" si="28"/>
        <v>0.03</v>
      </c>
      <c r="AD120">
        <f t="shared" si="29"/>
        <v>1</v>
      </c>
      <c r="AE120">
        <f t="shared" si="30"/>
        <v>1</v>
      </c>
      <c r="AF120">
        <f t="shared" si="31"/>
        <v>1</v>
      </c>
      <c r="AG120">
        <f t="shared" si="32"/>
        <v>100</v>
      </c>
    </row>
    <row r="121" spans="1:33" x14ac:dyDescent="0.2">
      <c r="A121" t="s">
        <v>127</v>
      </c>
      <c r="B121" t="s">
        <v>128</v>
      </c>
      <c r="C121">
        <v>120</v>
      </c>
      <c r="D121">
        <v>126423</v>
      </c>
      <c r="E121" t="s">
        <v>1668</v>
      </c>
      <c r="F121" t="s">
        <v>26</v>
      </c>
      <c r="G121" t="s">
        <v>379</v>
      </c>
      <c r="H121" t="s">
        <v>6</v>
      </c>
      <c r="I121" t="s">
        <v>94</v>
      </c>
      <c r="J121">
        <v>5</v>
      </c>
      <c r="K121">
        <v>2.3330000000000002</v>
      </c>
      <c r="L121">
        <v>3</v>
      </c>
      <c r="M121">
        <v>2</v>
      </c>
      <c r="N121">
        <v>2</v>
      </c>
      <c r="O121">
        <v>3</v>
      </c>
      <c r="P121" t="b">
        <f t="shared" si="19"/>
        <v>1</v>
      </c>
      <c r="S121" t="str">
        <f t="shared" si="33"/>
        <v>LATER</v>
      </c>
      <c r="T121" t="str">
        <f t="shared" si="34"/>
        <v>SainteLague</v>
      </c>
      <c r="U121">
        <f t="shared" si="36"/>
        <v>120</v>
      </c>
      <c r="V121">
        <f t="shared" si="35"/>
        <v>126423</v>
      </c>
      <c r="W121" s="8" t="str">
        <f>VLOOKUP(V121,'ideas-input'!$A:$B,2,FALSE)</f>
        <v>INTERNACIONAL | IPS  Instalar a versão do package #31 (technical version 13.1.31)</v>
      </c>
      <c r="X121" t="str">
        <f t="shared" si="24"/>
        <v>SEO</v>
      </c>
      <c r="Y121" s="8" t="str">
        <f>VLOOKUP(V121,'ideas-input'!$A:$D,4,FALSE)</f>
        <v>Mail</v>
      </c>
      <c r="Z121" t="str">
        <f t="shared" si="25"/>
        <v>Operations</v>
      </c>
      <c r="AA121" t="str">
        <f t="shared" si="26"/>
        <v>In Approval</v>
      </c>
      <c r="AB121">
        <f t="shared" si="27"/>
        <v>5</v>
      </c>
      <c r="AC121">
        <f t="shared" si="28"/>
        <v>2.3330000000000002</v>
      </c>
      <c r="AD121">
        <f t="shared" si="29"/>
        <v>3</v>
      </c>
      <c r="AE121">
        <f t="shared" si="30"/>
        <v>2</v>
      </c>
      <c r="AF121">
        <f t="shared" si="31"/>
        <v>2</v>
      </c>
      <c r="AG121">
        <f t="shared" si="32"/>
        <v>3</v>
      </c>
    </row>
    <row r="122" spans="1:33" x14ac:dyDescent="0.2">
      <c r="A122" t="s">
        <v>127</v>
      </c>
      <c r="B122" t="s">
        <v>128</v>
      </c>
      <c r="C122">
        <v>121</v>
      </c>
      <c r="D122">
        <v>134702</v>
      </c>
      <c r="E122" t="s">
        <v>996</v>
      </c>
      <c r="F122" t="s">
        <v>69</v>
      </c>
      <c r="G122" t="s">
        <v>10</v>
      </c>
      <c r="H122" t="s">
        <v>12</v>
      </c>
      <c r="I122" t="s">
        <v>136</v>
      </c>
      <c r="J122">
        <v>4</v>
      </c>
      <c r="K122">
        <v>0.03</v>
      </c>
      <c r="L122">
        <v>1</v>
      </c>
      <c r="M122">
        <v>1</v>
      </c>
      <c r="N122">
        <v>1</v>
      </c>
      <c r="O122">
        <v>100</v>
      </c>
      <c r="P122" t="b">
        <f t="shared" si="19"/>
        <v>1</v>
      </c>
      <c r="S122" t="str">
        <f t="shared" si="33"/>
        <v>LATER</v>
      </c>
      <c r="T122" t="str">
        <f t="shared" si="34"/>
        <v>SainteLague</v>
      </c>
      <c r="U122">
        <f t="shared" si="36"/>
        <v>121</v>
      </c>
      <c r="V122">
        <f t="shared" si="35"/>
        <v>134702</v>
      </c>
      <c r="W122" s="8" t="str">
        <f>VLOOKUP(V122,'ideas-input'!$A:$B,2,FALSE)</f>
        <v>P&amp;L Ibérica e información de gestión</v>
      </c>
      <c r="X122" t="str">
        <f t="shared" si="24"/>
        <v>CFO</v>
      </c>
      <c r="Y122" s="8" t="str">
        <f>VLOOKUP(V122,'ideas-input'!$A:$D,4,FALSE)</f>
        <v>eCommerce</v>
      </c>
      <c r="Z122" t="str">
        <f t="shared" si="25"/>
        <v>Corporate</v>
      </c>
      <c r="AA122" t="str">
        <f t="shared" si="26"/>
        <v>In Solution</v>
      </c>
      <c r="AB122">
        <f t="shared" si="27"/>
        <v>4</v>
      </c>
      <c r="AC122">
        <f t="shared" si="28"/>
        <v>0.03</v>
      </c>
      <c r="AD122">
        <f t="shared" si="29"/>
        <v>1</v>
      </c>
      <c r="AE122">
        <f t="shared" si="30"/>
        <v>1</v>
      </c>
      <c r="AF122">
        <f t="shared" si="31"/>
        <v>1</v>
      </c>
      <c r="AG122">
        <f t="shared" si="32"/>
        <v>100</v>
      </c>
    </row>
    <row r="123" spans="1:33" x14ac:dyDescent="0.2">
      <c r="A123" t="s">
        <v>127</v>
      </c>
      <c r="B123" t="s">
        <v>128</v>
      </c>
      <c r="C123">
        <v>122</v>
      </c>
      <c r="D123">
        <v>126044</v>
      </c>
      <c r="E123" t="s">
        <v>176</v>
      </c>
      <c r="F123" t="s">
        <v>36</v>
      </c>
      <c r="G123" t="s">
        <v>379</v>
      </c>
      <c r="H123" t="s">
        <v>5</v>
      </c>
      <c r="I123" t="s">
        <v>95</v>
      </c>
      <c r="J123">
        <v>2</v>
      </c>
      <c r="K123">
        <v>0.03</v>
      </c>
      <c r="L123">
        <v>1</v>
      </c>
      <c r="M123">
        <v>1</v>
      </c>
      <c r="N123">
        <v>1</v>
      </c>
      <c r="O123">
        <v>100</v>
      </c>
      <c r="P123" t="b">
        <f t="shared" si="19"/>
        <v>1</v>
      </c>
      <c r="S123" t="str">
        <f t="shared" si="33"/>
        <v>LATER</v>
      </c>
      <c r="T123" t="str">
        <f t="shared" si="34"/>
        <v>SainteLague</v>
      </c>
      <c r="U123">
        <f t="shared" si="36"/>
        <v>122</v>
      </c>
      <c r="V123">
        <f t="shared" si="35"/>
        <v>126044</v>
      </c>
      <c r="W123" s="8" t="str">
        <f>VLOOKUP(V123,'ideas-input'!$A:$B,2,FALSE)</f>
        <v>Pesquisa de Pontos Collect | Melhorias</v>
      </c>
      <c r="X123" t="str">
        <f t="shared" si="24"/>
        <v>DNI</v>
      </c>
      <c r="Y123" s="8" t="str">
        <f>VLOOKUP(V123,'ideas-input'!$A:$D,4,FALSE)</f>
        <v>eCommerce</v>
      </c>
      <c r="Z123" t="str">
        <f t="shared" si="25"/>
        <v>Commercial</v>
      </c>
      <c r="AA123" t="str">
        <f t="shared" si="26"/>
        <v>In Definition</v>
      </c>
      <c r="AB123">
        <f t="shared" si="27"/>
        <v>2</v>
      </c>
      <c r="AC123">
        <f t="shared" si="28"/>
        <v>0.03</v>
      </c>
      <c r="AD123">
        <f t="shared" si="29"/>
        <v>1</v>
      </c>
      <c r="AE123">
        <f t="shared" si="30"/>
        <v>1</v>
      </c>
      <c r="AF123">
        <f t="shared" si="31"/>
        <v>1</v>
      </c>
      <c r="AG123">
        <f t="shared" si="32"/>
        <v>100</v>
      </c>
    </row>
    <row r="124" spans="1:33" x14ac:dyDescent="0.2">
      <c r="A124" t="s">
        <v>127</v>
      </c>
      <c r="B124" t="s">
        <v>128</v>
      </c>
      <c r="C124">
        <v>123</v>
      </c>
      <c r="D124">
        <v>59457</v>
      </c>
      <c r="E124" t="s">
        <v>984</v>
      </c>
      <c r="F124" t="s">
        <v>70</v>
      </c>
      <c r="G124" t="s">
        <v>10</v>
      </c>
      <c r="H124" t="s">
        <v>8</v>
      </c>
      <c r="I124" t="s">
        <v>95</v>
      </c>
      <c r="J124">
        <v>10</v>
      </c>
      <c r="K124">
        <v>0.03</v>
      </c>
      <c r="L124">
        <v>1</v>
      </c>
      <c r="M124">
        <v>1</v>
      </c>
      <c r="N124">
        <v>1</v>
      </c>
      <c r="O124">
        <v>100</v>
      </c>
      <c r="P124" t="b">
        <f t="shared" si="19"/>
        <v>1</v>
      </c>
      <c r="S124" t="str">
        <f t="shared" si="33"/>
        <v>LATER</v>
      </c>
      <c r="T124" t="str">
        <f t="shared" si="34"/>
        <v>SainteLague</v>
      </c>
      <c r="U124">
        <f t="shared" si="36"/>
        <v>123</v>
      </c>
      <c r="V124">
        <f t="shared" si="35"/>
        <v>59457</v>
      </c>
      <c r="W124" s="8" t="str">
        <f>VLOOKUP(V124,'ideas-input'!$A:$B,2,FALSE)</f>
        <v>Creación de interfaz en nexia para crear incidencias</v>
      </c>
      <c r="X124" t="str">
        <f t="shared" si="24"/>
        <v>CIO</v>
      </c>
      <c r="Y124" s="8" t="str">
        <f>VLOOKUP(V124,'ideas-input'!$A:$D,4,FALSE)</f>
        <v>eCommerce</v>
      </c>
      <c r="Z124" t="str">
        <f t="shared" si="25"/>
        <v>Technology</v>
      </c>
      <c r="AA124" t="str">
        <f t="shared" si="26"/>
        <v>In Definition</v>
      </c>
      <c r="AB124">
        <f t="shared" si="27"/>
        <v>10</v>
      </c>
      <c r="AC124">
        <f t="shared" si="28"/>
        <v>0.03</v>
      </c>
      <c r="AD124">
        <f t="shared" si="29"/>
        <v>1</v>
      </c>
      <c r="AE124">
        <f t="shared" si="30"/>
        <v>1</v>
      </c>
      <c r="AF124">
        <f t="shared" si="31"/>
        <v>1</v>
      </c>
      <c r="AG124">
        <f t="shared" si="32"/>
        <v>100</v>
      </c>
    </row>
    <row r="125" spans="1:33" x14ac:dyDescent="0.2">
      <c r="A125" t="s">
        <v>127</v>
      </c>
      <c r="B125" t="s">
        <v>128</v>
      </c>
      <c r="C125">
        <v>124</v>
      </c>
      <c r="D125">
        <v>136987</v>
      </c>
      <c r="E125" t="s">
        <v>989</v>
      </c>
      <c r="F125" t="s">
        <v>7</v>
      </c>
      <c r="G125" t="s">
        <v>379</v>
      </c>
      <c r="H125" t="s">
        <v>6</v>
      </c>
      <c r="I125" t="s">
        <v>91</v>
      </c>
      <c r="J125">
        <v>5</v>
      </c>
      <c r="K125">
        <v>0.03</v>
      </c>
      <c r="L125">
        <v>1</v>
      </c>
      <c r="M125">
        <v>1</v>
      </c>
      <c r="N125">
        <v>1</v>
      </c>
      <c r="O125">
        <v>100</v>
      </c>
      <c r="P125" t="b">
        <f t="shared" si="19"/>
        <v>1</v>
      </c>
      <c r="S125" t="str">
        <f t="shared" si="33"/>
        <v>LATER</v>
      </c>
      <c r="T125" t="str">
        <f t="shared" si="34"/>
        <v>SainteLague</v>
      </c>
      <c r="U125">
        <f t="shared" si="36"/>
        <v>124</v>
      </c>
      <c r="V125">
        <f t="shared" si="35"/>
        <v>136987</v>
      </c>
      <c r="W125" s="8" t="str">
        <f>VLOOKUP(V125,'ideas-input'!$A:$B,2,FALSE)</f>
        <v>DSD | Leitura do Correio Azul e Registado no Mobi</v>
      </c>
      <c r="X125" t="str">
        <f t="shared" si="24"/>
        <v>EDO</v>
      </c>
      <c r="Y125" s="8" t="str">
        <f>VLOOKUP(V125,'ideas-input'!$A:$D,4,FALSE)</f>
        <v>Mail</v>
      </c>
      <c r="Z125" t="str">
        <f t="shared" si="25"/>
        <v>Operations</v>
      </c>
      <c r="AA125" t="str">
        <f t="shared" si="26"/>
        <v>Backlog</v>
      </c>
      <c r="AB125">
        <f t="shared" si="27"/>
        <v>5</v>
      </c>
      <c r="AC125">
        <f t="shared" si="28"/>
        <v>0.03</v>
      </c>
      <c r="AD125">
        <f t="shared" si="29"/>
        <v>1</v>
      </c>
      <c r="AE125">
        <f t="shared" si="30"/>
        <v>1</v>
      </c>
      <c r="AF125">
        <f t="shared" si="31"/>
        <v>1</v>
      </c>
      <c r="AG125">
        <f t="shared" si="32"/>
        <v>100</v>
      </c>
    </row>
    <row r="126" spans="1:33" x14ac:dyDescent="0.2">
      <c r="A126" t="s">
        <v>127</v>
      </c>
      <c r="B126" t="s">
        <v>128</v>
      </c>
      <c r="C126">
        <v>125</v>
      </c>
      <c r="D126">
        <v>54189</v>
      </c>
      <c r="E126" t="s">
        <v>1005</v>
      </c>
      <c r="F126" t="s">
        <v>68</v>
      </c>
      <c r="G126" t="s">
        <v>10</v>
      </c>
      <c r="H126" t="s">
        <v>5</v>
      </c>
      <c r="I126" t="s">
        <v>95</v>
      </c>
      <c r="J126">
        <v>4</v>
      </c>
      <c r="K126">
        <v>0.03</v>
      </c>
      <c r="L126">
        <v>1</v>
      </c>
      <c r="M126">
        <v>1</v>
      </c>
      <c r="N126">
        <v>1</v>
      </c>
      <c r="O126">
        <v>100</v>
      </c>
      <c r="P126" t="b">
        <f t="shared" si="19"/>
        <v>1</v>
      </c>
      <c r="S126" t="str">
        <f t="shared" si="33"/>
        <v>LATER</v>
      </c>
      <c r="T126" t="str">
        <f t="shared" si="34"/>
        <v>SainteLague</v>
      </c>
      <c r="U126">
        <f t="shared" si="36"/>
        <v>125</v>
      </c>
      <c r="V126">
        <f t="shared" si="35"/>
        <v>54189</v>
      </c>
      <c r="W126" s="8" t="str">
        <f>VLOOKUP(V126,'ideas-input'!$A:$B,2,FALSE)</f>
        <v>Migración a Cloud ficheros IDL e Inditex</v>
      </c>
      <c r="X126" t="str">
        <f t="shared" si="24"/>
        <v>IDC</v>
      </c>
      <c r="Y126" s="8" t="str">
        <f>VLOOKUP(V126,'ideas-input'!$A:$D,4,FALSE)</f>
        <v>eCommerce</v>
      </c>
      <c r="Z126" t="str">
        <f t="shared" si="25"/>
        <v>Commercial</v>
      </c>
      <c r="AA126" t="str">
        <f t="shared" si="26"/>
        <v>In Definition</v>
      </c>
      <c r="AB126">
        <f t="shared" si="27"/>
        <v>4</v>
      </c>
      <c r="AC126">
        <f t="shared" si="28"/>
        <v>0.03</v>
      </c>
      <c r="AD126">
        <f t="shared" si="29"/>
        <v>1</v>
      </c>
      <c r="AE126">
        <f t="shared" si="30"/>
        <v>1</v>
      </c>
      <c r="AF126">
        <f t="shared" si="31"/>
        <v>1</v>
      </c>
      <c r="AG126">
        <f t="shared" si="32"/>
        <v>100</v>
      </c>
    </row>
    <row r="127" spans="1:33" x14ac:dyDescent="0.2">
      <c r="A127" t="s">
        <v>127</v>
      </c>
      <c r="B127" t="s">
        <v>128</v>
      </c>
      <c r="C127">
        <v>126</v>
      </c>
      <c r="D127">
        <v>126641</v>
      </c>
      <c r="E127" t="s">
        <v>155</v>
      </c>
      <c r="F127" t="s">
        <v>22</v>
      </c>
      <c r="G127" t="s">
        <v>379</v>
      </c>
      <c r="H127" t="s">
        <v>12</v>
      </c>
      <c r="I127" t="s">
        <v>97</v>
      </c>
      <c r="J127">
        <v>2</v>
      </c>
      <c r="K127">
        <v>4</v>
      </c>
      <c r="L127">
        <v>4</v>
      </c>
      <c r="M127">
        <v>2</v>
      </c>
      <c r="N127">
        <v>2</v>
      </c>
      <c r="O127">
        <v>2</v>
      </c>
      <c r="P127" t="b">
        <f t="shared" si="19"/>
        <v>1</v>
      </c>
      <c r="S127" t="str">
        <f t="shared" si="33"/>
        <v>LATER</v>
      </c>
      <c r="T127" t="str">
        <f t="shared" si="34"/>
        <v>SainteLague</v>
      </c>
      <c r="U127">
        <f t="shared" si="36"/>
        <v>126</v>
      </c>
      <c r="V127">
        <f t="shared" si="35"/>
        <v>126641</v>
      </c>
      <c r="W127" s="8" t="str">
        <f>VLOOKUP(V127,'ideas-input'!$A:$B,2,FALSE)</f>
        <v>GENAI-NBanks</v>
      </c>
      <c r="X127" t="str">
        <f t="shared" si="24"/>
        <v>CF</v>
      </c>
      <c r="Y127" s="8" t="str">
        <f>VLOOKUP(V127,'ideas-input'!$A:$D,4,FALSE)</f>
        <v>Mail</v>
      </c>
      <c r="Z127" t="str">
        <f t="shared" si="25"/>
        <v>Corporate</v>
      </c>
      <c r="AA127" t="str">
        <f t="shared" si="26"/>
        <v>Ready for Solution</v>
      </c>
      <c r="AB127">
        <f t="shared" si="27"/>
        <v>2</v>
      </c>
      <c r="AC127">
        <f t="shared" si="28"/>
        <v>4</v>
      </c>
      <c r="AD127">
        <f t="shared" si="29"/>
        <v>4</v>
      </c>
      <c r="AE127">
        <f t="shared" si="30"/>
        <v>2</v>
      </c>
      <c r="AF127">
        <f t="shared" si="31"/>
        <v>2</v>
      </c>
      <c r="AG127">
        <f t="shared" si="32"/>
        <v>2</v>
      </c>
    </row>
    <row r="128" spans="1:33" x14ac:dyDescent="0.2">
      <c r="A128" t="s">
        <v>127</v>
      </c>
      <c r="B128" t="s">
        <v>128</v>
      </c>
      <c r="C128">
        <v>127</v>
      </c>
      <c r="D128">
        <v>65858</v>
      </c>
      <c r="E128" t="s">
        <v>1006</v>
      </c>
      <c r="F128" t="s">
        <v>64</v>
      </c>
      <c r="G128" t="s">
        <v>10</v>
      </c>
      <c r="H128" t="s">
        <v>6</v>
      </c>
      <c r="I128" t="s">
        <v>91</v>
      </c>
      <c r="J128">
        <v>18</v>
      </c>
      <c r="K128">
        <v>0.03</v>
      </c>
      <c r="L128">
        <v>1</v>
      </c>
      <c r="M128">
        <v>1</v>
      </c>
      <c r="N128">
        <v>1</v>
      </c>
      <c r="O128">
        <v>100</v>
      </c>
      <c r="P128" t="b">
        <f t="shared" si="19"/>
        <v>1</v>
      </c>
      <c r="S128" t="str">
        <f t="shared" si="33"/>
        <v>LATER</v>
      </c>
      <c r="T128" t="str">
        <f t="shared" si="34"/>
        <v>SainteLague</v>
      </c>
      <c r="U128">
        <f t="shared" si="36"/>
        <v>127</v>
      </c>
      <c r="V128">
        <f t="shared" si="35"/>
        <v>65858</v>
      </c>
      <c r="W128" s="8" t="str">
        <f>VLOOKUP(V128,'ideas-input'!$A:$B,2,FALSE)</f>
        <v>[Desconexión SGC]: Canarias</v>
      </c>
      <c r="X128" t="str">
        <f t="shared" si="24"/>
        <v>COO</v>
      </c>
      <c r="Y128" s="8" t="str">
        <f>VLOOKUP(V128,'ideas-input'!$A:$D,4,FALSE)</f>
        <v>eCommerce</v>
      </c>
      <c r="Z128" t="str">
        <f t="shared" si="25"/>
        <v>Operations</v>
      </c>
      <c r="AA128" t="str">
        <f t="shared" si="26"/>
        <v>Backlog</v>
      </c>
      <c r="AB128">
        <f t="shared" si="27"/>
        <v>18</v>
      </c>
      <c r="AC128">
        <f t="shared" si="28"/>
        <v>0.03</v>
      </c>
      <c r="AD128">
        <f t="shared" si="29"/>
        <v>1</v>
      </c>
      <c r="AE128">
        <f t="shared" si="30"/>
        <v>1</v>
      </c>
      <c r="AF128">
        <f t="shared" si="31"/>
        <v>1</v>
      </c>
      <c r="AG128">
        <f t="shared" si="32"/>
        <v>100</v>
      </c>
    </row>
    <row r="129" spans="1:33" x14ac:dyDescent="0.2">
      <c r="A129" t="s">
        <v>127</v>
      </c>
      <c r="B129" t="s">
        <v>128</v>
      </c>
      <c r="C129">
        <v>128</v>
      </c>
      <c r="D129">
        <v>139342</v>
      </c>
      <c r="E129" t="s">
        <v>992</v>
      </c>
      <c r="F129" t="s">
        <v>59</v>
      </c>
      <c r="G129" t="s">
        <v>379</v>
      </c>
      <c r="H129" t="s">
        <v>8</v>
      </c>
      <c r="I129" t="s">
        <v>97</v>
      </c>
      <c r="J129">
        <v>4</v>
      </c>
      <c r="K129">
        <v>3.3330000000000002</v>
      </c>
      <c r="L129">
        <v>4</v>
      </c>
      <c r="M129">
        <v>3</v>
      </c>
      <c r="N129">
        <v>3</v>
      </c>
      <c r="O129">
        <v>3</v>
      </c>
      <c r="P129" t="b">
        <f t="shared" si="19"/>
        <v>1</v>
      </c>
      <c r="S129" t="str">
        <f t="shared" si="33"/>
        <v>LATER</v>
      </c>
      <c r="T129" t="str">
        <f t="shared" si="34"/>
        <v>SainteLague</v>
      </c>
      <c r="U129">
        <f t="shared" si="36"/>
        <v>128</v>
      </c>
      <c r="V129">
        <f t="shared" si="35"/>
        <v>139342</v>
      </c>
      <c r="W129" s="8" t="str">
        <f>VLOOKUP(V129,'ideas-input'!$A:$B,2,FALSE)</f>
        <v>SLA - Migração para GitHub</v>
      </c>
      <c r="X129" t="str">
        <f t="shared" si="24"/>
        <v>SI-OPS</v>
      </c>
      <c r="Y129" s="8" t="str">
        <f>VLOOKUP(V129,'ideas-input'!$A:$D,4,FALSE)</f>
        <v>Mail</v>
      </c>
      <c r="Z129" t="str">
        <f t="shared" si="25"/>
        <v>Technology</v>
      </c>
      <c r="AA129" t="str">
        <f t="shared" si="26"/>
        <v>Ready for Solution</v>
      </c>
      <c r="AB129">
        <f t="shared" si="27"/>
        <v>4</v>
      </c>
      <c r="AC129">
        <f t="shared" si="28"/>
        <v>3.3330000000000002</v>
      </c>
      <c r="AD129">
        <f t="shared" si="29"/>
        <v>4</v>
      </c>
      <c r="AE129">
        <f t="shared" si="30"/>
        <v>3</v>
      </c>
      <c r="AF129">
        <f t="shared" si="31"/>
        <v>3</v>
      </c>
      <c r="AG129">
        <f t="shared" si="32"/>
        <v>3</v>
      </c>
    </row>
    <row r="130" spans="1:33" x14ac:dyDescent="0.2">
      <c r="A130" t="s">
        <v>127</v>
      </c>
      <c r="B130" t="s">
        <v>128</v>
      </c>
      <c r="C130">
        <v>129</v>
      </c>
      <c r="D130">
        <v>59553</v>
      </c>
      <c r="E130" t="s">
        <v>963</v>
      </c>
      <c r="F130" t="s">
        <v>73</v>
      </c>
      <c r="G130" t="s">
        <v>10</v>
      </c>
      <c r="H130" t="s">
        <v>12</v>
      </c>
      <c r="I130" t="s">
        <v>91</v>
      </c>
      <c r="J130">
        <v>1</v>
      </c>
      <c r="K130">
        <v>0.03</v>
      </c>
      <c r="L130">
        <v>1</v>
      </c>
      <c r="M130">
        <v>1</v>
      </c>
      <c r="N130">
        <v>1</v>
      </c>
      <c r="O130">
        <v>100</v>
      </c>
      <c r="P130" t="b">
        <f t="shared" ref="P130:P193" si="37">AND(C130&lt;$Q$1,IF(ISBLANK(C130),0,C130)&gt;0)</f>
        <v>1</v>
      </c>
      <c r="S130" t="str">
        <f t="shared" si="33"/>
        <v>LATER</v>
      </c>
      <c r="T130" t="str">
        <f t="shared" si="34"/>
        <v>SainteLague</v>
      </c>
      <c r="U130">
        <f t="shared" si="36"/>
        <v>129</v>
      </c>
      <c r="V130">
        <f t="shared" si="35"/>
        <v>59553</v>
      </c>
      <c r="W130" s="8" t="str">
        <f>VLOOKUP(V130,'ideas-input'!$A:$B,2,FALSE)</f>
        <v>Cuadro de mando reputación CTT</v>
      </c>
      <c r="X130" t="str">
        <f t="shared" ref="X130:X193" si="38">F130</f>
        <v>COM</v>
      </c>
      <c r="Y130" s="8" t="str">
        <f>VLOOKUP(V130,'ideas-input'!$A:$D,4,FALSE)</f>
        <v>eCommerce</v>
      </c>
      <c r="Z130" t="str">
        <f t="shared" ref="Z130:Z193" si="39">H130</f>
        <v>Corporate</v>
      </c>
      <c r="AA130" t="str">
        <f t="shared" ref="AA130:AA193" si="40">I130</f>
        <v>Backlog</v>
      </c>
      <c r="AB130">
        <f t="shared" ref="AB130:AB193" si="41">J130</f>
        <v>1</v>
      </c>
      <c r="AC130">
        <f t="shared" ref="AC130:AC193" si="42">K130</f>
        <v>0.03</v>
      </c>
      <c r="AD130">
        <f t="shared" ref="AD130:AD193" si="43">L130</f>
        <v>1</v>
      </c>
      <c r="AE130">
        <f t="shared" ref="AE130:AE193" si="44">M130</f>
        <v>1</v>
      </c>
      <c r="AF130">
        <f t="shared" ref="AF130:AF193" si="45">N130</f>
        <v>1</v>
      </c>
      <c r="AG130">
        <f t="shared" ref="AG130:AG193" si="46">O130</f>
        <v>100</v>
      </c>
    </row>
    <row r="131" spans="1:33" x14ac:dyDescent="0.2">
      <c r="A131" t="s">
        <v>127</v>
      </c>
      <c r="B131" t="s">
        <v>128</v>
      </c>
      <c r="C131">
        <v>130</v>
      </c>
      <c r="D131">
        <v>140719</v>
      </c>
      <c r="E131" t="s">
        <v>1009</v>
      </c>
      <c r="F131" t="s">
        <v>896</v>
      </c>
      <c r="G131" t="s">
        <v>379</v>
      </c>
      <c r="H131" t="s">
        <v>5</v>
      </c>
      <c r="I131" t="s">
        <v>91</v>
      </c>
      <c r="J131">
        <v>1</v>
      </c>
      <c r="K131">
        <v>5.5</v>
      </c>
      <c r="L131">
        <v>3</v>
      </c>
      <c r="M131">
        <v>3</v>
      </c>
      <c r="N131">
        <v>5</v>
      </c>
      <c r="O131">
        <v>2</v>
      </c>
      <c r="P131" t="b">
        <f t="shared" si="37"/>
        <v>1</v>
      </c>
      <c r="S131" t="str">
        <f t="shared" si="33"/>
        <v>LATER</v>
      </c>
      <c r="T131" t="str">
        <f t="shared" si="34"/>
        <v>SainteLague</v>
      </c>
      <c r="U131">
        <f t="shared" si="36"/>
        <v>130</v>
      </c>
      <c r="V131">
        <f t="shared" si="35"/>
        <v>140719</v>
      </c>
      <c r="W131" s="8" t="str">
        <f>VLOOKUP(V131,'ideas-input'!$A:$B,2,FALSE)</f>
        <v>Super Portal | Trazer produtos de acesso à rede para envios com contexto</v>
      </c>
      <c r="X131" t="str">
        <f t="shared" si="38"/>
        <v>RC</v>
      </c>
      <c r="Y131" s="8" t="str">
        <f>VLOOKUP(V131,'ideas-input'!$A:$D,4,FALSE)</f>
        <v>Mail</v>
      </c>
      <c r="Z131" t="str">
        <f t="shared" si="39"/>
        <v>Commercial</v>
      </c>
      <c r="AA131" t="str">
        <f t="shared" si="40"/>
        <v>Backlog</v>
      </c>
      <c r="AB131">
        <f t="shared" si="41"/>
        <v>1</v>
      </c>
      <c r="AC131">
        <f t="shared" si="42"/>
        <v>5.5</v>
      </c>
      <c r="AD131">
        <f t="shared" si="43"/>
        <v>3</v>
      </c>
      <c r="AE131">
        <f t="shared" si="44"/>
        <v>3</v>
      </c>
      <c r="AF131">
        <f t="shared" si="45"/>
        <v>5</v>
      </c>
      <c r="AG131">
        <f t="shared" si="46"/>
        <v>2</v>
      </c>
    </row>
    <row r="132" spans="1:33" x14ac:dyDescent="0.2">
      <c r="A132" t="s">
        <v>127</v>
      </c>
      <c r="B132" t="s">
        <v>128</v>
      </c>
      <c r="C132">
        <v>131</v>
      </c>
      <c r="D132">
        <v>60531</v>
      </c>
      <c r="E132" t="s">
        <v>991</v>
      </c>
      <c r="F132" t="s">
        <v>70</v>
      </c>
      <c r="G132" t="s">
        <v>10</v>
      </c>
      <c r="H132" t="s">
        <v>8</v>
      </c>
      <c r="I132" t="s">
        <v>136</v>
      </c>
      <c r="J132">
        <v>11</v>
      </c>
      <c r="K132">
        <v>0.03</v>
      </c>
      <c r="L132">
        <v>1</v>
      </c>
      <c r="M132">
        <v>1</v>
      </c>
      <c r="N132">
        <v>1</v>
      </c>
      <c r="O132">
        <v>100</v>
      </c>
      <c r="P132" t="b">
        <f t="shared" si="37"/>
        <v>1</v>
      </c>
      <c r="S132" t="str">
        <f t="shared" si="33"/>
        <v>LATER</v>
      </c>
      <c r="T132" t="str">
        <f t="shared" si="34"/>
        <v>SainteLague</v>
      </c>
      <c r="U132">
        <f t="shared" si="36"/>
        <v>131</v>
      </c>
      <c r="V132">
        <f t="shared" si="35"/>
        <v>60531</v>
      </c>
      <c r="W132" s="8" t="str">
        <f>VLOOKUP(V132,'ideas-input'!$A:$B,2,FALSE)</f>
        <v>[Web de Clientes] - Desconexión Web-Tracking</v>
      </c>
      <c r="X132" t="str">
        <f t="shared" si="38"/>
        <v>CIO</v>
      </c>
      <c r="Y132" s="8" t="str">
        <f>VLOOKUP(V132,'ideas-input'!$A:$D,4,FALSE)</f>
        <v>eCommerce</v>
      </c>
      <c r="Z132" t="str">
        <f t="shared" si="39"/>
        <v>Technology</v>
      </c>
      <c r="AA132" t="str">
        <f t="shared" si="40"/>
        <v>In Solution</v>
      </c>
      <c r="AB132">
        <f t="shared" si="41"/>
        <v>11</v>
      </c>
      <c r="AC132">
        <f t="shared" si="42"/>
        <v>0.03</v>
      </c>
      <c r="AD132">
        <f t="shared" si="43"/>
        <v>1</v>
      </c>
      <c r="AE132">
        <f t="shared" si="44"/>
        <v>1</v>
      </c>
      <c r="AF132">
        <f t="shared" si="45"/>
        <v>1</v>
      </c>
      <c r="AG132">
        <f t="shared" si="46"/>
        <v>100</v>
      </c>
    </row>
    <row r="133" spans="1:33" x14ac:dyDescent="0.2">
      <c r="A133" t="s">
        <v>127</v>
      </c>
      <c r="B133" t="s">
        <v>128</v>
      </c>
      <c r="C133">
        <v>132</v>
      </c>
      <c r="D133">
        <v>122320</v>
      </c>
      <c r="E133" t="s">
        <v>1011</v>
      </c>
      <c r="F133" t="s">
        <v>26</v>
      </c>
      <c r="G133" t="s">
        <v>379</v>
      </c>
      <c r="H133" t="s">
        <v>6</v>
      </c>
      <c r="I133" t="s">
        <v>96</v>
      </c>
      <c r="J133">
        <v>6</v>
      </c>
      <c r="K133">
        <v>4.5</v>
      </c>
      <c r="L133">
        <v>4</v>
      </c>
      <c r="M133">
        <v>2</v>
      </c>
      <c r="N133">
        <v>3</v>
      </c>
      <c r="O133">
        <v>2</v>
      </c>
      <c r="P133" t="b">
        <f t="shared" si="37"/>
        <v>1</v>
      </c>
      <c r="S133" t="str">
        <f t="shared" si="33"/>
        <v>LATER</v>
      </c>
      <c r="T133" t="str">
        <f t="shared" si="34"/>
        <v>SainteLague</v>
      </c>
      <c r="U133">
        <f t="shared" si="36"/>
        <v>132</v>
      </c>
      <c r="V133">
        <f t="shared" si="35"/>
        <v>122320</v>
      </c>
      <c r="W133" s="8" t="str">
        <f>VLOOKUP(V133,'ideas-input'!$A:$B,2,FALSE)</f>
        <v>Implementação de modulo de Planeamento de Transportes em Drivian e Descontinuação do Sigest</v>
      </c>
      <c r="X133" t="str">
        <f t="shared" si="38"/>
        <v>SEO</v>
      </c>
      <c r="Y133" s="8" t="str">
        <f>VLOOKUP(V133,'ideas-input'!$A:$D,4,FALSE)</f>
        <v>Mail</v>
      </c>
      <c r="Z133" t="str">
        <f t="shared" si="39"/>
        <v>Operations</v>
      </c>
      <c r="AA133" t="str">
        <f t="shared" si="40"/>
        <v>Ready for Approval</v>
      </c>
      <c r="AB133">
        <f t="shared" si="41"/>
        <v>6</v>
      </c>
      <c r="AC133">
        <f t="shared" si="42"/>
        <v>4.5</v>
      </c>
      <c r="AD133">
        <f t="shared" si="43"/>
        <v>4</v>
      </c>
      <c r="AE133">
        <f t="shared" si="44"/>
        <v>2</v>
      </c>
      <c r="AF133">
        <f t="shared" si="45"/>
        <v>3</v>
      </c>
      <c r="AG133">
        <f t="shared" si="46"/>
        <v>2</v>
      </c>
    </row>
    <row r="134" spans="1:33" x14ac:dyDescent="0.2">
      <c r="A134" t="s">
        <v>127</v>
      </c>
      <c r="B134" t="s">
        <v>128</v>
      </c>
      <c r="C134">
        <v>133</v>
      </c>
      <c r="D134">
        <v>138350</v>
      </c>
      <c r="E134" t="s">
        <v>371</v>
      </c>
      <c r="F134" t="s">
        <v>65</v>
      </c>
      <c r="G134" t="s">
        <v>10</v>
      </c>
      <c r="H134" t="s">
        <v>5</v>
      </c>
      <c r="I134" t="s">
        <v>130</v>
      </c>
      <c r="J134">
        <v>12</v>
      </c>
      <c r="K134">
        <v>0.03</v>
      </c>
      <c r="L134">
        <v>1</v>
      </c>
      <c r="M134">
        <v>1</v>
      </c>
      <c r="N134">
        <v>1</v>
      </c>
      <c r="O134">
        <v>100</v>
      </c>
      <c r="P134" t="b">
        <f t="shared" si="37"/>
        <v>1</v>
      </c>
      <c r="S134" t="str">
        <f t="shared" si="33"/>
        <v>LATER</v>
      </c>
      <c r="T134" t="str">
        <f t="shared" si="34"/>
        <v>SainteLague</v>
      </c>
      <c r="U134">
        <f t="shared" si="36"/>
        <v>133</v>
      </c>
      <c r="V134">
        <f t="shared" si="35"/>
        <v>138350</v>
      </c>
      <c r="W134" s="8" t="str">
        <f>VLOOKUP(V134,'ideas-input'!$A:$B,2,FALSE)</f>
        <v>[NEXUS]-[OOH] - LMS Integration</v>
      </c>
      <c r="X134" t="str">
        <f t="shared" si="38"/>
        <v>CMO</v>
      </c>
      <c r="Y134" s="8" t="str">
        <f>VLOOKUP(V134,'ideas-input'!$A:$D,4,FALSE)</f>
        <v>eCommerce</v>
      </c>
      <c r="Z134" t="str">
        <f t="shared" si="39"/>
        <v>Commercial</v>
      </c>
      <c r="AA134" t="str">
        <f t="shared" si="40"/>
        <v>High Level Design</v>
      </c>
      <c r="AB134">
        <f t="shared" si="41"/>
        <v>12</v>
      </c>
      <c r="AC134">
        <f t="shared" si="42"/>
        <v>0.03</v>
      </c>
      <c r="AD134">
        <f t="shared" si="43"/>
        <v>1</v>
      </c>
      <c r="AE134">
        <f t="shared" si="44"/>
        <v>1</v>
      </c>
      <c r="AF134">
        <f t="shared" si="45"/>
        <v>1</v>
      </c>
      <c r="AG134">
        <f t="shared" si="46"/>
        <v>100</v>
      </c>
    </row>
    <row r="135" spans="1:33" x14ac:dyDescent="0.2">
      <c r="A135" t="s">
        <v>127</v>
      </c>
      <c r="B135" t="s">
        <v>128</v>
      </c>
      <c r="C135">
        <v>134</v>
      </c>
      <c r="D135">
        <v>128057</v>
      </c>
      <c r="E135" t="s">
        <v>998</v>
      </c>
      <c r="F135" t="s">
        <v>45</v>
      </c>
      <c r="G135" t="s">
        <v>379</v>
      </c>
      <c r="H135" t="s">
        <v>12</v>
      </c>
      <c r="I135" t="s">
        <v>91</v>
      </c>
      <c r="J135">
        <v>2</v>
      </c>
      <c r="K135">
        <v>0.03</v>
      </c>
      <c r="L135">
        <v>1</v>
      </c>
      <c r="M135">
        <v>1</v>
      </c>
      <c r="N135">
        <v>1</v>
      </c>
      <c r="O135">
        <v>100</v>
      </c>
      <c r="P135" t="b">
        <f t="shared" si="37"/>
        <v>1</v>
      </c>
      <c r="S135" t="str">
        <f t="shared" si="33"/>
        <v>LATER</v>
      </c>
      <c r="T135" t="str">
        <f t="shared" si="34"/>
        <v>SainteLague</v>
      </c>
      <c r="U135">
        <f t="shared" si="36"/>
        <v>134</v>
      </c>
      <c r="V135">
        <f t="shared" si="35"/>
        <v>128057</v>
      </c>
      <c r="W135" s="8" t="str">
        <f>VLOOKUP(V135,'ideas-input'!$A:$B,2,FALSE)</f>
        <v>XRP | Refaturação entre empresas</v>
      </c>
      <c r="X135" t="str">
        <f t="shared" si="38"/>
        <v>RS</v>
      </c>
      <c r="Y135" s="8" t="str">
        <f>VLOOKUP(V135,'ideas-input'!$A:$D,4,FALSE)</f>
        <v>Mail</v>
      </c>
      <c r="Z135" t="str">
        <f t="shared" si="39"/>
        <v>Corporate</v>
      </c>
      <c r="AA135" t="str">
        <f t="shared" si="40"/>
        <v>Backlog</v>
      </c>
      <c r="AB135">
        <f t="shared" si="41"/>
        <v>2</v>
      </c>
      <c r="AC135">
        <f t="shared" si="42"/>
        <v>0.03</v>
      </c>
      <c r="AD135">
        <f t="shared" si="43"/>
        <v>1</v>
      </c>
      <c r="AE135">
        <f t="shared" si="44"/>
        <v>1</v>
      </c>
      <c r="AF135">
        <f t="shared" si="45"/>
        <v>1</v>
      </c>
      <c r="AG135">
        <f t="shared" si="46"/>
        <v>100</v>
      </c>
    </row>
    <row r="136" spans="1:33" x14ac:dyDescent="0.2">
      <c r="A136" t="s">
        <v>127</v>
      </c>
      <c r="B136" t="s">
        <v>128</v>
      </c>
      <c r="C136">
        <v>135</v>
      </c>
      <c r="D136">
        <v>52441</v>
      </c>
      <c r="E136" t="s">
        <v>1012</v>
      </c>
      <c r="F136" t="s">
        <v>64</v>
      </c>
      <c r="G136" t="s">
        <v>10</v>
      </c>
      <c r="H136" t="s">
        <v>6</v>
      </c>
      <c r="I136" t="s">
        <v>91</v>
      </c>
      <c r="J136">
        <v>19</v>
      </c>
      <c r="K136">
        <v>0.03</v>
      </c>
      <c r="L136">
        <v>1</v>
      </c>
      <c r="M136">
        <v>1</v>
      </c>
      <c r="N136">
        <v>1</v>
      </c>
      <c r="O136">
        <v>100</v>
      </c>
      <c r="P136" t="b">
        <f t="shared" si="37"/>
        <v>1</v>
      </c>
      <c r="S136" t="str">
        <f t="shared" si="33"/>
        <v>LATER</v>
      </c>
      <c r="T136" t="str">
        <f t="shared" si="34"/>
        <v>SainteLague</v>
      </c>
      <c r="U136">
        <f t="shared" si="36"/>
        <v>135</v>
      </c>
      <c r="V136">
        <f t="shared" si="35"/>
        <v>52441</v>
      </c>
      <c r="W136" s="8" t="str">
        <f>VLOOKUP(V136,'ideas-input'!$A:$B,2,FALSE)</f>
        <v>[Desconexión SGC] Cierre diario: Recogidas</v>
      </c>
      <c r="X136" t="str">
        <f t="shared" si="38"/>
        <v>COO</v>
      </c>
      <c r="Y136" s="8" t="str">
        <f>VLOOKUP(V136,'ideas-input'!$A:$D,4,FALSE)</f>
        <v>eCommerce</v>
      </c>
      <c r="Z136" t="str">
        <f t="shared" si="39"/>
        <v>Operations</v>
      </c>
      <c r="AA136" t="str">
        <f t="shared" si="40"/>
        <v>Backlog</v>
      </c>
      <c r="AB136">
        <f t="shared" si="41"/>
        <v>19</v>
      </c>
      <c r="AC136">
        <f t="shared" si="42"/>
        <v>0.03</v>
      </c>
      <c r="AD136">
        <f t="shared" si="43"/>
        <v>1</v>
      </c>
      <c r="AE136">
        <f t="shared" si="44"/>
        <v>1</v>
      </c>
      <c r="AF136">
        <f t="shared" si="45"/>
        <v>1</v>
      </c>
      <c r="AG136">
        <f t="shared" si="46"/>
        <v>100</v>
      </c>
    </row>
    <row r="137" spans="1:33" x14ac:dyDescent="0.2">
      <c r="A137" t="s">
        <v>127</v>
      </c>
      <c r="B137" t="s">
        <v>128</v>
      </c>
      <c r="C137">
        <v>136</v>
      </c>
      <c r="D137">
        <v>69406</v>
      </c>
      <c r="E137" t="s">
        <v>1000</v>
      </c>
      <c r="F137" t="s">
        <v>60</v>
      </c>
      <c r="G137" t="s">
        <v>379</v>
      </c>
      <c r="H137" t="s">
        <v>8</v>
      </c>
      <c r="I137" t="s">
        <v>95</v>
      </c>
      <c r="J137">
        <v>2</v>
      </c>
      <c r="K137">
        <v>0.03</v>
      </c>
      <c r="L137">
        <v>1</v>
      </c>
      <c r="M137">
        <v>1</v>
      </c>
      <c r="N137">
        <v>1</v>
      </c>
      <c r="O137">
        <v>100</v>
      </c>
      <c r="P137" t="b">
        <f t="shared" si="37"/>
        <v>1</v>
      </c>
      <c r="S137" t="str">
        <f t="shared" si="33"/>
        <v>LATER</v>
      </c>
      <c r="T137" t="str">
        <f t="shared" si="34"/>
        <v>SainteLague</v>
      </c>
      <c r="U137">
        <f t="shared" si="36"/>
        <v>136</v>
      </c>
      <c r="V137">
        <f t="shared" si="35"/>
        <v>69406</v>
      </c>
      <c r="W137" s="8" t="str">
        <f>VLOOKUP(V137,'ideas-input'!$A:$B,2,FALSE)</f>
        <v>Nexus | We Bill | Upgrade Convergent Mediations e Charging</v>
      </c>
      <c r="X137" t="str">
        <f t="shared" si="38"/>
        <v>SI-CRP</v>
      </c>
      <c r="Y137" s="8" t="str">
        <f>VLOOKUP(V137,'ideas-input'!$A:$D,4,FALSE)</f>
        <v>eCommerce</v>
      </c>
      <c r="Z137" t="str">
        <f t="shared" si="39"/>
        <v>Technology</v>
      </c>
      <c r="AA137" t="str">
        <f t="shared" si="40"/>
        <v>In Definition</v>
      </c>
      <c r="AB137">
        <f t="shared" si="41"/>
        <v>2</v>
      </c>
      <c r="AC137">
        <f t="shared" si="42"/>
        <v>0.03</v>
      </c>
      <c r="AD137">
        <f t="shared" si="43"/>
        <v>1</v>
      </c>
      <c r="AE137">
        <f t="shared" si="44"/>
        <v>1</v>
      </c>
      <c r="AF137">
        <f t="shared" si="45"/>
        <v>1</v>
      </c>
      <c r="AG137">
        <f t="shared" si="46"/>
        <v>100</v>
      </c>
    </row>
    <row r="138" spans="1:33" x14ac:dyDescent="0.2">
      <c r="A138" t="s">
        <v>127</v>
      </c>
      <c r="B138" t="s">
        <v>128</v>
      </c>
      <c r="C138">
        <v>137</v>
      </c>
      <c r="D138">
        <v>46956</v>
      </c>
      <c r="E138" t="s">
        <v>1008</v>
      </c>
      <c r="F138" t="s">
        <v>67</v>
      </c>
      <c r="G138" t="s">
        <v>10</v>
      </c>
      <c r="H138" t="s">
        <v>12</v>
      </c>
      <c r="I138" t="s">
        <v>97</v>
      </c>
      <c r="J138">
        <v>6</v>
      </c>
      <c r="K138">
        <v>0.03</v>
      </c>
      <c r="L138">
        <v>1</v>
      </c>
      <c r="M138">
        <v>1</v>
      </c>
      <c r="N138">
        <v>1</v>
      </c>
      <c r="O138">
        <v>100</v>
      </c>
      <c r="P138" t="b">
        <f t="shared" si="37"/>
        <v>1</v>
      </c>
      <c r="S138" t="str">
        <f t="shared" si="33"/>
        <v>LATER</v>
      </c>
      <c r="T138" t="str">
        <f t="shared" si="34"/>
        <v>SainteLague</v>
      </c>
      <c r="U138">
        <f t="shared" si="36"/>
        <v>137</v>
      </c>
      <c r="V138">
        <f t="shared" si="35"/>
        <v>46956</v>
      </c>
      <c r="W138" s="8" t="str">
        <f>VLOOKUP(V138,'ideas-input'!$A:$B,2,FALSE)</f>
        <v>[Seguridad] PDA Planta (TO)/Gestión de Planta/ Auditoría de seguridad/Control de conductores</v>
      </c>
      <c r="X138" t="str">
        <f t="shared" si="38"/>
        <v>ATC</v>
      </c>
      <c r="Y138" s="8" t="str">
        <f>VLOOKUP(V138,'ideas-input'!$A:$D,4,FALSE)</f>
        <v>eCommerce</v>
      </c>
      <c r="Z138" t="str">
        <f t="shared" si="39"/>
        <v>Corporate</v>
      </c>
      <c r="AA138" t="str">
        <f t="shared" si="40"/>
        <v>Ready for Solution</v>
      </c>
      <c r="AB138">
        <f t="shared" si="41"/>
        <v>6</v>
      </c>
      <c r="AC138">
        <f t="shared" si="42"/>
        <v>0.03</v>
      </c>
      <c r="AD138">
        <f t="shared" si="43"/>
        <v>1</v>
      </c>
      <c r="AE138">
        <f t="shared" si="44"/>
        <v>1</v>
      </c>
      <c r="AF138">
        <f t="shared" si="45"/>
        <v>1</v>
      </c>
      <c r="AG138">
        <f t="shared" si="46"/>
        <v>100</v>
      </c>
    </row>
    <row r="139" spans="1:33" x14ac:dyDescent="0.2">
      <c r="A139" t="s">
        <v>127</v>
      </c>
      <c r="B139" t="s">
        <v>128</v>
      </c>
      <c r="C139">
        <v>138</v>
      </c>
      <c r="D139">
        <v>85670</v>
      </c>
      <c r="E139" t="s">
        <v>195</v>
      </c>
      <c r="F139" t="s">
        <v>37</v>
      </c>
      <c r="G139" t="s">
        <v>379</v>
      </c>
      <c r="H139" t="s">
        <v>5</v>
      </c>
      <c r="I139" t="s">
        <v>95</v>
      </c>
      <c r="J139">
        <v>2</v>
      </c>
      <c r="K139">
        <v>0.03</v>
      </c>
      <c r="L139">
        <v>1</v>
      </c>
      <c r="M139">
        <v>1</v>
      </c>
      <c r="N139">
        <v>1</v>
      </c>
      <c r="O139">
        <v>100</v>
      </c>
      <c r="P139" t="b">
        <f t="shared" si="37"/>
        <v>1</v>
      </c>
      <c r="S139" t="str">
        <f t="shared" si="33"/>
        <v>LATER</v>
      </c>
      <c r="T139" t="str">
        <f t="shared" si="34"/>
        <v>SainteLague</v>
      </c>
      <c r="U139">
        <f t="shared" si="36"/>
        <v>138</v>
      </c>
      <c r="V139">
        <f t="shared" si="35"/>
        <v>85670</v>
      </c>
      <c r="W139" s="8" t="str">
        <f>VLOOKUP(V139,'ideas-input'!$A:$B,2,FALSE)</f>
        <v>POD - API feasibility for Cainiao</v>
      </c>
      <c r="X139" t="str">
        <f t="shared" si="38"/>
        <v>GS</v>
      </c>
      <c r="Y139" s="8" t="str">
        <f>VLOOKUP(V139,'ideas-input'!$A:$D,4,FALSE)</f>
        <v>Mail</v>
      </c>
      <c r="Z139" t="str">
        <f t="shared" si="39"/>
        <v>Commercial</v>
      </c>
      <c r="AA139" t="str">
        <f t="shared" si="40"/>
        <v>In Definition</v>
      </c>
      <c r="AB139">
        <f t="shared" si="41"/>
        <v>2</v>
      </c>
      <c r="AC139">
        <f t="shared" si="42"/>
        <v>0.03</v>
      </c>
      <c r="AD139">
        <f t="shared" si="43"/>
        <v>1</v>
      </c>
      <c r="AE139">
        <f t="shared" si="44"/>
        <v>1</v>
      </c>
      <c r="AF139">
        <f t="shared" si="45"/>
        <v>1</v>
      </c>
      <c r="AG139">
        <f t="shared" si="46"/>
        <v>100</v>
      </c>
    </row>
    <row r="140" spans="1:33" x14ac:dyDescent="0.2">
      <c r="A140" t="s">
        <v>127</v>
      </c>
      <c r="B140" t="s">
        <v>128</v>
      </c>
      <c r="C140">
        <v>139</v>
      </c>
      <c r="D140">
        <v>61991</v>
      </c>
      <c r="E140" t="s">
        <v>997</v>
      </c>
      <c r="F140" t="s">
        <v>70</v>
      </c>
      <c r="G140" t="s">
        <v>10</v>
      </c>
      <c r="H140" t="s">
        <v>8</v>
      </c>
      <c r="I140" t="s">
        <v>91</v>
      </c>
      <c r="J140">
        <v>12</v>
      </c>
      <c r="K140">
        <v>0.03</v>
      </c>
      <c r="L140">
        <v>1</v>
      </c>
      <c r="M140">
        <v>1</v>
      </c>
      <c r="N140">
        <v>1</v>
      </c>
      <c r="O140">
        <v>100</v>
      </c>
      <c r="P140" t="b">
        <f t="shared" si="37"/>
        <v>1</v>
      </c>
      <c r="S140" t="str">
        <f t="shared" si="33"/>
        <v>LATER</v>
      </c>
      <c r="T140" t="str">
        <f t="shared" si="34"/>
        <v>SainteLague</v>
      </c>
      <c r="U140">
        <f t="shared" si="36"/>
        <v>139</v>
      </c>
      <c r="V140">
        <f t="shared" si="35"/>
        <v>61991</v>
      </c>
      <c r="W140" s="8" t="str">
        <f>VLOOKUP(V140,'ideas-input'!$A:$B,2,FALSE)</f>
        <v>Definición Arquitectura Github</v>
      </c>
      <c r="X140" t="str">
        <f t="shared" si="38"/>
        <v>CIO</v>
      </c>
      <c r="Y140" s="8" t="str">
        <f>VLOOKUP(V140,'ideas-input'!$A:$D,4,FALSE)</f>
        <v>eCommerce</v>
      </c>
      <c r="Z140" t="str">
        <f t="shared" si="39"/>
        <v>Technology</v>
      </c>
      <c r="AA140" t="str">
        <f t="shared" si="40"/>
        <v>Backlog</v>
      </c>
      <c r="AB140">
        <f t="shared" si="41"/>
        <v>12</v>
      </c>
      <c r="AC140">
        <f t="shared" si="42"/>
        <v>0.03</v>
      </c>
      <c r="AD140">
        <f t="shared" si="43"/>
        <v>1</v>
      </c>
      <c r="AE140">
        <f t="shared" si="44"/>
        <v>1</v>
      </c>
      <c r="AF140">
        <f t="shared" si="45"/>
        <v>1</v>
      </c>
      <c r="AG140">
        <f t="shared" si="46"/>
        <v>100</v>
      </c>
    </row>
    <row r="141" spans="1:33" x14ac:dyDescent="0.2">
      <c r="A141" t="s">
        <v>127</v>
      </c>
      <c r="B141" t="s">
        <v>128</v>
      </c>
      <c r="C141">
        <v>140</v>
      </c>
      <c r="D141">
        <v>136994</v>
      </c>
      <c r="E141" t="s">
        <v>1003</v>
      </c>
      <c r="F141" t="s">
        <v>7</v>
      </c>
      <c r="G141" t="s">
        <v>379</v>
      </c>
      <c r="H141" t="s">
        <v>6</v>
      </c>
      <c r="I141" t="s">
        <v>91</v>
      </c>
      <c r="J141">
        <v>6</v>
      </c>
      <c r="K141">
        <v>0.03</v>
      </c>
      <c r="L141">
        <v>1</v>
      </c>
      <c r="M141">
        <v>1</v>
      </c>
      <c r="N141">
        <v>1</v>
      </c>
      <c r="O141">
        <v>100</v>
      </c>
      <c r="P141" t="b">
        <f t="shared" si="37"/>
        <v>1</v>
      </c>
      <c r="S141" t="str">
        <f t="shared" si="33"/>
        <v>LATER</v>
      </c>
      <c r="T141" t="str">
        <f t="shared" si="34"/>
        <v>SainteLague</v>
      </c>
      <c r="U141">
        <f t="shared" si="36"/>
        <v>140</v>
      </c>
      <c r="V141">
        <f t="shared" si="35"/>
        <v>136994</v>
      </c>
      <c r="W141" s="8" t="str">
        <f>VLOOKUP(V141,'ideas-input'!$A:$B,2,FALSE)</f>
        <v>DSD | Organizar Rota (Zona e Ordenação ) no Mobi</v>
      </c>
      <c r="X141" t="str">
        <f t="shared" si="38"/>
        <v>EDO</v>
      </c>
      <c r="Y141" s="8" t="str">
        <f>VLOOKUP(V141,'ideas-input'!$A:$D,4,FALSE)</f>
        <v>Mail</v>
      </c>
      <c r="Z141" t="str">
        <f t="shared" si="39"/>
        <v>Operations</v>
      </c>
      <c r="AA141" t="str">
        <f t="shared" si="40"/>
        <v>Backlog</v>
      </c>
      <c r="AB141">
        <f t="shared" si="41"/>
        <v>6</v>
      </c>
      <c r="AC141">
        <f t="shared" si="42"/>
        <v>0.03</v>
      </c>
      <c r="AD141">
        <f t="shared" si="43"/>
        <v>1</v>
      </c>
      <c r="AE141">
        <f t="shared" si="44"/>
        <v>1</v>
      </c>
      <c r="AF141">
        <f t="shared" si="45"/>
        <v>1</v>
      </c>
      <c r="AG141">
        <f t="shared" si="46"/>
        <v>100</v>
      </c>
    </row>
    <row r="142" spans="1:33" x14ac:dyDescent="0.2">
      <c r="A142" t="s">
        <v>127</v>
      </c>
      <c r="B142" t="s">
        <v>128</v>
      </c>
      <c r="C142">
        <v>141</v>
      </c>
      <c r="D142">
        <v>63046</v>
      </c>
      <c r="E142" t="s">
        <v>1021</v>
      </c>
      <c r="F142" t="s">
        <v>66</v>
      </c>
      <c r="G142" t="s">
        <v>10</v>
      </c>
      <c r="H142" t="s">
        <v>5</v>
      </c>
      <c r="I142" t="s">
        <v>93</v>
      </c>
      <c r="J142">
        <v>6</v>
      </c>
      <c r="K142">
        <v>0.03</v>
      </c>
      <c r="L142">
        <v>1</v>
      </c>
      <c r="M142">
        <v>1</v>
      </c>
      <c r="N142">
        <v>1</v>
      </c>
      <c r="O142">
        <v>100</v>
      </c>
      <c r="P142" t="b">
        <f t="shared" si="37"/>
        <v>0</v>
      </c>
      <c r="S142" t="str">
        <f t="shared" si="33"/>
        <v>LATER</v>
      </c>
      <c r="T142" t="str">
        <f t="shared" si="34"/>
        <v>SainteLague</v>
      </c>
      <c r="U142">
        <f t="shared" si="36"/>
        <v>141</v>
      </c>
      <c r="V142">
        <f t="shared" si="35"/>
        <v>63046</v>
      </c>
      <c r="W142" s="8" t="str">
        <f>VLOOKUP(V142,'ideas-input'!$A:$B,2,FALSE)</f>
        <v>To Expedite - [Salesforce Sales] - NEW WORKFLOW OFERTAS (Cambio del flujo de aprobación de ofertas según usuario y modelo tarifario)</v>
      </c>
      <c r="X142" t="str">
        <f t="shared" si="38"/>
        <v>CCO</v>
      </c>
      <c r="Y142" s="8" t="str">
        <f>VLOOKUP(V142,'ideas-input'!$A:$D,4,FALSE)</f>
        <v>eCommerce</v>
      </c>
      <c r="Z142" t="str">
        <f t="shared" si="39"/>
        <v>Commercial</v>
      </c>
      <c r="AA142" t="str">
        <f t="shared" si="40"/>
        <v>Pitch</v>
      </c>
      <c r="AB142">
        <f t="shared" si="41"/>
        <v>6</v>
      </c>
      <c r="AC142">
        <f t="shared" si="42"/>
        <v>0.03</v>
      </c>
      <c r="AD142">
        <f t="shared" si="43"/>
        <v>1</v>
      </c>
      <c r="AE142">
        <f t="shared" si="44"/>
        <v>1</v>
      </c>
      <c r="AF142">
        <f t="shared" si="45"/>
        <v>1</v>
      </c>
      <c r="AG142">
        <f t="shared" si="46"/>
        <v>100</v>
      </c>
    </row>
    <row r="143" spans="1:33" x14ac:dyDescent="0.2">
      <c r="A143" t="s">
        <v>127</v>
      </c>
      <c r="B143" t="s">
        <v>128</v>
      </c>
      <c r="C143">
        <v>142</v>
      </c>
      <c r="D143">
        <v>41221</v>
      </c>
      <c r="E143" t="s">
        <v>964</v>
      </c>
      <c r="F143" t="s">
        <v>11</v>
      </c>
      <c r="G143" t="s">
        <v>379</v>
      </c>
      <c r="H143" t="s">
        <v>11</v>
      </c>
      <c r="I143" t="s">
        <v>95</v>
      </c>
      <c r="J143">
        <v>3</v>
      </c>
      <c r="K143">
        <v>0.03</v>
      </c>
      <c r="L143">
        <v>1</v>
      </c>
      <c r="M143">
        <v>1</v>
      </c>
      <c r="N143">
        <v>1</v>
      </c>
      <c r="O143">
        <v>100</v>
      </c>
      <c r="P143" t="b">
        <f t="shared" si="37"/>
        <v>0</v>
      </c>
      <c r="S143" t="str">
        <f t="shared" si="33"/>
        <v>LATER</v>
      </c>
      <c r="T143" t="str">
        <f t="shared" si="34"/>
        <v>SainteLague</v>
      </c>
      <c r="U143">
        <f t="shared" si="36"/>
        <v>142</v>
      </c>
      <c r="V143">
        <f t="shared" si="35"/>
        <v>41221</v>
      </c>
      <c r="W143" s="8" t="str">
        <f>VLOOKUP(V143,'ideas-input'!$A:$B,2,FALSE)</f>
        <v>DART Team - Recomendações CTT</v>
      </c>
      <c r="X143" t="str">
        <f t="shared" si="38"/>
        <v>CISO</v>
      </c>
      <c r="Y143" s="8" t="str">
        <f>VLOOKUP(V143,'ideas-input'!$A:$D,4,FALSE)</f>
        <v>Mail</v>
      </c>
      <c r="Z143" t="str">
        <f t="shared" si="39"/>
        <v>CISO</v>
      </c>
      <c r="AA143" t="str">
        <f t="shared" si="40"/>
        <v>In Definition</v>
      </c>
      <c r="AB143">
        <f t="shared" si="41"/>
        <v>3</v>
      </c>
      <c r="AC143">
        <f t="shared" si="42"/>
        <v>0.03</v>
      </c>
      <c r="AD143">
        <f t="shared" si="43"/>
        <v>1</v>
      </c>
      <c r="AE143">
        <f t="shared" si="44"/>
        <v>1</v>
      </c>
      <c r="AF143">
        <f t="shared" si="45"/>
        <v>1</v>
      </c>
      <c r="AG143">
        <f t="shared" si="46"/>
        <v>100</v>
      </c>
    </row>
    <row r="144" spans="1:33" x14ac:dyDescent="0.2">
      <c r="A144" t="s">
        <v>127</v>
      </c>
      <c r="B144" t="s">
        <v>128</v>
      </c>
      <c r="C144">
        <v>143</v>
      </c>
      <c r="D144">
        <v>52449</v>
      </c>
      <c r="E144" t="s">
        <v>1017</v>
      </c>
      <c r="F144" t="s">
        <v>64</v>
      </c>
      <c r="G144" t="s">
        <v>10</v>
      </c>
      <c r="H144" t="s">
        <v>6</v>
      </c>
      <c r="I144" t="s">
        <v>91</v>
      </c>
      <c r="J144">
        <v>20</v>
      </c>
      <c r="K144">
        <v>0.03</v>
      </c>
      <c r="L144">
        <v>1</v>
      </c>
      <c r="M144">
        <v>1</v>
      </c>
      <c r="N144">
        <v>1</v>
      </c>
      <c r="O144">
        <v>100</v>
      </c>
      <c r="P144" t="b">
        <f t="shared" si="37"/>
        <v>0</v>
      </c>
      <c r="S144" t="str">
        <f t="shared" si="33"/>
        <v>LATER</v>
      </c>
      <c r="T144" t="str">
        <f t="shared" si="34"/>
        <v>SainteLague</v>
      </c>
      <c r="U144">
        <f t="shared" si="36"/>
        <v>143</v>
      </c>
      <c r="V144">
        <f t="shared" si="35"/>
        <v>52449</v>
      </c>
      <c r="W144" s="8" t="str">
        <f>VLOOKUP(V144,'ideas-input'!$A:$B,2,FALSE)</f>
        <v>[Desconexión SGC] Cierre diario: Escaneo de documentación</v>
      </c>
      <c r="X144" t="str">
        <f t="shared" si="38"/>
        <v>COO</v>
      </c>
      <c r="Y144" s="8" t="str">
        <f>VLOOKUP(V144,'ideas-input'!$A:$D,4,FALSE)</f>
        <v>eCommerce</v>
      </c>
      <c r="Z144" t="str">
        <f t="shared" si="39"/>
        <v>Operations</v>
      </c>
      <c r="AA144" t="str">
        <f t="shared" si="40"/>
        <v>Backlog</v>
      </c>
      <c r="AB144">
        <f t="shared" si="41"/>
        <v>20</v>
      </c>
      <c r="AC144">
        <f t="shared" si="42"/>
        <v>0.03</v>
      </c>
      <c r="AD144">
        <f t="shared" si="43"/>
        <v>1</v>
      </c>
      <c r="AE144">
        <f t="shared" si="44"/>
        <v>1</v>
      </c>
      <c r="AF144">
        <f t="shared" si="45"/>
        <v>1</v>
      </c>
      <c r="AG144">
        <f t="shared" si="46"/>
        <v>100</v>
      </c>
    </row>
    <row r="145" spans="1:33" x14ac:dyDescent="0.2">
      <c r="A145" t="s">
        <v>127</v>
      </c>
      <c r="B145" t="s">
        <v>128</v>
      </c>
      <c r="C145">
        <v>144</v>
      </c>
      <c r="D145">
        <v>77999</v>
      </c>
      <c r="E145" t="s">
        <v>147</v>
      </c>
      <c r="F145" t="s">
        <v>46</v>
      </c>
      <c r="G145" t="s">
        <v>379</v>
      </c>
      <c r="H145" t="s">
        <v>12</v>
      </c>
      <c r="I145" t="s">
        <v>91</v>
      </c>
      <c r="J145">
        <v>2</v>
      </c>
      <c r="K145">
        <v>3</v>
      </c>
      <c r="L145">
        <v>5</v>
      </c>
      <c r="M145">
        <v>5</v>
      </c>
      <c r="N145">
        <v>5</v>
      </c>
      <c r="O145">
        <v>5</v>
      </c>
      <c r="P145" t="b">
        <f t="shared" si="37"/>
        <v>0</v>
      </c>
      <c r="S145" t="str">
        <f t="shared" si="33"/>
        <v>LATER</v>
      </c>
      <c r="T145" t="str">
        <f t="shared" si="34"/>
        <v>SainteLague</v>
      </c>
      <c r="U145">
        <f t="shared" si="36"/>
        <v>144</v>
      </c>
      <c r="V145">
        <f t="shared" si="35"/>
        <v>77999</v>
      </c>
      <c r="W145" s="8" t="str">
        <f>VLOOKUP(V145,'ideas-input'!$A:$B,2,FALSE)</f>
        <v>Nexus | We Care | SalesForce Parameterization | Pilot</v>
      </c>
      <c r="X145" t="str">
        <f t="shared" si="38"/>
        <v>AVC</v>
      </c>
      <c r="Y145" s="8" t="str">
        <f>VLOOKUP(V145,'ideas-input'!$A:$D,4,FALSE)</f>
        <v>eCommerce</v>
      </c>
      <c r="Z145" t="str">
        <f t="shared" si="39"/>
        <v>Corporate</v>
      </c>
      <c r="AA145" t="str">
        <f t="shared" si="40"/>
        <v>Backlog</v>
      </c>
      <c r="AB145">
        <f t="shared" si="41"/>
        <v>2</v>
      </c>
      <c r="AC145">
        <f t="shared" si="42"/>
        <v>3</v>
      </c>
      <c r="AD145">
        <f t="shared" si="43"/>
        <v>5</v>
      </c>
      <c r="AE145">
        <f t="shared" si="44"/>
        <v>5</v>
      </c>
      <c r="AF145">
        <f t="shared" si="45"/>
        <v>5</v>
      </c>
      <c r="AG145">
        <f t="shared" si="46"/>
        <v>5</v>
      </c>
    </row>
    <row r="146" spans="1:33" x14ac:dyDescent="0.2">
      <c r="A146" t="s">
        <v>127</v>
      </c>
      <c r="B146" t="s">
        <v>128</v>
      </c>
      <c r="C146">
        <v>145</v>
      </c>
      <c r="D146">
        <v>65000</v>
      </c>
      <c r="E146" t="s">
        <v>168</v>
      </c>
      <c r="F146" t="s">
        <v>69</v>
      </c>
      <c r="G146" t="s">
        <v>10</v>
      </c>
      <c r="H146" t="s">
        <v>12</v>
      </c>
      <c r="I146" t="s">
        <v>91</v>
      </c>
      <c r="J146">
        <v>5</v>
      </c>
      <c r="K146">
        <v>0.03</v>
      </c>
      <c r="L146">
        <v>1</v>
      </c>
      <c r="M146">
        <v>1</v>
      </c>
      <c r="N146">
        <v>1</v>
      </c>
      <c r="O146">
        <v>100</v>
      </c>
      <c r="P146" t="b">
        <f t="shared" si="37"/>
        <v>0</v>
      </c>
      <c r="S146" t="str">
        <f t="shared" si="33"/>
        <v>LATER</v>
      </c>
      <c r="T146" t="str">
        <f t="shared" si="34"/>
        <v>SainteLague</v>
      </c>
      <c r="U146">
        <f t="shared" si="36"/>
        <v>145</v>
      </c>
      <c r="V146">
        <f t="shared" si="35"/>
        <v>65000</v>
      </c>
      <c r="W146" s="8" t="str">
        <f>VLOOKUP(V146,'ideas-input'!$A:$B,2,FALSE)</f>
        <v>ECCS por peso Informado</v>
      </c>
      <c r="X146" t="str">
        <f t="shared" si="38"/>
        <v>CFO</v>
      </c>
      <c r="Y146" s="8" t="str">
        <f>VLOOKUP(V146,'ideas-input'!$A:$D,4,FALSE)</f>
        <v>eCommerce</v>
      </c>
      <c r="Z146" t="str">
        <f t="shared" si="39"/>
        <v>Corporate</v>
      </c>
      <c r="AA146" t="str">
        <f t="shared" si="40"/>
        <v>Backlog</v>
      </c>
      <c r="AB146">
        <f t="shared" si="41"/>
        <v>5</v>
      </c>
      <c r="AC146">
        <f t="shared" si="42"/>
        <v>0.03</v>
      </c>
      <c r="AD146">
        <f t="shared" si="43"/>
        <v>1</v>
      </c>
      <c r="AE146">
        <f t="shared" si="44"/>
        <v>1</v>
      </c>
      <c r="AF146">
        <f t="shared" si="45"/>
        <v>1</v>
      </c>
      <c r="AG146">
        <f t="shared" si="46"/>
        <v>100</v>
      </c>
    </row>
    <row r="147" spans="1:33" x14ac:dyDescent="0.2">
      <c r="A147" t="s">
        <v>127</v>
      </c>
      <c r="B147" t="s">
        <v>128</v>
      </c>
      <c r="C147">
        <v>146</v>
      </c>
      <c r="D147">
        <v>134357</v>
      </c>
      <c r="E147" t="s">
        <v>372</v>
      </c>
      <c r="F147" t="s">
        <v>9</v>
      </c>
      <c r="G147" t="s">
        <v>379</v>
      </c>
      <c r="H147" t="s">
        <v>8</v>
      </c>
      <c r="I147" t="s">
        <v>94</v>
      </c>
      <c r="J147">
        <v>5</v>
      </c>
      <c r="K147">
        <v>5</v>
      </c>
      <c r="L147">
        <v>4</v>
      </c>
      <c r="M147">
        <v>3</v>
      </c>
      <c r="N147">
        <v>3</v>
      </c>
      <c r="O147">
        <v>2</v>
      </c>
      <c r="P147" t="b">
        <f t="shared" si="37"/>
        <v>0</v>
      </c>
      <c r="S147" t="str">
        <f t="shared" si="33"/>
        <v>LATER</v>
      </c>
      <c r="T147" t="str">
        <f t="shared" si="34"/>
        <v>SainteLague</v>
      </c>
      <c r="U147">
        <f t="shared" si="36"/>
        <v>146</v>
      </c>
      <c r="V147">
        <f t="shared" si="35"/>
        <v>134357</v>
      </c>
      <c r="W147" s="8" t="str">
        <f>VLOOKUP(V147,'ideas-input'!$A:$B,2,FALSE)</f>
        <v>Github Migration - Ecossistema Expresso ADO2Github</v>
      </c>
      <c r="X147" t="str">
        <f t="shared" si="38"/>
        <v>SI</v>
      </c>
      <c r="Y147" s="8" t="str">
        <f>VLOOKUP(V147,'ideas-input'!$A:$D,4,FALSE)</f>
        <v>Mail</v>
      </c>
      <c r="Z147" t="str">
        <f t="shared" si="39"/>
        <v>Technology</v>
      </c>
      <c r="AA147" t="str">
        <f t="shared" si="40"/>
        <v>In Approval</v>
      </c>
      <c r="AB147">
        <f t="shared" si="41"/>
        <v>5</v>
      </c>
      <c r="AC147">
        <f t="shared" si="42"/>
        <v>5</v>
      </c>
      <c r="AD147">
        <f t="shared" si="43"/>
        <v>4</v>
      </c>
      <c r="AE147">
        <f t="shared" si="44"/>
        <v>3</v>
      </c>
      <c r="AF147">
        <f t="shared" si="45"/>
        <v>3</v>
      </c>
      <c r="AG147">
        <f t="shared" si="46"/>
        <v>2</v>
      </c>
    </row>
    <row r="148" spans="1:33" x14ac:dyDescent="0.2">
      <c r="A148" t="s">
        <v>127</v>
      </c>
      <c r="B148" t="s">
        <v>128</v>
      </c>
      <c r="C148">
        <v>147</v>
      </c>
      <c r="D148">
        <v>44439</v>
      </c>
      <c r="E148" t="s">
        <v>1004</v>
      </c>
      <c r="F148" t="s">
        <v>70</v>
      </c>
      <c r="G148" t="s">
        <v>10</v>
      </c>
      <c r="H148" t="s">
        <v>8</v>
      </c>
      <c r="I148" t="s">
        <v>97</v>
      </c>
      <c r="J148">
        <v>13</v>
      </c>
      <c r="K148">
        <v>0.03</v>
      </c>
      <c r="L148">
        <v>1</v>
      </c>
      <c r="M148">
        <v>1</v>
      </c>
      <c r="N148">
        <v>1</v>
      </c>
      <c r="O148">
        <v>100</v>
      </c>
      <c r="P148" t="b">
        <f t="shared" si="37"/>
        <v>0</v>
      </c>
      <c r="S148" t="str">
        <f t="shared" si="33"/>
        <v>LATER</v>
      </c>
      <c r="T148" t="str">
        <f t="shared" si="34"/>
        <v>SainteLague</v>
      </c>
      <c r="U148">
        <f t="shared" si="36"/>
        <v>147</v>
      </c>
      <c r="V148">
        <f t="shared" si="35"/>
        <v>44439</v>
      </c>
      <c r="W148" s="8" t="str">
        <f>VLOOKUP(V148,'ideas-input'!$A:$B,2,FALSE)</f>
        <v>[Desconexión SGC] Qlik - Migración App Gestión de Estacionados - Cloud</v>
      </c>
      <c r="X148" t="str">
        <f t="shared" si="38"/>
        <v>CIO</v>
      </c>
      <c r="Y148" s="8" t="str">
        <f>VLOOKUP(V148,'ideas-input'!$A:$D,4,FALSE)</f>
        <v>eCommerce</v>
      </c>
      <c r="Z148" t="str">
        <f t="shared" si="39"/>
        <v>Technology</v>
      </c>
      <c r="AA148" t="str">
        <f t="shared" si="40"/>
        <v>Ready for Solution</v>
      </c>
      <c r="AB148">
        <f t="shared" si="41"/>
        <v>13</v>
      </c>
      <c r="AC148">
        <f t="shared" si="42"/>
        <v>0.03</v>
      </c>
      <c r="AD148">
        <f t="shared" si="43"/>
        <v>1</v>
      </c>
      <c r="AE148">
        <f t="shared" si="44"/>
        <v>1</v>
      </c>
      <c r="AF148">
        <f t="shared" si="45"/>
        <v>1</v>
      </c>
      <c r="AG148">
        <f t="shared" si="46"/>
        <v>100</v>
      </c>
    </row>
    <row r="149" spans="1:33" x14ac:dyDescent="0.2">
      <c r="A149" t="s">
        <v>127</v>
      </c>
      <c r="B149" t="s">
        <v>128</v>
      </c>
      <c r="C149">
        <v>148</v>
      </c>
      <c r="D149">
        <v>185664</v>
      </c>
      <c r="E149" t="s">
        <v>164</v>
      </c>
      <c r="F149" t="s">
        <v>38</v>
      </c>
      <c r="G149" t="s">
        <v>379</v>
      </c>
      <c r="H149" t="s">
        <v>5</v>
      </c>
      <c r="I149" t="s">
        <v>95</v>
      </c>
      <c r="J149">
        <v>2</v>
      </c>
      <c r="K149">
        <v>0.03</v>
      </c>
      <c r="L149">
        <v>1</v>
      </c>
      <c r="M149">
        <v>1</v>
      </c>
      <c r="N149">
        <v>1</v>
      </c>
      <c r="O149">
        <v>100</v>
      </c>
      <c r="P149" t="b">
        <f t="shared" si="37"/>
        <v>0</v>
      </c>
      <c r="S149" t="str">
        <f t="shared" si="33"/>
        <v>LATER</v>
      </c>
      <c r="T149" t="str">
        <f t="shared" si="34"/>
        <v>SainteLague</v>
      </c>
      <c r="U149">
        <f t="shared" si="36"/>
        <v>148</v>
      </c>
      <c r="V149">
        <f t="shared" si="35"/>
        <v>185664</v>
      </c>
      <c r="W149" s="8" t="str">
        <f>VLOOKUP(V149,'ideas-input'!$A:$B,2,FALSE)</f>
        <v>PAY - Instrumento Cheques - Incremento I</v>
      </c>
      <c r="X149" t="str">
        <f t="shared" si="38"/>
        <v>CSI</v>
      </c>
      <c r="Y149" s="8" t="str">
        <f>VLOOKUP(V149,'ideas-input'!$A:$D,4,FALSE)</f>
        <v>Mail</v>
      </c>
      <c r="Z149" t="str">
        <f t="shared" si="39"/>
        <v>Commercial</v>
      </c>
      <c r="AA149" t="str">
        <f t="shared" si="40"/>
        <v>In Definition</v>
      </c>
      <c r="AB149">
        <f t="shared" si="41"/>
        <v>2</v>
      </c>
      <c r="AC149">
        <f t="shared" si="42"/>
        <v>0.03</v>
      </c>
      <c r="AD149">
        <f t="shared" si="43"/>
        <v>1</v>
      </c>
      <c r="AE149">
        <f t="shared" si="44"/>
        <v>1</v>
      </c>
      <c r="AF149">
        <f t="shared" si="45"/>
        <v>1</v>
      </c>
      <c r="AG149">
        <f t="shared" si="46"/>
        <v>100</v>
      </c>
    </row>
    <row r="150" spans="1:33" x14ac:dyDescent="0.2">
      <c r="A150" t="s">
        <v>127</v>
      </c>
      <c r="B150" t="s">
        <v>128</v>
      </c>
      <c r="C150">
        <v>149</v>
      </c>
      <c r="D150">
        <v>136235</v>
      </c>
      <c r="E150" t="s">
        <v>170</v>
      </c>
      <c r="F150" t="s">
        <v>68</v>
      </c>
      <c r="G150" t="s">
        <v>10</v>
      </c>
      <c r="H150" t="s">
        <v>5</v>
      </c>
      <c r="I150" t="s">
        <v>95</v>
      </c>
      <c r="J150">
        <v>5</v>
      </c>
      <c r="K150">
        <v>0.03</v>
      </c>
      <c r="L150">
        <v>1</v>
      </c>
      <c r="M150">
        <v>1</v>
      </c>
      <c r="N150">
        <v>1</v>
      </c>
      <c r="O150">
        <v>100</v>
      </c>
      <c r="P150" t="b">
        <f t="shared" si="37"/>
        <v>0</v>
      </c>
      <c r="S150" t="str">
        <f t="shared" si="33"/>
        <v>LATER</v>
      </c>
      <c r="T150" t="str">
        <f t="shared" si="34"/>
        <v>SainteLague</v>
      </c>
      <c r="U150">
        <f t="shared" si="36"/>
        <v>149</v>
      </c>
      <c r="V150">
        <f t="shared" si="35"/>
        <v>136235</v>
      </c>
      <c r="W150" s="8" t="str">
        <f>VLOOKUP(V150,'ideas-input'!$A:$B,2,FALSE)</f>
        <v>DHL Parcel - Webhook- Evento Recogida de Caducado en Pudo y Falso Entregado</v>
      </c>
      <c r="X150" t="str">
        <f t="shared" si="38"/>
        <v>IDC</v>
      </c>
      <c r="Y150" s="8" t="str">
        <f>VLOOKUP(V150,'ideas-input'!$A:$D,4,FALSE)</f>
        <v>eCommerce</v>
      </c>
      <c r="Z150" t="str">
        <f t="shared" si="39"/>
        <v>Commercial</v>
      </c>
      <c r="AA150" t="str">
        <f t="shared" si="40"/>
        <v>In Definition</v>
      </c>
      <c r="AB150">
        <f t="shared" si="41"/>
        <v>5</v>
      </c>
      <c r="AC150">
        <f t="shared" si="42"/>
        <v>0.03</v>
      </c>
      <c r="AD150">
        <f t="shared" si="43"/>
        <v>1</v>
      </c>
      <c r="AE150">
        <f t="shared" si="44"/>
        <v>1</v>
      </c>
      <c r="AF150">
        <f t="shared" si="45"/>
        <v>1</v>
      </c>
      <c r="AG150">
        <f t="shared" si="46"/>
        <v>100</v>
      </c>
    </row>
    <row r="151" spans="1:33" x14ac:dyDescent="0.2">
      <c r="A151" t="s">
        <v>127</v>
      </c>
      <c r="B151" t="s">
        <v>128</v>
      </c>
      <c r="C151">
        <v>150</v>
      </c>
      <c r="D151">
        <v>126509</v>
      </c>
      <c r="E151" t="s">
        <v>1618</v>
      </c>
      <c r="F151" t="s">
        <v>7</v>
      </c>
      <c r="G151" t="s">
        <v>379</v>
      </c>
      <c r="H151" t="s">
        <v>6</v>
      </c>
      <c r="I151" t="s">
        <v>91</v>
      </c>
      <c r="J151">
        <v>8</v>
      </c>
      <c r="K151">
        <v>0.03</v>
      </c>
      <c r="L151">
        <v>1</v>
      </c>
      <c r="M151">
        <v>1</v>
      </c>
      <c r="N151">
        <v>1</v>
      </c>
      <c r="O151">
        <v>100</v>
      </c>
      <c r="P151" t="b">
        <f t="shared" si="37"/>
        <v>0</v>
      </c>
      <c r="S151" t="str">
        <f t="shared" ref="S151:S214" si="47">A151</f>
        <v>LATER</v>
      </c>
      <c r="T151" t="str">
        <f t="shared" ref="T151:T214" si="48">B151</f>
        <v>SainteLague</v>
      </c>
      <c r="U151">
        <f t="shared" si="36"/>
        <v>150</v>
      </c>
      <c r="V151">
        <f t="shared" ref="V151:V214" si="49">D151</f>
        <v>126509</v>
      </c>
      <c r="W151" s="8" t="str">
        <f>VLOOKUP(V151,'ideas-input'!$A:$B,2,FALSE)</f>
        <v>Alargamento Infraestrutura  SI a outros sistemas desenvolvidos por EDO</v>
      </c>
      <c r="X151" t="str">
        <f t="shared" si="38"/>
        <v>EDO</v>
      </c>
      <c r="Y151" s="8" t="str">
        <f>VLOOKUP(V151,'ideas-input'!$A:$D,4,FALSE)</f>
        <v>Mail</v>
      </c>
      <c r="Z151" t="str">
        <f t="shared" si="39"/>
        <v>Operations</v>
      </c>
      <c r="AA151" t="str">
        <f t="shared" si="40"/>
        <v>Backlog</v>
      </c>
      <c r="AB151">
        <f t="shared" si="41"/>
        <v>8</v>
      </c>
      <c r="AC151">
        <f t="shared" si="42"/>
        <v>0.03</v>
      </c>
      <c r="AD151">
        <f t="shared" si="43"/>
        <v>1</v>
      </c>
      <c r="AE151">
        <f t="shared" si="44"/>
        <v>1</v>
      </c>
      <c r="AF151">
        <f t="shared" si="45"/>
        <v>1</v>
      </c>
      <c r="AG151">
        <f t="shared" si="46"/>
        <v>100</v>
      </c>
    </row>
    <row r="152" spans="1:33" x14ac:dyDescent="0.2">
      <c r="A152" t="s">
        <v>127</v>
      </c>
      <c r="B152" t="s">
        <v>128</v>
      </c>
      <c r="C152">
        <v>151</v>
      </c>
      <c r="D152">
        <v>52452</v>
      </c>
      <c r="E152" t="s">
        <v>1023</v>
      </c>
      <c r="F152" t="s">
        <v>64</v>
      </c>
      <c r="G152" t="s">
        <v>10</v>
      </c>
      <c r="H152" t="s">
        <v>6</v>
      </c>
      <c r="I152" t="s">
        <v>91</v>
      </c>
      <c r="J152">
        <v>21</v>
      </c>
      <c r="K152">
        <v>0.03</v>
      </c>
      <c r="L152">
        <v>1</v>
      </c>
      <c r="M152">
        <v>1</v>
      </c>
      <c r="N152">
        <v>1</v>
      </c>
      <c r="O152">
        <v>100</v>
      </c>
      <c r="P152" t="b">
        <f t="shared" si="37"/>
        <v>0</v>
      </c>
      <c r="S152" t="str">
        <f t="shared" si="47"/>
        <v>LATER</v>
      </c>
      <c r="T152" t="str">
        <f t="shared" si="48"/>
        <v>SainteLague</v>
      </c>
      <c r="U152">
        <f t="shared" si="36"/>
        <v>151</v>
      </c>
      <c r="V152">
        <f t="shared" si="49"/>
        <v>52452</v>
      </c>
      <c r="W152" s="8" t="str">
        <f>VLOOKUP(V152,'ideas-input'!$A:$B,2,FALSE)</f>
        <v>[Desconexión SGC] Grabación manual de envíos</v>
      </c>
      <c r="X152" t="str">
        <f t="shared" si="38"/>
        <v>COO</v>
      </c>
      <c r="Y152" s="8" t="str">
        <f>VLOOKUP(V152,'ideas-input'!$A:$D,4,FALSE)</f>
        <v>eCommerce</v>
      </c>
      <c r="Z152" t="str">
        <f t="shared" si="39"/>
        <v>Operations</v>
      </c>
      <c r="AA152" t="str">
        <f t="shared" si="40"/>
        <v>Backlog</v>
      </c>
      <c r="AB152">
        <f t="shared" si="41"/>
        <v>21</v>
      </c>
      <c r="AC152">
        <f t="shared" si="42"/>
        <v>0.03</v>
      </c>
      <c r="AD152">
        <f t="shared" si="43"/>
        <v>1</v>
      </c>
      <c r="AE152">
        <f t="shared" si="44"/>
        <v>1</v>
      </c>
      <c r="AF152">
        <f t="shared" si="45"/>
        <v>1</v>
      </c>
      <c r="AG152">
        <f t="shared" si="46"/>
        <v>100</v>
      </c>
    </row>
    <row r="153" spans="1:33" x14ac:dyDescent="0.2">
      <c r="A153" t="s">
        <v>127</v>
      </c>
      <c r="B153" t="s">
        <v>128</v>
      </c>
      <c r="C153">
        <v>152</v>
      </c>
      <c r="D153">
        <v>111495</v>
      </c>
      <c r="E153" t="s">
        <v>165</v>
      </c>
      <c r="F153" t="s">
        <v>47</v>
      </c>
      <c r="G153" t="s">
        <v>379</v>
      </c>
      <c r="H153" t="s">
        <v>12</v>
      </c>
      <c r="I153" t="s">
        <v>91</v>
      </c>
      <c r="J153">
        <v>2</v>
      </c>
      <c r="K153">
        <v>0.03</v>
      </c>
      <c r="L153">
        <v>1</v>
      </c>
      <c r="M153">
        <v>1</v>
      </c>
      <c r="N153">
        <v>1</v>
      </c>
      <c r="O153">
        <v>100</v>
      </c>
      <c r="P153" t="b">
        <f t="shared" si="37"/>
        <v>0</v>
      </c>
      <c r="S153" t="str">
        <f t="shared" si="47"/>
        <v>LATER</v>
      </c>
      <c r="T153" t="str">
        <f t="shared" si="48"/>
        <v>SainteLague</v>
      </c>
      <c r="U153">
        <f t="shared" si="36"/>
        <v>152</v>
      </c>
      <c r="V153">
        <f t="shared" si="49"/>
        <v>111495</v>
      </c>
      <c r="W153" s="8" t="str">
        <f>VLOOKUP(V153,'ideas-input'!$A:$B,2,FALSE)</f>
        <v>GT - Portal AON MVP (com SSO)</v>
      </c>
      <c r="X153" t="str">
        <f t="shared" si="38"/>
        <v>GT</v>
      </c>
      <c r="Y153" s="8" t="str">
        <f>VLOOKUP(V153,'ideas-input'!$A:$D,4,FALSE)</f>
        <v>Mail</v>
      </c>
      <c r="Z153" t="str">
        <f t="shared" si="39"/>
        <v>Corporate</v>
      </c>
      <c r="AA153" t="str">
        <f t="shared" si="40"/>
        <v>Backlog</v>
      </c>
      <c r="AB153">
        <f t="shared" si="41"/>
        <v>2</v>
      </c>
      <c r="AC153">
        <f t="shared" si="42"/>
        <v>0.03</v>
      </c>
      <c r="AD153">
        <f t="shared" si="43"/>
        <v>1</v>
      </c>
      <c r="AE153">
        <f t="shared" si="44"/>
        <v>1</v>
      </c>
      <c r="AF153">
        <f t="shared" si="45"/>
        <v>1</v>
      </c>
      <c r="AG153">
        <f t="shared" si="46"/>
        <v>100</v>
      </c>
    </row>
    <row r="154" spans="1:33" x14ac:dyDescent="0.2">
      <c r="A154" t="s">
        <v>127</v>
      </c>
      <c r="B154" t="s">
        <v>128</v>
      </c>
      <c r="C154">
        <v>153</v>
      </c>
      <c r="D154">
        <v>65505</v>
      </c>
      <c r="E154" t="s">
        <v>1669</v>
      </c>
      <c r="F154" t="s">
        <v>65</v>
      </c>
      <c r="G154" t="s">
        <v>10</v>
      </c>
      <c r="H154" t="s">
        <v>5</v>
      </c>
      <c r="I154" t="s">
        <v>136</v>
      </c>
      <c r="J154">
        <v>13</v>
      </c>
      <c r="K154">
        <v>2.3330000000000002</v>
      </c>
      <c r="L154">
        <v>4</v>
      </c>
      <c r="M154">
        <v>1</v>
      </c>
      <c r="N154">
        <v>2</v>
      </c>
      <c r="O154">
        <v>3</v>
      </c>
      <c r="P154" t="b">
        <f t="shared" si="37"/>
        <v>0</v>
      </c>
      <c r="S154" t="str">
        <f t="shared" si="47"/>
        <v>LATER</v>
      </c>
      <c r="T154" t="str">
        <f t="shared" si="48"/>
        <v>SainteLague</v>
      </c>
      <c r="U154">
        <f t="shared" ref="U154:U217" si="50">C154</f>
        <v>153</v>
      </c>
      <c r="V154">
        <f t="shared" si="49"/>
        <v>65505</v>
      </c>
      <c r="W154" s="8" t="str">
        <f>VLOOKUP(V154,'ideas-input'!$A:$B,2,FALSE)</f>
        <v>[NEXUS] [Desconexión SGC - FR y BR]  [Web de clientes] Configuración - Administración, gestión de usuarios y centros de FRANQUICIAS y BROKERS (settings)</v>
      </c>
      <c r="X154" t="str">
        <f t="shared" si="38"/>
        <v>CMO</v>
      </c>
      <c r="Y154" s="8" t="str">
        <f>VLOOKUP(V154,'ideas-input'!$A:$D,4,FALSE)</f>
        <v>eCommerce</v>
      </c>
      <c r="Z154" t="str">
        <f t="shared" si="39"/>
        <v>Commercial</v>
      </c>
      <c r="AA154" t="str">
        <f t="shared" si="40"/>
        <v>In Solution</v>
      </c>
      <c r="AB154">
        <f t="shared" si="41"/>
        <v>13</v>
      </c>
      <c r="AC154">
        <f t="shared" si="42"/>
        <v>2.3330000000000002</v>
      </c>
      <c r="AD154">
        <f t="shared" si="43"/>
        <v>4</v>
      </c>
      <c r="AE154">
        <f t="shared" si="44"/>
        <v>1</v>
      </c>
      <c r="AF154">
        <f t="shared" si="45"/>
        <v>2</v>
      </c>
      <c r="AG154">
        <f t="shared" si="46"/>
        <v>3</v>
      </c>
    </row>
    <row r="155" spans="1:33" x14ac:dyDescent="0.2">
      <c r="A155" t="s">
        <v>127</v>
      </c>
      <c r="B155" t="s">
        <v>128</v>
      </c>
      <c r="C155">
        <v>154</v>
      </c>
      <c r="D155">
        <v>126586</v>
      </c>
      <c r="E155" t="s">
        <v>1013</v>
      </c>
      <c r="F155" t="s">
        <v>9</v>
      </c>
      <c r="G155" t="s">
        <v>379</v>
      </c>
      <c r="H155" t="s">
        <v>8</v>
      </c>
      <c r="I155" t="s">
        <v>136</v>
      </c>
      <c r="J155">
        <v>6</v>
      </c>
      <c r="K155">
        <v>3</v>
      </c>
      <c r="L155">
        <v>5</v>
      </c>
      <c r="M155">
        <v>2</v>
      </c>
      <c r="N155">
        <v>2</v>
      </c>
      <c r="O155">
        <v>3</v>
      </c>
      <c r="P155" t="b">
        <f t="shared" si="37"/>
        <v>0</v>
      </c>
      <c r="S155" t="str">
        <f t="shared" si="47"/>
        <v>LATER</v>
      </c>
      <c r="T155" t="str">
        <f t="shared" si="48"/>
        <v>SainteLague</v>
      </c>
      <c r="U155">
        <f t="shared" si="50"/>
        <v>154</v>
      </c>
      <c r="V155">
        <f t="shared" si="49"/>
        <v>126586</v>
      </c>
      <c r="W155" s="8" t="str">
        <f>VLOOKUP(V155,'ideas-input'!$A:$B,2,FALSE)</f>
        <v>Renovação core LAN Porto</v>
      </c>
      <c r="X155" t="str">
        <f t="shared" si="38"/>
        <v>SI</v>
      </c>
      <c r="Y155" s="8" t="str">
        <f>VLOOKUP(V155,'ideas-input'!$A:$D,4,FALSE)</f>
        <v>Mail</v>
      </c>
      <c r="Z155" t="str">
        <f t="shared" si="39"/>
        <v>Technology</v>
      </c>
      <c r="AA155" t="str">
        <f t="shared" si="40"/>
        <v>In Solution</v>
      </c>
      <c r="AB155">
        <f t="shared" si="41"/>
        <v>6</v>
      </c>
      <c r="AC155">
        <f t="shared" si="42"/>
        <v>3</v>
      </c>
      <c r="AD155">
        <f t="shared" si="43"/>
        <v>5</v>
      </c>
      <c r="AE155">
        <f t="shared" si="44"/>
        <v>2</v>
      </c>
      <c r="AF155">
        <f t="shared" si="45"/>
        <v>2</v>
      </c>
      <c r="AG155">
        <f t="shared" si="46"/>
        <v>3</v>
      </c>
    </row>
    <row r="156" spans="1:33" x14ac:dyDescent="0.2">
      <c r="A156" t="s">
        <v>127</v>
      </c>
      <c r="B156" t="s">
        <v>128</v>
      </c>
      <c r="C156">
        <v>155</v>
      </c>
      <c r="D156">
        <v>44047</v>
      </c>
      <c r="E156" t="s">
        <v>1029</v>
      </c>
      <c r="F156" t="s">
        <v>64</v>
      </c>
      <c r="G156" t="s">
        <v>10</v>
      </c>
      <c r="H156" t="s">
        <v>6</v>
      </c>
      <c r="I156" t="s">
        <v>95</v>
      </c>
      <c r="J156">
        <v>22</v>
      </c>
      <c r="K156">
        <v>0.03</v>
      </c>
      <c r="L156">
        <v>1</v>
      </c>
      <c r="M156">
        <v>1</v>
      </c>
      <c r="N156">
        <v>1</v>
      </c>
      <c r="O156">
        <v>100</v>
      </c>
      <c r="P156" t="b">
        <f t="shared" si="37"/>
        <v>0</v>
      </c>
      <c r="S156" t="str">
        <f t="shared" si="47"/>
        <v>LATER</v>
      </c>
      <c r="T156" t="str">
        <f t="shared" si="48"/>
        <v>SainteLague</v>
      </c>
      <c r="U156">
        <f t="shared" si="50"/>
        <v>155</v>
      </c>
      <c r="V156">
        <f t="shared" si="49"/>
        <v>44047</v>
      </c>
      <c r="W156" s="8" t="str">
        <f>VLOOKUP(V156,'ideas-input'!$A:$B,2,FALSE)</f>
        <v>[Desconexión SGC] [Salesforce] - Gestión de las canalizaciones por el equipo de Operaciones desde Salesforce</v>
      </c>
      <c r="X156" t="str">
        <f t="shared" si="38"/>
        <v>COO</v>
      </c>
      <c r="Y156" s="8" t="str">
        <f>VLOOKUP(V156,'ideas-input'!$A:$D,4,FALSE)</f>
        <v>eCommerce</v>
      </c>
      <c r="Z156" t="str">
        <f t="shared" si="39"/>
        <v>Operations</v>
      </c>
      <c r="AA156" t="str">
        <f t="shared" si="40"/>
        <v>In Definition</v>
      </c>
      <c r="AB156">
        <f t="shared" si="41"/>
        <v>22</v>
      </c>
      <c r="AC156">
        <f t="shared" si="42"/>
        <v>0.03</v>
      </c>
      <c r="AD156">
        <f t="shared" si="43"/>
        <v>1</v>
      </c>
      <c r="AE156">
        <f t="shared" si="44"/>
        <v>1</v>
      </c>
      <c r="AF156">
        <f t="shared" si="45"/>
        <v>1</v>
      </c>
      <c r="AG156">
        <f t="shared" si="46"/>
        <v>100</v>
      </c>
    </row>
    <row r="157" spans="1:33" x14ac:dyDescent="0.2">
      <c r="A157" t="s">
        <v>127</v>
      </c>
      <c r="B157" t="s">
        <v>128</v>
      </c>
      <c r="C157">
        <v>156</v>
      </c>
      <c r="D157">
        <v>116662</v>
      </c>
      <c r="E157" t="s">
        <v>1028</v>
      </c>
      <c r="F157" t="s">
        <v>21</v>
      </c>
      <c r="G157" t="s">
        <v>379</v>
      </c>
      <c r="H157" t="s">
        <v>5</v>
      </c>
      <c r="I157" t="s">
        <v>136</v>
      </c>
      <c r="J157">
        <v>3</v>
      </c>
      <c r="K157">
        <v>7.0000000000000007E-2</v>
      </c>
      <c r="L157">
        <v>5</v>
      </c>
      <c r="M157">
        <v>1</v>
      </c>
      <c r="N157">
        <v>1</v>
      </c>
      <c r="O157">
        <v>100</v>
      </c>
      <c r="P157" t="b">
        <f t="shared" si="37"/>
        <v>0</v>
      </c>
      <c r="S157" t="str">
        <f t="shared" si="47"/>
        <v>LATER</v>
      </c>
      <c r="T157" t="str">
        <f t="shared" si="48"/>
        <v>SainteLague</v>
      </c>
      <c r="U157">
        <f t="shared" si="50"/>
        <v>156</v>
      </c>
      <c r="V157">
        <f t="shared" si="49"/>
        <v>116662</v>
      </c>
      <c r="W157" s="8" t="str">
        <f>VLOOKUP(V157,'ideas-input'!$A:$B,2,FALSE)</f>
        <v>Aviso de Receção (AR) Digital nos Postos</v>
      </c>
      <c r="X157" t="str">
        <f t="shared" si="38"/>
        <v>GP B2B</v>
      </c>
      <c r="Y157" s="8" t="str">
        <f>VLOOKUP(V157,'ideas-input'!$A:$D,4,FALSE)</f>
        <v>Mail</v>
      </c>
      <c r="Z157" t="str">
        <f t="shared" si="39"/>
        <v>Commercial</v>
      </c>
      <c r="AA157" t="str">
        <f t="shared" si="40"/>
        <v>In Solution</v>
      </c>
      <c r="AB157">
        <f t="shared" si="41"/>
        <v>3</v>
      </c>
      <c r="AC157">
        <f t="shared" si="42"/>
        <v>7.0000000000000007E-2</v>
      </c>
      <c r="AD157">
        <f t="shared" si="43"/>
        <v>5</v>
      </c>
      <c r="AE157">
        <f t="shared" si="44"/>
        <v>1</v>
      </c>
      <c r="AF157">
        <f t="shared" si="45"/>
        <v>1</v>
      </c>
      <c r="AG157">
        <f t="shared" si="46"/>
        <v>100</v>
      </c>
    </row>
    <row r="158" spans="1:33" x14ac:dyDescent="0.2">
      <c r="A158" t="s">
        <v>127</v>
      </c>
      <c r="B158" t="s">
        <v>128</v>
      </c>
      <c r="C158">
        <v>157</v>
      </c>
      <c r="D158">
        <v>48628</v>
      </c>
      <c r="E158" t="s">
        <v>1018</v>
      </c>
      <c r="F158" t="s">
        <v>67</v>
      </c>
      <c r="G158" t="s">
        <v>10</v>
      </c>
      <c r="H158" t="s">
        <v>12</v>
      </c>
      <c r="I158" t="s">
        <v>97</v>
      </c>
      <c r="J158">
        <v>7</v>
      </c>
      <c r="K158">
        <v>0.03</v>
      </c>
      <c r="L158">
        <v>1</v>
      </c>
      <c r="M158">
        <v>1</v>
      </c>
      <c r="N158">
        <v>1</v>
      </c>
      <c r="O158">
        <v>100</v>
      </c>
      <c r="P158" t="b">
        <f t="shared" si="37"/>
        <v>0</v>
      </c>
      <c r="S158" t="str">
        <f t="shared" si="47"/>
        <v>LATER</v>
      </c>
      <c r="T158" t="str">
        <f t="shared" si="48"/>
        <v>SainteLague</v>
      </c>
      <c r="U158">
        <f t="shared" si="50"/>
        <v>157</v>
      </c>
      <c r="V158">
        <f t="shared" si="49"/>
        <v>48628</v>
      </c>
      <c r="W158" s="8" t="str">
        <f>VLOOKUP(V158,'ideas-input'!$A:$B,2,FALSE)</f>
        <v>[Desconexión SGC] [Salesforce] - Integración de GoContact IVR con el Cloud (Service)</v>
      </c>
      <c r="X158" t="str">
        <f t="shared" si="38"/>
        <v>ATC</v>
      </c>
      <c r="Y158" s="8" t="str">
        <f>VLOOKUP(V158,'ideas-input'!$A:$D,4,FALSE)</f>
        <v>eCommerce</v>
      </c>
      <c r="Z158" t="str">
        <f t="shared" si="39"/>
        <v>Corporate</v>
      </c>
      <c r="AA158" t="str">
        <f t="shared" si="40"/>
        <v>Ready for Solution</v>
      </c>
      <c r="AB158">
        <f t="shared" si="41"/>
        <v>7</v>
      </c>
      <c r="AC158">
        <f t="shared" si="42"/>
        <v>0.03</v>
      </c>
      <c r="AD158">
        <f t="shared" si="43"/>
        <v>1</v>
      </c>
      <c r="AE158">
        <f t="shared" si="44"/>
        <v>1</v>
      </c>
      <c r="AF158">
        <f t="shared" si="45"/>
        <v>1</v>
      </c>
      <c r="AG158">
        <f t="shared" si="46"/>
        <v>100</v>
      </c>
    </row>
    <row r="159" spans="1:33" x14ac:dyDescent="0.2">
      <c r="A159" t="s">
        <v>127</v>
      </c>
      <c r="B159" t="s">
        <v>128</v>
      </c>
      <c r="C159">
        <v>158</v>
      </c>
      <c r="D159">
        <v>44975</v>
      </c>
      <c r="E159" t="s">
        <v>1671</v>
      </c>
      <c r="F159" t="s">
        <v>7</v>
      </c>
      <c r="G159" t="s">
        <v>379</v>
      </c>
      <c r="H159" t="s">
        <v>6</v>
      </c>
      <c r="I159" t="s">
        <v>91</v>
      </c>
      <c r="J159">
        <v>9</v>
      </c>
      <c r="K159">
        <v>0.03</v>
      </c>
      <c r="L159">
        <v>1</v>
      </c>
      <c r="M159">
        <v>1</v>
      </c>
      <c r="N159">
        <v>1</v>
      </c>
      <c r="O159">
        <v>100</v>
      </c>
      <c r="P159" t="b">
        <f t="shared" si="37"/>
        <v>0</v>
      </c>
      <c r="S159" t="str">
        <f t="shared" si="47"/>
        <v>LATER</v>
      </c>
      <c r="T159" t="str">
        <f t="shared" si="48"/>
        <v>SainteLague</v>
      </c>
      <c r="U159">
        <f t="shared" si="50"/>
        <v>158</v>
      </c>
      <c r="V159">
        <f t="shared" si="49"/>
        <v>44975</v>
      </c>
      <c r="W159" s="8" t="str">
        <f>VLOOKUP(V159,'ideas-input'!$A:$B,2,FALSE)</f>
        <v>Servidor  Decisões: Update automatico para a nova versão ODM</v>
      </c>
      <c r="X159" t="str">
        <f t="shared" si="38"/>
        <v>EDO</v>
      </c>
      <c r="Y159" s="8" t="str">
        <f>VLOOKUP(V159,'ideas-input'!$A:$D,4,FALSE)</f>
        <v>eCommerce</v>
      </c>
      <c r="Z159" t="str">
        <f t="shared" si="39"/>
        <v>Operations</v>
      </c>
      <c r="AA159" t="str">
        <f t="shared" si="40"/>
        <v>Backlog</v>
      </c>
      <c r="AB159">
        <f t="shared" si="41"/>
        <v>9</v>
      </c>
      <c r="AC159">
        <f t="shared" si="42"/>
        <v>0.03</v>
      </c>
      <c r="AD159">
        <f t="shared" si="43"/>
        <v>1</v>
      </c>
      <c r="AE159">
        <f t="shared" si="44"/>
        <v>1</v>
      </c>
      <c r="AF159">
        <f t="shared" si="45"/>
        <v>1</v>
      </c>
      <c r="AG159">
        <f t="shared" si="46"/>
        <v>100</v>
      </c>
    </row>
    <row r="160" spans="1:33" x14ac:dyDescent="0.2">
      <c r="A160" t="s">
        <v>127</v>
      </c>
      <c r="B160" t="s">
        <v>128</v>
      </c>
      <c r="C160">
        <v>159</v>
      </c>
      <c r="D160">
        <v>63723</v>
      </c>
      <c r="E160" t="s">
        <v>1010</v>
      </c>
      <c r="F160" t="s">
        <v>70</v>
      </c>
      <c r="G160" t="s">
        <v>10</v>
      </c>
      <c r="H160" t="s">
        <v>8</v>
      </c>
      <c r="I160" t="s">
        <v>95</v>
      </c>
      <c r="J160">
        <v>14</v>
      </c>
      <c r="K160">
        <v>0.03</v>
      </c>
      <c r="L160">
        <v>1</v>
      </c>
      <c r="M160">
        <v>1</v>
      </c>
      <c r="N160">
        <v>1</v>
      </c>
      <c r="O160">
        <v>100</v>
      </c>
      <c r="P160" t="b">
        <f t="shared" si="37"/>
        <v>0</v>
      </c>
      <c r="S160" t="str">
        <f t="shared" si="47"/>
        <v>LATER</v>
      </c>
      <c r="T160" t="str">
        <f t="shared" si="48"/>
        <v>SainteLague</v>
      </c>
      <c r="U160">
        <f t="shared" si="50"/>
        <v>159</v>
      </c>
      <c r="V160">
        <f t="shared" si="49"/>
        <v>63723</v>
      </c>
      <c r="W160" s="8" t="str">
        <f>VLOOKUP(V160,'ideas-input'!$A:$B,2,FALSE)</f>
        <v>[Minerva] - Cambiar método de autenticación en Minerva</v>
      </c>
      <c r="X160" t="str">
        <f t="shared" si="38"/>
        <v>CIO</v>
      </c>
      <c r="Y160" s="8" t="str">
        <f>VLOOKUP(V160,'ideas-input'!$A:$D,4,FALSE)</f>
        <v>eCommerce</v>
      </c>
      <c r="Z160" t="str">
        <f t="shared" si="39"/>
        <v>Technology</v>
      </c>
      <c r="AA160" t="str">
        <f t="shared" si="40"/>
        <v>In Definition</v>
      </c>
      <c r="AB160">
        <f t="shared" si="41"/>
        <v>14</v>
      </c>
      <c r="AC160">
        <f t="shared" si="42"/>
        <v>0.03</v>
      </c>
      <c r="AD160">
        <f t="shared" si="43"/>
        <v>1</v>
      </c>
      <c r="AE160">
        <f t="shared" si="44"/>
        <v>1</v>
      </c>
      <c r="AF160">
        <f t="shared" si="45"/>
        <v>1</v>
      </c>
      <c r="AG160">
        <f t="shared" si="46"/>
        <v>100</v>
      </c>
    </row>
    <row r="161" spans="1:33" x14ac:dyDescent="0.2">
      <c r="A161" t="s">
        <v>127</v>
      </c>
      <c r="B161" t="s">
        <v>128</v>
      </c>
      <c r="C161">
        <v>160</v>
      </c>
      <c r="D161">
        <v>139710</v>
      </c>
      <c r="E161" t="s">
        <v>1634</v>
      </c>
      <c r="F161" t="s">
        <v>23</v>
      </c>
      <c r="G161" t="s">
        <v>379</v>
      </c>
      <c r="H161" t="s">
        <v>5</v>
      </c>
      <c r="I161" t="s">
        <v>91</v>
      </c>
      <c r="J161">
        <v>3</v>
      </c>
      <c r="K161">
        <v>0.03</v>
      </c>
      <c r="L161">
        <v>1</v>
      </c>
      <c r="M161">
        <v>1</v>
      </c>
      <c r="N161">
        <v>1</v>
      </c>
      <c r="O161">
        <v>100</v>
      </c>
      <c r="P161" t="b">
        <f t="shared" si="37"/>
        <v>0</v>
      </c>
      <c r="S161" t="str">
        <f t="shared" si="47"/>
        <v>LATER</v>
      </c>
      <c r="T161" t="str">
        <f t="shared" si="48"/>
        <v>SainteLague</v>
      </c>
      <c r="U161">
        <f t="shared" si="50"/>
        <v>160</v>
      </c>
      <c r="V161">
        <f t="shared" si="49"/>
        <v>139710</v>
      </c>
      <c r="W161" s="8" t="str">
        <f>VLOOKUP(V161,'ideas-input'!$A:$B,2,FALSE)</f>
        <v>[NEXUS][PT]-  PRODUCTO INTERNACIONAL</v>
      </c>
      <c r="X161" t="str">
        <f t="shared" si="38"/>
        <v>GP ECL</v>
      </c>
      <c r="Y161" s="8" t="str">
        <f>VLOOKUP(V161,'ideas-input'!$A:$D,4,FALSE)</f>
        <v>eCommerce</v>
      </c>
      <c r="Z161" t="str">
        <f t="shared" si="39"/>
        <v>Commercial</v>
      </c>
      <c r="AA161" t="str">
        <f t="shared" si="40"/>
        <v>Backlog</v>
      </c>
      <c r="AB161">
        <f t="shared" si="41"/>
        <v>3</v>
      </c>
      <c r="AC161">
        <f t="shared" si="42"/>
        <v>0.03</v>
      </c>
      <c r="AD161">
        <f t="shared" si="43"/>
        <v>1</v>
      </c>
      <c r="AE161">
        <f t="shared" si="44"/>
        <v>1</v>
      </c>
      <c r="AF161">
        <f t="shared" si="45"/>
        <v>1</v>
      </c>
      <c r="AG161">
        <f t="shared" si="46"/>
        <v>100</v>
      </c>
    </row>
    <row r="162" spans="1:33" x14ac:dyDescent="0.2">
      <c r="A162" t="s">
        <v>127</v>
      </c>
      <c r="B162" t="s">
        <v>128</v>
      </c>
      <c r="C162">
        <v>161</v>
      </c>
      <c r="D162">
        <v>132537</v>
      </c>
      <c r="E162" t="s">
        <v>1039</v>
      </c>
      <c r="F162" t="s">
        <v>66</v>
      </c>
      <c r="G162" t="s">
        <v>10</v>
      </c>
      <c r="H162" t="s">
        <v>5</v>
      </c>
      <c r="I162" t="s">
        <v>96</v>
      </c>
      <c r="J162">
        <v>7</v>
      </c>
      <c r="K162">
        <v>0.06</v>
      </c>
      <c r="L162">
        <v>3</v>
      </c>
      <c r="M162">
        <v>1</v>
      </c>
      <c r="N162">
        <v>2</v>
      </c>
      <c r="O162">
        <v>100</v>
      </c>
      <c r="P162" t="b">
        <f t="shared" si="37"/>
        <v>0</v>
      </c>
      <c r="S162" t="str">
        <f t="shared" si="47"/>
        <v>LATER</v>
      </c>
      <c r="T162" t="str">
        <f t="shared" si="48"/>
        <v>SainteLague</v>
      </c>
      <c r="U162">
        <f t="shared" si="50"/>
        <v>161</v>
      </c>
      <c r="V162">
        <f t="shared" si="49"/>
        <v>132537</v>
      </c>
      <c r="W162" s="8" t="str">
        <f>VLOOKUP(V162,'ideas-input'!$A:$B,2,FALSE)</f>
        <v>[Qlik] - Creación de un nueva dimensión Tipo Comercial Histórico</v>
      </c>
      <c r="X162" t="str">
        <f t="shared" si="38"/>
        <v>CCO</v>
      </c>
      <c r="Y162" s="8" t="str">
        <f>VLOOKUP(V162,'ideas-input'!$A:$D,4,FALSE)</f>
        <v>eCommerce</v>
      </c>
      <c r="Z162" t="str">
        <f t="shared" si="39"/>
        <v>Commercial</v>
      </c>
      <c r="AA162" t="str">
        <f t="shared" si="40"/>
        <v>Ready for Approval</v>
      </c>
      <c r="AB162">
        <f t="shared" si="41"/>
        <v>7</v>
      </c>
      <c r="AC162">
        <f t="shared" si="42"/>
        <v>0.06</v>
      </c>
      <c r="AD162">
        <f t="shared" si="43"/>
        <v>3</v>
      </c>
      <c r="AE162">
        <f t="shared" si="44"/>
        <v>1</v>
      </c>
      <c r="AF162">
        <f t="shared" si="45"/>
        <v>2</v>
      </c>
      <c r="AG162">
        <f t="shared" si="46"/>
        <v>100</v>
      </c>
    </row>
    <row r="163" spans="1:33" x14ac:dyDescent="0.2">
      <c r="A163" t="s">
        <v>127</v>
      </c>
      <c r="B163" t="s">
        <v>128</v>
      </c>
      <c r="C163">
        <v>162</v>
      </c>
      <c r="D163">
        <v>69892</v>
      </c>
      <c r="E163" t="s">
        <v>1040</v>
      </c>
      <c r="F163" t="s">
        <v>7</v>
      </c>
      <c r="G163" t="s">
        <v>379</v>
      </c>
      <c r="H163" t="s">
        <v>6</v>
      </c>
      <c r="I163" t="s">
        <v>91</v>
      </c>
      <c r="J163">
        <v>10</v>
      </c>
      <c r="K163">
        <v>0.03</v>
      </c>
      <c r="L163">
        <v>1</v>
      </c>
      <c r="M163">
        <v>1</v>
      </c>
      <c r="N163">
        <v>1</v>
      </c>
      <c r="O163">
        <v>100</v>
      </c>
      <c r="P163" t="b">
        <f t="shared" si="37"/>
        <v>0</v>
      </c>
      <c r="S163" t="str">
        <f t="shared" si="47"/>
        <v>LATER</v>
      </c>
      <c r="T163" t="str">
        <f t="shared" si="48"/>
        <v>SainteLague</v>
      </c>
      <c r="U163">
        <f t="shared" si="50"/>
        <v>162</v>
      </c>
      <c r="V163">
        <f t="shared" si="49"/>
        <v>69892</v>
      </c>
      <c r="W163" s="8" t="str">
        <f>VLOOKUP(V163,'ideas-input'!$A:$B,2,FALSE)</f>
        <v>Teleponto / Dol - Registo de situações de doenças</v>
      </c>
      <c r="X163" t="str">
        <f t="shared" si="38"/>
        <v>EDO</v>
      </c>
      <c r="Y163" s="8" t="str">
        <f>VLOOKUP(V163,'ideas-input'!$A:$D,4,FALSE)</f>
        <v>Mail</v>
      </c>
      <c r="Z163" t="str">
        <f t="shared" si="39"/>
        <v>Operations</v>
      </c>
      <c r="AA163" t="str">
        <f t="shared" si="40"/>
        <v>Backlog</v>
      </c>
      <c r="AB163">
        <f t="shared" si="41"/>
        <v>10</v>
      </c>
      <c r="AC163">
        <f t="shared" si="42"/>
        <v>0.03</v>
      </c>
      <c r="AD163">
        <f t="shared" si="43"/>
        <v>1</v>
      </c>
      <c r="AE163">
        <f t="shared" si="44"/>
        <v>1</v>
      </c>
      <c r="AF163">
        <f t="shared" si="45"/>
        <v>1</v>
      </c>
      <c r="AG163">
        <f t="shared" si="46"/>
        <v>100</v>
      </c>
    </row>
    <row r="164" spans="1:33" x14ac:dyDescent="0.2">
      <c r="A164" t="s">
        <v>127</v>
      </c>
      <c r="B164" t="s">
        <v>128</v>
      </c>
      <c r="C164">
        <v>163</v>
      </c>
      <c r="D164">
        <v>52450</v>
      </c>
      <c r="E164" t="s">
        <v>1035</v>
      </c>
      <c r="F164" t="s">
        <v>64</v>
      </c>
      <c r="G164" t="s">
        <v>10</v>
      </c>
      <c r="H164" t="s">
        <v>6</v>
      </c>
      <c r="I164" t="s">
        <v>95</v>
      </c>
      <c r="J164">
        <v>23</v>
      </c>
      <c r="K164">
        <v>0.03</v>
      </c>
      <c r="L164">
        <v>1</v>
      </c>
      <c r="M164">
        <v>1</v>
      </c>
      <c r="N164">
        <v>1</v>
      </c>
      <c r="O164">
        <v>100</v>
      </c>
      <c r="P164" t="b">
        <f t="shared" si="37"/>
        <v>0</v>
      </c>
      <c r="S164" t="str">
        <f t="shared" si="47"/>
        <v>LATER</v>
      </c>
      <c r="T164" t="str">
        <f t="shared" si="48"/>
        <v>SainteLague</v>
      </c>
      <c r="U164">
        <f t="shared" si="50"/>
        <v>163</v>
      </c>
      <c r="V164">
        <f t="shared" si="49"/>
        <v>52450</v>
      </c>
      <c r="W164" s="8" t="str">
        <f>VLOOKUP(V164,'ideas-input'!$A:$B,2,FALSE)</f>
        <v>[Desconexión SGC] Reetiquetado</v>
      </c>
      <c r="X164" t="str">
        <f t="shared" si="38"/>
        <v>COO</v>
      </c>
      <c r="Y164" s="8" t="str">
        <f>VLOOKUP(V164,'ideas-input'!$A:$D,4,FALSE)</f>
        <v>eCommerce</v>
      </c>
      <c r="Z164" t="str">
        <f t="shared" si="39"/>
        <v>Operations</v>
      </c>
      <c r="AA164" t="str">
        <f t="shared" si="40"/>
        <v>In Definition</v>
      </c>
      <c r="AB164">
        <f t="shared" si="41"/>
        <v>23</v>
      </c>
      <c r="AC164">
        <f t="shared" si="42"/>
        <v>0.03</v>
      </c>
      <c r="AD164">
        <f t="shared" si="43"/>
        <v>1</v>
      </c>
      <c r="AE164">
        <f t="shared" si="44"/>
        <v>1</v>
      </c>
      <c r="AF164">
        <f t="shared" si="45"/>
        <v>1</v>
      </c>
      <c r="AG164">
        <f t="shared" si="46"/>
        <v>100</v>
      </c>
    </row>
    <row r="165" spans="1:33" x14ac:dyDescent="0.2">
      <c r="A165" t="s">
        <v>127</v>
      </c>
      <c r="B165" t="s">
        <v>128</v>
      </c>
      <c r="C165">
        <v>164</v>
      </c>
      <c r="D165">
        <v>131776</v>
      </c>
      <c r="E165" t="s">
        <v>1016</v>
      </c>
      <c r="F165" t="s">
        <v>98</v>
      </c>
      <c r="G165" t="s">
        <v>379</v>
      </c>
      <c r="H165" t="s">
        <v>12</v>
      </c>
      <c r="I165" t="s">
        <v>91</v>
      </c>
      <c r="J165">
        <v>2</v>
      </c>
      <c r="K165">
        <v>4</v>
      </c>
      <c r="L165">
        <v>4</v>
      </c>
      <c r="M165">
        <v>2</v>
      </c>
      <c r="N165">
        <v>2</v>
      </c>
      <c r="O165">
        <v>2</v>
      </c>
      <c r="P165" t="b">
        <f t="shared" si="37"/>
        <v>0</v>
      </c>
      <c r="S165" t="str">
        <f t="shared" si="47"/>
        <v>LATER</v>
      </c>
      <c r="T165" t="str">
        <f t="shared" si="48"/>
        <v>SainteLague</v>
      </c>
      <c r="U165">
        <f t="shared" si="50"/>
        <v>164</v>
      </c>
      <c r="V165">
        <f t="shared" si="49"/>
        <v>131776</v>
      </c>
      <c r="W165" s="8" t="str">
        <f>VLOOKUP(V165,'ideas-input'!$A:$B,2,FALSE)</f>
        <v>NOXUS - Plataforma de IA</v>
      </c>
      <c r="X165" t="str">
        <f t="shared" si="38"/>
        <v>PC</v>
      </c>
      <c r="Y165" s="8" t="str">
        <f>VLOOKUP(V165,'ideas-input'!$A:$D,4,FALSE)</f>
        <v>Mail</v>
      </c>
      <c r="Z165" t="str">
        <f t="shared" si="39"/>
        <v>Corporate</v>
      </c>
      <c r="AA165" t="str">
        <f t="shared" si="40"/>
        <v>Backlog</v>
      </c>
      <c r="AB165">
        <f t="shared" si="41"/>
        <v>2</v>
      </c>
      <c r="AC165">
        <f t="shared" si="42"/>
        <v>4</v>
      </c>
      <c r="AD165">
        <f t="shared" si="43"/>
        <v>4</v>
      </c>
      <c r="AE165">
        <f t="shared" si="44"/>
        <v>2</v>
      </c>
      <c r="AF165">
        <f t="shared" si="45"/>
        <v>2</v>
      </c>
      <c r="AG165">
        <f t="shared" si="46"/>
        <v>2</v>
      </c>
    </row>
    <row r="166" spans="1:33" x14ac:dyDescent="0.2">
      <c r="A166" t="s">
        <v>127</v>
      </c>
      <c r="B166" t="s">
        <v>128</v>
      </c>
      <c r="C166">
        <v>165</v>
      </c>
      <c r="D166">
        <v>43538</v>
      </c>
      <c r="E166" t="s">
        <v>1025</v>
      </c>
      <c r="F166" t="s">
        <v>69</v>
      </c>
      <c r="G166" t="s">
        <v>10</v>
      </c>
      <c r="H166" t="s">
        <v>12</v>
      </c>
      <c r="I166" t="s">
        <v>136</v>
      </c>
      <c r="J166">
        <v>6</v>
      </c>
      <c r="K166">
        <v>0.03</v>
      </c>
      <c r="L166">
        <v>1</v>
      </c>
      <c r="M166">
        <v>1</v>
      </c>
      <c r="N166">
        <v>1</v>
      </c>
      <c r="O166">
        <v>100</v>
      </c>
      <c r="P166" t="b">
        <f t="shared" si="37"/>
        <v>0</v>
      </c>
      <c r="S166" t="str">
        <f t="shared" si="47"/>
        <v>LATER</v>
      </c>
      <c r="T166" t="str">
        <f t="shared" si="48"/>
        <v>SainteLague</v>
      </c>
      <c r="U166">
        <f t="shared" si="50"/>
        <v>165</v>
      </c>
      <c r="V166">
        <f t="shared" si="49"/>
        <v>43538</v>
      </c>
      <c r="W166" s="8" t="str">
        <f>VLOOKUP(V166,'ideas-input'!$A:$B,2,FALSE)</f>
        <v>[Evolutivos SGC Finanzas] Validación de país y CP en manifiestos</v>
      </c>
      <c r="X166" t="str">
        <f t="shared" si="38"/>
        <v>CFO</v>
      </c>
      <c r="Y166" s="8" t="str">
        <f>VLOOKUP(V166,'ideas-input'!$A:$D,4,FALSE)</f>
        <v>eCommerce</v>
      </c>
      <c r="Z166" t="str">
        <f t="shared" si="39"/>
        <v>Corporate</v>
      </c>
      <c r="AA166" t="str">
        <f t="shared" si="40"/>
        <v>In Solution</v>
      </c>
      <c r="AB166">
        <f t="shared" si="41"/>
        <v>6</v>
      </c>
      <c r="AC166">
        <f t="shared" si="42"/>
        <v>0.03</v>
      </c>
      <c r="AD166">
        <f t="shared" si="43"/>
        <v>1</v>
      </c>
      <c r="AE166">
        <f t="shared" si="44"/>
        <v>1</v>
      </c>
      <c r="AF166">
        <f t="shared" si="45"/>
        <v>1</v>
      </c>
      <c r="AG166">
        <f t="shared" si="46"/>
        <v>100</v>
      </c>
    </row>
    <row r="167" spans="1:33" x14ac:dyDescent="0.2">
      <c r="A167" t="s">
        <v>127</v>
      </c>
      <c r="B167" t="s">
        <v>128</v>
      </c>
      <c r="C167">
        <v>166</v>
      </c>
      <c r="D167">
        <v>180670</v>
      </c>
      <c r="E167" t="s">
        <v>213</v>
      </c>
      <c r="F167" t="s">
        <v>9</v>
      </c>
      <c r="G167" t="s">
        <v>379</v>
      </c>
      <c r="H167" t="s">
        <v>8</v>
      </c>
      <c r="I167" t="s">
        <v>136</v>
      </c>
      <c r="J167">
        <v>7</v>
      </c>
      <c r="K167">
        <v>0.03</v>
      </c>
      <c r="L167">
        <v>1</v>
      </c>
      <c r="M167">
        <v>1</v>
      </c>
      <c r="N167">
        <v>1</v>
      </c>
      <c r="O167">
        <v>100</v>
      </c>
      <c r="P167" t="b">
        <f t="shared" si="37"/>
        <v>0</v>
      </c>
      <c r="S167" t="str">
        <f t="shared" si="47"/>
        <v>LATER</v>
      </c>
      <c r="T167" t="str">
        <f t="shared" si="48"/>
        <v>SainteLague</v>
      </c>
      <c r="U167">
        <f t="shared" si="50"/>
        <v>166</v>
      </c>
      <c r="V167">
        <f t="shared" si="49"/>
        <v>180670</v>
      </c>
      <c r="W167" s="8" t="str">
        <f>VLOOKUP(V167,'ideas-input'!$A:$B,2,FALSE)</f>
        <v>INT | IBM Sterling File Gateway - implementar balanceamento</v>
      </c>
      <c r="X167" t="str">
        <f t="shared" si="38"/>
        <v>SI</v>
      </c>
      <c r="Y167" s="8" t="str">
        <f>VLOOKUP(V167,'ideas-input'!$A:$D,4,FALSE)</f>
        <v>Mail</v>
      </c>
      <c r="Z167" t="str">
        <f t="shared" si="39"/>
        <v>Technology</v>
      </c>
      <c r="AA167" t="str">
        <f t="shared" si="40"/>
        <v>In Solution</v>
      </c>
      <c r="AB167">
        <f t="shared" si="41"/>
        <v>7</v>
      </c>
      <c r="AC167">
        <f t="shared" si="42"/>
        <v>0.03</v>
      </c>
      <c r="AD167">
        <f t="shared" si="43"/>
        <v>1</v>
      </c>
      <c r="AE167">
        <f t="shared" si="44"/>
        <v>1</v>
      </c>
      <c r="AF167">
        <f t="shared" si="45"/>
        <v>1</v>
      </c>
      <c r="AG167">
        <f t="shared" si="46"/>
        <v>100</v>
      </c>
    </row>
    <row r="168" spans="1:33" x14ac:dyDescent="0.2">
      <c r="A168" t="s">
        <v>127</v>
      </c>
      <c r="B168" t="s">
        <v>128</v>
      </c>
      <c r="C168">
        <v>167</v>
      </c>
      <c r="D168">
        <v>61993</v>
      </c>
      <c r="E168" t="s">
        <v>1014</v>
      </c>
      <c r="F168" t="s">
        <v>70</v>
      </c>
      <c r="G168" t="s">
        <v>10</v>
      </c>
      <c r="H168" t="s">
        <v>8</v>
      </c>
      <c r="I168" t="s">
        <v>91</v>
      </c>
      <c r="J168">
        <v>15</v>
      </c>
      <c r="K168">
        <v>0.03</v>
      </c>
      <c r="L168">
        <v>1</v>
      </c>
      <c r="M168">
        <v>1</v>
      </c>
      <c r="N168">
        <v>1</v>
      </c>
      <c r="O168">
        <v>100</v>
      </c>
      <c r="P168" t="b">
        <f t="shared" si="37"/>
        <v>0</v>
      </c>
      <c r="S168" t="str">
        <f t="shared" si="47"/>
        <v>LATER</v>
      </c>
      <c r="T168" t="str">
        <f t="shared" si="48"/>
        <v>SainteLague</v>
      </c>
      <c r="U168">
        <f t="shared" si="50"/>
        <v>167</v>
      </c>
      <c r="V168">
        <f t="shared" si="49"/>
        <v>61993</v>
      </c>
      <c r="W168" s="8" t="str">
        <f>VLOOKUP(V168,'ideas-input'!$A:$B,2,FALSE)</f>
        <v>Migración Infraestructura GIT =&gt; GitHub (Salesforce)</v>
      </c>
      <c r="X168" t="str">
        <f t="shared" si="38"/>
        <v>CIO</v>
      </c>
      <c r="Y168" s="8" t="str">
        <f>VLOOKUP(V168,'ideas-input'!$A:$D,4,FALSE)</f>
        <v>eCommerce</v>
      </c>
      <c r="Z168" t="str">
        <f t="shared" si="39"/>
        <v>Technology</v>
      </c>
      <c r="AA168" t="str">
        <f t="shared" si="40"/>
        <v>Backlog</v>
      </c>
      <c r="AB168">
        <f t="shared" si="41"/>
        <v>15</v>
      </c>
      <c r="AC168">
        <f t="shared" si="42"/>
        <v>0.03</v>
      </c>
      <c r="AD168">
        <f t="shared" si="43"/>
        <v>1</v>
      </c>
      <c r="AE168">
        <f t="shared" si="44"/>
        <v>1</v>
      </c>
      <c r="AF168">
        <f t="shared" si="45"/>
        <v>1</v>
      </c>
      <c r="AG168">
        <f t="shared" si="46"/>
        <v>100</v>
      </c>
    </row>
    <row r="169" spans="1:33" x14ac:dyDescent="0.2">
      <c r="A169" t="s">
        <v>127</v>
      </c>
      <c r="B169" t="s">
        <v>128</v>
      </c>
      <c r="C169">
        <v>168</v>
      </c>
      <c r="D169">
        <v>70697</v>
      </c>
      <c r="E169" t="s">
        <v>140</v>
      </c>
      <c r="F169" t="s">
        <v>36</v>
      </c>
      <c r="G169" t="s">
        <v>379</v>
      </c>
      <c r="H169" t="s">
        <v>5</v>
      </c>
      <c r="I169" t="s">
        <v>91</v>
      </c>
      <c r="J169">
        <v>3</v>
      </c>
      <c r="K169">
        <v>0.03</v>
      </c>
      <c r="L169">
        <v>1</v>
      </c>
      <c r="M169">
        <v>1</v>
      </c>
      <c r="N169">
        <v>1</v>
      </c>
      <c r="O169">
        <v>100</v>
      </c>
      <c r="P169" t="b">
        <f t="shared" si="37"/>
        <v>0</v>
      </c>
      <c r="S169" t="str">
        <f t="shared" si="47"/>
        <v>LATER</v>
      </c>
      <c r="T169" t="str">
        <f t="shared" si="48"/>
        <v>SainteLague</v>
      </c>
      <c r="U169">
        <f t="shared" si="50"/>
        <v>168</v>
      </c>
      <c r="V169">
        <f t="shared" si="49"/>
        <v>70697</v>
      </c>
      <c r="W169" s="8" t="str">
        <f>VLOOKUP(V169,'ideas-input'!$A:$B,2,FALSE)</f>
        <v>Nexus | Digital Channels | CLIENT PORTAL | "SUPER PORTAL" (extra MVP)</v>
      </c>
      <c r="X169" t="str">
        <f t="shared" si="38"/>
        <v>DNI</v>
      </c>
      <c r="Y169" s="8" t="str">
        <f>VLOOKUP(V169,'ideas-input'!$A:$D,4,FALSE)</f>
        <v>eCommerce</v>
      </c>
      <c r="Z169" t="str">
        <f t="shared" si="39"/>
        <v>Commercial</v>
      </c>
      <c r="AA169" t="str">
        <f t="shared" si="40"/>
        <v>Backlog</v>
      </c>
      <c r="AB169">
        <f t="shared" si="41"/>
        <v>3</v>
      </c>
      <c r="AC169">
        <f t="shared" si="42"/>
        <v>0.03</v>
      </c>
      <c r="AD169">
        <f t="shared" si="43"/>
        <v>1</v>
      </c>
      <c r="AE169">
        <f t="shared" si="44"/>
        <v>1</v>
      </c>
      <c r="AF169">
        <f t="shared" si="45"/>
        <v>1</v>
      </c>
      <c r="AG169">
        <f t="shared" si="46"/>
        <v>100</v>
      </c>
    </row>
    <row r="170" spans="1:33" x14ac:dyDescent="0.2">
      <c r="A170" t="s">
        <v>127</v>
      </c>
      <c r="B170" t="s">
        <v>128</v>
      </c>
      <c r="C170">
        <v>169</v>
      </c>
      <c r="D170">
        <v>61292</v>
      </c>
      <c r="E170" t="s">
        <v>1045</v>
      </c>
      <c r="F170" t="s">
        <v>68</v>
      </c>
      <c r="G170" t="s">
        <v>10</v>
      </c>
      <c r="H170" t="s">
        <v>5</v>
      </c>
      <c r="I170" t="s">
        <v>95</v>
      </c>
      <c r="J170">
        <v>6</v>
      </c>
      <c r="K170">
        <v>0.03</v>
      </c>
      <c r="L170">
        <v>1</v>
      </c>
      <c r="M170">
        <v>1</v>
      </c>
      <c r="N170">
        <v>1</v>
      </c>
      <c r="O170">
        <v>100</v>
      </c>
      <c r="P170" t="b">
        <f t="shared" si="37"/>
        <v>0</v>
      </c>
      <c r="S170" t="str">
        <f t="shared" si="47"/>
        <v>LATER</v>
      </c>
      <c r="T170" t="str">
        <f t="shared" si="48"/>
        <v>SainteLague</v>
      </c>
      <c r="U170">
        <f t="shared" si="50"/>
        <v>169</v>
      </c>
      <c r="V170">
        <f t="shared" si="49"/>
        <v>61292</v>
      </c>
      <c r="W170" s="8" t="str">
        <f>VLOOKUP(V170,'ideas-input'!$A:$B,2,FALSE)</f>
        <v>[WebHook] - ZooPlus - Transmisión de estados en mensaje estándar</v>
      </c>
      <c r="X170" t="str">
        <f t="shared" si="38"/>
        <v>IDC</v>
      </c>
      <c r="Y170" s="8" t="str">
        <f>VLOOKUP(V170,'ideas-input'!$A:$D,4,FALSE)</f>
        <v>eCommerce</v>
      </c>
      <c r="Z170" t="str">
        <f t="shared" si="39"/>
        <v>Commercial</v>
      </c>
      <c r="AA170" t="str">
        <f t="shared" si="40"/>
        <v>In Definition</v>
      </c>
      <c r="AB170">
        <f t="shared" si="41"/>
        <v>6</v>
      </c>
      <c r="AC170">
        <f t="shared" si="42"/>
        <v>0.03</v>
      </c>
      <c r="AD170">
        <f t="shared" si="43"/>
        <v>1</v>
      </c>
      <c r="AE170">
        <f t="shared" si="44"/>
        <v>1</v>
      </c>
      <c r="AF170">
        <f t="shared" si="45"/>
        <v>1</v>
      </c>
      <c r="AG170">
        <f t="shared" si="46"/>
        <v>100</v>
      </c>
    </row>
    <row r="171" spans="1:33" x14ac:dyDescent="0.2">
      <c r="A171" t="s">
        <v>127</v>
      </c>
      <c r="B171" t="s">
        <v>128</v>
      </c>
      <c r="C171">
        <v>170</v>
      </c>
      <c r="D171">
        <v>125275</v>
      </c>
      <c r="E171" t="s">
        <v>1049</v>
      </c>
      <c r="F171" t="s">
        <v>7</v>
      </c>
      <c r="G171" t="s">
        <v>379</v>
      </c>
      <c r="H171" t="s">
        <v>6</v>
      </c>
      <c r="I171" t="s">
        <v>91</v>
      </c>
      <c r="J171">
        <v>11</v>
      </c>
      <c r="K171">
        <v>0.03</v>
      </c>
      <c r="L171">
        <v>1</v>
      </c>
      <c r="M171">
        <v>1</v>
      </c>
      <c r="N171">
        <v>1</v>
      </c>
      <c r="O171">
        <v>100</v>
      </c>
      <c r="P171" t="b">
        <f t="shared" si="37"/>
        <v>0</v>
      </c>
      <c r="S171" t="str">
        <f t="shared" si="47"/>
        <v>LATER</v>
      </c>
      <c r="T171" t="str">
        <f t="shared" si="48"/>
        <v>SainteLague</v>
      </c>
      <c r="U171">
        <f t="shared" si="50"/>
        <v>170</v>
      </c>
      <c r="V171">
        <f t="shared" si="49"/>
        <v>125275</v>
      </c>
      <c r="W171" s="8" t="str">
        <f>VLOOKUP(V171,'ideas-input'!$A:$B,2,FALSE)</f>
        <v>Modernização do Processo de Devolução – Fim dos Carimbos usados no CDP</v>
      </c>
      <c r="X171" t="str">
        <f t="shared" si="38"/>
        <v>EDO</v>
      </c>
      <c r="Y171" s="8" t="str">
        <f>VLOOKUP(V171,'ideas-input'!$A:$D,4,FALSE)</f>
        <v>Mail</v>
      </c>
      <c r="Z171" t="str">
        <f t="shared" si="39"/>
        <v>Operations</v>
      </c>
      <c r="AA171" t="str">
        <f t="shared" si="40"/>
        <v>Backlog</v>
      </c>
      <c r="AB171">
        <f t="shared" si="41"/>
        <v>11</v>
      </c>
      <c r="AC171">
        <f t="shared" si="42"/>
        <v>0.03</v>
      </c>
      <c r="AD171">
        <f t="shared" si="43"/>
        <v>1</v>
      </c>
      <c r="AE171">
        <f t="shared" si="44"/>
        <v>1</v>
      </c>
      <c r="AF171">
        <f t="shared" si="45"/>
        <v>1</v>
      </c>
      <c r="AG171">
        <f t="shared" si="46"/>
        <v>100</v>
      </c>
    </row>
    <row r="172" spans="1:33" x14ac:dyDescent="0.2">
      <c r="A172" t="s">
        <v>127</v>
      </c>
      <c r="B172" t="s">
        <v>128</v>
      </c>
      <c r="C172">
        <v>171</v>
      </c>
      <c r="D172">
        <v>65856</v>
      </c>
      <c r="E172" t="s">
        <v>1670</v>
      </c>
      <c r="F172" t="s">
        <v>64</v>
      </c>
      <c r="G172" t="s">
        <v>10</v>
      </c>
      <c r="H172" t="s">
        <v>6</v>
      </c>
      <c r="I172" t="s">
        <v>91</v>
      </c>
      <c r="J172">
        <v>24</v>
      </c>
      <c r="K172">
        <v>0.03</v>
      </c>
      <c r="L172">
        <v>1</v>
      </c>
      <c r="M172">
        <v>1</v>
      </c>
      <c r="N172">
        <v>1</v>
      </c>
      <c r="O172">
        <v>100</v>
      </c>
      <c r="P172" t="b">
        <f t="shared" si="37"/>
        <v>0</v>
      </c>
      <c r="S172" t="str">
        <f t="shared" si="47"/>
        <v>LATER</v>
      </c>
      <c r="T172" t="str">
        <f t="shared" si="48"/>
        <v>SainteLague</v>
      </c>
      <c r="U172">
        <f t="shared" si="50"/>
        <v>171</v>
      </c>
      <c r="V172">
        <f t="shared" si="49"/>
        <v>65856</v>
      </c>
      <c r="W172" s="8" t="str">
        <f>VLOOKUP(V172,'ideas-input'!$A:$B,2,FALSE)</f>
        <v>[Desconexión SGC]: Brókers  Franquicias: Gestión de adeudos y garantías</v>
      </c>
      <c r="X172" t="str">
        <f t="shared" si="38"/>
        <v>COO</v>
      </c>
      <c r="Y172" s="8" t="str">
        <f>VLOOKUP(V172,'ideas-input'!$A:$D,4,FALSE)</f>
        <v>eCommerce</v>
      </c>
      <c r="Z172" t="str">
        <f t="shared" si="39"/>
        <v>Operations</v>
      </c>
      <c r="AA172" t="str">
        <f t="shared" si="40"/>
        <v>Backlog</v>
      </c>
      <c r="AB172">
        <f t="shared" si="41"/>
        <v>24</v>
      </c>
      <c r="AC172">
        <f t="shared" si="42"/>
        <v>0.03</v>
      </c>
      <c r="AD172">
        <f t="shared" si="43"/>
        <v>1</v>
      </c>
      <c r="AE172">
        <f t="shared" si="44"/>
        <v>1</v>
      </c>
      <c r="AF172">
        <f t="shared" si="45"/>
        <v>1</v>
      </c>
      <c r="AG172">
        <f t="shared" si="46"/>
        <v>100</v>
      </c>
    </row>
    <row r="173" spans="1:33" x14ac:dyDescent="0.2">
      <c r="A173" t="s">
        <v>127</v>
      </c>
      <c r="B173" t="s">
        <v>128</v>
      </c>
      <c r="C173">
        <v>172</v>
      </c>
      <c r="D173">
        <v>126278</v>
      </c>
      <c r="E173" t="s">
        <v>1024</v>
      </c>
      <c r="F173" t="s">
        <v>50</v>
      </c>
      <c r="G173" t="s">
        <v>379</v>
      </c>
      <c r="H173" t="s">
        <v>12</v>
      </c>
      <c r="I173" t="s">
        <v>91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3</v>
      </c>
      <c r="P173" t="b">
        <f t="shared" si="37"/>
        <v>0</v>
      </c>
      <c r="S173" t="str">
        <f t="shared" si="47"/>
        <v>LATER</v>
      </c>
      <c r="T173" t="str">
        <f t="shared" si="48"/>
        <v>SainteLague</v>
      </c>
      <c r="U173">
        <f t="shared" si="50"/>
        <v>172</v>
      </c>
      <c r="V173">
        <f t="shared" si="49"/>
        <v>126278</v>
      </c>
      <c r="W173" s="8" t="str">
        <f>VLOOKUP(V173,'ideas-input'!$A:$B,2,FALSE)</f>
        <v>PAI NATAL SOLIDÁRIO</v>
      </c>
      <c r="X173" t="str">
        <f t="shared" si="38"/>
        <v>CMP</v>
      </c>
      <c r="Y173" s="8" t="str">
        <f>VLOOKUP(V173,'ideas-input'!$A:$D,4,FALSE)</f>
        <v>Mail</v>
      </c>
      <c r="Z173" t="str">
        <f t="shared" si="39"/>
        <v>Corporate</v>
      </c>
      <c r="AA173" t="str">
        <f t="shared" si="40"/>
        <v>Backlog</v>
      </c>
      <c r="AB173">
        <f t="shared" si="41"/>
        <v>2</v>
      </c>
      <c r="AC173">
        <f t="shared" si="42"/>
        <v>2</v>
      </c>
      <c r="AD173">
        <f t="shared" si="43"/>
        <v>2</v>
      </c>
      <c r="AE173">
        <f t="shared" si="44"/>
        <v>2</v>
      </c>
      <c r="AF173">
        <f t="shared" si="45"/>
        <v>2</v>
      </c>
      <c r="AG173">
        <f t="shared" si="46"/>
        <v>3</v>
      </c>
    </row>
    <row r="174" spans="1:33" x14ac:dyDescent="0.2">
      <c r="A174" t="s">
        <v>127</v>
      </c>
      <c r="B174" t="s">
        <v>128</v>
      </c>
      <c r="C174">
        <v>173</v>
      </c>
      <c r="D174">
        <v>61798</v>
      </c>
      <c r="E174" t="s">
        <v>982</v>
      </c>
      <c r="F174" t="s">
        <v>71</v>
      </c>
      <c r="G174" t="s">
        <v>10</v>
      </c>
      <c r="H174" t="s">
        <v>12</v>
      </c>
      <c r="I174" t="s">
        <v>93</v>
      </c>
      <c r="J174">
        <v>2</v>
      </c>
      <c r="K174">
        <v>0.03</v>
      </c>
      <c r="L174">
        <v>1</v>
      </c>
      <c r="M174">
        <v>1</v>
      </c>
      <c r="N174">
        <v>1</v>
      </c>
      <c r="O174">
        <v>100</v>
      </c>
      <c r="P174" t="b">
        <f t="shared" si="37"/>
        <v>0</v>
      </c>
      <c r="S174" t="str">
        <f t="shared" si="47"/>
        <v>LATER</v>
      </c>
      <c r="T174" t="str">
        <f t="shared" si="48"/>
        <v>SainteLague</v>
      </c>
      <c r="U174">
        <f t="shared" si="50"/>
        <v>173</v>
      </c>
      <c r="V174">
        <f t="shared" si="49"/>
        <v>61798</v>
      </c>
      <c r="W174" s="8" t="str">
        <f>VLOOKUP(V174,'ideas-input'!$A:$B,2,FALSE)</f>
        <v>Creación Estados Aduanas, visibilidad y reporte a clientes</v>
      </c>
      <c r="X174" t="str">
        <f t="shared" si="38"/>
        <v>PRO</v>
      </c>
      <c r="Y174" s="8" t="str">
        <f>VLOOKUP(V174,'ideas-input'!$A:$D,4,FALSE)</f>
        <v>eCommerce</v>
      </c>
      <c r="Z174" t="str">
        <f t="shared" si="39"/>
        <v>Corporate</v>
      </c>
      <c r="AA174" t="str">
        <f t="shared" si="40"/>
        <v>Pitch</v>
      </c>
      <c r="AB174">
        <f t="shared" si="41"/>
        <v>2</v>
      </c>
      <c r="AC174">
        <f t="shared" si="42"/>
        <v>0.03</v>
      </c>
      <c r="AD174">
        <f t="shared" si="43"/>
        <v>1</v>
      </c>
      <c r="AE174">
        <f t="shared" si="44"/>
        <v>1</v>
      </c>
      <c r="AF174">
        <f t="shared" si="45"/>
        <v>1</v>
      </c>
      <c r="AG174">
        <f t="shared" si="46"/>
        <v>100</v>
      </c>
    </row>
    <row r="175" spans="1:33" x14ac:dyDescent="0.2">
      <c r="A175" t="s">
        <v>127</v>
      </c>
      <c r="B175" t="s">
        <v>128</v>
      </c>
      <c r="C175">
        <v>174</v>
      </c>
      <c r="D175">
        <v>181624</v>
      </c>
      <c r="E175" t="s">
        <v>976</v>
      </c>
      <c r="F175" t="s">
        <v>34</v>
      </c>
      <c r="G175" t="s">
        <v>379</v>
      </c>
      <c r="H175" t="s">
        <v>8</v>
      </c>
      <c r="I175" t="s">
        <v>91</v>
      </c>
      <c r="J175">
        <v>3</v>
      </c>
      <c r="K175">
        <v>0.05</v>
      </c>
      <c r="L175">
        <v>3</v>
      </c>
      <c r="M175">
        <v>1</v>
      </c>
      <c r="N175">
        <v>1</v>
      </c>
      <c r="O175">
        <v>100</v>
      </c>
      <c r="P175" t="b">
        <f t="shared" si="37"/>
        <v>0</v>
      </c>
      <c r="S175" t="str">
        <f t="shared" si="47"/>
        <v>LATER</v>
      </c>
      <c r="T175" t="str">
        <f t="shared" si="48"/>
        <v>SainteLague</v>
      </c>
      <c r="U175">
        <f t="shared" si="50"/>
        <v>174</v>
      </c>
      <c r="V175">
        <f t="shared" si="49"/>
        <v>181624</v>
      </c>
      <c r="W175" s="8" t="str">
        <f>VLOOKUP(V175,'ideas-input'!$A:$B,2,FALSE)</f>
        <v>Banco CTT - Alteração Processo Faturação</v>
      </c>
      <c r="X175" t="str">
        <f t="shared" si="38"/>
        <v>BCTT</v>
      </c>
      <c r="Y175" s="8" t="str">
        <f>VLOOKUP(V175,'ideas-input'!$A:$D,4,FALSE)</f>
        <v>Mail</v>
      </c>
      <c r="Z175" t="str">
        <f t="shared" si="39"/>
        <v>Technology</v>
      </c>
      <c r="AA175" t="str">
        <f t="shared" si="40"/>
        <v>Backlog</v>
      </c>
      <c r="AB175">
        <f t="shared" si="41"/>
        <v>3</v>
      </c>
      <c r="AC175">
        <f t="shared" si="42"/>
        <v>0.05</v>
      </c>
      <c r="AD175">
        <f t="shared" si="43"/>
        <v>3</v>
      </c>
      <c r="AE175">
        <f t="shared" si="44"/>
        <v>1</v>
      </c>
      <c r="AF175">
        <f t="shared" si="45"/>
        <v>1</v>
      </c>
      <c r="AG175">
        <f t="shared" si="46"/>
        <v>100</v>
      </c>
    </row>
    <row r="176" spans="1:33" x14ac:dyDescent="0.2">
      <c r="A176" t="s">
        <v>127</v>
      </c>
      <c r="B176" t="s">
        <v>128</v>
      </c>
      <c r="C176">
        <v>175</v>
      </c>
      <c r="D176">
        <v>61994</v>
      </c>
      <c r="E176" t="s">
        <v>1020</v>
      </c>
      <c r="F176" t="s">
        <v>70</v>
      </c>
      <c r="G176" t="s">
        <v>10</v>
      </c>
      <c r="H176" t="s">
        <v>8</v>
      </c>
      <c r="I176" t="s">
        <v>91</v>
      </c>
      <c r="J176">
        <v>16</v>
      </c>
      <c r="K176">
        <v>0.03</v>
      </c>
      <c r="L176">
        <v>1</v>
      </c>
      <c r="M176">
        <v>1</v>
      </c>
      <c r="N176">
        <v>1</v>
      </c>
      <c r="O176">
        <v>100</v>
      </c>
      <c r="P176" t="b">
        <f t="shared" si="37"/>
        <v>0</v>
      </c>
      <c r="S176" t="str">
        <f t="shared" si="47"/>
        <v>LATER</v>
      </c>
      <c r="T176" t="str">
        <f t="shared" si="48"/>
        <v>SainteLague</v>
      </c>
      <c r="U176">
        <f t="shared" si="50"/>
        <v>175</v>
      </c>
      <c r="V176">
        <f t="shared" si="49"/>
        <v>61994</v>
      </c>
      <c r="W176" s="8" t="str">
        <f>VLOOKUP(V176,'ideas-input'!$A:$B,2,FALSE)</f>
        <v>Migración Infraestructura GIT =&gt; GitHub , Arquetipo .net</v>
      </c>
      <c r="X176" t="str">
        <f t="shared" si="38"/>
        <v>CIO</v>
      </c>
      <c r="Y176" s="8" t="str">
        <f>VLOOKUP(V176,'ideas-input'!$A:$D,4,FALSE)</f>
        <v>eCommerce</v>
      </c>
      <c r="Z176" t="str">
        <f t="shared" si="39"/>
        <v>Technology</v>
      </c>
      <c r="AA176" t="str">
        <f t="shared" si="40"/>
        <v>Backlog</v>
      </c>
      <c r="AB176">
        <f t="shared" si="41"/>
        <v>16</v>
      </c>
      <c r="AC176">
        <f t="shared" si="42"/>
        <v>0.03</v>
      </c>
      <c r="AD176">
        <f t="shared" si="43"/>
        <v>1</v>
      </c>
      <c r="AE176">
        <f t="shared" si="44"/>
        <v>1</v>
      </c>
      <c r="AF176">
        <f t="shared" si="45"/>
        <v>1</v>
      </c>
      <c r="AG176">
        <f t="shared" si="46"/>
        <v>100</v>
      </c>
    </row>
    <row r="177" spans="1:33" x14ac:dyDescent="0.2">
      <c r="A177" t="s">
        <v>127</v>
      </c>
      <c r="B177" t="s">
        <v>128</v>
      </c>
      <c r="C177">
        <v>176</v>
      </c>
      <c r="D177">
        <v>192059</v>
      </c>
      <c r="E177" t="s">
        <v>1048</v>
      </c>
      <c r="F177" t="s">
        <v>25</v>
      </c>
      <c r="G177" t="s">
        <v>379</v>
      </c>
      <c r="H177" t="s">
        <v>5</v>
      </c>
      <c r="I177" t="s">
        <v>95</v>
      </c>
      <c r="J177">
        <v>2</v>
      </c>
      <c r="K177">
        <v>0.03</v>
      </c>
      <c r="L177">
        <v>1</v>
      </c>
      <c r="M177">
        <v>1</v>
      </c>
      <c r="N177">
        <v>1</v>
      </c>
      <c r="O177">
        <v>100</v>
      </c>
      <c r="P177" t="b">
        <f t="shared" si="37"/>
        <v>0</v>
      </c>
      <c r="S177" t="str">
        <f t="shared" si="47"/>
        <v>LATER</v>
      </c>
      <c r="T177" t="str">
        <f t="shared" si="48"/>
        <v>SainteLague</v>
      </c>
      <c r="U177">
        <f t="shared" si="50"/>
        <v>176</v>
      </c>
      <c r="V177">
        <f t="shared" si="49"/>
        <v>192059</v>
      </c>
      <c r="W177" s="8" t="str">
        <f>VLOOKUP(V177,'ideas-input'!$A:$B,2,FALSE)</f>
        <v>Implementação do software da Western Union (WUPOS) em NAVe e integração com todos os sistemas centrais</v>
      </c>
      <c r="X177" t="str">
        <f t="shared" si="38"/>
        <v>GP B2C</v>
      </c>
      <c r="Y177" s="8" t="str">
        <f>VLOOKUP(V177,'ideas-input'!$A:$D,4,FALSE)</f>
        <v>Retail &amp; Financial Services</v>
      </c>
      <c r="Z177" t="str">
        <f t="shared" si="39"/>
        <v>Commercial</v>
      </c>
      <c r="AA177" t="str">
        <f t="shared" si="40"/>
        <v>In Definition</v>
      </c>
      <c r="AB177">
        <f t="shared" si="41"/>
        <v>2</v>
      </c>
      <c r="AC177">
        <f t="shared" si="42"/>
        <v>0.03</v>
      </c>
      <c r="AD177">
        <f t="shared" si="43"/>
        <v>1</v>
      </c>
      <c r="AE177">
        <f t="shared" si="44"/>
        <v>1</v>
      </c>
      <c r="AF177">
        <f t="shared" si="45"/>
        <v>1</v>
      </c>
      <c r="AG177">
        <f t="shared" si="46"/>
        <v>100</v>
      </c>
    </row>
    <row r="178" spans="1:33" x14ac:dyDescent="0.2">
      <c r="A178" t="s">
        <v>127</v>
      </c>
      <c r="B178" t="s">
        <v>128</v>
      </c>
      <c r="C178">
        <v>177</v>
      </c>
      <c r="D178">
        <v>48027</v>
      </c>
      <c r="E178" t="s">
        <v>1015</v>
      </c>
      <c r="F178" t="s">
        <v>65</v>
      </c>
      <c r="G178" t="s">
        <v>10</v>
      </c>
      <c r="H178" t="s">
        <v>5</v>
      </c>
      <c r="I178" t="s">
        <v>97</v>
      </c>
      <c r="J178">
        <v>14</v>
      </c>
      <c r="K178">
        <v>0.03</v>
      </c>
      <c r="L178">
        <v>1</v>
      </c>
      <c r="M178">
        <v>1</v>
      </c>
      <c r="N178">
        <v>1</v>
      </c>
      <c r="O178">
        <v>100</v>
      </c>
      <c r="P178" t="b">
        <f t="shared" si="37"/>
        <v>0</v>
      </c>
      <c r="S178" t="str">
        <f t="shared" si="47"/>
        <v>LATER</v>
      </c>
      <c r="T178" t="str">
        <f t="shared" si="48"/>
        <v>SainteLague</v>
      </c>
      <c r="U178">
        <f t="shared" si="50"/>
        <v>177</v>
      </c>
      <c r="V178">
        <f t="shared" si="49"/>
        <v>48027</v>
      </c>
      <c r="W178" s="8" t="str">
        <f>VLOOKUP(V178,'ideas-input'!$A:$B,2,FALSE)</f>
        <v>[NEXUS] [Web de clientes]- Configuración - Administración, gestión de usuarios y centros de Clientes de Venta directa (settings)</v>
      </c>
      <c r="X178" t="str">
        <f t="shared" si="38"/>
        <v>CMO</v>
      </c>
      <c r="Y178" s="8" t="str">
        <f>VLOOKUP(V178,'ideas-input'!$A:$D,4,FALSE)</f>
        <v>eCommerce</v>
      </c>
      <c r="Z178" t="str">
        <f t="shared" si="39"/>
        <v>Commercial</v>
      </c>
      <c r="AA178" t="str">
        <f t="shared" si="40"/>
        <v>Ready for Solution</v>
      </c>
      <c r="AB178">
        <f t="shared" si="41"/>
        <v>14</v>
      </c>
      <c r="AC178">
        <f t="shared" si="42"/>
        <v>0.03</v>
      </c>
      <c r="AD178">
        <f t="shared" si="43"/>
        <v>1</v>
      </c>
      <c r="AE178">
        <f t="shared" si="44"/>
        <v>1</v>
      </c>
      <c r="AF178">
        <f t="shared" si="45"/>
        <v>1</v>
      </c>
      <c r="AG178">
        <f t="shared" si="46"/>
        <v>100</v>
      </c>
    </row>
    <row r="179" spans="1:33" x14ac:dyDescent="0.2">
      <c r="A179" t="s">
        <v>127</v>
      </c>
      <c r="B179" t="s">
        <v>128</v>
      </c>
      <c r="C179">
        <v>178</v>
      </c>
      <c r="D179">
        <v>93715</v>
      </c>
      <c r="E179" t="s">
        <v>1055</v>
      </c>
      <c r="F179" t="s">
        <v>7</v>
      </c>
      <c r="G179" t="s">
        <v>379</v>
      </c>
      <c r="H179" t="s">
        <v>6</v>
      </c>
      <c r="I179" t="s">
        <v>136</v>
      </c>
      <c r="J179">
        <v>12</v>
      </c>
      <c r="K179">
        <v>0.03</v>
      </c>
      <c r="L179">
        <v>1</v>
      </c>
      <c r="M179">
        <v>1</v>
      </c>
      <c r="N179">
        <v>1</v>
      </c>
      <c r="O179">
        <v>100</v>
      </c>
      <c r="P179" t="b">
        <f t="shared" si="37"/>
        <v>0</v>
      </c>
      <c r="S179" t="str">
        <f t="shared" si="47"/>
        <v>LATER</v>
      </c>
      <c r="T179" t="str">
        <f t="shared" si="48"/>
        <v>SainteLague</v>
      </c>
      <c r="U179">
        <f t="shared" si="50"/>
        <v>178</v>
      </c>
      <c r="V179">
        <f t="shared" si="49"/>
        <v>93715</v>
      </c>
      <c r="W179" s="8" t="str">
        <f>VLOOKUP(V179,'ideas-input'!$A:$B,2,FALSE)</f>
        <v>Logística - Utilização de Porta Paletes Autónomos</v>
      </c>
      <c r="X179" t="str">
        <f t="shared" si="38"/>
        <v>EDO</v>
      </c>
      <c r="Y179" s="8" t="str">
        <f>VLOOKUP(V179,'ideas-input'!$A:$D,4,FALSE)</f>
        <v>Fulfilment</v>
      </c>
      <c r="Z179" t="str">
        <f t="shared" si="39"/>
        <v>Operations</v>
      </c>
      <c r="AA179" t="str">
        <f t="shared" si="40"/>
        <v>In Solution</v>
      </c>
      <c r="AB179">
        <f t="shared" si="41"/>
        <v>12</v>
      </c>
      <c r="AC179">
        <f t="shared" si="42"/>
        <v>0.03</v>
      </c>
      <c r="AD179">
        <f t="shared" si="43"/>
        <v>1</v>
      </c>
      <c r="AE179">
        <f t="shared" si="44"/>
        <v>1</v>
      </c>
      <c r="AF179">
        <f t="shared" si="45"/>
        <v>1</v>
      </c>
      <c r="AG179">
        <f t="shared" si="46"/>
        <v>100</v>
      </c>
    </row>
    <row r="180" spans="1:33" x14ac:dyDescent="0.2">
      <c r="A180" t="s">
        <v>127</v>
      </c>
      <c r="B180" t="s">
        <v>128</v>
      </c>
      <c r="C180">
        <v>179</v>
      </c>
      <c r="D180">
        <v>65512</v>
      </c>
      <c r="E180" t="s">
        <v>1047</v>
      </c>
      <c r="F180" t="s">
        <v>64</v>
      </c>
      <c r="G180" t="s">
        <v>10</v>
      </c>
      <c r="H180" t="s">
        <v>6</v>
      </c>
      <c r="I180" t="s">
        <v>91</v>
      </c>
      <c r="J180">
        <v>25</v>
      </c>
      <c r="K180">
        <v>0.03</v>
      </c>
      <c r="L180">
        <v>1</v>
      </c>
      <c r="M180">
        <v>1</v>
      </c>
      <c r="N180">
        <v>1</v>
      </c>
      <c r="O180">
        <v>100</v>
      </c>
      <c r="P180" t="b">
        <f t="shared" si="37"/>
        <v>0</v>
      </c>
      <c r="S180" t="str">
        <f t="shared" si="47"/>
        <v>LATER</v>
      </c>
      <c r="T180" t="str">
        <f t="shared" si="48"/>
        <v>SainteLague</v>
      </c>
      <c r="U180">
        <f t="shared" si="50"/>
        <v>179</v>
      </c>
      <c r="V180">
        <f t="shared" si="49"/>
        <v>65512</v>
      </c>
      <c r="W180" s="8" t="str">
        <f>VLOOKUP(V180,'ideas-input'!$A:$B,2,FALSE)</f>
        <v>Migración SGC - Estacionados a Nexus</v>
      </c>
      <c r="X180" t="str">
        <f t="shared" si="38"/>
        <v>COO</v>
      </c>
      <c r="Y180" s="8" t="str">
        <f>VLOOKUP(V180,'ideas-input'!$A:$D,4,FALSE)</f>
        <v>eCommerce</v>
      </c>
      <c r="Z180" t="str">
        <f t="shared" si="39"/>
        <v>Operations</v>
      </c>
      <c r="AA180" t="str">
        <f t="shared" si="40"/>
        <v>Backlog</v>
      </c>
      <c r="AB180">
        <f t="shared" si="41"/>
        <v>25</v>
      </c>
      <c r="AC180">
        <f t="shared" si="42"/>
        <v>0.03</v>
      </c>
      <c r="AD180">
        <f t="shared" si="43"/>
        <v>1</v>
      </c>
      <c r="AE180">
        <f t="shared" si="44"/>
        <v>1</v>
      </c>
      <c r="AF180">
        <f t="shared" si="45"/>
        <v>1</v>
      </c>
      <c r="AG180">
        <f t="shared" si="46"/>
        <v>100</v>
      </c>
    </row>
    <row r="181" spans="1:33" x14ac:dyDescent="0.2">
      <c r="A181" t="s">
        <v>127</v>
      </c>
      <c r="B181" t="s">
        <v>128</v>
      </c>
      <c r="C181">
        <v>180</v>
      </c>
      <c r="D181">
        <v>50849</v>
      </c>
      <c r="E181" t="s">
        <v>194</v>
      </c>
      <c r="F181" t="s">
        <v>11</v>
      </c>
      <c r="G181" t="s">
        <v>379</v>
      </c>
      <c r="H181" t="s">
        <v>11</v>
      </c>
      <c r="I181" t="s">
        <v>91</v>
      </c>
      <c r="J181">
        <v>4</v>
      </c>
      <c r="K181">
        <v>0.03</v>
      </c>
      <c r="L181">
        <v>1</v>
      </c>
      <c r="M181">
        <v>1</v>
      </c>
      <c r="N181">
        <v>1</v>
      </c>
      <c r="O181">
        <v>100</v>
      </c>
      <c r="P181" t="b">
        <f t="shared" si="37"/>
        <v>0</v>
      </c>
      <c r="S181" t="str">
        <f t="shared" si="47"/>
        <v>LATER</v>
      </c>
      <c r="T181" t="str">
        <f t="shared" si="48"/>
        <v>SainteLague</v>
      </c>
      <c r="U181">
        <f t="shared" si="50"/>
        <v>180</v>
      </c>
      <c r="V181">
        <f t="shared" si="49"/>
        <v>50849</v>
      </c>
      <c r="W181" s="8" t="str">
        <f>VLOOKUP(V181,'ideas-input'!$A:$B,2,FALSE)</f>
        <v>Cyber attack simulation Table-top</v>
      </c>
      <c r="X181" t="str">
        <f t="shared" si="38"/>
        <v>CISO</v>
      </c>
      <c r="Y181" s="8" t="str">
        <f>VLOOKUP(V181,'ideas-input'!$A:$D,4,FALSE)</f>
        <v>Mail</v>
      </c>
      <c r="Z181" t="str">
        <f t="shared" si="39"/>
        <v>CISO</v>
      </c>
      <c r="AA181" t="str">
        <f t="shared" si="40"/>
        <v>Backlog</v>
      </c>
      <c r="AB181">
        <f t="shared" si="41"/>
        <v>4</v>
      </c>
      <c r="AC181">
        <f t="shared" si="42"/>
        <v>0.03</v>
      </c>
      <c r="AD181">
        <f t="shared" si="43"/>
        <v>1</v>
      </c>
      <c r="AE181">
        <f t="shared" si="44"/>
        <v>1</v>
      </c>
      <c r="AF181">
        <f t="shared" si="45"/>
        <v>1</v>
      </c>
      <c r="AG181">
        <f t="shared" si="46"/>
        <v>100</v>
      </c>
    </row>
    <row r="182" spans="1:33" x14ac:dyDescent="0.2">
      <c r="A182" t="s">
        <v>127</v>
      </c>
      <c r="B182" t="s">
        <v>128</v>
      </c>
      <c r="C182">
        <v>181</v>
      </c>
      <c r="D182">
        <v>63457</v>
      </c>
      <c r="E182" t="s">
        <v>1036</v>
      </c>
      <c r="F182" t="s">
        <v>67</v>
      </c>
      <c r="G182" t="s">
        <v>10</v>
      </c>
      <c r="H182" t="s">
        <v>12</v>
      </c>
      <c r="I182" t="s">
        <v>97</v>
      </c>
      <c r="J182">
        <v>8</v>
      </c>
      <c r="K182">
        <v>0.03</v>
      </c>
      <c r="L182">
        <v>1</v>
      </c>
      <c r="M182">
        <v>1</v>
      </c>
      <c r="N182">
        <v>1</v>
      </c>
      <c r="O182">
        <v>100</v>
      </c>
      <c r="P182" t="b">
        <f t="shared" si="37"/>
        <v>0</v>
      </c>
      <c r="S182" t="str">
        <f t="shared" si="47"/>
        <v>LATER</v>
      </c>
      <c r="T182" t="str">
        <f t="shared" si="48"/>
        <v>SainteLague</v>
      </c>
      <c r="U182">
        <f t="shared" si="50"/>
        <v>181</v>
      </c>
      <c r="V182">
        <f t="shared" si="49"/>
        <v>63457</v>
      </c>
      <c r="W182" s="8" t="str">
        <f>VLOOKUP(V182,'ideas-input'!$A:$B,2,FALSE)</f>
        <v>Cierre administrativo automático - "Evitar pasar a Entregado Administrativo envíos que tienen un estado entregado y posteriormente se abre una caso en Salesforce y cambia a otro estado"</v>
      </c>
      <c r="X182" t="str">
        <f t="shared" si="38"/>
        <v>ATC</v>
      </c>
      <c r="Y182" s="8" t="str">
        <f>VLOOKUP(V182,'ideas-input'!$A:$D,4,FALSE)</f>
        <v>eCommerce</v>
      </c>
      <c r="Z182" t="str">
        <f t="shared" si="39"/>
        <v>Corporate</v>
      </c>
      <c r="AA182" t="str">
        <f t="shared" si="40"/>
        <v>Ready for Solution</v>
      </c>
      <c r="AB182">
        <f t="shared" si="41"/>
        <v>8</v>
      </c>
      <c r="AC182">
        <f t="shared" si="42"/>
        <v>0.03</v>
      </c>
      <c r="AD182">
        <f t="shared" si="43"/>
        <v>1</v>
      </c>
      <c r="AE182">
        <f t="shared" si="44"/>
        <v>1</v>
      </c>
      <c r="AF182">
        <f t="shared" si="45"/>
        <v>1</v>
      </c>
      <c r="AG182">
        <f t="shared" si="46"/>
        <v>100</v>
      </c>
    </row>
    <row r="183" spans="1:33" x14ac:dyDescent="0.2">
      <c r="A183" t="s">
        <v>127</v>
      </c>
      <c r="B183" t="s">
        <v>128</v>
      </c>
      <c r="C183">
        <v>182</v>
      </c>
      <c r="D183">
        <v>60596</v>
      </c>
      <c r="E183" t="s">
        <v>1030</v>
      </c>
      <c r="F183" t="s">
        <v>53</v>
      </c>
      <c r="G183" t="s">
        <v>379</v>
      </c>
      <c r="H183" t="s">
        <v>12</v>
      </c>
      <c r="I183" t="s">
        <v>91</v>
      </c>
      <c r="J183">
        <v>2</v>
      </c>
      <c r="K183">
        <v>0.03</v>
      </c>
      <c r="L183">
        <v>1</v>
      </c>
      <c r="M183">
        <v>1</v>
      </c>
      <c r="N183">
        <v>1</v>
      </c>
      <c r="O183">
        <v>100</v>
      </c>
      <c r="P183" t="b">
        <f t="shared" si="37"/>
        <v>0</v>
      </c>
      <c r="S183" t="str">
        <f t="shared" si="47"/>
        <v>LATER</v>
      </c>
      <c r="T183" t="str">
        <f t="shared" si="48"/>
        <v>SainteLague</v>
      </c>
      <c r="U183">
        <f t="shared" si="50"/>
        <v>182</v>
      </c>
      <c r="V183">
        <f t="shared" si="49"/>
        <v>60596</v>
      </c>
      <c r="W183" s="8" t="str">
        <f>VLOOKUP(V183,'ideas-input'!$A:$B,2,FALSE)</f>
        <v>Ligação do AgilePoint à BD do CoE IAP</v>
      </c>
      <c r="X183" t="str">
        <f t="shared" si="38"/>
        <v>TF</v>
      </c>
      <c r="Y183" s="8" t="str">
        <f>VLOOKUP(V183,'ideas-input'!$A:$D,4,FALSE)</f>
        <v>Mail</v>
      </c>
      <c r="Z183" t="str">
        <f t="shared" si="39"/>
        <v>Corporate</v>
      </c>
      <c r="AA183" t="str">
        <f t="shared" si="40"/>
        <v>Backlog</v>
      </c>
      <c r="AB183">
        <f t="shared" si="41"/>
        <v>2</v>
      </c>
      <c r="AC183">
        <f t="shared" si="42"/>
        <v>0.03</v>
      </c>
      <c r="AD183">
        <f t="shared" si="43"/>
        <v>1</v>
      </c>
      <c r="AE183">
        <f t="shared" si="44"/>
        <v>1</v>
      </c>
      <c r="AF183">
        <f t="shared" si="45"/>
        <v>1</v>
      </c>
      <c r="AG183">
        <f t="shared" si="46"/>
        <v>100</v>
      </c>
    </row>
    <row r="184" spans="1:33" x14ac:dyDescent="0.2">
      <c r="A184" t="s">
        <v>127</v>
      </c>
      <c r="B184" t="s">
        <v>128</v>
      </c>
      <c r="C184">
        <v>183</v>
      </c>
      <c r="D184">
        <v>61995</v>
      </c>
      <c r="E184" t="s">
        <v>1027</v>
      </c>
      <c r="F184" t="s">
        <v>70</v>
      </c>
      <c r="G184" t="s">
        <v>10</v>
      </c>
      <c r="H184" t="s">
        <v>8</v>
      </c>
      <c r="I184" t="s">
        <v>91</v>
      </c>
      <c r="J184">
        <v>17</v>
      </c>
      <c r="K184">
        <v>0.03</v>
      </c>
      <c r="L184">
        <v>1</v>
      </c>
      <c r="M184">
        <v>1</v>
      </c>
      <c r="N184">
        <v>1</v>
      </c>
      <c r="O184">
        <v>100</v>
      </c>
      <c r="P184" t="b">
        <f t="shared" si="37"/>
        <v>0</v>
      </c>
      <c r="S184" t="str">
        <f t="shared" si="47"/>
        <v>LATER</v>
      </c>
      <c r="T184" t="str">
        <f t="shared" si="48"/>
        <v>SainteLague</v>
      </c>
      <c r="U184">
        <f t="shared" si="50"/>
        <v>183</v>
      </c>
      <c r="V184">
        <f t="shared" si="49"/>
        <v>61995</v>
      </c>
      <c r="W184" s="8" t="str">
        <f>VLOOKUP(V184,'ideas-input'!$A:$B,2,FALSE)</f>
        <v>Migración Infraestructura de Web Corporativa de AckStorm a Ctt Express</v>
      </c>
      <c r="X184" t="str">
        <f t="shared" si="38"/>
        <v>CIO</v>
      </c>
      <c r="Y184" s="8" t="str">
        <f>VLOOKUP(V184,'ideas-input'!$A:$D,4,FALSE)</f>
        <v>eCommerce</v>
      </c>
      <c r="Z184" t="str">
        <f t="shared" si="39"/>
        <v>Technology</v>
      </c>
      <c r="AA184" t="str">
        <f t="shared" si="40"/>
        <v>Backlog</v>
      </c>
      <c r="AB184">
        <f t="shared" si="41"/>
        <v>17</v>
      </c>
      <c r="AC184">
        <f t="shared" si="42"/>
        <v>0.03</v>
      </c>
      <c r="AD184">
        <f t="shared" si="43"/>
        <v>1</v>
      </c>
      <c r="AE184">
        <f t="shared" si="44"/>
        <v>1</v>
      </c>
      <c r="AF184">
        <f t="shared" si="45"/>
        <v>1</v>
      </c>
      <c r="AG184">
        <f t="shared" si="46"/>
        <v>100</v>
      </c>
    </row>
    <row r="185" spans="1:33" x14ac:dyDescent="0.2">
      <c r="A185" t="s">
        <v>127</v>
      </c>
      <c r="B185" t="s">
        <v>128</v>
      </c>
      <c r="C185">
        <v>184</v>
      </c>
      <c r="D185">
        <v>125918</v>
      </c>
      <c r="E185" t="s">
        <v>1032</v>
      </c>
      <c r="F185" t="s">
        <v>58</v>
      </c>
      <c r="G185" t="s">
        <v>379</v>
      </c>
      <c r="H185" t="s">
        <v>8</v>
      </c>
      <c r="I185" t="s">
        <v>91</v>
      </c>
      <c r="J185">
        <v>3</v>
      </c>
      <c r="K185">
        <v>0.03</v>
      </c>
      <c r="L185">
        <v>1</v>
      </c>
      <c r="M185">
        <v>1</v>
      </c>
      <c r="N185">
        <v>1</v>
      </c>
      <c r="O185">
        <v>100</v>
      </c>
      <c r="P185" t="b">
        <f t="shared" si="37"/>
        <v>0</v>
      </c>
      <c r="S185" t="str">
        <f t="shared" si="47"/>
        <v>LATER</v>
      </c>
      <c r="T185" t="str">
        <f t="shared" si="48"/>
        <v>SainteLague</v>
      </c>
      <c r="U185">
        <f t="shared" si="50"/>
        <v>184</v>
      </c>
      <c r="V185">
        <f t="shared" si="49"/>
        <v>125918</v>
      </c>
      <c r="W185" s="8" t="str">
        <f>VLOOKUP(V185,'ideas-input'!$A:$B,2,FALSE)</f>
        <v>Criação de chatbot no super portal</v>
      </c>
      <c r="X185" t="str">
        <f t="shared" si="38"/>
        <v>SI-PRD</v>
      </c>
      <c r="Y185" s="8" t="str">
        <f>VLOOKUP(V185,'ideas-input'!$A:$D,4,FALSE)</f>
        <v>Mail</v>
      </c>
      <c r="Z185" t="str">
        <f t="shared" si="39"/>
        <v>Technology</v>
      </c>
      <c r="AA185" t="str">
        <f t="shared" si="40"/>
        <v>Backlog</v>
      </c>
      <c r="AB185">
        <f t="shared" si="41"/>
        <v>3</v>
      </c>
      <c r="AC185">
        <f t="shared" si="42"/>
        <v>0.03</v>
      </c>
      <c r="AD185">
        <f t="shared" si="43"/>
        <v>1</v>
      </c>
      <c r="AE185">
        <f t="shared" si="44"/>
        <v>1</v>
      </c>
      <c r="AF185">
        <f t="shared" si="45"/>
        <v>1</v>
      </c>
      <c r="AG185">
        <f t="shared" si="46"/>
        <v>100</v>
      </c>
    </row>
    <row r="186" spans="1:33" x14ac:dyDescent="0.2">
      <c r="A186" t="s">
        <v>127</v>
      </c>
      <c r="B186" t="s">
        <v>128</v>
      </c>
      <c r="C186">
        <v>185</v>
      </c>
      <c r="D186">
        <v>140623</v>
      </c>
      <c r="E186" t="s">
        <v>1068</v>
      </c>
      <c r="F186" t="s">
        <v>66</v>
      </c>
      <c r="G186" t="s">
        <v>10</v>
      </c>
      <c r="H186" t="s">
        <v>5</v>
      </c>
      <c r="I186" t="s">
        <v>91</v>
      </c>
      <c r="J186">
        <v>8</v>
      </c>
      <c r="K186">
        <v>0.03</v>
      </c>
      <c r="L186">
        <v>1</v>
      </c>
      <c r="M186">
        <v>1</v>
      </c>
      <c r="N186">
        <v>1</v>
      </c>
      <c r="O186">
        <v>100</v>
      </c>
      <c r="P186" t="b">
        <f t="shared" si="37"/>
        <v>0</v>
      </c>
      <c r="S186" t="str">
        <f t="shared" si="47"/>
        <v>LATER</v>
      </c>
      <c r="T186" t="str">
        <f t="shared" si="48"/>
        <v>SainteLague</v>
      </c>
      <c r="U186">
        <f t="shared" si="50"/>
        <v>185</v>
      </c>
      <c r="V186">
        <f t="shared" si="49"/>
        <v>140623</v>
      </c>
      <c r="W186" s="8" t="str">
        <f>VLOOKUP(V186,'ideas-input'!$A:$B,2,FALSE)</f>
        <v>[Nexus] - [We Sell] - [Desconexión ORACLE] - Funciones de equipos PREVENDAS</v>
      </c>
      <c r="X186" t="str">
        <f t="shared" si="38"/>
        <v>CCO</v>
      </c>
      <c r="Y186" s="8" t="str">
        <f>VLOOKUP(V186,'ideas-input'!$A:$D,4,FALSE)</f>
        <v>eCommerce</v>
      </c>
      <c r="Z186" t="str">
        <f t="shared" si="39"/>
        <v>Commercial</v>
      </c>
      <c r="AA186" t="str">
        <f t="shared" si="40"/>
        <v>Backlog</v>
      </c>
      <c r="AB186">
        <f t="shared" si="41"/>
        <v>8</v>
      </c>
      <c r="AC186">
        <f t="shared" si="42"/>
        <v>0.03</v>
      </c>
      <c r="AD186">
        <f t="shared" si="43"/>
        <v>1</v>
      </c>
      <c r="AE186">
        <f t="shared" si="44"/>
        <v>1</v>
      </c>
      <c r="AF186">
        <f t="shared" si="45"/>
        <v>1</v>
      </c>
      <c r="AG186">
        <f t="shared" si="46"/>
        <v>100</v>
      </c>
    </row>
    <row r="187" spans="1:33" x14ac:dyDescent="0.2">
      <c r="A187" t="s">
        <v>127</v>
      </c>
      <c r="B187" t="s">
        <v>128</v>
      </c>
      <c r="C187">
        <v>186</v>
      </c>
      <c r="D187">
        <v>121353</v>
      </c>
      <c r="E187" t="s">
        <v>1053</v>
      </c>
      <c r="F187" t="s">
        <v>24</v>
      </c>
      <c r="G187" t="s">
        <v>379</v>
      </c>
      <c r="H187" t="s">
        <v>5</v>
      </c>
      <c r="I187" t="s">
        <v>91</v>
      </c>
      <c r="J187">
        <v>2</v>
      </c>
      <c r="K187">
        <v>0.03</v>
      </c>
      <c r="L187">
        <v>1</v>
      </c>
      <c r="M187">
        <v>1</v>
      </c>
      <c r="N187">
        <v>1</v>
      </c>
      <c r="O187">
        <v>100</v>
      </c>
      <c r="P187" t="b">
        <f t="shared" si="37"/>
        <v>0</v>
      </c>
      <c r="S187" t="str">
        <f t="shared" si="47"/>
        <v>LATER</v>
      </c>
      <c r="T187" t="str">
        <f t="shared" si="48"/>
        <v>SainteLague</v>
      </c>
      <c r="U187">
        <f t="shared" si="50"/>
        <v>186</v>
      </c>
      <c r="V187">
        <f t="shared" si="49"/>
        <v>121353</v>
      </c>
      <c r="W187" s="8" t="str">
        <f>VLOOKUP(V187,'ideas-input'!$A:$B,2,FALSE)</f>
        <v>Configuração SAP para Introdução de IBANs da região SEPA</v>
      </c>
      <c r="X187" t="str">
        <f t="shared" si="38"/>
        <v>GPG</v>
      </c>
      <c r="Y187" s="8" t="str">
        <f>VLOOKUP(V187,'ideas-input'!$A:$D,4,FALSE)</f>
        <v>Payments</v>
      </c>
      <c r="Z187" t="str">
        <f t="shared" si="39"/>
        <v>Commercial</v>
      </c>
      <c r="AA187" t="str">
        <f t="shared" si="40"/>
        <v>Backlog</v>
      </c>
      <c r="AB187">
        <f t="shared" si="41"/>
        <v>2</v>
      </c>
      <c r="AC187">
        <f t="shared" si="42"/>
        <v>0.03</v>
      </c>
      <c r="AD187">
        <f t="shared" si="43"/>
        <v>1</v>
      </c>
      <c r="AE187">
        <f t="shared" si="44"/>
        <v>1</v>
      </c>
      <c r="AF187">
        <f t="shared" si="45"/>
        <v>1</v>
      </c>
      <c r="AG187">
        <f t="shared" si="46"/>
        <v>100</v>
      </c>
    </row>
    <row r="188" spans="1:33" x14ac:dyDescent="0.2">
      <c r="A188" t="s">
        <v>127</v>
      </c>
      <c r="B188" t="s">
        <v>128</v>
      </c>
      <c r="C188">
        <v>187</v>
      </c>
      <c r="D188">
        <v>65861</v>
      </c>
      <c r="E188" t="s">
        <v>1052</v>
      </c>
      <c r="F188" t="s">
        <v>64</v>
      </c>
      <c r="G188" t="s">
        <v>10</v>
      </c>
      <c r="H188" t="s">
        <v>6</v>
      </c>
      <c r="I188" t="s">
        <v>91</v>
      </c>
      <c r="J188">
        <v>26</v>
      </c>
      <c r="K188">
        <v>0.03</v>
      </c>
      <c r="L188">
        <v>1</v>
      </c>
      <c r="M188">
        <v>1</v>
      </c>
      <c r="N188">
        <v>1</v>
      </c>
      <c r="O188">
        <v>100</v>
      </c>
      <c r="P188" t="b">
        <f t="shared" si="37"/>
        <v>0</v>
      </c>
      <c r="S188" t="str">
        <f t="shared" si="47"/>
        <v>LATER</v>
      </c>
      <c r="T188" t="str">
        <f t="shared" si="48"/>
        <v>SainteLague</v>
      </c>
      <c r="U188">
        <f t="shared" si="50"/>
        <v>187</v>
      </c>
      <c r="V188">
        <f t="shared" si="49"/>
        <v>65861</v>
      </c>
      <c r="W188" s="8" t="str">
        <f>VLOOKUP(V188,'ideas-input'!$A:$B,2,FALSE)</f>
        <v>[Desconexión SGC]: Brókers y Franquicias: Modulo distribución de Franquicias</v>
      </c>
      <c r="X188" t="str">
        <f t="shared" si="38"/>
        <v>COO</v>
      </c>
      <c r="Y188" s="8" t="str">
        <f>VLOOKUP(V188,'ideas-input'!$A:$D,4,FALSE)</f>
        <v>eCommerce</v>
      </c>
      <c r="Z188" t="str">
        <f t="shared" si="39"/>
        <v>Operations</v>
      </c>
      <c r="AA188" t="str">
        <f t="shared" si="40"/>
        <v>Backlog</v>
      </c>
      <c r="AB188">
        <f t="shared" si="41"/>
        <v>26</v>
      </c>
      <c r="AC188">
        <f t="shared" si="42"/>
        <v>0.03</v>
      </c>
      <c r="AD188">
        <f t="shared" si="43"/>
        <v>1</v>
      </c>
      <c r="AE188">
        <f t="shared" si="44"/>
        <v>1</v>
      </c>
      <c r="AF188">
        <f t="shared" si="45"/>
        <v>1</v>
      </c>
      <c r="AG188">
        <f t="shared" si="46"/>
        <v>100</v>
      </c>
    </row>
    <row r="189" spans="1:33" x14ac:dyDescent="0.2">
      <c r="A189" t="s">
        <v>127</v>
      </c>
      <c r="B189" t="s">
        <v>128</v>
      </c>
      <c r="C189">
        <v>188</v>
      </c>
      <c r="D189">
        <v>68794</v>
      </c>
      <c r="E189" t="s">
        <v>1062</v>
      </c>
      <c r="F189" t="s">
        <v>7</v>
      </c>
      <c r="G189" t="s">
        <v>379</v>
      </c>
      <c r="H189" t="s">
        <v>6</v>
      </c>
      <c r="I189" t="s">
        <v>95</v>
      </c>
      <c r="J189">
        <v>13</v>
      </c>
      <c r="K189">
        <v>0.03</v>
      </c>
      <c r="L189">
        <v>1</v>
      </c>
      <c r="M189">
        <v>1</v>
      </c>
      <c r="N189">
        <v>1</v>
      </c>
      <c r="O189">
        <v>100</v>
      </c>
      <c r="P189" t="b">
        <f t="shared" si="37"/>
        <v>0</v>
      </c>
      <c r="S189" t="str">
        <f t="shared" si="47"/>
        <v>LATER</v>
      </c>
      <c r="T189" t="str">
        <f t="shared" si="48"/>
        <v>SainteLague</v>
      </c>
      <c r="U189">
        <f t="shared" si="50"/>
        <v>188</v>
      </c>
      <c r="V189">
        <f t="shared" si="49"/>
        <v>68794</v>
      </c>
      <c r="W189" s="8" t="str">
        <f>VLOOKUP(V189,'ideas-input'!$A:$B,2,FALSE)</f>
        <v>Tratamento de rejeitados no SD - Eliminar pré-avisos com CP ficticios (BG4)</v>
      </c>
      <c r="X189" t="str">
        <f t="shared" si="38"/>
        <v>EDO</v>
      </c>
      <c r="Y189" s="8" t="str">
        <f>VLOOKUP(V189,'ideas-input'!$A:$D,4,FALSE)</f>
        <v>eCommerce</v>
      </c>
      <c r="Z189" t="str">
        <f t="shared" si="39"/>
        <v>Operations</v>
      </c>
      <c r="AA189" t="str">
        <f t="shared" si="40"/>
        <v>In Definition</v>
      </c>
      <c r="AB189">
        <f t="shared" si="41"/>
        <v>13</v>
      </c>
      <c r="AC189">
        <f t="shared" si="42"/>
        <v>0.03</v>
      </c>
      <c r="AD189">
        <f t="shared" si="43"/>
        <v>1</v>
      </c>
      <c r="AE189">
        <f t="shared" si="44"/>
        <v>1</v>
      </c>
      <c r="AF189">
        <f t="shared" si="45"/>
        <v>1</v>
      </c>
      <c r="AG189">
        <f t="shared" si="46"/>
        <v>100</v>
      </c>
    </row>
    <row r="190" spans="1:33" x14ac:dyDescent="0.2">
      <c r="A190" t="s">
        <v>127</v>
      </c>
      <c r="B190" t="s">
        <v>128</v>
      </c>
      <c r="C190">
        <v>189</v>
      </c>
      <c r="D190">
        <v>64075</v>
      </c>
      <c r="E190" t="s">
        <v>179</v>
      </c>
      <c r="F190" t="s">
        <v>68</v>
      </c>
      <c r="G190" t="s">
        <v>10</v>
      </c>
      <c r="H190" t="s">
        <v>5</v>
      </c>
      <c r="I190" t="s">
        <v>91</v>
      </c>
      <c r="J190">
        <v>7</v>
      </c>
      <c r="K190">
        <v>0.03</v>
      </c>
      <c r="L190">
        <v>1</v>
      </c>
      <c r="M190">
        <v>1</v>
      </c>
      <c r="N190">
        <v>1</v>
      </c>
      <c r="O190">
        <v>100</v>
      </c>
      <c r="P190" t="b">
        <f t="shared" si="37"/>
        <v>0</v>
      </c>
      <c r="S190" t="str">
        <f t="shared" si="47"/>
        <v>LATER</v>
      </c>
      <c r="T190" t="str">
        <f t="shared" si="48"/>
        <v>SainteLague</v>
      </c>
      <c r="U190">
        <f t="shared" si="50"/>
        <v>189</v>
      </c>
      <c r="V190">
        <f t="shared" si="49"/>
        <v>64075</v>
      </c>
      <c r="W190" s="8" t="str">
        <f>VLOOKUP(V190,'ideas-input'!$A:$B,2,FALSE)</f>
        <v>[Mulesoft] - [Api Integrations Clientes] : Disponer de los client_id que invocan a los endpoint de integraciones</v>
      </c>
      <c r="X190" t="str">
        <f t="shared" si="38"/>
        <v>IDC</v>
      </c>
      <c r="Y190" s="8" t="str">
        <f>VLOOKUP(V190,'ideas-input'!$A:$D,4,FALSE)</f>
        <v>eCommerce</v>
      </c>
      <c r="Z190" t="str">
        <f t="shared" si="39"/>
        <v>Commercial</v>
      </c>
      <c r="AA190" t="str">
        <f t="shared" si="40"/>
        <v>Backlog</v>
      </c>
      <c r="AB190">
        <f t="shared" si="41"/>
        <v>7</v>
      </c>
      <c r="AC190">
        <f t="shared" si="42"/>
        <v>0.03</v>
      </c>
      <c r="AD190">
        <f t="shared" si="43"/>
        <v>1</v>
      </c>
      <c r="AE190">
        <f t="shared" si="44"/>
        <v>1</v>
      </c>
      <c r="AF190">
        <f t="shared" si="45"/>
        <v>1</v>
      </c>
      <c r="AG190">
        <f t="shared" si="46"/>
        <v>100</v>
      </c>
    </row>
    <row r="191" spans="1:33" x14ac:dyDescent="0.2">
      <c r="A191" t="s">
        <v>127</v>
      </c>
      <c r="B191" t="s">
        <v>128</v>
      </c>
      <c r="C191">
        <v>190</v>
      </c>
      <c r="D191">
        <v>126645</v>
      </c>
      <c r="E191" t="s">
        <v>172</v>
      </c>
      <c r="F191" t="s">
        <v>22</v>
      </c>
      <c r="G191" t="s">
        <v>379</v>
      </c>
      <c r="H191" t="s">
        <v>12</v>
      </c>
      <c r="I191" t="s">
        <v>136</v>
      </c>
      <c r="J191">
        <v>3</v>
      </c>
      <c r="K191">
        <v>3</v>
      </c>
      <c r="L191">
        <v>3</v>
      </c>
      <c r="M191">
        <v>2</v>
      </c>
      <c r="N191">
        <v>1</v>
      </c>
      <c r="O191">
        <v>2</v>
      </c>
      <c r="P191" t="b">
        <f t="shared" si="37"/>
        <v>0</v>
      </c>
      <c r="S191" t="str">
        <f t="shared" si="47"/>
        <v>LATER</v>
      </c>
      <c r="T191" t="str">
        <f t="shared" si="48"/>
        <v>SainteLague</v>
      </c>
      <c r="U191">
        <f t="shared" si="50"/>
        <v>190</v>
      </c>
      <c r="V191">
        <f t="shared" si="49"/>
        <v>126645</v>
      </c>
      <c r="W191" s="8" t="str">
        <f>VLOOKUP(V191,'ideas-input'!$A:$B,2,FALSE)</f>
        <v>GENAI-TOF</v>
      </c>
      <c r="X191" t="str">
        <f t="shared" si="38"/>
        <v>CF</v>
      </c>
      <c r="Y191" s="8" t="str">
        <f>VLOOKUP(V191,'ideas-input'!$A:$D,4,FALSE)</f>
        <v>Mail</v>
      </c>
      <c r="Z191" t="str">
        <f t="shared" si="39"/>
        <v>Corporate</v>
      </c>
      <c r="AA191" t="str">
        <f t="shared" si="40"/>
        <v>In Solution</v>
      </c>
      <c r="AB191">
        <f t="shared" si="41"/>
        <v>3</v>
      </c>
      <c r="AC191">
        <f t="shared" si="42"/>
        <v>3</v>
      </c>
      <c r="AD191">
        <f t="shared" si="43"/>
        <v>3</v>
      </c>
      <c r="AE191">
        <f t="shared" si="44"/>
        <v>2</v>
      </c>
      <c r="AF191">
        <f t="shared" si="45"/>
        <v>1</v>
      </c>
      <c r="AG191">
        <f t="shared" si="46"/>
        <v>2</v>
      </c>
    </row>
    <row r="192" spans="1:33" x14ac:dyDescent="0.2">
      <c r="A192" t="s">
        <v>127</v>
      </c>
      <c r="B192" t="s">
        <v>128</v>
      </c>
      <c r="C192">
        <v>191</v>
      </c>
      <c r="D192">
        <v>62466</v>
      </c>
      <c r="E192" t="s">
        <v>1059</v>
      </c>
      <c r="F192" t="s">
        <v>64</v>
      </c>
      <c r="G192" t="s">
        <v>10</v>
      </c>
      <c r="H192" t="s">
        <v>6</v>
      </c>
      <c r="I192" t="s">
        <v>97</v>
      </c>
      <c r="J192">
        <v>27</v>
      </c>
      <c r="K192">
        <v>0.03</v>
      </c>
      <c r="L192">
        <v>1</v>
      </c>
      <c r="M192">
        <v>1</v>
      </c>
      <c r="N192">
        <v>1</v>
      </c>
      <c r="O192">
        <v>100</v>
      </c>
      <c r="P192" t="b">
        <f t="shared" si="37"/>
        <v>0</v>
      </c>
      <c r="S192" t="str">
        <f t="shared" si="47"/>
        <v>LATER</v>
      </c>
      <c r="T192" t="str">
        <f t="shared" si="48"/>
        <v>SainteLague</v>
      </c>
      <c r="U192">
        <f t="shared" si="50"/>
        <v>191</v>
      </c>
      <c r="V192">
        <f t="shared" si="49"/>
        <v>62466</v>
      </c>
      <c r="W192" s="8" t="str">
        <f>VLOOKUP(V192,'ideas-input'!$A:$B,2,FALSE)</f>
        <v>Integración con CACESA para la sustitución de ADYCO (30-nov)</v>
      </c>
      <c r="X192" t="str">
        <f t="shared" si="38"/>
        <v>COO</v>
      </c>
      <c r="Y192" s="8" t="str">
        <f>VLOOKUP(V192,'ideas-input'!$A:$D,4,FALSE)</f>
        <v>eCommerce</v>
      </c>
      <c r="Z192" t="str">
        <f t="shared" si="39"/>
        <v>Operations</v>
      </c>
      <c r="AA192" t="str">
        <f t="shared" si="40"/>
        <v>Ready for Solution</v>
      </c>
      <c r="AB192">
        <f t="shared" si="41"/>
        <v>27</v>
      </c>
      <c r="AC192">
        <f t="shared" si="42"/>
        <v>0.03</v>
      </c>
      <c r="AD192">
        <f t="shared" si="43"/>
        <v>1</v>
      </c>
      <c r="AE192">
        <f t="shared" si="44"/>
        <v>1</v>
      </c>
      <c r="AF192">
        <f t="shared" si="45"/>
        <v>1</v>
      </c>
      <c r="AG192">
        <f t="shared" si="46"/>
        <v>100</v>
      </c>
    </row>
    <row r="193" spans="1:33" x14ac:dyDescent="0.2">
      <c r="A193" t="s">
        <v>127</v>
      </c>
      <c r="B193" t="s">
        <v>128</v>
      </c>
      <c r="C193">
        <v>192</v>
      </c>
      <c r="D193">
        <v>126749</v>
      </c>
      <c r="E193" t="s">
        <v>1038</v>
      </c>
      <c r="F193" t="s">
        <v>59</v>
      </c>
      <c r="G193" t="s">
        <v>379</v>
      </c>
      <c r="H193" t="s">
        <v>8</v>
      </c>
      <c r="I193" t="s">
        <v>94</v>
      </c>
      <c r="J193">
        <v>5</v>
      </c>
      <c r="K193">
        <v>5</v>
      </c>
      <c r="L193">
        <v>4</v>
      </c>
      <c r="M193">
        <v>3</v>
      </c>
      <c r="N193">
        <v>3</v>
      </c>
      <c r="O193">
        <v>2</v>
      </c>
      <c r="P193" t="b">
        <f t="shared" si="37"/>
        <v>0</v>
      </c>
      <c r="S193" t="str">
        <f t="shared" si="47"/>
        <v>LATER</v>
      </c>
      <c r="T193" t="str">
        <f t="shared" si="48"/>
        <v>SainteLague</v>
      </c>
      <c r="U193">
        <f t="shared" si="50"/>
        <v>192</v>
      </c>
      <c r="V193">
        <f t="shared" si="49"/>
        <v>126749</v>
      </c>
      <c r="W193" s="8" t="str">
        <f>VLOOKUP(V193,'ideas-input'!$A:$B,2,FALSE)</f>
        <v>SGEE - Migração de Pipelines ADO2Github</v>
      </c>
      <c r="X193" t="str">
        <f t="shared" si="38"/>
        <v>SI-OPS</v>
      </c>
      <c r="Y193" s="8" t="str">
        <f>VLOOKUP(V193,'ideas-input'!$A:$D,4,FALSE)</f>
        <v>Mail</v>
      </c>
      <c r="Z193" t="str">
        <f t="shared" si="39"/>
        <v>Technology</v>
      </c>
      <c r="AA193" t="str">
        <f t="shared" si="40"/>
        <v>In Approval</v>
      </c>
      <c r="AB193">
        <f t="shared" si="41"/>
        <v>5</v>
      </c>
      <c r="AC193">
        <f t="shared" si="42"/>
        <v>5</v>
      </c>
      <c r="AD193">
        <f t="shared" si="43"/>
        <v>4</v>
      </c>
      <c r="AE193">
        <f t="shared" si="44"/>
        <v>3</v>
      </c>
      <c r="AF193">
        <f t="shared" si="45"/>
        <v>3</v>
      </c>
      <c r="AG193">
        <f t="shared" si="46"/>
        <v>2</v>
      </c>
    </row>
    <row r="194" spans="1:33" x14ac:dyDescent="0.2">
      <c r="A194" t="s">
        <v>127</v>
      </c>
      <c r="B194" t="s">
        <v>128</v>
      </c>
      <c r="C194">
        <v>193</v>
      </c>
      <c r="D194">
        <v>51544</v>
      </c>
      <c r="E194" t="s">
        <v>1041</v>
      </c>
      <c r="F194" t="s">
        <v>69</v>
      </c>
      <c r="G194" t="s">
        <v>10</v>
      </c>
      <c r="H194" t="s">
        <v>12</v>
      </c>
      <c r="I194" t="s">
        <v>91</v>
      </c>
      <c r="J194">
        <v>7</v>
      </c>
      <c r="K194">
        <v>0.03</v>
      </c>
      <c r="L194">
        <v>1</v>
      </c>
      <c r="M194">
        <v>1</v>
      </c>
      <c r="N194">
        <v>1</v>
      </c>
      <c r="O194">
        <v>100</v>
      </c>
      <c r="P194" t="b">
        <f t="shared" ref="P194:P257" si="51">AND(C194&lt;$Q$1,IF(ISBLANK(C194),0,C194)&gt;0)</f>
        <v>0</v>
      </c>
      <c r="S194" t="str">
        <f t="shared" si="47"/>
        <v>LATER</v>
      </c>
      <c r="T194" t="str">
        <f t="shared" si="48"/>
        <v>SainteLague</v>
      </c>
      <c r="U194">
        <f t="shared" si="50"/>
        <v>193</v>
      </c>
      <c r="V194">
        <f t="shared" si="49"/>
        <v>51544</v>
      </c>
      <c r="W194" s="8" t="str">
        <f>VLOOKUP(V194,'ideas-input'!$A:$B,2,FALSE)</f>
        <v>Perdida de funcionalidad Modificación Artículos</v>
      </c>
      <c r="X194" t="str">
        <f t="shared" ref="X194:X257" si="52">F194</f>
        <v>CFO</v>
      </c>
      <c r="Y194" s="8" t="str">
        <f>VLOOKUP(V194,'ideas-input'!$A:$D,4,FALSE)</f>
        <v>eCommerce</v>
      </c>
      <c r="Z194" t="str">
        <f t="shared" ref="Z194:Z257" si="53">H194</f>
        <v>Corporate</v>
      </c>
      <c r="AA194" t="str">
        <f t="shared" ref="AA194:AA257" si="54">I194</f>
        <v>Backlog</v>
      </c>
      <c r="AB194">
        <f t="shared" ref="AB194:AB257" si="55">J194</f>
        <v>7</v>
      </c>
      <c r="AC194">
        <f t="shared" ref="AC194:AC257" si="56">K194</f>
        <v>0.03</v>
      </c>
      <c r="AD194">
        <f t="shared" ref="AD194:AD257" si="57">L194</f>
        <v>1</v>
      </c>
      <c r="AE194">
        <f t="shared" ref="AE194:AE257" si="58">M194</f>
        <v>1</v>
      </c>
      <c r="AF194">
        <f t="shared" ref="AF194:AF257" si="59">N194</f>
        <v>1</v>
      </c>
      <c r="AG194">
        <f t="shared" ref="AG194:AG257" si="60">O194</f>
        <v>100</v>
      </c>
    </row>
    <row r="195" spans="1:33" x14ac:dyDescent="0.2">
      <c r="A195" t="s">
        <v>127</v>
      </c>
      <c r="B195" t="s">
        <v>128</v>
      </c>
      <c r="C195">
        <v>194</v>
      </c>
      <c r="D195">
        <v>127066</v>
      </c>
      <c r="E195" t="s">
        <v>1061</v>
      </c>
      <c r="F195" t="s">
        <v>37</v>
      </c>
      <c r="G195" t="s">
        <v>379</v>
      </c>
      <c r="H195" t="s">
        <v>5</v>
      </c>
      <c r="I195" t="s">
        <v>136</v>
      </c>
      <c r="J195">
        <v>3</v>
      </c>
      <c r="K195">
        <v>1.75</v>
      </c>
      <c r="L195">
        <v>3</v>
      </c>
      <c r="M195">
        <v>2</v>
      </c>
      <c r="N195">
        <v>2</v>
      </c>
      <c r="O195">
        <v>4</v>
      </c>
      <c r="P195" t="b">
        <f t="shared" si="51"/>
        <v>0</v>
      </c>
      <c r="S195" t="str">
        <f t="shared" si="47"/>
        <v>LATER</v>
      </c>
      <c r="T195" t="str">
        <f t="shared" si="48"/>
        <v>SainteLague</v>
      </c>
      <c r="U195">
        <f t="shared" si="50"/>
        <v>194</v>
      </c>
      <c r="V195">
        <f t="shared" si="49"/>
        <v>127066</v>
      </c>
      <c r="W195" s="8" t="str">
        <f>VLOOKUP(V195,'ideas-input'!$A:$B,2,FALSE)</f>
        <v>Galaxy - Jornada de envios – Jornada Expresso nacional</v>
      </c>
      <c r="X195" t="str">
        <f t="shared" si="52"/>
        <v>GS</v>
      </c>
      <c r="Y195" s="8" t="str">
        <f>VLOOKUP(V195,'ideas-input'!$A:$D,4,FALSE)</f>
        <v>eCommerce</v>
      </c>
      <c r="Z195" t="str">
        <f t="shared" si="53"/>
        <v>Commercial</v>
      </c>
      <c r="AA195" t="str">
        <f t="shared" si="54"/>
        <v>In Solution</v>
      </c>
      <c r="AB195">
        <f t="shared" si="55"/>
        <v>3</v>
      </c>
      <c r="AC195">
        <f t="shared" si="56"/>
        <v>1.75</v>
      </c>
      <c r="AD195">
        <f t="shared" si="57"/>
        <v>3</v>
      </c>
      <c r="AE195">
        <f t="shared" si="58"/>
        <v>2</v>
      </c>
      <c r="AF195">
        <f t="shared" si="59"/>
        <v>2</v>
      </c>
      <c r="AG195">
        <f t="shared" si="60"/>
        <v>4</v>
      </c>
    </row>
    <row r="196" spans="1:33" x14ac:dyDescent="0.2">
      <c r="A196" t="s">
        <v>127</v>
      </c>
      <c r="B196" t="s">
        <v>128</v>
      </c>
      <c r="C196">
        <v>195</v>
      </c>
      <c r="D196">
        <v>52036</v>
      </c>
      <c r="E196" t="s">
        <v>1033</v>
      </c>
      <c r="F196" t="s">
        <v>70</v>
      </c>
      <c r="G196" t="s">
        <v>10</v>
      </c>
      <c r="H196" t="s">
        <v>8</v>
      </c>
      <c r="I196" t="s">
        <v>91</v>
      </c>
      <c r="J196">
        <v>18</v>
      </c>
      <c r="K196">
        <v>0.03</v>
      </c>
      <c r="L196">
        <v>1</v>
      </c>
      <c r="M196">
        <v>1</v>
      </c>
      <c r="N196">
        <v>1</v>
      </c>
      <c r="O196">
        <v>100</v>
      </c>
      <c r="P196" t="b">
        <f t="shared" si="51"/>
        <v>0</v>
      </c>
      <c r="S196" t="str">
        <f t="shared" si="47"/>
        <v>LATER</v>
      </c>
      <c r="T196" t="str">
        <f t="shared" si="48"/>
        <v>SainteLague</v>
      </c>
      <c r="U196">
        <f t="shared" si="50"/>
        <v>195</v>
      </c>
      <c r="V196">
        <f t="shared" si="49"/>
        <v>52036</v>
      </c>
      <c r="W196" s="8" t="str">
        <f>VLOOKUP(V196,'ideas-input'!$A:$B,2,FALSE)</f>
        <v>[Auditoria PT] Controles periódicos que garanticen la selección de lecturas óptimas para facturación</v>
      </c>
      <c r="X196" t="str">
        <f t="shared" si="52"/>
        <v>CIO</v>
      </c>
      <c r="Y196" s="8" t="str">
        <f>VLOOKUP(V196,'ideas-input'!$A:$D,4,FALSE)</f>
        <v>eCommerce</v>
      </c>
      <c r="Z196" t="str">
        <f t="shared" si="53"/>
        <v>Technology</v>
      </c>
      <c r="AA196" t="str">
        <f t="shared" si="54"/>
        <v>Backlog</v>
      </c>
      <c r="AB196">
        <f t="shared" si="55"/>
        <v>18</v>
      </c>
      <c r="AC196">
        <f t="shared" si="56"/>
        <v>0.03</v>
      </c>
      <c r="AD196">
        <f t="shared" si="57"/>
        <v>1</v>
      </c>
      <c r="AE196">
        <f t="shared" si="58"/>
        <v>1</v>
      </c>
      <c r="AF196">
        <f t="shared" si="59"/>
        <v>1</v>
      </c>
      <c r="AG196">
        <f t="shared" si="60"/>
        <v>100</v>
      </c>
    </row>
    <row r="197" spans="1:33" x14ac:dyDescent="0.2">
      <c r="A197" t="s">
        <v>127</v>
      </c>
      <c r="B197" t="s">
        <v>128</v>
      </c>
      <c r="C197">
        <v>196</v>
      </c>
      <c r="D197">
        <v>119415</v>
      </c>
      <c r="E197" t="s">
        <v>1067</v>
      </c>
      <c r="F197" t="s">
        <v>7</v>
      </c>
      <c r="G197" t="s">
        <v>379</v>
      </c>
      <c r="H197" t="s">
        <v>6</v>
      </c>
      <c r="I197" t="s">
        <v>95</v>
      </c>
      <c r="J197">
        <v>14</v>
      </c>
      <c r="K197">
        <v>0.03</v>
      </c>
      <c r="L197">
        <v>1</v>
      </c>
      <c r="M197">
        <v>1</v>
      </c>
      <c r="N197">
        <v>1</v>
      </c>
      <c r="O197">
        <v>100</v>
      </c>
      <c r="P197" t="b">
        <f t="shared" si="51"/>
        <v>0</v>
      </c>
      <c r="S197" t="str">
        <f t="shared" si="47"/>
        <v>LATER</v>
      </c>
      <c r="T197" t="str">
        <f t="shared" si="48"/>
        <v>SainteLague</v>
      </c>
      <c r="U197">
        <f t="shared" si="50"/>
        <v>196</v>
      </c>
      <c r="V197">
        <f t="shared" si="49"/>
        <v>119415</v>
      </c>
      <c r="W197" s="8" t="str">
        <f>VLOOKUP(V197,'ideas-input'!$A:$B,2,FALSE)</f>
        <v>Incremento ao Safeplace c/ Integração LMS (Decoupling Brain)</v>
      </c>
      <c r="X197" t="str">
        <f t="shared" si="52"/>
        <v>EDO</v>
      </c>
      <c r="Y197" s="8" t="str">
        <f>VLOOKUP(V197,'ideas-input'!$A:$D,4,FALSE)</f>
        <v>eCommerce</v>
      </c>
      <c r="Z197" t="str">
        <f t="shared" si="53"/>
        <v>Operations</v>
      </c>
      <c r="AA197" t="str">
        <f t="shared" si="54"/>
        <v>In Definition</v>
      </c>
      <c r="AB197">
        <f t="shared" si="55"/>
        <v>14</v>
      </c>
      <c r="AC197">
        <f t="shared" si="56"/>
        <v>0.03</v>
      </c>
      <c r="AD197">
        <f t="shared" si="57"/>
        <v>1</v>
      </c>
      <c r="AE197">
        <f t="shared" si="58"/>
        <v>1</v>
      </c>
      <c r="AF197">
        <f t="shared" si="59"/>
        <v>1</v>
      </c>
      <c r="AG197">
        <f t="shared" si="60"/>
        <v>100</v>
      </c>
    </row>
    <row r="198" spans="1:33" x14ac:dyDescent="0.2">
      <c r="A198" t="s">
        <v>127</v>
      </c>
      <c r="B198" t="s">
        <v>128</v>
      </c>
      <c r="C198">
        <v>197</v>
      </c>
      <c r="D198">
        <v>48584</v>
      </c>
      <c r="E198" t="s">
        <v>1057</v>
      </c>
      <c r="F198" t="s">
        <v>70</v>
      </c>
      <c r="G198" t="s">
        <v>10</v>
      </c>
      <c r="H198" t="s">
        <v>5</v>
      </c>
      <c r="I198" t="s">
        <v>95</v>
      </c>
      <c r="J198">
        <v>22</v>
      </c>
      <c r="K198">
        <v>0.03</v>
      </c>
      <c r="L198">
        <v>1</v>
      </c>
      <c r="M198">
        <v>1</v>
      </c>
      <c r="N198">
        <v>1</v>
      </c>
      <c r="O198">
        <v>100</v>
      </c>
      <c r="P198" t="b">
        <f t="shared" si="51"/>
        <v>0</v>
      </c>
      <c r="S198" t="str">
        <f t="shared" si="47"/>
        <v>LATER</v>
      </c>
      <c r="T198" t="str">
        <f t="shared" si="48"/>
        <v>SainteLague</v>
      </c>
      <c r="U198">
        <f t="shared" si="50"/>
        <v>197</v>
      </c>
      <c r="V198">
        <f t="shared" si="49"/>
        <v>48584</v>
      </c>
      <c r="W198" s="8" t="str">
        <f>VLOOKUP(V198,'ideas-input'!$A:$B,2,FALSE)</f>
        <v>[Desconexión SGC] [WebHook] - Implementacion de la Plataforma de WebHooks standard</v>
      </c>
      <c r="X198" t="str">
        <f t="shared" si="52"/>
        <v>CIO</v>
      </c>
      <c r="Y198" s="8" t="str">
        <f>VLOOKUP(V198,'ideas-input'!$A:$D,4,FALSE)</f>
        <v>eCommerce</v>
      </c>
      <c r="Z198" t="str">
        <f t="shared" si="53"/>
        <v>Commercial</v>
      </c>
      <c r="AA198" t="str">
        <f t="shared" si="54"/>
        <v>In Definition</v>
      </c>
      <c r="AB198">
        <f t="shared" si="55"/>
        <v>22</v>
      </c>
      <c r="AC198">
        <f t="shared" si="56"/>
        <v>0.03</v>
      </c>
      <c r="AD198">
        <f t="shared" si="57"/>
        <v>1</v>
      </c>
      <c r="AE198">
        <f t="shared" si="58"/>
        <v>1</v>
      </c>
      <c r="AF198">
        <f t="shared" si="59"/>
        <v>1</v>
      </c>
      <c r="AG198">
        <f t="shared" si="60"/>
        <v>100</v>
      </c>
    </row>
    <row r="199" spans="1:33" x14ac:dyDescent="0.2">
      <c r="A199" t="s">
        <v>127</v>
      </c>
      <c r="B199" t="s">
        <v>128</v>
      </c>
      <c r="C199">
        <v>198</v>
      </c>
      <c r="D199">
        <v>135288</v>
      </c>
      <c r="E199" t="s">
        <v>1065</v>
      </c>
      <c r="F199" t="s">
        <v>21</v>
      </c>
      <c r="G199" t="s">
        <v>379</v>
      </c>
      <c r="H199" t="s">
        <v>5</v>
      </c>
      <c r="I199" t="s">
        <v>95</v>
      </c>
      <c r="J199">
        <v>4</v>
      </c>
      <c r="K199">
        <v>0.03</v>
      </c>
      <c r="L199">
        <v>1</v>
      </c>
      <c r="M199">
        <v>1</v>
      </c>
      <c r="N199">
        <v>1</v>
      </c>
      <c r="O199">
        <v>100</v>
      </c>
      <c r="P199" t="b">
        <f t="shared" si="51"/>
        <v>0</v>
      </c>
      <c r="S199" t="str">
        <f t="shared" si="47"/>
        <v>LATER</v>
      </c>
      <c r="T199" t="str">
        <f t="shared" si="48"/>
        <v>SainteLague</v>
      </c>
      <c r="U199">
        <f t="shared" si="50"/>
        <v>198</v>
      </c>
      <c r="V199">
        <f t="shared" si="49"/>
        <v>135288</v>
      </c>
      <c r="W199" s="8" t="str">
        <f>VLOOKUP(V199,'ideas-input'!$A:$B,2,FALSE)</f>
        <v>Desenvolvimentos CNE no âmbito do Correio Inteligente</v>
      </c>
      <c r="X199" t="str">
        <f t="shared" si="52"/>
        <v>GP B2B</v>
      </c>
      <c r="Y199" s="8" t="str">
        <f>VLOOKUP(V199,'ideas-input'!$A:$D,4,FALSE)</f>
        <v>Business Solutions</v>
      </c>
      <c r="Z199" t="str">
        <f t="shared" si="53"/>
        <v>Commercial</v>
      </c>
      <c r="AA199" t="str">
        <f t="shared" si="54"/>
        <v>In Definition</v>
      </c>
      <c r="AB199">
        <f t="shared" si="55"/>
        <v>4</v>
      </c>
      <c r="AC199">
        <f t="shared" si="56"/>
        <v>0.03</v>
      </c>
      <c r="AD199">
        <f t="shared" si="57"/>
        <v>1</v>
      </c>
      <c r="AE199">
        <f t="shared" si="58"/>
        <v>1</v>
      </c>
      <c r="AF199">
        <f t="shared" si="59"/>
        <v>1</v>
      </c>
      <c r="AG199">
        <f t="shared" si="60"/>
        <v>100</v>
      </c>
    </row>
    <row r="200" spans="1:33" x14ac:dyDescent="0.2">
      <c r="A200" t="s">
        <v>127</v>
      </c>
      <c r="B200" t="s">
        <v>128</v>
      </c>
      <c r="C200">
        <v>199</v>
      </c>
      <c r="D200">
        <v>62882</v>
      </c>
      <c r="E200" t="s">
        <v>191</v>
      </c>
      <c r="F200" t="s">
        <v>64</v>
      </c>
      <c r="G200" t="s">
        <v>10</v>
      </c>
      <c r="H200" t="s">
        <v>6</v>
      </c>
      <c r="I200" t="s">
        <v>91</v>
      </c>
      <c r="J200">
        <v>28</v>
      </c>
      <c r="K200">
        <v>0.03</v>
      </c>
      <c r="L200">
        <v>1</v>
      </c>
      <c r="M200">
        <v>1</v>
      </c>
      <c r="N200">
        <v>1</v>
      </c>
      <c r="O200">
        <v>100</v>
      </c>
      <c r="P200" t="b">
        <f t="shared" si="51"/>
        <v>0</v>
      </c>
      <c r="S200" t="str">
        <f t="shared" si="47"/>
        <v>LATER</v>
      </c>
      <c r="T200" t="str">
        <f t="shared" si="48"/>
        <v>SainteLague</v>
      </c>
      <c r="U200">
        <f t="shared" si="50"/>
        <v>199</v>
      </c>
      <c r="V200">
        <f t="shared" si="49"/>
        <v>62882</v>
      </c>
      <c r="W200" s="8" t="str">
        <f>VLOOKUP(V200,'ideas-input'!$A:$B,2,FALSE)</f>
        <v>cambios masivos de estados</v>
      </c>
      <c r="X200" t="str">
        <f t="shared" si="52"/>
        <v>COO</v>
      </c>
      <c r="Y200" s="8" t="str">
        <f>VLOOKUP(V200,'ideas-input'!$A:$D,4,FALSE)</f>
        <v>eCommerce</v>
      </c>
      <c r="Z200" t="str">
        <f t="shared" si="53"/>
        <v>Operations</v>
      </c>
      <c r="AA200" t="str">
        <f t="shared" si="54"/>
        <v>Backlog</v>
      </c>
      <c r="AB200">
        <f t="shared" si="55"/>
        <v>28</v>
      </c>
      <c r="AC200">
        <f t="shared" si="56"/>
        <v>0.03</v>
      </c>
      <c r="AD200">
        <f t="shared" si="57"/>
        <v>1</v>
      </c>
      <c r="AE200">
        <f t="shared" si="58"/>
        <v>1</v>
      </c>
      <c r="AF200">
        <f t="shared" si="59"/>
        <v>1</v>
      </c>
      <c r="AG200">
        <f t="shared" si="60"/>
        <v>100</v>
      </c>
    </row>
    <row r="201" spans="1:33" x14ac:dyDescent="0.2">
      <c r="A201" t="s">
        <v>127</v>
      </c>
      <c r="B201" t="s">
        <v>128</v>
      </c>
      <c r="C201">
        <v>200</v>
      </c>
      <c r="D201">
        <v>81168</v>
      </c>
      <c r="E201" t="s">
        <v>152</v>
      </c>
      <c r="F201" t="s">
        <v>7</v>
      </c>
      <c r="G201" t="s">
        <v>379</v>
      </c>
      <c r="H201" t="s">
        <v>6</v>
      </c>
      <c r="I201" t="s">
        <v>95</v>
      </c>
      <c r="J201">
        <v>15</v>
      </c>
      <c r="K201">
        <v>0.03</v>
      </c>
      <c r="L201">
        <v>1</v>
      </c>
      <c r="M201">
        <v>1</v>
      </c>
      <c r="N201">
        <v>1</v>
      </c>
      <c r="O201">
        <v>100</v>
      </c>
      <c r="P201" t="b">
        <f t="shared" si="51"/>
        <v>0</v>
      </c>
      <c r="S201" t="str">
        <f t="shared" si="47"/>
        <v>LATER</v>
      </c>
      <c r="T201" t="str">
        <f t="shared" si="48"/>
        <v>SainteLague</v>
      </c>
      <c r="U201">
        <f t="shared" si="50"/>
        <v>200</v>
      </c>
      <c r="V201">
        <f t="shared" si="49"/>
        <v>81168</v>
      </c>
      <c r="W201" s="16" t="str">
        <f>VLOOKUP(V201,'ideas-input'!$A:$B,2,FALSE)</f>
        <v>Tratamento de rejeitados no SD - Tipificar, isolar e informar (BG1): Incremento</v>
      </c>
      <c r="X201" t="str">
        <f t="shared" si="52"/>
        <v>EDO</v>
      </c>
      <c r="Y201" s="8" t="str">
        <f>VLOOKUP(V201,'ideas-input'!$A:$D,4,FALSE)</f>
        <v>eCommerce</v>
      </c>
      <c r="Z201" t="str">
        <f t="shared" si="53"/>
        <v>Operations</v>
      </c>
      <c r="AA201" t="str">
        <f t="shared" si="54"/>
        <v>In Definition</v>
      </c>
      <c r="AB201" s="16">
        <f t="shared" si="55"/>
        <v>15</v>
      </c>
      <c r="AC201">
        <f t="shared" si="56"/>
        <v>0.03</v>
      </c>
      <c r="AD201">
        <f t="shared" si="57"/>
        <v>1</v>
      </c>
      <c r="AE201">
        <f t="shared" si="58"/>
        <v>1</v>
      </c>
      <c r="AF201">
        <f t="shared" si="59"/>
        <v>1</v>
      </c>
      <c r="AG201">
        <f t="shared" si="60"/>
        <v>100</v>
      </c>
    </row>
    <row r="202" spans="1:33" x14ac:dyDescent="0.2">
      <c r="A202" t="s">
        <v>127</v>
      </c>
      <c r="B202" t="s">
        <v>128</v>
      </c>
      <c r="C202">
        <v>201</v>
      </c>
      <c r="D202">
        <v>46800</v>
      </c>
      <c r="E202" t="s">
        <v>178</v>
      </c>
      <c r="F202" t="s">
        <v>67</v>
      </c>
      <c r="G202" t="s">
        <v>10</v>
      </c>
      <c r="H202" t="s">
        <v>12</v>
      </c>
      <c r="I202" t="s">
        <v>95</v>
      </c>
      <c r="J202">
        <v>9</v>
      </c>
      <c r="K202">
        <v>0.03</v>
      </c>
      <c r="L202">
        <v>1</v>
      </c>
      <c r="M202">
        <v>1</v>
      </c>
      <c r="N202">
        <v>1</v>
      </c>
      <c r="O202">
        <v>100</v>
      </c>
      <c r="P202" t="b">
        <f t="shared" si="51"/>
        <v>0</v>
      </c>
      <c r="S202" t="str">
        <f t="shared" si="47"/>
        <v>LATER</v>
      </c>
      <c r="T202" t="str">
        <f t="shared" si="48"/>
        <v>SainteLague</v>
      </c>
      <c r="U202">
        <f t="shared" si="50"/>
        <v>201</v>
      </c>
      <c r="V202">
        <f t="shared" si="49"/>
        <v>46800</v>
      </c>
      <c r="W202" s="8" t="str">
        <f>VLOOKUP(V202,'ideas-input'!$A:$B,2,FALSE)</f>
        <v>[Mejora Calidad Servicio] - PDA - Envios Multibulto (aplicar logica de causa propia - ajena) (TO)</v>
      </c>
      <c r="X202" t="str">
        <f t="shared" si="52"/>
        <v>ATC</v>
      </c>
      <c r="Y202" s="8" t="str">
        <f>VLOOKUP(V202,'ideas-input'!$A:$D,4,FALSE)</f>
        <v>eCommerce</v>
      </c>
      <c r="Z202" t="str">
        <f t="shared" si="53"/>
        <v>Corporate</v>
      </c>
      <c r="AA202" t="str">
        <f t="shared" si="54"/>
        <v>In Definition</v>
      </c>
      <c r="AB202">
        <f t="shared" si="55"/>
        <v>9</v>
      </c>
      <c r="AC202">
        <f t="shared" si="56"/>
        <v>0.03</v>
      </c>
      <c r="AD202">
        <f t="shared" si="57"/>
        <v>1</v>
      </c>
      <c r="AE202">
        <f t="shared" si="58"/>
        <v>1</v>
      </c>
      <c r="AF202">
        <f t="shared" si="59"/>
        <v>1</v>
      </c>
      <c r="AG202">
        <f t="shared" si="60"/>
        <v>100</v>
      </c>
    </row>
    <row r="203" spans="1:33" x14ac:dyDescent="0.2">
      <c r="A203" t="s">
        <v>127</v>
      </c>
      <c r="B203" t="s">
        <v>128</v>
      </c>
      <c r="C203">
        <v>202</v>
      </c>
      <c r="D203">
        <v>55326</v>
      </c>
      <c r="E203" t="s">
        <v>1042</v>
      </c>
      <c r="F203" t="s">
        <v>45</v>
      </c>
      <c r="G203" t="s">
        <v>379</v>
      </c>
      <c r="H203" t="s">
        <v>12</v>
      </c>
      <c r="I203" t="s">
        <v>95</v>
      </c>
      <c r="J203">
        <v>3</v>
      </c>
      <c r="K203">
        <v>0.03</v>
      </c>
      <c r="L203">
        <v>1</v>
      </c>
      <c r="M203">
        <v>1</v>
      </c>
      <c r="N203">
        <v>1</v>
      </c>
      <c r="O203">
        <v>100</v>
      </c>
      <c r="P203" t="b">
        <f t="shared" si="51"/>
        <v>0</v>
      </c>
      <c r="S203" t="str">
        <f t="shared" si="47"/>
        <v>LATER</v>
      </c>
      <c r="T203" t="str">
        <f t="shared" si="48"/>
        <v>SainteLague</v>
      </c>
      <c r="U203">
        <f t="shared" si="50"/>
        <v>202</v>
      </c>
      <c r="V203">
        <f t="shared" si="49"/>
        <v>55326</v>
      </c>
      <c r="W203" s="8" t="str">
        <f>VLOOKUP(V203,'ideas-input'!$A:$B,2,FALSE)</f>
        <v>XRP | ADL Gestão de Frota</v>
      </c>
      <c r="X203" t="str">
        <f t="shared" si="52"/>
        <v>RS</v>
      </c>
      <c r="Y203" s="8" t="str">
        <f>VLOOKUP(V203,'ideas-input'!$A:$D,4,FALSE)</f>
        <v>Mail</v>
      </c>
      <c r="Z203" t="str">
        <f t="shared" si="53"/>
        <v>Corporate</v>
      </c>
      <c r="AA203" t="str">
        <f t="shared" si="54"/>
        <v>In Definition</v>
      </c>
      <c r="AB203">
        <f t="shared" si="55"/>
        <v>3</v>
      </c>
      <c r="AC203">
        <f t="shared" si="56"/>
        <v>0.03</v>
      </c>
      <c r="AD203">
        <f t="shared" si="57"/>
        <v>1</v>
      </c>
      <c r="AE203">
        <f t="shared" si="58"/>
        <v>1</v>
      </c>
      <c r="AF203">
        <f t="shared" si="59"/>
        <v>1</v>
      </c>
      <c r="AG203">
        <f t="shared" si="60"/>
        <v>100</v>
      </c>
    </row>
    <row r="204" spans="1:33" x14ac:dyDescent="0.2">
      <c r="A204" t="s">
        <v>127</v>
      </c>
      <c r="B204" t="s">
        <v>128</v>
      </c>
      <c r="C204">
        <v>203</v>
      </c>
      <c r="D204">
        <v>46968</v>
      </c>
      <c r="E204" t="s">
        <v>1037</v>
      </c>
      <c r="F204" t="s">
        <v>70</v>
      </c>
      <c r="G204" t="s">
        <v>10</v>
      </c>
      <c r="H204" t="s">
        <v>8</v>
      </c>
      <c r="I204" t="s">
        <v>95</v>
      </c>
      <c r="J204">
        <v>19</v>
      </c>
      <c r="K204">
        <v>0.03</v>
      </c>
      <c r="L204">
        <v>1</v>
      </c>
      <c r="M204">
        <v>1</v>
      </c>
      <c r="N204">
        <v>1</v>
      </c>
      <c r="O204">
        <v>100</v>
      </c>
      <c r="P204" t="b">
        <f t="shared" si="51"/>
        <v>0</v>
      </c>
      <c r="S204" t="str">
        <f t="shared" si="47"/>
        <v>LATER</v>
      </c>
      <c r="T204" t="str">
        <f t="shared" si="48"/>
        <v>SainteLague</v>
      </c>
      <c r="U204">
        <f t="shared" si="50"/>
        <v>203</v>
      </c>
      <c r="V204">
        <f t="shared" si="49"/>
        <v>46968</v>
      </c>
      <c r="W204" s="8" t="str">
        <f>VLOOKUP(V204,'ideas-input'!$A:$B,2,FALSE)</f>
        <v>[Desconexión SGC] PDA Planta-Dependencias PDA planta de SGC</v>
      </c>
      <c r="X204" t="str">
        <f t="shared" si="52"/>
        <v>CIO</v>
      </c>
      <c r="Y204" s="8" t="str">
        <f>VLOOKUP(V204,'ideas-input'!$A:$D,4,FALSE)</f>
        <v>eCommerce</v>
      </c>
      <c r="Z204" t="str">
        <f t="shared" si="53"/>
        <v>Technology</v>
      </c>
      <c r="AA204" t="str">
        <f t="shared" si="54"/>
        <v>In Definition</v>
      </c>
      <c r="AB204">
        <f t="shared" si="55"/>
        <v>19</v>
      </c>
      <c r="AC204">
        <f t="shared" si="56"/>
        <v>0.03</v>
      </c>
      <c r="AD204">
        <f t="shared" si="57"/>
        <v>1</v>
      </c>
      <c r="AE204">
        <f t="shared" si="58"/>
        <v>1</v>
      </c>
      <c r="AF204">
        <f t="shared" si="59"/>
        <v>1</v>
      </c>
      <c r="AG204">
        <f t="shared" si="60"/>
        <v>100</v>
      </c>
    </row>
    <row r="205" spans="1:33" x14ac:dyDescent="0.2">
      <c r="A205" t="s">
        <v>127</v>
      </c>
      <c r="B205" t="s">
        <v>128</v>
      </c>
      <c r="C205">
        <v>204</v>
      </c>
      <c r="D205">
        <v>105685</v>
      </c>
      <c r="E205" t="s">
        <v>1044</v>
      </c>
      <c r="F205" t="s">
        <v>60</v>
      </c>
      <c r="G205" t="s">
        <v>379</v>
      </c>
      <c r="H205" t="s">
        <v>8</v>
      </c>
      <c r="I205" t="s">
        <v>91</v>
      </c>
      <c r="J205">
        <v>3</v>
      </c>
      <c r="K205">
        <v>0.03</v>
      </c>
      <c r="L205">
        <v>1</v>
      </c>
      <c r="M205">
        <v>1</v>
      </c>
      <c r="N205">
        <v>1</v>
      </c>
      <c r="O205">
        <v>100</v>
      </c>
      <c r="P205" t="b">
        <f t="shared" si="51"/>
        <v>0</v>
      </c>
      <c r="S205" t="str">
        <f t="shared" si="47"/>
        <v>LATER</v>
      </c>
      <c r="T205" t="str">
        <f t="shared" si="48"/>
        <v>SainteLague</v>
      </c>
      <c r="U205">
        <f t="shared" si="50"/>
        <v>204</v>
      </c>
      <c r="V205">
        <f t="shared" si="49"/>
        <v>105685</v>
      </c>
      <c r="W205" s="8" t="str">
        <f>VLOOKUP(V205,'ideas-input'!$A:$B,2,FALSE)</f>
        <v>IA &amp; Automação Corporate</v>
      </c>
      <c r="X205" t="str">
        <f t="shared" si="52"/>
        <v>SI-CRP</v>
      </c>
      <c r="Y205" s="8" t="str">
        <f>VLOOKUP(V205,'ideas-input'!$A:$D,4,FALSE)</f>
        <v>Mail</v>
      </c>
      <c r="Z205" t="str">
        <f t="shared" si="53"/>
        <v>Technology</v>
      </c>
      <c r="AA205" t="str">
        <f t="shared" si="54"/>
        <v>Backlog</v>
      </c>
      <c r="AB205">
        <f t="shared" si="55"/>
        <v>3</v>
      </c>
      <c r="AC205">
        <f t="shared" si="56"/>
        <v>0.03</v>
      </c>
      <c r="AD205">
        <f t="shared" si="57"/>
        <v>1</v>
      </c>
      <c r="AE205">
        <f t="shared" si="58"/>
        <v>1</v>
      </c>
      <c r="AF205">
        <f t="shared" si="59"/>
        <v>1</v>
      </c>
      <c r="AG205">
        <f t="shared" si="60"/>
        <v>100</v>
      </c>
    </row>
    <row r="206" spans="1:33" x14ac:dyDescent="0.2">
      <c r="A206" t="s">
        <v>127</v>
      </c>
      <c r="B206" t="s">
        <v>128</v>
      </c>
      <c r="C206">
        <v>205</v>
      </c>
      <c r="D206">
        <v>52298</v>
      </c>
      <c r="E206" t="s">
        <v>1672</v>
      </c>
      <c r="F206" t="s">
        <v>65</v>
      </c>
      <c r="G206" t="s">
        <v>10</v>
      </c>
      <c r="H206" t="s">
        <v>5</v>
      </c>
      <c r="I206" t="s">
        <v>97</v>
      </c>
      <c r="J206">
        <v>15</v>
      </c>
      <c r="K206">
        <v>0.03</v>
      </c>
      <c r="L206">
        <v>1</v>
      </c>
      <c r="M206">
        <v>1</v>
      </c>
      <c r="N206">
        <v>1</v>
      </c>
      <c r="O206">
        <v>100</v>
      </c>
      <c r="P206" t="b">
        <f t="shared" si="51"/>
        <v>0</v>
      </c>
      <c r="S206" t="str">
        <f t="shared" si="47"/>
        <v>LATER</v>
      </c>
      <c r="T206" t="str">
        <f t="shared" si="48"/>
        <v>SainteLague</v>
      </c>
      <c r="U206">
        <f t="shared" si="50"/>
        <v>205</v>
      </c>
      <c r="V206">
        <f t="shared" si="49"/>
        <v>52298</v>
      </c>
      <c r="W206" s="8" t="str">
        <f>VLOOKUP(V206,'ideas-input'!$A:$B,2,FALSE)</f>
        <v>[Nexus] [Notificaciones]  Whatsapp desde Marketing Cloud Engagement de Salesforce - Envío WP para el envío de notificaciones con incidencia</v>
      </c>
      <c r="X206" t="str">
        <f t="shared" si="52"/>
        <v>CMO</v>
      </c>
      <c r="Y206" s="8" t="str">
        <f>VLOOKUP(V206,'ideas-input'!$A:$D,4,FALSE)</f>
        <v>eCommerce</v>
      </c>
      <c r="Z206" t="str">
        <f t="shared" si="53"/>
        <v>Commercial</v>
      </c>
      <c r="AA206" t="str">
        <f t="shared" si="54"/>
        <v>Ready for Solution</v>
      </c>
      <c r="AB206">
        <f t="shared" si="55"/>
        <v>15</v>
      </c>
      <c r="AC206">
        <f t="shared" si="56"/>
        <v>0.03</v>
      </c>
      <c r="AD206">
        <f t="shared" si="57"/>
        <v>1</v>
      </c>
      <c r="AE206">
        <f t="shared" si="58"/>
        <v>1</v>
      </c>
      <c r="AF206">
        <f t="shared" si="59"/>
        <v>1</v>
      </c>
      <c r="AG206">
        <f t="shared" si="60"/>
        <v>100</v>
      </c>
    </row>
    <row r="207" spans="1:33" x14ac:dyDescent="0.2">
      <c r="A207" t="s">
        <v>127</v>
      </c>
      <c r="B207" t="s">
        <v>128</v>
      </c>
      <c r="C207">
        <v>206</v>
      </c>
      <c r="D207">
        <v>139711</v>
      </c>
      <c r="E207" t="s">
        <v>1073</v>
      </c>
      <c r="F207" t="s">
        <v>23</v>
      </c>
      <c r="G207" t="s">
        <v>379</v>
      </c>
      <c r="H207" t="s">
        <v>5</v>
      </c>
      <c r="I207" t="s">
        <v>91</v>
      </c>
      <c r="J207">
        <v>4</v>
      </c>
      <c r="K207">
        <v>0.03</v>
      </c>
      <c r="L207">
        <v>1</v>
      </c>
      <c r="M207">
        <v>1</v>
      </c>
      <c r="N207">
        <v>1</v>
      </c>
      <c r="O207">
        <v>100</v>
      </c>
      <c r="P207" t="b">
        <f t="shared" si="51"/>
        <v>0</v>
      </c>
      <c r="S207" t="str">
        <f t="shared" si="47"/>
        <v>LATER</v>
      </c>
      <c r="T207" t="str">
        <f t="shared" si="48"/>
        <v>SainteLague</v>
      </c>
      <c r="U207">
        <f t="shared" si="50"/>
        <v>206</v>
      </c>
      <c r="V207">
        <f t="shared" si="49"/>
        <v>139711</v>
      </c>
      <c r="W207" s="8" t="str">
        <f>VLOOKUP(V207,'ideas-input'!$A:$B,2,FALSE)</f>
        <v>[NEXUS][PT]- INTERNACIONAL EUROPA</v>
      </c>
      <c r="X207" t="str">
        <f t="shared" si="52"/>
        <v>GP ECL</v>
      </c>
      <c r="Y207" s="8" t="str">
        <f>VLOOKUP(V207,'ideas-input'!$A:$D,4,FALSE)</f>
        <v>eCommerce</v>
      </c>
      <c r="Z207" t="str">
        <f t="shared" si="53"/>
        <v>Commercial</v>
      </c>
      <c r="AA207" t="str">
        <f t="shared" si="54"/>
        <v>Backlog</v>
      </c>
      <c r="AB207">
        <f t="shared" si="55"/>
        <v>4</v>
      </c>
      <c r="AC207">
        <f t="shared" si="56"/>
        <v>0.03</v>
      </c>
      <c r="AD207">
        <f t="shared" si="57"/>
        <v>1</v>
      </c>
      <c r="AE207">
        <f t="shared" si="58"/>
        <v>1</v>
      </c>
      <c r="AF207">
        <f t="shared" si="59"/>
        <v>1</v>
      </c>
      <c r="AG207">
        <f t="shared" si="60"/>
        <v>100</v>
      </c>
    </row>
    <row r="208" spans="1:33" x14ac:dyDescent="0.2">
      <c r="A208" t="s">
        <v>127</v>
      </c>
      <c r="B208" t="s">
        <v>128</v>
      </c>
      <c r="C208">
        <v>207</v>
      </c>
      <c r="D208">
        <v>65857</v>
      </c>
      <c r="E208" t="s">
        <v>1070</v>
      </c>
      <c r="F208" t="s">
        <v>64</v>
      </c>
      <c r="G208" t="s">
        <v>10</v>
      </c>
      <c r="H208" t="s">
        <v>6</v>
      </c>
      <c r="I208" t="s">
        <v>91</v>
      </c>
      <c r="J208">
        <v>29</v>
      </c>
      <c r="K208">
        <v>0.03</v>
      </c>
      <c r="L208">
        <v>1</v>
      </c>
      <c r="M208">
        <v>1</v>
      </c>
      <c r="N208">
        <v>1</v>
      </c>
      <c r="O208">
        <v>100</v>
      </c>
      <c r="P208" t="b">
        <f t="shared" si="51"/>
        <v>0</v>
      </c>
      <c r="S208" t="str">
        <f t="shared" si="47"/>
        <v>LATER</v>
      </c>
      <c r="T208" t="str">
        <f t="shared" si="48"/>
        <v>SainteLague</v>
      </c>
      <c r="U208">
        <f t="shared" si="50"/>
        <v>207</v>
      </c>
      <c r="V208">
        <f t="shared" si="49"/>
        <v>65857</v>
      </c>
      <c r="W208" s="8" t="str">
        <f>VLOOKUP(V208,'ideas-input'!$A:$B,2,FALSE)</f>
        <v>[Desconexión SGC]: Internacional</v>
      </c>
      <c r="X208" t="str">
        <f t="shared" si="52"/>
        <v>COO</v>
      </c>
      <c r="Y208" s="8" t="str">
        <f>VLOOKUP(V208,'ideas-input'!$A:$D,4,FALSE)</f>
        <v>eCommerce</v>
      </c>
      <c r="Z208" t="str">
        <f t="shared" si="53"/>
        <v>Operations</v>
      </c>
      <c r="AA208" t="str">
        <f t="shared" si="54"/>
        <v>Backlog</v>
      </c>
      <c r="AB208">
        <f t="shared" si="55"/>
        <v>29</v>
      </c>
      <c r="AC208">
        <f t="shared" si="56"/>
        <v>0.03</v>
      </c>
      <c r="AD208">
        <f t="shared" si="57"/>
        <v>1</v>
      </c>
      <c r="AE208">
        <f t="shared" si="58"/>
        <v>1</v>
      </c>
      <c r="AF208">
        <f t="shared" si="59"/>
        <v>1</v>
      </c>
      <c r="AG208">
        <f t="shared" si="60"/>
        <v>100</v>
      </c>
    </row>
    <row r="209" spans="1:33" x14ac:dyDescent="0.2">
      <c r="A209" t="s">
        <v>127</v>
      </c>
      <c r="B209" t="s">
        <v>128</v>
      </c>
      <c r="C209">
        <v>208</v>
      </c>
      <c r="D209">
        <v>76788</v>
      </c>
      <c r="E209" t="s">
        <v>1080</v>
      </c>
      <c r="F209" t="s">
        <v>7</v>
      </c>
      <c r="G209" t="s">
        <v>379</v>
      </c>
      <c r="H209" t="s">
        <v>6</v>
      </c>
      <c r="I209" t="s">
        <v>91</v>
      </c>
      <c r="J209">
        <v>16</v>
      </c>
      <c r="K209">
        <v>0.03</v>
      </c>
      <c r="L209">
        <v>1</v>
      </c>
      <c r="M209">
        <v>1</v>
      </c>
      <c r="N209">
        <v>1</v>
      </c>
      <c r="O209">
        <v>100</v>
      </c>
      <c r="P209" t="b">
        <f t="shared" si="51"/>
        <v>0</v>
      </c>
      <c r="S209" t="str">
        <f t="shared" si="47"/>
        <v>LATER</v>
      </c>
      <c r="T209" t="str">
        <f t="shared" si="48"/>
        <v>SainteLague</v>
      </c>
      <c r="U209">
        <f t="shared" si="50"/>
        <v>208</v>
      </c>
      <c r="V209">
        <f t="shared" si="49"/>
        <v>76788</v>
      </c>
      <c r="W209" s="8" t="str">
        <f>VLOOKUP(V209,'ideas-input'!$A:$B,2,FALSE)</f>
        <v>[Projeto One Million] Redução backlog objetos expresso</v>
      </c>
      <c r="X209" t="str">
        <f t="shared" si="52"/>
        <v>EDO</v>
      </c>
      <c r="Y209" s="8" t="str">
        <f>VLOOKUP(V209,'ideas-input'!$A:$D,4,FALSE)</f>
        <v>eCommerce</v>
      </c>
      <c r="Z209" t="str">
        <f t="shared" si="53"/>
        <v>Operations</v>
      </c>
      <c r="AA209" t="str">
        <f t="shared" si="54"/>
        <v>Backlog</v>
      </c>
      <c r="AB209">
        <f t="shared" si="55"/>
        <v>16</v>
      </c>
      <c r="AC209">
        <f t="shared" si="56"/>
        <v>0.03</v>
      </c>
      <c r="AD209">
        <f t="shared" si="57"/>
        <v>1</v>
      </c>
      <c r="AE209">
        <f t="shared" si="58"/>
        <v>1</v>
      </c>
      <c r="AF209">
        <f t="shared" si="59"/>
        <v>1</v>
      </c>
      <c r="AG209">
        <f t="shared" si="60"/>
        <v>100</v>
      </c>
    </row>
    <row r="210" spans="1:33" x14ac:dyDescent="0.2">
      <c r="A210" t="s">
        <v>127</v>
      </c>
      <c r="B210" t="s">
        <v>128</v>
      </c>
      <c r="C210">
        <v>209</v>
      </c>
      <c r="D210">
        <v>43532</v>
      </c>
      <c r="E210" t="s">
        <v>1054</v>
      </c>
      <c r="F210" t="s">
        <v>69</v>
      </c>
      <c r="G210" t="s">
        <v>10</v>
      </c>
      <c r="H210" t="s">
        <v>12</v>
      </c>
      <c r="I210" t="s">
        <v>97</v>
      </c>
      <c r="J210">
        <v>8</v>
      </c>
      <c r="K210">
        <v>0.03</v>
      </c>
      <c r="L210">
        <v>1</v>
      </c>
      <c r="M210">
        <v>1</v>
      </c>
      <c r="N210">
        <v>1</v>
      </c>
      <c r="O210">
        <v>100</v>
      </c>
      <c r="P210" t="b">
        <f t="shared" si="51"/>
        <v>0</v>
      </c>
      <c r="S210" t="str">
        <f t="shared" si="47"/>
        <v>LATER</v>
      </c>
      <c r="T210" t="str">
        <f t="shared" si="48"/>
        <v>SainteLague</v>
      </c>
      <c r="U210">
        <f t="shared" si="50"/>
        <v>209</v>
      </c>
      <c r="V210">
        <f t="shared" si="49"/>
        <v>43532</v>
      </c>
      <c r="W210" s="8" t="str">
        <f>VLOOKUP(V210,'ideas-input'!$A:$B,2,FALSE)</f>
        <v>[Evolutivos SGC Finanzas] Revisión de las lógicas de generación de facturas en 2º plano</v>
      </c>
      <c r="X210" t="str">
        <f t="shared" si="52"/>
        <v>CFO</v>
      </c>
      <c r="Y210" s="8" t="str">
        <f>VLOOKUP(V210,'ideas-input'!$A:$D,4,FALSE)</f>
        <v>eCommerce</v>
      </c>
      <c r="Z210" t="str">
        <f t="shared" si="53"/>
        <v>Corporate</v>
      </c>
      <c r="AA210" t="str">
        <f t="shared" si="54"/>
        <v>Ready for Solution</v>
      </c>
      <c r="AB210">
        <f t="shared" si="55"/>
        <v>8</v>
      </c>
      <c r="AC210">
        <f t="shared" si="56"/>
        <v>0.03</v>
      </c>
      <c r="AD210">
        <f t="shared" si="57"/>
        <v>1</v>
      </c>
      <c r="AE210">
        <f t="shared" si="58"/>
        <v>1</v>
      </c>
      <c r="AF210">
        <f t="shared" si="59"/>
        <v>1</v>
      </c>
      <c r="AG210">
        <f t="shared" si="60"/>
        <v>100</v>
      </c>
    </row>
    <row r="211" spans="1:33" x14ac:dyDescent="0.2">
      <c r="A211" t="s">
        <v>127</v>
      </c>
      <c r="B211" t="s">
        <v>128</v>
      </c>
      <c r="C211">
        <v>210</v>
      </c>
      <c r="D211">
        <v>78001</v>
      </c>
      <c r="E211" t="s">
        <v>166</v>
      </c>
      <c r="F211" t="s">
        <v>46</v>
      </c>
      <c r="G211" t="s">
        <v>379</v>
      </c>
      <c r="H211" t="s">
        <v>12</v>
      </c>
      <c r="I211" t="s">
        <v>91</v>
      </c>
      <c r="J211">
        <v>3</v>
      </c>
      <c r="K211">
        <v>3</v>
      </c>
      <c r="L211">
        <v>5</v>
      </c>
      <c r="M211">
        <v>5</v>
      </c>
      <c r="N211">
        <v>5</v>
      </c>
      <c r="O211">
        <v>5</v>
      </c>
      <c r="P211" t="b">
        <f t="shared" si="51"/>
        <v>0</v>
      </c>
      <c r="S211" t="str">
        <f t="shared" si="47"/>
        <v>LATER</v>
      </c>
      <c r="T211" t="str">
        <f t="shared" si="48"/>
        <v>SainteLague</v>
      </c>
      <c r="U211">
        <f t="shared" si="50"/>
        <v>210</v>
      </c>
      <c r="V211">
        <f t="shared" si="49"/>
        <v>78001</v>
      </c>
      <c r="W211" s="16" t="str">
        <f>VLOOKUP(V211,'ideas-input'!$A:$B,2,FALSE)</f>
        <v>Nexus | We Care | SalesForce Parametrization | Post MVP</v>
      </c>
      <c r="X211" t="str">
        <f t="shared" si="52"/>
        <v>AVC</v>
      </c>
      <c r="Y211" s="8" t="str">
        <f>VLOOKUP(V211,'ideas-input'!$A:$D,4,FALSE)</f>
        <v>eCommerce</v>
      </c>
      <c r="Z211" t="str">
        <f t="shared" si="53"/>
        <v>Corporate</v>
      </c>
      <c r="AA211" t="str">
        <f t="shared" si="54"/>
        <v>Backlog</v>
      </c>
      <c r="AB211" s="16">
        <f t="shared" si="55"/>
        <v>3</v>
      </c>
      <c r="AC211">
        <f t="shared" si="56"/>
        <v>3</v>
      </c>
      <c r="AD211">
        <f t="shared" si="57"/>
        <v>5</v>
      </c>
      <c r="AE211">
        <f t="shared" si="58"/>
        <v>5</v>
      </c>
      <c r="AF211">
        <f t="shared" si="59"/>
        <v>5</v>
      </c>
      <c r="AG211">
        <f t="shared" si="60"/>
        <v>5</v>
      </c>
    </row>
    <row r="212" spans="1:33" x14ac:dyDescent="0.2">
      <c r="A212" t="s">
        <v>127</v>
      </c>
      <c r="B212" t="s">
        <v>128</v>
      </c>
      <c r="C212">
        <v>211</v>
      </c>
      <c r="D212">
        <v>57409</v>
      </c>
      <c r="E212" t="s">
        <v>1043</v>
      </c>
      <c r="F212" t="s">
        <v>70</v>
      </c>
      <c r="G212" t="s">
        <v>10</v>
      </c>
      <c r="H212" t="s">
        <v>8</v>
      </c>
      <c r="I212" t="s">
        <v>91</v>
      </c>
      <c r="J212">
        <v>20</v>
      </c>
      <c r="K212">
        <v>0.03</v>
      </c>
      <c r="L212">
        <v>1</v>
      </c>
      <c r="M212">
        <v>1</v>
      </c>
      <c r="N212">
        <v>1</v>
      </c>
      <c r="O212">
        <v>100</v>
      </c>
      <c r="P212" t="b">
        <f t="shared" si="51"/>
        <v>0</v>
      </c>
      <c r="S212" t="str">
        <f t="shared" si="47"/>
        <v>LATER</v>
      </c>
      <c r="T212" t="str">
        <f t="shared" si="48"/>
        <v>SainteLague</v>
      </c>
      <c r="U212">
        <f t="shared" si="50"/>
        <v>211</v>
      </c>
      <c r="V212">
        <f t="shared" si="49"/>
        <v>57409</v>
      </c>
      <c r="W212" s="8" t="str">
        <f>VLOOKUP(V212,'ideas-input'!$A:$B,2,FALSE)</f>
        <v>Creación de Interfaz de usuario para simular la creación y ciclo de vida de envío</v>
      </c>
      <c r="X212" t="str">
        <f t="shared" si="52"/>
        <v>CIO</v>
      </c>
      <c r="Y212" s="8" t="str">
        <f>VLOOKUP(V212,'ideas-input'!$A:$D,4,FALSE)</f>
        <v>eCommerce</v>
      </c>
      <c r="Z212" t="str">
        <f t="shared" si="53"/>
        <v>Technology</v>
      </c>
      <c r="AA212" t="str">
        <f t="shared" si="54"/>
        <v>Backlog</v>
      </c>
      <c r="AB212">
        <f t="shared" si="55"/>
        <v>20</v>
      </c>
      <c r="AC212">
        <f t="shared" si="56"/>
        <v>0.03</v>
      </c>
      <c r="AD212">
        <f t="shared" si="57"/>
        <v>1</v>
      </c>
      <c r="AE212">
        <f t="shared" si="58"/>
        <v>1</v>
      </c>
      <c r="AF212">
        <f t="shared" si="59"/>
        <v>1</v>
      </c>
      <c r="AG212">
        <f t="shared" si="60"/>
        <v>100</v>
      </c>
    </row>
    <row r="213" spans="1:33" x14ac:dyDescent="0.2">
      <c r="A213" t="s">
        <v>127</v>
      </c>
      <c r="B213" t="s">
        <v>128</v>
      </c>
      <c r="C213">
        <v>212</v>
      </c>
      <c r="D213">
        <v>132957</v>
      </c>
      <c r="E213" t="s">
        <v>192</v>
      </c>
      <c r="F213" t="s">
        <v>9</v>
      </c>
      <c r="G213" t="s">
        <v>379</v>
      </c>
      <c r="H213" t="s">
        <v>8</v>
      </c>
      <c r="I213" t="s">
        <v>91</v>
      </c>
      <c r="J213">
        <v>8</v>
      </c>
      <c r="K213">
        <v>0.03</v>
      </c>
      <c r="L213">
        <v>1</v>
      </c>
      <c r="M213">
        <v>1</v>
      </c>
      <c r="N213">
        <v>1</v>
      </c>
      <c r="O213">
        <v>100</v>
      </c>
      <c r="P213" t="b">
        <f t="shared" si="51"/>
        <v>0</v>
      </c>
      <c r="S213" t="str">
        <f t="shared" si="47"/>
        <v>LATER</v>
      </c>
      <c r="T213" t="str">
        <f t="shared" si="48"/>
        <v>SainteLague</v>
      </c>
      <c r="U213">
        <f t="shared" si="50"/>
        <v>212</v>
      </c>
      <c r="V213">
        <f t="shared" si="49"/>
        <v>132957</v>
      </c>
      <c r="W213" s="8" t="str">
        <f>VLOOKUP(V213,'ideas-input'!$A:$B,2,FALSE)</f>
        <v>Github Migration - ParcelInfo</v>
      </c>
      <c r="X213" t="str">
        <f t="shared" si="52"/>
        <v>SI</v>
      </c>
      <c r="Y213" s="8" t="str">
        <f>VLOOKUP(V213,'ideas-input'!$A:$D,4,FALSE)</f>
        <v>Mail</v>
      </c>
      <c r="Z213" t="str">
        <f t="shared" si="53"/>
        <v>Technology</v>
      </c>
      <c r="AA213" t="str">
        <f t="shared" si="54"/>
        <v>Backlog</v>
      </c>
      <c r="AB213">
        <f t="shared" si="55"/>
        <v>8</v>
      </c>
      <c r="AC213">
        <f t="shared" si="56"/>
        <v>0.03</v>
      </c>
      <c r="AD213">
        <f t="shared" si="57"/>
        <v>1</v>
      </c>
      <c r="AE213">
        <f t="shared" si="58"/>
        <v>1</v>
      </c>
      <c r="AF213">
        <f t="shared" si="59"/>
        <v>1</v>
      </c>
      <c r="AG213">
        <f t="shared" si="60"/>
        <v>100</v>
      </c>
    </row>
    <row r="214" spans="1:33" x14ac:dyDescent="0.2">
      <c r="A214" t="s">
        <v>127</v>
      </c>
      <c r="B214" t="s">
        <v>128</v>
      </c>
      <c r="C214">
        <v>213</v>
      </c>
      <c r="D214">
        <v>140620</v>
      </c>
      <c r="E214" t="s">
        <v>1085</v>
      </c>
      <c r="F214" t="s">
        <v>66</v>
      </c>
      <c r="G214" t="s">
        <v>10</v>
      </c>
      <c r="H214" t="s">
        <v>5</v>
      </c>
      <c r="I214" t="s">
        <v>91</v>
      </c>
      <c r="J214">
        <v>9</v>
      </c>
      <c r="K214">
        <v>0.03</v>
      </c>
      <c r="L214">
        <v>1</v>
      </c>
      <c r="M214">
        <v>1</v>
      </c>
      <c r="N214">
        <v>1</v>
      </c>
      <c r="O214">
        <v>100</v>
      </c>
      <c r="P214" t="b">
        <f t="shared" si="51"/>
        <v>0</v>
      </c>
      <c r="S214" t="str">
        <f t="shared" si="47"/>
        <v>LATER</v>
      </c>
      <c r="T214" t="str">
        <f t="shared" si="48"/>
        <v>SainteLague</v>
      </c>
      <c r="U214">
        <f t="shared" si="50"/>
        <v>213</v>
      </c>
      <c r="V214">
        <f t="shared" si="49"/>
        <v>140620</v>
      </c>
      <c r="W214" s="8" t="str">
        <f>VLOOKUP(V214,'ideas-input'!$A:$B,2,FALSE)</f>
        <v>[Nexus] - [We Sell] - [Desconexión ORACLE] - Onboarding Digital</v>
      </c>
      <c r="X214" t="str">
        <f t="shared" si="52"/>
        <v>CCO</v>
      </c>
      <c r="Y214" s="8" t="str">
        <f>VLOOKUP(V214,'ideas-input'!$A:$D,4,FALSE)</f>
        <v>eCommerce</v>
      </c>
      <c r="Z214" t="str">
        <f t="shared" si="53"/>
        <v>Commercial</v>
      </c>
      <c r="AA214" t="str">
        <f t="shared" si="54"/>
        <v>Backlog</v>
      </c>
      <c r="AB214">
        <f t="shared" si="55"/>
        <v>9</v>
      </c>
      <c r="AC214">
        <f t="shared" si="56"/>
        <v>0.03</v>
      </c>
      <c r="AD214">
        <f t="shared" si="57"/>
        <v>1</v>
      </c>
      <c r="AE214">
        <f t="shared" si="58"/>
        <v>1</v>
      </c>
      <c r="AF214">
        <f t="shared" si="59"/>
        <v>1</v>
      </c>
      <c r="AG214">
        <f t="shared" si="60"/>
        <v>100</v>
      </c>
    </row>
    <row r="215" spans="1:33" x14ac:dyDescent="0.2">
      <c r="A215" t="s">
        <v>127</v>
      </c>
      <c r="B215" t="s">
        <v>128</v>
      </c>
      <c r="C215">
        <v>214</v>
      </c>
      <c r="D215">
        <v>140332</v>
      </c>
      <c r="E215" t="s">
        <v>1079</v>
      </c>
      <c r="F215" t="s">
        <v>36</v>
      </c>
      <c r="G215" t="s">
        <v>379</v>
      </c>
      <c r="H215" t="s">
        <v>5</v>
      </c>
      <c r="I215" t="s">
        <v>91</v>
      </c>
      <c r="J215">
        <v>4</v>
      </c>
      <c r="K215">
        <v>1.25</v>
      </c>
      <c r="L215">
        <v>3</v>
      </c>
      <c r="M215">
        <v>1</v>
      </c>
      <c r="N215">
        <v>1</v>
      </c>
      <c r="O215">
        <v>4</v>
      </c>
      <c r="P215" t="b">
        <f t="shared" si="51"/>
        <v>0</v>
      </c>
      <c r="S215" t="str">
        <f t="shared" ref="S215:S278" si="61">A215</f>
        <v>LATER</v>
      </c>
      <c r="T215" t="str">
        <f t="shared" ref="T215:T278" si="62">B215</f>
        <v>SainteLague</v>
      </c>
      <c r="U215">
        <f t="shared" si="50"/>
        <v>214</v>
      </c>
      <c r="V215">
        <f t="shared" ref="V215:V278" si="63">D215</f>
        <v>140332</v>
      </c>
      <c r="W215" s="8" t="str">
        <f>VLOOKUP(V215,'ideas-input'!$A:$B,2,FALSE)</f>
        <v>Conta CTT | Revamp da Conta CTT</v>
      </c>
      <c r="X215" t="str">
        <f t="shared" si="52"/>
        <v>DNI</v>
      </c>
      <c r="Y215" s="8" t="str">
        <f>VLOOKUP(V215,'ideas-input'!$A:$D,4,FALSE)</f>
        <v>eCommerce</v>
      </c>
      <c r="Z215" t="str">
        <f t="shared" si="53"/>
        <v>Commercial</v>
      </c>
      <c r="AA215" t="str">
        <f t="shared" si="54"/>
        <v>Backlog</v>
      </c>
      <c r="AB215">
        <f t="shared" si="55"/>
        <v>4</v>
      </c>
      <c r="AC215">
        <f t="shared" si="56"/>
        <v>1.25</v>
      </c>
      <c r="AD215">
        <f t="shared" si="57"/>
        <v>3</v>
      </c>
      <c r="AE215">
        <f t="shared" si="58"/>
        <v>1</v>
      </c>
      <c r="AF215">
        <f t="shared" si="59"/>
        <v>1</v>
      </c>
      <c r="AG215">
        <f t="shared" si="60"/>
        <v>4</v>
      </c>
    </row>
    <row r="216" spans="1:33" x14ac:dyDescent="0.2">
      <c r="A216" t="s">
        <v>127</v>
      </c>
      <c r="B216" t="s">
        <v>128</v>
      </c>
      <c r="C216">
        <v>215</v>
      </c>
      <c r="D216">
        <v>46679</v>
      </c>
      <c r="E216" t="s">
        <v>1076</v>
      </c>
      <c r="F216" t="s">
        <v>64</v>
      </c>
      <c r="G216" t="s">
        <v>10</v>
      </c>
      <c r="H216" t="s">
        <v>6</v>
      </c>
      <c r="I216" t="s">
        <v>95</v>
      </c>
      <c r="J216">
        <v>30</v>
      </c>
      <c r="K216">
        <v>0.03</v>
      </c>
      <c r="L216">
        <v>1</v>
      </c>
      <c r="M216">
        <v>1</v>
      </c>
      <c r="N216">
        <v>1</v>
      </c>
      <c r="O216">
        <v>100</v>
      </c>
      <c r="P216" t="b">
        <f t="shared" si="51"/>
        <v>0</v>
      </c>
      <c r="S216" t="str">
        <f t="shared" si="61"/>
        <v>LATER</v>
      </c>
      <c r="T216" t="str">
        <f t="shared" si="62"/>
        <v>SainteLague</v>
      </c>
      <c r="U216">
        <f t="shared" si="50"/>
        <v>215</v>
      </c>
      <c r="V216">
        <f t="shared" si="63"/>
        <v>46679</v>
      </c>
      <c r="W216" s="8" t="str">
        <f>VLOOKUP(V216,'ideas-input'!$A:$B,2,FALSE)</f>
        <v>[PUDOS] [Wizard] - Funcionalidad PDA: Entrega de envíos en PUDO mediante Baliza</v>
      </c>
      <c r="X216" t="str">
        <f t="shared" si="52"/>
        <v>COO</v>
      </c>
      <c r="Y216" s="8" t="str">
        <f>VLOOKUP(V216,'ideas-input'!$A:$D,4,FALSE)</f>
        <v>eCommerce</v>
      </c>
      <c r="Z216" t="str">
        <f t="shared" si="53"/>
        <v>Operations</v>
      </c>
      <c r="AA216" t="str">
        <f t="shared" si="54"/>
        <v>In Definition</v>
      </c>
      <c r="AB216">
        <f t="shared" si="55"/>
        <v>30</v>
      </c>
      <c r="AC216">
        <f t="shared" si="56"/>
        <v>0.03</v>
      </c>
      <c r="AD216">
        <f t="shared" si="57"/>
        <v>1</v>
      </c>
      <c r="AE216">
        <f t="shared" si="58"/>
        <v>1</v>
      </c>
      <c r="AF216">
        <f t="shared" si="59"/>
        <v>1</v>
      </c>
      <c r="AG216">
        <f t="shared" si="60"/>
        <v>100</v>
      </c>
    </row>
    <row r="217" spans="1:33" x14ac:dyDescent="0.2">
      <c r="A217" t="s">
        <v>127</v>
      </c>
      <c r="B217" t="s">
        <v>128</v>
      </c>
      <c r="C217">
        <v>216</v>
      </c>
      <c r="D217">
        <v>68791</v>
      </c>
      <c r="E217" t="s">
        <v>1084</v>
      </c>
      <c r="F217" t="s">
        <v>7</v>
      </c>
      <c r="G217" t="s">
        <v>379</v>
      </c>
      <c r="H217" t="s">
        <v>6</v>
      </c>
      <c r="I217" t="s">
        <v>95</v>
      </c>
      <c r="J217">
        <v>17</v>
      </c>
      <c r="K217">
        <v>0.03</v>
      </c>
      <c r="L217">
        <v>1</v>
      </c>
      <c r="M217">
        <v>1</v>
      </c>
      <c r="N217">
        <v>1</v>
      </c>
      <c r="O217">
        <v>100</v>
      </c>
      <c r="P217" t="b">
        <f t="shared" si="51"/>
        <v>0</v>
      </c>
      <c r="S217" t="str">
        <f t="shared" si="61"/>
        <v>LATER</v>
      </c>
      <c r="T217" t="str">
        <f t="shared" si="62"/>
        <v>SainteLague</v>
      </c>
      <c r="U217">
        <f t="shared" si="50"/>
        <v>216</v>
      </c>
      <c r="V217">
        <f t="shared" si="63"/>
        <v>68791</v>
      </c>
      <c r="W217" s="8" t="str">
        <f>VLOOKUP(V217,'ideas-input'!$A:$B,2,FALSE)</f>
        <v>Tratamento de rejeitados no SD - Entrada de pré-aviso pós primeira passagem do objeto na rede de tratamento (BG3)</v>
      </c>
      <c r="X217" t="str">
        <f t="shared" si="52"/>
        <v>EDO</v>
      </c>
      <c r="Y217" s="8" t="str">
        <f>VLOOKUP(V217,'ideas-input'!$A:$D,4,FALSE)</f>
        <v>eCommerce</v>
      </c>
      <c r="Z217" t="str">
        <f t="shared" si="53"/>
        <v>Operations</v>
      </c>
      <c r="AA217" t="str">
        <f t="shared" si="54"/>
        <v>In Definition</v>
      </c>
      <c r="AB217">
        <f t="shared" si="55"/>
        <v>17</v>
      </c>
      <c r="AC217">
        <f t="shared" si="56"/>
        <v>0.03</v>
      </c>
      <c r="AD217">
        <f t="shared" si="57"/>
        <v>1</v>
      </c>
      <c r="AE217">
        <f t="shared" si="58"/>
        <v>1</v>
      </c>
      <c r="AF217">
        <f t="shared" si="59"/>
        <v>1</v>
      </c>
      <c r="AG217">
        <f t="shared" si="60"/>
        <v>100</v>
      </c>
    </row>
    <row r="218" spans="1:33" x14ac:dyDescent="0.2">
      <c r="A218" t="s">
        <v>127</v>
      </c>
      <c r="B218" t="s">
        <v>128</v>
      </c>
      <c r="C218">
        <v>217</v>
      </c>
      <c r="D218">
        <v>62187</v>
      </c>
      <c r="E218" t="s">
        <v>1064</v>
      </c>
      <c r="F218" t="s">
        <v>67</v>
      </c>
      <c r="G218" t="s">
        <v>10</v>
      </c>
      <c r="H218" t="s">
        <v>12</v>
      </c>
      <c r="I218" t="s">
        <v>97</v>
      </c>
      <c r="J218">
        <v>10</v>
      </c>
      <c r="K218">
        <v>0.03</v>
      </c>
      <c r="L218">
        <v>1</v>
      </c>
      <c r="M218">
        <v>1</v>
      </c>
      <c r="N218">
        <v>1</v>
      </c>
      <c r="O218">
        <v>100</v>
      </c>
      <c r="P218" t="b">
        <f t="shared" si="51"/>
        <v>0</v>
      </c>
      <c r="S218" t="str">
        <f t="shared" si="61"/>
        <v>LATER</v>
      </c>
      <c r="T218" t="str">
        <f t="shared" si="62"/>
        <v>SainteLague</v>
      </c>
      <c r="U218">
        <f t="shared" ref="U218:U281" si="64">C218</f>
        <v>217</v>
      </c>
      <c r="V218">
        <f t="shared" si="63"/>
        <v>62187</v>
      </c>
      <c r="W218" s="8" t="str">
        <f>VLOOKUP(V218,'ideas-input'!$A:$B,2,FALSE)</f>
        <v>[Salesforce] - Usuario / Origen de una acción sobre un envío en la trazabilidad desde ATC</v>
      </c>
      <c r="X218" t="str">
        <f t="shared" si="52"/>
        <v>ATC</v>
      </c>
      <c r="Y218" s="8" t="str">
        <f>VLOOKUP(V218,'ideas-input'!$A:$D,4,FALSE)</f>
        <v>eCommerce</v>
      </c>
      <c r="Z218" t="str">
        <f t="shared" si="53"/>
        <v>Corporate</v>
      </c>
      <c r="AA218" t="str">
        <f t="shared" si="54"/>
        <v>Ready for Solution</v>
      </c>
      <c r="AB218">
        <f t="shared" si="55"/>
        <v>10</v>
      </c>
      <c r="AC218">
        <f t="shared" si="56"/>
        <v>0.03</v>
      </c>
      <c r="AD218">
        <f t="shared" si="57"/>
        <v>1</v>
      </c>
      <c r="AE218">
        <f t="shared" si="58"/>
        <v>1</v>
      </c>
      <c r="AF218">
        <f t="shared" si="59"/>
        <v>1</v>
      </c>
      <c r="AG218">
        <f t="shared" si="60"/>
        <v>100</v>
      </c>
    </row>
    <row r="219" spans="1:33" x14ac:dyDescent="0.2">
      <c r="A219" t="s">
        <v>127</v>
      </c>
      <c r="B219" t="s">
        <v>128</v>
      </c>
      <c r="C219">
        <v>218</v>
      </c>
      <c r="D219">
        <v>50856</v>
      </c>
      <c r="E219" t="s">
        <v>993</v>
      </c>
      <c r="F219" t="s">
        <v>11</v>
      </c>
      <c r="G219" t="s">
        <v>379</v>
      </c>
      <c r="H219" t="s">
        <v>11</v>
      </c>
      <c r="I219" t="s">
        <v>91</v>
      </c>
      <c r="J219">
        <v>5</v>
      </c>
      <c r="K219">
        <v>0.03</v>
      </c>
      <c r="L219">
        <v>1</v>
      </c>
      <c r="M219">
        <v>1</v>
      </c>
      <c r="N219">
        <v>1</v>
      </c>
      <c r="O219">
        <v>100</v>
      </c>
      <c r="P219" t="b">
        <f t="shared" si="51"/>
        <v>0</v>
      </c>
      <c r="S219" t="str">
        <f t="shared" si="61"/>
        <v>LATER</v>
      </c>
      <c r="T219" t="str">
        <f t="shared" si="62"/>
        <v>SainteLague</v>
      </c>
      <c r="U219">
        <f t="shared" si="64"/>
        <v>218</v>
      </c>
      <c r="V219">
        <f t="shared" si="63"/>
        <v>50856</v>
      </c>
      <c r="W219" s="8" t="str">
        <f>VLOOKUP(V219,'ideas-input'!$A:$B,2,FALSE)</f>
        <v>Definição de modelo de governo para gestão de segurança da informação, compliance e gestão de risco</v>
      </c>
      <c r="X219" t="str">
        <f t="shared" si="52"/>
        <v>CISO</v>
      </c>
      <c r="Y219" s="8" t="str">
        <f>VLOOKUP(V219,'ideas-input'!$A:$D,4,FALSE)</f>
        <v>Mail</v>
      </c>
      <c r="Z219" t="str">
        <f t="shared" si="53"/>
        <v>CISO</v>
      </c>
      <c r="AA219" t="str">
        <f t="shared" si="54"/>
        <v>Backlog</v>
      </c>
      <c r="AB219">
        <f t="shared" si="55"/>
        <v>5</v>
      </c>
      <c r="AC219">
        <f t="shared" si="56"/>
        <v>0.03</v>
      </c>
      <c r="AD219">
        <f t="shared" si="57"/>
        <v>1</v>
      </c>
      <c r="AE219">
        <f t="shared" si="58"/>
        <v>1</v>
      </c>
      <c r="AF219">
        <f t="shared" si="59"/>
        <v>1</v>
      </c>
      <c r="AG219">
        <f t="shared" si="60"/>
        <v>100</v>
      </c>
    </row>
    <row r="220" spans="1:33" x14ac:dyDescent="0.2">
      <c r="A220" t="s">
        <v>127</v>
      </c>
      <c r="B220" t="s">
        <v>128</v>
      </c>
      <c r="C220">
        <v>219</v>
      </c>
      <c r="D220">
        <v>46606</v>
      </c>
      <c r="E220" t="s">
        <v>1050</v>
      </c>
      <c r="F220" t="s">
        <v>70</v>
      </c>
      <c r="G220" t="s">
        <v>10</v>
      </c>
      <c r="H220" t="s">
        <v>8</v>
      </c>
      <c r="I220" t="s">
        <v>91</v>
      </c>
      <c r="J220">
        <v>21</v>
      </c>
      <c r="K220">
        <v>0.03</v>
      </c>
      <c r="L220">
        <v>1</v>
      </c>
      <c r="M220">
        <v>1</v>
      </c>
      <c r="N220">
        <v>1</v>
      </c>
      <c r="O220">
        <v>100</v>
      </c>
      <c r="P220" t="b">
        <f t="shared" si="51"/>
        <v>0</v>
      </c>
      <c r="S220" t="str">
        <f t="shared" si="61"/>
        <v>LATER</v>
      </c>
      <c r="T220" t="str">
        <f t="shared" si="62"/>
        <v>SainteLague</v>
      </c>
      <c r="U220">
        <f t="shared" si="64"/>
        <v>219</v>
      </c>
      <c r="V220">
        <f t="shared" si="63"/>
        <v>46606</v>
      </c>
      <c r="W220" s="8" t="str">
        <f>VLOOKUP(V220,'ideas-input'!$A:$B,2,FALSE)</f>
        <v>[Internacional] - Política de reintentos en la grabación de envíos internacionales en el sistema del proveedor</v>
      </c>
      <c r="X220" t="str">
        <f t="shared" si="52"/>
        <v>CIO</v>
      </c>
      <c r="Y220" s="8" t="str">
        <f>VLOOKUP(V220,'ideas-input'!$A:$D,4,FALSE)</f>
        <v>eCommerce</v>
      </c>
      <c r="Z220" t="str">
        <f t="shared" si="53"/>
        <v>Technology</v>
      </c>
      <c r="AA220" t="str">
        <f t="shared" si="54"/>
        <v>Backlog</v>
      </c>
      <c r="AB220">
        <f t="shared" si="55"/>
        <v>21</v>
      </c>
      <c r="AC220">
        <f t="shared" si="56"/>
        <v>0.03</v>
      </c>
      <c r="AD220">
        <f t="shared" si="57"/>
        <v>1</v>
      </c>
      <c r="AE220">
        <f t="shared" si="58"/>
        <v>1</v>
      </c>
      <c r="AF220">
        <f t="shared" si="59"/>
        <v>1</v>
      </c>
      <c r="AG220">
        <f t="shared" si="60"/>
        <v>100</v>
      </c>
    </row>
    <row r="221" spans="1:33" x14ac:dyDescent="0.2">
      <c r="A221" t="s">
        <v>127</v>
      </c>
      <c r="B221" t="s">
        <v>128</v>
      </c>
      <c r="C221">
        <v>220</v>
      </c>
      <c r="D221">
        <v>59256</v>
      </c>
      <c r="E221" t="s">
        <v>175</v>
      </c>
      <c r="F221" t="s">
        <v>47</v>
      </c>
      <c r="G221" t="s">
        <v>379</v>
      </c>
      <c r="H221" t="s">
        <v>12</v>
      </c>
      <c r="I221" t="s">
        <v>91</v>
      </c>
      <c r="J221">
        <v>3</v>
      </c>
      <c r="K221">
        <v>0.03</v>
      </c>
      <c r="L221">
        <v>1</v>
      </c>
      <c r="M221">
        <v>1</v>
      </c>
      <c r="N221">
        <v>1</v>
      </c>
      <c r="O221">
        <v>100</v>
      </c>
      <c r="P221" t="b">
        <f t="shared" si="51"/>
        <v>0</v>
      </c>
      <c r="S221" t="str">
        <f t="shared" si="61"/>
        <v>LATER</v>
      </c>
      <c r="T221" t="str">
        <f t="shared" si="62"/>
        <v>SainteLague</v>
      </c>
      <c r="U221">
        <f t="shared" si="64"/>
        <v>220</v>
      </c>
      <c r="V221">
        <f t="shared" si="63"/>
        <v>59256</v>
      </c>
      <c r="W221" s="8" t="str">
        <f>VLOOKUP(V221,'ideas-input'!$A:$B,2,FALSE)</f>
        <v>SouCTT - Salary on Demand (Subsidio de Natal) | Paynest</v>
      </c>
      <c r="X221" t="str">
        <f t="shared" si="52"/>
        <v>GT</v>
      </c>
      <c r="Y221" s="8" t="str">
        <f>VLOOKUP(V221,'ideas-input'!$A:$D,4,FALSE)</f>
        <v>Mail</v>
      </c>
      <c r="Z221" t="str">
        <f t="shared" si="53"/>
        <v>Corporate</v>
      </c>
      <c r="AA221" t="str">
        <f t="shared" si="54"/>
        <v>Backlog</v>
      </c>
      <c r="AB221">
        <f t="shared" si="55"/>
        <v>3</v>
      </c>
      <c r="AC221">
        <f t="shared" si="56"/>
        <v>0.03</v>
      </c>
      <c r="AD221">
        <f t="shared" si="57"/>
        <v>1</v>
      </c>
      <c r="AE221">
        <f t="shared" si="58"/>
        <v>1</v>
      </c>
      <c r="AF221">
        <f t="shared" si="59"/>
        <v>1</v>
      </c>
      <c r="AG221">
        <f t="shared" si="60"/>
        <v>100</v>
      </c>
    </row>
    <row r="222" spans="1:33" x14ac:dyDescent="0.2">
      <c r="A222" t="s">
        <v>127</v>
      </c>
      <c r="B222" t="s">
        <v>128</v>
      </c>
      <c r="C222">
        <v>221</v>
      </c>
      <c r="D222">
        <v>136116</v>
      </c>
      <c r="E222" t="s">
        <v>181</v>
      </c>
      <c r="F222" t="s">
        <v>68</v>
      </c>
      <c r="G222" t="s">
        <v>10</v>
      </c>
      <c r="H222" t="s">
        <v>5</v>
      </c>
      <c r="I222" t="s">
        <v>95</v>
      </c>
      <c r="J222">
        <v>8</v>
      </c>
      <c r="K222">
        <v>0.03</v>
      </c>
      <c r="L222">
        <v>1</v>
      </c>
      <c r="M222">
        <v>1</v>
      </c>
      <c r="N222">
        <v>1</v>
      </c>
      <c r="O222">
        <v>100</v>
      </c>
      <c r="P222" t="b">
        <f t="shared" si="51"/>
        <v>0</v>
      </c>
      <c r="S222" t="str">
        <f t="shared" si="61"/>
        <v>LATER</v>
      </c>
      <c r="T222" t="str">
        <f t="shared" si="62"/>
        <v>SainteLague</v>
      </c>
      <c r="U222">
        <f t="shared" si="64"/>
        <v>221</v>
      </c>
      <c r="V222">
        <f t="shared" si="63"/>
        <v>136116</v>
      </c>
      <c r="W222" s="8" t="str">
        <f>VLOOKUP(V222,'ideas-input'!$A:$B,2,FALSE)</f>
        <v>Mapper - uso de codigos de cliente y credenciales Cloud</v>
      </c>
      <c r="X222" t="str">
        <f t="shared" si="52"/>
        <v>IDC</v>
      </c>
      <c r="Y222" s="8" t="str">
        <f>VLOOKUP(V222,'ideas-input'!$A:$D,4,FALSE)</f>
        <v>eCommerce</v>
      </c>
      <c r="Z222" t="str">
        <f t="shared" si="53"/>
        <v>Commercial</v>
      </c>
      <c r="AA222" t="str">
        <f t="shared" si="54"/>
        <v>In Definition</v>
      </c>
      <c r="AB222">
        <f t="shared" si="55"/>
        <v>8</v>
      </c>
      <c r="AC222">
        <f t="shared" si="56"/>
        <v>0.03</v>
      </c>
      <c r="AD222">
        <f t="shared" si="57"/>
        <v>1</v>
      </c>
      <c r="AE222">
        <f t="shared" si="58"/>
        <v>1</v>
      </c>
      <c r="AF222">
        <f t="shared" si="59"/>
        <v>1</v>
      </c>
      <c r="AG222">
        <f t="shared" si="60"/>
        <v>100</v>
      </c>
    </row>
    <row r="223" spans="1:33" x14ac:dyDescent="0.2">
      <c r="A223" t="s">
        <v>127</v>
      </c>
      <c r="B223" t="s">
        <v>128</v>
      </c>
      <c r="C223">
        <v>222</v>
      </c>
      <c r="D223">
        <v>127624</v>
      </c>
      <c r="E223" t="s">
        <v>1058</v>
      </c>
      <c r="F223" t="s">
        <v>9</v>
      </c>
      <c r="G223" t="s">
        <v>379</v>
      </c>
      <c r="H223" t="s">
        <v>8</v>
      </c>
      <c r="I223" t="s">
        <v>91</v>
      </c>
      <c r="J223">
        <v>9</v>
      </c>
      <c r="K223">
        <v>0.03</v>
      </c>
      <c r="L223">
        <v>1</v>
      </c>
      <c r="M223">
        <v>1</v>
      </c>
      <c r="N223">
        <v>1</v>
      </c>
      <c r="O223">
        <v>100</v>
      </c>
      <c r="P223" t="b">
        <f t="shared" si="51"/>
        <v>0</v>
      </c>
      <c r="S223" t="str">
        <f t="shared" si="61"/>
        <v>LATER</v>
      </c>
      <c r="T223" t="str">
        <f t="shared" si="62"/>
        <v>SainteLague</v>
      </c>
      <c r="U223">
        <f t="shared" si="64"/>
        <v>222</v>
      </c>
      <c r="V223">
        <f t="shared" si="63"/>
        <v>127624</v>
      </c>
      <c r="W223" s="8" t="str">
        <f>VLOOKUP(V223,'ideas-input'!$A:$B,2,FALSE)</f>
        <v>Implementação QuickWins MagicBeans</v>
      </c>
      <c r="X223" t="str">
        <f t="shared" si="52"/>
        <v>SI</v>
      </c>
      <c r="Y223" s="8" t="str">
        <f>VLOOKUP(V223,'ideas-input'!$A:$D,4,FALSE)</f>
        <v>Mail</v>
      </c>
      <c r="Z223" t="str">
        <f t="shared" si="53"/>
        <v>Technology</v>
      </c>
      <c r="AA223" t="str">
        <f t="shared" si="54"/>
        <v>Backlog</v>
      </c>
      <c r="AB223">
        <f t="shared" si="55"/>
        <v>9</v>
      </c>
      <c r="AC223">
        <f t="shared" si="56"/>
        <v>0.03</v>
      </c>
      <c r="AD223">
        <f t="shared" si="57"/>
        <v>1</v>
      </c>
      <c r="AE223">
        <f t="shared" si="58"/>
        <v>1</v>
      </c>
      <c r="AF223">
        <f t="shared" si="59"/>
        <v>1</v>
      </c>
      <c r="AG223">
        <f t="shared" si="60"/>
        <v>100</v>
      </c>
    </row>
    <row r="224" spans="1:33" x14ac:dyDescent="0.2">
      <c r="A224" t="s">
        <v>127</v>
      </c>
      <c r="B224" t="s">
        <v>128</v>
      </c>
      <c r="C224">
        <v>223</v>
      </c>
      <c r="D224">
        <v>54066</v>
      </c>
      <c r="E224" t="s">
        <v>1082</v>
      </c>
      <c r="F224" t="s">
        <v>64</v>
      </c>
      <c r="G224" t="s">
        <v>10</v>
      </c>
      <c r="H224" t="s">
        <v>6</v>
      </c>
      <c r="I224" t="s">
        <v>91</v>
      </c>
      <c r="J224">
        <v>31</v>
      </c>
      <c r="K224">
        <v>0.03</v>
      </c>
      <c r="L224">
        <v>1</v>
      </c>
      <c r="M224">
        <v>1</v>
      </c>
      <c r="N224">
        <v>1</v>
      </c>
      <c r="O224">
        <v>100</v>
      </c>
      <c r="P224" t="b">
        <f t="shared" si="51"/>
        <v>0</v>
      </c>
      <c r="S224" t="str">
        <f t="shared" si="61"/>
        <v>LATER</v>
      </c>
      <c r="T224" t="str">
        <f t="shared" si="62"/>
        <v>SainteLague</v>
      </c>
      <c r="U224">
        <f t="shared" si="64"/>
        <v>223</v>
      </c>
      <c r="V224">
        <f t="shared" si="63"/>
        <v>54066</v>
      </c>
      <c r="W224" s="8" t="str">
        <f>VLOOKUP(V224,'ideas-input'!$A:$B,2,FALSE)</f>
        <v>[Desconexión SGC] Lecturas de stock sobre Contenedores</v>
      </c>
      <c r="X224" t="str">
        <f t="shared" si="52"/>
        <v>COO</v>
      </c>
      <c r="Y224" s="8" t="str">
        <f>VLOOKUP(V224,'ideas-input'!$A:$D,4,FALSE)</f>
        <v>eCommerce</v>
      </c>
      <c r="Z224" t="str">
        <f t="shared" si="53"/>
        <v>Operations</v>
      </c>
      <c r="AA224" t="str">
        <f t="shared" si="54"/>
        <v>Backlog</v>
      </c>
      <c r="AB224">
        <f t="shared" si="55"/>
        <v>31</v>
      </c>
      <c r="AC224">
        <f t="shared" si="56"/>
        <v>0.03</v>
      </c>
      <c r="AD224">
        <f t="shared" si="57"/>
        <v>1</v>
      </c>
      <c r="AE224">
        <f t="shared" si="58"/>
        <v>1</v>
      </c>
      <c r="AF224">
        <f t="shared" si="59"/>
        <v>1</v>
      </c>
      <c r="AG224">
        <f t="shared" si="60"/>
        <v>100</v>
      </c>
    </row>
    <row r="225" spans="1:33" x14ac:dyDescent="0.2">
      <c r="A225" t="s">
        <v>127</v>
      </c>
      <c r="B225" t="s">
        <v>128</v>
      </c>
      <c r="C225">
        <v>224</v>
      </c>
      <c r="D225">
        <v>173104</v>
      </c>
      <c r="E225" t="s">
        <v>1083</v>
      </c>
      <c r="F225" t="s">
        <v>38</v>
      </c>
      <c r="G225" t="s">
        <v>379</v>
      </c>
      <c r="H225" t="s">
        <v>5</v>
      </c>
      <c r="I225" t="s">
        <v>95</v>
      </c>
      <c r="J225">
        <v>3</v>
      </c>
      <c r="K225">
        <v>0.03</v>
      </c>
      <c r="L225">
        <v>1</v>
      </c>
      <c r="M225">
        <v>1</v>
      </c>
      <c r="N225">
        <v>1</v>
      </c>
      <c r="O225">
        <v>100</v>
      </c>
      <c r="P225" t="b">
        <f t="shared" si="51"/>
        <v>0</v>
      </c>
      <c r="S225" t="str">
        <f t="shared" si="61"/>
        <v>LATER</v>
      </c>
      <c r="T225" t="str">
        <f t="shared" si="62"/>
        <v>SainteLague</v>
      </c>
      <c r="U225">
        <f t="shared" si="64"/>
        <v>224</v>
      </c>
      <c r="V225">
        <f t="shared" si="63"/>
        <v>173104</v>
      </c>
      <c r="W225" s="8" t="str">
        <f>VLOOKUP(V225,'ideas-input'!$A:$B,2,FALSE)</f>
        <v>PAY - Instrumento Transferências - Alteração de requisitos definidos pelo BdP - março</v>
      </c>
      <c r="X225" t="str">
        <f t="shared" si="52"/>
        <v>CSI</v>
      </c>
      <c r="Y225" s="8" t="str">
        <f>VLOOKUP(V225,'ideas-input'!$A:$D,4,FALSE)</f>
        <v>Mail</v>
      </c>
      <c r="Z225" t="str">
        <f t="shared" si="53"/>
        <v>Commercial</v>
      </c>
      <c r="AA225" t="str">
        <f t="shared" si="54"/>
        <v>In Definition</v>
      </c>
      <c r="AB225">
        <f t="shared" si="55"/>
        <v>3</v>
      </c>
      <c r="AC225">
        <f t="shared" si="56"/>
        <v>0.03</v>
      </c>
      <c r="AD225">
        <f t="shared" si="57"/>
        <v>1</v>
      </c>
      <c r="AE225">
        <f t="shared" si="58"/>
        <v>1</v>
      </c>
      <c r="AF225">
        <f t="shared" si="59"/>
        <v>1</v>
      </c>
      <c r="AG225">
        <f t="shared" si="60"/>
        <v>100</v>
      </c>
    </row>
    <row r="226" spans="1:33" x14ac:dyDescent="0.2">
      <c r="A226" t="s">
        <v>127</v>
      </c>
      <c r="B226" t="s">
        <v>128</v>
      </c>
      <c r="C226">
        <v>225</v>
      </c>
      <c r="D226">
        <v>58264</v>
      </c>
      <c r="E226" t="s">
        <v>1051</v>
      </c>
      <c r="F226" t="s">
        <v>65</v>
      </c>
      <c r="G226" t="s">
        <v>10</v>
      </c>
      <c r="H226" t="s">
        <v>5</v>
      </c>
      <c r="I226" t="s">
        <v>136</v>
      </c>
      <c r="J226">
        <v>16</v>
      </c>
      <c r="K226">
        <v>0.03</v>
      </c>
      <c r="L226">
        <v>1</v>
      </c>
      <c r="M226">
        <v>1</v>
      </c>
      <c r="N226">
        <v>1</v>
      </c>
      <c r="O226">
        <v>100</v>
      </c>
      <c r="P226" t="b">
        <f t="shared" si="51"/>
        <v>0</v>
      </c>
      <c r="S226" t="str">
        <f t="shared" si="61"/>
        <v>LATER</v>
      </c>
      <c r="T226" t="str">
        <f t="shared" si="62"/>
        <v>SainteLague</v>
      </c>
      <c r="U226">
        <f t="shared" si="64"/>
        <v>225</v>
      </c>
      <c r="V226">
        <f t="shared" si="63"/>
        <v>58264</v>
      </c>
      <c r="W226" s="8" t="str">
        <f>VLOOKUP(V226,'ideas-input'!$A:$B,2,FALSE)</f>
        <v>[Nexus P&amp;S] -Portfolio Ibérico Ecommerce : Upload the proposal and pricing in Salesforce and Minerva</v>
      </c>
      <c r="X226" t="str">
        <f t="shared" si="52"/>
        <v>CMO</v>
      </c>
      <c r="Y226" s="8" t="str">
        <f>VLOOKUP(V226,'ideas-input'!$A:$D,4,FALSE)</f>
        <v>eCommerce</v>
      </c>
      <c r="Z226" t="str">
        <f t="shared" si="53"/>
        <v>Commercial</v>
      </c>
      <c r="AA226" t="str">
        <f t="shared" si="54"/>
        <v>In Solution</v>
      </c>
      <c r="AB226">
        <f t="shared" si="55"/>
        <v>16</v>
      </c>
      <c r="AC226">
        <f t="shared" si="56"/>
        <v>0.03</v>
      </c>
      <c r="AD226">
        <f t="shared" si="57"/>
        <v>1</v>
      </c>
      <c r="AE226">
        <f t="shared" si="58"/>
        <v>1</v>
      </c>
      <c r="AF226">
        <f t="shared" si="59"/>
        <v>1</v>
      </c>
      <c r="AG226">
        <f t="shared" si="60"/>
        <v>100</v>
      </c>
    </row>
    <row r="227" spans="1:33" x14ac:dyDescent="0.2">
      <c r="A227" t="s">
        <v>127</v>
      </c>
      <c r="B227" t="s">
        <v>128</v>
      </c>
      <c r="C227">
        <v>226</v>
      </c>
      <c r="D227">
        <v>140213</v>
      </c>
      <c r="E227" t="s">
        <v>1091</v>
      </c>
      <c r="F227" t="s">
        <v>7</v>
      </c>
      <c r="G227" t="s">
        <v>379</v>
      </c>
      <c r="H227" t="s">
        <v>6</v>
      </c>
      <c r="I227" t="s">
        <v>91</v>
      </c>
      <c r="J227">
        <v>18</v>
      </c>
      <c r="K227">
        <v>0.03</v>
      </c>
      <c r="L227">
        <v>1</v>
      </c>
      <c r="M227">
        <v>1</v>
      </c>
      <c r="N227">
        <v>1</v>
      </c>
      <c r="O227">
        <v>100</v>
      </c>
      <c r="P227" t="b">
        <f t="shared" si="51"/>
        <v>0</v>
      </c>
      <c r="S227" t="str">
        <f t="shared" si="61"/>
        <v>LATER</v>
      </c>
      <c r="T227" t="str">
        <f t="shared" si="62"/>
        <v>SainteLague</v>
      </c>
      <c r="U227">
        <f t="shared" si="64"/>
        <v>226</v>
      </c>
      <c r="V227">
        <f t="shared" si="63"/>
        <v>140213</v>
      </c>
      <c r="W227" s="8" t="str">
        <f>VLOOKUP(V227,'ideas-input'!$A:$B,2,FALSE)</f>
        <v>Geopostal 2026</v>
      </c>
      <c r="X227" t="str">
        <f t="shared" si="52"/>
        <v>EDO</v>
      </c>
      <c r="Y227" s="8" t="str">
        <f>VLOOKUP(V227,'ideas-input'!$A:$D,4,FALSE)</f>
        <v>Business Solutions</v>
      </c>
      <c r="Z227" t="str">
        <f t="shared" si="53"/>
        <v>Operations</v>
      </c>
      <c r="AA227" t="str">
        <f t="shared" si="54"/>
        <v>Backlog</v>
      </c>
      <c r="AB227">
        <f t="shared" si="55"/>
        <v>18</v>
      </c>
      <c r="AC227">
        <f t="shared" si="56"/>
        <v>0.03</v>
      </c>
      <c r="AD227">
        <f t="shared" si="57"/>
        <v>1</v>
      </c>
      <c r="AE227">
        <f t="shared" si="58"/>
        <v>1</v>
      </c>
      <c r="AF227">
        <f t="shared" si="59"/>
        <v>1</v>
      </c>
      <c r="AG227">
        <f t="shared" si="60"/>
        <v>100</v>
      </c>
    </row>
    <row r="228" spans="1:33" x14ac:dyDescent="0.2">
      <c r="A228" t="s">
        <v>127</v>
      </c>
      <c r="B228" t="s">
        <v>128</v>
      </c>
      <c r="C228">
        <v>227</v>
      </c>
      <c r="D228">
        <v>55776</v>
      </c>
      <c r="E228" t="s">
        <v>1086</v>
      </c>
      <c r="F228" t="s">
        <v>64</v>
      </c>
      <c r="G228" t="s">
        <v>10</v>
      </c>
      <c r="H228" t="s">
        <v>6</v>
      </c>
      <c r="I228" t="s">
        <v>91</v>
      </c>
      <c r="J228">
        <v>32</v>
      </c>
      <c r="K228">
        <v>0.03</v>
      </c>
      <c r="L228">
        <v>1</v>
      </c>
      <c r="M228">
        <v>1</v>
      </c>
      <c r="N228">
        <v>1</v>
      </c>
      <c r="O228">
        <v>100</v>
      </c>
      <c r="P228" t="b">
        <f t="shared" si="51"/>
        <v>0</v>
      </c>
      <c r="S228" t="str">
        <f t="shared" si="61"/>
        <v>LATER</v>
      </c>
      <c r="T228" t="str">
        <f t="shared" si="62"/>
        <v>SainteLague</v>
      </c>
      <c r="U228">
        <f t="shared" si="64"/>
        <v>227</v>
      </c>
      <c r="V228">
        <f t="shared" si="63"/>
        <v>55776</v>
      </c>
      <c r="W228" s="8" t="str">
        <f>VLOOKUP(V228,'ideas-input'!$A:$B,2,FALSE)</f>
        <v>Restricción de Login en APP de Planta</v>
      </c>
      <c r="X228" t="str">
        <f t="shared" si="52"/>
        <v>COO</v>
      </c>
      <c r="Y228" s="8" t="str">
        <f>VLOOKUP(V228,'ideas-input'!$A:$D,4,FALSE)</f>
        <v>eCommerce</v>
      </c>
      <c r="Z228" t="str">
        <f t="shared" si="53"/>
        <v>Operations</v>
      </c>
      <c r="AA228" t="str">
        <f t="shared" si="54"/>
        <v>Backlog</v>
      </c>
      <c r="AB228">
        <f t="shared" si="55"/>
        <v>32</v>
      </c>
      <c r="AC228">
        <f t="shared" si="56"/>
        <v>0.03</v>
      </c>
      <c r="AD228">
        <f t="shared" si="57"/>
        <v>1</v>
      </c>
      <c r="AE228">
        <f t="shared" si="58"/>
        <v>1</v>
      </c>
      <c r="AF228">
        <f t="shared" si="59"/>
        <v>1</v>
      </c>
      <c r="AG228">
        <f t="shared" si="60"/>
        <v>100</v>
      </c>
    </row>
    <row r="229" spans="1:33" x14ac:dyDescent="0.2">
      <c r="A229" t="s">
        <v>127</v>
      </c>
      <c r="B229" t="s">
        <v>128</v>
      </c>
      <c r="C229">
        <v>228</v>
      </c>
      <c r="D229">
        <v>125218</v>
      </c>
      <c r="E229" t="s">
        <v>167</v>
      </c>
      <c r="F229" t="s">
        <v>98</v>
      </c>
      <c r="G229" t="s">
        <v>379</v>
      </c>
      <c r="H229" t="s">
        <v>12</v>
      </c>
      <c r="I229" t="s">
        <v>97</v>
      </c>
      <c r="J229">
        <v>3</v>
      </c>
      <c r="K229">
        <v>0.03</v>
      </c>
      <c r="L229">
        <v>1</v>
      </c>
      <c r="M229">
        <v>1</v>
      </c>
      <c r="N229">
        <v>1</v>
      </c>
      <c r="O229">
        <v>100</v>
      </c>
      <c r="P229" t="b">
        <f t="shared" si="51"/>
        <v>0</v>
      </c>
      <c r="S229" t="str">
        <f t="shared" si="61"/>
        <v>LATER</v>
      </c>
      <c r="T229" t="str">
        <f t="shared" si="62"/>
        <v>SainteLague</v>
      </c>
      <c r="U229">
        <f t="shared" si="64"/>
        <v>228</v>
      </c>
      <c r="V229">
        <f t="shared" si="63"/>
        <v>125218</v>
      </c>
      <c r="W229" s="8" t="str">
        <f>VLOOKUP(V229,'ideas-input'!$A:$B,2,FALSE)</f>
        <v>revamp.EPM - Framework CPM 360 Full Scope (Non Core)</v>
      </c>
      <c r="X229" t="str">
        <f t="shared" si="52"/>
        <v>PC</v>
      </c>
      <c r="Y229" s="8" t="str">
        <f>VLOOKUP(V229,'ideas-input'!$A:$D,4,FALSE)</f>
        <v>Mail</v>
      </c>
      <c r="Z229" t="str">
        <f t="shared" si="53"/>
        <v>Corporate</v>
      </c>
      <c r="AA229" t="str">
        <f t="shared" si="54"/>
        <v>Ready for Solution</v>
      </c>
      <c r="AB229">
        <f t="shared" si="55"/>
        <v>3</v>
      </c>
      <c r="AC229">
        <f t="shared" si="56"/>
        <v>0.03</v>
      </c>
      <c r="AD229">
        <f t="shared" si="57"/>
        <v>1</v>
      </c>
      <c r="AE229">
        <f t="shared" si="58"/>
        <v>1</v>
      </c>
      <c r="AF229">
        <f t="shared" si="59"/>
        <v>1</v>
      </c>
      <c r="AG229">
        <f t="shared" si="60"/>
        <v>100</v>
      </c>
    </row>
    <row r="230" spans="1:33" x14ac:dyDescent="0.2">
      <c r="A230" t="s">
        <v>127</v>
      </c>
      <c r="B230" t="s">
        <v>128</v>
      </c>
      <c r="C230">
        <v>229</v>
      </c>
      <c r="D230">
        <v>43530</v>
      </c>
      <c r="E230" t="s">
        <v>1072</v>
      </c>
      <c r="F230" t="s">
        <v>69</v>
      </c>
      <c r="G230" t="s">
        <v>10</v>
      </c>
      <c r="H230" t="s">
        <v>12</v>
      </c>
      <c r="I230" t="s">
        <v>97</v>
      </c>
      <c r="J230">
        <v>9</v>
      </c>
      <c r="K230">
        <v>0.03</v>
      </c>
      <c r="L230">
        <v>1</v>
      </c>
      <c r="M230">
        <v>1</v>
      </c>
      <c r="N230">
        <v>1</v>
      </c>
      <c r="O230">
        <v>100</v>
      </c>
      <c r="P230" t="b">
        <f t="shared" si="51"/>
        <v>0</v>
      </c>
      <c r="S230" t="str">
        <f t="shared" si="61"/>
        <v>LATER</v>
      </c>
      <c r="T230" t="str">
        <f t="shared" si="62"/>
        <v>SainteLague</v>
      </c>
      <c r="U230">
        <f t="shared" si="64"/>
        <v>229</v>
      </c>
      <c r="V230">
        <f t="shared" si="63"/>
        <v>43530</v>
      </c>
      <c r="W230" s="8" t="str">
        <f>VLOOKUP(V230,'ideas-input'!$A:$B,2,FALSE)</f>
        <v>[Evolutivos SGC] Visibilidad de cargos manuales históricos facturados (mejora)</v>
      </c>
      <c r="X230" t="str">
        <f t="shared" si="52"/>
        <v>CFO</v>
      </c>
      <c r="Y230" s="8" t="str">
        <f>VLOOKUP(V230,'ideas-input'!$A:$D,4,FALSE)</f>
        <v>eCommerce</v>
      </c>
      <c r="Z230" t="str">
        <f t="shared" si="53"/>
        <v>Corporate</v>
      </c>
      <c r="AA230" t="str">
        <f t="shared" si="54"/>
        <v>Ready for Solution</v>
      </c>
      <c r="AB230">
        <f t="shared" si="55"/>
        <v>9</v>
      </c>
      <c r="AC230">
        <f t="shared" si="56"/>
        <v>0.03</v>
      </c>
      <c r="AD230">
        <f t="shared" si="57"/>
        <v>1</v>
      </c>
      <c r="AE230">
        <f t="shared" si="58"/>
        <v>1</v>
      </c>
      <c r="AF230">
        <f t="shared" si="59"/>
        <v>1</v>
      </c>
      <c r="AG230">
        <f t="shared" si="60"/>
        <v>100</v>
      </c>
    </row>
    <row r="231" spans="1:33" x14ac:dyDescent="0.2">
      <c r="A231" t="s">
        <v>127</v>
      </c>
      <c r="B231" t="s">
        <v>128</v>
      </c>
      <c r="C231">
        <v>230</v>
      </c>
      <c r="D231">
        <v>192027</v>
      </c>
      <c r="E231" t="s">
        <v>1063</v>
      </c>
      <c r="F231" t="s">
        <v>34</v>
      </c>
      <c r="G231" t="s">
        <v>379</v>
      </c>
      <c r="H231" t="s">
        <v>8</v>
      </c>
      <c r="I231" t="s">
        <v>91</v>
      </c>
      <c r="J231">
        <v>4</v>
      </c>
      <c r="K231">
        <v>0.03</v>
      </c>
      <c r="L231">
        <v>1</v>
      </c>
      <c r="M231">
        <v>1</v>
      </c>
      <c r="N231">
        <v>1</v>
      </c>
      <c r="O231">
        <v>100</v>
      </c>
      <c r="P231" t="b">
        <f t="shared" si="51"/>
        <v>0</v>
      </c>
      <c r="S231" t="str">
        <f t="shared" si="61"/>
        <v>LATER</v>
      </c>
      <c r="T231" t="str">
        <f t="shared" si="62"/>
        <v>SainteLague</v>
      </c>
      <c r="U231">
        <f t="shared" si="64"/>
        <v>230</v>
      </c>
      <c r="V231">
        <f t="shared" si="63"/>
        <v>192027</v>
      </c>
      <c r="W231" s="8" t="str">
        <f>VLOOKUP(V231,'ideas-input'!$A:$B,2,FALSE)</f>
        <v>Comunicações - Wifi 321 Crédito - Porto</v>
      </c>
      <c r="X231" t="str">
        <f t="shared" si="52"/>
        <v>BCTT</v>
      </c>
      <c r="Y231" s="8" t="str">
        <f>VLOOKUP(V231,'ideas-input'!$A:$D,4,FALSE)</f>
        <v>Mail</v>
      </c>
      <c r="Z231" t="str">
        <f t="shared" si="53"/>
        <v>Technology</v>
      </c>
      <c r="AA231" t="str">
        <f t="shared" si="54"/>
        <v>Backlog</v>
      </c>
      <c r="AB231">
        <f t="shared" si="55"/>
        <v>4</v>
      </c>
      <c r="AC231">
        <f t="shared" si="56"/>
        <v>0.03</v>
      </c>
      <c r="AD231">
        <f t="shared" si="57"/>
        <v>1</v>
      </c>
      <c r="AE231">
        <f t="shared" si="58"/>
        <v>1</v>
      </c>
      <c r="AF231">
        <f t="shared" si="59"/>
        <v>1</v>
      </c>
      <c r="AG231">
        <f t="shared" si="60"/>
        <v>100</v>
      </c>
    </row>
    <row r="232" spans="1:33" x14ac:dyDescent="0.2">
      <c r="A232" t="s">
        <v>127</v>
      </c>
      <c r="B232" t="s">
        <v>128</v>
      </c>
      <c r="C232">
        <v>231</v>
      </c>
      <c r="D232">
        <v>46713</v>
      </c>
      <c r="E232" t="s">
        <v>1056</v>
      </c>
      <c r="F232" t="s">
        <v>70</v>
      </c>
      <c r="G232" t="s">
        <v>10</v>
      </c>
      <c r="H232" t="s">
        <v>8</v>
      </c>
      <c r="I232" t="s">
        <v>91</v>
      </c>
      <c r="J232">
        <v>23</v>
      </c>
      <c r="K232">
        <v>0.03</v>
      </c>
      <c r="L232">
        <v>1</v>
      </c>
      <c r="M232">
        <v>1</v>
      </c>
      <c r="N232">
        <v>1</v>
      </c>
      <c r="O232">
        <v>100</v>
      </c>
      <c r="P232" t="b">
        <f t="shared" si="51"/>
        <v>0</v>
      </c>
      <c r="S232" t="str">
        <f t="shared" si="61"/>
        <v>LATER</v>
      </c>
      <c r="T232" t="str">
        <f t="shared" si="62"/>
        <v>SainteLague</v>
      </c>
      <c r="U232">
        <f t="shared" si="64"/>
        <v>231</v>
      </c>
      <c r="V232">
        <f t="shared" si="63"/>
        <v>46713</v>
      </c>
      <c r="W232" s="8" t="str">
        <f>VLOOKUP(V232,'ideas-input'!$A:$B,2,FALSE)</f>
        <v>Incluir 'audit' en los mensajes publicados en el tópico aws.delivery.fct.international-v1</v>
      </c>
      <c r="X232" t="str">
        <f t="shared" si="52"/>
        <v>CIO</v>
      </c>
      <c r="Y232" s="8" t="str">
        <f>VLOOKUP(V232,'ideas-input'!$A:$D,4,FALSE)</f>
        <v>eCommerce</v>
      </c>
      <c r="Z232" t="str">
        <f t="shared" si="53"/>
        <v>Technology</v>
      </c>
      <c r="AA232" t="str">
        <f t="shared" si="54"/>
        <v>Backlog</v>
      </c>
      <c r="AB232">
        <f t="shared" si="55"/>
        <v>23</v>
      </c>
      <c r="AC232">
        <f t="shared" si="56"/>
        <v>0.03</v>
      </c>
      <c r="AD232">
        <f t="shared" si="57"/>
        <v>1</v>
      </c>
      <c r="AE232">
        <f t="shared" si="58"/>
        <v>1</v>
      </c>
      <c r="AF232">
        <f t="shared" si="59"/>
        <v>1</v>
      </c>
      <c r="AG232">
        <f t="shared" si="60"/>
        <v>100</v>
      </c>
    </row>
    <row r="233" spans="1:33" x14ac:dyDescent="0.2">
      <c r="A233" t="s">
        <v>127</v>
      </c>
      <c r="B233" t="s">
        <v>128</v>
      </c>
      <c r="C233">
        <v>232</v>
      </c>
      <c r="D233">
        <v>124599</v>
      </c>
      <c r="E233" t="s">
        <v>1089</v>
      </c>
      <c r="F233" t="s">
        <v>25</v>
      </c>
      <c r="G233" t="s">
        <v>379</v>
      </c>
      <c r="H233" t="s">
        <v>5</v>
      </c>
      <c r="I233" t="s">
        <v>95</v>
      </c>
      <c r="J233">
        <v>3</v>
      </c>
      <c r="K233">
        <v>0.03</v>
      </c>
      <c r="L233">
        <v>1</v>
      </c>
      <c r="M233">
        <v>1</v>
      </c>
      <c r="N233">
        <v>1</v>
      </c>
      <c r="O233">
        <v>100</v>
      </c>
      <c r="P233" t="b">
        <f t="shared" si="51"/>
        <v>0</v>
      </c>
      <c r="S233" t="str">
        <f t="shared" si="61"/>
        <v>LATER</v>
      </c>
      <c r="T233" t="str">
        <f t="shared" si="62"/>
        <v>SainteLague</v>
      </c>
      <c r="U233">
        <f t="shared" si="64"/>
        <v>232</v>
      </c>
      <c r="V233">
        <f t="shared" si="63"/>
        <v>124599</v>
      </c>
      <c r="W233" s="8" t="str">
        <f>VLOOKUP(V233,'ideas-input'!$A:$B,2,FALSE)</f>
        <v>Plataforma de Gestão Documental IGCP</v>
      </c>
      <c r="X233" t="str">
        <f t="shared" si="52"/>
        <v>GP B2C</v>
      </c>
      <c r="Y233" s="8" t="str">
        <f>VLOOKUP(V233,'ideas-input'!$A:$D,4,FALSE)</f>
        <v>Retail &amp; Financial Services</v>
      </c>
      <c r="Z233" t="str">
        <f t="shared" si="53"/>
        <v>Commercial</v>
      </c>
      <c r="AA233" t="str">
        <f t="shared" si="54"/>
        <v>In Definition</v>
      </c>
      <c r="AB233">
        <f t="shared" si="55"/>
        <v>3</v>
      </c>
      <c r="AC233">
        <f t="shared" si="56"/>
        <v>0.03</v>
      </c>
      <c r="AD233">
        <f t="shared" si="57"/>
        <v>1</v>
      </c>
      <c r="AE233">
        <f t="shared" si="58"/>
        <v>1</v>
      </c>
      <c r="AF233">
        <f t="shared" si="59"/>
        <v>1</v>
      </c>
      <c r="AG233">
        <f t="shared" si="60"/>
        <v>100</v>
      </c>
    </row>
    <row r="234" spans="1:33" x14ac:dyDescent="0.2">
      <c r="A234" t="s">
        <v>127</v>
      </c>
      <c r="B234" t="s">
        <v>128</v>
      </c>
      <c r="C234">
        <v>233</v>
      </c>
      <c r="D234">
        <v>140541</v>
      </c>
      <c r="E234" t="s">
        <v>1106</v>
      </c>
      <c r="F234" t="s">
        <v>66</v>
      </c>
      <c r="G234" t="s">
        <v>10</v>
      </c>
      <c r="H234" t="s">
        <v>5</v>
      </c>
      <c r="I234" t="s">
        <v>95</v>
      </c>
      <c r="J234">
        <v>10</v>
      </c>
      <c r="K234">
        <v>0.03</v>
      </c>
      <c r="L234">
        <v>1</v>
      </c>
      <c r="M234">
        <v>1</v>
      </c>
      <c r="N234">
        <v>1</v>
      </c>
      <c r="O234">
        <v>100</v>
      </c>
      <c r="P234" t="b">
        <f t="shared" si="51"/>
        <v>0</v>
      </c>
      <c r="S234" t="str">
        <f t="shared" si="61"/>
        <v>LATER</v>
      </c>
      <c r="T234" t="str">
        <f t="shared" si="62"/>
        <v>SainteLague</v>
      </c>
      <c r="U234">
        <f t="shared" si="64"/>
        <v>233</v>
      </c>
      <c r="V234">
        <f t="shared" si="63"/>
        <v>140541</v>
      </c>
      <c r="W234" s="8" t="str">
        <f>VLOOKUP(V234,'ideas-input'!$A:$B,2,FALSE)</f>
        <v>[Nexus] - [We Sell] - [Desconexión ORACLE] - Tareas del equipo BackOffice</v>
      </c>
      <c r="X234" t="str">
        <f t="shared" si="52"/>
        <v>CCO</v>
      </c>
      <c r="Y234" s="8" t="str">
        <f>VLOOKUP(V234,'ideas-input'!$A:$D,4,FALSE)</f>
        <v>eCommerce</v>
      </c>
      <c r="Z234" t="str">
        <f t="shared" si="53"/>
        <v>Commercial</v>
      </c>
      <c r="AA234" t="str">
        <f t="shared" si="54"/>
        <v>In Definition</v>
      </c>
      <c r="AB234">
        <f t="shared" si="55"/>
        <v>10</v>
      </c>
      <c r="AC234">
        <f t="shared" si="56"/>
        <v>0.03</v>
      </c>
      <c r="AD234">
        <f t="shared" si="57"/>
        <v>1</v>
      </c>
      <c r="AE234">
        <f t="shared" si="58"/>
        <v>1</v>
      </c>
      <c r="AF234">
        <f t="shared" si="59"/>
        <v>1</v>
      </c>
      <c r="AG234">
        <f t="shared" si="60"/>
        <v>100</v>
      </c>
    </row>
    <row r="235" spans="1:33" x14ac:dyDescent="0.2">
      <c r="A235" t="s">
        <v>127</v>
      </c>
      <c r="B235" t="s">
        <v>128</v>
      </c>
      <c r="C235">
        <v>234</v>
      </c>
      <c r="D235">
        <v>138559</v>
      </c>
      <c r="E235" t="s">
        <v>1095</v>
      </c>
      <c r="F235" t="s">
        <v>7</v>
      </c>
      <c r="G235" t="s">
        <v>379</v>
      </c>
      <c r="H235" t="s">
        <v>6</v>
      </c>
      <c r="I235" t="s">
        <v>91</v>
      </c>
      <c r="J235">
        <v>19</v>
      </c>
      <c r="K235">
        <v>0.03</v>
      </c>
      <c r="L235">
        <v>1</v>
      </c>
      <c r="M235">
        <v>1</v>
      </c>
      <c r="N235">
        <v>1</v>
      </c>
      <c r="O235">
        <v>100</v>
      </c>
      <c r="P235" t="b">
        <f t="shared" si="51"/>
        <v>0</v>
      </c>
      <c r="S235" t="str">
        <f t="shared" si="61"/>
        <v>LATER</v>
      </c>
      <c r="T235" t="str">
        <f t="shared" si="62"/>
        <v>SainteLague</v>
      </c>
      <c r="U235">
        <f t="shared" si="64"/>
        <v>234</v>
      </c>
      <c r="V235">
        <f t="shared" si="63"/>
        <v>138559</v>
      </c>
      <c r="W235" s="8" t="str">
        <f>VLOOKUP(V235,'ideas-input'!$A:$B,2,FALSE)</f>
        <v>Postman Digital Brain - Fase 3</v>
      </c>
      <c r="X235" t="str">
        <f t="shared" si="52"/>
        <v>EDO</v>
      </c>
      <c r="Y235" s="8" t="str">
        <f>VLOOKUP(V235,'ideas-input'!$A:$D,4,FALSE)</f>
        <v>Mail</v>
      </c>
      <c r="Z235" t="str">
        <f t="shared" si="53"/>
        <v>Operations</v>
      </c>
      <c r="AA235" t="str">
        <f t="shared" si="54"/>
        <v>Backlog</v>
      </c>
      <c r="AB235">
        <f t="shared" si="55"/>
        <v>19</v>
      </c>
      <c r="AC235">
        <f t="shared" si="56"/>
        <v>0.03</v>
      </c>
      <c r="AD235">
        <f t="shared" si="57"/>
        <v>1</v>
      </c>
      <c r="AE235">
        <f t="shared" si="58"/>
        <v>1</v>
      </c>
      <c r="AF235">
        <f t="shared" si="59"/>
        <v>1</v>
      </c>
      <c r="AG235">
        <f t="shared" si="60"/>
        <v>100</v>
      </c>
    </row>
    <row r="236" spans="1:33" x14ac:dyDescent="0.2">
      <c r="A236" t="s">
        <v>127</v>
      </c>
      <c r="B236" t="s">
        <v>128</v>
      </c>
      <c r="C236">
        <v>235</v>
      </c>
      <c r="D236">
        <v>61968</v>
      </c>
      <c r="E236" t="s">
        <v>1676</v>
      </c>
      <c r="F236" t="s">
        <v>64</v>
      </c>
      <c r="G236" t="s">
        <v>10</v>
      </c>
      <c r="H236" t="s">
        <v>6</v>
      </c>
      <c r="I236" t="s">
        <v>136</v>
      </c>
      <c r="J236">
        <v>33</v>
      </c>
      <c r="K236">
        <v>3</v>
      </c>
      <c r="L236">
        <v>2</v>
      </c>
      <c r="M236">
        <v>2</v>
      </c>
      <c r="N236">
        <v>2</v>
      </c>
      <c r="O236">
        <v>2</v>
      </c>
      <c r="P236" t="b">
        <f t="shared" si="51"/>
        <v>0</v>
      </c>
      <c r="S236" t="str">
        <f t="shared" si="61"/>
        <v>LATER</v>
      </c>
      <c r="T236" t="str">
        <f t="shared" si="62"/>
        <v>SainteLague</v>
      </c>
      <c r="U236">
        <f t="shared" si="64"/>
        <v>235</v>
      </c>
      <c r="V236">
        <f t="shared" si="63"/>
        <v>61968</v>
      </c>
      <c r="W236" s="8" t="str">
        <f>VLOOKUP(V236,'ideas-input'!$A:$B,2,FALSE)</f>
        <v>Portal Proveedores Linehaul - Habilitar cancelación de ruta</v>
      </c>
      <c r="X236" t="str">
        <f t="shared" si="52"/>
        <v>COO</v>
      </c>
      <c r="Y236" s="8" t="str">
        <f>VLOOKUP(V236,'ideas-input'!$A:$D,4,FALSE)</f>
        <v>eCommerce</v>
      </c>
      <c r="Z236" t="str">
        <f t="shared" si="53"/>
        <v>Operations</v>
      </c>
      <c r="AA236" t="str">
        <f t="shared" si="54"/>
        <v>In Solution</v>
      </c>
      <c r="AB236">
        <f t="shared" si="55"/>
        <v>33</v>
      </c>
      <c r="AC236">
        <f t="shared" si="56"/>
        <v>3</v>
      </c>
      <c r="AD236">
        <f t="shared" si="57"/>
        <v>2</v>
      </c>
      <c r="AE236">
        <f t="shared" si="58"/>
        <v>2</v>
      </c>
      <c r="AF236">
        <f t="shared" si="59"/>
        <v>2</v>
      </c>
      <c r="AG236">
        <f t="shared" si="60"/>
        <v>2</v>
      </c>
    </row>
    <row r="237" spans="1:33" x14ac:dyDescent="0.2">
      <c r="A237" t="s">
        <v>127</v>
      </c>
      <c r="B237" t="s">
        <v>128</v>
      </c>
      <c r="C237">
        <v>236</v>
      </c>
      <c r="D237">
        <v>120815</v>
      </c>
      <c r="E237" t="s">
        <v>1093</v>
      </c>
      <c r="F237" t="s">
        <v>24</v>
      </c>
      <c r="G237" t="s">
        <v>379</v>
      </c>
      <c r="H237" t="s">
        <v>5</v>
      </c>
      <c r="I237" t="s">
        <v>91</v>
      </c>
      <c r="J237">
        <v>3</v>
      </c>
      <c r="K237">
        <v>0.03</v>
      </c>
      <c r="L237">
        <v>1</v>
      </c>
      <c r="M237">
        <v>1</v>
      </c>
      <c r="N237">
        <v>1</v>
      </c>
      <c r="O237">
        <v>100</v>
      </c>
      <c r="P237" t="b">
        <f t="shared" si="51"/>
        <v>0</v>
      </c>
      <c r="S237" t="str">
        <f t="shared" si="61"/>
        <v>LATER</v>
      </c>
      <c r="T237" t="str">
        <f t="shared" si="62"/>
        <v>SainteLague</v>
      </c>
      <c r="U237">
        <f t="shared" si="64"/>
        <v>236</v>
      </c>
      <c r="V237">
        <f t="shared" si="63"/>
        <v>120815</v>
      </c>
      <c r="W237" s="8" t="str">
        <f>VLOOKUP(V237,'ideas-input'!$A:$B,2,FALSE)</f>
        <v>Faturação de Cliente Ocasional - SAP</v>
      </c>
      <c r="X237" t="str">
        <f t="shared" si="52"/>
        <v>GPG</v>
      </c>
      <c r="Y237" s="8" t="str">
        <f>VLOOKUP(V237,'ideas-input'!$A:$D,4,FALSE)</f>
        <v>Payments</v>
      </c>
      <c r="Z237" t="str">
        <f t="shared" si="53"/>
        <v>Commercial</v>
      </c>
      <c r="AA237" t="str">
        <f t="shared" si="54"/>
        <v>Backlog</v>
      </c>
      <c r="AB237">
        <f t="shared" si="55"/>
        <v>3</v>
      </c>
      <c r="AC237">
        <f t="shared" si="56"/>
        <v>0.03</v>
      </c>
      <c r="AD237">
        <f t="shared" si="57"/>
        <v>1</v>
      </c>
      <c r="AE237">
        <f t="shared" si="58"/>
        <v>1</v>
      </c>
      <c r="AF237">
        <f t="shared" si="59"/>
        <v>1</v>
      </c>
      <c r="AG237">
        <f t="shared" si="60"/>
        <v>100</v>
      </c>
    </row>
    <row r="238" spans="1:33" x14ac:dyDescent="0.2">
      <c r="A238" t="s">
        <v>127</v>
      </c>
      <c r="B238" t="s">
        <v>128</v>
      </c>
      <c r="C238">
        <v>237</v>
      </c>
      <c r="D238">
        <v>46690</v>
      </c>
      <c r="E238" t="s">
        <v>183</v>
      </c>
      <c r="F238" t="s">
        <v>67</v>
      </c>
      <c r="G238" t="s">
        <v>10</v>
      </c>
      <c r="H238" t="s">
        <v>12</v>
      </c>
      <c r="I238" t="s">
        <v>97</v>
      </c>
      <c r="J238">
        <v>11</v>
      </c>
      <c r="K238">
        <v>0.03</v>
      </c>
      <c r="L238">
        <v>1</v>
      </c>
      <c r="M238">
        <v>1</v>
      </c>
      <c r="N238">
        <v>1</v>
      </c>
      <c r="O238">
        <v>100</v>
      </c>
      <c r="P238" t="b">
        <f t="shared" si="51"/>
        <v>0</v>
      </c>
      <c r="S238" t="str">
        <f t="shared" si="61"/>
        <v>LATER</v>
      </c>
      <c r="T238" t="str">
        <f t="shared" si="62"/>
        <v>SainteLague</v>
      </c>
      <c r="U238">
        <f t="shared" si="64"/>
        <v>237</v>
      </c>
      <c r="V238">
        <f t="shared" si="63"/>
        <v>46690</v>
      </c>
      <c r="W238" s="8" t="str">
        <f>VLOOKUP(V238,'ideas-input'!$A:$B,2,FALSE)</f>
        <v>[Salesforce Service] - Incidencias C. Propia/Automatizar incidencias en SF (marcar prioridad en SENDA desde IVR y Web)</v>
      </c>
      <c r="X238" t="str">
        <f t="shared" si="52"/>
        <v>ATC</v>
      </c>
      <c r="Y238" s="8" t="str">
        <f>VLOOKUP(V238,'ideas-input'!$A:$D,4,FALSE)</f>
        <v>eCommerce</v>
      </c>
      <c r="Z238" t="str">
        <f t="shared" si="53"/>
        <v>Corporate</v>
      </c>
      <c r="AA238" t="str">
        <f t="shared" si="54"/>
        <v>Ready for Solution</v>
      </c>
      <c r="AB238">
        <f t="shared" si="55"/>
        <v>11</v>
      </c>
      <c r="AC238">
        <f t="shared" si="56"/>
        <v>0.03</v>
      </c>
      <c r="AD238">
        <f t="shared" si="57"/>
        <v>1</v>
      </c>
      <c r="AE238">
        <f t="shared" si="58"/>
        <v>1</v>
      </c>
      <c r="AF238">
        <f t="shared" si="59"/>
        <v>1</v>
      </c>
      <c r="AG238">
        <f t="shared" si="60"/>
        <v>100</v>
      </c>
    </row>
    <row r="239" spans="1:33" x14ac:dyDescent="0.2">
      <c r="A239" t="s">
        <v>127</v>
      </c>
      <c r="B239" t="s">
        <v>128</v>
      </c>
      <c r="C239">
        <v>238</v>
      </c>
      <c r="D239">
        <v>133856</v>
      </c>
      <c r="E239" t="s">
        <v>1069</v>
      </c>
      <c r="F239" t="s">
        <v>53</v>
      </c>
      <c r="G239" t="s">
        <v>379</v>
      </c>
      <c r="H239" t="s">
        <v>12</v>
      </c>
      <c r="I239" t="s">
        <v>91</v>
      </c>
      <c r="J239">
        <v>3</v>
      </c>
      <c r="K239">
        <v>0.03</v>
      </c>
      <c r="L239">
        <v>1</v>
      </c>
      <c r="M239">
        <v>1</v>
      </c>
      <c r="N239">
        <v>1</v>
      </c>
      <c r="O239">
        <v>100</v>
      </c>
      <c r="P239" t="b">
        <f t="shared" si="51"/>
        <v>0</v>
      </c>
      <c r="S239" t="str">
        <f t="shared" si="61"/>
        <v>LATER</v>
      </c>
      <c r="T239" t="str">
        <f t="shared" si="62"/>
        <v>SainteLague</v>
      </c>
      <c r="U239">
        <f t="shared" si="64"/>
        <v>238</v>
      </c>
      <c r="V239">
        <f t="shared" si="63"/>
        <v>133856</v>
      </c>
      <c r="W239" s="8" t="str">
        <f>VLOOKUP(V239,'ideas-input'!$A:$B,2,FALSE)</f>
        <v>Teste Silvia (temporario)</v>
      </c>
      <c r="X239" t="str">
        <f t="shared" si="52"/>
        <v>TF</v>
      </c>
      <c r="Y239" s="8" t="str">
        <f>VLOOKUP(V239,'ideas-input'!$A:$D,4,FALSE)</f>
        <v>eCommerce</v>
      </c>
      <c r="Z239" t="str">
        <f t="shared" si="53"/>
        <v>Corporate</v>
      </c>
      <c r="AA239" t="str">
        <f t="shared" si="54"/>
        <v>Backlog</v>
      </c>
      <c r="AB239">
        <f t="shared" si="55"/>
        <v>3</v>
      </c>
      <c r="AC239">
        <f t="shared" si="56"/>
        <v>0.03</v>
      </c>
      <c r="AD239">
        <f t="shared" si="57"/>
        <v>1</v>
      </c>
      <c r="AE239">
        <f t="shared" si="58"/>
        <v>1</v>
      </c>
      <c r="AF239">
        <f t="shared" si="59"/>
        <v>1</v>
      </c>
      <c r="AG239">
        <f t="shared" si="60"/>
        <v>100</v>
      </c>
    </row>
    <row r="240" spans="1:33" x14ac:dyDescent="0.2">
      <c r="A240" t="s">
        <v>127</v>
      </c>
      <c r="B240" t="s">
        <v>128</v>
      </c>
      <c r="C240">
        <v>239</v>
      </c>
      <c r="D240">
        <v>47733</v>
      </c>
      <c r="E240" t="s">
        <v>242</v>
      </c>
      <c r="F240" t="s">
        <v>70</v>
      </c>
      <c r="G240" t="s">
        <v>10</v>
      </c>
      <c r="H240" t="s">
        <v>8</v>
      </c>
      <c r="I240" t="s">
        <v>95</v>
      </c>
      <c r="J240">
        <v>24</v>
      </c>
      <c r="K240">
        <v>0.03</v>
      </c>
      <c r="L240">
        <v>1</v>
      </c>
      <c r="M240">
        <v>1</v>
      </c>
      <c r="N240">
        <v>1</v>
      </c>
      <c r="O240">
        <v>100</v>
      </c>
      <c r="P240" t="b">
        <f t="shared" si="51"/>
        <v>0</v>
      </c>
      <c r="S240" t="str">
        <f t="shared" si="61"/>
        <v>LATER</v>
      </c>
      <c r="T240" t="str">
        <f t="shared" si="62"/>
        <v>SainteLague</v>
      </c>
      <c r="U240">
        <f t="shared" si="64"/>
        <v>239</v>
      </c>
      <c r="V240">
        <f t="shared" si="63"/>
        <v>47733</v>
      </c>
      <c r="W240" s="8" t="str">
        <f>VLOOKUP(V240,'ideas-input'!$A:$B,2,FALSE)</f>
        <v>[Containerization] FASE2: Producir en package_event</v>
      </c>
      <c r="X240" t="str">
        <f t="shared" si="52"/>
        <v>CIO</v>
      </c>
      <c r="Y240" s="8" t="str">
        <f>VLOOKUP(V240,'ideas-input'!$A:$D,4,FALSE)</f>
        <v>eCommerce</v>
      </c>
      <c r="Z240" t="str">
        <f t="shared" si="53"/>
        <v>Technology</v>
      </c>
      <c r="AA240" t="str">
        <f t="shared" si="54"/>
        <v>In Definition</v>
      </c>
      <c r="AB240">
        <f t="shared" si="55"/>
        <v>24</v>
      </c>
      <c r="AC240">
        <f t="shared" si="56"/>
        <v>0.03</v>
      </c>
      <c r="AD240">
        <f t="shared" si="57"/>
        <v>1</v>
      </c>
      <c r="AE240">
        <f t="shared" si="58"/>
        <v>1</v>
      </c>
      <c r="AF240">
        <f t="shared" si="59"/>
        <v>1</v>
      </c>
      <c r="AG240">
        <f t="shared" si="60"/>
        <v>100</v>
      </c>
    </row>
    <row r="241" spans="1:33" x14ac:dyDescent="0.2">
      <c r="A241" t="s">
        <v>127</v>
      </c>
      <c r="B241" t="s">
        <v>128</v>
      </c>
      <c r="C241">
        <v>240</v>
      </c>
      <c r="D241">
        <v>123596</v>
      </c>
      <c r="E241" t="s">
        <v>1071</v>
      </c>
      <c r="F241" t="s">
        <v>58</v>
      </c>
      <c r="G241" t="s">
        <v>379</v>
      </c>
      <c r="H241" t="s">
        <v>8</v>
      </c>
      <c r="I241" t="s">
        <v>91</v>
      </c>
      <c r="J241">
        <v>4</v>
      </c>
      <c r="K241">
        <v>0.03</v>
      </c>
      <c r="L241">
        <v>1</v>
      </c>
      <c r="M241">
        <v>1</v>
      </c>
      <c r="N241">
        <v>1</v>
      </c>
      <c r="O241">
        <v>100</v>
      </c>
      <c r="P241" t="b">
        <f t="shared" si="51"/>
        <v>0</v>
      </c>
      <c r="S241" t="str">
        <f t="shared" si="61"/>
        <v>LATER</v>
      </c>
      <c r="T241" t="str">
        <f t="shared" si="62"/>
        <v>SainteLague</v>
      </c>
      <c r="U241">
        <f t="shared" si="64"/>
        <v>240</v>
      </c>
      <c r="V241">
        <f t="shared" si="63"/>
        <v>123596</v>
      </c>
      <c r="W241" s="8" t="str">
        <f>VLOOKUP(V241,'ideas-input'!$A:$B,2,FALSE)</f>
        <v>Descontinuação Doxenter - Wave 2</v>
      </c>
      <c r="X241" t="str">
        <f t="shared" si="52"/>
        <v>SI-PRD</v>
      </c>
      <c r="Y241" s="8" t="str">
        <f>VLOOKUP(V241,'ideas-input'!$A:$D,4,FALSE)</f>
        <v>Business Solutions</v>
      </c>
      <c r="Z241" t="str">
        <f t="shared" si="53"/>
        <v>Technology</v>
      </c>
      <c r="AA241" t="str">
        <f t="shared" si="54"/>
        <v>Backlog</v>
      </c>
      <c r="AB241">
        <f t="shared" si="55"/>
        <v>4</v>
      </c>
      <c r="AC241">
        <f t="shared" si="56"/>
        <v>0.03</v>
      </c>
      <c r="AD241">
        <f t="shared" si="57"/>
        <v>1</v>
      </c>
      <c r="AE241">
        <f t="shared" si="58"/>
        <v>1</v>
      </c>
      <c r="AF241">
        <f t="shared" si="59"/>
        <v>1</v>
      </c>
      <c r="AG241">
        <f t="shared" si="60"/>
        <v>100</v>
      </c>
    </row>
    <row r="242" spans="1:33" x14ac:dyDescent="0.2">
      <c r="A242" t="s">
        <v>127</v>
      </c>
      <c r="B242" t="s">
        <v>128</v>
      </c>
      <c r="C242">
        <v>241</v>
      </c>
      <c r="D242">
        <v>62205</v>
      </c>
      <c r="E242" t="s">
        <v>184</v>
      </c>
      <c r="F242" t="s">
        <v>68</v>
      </c>
      <c r="G242" t="s">
        <v>10</v>
      </c>
      <c r="H242" t="s">
        <v>5</v>
      </c>
      <c r="I242" t="s">
        <v>95</v>
      </c>
      <c r="J242">
        <v>9</v>
      </c>
      <c r="K242">
        <v>0.03</v>
      </c>
      <c r="L242">
        <v>1</v>
      </c>
      <c r="M242">
        <v>1</v>
      </c>
      <c r="N242">
        <v>1</v>
      </c>
      <c r="O242">
        <v>100</v>
      </c>
      <c r="P242" t="b">
        <f t="shared" si="51"/>
        <v>0</v>
      </c>
      <c r="S242" t="str">
        <f t="shared" si="61"/>
        <v>LATER</v>
      </c>
      <c r="T242" t="str">
        <f t="shared" si="62"/>
        <v>SainteLague</v>
      </c>
      <c r="U242">
        <f t="shared" si="64"/>
        <v>241</v>
      </c>
      <c r="V242">
        <f t="shared" si="63"/>
        <v>62205</v>
      </c>
      <c r="W242" s="8" t="str">
        <f>VLOOKUP(V242,'ideas-input'!$A:$B,2,FALSE)</f>
        <v>Control de envios duplicados: validacion SINONIMO BULTO / REFERENCIA CLIENTE</v>
      </c>
      <c r="X242" t="str">
        <f t="shared" si="52"/>
        <v>IDC</v>
      </c>
      <c r="Y242" s="8" t="str">
        <f>VLOOKUP(V242,'ideas-input'!$A:$D,4,FALSE)</f>
        <v>eCommerce</v>
      </c>
      <c r="Z242" t="str">
        <f t="shared" si="53"/>
        <v>Commercial</v>
      </c>
      <c r="AA242" t="str">
        <f t="shared" si="54"/>
        <v>In Definition</v>
      </c>
      <c r="AB242">
        <f t="shared" si="55"/>
        <v>9</v>
      </c>
      <c r="AC242">
        <f t="shared" si="56"/>
        <v>0.03</v>
      </c>
      <c r="AD242">
        <f t="shared" si="57"/>
        <v>1</v>
      </c>
      <c r="AE242">
        <f t="shared" si="58"/>
        <v>1</v>
      </c>
      <c r="AF242">
        <f t="shared" si="59"/>
        <v>1</v>
      </c>
      <c r="AG242">
        <f t="shared" si="60"/>
        <v>100</v>
      </c>
    </row>
    <row r="243" spans="1:33" x14ac:dyDescent="0.2">
      <c r="A243" t="s">
        <v>127</v>
      </c>
      <c r="B243" t="s">
        <v>128</v>
      </c>
      <c r="C243">
        <v>242</v>
      </c>
      <c r="D243">
        <v>134943</v>
      </c>
      <c r="E243" t="s">
        <v>1098</v>
      </c>
      <c r="F243" t="s">
        <v>21</v>
      </c>
      <c r="G243" t="s">
        <v>379</v>
      </c>
      <c r="H243" t="s">
        <v>5</v>
      </c>
      <c r="I243" t="s">
        <v>130</v>
      </c>
      <c r="J243">
        <v>5</v>
      </c>
      <c r="K243">
        <v>2.6669999999999998</v>
      </c>
      <c r="L243">
        <v>4</v>
      </c>
      <c r="M243">
        <v>1</v>
      </c>
      <c r="N243">
        <v>3</v>
      </c>
      <c r="O243">
        <v>3</v>
      </c>
      <c r="P243" t="b">
        <f t="shared" si="51"/>
        <v>0</v>
      </c>
      <c r="S243" t="str">
        <f t="shared" si="61"/>
        <v>LATER</v>
      </c>
      <c r="T243" t="str">
        <f t="shared" si="62"/>
        <v>SainteLague</v>
      </c>
      <c r="U243">
        <f t="shared" si="64"/>
        <v>242</v>
      </c>
      <c r="V243">
        <f t="shared" si="63"/>
        <v>134943</v>
      </c>
      <c r="W243" s="8" t="str">
        <f>VLOOKUP(V243,'ideas-input'!$A:$B,2,FALSE)</f>
        <v>STICO - Migração de Pipelines ADO2Github</v>
      </c>
      <c r="X243" t="str">
        <f t="shared" si="52"/>
        <v>GP B2B</v>
      </c>
      <c r="Y243" s="8" t="str">
        <f>VLOOKUP(V243,'ideas-input'!$A:$D,4,FALSE)</f>
        <v>Mail</v>
      </c>
      <c r="Z243" t="str">
        <f t="shared" si="53"/>
        <v>Commercial</v>
      </c>
      <c r="AA243" t="str">
        <f t="shared" si="54"/>
        <v>High Level Design</v>
      </c>
      <c r="AB243">
        <f t="shared" si="55"/>
        <v>5</v>
      </c>
      <c r="AC243">
        <f t="shared" si="56"/>
        <v>2.6669999999999998</v>
      </c>
      <c r="AD243">
        <f t="shared" si="57"/>
        <v>4</v>
      </c>
      <c r="AE243">
        <f t="shared" si="58"/>
        <v>1</v>
      </c>
      <c r="AF243">
        <f t="shared" si="59"/>
        <v>3</v>
      </c>
      <c r="AG243">
        <f t="shared" si="60"/>
        <v>3</v>
      </c>
    </row>
    <row r="244" spans="1:33" x14ac:dyDescent="0.2">
      <c r="A244" t="s">
        <v>127</v>
      </c>
      <c r="B244" t="s">
        <v>128</v>
      </c>
      <c r="C244">
        <v>243</v>
      </c>
      <c r="D244">
        <v>63799</v>
      </c>
      <c r="E244" t="s">
        <v>202</v>
      </c>
      <c r="F244" t="s">
        <v>64</v>
      </c>
      <c r="G244" t="s">
        <v>10</v>
      </c>
      <c r="H244" t="s">
        <v>6</v>
      </c>
      <c r="I244" t="s">
        <v>91</v>
      </c>
      <c r="J244">
        <v>34</v>
      </c>
      <c r="K244">
        <v>3</v>
      </c>
      <c r="L244">
        <v>1</v>
      </c>
      <c r="M244">
        <v>1</v>
      </c>
      <c r="N244">
        <v>1</v>
      </c>
      <c r="O244">
        <v>1</v>
      </c>
      <c r="P244" t="b">
        <f t="shared" si="51"/>
        <v>0</v>
      </c>
      <c r="S244" t="str">
        <f t="shared" si="61"/>
        <v>LATER</v>
      </c>
      <c r="T244" t="str">
        <f t="shared" si="62"/>
        <v>SainteLague</v>
      </c>
      <c r="U244">
        <f t="shared" si="64"/>
        <v>243</v>
      </c>
      <c r="V244">
        <f t="shared" si="63"/>
        <v>63799</v>
      </c>
      <c r="W244" s="8" t="str">
        <f>VLOOKUP(V244,'ideas-input'!$A:$B,2,FALSE)</f>
        <v>Portal de Proveedores - Poder ordenar Control Horario por cualquier columna</v>
      </c>
      <c r="X244" t="str">
        <f t="shared" si="52"/>
        <v>COO</v>
      </c>
      <c r="Y244" s="8" t="str">
        <f>VLOOKUP(V244,'ideas-input'!$A:$D,4,FALSE)</f>
        <v>eCommerce</v>
      </c>
      <c r="Z244" t="str">
        <f t="shared" si="53"/>
        <v>Operations</v>
      </c>
      <c r="AA244" t="str">
        <f t="shared" si="54"/>
        <v>Backlog</v>
      </c>
      <c r="AB244">
        <f t="shared" si="55"/>
        <v>34</v>
      </c>
      <c r="AC244">
        <f t="shared" si="56"/>
        <v>3</v>
      </c>
      <c r="AD244">
        <f t="shared" si="57"/>
        <v>1</v>
      </c>
      <c r="AE244">
        <f t="shared" si="58"/>
        <v>1</v>
      </c>
      <c r="AF244">
        <f t="shared" si="59"/>
        <v>1</v>
      </c>
      <c r="AG244">
        <f t="shared" si="60"/>
        <v>1</v>
      </c>
    </row>
    <row r="245" spans="1:33" x14ac:dyDescent="0.2">
      <c r="A245" t="s">
        <v>127</v>
      </c>
      <c r="B245" t="s">
        <v>128</v>
      </c>
      <c r="C245">
        <v>244</v>
      </c>
      <c r="D245">
        <v>126643</v>
      </c>
      <c r="E245" t="s">
        <v>1075</v>
      </c>
      <c r="F245" t="s">
        <v>22</v>
      </c>
      <c r="G245" t="s">
        <v>379</v>
      </c>
      <c r="H245" t="s">
        <v>12</v>
      </c>
      <c r="I245" t="s">
        <v>91</v>
      </c>
      <c r="J245">
        <v>4</v>
      </c>
      <c r="K245">
        <v>10</v>
      </c>
      <c r="L245">
        <v>3</v>
      </c>
      <c r="M245">
        <v>3</v>
      </c>
      <c r="N245">
        <v>4</v>
      </c>
      <c r="O245">
        <v>1</v>
      </c>
      <c r="P245" t="b">
        <f t="shared" si="51"/>
        <v>0</v>
      </c>
      <c r="S245" t="str">
        <f t="shared" si="61"/>
        <v>LATER</v>
      </c>
      <c r="T245" t="str">
        <f t="shared" si="62"/>
        <v>SainteLague</v>
      </c>
      <c r="U245">
        <f t="shared" si="64"/>
        <v>244</v>
      </c>
      <c r="V245">
        <f t="shared" si="63"/>
        <v>126643</v>
      </c>
      <c r="W245" s="8" t="str">
        <f>VLOOKUP(V245,'ideas-input'!$A:$B,2,FALSE)</f>
        <v>Faturas PDF | SuperApp - Faturação Portagens</v>
      </c>
      <c r="X245" t="str">
        <f t="shared" si="52"/>
        <v>CF</v>
      </c>
      <c r="Y245" s="8" t="str">
        <f>VLOOKUP(V245,'ideas-input'!$A:$D,4,FALSE)</f>
        <v>Mail</v>
      </c>
      <c r="Z245" t="str">
        <f t="shared" si="53"/>
        <v>Corporate</v>
      </c>
      <c r="AA245" t="str">
        <f t="shared" si="54"/>
        <v>Backlog</v>
      </c>
      <c r="AB245">
        <f t="shared" si="55"/>
        <v>4</v>
      </c>
      <c r="AC245">
        <f t="shared" si="56"/>
        <v>10</v>
      </c>
      <c r="AD245">
        <f t="shared" si="57"/>
        <v>3</v>
      </c>
      <c r="AE245">
        <f t="shared" si="58"/>
        <v>3</v>
      </c>
      <c r="AF245">
        <f t="shared" si="59"/>
        <v>4</v>
      </c>
      <c r="AG245">
        <f t="shared" si="60"/>
        <v>1</v>
      </c>
    </row>
    <row r="246" spans="1:33" x14ac:dyDescent="0.2">
      <c r="A246" t="s">
        <v>127</v>
      </c>
      <c r="B246" t="s">
        <v>128</v>
      </c>
      <c r="C246">
        <v>245</v>
      </c>
      <c r="D246">
        <v>43556</v>
      </c>
      <c r="E246" t="s">
        <v>1088</v>
      </c>
      <c r="F246" t="s">
        <v>69</v>
      </c>
      <c r="G246" t="s">
        <v>10</v>
      </c>
      <c r="H246" t="s">
        <v>12</v>
      </c>
      <c r="I246" t="s">
        <v>97</v>
      </c>
      <c r="J246">
        <v>10</v>
      </c>
      <c r="K246">
        <v>0.03</v>
      </c>
      <c r="L246">
        <v>1</v>
      </c>
      <c r="M246">
        <v>1</v>
      </c>
      <c r="N246">
        <v>1</v>
      </c>
      <c r="O246">
        <v>100</v>
      </c>
      <c r="P246" t="b">
        <f t="shared" si="51"/>
        <v>0</v>
      </c>
      <c r="S246" t="str">
        <f t="shared" si="61"/>
        <v>LATER</v>
      </c>
      <c r="T246" t="str">
        <f t="shared" si="62"/>
        <v>SainteLague</v>
      </c>
      <c r="U246">
        <f t="shared" si="64"/>
        <v>245</v>
      </c>
      <c r="V246">
        <f t="shared" si="63"/>
        <v>43556</v>
      </c>
      <c r="W246" s="8" t="str">
        <f>VLOOKUP(V246,'ideas-input'!$A:$B,2,FALSE)</f>
        <v>[SGC] - Funcionalidad de asignación de gestora en Salesforce</v>
      </c>
      <c r="X246" t="str">
        <f t="shared" si="52"/>
        <v>CFO</v>
      </c>
      <c r="Y246" s="8" t="str">
        <f>VLOOKUP(V246,'ideas-input'!$A:$D,4,FALSE)</f>
        <v>eCommerce</v>
      </c>
      <c r="Z246" t="str">
        <f t="shared" si="53"/>
        <v>Corporate</v>
      </c>
      <c r="AA246" t="str">
        <f t="shared" si="54"/>
        <v>Ready for Solution</v>
      </c>
      <c r="AB246">
        <f t="shared" si="55"/>
        <v>10</v>
      </c>
      <c r="AC246">
        <f t="shared" si="56"/>
        <v>0.03</v>
      </c>
      <c r="AD246">
        <f t="shared" si="57"/>
        <v>1</v>
      </c>
      <c r="AE246">
        <f t="shared" si="58"/>
        <v>1</v>
      </c>
      <c r="AF246">
        <f t="shared" si="59"/>
        <v>1</v>
      </c>
      <c r="AG246">
        <f t="shared" si="60"/>
        <v>100</v>
      </c>
    </row>
    <row r="247" spans="1:33" x14ac:dyDescent="0.2">
      <c r="A247" t="s">
        <v>127</v>
      </c>
      <c r="B247" t="s">
        <v>128</v>
      </c>
      <c r="C247">
        <v>246</v>
      </c>
      <c r="D247">
        <v>134832</v>
      </c>
      <c r="E247" t="s">
        <v>1077</v>
      </c>
      <c r="F247" t="s">
        <v>59</v>
      </c>
      <c r="G247" t="s">
        <v>379</v>
      </c>
      <c r="H247" t="s">
        <v>8</v>
      </c>
      <c r="I247" t="s">
        <v>95</v>
      </c>
      <c r="J247">
        <v>6</v>
      </c>
      <c r="K247">
        <v>4</v>
      </c>
      <c r="L247">
        <v>1</v>
      </c>
      <c r="M247">
        <v>3</v>
      </c>
      <c r="N247">
        <v>4</v>
      </c>
      <c r="O247">
        <v>2</v>
      </c>
      <c r="P247" t="b">
        <f t="shared" si="51"/>
        <v>0</v>
      </c>
      <c r="S247" t="str">
        <f t="shared" si="61"/>
        <v>LATER</v>
      </c>
      <c r="T247" t="str">
        <f t="shared" si="62"/>
        <v>SainteLague</v>
      </c>
      <c r="U247">
        <f t="shared" si="64"/>
        <v>246</v>
      </c>
      <c r="V247">
        <f t="shared" si="63"/>
        <v>134832</v>
      </c>
      <c r="W247" s="8" t="str">
        <f>VLOOKUP(V247,'ideas-input'!$A:$B,2,FALSE)</f>
        <v>Eliminação TLS 1.0 - Comunicação info T&amp;T com MEO</v>
      </c>
      <c r="X247" t="str">
        <f t="shared" si="52"/>
        <v>SI-OPS</v>
      </c>
      <c r="Y247" s="8" t="str">
        <f>VLOOKUP(V247,'ideas-input'!$A:$D,4,FALSE)</f>
        <v>eCommerce</v>
      </c>
      <c r="Z247" t="str">
        <f t="shared" si="53"/>
        <v>Technology</v>
      </c>
      <c r="AA247" t="str">
        <f t="shared" si="54"/>
        <v>In Definition</v>
      </c>
      <c r="AB247">
        <f t="shared" si="55"/>
        <v>6</v>
      </c>
      <c r="AC247">
        <f t="shared" si="56"/>
        <v>4</v>
      </c>
      <c r="AD247">
        <f t="shared" si="57"/>
        <v>1</v>
      </c>
      <c r="AE247">
        <f t="shared" si="58"/>
        <v>3</v>
      </c>
      <c r="AF247">
        <f t="shared" si="59"/>
        <v>4</v>
      </c>
      <c r="AG247">
        <f t="shared" si="60"/>
        <v>2</v>
      </c>
    </row>
    <row r="248" spans="1:33" x14ac:dyDescent="0.2">
      <c r="A248" t="s">
        <v>127</v>
      </c>
      <c r="B248" t="s">
        <v>128</v>
      </c>
      <c r="C248">
        <v>247</v>
      </c>
      <c r="D248">
        <v>58180</v>
      </c>
      <c r="E248" t="s">
        <v>1066</v>
      </c>
      <c r="F248" t="s">
        <v>70</v>
      </c>
      <c r="G248" t="s">
        <v>10</v>
      </c>
      <c r="H248" t="s">
        <v>8</v>
      </c>
      <c r="I248" t="s">
        <v>97</v>
      </c>
      <c r="J248">
        <v>25</v>
      </c>
      <c r="K248">
        <v>0.03</v>
      </c>
      <c r="L248">
        <v>1</v>
      </c>
      <c r="M248">
        <v>1</v>
      </c>
      <c r="N248">
        <v>1</v>
      </c>
      <c r="O248">
        <v>100</v>
      </c>
      <c r="P248" t="b">
        <f t="shared" si="51"/>
        <v>0</v>
      </c>
      <c r="S248" t="str">
        <f t="shared" si="61"/>
        <v>LATER</v>
      </c>
      <c r="T248" t="str">
        <f t="shared" si="62"/>
        <v>SainteLague</v>
      </c>
      <c r="U248">
        <f t="shared" si="64"/>
        <v>247</v>
      </c>
      <c r="V248">
        <f t="shared" si="63"/>
        <v>58180</v>
      </c>
      <c r="W248" s="8" t="str">
        <f>VLOOKUP(V248,'ideas-input'!$A:$B,2,FALSE)</f>
        <v>[PET-3-] [Item-Status-v2] - Es necesario propagar la localización GPS de los eventos en los cambios de estado de item y envío</v>
      </c>
      <c r="X248" t="str">
        <f t="shared" si="52"/>
        <v>CIO</v>
      </c>
      <c r="Y248" s="8" t="str">
        <f>VLOOKUP(V248,'ideas-input'!$A:$D,4,FALSE)</f>
        <v>eCommerce</v>
      </c>
      <c r="Z248" t="str">
        <f t="shared" si="53"/>
        <v>Technology</v>
      </c>
      <c r="AA248" t="str">
        <f t="shared" si="54"/>
        <v>Ready for Solution</v>
      </c>
      <c r="AB248">
        <f t="shared" si="55"/>
        <v>25</v>
      </c>
      <c r="AC248">
        <f t="shared" si="56"/>
        <v>0.03</v>
      </c>
      <c r="AD248">
        <f t="shared" si="57"/>
        <v>1</v>
      </c>
      <c r="AE248">
        <f t="shared" si="58"/>
        <v>1</v>
      </c>
      <c r="AF248">
        <f t="shared" si="59"/>
        <v>1</v>
      </c>
      <c r="AG248">
        <f t="shared" si="60"/>
        <v>100</v>
      </c>
    </row>
    <row r="249" spans="1:33" x14ac:dyDescent="0.2">
      <c r="A249" t="s">
        <v>127</v>
      </c>
      <c r="B249" t="s">
        <v>128</v>
      </c>
      <c r="C249">
        <v>248</v>
      </c>
      <c r="D249">
        <v>139709</v>
      </c>
      <c r="E249" t="s">
        <v>1635</v>
      </c>
      <c r="F249" t="s">
        <v>23</v>
      </c>
      <c r="G249" t="s">
        <v>379</v>
      </c>
      <c r="H249" t="s">
        <v>5</v>
      </c>
      <c r="I249" t="s">
        <v>91</v>
      </c>
      <c r="J249">
        <v>5</v>
      </c>
      <c r="K249">
        <v>0.03</v>
      </c>
      <c r="L249">
        <v>1</v>
      </c>
      <c r="M249">
        <v>1</v>
      </c>
      <c r="N249">
        <v>1</v>
      </c>
      <c r="O249">
        <v>100</v>
      </c>
      <c r="P249" t="b">
        <f t="shared" si="51"/>
        <v>0</v>
      </c>
      <c r="S249" t="str">
        <f t="shared" si="61"/>
        <v>LATER</v>
      </c>
      <c r="T249" t="str">
        <f t="shared" si="62"/>
        <v>SainteLague</v>
      </c>
      <c r="U249">
        <f t="shared" si="64"/>
        <v>248</v>
      </c>
      <c r="V249">
        <f t="shared" si="63"/>
        <v>139709</v>
      </c>
      <c r="W249" s="8" t="str">
        <f>VLOOKUP(V249,'ideas-input'!$A:$B,2,FALSE)</f>
        <v>[NEXUS][PT]-  PROD INTERNACIONAL PREMIUM</v>
      </c>
      <c r="X249" t="str">
        <f t="shared" si="52"/>
        <v>GP ECL</v>
      </c>
      <c r="Y249" s="8" t="str">
        <f>VLOOKUP(V249,'ideas-input'!$A:$D,4,FALSE)</f>
        <v>eCommerce</v>
      </c>
      <c r="Z249" t="str">
        <f t="shared" si="53"/>
        <v>Commercial</v>
      </c>
      <c r="AA249" t="str">
        <f t="shared" si="54"/>
        <v>Backlog</v>
      </c>
      <c r="AB249">
        <f t="shared" si="55"/>
        <v>5</v>
      </c>
      <c r="AC249">
        <f t="shared" si="56"/>
        <v>0.03</v>
      </c>
      <c r="AD249">
        <f t="shared" si="57"/>
        <v>1</v>
      </c>
      <c r="AE249">
        <f t="shared" si="58"/>
        <v>1</v>
      </c>
      <c r="AF249">
        <f t="shared" si="59"/>
        <v>1</v>
      </c>
      <c r="AG249">
        <f t="shared" si="60"/>
        <v>100</v>
      </c>
    </row>
    <row r="250" spans="1:33" x14ac:dyDescent="0.2">
      <c r="A250" t="s">
        <v>127</v>
      </c>
      <c r="B250" t="s">
        <v>128</v>
      </c>
      <c r="C250">
        <v>249</v>
      </c>
      <c r="D250">
        <v>44475</v>
      </c>
      <c r="E250" t="s">
        <v>234</v>
      </c>
      <c r="F250" t="s">
        <v>65</v>
      </c>
      <c r="G250" t="s">
        <v>10</v>
      </c>
      <c r="H250" t="s">
        <v>5</v>
      </c>
      <c r="I250" t="s">
        <v>91</v>
      </c>
      <c r="J250">
        <v>17</v>
      </c>
      <c r="K250">
        <v>0.03</v>
      </c>
      <c r="L250">
        <v>1</v>
      </c>
      <c r="M250">
        <v>1</v>
      </c>
      <c r="N250">
        <v>1</v>
      </c>
      <c r="O250">
        <v>100</v>
      </c>
      <c r="P250" t="b">
        <f t="shared" si="51"/>
        <v>0</v>
      </c>
      <c r="S250" t="str">
        <f t="shared" si="61"/>
        <v>LATER</v>
      </c>
      <c r="T250" t="str">
        <f t="shared" si="62"/>
        <v>SainteLague</v>
      </c>
      <c r="U250">
        <f t="shared" si="64"/>
        <v>249</v>
      </c>
      <c r="V250">
        <f t="shared" si="63"/>
        <v>44475</v>
      </c>
      <c r="W250" s="8" t="str">
        <f>VLOOKUP(V250,'ideas-input'!$A:$B,2,FALSE)</f>
        <v>[PUDOs] - [QLIK] Nueva App Pudo Sales</v>
      </c>
      <c r="X250" t="str">
        <f t="shared" si="52"/>
        <v>CMO</v>
      </c>
      <c r="Y250" s="8" t="str">
        <f>VLOOKUP(V250,'ideas-input'!$A:$D,4,FALSE)</f>
        <v>eCommerce</v>
      </c>
      <c r="Z250" t="str">
        <f t="shared" si="53"/>
        <v>Commercial</v>
      </c>
      <c r="AA250" t="str">
        <f t="shared" si="54"/>
        <v>Backlog</v>
      </c>
      <c r="AB250">
        <f t="shared" si="55"/>
        <v>17</v>
      </c>
      <c r="AC250">
        <f t="shared" si="56"/>
        <v>0.03</v>
      </c>
      <c r="AD250">
        <f t="shared" si="57"/>
        <v>1</v>
      </c>
      <c r="AE250">
        <f t="shared" si="58"/>
        <v>1</v>
      </c>
      <c r="AF250">
        <f t="shared" si="59"/>
        <v>1</v>
      </c>
      <c r="AG250">
        <f t="shared" si="60"/>
        <v>100</v>
      </c>
    </row>
    <row r="251" spans="1:33" x14ac:dyDescent="0.2">
      <c r="A251" t="s">
        <v>127</v>
      </c>
      <c r="B251" t="s">
        <v>128</v>
      </c>
      <c r="C251">
        <v>250</v>
      </c>
      <c r="D251">
        <v>51049</v>
      </c>
      <c r="E251" t="s">
        <v>1007</v>
      </c>
      <c r="F251" t="s">
        <v>11</v>
      </c>
      <c r="G251" t="s">
        <v>379</v>
      </c>
      <c r="H251" t="s">
        <v>11</v>
      </c>
      <c r="I251" t="s">
        <v>91</v>
      </c>
      <c r="J251">
        <v>6</v>
      </c>
      <c r="K251">
        <v>0.03</v>
      </c>
      <c r="L251">
        <v>1</v>
      </c>
      <c r="M251">
        <v>1</v>
      </c>
      <c r="N251">
        <v>1</v>
      </c>
      <c r="O251">
        <v>100</v>
      </c>
      <c r="P251" t="b">
        <f t="shared" si="51"/>
        <v>0</v>
      </c>
      <c r="S251" t="str">
        <f t="shared" si="61"/>
        <v>LATER</v>
      </c>
      <c r="T251" t="str">
        <f t="shared" si="62"/>
        <v>SainteLague</v>
      </c>
      <c r="U251">
        <f t="shared" si="64"/>
        <v>250</v>
      </c>
      <c r="V251">
        <f t="shared" si="63"/>
        <v>51049</v>
      </c>
      <c r="W251" s="8" t="str">
        <f>VLOOKUP(V251,'ideas-input'!$A:$B,2,FALSE)</f>
        <v>Definição de Política de Gestão de Risco Cyber</v>
      </c>
      <c r="X251" t="str">
        <f t="shared" si="52"/>
        <v>CISO</v>
      </c>
      <c r="Y251" s="8" t="str">
        <f>VLOOKUP(V251,'ideas-input'!$A:$D,4,FALSE)</f>
        <v>Mail</v>
      </c>
      <c r="Z251" t="str">
        <f t="shared" si="53"/>
        <v>CISO</v>
      </c>
      <c r="AA251" t="str">
        <f t="shared" si="54"/>
        <v>Backlog</v>
      </c>
      <c r="AB251">
        <f t="shared" si="55"/>
        <v>6</v>
      </c>
      <c r="AC251">
        <f t="shared" si="56"/>
        <v>0.03</v>
      </c>
      <c r="AD251">
        <f t="shared" si="57"/>
        <v>1</v>
      </c>
      <c r="AE251">
        <f t="shared" si="58"/>
        <v>1</v>
      </c>
      <c r="AF251">
        <f t="shared" si="59"/>
        <v>1</v>
      </c>
      <c r="AG251">
        <f t="shared" si="60"/>
        <v>100</v>
      </c>
    </row>
    <row r="252" spans="1:33" x14ac:dyDescent="0.2">
      <c r="A252" t="s">
        <v>127</v>
      </c>
      <c r="B252" t="s">
        <v>128</v>
      </c>
      <c r="C252">
        <v>251</v>
      </c>
      <c r="D252">
        <v>46827</v>
      </c>
      <c r="E252" t="s">
        <v>1101</v>
      </c>
      <c r="F252" t="s">
        <v>64</v>
      </c>
      <c r="G252" t="s">
        <v>10</v>
      </c>
      <c r="H252" t="s">
        <v>6</v>
      </c>
      <c r="I252" t="s">
        <v>95</v>
      </c>
      <c r="J252">
        <v>35</v>
      </c>
      <c r="K252">
        <v>0.03</v>
      </c>
      <c r="L252">
        <v>1</v>
      </c>
      <c r="M252">
        <v>1</v>
      </c>
      <c r="N252">
        <v>1</v>
      </c>
      <c r="O252">
        <v>100</v>
      </c>
      <c r="P252" t="b">
        <f t="shared" si="51"/>
        <v>0</v>
      </c>
      <c r="S252" t="str">
        <f t="shared" si="61"/>
        <v>LATER</v>
      </c>
      <c r="T252" t="str">
        <f t="shared" si="62"/>
        <v>SainteLague</v>
      </c>
      <c r="U252">
        <f t="shared" si="64"/>
        <v>251</v>
      </c>
      <c r="V252">
        <f t="shared" si="63"/>
        <v>46827</v>
      </c>
      <c r="W252" s="8" t="str">
        <f>VLOOKUP(V252,'ideas-input'!$A:$B,2,FALSE)</f>
        <v>PDA Planta (TO)/Gestión de Planta/Gestión FIFO en San fernando</v>
      </c>
      <c r="X252" t="str">
        <f t="shared" si="52"/>
        <v>COO</v>
      </c>
      <c r="Y252" s="8" t="str">
        <f>VLOOKUP(V252,'ideas-input'!$A:$D,4,FALSE)</f>
        <v>eCommerce</v>
      </c>
      <c r="Z252" t="str">
        <f t="shared" si="53"/>
        <v>Operations</v>
      </c>
      <c r="AA252" t="str">
        <f t="shared" si="54"/>
        <v>In Definition</v>
      </c>
      <c r="AB252">
        <f t="shared" si="55"/>
        <v>35</v>
      </c>
      <c r="AC252">
        <f t="shared" si="56"/>
        <v>0.03</v>
      </c>
      <c r="AD252">
        <f t="shared" si="57"/>
        <v>1</v>
      </c>
      <c r="AE252">
        <f t="shared" si="58"/>
        <v>1</v>
      </c>
      <c r="AF252">
        <f t="shared" si="59"/>
        <v>1</v>
      </c>
      <c r="AG252">
        <f t="shared" si="60"/>
        <v>100</v>
      </c>
    </row>
    <row r="253" spans="1:33" x14ac:dyDescent="0.2">
      <c r="A253" t="s">
        <v>127</v>
      </c>
      <c r="B253" t="s">
        <v>128</v>
      </c>
      <c r="C253">
        <v>252</v>
      </c>
      <c r="D253">
        <v>61947</v>
      </c>
      <c r="E253" t="s">
        <v>1674</v>
      </c>
      <c r="F253" t="s">
        <v>45</v>
      </c>
      <c r="G253" t="s">
        <v>379</v>
      </c>
      <c r="H253" t="s">
        <v>12</v>
      </c>
      <c r="I253" t="s">
        <v>91</v>
      </c>
      <c r="J253">
        <v>4</v>
      </c>
      <c r="K253">
        <v>0.03</v>
      </c>
      <c r="L253">
        <v>1</v>
      </c>
      <c r="M253">
        <v>1</v>
      </c>
      <c r="N253">
        <v>1</v>
      </c>
      <c r="O253">
        <v>100</v>
      </c>
      <c r="P253" t="b">
        <f t="shared" si="51"/>
        <v>0</v>
      </c>
      <c r="S253" t="str">
        <f t="shared" si="61"/>
        <v>LATER</v>
      </c>
      <c r="T253" t="str">
        <f t="shared" si="62"/>
        <v>SainteLague</v>
      </c>
      <c r="U253">
        <f t="shared" si="64"/>
        <v>252</v>
      </c>
      <c r="V253">
        <f t="shared" si="63"/>
        <v>61947</v>
      </c>
      <c r="W253" s="8" t="str">
        <f>VLOOKUP(V253,'ideas-input'!$A:$B,2,FALSE)</f>
        <v>Telemetria -  (Mobi) Descontinuação do Boletim de Veiculo</v>
      </c>
      <c r="X253" t="str">
        <f t="shared" si="52"/>
        <v>RS</v>
      </c>
      <c r="Y253" s="8" t="str">
        <f>VLOOKUP(V253,'ideas-input'!$A:$D,4,FALSE)</f>
        <v>Mail</v>
      </c>
      <c r="Z253" t="str">
        <f t="shared" si="53"/>
        <v>Corporate</v>
      </c>
      <c r="AA253" t="str">
        <f t="shared" si="54"/>
        <v>Backlog</v>
      </c>
      <c r="AB253">
        <f t="shared" si="55"/>
        <v>4</v>
      </c>
      <c r="AC253">
        <f t="shared" si="56"/>
        <v>0.03</v>
      </c>
      <c r="AD253">
        <f t="shared" si="57"/>
        <v>1</v>
      </c>
      <c r="AE253">
        <f t="shared" si="58"/>
        <v>1</v>
      </c>
      <c r="AF253">
        <f t="shared" si="59"/>
        <v>1</v>
      </c>
      <c r="AG253">
        <f t="shared" si="60"/>
        <v>100</v>
      </c>
    </row>
    <row r="254" spans="1:33" x14ac:dyDescent="0.2">
      <c r="A254" t="s">
        <v>127</v>
      </c>
      <c r="B254" t="s">
        <v>128</v>
      </c>
      <c r="C254">
        <v>253</v>
      </c>
      <c r="D254">
        <v>65257</v>
      </c>
      <c r="E254" t="s">
        <v>1002</v>
      </c>
      <c r="F254" t="s">
        <v>71</v>
      </c>
      <c r="G254" t="s">
        <v>10</v>
      </c>
      <c r="H254" t="s">
        <v>12</v>
      </c>
      <c r="I254" t="s">
        <v>97</v>
      </c>
      <c r="J254">
        <v>3</v>
      </c>
      <c r="K254">
        <v>0.03</v>
      </c>
      <c r="L254">
        <v>1</v>
      </c>
      <c r="M254">
        <v>1</v>
      </c>
      <c r="N254">
        <v>1</v>
      </c>
      <c r="O254">
        <v>100</v>
      </c>
      <c r="P254" t="b">
        <f t="shared" si="51"/>
        <v>0</v>
      </c>
      <c r="S254" t="str">
        <f t="shared" si="61"/>
        <v>LATER</v>
      </c>
      <c r="T254" t="str">
        <f t="shared" si="62"/>
        <v>SainteLague</v>
      </c>
      <c r="U254">
        <f t="shared" si="64"/>
        <v>253</v>
      </c>
      <c r="V254">
        <f t="shared" si="63"/>
        <v>65257</v>
      </c>
      <c r="W254" s="8" t="str">
        <f>VLOOKUP(V254,'ideas-input'!$A:$B,2,FALSE)</f>
        <v>KPIs de Prevención de Riesgos Laborales de CTT Express</v>
      </c>
      <c r="X254" t="str">
        <f t="shared" si="52"/>
        <v>PRO</v>
      </c>
      <c r="Y254" s="8" t="str">
        <f>VLOOKUP(V254,'ideas-input'!$A:$D,4,FALSE)</f>
        <v>eCommerce</v>
      </c>
      <c r="Z254" t="str">
        <f t="shared" si="53"/>
        <v>Corporate</v>
      </c>
      <c r="AA254" t="str">
        <f t="shared" si="54"/>
        <v>Ready for Solution</v>
      </c>
      <c r="AB254">
        <f t="shared" si="55"/>
        <v>3</v>
      </c>
      <c r="AC254">
        <f t="shared" si="56"/>
        <v>0.03</v>
      </c>
      <c r="AD254">
        <f t="shared" si="57"/>
        <v>1</v>
      </c>
      <c r="AE254">
        <f t="shared" si="58"/>
        <v>1</v>
      </c>
      <c r="AF254">
        <f t="shared" si="59"/>
        <v>1</v>
      </c>
      <c r="AG254">
        <f t="shared" si="60"/>
        <v>100</v>
      </c>
    </row>
    <row r="255" spans="1:33" x14ac:dyDescent="0.2">
      <c r="A255" t="s">
        <v>127</v>
      </c>
      <c r="B255" t="s">
        <v>128</v>
      </c>
      <c r="C255">
        <v>254</v>
      </c>
      <c r="D255">
        <v>202075</v>
      </c>
      <c r="E255" t="s">
        <v>1675</v>
      </c>
      <c r="F255" t="s">
        <v>60</v>
      </c>
      <c r="G255" t="s">
        <v>379</v>
      </c>
      <c r="H255" t="s">
        <v>8</v>
      </c>
      <c r="I255" t="s">
        <v>95</v>
      </c>
      <c r="J255">
        <v>4</v>
      </c>
      <c r="K255">
        <v>0.03</v>
      </c>
      <c r="L255">
        <v>1</v>
      </c>
      <c r="M255">
        <v>1</v>
      </c>
      <c r="N255">
        <v>1</v>
      </c>
      <c r="O255">
        <v>100</v>
      </c>
      <c r="P255" t="b">
        <f t="shared" si="51"/>
        <v>0</v>
      </c>
      <c r="S255" t="str">
        <f t="shared" si="61"/>
        <v>LATER</v>
      </c>
      <c r="T255" t="str">
        <f t="shared" si="62"/>
        <v>SainteLague</v>
      </c>
      <c r="U255">
        <f t="shared" si="64"/>
        <v>254</v>
      </c>
      <c r="V255">
        <f t="shared" si="63"/>
        <v>202075</v>
      </c>
      <c r="W255" s="8" t="str">
        <f>VLOOKUP(V255,'ideas-input'!$A:$B,2,FALSE)</f>
        <v>Mata Aplicações  - Wave 1.3 - HRAccess (Fase 0 - desenho de solução)</v>
      </c>
      <c r="X255" t="str">
        <f t="shared" si="52"/>
        <v>SI-CRP</v>
      </c>
      <c r="Y255" s="8" t="str">
        <f>VLOOKUP(V255,'ideas-input'!$A:$D,4,FALSE)</f>
        <v>Mail</v>
      </c>
      <c r="Z255" t="str">
        <f t="shared" si="53"/>
        <v>Technology</v>
      </c>
      <c r="AA255" t="str">
        <f t="shared" si="54"/>
        <v>In Definition</v>
      </c>
      <c r="AB255">
        <f t="shared" si="55"/>
        <v>4</v>
      </c>
      <c r="AC255">
        <f t="shared" si="56"/>
        <v>0.03</v>
      </c>
      <c r="AD255">
        <f t="shared" si="57"/>
        <v>1</v>
      </c>
      <c r="AE255">
        <f t="shared" si="58"/>
        <v>1</v>
      </c>
      <c r="AF255">
        <f t="shared" si="59"/>
        <v>1</v>
      </c>
      <c r="AG255">
        <f t="shared" si="60"/>
        <v>100</v>
      </c>
    </row>
    <row r="256" spans="1:33" x14ac:dyDescent="0.2">
      <c r="A256" t="s">
        <v>127</v>
      </c>
      <c r="B256" t="s">
        <v>128</v>
      </c>
      <c r="C256">
        <v>255</v>
      </c>
      <c r="D256">
        <v>52607</v>
      </c>
      <c r="E256" t="s">
        <v>1074</v>
      </c>
      <c r="F256" t="s">
        <v>70</v>
      </c>
      <c r="G256" t="s">
        <v>10</v>
      </c>
      <c r="H256" t="s">
        <v>8</v>
      </c>
      <c r="I256" t="s">
        <v>91</v>
      </c>
      <c r="J256">
        <v>26</v>
      </c>
      <c r="K256">
        <v>0.03</v>
      </c>
      <c r="L256">
        <v>1</v>
      </c>
      <c r="M256">
        <v>1</v>
      </c>
      <c r="N256">
        <v>1</v>
      </c>
      <c r="O256">
        <v>100</v>
      </c>
      <c r="P256" t="b">
        <f t="shared" si="51"/>
        <v>0</v>
      </c>
      <c r="S256" t="str">
        <f t="shared" si="61"/>
        <v>LATER</v>
      </c>
      <c r="T256" t="str">
        <f t="shared" si="62"/>
        <v>SainteLague</v>
      </c>
      <c r="U256">
        <f t="shared" si="64"/>
        <v>255</v>
      </c>
      <c r="V256">
        <f t="shared" si="63"/>
        <v>52607</v>
      </c>
      <c r="W256" s="8" t="str">
        <f>VLOOKUP(V256,'ideas-input'!$A:$B,2,FALSE)</f>
        <v>[Desconexión SGC] [PUDOS] - Migración de funcionalidades de SGC al Cloud</v>
      </c>
      <c r="X256" t="str">
        <f t="shared" si="52"/>
        <v>CIO</v>
      </c>
      <c r="Y256" s="8" t="str">
        <f>VLOOKUP(V256,'ideas-input'!$A:$D,4,FALSE)</f>
        <v>eCommerce</v>
      </c>
      <c r="Z256" t="str">
        <f t="shared" si="53"/>
        <v>Technology</v>
      </c>
      <c r="AA256" t="str">
        <f t="shared" si="54"/>
        <v>Backlog</v>
      </c>
      <c r="AB256">
        <f t="shared" si="55"/>
        <v>26</v>
      </c>
      <c r="AC256">
        <f t="shared" si="56"/>
        <v>0.03</v>
      </c>
      <c r="AD256">
        <f t="shared" si="57"/>
        <v>1</v>
      </c>
      <c r="AE256">
        <f t="shared" si="58"/>
        <v>1</v>
      </c>
      <c r="AF256">
        <f t="shared" si="59"/>
        <v>1</v>
      </c>
      <c r="AG256">
        <f t="shared" si="60"/>
        <v>100</v>
      </c>
    </row>
    <row r="257" spans="1:33" x14ac:dyDescent="0.2">
      <c r="A257" t="s">
        <v>127</v>
      </c>
      <c r="B257" t="s">
        <v>128</v>
      </c>
      <c r="C257">
        <v>256</v>
      </c>
      <c r="D257">
        <v>48991</v>
      </c>
      <c r="E257" t="s">
        <v>196</v>
      </c>
      <c r="F257" t="s">
        <v>36</v>
      </c>
      <c r="G257" t="s">
        <v>379</v>
      </c>
      <c r="H257" t="s">
        <v>5</v>
      </c>
      <c r="I257" t="s">
        <v>91</v>
      </c>
      <c r="J257">
        <v>5</v>
      </c>
      <c r="K257">
        <v>0.03</v>
      </c>
      <c r="L257">
        <v>1</v>
      </c>
      <c r="M257">
        <v>1</v>
      </c>
      <c r="N257">
        <v>1</v>
      </c>
      <c r="O257">
        <v>100</v>
      </c>
      <c r="P257" t="b">
        <f t="shared" si="51"/>
        <v>0</v>
      </c>
      <c r="S257" t="str">
        <f t="shared" si="61"/>
        <v>LATER</v>
      </c>
      <c r="T257" t="str">
        <f t="shared" si="62"/>
        <v>SainteLague</v>
      </c>
      <c r="U257">
        <f t="shared" si="64"/>
        <v>256</v>
      </c>
      <c r="V257">
        <f t="shared" si="63"/>
        <v>48991</v>
      </c>
      <c r="W257" s="8" t="str">
        <f>VLOOKUP(V257,'ideas-input'!$A:$B,2,FALSE)</f>
        <v>CCT 3.0 - powered by AI</v>
      </c>
      <c r="X257" t="str">
        <f t="shared" si="52"/>
        <v>DNI</v>
      </c>
      <c r="Y257" s="8" t="str">
        <f>VLOOKUP(V257,'ideas-input'!$A:$D,4,FALSE)</f>
        <v>Mail</v>
      </c>
      <c r="Z257" t="str">
        <f t="shared" si="53"/>
        <v>Commercial</v>
      </c>
      <c r="AA257" t="str">
        <f t="shared" si="54"/>
        <v>Backlog</v>
      </c>
      <c r="AB257">
        <f t="shared" si="55"/>
        <v>5</v>
      </c>
      <c r="AC257">
        <f t="shared" si="56"/>
        <v>0.03</v>
      </c>
      <c r="AD257">
        <f t="shared" si="57"/>
        <v>1</v>
      </c>
      <c r="AE257">
        <f t="shared" si="58"/>
        <v>1</v>
      </c>
      <c r="AF257">
        <f t="shared" si="59"/>
        <v>1</v>
      </c>
      <c r="AG257">
        <f t="shared" si="60"/>
        <v>100</v>
      </c>
    </row>
    <row r="258" spans="1:33" x14ac:dyDescent="0.2">
      <c r="A258" t="s">
        <v>127</v>
      </c>
      <c r="B258" t="s">
        <v>128</v>
      </c>
      <c r="C258">
        <v>257</v>
      </c>
      <c r="D258">
        <v>61633</v>
      </c>
      <c r="E258" t="s">
        <v>180</v>
      </c>
      <c r="F258" t="s">
        <v>66</v>
      </c>
      <c r="G258" t="s">
        <v>10</v>
      </c>
      <c r="H258" t="s">
        <v>5</v>
      </c>
      <c r="I258" t="s">
        <v>95</v>
      </c>
      <c r="J258">
        <v>11</v>
      </c>
      <c r="K258">
        <v>0.03</v>
      </c>
      <c r="L258">
        <v>1</v>
      </c>
      <c r="M258">
        <v>1</v>
      </c>
      <c r="N258">
        <v>1</v>
      </c>
      <c r="O258">
        <v>100</v>
      </c>
      <c r="P258" t="b">
        <f t="shared" ref="P258:P321" si="65">AND(C258&lt;$Q$1,IF(ISBLANK(C258),0,C258)&gt;0)</f>
        <v>0</v>
      </c>
      <c r="S258" t="str">
        <f t="shared" si="61"/>
        <v>LATER</v>
      </c>
      <c r="T258" t="str">
        <f t="shared" si="62"/>
        <v>SainteLague</v>
      </c>
      <c r="U258">
        <f t="shared" si="64"/>
        <v>257</v>
      </c>
      <c r="V258">
        <f t="shared" si="63"/>
        <v>61633</v>
      </c>
      <c r="W258" s="8" t="str">
        <f>VLOOKUP(V258,'ideas-input'!$A:$B,2,FALSE)</f>
        <v>[Nexus] - We Sell (Lead to Contract) 2.0</v>
      </c>
      <c r="X258" t="str">
        <f t="shared" ref="X258:X321" si="66">F258</f>
        <v>CCO</v>
      </c>
      <c r="Y258" s="8" t="str">
        <f>VLOOKUP(V258,'ideas-input'!$A:$D,4,FALSE)</f>
        <v>eCommerce</v>
      </c>
      <c r="Z258" t="str">
        <f t="shared" ref="Z258:Z321" si="67">H258</f>
        <v>Commercial</v>
      </c>
      <c r="AA258" t="str">
        <f t="shared" ref="AA258:AA321" si="68">I258</f>
        <v>In Definition</v>
      </c>
      <c r="AB258">
        <f t="shared" ref="AB258:AB321" si="69">J258</f>
        <v>11</v>
      </c>
      <c r="AC258">
        <f t="shared" ref="AC258:AC321" si="70">K258</f>
        <v>0.03</v>
      </c>
      <c r="AD258">
        <f t="shared" ref="AD258:AD321" si="71">L258</f>
        <v>1</v>
      </c>
      <c r="AE258">
        <f t="shared" ref="AE258:AE321" si="72">M258</f>
        <v>1</v>
      </c>
      <c r="AF258">
        <f t="shared" ref="AF258:AF321" si="73">N258</f>
        <v>1</v>
      </c>
      <c r="AG258">
        <f t="shared" ref="AG258:AG321" si="74">O258</f>
        <v>100</v>
      </c>
    </row>
    <row r="259" spans="1:33" x14ac:dyDescent="0.2">
      <c r="A259" t="s">
        <v>127</v>
      </c>
      <c r="B259" t="s">
        <v>128</v>
      </c>
      <c r="C259">
        <v>258</v>
      </c>
      <c r="D259">
        <v>60599</v>
      </c>
      <c r="E259" t="s">
        <v>139</v>
      </c>
      <c r="F259" t="s">
        <v>46</v>
      </c>
      <c r="G259" t="s">
        <v>379</v>
      </c>
      <c r="H259" t="s">
        <v>12</v>
      </c>
      <c r="I259" t="s">
        <v>91</v>
      </c>
      <c r="J259">
        <v>4</v>
      </c>
      <c r="K259">
        <v>3</v>
      </c>
      <c r="L259">
        <v>5</v>
      </c>
      <c r="M259">
        <v>5</v>
      </c>
      <c r="N259">
        <v>5</v>
      </c>
      <c r="O259">
        <v>5</v>
      </c>
      <c r="P259" t="b">
        <f t="shared" si="65"/>
        <v>0</v>
      </c>
      <c r="S259" t="str">
        <f t="shared" si="61"/>
        <v>LATER</v>
      </c>
      <c r="T259" t="str">
        <f t="shared" si="62"/>
        <v>SainteLague</v>
      </c>
      <c r="U259">
        <f t="shared" si="64"/>
        <v>258</v>
      </c>
      <c r="V259">
        <f t="shared" si="63"/>
        <v>60599</v>
      </c>
      <c r="W259" s="8" t="str">
        <f>VLOOKUP(V259,'ideas-input'!$A:$B,2,FALSE)</f>
        <v>Nexus | We Care | Customer Support</v>
      </c>
      <c r="X259" t="str">
        <f t="shared" si="66"/>
        <v>AVC</v>
      </c>
      <c r="Y259" s="8" t="str">
        <f>VLOOKUP(V259,'ideas-input'!$A:$D,4,FALSE)</f>
        <v>eCommerce</v>
      </c>
      <c r="Z259" t="str">
        <f t="shared" si="67"/>
        <v>Corporate</v>
      </c>
      <c r="AA259" t="str">
        <f t="shared" si="68"/>
        <v>Backlog</v>
      </c>
      <c r="AB259">
        <f t="shared" si="69"/>
        <v>4</v>
      </c>
      <c r="AC259">
        <f t="shared" si="70"/>
        <v>3</v>
      </c>
      <c r="AD259">
        <f t="shared" si="71"/>
        <v>5</v>
      </c>
      <c r="AE259">
        <f t="shared" si="72"/>
        <v>5</v>
      </c>
      <c r="AF259">
        <f t="shared" si="73"/>
        <v>5</v>
      </c>
      <c r="AG259">
        <f t="shared" si="74"/>
        <v>5</v>
      </c>
    </row>
    <row r="260" spans="1:33" x14ac:dyDescent="0.2">
      <c r="A260" t="s">
        <v>127</v>
      </c>
      <c r="B260" t="s">
        <v>128</v>
      </c>
      <c r="C260">
        <v>259</v>
      </c>
      <c r="D260">
        <v>46829</v>
      </c>
      <c r="E260" t="s">
        <v>1107</v>
      </c>
      <c r="F260" t="s">
        <v>64</v>
      </c>
      <c r="G260" t="s">
        <v>10</v>
      </c>
      <c r="H260" t="s">
        <v>6</v>
      </c>
      <c r="I260" t="s">
        <v>95</v>
      </c>
      <c r="J260">
        <v>36</v>
      </c>
      <c r="K260">
        <v>0.03</v>
      </c>
      <c r="L260">
        <v>1</v>
      </c>
      <c r="M260">
        <v>1</v>
      </c>
      <c r="N260">
        <v>1</v>
      </c>
      <c r="O260">
        <v>100</v>
      </c>
      <c r="P260" t="b">
        <f t="shared" si="65"/>
        <v>0</v>
      </c>
      <c r="S260" t="str">
        <f t="shared" si="61"/>
        <v>LATER</v>
      </c>
      <c r="T260" t="str">
        <f t="shared" si="62"/>
        <v>SainteLague</v>
      </c>
      <c r="U260">
        <f t="shared" si="64"/>
        <v>259</v>
      </c>
      <c r="V260">
        <f t="shared" si="63"/>
        <v>46829</v>
      </c>
      <c r="W260" s="8" t="str">
        <f>VLOOKUP(V260,'ideas-input'!$A:$B,2,FALSE)</f>
        <v>PDA Planta (TO)/Gestión de Planta/Mejoras pendientes/Solventar error de contenerización y doble registro</v>
      </c>
      <c r="X260" t="str">
        <f t="shared" si="66"/>
        <v>COO</v>
      </c>
      <c r="Y260" s="8" t="str">
        <f>VLOOKUP(V260,'ideas-input'!$A:$D,4,FALSE)</f>
        <v>eCommerce</v>
      </c>
      <c r="Z260" t="str">
        <f t="shared" si="67"/>
        <v>Operations</v>
      </c>
      <c r="AA260" t="str">
        <f t="shared" si="68"/>
        <v>In Definition</v>
      </c>
      <c r="AB260">
        <f t="shared" si="69"/>
        <v>36</v>
      </c>
      <c r="AC260">
        <f t="shared" si="70"/>
        <v>0.03</v>
      </c>
      <c r="AD260">
        <f t="shared" si="71"/>
        <v>1</v>
      </c>
      <c r="AE260">
        <f t="shared" si="72"/>
        <v>1</v>
      </c>
      <c r="AF260">
        <f t="shared" si="73"/>
        <v>1</v>
      </c>
      <c r="AG260">
        <f t="shared" si="74"/>
        <v>100</v>
      </c>
    </row>
    <row r="261" spans="1:33" x14ac:dyDescent="0.2">
      <c r="A261" t="s">
        <v>127</v>
      </c>
      <c r="B261" t="s">
        <v>128</v>
      </c>
      <c r="C261">
        <v>260</v>
      </c>
      <c r="D261">
        <v>132061</v>
      </c>
      <c r="E261" t="s">
        <v>1087</v>
      </c>
      <c r="F261" t="s">
        <v>9</v>
      </c>
      <c r="G261" t="s">
        <v>379</v>
      </c>
      <c r="H261" t="s">
        <v>8</v>
      </c>
      <c r="I261" t="s">
        <v>97</v>
      </c>
      <c r="J261">
        <v>10</v>
      </c>
      <c r="K261">
        <v>10</v>
      </c>
      <c r="L261">
        <v>2</v>
      </c>
      <c r="M261">
        <v>4</v>
      </c>
      <c r="N261">
        <v>4</v>
      </c>
      <c r="O261">
        <v>1</v>
      </c>
      <c r="P261" t="b">
        <f t="shared" si="65"/>
        <v>0</v>
      </c>
      <c r="S261" t="str">
        <f t="shared" si="61"/>
        <v>LATER</v>
      </c>
      <c r="T261" t="str">
        <f t="shared" si="62"/>
        <v>SainteLague</v>
      </c>
      <c r="U261">
        <f t="shared" si="64"/>
        <v>260</v>
      </c>
      <c r="V261">
        <f t="shared" si="63"/>
        <v>132061</v>
      </c>
      <c r="W261" s="8" t="str">
        <f>VLOOKUP(V261,'ideas-input'!$A:$B,2,FALSE)</f>
        <v>Migração ADO2GitHub - Pipeline ODM</v>
      </c>
      <c r="X261" t="str">
        <f t="shared" si="66"/>
        <v>SI</v>
      </c>
      <c r="Y261" s="8" t="str">
        <f>VLOOKUP(V261,'ideas-input'!$A:$D,4,FALSE)</f>
        <v>Mail</v>
      </c>
      <c r="Z261" t="str">
        <f t="shared" si="67"/>
        <v>Technology</v>
      </c>
      <c r="AA261" t="str">
        <f t="shared" si="68"/>
        <v>Ready for Solution</v>
      </c>
      <c r="AB261">
        <f t="shared" si="69"/>
        <v>10</v>
      </c>
      <c r="AC261">
        <f t="shared" si="70"/>
        <v>10</v>
      </c>
      <c r="AD261">
        <f t="shared" si="71"/>
        <v>2</v>
      </c>
      <c r="AE261">
        <f t="shared" si="72"/>
        <v>4</v>
      </c>
      <c r="AF261">
        <f t="shared" si="73"/>
        <v>4</v>
      </c>
      <c r="AG261">
        <f t="shared" si="74"/>
        <v>1</v>
      </c>
    </row>
    <row r="262" spans="1:33" x14ac:dyDescent="0.2">
      <c r="A262" t="s">
        <v>127</v>
      </c>
      <c r="B262" t="s">
        <v>128</v>
      </c>
      <c r="C262">
        <v>261</v>
      </c>
      <c r="D262">
        <v>140632</v>
      </c>
      <c r="E262" t="s">
        <v>1608</v>
      </c>
      <c r="F262" t="s">
        <v>68</v>
      </c>
      <c r="G262" t="s">
        <v>10</v>
      </c>
      <c r="H262" t="s">
        <v>5</v>
      </c>
      <c r="I262" t="s">
        <v>95</v>
      </c>
      <c r="J262">
        <v>10</v>
      </c>
      <c r="K262">
        <v>0.03</v>
      </c>
      <c r="L262">
        <v>1</v>
      </c>
      <c r="M262">
        <v>1</v>
      </c>
      <c r="N262">
        <v>1</v>
      </c>
      <c r="O262">
        <v>100</v>
      </c>
      <c r="P262" t="b">
        <f t="shared" si="65"/>
        <v>0</v>
      </c>
      <c r="S262" t="str">
        <f t="shared" si="61"/>
        <v>LATER</v>
      </c>
      <c r="T262" t="str">
        <f t="shared" si="62"/>
        <v>SainteLague</v>
      </c>
      <c r="U262">
        <f t="shared" si="64"/>
        <v>261</v>
      </c>
      <c r="V262">
        <f t="shared" si="63"/>
        <v>140632</v>
      </c>
      <c r="W262" s="8" t="str">
        <f>VLOOKUP(V262,'ideas-input'!$A:$B,2,FALSE)</f>
        <v>[WebHook] - Shein - LastMile - Establecer un criterio que sirva para enviar el valor A-Scan</v>
      </c>
      <c r="X262" t="str">
        <f t="shared" si="66"/>
        <v>IDC</v>
      </c>
      <c r="Y262" s="8" t="str">
        <f>VLOOKUP(V262,'ideas-input'!$A:$D,4,FALSE)</f>
        <v>eCommerce</v>
      </c>
      <c r="Z262" t="str">
        <f t="shared" si="67"/>
        <v>Commercial</v>
      </c>
      <c r="AA262" t="str">
        <f t="shared" si="68"/>
        <v>In Definition</v>
      </c>
      <c r="AB262">
        <f t="shared" si="69"/>
        <v>10</v>
      </c>
      <c r="AC262">
        <f t="shared" si="70"/>
        <v>0.03</v>
      </c>
      <c r="AD262">
        <f t="shared" si="71"/>
        <v>1</v>
      </c>
      <c r="AE262">
        <f t="shared" si="72"/>
        <v>1</v>
      </c>
      <c r="AF262">
        <f t="shared" si="73"/>
        <v>1</v>
      </c>
      <c r="AG262">
        <f t="shared" si="74"/>
        <v>100</v>
      </c>
    </row>
    <row r="263" spans="1:33" x14ac:dyDescent="0.2">
      <c r="A263" t="s">
        <v>127</v>
      </c>
      <c r="B263" t="s">
        <v>128</v>
      </c>
      <c r="C263">
        <v>262</v>
      </c>
      <c r="D263">
        <v>127065</v>
      </c>
      <c r="E263" t="s">
        <v>1110</v>
      </c>
      <c r="F263" t="s">
        <v>37</v>
      </c>
      <c r="G263" t="s">
        <v>379</v>
      </c>
      <c r="H263" t="s">
        <v>5</v>
      </c>
      <c r="I263" t="s">
        <v>130</v>
      </c>
      <c r="J263">
        <v>4</v>
      </c>
      <c r="K263">
        <v>2</v>
      </c>
      <c r="L263">
        <v>3</v>
      </c>
      <c r="M263">
        <v>2</v>
      </c>
      <c r="N263">
        <v>1</v>
      </c>
      <c r="O263">
        <v>3</v>
      </c>
      <c r="P263" t="b">
        <f t="shared" si="65"/>
        <v>0</v>
      </c>
      <c r="S263" t="str">
        <f t="shared" si="61"/>
        <v>LATER</v>
      </c>
      <c r="T263" t="str">
        <f t="shared" si="62"/>
        <v>SainteLague</v>
      </c>
      <c r="U263">
        <f t="shared" si="64"/>
        <v>262</v>
      </c>
      <c r="V263">
        <f t="shared" si="63"/>
        <v>127065</v>
      </c>
      <c r="W263" s="8" t="str">
        <f>VLOOKUP(V263,'ideas-input'!$A:$B,2,FALSE)</f>
        <v>Galaxy - Jornada de envios – Push recolha destinatário</v>
      </c>
      <c r="X263" t="str">
        <f t="shared" si="66"/>
        <v>GS</v>
      </c>
      <c r="Y263" s="8" t="str">
        <f>VLOOKUP(V263,'ideas-input'!$A:$D,4,FALSE)</f>
        <v>eCommerce</v>
      </c>
      <c r="Z263" t="str">
        <f t="shared" si="67"/>
        <v>Commercial</v>
      </c>
      <c r="AA263" t="str">
        <f t="shared" si="68"/>
        <v>High Level Design</v>
      </c>
      <c r="AB263">
        <f t="shared" si="69"/>
        <v>4</v>
      </c>
      <c r="AC263">
        <f t="shared" si="70"/>
        <v>2</v>
      </c>
      <c r="AD263">
        <f t="shared" si="71"/>
        <v>3</v>
      </c>
      <c r="AE263">
        <f t="shared" si="72"/>
        <v>2</v>
      </c>
      <c r="AF263">
        <f t="shared" si="73"/>
        <v>1</v>
      </c>
      <c r="AG263">
        <f t="shared" si="74"/>
        <v>3</v>
      </c>
    </row>
    <row r="264" spans="1:33" x14ac:dyDescent="0.2">
      <c r="A264" t="s">
        <v>127</v>
      </c>
      <c r="B264" t="s">
        <v>128</v>
      </c>
      <c r="C264">
        <v>263</v>
      </c>
      <c r="D264">
        <v>44050</v>
      </c>
      <c r="E264" t="s">
        <v>1112</v>
      </c>
      <c r="F264" t="s">
        <v>64</v>
      </c>
      <c r="G264" t="s">
        <v>10</v>
      </c>
      <c r="H264" t="s">
        <v>6</v>
      </c>
      <c r="I264" t="s">
        <v>95</v>
      </c>
      <c r="J264">
        <v>37</v>
      </c>
      <c r="K264">
        <v>0.03</v>
      </c>
      <c r="L264">
        <v>1</v>
      </c>
      <c r="M264">
        <v>1</v>
      </c>
      <c r="N264">
        <v>1</v>
      </c>
      <c r="O264">
        <v>100</v>
      </c>
      <c r="P264" t="b">
        <f t="shared" si="65"/>
        <v>0</v>
      </c>
      <c r="S264" t="str">
        <f t="shared" si="61"/>
        <v>LATER</v>
      </c>
      <c r="T264" t="str">
        <f t="shared" si="62"/>
        <v>SainteLague</v>
      </c>
      <c r="U264">
        <f t="shared" si="64"/>
        <v>263</v>
      </c>
      <c r="V264">
        <f t="shared" si="63"/>
        <v>44050</v>
      </c>
      <c r="W264" s="8" t="str">
        <f>VLOOKUP(V264,'ideas-input'!$A:$B,2,FALSE)</f>
        <v>Portal Proveedores LineHaul - Plan de carga: contenerización de camiones</v>
      </c>
      <c r="X264" t="str">
        <f t="shared" si="66"/>
        <v>COO</v>
      </c>
      <c r="Y264" s="8" t="str">
        <f>VLOOKUP(V264,'ideas-input'!$A:$D,4,FALSE)</f>
        <v>eCommerce</v>
      </c>
      <c r="Z264" t="str">
        <f t="shared" si="67"/>
        <v>Operations</v>
      </c>
      <c r="AA264" t="str">
        <f t="shared" si="68"/>
        <v>In Definition</v>
      </c>
      <c r="AB264">
        <f t="shared" si="69"/>
        <v>37</v>
      </c>
      <c r="AC264">
        <f t="shared" si="70"/>
        <v>0.03</v>
      </c>
      <c r="AD264">
        <f t="shared" si="71"/>
        <v>1</v>
      </c>
      <c r="AE264">
        <f t="shared" si="72"/>
        <v>1</v>
      </c>
      <c r="AF264">
        <f t="shared" si="73"/>
        <v>1</v>
      </c>
      <c r="AG264">
        <f t="shared" si="74"/>
        <v>100</v>
      </c>
    </row>
    <row r="265" spans="1:33" x14ac:dyDescent="0.2">
      <c r="A265" t="s">
        <v>127</v>
      </c>
      <c r="B265" t="s">
        <v>128</v>
      </c>
      <c r="C265">
        <v>264</v>
      </c>
      <c r="D265">
        <v>68236</v>
      </c>
      <c r="E265" t="s">
        <v>1114</v>
      </c>
      <c r="F265" t="s">
        <v>21</v>
      </c>
      <c r="G265" t="s">
        <v>379</v>
      </c>
      <c r="H265" t="s">
        <v>5</v>
      </c>
      <c r="I265" t="s">
        <v>95</v>
      </c>
      <c r="J265">
        <v>6</v>
      </c>
      <c r="K265">
        <v>0.03</v>
      </c>
      <c r="L265">
        <v>1</v>
      </c>
      <c r="M265">
        <v>1</v>
      </c>
      <c r="N265">
        <v>1</v>
      </c>
      <c r="O265">
        <v>100</v>
      </c>
      <c r="P265" t="b">
        <f t="shared" si="65"/>
        <v>0</v>
      </c>
      <c r="S265" t="str">
        <f t="shared" si="61"/>
        <v>LATER</v>
      </c>
      <c r="T265" t="str">
        <f t="shared" si="62"/>
        <v>SainteLague</v>
      </c>
      <c r="U265">
        <f t="shared" si="64"/>
        <v>264</v>
      </c>
      <c r="V265">
        <f t="shared" si="63"/>
        <v>68236</v>
      </c>
      <c r="W265" s="8" t="str">
        <f>VLOOKUP(V265,'ideas-input'!$A:$B,2,FALSE)</f>
        <v>Informação normalizada (Indicadores de Gestão IG) - Fusão relatório 65 no 59 (2º e 3º fase)</v>
      </c>
      <c r="X265" t="str">
        <f t="shared" si="66"/>
        <v>GP B2B</v>
      </c>
      <c r="Y265" s="8" t="str">
        <f>VLOOKUP(V265,'ideas-input'!$A:$D,4,FALSE)</f>
        <v>Mail</v>
      </c>
      <c r="Z265" t="str">
        <f t="shared" si="67"/>
        <v>Commercial</v>
      </c>
      <c r="AA265" t="str">
        <f t="shared" si="68"/>
        <v>In Definition</v>
      </c>
      <c r="AB265">
        <f t="shared" si="69"/>
        <v>6</v>
      </c>
      <c r="AC265">
        <f t="shared" si="70"/>
        <v>0.03</v>
      </c>
      <c r="AD265">
        <f t="shared" si="71"/>
        <v>1</v>
      </c>
      <c r="AE265">
        <f t="shared" si="72"/>
        <v>1</v>
      </c>
      <c r="AF265">
        <f t="shared" si="73"/>
        <v>1</v>
      </c>
      <c r="AG265">
        <f t="shared" si="74"/>
        <v>100</v>
      </c>
    </row>
    <row r="266" spans="1:33" x14ac:dyDescent="0.2">
      <c r="A266" t="s">
        <v>127</v>
      </c>
      <c r="B266" t="s">
        <v>128</v>
      </c>
      <c r="C266">
        <v>265</v>
      </c>
      <c r="D266">
        <v>46807</v>
      </c>
      <c r="E266" t="s">
        <v>1092</v>
      </c>
      <c r="F266" t="s">
        <v>67</v>
      </c>
      <c r="G266" t="s">
        <v>10</v>
      </c>
      <c r="H266" t="s">
        <v>12</v>
      </c>
      <c r="I266" t="s">
        <v>91</v>
      </c>
      <c r="J266">
        <v>12</v>
      </c>
      <c r="K266">
        <v>0.03</v>
      </c>
      <c r="L266">
        <v>1</v>
      </c>
      <c r="M266">
        <v>1</v>
      </c>
      <c r="N266">
        <v>1</v>
      </c>
      <c r="O266">
        <v>100</v>
      </c>
      <c r="P266" t="b">
        <f t="shared" si="65"/>
        <v>0</v>
      </c>
      <c r="S266" t="str">
        <f t="shared" si="61"/>
        <v>LATER</v>
      </c>
      <c r="T266" t="str">
        <f t="shared" si="62"/>
        <v>SainteLague</v>
      </c>
      <c r="U266">
        <f t="shared" si="64"/>
        <v>265</v>
      </c>
      <c r="V266">
        <f t="shared" si="63"/>
        <v>46807</v>
      </c>
      <c r="W266" s="8" t="str">
        <f>VLOOKUP(V266,'ideas-input'!$A:$B,2,FALSE)</f>
        <v>[Desconexión SGC] [Salesforce Service] - Migración del Almacén regulador​ de SGC</v>
      </c>
      <c r="X266" t="str">
        <f t="shared" si="66"/>
        <v>ATC</v>
      </c>
      <c r="Y266" s="8" t="str">
        <f>VLOOKUP(V266,'ideas-input'!$A:$D,4,FALSE)</f>
        <v>eCommerce</v>
      </c>
      <c r="Z266" t="str">
        <f t="shared" si="67"/>
        <v>Corporate</v>
      </c>
      <c r="AA266" t="str">
        <f t="shared" si="68"/>
        <v>Backlog</v>
      </c>
      <c r="AB266">
        <f t="shared" si="69"/>
        <v>12</v>
      </c>
      <c r="AC266">
        <f t="shared" si="70"/>
        <v>0.03</v>
      </c>
      <c r="AD266">
        <f t="shared" si="71"/>
        <v>1</v>
      </c>
      <c r="AE266">
        <f t="shared" si="72"/>
        <v>1</v>
      </c>
      <c r="AF266">
        <f t="shared" si="73"/>
        <v>1</v>
      </c>
      <c r="AG266">
        <f t="shared" si="74"/>
        <v>100</v>
      </c>
    </row>
    <row r="267" spans="1:33" x14ac:dyDescent="0.2">
      <c r="A267" t="s">
        <v>127</v>
      </c>
      <c r="B267" t="s">
        <v>128</v>
      </c>
      <c r="C267">
        <v>266</v>
      </c>
      <c r="D267">
        <v>59257</v>
      </c>
      <c r="E267" t="s">
        <v>185</v>
      </c>
      <c r="F267" t="s">
        <v>47</v>
      </c>
      <c r="G267" t="s">
        <v>379</v>
      </c>
      <c r="H267" t="s">
        <v>12</v>
      </c>
      <c r="I267" t="s">
        <v>91</v>
      </c>
      <c r="J267">
        <v>4</v>
      </c>
      <c r="K267">
        <v>0.03</v>
      </c>
      <c r="L267">
        <v>1</v>
      </c>
      <c r="M267">
        <v>1</v>
      </c>
      <c r="N267">
        <v>1</v>
      </c>
      <c r="O267">
        <v>100</v>
      </c>
      <c r="P267" t="b">
        <f t="shared" si="65"/>
        <v>0</v>
      </c>
      <c r="S267" t="str">
        <f t="shared" si="61"/>
        <v>LATER</v>
      </c>
      <c r="T267" t="str">
        <f t="shared" si="62"/>
        <v>SainteLague</v>
      </c>
      <c r="U267">
        <f t="shared" si="64"/>
        <v>266</v>
      </c>
      <c r="V267">
        <f t="shared" si="63"/>
        <v>59257</v>
      </c>
      <c r="W267" s="8" t="str">
        <f>VLOOKUP(V267,'ideas-input'!$A:$B,2,FALSE)</f>
        <v>SouCTT - Salary on Demand (adiantamento % vencimento) | Paynest</v>
      </c>
      <c r="X267" t="str">
        <f t="shared" si="66"/>
        <v>GT</v>
      </c>
      <c r="Y267" s="8" t="str">
        <f>VLOOKUP(V267,'ideas-input'!$A:$D,4,FALSE)</f>
        <v>Mail</v>
      </c>
      <c r="Z267" t="str">
        <f t="shared" si="67"/>
        <v>Corporate</v>
      </c>
      <c r="AA267" t="str">
        <f t="shared" si="68"/>
        <v>Backlog</v>
      </c>
      <c r="AB267">
        <f t="shared" si="69"/>
        <v>4</v>
      </c>
      <c r="AC267">
        <f t="shared" si="70"/>
        <v>0.03</v>
      </c>
      <c r="AD267">
        <f t="shared" si="71"/>
        <v>1</v>
      </c>
      <c r="AE267">
        <f t="shared" si="72"/>
        <v>1</v>
      </c>
      <c r="AF267">
        <f t="shared" si="73"/>
        <v>1</v>
      </c>
      <c r="AG267">
        <f t="shared" si="74"/>
        <v>100</v>
      </c>
    </row>
    <row r="268" spans="1:33" x14ac:dyDescent="0.2">
      <c r="A268" t="s">
        <v>127</v>
      </c>
      <c r="B268" t="s">
        <v>128</v>
      </c>
      <c r="C268">
        <v>267</v>
      </c>
      <c r="D268">
        <v>57238</v>
      </c>
      <c r="E268" t="s">
        <v>1673</v>
      </c>
      <c r="F268" t="s">
        <v>70</v>
      </c>
      <c r="G268" t="s">
        <v>10</v>
      </c>
      <c r="H268" t="s">
        <v>8</v>
      </c>
      <c r="I268" t="s">
        <v>91</v>
      </c>
      <c r="J268">
        <v>27</v>
      </c>
      <c r="K268">
        <v>0.03</v>
      </c>
      <c r="L268">
        <v>1</v>
      </c>
      <c r="M268">
        <v>1</v>
      </c>
      <c r="N268">
        <v>1</v>
      </c>
      <c r="O268">
        <v>100</v>
      </c>
      <c r="P268" t="b">
        <f t="shared" si="65"/>
        <v>0</v>
      </c>
      <c r="S268" t="str">
        <f t="shared" si="61"/>
        <v>LATER</v>
      </c>
      <c r="T268" t="str">
        <f t="shared" si="62"/>
        <v>SainteLague</v>
      </c>
      <c r="U268">
        <f t="shared" si="64"/>
        <v>267</v>
      </c>
      <c r="V268">
        <f t="shared" si="63"/>
        <v>57238</v>
      </c>
      <c r="W268" s="8" t="str">
        <f>VLOOKUP(V268,'ideas-input'!$A:$B,2,FALSE)</f>
        <v>[CIBER]  - Eliminación del acceso público de los ficheros de agencias y canalizaciones en transfer.cttexpress.com</v>
      </c>
      <c r="X268" t="str">
        <f t="shared" si="66"/>
        <v>CIO</v>
      </c>
      <c r="Y268" s="8" t="str">
        <f>VLOOKUP(V268,'ideas-input'!$A:$D,4,FALSE)</f>
        <v>eCommerce</v>
      </c>
      <c r="Z268" t="str">
        <f t="shared" si="67"/>
        <v>Technology</v>
      </c>
      <c r="AA268" t="str">
        <f t="shared" si="68"/>
        <v>Backlog</v>
      </c>
      <c r="AB268">
        <f t="shared" si="69"/>
        <v>27</v>
      </c>
      <c r="AC268">
        <f t="shared" si="70"/>
        <v>0.03</v>
      </c>
      <c r="AD268">
        <f t="shared" si="71"/>
        <v>1</v>
      </c>
      <c r="AE268">
        <f t="shared" si="72"/>
        <v>1</v>
      </c>
      <c r="AF268">
        <f t="shared" si="73"/>
        <v>1</v>
      </c>
      <c r="AG268">
        <f t="shared" si="74"/>
        <v>100</v>
      </c>
    </row>
    <row r="269" spans="1:33" x14ac:dyDescent="0.2">
      <c r="A269" t="s">
        <v>127</v>
      </c>
      <c r="B269" t="s">
        <v>128</v>
      </c>
      <c r="C269">
        <v>268</v>
      </c>
      <c r="D269">
        <v>132218</v>
      </c>
      <c r="E269" t="s">
        <v>330</v>
      </c>
      <c r="F269" t="s">
        <v>9</v>
      </c>
      <c r="G269" t="s">
        <v>379</v>
      </c>
      <c r="H269" t="s">
        <v>8</v>
      </c>
      <c r="I269" t="s">
        <v>91</v>
      </c>
      <c r="J269">
        <v>11</v>
      </c>
      <c r="K269">
        <v>6</v>
      </c>
      <c r="L269">
        <v>3</v>
      </c>
      <c r="M269">
        <v>2</v>
      </c>
      <c r="N269">
        <v>1</v>
      </c>
      <c r="O269">
        <v>1</v>
      </c>
      <c r="P269" t="b">
        <f t="shared" si="65"/>
        <v>0</v>
      </c>
      <c r="S269" t="str">
        <f t="shared" si="61"/>
        <v>LATER</v>
      </c>
      <c r="T269" t="str">
        <f t="shared" si="62"/>
        <v>SainteLague</v>
      </c>
      <c r="U269">
        <f t="shared" si="64"/>
        <v>268</v>
      </c>
      <c r="V269">
        <f t="shared" si="63"/>
        <v>132218</v>
      </c>
      <c r="W269" s="8" t="str">
        <f>VLOOKUP(V269,'ideas-input'!$A:$B,2,FALSE)</f>
        <v>CCP | Notifications | Refactor application to meet CCP patterns</v>
      </c>
      <c r="X269" t="str">
        <f t="shared" si="66"/>
        <v>SI</v>
      </c>
      <c r="Y269" s="8" t="str">
        <f>VLOOKUP(V269,'ideas-input'!$A:$D,4,FALSE)</f>
        <v>Mail</v>
      </c>
      <c r="Z269" t="str">
        <f t="shared" si="67"/>
        <v>Technology</v>
      </c>
      <c r="AA269" t="str">
        <f t="shared" si="68"/>
        <v>Backlog</v>
      </c>
      <c r="AB269">
        <f t="shared" si="69"/>
        <v>11</v>
      </c>
      <c r="AC269">
        <f t="shared" si="70"/>
        <v>6</v>
      </c>
      <c r="AD269">
        <f t="shared" si="71"/>
        <v>3</v>
      </c>
      <c r="AE269">
        <f t="shared" si="72"/>
        <v>2</v>
      </c>
      <c r="AF269">
        <f t="shared" si="73"/>
        <v>1</v>
      </c>
      <c r="AG269">
        <f t="shared" si="74"/>
        <v>1</v>
      </c>
    </row>
    <row r="270" spans="1:33" x14ac:dyDescent="0.2">
      <c r="A270" t="s">
        <v>127</v>
      </c>
      <c r="B270" t="s">
        <v>128</v>
      </c>
      <c r="C270">
        <v>269</v>
      </c>
      <c r="D270">
        <v>46916</v>
      </c>
      <c r="E270" t="s">
        <v>186</v>
      </c>
      <c r="F270" t="s">
        <v>65</v>
      </c>
      <c r="G270" t="s">
        <v>10</v>
      </c>
      <c r="H270" t="s">
        <v>5</v>
      </c>
      <c r="I270" t="s">
        <v>97</v>
      </c>
      <c r="J270">
        <v>18</v>
      </c>
      <c r="K270">
        <v>0.03</v>
      </c>
      <c r="L270">
        <v>1</v>
      </c>
      <c r="M270">
        <v>1</v>
      </c>
      <c r="N270">
        <v>1</v>
      </c>
      <c r="O270">
        <v>100</v>
      </c>
      <c r="P270" t="b">
        <f t="shared" si="65"/>
        <v>0</v>
      </c>
      <c r="S270" t="str">
        <f t="shared" si="61"/>
        <v>LATER</v>
      </c>
      <c r="T270" t="str">
        <f t="shared" si="62"/>
        <v>SainteLague</v>
      </c>
      <c r="U270">
        <f t="shared" si="64"/>
        <v>269</v>
      </c>
      <c r="V270">
        <f t="shared" si="63"/>
        <v>46916</v>
      </c>
      <c r="W270" s="8" t="str">
        <f>VLOOKUP(V270,'ideas-input'!$A:$B,2,FALSE)</f>
        <v>[Nexus] [Producto] - Pack Express</v>
      </c>
      <c r="X270" t="str">
        <f t="shared" si="66"/>
        <v>CMO</v>
      </c>
      <c r="Y270" s="8" t="str">
        <f>VLOOKUP(V270,'ideas-input'!$A:$D,4,FALSE)</f>
        <v>eCommerce</v>
      </c>
      <c r="Z270" t="str">
        <f t="shared" si="67"/>
        <v>Commercial</v>
      </c>
      <c r="AA270" t="str">
        <f t="shared" si="68"/>
        <v>Ready for Solution</v>
      </c>
      <c r="AB270">
        <f t="shared" si="69"/>
        <v>18</v>
      </c>
      <c r="AC270">
        <f t="shared" si="70"/>
        <v>0.03</v>
      </c>
      <c r="AD270">
        <f t="shared" si="71"/>
        <v>1</v>
      </c>
      <c r="AE270">
        <f t="shared" si="72"/>
        <v>1</v>
      </c>
      <c r="AF270">
        <f t="shared" si="73"/>
        <v>1</v>
      </c>
      <c r="AG270">
        <f t="shared" si="74"/>
        <v>100</v>
      </c>
    </row>
    <row r="271" spans="1:33" x14ac:dyDescent="0.2">
      <c r="A271" t="s">
        <v>127</v>
      </c>
      <c r="B271" t="s">
        <v>128</v>
      </c>
      <c r="C271">
        <v>270</v>
      </c>
      <c r="D271">
        <v>60579</v>
      </c>
      <c r="E271" t="s">
        <v>1118</v>
      </c>
      <c r="F271" t="s">
        <v>23</v>
      </c>
      <c r="G271" t="s">
        <v>379</v>
      </c>
      <c r="H271" t="s">
        <v>5</v>
      </c>
      <c r="I271" t="s">
        <v>130</v>
      </c>
      <c r="J271">
        <v>6</v>
      </c>
      <c r="K271">
        <v>0.03</v>
      </c>
      <c r="L271">
        <v>1</v>
      </c>
      <c r="M271">
        <v>1</v>
      </c>
      <c r="N271">
        <v>1</v>
      </c>
      <c r="O271">
        <v>100</v>
      </c>
      <c r="P271" t="b">
        <f t="shared" si="65"/>
        <v>0</v>
      </c>
      <c r="S271" t="str">
        <f t="shared" si="61"/>
        <v>LATER</v>
      </c>
      <c r="T271" t="str">
        <f t="shared" si="62"/>
        <v>SainteLague</v>
      </c>
      <c r="U271">
        <f t="shared" si="64"/>
        <v>270</v>
      </c>
      <c r="V271">
        <f t="shared" si="63"/>
        <v>60579</v>
      </c>
      <c r="W271" s="8" t="str">
        <f>VLOOKUP(V271,'ideas-input'!$A:$B,2,FALSE)</f>
        <v>Nexus | P&amp;S | Implementação da oferta ibérica</v>
      </c>
      <c r="X271" t="str">
        <f t="shared" si="66"/>
        <v>GP ECL</v>
      </c>
      <c r="Y271" s="8" t="str">
        <f>VLOOKUP(V271,'ideas-input'!$A:$D,4,FALSE)</f>
        <v>eCommerce</v>
      </c>
      <c r="Z271" t="str">
        <f t="shared" si="67"/>
        <v>Commercial</v>
      </c>
      <c r="AA271" t="str">
        <f t="shared" si="68"/>
        <v>High Level Design</v>
      </c>
      <c r="AB271">
        <f t="shared" si="69"/>
        <v>6</v>
      </c>
      <c r="AC271">
        <f t="shared" si="70"/>
        <v>0.03</v>
      </c>
      <c r="AD271">
        <f t="shared" si="71"/>
        <v>1</v>
      </c>
      <c r="AE271">
        <f t="shared" si="72"/>
        <v>1</v>
      </c>
      <c r="AF271">
        <f t="shared" si="73"/>
        <v>1</v>
      </c>
      <c r="AG271">
        <f t="shared" si="74"/>
        <v>100</v>
      </c>
    </row>
    <row r="272" spans="1:33" x14ac:dyDescent="0.2">
      <c r="A272" t="s">
        <v>127</v>
      </c>
      <c r="B272" t="s">
        <v>128</v>
      </c>
      <c r="C272">
        <v>271</v>
      </c>
      <c r="D272">
        <v>51426</v>
      </c>
      <c r="E272" t="s">
        <v>280</v>
      </c>
      <c r="F272" t="s">
        <v>64</v>
      </c>
      <c r="G272" t="s">
        <v>10</v>
      </c>
      <c r="H272" t="s">
        <v>6</v>
      </c>
      <c r="I272" t="s">
        <v>97</v>
      </c>
      <c r="J272">
        <v>38</v>
      </c>
      <c r="K272">
        <v>0.03</v>
      </c>
      <c r="L272">
        <v>1</v>
      </c>
      <c r="M272">
        <v>1</v>
      </c>
      <c r="N272">
        <v>1</v>
      </c>
      <c r="O272">
        <v>100</v>
      </c>
      <c r="P272" t="b">
        <f t="shared" si="65"/>
        <v>0</v>
      </c>
      <c r="S272" t="str">
        <f t="shared" si="61"/>
        <v>LATER</v>
      </c>
      <c r="T272" t="str">
        <f t="shared" si="62"/>
        <v>SainteLague</v>
      </c>
      <c r="U272">
        <f t="shared" si="64"/>
        <v>271</v>
      </c>
      <c r="V272">
        <f t="shared" si="63"/>
        <v>51426</v>
      </c>
      <c r="W272" s="8" t="str">
        <f>VLOOKUP(V272,'ideas-input'!$A:$B,2,FALSE)</f>
        <v>Notificaciones a PDA desde Portal del Proveedor</v>
      </c>
      <c r="X272" t="str">
        <f t="shared" si="66"/>
        <v>COO</v>
      </c>
      <c r="Y272" s="8" t="str">
        <f>VLOOKUP(V272,'ideas-input'!$A:$D,4,FALSE)</f>
        <v>eCommerce</v>
      </c>
      <c r="Z272" t="str">
        <f t="shared" si="67"/>
        <v>Operations</v>
      </c>
      <c r="AA272" t="str">
        <f t="shared" si="68"/>
        <v>Ready for Solution</v>
      </c>
      <c r="AB272">
        <f t="shared" si="69"/>
        <v>38</v>
      </c>
      <c r="AC272">
        <f t="shared" si="70"/>
        <v>0.03</v>
      </c>
      <c r="AD272">
        <f t="shared" si="71"/>
        <v>1</v>
      </c>
      <c r="AE272">
        <f t="shared" si="72"/>
        <v>1</v>
      </c>
      <c r="AF272">
        <f t="shared" si="73"/>
        <v>1</v>
      </c>
      <c r="AG272">
        <f t="shared" si="74"/>
        <v>100</v>
      </c>
    </row>
    <row r="273" spans="1:33" x14ac:dyDescent="0.2">
      <c r="A273" t="s">
        <v>127</v>
      </c>
      <c r="B273" t="s">
        <v>128</v>
      </c>
      <c r="C273">
        <v>272</v>
      </c>
      <c r="D273">
        <v>70736</v>
      </c>
      <c r="E273" t="s">
        <v>1096</v>
      </c>
      <c r="F273" t="s">
        <v>98</v>
      </c>
      <c r="G273" t="s">
        <v>379</v>
      </c>
      <c r="H273" t="s">
        <v>12</v>
      </c>
      <c r="I273" t="s">
        <v>94</v>
      </c>
      <c r="J273">
        <v>4</v>
      </c>
      <c r="K273">
        <v>0.03</v>
      </c>
      <c r="L273">
        <v>1</v>
      </c>
      <c r="M273">
        <v>1</v>
      </c>
      <c r="N273">
        <v>1</v>
      </c>
      <c r="O273">
        <v>100</v>
      </c>
      <c r="P273" t="b">
        <f t="shared" si="65"/>
        <v>0</v>
      </c>
      <c r="S273" t="str">
        <f t="shared" si="61"/>
        <v>LATER</v>
      </c>
      <c r="T273" t="str">
        <f t="shared" si="62"/>
        <v>SainteLague</v>
      </c>
      <c r="U273">
        <f t="shared" si="64"/>
        <v>272</v>
      </c>
      <c r="V273">
        <f t="shared" si="63"/>
        <v>70736</v>
      </c>
      <c r="W273" s="8" t="str">
        <f>VLOOKUP(V273,'ideas-input'!$A:$B,2,FALSE)</f>
        <v>WFA | Incremento 3 | Férias</v>
      </c>
      <c r="X273" t="str">
        <f t="shared" si="66"/>
        <v>PC</v>
      </c>
      <c r="Y273" s="8" t="str">
        <f>VLOOKUP(V273,'ideas-input'!$A:$D,4,FALSE)</f>
        <v>Mail</v>
      </c>
      <c r="Z273" t="str">
        <f t="shared" si="67"/>
        <v>Corporate</v>
      </c>
      <c r="AA273" t="str">
        <f t="shared" si="68"/>
        <v>In Approval</v>
      </c>
      <c r="AB273">
        <f t="shared" si="69"/>
        <v>4</v>
      </c>
      <c r="AC273">
        <f t="shared" si="70"/>
        <v>0.03</v>
      </c>
      <c r="AD273">
        <f t="shared" si="71"/>
        <v>1</v>
      </c>
      <c r="AE273">
        <f t="shared" si="72"/>
        <v>1</v>
      </c>
      <c r="AF273">
        <f t="shared" si="73"/>
        <v>1</v>
      </c>
      <c r="AG273">
        <f t="shared" si="74"/>
        <v>100</v>
      </c>
    </row>
    <row r="274" spans="1:33" x14ac:dyDescent="0.2">
      <c r="A274" t="s">
        <v>127</v>
      </c>
      <c r="B274" t="s">
        <v>128</v>
      </c>
      <c r="C274">
        <v>273</v>
      </c>
      <c r="D274">
        <v>43513</v>
      </c>
      <c r="E274" t="s">
        <v>1097</v>
      </c>
      <c r="F274" t="s">
        <v>69</v>
      </c>
      <c r="G274" t="s">
        <v>10</v>
      </c>
      <c r="H274" t="s">
        <v>12</v>
      </c>
      <c r="I274" t="s">
        <v>91</v>
      </c>
      <c r="J274">
        <v>11</v>
      </c>
      <c r="K274">
        <v>0.03</v>
      </c>
      <c r="L274">
        <v>1</v>
      </c>
      <c r="M274">
        <v>1</v>
      </c>
      <c r="N274">
        <v>1</v>
      </c>
      <c r="O274">
        <v>100</v>
      </c>
      <c r="P274" t="b">
        <f t="shared" si="65"/>
        <v>0</v>
      </c>
      <c r="S274" t="str">
        <f t="shared" si="61"/>
        <v>LATER</v>
      </c>
      <c r="T274" t="str">
        <f t="shared" si="62"/>
        <v>SainteLague</v>
      </c>
      <c r="U274">
        <f t="shared" si="64"/>
        <v>273</v>
      </c>
      <c r="V274">
        <f t="shared" si="63"/>
        <v>43513</v>
      </c>
      <c r="W274" s="8" t="str">
        <f>VLOOKUP(V274,'ideas-input'!$A:$B,2,FALSE)</f>
        <v>[Desconexión SGC] [Evolutivos SGC Finanzas] Automatización proceso gestión documental siniestros</v>
      </c>
      <c r="X274" t="str">
        <f t="shared" si="66"/>
        <v>CFO</v>
      </c>
      <c r="Y274" s="8" t="str">
        <f>VLOOKUP(V274,'ideas-input'!$A:$D,4,FALSE)</f>
        <v>eCommerce</v>
      </c>
      <c r="Z274" t="str">
        <f t="shared" si="67"/>
        <v>Corporate</v>
      </c>
      <c r="AA274" t="str">
        <f t="shared" si="68"/>
        <v>Backlog</v>
      </c>
      <c r="AB274">
        <f t="shared" si="69"/>
        <v>11</v>
      </c>
      <c r="AC274">
        <f t="shared" si="70"/>
        <v>0.03</v>
      </c>
      <c r="AD274">
        <f t="shared" si="71"/>
        <v>1</v>
      </c>
      <c r="AE274">
        <f t="shared" si="72"/>
        <v>1</v>
      </c>
      <c r="AF274">
        <f t="shared" si="73"/>
        <v>1</v>
      </c>
      <c r="AG274">
        <f t="shared" si="74"/>
        <v>100</v>
      </c>
    </row>
    <row r="275" spans="1:33" x14ac:dyDescent="0.2">
      <c r="A275" t="s">
        <v>127</v>
      </c>
      <c r="B275" t="s">
        <v>128</v>
      </c>
      <c r="C275">
        <v>274</v>
      </c>
      <c r="D275">
        <v>132956</v>
      </c>
      <c r="E275" t="s">
        <v>287</v>
      </c>
      <c r="F275" t="s">
        <v>9</v>
      </c>
      <c r="G275" t="s">
        <v>379</v>
      </c>
      <c r="H275" t="s">
        <v>8</v>
      </c>
      <c r="I275" t="s">
        <v>97</v>
      </c>
      <c r="J275">
        <v>12</v>
      </c>
      <c r="K275">
        <v>0.03</v>
      </c>
      <c r="L275">
        <v>1</v>
      </c>
      <c r="M275">
        <v>1</v>
      </c>
      <c r="N275">
        <v>1</v>
      </c>
      <c r="O275">
        <v>100</v>
      </c>
      <c r="P275" t="b">
        <f t="shared" si="65"/>
        <v>0</v>
      </c>
      <c r="S275" t="str">
        <f t="shared" si="61"/>
        <v>LATER</v>
      </c>
      <c r="T275" t="str">
        <f t="shared" si="62"/>
        <v>SainteLague</v>
      </c>
      <c r="U275">
        <f t="shared" si="64"/>
        <v>274</v>
      </c>
      <c r="V275">
        <f t="shared" si="63"/>
        <v>132956</v>
      </c>
      <c r="W275" s="8" t="str">
        <f>VLOOKUP(V275,'ideas-input'!$A:$B,2,FALSE)</f>
        <v>TFS Migration - NAVE</v>
      </c>
      <c r="X275" t="str">
        <f t="shared" si="66"/>
        <v>SI</v>
      </c>
      <c r="Y275" s="8" t="str">
        <f>VLOOKUP(V275,'ideas-input'!$A:$D,4,FALSE)</f>
        <v>Mail</v>
      </c>
      <c r="Z275" t="str">
        <f t="shared" si="67"/>
        <v>Technology</v>
      </c>
      <c r="AA275" t="str">
        <f t="shared" si="68"/>
        <v>Ready for Solution</v>
      </c>
      <c r="AB275">
        <f t="shared" si="69"/>
        <v>12</v>
      </c>
      <c r="AC275">
        <f t="shared" si="70"/>
        <v>0.03</v>
      </c>
      <c r="AD275">
        <f t="shared" si="71"/>
        <v>1</v>
      </c>
      <c r="AE275">
        <f t="shared" si="72"/>
        <v>1</v>
      </c>
      <c r="AF275">
        <f t="shared" si="73"/>
        <v>1</v>
      </c>
      <c r="AG275">
        <f t="shared" si="74"/>
        <v>100</v>
      </c>
    </row>
    <row r="276" spans="1:33" x14ac:dyDescent="0.2">
      <c r="A276" t="s">
        <v>127</v>
      </c>
      <c r="B276" t="s">
        <v>128</v>
      </c>
      <c r="C276">
        <v>275</v>
      </c>
      <c r="D276">
        <v>59403</v>
      </c>
      <c r="E276" t="s">
        <v>261</v>
      </c>
      <c r="F276" t="s">
        <v>70</v>
      </c>
      <c r="G276" t="s">
        <v>10</v>
      </c>
      <c r="H276" t="s">
        <v>8</v>
      </c>
      <c r="I276" t="s">
        <v>91</v>
      </c>
      <c r="J276">
        <v>28</v>
      </c>
      <c r="K276">
        <v>0.03</v>
      </c>
      <c r="L276">
        <v>1</v>
      </c>
      <c r="M276">
        <v>1</v>
      </c>
      <c r="N276">
        <v>1</v>
      </c>
      <c r="O276">
        <v>100</v>
      </c>
      <c r="P276" t="b">
        <f t="shared" si="65"/>
        <v>0</v>
      </c>
      <c r="S276" t="str">
        <f t="shared" si="61"/>
        <v>LATER</v>
      </c>
      <c r="T276" t="str">
        <f t="shared" si="62"/>
        <v>SainteLague</v>
      </c>
      <c r="U276">
        <f t="shared" si="64"/>
        <v>275</v>
      </c>
      <c r="V276">
        <f t="shared" si="63"/>
        <v>59403</v>
      </c>
      <c r="W276" s="8" t="str">
        <f>VLOOKUP(V276,'ideas-input'!$A:$B,2,FALSE)</f>
        <v>[Tech] API de common-edge Refactor</v>
      </c>
      <c r="X276" t="str">
        <f t="shared" si="66"/>
        <v>CIO</v>
      </c>
      <c r="Y276" s="8" t="str">
        <f>VLOOKUP(V276,'ideas-input'!$A:$D,4,FALSE)</f>
        <v>eCommerce</v>
      </c>
      <c r="Z276" t="str">
        <f t="shared" si="67"/>
        <v>Technology</v>
      </c>
      <c r="AA276" t="str">
        <f t="shared" si="68"/>
        <v>Backlog</v>
      </c>
      <c r="AB276">
        <f t="shared" si="69"/>
        <v>28</v>
      </c>
      <c r="AC276">
        <f t="shared" si="70"/>
        <v>0.03</v>
      </c>
      <c r="AD276">
        <f t="shared" si="71"/>
        <v>1</v>
      </c>
      <c r="AE276">
        <f t="shared" si="72"/>
        <v>1</v>
      </c>
      <c r="AF276">
        <f t="shared" si="73"/>
        <v>1</v>
      </c>
      <c r="AG276">
        <f t="shared" si="74"/>
        <v>100</v>
      </c>
    </row>
    <row r="277" spans="1:33" x14ac:dyDescent="0.2">
      <c r="A277" t="s">
        <v>127</v>
      </c>
      <c r="B277" t="s">
        <v>128</v>
      </c>
      <c r="C277">
        <v>276</v>
      </c>
      <c r="D277">
        <v>126459</v>
      </c>
      <c r="E277" t="s">
        <v>1677</v>
      </c>
      <c r="F277" t="s">
        <v>36</v>
      </c>
      <c r="G277" t="s">
        <v>379</v>
      </c>
      <c r="H277" t="s">
        <v>5</v>
      </c>
      <c r="I277" t="s">
        <v>91</v>
      </c>
      <c r="J277">
        <v>6</v>
      </c>
      <c r="K277">
        <v>0.03</v>
      </c>
      <c r="L277">
        <v>1</v>
      </c>
      <c r="M277">
        <v>1</v>
      </c>
      <c r="N277">
        <v>1</v>
      </c>
      <c r="O277">
        <v>100</v>
      </c>
      <c r="P277" t="b">
        <f t="shared" si="65"/>
        <v>0</v>
      </c>
      <c r="S277" t="str">
        <f t="shared" si="61"/>
        <v>LATER</v>
      </c>
      <c r="T277" t="str">
        <f t="shared" si="62"/>
        <v>SainteLague</v>
      </c>
      <c r="U277">
        <f t="shared" si="64"/>
        <v>276</v>
      </c>
      <c r="V277">
        <f t="shared" si="63"/>
        <v>126459</v>
      </c>
      <c r="W277" s="8" t="str">
        <f>VLOOKUP(V277,'ideas-input'!$A:$B,2,FALSE)</f>
        <v>Super B2C (App + Área Cliente) |  Incluir publicidade genérica do Banco CTT nos canais digitais dos CTT</v>
      </c>
      <c r="X277" t="str">
        <f t="shared" si="66"/>
        <v>DNI</v>
      </c>
      <c r="Y277" s="8" t="str">
        <f>VLOOKUP(V277,'ideas-input'!$A:$D,4,FALSE)</f>
        <v>Mail</v>
      </c>
      <c r="Z277" t="str">
        <f t="shared" si="67"/>
        <v>Commercial</v>
      </c>
      <c r="AA277" t="str">
        <f t="shared" si="68"/>
        <v>Backlog</v>
      </c>
      <c r="AB277">
        <f t="shared" si="69"/>
        <v>6</v>
      </c>
      <c r="AC277">
        <f t="shared" si="70"/>
        <v>0.03</v>
      </c>
      <c r="AD277">
        <f t="shared" si="71"/>
        <v>1</v>
      </c>
      <c r="AE277">
        <f t="shared" si="72"/>
        <v>1</v>
      </c>
      <c r="AF277">
        <f t="shared" si="73"/>
        <v>1</v>
      </c>
      <c r="AG277">
        <f t="shared" si="74"/>
        <v>100</v>
      </c>
    </row>
    <row r="278" spans="1:33" x14ac:dyDescent="0.2">
      <c r="A278" t="s">
        <v>127</v>
      </c>
      <c r="B278" t="s">
        <v>128</v>
      </c>
      <c r="C278">
        <v>277</v>
      </c>
      <c r="D278">
        <v>58417</v>
      </c>
      <c r="E278" t="s">
        <v>1144</v>
      </c>
      <c r="F278" t="s">
        <v>66</v>
      </c>
      <c r="G278" t="s">
        <v>10</v>
      </c>
      <c r="H278" t="s">
        <v>5</v>
      </c>
      <c r="I278" t="s">
        <v>136</v>
      </c>
      <c r="J278">
        <v>12</v>
      </c>
      <c r="K278">
        <v>0.03</v>
      </c>
      <c r="L278">
        <v>1</v>
      </c>
      <c r="M278">
        <v>1</v>
      </c>
      <c r="N278">
        <v>1</v>
      </c>
      <c r="O278">
        <v>100</v>
      </c>
      <c r="P278" t="b">
        <f t="shared" si="65"/>
        <v>0</v>
      </c>
      <c r="S278" t="str">
        <f t="shared" si="61"/>
        <v>LATER</v>
      </c>
      <c r="T278" t="str">
        <f t="shared" si="62"/>
        <v>SainteLague</v>
      </c>
      <c r="U278">
        <f t="shared" si="64"/>
        <v>277</v>
      </c>
      <c r="V278">
        <f t="shared" si="63"/>
        <v>58417</v>
      </c>
      <c r="W278" s="8" t="str">
        <f>VLOOKUP(V278,'ideas-input'!$A:$B,2,FALSE)</f>
        <v>[Minerva] - Interfaz de generación de ofertas de Minerva en portugués</v>
      </c>
      <c r="X278" t="str">
        <f t="shared" si="66"/>
        <v>CCO</v>
      </c>
      <c r="Y278" s="8" t="str">
        <f>VLOOKUP(V278,'ideas-input'!$A:$D,4,FALSE)</f>
        <v>eCommerce</v>
      </c>
      <c r="Z278" t="str">
        <f t="shared" si="67"/>
        <v>Commercial</v>
      </c>
      <c r="AA278" t="str">
        <f t="shared" si="68"/>
        <v>In Solution</v>
      </c>
      <c r="AB278">
        <f t="shared" si="69"/>
        <v>12</v>
      </c>
      <c r="AC278">
        <f t="shared" si="70"/>
        <v>0.03</v>
      </c>
      <c r="AD278">
        <f t="shared" si="71"/>
        <v>1</v>
      </c>
      <c r="AE278">
        <f t="shared" si="72"/>
        <v>1</v>
      </c>
      <c r="AF278">
        <f t="shared" si="73"/>
        <v>1</v>
      </c>
      <c r="AG278">
        <f t="shared" si="74"/>
        <v>100</v>
      </c>
    </row>
    <row r="279" spans="1:33" x14ac:dyDescent="0.2">
      <c r="A279" t="s">
        <v>127</v>
      </c>
      <c r="B279" t="s">
        <v>128</v>
      </c>
      <c r="C279">
        <v>278</v>
      </c>
      <c r="D279">
        <v>51052</v>
      </c>
      <c r="E279" t="s">
        <v>1019</v>
      </c>
      <c r="F279" t="s">
        <v>11</v>
      </c>
      <c r="G279" t="s">
        <v>379</v>
      </c>
      <c r="H279" t="s">
        <v>11</v>
      </c>
      <c r="I279" t="s">
        <v>91</v>
      </c>
      <c r="J279">
        <v>7</v>
      </c>
      <c r="K279">
        <v>0.03</v>
      </c>
      <c r="L279">
        <v>1</v>
      </c>
      <c r="M279">
        <v>1</v>
      </c>
      <c r="N279">
        <v>1</v>
      </c>
      <c r="O279">
        <v>100</v>
      </c>
      <c r="P279" t="b">
        <f t="shared" si="65"/>
        <v>0</v>
      </c>
      <c r="S279" t="str">
        <f t="shared" ref="S279:S342" si="75">A279</f>
        <v>LATER</v>
      </c>
      <c r="T279" t="str">
        <f t="shared" ref="T279:T342" si="76">B279</f>
        <v>SainteLague</v>
      </c>
      <c r="U279">
        <f t="shared" si="64"/>
        <v>278</v>
      </c>
      <c r="V279">
        <f t="shared" ref="V279:V342" si="77">D279</f>
        <v>51052</v>
      </c>
      <c r="W279" s="8" t="str">
        <f>VLOOKUP(V279,'ideas-input'!$A:$B,2,FALSE)</f>
        <v>NIS2 - Implementação de remediações (PT) - Gestão de Ativos</v>
      </c>
      <c r="X279" t="str">
        <f t="shared" si="66"/>
        <v>CISO</v>
      </c>
      <c r="Y279" s="8" t="str">
        <f>VLOOKUP(V279,'ideas-input'!$A:$D,4,FALSE)</f>
        <v>Mail</v>
      </c>
      <c r="Z279" t="str">
        <f t="shared" si="67"/>
        <v>CISO</v>
      </c>
      <c r="AA279" t="str">
        <f t="shared" si="68"/>
        <v>Backlog</v>
      </c>
      <c r="AB279">
        <f t="shared" si="69"/>
        <v>7</v>
      </c>
      <c r="AC279">
        <f t="shared" si="70"/>
        <v>0.03</v>
      </c>
      <c r="AD279">
        <f t="shared" si="71"/>
        <v>1</v>
      </c>
      <c r="AE279">
        <f t="shared" si="72"/>
        <v>1</v>
      </c>
      <c r="AF279">
        <f t="shared" si="73"/>
        <v>1</v>
      </c>
      <c r="AG279">
        <f t="shared" si="74"/>
        <v>100</v>
      </c>
    </row>
    <row r="280" spans="1:33" x14ac:dyDescent="0.2">
      <c r="A280" t="s">
        <v>127</v>
      </c>
      <c r="B280" t="s">
        <v>128</v>
      </c>
      <c r="C280">
        <v>279</v>
      </c>
      <c r="D280">
        <v>65922</v>
      </c>
      <c r="E280" t="s">
        <v>1123</v>
      </c>
      <c r="F280" t="s">
        <v>64</v>
      </c>
      <c r="G280" t="s">
        <v>10</v>
      </c>
      <c r="H280" t="s">
        <v>6</v>
      </c>
      <c r="I280" t="s">
        <v>91</v>
      </c>
      <c r="J280">
        <v>39</v>
      </c>
      <c r="K280">
        <v>0.03</v>
      </c>
      <c r="L280">
        <v>1</v>
      </c>
      <c r="M280">
        <v>1</v>
      </c>
      <c r="N280">
        <v>1</v>
      </c>
      <c r="O280">
        <v>100</v>
      </c>
      <c r="P280" t="b">
        <f t="shared" si="65"/>
        <v>0</v>
      </c>
      <c r="S280" t="str">
        <f t="shared" si="75"/>
        <v>LATER</v>
      </c>
      <c r="T280" t="str">
        <f t="shared" si="76"/>
        <v>SainteLague</v>
      </c>
      <c r="U280">
        <f t="shared" si="64"/>
        <v>279</v>
      </c>
      <c r="V280">
        <f t="shared" si="77"/>
        <v>65922</v>
      </c>
      <c r="W280" s="8" t="str">
        <f>VLOOKUP(V280,'ideas-input'!$A:$B,2,FALSE)</f>
        <v>Evolución portal de Arrastres V.2</v>
      </c>
      <c r="X280" t="str">
        <f t="shared" si="66"/>
        <v>COO</v>
      </c>
      <c r="Y280" s="8" t="str">
        <f>VLOOKUP(V280,'ideas-input'!$A:$D,4,FALSE)</f>
        <v>eCommerce</v>
      </c>
      <c r="Z280" t="str">
        <f t="shared" si="67"/>
        <v>Operations</v>
      </c>
      <c r="AA280" t="str">
        <f t="shared" si="68"/>
        <v>Backlog</v>
      </c>
      <c r="AB280">
        <f t="shared" si="69"/>
        <v>39</v>
      </c>
      <c r="AC280">
        <f t="shared" si="70"/>
        <v>0.03</v>
      </c>
      <c r="AD280">
        <f t="shared" si="71"/>
        <v>1</v>
      </c>
      <c r="AE280">
        <f t="shared" si="72"/>
        <v>1</v>
      </c>
      <c r="AF280">
        <f t="shared" si="73"/>
        <v>1</v>
      </c>
      <c r="AG280">
        <f t="shared" si="74"/>
        <v>100</v>
      </c>
    </row>
    <row r="281" spans="1:33" x14ac:dyDescent="0.2">
      <c r="A281" t="s">
        <v>127</v>
      </c>
      <c r="B281" t="s">
        <v>128</v>
      </c>
      <c r="C281">
        <v>280</v>
      </c>
      <c r="D281">
        <v>59177</v>
      </c>
      <c r="E281" t="s">
        <v>222</v>
      </c>
      <c r="F281" t="s">
        <v>22</v>
      </c>
      <c r="G281" t="s">
        <v>379</v>
      </c>
      <c r="H281" t="s">
        <v>12</v>
      </c>
      <c r="I281" t="s">
        <v>91</v>
      </c>
      <c r="J281">
        <v>5</v>
      </c>
      <c r="K281">
        <v>0.03</v>
      </c>
      <c r="L281">
        <v>1</v>
      </c>
      <c r="M281">
        <v>1</v>
      </c>
      <c r="N281">
        <v>1</v>
      </c>
      <c r="O281">
        <v>100</v>
      </c>
      <c r="P281" t="b">
        <f t="shared" si="65"/>
        <v>0</v>
      </c>
      <c r="S281" t="str">
        <f t="shared" si="75"/>
        <v>LATER</v>
      </c>
      <c r="T281" t="str">
        <f t="shared" si="76"/>
        <v>SainteLague</v>
      </c>
      <c r="U281">
        <f t="shared" si="64"/>
        <v>280</v>
      </c>
      <c r="V281">
        <f t="shared" si="77"/>
        <v>59177</v>
      </c>
      <c r="W281" s="8" t="str">
        <f>VLOOKUP(V281,'ideas-input'!$A:$B,2,FALSE)</f>
        <v>Faturas PDF | SAP - Incremento 2</v>
      </c>
      <c r="X281" t="str">
        <f t="shared" si="66"/>
        <v>CF</v>
      </c>
      <c r="Y281" s="8" t="str">
        <f>VLOOKUP(V281,'ideas-input'!$A:$D,4,FALSE)</f>
        <v>Mail</v>
      </c>
      <c r="Z281" t="str">
        <f t="shared" si="67"/>
        <v>Corporate</v>
      </c>
      <c r="AA281" t="str">
        <f t="shared" si="68"/>
        <v>Backlog</v>
      </c>
      <c r="AB281">
        <f t="shared" si="69"/>
        <v>5</v>
      </c>
      <c r="AC281">
        <f t="shared" si="70"/>
        <v>0.03</v>
      </c>
      <c r="AD281">
        <f t="shared" si="71"/>
        <v>1</v>
      </c>
      <c r="AE281">
        <f t="shared" si="72"/>
        <v>1</v>
      </c>
      <c r="AF281">
        <f t="shared" si="73"/>
        <v>1</v>
      </c>
      <c r="AG281">
        <f t="shared" si="74"/>
        <v>100</v>
      </c>
    </row>
    <row r="282" spans="1:33" x14ac:dyDescent="0.2">
      <c r="A282" t="s">
        <v>127</v>
      </c>
      <c r="B282" t="s">
        <v>128</v>
      </c>
      <c r="C282">
        <v>281</v>
      </c>
      <c r="D282">
        <v>50204</v>
      </c>
      <c r="E282" t="s">
        <v>190</v>
      </c>
      <c r="F282" t="s">
        <v>67</v>
      </c>
      <c r="G282" t="s">
        <v>10</v>
      </c>
      <c r="H282" t="s">
        <v>12</v>
      </c>
      <c r="I282" t="s">
        <v>95</v>
      </c>
      <c r="J282">
        <v>13</v>
      </c>
      <c r="K282">
        <v>0.03</v>
      </c>
      <c r="L282">
        <v>1</v>
      </c>
      <c r="M282">
        <v>1</v>
      </c>
      <c r="N282">
        <v>1</v>
      </c>
      <c r="O282">
        <v>100</v>
      </c>
      <c r="P282" t="b">
        <f t="shared" si="65"/>
        <v>0</v>
      </c>
      <c r="S282" t="str">
        <f t="shared" si="75"/>
        <v>LATER</v>
      </c>
      <c r="T282" t="str">
        <f t="shared" si="76"/>
        <v>SainteLague</v>
      </c>
      <c r="U282">
        <f t="shared" ref="U282:U345" si="78">C282</f>
        <v>281</v>
      </c>
      <c r="V282">
        <f t="shared" si="77"/>
        <v>50204</v>
      </c>
      <c r="W282" s="8" t="str">
        <f>VLOOKUP(V282,'ideas-input'!$A:$B,2,FALSE)</f>
        <v>[Portal del Proveedor] Nuevas funcionalidades - Bloqueo Repartidor Seguridad</v>
      </c>
      <c r="X282" t="str">
        <f t="shared" si="66"/>
        <v>ATC</v>
      </c>
      <c r="Y282" s="8" t="str">
        <f>VLOOKUP(V282,'ideas-input'!$A:$D,4,FALSE)</f>
        <v>eCommerce</v>
      </c>
      <c r="Z282" t="str">
        <f t="shared" si="67"/>
        <v>Corporate</v>
      </c>
      <c r="AA282" t="str">
        <f t="shared" si="68"/>
        <v>In Definition</v>
      </c>
      <c r="AB282">
        <f t="shared" si="69"/>
        <v>13</v>
      </c>
      <c r="AC282">
        <f t="shared" si="70"/>
        <v>0.03</v>
      </c>
      <c r="AD282">
        <f t="shared" si="71"/>
        <v>1</v>
      </c>
      <c r="AE282">
        <f t="shared" si="72"/>
        <v>1</v>
      </c>
      <c r="AF282">
        <f t="shared" si="73"/>
        <v>1</v>
      </c>
      <c r="AG282">
        <f t="shared" si="74"/>
        <v>100</v>
      </c>
    </row>
    <row r="283" spans="1:33" x14ac:dyDescent="0.2">
      <c r="A283" t="s">
        <v>127</v>
      </c>
      <c r="B283" t="s">
        <v>128</v>
      </c>
      <c r="C283">
        <v>282</v>
      </c>
      <c r="D283">
        <v>71073</v>
      </c>
      <c r="E283" t="s">
        <v>1026</v>
      </c>
      <c r="F283" t="s">
        <v>34</v>
      </c>
      <c r="G283" t="s">
        <v>379</v>
      </c>
      <c r="H283" t="s">
        <v>8</v>
      </c>
      <c r="I283" t="s">
        <v>91</v>
      </c>
      <c r="J283">
        <v>5</v>
      </c>
      <c r="K283">
        <v>6</v>
      </c>
      <c r="L283">
        <v>3</v>
      </c>
      <c r="M283">
        <v>1</v>
      </c>
      <c r="N283">
        <v>2</v>
      </c>
      <c r="O283">
        <v>1</v>
      </c>
      <c r="P283" t="b">
        <f t="shared" si="65"/>
        <v>0</v>
      </c>
      <c r="S283" t="str">
        <f t="shared" si="75"/>
        <v>LATER</v>
      </c>
      <c r="T283" t="str">
        <f t="shared" si="76"/>
        <v>SainteLague</v>
      </c>
      <c r="U283">
        <f t="shared" si="78"/>
        <v>282</v>
      </c>
      <c r="V283">
        <f t="shared" si="77"/>
        <v>71073</v>
      </c>
      <c r="W283" s="8" t="str">
        <f>VLOOKUP(V283,'ideas-input'!$A:$B,2,FALSE)</f>
        <v>Lojas com necessidade de 2 máquinas dispensadoras de senhas</v>
      </c>
      <c r="X283" t="str">
        <f t="shared" si="66"/>
        <v>BCTT</v>
      </c>
      <c r="Y283" s="8" t="str">
        <f>VLOOKUP(V283,'ideas-input'!$A:$D,4,FALSE)</f>
        <v>Mail</v>
      </c>
      <c r="Z283" t="str">
        <f t="shared" si="67"/>
        <v>Technology</v>
      </c>
      <c r="AA283" t="str">
        <f t="shared" si="68"/>
        <v>Backlog</v>
      </c>
      <c r="AB283">
        <f t="shared" si="69"/>
        <v>5</v>
      </c>
      <c r="AC283">
        <f t="shared" si="70"/>
        <v>6</v>
      </c>
      <c r="AD283">
        <f t="shared" si="71"/>
        <v>3</v>
      </c>
      <c r="AE283">
        <f t="shared" si="72"/>
        <v>1</v>
      </c>
      <c r="AF283">
        <f t="shared" si="73"/>
        <v>2</v>
      </c>
      <c r="AG283">
        <f t="shared" si="74"/>
        <v>1</v>
      </c>
    </row>
    <row r="284" spans="1:33" x14ac:dyDescent="0.2">
      <c r="A284" t="s">
        <v>127</v>
      </c>
      <c r="B284" t="s">
        <v>128</v>
      </c>
      <c r="C284">
        <v>283</v>
      </c>
      <c r="D284">
        <v>44431</v>
      </c>
      <c r="E284" t="s">
        <v>1090</v>
      </c>
      <c r="F284" t="s">
        <v>70</v>
      </c>
      <c r="G284" t="s">
        <v>10</v>
      </c>
      <c r="H284" t="s">
        <v>8</v>
      </c>
      <c r="I284" t="s">
        <v>95</v>
      </c>
      <c r="J284">
        <v>29</v>
      </c>
      <c r="K284">
        <v>0.03</v>
      </c>
      <c r="L284">
        <v>1</v>
      </c>
      <c r="M284">
        <v>1</v>
      </c>
      <c r="N284">
        <v>1</v>
      </c>
      <c r="O284">
        <v>100</v>
      </c>
      <c r="P284" t="b">
        <f t="shared" si="65"/>
        <v>0</v>
      </c>
      <c r="S284" t="str">
        <f t="shared" si="75"/>
        <v>LATER</v>
      </c>
      <c r="T284" t="str">
        <f t="shared" si="76"/>
        <v>SainteLague</v>
      </c>
      <c r="U284">
        <f t="shared" si="78"/>
        <v>283</v>
      </c>
      <c r="V284">
        <f t="shared" si="77"/>
        <v>44431</v>
      </c>
      <c r="W284" s="8" t="str">
        <f>VLOOKUP(V284,'ideas-input'!$A:$B,2,FALSE)</f>
        <v>[Desconexión SGC] Qlik - Migración App Analítica Comercial - Cloud</v>
      </c>
      <c r="X284" t="str">
        <f t="shared" si="66"/>
        <v>CIO</v>
      </c>
      <c r="Y284" s="8" t="str">
        <f>VLOOKUP(V284,'ideas-input'!$A:$D,4,FALSE)</f>
        <v>eCommerce</v>
      </c>
      <c r="Z284" t="str">
        <f t="shared" si="67"/>
        <v>Technology</v>
      </c>
      <c r="AA284" t="str">
        <f t="shared" si="68"/>
        <v>In Definition</v>
      </c>
      <c r="AB284">
        <f t="shared" si="69"/>
        <v>29</v>
      </c>
      <c r="AC284">
        <f t="shared" si="70"/>
        <v>0.03</v>
      </c>
      <c r="AD284">
        <f t="shared" si="71"/>
        <v>1</v>
      </c>
      <c r="AE284">
        <f t="shared" si="72"/>
        <v>1</v>
      </c>
      <c r="AF284">
        <f t="shared" si="73"/>
        <v>1</v>
      </c>
      <c r="AG284">
        <f t="shared" si="74"/>
        <v>100</v>
      </c>
    </row>
    <row r="285" spans="1:33" x14ac:dyDescent="0.2">
      <c r="A285" t="s">
        <v>127</v>
      </c>
      <c r="B285" t="s">
        <v>128</v>
      </c>
      <c r="C285">
        <v>284</v>
      </c>
      <c r="D285">
        <v>148011</v>
      </c>
      <c r="E285" t="s">
        <v>1126</v>
      </c>
      <c r="F285" t="s">
        <v>38</v>
      </c>
      <c r="G285" t="s">
        <v>379</v>
      </c>
      <c r="H285" t="s">
        <v>5</v>
      </c>
      <c r="I285" t="s">
        <v>95</v>
      </c>
      <c r="J285">
        <v>4</v>
      </c>
      <c r="K285">
        <v>0.03</v>
      </c>
      <c r="L285">
        <v>1</v>
      </c>
      <c r="M285">
        <v>1</v>
      </c>
      <c r="N285">
        <v>1</v>
      </c>
      <c r="O285">
        <v>100</v>
      </c>
      <c r="P285" t="b">
        <f t="shared" si="65"/>
        <v>0</v>
      </c>
      <c r="S285" t="str">
        <f t="shared" si="75"/>
        <v>LATER</v>
      </c>
      <c r="T285" t="str">
        <f t="shared" si="76"/>
        <v>SainteLague</v>
      </c>
      <c r="U285">
        <f t="shared" si="78"/>
        <v>284</v>
      </c>
      <c r="V285">
        <f t="shared" si="77"/>
        <v>148011</v>
      </c>
      <c r="W285" s="8" t="str">
        <f>VLOOKUP(V285,'ideas-input'!$A:$B,2,FALSE)</f>
        <v>CTT Sol. Empresariais - GSB2B/BFT_Melhorias ao Processo de Faturação</v>
      </c>
      <c r="X285" t="str">
        <f t="shared" si="66"/>
        <v>CSI</v>
      </c>
      <c r="Y285" s="8" t="str">
        <f>VLOOKUP(V285,'ideas-input'!$A:$D,4,FALSE)</f>
        <v>Mail</v>
      </c>
      <c r="Z285" t="str">
        <f t="shared" si="67"/>
        <v>Commercial</v>
      </c>
      <c r="AA285" t="str">
        <f t="shared" si="68"/>
        <v>In Definition</v>
      </c>
      <c r="AB285">
        <f t="shared" si="69"/>
        <v>4</v>
      </c>
      <c r="AC285">
        <f t="shared" si="70"/>
        <v>0.03</v>
      </c>
      <c r="AD285">
        <f t="shared" si="71"/>
        <v>1</v>
      </c>
      <c r="AE285">
        <f t="shared" si="72"/>
        <v>1</v>
      </c>
      <c r="AF285">
        <f t="shared" si="73"/>
        <v>1</v>
      </c>
      <c r="AG285">
        <f t="shared" si="74"/>
        <v>100</v>
      </c>
    </row>
    <row r="286" spans="1:33" x14ac:dyDescent="0.2">
      <c r="A286" t="s">
        <v>127</v>
      </c>
      <c r="B286" t="s">
        <v>128</v>
      </c>
      <c r="C286">
        <v>285</v>
      </c>
      <c r="D286">
        <v>52618</v>
      </c>
      <c r="E286" t="s">
        <v>1127</v>
      </c>
      <c r="F286" t="s">
        <v>68</v>
      </c>
      <c r="G286" t="s">
        <v>10</v>
      </c>
      <c r="H286" t="s">
        <v>5</v>
      </c>
      <c r="I286" t="s">
        <v>95</v>
      </c>
      <c r="J286">
        <v>10</v>
      </c>
      <c r="K286">
        <v>0.03</v>
      </c>
      <c r="L286">
        <v>1</v>
      </c>
      <c r="M286">
        <v>1</v>
      </c>
      <c r="N286">
        <v>1</v>
      </c>
      <c r="O286">
        <v>100</v>
      </c>
      <c r="P286" t="b">
        <f t="shared" si="65"/>
        <v>0</v>
      </c>
      <c r="S286" t="str">
        <f t="shared" si="75"/>
        <v>LATER</v>
      </c>
      <c r="T286" t="str">
        <f t="shared" si="76"/>
        <v>SainteLague</v>
      </c>
      <c r="U286">
        <f t="shared" si="78"/>
        <v>285</v>
      </c>
      <c r="V286">
        <f t="shared" si="77"/>
        <v>52618</v>
      </c>
      <c r="W286" s="8" t="str">
        <f>VLOOKUP(V286,'ideas-input'!$A:$B,2,FALSE)</f>
        <v>Cliente SALVADOR ESCODA SAT - Modificación Mapper</v>
      </c>
      <c r="X286" t="str">
        <f t="shared" si="66"/>
        <v>IDC</v>
      </c>
      <c r="Y286" s="8" t="str">
        <f>VLOOKUP(V286,'ideas-input'!$A:$D,4,FALSE)</f>
        <v>eCommerce</v>
      </c>
      <c r="Z286" t="str">
        <f t="shared" si="67"/>
        <v>Commercial</v>
      </c>
      <c r="AA286" t="str">
        <f t="shared" si="68"/>
        <v>In Definition</v>
      </c>
      <c r="AB286">
        <f t="shared" si="69"/>
        <v>10</v>
      </c>
      <c r="AC286">
        <f t="shared" si="70"/>
        <v>0.03</v>
      </c>
      <c r="AD286">
        <f t="shared" si="71"/>
        <v>1</v>
      </c>
      <c r="AE286">
        <f t="shared" si="72"/>
        <v>1</v>
      </c>
      <c r="AF286">
        <f t="shared" si="73"/>
        <v>1</v>
      </c>
      <c r="AG286">
        <f t="shared" si="74"/>
        <v>100</v>
      </c>
    </row>
    <row r="287" spans="1:33" x14ac:dyDescent="0.2">
      <c r="A287" t="s">
        <v>127</v>
      </c>
      <c r="B287" t="s">
        <v>128</v>
      </c>
      <c r="C287">
        <v>286</v>
      </c>
      <c r="D287">
        <v>58934</v>
      </c>
      <c r="E287" t="s">
        <v>1103</v>
      </c>
      <c r="F287" t="s">
        <v>45</v>
      </c>
      <c r="G287" t="s">
        <v>379</v>
      </c>
      <c r="H287" t="s">
        <v>12</v>
      </c>
      <c r="I287" t="s">
        <v>95</v>
      </c>
      <c r="J287">
        <v>5</v>
      </c>
      <c r="K287">
        <v>0.03</v>
      </c>
      <c r="L287">
        <v>1</v>
      </c>
      <c r="M287">
        <v>1</v>
      </c>
      <c r="N287">
        <v>1</v>
      </c>
      <c r="O287">
        <v>100</v>
      </c>
      <c r="P287" t="b">
        <f t="shared" si="65"/>
        <v>0</v>
      </c>
      <c r="S287" t="str">
        <f t="shared" si="75"/>
        <v>LATER</v>
      </c>
      <c r="T287" t="str">
        <f t="shared" si="76"/>
        <v>SainteLague</v>
      </c>
      <c r="U287">
        <f t="shared" si="78"/>
        <v>286</v>
      </c>
      <c r="V287">
        <f t="shared" si="77"/>
        <v>58934</v>
      </c>
      <c r="W287" s="8" t="str">
        <f>VLOOKUP(V287,'ideas-input'!$A:$B,2,FALSE)</f>
        <v>Solução de Gestão de Viagens</v>
      </c>
      <c r="X287" t="str">
        <f t="shared" si="66"/>
        <v>RS</v>
      </c>
      <c r="Y287" s="8" t="str">
        <f>VLOOKUP(V287,'ideas-input'!$A:$D,4,FALSE)</f>
        <v>Mail</v>
      </c>
      <c r="Z287" t="str">
        <f t="shared" si="67"/>
        <v>Corporate</v>
      </c>
      <c r="AA287" t="str">
        <f t="shared" si="68"/>
        <v>In Definition</v>
      </c>
      <c r="AB287">
        <f t="shared" si="69"/>
        <v>5</v>
      </c>
      <c r="AC287">
        <f t="shared" si="70"/>
        <v>0.03</v>
      </c>
      <c r="AD287">
        <f t="shared" si="71"/>
        <v>1</v>
      </c>
      <c r="AE287">
        <f t="shared" si="72"/>
        <v>1</v>
      </c>
      <c r="AF287">
        <f t="shared" si="73"/>
        <v>1</v>
      </c>
      <c r="AG287">
        <f t="shared" si="74"/>
        <v>100</v>
      </c>
    </row>
    <row r="288" spans="1:33" x14ac:dyDescent="0.2">
      <c r="A288" t="s">
        <v>127</v>
      </c>
      <c r="B288" t="s">
        <v>128</v>
      </c>
      <c r="C288">
        <v>287</v>
      </c>
      <c r="D288">
        <v>136127</v>
      </c>
      <c r="E288" t="s">
        <v>1128</v>
      </c>
      <c r="F288" t="s">
        <v>64</v>
      </c>
      <c r="G288" t="s">
        <v>10</v>
      </c>
      <c r="H288" t="s">
        <v>6</v>
      </c>
      <c r="I288" t="s">
        <v>95</v>
      </c>
      <c r="J288">
        <v>41</v>
      </c>
      <c r="K288">
        <v>5</v>
      </c>
      <c r="L288">
        <v>2</v>
      </c>
      <c r="M288">
        <v>2</v>
      </c>
      <c r="N288">
        <v>1</v>
      </c>
      <c r="O288">
        <v>1</v>
      </c>
      <c r="P288" t="b">
        <f t="shared" si="65"/>
        <v>0</v>
      </c>
      <c r="S288" t="str">
        <f t="shared" si="75"/>
        <v>LATER</v>
      </c>
      <c r="T288" t="str">
        <f t="shared" si="76"/>
        <v>SainteLague</v>
      </c>
      <c r="U288">
        <f t="shared" si="78"/>
        <v>287</v>
      </c>
      <c r="V288">
        <f t="shared" si="77"/>
        <v>136127</v>
      </c>
      <c r="W288" s="8" t="str">
        <f>VLOOKUP(V288,'ideas-input'!$A:$B,2,FALSE)</f>
        <v>Reactivar recursos al iniciar la ruta (Vehículos-Conductores)</v>
      </c>
      <c r="X288" t="str">
        <f t="shared" si="66"/>
        <v>COO</v>
      </c>
      <c r="Y288" s="8" t="str">
        <f>VLOOKUP(V288,'ideas-input'!$A:$D,4,FALSE)</f>
        <v>eCommerce</v>
      </c>
      <c r="Z288" t="str">
        <f t="shared" si="67"/>
        <v>Operations</v>
      </c>
      <c r="AA288" t="str">
        <f t="shared" si="68"/>
        <v>In Definition</v>
      </c>
      <c r="AB288">
        <f t="shared" si="69"/>
        <v>41</v>
      </c>
      <c r="AC288">
        <f t="shared" si="70"/>
        <v>5</v>
      </c>
      <c r="AD288">
        <f t="shared" si="71"/>
        <v>2</v>
      </c>
      <c r="AE288">
        <f t="shared" si="72"/>
        <v>2</v>
      </c>
      <c r="AF288">
        <f t="shared" si="73"/>
        <v>1</v>
      </c>
      <c r="AG288">
        <f t="shared" si="74"/>
        <v>1</v>
      </c>
    </row>
    <row r="289" spans="1:33" x14ac:dyDescent="0.2">
      <c r="A289" t="s">
        <v>127</v>
      </c>
      <c r="B289" t="s">
        <v>128</v>
      </c>
      <c r="C289">
        <v>288</v>
      </c>
      <c r="D289">
        <v>126023</v>
      </c>
      <c r="E289" t="s">
        <v>1105</v>
      </c>
      <c r="F289" t="s">
        <v>58</v>
      </c>
      <c r="G289" t="s">
        <v>379</v>
      </c>
      <c r="H289" t="s">
        <v>8</v>
      </c>
      <c r="I289" t="s">
        <v>95</v>
      </c>
      <c r="J289">
        <v>5</v>
      </c>
      <c r="K289">
        <v>0.04</v>
      </c>
      <c r="L289">
        <v>1</v>
      </c>
      <c r="M289">
        <v>2</v>
      </c>
      <c r="N289">
        <v>1</v>
      </c>
      <c r="O289">
        <v>100</v>
      </c>
      <c r="P289" t="b">
        <f t="shared" si="65"/>
        <v>0</v>
      </c>
      <c r="S289" t="str">
        <f t="shared" si="75"/>
        <v>LATER</v>
      </c>
      <c r="T289" t="str">
        <f t="shared" si="76"/>
        <v>SainteLague</v>
      </c>
      <c r="U289">
        <f t="shared" si="78"/>
        <v>288</v>
      </c>
      <c r="V289">
        <f t="shared" si="77"/>
        <v>126023</v>
      </c>
      <c r="W289" s="8" t="str">
        <f>VLOOKUP(V289,'ideas-input'!$A:$B,2,FALSE)</f>
        <v>Melhorias ao processo de envio de comunicações da Zurich</v>
      </c>
      <c r="X289" t="str">
        <f t="shared" si="66"/>
        <v>SI-PRD</v>
      </c>
      <c r="Y289" s="8" t="str">
        <f>VLOOKUP(V289,'ideas-input'!$A:$D,4,FALSE)</f>
        <v>Business Solutions</v>
      </c>
      <c r="Z289" t="str">
        <f t="shared" si="67"/>
        <v>Technology</v>
      </c>
      <c r="AA289" t="str">
        <f t="shared" si="68"/>
        <v>In Definition</v>
      </c>
      <c r="AB289">
        <f t="shared" si="69"/>
        <v>5</v>
      </c>
      <c r="AC289">
        <f t="shared" si="70"/>
        <v>0.04</v>
      </c>
      <c r="AD289">
        <f t="shared" si="71"/>
        <v>1</v>
      </c>
      <c r="AE289">
        <f t="shared" si="72"/>
        <v>2</v>
      </c>
      <c r="AF289">
        <f t="shared" si="73"/>
        <v>1</v>
      </c>
      <c r="AG289">
        <f t="shared" si="74"/>
        <v>100</v>
      </c>
    </row>
    <row r="290" spans="1:33" x14ac:dyDescent="0.2">
      <c r="A290" t="s">
        <v>127</v>
      </c>
      <c r="B290" t="s">
        <v>128</v>
      </c>
      <c r="C290">
        <v>289</v>
      </c>
      <c r="D290">
        <v>43549</v>
      </c>
      <c r="E290" t="s">
        <v>193</v>
      </c>
      <c r="F290" t="s">
        <v>69</v>
      </c>
      <c r="G290" t="s">
        <v>10</v>
      </c>
      <c r="H290" t="s">
        <v>12</v>
      </c>
      <c r="I290" t="s">
        <v>97</v>
      </c>
      <c r="J290">
        <v>12</v>
      </c>
      <c r="K290">
        <v>0.03</v>
      </c>
      <c r="L290">
        <v>1</v>
      </c>
      <c r="M290">
        <v>1</v>
      </c>
      <c r="N290">
        <v>1</v>
      </c>
      <c r="O290">
        <v>100</v>
      </c>
      <c r="P290" t="b">
        <f t="shared" si="65"/>
        <v>0</v>
      </c>
      <c r="S290" t="str">
        <f t="shared" si="75"/>
        <v>LATER</v>
      </c>
      <c r="T290" t="str">
        <f t="shared" si="76"/>
        <v>SainteLague</v>
      </c>
      <c r="U290">
        <f t="shared" si="78"/>
        <v>289</v>
      </c>
      <c r="V290">
        <f t="shared" si="77"/>
        <v>43549</v>
      </c>
      <c r="W290" s="8" t="str">
        <f>VLOOKUP(V290,'ideas-input'!$A:$B,2,FALSE)</f>
        <v>[Evolutivos SGC Finanzas] Asignar de manera masiva el cliente master al campo grupo de procesamiento en Modulo de facturacion</v>
      </c>
      <c r="X290" t="str">
        <f t="shared" si="66"/>
        <v>CFO</v>
      </c>
      <c r="Y290" s="8" t="str">
        <f>VLOOKUP(V290,'ideas-input'!$A:$D,4,FALSE)</f>
        <v>eCommerce</v>
      </c>
      <c r="Z290" t="str">
        <f t="shared" si="67"/>
        <v>Corporate</v>
      </c>
      <c r="AA290" t="str">
        <f t="shared" si="68"/>
        <v>Ready for Solution</v>
      </c>
      <c r="AB290">
        <f t="shared" si="69"/>
        <v>12</v>
      </c>
      <c r="AC290">
        <f t="shared" si="70"/>
        <v>0.03</v>
      </c>
      <c r="AD290">
        <f t="shared" si="71"/>
        <v>1</v>
      </c>
      <c r="AE290">
        <f t="shared" si="72"/>
        <v>1</v>
      </c>
      <c r="AF290">
        <f t="shared" si="73"/>
        <v>1</v>
      </c>
      <c r="AG290">
        <f t="shared" si="74"/>
        <v>100</v>
      </c>
    </row>
    <row r="291" spans="1:33" x14ac:dyDescent="0.2">
      <c r="A291" t="s">
        <v>127</v>
      </c>
      <c r="B291" t="s">
        <v>128</v>
      </c>
      <c r="C291">
        <v>290</v>
      </c>
      <c r="D291">
        <v>120972</v>
      </c>
      <c r="E291" t="s">
        <v>131</v>
      </c>
      <c r="F291" t="s">
        <v>37</v>
      </c>
      <c r="G291" t="s">
        <v>379</v>
      </c>
      <c r="H291" t="s">
        <v>5</v>
      </c>
      <c r="I291" t="s">
        <v>97</v>
      </c>
      <c r="J291">
        <v>5</v>
      </c>
      <c r="K291">
        <v>0.03</v>
      </c>
      <c r="L291">
        <v>1</v>
      </c>
      <c r="M291">
        <v>1</v>
      </c>
      <c r="N291">
        <v>1</v>
      </c>
      <c r="O291">
        <v>100</v>
      </c>
      <c r="P291" t="b">
        <f t="shared" si="65"/>
        <v>0</v>
      </c>
      <c r="S291" t="str">
        <f t="shared" si="75"/>
        <v>LATER</v>
      </c>
      <c r="T291" t="str">
        <f t="shared" si="76"/>
        <v>SainteLague</v>
      </c>
      <c r="U291">
        <f t="shared" si="78"/>
        <v>290</v>
      </c>
      <c r="V291">
        <f t="shared" si="77"/>
        <v>120972</v>
      </c>
      <c r="W291" s="8" t="str">
        <f>VLOOKUP(V291,'ideas-input'!$A:$B,2,FALSE)</f>
        <v>Cliente EDP - WS P&amp;F- Novo Campo Data</v>
      </c>
      <c r="X291" t="str">
        <f t="shared" si="66"/>
        <v>GS</v>
      </c>
      <c r="Y291" s="8" t="str">
        <f>VLOOKUP(V291,'ideas-input'!$A:$D,4,FALSE)</f>
        <v>Business Solutions</v>
      </c>
      <c r="Z291" t="str">
        <f t="shared" si="67"/>
        <v>Commercial</v>
      </c>
      <c r="AA291" t="str">
        <f t="shared" si="68"/>
        <v>Ready for Solution</v>
      </c>
      <c r="AB291">
        <f t="shared" si="69"/>
        <v>5</v>
      </c>
      <c r="AC291">
        <f t="shared" si="70"/>
        <v>0.03</v>
      </c>
      <c r="AD291">
        <f t="shared" si="71"/>
        <v>1</v>
      </c>
      <c r="AE291">
        <f t="shared" si="72"/>
        <v>1</v>
      </c>
      <c r="AF291">
        <f t="shared" si="73"/>
        <v>1</v>
      </c>
      <c r="AG291">
        <f t="shared" si="74"/>
        <v>100</v>
      </c>
    </row>
    <row r="292" spans="1:33" x14ac:dyDescent="0.2">
      <c r="A292" t="s">
        <v>127</v>
      </c>
      <c r="B292" t="s">
        <v>128</v>
      </c>
      <c r="C292">
        <v>291</v>
      </c>
      <c r="D292">
        <v>52039</v>
      </c>
      <c r="E292" t="s">
        <v>1094</v>
      </c>
      <c r="F292" t="s">
        <v>70</v>
      </c>
      <c r="G292" t="s">
        <v>10</v>
      </c>
      <c r="H292" t="s">
        <v>8</v>
      </c>
      <c r="I292" t="s">
        <v>91</v>
      </c>
      <c r="J292">
        <v>30</v>
      </c>
      <c r="K292">
        <v>0.03</v>
      </c>
      <c r="L292">
        <v>1</v>
      </c>
      <c r="M292">
        <v>1</v>
      </c>
      <c r="N292">
        <v>1</v>
      </c>
      <c r="O292">
        <v>100</v>
      </c>
      <c r="P292" t="b">
        <f t="shared" si="65"/>
        <v>0</v>
      </c>
      <c r="S292" t="str">
        <f t="shared" si="75"/>
        <v>LATER</v>
      </c>
      <c r="T292" t="str">
        <f t="shared" si="76"/>
        <v>SainteLague</v>
      </c>
      <c r="U292">
        <f t="shared" si="78"/>
        <v>291</v>
      </c>
      <c r="V292">
        <f t="shared" si="77"/>
        <v>52039</v>
      </c>
      <c r="W292" s="8" t="str">
        <f>VLOOKUP(V292,'ideas-input'!$A:$B,2,FALSE)</f>
        <v>[Auditoria PT] Garantizar ejecución de fase de pruebas antes y después de implantar nuevos desarrollos</v>
      </c>
      <c r="X292" t="str">
        <f t="shared" si="66"/>
        <v>CIO</v>
      </c>
      <c r="Y292" s="8" t="str">
        <f>VLOOKUP(V292,'ideas-input'!$A:$D,4,FALSE)</f>
        <v>eCommerce</v>
      </c>
      <c r="Z292" t="str">
        <f t="shared" si="67"/>
        <v>Technology</v>
      </c>
      <c r="AA292" t="str">
        <f t="shared" si="68"/>
        <v>Backlog</v>
      </c>
      <c r="AB292">
        <f t="shared" si="69"/>
        <v>30</v>
      </c>
      <c r="AC292">
        <f t="shared" si="70"/>
        <v>0.03</v>
      </c>
      <c r="AD292">
        <f t="shared" si="71"/>
        <v>1</v>
      </c>
      <c r="AE292">
        <f t="shared" si="72"/>
        <v>1</v>
      </c>
      <c r="AF292">
        <f t="shared" si="73"/>
        <v>1</v>
      </c>
      <c r="AG292">
        <f t="shared" si="74"/>
        <v>100</v>
      </c>
    </row>
    <row r="293" spans="1:33" x14ac:dyDescent="0.2">
      <c r="A293" t="s">
        <v>127</v>
      </c>
      <c r="B293" t="s">
        <v>128</v>
      </c>
      <c r="C293">
        <v>292</v>
      </c>
      <c r="D293">
        <v>76082</v>
      </c>
      <c r="E293" t="s">
        <v>1134</v>
      </c>
      <c r="F293" t="s">
        <v>25</v>
      </c>
      <c r="G293" t="s">
        <v>379</v>
      </c>
      <c r="H293" t="s">
        <v>5</v>
      </c>
      <c r="I293" t="s">
        <v>91</v>
      </c>
      <c r="J293">
        <v>4</v>
      </c>
      <c r="K293">
        <v>0.03</v>
      </c>
      <c r="L293">
        <v>1</v>
      </c>
      <c r="M293">
        <v>1</v>
      </c>
      <c r="N293">
        <v>1</v>
      </c>
      <c r="O293">
        <v>100</v>
      </c>
      <c r="P293" t="b">
        <f t="shared" si="65"/>
        <v>0</v>
      </c>
      <c r="S293" t="str">
        <f t="shared" si="75"/>
        <v>LATER</v>
      </c>
      <c r="T293" t="str">
        <f t="shared" si="76"/>
        <v>SainteLague</v>
      </c>
      <c r="U293">
        <f t="shared" si="78"/>
        <v>292</v>
      </c>
      <c r="V293">
        <f t="shared" si="77"/>
        <v>76082</v>
      </c>
      <c r="W293" s="8" t="str">
        <f>VLOOKUP(V293,'ideas-input'!$A:$B,2,FALSE)</f>
        <v>GP B2C – BO Site CTT - Simulador Certificados de Aforro / App CTT – Aforro Digital</v>
      </c>
      <c r="X293" t="str">
        <f t="shared" si="66"/>
        <v>GP B2C</v>
      </c>
      <c r="Y293" s="8" t="str">
        <f>VLOOKUP(V293,'ideas-input'!$A:$D,4,FALSE)</f>
        <v>Retail &amp; Financial Services</v>
      </c>
      <c r="Z293" t="str">
        <f t="shared" si="67"/>
        <v>Commercial</v>
      </c>
      <c r="AA293" t="str">
        <f t="shared" si="68"/>
        <v>Backlog</v>
      </c>
      <c r="AB293">
        <f t="shared" si="69"/>
        <v>4</v>
      </c>
      <c r="AC293">
        <f t="shared" si="70"/>
        <v>0.03</v>
      </c>
      <c r="AD293">
        <f t="shared" si="71"/>
        <v>1</v>
      </c>
      <c r="AE293">
        <f t="shared" si="72"/>
        <v>1</v>
      </c>
      <c r="AF293">
        <f t="shared" si="73"/>
        <v>1</v>
      </c>
      <c r="AG293">
        <f t="shared" si="74"/>
        <v>100</v>
      </c>
    </row>
    <row r="294" spans="1:33" x14ac:dyDescent="0.2">
      <c r="A294" t="s">
        <v>127</v>
      </c>
      <c r="B294" t="s">
        <v>128</v>
      </c>
      <c r="C294">
        <v>293</v>
      </c>
      <c r="D294">
        <v>55712</v>
      </c>
      <c r="E294" t="s">
        <v>189</v>
      </c>
      <c r="F294" t="s">
        <v>65</v>
      </c>
      <c r="G294" t="s">
        <v>10</v>
      </c>
      <c r="H294" t="s">
        <v>5</v>
      </c>
      <c r="I294" t="s">
        <v>97</v>
      </c>
      <c r="J294">
        <v>19</v>
      </c>
      <c r="K294">
        <v>0.03</v>
      </c>
      <c r="L294">
        <v>1</v>
      </c>
      <c r="M294">
        <v>1</v>
      </c>
      <c r="N294">
        <v>1</v>
      </c>
      <c r="O294">
        <v>100</v>
      </c>
      <c r="P294" t="b">
        <f t="shared" si="65"/>
        <v>0</v>
      </c>
      <c r="S294" t="str">
        <f t="shared" si="75"/>
        <v>LATER</v>
      </c>
      <c r="T294" t="str">
        <f t="shared" si="76"/>
        <v>SainteLague</v>
      </c>
      <c r="U294">
        <f t="shared" si="78"/>
        <v>293</v>
      </c>
      <c r="V294">
        <f t="shared" si="77"/>
        <v>55712</v>
      </c>
      <c r="W294" s="8" t="str">
        <f>VLOOKUP(V294,'ideas-input'!$A:$B,2,FALSE)</f>
        <v>[Nexus] [Producto] - Entregas Comerciales (Red Shopping)</v>
      </c>
      <c r="X294" t="str">
        <f t="shared" si="66"/>
        <v>CMO</v>
      </c>
      <c r="Y294" s="8" t="str">
        <f>VLOOKUP(V294,'ideas-input'!$A:$D,4,FALSE)</f>
        <v>eCommerce</v>
      </c>
      <c r="Z294" t="str">
        <f t="shared" si="67"/>
        <v>Commercial</v>
      </c>
      <c r="AA294" t="str">
        <f t="shared" si="68"/>
        <v>Ready for Solution</v>
      </c>
      <c r="AB294">
        <f t="shared" si="69"/>
        <v>19</v>
      </c>
      <c r="AC294">
        <f t="shared" si="70"/>
        <v>0.03</v>
      </c>
      <c r="AD294">
        <f t="shared" si="71"/>
        <v>1</v>
      </c>
      <c r="AE294">
        <f t="shared" si="72"/>
        <v>1</v>
      </c>
      <c r="AF294">
        <f t="shared" si="73"/>
        <v>1</v>
      </c>
      <c r="AG294">
        <f t="shared" si="74"/>
        <v>100</v>
      </c>
    </row>
    <row r="295" spans="1:33" x14ac:dyDescent="0.2">
      <c r="A295" t="s">
        <v>127</v>
      </c>
      <c r="B295" t="s">
        <v>128</v>
      </c>
      <c r="C295">
        <v>294</v>
      </c>
      <c r="D295">
        <v>78003</v>
      </c>
      <c r="E295" t="s">
        <v>159</v>
      </c>
      <c r="F295" t="s">
        <v>46</v>
      </c>
      <c r="G295" t="s">
        <v>379</v>
      </c>
      <c r="H295" t="s">
        <v>12</v>
      </c>
      <c r="I295" t="s">
        <v>91</v>
      </c>
      <c r="J295">
        <v>5</v>
      </c>
      <c r="K295">
        <v>3</v>
      </c>
      <c r="L295">
        <v>5</v>
      </c>
      <c r="M295">
        <v>5</v>
      </c>
      <c r="N295">
        <v>5</v>
      </c>
      <c r="O295">
        <v>5</v>
      </c>
      <c r="P295" t="b">
        <f t="shared" si="65"/>
        <v>0</v>
      </c>
      <c r="S295" t="str">
        <f t="shared" si="75"/>
        <v>LATER</v>
      </c>
      <c r="T295" t="str">
        <f t="shared" si="76"/>
        <v>SainteLague</v>
      </c>
      <c r="U295">
        <f t="shared" si="78"/>
        <v>294</v>
      </c>
      <c r="V295">
        <f t="shared" si="77"/>
        <v>78003</v>
      </c>
      <c r="W295" s="8" t="str">
        <f>VLOOKUP(V295,'ideas-input'!$A:$B,2,FALSE)</f>
        <v>Nexus | We Care | Adaptation of Service Infrastructures | Pilot</v>
      </c>
      <c r="X295" t="str">
        <f t="shared" si="66"/>
        <v>AVC</v>
      </c>
      <c r="Y295" s="8" t="str">
        <f>VLOOKUP(V295,'ideas-input'!$A:$D,4,FALSE)</f>
        <v>eCommerce</v>
      </c>
      <c r="Z295" t="str">
        <f t="shared" si="67"/>
        <v>Corporate</v>
      </c>
      <c r="AA295" t="str">
        <f t="shared" si="68"/>
        <v>Backlog</v>
      </c>
      <c r="AB295">
        <f t="shared" si="69"/>
        <v>5</v>
      </c>
      <c r="AC295">
        <f t="shared" si="70"/>
        <v>3</v>
      </c>
      <c r="AD295">
        <f t="shared" si="71"/>
        <v>5</v>
      </c>
      <c r="AE295">
        <f t="shared" si="72"/>
        <v>5</v>
      </c>
      <c r="AF295">
        <f t="shared" si="73"/>
        <v>5</v>
      </c>
      <c r="AG295">
        <f t="shared" si="74"/>
        <v>5</v>
      </c>
    </row>
    <row r="296" spans="1:33" x14ac:dyDescent="0.2">
      <c r="A296" t="s">
        <v>127</v>
      </c>
      <c r="B296" t="s">
        <v>128</v>
      </c>
      <c r="C296">
        <v>295</v>
      </c>
      <c r="D296">
        <v>135612</v>
      </c>
      <c r="E296" t="s">
        <v>1133</v>
      </c>
      <c r="F296" t="s">
        <v>64</v>
      </c>
      <c r="G296" t="s">
        <v>10</v>
      </c>
      <c r="H296" t="s">
        <v>6</v>
      </c>
      <c r="I296" t="s">
        <v>91</v>
      </c>
      <c r="J296">
        <v>42</v>
      </c>
      <c r="K296">
        <v>0.03</v>
      </c>
      <c r="L296">
        <v>1</v>
      </c>
      <c r="M296">
        <v>1</v>
      </c>
      <c r="N296">
        <v>1</v>
      </c>
      <c r="O296">
        <v>100</v>
      </c>
      <c r="P296" t="b">
        <f t="shared" si="65"/>
        <v>0</v>
      </c>
      <c r="S296" t="str">
        <f t="shared" si="75"/>
        <v>LATER</v>
      </c>
      <c r="T296" t="str">
        <f t="shared" si="76"/>
        <v>SainteLague</v>
      </c>
      <c r="U296">
        <f t="shared" si="78"/>
        <v>295</v>
      </c>
      <c r="V296">
        <f t="shared" si="77"/>
        <v>135612</v>
      </c>
      <c r="W296" s="8" t="str">
        <f>VLOOKUP(V296,'ideas-input'!$A:$B,2,FALSE)</f>
        <v>Mejora de visualización en PDA last-mail envíos balanceados por SENDA "LIBRA"</v>
      </c>
      <c r="X296" t="str">
        <f t="shared" si="66"/>
        <v>COO</v>
      </c>
      <c r="Y296" s="8" t="str">
        <f>VLOOKUP(V296,'ideas-input'!$A:$D,4,FALSE)</f>
        <v>eCommerce</v>
      </c>
      <c r="Z296" t="str">
        <f t="shared" si="67"/>
        <v>Operations</v>
      </c>
      <c r="AA296" t="str">
        <f t="shared" si="68"/>
        <v>Backlog</v>
      </c>
      <c r="AB296">
        <f t="shared" si="69"/>
        <v>42</v>
      </c>
      <c r="AC296">
        <f t="shared" si="70"/>
        <v>0.03</v>
      </c>
      <c r="AD296">
        <f t="shared" si="71"/>
        <v>1</v>
      </c>
      <c r="AE296">
        <f t="shared" si="72"/>
        <v>1</v>
      </c>
      <c r="AF296">
        <f t="shared" si="73"/>
        <v>1</v>
      </c>
      <c r="AG296">
        <f t="shared" si="74"/>
        <v>100</v>
      </c>
    </row>
    <row r="297" spans="1:33" x14ac:dyDescent="0.2">
      <c r="A297" t="s">
        <v>127</v>
      </c>
      <c r="B297" t="s">
        <v>128</v>
      </c>
      <c r="C297">
        <v>296</v>
      </c>
      <c r="D297">
        <v>126963</v>
      </c>
      <c r="E297" t="s">
        <v>1108</v>
      </c>
      <c r="F297" t="s">
        <v>59</v>
      </c>
      <c r="G297" t="s">
        <v>379</v>
      </c>
      <c r="H297" t="s">
        <v>8</v>
      </c>
      <c r="I297" t="s">
        <v>91</v>
      </c>
      <c r="J297">
        <v>7</v>
      </c>
      <c r="K297">
        <v>2.6669999999999998</v>
      </c>
      <c r="L297">
        <v>4</v>
      </c>
      <c r="M297">
        <v>1</v>
      </c>
      <c r="N297">
        <v>3</v>
      </c>
      <c r="O297">
        <v>3</v>
      </c>
      <c r="P297" t="b">
        <f t="shared" si="65"/>
        <v>0</v>
      </c>
      <c r="S297" t="str">
        <f t="shared" si="75"/>
        <v>LATER</v>
      </c>
      <c r="T297" t="str">
        <f t="shared" si="76"/>
        <v>SainteLague</v>
      </c>
      <c r="U297">
        <f t="shared" si="78"/>
        <v>296</v>
      </c>
      <c r="V297">
        <f t="shared" si="77"/>
        <v>126963</v>
      </c>
      <c r="W297" s="8" t="str">
        <f>VLOOKUP(V297,'ideas-input'!$A:$B,2,FALSE)</f>
        <v>GitHub Migration - Implementação de Pipeline T&amp;T em GitHub</v>
      </c>
      <c r="X297" t="str">
        <f t="shared" si="66"/>
        <v>SI-OPS</v>
      </c>
      <c r="Y297" s="8" t="str">
        <f>VLOOKUP(V297,'ideas-input'!$A:$D,4,FALSE)</f>
        <v>Mail</v>
      </c>
      <c r="Z297" t="str">
        <f t="shared" si="67"/>
        <v>Technology</v>
      </c>
      <c r="AA297" t="str">
        <f t="shared" si="68"/>
        <v>Backlog</v>
      </c>
      <c r="AB297">
        <f t="shared" si="69"/>
        <v>7</v>
      </c>
      <c r="AC297">
        <f t="shared" si="70"/>
        <v>2.6669999999999998</v>
      </c>
      <c r="AD297">
        <f t="shared" si="71"/>
        <v>4</v>
      </c>
      <c r="AE297">
        <f t="shared" si="72"/>
        <v>1</v>
      </c>
      <c r="AF297">
        <f t="shared" si="73"/>
        <v>3</v>
      </c>
      <c r="AG297">
        <f t="shared" si="74"/>
        <v>3</v>
      </c>
    </row>
    <row r="298" spans="1:33" x14ac:dyDescent="0.2">
      <c r="A298" t="s">
        <v>127</v>
      </c>
      <c r="B298" t="s">
        <v>128</v>
      </c>
      <c r="C298">
        <v>297</v>
      </c>
      <c r="D298">
        <v>63429</v>
      </c>
      <c r="E298" t="s">
        <v>187</v>
      </c>
      <c r="F298" t="s">
        <v>66</v>
      </c>
      <c r="G298" t="s">
        <v>10</v>
      </c>
      <c r="H298" t="s">
        <v>5</v>
      </c>
      <c r="I298" t="s">
        <v>95</v>
      </c>
      <c r="J298">
        <v>13</v>
      </c>
      <c r="K298">
        <v>0.03</v>
      </c>
      <c r="L298">
        <v>1</v>
      </c>
      <c r="M298">
        <v>1</v>
      </c>
      <c r="N298">
        <v>1</v>
      </c>
      <c r="O298">
        <v>100</v>
      </c>
      <c r="P298" t="b">
        <f t="shared" si="65"/>
        <v>0</v>
      </c>
      <c r="S298" t="str">
        <f t="shared" si="75"/>
        <v>LATER</v>
      </c>
      <c r="T298" t="str">
        <f t="shared" si="76"/>
        <v>SainteLague</v>
      </c>
      <c r="U298">
        <f t="shared" si="78"/>
        <v>297</v>
      </c>
      <c r="V298">
        <f t="shared" si="77"/>
        <v>63429</v>
      </c>
      <c r="W298" s="8" t="str">
        <f>VLOOKUP(V298,'ideas-input'!$A:$B,2,FALSE)</f>
        <v>[Salesforce - Minerva] Datos de la oferta Minerva en objeto Oferta</v>
      </c>
      <c r="X298" t="str">
        <f t="shared" si="66"/>
        <v>CCO</v>
      </c>
      <c r="Y298" s="8" t="str">
        <f>VLOOKUP(V298,'ideas-input'!$A:$D,4,FALSE)</f>
        <v>eCommerce</v>
      </c>
      <c r="Z298" t="str">
        <f t="shared" si="67"/>
        <v>Commercial</v>
      </c>
      <c r="AA298" t="str">
        <f t="shared" si="68"/>
        <v>In Definition</v>
      </c>
      <c r="AB298">
        <f t="shared" si="69"/>
        <v>13</v>
      </c>
      <c r="AC298">
        <f t="shared" si="70"/>
        <v>0.03</v>
      </c>
      <c r="AD298">
        <f t="shared" si="71"/>
        <v>1</v>
      </c>
      <c r="AE298">
        <f t="shared" si="72"/>
        <v>1</v>
      </c>
      <c r="AF298">
        <f t="shared" si="73"/>
        <v>1</v>
      </c>
      <c r="AG298">
        <f t="shared" si="74"/>
        <v>100</v>
      </c>
    </row>
    <row r="299" spans="1:33" x14ac:dyDescent="0.2">
      <c r="A299" t="s">
        <v>127</v>
      </c>
      <c r="B299" t="s">
        <v>128</v>
      </c>
      <c r="C299">
        <v>298</v>
      </c>
      <c r="D299">
        <v>76554</v>
      </c>
      <c r="E299" t="s">
        <v>1140</v>
      </c>
      <c r="F299" t="s">
        <v>24</v>
      </c>
      <c r="G299" t="s">
        <v>379</v>
      </c>
      <c r="H299" t="s">
        <v>5</v>
      </c>
      <c r="I299" t="s">
        <v>91</v>
      </c>
      <c r="J299">
        <v>4</v>
      </c>
      <c r="K299">
        <v>0.03</v>
      </c>
      <c r="L299">
        <v>1</v>
      </c>
      <c r="M299">
        <v>1</v>
      </c>
      <c r="N299">
        <v>1</v>
      </c>
      <c r="O299">
        <v>100</v>
      </c>
      <c r="P299" t="b">
        <f t="shared" si="65"/>
        <v>0</v>
      </c>
      <c r="S299" t="str">
        <f t="shared" si="75"/>
        <v>LATER</v>
      </c>
      <c r="T299" t="str">
        <f t="shared" si="76"/>
        <v>SainteLague</v>
      </c>
      <c r="U299">
        <f t="shared" si="78"/>
        <v>298</v>
      </c>
      <c r="V299">
        <f t="shared" si="77"/>
        <v>76554</v>
      </c>
      <c r="W299" s="8" t="str">
        <f>VLOOKUP(V299,'ideas-input'!$A:$B,2,FALSE)</f>
        <v>Módulo de Compliance Payshop</v>
      </c>
      <c r="X299" t="str">
        <f t="shared" si="66"/>
        <v>GPG</v>
      </c>
      <c r="Y299" s="8" t="str">
        <f>VLOOKUP(V299,'ideas-input'!$A:$D,4,FALSE)</f>
        <v>Payments</v>
      </c>
      <c r="Z299" t="str">
        <f t="shared" si="67"/>
        <v>Commercial</v>
      </c>
      <c r="AA299" t="str">
        <f t="shared" si="68"/>
        <v>Backlog</v>
      </c>
      <c r="AB299">
        <f t="shared" si="69"/>
        <v>4</v>
      </c>
      <c r="AC299">
        <f t="shared" si="70"/>
        <v>0.03</v>
      </c>
      <c r="AD299">
        <f t="shared" si="71"/>
        <v>1</v>
      </c>
      <c r="AE299">
        <f t="shared" si="72"/>
        <v>1</v>
      </c>
      <c r="AF299">
        <f t="shared" si="73"/>
        <v>1</v>
      </c>
      <c r="AG299">
        <f t="shared" si="74"/>
        <v>100</v>
      </c>
    </row>
    <row r="300" spans="1:33" x14ac:dyDescent="0.2">
      <c r="A300" t="s">
        <v>127</v>
      </c>
      <c r="B300" t="s">
        <v>128</v>
      </c>
      <c r="C300">
        <v>299</v>
      </c>
      <c r="D300">
        <v>135153</v>
      </c>
      <c r="E300" t="s">
        <v>1141</v>
      </c>
      <c r="F300" t="s">
        <v>64</v>
      </c>
      <c r="G300" t="s">
        <v>10</v>
      </c>
      <c r="H300" t="s">
        <v>6</v>
      </c>
      <c r="I300" t="s">
        <v>95</v>
      </c>
      <c r="J300">
        <v>43</v>
      </c>
      <c r="K300">
        <v>2.5</v>
      </c>
      <c r="L300">
        <v>3</v>
      </c>
      <c r="M300">
        <v>1</v>
      </c>
      <c r="N300">
        <v>1</v>
      </c>
      <c r="O300">
        <v>2</v>
      </c>
      <c r="P300" t="b">
        <f t="shared" si="65"/>
        <v>0</v>
      </c>
      <c r="S300" t="str">
        <f t="shared" si="75"/>
        <v>LATER</v>
      </c>
      <c r="T300" t="str">
        <f t="shared" si="76"/>
        <v>SainteLague</v>
      </c>
      <c r="U300">
        <f t="shared" si="78"/>
        <v>299</v>
      </c>
      <c r="V300">
        <f t="shared" si="77"/>
        <v>135153</v>
      </c>
      <c r="W300" s="8" t="str">
        <f>VLOOKUP(V300,'ideas-input'!$A:$B,2,FALSE)</f>
        <v>Mejora creación servicios esporádicos</v>
      </c>
      <c r="X300" t="str">
        <f t="shared" si="66"/>
        <v>COO</v>
      </c>
      <c r="Y300" s="8" t="str">
        <f>VLOOKUP(V300,'ideas-input'!$A:$D,4,FALSE)</f>
        <v>eCommerce</v>
      </c>
      <c r="Z300" t="str">
        <f t="shared" si="67"/>
        <v>Operations</v>
      </c>
      <c r="AA300" t="str">
        <f t="shared" si="68"/>
        <v>In Definition</v>
      </c>
      <c r="AB300">
        <f t="shared" si="69"/>
        <v>43</v>
      </c>
      <c r="AC300">
        <f t="shared" si="70"/>
        <v>2.5</v>
      </c>
      <c r="AD300">
        <f t="shared" si="71"/>
        <v>3</v>
      </c>
      <c r="AE300">
        <f t="shared" si="72"/>
        <v>1</v>
      </c>
      <c r="AF300">
        <f t="shared" si="73"/>
        <v>1</v>
      </c>
      <c r="AG300">
        <f t="shared" si="74"/>
        <v>2</v>
      </c>
    </row>
    <row r="301" spans="1:33" x14ac:dyDescent="0.2">
      <c r="A301" t="s">
        <v>127</v>
      </c>
      <c r="B301" t="s">
        <v>128</v>
      </c>
      <c r="C301">
        <v>300</v>
      </c>
      <c r="D301">
        <v>120278</v>
      </c>
      <c r="E301" t="s">
        <v>1111</v>
      </c>
      <c r="F301" t="s">
        <v>98</v>
      </c>
      <c r="G301" t="s">
        <v>379</v>
      </c>
      <c r="H301" t="s">
        <v>12</v>
      </c>
      <c r="I301" t="s">
        <v>91</v>
      </c>
      <c r="J301">
        <v>5</v>
      </c>
      <c r="K301">
        <v>0.03</v>
      </c>
      <c r="L301">
        <v>1</v>
      </c>
      <c r="M301">
        <v>1</v>
      </c>
      <c r="N301">
        <v>1</v>
      </c>
      <c r="O301">
        <v>100</v>
      </c>
      <c r="P301" t="b">
        <f t="shared" si="65"/>
        <v>0</v>
      </c>
      <c r="S301" t="str">
        <f t="shared" si="75"/>
        <v>LATER</v>
      </c>
      <c r="T301" t="str">
        <f t="shared" si="76"/>
        <v>SainteLague</v>
      </c>
      <c r="U301">
        <f t="shared" si="78"/>
        <v>300</v>
      </c>
      <c r="V301">
        <f t="shared" si="77"/>
        <v>120278</v>
      </c>
      <c r="W301" s="8" t="str">
        <f>VLOOKUP(V301,'ideas-input'!$A:$B,2,FALSE)</f>
        <v>Revamp BIC - Indicadores diários e mensais de negócio</v>
      </c>
      <c r="X301" t="str">
        <f t="shared" si="66"/>
        <v>PC</v>
      </c>
      <c r="Y301" s="8" t="str">
        <f>VLOOKUP(V301,'ideas-input'!$A:$D,4,FALSE)</f>
        <v>Mail</v>
      </c>
      <c r="Z301" t="str">
        <f t="shared" si="67"/>
        <v>Corporate</v>
      </c>
      <c r="AA301" t="str">
        <f t="shared" si="68"/>
        <v>Backlog</v>
      </c>
      <c r="AB301">
        <f t="shared" si="69"/>
        <v>5</v>
      </c>
      <c r="AC301">
        <f t="shared" si="70"/>
        <v>0.03</v>
      </c>
      <c r="AD301">
        <f t="shared" si="71"/>
        <v>1</v>
      </c>
      <c r="AE301">
        <f t="shared" si="72"/>
        <v>1</v>
      </c>
      <c r="AF301">
        <f t="shared" si="73"/>
        <v>1</v>
      </c>
      <c r="AG301">
        <f t="shared" si="74"/>
        <v>100</v>
      </c>
    </row>
    <row r="302" spans="1:33" x14ac:dyDescent="0.2">
      <c r="A302" t="s">
        <v>127</v>
      </c>
      <c r="B302" t="s">
        <v>128</v>
      </c>
      <c r="C302">
        <v>301</v>
      </c>
      <c r="D302">
        <v>44443</v>
      </c>
      <c r="E302" t="s">
        <v>1119</v>
      </c>
      <c r="F302" t="s">
        <v>67</v>
      </c>
      <c r="G302" t="s">
        <v>10</v>
      </c>
      <c r="H302" t="s">
        <v>12</v>
      </c>
      <c r="I302" t="s">
        <v>95</v>
      </c>
      <c r="J302">
        <v>14</v>
      </c>
      <c r="K302">
        <v>0.03</v>
      </c>
      <c r="L302">
        <v>1</v>
      </c>
      <c r="M302">
        <v>1</v>
      </c>
      <c r="N302">
        <v>1</v>
      </c>
      <c r="O302">
        <v>100</v>
      </c>
      <c r="P302" t="b">
        <f t="shared" si="65"/>
        <v>0</v>
      </c>
      <c r="S302" t="str">
        <f t="shared" si="75"/>
        <v>LATER</v>
      </c>
      <c r="T302" t="str">
        <f t="shared" si="76"/>
        <v>SainteLague</v>
      </c>
      <c r="U302">
        <f t="shared" si="78"/>
        <v>301</v>
      </c>
      <c r="V302">
        <f t="shared" si="77"/>
        <v>44443</v>
      </c>
      <c r="W302" s="8" t="str">
        <f>VLOOKUP(V302,'ideas-input'!$A:$B,2,FALSE)</f>
        <v>[Qlik] - Migración y redifinición de App Notifications Analytics - Cloud</v>
      </c>
      <c r="X302" t="str">
        <f t="shared" si="66"/>
        <v>ATC</v>
      </c>
      <c r="Y302" s="8" t="str">
        <f>VLOOKUP(V302,'ideas-input'!$A:$D,4,FALSE)</f>
        <v>eCommerce</v>
      </c>
      <c r="Z302" t="str">
        <f t="shared" si="67"/>
        <v>Corporate</v>
      </c>
      <c r="AA302" t="str">
        <f t="shared" si="68"/>
        <v>In Definition</v>
      </c>
      <c r="AB302">
        <f t="shared" si="69"/>
        <v>14</v>
      </c>
      <c r="AC302">
        <f t="shared" si="70"/>
        <v>0.03</v>
      </c>
      <c r="AD302">
        <f t="shared" si="71"/>
        <v>1</v>
      </c>
      <c r="AE302">
        <f t="shared" si="72"/>
        <v>1</v>
      </c>
      <c r="AF302">
        <f t="shared" si="73"/>
        <v>1</v>
      </c>
      <c r="AG302">
        <f t="shared" si="74"/>
        <v>100</v>
      </c>
    </row>
    <row r="303" spans="1:33" x14ac:dyDescent="0.2">
      <c r="A303" t="s">
        <v>127</v>
      </c>
      <c r="B303" t="s">
        <v>128</v>
      </c>
      <c r="C303">
        <v>302</v>
      </c>
      <c r="D303">
        <v>87861</v>
      </c>
      <c r="E303" t="s">
        <v>1113</v>
      </c>
      <c r="F303" t="s">
        <v>60</v>
      </c>
      <c r="G303" t="s">
        <v>379</v>
      </c>
      <c r="H303" t="s">
        <v>8</v>
      </c>
      <c r="I303" t="s">
        <v>95</v>
      </c>
      <c r="J303">
        <v>5</v>
      </c>
      <c r="K303">
        <v>0.03</v>
      </c>
      <c r="L303">
        <v>1</v>
      </c>
      <c r="M303">
        <v>1</v>
      </c>
      <c r="N303">
        <v>1</v>
      </c>
      <c r="O303">
        <v>100</v>
      </c>
      <c r="P303" t="b">
        <f t="shared" si="65"/>
        <v>0</v>
      </c>
      <c r="S303" t="str">
        <f t="shared" si="75"/>
        <v>LATER</v>
      </c>
      <c r="T303" t="str">
        <f t="shared" si="76"/>
        <v>SainteLague</v>
      </c>
      <c r="U303">
        <f t="shared" si="78"/>
        <v>302</v>
      </c>
      <c r="V303">
        <f t="shared" si="77"/>
        <v>87861</v>
      </c>
      <c r="W303" s="8" t="str">
        <f>VLOOKUP(V303,'ideas-input'!$A:$B,2,FALSE)</f>
        <v>Teleponto - Migração de BD Oracle para BD SQL</v>
      </c>
      <c r="X303" t="str">
        <f t="shared" si="66"/>
        <v>SI-CRP</v>
      </c>
      <c r="Y303" s="8" t="str">
        <f>VLOOKUP(V303,'ideas-input'!$A:$D,4,FALSE)</f>
        <v>Mail</v>
      </c>
      <c r="Z303" t="str">
        <f t="shared" si="67"/>
        <v>Technology</v>
      </c>
      <c r="AA303" t="str">
        <f t="shared" si="68"/>
        <v>In Definition</v>
      </c>
      <c r="AB303">
        <f t="shared" si="69"/>
        <v>5</v>
      </c>
      <c r="AC303">
        <f t="shared" si="70"/>
        <v>0.03</v>
      </c>
      <c r="AD303">
        <f t="shared" si="71"/>
        <v>1</v>
      </c>
      <c r="AE303">
        <f t="shared" si="72"/>
        <v>1</v>
      </c>
      <c r="AF303">
        <f t="shared" si="73"/>
        <v>1</v>
      </c>
      <c r="AG303">
        <f t="shared" si="74"/>
        <v>100</v>
      </c>
    </row>
    <row r="304" spans="1:33" x14ac:dyDescent="0.2">
      <c r="A304" t="s">
        <v>127</v>
      </c>
      <c r="B304" t="s">
        <v>128</v>
      </c>
      <c r="C304">
        <v>303</v>
      </c>
      <c r="D304">
        <v>52046</v>
      </c>
      <c r="E304" t="s">
        <v>1099</v>
      </c>
      <c r="F304" t="s">
        <v>70</v>
      </c>
      <c r="G304" t="s">
        <v>10</v>
      </c>
      <c r="H304" t="s">
        <v>8</v>
      </c>
      <c r="I304" t="s">
        <v>91</v>
      </c>
      <c r="J304">
        <v>31</v>
      </c>
      <c r="K304">
        <v>0.03</v>
      </c>
      <c r="L304">
        <v>1</v>
      </c>
      <c r="M304">
        <v>1</v>
      </c>
      <c r="N304">
        <v>1</v>
      </c>
      <c r="O304">
        <v>100</v>
      </c>
      <c r="P304" t="b">
        <f t="shared" si="65"/>
        <v>0</v>
      </c>
      <c r="S304" t="str">
        <f t="shared" si="75"/>
        <v>LATER</v>
      </c>
      <c r="T304" t="str">
        <f t="shared" si="76"/>
        <v>SainteLague</v>
      </c>
      <c r="U304">
        <f t="shared" si="78"/>
        <v>303</v>
      </c>
      <c r="V304">
        <f t="shared" si="77"/>
        <v>52046</v>
      </c>
      <c r="W304" s="8" t="str">
        <f>VLOOKUP(V304,'ideas-input'!$A:$B,2,FALSE)</f>
        <v>[Auditoria PT] Implementar pruebas preventivas para identificar errores en la parametrización de las reglas de peso</v>
      </c>
      <c r="X304" t="str">
        <f t="shared" si="66"/>
        <v>CIO</v>
      </c>
      <c r="Y304" s="8" t="str">
        <f>VLOOKUP(V304,'ideas-input'!$A:$D,4,FALSE)</f>
        <v>eCommerce</v>
      </c>
      <c r="Z304" t="str">
        <f t="shared" si="67"/>
        <v>Technology</v>
      </c>
      <c r="AA304" t="str">
        <f t="shared" si="68"/>
        <v>Backlog</v>
      </c>
      <c r="AB304">
        <f t="shared" si="69"/>
        <v>31</v>
      </c>
      <c r="AC304">
        <f t="shared" si="70"/>
        <v>0.03</v>
      </c>
      <c r="AD304">
        <f t="shared" si="71"/>
        <v>1</v>
      </c>
      <c r="AE304">
        <f t="shared" si="72"/>
        <v>1</v>
      </c>
      <c r="AF304">
        <f t="shared" si="73"/>
        <v>1</v>
      </c>
      <c r="AG304">
        <f t="shared" si="74"/>
        <v>100</v>
      </c>
    </row>
    <row r="305" spans="1:33" x14ac:dyDescent="0.2">
      <c r="A305" t="s">
        <v>127</v>
      </c>
      <c r="B305" t="s">
        <v>128</v>
      </c>
      <c r="C305">
        <v>304</v>
      </c>
      <c r="D305">
        <v>139369</v>
      </c>
      <c r="E305" t="s">
        <v>1143</v>
      </c>
      <c r="F305" t="s">
        <v>21</v>
      </c>
      <c r="G305" t="s">
        <v>379</v>
      </c>
      <c r="H305" t="s">
        <v>5</v>
      </c>
      <c r="I305" t="s">
        <v>91</v>
      </c>
      <c r="J305">
        <v>7</v>
      </c>
      <c r="K305">
        <v>0.03</v>
      </c>
      <c r="L305">
        <v>1</v>
      </c>
      <c r="M305">
        <v>1</v>
      </c>
      <c r="N305">
        <v>1</v>
      </c>
      <c r="O305">
        <v>100</v>
      </c>
      <c r="P305" t="b">
        <f t="shared" si="65"/>
        <v>0</v>
      </c>
      <c r="S305" t="str">
        <f t="shared" si="75"/>
        <v>LATER</v>
      </c>
      <c r="T305" t="str">
        <f t="shared" si="76"/>
        <v>SainteLague</v>
      </c>
      <c r="U305">
        <f t="shared" si="78"/>
        <v>304</v>
      </c>
      <c r="V305">
        <f t="shared" si="77"/>
        <v>139369</v>
      </c>
      <c r="W305" s="8" t="str">
        <f>VLOOKUP(V305,'ideas-input'!$A:$B,2,FALSE)</f>
        <v>Aviso de Entrega Digital</v>
      </c>
      <c r="X305" t="str">
        <f t="shared" si="66"/>
        <v>GP B2B</v>
      </c>
      <c r="Y305" s="8" t="str">
        <f>VLOOKUP(V305,'ideas-input'!$A:$D,4,FALSE)</f>
        <v>Mail</v>
      </c>
      <c r="Z305" t="str">
        <f t="shared" si="67"/>
        <v>Commercial</v>
      </c>
      <c r="AA305" t="str">
        <f t="shared" si="68"/>
        <v>Backlog</v>
      </c>
      <c r="AB305">
        <f t="shared" si="69"/>
        <v>7</v>
      </c>
      <c r="AC305">
        <f t="shared" si="70"/>
        <v>0.03</v>
      </c>
      <c r="AD305">
        <f t="shared" si="71"/>
        <v>1</v>
      </c>
      <c r="AE305">
        <f t="shared" si="72"/>
        <v>1</v>
      </c>
      <c r="AF305">
        <f t="shared" si="73"/>
        <v>1</v>
      </c>
      <c r="AG305">
        <f t="shared" si="74"/>
        <v>100</v>
      </c>
    </row>
    <row r="306" spans="1:33" x14ac:dyDescent="0.2">
      <c r="A306" t="s">
        <v>127</v>
      </c>
      <c r="B306" t="s">
        <v>128</v>
      </c>
      <c r="C306">
        <v>305</v>
      </c>
      <c r="D306">
        <v>57152</v>
      </c>
      <c r="E306" t="s">
        <v>1150</v>
      </c>
      <c r="F306" t="s">
        <v>68</v>
      </c>
      <c r="G306" t="s">
        <v>10</v>
      </c>
      <c r="H306" t="s">
        <v>5</v>
      </c>
      <c r="I306" t="s">
        <v>95</v>
      </c>
      <c r="J306">
        <v>11</v>
      </c>
      <c r="K306">
        <v>0.03</v>
      </c>
      <c r="L306">
        <v>1</v>
      </c>
      <c r="M306">
        <v>1</v>
      </c>
      <c r="N306">
        <v>1</v>
      </c>
      <c r="O306">
        <v>100</v>
      </c>
      <c r="P306" t="b">
        <f t="shared" si="65"/>
        <v>0</v>
      </c>
      <c r="S306" t="str">
        <f t="shared" si="75"/>
        <v>LATER</v>
      </c>
      <c r="T306" t="str">
        <f t="shared" si="76"/>
        <v>SainteLague</v>
      </c>
      <c r="U306">
        <f t="shared" si="78"/>
        <v>305</v>
      </c>
      <c r="V306">
        <f t="shared" si="77"/>
        <v>57152</v>
      </c>
      <c r="W306" s="8" t="str">
        <f>VLOOKUP(V306,'ideas-input'!$A:$B,2,FALSE)</f>
        <v>Cliente EXPOLLUM - Transmisión selectiva Mapper</v>
      </c>
      <c r="X306" t="str">
        <f t="shared" si="66"/>
        <v>IDC</v>
      </c>
      <c r="Y306" s="8" t="str">
        <f>VLOOKUP(V306,'ideas-input'!$A:$D,4,FALSE)</f>
        <v>eCommerce</v>
      </c>
      <c r="Z306" t="str">
        <f t="shared" si="67"/>
        <v>Commercial</v>
      </c>
      <c r="AA306" t="str">
        <f t="shared" si="68"/>
        <v>In Definition</v>
      </c>
      <c r="AB306">
        <f t="shared" si="69"/>
        <v>11</v>
      </c>
      <c r="AC306">
        <f t="shared" si="70"/>
        <v>0.03</v>
      </c>
      <c r="AD306">
        <f t="shared" si="71"/>
        <v>1</v>
      </c>
      <c r="AE306">
        <f t="shared" si="72"/>
        <v>1</v>
      </c>
      <c r="AF306">
        <f t="shared" si="73"/>
        <v>1</v>
      </c>
      <c r="AG306">
        <f t="shared" si="74"/>
        <v>100</v>
      </c>
    </row>
    <row r="307" spans="1:33" x14ac:dyDescent="0.2">
      <c r="A307" t="s">
        <v>127</v>
      </c>
      <c r="B307" t="s">
        <v>128</v>
      </c>
      <c r="C307">
        <v>306</v>
      </c>
      <c r="D307">
        <v>51051</v>
      </c>
      <c r="E307" t="s">
        <v>1034</v>
      </c>
      <c r="F307" t="s">
        <v>11</v>
      </c>
      <c r="G307" t="s">
        <v>379</v>
      </c>
      <c r="H307" t="s">
        <v>11</v>
      </c>
      <c r="I307" t="s">
        <v>91</v>
      </c>
      <c r="J307">
        <v>8</v>
      </c>
      <c r="K307">
        <v>0.03</v>
      </c>
      <c r="L307">
        <v>1</v>
      </c>
      <c r="M307">
        <v>1</v>
      </c>
      <c r="N307">
        <v>1</v>
      </c>
      <c r="O307">
        <v>100</v>
      </c>
      <c r="P307" t="b">
        <f t="shared" si="65"/>
        <v>0</v>
      </c>
      <c r="S307" t="str">
        <f t="shared" si="75"/>
        <v>LATER</v>
      </c>
      <c r="T307" t="str">
        <f t="shared" si="76"/>
        <v>SainteLague</v>
      </c>
      <c r="U307">
        <f t="shared" si="78"/>
        <v>306</v>
      </c>
      <c r="V307">
        <f t="shared" si="77"/>
        <v>51051</v>
      </c>
      <c r="W307" s="8" t="str">
        <f>VLOOKUP(V307,'ideas-input'!$A:$B,2,FALSE)</f>
        <v>NIS2 - Implementação de remediações (PT) - Segurança da Supply Chain</v>
      </c>
      <c r="X307" t="str">
        <f t="shared" si="66"/>
        <v>CISO</v>
      </c>
      <c r="Y307" s="8" t="str">
        <f>VLOOKUP(V307,'ideas-input'!$A:$D,4,FALSE)</f>
        <v>Mail</v>
      </c>
      <c r="Z307" t="str">
        <f t="shared" si="67"/>
        <v>CISO</v>
      </c>
      <c r="AA307" t="str">
        <f t="shared" si="68"/>
        <v>Backlog</v>
      </c>
      <c r="AB307">
        <f t="shared" si="69"/>
        <v>8</v>
      </c>
      <c r="AC307">
        <f t="shared" si="70"/>
        <v>0.03</v>
      </c>
      <c r="AD307">
        <f t="shared" si="71"/>
        <v>1</v>
      </c>
      <c r="AE307">
        <f t="shared" si="72"/>
        <v>1</v>
      </c>
      <c r="AF307">
        <f t="shared" si="73"/>
        <v>1</v>
      </c>
      <c r="AG307">
        <f t="shared" si="74"/>
        <v>100</v>
      </c>
    </row>
    <row r="308" spans="1:33" x14ac:dyDescent="0.2">
      <c r="A308" t="s">
        <v>127</v>
      </c>
      <c r="B308" t="s">
        <v>128</v>
      </c>
      <c r="C308">
        <v>307</v>
      </c>
      <c r="D308">
        <v>134467</v>
      </c>
      <c r="E308" t="s">
        <v>1145</v>
      </c>
      <c r="F308" t="s">
        <v>64</v>
      </c>
      <c r="G308" t="s">
        <v>10</v>
      </c>
      <c r="H308" t="s">
        <v>6</v>
      </c>
      <c r="I308" t="s">
        <v>95</v>
      </c>
      <c r="J308">
        <v>44</v>
      </c>
      <c r="K308">
        <v>6</v>
      </c>
      <c r="L308">
        <v>3</v>
      </c>
      <c r="M308">
        <v>2</v>
      </c>
      <c r="N308">
        <v>1</v>
      </c>
      <c r="O308">
        <v>1</v>
      </c>
      <c r="P308" t="b">
        <f t="shared" si="65"/>
        <v>0</v>
      </c>
      <c r="S308" t="str">
        <f t="shared" si="75"/>
        <v>LATER</v>
      </c>
      <c r="T308" t="str">
        <f t="shared" si="76"/>
        <v>SainteLague</v>
      </c>
      <c r="U308">
        <f t="shared" si="78"/>
        <v>307</v>
      </c>
      <c r="V308">
        <f t="shared" si="77"/>
        <v>134467</v>
      </c>
      <c r="W308" s="8" t="str">
        <f>VLOOKUP(V308,'ideas-input'!$A:$B,2,FALSE)</f>
        <v>Portal de Proveedores - Implementar recálculo automático de liquidaciones Linehaul de rutas esporádicas</v>
      </c>
      <c r="X308" t="str">
        <f t="shared" si="66"/>
        <v>COO</v>
      </c>
      <c r="Y308" s="8" t="str">
        <f>VLOOKUP(V308,'ideas-input'!$A:$D,4,FALSE)</f>
        <v>eCommerce</v>
      </c>
      <c r="Z308" t="str">
        <f t="shared" si="67"/>
        <v>Operations</v>
      </c>
      <c r="AA308" t="str">
        <f t="shared" si="68"/>
        <v>In Definition</v>
      </c>
      <c r="AB308">
        <f t="shared" si="69"/>
        <v>44</v>
      </c>
      <c r="AC308">
        <f t="shared" si="70"/>
        <v>6</v>
      </c>
      <c r="AD308">
        <f t="shared" si="71"/>
        <v>3</v>
      </c>
      <c r="AE308">
        <f t="shared" si="72"/>
        <v>2</v>
      </c>
      <c r="AF308">
        <f t="shared" si="73"/>
        <v>1</v>
      </c>
      <c r="AG308">
        <f t="shared" si="74"/>
        <v>1</v>
      </c>
    </row>
    <row r="309" spans="1:33" x14ac:dyDescent="0.2">
      <c r="A309" t="s">
        <v>127</v>
      </c>
      <c r="B309" t="s">
        <v>128</v>
      </c>
      <c r="C309">
        <v>308</v>
      </c>
      <c r="D309">
        <v>88857</v>
      </c>
      <c r="E309" t="s">
        <v>1116</v>
      </c>
      <c r="F309" t="s">
        <v>22</v>
      </c>
      <c r="G309" t="s">
        <v>379</v>
      </c>
      <c r="H309" t="s">
        <v>12</v>
      </c>
      <c r="I309" t="s">
        <v>91</v>
      </c>
      <c r="J309">
        <v>6</v>
      </c>
      <c r="K309">
        <v>0.03</v>
      </c>
      <c r="L309">
        <v>1</v>
      </c>
      <c r="M309">
        <v>1</v>
      </c>
      <c r="N309">
        <v>1</v>
      </c>
      <c r="O309">
        <v>100</v>
      </c>
      <c r="P309" t="b">
        <f t="shared" si="65"/>
        <v>0</v>
      </c>
      <c r="S309" t="str">
        <f t="shared" si="75"/>
        <v>LATER</v>
      </c>
      <c r="T309" t="str">
        <f t="shared" si="76"/>
        <v>SainteLague</v>
      </c>
      <c r="U309">
        <f t="shared" si="78"/>
        <v>308</v>
      </c>
      <c r="V309">
        <f t="shared" si="77"/>
        <v>88857</v>
      </c>
      <c r="W309" s="8" t="str">
        <f>VLOOKUP(V309,'ideas-input'!$A:$B,2,FALSE)</f>
        <v>CORP - Covline - Integração de clientes e contratos via kafka</v>
      </c>
      <c r="X309" t="str">
        <f t="shared" si="66"/>
        <v>CF</v>
      </c>
      <c r="Y309" s="8" t="str">
        <f>VLOOKUP(V309,'ideas-input'!$A:$D,4,FALSE)</f>
        <v>Mail</v>
      </c>
      <c r="Z309" t="str">
        <f t="shared" si="67"/>
        <v>Corporate</v>
      </c>
      <c r="AA309" t="str">
        <f t="shared" si="68"/>
        <v>Backlog</v>
      </c>
      <c r="AB309">
        <f t="shared" si="69"/>
        <v>6</v>
      </c>
      <c r="AC309">
        <f t="shared" si="70"/>
        <v>0.03</v>
      </c>
      <c r="AD309">
        <f t="shared" si="71"/>
        <v>1</v>
      </c>
      <c r="AE309">
        <f t="shared" si="72"/>
        <v>1</v>
      </c>
      <c r="AF309">
        <f t="shared" si="73"/>
        <v>1</v>
      </c>
      <c r="AG309">
        <f t="shared" si="74"/>
        <v>100</v>
      </c>
    </row>
    <row r="310" spans="1:33" x14ac:dyDescent="0.2">
      <c r="A310" t="s">
        <v>127</v>
      </c>
      <c r="B310" t="s">
        <v>128</v>
      </c>
      <c r="C310">
        <v>309</v>
      </c>
      <c r="D310">
        <v>46339</v>
      </c>
      <c r="E310" t="s">
        <v>1124</v>
      </c>
      <c r="F310" t="s">
        <v>69</v>
      </c>
      <c r="G310" t="s">
        <v>10</v>
      </c>
      <c r="H310" t="s">
        <v>12</v>
      </c>
      <c r="I310" t="s">
        <v>97</v>
      </c>
      <c r="J310">
        <v>13</v>
      </c>
      <c r="K310">
        <v>0.03</v>
      </c>
      <c r="L310">
        <v>1</v>
      </c>
      <c r="M310">
        <v>1</v>
      </c>
      <c r="N310">
        <v>1</v>
      </c>
      <c r="O310">
        <v>100</v>
      </c>
      <c r="P310" t="b">
        <f t="shared" si="65"/>
        <v>0</v>
      </c>
      <c r="S310" t="str">
        <f t="shared" si="75"/>
        <v>LATER</v>
      </c>
      <c r="T310" t="str">
        <f t="shared" si="76"/>
        <v>SainteLague</v>
      </c>
      <c r="U310">
        <f t="shared" si="78"/>
        <v>309</v>
      </c>
      <c r="V310">
        <f t="shared" si="77"/>
        <v>46339</v>
      </c>
      <c r="W310" s="8" t="str">
        <f>VLOOKUP(V310,'ideas-input'!$A:$B,2,FALSE)</f>
        <v>[SGC] - Funcionalidad de Comisión Reembolso sobre "entregados" activa</v>
      </c>
      <c r="X310" t="str">
        <f t="shared" si="66"/>
        <v>CFO</v>
      </c>
      <c r="Y310" s="8" t="str">
        <f>VLOOKUP(V310,'ideas-input'!$A:$D,4,FALSE)</f>
        <v>eCommerce</v>
      </c>
      <c r="Z310" t="str">
        <f t="shared" si="67"/>
        <v>Corporate</v>
      </c>
      <c r="AA310" t="str">
        <f t="shared" si="68"/>
        <v>Ready for Solution</v>
      </c>
      <c r="AB310">
        <f t="shared" si="69"/>
        <v>13</v>
      </c>
      <c r="AC310">
        <f t="shared" si="70"/>
        <v>0.03</v>
      </c>
      <c r="AD310">
        <f t="shared" si="71"/>
        <v>1</v>
      </c>
      <c r="AE310">
        <f t="shared" si="72"/>
        <v>1</v>
      </c>
      <c r="AF310">
        <f t="shared" si="73"/>
        <v>1</v>
      </c>
      <c r="AG310">
        <f t="shared" si="74"/>
        <v>100</v>
      </c>
    </row>
    <row r="311" spans="1:33" x14ac:dyDescent="0.2">
      <c r="A311" t="s">
        <v>127</v>
      </c>
      <c r="B311" t="s">
        <v>128</v>
      </c>
      <c r="C311">
        <v>310</v>
      </c>
      <c r="D311">
        <v>127626</v>
      </c>
      <c r="E311" t="s">
        <v>302</v>
      </c>
      <c r="F311" t="s">
        <v>9</v>
      </c>
      <c r="G311" t="s">
        <v>379</v>
      </c>
      <c r="H311" t="s">
        <v>8</v>
      </c>
      <c r="I311" t="s">
        <v>91</v>
      </c>
      <c r="J311">
        <v>13</v>
      </c>
      <c r="K311">
        <v>0.03</v>
      </c>
      <c r="L311">
        <v>1</v>
      </c>
      <c r="M311">
        <v>1</v>
      </c>
      <c r="N311">
        <v>1</v>
      </c>
      <c r="O311">
        <v>100</v>
      </c>
      <c r="P311" t="b">
        <f t="shared" si="65"/>
        <v>0</v>
      </c>
      <c r="S311" t="str">
        <f t="shared" si="75"/>
        <v>LATER</v>
      </c>
      <c r="T311" t="str">
        <f t="shared" si="76"/>
        <v>SainteLague</v>
      </c>
      <c r="U311">
        <f t="shared" si="78"/>
        <v>310</v>
      </c>
      <c r="V311">
        <f t="shared" si="77"/>
        <v>127626</v>
      </c>
      <c r="W311" s="8" t="str">
        <f>VLOOKUP(V311,'ideas-input'!$A:$B,2,FALSE)</f>
        <v>Expurgo automatic sharepoint e Team</v>
      </c>
      <c r="X311" t="str">
        <f t="shared" si="66"/>
        <v>SI</v>
      </c>
      <c r="Y311" s="8" t="str">
        <f>VLOOKUP(V311,'ideas-input'!$A:$D,4,FALSE)</f>
        <v>Mail</v>
      </c>
      <c r="Z311" t="str">
        <f t="shared" si="67"/>
        <v>Technology</v>
      </c>
      <c r="AA311" t="str">
        <f t="shared" si="68"/>
        <v>Backlog</v>
      </c>
      <c r="AB311">
        <f t="shared" si="69"/>
        <v>13</v>
      </c>
      <c r="AC311">
        <f t="shared" si="70"/>
        <v>0.03</v>
      </c>
      <c r="AD311">
        <f t="shared" si="71"/>
        <v>1</v>
      </c>
      <c r="AE311">
        <f t="shared" si="72"/>
        <v>1</v>
      </c>
      <c r="AF311">
        <f t="shared" si="73"/>
        <v>1</v>
      </c>
      <c r="AG311">
        <f t="shared" si="74"/>
        <v>100</v>
      </c>
    </row>
    <row r="312" spans="1:33" x14ac:dyDescent="0.2">
      <c r="A312" t="s">
        <v>127</v>
      </c>
      <c r="B312" t="s">
        <v>128</v>
      </c>
      <c r="C312">
        <v>311</v>
      </c>
      <c r="D312">
        <v>44441</v>
      </c>
      <c r="E312" t="s">
        <v>1104</v>
      </c>
      <c r="F312" t="s">
        <v>70</v>
      </c>
      <c r="G312" t="s">
        <v>10</v>
      </c>
      <c r="H312" t="s">
        <v>8</v>
      </c>
      <c r="I312" t="s">
        <v>97</v>
      </c>
      <c r="J312">
        <v>32</v>
      </c>
      <c r="K312">
        <v>0.03</v>
      </c>
      <c r="L312">
        <v>1</v>
      </c>
      <c r="M312">
        <v>1</v>
      </c>
      <c r="N312">
        <v>1</v>
      </c>
      <c r="O312">
        <v>100</v>
      </c>
      <c r="P312" t="b">
        <f t="shared" si="65"/>
        <v>0</v>
      </c>
      <c r="S312" t="str">
        <f t="shared" si="75"/>
        <v>LATER</v>
      </c>
      <c r="T312" t="str">
        <f t="shared" si="76"/>
        <v>SainteLague</v>
      </c>
      <c r="U312">
        <f t="shared" si="78"/>
        <v>311</v>
      </c>
      <c r="V312">
        <f t="shared" si="77"/>
        <v>44441</v>
      </c>
      <c r="W312" s="8" t="str">
        <f>VLOOKUP(V312,'ideas-input'!$A:$B,2,FALSE)</f>
        <v>[Desconexión SGC] Qlik - Migración App Indicadores de siniestros - Cloud</v>
      </c>
      <c r="X312" t="str">
        <f t="shared" si="66"/>
        <v>CIO</v>
      </c>
      <c r="Y312" s="8" t="str">
        <f>VLOOKUP(V312,'ideas-input'!$A:$D,4,FALSE)</f>
        <v>eCommerce</v>
      </c>
      <c r="Z312" t="str">
        <f t="shared" si="67"/>
        <v>Technology</v>
      </c>
      <c r="AA312" t="str">
        <f t="shared" si="68"/>
        <v>Ready for Solution</v>
      </c>
      <c r="AB312">
        <f t="shared" si="69"/>
        <v>32</v>
      </c>
      <c r="AC312">
        <f t="shared" si="70"/>
        <v>0.03</v>
      </c>
      <c r="AD312">
        <f t="shared" si="71"/>
        <v>1</v>
      </c>
      <c r="AE312">
        <f t="shared" si="72"/>
        <v>1</v>
      </c>
      <c r="AF312">
        <f t="shared" si="73"/>
        <v>1</v>
      </c>
      <c r="AG312">
        <f t="shared" si="74"/>
        <v>100</v>
      </c>
    </row>
    <row r="313" spans="1:33" x14ac:dyDescent="0.2">
      <c r="A313" t="s">
        <v>127</v>
      </c>
      <c r="B313" t="s">
        <v>128</v>
      </c>
      <c r="C313">
        <v>312</v>
      </c>
      <c r="D313">
        <v>126043</v>
      </c>
      <c r="E313" t="s">
        <v>1147</v>
      </c>
      <c r="F313" t="s">
        <v>23</v>
      </c>
      <c r="G313" t="s">
        <v>379</v>
      </c>
      <c r="H313" t="s">
        <v>5</v>
      </c>
      <c r="I313" t="s">
        <v>95</v>
      </c>
      <c r="J313">
        <v>7</v>
      </c>
      <c r="K313">
        <v>2</v>
      </c>
      <c r="L313">
        <v>4</v>
      </c>
      <c r="M313">
        <v>2</v>
      </c>
      <c r="N313">
        <v>2</v>
      </c>
      <c r="O313">
        <v>4</v>
      </c>
      <c r="P313" t="b">
        <f t="shared" si="65"/>
        <v>0</v>
      </c>
      <c r="S313" t="str">
        <f t="shared" si="75"/>
        <v>LATER</v>
      </c>
      <c r="T313" t="str">
        <f t="shared" si="76"/>
        <v>SainteLague</v>
      </c>
      <c r="U313">
        <f t="shared" si="78"/>
        <v>312</v>
      </c>
      <c r="V313">
        <f t="shared" si="77"/>
        <v>126043</v>
      </c>
      <c r="W313" s="8" t="str">
        <f>VLOOKUP(V313,'ideas-input'!$A:$B,2,FALSE)</f>
        <v>Morada virtual | Serviço de subscrição</v>
      </c>
      <c r="X313" t="str">
        <f t="shared" si="66"/>
        <v>GP ECL</v>
      </c>
      <c r="Y313" s="8" t="str">
        <f>VLOOKUP(V313,'ideas-input'!$A:$D,4,FALSE)</f>
        <v>eCommerce</v>
      </c>
      <c r="Z313" t="str">
        <f t="shared" si="67"/>
        <v>Commercial</v>
      </c>
      <c r="AA313" t="str">
        <f t="shared" si="68"/>
        <v>In Definition</v>
      </c>
      <c r="AB313">
        <f t="shared" si="69"/>
        <v>7</v>
      </c>
      <c r="AC313">
        <f t="shared" si="70"/>
        <v>2</v>
      </c>
      <c r="AD313">
        <f t="shared" si="71"/>
        <v>4</v>
      </c>
      <c r="AE313">
        <f t="shared" si="72"/>
        <v>2</v>
      </c>
      <c r="AF313">
        <f t="shared" si="73"/>
        <v>2</v>
      </c>
      <c r="AG313">
        <f t="shared" si="74"/>
        <v>4</v>
      </c>
    </row>
    <row r="314" spans="1:33" x14ac:dyDescent="0.2">
      <c r="A314" t="s">
        <v>127</v>
      </c>
      <c r="B314" t="s">
        <v>128</v>
      </c>
      <c r="C314">
        <v>313</v>
      </c>
      <c r="D314">
        <v>57552</v>
      </c>
      <c r="E314" t="s">
        <v>1081</v>
      </c>
      <c r="F314" t="s">
        <v>65</v>
      </c>
      <c r="G314" t="s">
        <v>10</v>
      </c>
      <c r="H314" t="s">
        <v>5</v>
      </c>
      <c r="I314" t="s">
        <v>136</v>
      </c>
      <c r="J314">
        <v>20</v>
      </c>
      <c r="K314">
        <v>0.03</v>
      </c>
      <c r="L314">
        <v>1</v>
      </c>
      <c r="M314">
        <v>1</v>
      </c>
      <c r="N314">
        <v>1</v>
      </c>
      <c r="O314">
        <v>100</v>
      </c>
      <c r="P314" t="b">
        <f t="shared" si="65"/>
        <v>0</v>
      </c>
      <c r="S314" t="str">
        <f t="shared" si="75"/>
        <v>LATER</v>
      </c>
      <c r="T314" t="str">
        <f t="shared" si="76"/>
        <v>SainteLague</v>
      </c>
      <c r="U314">
        <f t="shared" si="78"/>
        <v>313</v>
      </c>
      <c r="V314">
        <f t="shared" si="77"/>
        <v>57552</v>
      </c>
      <c r="W314" s="8" t="str">
        <f>VLOOKUP(V314,'ideas-input'!$A:$B,2,FALSE)</f>
        <v>[Web de Clientes] - Grabación masiva de envíos (carga de fichero) - v2</v>
      </c>
      <c r="X314" t="str">
        <f t="shared" si="66"/>
        <v>CMO</v>
      </c>
      <c r="Y314" s="8" t="str">
        <f>VLOOKUP(V314,'ideas-input'!$A:$D,4,FALSE)</f>
        <v>eCommerce</v>
      </c>
      <c r="Z314" t="str">
        <f t="shared" si="67"/>
        <v>Commercial</v>
      </c>
      <c r="AA314" t="str">
        <f t="shared" si="68"/>
        <v>In Solution</v>
      </c>
      <c r="AB314">
        <f t="shared" si="69"/>
        <v>20</v>
      </c>
      <c r="AC314">
        <f t="shared" si="70"/>
        <v>0.03</v>
      </c>
      <c r="AD314">
        <f t="shared" si="71"/>
        <v>1</v>
      </c>
      <c r="AE314">
        <f t="shared" si="72"/>
        <v>1</v>
      </c>
      <c r="AF314">
        <f t="shared" si="73"/>
        <v>1</v>
      </c>
      <c r="AG314">
        <f t="shared" si="74"/>
        <v>100</v>
      </c>
    </row>
    <row r="315" spans="1:33" x14ac:dyDescent="0.2">
      <c r="A315" t="s">
        <v>127</v>
      </c>
      <c r="B315" t="s">
        <v>128</v>
      </c>
      <c r="C315">
        <v>314</v>
      </c>
      <c r="D315">
        <v>55327</v>
      </c>
      <c r="E315" t="s">
        <v>1120</v>
      </c>
      <c r="F315" t="s">
        <v>45</v>
      </c>
      <c r="G315" t="s">
        <v>379</v>
      </c>
      <c r="H315" t="s">
        <v>12</v>
      </c>
      <c r="I315" t="s">
        <v>91</v>
      </c>
      <c r="J315">
        <v>6</v>
      </c>
      <c r="K315">
        <v>0.03</v>
      </c>
      <c r="L315">
        <v>1</v>
      </c>
      <c r="M315">
        <v>1</v>
      </c>
      <c r="N315">
        <v>1</v>
      </c>
      <c r="O315">
        <v>100</v>
      </c>
      <c r="P315" t="b">
        <f t="shared" si="65"/>
        <v>0</v>
      </c>
      <c r="S315" t="str">
        <f t="shared" si="75"/>
        <v>LATER</v>
      </c>
      <c r="T315" t="str">
        <f t="shared" si="76"/>
        <v>SainteLague</v>
      </c>
      <c r="U315">
        <f t="shared" si="78"/>
        <v>314</v>
      </c>
      <c r="V315">
        <f t="shared" si="77"/>
        <v>55327</v>
      </c>
      <c r="W315" s="8" t="str">
        <f>VLOOKUP(V315,'ideas-input'!$A:$B,2,FALSE)</f>
        <v>XRP | RPA para substituição da integração com BPM</v>
      </c>
      <c r="X315" t="str">
        <f t="shared" si="66"/>
        <v>RS</v>
      </c>
      <c r="Y315" s="8" t="str">
        <f>VLOOKUP(V315,'ideas-input'!$A:$D,4,FALSE)</f>
        <v>Mail</v>
      </c>
      <c r="Z315" t="str">
        <f t="shared" si="67"/>
        <v>Corporate</v>
      </c>
      <c r="AA315" t="str">
        <f t="shared" si="68"/>
        <v>Backlog</v>
      </c>
      <c r="AB315">
        <f t="shared" si="69"/>
        <v>6</v>
      </c>
      <c r="AC315">
        <f t="shared" si="70"/>
        <v>0.03</v>
      </c>
      <c r="AD315">
        <f t="shared" si="71"/>
        <v>1</v>
      </c>
      <c r="AE315">
        <f t="shared" si="72"/>
        <v>1</v>
      </c>
      <c r="AF315">
        <f t="shared" si="73"/>
        <v>1</v>
      </c>
      <c r="AG315">
        <f t="shared" si="74"/>
        <v>100</v>
      </c>
    </row>
    <row r="316" spans="1:33" x14ac:dyDescent="0.2">
      <c r="A316" t="s">
        <v>127</v>
      </c>
      <c r="B316" t="s">
        <v>128</v>
      </c>
      <c r="C316">
        <v>315</v>
      </c>
      <c r="D316">
        <v>133185</v>
      </c>
      <c r="E316" t="s">
        <v>289</v>
      </c>
      <c r="F316" t="s">
        <v>64</v>
      </c>
      <c r="G316" t="s">
        <v>10</v>
      </c>
      <c r="H316" t="s">
        <v>6</v>
      </c>
      <c r="I316" t="s">
        <v>91</v>
      </c>
      <c r="J316">
        <v>45</v>
      </c>
      <c r="K316">
        <v>0.03</v>
      </c>
      <c r="L316">
        <v>1</v>
      </c>
      <c r="M316">
        <v>1</v>
      </c>
      <c r="N316">
        <v>1</v>
      </c>
      <c r="O316">
        <v>100</v>
      </c>
      <c r="P316" t="b">
        <f t="shared" si="65"/>
        <v>0</v>
      </c>
      <c r="S316" t="str">
        <f t="shared" si="75"/>
        <v>LATER</v>
      </c>
      <c r="T316" t="str">
        <f t="shared" si="76"/>
        <v>SainteLague</v>
      </c>
      <c r="U316">
        <f t="shared" si="78"/>
        <v>315</v>
      </c>
      <c r="V316">
        <f t="shared" si="77"/>
        <v>133185</v>
      </c>
      <c r="W316" s="8" t="str">
        <f>VLOOKUP(V316,'ideas-input'!$A:$B,2,FALSE)</f>
        <v>Sistema de seguimiento de rutas de arrastre - v2</v>
      </c>
      <c r="X316" t="str">
        <f t="shared" si="66"/>
        <v>COO</v>
      </c>
      <c r="Y316" s="8" t="str">
        <f>VLOOKUP(V316,'ideas-input'!$A:$D,4,FALSE)</f>
        <v>eCommerce</v>
      </c>
      <c r="Z316" t="str">
        <f t="shared" si="67"/>
        <v>Operations</v>
      </c>
      <c r="AA316" t="str">
        <f t="shared" si="68"/>
        <v>Backlog</v>
      </c>
      <c r="AB316">
        <f t="shared" si="69"/>
        <v>45</v>
      </c>
      <c r="AC316">
        <f t="shared" si="70"/>
        <v>0.03</v>
      </c>
      <c r="AD316">
        <f t="shared" si="71"/>
        <v>1</v>
      </c>
      <c r="AE316">
        <f t="shared" si="72"/>
        <v>1</v>
      </c>
      <c r="AF316">
        <f t="shared" si="73"/>
        <v>1</v>
      </c>
      <c r="AG316">
        <f t="shared" si="74"/>
        <v>100</v>
      </c>
    </row>
    <row r="317" spans="1:33" x14ac:dyDescent="0.2">
      <c r="A317" t="s">
        <v>127</v>
      </c>
      <c r="B317" t="s">
        <v>128</v>
      </c>
      <c r="C317">
        <v>316</v>
      </c>
      <c r="D317">
        <v>124021</v>
      </c>
      <c r="E317" t="s">
        <v>1122</v>
      </c>
      <c r="F317" t="s">
        <v>9</v>
      </c>
      <c r="G317" t="s">
        <v>379</v>
      </c>
      <c r="H317" t="s">
        <v>8</v>
      </c>
      <c r="I317" t="s">
        <v>130</v>
      </c>
      <c r="J317">
        <v>14</v>
      </c>
      <c r="K317">
        <v>0.03</v>
      </c>
      <c r="L317">
        <v>1</v>
      </c>
      <c r="M317">
        <v>1</v>
      </c>
      <c r="N317">
        <v>1</v>
      </c>
      <c r="O317">
        <v>100</v>
      </c>
      <c r="P317" t="b">
        <f t="shared" si="65"/>
        <v>0</v>
      </c>
      <c r="S317" t="str">
        <f t="shared" si="75"/>
        <v>LATER</v>
      </c>
      <c r="T317" t="str">
        <f t="shared" si="76"/>
        <v>SainteLague</v>
      </c>
      <c r="U317">
        <f t="shared" si="78"/>
        <v>316</v>
      </c>
      <c r="V317">
        <f t="shared" si="77"/>
        <v>124021</v>
      </c>
      <c r="W317" s="8" t="str">
        <f>VLOOKUP(V317,'ideas-input'!$A:$B,2,FALSE)</f>
        <v>ODIN | Separação dos clusters ODIN (IDP) por unidade de negócio</v>
      </c>
      <c r="X317" t="str">
        <f t="shared" si="66"/>
        <v>SI</v>
      </c>
      <c r="Y317" s="8" t="str">
        <f>VLOOKUP(V317,'ideas-input'!$A:$D,4,FALSE)</f>
        <v>Mail</v>
      </c>
      <c r="Z317" t="str">
        <f t="shared" si="67"/>
        <v>Technology</v>
      </c>
      <c r="AA317" t="str">
        <f t="shared" si="68"/>
        <v>High Level Design</v>
      </c>
      <c r="AB317">
        <f t="shared" si="69"/>
        <v>14</v>
      </c>
      <c r="AC317">
        <f t="shared" si="70"/>
        <v>0.03</v>
      </c>
      <c r="AD317">
        <f t="shared" si="71"/>
        <v>1</v>
      </c>
      <c r="AE317">
        <f t="shared" si="72"/>
        <v>1</v>
      </c>
      <c r="AF317">
        <f t="shared" si="73"/>
        <v>1</v>
      </c>
      <c r="AG317">
        <f t="shared" si="74"/>
        <v>100</v>
      </c>
    </row>
    <row r="318" spans="1:33" x14ac:dyDescent="0.2">
      <c r="A318" t="s">
        <v>127</v>
      </c>
      <c r="B318" t="s">
        <v>128</v>
      </c>
      <c r="C318">
        <v>317</v>
      </c>
      <c r="D318">
        <v>47557</v>
      </c>
      <c r="E318" t="s">
        <v>1135</v>
      </c>
      <c r="F318" t="s">
        <v>67</v>
      </c>
      <c r="G318" t="s">
        <v>10</v>
      </c>
      <c r="H318" t="s">
        <v>12</v>
      </c>
      <c r="I318" t="s">
        <v>95</v>
      </c>
      <c r="J318">
        <v>15</v>
      </c>
      <c r="K318">
        <v>0.03</v>
      </c>
      <c r="L318">
        <v>1</v>
      </c>
      <c r="M318">
        <v>1</v>
      </c>
      <c r="N318">
        <v>1</v>
      </c>
      <c r="O318">
        <v>100</v>
      </c>
      <c r="P318" t="b">
        <f t="shared" si="65"/>
        <v>0</v>
      </c>
      <c r="S318" t="str">
        <f t="shared" si="75"/>
        <v>LATER</v>
      </c>
      <c r="T318" t="str">
        <f t="shared" si="76"/>
        <v>SainteLague</v>
      </c>
      <c r="U318">
        <f t="shared" si="78"/>
        <v>317</v>
      </c>
      <c r="V318">
        <f t="shared" si="77"/>
        <v>47557</v>
      </c>
      <c r="W318" s="8" t="str">
        <f>VLOOKUP(V318,'ideas-input'!$A:$B,2,FALSE)</f>
        <v>[Salesforce Service] - Reglas de cierre y respuesta automática de casos de envíos estacionados o ubicados</v>
      </c>
      <c r="X318" t="str">
        <f t="shared" si="66"/>
        <v>ATC</v>
      </c>
      <c r="Y318" s="8" t="str">
        <f>VLOOKUP(V318,'ideas-input'!$A:$D,4,FALSE)</f>
        <v>eCommerce</v>
      </c>
      <c r="Z318" t="str">
        <f t="shared" si="67"/>
        <v>Corporate</v>
      </c>
      <c r="AA318" t="str">
        <f t="shared" si="68"/>
        <v>In Definition</v>
      </c>
      <c r="AB318">
        <f t="shared" si="69"/>
        <v>15</v>
      </c>
      <c r="AC318">
        <f t="shared" si="70"/>
        <v>0.03</v>
      </c>
      <c r="AD318">
        <f t="shared" si="71"/>
        <v>1</v>
      </c>
      <c r="AE318">
        <f t="shared" si="72"/>
        <v>1</v>
      </c>
      <c r="AF318">
        <f t="shared" si="73"/>
        <v>1</v>
      </c>
      <c r="AG318">
        <f t="shared" si="74"/>
        <v>100</v>
      </c>
    </row>
    <row r="319" spans="1:33" x14ac:dyDescent="0.2">
      <c r="A319" t="s">
        <v>127</v>
      </c>
      <c r="B319" t="s">
        <v>128</v>
      </c>
      <c r="C319">
        <v>318</v>
      </c>
      <c r="D319">
        <v>139693</v>
      </c>
      <c r="E319" t="s">
        <v>1152</v>
      </c>
      <c r="F319" t="s">
        <v>36</v>
      </c>
      <c r="G319" t="s">
        <v>379</v>
      </c>
      <c r="H319" t="s">
        <v>5</v>
      </c>
      <c r="I319" t="s">
        <v>91</v>
      </c>
      <c r="J319">
        <v>7</v>
      </c>
      <c r="K319">
        <v>0.03</v>
      </c>
      <c r="L319">
        <v>1</v>
      </c>
      <c r="M319">
        <v>1</v>
      </c>
      <c r="N319">
        <v>1</v>
      </c>
      <c r="O319">
        <v>100</v>
      </c>
      <c r="P319" t="b">
        <f t="shared" si="65"/>
        <v>0</v>
      </c>
      <c r="S319" t="str">
        <f t="shared" si="75"/>
        <v>LATER</v>
      </c>
      <c r="T319" t="str">
        <f t="shared" si="76"/>
        <v>SainteLague</v>
      </c>
      <c r="U319">
        <f t="shared" si="78"/>
        <v>318</v>
      </c>
      <c r="V319">
        <f t="shared" si="77"/>
        <v>139693</v>
      </c>
      <c r="W319" s="8" t="str">
        <f>VLOOKUP(V319,'ideas-input'!$A:$B,2,FALSE)</f>
        <v>Área de Cliente CTT - Empresas | Agile Way MAR e ABR 2026</v>
      </c>
      <c r="X319" t="str">
        <f t="shared" si="66"/>
        <v>DNI</v>
      </c>
      <c r="Y319" s="8" t="str">
        <f>VLOOKUP(V319,'ideas-input'!$A:$D,4,FALSE)</f>
        <v>Mail</v>
      </c>
      <c r="Z319" t="str">
        <f t="shared" si="67"/>
        <v>Commercial</v>
      </c>
      <c r="AA319" t="str">
        <f t="shared" si="68"/>
        <v>Backlog</v>
      </c>
      <c r="AB319">
        <f t="shared" si="69"/>
        <v>7</v>
      </c>
      <c r="AC319">
        <f t="shared" si="70"/>
        <v>0.03</v>
      </c>
      <c r="AD319">
        <f t="shared" si="71"/>
        <v>1</v>
      </c>
      <c r="AE319">
        <f t="shared" si="72"/>
        <v>1</v>
      </c>
      <c r="AF319">
        <f t="shared" si="73"/>
        <v>1</v>
      </c>
      <c r="AG319">
        <f t="shared" si="74"/>
        <v>100</v>
      </c>
    </row>
    <row r="320" spans="1:33" x14ac:dyDescent="0.2">
      <c r="A320" t="s">
        <v>127</v>
      </c>
      <c r="B320" t="s">
        <v>128</v>
      </c>
      <c r="C320">
        <v>319</v>
      </c>
      <c r="D320">
        <v>44446</v>
      </c>
      <c r="E320" t="s">
        <v>1109</v>
      </c>
      <c r="F320" t="s">
        <v>70</v>
      </c>
      <c r="G320" t="s">
        <v>10</v>
      </c>
      <c r="H320" t="s">
        <v>8</v>
      </c>
      <c r="I320" t="s">
        <v>95</v>
      </c>
      <c r="J320">
        <v>33</v>
      </c>
      <c r="K320">
        <v>0.03</v>
      </c>
      <c r="L320">
        <v>1</v>
      </c>
      <c r="M320">
        <v>1</v>
      </c>
      <c r="N320">
        <v>1</v>
      </c>
      <c r="O320">
        <v>100</v>
      </c>
      <c r="P320" t="b">
        <f t="shared" si="65"/>
        <v>0</v>
      </c>
      <c r="S320" t="str">
        <f t="shared" si="75"/>
        <v>LATER</v>
      </c>
      <c r="T320" t="str">
        <f t="shared" si="76"/>
        <v>SainteLague</v>
      </c>
      <c r="U320">
        <f t="shared" si="78"/>
        <v>319</v>
      </c>
      <c r="V320">
        <f t="shared" si="77"/>
        <v>44446</v>
      </c>
      <c r="W320" s="8" t="str">
        <f>VLOOKUP(V320,'ideas-input'!$A:$B,2,FALSE)</f>
        <v>[Desconexión SGC] Qlik - Migración App Territory P&amp;L - Cloud</v>
      </c>
      <c r="X320" t="str">
        <f t="shared" si="66"/>
        <v>CIO</v>
      </c>
      <c r="Y320" s="8" t="str">
        <f>VLOOKUP(V320,'ideas-input'!$A:$D,4,FALSE)</f>
        <v>eCommerce</v>
      </c>
      <c r="Z320" t="str">
        <f t="shared" si="67"/>
        <v>Technology</v>
      </c>
      <c r="AA320" t="str">
        <f t="shared" si="68"/>
        <v>In Definition</v>
      </c>
      <c r="AB320">
        <f t="shared" si="69"/>
        <v>33</v>
      </c>
      <c r="AC320">
        <f t="shared" si="70"/>
        <v>0.03</v>
      </c>
      <c r="AD320">
        <f t="shared" si="71"/>
        <v>1</v>
      </c>
      <c r="AE320">
        <f t="shared" si="72"/>
        <v>1</v>
      </c>
      <c r="AF320">
        <f t="shared" si="73"/>
        <v>1</v>
      </c>
      <c r="AG320">
        <f t="shared" si="74"/>
        <v>100</v>
      </c>
    </row>
    <row r="321" spans="1:33" x14ac:dyDescent="0.2">
      <c r="A321" t="s">
        <v>127</v>
      </c>
      <c r="B321" t="s">
        <v>128</v>
      </c>
      <c r="C321">
        <v>320</v>
      </c>
      <c r="D321">
        <v>173698</v>
      </c>
      <c r="E321" t="s">
        <v>1155</v>
      </c>
      <c r="F321" t="s">
        <v>38</v>
      </c>
      <c r="G321" t="s">
        <v>379</v>
      </c>
      <c r="H321" t="s">
        <v>5</v>
      </c>
      <c r="I321" t="s">
        <v>91</v>
      </c>
      <c r="J321">
        <v>5</v>
      </c>
      <c r="K321">
        <v>0.03</v>
      </c>
      <c r="L321">
        <v>1</v>
      </c>
      <c r="M321">
        <v>1</v>
      </c>
      <c r="N321">
        <v>1</v>
      </c>
      <c r="O321">
        <v>100</v>
      </c>
      <c r="P321" t="b">
        <f t="shared" si="65"/>
        <v>0</v>
      </c>
      <c r="S321" t="str">
        <f t="shared" si="75"/>
        <v>LATER</v>
      </c>
      <c r="T321" t="str">
        <f t="shared" si="76"/>
        <v>SainteLague</v>
      </c>
      <c r="U321">
        <f t="shared" si="78"/>
        <v>320</v>
      </c>
      <c r="V321">
        <f t="shared" si="77"/>
        <v>173698</v>
      </c>
      <c r="W321" s="8" t="str">
        <f>VLOOKUP(V321,'ideas-input'!$A:$B,2,FALSE)</f>
        <v>SSM - validação dos dados registados em NAVe, previamente à sua conclusão</v>
      </c>
      <c r="X321" t="str">
        <f t="shared" si="66"/>
        <v>CSI</v>
      </c>
      <c r="Y321" s="8" t="str">
        <f>VLOOKUP(V321,'ideas-input'!$A:$D,4,FALSE)</f>
        <v>Mail</v>
      </c>
      <c r="Z321" t="str">
        <f t="shared" si="67"/>
        <v>Commercial</v>
      </c>
      <c r="AA321" t="str">
        <f t="shared" si="68"/>
        <v>Backlog</v>
      </c>
      <c r="AB321">
        <f t="shared" si="69"/>
        <v>5</v>
      </c>
      <c r="AC321">
        <f t="shared" si="70"/>
        <v>0.03</v>
      </c>
      <c r="AD321">
        <f t="shared" si="71"/>
        <v>1</v>
      </c>
      <c r="AE321">
        <f t="shared" si="72"/>
        <v>1</v>
      </c>
      <c r="AF321">
        <f t="shared" si="73"/>
        <v>1</v>
      </c>
      <c r="AG321">
        <f t="shared" si="74"/>
        <v>100</v>
      </c>
    </row>
    <row r="322" spans="1:33" x14ac:dyDescent="0.2">
      <c r="A322" t="s">
        <v>127</v>
      </c>
      <c r="B322" t="s">
        <v>128</v>
      </c>
      <c r="C322">
        <v>321</v>
      </c>
      <c r="D322">
        <v>49082</v>
      </c>
      <c r="E322" t="s">
        <v>1182</v>
      </c>
      <c r="F322" t="s">
        <v>66</v>
      </c>
      <c r="G322" t="s">
        <v>10</v>
      </c>
      <c r="H322" t="s">
        <v>5</v>
      </c>
      <c r="I322" t="s">
        <v>95</v>
      </c>
      <c r="J322">
        <v>14</v>
      </c>
      <c r="K322">
        <v>0.03</v>
      </c>
      <c r="L322">
        <v>1</v>
      </c>
      <c r="M322">
        <v>1</v>
      </c>
      <c r="N322">
        <v>1</v>
      </c>
      <c r="O322">
        <v>100</v>
      </c>
      <c r="P322" t="b">
        <f t="shared" ref="P322:P385" si="79">AND(C322&lt;$Q$1,IF(ISBLANK(C322),0,C322)&gt;0)</f>
        <v>0</v>
      </c>
      <c r="S322" t="str">
        <f t="shared" si="75"/>
        <v>LATER</v>
      </c>
      <c r="T322" t="str">
        <f t="shared" si="76"/>
        <v>SainteLague</v>
      </c>
      <c r="U322">
        <f t="shared" si="78"/>
        <v>321</v>
      </c>
      <c r="V322">
        <f t="shared" si="77"/>
        <v>49082</v>
      </c>
      <c r="W322" s="8" t="str">
        <f>VLOOKUP(V322,'ideas-input'!$A:$B,2,FALSE)</f>
        <v>[Qlik] - Incluir ECCS en Analítica Comercial</v>
      </c>
      <c r="X322" t="str">
        <f t="shared" ref="X322:X385" si="80">F322</f>
        <v>CCO</v>
      </c>
      <c r="Y322" s="8" t="str">
        <f>VLOOKUP(V322,'ideas-input'!$A:$D,4,FALSE)</f>
        <v>eCommerce</v>
      </c>
      <c r="Z322" t="str">
        <f t="shared" ref="Z322:Z385" si="81">H322</f>
        <v>Commercial</v>
      </c>
      <c r="AA322" t="str">
        <f t="shared" ref="AA322:AA385" si="82">I322</f>
        <v>In Definition</v>
      </c>
      <c r="AB322">
        <f t="shared" ref="AB322:AB385" si="83">J322</f>
        <v>14</v>
      </c>
      <c r="AC322">
        <f t="shared" ref="AC322:AC385" si="84">K322</f>
        <v>0.03</v>
      </c>
      <c r="AD322">
        <f t="shared" ref="AD322:AD385" si="85">L322</f>
        <v>1</v>
      </c>
      <c r="AE322">
        <f t="shared" ref="AE322:AE385" si="86">M322</f>
        <v>1</v>
      </c>
      <c r="AF322">
        <f t="shared" ref="AF322:AF385" si="87">N322</f>
        <v>1</v>
      </c>
      <c r="AG322">
        <f t="shared" ref="AG322:AG385" si="88">O322</f>
        <v>100</v>
      </c>
    </row>
    <row r="323" spans="1:33" x14ac:dyDescent="0.2">
      <c r="A323" t="s">
        <v>127</v>
      </c>
      <c r="B323" t="s">
        <v>128</v>
      </c>
      <c r="C323">
        <v>322</v>
      </c>
      <c r="D323">
        <v>78005</v>
      </c>
      <c r="E323" t="s">
        <v>171</v>
      </c>
      <c r="F323" t="s">
        <v>46</v>
      </c>
      <c r="G323" t="s">
        <v>379</v>
      </c>
      <c r="H323" t="s">
        <v>12</v>
      </c>
      <c r="I323" t="s">
        <v>91</v>
      </c>
      <c r="J323">
        <v>6</v>
      </c>
      <c r="K323">
        <v>3</v>
      </c>
      <c r="L323">
        <v>5</v>
      </c>
      <c r="M323">
        <v>5</v>
      </c>
      <c r="N323">
        <v>5</v>
      </c>
      <c r="O323">
        <v>5</v>
      </c>
      <c r="P323" t="b">
        <f t="shared" si="79"/>
        <v>0</v>
      </c>
      <c r="S323" t="str">
        <f t="shared" si="75"/>
        <v>LATER</v>
      </c>
      <c r="T323" t="str">
        <f t="shared" si="76"/>
        <v>SainteLague</v>
      </c>
      <c r="U323">
        <f t="shared" si="78"/>
        <v>322</v>
      </c>
      <c r="V323">
        <f t="shared" si="77"/>
        <v>78005</v>
      </c>
      <c r="W323" s="8" t="str">
        <f>VLOOKUP(V323,'ideas-input'!$A:$B,2,FALSE)</f>
        <v>Nexus | We Care | Adaptation of Service Infrastructures | MVP</v>
      </c>
      <c r="X323" t="str">
        <f t="shared" si="80"/>
        <v>AVC</v>
      </c>
      <c r="Y323" s="8" t="str">
        <f>VLOOKUP(V323,'ideas-input'!$A:$D,4,FALSE)</f>
        <v>eCommerce</v>
      </c>
      <c r="Z323" t="str">
        <f t="shared" si="81"/>
        <v>Corporate</v>
      </c>
      <c r="AA323" t="str">
        <f t="shared" si="82"/>
        <v>Backlog</v>
      </c>
      <c r="AB323">
        <f t="shared" si="83"/>
        <v>6</v>
      </c>
      <c r="AC323">
        <f t="shared" si="84"/>
        <v>3</v>
      </c>
      <c r="AD323">
        <f t="shared" si="85"/>
        <v>5</v>
      </c>
      <c r="AE323">
        <f t="shared" si="86"/>
        <v>5</v>
      </c>
      <c r="AF323">
        <f t="shared" si="87"/>
        <v>5</v>
      </c>
      <c r="AG323">
        <f t="shared" si="88"/>
        <v>5</v>
      </c>
    </row>
    <row r="324" spans="1:33" x14ac:dyDescent="0.2">
      <c r="A324" t="s">
        <v>127</v>
      </c>
      <c r="B324" t="s">
        <v>128</v>
      </c>
      <c r="C324">
        <v>323</v>
      </c>
      <c r="D324">
        <v>65926</v>
      </c>
      <c r="E324" t="s">
        <v>1156</v>
      </c>
      <c r="F324" t="s">
        <v>64</v>
      </c>
      <c r="G324" t="s">
        <v>10</v>
      </c>
      <c r="H324" t="s">
        <v>6</v>
      </c>
      <c r="I324" t="s">
        <v>91</v>
      </c>
      <c r="J324">
        <v>46</v>
      </c>
      <c r="K324">
        <v>0.03</v>
      </c>
      <c r="L324">
        <v>1</v>
      </c>
      <c r="M324">
        <v>1</v>
      </c>
      <c r="N324">
        <v>1</v>
      </c>
      <c r="O324">
        <v>100</v>
      </c>
      <c r="P324" t="b">
        <f t="shared" si="79"/>
        <v>0</v>
      </c>
      <c r="S324" t="str">
        <f t="shared" si="75"/>
        <v>LATER</v>
      </c>
      <c r="T324" t="str">
        <f t="shared" si="76"/>
        <v>SainteLague</v>
      </c>
      <c r="U324">
        <f t="shared" si="78"/>
        <v>323</v>
      </c>
      <c r="V324">
        <f t="shared" si="77"/>
        <v>65926</v>
      </c>
      <c r="W324" s="8" t="str">
        <f>VLOOKUP(V324,'ideas-input'!$A:$B,2,FALSE)</f>
        <v>Evolución portal de LastMile V.2</v>
      </c>
      <c r="X324" t="str">
        <f t="shared" si="80"/>
        <v>COO</v>
      </c>
      <c r="Y324" s="8" t="str">
        <f>VLOOKUP(V324,'ideas-input'!$A:$D,4,FALSE)</f>
        <v>eCommerce</v>
      </c>
      <c r="Z324" t="str">
        <f t="shared" si="81"/>
        <v>Operations</v>
      </c>
      <c r="AA324" t="str">
        <f t="shared" si="82"/>
        <v>Backlog</v>
      </c>
      <c r="AB324">
        <f t="shared" si="83"/>
        <v>46</v>
      </c>
      <c r="AC324">
        <f t="shared" si="84"/>
        <v>0.03</v>
      </c>
      <c r="AD324">
        <f t="shared" si="85"/>
        <v>1</v>
      </c>
      <c r="AE324">
        <f t="shared" si="86"/>
        <v>1</v>
      </c>
      <c r="AF324">
        <f t="shared" si="87"/>
        <v>1</v>
      </c>
      <c r="AG324">
        <f t="shared" si="88"/>
        <v>100</v>
      </c>
    </row>
    <row r="325" spans="1:33" x14ac:dyDescent="0.2">
      <c r="A325" t="s">
        <v>127</v>
      </c>
      <c r="B325" t="s">
        <v>128</v>
      </c>
      <c r="C325">
        <v>324</v>
      </c>
      <c r="D325">
        <v>98564</v>
      </c>
      <c r="E325" t="s">
        <v>303</v>
      </c>
      <c r="F325" t="s">
        <v>9</v>
      </c>
      <c r="G325" t="s">
        <v>379</v>
      </c>
      <c r="H325" t="s">
        <v>8</v>
      </c>
      <c r="I325" t="s">
        <v>91</v>
      </c>
      <c r="J325">
        <v>15</v>
      </c>
      <c r="K325">
        <v>0.03</v>
      </c>
      <c r="L325">
        <v>1</v>
      </c>
      <c r="M325">
        <v>1</v>
      </c>
      <c r="N325">
        <v>1</v>
      </c>
      <c r="O325">
        <v>100</v>
      </c>
      <c r="P325" t="b">
        <f t="shared" si="79"/>
        <v>0</v>
      </c>
      <c r="S325" t="str">
        <f t="shared" si="75"/>
        <v>LATER</v>
      </c>
      <c r="T325" t="str">
        <f t="shared" si="76"/>
        <v>SainteLague</v>
      </c>
      <c r="U325">
        <f t="shared" si="78"/>
        <v>324</v>
      </c>
      <c r="V325">
        <f t="shared" si="77"/>
        <v>98564</v>
      </c>
      <c r="W325" s="8" t="str">
        <f>VLOOKUP(V325,'ideas-input'!$A:$B,2,FALSE)</f>
        <v>CCP | Commercial Catalog | Synchronization with SAP</v>
      </c>
      <c r="X325" t="str">
        <f t="shared" si="80"/>
        <v>SI</v>
      </c>
      <c r="Y325" s="8" t="str">
        <f>VLOOKUP(V325,'ideas-input'!$A:$D,4,FALSE)</f>
        <v>Mail</v>
      </c>
      <c r="Z325" t="str">
        <f t="shared" si="81"/>
        <v>Technology</v>
      </c>
      <c r="AA325" t="str">
        <f t="shared" si="82"/>
        <v>Backlog</v>
      </c>
      <c r="AB325">
        <f t="shared" si="83"/>
        <v>15</v>
      </c>
      <c r="AC325">
        <f t="shared" si="84"/>
        <v>0.03</v>
      </c>
      <c r="AD325">
        <f t="shared" si="85"/>
        <v>1</v>
      </c>
      <c r="AE325">
        <f t="shared" si="86"/>
        <v>1</v>
      </c>
      <c r="AF325">
        <f t="shared" si="87"/>
        <v>1</v>
      </c>
      <c r="AG325">
        <f t="shared" si="88"/>
        <v>100</v>
      </c>
    </row>
    <row r="326" spans="1:33" x14ac:dyDescent="0.2">
      <c r="A326" t="s">
        <v>127</v>
      </c>
      <c r="B326" t="s">
        <v>128</v>
      </c>
      <c r="C326">
        <v>325</v>
      </c>
      <c r="D326">
        <v>43537</v>
      </c>
      <c r="E326" t="s">
        <v>1661</v>
      </c>
      <c r="F326" t="s">
        <v>69</v>
      </c>
      <c r="G326" t="s">
        <v>10</v>
      </c>
      <c r="H326" t="s">
        <v>12</v>
      </c>
      <c r="I326" t="s">
        <v>91</v>
      </c>
      <c r="J326">
        <v>14</v>
      </c>
      <c r="K326">
        <v>0.03</v>
      </c>
      <c r="L326">
        <v>1</v>
      </c>
      <c r="M326">
        <v>1</v>
      </c>
      <c r="N326">
        <v>1</v>
      </c>
      <c r="O326">
        <v>100</v>
      </c>
      <c r="P326" t="b">
        <f t="shared" si="79"/>
        <v>0</v>
      </c>
      <c r="S326" t="str">
        <f t="shared" si="75"/>
        <v>LATER</v>
      </c>
      <c r="T326" t="str">
        <f t="shared" si="76"/>
        <v>SainteLague</v>
      </c>
      <c r="U326">
        <f t="shared" si="78"/>
        <v>325</v>
      </c>
      <c r="V326">
        <f t="shared" si="77"/>
        <v>43537</v>
      </c>
      <c r="W326" s="8" t="str">
        <f>VLOOKUP(V326,'ideas-input'!$A:$B,2,FALSE)</f>
        <v>[Evolutivos SGC Finanzas]  Funcionalidad "Redireccionar servicios" en Valoracion de servicios funciona parcialmente</v>
      </c>
      <c r="X326" t="str">
        <f t="shared" si="80"/>
        <v>CFO</v>
      </c>
      <c r="Y326" s="8" t="str">
        <f>VLOOKUP(V326,'ideas-input'!$A:$D,4,FALSE)</f>
        <v>eCommerce</v>
      </c>
      <c r="Z326" t="str">
        <f t="shared" si="81"/>
        <v>Corporate</v>
      </c>
      <c r="AA326" t="str">
        <f t="shared" si="82"/>
        <v>Backlog</v>
      </c>
      <c r="AB326">
        <f t="shared" si="83"/>
        <v>14</v>
      </c>
      <c r="AC326">
        <f t="shared" si="84"/>
        <v>0.03</v>
      </c>
      <c r="AD326">
        <f t="shared" si="85"/>
        <v>1</v>
      </c>
      <c r="AE326">
        <f t="shared" si="86"/>
        <v>1</v>
      </c>
      <c r="AF326">
        <f t="shared" si="87"/>
        <v>1</v>
      </c>
      <c r="AG326">
        <f t="shared" si="88"/>
        <v>100</v>
      </c>
    </row>
    <row r="327" spans="1:33" x14ac:dyDescent="0.2">
      <c r="A327" t="s">
        <v>127</v>
      </c>
      <c r="B327" t="s">
        <v>128</v>
      </c>
      <c r="C327">
        <v>326</v>
      </c>
      <c r="D327">
        <v>126931</v>
      </c>
      <c r="E327" t="s">
        <v>1161</v>
      </c>
      <c r="F327" t="s">
        <v>37</v>
      </c>
      <c r="G327" t="s">
        <v>379</v>
      </c>
      <c r="H327" t="s">
        <v>5</v>
      </c>
      <c r="I327" t="s">
        <v>91</v>
      </c>
      <c r="J327">
        <v>6</v>
      </c>
      <c r="K327">
        <v>0.03</v>
      </c>
      <c r="L327">
        <v>1</v>
      </c>
      <c r="M327">
        <v>1</v>
      </c>
      <c r="N327">
        <v>1</v>
      </c>
      <c r="O327">
        <v>100</v>
      </c>
      <c r="P327" t="b">
        <f t="shared" si="79"/>
        <v>0</v>
      </c>
      <c r="S327" t="str">
        <f t="shared" si="75"/>
        <v>LATER</v>
      </c>
      <c r="T327" t="str">
        <f t="shared" si="76"/>
        <v>SainteLague</v>
      </c>
      <c r="U327">
        <f t="shared" si="78"/>
        <v>326</v>
      </c>
      <c r="V327">
        <f t="shared" si="77"/>
        <v>126931</v>
      </c>
      <c r="W327" s="8" t="str">
        <f>VLOOKUP(V327,'ideas-input'!$A:$B,2,FALSE)</f>
        <v>Moneyball - Gestão de Consentimentos</v>
      </c>
      <c r="X327" t="str">
        <f t="shared" si="80"/>
        <v>GS</v>
      </c>
      <c r="Y327" s="8" t="str">
        <f>VLOOKUP(V327,'ideas-input'!$A:$D,4,FALSE)</f>
        <v>Mail</v>
      </c>
      <c r="Z327" t="str">
        <f t="shared" si="81"/>
        <v>Commercial</v>
      </c>
      <c r="AA327" t="str">
        <f t="shared" si="82"/>
        <v>Backlog</v>
      </c>
      <c r="AB327">
        <f t="shared" si="83"/>
        <v>6</v>
      </c>
      <c r="AC327">
        <f t="shared" si="84"/>
        <v>0.03</v>
      </c>
      <c r="AD327">
        <f t="shared" si="85"/>
        <v>1</v>
      </c>
      <c r="AE327">
        <f t="shared" si="86"/>
        <v>1</v>
      </c>
      <c r="AF327">
        <f t="shared" si="87"/>
        <v>1</v>
      </c>
      <c r="AG327">
        <f t="shared" si="88"/>
        <v>100</v>
      </c>
    </row>
    <row r="328" spans="1:33" x14ac:dyDescent="0.2">
      <c r="A328" t="s">
        <v>127</v>
      </c>
      <c r="B328" t="s">
        <v>128</v>
      </c>
      <c r="C328">
        <v>327</v>
      </c>
      <c r="D328">
        <v>59126</v>
      </c>
      <c r="E328" t="s">
        <v>1115</v>
      </c>
      <c r="F328" t="s">
        <v>70</v>
      </c>
      <c r="G328" t="s">
        <v>10</v>
      </c>
      <c r="H328" t="s">
        <v>8</v>
      </c>
      <c r="I328" t="s">
        <v>91</v>
      </c>
      <c r="J328">
        <v>34</v>
      </c>
      <c r="K328">
        <v>0.03</v>
      </c>
      <c r="L328">
        <v>1</v>
      </c>
      <c r="M328">
        <v>1</v>
      </c>
      <c r="N328">
        <v>1</v>
      </c>
      <c r="O328">
        <v>100</v>
      </c>
      <c r="P328" t="b">
        <f t="shared" si="79"/>
        <v>0</v>
      </c>
      <c r="S328" t="str">
        <f t="shared" si="75"/>
        <v>LATER</v>
      </c>
      <c r="T328" t="str">
        <f t="shared" si="76"/>
        <v>SainteLague</v>
      </c>
      <c r="U328">
        <f t="shared" si="78"/>
        <v>327</v>
      </c>
      <c r="V328">
        <f t="shared" si="77"/>
        <v>59126</v>
      </c>
      <c r="W328" s="8" t="str">
        <f>VLOOKUP(V328,'ideas-input'!$A:$B,2,FALSE)</f>
        <v>Actualización de maestro de códigos postales PT en nexus</v>
      </c>
      <c r="X328" t="str">
        <f t="shared" si="80"/>
        <v>CIO</v>
      </c>
      <c r="Y328" s="8" t="str">
        <f>VLOOKUP(V328,'ideas-input'!$A:$D,4,FALSE)</f>
        <v>eCommerce</v>
      </c>
      <c r="Z328" t="str">
        <f t="shared" si="81"/>
        <v>Technology</v>
      </c>
      <c r="AA328" t="str">
        <f t="shared" si="82"/>
        <v>Backlog</v>
      </c>
      <c r="AB328">
        <f t="shared" si="83"/>
        <v>34</v>
      </c>
      <c r="AC328">
        <f t="shared" si="84"/>
        <v>0.03</v>
      </c>
      <c r="AD328">
        <f t="shared" si="85"/>
        <v>1</v>
      </c>
      <c r="AE328">
        <f t="shared" si="86"/>
        <v>1</v>
      </c>
      <c r="AF328">
        <f t="shared" si="87"/>
        <v>1</v>
      </c>
      <c r="AG328">
        <f t="shared" si="88"/>
        <v>100</v>
      </c>
    </row>
    <row r="329" spans="1:33" x14ac:dyDescent="0.2">
      <c r="A329" t="s">
        <v>127</v>
      </c>
      <c r="B329" t="s">
        <v>128</v>
      </c>
      <c r="C329">
        <v>328</v>
      </c>
      <c r="D329">
        <v>35445</v>
      </c>
      <c r="E329" t="s">
        <v>373</v>
      </c>
      <c r="F329" t="s">
        <v>98</v>
      </c>
      <c r="G329" t="s">
        <v>379</v>
      </c>
      <c r="H329" t="s">
        <v>12</v>
      </c>
      <c r="I329" t="s">
        <v>130</v>
      </c>
      <c r="J329">
        <v>6</v>
      </c>
      <c r="K329">
        <v>0.03</v>
      </c>
      <c r="L329">
        <v>1</v>
      </c>
      <c r="M329">
        <v>1</v>
      </c>
      <c r="N329">
        <v>1</v>
      </c>
      <c r="O329">
        <v>100</v>
      </c>
      <c r="P329" t="b">
        <f t="shared" si="79"/>
        <v>0</v>
      </c>
      <c r="S329" t="str">
        <f t="shared" si="75"/>
        <v>LATER</v>
      </c>
      <c r="T329" t="str">
        <f t="shared" si="76"/>
        <v>SainteLague</v>
      </c>
      <c r="U329">
        <f t="shared" si="78"/>
        <v>328</v>
      </c>
      <c r="V329">
        <f t="shared" si="77"/>
        <v>35445</v>
      </c>
      <c r="W329" s="8" t="str">
        <f>VLOOKUP(V329,'ideas-input'!$A:$B,2,FALSE)</f>
        <v>Data Governance - Reference Data Management - MVP</v>
      </c>
      <c r="X329" t="str">
        <f t="shared" si="80"/>
        <v>PC</v>
      </c>
      <c r="Y329" s="8" t="str">
        <f>VLOOKUP(V329,'ideas-input'!$A:$D,4,FALSE)</f>
        <v>Mail</v>
      </c>
      <c r="Z329" t="str">
        <f t="shared" si="81"/>
        <v>Corporate</v>
      </c>
      <c r="AA329" t="str">
        <f t="shared" si="82"/>
        <v>High Level Design</v>
      </c>
      <c r="AB329">
        <f t="shared" si="83"/>
        <v>6</v>
      </c>
      <c r="AC329">
        <f t="shared" si="84"/>
        <v>0.03</v>
      </c>
      <c r="AD329">
        <f t="shared" si="85"/>
        <v>1</v>
      </c>
      <c r="AE329">
        <f t="shared" si="86"/>
        <v>1</v>
      </c>
      <c r="AF329">
        <f t="shared" si="87"/>
        <v>1</v>
      </c>
      <c r="AG329">
        <f t="shared" si="88"/>
        <v>100</v>
      </c>
    </row>
    <row r="330" spans="1:33" x14ac:dyDescent="0.2">
      <c r="A330" t="s">
        <v>127</v>
      </c>
      <c r="B330" t="s">
        <v>128</v>
      </c>
      <c r="C330">
        <v>329</v>
      </c>
      <c r="D330">
        <v>59669</v>
      </c>
      <c r="E330" t="s">
        <v>1165</v>
      </c>
      <c r="F330" t="s">
        <v>68</v>
      </c>
      <c r="G330" t="s">
        <v>10</v>
      </c>
      <c r="H330" t="s">
        <v>5</v>
      </c>
      <c r="I330" t="s">
        <v>91</v>
      </c>
      <c r="J330">
        <v>12</v>
      </c>
      <c r="K330">
        <v>0.03</v>
      </c>
      <c r="L330">
        <v>1</v>
      </c>
      <c r="M330">
        <v>1</v>
      </c>
      <c r="N330">
        <v>1</v>
      </c>
      <c r="O330">
        <v>100</v>
      </c>
      <c r="P330" t="b">
        <f t="shared" si="79"/>
        <v>0</v>
      </c>
      <c r="S330" t="str">
        <f t="shared" si="75"/>
        <v>LATER</v>
      </c>
      <c r="T330" t="str">
        <f t="shared" si="76"/>
        <v>SainteLague</v>
      </c>
      <c r="U330">
        <f t="shared" si="78"/>
        <v>329</v>
      </c>
      <c r="V330">
        <f t="shared" si="77"/>
        <v>59669</v>
      </c>
      <c r="W330" s="8" t="str">
        <f>VLOOKUP(V330,'ideas-input'!$A:$B,2,FALSE)</f>
        <v>[User Endpoint API REST GET TRACKING] Añadir organic_point_code cuando estados 2300 / 2310</v>
      </c>
      <c r="X330" t="str">
        <f t="shared" si="80"/>
        <v>IDC</v>
      </c>
      <c r="Y330" s="8" t="str">
        <f>VLOOKUP(V330,'ideas-input'!$A:$D,4,FALSE)</f>
        <v>eCommerce</v>
      </c>
      <c r="Z330" t="str">
        <f t="shared" si="81"/>
        <v>Commercial</v>
      </c>
      <c r="AA330" t="str">
        <f t="shared" si="82"/>
        <v>Backlog</v>
      </c>
      <c r="AB330">
        <f t="shared" si="83"/>
        <v>12</v>
      </c>
      <c r="AC330">
        <f t="shared" si="84"/>
        <v>0.03</v>
      </c>
      <c r="AD330">
        <f t="shared" si="85"/>
        <v>1</v>
      </c>
      <c r="AE330">
        <f t="shared" si="86"/>
        <v>1</v>
      </c>
      <c r="AF330">
        <f t="shared" si="87"/>
        <v>1</v>
      </c>
      <c r="AG330">
        <f t="shared" si="88"/>
        <v>100</v>
      </c>
    </row>
    <row r="331" spans="1:33" x14ac:dyDescent="0.2">
      <c r="A331" t="s">
        <v>127</v>
      </c>
      <c r="B331" t="s">
        <v>128</v>
      </c>
      <c r="C331">
        <v>330</v>
      </c>
      <c r="D331">
        <v>193041</v>
      </c>
      <c r="E331" t="s">
        <v>1100</v>
      </c>
      <c r="F331" t="s">
        <v>34</v>
      </c>
      <c r="G331" t="s">
        <v>379</v>
      </c>
      <c r="H331" t="s">
        <v>8</v>
      </c>
      <c r="I331" t="s">
        <v>91</v>
      </c>
      <c r="J331">
        <v>6</v>
      </c>
      <c r="K331">
        <v>0.03</v>
      </c>
      <c r="L331">
        <v>1</v>
      </c>
      <c r="M331">
        <v>1</v>
      </c>
      <c r="N331">
        <v>1</v>
      </c>
      <c r="O331">
        <v>100</v>
      </c>
      <c r="P331" t="b">
        <f t="shared" si="79"/>
        <v>0</v>
      </c>
      <c r="S331" t="str">
        <f t="shared" si="75"/>
        <v>LATER</v>
      </c>
      <c r="T331" t="str">
        <f t="shared" si="76"/>
        <v>SainteLague</v>
      </c>
      <c r="U331">
        <f t="shared" si="78"/>
        <v>330</v>
      </c>
      <c r="V331">
        <f t="shared" si="77"/>
        <v>193041</v>
      </c>
      <c r="W331" s="8" t="str">
        <f>VLOOKUP(V331,'ideas-input'!$A:$B,2,FALSE)</f>
        <v>BancoCTT - Redução horário Tesouraria | Automatização do horário da senha D</v>
      </c>
      <c r="X331" t="str">
        <f t="shared" si="80"/>
        <v>BCTT</v>
      </c>
      <c r="Y331" s="8" t="str">
        <f>VLOOKUP(V331,'ideas-input'!$A:$D,4,FALSE)</f>
        <v>Mail</v>
      </c>
      <c r="Z331" t="str">
        <f t="shared" si="81"/>
        <v>Technology</v>
      </c>
      <c r="AA331" t="str">
        <f t="shared" si="82"/>
        <v>Backlog</v>
      </c>
      <c r="AB331">
        <f t="shared" si="83"/>
        <v>6</v>
      </c>
      <c r="AC331">
        <f t="shared" si="84"/>
        <v>0.03</v>
      </c>
      <c r="AD331">
        <f t="shared" si="85"/>
        <v>1</v>
      </c>
      <c r="AE331">
        <f t="shared" si="86"/>
        <v>1</v>
      </c>
      <c r="AF331">
        <f t="shared" si="87"/>
        <v>1</v>
      </c>
      <c r="AG331">
        <f t="shared" si="88"/>
        <v>100</v>
      </c>
    </row>
    <row r="332" spans="1:33" x14ac:dyDescent="0.2">
      <c r="A332" t="s">
        <v>127</v>
      </c>
      <c r="B332" t="s">
        <v>128</v>
      </c>
      <c r="C332">
        <v>331</v>
      </c>
      <c r="D332">
        <v>63175</v>
      </c>
      <c r="E332" t="s">
        <v>1162</v>
      </c>
      <c r="F332" t="s">
        <v>64</v>
      </c>
      <c r="G332" t="s">
        <v>10</v>
      </c>
      <c r="H332" t="s">
        <v>6</v>
      </c>
      <c r="I332" t="s">
        <v>97</v>
      </c>
      <c r="J332">
        <v>47</v>
      </c>
      <c r="K332">
        <v>0.03</v>
      </c>
      <c r="L332">
        <v>1</v>
      </c>
      <c r="M332">
        <v>1</v>
      </c>
      <c r="N332">
        <v>1</v>
      </c>
      <c r="O332">
        <v>100</v>
      </c>
      <c r="P332" t="b">
        <f t="shared" si="79"/>
        <v>0</v>
      </c>
      <c r="S332" t="str">
        <f t="shared" si="75"/>
        <v>LATER</v>
      </c>
      <c r="T332" t="str">
        <f t="shared" si="76"/>
        <v>SainteLague</v>
      </c>
      <c r="U332">
        <f t="shared" si="78"/>
        <v>331</v>
      </c>
      <c r="V332">
        <f t="shared" si="77"/>
        <v>63175</v>
      </c>
      <c r="W332" s="8" t="str">
        <f>VLOOKUP(V332,'ideas-input'!$A:$B,2,FALSE)</f>
        <v>Actualización Plan C</v>
      </c>
      <c r="X332" t="str">
        <f t="shared" si="80"/>
        <v>COO</v>
      </c>
      <c r="Y332" s="8" t="str">
        <f>VLOOKUP(V332,'ideas-input'!$A:$D,4,FALSE)</f>
        <v>eCommerce</v>
      </c>
      <c r="Z332" t="str">
        <f t="shared" si="81"/>
        <v>Operations</v>
      </c>
      <c r="AA332" t="str">
        <f t="shared" si="82"/>
        <v>Ready for Solution</v>
      </c>
      <c r="AB332">
        <f t="shared" si="83"/>
        <v>47</v>
      </c>
      <c r="AC332">
        <f t="shared" si="84"/>
        <v>0.03</v>
      </c>
      <c r="AD332">
        <f t="shared" si="85"/>
        <v>1</v>
      </c>
      <c r="AE332">
        <f t="shared" si="86"/>
        <v>1</v>
      </c>
      <c r="AF332">
        <f t="shared" si="87"/>
        <v>1</v>
      </c>
      <c r="AG332">
        <f t="shared" si="88"/>
        <v>100</v>
      </c>
    </row>
    <row r="333" spans="1:33" x14ac:dyDescent="0.2">
      <c r="A333" t="s">
        <v>127</v>
      </c>
      <c r="B333" t="s">
        <v>128</v>
      </c>
      <c r="C333">
        <v>332</v>
      </c>
      <c r="D333">
        <v>133470</v>
      </c>
      <c r="E333" t="s">
        <v>138</v>
      </c>
      <c r="F333" t="s">
        <v>21</v>
      </c>
      <c r="G333" t="s">
        <v>379</v>
      </c>
      <c r="H333" t="s">
        <v>5</v>
      </c>
      <c r="I333" t="s">
        <v>91</v>
      </c>
      <c r="J333">
        <v>8</v>
      </c>
      <c r="K333">
        <v>0.03</v>
      </c>
      <c r="L333">
        <v>1</v>
      </c>
      <c r="M333">
        <v>1</v>
      </c>
      <c r="N333">
        <v>1</v>
      </c>
      <c r="O333">
        <v>100</v>
      </c>
      <c r="P333" t="b">
        <f t="shared" si="79"/>
        <v>0</v>
      </c>
      <c r="S333" t="str">
        <f t="shared" si="75"/>
        <v>LATER</v>
      </c>
      <c r="T333" t="str">
        <f t="shared" si="76"/>
        <v>SainteLague</v>
      </c>
      <c r="U333">
        <f t="shared" si="78"/>
        <v>332</v>
      </c>
      <c r="V333">
        <f t="shared" si="77"/>
        <v>133470</v>
      </c>
      <c r="W333" s="8" t="str">
        <f>VLOOKUP(V333,'ideas-input'!$A:$B,2,FALSE)</f>
        <v>Correio Inteligente - FTP para P&amp;F</v>
      </c>
      <c r="X333" t="str">
        <f t="shared" si="80"/>
        <v>GP B2B</v>
      </c>
      <c r="Y333" s="8" t="str">
        <f>VLOOKUP(V333,'ideas-input'!$A:$D,4,FALSE)</f>
        <v>Business Solutions</v>
      </c>
      <c r="Z333" t="str">
        <f t="shared" si="81"/>
        <v>Commercial</v>
      </c>
      <c r="AA333" t="str">
        <f t="shared" si="82"/>
        <v>Backlog</v>
      </c>
      <c r="AB333">
        <f t="shared" si="83"/>
        <v>8</v>
      </c>
      <c r="AC333">
        <f t="shared" si="84"/>
        <v>0.03</v>
      </c>
      <c r="AD333">
        <f t="shared" si="85"/>
        <v>1</v>
      </c>
      <c r="AE333">
        <f t="shared" si="86"/>
        <v>1</v>
      </c>
      <c r="AF333">
        <f t="shared" si="87"/>
        <v>1</v>
      </c>
      <c r="AG333">
        <f t="shared" si="88"/>
        <v>100</v>
      </c>
    </row>
    <row r="334" spans="1:33" x14ac:dyDescent="0.2">
      <c r="A334" t="s">
        <v>127</v>
      </c>
      <c r="B334" t="s">
        <v>128</v>
      </c>
      <c r="C334">
        <v>333</v>
      </c>
      <c r="D334">
        <v>43583</v>
      </c>
      <c r="E334" t="s">
        <v>198</v>
      </c>
      <c r="F334" t="s">
        <v>65</v>
      </c>
      <c r="G334" t="s">
        <v>10</v>
      </c>
      <c r="H334" t="s">
        <v>5</v>
      </c>
      <c r="I334" t="s">
        <v>97</v>
      </c>
      <c r="J334">
        <v>21</v>
      </c>
      <c r="K334">
        <v>0.03</v>
      </c>
      <c r="L334">
        <v>1</v>
      </c>
      <c r="M334">
        <v>1</v>
      </c>
      <c r="N334">
        <v>1</v>
      </c>
      <c r="O334">
        <v>100</v>
      </c>
      <c r="P334" t="b">
        <f t="shared" si="79"/>
        <v>0</v>
      </c>
      <c r="S334" t="str">
        <f t="shared" si="75"/>
        <v>LATER</v>
      </c>
      <c r="T334" t="str">
        <f t="shared" si="76"/>
        <v>SainteLague</v>
      </c>
      <c r="U334">
        <f t="shared" si="78"/>
        <v>333</v>
      </c>
      <c r="V334">
        <f t="shared" si="77"/>
        <v>43583</v>
      </c>
      <c r="W334" s="8" t="str">
        <f>VLOOKUP(V334,'ideas-input'!$A:$B,2,FALSE)</f>
        <v>[Nexus] [Producto] - OTP entrega segura</v>
      </c>
      <c r="X334" t="str">
        <f t="shared" si="80"/>
        <v>CMO</v>
      </c>
      <c r="Y334" s="8" t="str">
        <f>VLOOKUP(V334,'ideas-input'!$A:$D,4,FALSE)</f>
        <v>eCommerce</v>
      </c>
      <c r="Z334" t="str">
        <f t="shared" si="81"/>
        <v>Commercial</v>
      </c>
      <c r="AA334" t="str">
        <f t="shared" si="82"/>
        <v>Ready for Solution</v>
      </c>
      <c r="AB334">
        <f t="shared" si="83"/>
        <v>21</v>
      </c>
      <c r="AC334">
        <f t="shared" si="84"/>
        <v>0.03</v>
      </c>
      <c r="AD334">
        <f t="shared" si="85"/>
        <v>1</v>
      </c>
      <c r="AE334">
        <f t="shared" si="86"/>
        <v>1</v>
      </c>
      <c r="AF334">
        <f t="shared" si="87"/>
        <v>1</v>
      </c>
      <c r="AG334">
        <f t="shared" si="88"/>
        <v>100</v>
      </c>
    </row>
    <row r="335" spans="1:33" x14ac:dyDescent="0.2">
      <c r="A335" t="s">
        <v>127</v>
      </c>
      <c r="B335" t="s">
        <v>128</v>
      </c>
      <c r="C335">
        <v>334</v>
      </c>
      <c r="D335">
        <v>53828</v>
      </c>
      <c r="E335" t="s">
        <v>1046</v>
      </c>
      <c r="F335" t="s">
        <v>11</v>
      </c>
      <c r="G335" t="s">
        <v>379</v>
      </c>
      <c r="H335" t="s">
        <v>11</v>
      </c>
      <c r="I335" t="s">
        <v>91</v>
      </c>
      <c r="J335">
        <v>9</v>
      </c>
      <c r="K335">
        <v>0.03</v>
      </c>
      <c r="L335">
        <v>1</v>
      </c>
      <c r="M335">
        <v>1</v>
      </c>
      <c r="N335">
        <v>1</v>
      </c>
      <c r="O335">
        <v>100</v>
      </c>
      <c r="P335" t="b">
        <f t="shared" si="79"/>
        <v>0</v>
      </c>
      <c r="S335" t="str">
        <f t="shared" si="75"/>
        <v>LATER</v>
      </c>
      <c r="T335" t="str">
        <f t="shared" si="76"/>
        <v>SainteLague</v>
      </c>
      <c r="U335">
        <f t="shared" si="78"/>
        <v>334</v>
      </c>
      <c r="V335">
        <f t="shared" si="77"/>
        <v>53828</v>
      </c>
      <c r="W335" s="8" t="str">
        <f>VLOOKUP(V335,'ideas-input'!$A:$B,2,FALSE)</f>
        <v>Segurança da Informação - revisão anual 2025 de Políticas e Normativos</v>
      </c>
      <c r="X335" t="str">
        <f t="shared" si="80"/>
        <v>CISO</v>
      </c>
      <c r="Y335" s="8" t="str">
        <f>VLOOKUP(V335,'ideas-input'!$A:$D,4,FALSE)</f>
        <v>Mail</v>
      </c>
      <c r="Z335" t="str">
        <f t="shared" si="81"/>
        <v>CISO</v>
      </c>
      <c r="AA335" t="str">
        <f t="shared" si="82"/>
        <v>Backlog</v>
      </c>
      <c r="AB335">
        <f t="shared" si="83"/>
        <v>9</v>
      </c>
      <c r="AC335">
        <f t="shared" si="84"/>
        <v>0.03</v>
      </c>
      <c r="AD335">
        <f t="shared" si="85"/>
        <v>1</v>
      </c>
      <c r="AE335">
        <f t="shared" si="86"/>
        <v>1</v>
      </c>
      <c r="AF335">
        <f t="shared" si="87"/>
        <v>1</v>
      </c>
      <c r="AG335">
        <f t="shared" si="88"/>
        <v>100</v>
      </c>
    </row>
    <row r="336" spans="1:33" x14ac:dyDescent="0.2">
      <c r="A336" t="s">
        <v>127</v>
      </c>
      <c r="B336" t="s">
        <v>128</v>
      </c>
      <c r="C336">
        <v>335</v>
      </c>
      <c r="D336">
        <v>139789</v>
      </c>
      <c r="E336" t="s">
        <v>1167</v>
      </c>
      <c r="F336" t="s">
        <v>64</v>
      </c>
      <c r="G336" t="s">
        <v>10</v>
      </c>
      <c r="H336" t="s">
        <v>6</v>
      </c>
      <c r="I336" t="s">
        <v>91</v>
      </c>
      <c r="J336">
        <v>48</v>
      </c>
      <c r="K336">
        <v>4.5</v>
      </c>
      <c r="L336">
        <v>2</v>
      </c>
      <c r="M336">
        <v>5</v>
      </c>
      <c r="N336">
        <v>2</v>
      </c>
      <c r="O336">
        <v>2</v>
      </c>
      <c r="P336" t="b">
        <f t="shared" si="79"/>
        <v>0</v>
      </c>
      <c r="S336" t="str">
        <f t="shared" si="75"/>
        <v>LATER</v>
      </c>
      <c r="T336" t="str">
        <f t="shared" si="76"/>
        <v>SainteLague</v>
      </c>
      <c r="U336">
        <f t="shared" si="78"/>
        <v>335</v>
      </c>
      <c r="V336">
        <f t="shared" si="77"/>
        <v>139789</v>
      </c>
      <c r="W336" s="8" t="str">
        <f>VLOOKUP(V336,'ideas-input'!$A:$B,2,FALSE)</f>
        <v>Mejora portal proveedor</v>
      </c>
      <c r="X336" t="str">
        <f t="shared" si="80"/>
        <v>COO</v>
      </c>
      <c r="Y336" s="8" t="str">
        <f>VLOOKUP(V336,'ideas-input'!$A:$D,4,FALSE)</f>
        <v>eCommerce</v>
      </c>
      <c r="Z336" t="str">
        <f t="shared" si="81"/>
        <v>Operations</v>
      </c>
      <c r="AA336" t="str">
        <f t="shared" si="82"/>
        <v>Backlog</v>
      </c>
      <c r="AB336">
        <f t="shared" si="83"/>
        <v>48</v>
      </c>
      <c r="AC336">
        <f t="shared" si="84"/>
        <v>4.5</v>
      </c>
      <c r="AD336">
        <f t="shared" si="85"/>
        <v>2</v>
      </c>
      <c r="AE336">
        <f t="shared" si="86"/>
        <v>5</v>
      </c>
      <c r="AF336">
        <f t="shared" si="87"/>
        <v>2</v>
      </c>
      <c r="AG336">
        <f t="shared" si="88"/>
        <v>2</v>
      </c>
    </row>
    <row r="337" spans="1:33" x14ac:dyDescent="0.2">
      <c r="A337" t="s">
        <v>127</v>
      </c>
      <c r="B337" t="s">
        <v>128</v>
      </c>
      <c r="C337">
        <v>336</v>
      </c>
      <c r="D337">
        <v>125766</v>
      </c>
      <c r="E337" t="s">
        <v>239</v>
      </c>
      <c r="F337" t="s">
        <v>22</v>
      </c>
      <c r="G337" t="s">
        <v>379</v>
      </c>
      <c r="H337" t="s">
        <v>12</v>
      </c>
      <c r="I337" t="s">
        <v>130</v>
      </c>
      <c r="J337">
        <v>7</v>
      </c>
      <c r="K337">
        <v>3</v>
      </c>
      <c r="L337">
        <v>1</v>
      </c>
      <c r="M337">
        <v>1</v>
      </c>
      <c r="N337">
        <v>1</v>
      </c>
      <c r="O337">
        <v>1</v>
      </c>
      <c r="P337" t="b">
        <f t="shared" si="79"/>
        <v>0</v>
      </c>
      <c r="S337" t="str">
        <f t="shared" si="75"/>
        <v>LATER</v>
      </c>
      <c r="T337" t="str">
        <f t="shared" si="76"/>
        <v>SainteLague</v>
      </c>
      <c r="U337">
        <f t="shared" si="78"/>
        <v>336</v>
      </c>
      <c r="V337">
        <f t="shared" si="77"/>
        <v>125766</v>
      </c>
      <c r="W337" s="8" t="str">
        <f>VLOOKUP(V337,'ideas-input'!$A:$B,2,FALSE)</f>
        <v>Evolutivas SAP FI Q1 2026</v>
      </c>
      <c r="X337" t="str">
        <f t="shared" si="80"/>
        <v>CF</v>
      </c>
      <c r="Y337" s="8" t="str">
        <f>VLOOKUP(V337,'ideas-input'!$A:$D,4,FALSE)</f>
        <v>Mail</v>
      </c>
      <c r="Z337" t="str">
        <f t="shared" si="81"/>
        <v>Corporate</v>
      </c>
      <c r="AA337" t="str">
        <f t="shared" si="82"/>
        <v>High Level Design</v>
      </c>
      <c r="AB337">
        <f t="shared" si="83"/>
        <v>7</v>
      </c>
      <c r="AC337">
        <f t="shared" si="84"/>
        <v>3</v>
      </c>
      <c r="AD337">
        <f t="shared" si="85"/>
        <v>1</v>
      </c>
      <c r="AE337">
        <f t="shared" si="86"/>
        <v>1</v>
      </c>
      <c r="AF337">
        <f t="shared" si="87"/>
        <v>1</v>
      </c>
      <c r="AG337">
        <f t="shared" si="88"/>
        <v>1</v>
      </c>
    </row>
    <row r="338" spans="1:33" x14ac:dyDescent="0.2">
      <c r="A338" t="s">
        <v>127</v>
      </c>
      <c r="B338" t="s">
        <v>128</v>
      </c>
      <c r="C338">
        <v>337</v>
      </c>
      <c r="D338">
        <v>65260</v>
      </c>
      <c r="E338" t="s">
        <v>1031</v>
      </c>
      <c r="F338" t="s">
        <v>71</v>
      </c>
      <c r="G338" t="s">
        <v>10</v>
      </c>
      <c r="H338" t="s">
        <v>12</v>
      </c>
      <c r="I338" t="s">
        <v>91</v>
      </c>
      <c r="J338">
        <v>4</v>
      </c>
      <c r="K338">
        <v>0.03</v>
      </c>
      <c r="L338">
        <v>1</v>
      </c>
      <c r="M338">
        <v>1</v>
      </c>
      <c r="N338">
        <v>1</v>
      </c>
      <c r="O338">
        <v>100</v>
      </c>
      <c r="P338" t="b">
        <f t="shared" si="79"/>
        <v>0</v>
      </c>
      <c r="S338" t="str">
        <f t="shared" si="75"/>
        <v>LATER</v>
      </c>
      <c r="T338" t="str">
        <f t="shared" si="76"/>
        <v>SainteLague</v>
      </c>
      <c r="U338">
        <f t="shared" si="78"/>
        <v>337</v>
      </c>
      <c r="V338">
        <f t="shared" si="77"/>
        <v>65260</v>
      </c>
      <c r="W338" s="8" t="str">
        <f>VLOOKUP(V338,'ideas-input'!$A:$B,2,FALSE)</f>
        <v>Visualización de kilómetros en Qlik</v>
      </c>
      <c r="X338" t="str">
        <f t="shared" si="80"/>
        <v>PRO</v>
      </c>
      <c r="Y338" s="8" t="str">
        <f>VLOOKUP(V338,'ideas-input'!$A:$D,4,FALSE)</f>
        <v>eCommerce</v>
      </c>
      <c r="Z338" t="str">
        <f t="shared" si="81"/>
        <v>Corporate</v>
      </c>
      <c r="AA338" t="str">
        <f t="shared" si="82"/>
        <v>Backlog</v>
      </c>
      <c r="AB338">
        <f t="shared" si="83"/>
        <v>4</v>
      </c>
      <c r="AC338">
        <f t="shared" si="84"/>
        <v>0.03</v>
      </c>
      <c r="AD338">
        <f t="shared" si="85"/>
        <v>1</v>
      </c>
      <c r="AE338">
        <f t="shared" si="86"/>
        <v>1</v>
      </c>
      <c r="AF338">
        <f t="shared" si="87"/>
        <v>1</v>
      </c>
      <c r="AG338">
        <f t="shared" si="88"/>
        <v>100</v>
      </c>
    </row>
    <row r="339" spans="1:33" x14ac:dyDescent="0.2">
      <c r="A339" t="s">
        <v>127</v>
      </c>
      <c r="B339" t="s">
        <v>128</v>
      </c>
      <c r="C339">
        <v>338</v>
      </c>
      <c r="D339">
        <v>126772</v>
      </c>
      <c r="E339" t="s">
        <v>1132</v>
      </c>
      <c r="F339" t="s">
        <v>58</v>
      </c>
      <c r="G339" t="s">
        <v>379</v>
      </c>
      <c r="H339" t="s">
        <v>8</v>
      </c>
      <c r="I339" t="s">
        <v>91</v>
      </c>
      <c r="J339">
        <v>6</v>
      </c>
      <c r="K339">
        <v>0.03</v>
      </c>
      <c r="L339">
        <v>1</v>
      </c>
      <c r="M339">
        <v>1</v>
      </c>
      <c r="N339">
        <v>1</v>
      </c>
      <c r="O339">
        <v>100</v>
      </c>
      <c r="P339" t="b">
        <f t="shared" si="79"/>
        <v>0</v>
      </c>
      <c r="S339" t="str">
        <f t="shared" si="75"/>
        <v>LATER</v>
      </c>
      <c r="T339" t="str">
        <f t="shared" si="76"/>
        <v>SainteLague</v>
      </c>
      <c r="U339">
        <f t="shared" si="78"/>
        <v>338</v>
      </c>
      <c r="V339">
        <f t="shared" si="77"/>
        <v>126772</v>
      </c>
      <c r="W339" s="8" t="str">
        <f>VLOOKUP(V339,'ideas-input'!$A:$B,2,FALSE)</f>
        <v>Paperless - Guia expresso passar de 3 vias para 2, em apenas uma página</v>
      </c>
      <c r="X339" t="str">
        <f t="shared" si="80"/>
        <v>SI-PRD</v>
      </c>
      <c r="Y339" s="8" t="str">
        <f>VLOOKUP(V339,'ideas-input'!$A:$D,4,FALSE)</f>
        <v>Business Solutions</v>
      </c>
      <c r="Z339" t="str">
        <f t="shared" si="81"/>
        <v>Technology</v>
      </c>
      <c r="AA339" t="str">
        <f t="shared" si="82"/>
        <v>Backlog</v>
      </c>
      <c r="AB339">
        <f t="shared" si="83"/>
        <v>6</v>
      </c>
      <c r="AC339">
        <f t="shared" si="84"/>
        <v>0.03</v>
      </c>
      <c r="AD339">
        <f t="shared" si="85"/>
        <v>1</v>
      </c>
      <c r="AE339">
        <f t="shared" si="86"/>
        <v>1</v>
      </c>
      <c r="AF339">
        <f t="shared" si="87"/>
        <v>1</v>
      </c>
      <c r="AG339">
        <f t="shared" si="88"/>
        <v>100</v>
      </c>
    </row>
    <row r="340" spans="1:33" x14ac:dyDescent="0.2">
      <c r="A340" t="s">
        <v>127</v>
      </c>
      <c r="B340" t="s">
        <v>128</v>
      </c>
      <c r="C340">
        <v>339</v>
      </c>
      <c r="D340">
        <v>46973</v>
      </c>
      <c r="E340" t="s">
        <v>1121</v>
      </c>
      <c r="F340" t="s">
        <v>70</v>
      </c>
      <c r="G340" t="s">
        <v>10</v>
      </c>
      <c r="H340" t="s">
        <v>8</v>
      </c>
      <c r="I340" t="s">
        <v>97</v>
      </c>
      <c r="J340">
        <v>35</v>
      </c>
      <c r="K340">
        <v>0.03</v>
      </c>
      <c r="L340">
        <v>1</v>
      </c>
      <c r="M340">
        <v>1</v>
      </c>
      <c r="N340">
        <v>1</v>
      </c>
      <c r="O340">
        <v>100</v>
      </c>
      <c r="P340" t="b">
        <f t="shared" si="79"/>
        <v>0</v>
      </c>
      <c r="S340" t="str">
        <f t="shared" si="75"/>
        <v>LATER</v>
      </c>
      <c r="T340" t="str">
        <f t="shared" si="76"/>
        <v>SainteLague</v>
      </c>
      <c r="U340">
        <f t="shared" si="78"/>
        <v>339</v>
      </c>
      <c r="V340">
        <f t="shared" si="77"/>
        <v>46973</v>
      </c>
      <c r="W340" s="8" t="str">
        <f>VLOOKUP(V340,'ideas-input'!$A:$B,2,FALSE)</f>
        <v>[Desconexión SGC] Evolutivo - Quitar topics SGC (control point, ship-v1,..)</v>
      </c>
      <c r="X340" t="str">
        <f t="shared" si="80"/>
        <v>CIO</v>
      </c>
      <c r="Y340" s="8" t="str">
        <f>VLOOKUP(V340,'ideas-input'!$A:$D,4,FALSE)</f>
        <v>eCommerce</v>
      </c>
      <c r="Z340" t="str">
        <f t="shared" si="81"/>
        <v>Technology</v>
      </c>
      <c r="AA340" t="str">
        <f t="shared" si="82"/>
        <v>Ready for Solution</v>
      </c>
      <c r="AB340">
        <f t="shared" si="83"/>
        <v>35</v>
      </c>
      <c r="AC340">
        <f t="shared" si="84"/>
        <v>0.03</v>
      </c>
      <c r="AD340">
        <f t="shared" si="85"/>
        <v>1</v>
      </c>
      <c r="AE340">
        <f t="shared" si="86"/>
        <v>1</v>
      </c>
      <c r="AF340">
        <f t="shared" si="87"/>
        <v>1</v>
      </c>
      <c r="AG340">
        <f t="shared" si="88"/>
        <v>100</v>
      </c>
    </row>
    <row r="341" spans="1:33" x14ac:dyDescent="0.2">
      <c r="A341" t="s">
        <v>127</v>
      </c>
      <c r="B341" t="s">
        <v>128</v>
      </c>
      <c r="C341">
        <v>340</v>
      </c>
      <c r="D341">
        <v>138585</v>
      </c>
      <c r="E341" t="s">
        <v>1168</v>
      </c>
      <c r="F341" t="s">
        <v>23</v>
      </c>
      <c r="G341" t="s">
        <v>379</v>
      </c>
      <c r="H341" t="s">
        <v>5</v>
      </c>
      <c r="I341" t="s">
        <v>95</v>
      </c>
      <c r="J341">
        <v>8</v>
      </c>
      <c r="K341">
        <v>1.5</v>
      </c>
      <c r="L341">
        <v>1</v>
      </c>
      <c r="M341">
        <v>1</v>
      </c>
      <c r="N341">
        <v>1</v>
      </c>
      <c r="O341">
        <v>2</v>
      </c>
      <c r="P341" t="b">
        <f t="shared" si="79"/>
        <v>0</v>
      </c>
      <c r="S341" t="str">
        <f t="shared" si="75"/>
        <v>LATER</v>
      </c>
      <c r="T341" t="str">
        <f t="shared" si="76"/>
        <v>SainteLague</v>
      </c>
      <c r="U341">
        <f t="shared" si="78"/>
        <v>340</v>
      </c>
      <c r="V341">
        <f t="shared" si="77"/>
        <v>138585</v>
      </c>
      <c r="W341" s="8" t="str">
        <f>VLOOKUP(V341,'ideas-input'!$A:$B,2,FALSE)</f>
        <v>Mapear Contatos de Remetente p/ contactos CTT | Objetos DHL (Internacional Expresso)</v>
      </c>
      <c r="X341" t="str">
        <f t="shared" si="80"/>
        <v>GP ECL</v>
      </c>
      <c r="Y341" s="8" t="str">
        <f>VLOOKUP(V341,'ideas-input'!$A:$D,4,FALSE)</f>
        <v>eCommerce</v>
      </c>
      <c r="Z341" t="str">
        <f t="shared" si="81"/>
        <v>Commercial</v>
      </c>
      <c r="AA341" t="str">
        <f t="shared" si="82"/>
        <v>In Definition</v>
      </c>
      <c r="AB341">
        <f t="shared" si="83"/>
        <v>8</v>
      </c>
      <c r="AC341">
        <f t="shared" si="84"/>
        <v>1.5</v>
      </c>
      <c r="AD341">
        <f t="shared" si="85"/>
        <v>1</v>
      </c>
      <c r="AE341">
        <f t="shared" si="86"/>
        <v>1</v>
      </c>
      <c r="AF341">
        <f t="shared" si="87"/>
        <v>1</v>
      </c>
      <c r="AG341">
        <f t="shared" si="88"/>
        <v>2</v>
      </c>
    </row>
    <row r="342" spans="1:33" x14ac:dyDescent="0.2">
      <c r="A342" t="s">
        <v>127</v>
      </c>
      <c r="B342" t="s">
        <v>128</v>
      </c>
      <c r="C342">
        <v>341</v>
      </c>
      <c r="D342">
        <v>43586</v>
      </c>
      <c r="E342" t="s">
        <v>205</v>
      </c>
      <c r="F342" t="s">
        <v>66</v>
      </c>
      <c r="G342" t="s">
        <v>10</v>
      </c>
      <c r="H342" t="s">
        <v>5</v>
      </c>
      <c r="I342" t="s">
        <v>95</v>
      </c>
      <c r="J342">
        <v>15</v>
      </c>
      <c r="K342">
        <v>0.03</v>
      </c>
      <c r="L342">
        <v>1</v>
      </c>
      <c r="M342">
        <v>1</v>
      </c>
      <c r="N342">
        <v>1</v>
      </c>
      <c r="O342">
        <v>100</v>
      </c>
      <c r="P342" t="b">
        <f t="shared" si="79"/>
        <v>0</v>
      </c>
      <c r="S342" t="str">
        <f t="shared" si="75"/>
        <v>LATER</v>
      </c>
      <c r="T342" t="str">
        <f t="shared" si="76"/>
        <v>SainteLague</v>
      </c>
      <c r="U342">
        <f t="shared" si="78"/>
        <v>341</v>
      </c>
      <c r="V342">
        <f t="shared" si="77"/>
        <v>43586</v>
      </c>
      <c r="W342" s="8" t="str">
        <f>VLOOKUP(V342,'ideas-input'!$A:$B,2,FALSE)</f>
        <v>[Minerva] - Permitir a ciertos perfiles Comerciales descargar los contratos en Word</v>
      </c>
      <c r="X342" t="str">
        <f t="shared" si="80"/>
        <v>CCO</v>
      </c>
      <c r="Y342" s="8" t="str">
        <f>VLOOKUP(V342,'ideas-input'!$A:$D,4,FALSE)</f>
        <v>eCommerce</v>
      </c>
      <c r="Z342" t="str">
        <f t="shared" si="81"/>
        <v>Commercial</v>
      </c>
      <c r="AA342" t="str">
        <f t="shared" si="82"/>
        <v>In Definition</v>
      </c>
      <c r="AB342">
        <f t="shared" si="83"/>
        <v>15</v>
      </c>
      <c r="AC342">
        <f t="shared" si="84"/>
        <v>0.03</v>
      </c>
      <c r="AD342">
        <f t="shared" si="85"/>
        <v>1</v>
      </c>
      <c r="AE342">
        <f t="shared" si="86"/>
        <v>1</v>
      </c>
      <c r="AF342">
        <f t="shared" si="87"/>
        <v>1</v>
      </c>
      <c r="AG342">
        <f t="shared" si="88"/>
        <v>100</v>
      </c>
    </row>
    <row r="343" spans="1:33" x14ac:dyDescent="0.2">
      <c r="A343" t="s">
        <v>127</v>
      </c>
      <c r="B343" t="s">
        <v>128</v>
      </c>
      <c r="C343">
        <v>342</v>
      </c>
      <c r="D343">
        <v>203901</v>
      </c>
      <c r="E343" t="s">
        <v>1136</v>
      </c>
      <c r="F343" t="s">
        <v>46</v>
      </c>
      <c r="G343" t="s">
        <v>379</v>
      </c>
      <c r="H343" t="s">
        <v>12</v>
      </c>
      <c r="I343" t="s">
        <v>95</v>
      </c>
      <c r="J343">
        <v>7</v>
      </c>
      <c r="K343">
        <v>2.3330000000000002</v>
      </c>
      <c r="L343">
        <v>3</v>
      </c>
      <c r="M343">
        <v>2</v>
      </c>
      <c r="N343">
        <v>2</v>
      </c>
      <c r="O343">
        <v>3</v>
      </c>
      <c r="P343" t="b">
        <f t="shared" si="79"/>
        <v>0</v>
      </c>
      <c r="S343" t="str">
        <f t="shared" ref="S343:S406" si="89">A343</f>
        <v>LATER</v>
      </c>
      <c r="T343" t="str">
        <f t="shared" ref="T343:T406" si="90">B343</f>
        <v>SainteLague</v>
      </c>
      <c r="U343">
        <f t="shared" si="78"/>
        <v>342</v>
      </c>
      <c r="V343">
        <f t="shared" ref="V343:V406" si="91">D343</f>
        <v>203901</v>
      </c>
      <c r="W343" s="8" t="str">
        <f>VLOOKUP(V343,'ideas-input'!$A:$B,2,FALSE)</f>
        <v>Power Bi | CRM - Acesso a Informação do CRM através do PowerBi</v>
      </c>
      <c r="X343" t="str">
        <f t="shared" si="80"/>
        <v>AVC</v>
      </c>
      <c r="Y343" s="8" t="str">
        <f>VLOOKUP(V343,'ideas-input'!$A:$D,4,FALSE)</f>
        <v>Mail</v>
      </c>
      <c r="Z343" t="str">
        <f t="shared" si="81"/>
        <v>Corporate</v>
      </c>
      <c r="AA343" t="str">
        <f t="shared" si="82"/>
        <v>In Definition</v>
      </c>
      <c r="AB343">
        <f t="shared" si="83"/>
        <v>7</v>
      </c>
      <c r="AC343">
        <f t="shared" si="84"/>
        <v>2.3330000000000002</v>
      </c>
      <c r="AD343">
        <f t="shared" si="85"/>
        <v>3</v>
      </c>
      <c r="AE343">
        <f t="shared" si="86"/>
        <v>2</v>
      </c>
      <c r="AF343">
        <f t="shared" si="87"/>
        <v>2</v>
      </c>
      <c r="AG343">
        <f t="shared" si="88"/>
        <v>3</v>
      </c>
    </row>
    <row r="344" spans="1:33" x14ac:dyDescent="0.2">
      <c r="A344" t="s">
        <v>127</v>
      </c>
      <c r="B344" t="s">
        <v>128</v>
      </c>
      <c r="C344">
        <v>343</v>
      </c>
      <c r="D344">
        <v>139670</v>
      </c>
      <c r="E344" t="s">
        <v>1172</v>
      </c>
      <c r="F344" t="s">
        <v>64</v>
      </c>
      <c r="G344" t="s">
        <v>10</v>
      </c>
      <c r="H344" t="s">
        <v>6</v>
      </c>
      <c r="I344" t="s">
        <v>91</v>
      </c>
      <c r="J344">
        <v>50</v>
      </c>
      <c r="K344">
        <v>3.5</v>
      </c>
      <c r="L344">
        <v>3</v>
      </c>
      <c r="M344">
        <v>2</v>
      </c>
      <c r="N344">
        <v>2</v>
      </c>
      <c r="O344">
        <v>2</v>
      </c>
      <c r="P344" t="b">
        <f t="shared" si="79"/>
        <v>0</v>
      </c>
      <c r="S344" t="str">
        <f t="shared" si="89"/>
        <v>LATER</v>
      </c>
      <c r="T344" t="str">
        <f t="shared" si="90"/>
        <v>SainteLague</v>
      </c>
      <c r="U344">
        <f t="shared" si="78"/>
        <v>343</v>
      </c>
      <c r="V344">
        <f t="shared" si="91"/>
        <v>139670</v>
      </c>
      <c r="W344" s="8" t="str">
        <f>VLOOKUP(V344,'ideas-input'!$A:$B,2,FALSE)</f>
        <v>Restringir la visibilidad usuarios</v>
      </c>
      <c r="X344" t="str">
        <f t="shared" si="80"/>
        <v>COO</v>
      </c>
      <c r="Y344" s="8" t="str">
        <f>VLOOKUP(V344,'ideas-input'!$A:$D,4,FALSE)</f>
        <v>eCommerce</v>
      </c>
      <c r="Z344" t="str">
        <f t="shared" si="81"/>
        <v>Operations</v>
      </c>
      <c r="AA344" t="str">
        <f t="shared" si="82"/>
        <v>Backlog</v>
      </c>
      <c r="AB344">
        <f t="shared" si="83"/>
        <v>50</v>
      </c>
      <c r="AC344">
        <f t="shared" si="84"/>
        <v>3.5</v>
      </c>
      <c r="AD344">
        <f t="shared" si="85"/>
        <v>3</v>
      </c>
      <c r="AE344">
        <f t="shared" si="86"/>
        <v>2</v>
      </c>
      <c r="AF344">
        <f t="shared" si="87"/>
        <v>2</v>
      </c>
      <c r="AG344">
        <f t="shared" si="88"/>
        <v>2</v>
      </c>
    </row>
    <row r="345" spans="1:33" x14ac:dyDescent="0.2">
      <c r="A345" t="s">
        <v>127</v>
      </c>
      <c r="B345" t="s">
        <v>128</v>
      </c>
      <c r="C345">
        <v>344</v>
      </c>
      <c r="D345">
        <v>127240</v>
      </c>
      <c r="E345" t="s">
        <v>1138</v>
      </c>
      <c r="F345" t="s">
        <v>60</v>
      </c>
      <c r="G345" t="s">
        <v>379</v>
      </c>
      <c r="H345" t="s">
        <v>8</v>
      </c>
      <c r="I345" t="s">
        <v>91</v>
      </c>
      <c r="J345">
        <v>6</v>
      </c>
      <c r="K345">
        <v>4</v>
      </c>
      <c r="L345">
        <v>2</v>
      </c>
      <c r="M345">
        <v>3</v>
      </c>
      <c r="N345">
        <v>3</v>
      </c>
      <c r="O345">
        <v>2</v>
      </c>
      <c r="P345" t="b">
        <f t="shared" si="79"/>
        <v>0</v>
      </c>
      <c r="S345" t="str">
        <f t="shared" si="89"/>
        <v>LATER</v>
      </c>
      <c r="T345" t="str">
        <f t="shared" si="90"/>
        <v>SainteLague</v>
      </c>
      <c r="U345">
        <f t="shared" si="78"/>
        <v>344</v>
      </c>
      <c r="V345">
        <f t="shared" si="91"/>
        <v>127240</v>
      </c>
      <c r="W345" s="8" t="str">
        <f>VLOOKUP(V345,'ideas-input'!$A:$B,2,FALSE)</f>
        <v>Faturação CORRE - Identificação do as-is e desenho do to-be</v>
      </c>
      <c r="X345" t="str">
        <f t="shared" si="80"/>
        <v>SI-CRP</v>
      </c>
      <c r="Y345" s="8" t="str">
        <f>VLOOKUP(V345,'ideas-input'!$A:$D,4,FALSE)</f>
        <v>Mail</v>
      </c>
      <c r="Z345" t="str">
        <f t="shared" si="81"/>
        <v>Technology</v>
      </c>
      <c r="AA345" t="str">
        <f t="shared" si="82"/>
        <v>Backlog</v>
      </c>
      <c r="AB345">
        <f t="shared" si="83"/>
        <v>6</v>
      </c>
      <c r="AC345">
        <f t="shared" si="84"/>
        <v>4</v>
      </c>
      <c r="AD345">
        <f t="shared" si="85"/>
        <v>2</v>
      </c>
      <c r="AE345">
        <f t="shared" si="86"/>
        <v>3</v>
      </c>
      <c r="AF345">
        <f t="shared" si="87"/>
        <v>3</v>
      </c>
      <c r="AG345">
        <f t="shared" si="88"/>
        <v>2</v>
      </c>
    </row>
    <row r="346" spans="1:33" x14ac:dyDescent="0.2">
      <c r="A346" t="s">
        <v>127</v>
      </c>
      <c r="B346" t="s">
        <v>128</v>
      </c>
      <c r="C346">
        <v>345</v>
      </c>
      <c r="D346">
        <v>49214</v>
      </c>
      <c r="E346" t="s">
        <v>206</v>
      </c>
      <c r="F346" t="s">
        <v>67</v>
      </c>
      <c r="G346" t="s">
        <v>10</v>
      </c>
      <c r="H346" t="s">
        <v>12</v>
      </c>
      <c r="I346" t="s">
        <v>95</v>
      </c>
      <c r="J346">
        <v>17</v>
      </c>
      <c r="K346">
        <v>0.03</v>
      </c>
      <c r="L346">
        <v>1</v>
      </c>
      <c r="M346">
        <v>1</v>
      </c>
      <c r="N346">
        <v>1</v>
      </c>
      <c r="O346">
        <v>100</v>
      </c>
      <c r="P346" t="b">
        <f t="shared" si="79"/>
        <v>0</v>
      </c>
      <c r="S346" t="str">
        <f t="shared" si="89"/>
        <v>LATER</v>
      </c>
      <c r="T346" t="str">
        <f t="shared" si="90"/>
        <v>SainteLague</v>
      </c>
      <c r="U346">
        <f t="shared" ref="U346:U409" si="92">C346</f>
        <v>345</v>
      </c>
      <c r="V346">
        <f t="shared" si="91"/>
        <v>49214</v>
      </c>
      <c r="W346" s="8" t="str">
        <f>VLOOKUP(V346,'ideas-input'!$A:$B,2,FALSE)</f>
        <v>[Qlik Sense] Mapa de Red</v>
      </c>
      <c r="X346" t="str">
        <f t="shared" si="80"/>
        <v>ATC</v>
      </c>
      <c r="Y346" s="8" t="str">
        <f>VLOOKUP(V346,'ideas-input'!$A:$D,4,FALSE)</f>
        <v>eCommerce</v>
      </c>
      <c r="Z346" t="str">
        <f t="shared" si="81"/>
        <v>Corporate</v>
      </c>
      <c r="AA346" t="str">
        <f t="shared" si="82"/>
        <v>In Definition</v>
      </c>
      <c r="AB346">
        <f t="shared" si="83"/>
        <v>17</v>
      </c>
      <c r="AC346">
        <f t="shared" si="84"/>
        <v>0.03</v>
      </c>
      <c r="AD346">
        <f t="shared" si="85"/>
        <v>1</v>
      </c>
      <c r="AE346">
        <f t="shared" si="86"/>
        <v>1</v>
      </c>
      <c r="AF346">
        <f t="shared" si="87"/>
        <v>1</v>
      </c>
      <c r="AG346">
        <f t="shared" si="88"/>
        <v>100</v>
      </c>
    </row>
    <row r="347" spans="1:33" x14ac:dyDescent="0.2">
      <c r="A347" t="s">
        <v>127</v>
      </c>
      <c r="B347" t="s">
        <v>128</v>
      </c>
      <c r="C347">
        <v>346</v>
      </c>
      <c r="D347">
        <v>140414</v>
      </c>
      <c r="E347" t="s">
        <v>1171</v>
      </c>
      <c r="F347" t="s">
        <v>36</v>
      </c>
      <c r="G347" t="s">
        <v>379</v>
      </c>
      <c r="H347" t="s">
        <v>5</v>
      </c>
      <c r="I347" t="s">
        <v>91</v>
      </c>
      <c r="J347">
        <v>8</v>
      </c>
      <c r="K347">
        <v>0.03</v>
      </c>
      <c r="L347">
        <v>1</v>
      </c>
      <c r="M347">
        <v>1</v>
      </c>
      <c r="N347">
        <v>1</v>
      </c>
      <c r="O347">
        <v>100</v>
      </c>
      <c r="P347" t="b">
        <f t="shared" si="79"/>
        <v>0</v>
      </c>
      <c r="S347" t="str">
        <f t="shared" si="89"/>
        <v>LATER</v>
      </c>
      <c r="T347" t="str">
        <f t="shared" si="90"/>
        <v>SainteLague</v>
      </c>
      <c r="U347">
        <f t="shared" si="92"/>
        <v>346</v>
      </c>
      <c r="V347">
        <f t="shared" si="91"/>
        <v>140414</v>
      </c>
      <c r="W347" s="8" t="str">
        <f>VLOOKUP(V347,'ideas-input'!$A:$B,2,FALSE)</f>
        <v>Corporate Sites - Evolutivas - MAR e ABR 2026</v>
      </c>
      <c r="X347" t="str">
        <f t="shared" si="80"/>
        <v>DNI</v>
      </c>
      <c r="Y347" s="8" t="str">
        <f>VLOOKUP(V347,'ideas-input'!$A:$D,4,FALSE)</f>
        <v>Mail</v>
      </c>
      <c r="Z347" t="str">
        <f t="shared" si="81"/>
        <v>Commercial</v>
      </c>
      <c r="AA347" t="str">
        <f t="shared" si="82"/>
        <v>Backlog</v>
      </c>
      <c r="AB347">
        <f t="shared" si="83"/>
        <v>8</v>
      </c>
      <c r="AC347">
        <f t="shared" si="84"/>
        <v>0.03</v>
      </c>
      <c r="AD347">
        <f t="shared" si="85"/>
        <v>1</v>
      </c>
      <c r="AE347">
        <f t="shared" si="86"/>
        <v>1</v>
      </c>
      <c r="AF347">
        <f t="shared" si="87"/>
        <v>1</v>
      </c>
      <c r="AG347">
        <f t="shared" si="88"/>
        <v>100</v>
      </c>
    </row>
    <row r="348" spans="1:33" x14ac:dyDescent="0.2">
      <c r="A348" t="s">
        <v>127</v>
      </c>
      <c r="B348" t="s">
        <v>128</v>
      </c>
      <c r="C348">
        <v>347</v>
      </c>
      <c r="D348">
        <v>62456</v>
      </c>
      <c r="E348" t="s">
        <v>1125</v>
      </c>
      <c r="F348" t="s">
        <v>70</v>
      </c>
      <c r="G348" t="s">
        <v>10</v>
      </c>
      <c r="H348" t="s">
        <v>8</v>
      </c>
      <c r="I348" t="s">
        <v>97</v>
      </c>
      <c r="J348">
        <v>36</v>
      </c>
      <c r="K348">
        <v>0.03</v>
      </c>
      <c r="L348">
        <v>1</v>
      </c>
      <c r="M348">
        <v>1</v>
      </c>
      <c r="N348">
        <v>1</v>
      </c>
      <c r="O348">
        <v>100</v>
      </c>
      <c r="P348" t="b">
        <f t="shared" si="79"/>
        <v>0</v>
      </c>
      <c r="S348" t="str">
        <f t="shared" si="89"/>
        <v>LATER</v>
      </c>
      <c r="T348" t="str">
        <f t="shared" si="90"/>
        <v>SainteLague</v>
      </c>
      <c r="U348">
        <f t="shared" si="92"/>
        <v>347</v>
      </c>
      <c r="V348">
        <f t="shared" si="91"/>
        <v>62456</v>
      </c>
      <c r="W348" s="8" t="str">
        <f>VLOOKUP(V348,'ideas-input'!$A:$B,2,FALSE)</f>
        <v>Creación Arquetipo .net</v>
      </c>
      <c r="X348" t="str">
        <f t="shared" si="80"/>
        <v>CIO</v>
      </c>
      <c r="Y348" s="8" t="str">
        <f>VLOOKUP(V348,'ideas-input'!$A:$D,4,FALSE)</f>
        <v>eCommerce</v>
      </c>
      <c r="Z348" t="str">
        <f t="shared" si="81"/>
        <v>Technology</v>
      </c>
      <c r="AA348" t="str">
        <f t="shared" si="82"/>
        <v>Ready for Solution</v>
      </c>
      <c r="AB348">
        <f t="shared" si="83"/>
        <v>36</v>
      </c>
      <c r="AC348">
        <f t="shared" si="84"/>
        <v>0.03</v>
      </c>
      <c r="AD348">
        <f t="shared" si="85"/>
        <v>1</v>
      </c>
      <c r="AE348">
        <f t="shared" si="86"/>
        <v>1</v>
      </c>
      <c r="AF348">
        <f t="shared" si="87"/>
        <v>1</v>
      </c>
      <c r="AG348">
        <f t="shared" si="88"/>
        <v>100</v>
      </c>
    </row>
    <row r="349" spans="1:33" x14ac:dyDescent="0.2">
      <c r="A349" t="s">
        <v>127</v>
      </c>
      <c r="B349" t="s">
        <v>128</v>
      </c>
      <c r="C349">
        <v>348</v>
      </c>
      <c r="D349">
        <v>44675</v>
      </c>
      <c r="E349" t="s">
        <v>1176</v>
      </c>
      <c r="F349" t="s">
        <v>25</v>
      </c>
      <c r="G349" t="s">
        <v>379</v>
      </c>
      <c r="H349" t="s">
        <v>5</v>
      </c>
      <c r="I349" t="s">
        <v>91</v>
      </c>
      <c r="J349">
        <v>5</v>
      </c>
      <c r="K349">
        <v>0.03</v>
      </c>
      <c r="L349">
        <v>1</v>
      </c>
      <c r="M349">
        <v>1</v>
      </c>
      <c r="N349">
        <v>1</v>
      </c>
      <c r="O349">
        <v>100</v>
      </c>
      <c r="P349" t="b">
        <f t="shared" si="79"/>
        <v>0</v>
      </c>
      <c r="S349" t="str">
        <f t="shared" si="89"/>
        <v>LATER</v>
      </c>
      <c r="T349" t="str">
        <f t="shared" si="90"/>
        <v>SainteLague</v>
      </c>
      <c r="U349">
        <f t="shared" si="92"/>
        <v>348</v>
      </c>
      <c r="V349">
        <f t="shared" si="91"/>
        <v>44675</v>
      </c>
      <c r="W349" s="8" t="str">
        <f>VLOOKUP(V349,'ideas-input'!$A:$B,2,FALSE)</f>
        <v>GPB2C | Apartados - Adaptação Tecnologia Locky e Otimização de Recolha de Dados</v>
      </c>
      <c r="X349" t="str">
        <f t="shared" si="80"/>
        <v>GP B2C</v>
      </c>
      <c r="Y349" s="8" t="str">
        <f>VLOOKUP(V349,'ideas-input'!$A:$D,4,FALSE)</f>
        <v>Retail &amp; Financial Services</v>
      </c>
      <c r="Z349" t="str">
        <f t="shared" si="81"/>
        <v>Commercial</v>
      </c>
      <c r="AA349" t="str">
        <f t="shared" si="82"/>
        <v>Backlog</v>
      </c>
      <c r="AB349">
        <f t="shared" si="83"/>
        <v>5</v>
      </c>
      <c r="AC349">
        <f t="shared" si="84"/>
        <v>0.03</v>
      </c>
      <c r="AD349">
        <f t="shared" si="85"/>
        <v>1</v>
      </c>
      <c r="AE349">
        <f t="shared" si="86"/>
        <v>1</v>
      </c>
      <c r="AF349">
        <f t="shared" si="87"/>
        <v>1</v>
      </c>
      <c r="AG349">
        <f t="shared" si="88"/>
        <v>100</v>
      </c>
    </row>
    <row r="350" spans="1:33" x14ac:dyDescent="0.2">
      <c r="A350" t="s">
        <v>127</v>
      </c>
      <c r="B350" t="s">
        <v>128</v>
      </c>
      <c r="C350">
        <v>349</v>
      </c>
      <c r="D350">
        <v>136233</v>
      </c>
      <c r="E350" t="s">
        <v>199</v>
      </c>
      <c r="F350" t="s">
        <v>68</v>
      </c>
      <c r="G350" t="s">
        <v>10</v>
      </c>
      <c r="H350" t="s">
        <v>5</v>
      </c>
      <c r="I350" t="s">
        <v>95</v>
      </c>
      <c r="J350">
        <v>13</v>
      </c>
      <c r="K350">
        <v>0.03</v>
      </c>
      <c r="L350">
        <v>1</v>
      </c>
      <c r="M350">
        <v>1</v>
      </c>
      <c r="N350">
        <v>1</v>
      </c>
      <c r="O350">
        <v>100</v>
      </c>
      <c r="P350" t="b">
        <f t="shared" si="79"/>
        <v>0</v>
      </c>
      <c r="S350" t="str">
        <f t="shared" si="89"/>
        <v>LATER</v>
      </c>
      <c r="T350" t="str">
        <f t="shared" si="90"/>
        <v>SainteLague</v>
      </c>
      <c r="U350">
        <f t="shared" si="92"/>
        <v>349</v>
      </c>
      <c r="V350">
        <f t="shared" si="91"/>
        <v>136233</v>
      </c>
      <c r="W350" s="8" t="str">
        <f>VLOOKUP(V350,'ideas-input'!$A:$B,2,FALSE)</f>
        <v>Integracion Clientes Salesforce - Generacion automatica de claves de cognito para integracion Mapper</v>
      </c>
      <c r="X350" t="str">
        <f t="shared" si="80"/>
        <v>IDC</v>
      </c>
      <c r="Y350" s="8" t="str">
        <f>VLOOKUP(V350,'ideas-input'!$A:$D,4,FALSE)</f>
        <v>eCommerce</v>
      </c>
      <c r="Z350" t="str">
        <f t="shared" si="81"/>
        <v>Commercial</v>
      </c>
      <c r="AA350" t="str">
        <f t="shared" si="82"/>
        <v>In Definition</v>
      </c>
      <c r="AB350">
        <f t="shared" si="83"/>
        <v>13</v>
      </c>
      <c r="AC350">
        <f t="shared" si="84"/>
        <v>0.03</v>
      </c>
      <c r="AD350">
        <f t="shared" si="85"/>
        <v>1</v>
      </c>
      <c r="AE350">
        <f t="shared" si="86"/>
        <v>1</v>
      </c>
      <c r="AF350">
        <f t="shared" si="87"/>
        <v>1</v>
      </c>
      <c r="AG350">
        <f t="shared" si="88"/>
        <v>100</v>
      </c>
    </row>
    <row r="351" spans="1:33" x14ac:dyDescent="0.2">
      <c r="A351" t="s">
        <v>127</v>
      </c>
      <c r="B351" t="s">
        <v>128</v>
      </c>
      <c r="C351">
        <v>350</v>
      </c>
      <c r="D351">
        <v>126735</v>
      </c>
      <c r="E351" t="s">
        <v>208</v>
      </c>
      <c r="F351" t="s">
        <v>98</v>
      </c>
      <c r="G351" t="s">
        <v>379</v>
      </c>
      <c r="H351" t="s">
        <v>12</v>
      </c>
      <c r="I351" t="s">
        <v>91</v>
      </c>
      <c r="J351">
        <v>7</v>
      </c>
      <c r="K351">
        <v>0.05</v>
      </c>
      <c r="L351">
        <v>3</v>
      </c>
      <c r="M351">
        <v>1</v>
      </c>
      <c r="N351">
        <v>1</v>
      </c>
      <c r="O351">
        <v>100</v>
      </c>
      <c r="P351" t="b">
        <f t="shared" si="79"/>
        <v>0</v>
      </c>
      <c r="S351" t="str">
        <f t="shared" si="89"/>
        <v>LATER</v>
      </c>
      <c r="T351" t="str">
        <f t="shared" si="90"/>
        <v>SainteLague</v>
      </c>
      <c r="U351">
        <f t="shared" si="92"/>
        <v>350</v>
      </c>
      <c r="V351">
        <f t="shared" si="91"/>
        <v>126735</v>
      </c>
      <c r="W351" s="8" t="str">
        <f>VLOOKUP(V351,'ideas-input'!$A:$B,2,FALSE)</f>
        <v>Data Cost Allocation Model by Business Area</v>
      </c>
      <c r="X351" t="str">
        <f t="shared" si="80"/>
        <v>PC</v>
      </c>
      <c r="Y351" s="8" t="str">
        <f>VLOOKUP(V351,'ideas-input'!$A:$D,4,FALSE)</f>
        <v>Mail</v>
      </c>
      <c r="Z351" t="str">
        <f t="shared" si="81"/>
        <v>Corporate</v>
      </c>
      <c r="AA351" t="str">
        <f t="shared" si="82"/>
        <v>Backlog</v>
      </c>
      <c r="AB351">
        <f t="shared" si="83"/>
        <v>7</v>
      </c>
      <c r="AC351">
        <f t="shared" si="84"/>
        <v>0.05</v>
      </c>
      <c r="AD351">
        <f t="shared" si="85"/>
        <v>3</v>
      </c>
      <c r="AE351">
        <f t="shared" si="86"/>
        <v>1</v>
      </c>
      <c r="AF351">
        <f t="shared" si="87"/>
        <v>1</v>
      </c>
      <c r="AG351">
        <f t="shared" si="88"/>
        <v>100</v>
      </c>
    </row>
    <row r="352" spans="1:33" x14ac:dyDescent="0.2">
      <c r="A352" t="s">
        <v>127</v>
      </c>
      <c r="B352" t="s">
        <v>128</v>
      </c>
      <c r="C352">
        <v>351</v>
      </c>
      <c r="D352">
        <v>139449</v>
      </c>
      <c r="E352" t="s">
        <v>1177</v>
      </c>
      <c r="F352" t="s">
        <v>64</v>
      </c>
      <c r="G352" t="s">
        <v>10</v>
      </c>
      <c r="H352" t="s">
        <v>6</v>
      </c>
      <c r="I352" t="s">
        <v>91</v>
      </c>
      <c r="J352">
        <v>51</v>
      </c>
      <c r="K352">
        <v>2.5</v>
      </c>
      <c r="L352">
        <v>2</v>
      </c>
      <c r="M352">
        <v>1</v>
      </c>
      <c r="N352">
        <v>2</v>
      </c>
      <c r="O352">
        <v>2</v>
      </c>
      <c r="P352" t="b">
        <f t="shared" si="79"/>
        <v>0</v>
      </c>
      <c r="S352" t="str">
        <f t="shared" si="89"/>
        <v>LATER</v>
      </c>
      <c r="T352" t="str">
        <f t="shared" si="90"/>
        <v>SainteLague</v>
      </c>
      <c r="U352">
        <f t="shared" si="92"/>
        <v>351</v>
      </c>
      <c r="V352">
        <f t="shared" si="91"/>
        <v>139449</v>
      </c>
      <c r="W352" s="8" t="str">
        <f>VLOOKUP(V352,'ideas-input'!$A:$B,2,FALSE)</f>
        <v>Mejora control horario y ocultación campos no registrables</v>
      </c>
      <c r="X352" t="str">
        <f t="shared" si="80"/>
        <v>COO</v>
      </c>
      <c r="Y352" s="8" t="str">
        <f>VLOOKUP(V352,'ideas-input'!$A:$D,4,FALSE)</f>
        <v>eCommerce</v>
      </c>
      <c r="Z352" t="str">
        <f t="shared" si="81"/>
        <v>Operations</v>
      </c>
      <c r="AA352" t="str">
        <f t="shared" si="82"/>
        <v>Backlog</v>
      </c>
      <c r="AB352">
        <f t="shared" si="83"/>
        <v>51</v>
      </c>
      <c r="AC352">
        <f t="shared" si="84"/>
        <v>2.5</v>
      </c>
      <c r="AD352">
        <f t="shared" si="85"/>
        <v>2</v>
      </c>
      <c r="AE352">
        <f t="shared" si="86"/>
        <v>1</v>
      </c>
      <c r="AF352">
        <f t="shared" si="87"/>
        <v>2</v>
      </c>
      <c r="AG352">
        <f t="shared" si="88"/>
        <v>2</v>
      </c>
    </row>
    <row r="353" spans="1:33" x14ac:dyDescent="0.2">
      <c r="A353" t="s">
        <v>127</v>
      </c>
      <c r="B353" t="s">
        <v>128</v>
      </c>
      <c r="C353">
        <v>352</v>
      </c>
      <c r="D353">
        <v>132298</v>
      </c>
      <c r="E353" t="s">
        <v>1142</v>
      </c>
      <c r="F353" t="s">
        <v>9</v>
      </c>
      <c r="G353" t="s">
        <v>379</v>
      </c>
      <c r="H353" t="s">
        <v>8</v>
      </c>
      <c r="I353" t="s">
        <v>94</v>
      </c>
      <c r="J353">
        <v>16</v>
      </c>
      <c r="K353">
        <v>5</v>
      </c>
      <c r="L353">
        <v>4</v>
      </c>
      <c r="M353">
        <v>3</v>
      </c>
      <c r="N353">
        <v>3</v>
      </c>
      <c r="O353">
        <v>2</v>
      </c>
      <c r="P353" t="b">
        <f t="shared" si="79"/>
        <v>0</v>
      </c>
      <c r="S353" t="str">
        <f t="shared" si="89"/>
        <v>LATER</v>
      </c>
      <c r="T353" t="str">
        <f t="shared" si="90"/>
        <v>SainteLague</v>
      </c>
      <c r="U353">
        <f t="shared" si="92"/>
        <v>352</v>
      </c>
      <c r="V353">
        <f t="shared" si="91"/>
        <v>132298</v>
      </c>
      <c r="W353" s="8" t="str">
        <f>VLOOKUP(V353,'ideas-input'!$A:$B,2,FALSE)</f>
        <v>Github Migration - Aplicações Canais Digitais</v>
      </c>
      <c r="X353" t="str">
        <f t="shared" si="80"/>
        <v>SI</v>
      </c>
      <c r="Y353" s="8" t="str">
        <f>VLOOKUP(V353,'ideas-input'!$A:$D,4,FALSE)</f>
        <v>Mail</v>
      </c>
      <c r="Z353" t="str">
        <f t="shared" si="81"/>
        <v>Technology</v>
      </c>
      <c r="AA353" t="str">
        <f t="shared" si="82"/>
        <v>In Approval</v>
      </c>
      <c r="AB353">
        <f t="shared" si="83"/>
        <v>16</v>
      </c>
      <c r="AC353">
        <f t="shared" si="84"/>
        <v>5</v>
      </c>
      <c r="AD353">
        <f t="shared" si="85"/>
        <v>4</v>
      </c>
      <c r="AE353">
        <f t="shared" si="86"/>
        <v>3</v>
      </c>
      <c r="AF353">
        <f t="shared" si="87"/>
        <v>3</v>
      </c>
      <c r="AG353">
        <f t="shared" si="88"/>
        <v>2</v>
      </c>
    </row>
    <row r="354" spans="1:33" x14ac:dyDescent="0.2">
      <c r="A354" t="s">
        <v>127</v>
      </c>
      <c r="B354" t="s">
        <v>128</v>
      </c>
      <c r="C354">
        <v>353</v>
      </c>
      <c r="D354">
        <v>43557</v>
      </c>
      <c r="E354" t="s">
        <v>204</v>
      </c>
      <c r="F354" t="s">
        <v>69</v>
      </c>
      <c r="G354" t="s">
        <v>10</v>
      </c>
      <c r="H354" t="s">
        <v>12</v>
      </c>
      <c r="I354" t="s">
        <v>93</v>
      </c>
      <c r="J354">
        <v>15</v>
      </c>
      <c r="K354">
        <v>0.03</v>
      </c>
      <c r="L354">
        <v>1</v>
      </c>
      <c r="M354">
        <v>1</v>
      </c>
      <c r="N354">
        <v>1</v>
      </c>
      <c r="O354">
        <v>100</v>
      </c>
      <c r="P354" t="b">
        <f t="shared" si="79"/>
        <v>0</v>
      </c>
      <c r="S354" t="str">
        <f t="shared" si="89"/>
        <v>LATER</v>
      </c>
      <c r="T354" t="str">
        <f t="shared" si="90"/>
        <v>SainteLague</v>
      </c>
      <c r="U354">
        <f t="shared" si="92"/>
        <v>353</v>
      </c>
      <c r="V354">
        <f t="shared" si="91"/>
        <v>43557</v>
      </c>
      <c r="W354" s="8" t="str">
        <f>VLOOKUP(V354,'ideas-input'!$A:$B,2,FALSE)</f>
        <v>[Evolutivos SGC Finanzas] Evolutivos SGC Finanzas - Adeudos ECCS a SGC+ automatizados y diarios</v>
      </c>
      <c r="X354" t="str">
        <f t="shared" si="80"/>
        <v>CFO</v>
      </c>
      <c r="Y354" s="8" t="str">
        <f>VLOOKUP(V354,'ideas-input'!$A:$D,4,FALSE)</f>
        <v>eCommerce</v>
      </c>
      <c r="Z354" t="str">
        <f t="shared" si="81"/>
        <v>Corporate</v>
      </c>
      <c r="AA354" t="str">
        <f t="shared" si="82"/>
        <v>Pitch</v>
      </c>
      <c r="AB354">
        <f t="shared" si="83"/>
        <v>15</v>
      </c>
      <c r="AC354">
        <f t="shared" si="84"/>
        <v>0.03</v>
      </c>
      <c r="AD354">
        <f t="shared" si="85"/>
        <v>1</v>
      </c>
      <c r="AE354">
        <f t="shared" si="86"/>
        <v>1</v>
      </c>
      <c r="AF354">
        <f t="shared" si="87"/>
        <v>1</v>
      </c>
      <c r="AG354">
        <f t="shared" si="88"/>
        <v>100</v>
      </c>
    </row>
    <row r="355" spans="1:33" x14ac:dyDescent="0.2">
      <c r="A355" t="s">
        <v>127</v>
      </c>
      <c r="B355" t="s">
        <v>128</v>
      </c>
      <c r="C355">
        <v>354</v>
      </c>
      <c r="D355">
        <v>95774</v>
      </c>
      <c r="E355" t="s">
        <v>1180</v>
      </c>
      <c r="F355" t="s">
        <v>24</v>
      </c>
      <c r="G355" t="s">
        <v>379</v>
      </c>
      <c r="H355" t="s">
        <v>5</v>
      </c>
      <c r="I355" t="s">
        <v>95</v>
      </c>
      <c r="J355">
        <v>5</v>
      </c>
      <c r="K355">
        <v>0.03</v>
      </c>
      <c r="L355">
        <v>1</v>
      </c>
      <c r="M355">
        <v>1</v>
      </c>
      <c r="N355">
        <v>1</v>
      </c>
      <c r="O355">
        <v>100</v>
      </c>
      <c r="P355" t="b">
        <f t="shared" si="79"/>
        <v>0</v>
      </c>
      <c r="S355" t="str">
        <f t="shared" si="89"/>
        <v>LATER</v>
      </c>
      <c r="T355" t="str">
        <f t="shared" si="90"/>
        <v>SainteLague</v>
      </c>
      <c r="U355">
        <f t="shared" si="92"/>
        <v>354</v>
      </c>
      <c r="V355">
        <f t="shared" si="91"/>
        <v>95774</v>
      </c>
      <c r="W355" s="8" t="str">
        <f>VLOOKUP(V355,'ideas-input'!$A:$B,2,FALSE)</f>
        <v>Alterações nos Relatórios do DEM para pagamentos MB WAY</v>
      </c>
      <c r="X355" t="str">
        <f t="shared" si="80"/>
        <v>GPG</v>
      </c>
      <c r="Y355" s="8" t="str">
        <f>VLOOKUP(V355,'ideas-input'!$A:$D,4,FALSE)</f>
        <v>Payments</v>
      </c>
      <c r="Z355" t="str">
        <f t="shared" si="81"/>
        <v>Commercial</v>
      </c>
      <c r="AA355" t="str">
        <f t="shared" si="82"/>
        <v>In Definition</v>
      </c>
      <c r="AB355">
        <f t="shared" si="83"/>
        <v>5</v>
      </c>
      <c r="AC355">
        <f t="shared" si="84"/>
        <v>0.03</v>
      </c>
      <c r="AD355">
        <f t="shared" si="85"/>
        <v>1</v>
      </c>
      <c r="AE355">
        <f t="shared" si="86"/>
        <v>1</v>
      </c>
      <c r="AF355">
        <f t="shared" si="87"/>
        <v>1</v>
      </c>
      <c r="AG355">
        <f t="shared" si="88"/>
        <v>100</v>
      </c>
    </row>
    <row r="356" spans="1:33" x14ac:dyDescent="0.2">
      <c r="A356" t="s">
        <v>127</v>
      </c>
      <c r="B356" t="s">
        <v>128</v>
      </c>
      <c r="C356">
        <v>355</v>
      </c>
      <c r="D356">
        <v>48131</v>
      </c>
      <c r="E356" t="s">
        <v>1131</v>
      </c>
      <c r="F356" t="s">
        <v>70</v>
      </c>
      <c r="G356" t="s">
        <v>10</v>
      </c>
      <c r="H356" t="s">
        <v>8</v>
      </c>
      <c r="I356" t="s">
        <v>97</v>
      </c>
      <c r="J356">
        <v>37</v>
      </c>
      <c r="K356">
        <v>0.03</v>
      </c>
      <c r="L356">
        <v>1</v>
      </c>
      <c r="M356">
        <v>1</v>
      </c>
      <c r="N356">
        <v>1</v>
      </c>
      <c r="O356">
        <v>100</v>
      </c>
      <c r="P356" t="b">
        <f t="shared" si="79"/>
        <v>0</v>
      </c>
      <c r="S356" t="str">
        <f t="shared" si="89"/>
        <v>LATER</v>
      </c>
      <c r="T356" t="str">
        <f t="shared" si="90"/>
        <v>SainteLague</v>
      </c>
      <c r="U356">
        <f t="shared" si="92"/>
        <v>355</v>
      </c>
      <c r="V356">
        <f t="shared" si="91"/>
        <v>48131</v>
      </c>
      <c r="W356" s="8" t="str">
        <f>VLOOKUP(V356,'ideas-input'!$A:$B,2,FALSE)</f>
        <v>Habilitar registro de incidencias "Llegada por error" y "Mercancía no enlazada" a través del código de barras del sinónimo.</v>
      </c>
      <c r="X356" t="str">
        <f t="shared" si="80"/>
        <v>CIO</v>
      </c>
      <c r="Y356" s="8" t="str">
        <f>VLOOKUP(V356,'ideas-input'!$A:$D,4,FALSE)</f>
        <v>eCommerce</v>
      </c>
      <c r="Z356" t="str">
        <f t="shared" si="81"/>
        <v>Technology</v>
      </c>
      <c r="AA356" t="str">
        <f t="shared" si="82"/>
        <v>Ready for Solution</v>
      </c>
      <c r="AB356">
        <f t="shared" si="83"/>
        <v>37</v>
      </c>
      <c r="AC356">
        <f t="shared" si="84"/>
        <v>0.03</v>
      </c>
      <c r="AD356">
        <f t="shared" si="85"/>
        <v>1</v>
      </c>
      <c r="AE356">
        <f t="shared" si="86"/>
        <v>1</v>
      </c>
      <c r="AF356">
        <f t="shared" si="87"/>
        <v>1</v>
      </c>
      <c r="AG356">
        <f t="shared" si="88"/>
        <v>100</v>
      </c>
    </row>
    <row r="357" spans="1:33" x14ac:dyDescent="0.2">
      <c r="A357" t="s">
        <v>127</v>
      </c>
      <c r="B357" t="s">
        <v>128</v>
      </c>
      <c r="C357">
        <v>356</v>
      </c>
      <c r="D357">
        <v>124133</v>
      </c>
      <c r="E357" t="s">
        <v>228</v>
      </c>
      <c r="F357" t="s">
        <v>22</v>
      </c>
      <c r="G357" t="s">
        <v>379</v>
      </c>
      <c r="H357" t="s">
        <v>12</v>
      </c>
      <c r="I357" t="s">
        <v>91</v>
      </c>
      <c r="J357">
        <v>8</v>
      </c>
      <c r="K357">
        <v>0.03</v>
      </c>
      <c r="L357">
        <v>1</v>
      </c>
      <c r="M357">
        <v>1</v>
      </c>
      <c r="N357">
        <v>1</v>
      </c>
      <c r="O357">
        <v>100</v>
      </c>
      <c r="P357" t="b">
        <f t="shared" si="79"/>
        <v>0</v>
      </c>
      <c r="S357" t="str">
        <f t="shared" si="89"/>
        <v>LATER</v>
      </c>
      <c r="T357" t="str">
        <f t="shared" si="90"/>
        <v>SainteLague</v>
      </c>
      <c r="U357">
        <f t="shared" si="92"/>
        <v>356</v>
      </c>
      <c r="V357">
        <f t="shared" si="91"/>
        <v>124133</v>
      </c>
      <c r="W357" s="8" t="str">
        <f>VLOOKUP(V357,'ideas-input'!$A:$B,2,FALSE)</f>
        <v>Incremento ao processo de pagamento de faturas a fornecedores</v>
      </c>
      <c r="X357" t="str">
        <f t="shared" si="80"/>
        <v>CF</v>
      </c>
      <c r="Y357" s="8" t="str">
        <f>VLOOKUP(V357,'ideas-input'!$A:$D,4,FALSE)</f>
        <v>Mail</v>
      </c>
      <c r="Z357" t="str">
        <f t="shared" si="81"/>
        <v>Corporate</v>
      </c>
      <c r="AA357" t="str">
        <f t="shared" si="82"/>
        <v>Backlog</v>
      </c>
      <c r="AB357">
        <f t="shared" si="83"/>
        <v>8</v>
      </c>
      <c r="AC357">
        <f t="shared" si="84"/>
        <v>0.03</v>
      </c>
      <c r="AD357">
        <f t="shared" si="85"/>
        <v>1</v>
      </c>
      <c r="AE357">
        <f t="shared" si="86"/>
        <v>1</v>
      </c>
      <c r="AF357">
        <f t="shared" si="87"/>
        <v>1</v>
      </c>
      <c r="AG357">
        <f t="shared" si="88"/>
        <v>100</v>
      </c>
    </row>
    <row r="358" spans="1:33" x14ac:dyDescent="0.2">
      <c r="A358" t="s">
        <v>127</v>
      </c>
      <c r="B358" t="s">
        <v>128</v>
      </c>
      <c r="C358">
        <v>357</v>
      </c>
      <c r="D358">
        <v>46944</v>
      </c>
      <c r="E358" t="s">
        <v>1117</v>
      </c>
      <c r="F358" t="s">
        <v>65</v>
      </c>
      <c r="G358" t="s">
        <v>10</v>
      </c>
      <c r="H358" t="s">
        <v>5</v>
      </c>
      <c r="I358" t="s">
        <v>97</v>
      </c>
      <c r="J358">
        <v>22</v>
      </c>
      <c r="K358">
        <v>0.03</v>
      </c>
      <c r="L358">
        <v>1</v>
      </c>
      <c r="M358">
        <v>1</v>
      </c>
      <c r="N358">
        <v>1</v>
      </c>
      <c r="O358">
        <v>100</v>
      </c>
      <c r="P358" t="b">
        <f t="shared" si="79"/>
        <v>0</v>
      </c>
      <c r="S358" t="str">
        <f t="shared" si="89"/>
        <v>LATER</v>
      </c>
      <c r="T358" t="str">
        <f t="shared" si="90"/>
        <v>SainteLague</v>
      </c>
      <c r="U358">
        <f t="shared" si="92"/>
        <v>357</v>
      </c>
      <c r="V358">
        <f t="shared" si="91"/>
        <v>46944</v>
      </c>
      <c r="W358" s="8" t="str">
        <f>VLOOKUP(V358,'ideas-input'!$A:$B,2,FALSE)</f>
        <v>[Nexus] [Producto] - Devolución Fácil /Easy Return (implantar el modelo de PT para las devoluciones)</v>
      </c>
      <c r="X358" t="str">
        <f t="shared" si="80"/>
        <v>CMO</v>
      </c>
      <c r="Y358" s="8" t="str">
        <f>VLOOKUP(V358,'ideas-input'!$A:$D,4,FALSE)</f>
        <v>eCommerce</v>
      </c>
      <c r="Z358" t="str">
        <f t="shared" si="81"/>
        <v>Commercial</v>
      </c>
      <c r="AA358" t="str">
        <f t="shared" si="82"/>
        <v>Ready for Solution</v>
      </c>
      <c r="AB358">
        <f t="shared" si="83"/>
        <v>22</v>
      </c>
      <c r="AC358">
        <f t="shared" si="84"/>
        <v>0.03</v>
      </c>
      <c r="AD358">
        <f t="shared" si="85"/>
        <v>1</v>
      </c>
      <c r="AE358">
        <f t="shared" si="86"/>
        <v>1</v>
      </c>
      <c r="AF358">
        <f t="shared" si="87"/>
        <v>1</v>
      </c>
      <c r="AG358">
        <f t="shared" si="88"/>
        <v>100</v>
      </c>
    </row>
    <row r="359" spans="1:33" x14ac:dyDescent="0.2">
      <c r="A359" t="s">
        <v>127</v>
      </c>
      <c r="B359" t="s">
        <v>128</v>
      </c>
      <c r="C359">
        <v>358</v>
      </c>
      <c r="D359">
        <v>138855</v>
      </c>
      <c r="E359" t="s">
        <v>1146</v>
      </c>
      <c r="F359" t="s">
        <v>9</v>
      </c>
      <c r="G359" t="s">
        <v>379</v>
      </c>
      <c r="H359" t="s">
        <v>8</v>
      </c>
      <c r="I359" t="s">
        <v>95</v>
      </c>
      <c r="J359">
        <v>17</v>
      </c>
      <c r="K359">
        <v>0.03</v>
      </c>
      <c r="L359">
        <v>1</v>
      </c>
      <c r="M359">
        <v>1</v>
      </c>
      <c r="N359">
        <v>1</v>
      </c>
      <c r="O359">
        <v>100</v>
      </c>
      <c r="P359" t="b">
        <f t="shared" si="79"/>
        <v>0</v>
      </c>
      <c r="S359" t="str">
        <f t="shared" si="89"/>
        <v>LATER</v>
      </c>
      <c r="T359" t="str">
        <f t="shared" si="90"/>
        <v>SainteLague</v>
      </c>
      <c r="U359">
        <f t="shared" si="92"/>
        <v>358</v>
      </c>
      <c r="V359">
        <f t="shared" si="91"/>
        <v>138855</v>
      </c>
      <c r="W359" s="8" t="str">
        <f>VLOOKUP(V359,'ideas-input'!$A:$B,2,FALSE)</f>
        <v>Redução de Custos em Cloud</v>
      </c>
      <c r="X359" t="str">
        <f t="shared" si="80"/>
        <v>SI</v>
      </c>
      <c r="Y359" s="8" t="str">
        <f>VLOOKUP(V359,'ideas-input'!$A:$D,4,FALSE)</f>
        <v>Mail</v>
      </c>
      <c r="Z359" t="str">
        <f t="shared" si="81"/>
        <v>Technology</v>
      </c>
      <c r="AA359" t="str">
        <f t="shared" si="82"/>
        <v>In Definition</v>
      </c>
      <c r="AB359">
        <f t="shared" si="83"/>
        <v>17</v>
      </c>
      <c r="AC359">
        <f t="shared" si="84"/>
        <v>0.03</v>
      </c>
      <c r="AD359">
        <f t="shared" si="85"/>
        <v>1</v>
      </c>
      <c r="AE359">
        <f t="shared" si="86"/>
        <v>1</v>
      </c>
      <c r="AF359">
        <f t="shared" si="87"/>
        <v>1</v>
      </c>
      <c r="AG359">
        <f t="shared" si="88"/>
        <v>100</v>
      </c>
    </row>
    <row r="360" spans="1:33" x14ac:dyDescent="0.2">
      <c r="A360" t="s">
        <v>127</v>
      </c>
      <c r="B360" t="s">
        <v>128</v>
      </c>
      <c r="C360">
        <v>359</v>
      </c>
      <c r="D360">
        <v>138211</v>
      </c>
      <c r="E360" t="s">
        <v>1183</v>
      </c>
      <c r="F360" t="s">
        <v>64</v>
      </c>
      <c r="G360" t="s">
        <v>10</v>
      </c>
      <c r="H360" t="s">
        <v>6</v>
      </c>
      <c r="I360" t="s">
        <v>91</v>
      </c>
      <c r="J360">
        <v>52</v>
      </c>
      <c r="K360">
        <v>0.03</v>
      </c>
      <c r="L360">
        <v>1</v>
      </c>
      <c r="M360">
        <v>1</v>
      </c>
      <c r="N360">
        <v>1</v>
      </c>
      <c r="O360">
        <v>100</v>
      </c>
      <c r="P360" t="b">
        <f t="shared" si="79"/>
        <v>0</v>
      </c>
      <c r="S360" t="str">
        <f t="shared" si="89"/>
        <v>LATER</v>
      </c>
      <c r="T360" t="str">
        <f t="shared" si="90"/>
        <v>SainteLague</v>
      </c>
      <c r="U360">
        <f t="shared" si="92"/>
        <v>359</v>
      </c>
      <c r="V360">
        <f t="shared" si="91"/>
        <v>138211</v>
      </c>
      <c r="W360" s="8" t="str">
        <f>VLOOKUP(V360,'ideas-input'!$A:$B,2,FALSE)</f>
        <v>INTEGRACIÓN BEWOR</v>
      </c>
      <c r="X360" t="str">
        <f t="shared" si="80"/>
        <v>COO</v>
      </c>
      <c r="Y360" s="8" t="str">
        <f>VLOOKUP(V360,'ideas-input'!$A:$D,4,FALSE)</f>
        <v>eCommerce</v>
      </c>
      <c r="Z360" t="str">
        <f t="shared" si="81"/>
        <v>Operations</v>
      </c>
      <c r="AA360" t="str">
        <f t="shared" si="82"/>
        <v>Backlog</v>
      </c>
      <c r="AB360">
        <f t="shared" si="83"/>
        <v>52</v>
      </c>
      <c r="AC360">
        <f t="shared" si="84"/>
        <v>0.03</v>
      </c>
      <c r="AD360">
        <f t="shared" si="85"/>
        <v>1</v>
      </c>
      <c r="AE360">
        <f t="shared" si="86"/>
        <v>1</v>
      </c>
      <c r="AF360">
        <f t="shared" si="87"/>
        <v>1</v>
      </c>
      <c r="AG360">
        <f t="shared" si="88"/>
        <v>100</v>
      </c>
    </row>
    <row r="361" spans="1:33" x14ac:dyDescent="0.2">
      <c r="A361" t="s">
        <v>127</v>
      </c>
      <c r="B361" t="s">
        <v>128</v>
      </c>
      <c r="C361">
        <v>360</v>
      </c>
      <c r="D361">
        <v>174328</v>
      </c>
      <c r="E361" t="s">
        <v>267</v>
      </c>
      <c r="F361" t="s">
        <v>21</v>
      </c>
      <c r="G361" t="s">
        <v>379</v>
      </c>
      <c r="H361" t="s">
        <v>5</v>
      </c>
      <c r="I361" t="s">
        <v>91</v>
      </c>
      <c r="J361">
        <v>9</v>
      </c>
      <c r="K361">
        <v>0.03</v>
      </c>
      <c r="L361">
        <v>1</v>
      </c>
      <c r="M361">
        <v>1</v>
      </c>
      <c r="N361">
        <v>1</v>
      </c>
      <c r="O361">
        <v>100</v>
      </c>
      <c r="P361" t="b">
        <f t="shared" si="79"/>
        <v>0</v>
      </c>
      <c r="S361" t="str">
        <f t="shared" si="89"/>
        <v>LATER</v>
      </c>
      <c r="T361" t="str">
        <f t="shared" si="90"/>
        <v>SainteLague</v>
      </c>
      <c r="U361">
        <f t="shared" si="92"/>
        <v>360</v>
      </c>
      <c r="V361">
        <f t="shared" si="91"/>
        <v>174328</v>
      </c>
      <c r="W361" s="8" t="str">
        <f>VLOOKUP(V361,'ideas-input'!$A:$B,2,FALSE)</f>
        <v>Nova plataforma para criar e gerir campanhas de publicidade</v>
      </c>
      <c r="X361" t="str">
        <f t="shared" si="80"/>
        <v>GP B2B</v>
      </c>
      <c r="Y361" s="8" t="str">
        <f>VLOOKUP(V361,'ideas-input'!$A:$D,4,FALSE)</f>
        <v>Mail</v>
      </c>
      <c r="Z361" t="str">
        <f t="shared" si="81"/>
        <v>Commercial</v>
      </c>
      <c r="AA361" t="str">
        <f t="shared" si="82"/>
        <v>Backlog</v>
      </c>
      <c r="AB361">
        <f t="shared" si="83"/>
        <v>9</v>
      </c>
      <c r="AC361">
        <f t="shared" si="84"/>
        <v>0.03</v>
      </c>
      <c r="AD361">
        <f t="shared" si="85"/>
        <v>1</v>
      </c>
      <c r="AE361">
        <f t="shared" si="86"/>
        <v>1</v>
      </c>
      <c r="AF361">
        <f t="shared" si="87"/>
        <v>1</v>
      </c>
      <c r="AG361">
        <f t="shared" si="88"/>
        <v>100</v>
      </c>
    </row>
    <row r="362" spans="1:33" x14ac:dyDescent="0.2">
      <c r="A362" t="s">
        <v>127</v>
      </c>
      <c r="B362" t="s">
        <v>128</v>
      </c>
      <c r="C362">
        <v>361</v>
      </c>
      <c r="D362">
        <v>64115</v>
      </c>
      <c r="E362" t="s">
        <v>1164</v>
      </c>
      <c r="F362" t="s">
        <v>67</v>
      </c>
      <c r="G362" t="s">
        <v>10</v>
      </c>
      <c r="H362" t="s">
        <v>12</v>
      </c>
      <c r="I362" t="s">
        <v>91</v>
      </c>
      <c r="J362">
        <v>18</v>
      </c>
      <c r="K362">
        <v>0.03</v>
      </c>
      <c r="L362">
        <v>1</v>
      </c>
      <c r="M362">
        <v>1</v>
      </c>
      <c r="N362">
        <v>1</v>
      </c>
      <c r="O362">
        <v>100</v>
      </c>
      <c r="P362" t="b">
        <f t="shared" si="79"/>
        <v>0</v>
      </c>
      <c r="S362" t="str">
        <f t="shared" si="89"/>
        <v>LATER</v>
      </c>
      <c r="T362" t="str">
        <f t="shared" si="90"/>
        <v>SainteLague</v>
      </c>
      <c r="U362">
        <f t="shared" si="92"/>
        <v>361</v>
      </c>
      <c r="V362">
        <f t="shared" si="91"/>
        <v>64115</v>
      </c>
      <c r="W362" s="8" t="str">
        <f>VLOOKUP(V362,'ideas-input'!$A:$B,2,FALSE)</f>
        <v>SLA Sábados y Domingos</v>
      </c>
      <c r="X362" t="str">
        <f t="shared" si="80"/>
        <v>ATC</v>
      </c>
      <c r="Y362" s="8" t="str">
        <f>VLOOKUP(V362,'ideas-input'!$A:$D,4,FALSE)</f>
        <v>eCommerce</v>
      </c>
      <c r="Z362" t="str">
        <f t="shared" si="81"/>
        <v>Corporate</v>
      </c>
      <c r="AA362" t="str">
        <f t="shared" si="82"/>
        <v>Backlog</v>
      </c>
      <c r="AB362">
        <f t="shared" si="83"/>
        <v>18</v>
      </c>
      <c r="AC362">
        <f t="shared" si="84"/>
        <v>0.03</v>
      </c>
      <c r="AD362">
        <f t="shared" si="85"/>
        <v>1</v>
      </c>
      <c r="AE362">
        <f t="shared" si="86"/>
        <v>1</v>
      </c>
      <c r="AF362">
        <f t="shared" si="87"/>
        <v>1</v>
      </c>
      <c r="AG362">
        <f t="shared" si="88"/>
        <v>100</v>
      </c>
    </row>
    <row r="363" spans="1:33" x14ac:dyDescent="0.2">
      <c r="A363" t="s">
        <v>127</v>
      </c>
      <c r="B363" t="s">
        <v>128</v>
      </c>
      <c r="C363">
        <v>362</v>
      </c>
      <c r="D363">
        <v>126575</v>
      </c>
      <c r="E363" t="s">
        <v>230</v>
      </c>
      <c r="F363" t="s">
        <v>11</v>
      </c>
      <c r="G363" t="s">
        <v>379</v>
      </c>
      <c r="H363" t="s">
        <v>11</v>
      </c>
      <c r="I363" t="s">
        <v>91</v>
      </c>
      <c r="J363">
        <v>10</v>
      </c>
      <c r="K363">
        <v>0.03</v>
      </c>
      <c r="L363">
        <v>1</v>
      </c>
      <c r="M363">
        <v>1</v>
      </c>
      <c r="N363">
        <v>1</v>
      </c>
      <c r="O363">
        <v>100</v>
      </c>
      <c r="P363" t="b">
        <f t="shared" si="79"/>
        <v>0</v>
      </c>
      <c r="S363" t="str">
        <f t="shared" si="89"/>
        <v>LATER</v>
      </c>
      <c r="T363" t="str">
        <f t="shared" si="90"/>
        <v>SainteLague</v>
      </c>
      <c r="U363">
        <f t="shared" si="92"/>
        <v>362</v>
      </c>
      <c r="V363">
        <f t="shared" si="91"/>
        <v>126575</v>
      </c>
      <c r="W363" s="8" t="str">
        <f>VLOOKUP(V363,'ideas-input'!$A:$B,2,FALSE)</f>
        <v>DLP (Data Loss Prevention) - Wave 2</v>
      </c>
      <c r="X363" t="str">
        <f t="shared" si="80"/>
        <v>CISO</v>
      </c>
      <c r="Y363" s="8" t="str">
        <f>VLOOKUP(V363,'ideas-input'!$A:$D,4,FALSE)</f>
        <v>Mail</v>
      </c>
      <c r="Z363" t="str">
        <f t="shared" si="81"/>
        <v>CISO</v>
      </c>
      <c r="AA363" t="str">
        <f t="shared" si="82"/>
        <v>Backlog</v>
      </c>
      <c r="AB363">
        <f t="shared" si="83"/>
        <v>10</v>
      </c>
      <c r="AC363">
        <f t="shared" si="84"/>
        <v>0.03</v>
      </c>
      <c r="AD363">
        <f t="shared" si="85"/>
        <v>1</v>
      </c>
      <c r="AE363">
        <f t="shared" si="86"/>
        <v>1</v>
      </c>
      <c r="AF363">
        <f t="shared" si="87"/>
        <v>1</v>
      </c>
      <c r="AG363">
        <f t="shared" si="88"/>
        <v>100</v>
      </c>
    </row>
    <row r="364" spans="1:33" x14ac:dyDescent="0.2">
      <c r="A364" t="s">
        <v>127</v>
      </c>
      <c r="B364" t="s">
        <v>128</v>
      </c>
      <c r="C364">
        <v>363</v>
      </c>
      <c r="D364">
        <v>54162</v>
      </c>
      <c r="E364" t="s">
        <v>1137</v>
      </c>
      <c r="F364" t="s">
        <v>70</v>
      </c>
      <c r="G364" t="s">
        <v>10</v>
      </c>
      <c r="H364" t="s">
        <v>8</v>
      </c>
      <c r="I364" t="s">
        <v>95</v>
      </c>
      <c r="J364">
        <v>38</v>
      </c>
      <c r="K364">
        <v>0.03</v>
      </c>
      <c r="L364">
        <v>1</v>
      </c>
      <c r="M364">
        <v>1</v>
      </c>
      <c r="N364">
        <v>1</v>
      </c>
      <c r="O364">
        <v>100</v>
      </c>
      <c r="P364" t="b">
        <f t="shared" si="79"/>
        <v>0</v>
      </c>
      <c r="S364" t="str">
        <f t="shared" si="89"/>
        <v>LATER</v>
      </c>
      <c r="T364" t="str">
        <f t="shared" si="90"/>
        <v>SainteLague</v>
      </c>
      <c r="U364">
        <f t="shared" si="92"/>
        <v>363</v>
      </c>
      <c r="V364">
        <f t="shared" si="91"/>
        <v>54162</v>
      </c>
      <c r="W364" s="8" t="str">
        <f>VLOOKUP(V364,'ideas-input'!$A:$B,2,FALSE)</f>
        <v>[Desconexión SGC] Cambio Maestro de canalizaciones en COs</v>
      </c>
      <c r="X364" t="str">
        <f t="shared" si="80"/>
        <v>CIO</v>
      </c>
      <c r="Y364" s="8" t="str">
        <f>VLOOKUP(V364,'ideas-input'!$A:$D,4,FALSE)</f>
        <v>eCommerce</v>
      </c>
      <c r="Z364" t="str">
        <f t="shared" si="81"/>
        <v>Technology</v>
      </c>
      <c r="AA364" t="str">
        <f t="shared" si="82"/>
        <v>In Definition</v>
      </c>
      <c r="AB364">
        <f t="shared" si="83"/>
        <v>38</v>
      </c>
      <c r="AC364">
        <f t="shared" si="84"/>
        <v>0.03</v>
      </c>
      <c r="AD364">
        <f t="shared" si="85"/>
        <v>1</v>
      </c>
      <c r="AE364">
        <f t="shared" si="86"/>
        <v>1</v>
      </c>
      <c r="AF364">
        <f t="shared" si="87"/>
        <v>1</v>
      </c>
      <c r="AG364">
        <f t="shared" si="88"/>
        <v>100</v>
      </c>
    </row>
    <row r="365" spans="1:33" x14ac:dyDescent="0.2">
      <c r="A365" t="s">
        <v>127</v>
      </c>
      <c r="B365" t="s">
        <v>128</v>
      </c>
      <c r="C365">
        <v>364</v>
      </c>
      <c r="D365">
        <v>51911</v>
      </c>
      <c r="E365" t="s">
        <v>1149</v>
      </c>
      <c r="F365" t="s">
        <v>46</v>
      </c>
      <c r="G365" t="s">
        <v>379</v>
      </c>
      <c r="H365" t="s">
        <v>12</v>
      </c>
      <c r="I365" t="s">
        <v>95</v>
      </c>
      <c r="J365">
        <v>8</v>
      </c>
      <c r="K365">
        <v>2.3330000000000002</v>
      </c>
      <c r="L365">
        <v>3</v>
      </c>
      <c r="M365">
        <v>2</v>
      </c>
      <c r="N365">
        <v>2</v>
      </c>
      <c r="O365">
        <v>3</v>
      </c>
      <c r="P365" t="b">
        <f t="shared" si="79"/>
        <v>0</v>
      </c>
      <c r="S365" t="str">
        <f t="shared" si="89"/>
        <v>LATER</v>
      </c>
      <c r="T365" t="str">
        <f t="shared" si="90"/>
        <v>SainteLague</v>
      </c>
      <c r="U365">
        <f t="shared" si="92"/>
        <v>364</v>
      </c>
      <c r="V365">
        <f t="shared" si="91"/>
        <v>51911</v>
      </c>
      <c r="W365" s="8" t="str">
        <f>VLOOKUP(V365,'ideas-input'!$A:$B,2,FALSE)</f>
        <v>MPC | Integração Sprinklr no CRM | Melhorar Integração de mensagens</v>
      </c>
      <c r="X365" t="str">
        <f t="shared" si="80"/>
        <v>AVC</v>
      </c>
      <c r="Y365" s="8" t="str">
        <f>VLOOKUP(V365,'ideas-input'!$A:$D,4,FALSE)</f>
        <v>Mail</v>
      </c>
      <c r="Z365" t="str">
        <f t="shared" si="81"/>
        <v>Corporate</v>
      </c>
      <c r="AA365" t="str">
        <f t="shared" si="82"/>
        <v>In Definition</v>
      </c>
      <c r="AB365">
        <f t="shared" si="83"/>
        <v>8</v>
      </c>
      <c r="AC365">
        <f t="shared" si="84"/>
        <v>2.3330000000000002</v>
      </c>
      <c r="AD365">
        <f t="shared" si="85"/>
        <v>3</v>
      </c>
      <c r="AE365">
        <f t="shared" si="86"/>
        <v>2</v>
      </c>
      <c r="AF365">
        <f t="shared" si="87"/>
        <v>2</v>
      </c>
      <c r="AG365">
        <f t="shared" si="88"/>
        <v>3</v>
      </c>
    </row>
    <row r="366" spans="1:33" x14ac:dyDescent="0.2">
      <c r="A366" t="s">
        <v>127</v>
      </c>
      <c r="B366" t="s">
        <v>128</v>
      </c>
      <c r="C366">
        <v>365</v>
      </c>
      <c r="D366">
        <v>59700</v>
      </c>
      <c r="E366" t="s">
        <v>1212</v>
      </c>
      <c r="F366" t="s">
        <v>66</v>
      </c>
      <c r="G366" t="s">
        <v>10</v>
      </c>
      <c r="H366" t="s">
        <v>5</v>
      </c>
      <c r="I366" t="s">
        <v>95</v>
      </c>
      <c r="J366">
        <v>16</v>
      </c>
      <c r="K366">
        <v>0.03</v>
      </c>
      <c r="L366">
        <v>1</v>
      </c>
      <c r="M366">
        <v>1</v>
      </c>
      <c r="N366">
        <v>1</v>
      </c>
      <c r="O366">
        <v>100</v>
      </c>
      <c r="P366" t="b">
        <f t="shared" si="79"/>
        <v>0</v>
      </c>
      <c r="S366" t="str">
        <f t="shared" si="89"/>
        <v>LATER</v>
      </c>
      <c r="T366" t="str">
        <f t="shared" si="90"/>
        <v>SainteLague</v>
      </c>
      <c r="U366">
        <f t="shared" si="92"/>
        <v>365</v>
      </c>
      <c r="V366">
        <f t="shared" si="91"/>
        <v>59700</v>
      </c>
      <c r="W366" s="8" t="str">
        <f>VLOOKUP(V366,'ideas-input'!$A:$B,2,FALSE)</f>
        <v>[Nexus] - We Sell (Lead to Contract) - Signaturit en portugués</v>
      </c>
      <c r="X366" t="str">
        <f t="shared" si="80"/>
        <v>CCO</v>
      </c>
      <c r="Y366" s="8" t="str">
        <f>VLOOKUP(V366,'ideas-input'!$A:$D,4,FALSE)</f>
        <v>eCommerce</v>
      </c>
      <c r="Z366" t="str">
        <f t="shared" si="81"/>
        <v>Commercial</v>
      </c>
      <c r="AA366" t="str">
        <f t="shared" si="82"/>
        <v>In Definition</v>
      </c>
      <c r="AB366">
        <f t="shared" si="83"/>
        <v>16</v>
      </c>
      <c r="AC366">
        <f t="shared" si="84"/>
        <v>0.03</v>
      </c>
      <c r="AD366">
        <f t="shared" si="85"/>
        <v>1</v>
      </c>
      <c r="AE366">
        <f t="shared" si="86"/>
        <v>1</v>
      </c>
      <c r="AF366">
        <f t="shared" si="87"/>
        <v>1</v>
      </c>
      <c r="AG366">
        <f t="shared" si="88"/>
        <v>100</v>
      </c>
    </row>
    <row r="367" spans="1:33" x14ac:dyDescent="0.2">
      <c r="A367" t="s">
        <v>127</v>
      </c>
      <c r="B367" t="s">
        <v>128</v>
      </c>
      <c r="C367">
        <v>366</v>
      </c>
      <c r="D367">
        <v>67870</v>
      </c>
      <c r="E367" t="s">
        <v>1129</v>
      </c>
      <c r="F367" t="s">
        <v>34</v>
      </c>
      <c r="G367" t="s">
        <v>379</v>
      </c>
      <c r="H367" t="s">
        <v>8</v>
      </c>
      <c r="I367" t="s">
        <v>91</v>
      </c>
      <c r="J367">
        <v>7</v>
      </c>
      <c r="K367">
        <v>0.03</v>
      </c>
      <c r="L367">
        <v>1</v>
      </c>
      <c r="M367">
        <v>1</v>
      </c>
      <c r="N367">
        <v>1</v>
      </c>
      <c r="O367">
        <v>100</v>
      </c>
      <c r="P367" t="b">
        <f t="shared" si="79"/>
        <v>0</v>
      </c>
      <c r="S367" t="str">
        <f t="shared" si="89"/>
        <v>LATER</v>
      </c>
      <c r="T367" t="str">
        <f t="shared" si="90"/>
        <v>SainteLague</v>
      </c>
      <c r="U367">
        <f t="shared" si="92"/>
        <v>366</v>
      </c>
      <c r="V367">
        <f t="shared" si="91"/>
        <v>67870</v>
      </c>
      <c r="W367" s="8" t="str">
        <f>VLOOKUP(V367,'ideas-input'!$A:$B,2,FALSE)</f>
        <v>BCTT - disponibilização de logs via SFTP</v>
      </c>
      <c r="X367" t="str">
        <f t="shared" si="80"/>
        <v>BCTT</v>
      </c>
      <c r="Y367" s="8" t="str">
        <f>VLOOKUP(V367,'ideas-input'!$A:$D,4,FALSE)</f>
        <v>Mail</v>
      </c>
      <c r="Z367" t="str">
        <f t="shared" si="81"/>
        <v>Technology</v>
      </c>
      <c r="AA367" t="str">
        <f t="shared" si="82"/>
        <v>Backlog</v>
      </c>
      <c r="AB367">
        <f t="shared" si="83"/>
        <v>7</v>
      </c>
      <c r="AC367">
        <f t="shared" si="84"/>
        <v>0.03</v>
      </c>
      <c r="AD367">
        <f t="shared" si="85"/>
        <v>1</v>
      </c>
      <c r="AE367">
        <f t="shared" si="86"/>
        <v>1</v>
      </c>
      <c r="AF367">
        <f t="shared" si="87"/>
        <v>1</v>
      </c>
      <c r="AG367">
        <f t="shared" si="88"/>
        <v>100</v>
      </c>
    </row>
    <row r="368" spans="1:33" x14ac:dyDescent="0.2">
      <c r="A368" t="s">
        <v>127</v>
      </c>
      <c r="B368" t="s">
        <v>128</v>
      </c>
      <c r="C368">
        <v>367</v>
      </c>
      <c r="D368">
        <v>135447</v>
      </c>
      <c r="E368" t="s">
        <v>1187</v>
      </c>
      <c r="F368" t="s">
        <v>64</v>
      </c>
      <c r="G368" t="s">
        <v>10</v>
      </c>
      <c r="H368" t="s">
        <v>6</v>
      </c>
      <c r="I368" t="s">
        <v>91</v>
      </c>
      <c r="J368">
        <v>53</v>
      </c>
      <c r="K368">
        <v>0.03</v>
      </c>
      <c r="L368">
        <v>1</v>
      </c>
      <c r="M368">
        <v>1</v>
      </c>
      <c r="N368">
        <v>1</v>
      </c>
      <c r="O368">
        <v>100</v>
      </c>
      <c r="P368" t="b">
        <f t="shared" si="79"/>
        <v>0</v>
      </c>
      <c r="S368" t="str">
        <f t="shared" si="89"/>
        <v>LATER</v>
      </c>
      <c r="T368" t="str">
        <f t="shared" si="90"/>
        <v>SainteLague</v>
      </c>
      <c r="U368">
        <f t="shared" si="92"/>
        <v>367</v>
      </c>
      <c r="V368">
        <f t="shared" si="91"/>
        <v>135447</v>
      </c>
      <c r="W368" s="8" t="str">
        <f>VLOOKUP(V368,'ideas-input'!$A:$B,2,FALSE)</f>
        <v>Carga de direcciones en el historial</v>
      </c>
      <c r="X368" t="str">
        <f t="shared" si="80"/>
        <v>COO</v>
      </c>
      <c r="Y368" s="8" t="str">
        <f>VLOOKUP(V368,'ideas-input'!$A:$D,4,FALSE)</f>
        <v>eCommerce</v>
      </c>
      <c r="Z368" t="str">
        <f t="shared" si="81"/>
        <v>Operations</v>
      </c>
      <c r="AA368" t="str">
        <f t="shared" si="82"/>
        <v>Backlog</v>
      </c>
      <c r="AB368">
        <f t="shared" si="83"/>
        <v>53</v>
      </c>
      <c r="AC368">
        <f t="shared" si="84"/>
        <v>0.03</v>
      </c>
      <c r="AD368">
        <f t="shared" si="85"/>
        <v>1</v>
      </c>
      <c r="AE368">
        <f t="shared" si="86"/>
        <v>1</v>
      </c>
      <c r="AF368">
        <f t="shared" si="87"/>
        <v>1</v>
      </c>
      <c r="AG368">
        <f t="shared" si="88"/>
        <v>100</v>
      </c>
    </row>
    <row r="369" spans="1:33" x14ac:dyDescent="0.2">
      <c r="A369" t="s">
        <v>127</v>
      </c>
      <c r="B369" t="s">
        <v>128</v>
      </c>
      <c r="C369">
        <v>368</v>
      </c>
      <c r="D369">
        <v>105944</v>
      </c>
      <c r="E369" t="s">
        <v>1186</v>
      </c>
      <c r="F369" t="s">
        <v>23</v>
      </c>
      <c r="G369" t="s">
        <v>379</v>
      </c>
      <c r="H369" t="s">
        <v>5</v>
      </c>
      <c r="I369" t="s">
        <v>95</v>
      </c>
      <c r="J369">
        <v>9</v>
      </c>
      <c r="K369">
        <v>0.03</v>
      </c>
      <c r="L369">
        <v>1</v>
      </c>
      <c r="M369">
        <v>1</v>
      </c>
      <c r="N369">
        <v>1</v>
      </c>
      <c r="O369">
        <v>100</v>
      </c>
      <c r="P369" t="b">
        <f t="shared" si="79"/>
        <v>0</v>
      </c>
      <c r="S369" t="str">
        <f t="shared" si="89"/>
        <v>LATER</v>
      </c>
      <c r="T369" t="str">
        <f t="shared" si="90"/>
        <v>SainteLague</v>
      </c>
      <c r="U369">
        <f t="shared" si="92"/>
        <v>368</v>
      </c>
      <c r="V369">
        <f t="shared" si="91"/>
        <v>105944</v>
      </c>
      <c r="W369" s="8" t="str">
        <f>VLOOKUP(V369,'ideas-input'!$A:$B,2,FALSE)</f>
        <v>Expresso Internacional Premium | Disponibilização do produto no segmento ocasional</v>
      </c>
      <c r="X369" t="str">
        <f t="shared" si="80"/>
        <v>GP ECL</v>
      </c>
      <c r="Y369" s="8" t="str">
        <f>VLOOKUP(V369,'ideas-input'!$A:$D,4,FALSE)</f>
        <v>eCommerce</v>
      </c>
      <c r="Z369" t="str">
        <f t="shared" si="81"/>
        <v>Commercial</v>
      </c>
      <c r="AA369" t="str">
        <f t="shared" si="82"/>
        <v>In Definition</v>
      </c>
      <c r="AB369">
        <f t="shared" si="83"/>
        <v>9</v>
      </c>
      <c r="AC369">
        <f t="shared" si="84"/>
        <v>0.03</v>
      </c>
      <c r="AD369">
        <f t="shared" si="85"/>
        <v>1</v>
      </c>
      <c r="AE369">
        <f t="shared" si="86"/>
        <v>1</v>
      </c>
      <c r="AF369">
        <f t="shared" si="87"/>
        <v>1</v>
      </c>
      <c r="AG369">
        <f t="shared" si="88"/>
        <v>100</v>
      </c>
    </row>
    <row r="370" spans="1:33" x14ac:dyDescent="0.2">
      <c r="A370" t="s">
        <v>127</v>
      </c>
      <c r="B370" t="s">
        <v>128</v>
      </c>
      <c r="C370">
        <v>369</v>
      </c>
      <c r="D370">
        <v>61260</v>
      </c>
      <c r="E370" t="s">
        <v>201</v>
      </c>
      <c r="F370" t="s">
        <v>68</v>
      </c>
      <c r="G370" t="s">
        <v>10</v>
      </c>
      <c r="H370" t="s">
        <v>5</v>
      </c>
      <c r="I370" t="s">
        <v>95</v>
      </c>
      <c r="J370">
        <v>14</v>
      </c>
      <c r="K370">
        <v>0.03</v>
      </c>
      <c r="L370">
        <v>1</v>
      </c>
      <c r="M370">
        <v>1</v>
      </c>
      <c r="N370">
        <v>1</v>
      </c>
      <c r="O370">
        <v>100</v>
      </c>
      <c r="P370" t="b">
        <f t="shared" si="79"/>
        <v>0</v>
      </c>
      <c r="S370" t="str">
        <f t="shared" si="89"/>
        <v>LATER</v>
      </c>
      <c r="T370" t="str">
        <f t="shared" si="90"/>
        <v>SainteLague</v>
      </c>
      <c r="U370">
        <f t="shared" si="92"/>
        <v>369</v>
      </c>
      <c r="V370">
        <f t="shared" si="91"/>
        <v>61260</v>
      </c>
      <c r="W370" s="8" t="str">
        <f>VLOOKUP(V370,'ideas-input'!$A:$B,2,FALSE)</f>
        <v>[WebHook] - Cacesa</v>
      </c>
      <c r="X370" t="str">
        <f t="shared" si="80"/>
        <v>IDC</v>
      </c>
      <c r="Y370" s="8" t="str">
        <f>VLOOKUP(V370,'ideas-input'!$A:$D,4,FALSE)</f>
        <v>eCommerce</v>
      </c>
      <c r="Z370" t="str">
        <f t="shared" si="81"/>
        <v>Commercial</v>
      </c>
      <c r="AA370" t="str">
        <f t="shared" si="82"/>
        <v>In Definition</v>
      </c>
      <c r="AB370">
        <f t="shared" si="83"/>
        <v>14</v>
      </c>
      <c r="AC370">
        <f t="shared" si="84"/>
        <v>0.03</v>
      </c>
      <c r="AD370">
        <f t="shared" si="85"/>
        <v>1</v>
      </c>
      <c r="AE370">
        <f t="shared" si="86"/>
        <v>1</v>
      </c>
      <c r="AF370">
        <f t="shared" si="87"/>
        <v>1</v>
      </c>
      <c r="AG370">
        <f t="shared" si="88"/>
        <v>100</v>
      </c>
    </row>
    <row r="371" spans="1:33" x14ac:dyDescent="0.2">
      <c r="A371" t="s">
        <v>127</v>
      </c>
      <c r="B371" t="s">
        <v>128</v>
      </c>
      <c r="C371">
        <v>370</v>
      </c>
      <c r="D371">
        <v>70695</v>
      </c>
      <c r="E371" t="s">
        <v>143</v>
      </c>
      <c r="F371" t="s">
        <v>98</v>
      </c>
      <c r="G371" t="s">
        <v>379</v>
      </c>
      <c r="H371" t="s">
        <v>12</v>
      </c>
      <c r="I371" t="s">
        <v>95</v>
      </c>
      <c r="J371">
        <v>8</v>
      </c>
      <c r="K371">
        <v>0.03</v>
      </c>
      <c r="L371">
        <v>1</v>
      </c>
      <c r="M371">
        <v>1</v>
      </c>
      <c r="N371">
        <v>1</v>
      </c>
      <c r="O371">
        <v>100</v>
      </c>
      <c r="P371" t="b">
        <f t="shared" si="79"/>
        <v>0</v>
      </c>
      <c r="S371" t="str">
        <f t="shared" si="89"/>
        <v>LATER</v>
      </c>
      <c r="T371" t="str">
        <f t="shared" si="90"/>
        <v>SainteLague</v>
      </c>
      <c r="U371">
        <f t="shared" si="92"/>
        <v>370</v>
      </c>
      <c r="V371">
        <f t="shared" si="91"/>
        <v>70695</v>
      </c>
      <c r="W371" s="8" t="str">
        <f>VLOOKUP(V371,'ideas-input'!$A:$B,2,FALSE)</f>
        <v>Nexus | Data | Group Data</v>
      </c>
      <c r="X371" t="str">
        <f t="shared" si="80"/>
        <v>PC</v>
      </c>
      <c r="Y371" s="8" t="str">
        <f>VLOOKUP(V371,'ideas-input'!$A:$D,4,FALSE)</f>
        <v>eCommerce</v>
      </c>
      <c r="Z371" t="str">
        <f t="shared" si="81"/>
        <v>Corporate</v>
      </c>
      <c r="AA371" t="str">
        <f t="shared" si="82"/>
        <v>In Definition</v>
      </c>
      <c r="AB371">
        <f t="shared" si="83"/>
        <v>8</v>
      </c>
      <c r="AC371">
        <f t="shared" si="84"/>
        <v>0.03</v>
      </c>
      <c r="AD371">
        <f t="shared" si="85"/>
        <v>1</v>
      </c>
      <c r="AE371">
        <f t="shared" si="86"/>
        <v>1</v>
      </c>
      <c r="AF371">
        <f t="shared" si="87"/>
        <v>1</v>
      </c>
      <c r="AG371">
        <f t="shared" si="88"/>
        <v>100</v>
      </c>
    </row>
    <row r="372" spans="1:33" x14ac:dyDescent="0.2">
      <c r="A372" t="s">
        <v>127</v>
      </c>
      <c r="B372" t="s">
        <v>128</v>
      </c>
      <c r="C372">
        <v>371</v>
      </c>
      <c r="D372">
        <v>48388</v>
      </c>
      <c r="E372" t="s">
        <v>207</v>
      </c>
      <c r="F372" t="s">
        <v>69</v>
      </c>
      <c r="G372" t="s">
        <v>10</v>
      </c>
      <c r="H372" t="s">
        <v>12</v>
      </c>
      <c r="I372" t="s">
        <v>97</v>
      </c>
      <c r="J372">
        <v>16</v>
      </c>
      <c r="K372">
        <v>0.03</v>
      </c>
      <c r="L372">
        <v>1</v>
      </c>
      <c r="M372">
        <v>1</v>
      </c>
      <c r="N372">
        <v>1</v>
      </c>
      <c r="O372">
        <v>100</v>
      </c>
      <c r="P372" t="b">
        <f t="shared" si="79"/>
        <v>0</v>
      </c>
      <c r="S372" t="str">
        <f t="shared" si="89"/>
        <v>LATER</v>
      </c>
      <c r="T372" t="str">
        <f t="shared" si="90"/>
        <v>SainteLague</v>
      </c>
      <c r="U372">
        <f t="shared" si="92"/>
        <v>371</v>
      </c>
      <c r="V372">
        <f t="shared" si="91"/>
        <v>48388</v>
      </c>
      <c r="W372" s="8" t="str">
        <f>VLOOKUP(V372,'ideas-input'!$A:$B,2,FALSE)</f>
        <v>Fichero interfase IGIC SGC-SAP</v>
      </c>
      <c r="X372" t="str">
        <f t="shared" si="80"/>
        <v>CFO</v>
      </c>
      <c r="Y372" s="8" t="str">
        <f>VLOOKUP(V372,'ideas-input'!$A:$D,4,FALSE)</f>
        <v>eCommerce</v>
      </c>
      <c r="Z372" t="str">
        <f t="shared" si="81"/>
        <v>Corporate</v>
      </c>
      <c r="AA372" t="str">
        <f t="shared" si="82"/>
        <v>Ready for Solution</v>
      </c>
      <c r="AB372">
        <f t="shared" si="83"/>
        <v>16</v>
      </c>
      <c r="AC372">
        <f t="shared" si="84"/>
        <v>0.03</v>
      </c>
      <c r="AD372">
        <f t="shared" si="85"/>
        <v>1</v>
      </c>
      <c r="AE372">
        <f t="shared" si="86"/>
        <v>1</v>
      </c>
      <c r="AF372">
        <f t="shared" si="87"/>
        <v>1</v>
      </c>
      <c r="AG372">
        <f t="shared" si="88"/>
        <v>100</v>
      </c>
    </row>
    <row r="373" spans="1:33" x14ac:dyDescent="0.2">
      <c r="A373" t="s">
        <v>127</v>
      </c>
      <c r="B373" t="s">
        <v>128</v>
      </c>
      <c r="C373">
        <v>372</v>
      </c>
      <c r="D373">
        <v>107975</v>
      </c>
      <c r="E373" t="s">
        <v>1154</v>
      </c>
      <c r="F373" t="s">
        <v>58</v>
      </c>
      <c r="G373" t="s">
        <v>379</v>
      </c>
      <c r="H373" t="s">
        <v>8</v>
      </c>
      <c r="I373" t="s">
        <v>91</v>
      </c>
      <c r="J373">
        <v>7</v>
      </c>
      <c r="K373">
        <v>0.03</v>
      </c>
      <c r="L373">
        <v>1</v>
      </c>
      <c r="M373">
        <v>1</v>
      </c>
      <c r="N373">
        <v>1</v>
      </c>
      <c r="O373">
        <v>100</v>
      </c>
      <c r="P373" t="b">
        <f t="shared" si="79"/>
        <v>0</v>
      </c>
      <c r="S373" t="str">
        <f t="shared" si="89"/>
        <v>LATER</v>
      </c>
      <c r="T373" t="str">
        <f t="shared" si="90"/>
        <v>SainteLague</v>
      </c>
      <c r="U373">
        <f t="shared" si="92"/>
        <v>372</v>
      </c>
      <c r="V373">
        <f t="shared" si="91"/>
        <v>107975</v>
      </c>
      <c r="W373" s="8" t="str">
        <f>VLOOKUP(V373,'ideas-input'!$A:$B,2,FALSE)</f>
        <v>Descontinuação do winreg</v>
      </c>
      <c r="X373" t="str">
        <f t="shared" si="80"/>
        <v>SI-PRD</v>
      </c>
      <c r="Y373" s="8" t="str">
        <f>VLOOKUP(V373,'ideas-input'!$A:$D,4,FALSE)</f>
        <v>Mail</v>
      </c>
      <c r="Z373" t="str">
        <f t="shared" si="81"/>
        <v>Technology</v>
      </c>
      <c r="AA373" t="str">
        <f t="shared" si="82"/>
        <v>Backlog</v>
      </c>
      <c r="AB373">
        <f t="shared" si="83"/>
        <v>7</v>
      </c>
      <c r="AC373">
        <f t="shared" si="84"/>
        <v>0.03</v>
      </c>
      <c r="AD373">
        <f t="shared" si="85"/>
        <v>1</v>
      </c>
      <c r="AE373">
        <f t="shared" si="86"/>
        <v>1</v>
      </c>
      <c r="AF373">
        <f t="shared" si="87"/>
        <v>1</v>
      </c>
      <c r="AG373">
        <f t="shared" si="88"/>
        <v>100</v>
      </c>
    </row>
    <row r="374" spans="1:33" x14ac:dyDescent="0.2">
      <c r="A374" t="s">
        <v>127</v>
      </c>
      <c r="B374" t="s">
        <v>128</v>
      </c>
      <c r="C374">
        <v>373</v>
      </c>
      <c r="D374">
        <v>47194</v>
      </c>
      <c r="E374" t="s">
        <v>290</v>
      </c>
      <c r="F374" t="s">
        <v>70</v>
      </c>
      <c r="G374" t="s">
        <v>10</v>
      </c>
      <c r="H374" t="s">
        <v>8</v>
      </c>
      <c r="I374" t="s">
        <v>97</v>
      </c>
      <c r="J374">
        <v>39</v>
      </c>
      <c r="K374">
        <v>0.03</v>
      </c>
      <c r="L374">
        <v>1</v>
      </c>
      <c r="M374">
        <v>1</v>
      </c>
      <c r="N374">
        <v>1</v>
      </c>
      <c r="O374">
        <v>100</v>
      </c>
      <c r="P374" t="b">
        <f t="shared" si="79"/>
        <v>0</v>
      </c>
      <c r="S374" t="str">
        <f t="shared" si="89"/>
        <v>LATER</v>
      </c>
      <c r="T374" t="str">
        <f t="shared" si="90"/>
        <v>SainteLague</v>
      </c>
      <c r="U374">
        <f t="shared" si="92"/>
        <v>373</v>
      </c>
      <c r="V374">
        <f t="shared" si="91"/>
        <v>47194</v>
      </c>
      <c r="W374" s="8" t="str">
        <f>VLOOKUP(V374,'ideas-input'!$A:$B,2,FALSE)</f>
        <v>[SGC] Actualizar protocolo de comunicaciones TLS</v>
      </c>
      <c r="X374" t="str">
        <f t="shared" si="80"/>
        <v>CIO</v>
      </c>
      <c r="Y374" s="8" t="str">
        <f>VLOOKUP(V374,'ideas-input'!$A:$D,4,FALSE)</f>
        <v>eCommerce</v>
      </c>
      <c r="Z374" t="str">
        <f t="shared" si="81"/>
        <v>Technology</v>
      </c>
      <c r="AA374" t="str">
        <f t="shared" si="82"/>
        <v>Ready for Solution</v>
      </c>
      <c r="AB374">
        <f t="shared" si="83"/>
        <v>39</v>
      </c>
      <c r="AC374">
        <f t="shared" si="84"/>
        <v>0.03</v>
      </c>
      <c r="AD374">
        <f t="shared" si="85"/>
        <v>1</v>
      </c>
      <c r="AE374">
        <f t="shared" si="86"/>
        <v>1</v>
      </c>
      <c r="AF374">
        <f t="shared" si="87"/>
        <v>1</v>
      </c>
      <c r="AG374">
        <f t="shared" si="88"/>
        <v>100</v>
      </c>
    </row>
    <row r="375" spans="1:33" x14ac:dyDescent="0.2">
      <c r="A375" t="s">
        <v>127</v>
      </c>
      <c r="B375" t="s">
        <v>128</v>
      </c>
      <c r="C375">
        <v>374</v>
      </c>
      <c r="D375">
        <v>140404</v>
      </c>
      <c r="E375" t="s">
        <v>1190</v>
      </c>
      <c r="F375" t="s">
        <v>36</v>
      </c>
      <c r="G375" t="s">
        <v>379</v>
      </c>
      <c r="H375" t="s">
        <v>5</v>
      </c>
      <c r="I375" t="s">
        <v>91</v>
      </c>
      <c r="J375">
        <v>9</v>
      </c>
      <c r="K375">
        <v>2</v>
      </c>
      <c r="L375">
        <v>3</v>
      </c>
      <c r="M375">
        <v>2</v>
      </c>
      <c r="N375">
        <v>1</v>
      </c>
      <c r="O375">
        <v>3</v>
      </c>
      <c r="P375" t="b">
        <f t="shared" si="79"/>
        <v>0</v>
      </c>
      <c r="S375" t="str">
        <f t="shared" si="89"/>
        <v>LATER</v>
      </c>
      <c r="T375" t="str">
        <f t="shared" si="90"/>
        <v>SainteLague</v>
      </c>
      <c r="U375">
        <f t="shared" si="92"/>
        <v>374</v>
      </c>
      <c r="V375">
        <f t="shared" si="91"/>
        <v>140404</v>
      </c>
      <c r="W375" s="8" t="str">
        <f>VLOOKUP(V375,'ideas-input'!$A:$B,2,FALSE)</f>
        <v>Ecossistema B2C – Evolutiva - MAR e ABR 2026</v>
      </c>
      <c r="X375" t="str">
        <f t="shared" si="80"/>
        <v>DNI</v>
      </c>
      <c r="Y375" s="8" t="str">
        <f>VLOOKUP(V375,'ideas-input'!$A:$D,4,FALSE)</f>
        <v>eCommerce</v>
      </c>
      <c r="Z375" t="str">
        <f t="shared" si="81"/>
        <v>Commercial</v>
      </c>
      <c r="AA375" t="str">
        <f t="shared" si="82"/>
        <v>Backlog</v>
      </c>
      <c r="AB375">
        <f t="shared" si="83"/>
        <v>9</v>
      </c>
      <c r="AC375">
        <f t="shared" si="84"/>
        <v>2</v>
      </c>
      <c r="AD375">
        <f t="shared" si="85"/>
        <v>3</v>
      </c>
      <c r="AE375">
        <f t="shared" si="86"/>
        <v>2</v>
      </c>
      <c r="AF375">
        <f t="shared" si="87"/>
        <v>1</v>
      </c>
      <c r="AG375">
        <f t="shared" si="88"/>
        <v>3</v>
      </c>
    </row>
    <row r="376" spans="1:33" x14ac:dyDescent="0.2">
      <c r="A376" t="s">
        <v>127</v>
      </c>
      <c r="B376" t="s">
        <v>128</v>
      </c>
      <c r="C376">
        <v>375</v>
      </c>
      <c r="D376">
        <v>58143</v>
      </c>
      <c r="E376" t="s">
        <v>1679</v>
      </c>
      <c r="F376" t="s">
        <v>65</v>
      </c>
      <c r="G376" t="s">
        <v>10</v>
      </c>
      <c r="H376" t="s">
        <v>5</v>
      </c>
      <c r="I376" t="s">
        <v>93</v>
      </c>
      <c r="J376">
        <v>23</v>
      </c>
      <c r="K376">
        <v>0.03</v>
      </c>
      <c r="L376">
        <v>1</v>
      </c>
      <c r="M376">
        <v>1</v>
      </c>
      <c r="N376">
        <v>1</v>
      </c>
      <c r="O376">
        <v>100</v>
      </c>
      <c r="P376" t="b">
        <f t="shared" si="79"/>
        <v>0</v>
      </c>
      <c r="S376" t="str">
        <f t="shared" si="89"/>
        <v>LATER</v>
      </c>
      <c r="T376" t="str">
        <f t="shared" si="90"/>
        <v>SainteLague</v>
      </c>
      <c r="U376">
        <f t="shared" si="92"/>
        <v>375</v>
      </c>
      <c r="V376">
        <f t="shared" si="91"/>
        <v>58143</v>
      </c>
      <c r="W376" s="8" t="str">
        <f>VLOOKUP(V376,'ideas-input'!$A:$B,2,FALSE)</f>
        <v>[Nexus-MVP] [Web de Clientes]  Visualización Indicadores y KPIs en web de clientes en base a la app de Qlik</v>
      </c>
      <c r="X376" t="str">
        <f t="shared" si="80"/>
        <v>CMO</v>
      </c>
      <c r="Y376" s="8" t="str">
        <f>VLOOKUP(V376,'ideas-input'!$A:$D,4,FALSE)</f>
        <v>eCommerce</v>
      </c>
      <c r="Z376" t="str">
        <f t="shared" si="81"/>
        <v>Commercial</v>
      </c>
      <c r="AA376" t="str">
        <f t="shared" si="82"/>
        <v>Pitch</v>
      </c>
      <c r="AB376">
        <f t="shared" si="83"/>
        <v>23</v>
      </c>
      <c r="AC376">
        <f t="shared" si="84"/>
        <v>0.03</v>
      </c>
      <c r="AD376">
        <f t="shared" si="85"/>
        <v>1</v>
      </c>
      <c r="AE376">
        <f t="shared" si="86"/>
        <v>1</v>
      </c>
      <c r="AF376">
        <f t="shared" si="87"/>
        <v>1</v>
      </c>
      <c r="AG376">
        <f t="shared" si="88"/>
        <v>100</v>
      </c>
    </row>
    <row r="377" spans="1:33" x14ac:dyDescent="0.2">
      <c r="A377" t="s">
        <v>127</v>
      </c>
      <c r="B377" t="s">
        <v>128</v>
      </c>
      <c r="C377">
        <v>376</v>
      </c>
      <c r="D377">
        <v>195972</v>
      </c>
      <c r="E377" t="s">
        <v>1196</v>
      </c>
      <c r="F377" t="s">
        <v>37</v>
      </c>
      <c r="G377" t="s">
        <v>379</v>
      </c>
      <c r="H377" t="s">
        <v>5</v>
      </c>
      <c r="I377" t="s">
        <v>91</v>
      </c>
      <c r="J377">
        <v>7</v>
      </c>
      <c r="K377">
        <v>0.03</v>
      </c>
      <c r="L377">
        <v>1</v>
      </c>
      <c r="M377">
        <v>1</v>
      </c>
      <c r="N377">
        <v>1</v>
      </c>
      <c r="O377">
        <v>100</v>
      </c>
      <c r="P377" t="b">
        <f t="shared" si="79"/>
        <v>0</v>
      </c>
      <c r="S377" t="str">
        <f t="shared" si="89"/>
        <v>LATER</v>
      </c>
      <c r="T377" t="str">
        <f t="shared" si="90"/>
        <v>SainteLague</v>
      </c>
      <c r="U377">
        <f t="shared" si="92"/>
        <v>376</v>
      </c>
      <c r="V377">
        <f t="shared" si="91"/>
        <v>195972</v>
      </c>
      <c r="W377" s="8" t="str">
        <f>VLOOKUP(V377,'ideas-input'!$A:$B,2,FALSE)</f>
        <v>Integração do ficheiro de pré-aviso do cliente ETCP / MEO com entrega direta em ponto</v>
      </c>
      <c r="X377" t="str">
        <f t="shared" si="80"/>
        <v>GS</v>
      </c>
      <c r="Y377" s="8" t="str">
        <f>VLOOKUP(V377,'ideas-input'!$A:$D,4,FALSE)</f>
        <v>Mail</v>
      </c>
      <c r="Z377" t="str">
        <f t="shared" si="81"/>
        <v>Commercial</v>
      </c>
      <c r="AA377" t="str">
        <f t="shared" si="82"/>
        <v>Backlog</v>
      </c>
      <c r="AB377">
        <f t="shared" si="83"/>
        <v>7</v>
      </c>
      <c r="AC377">
        <f t="shared" si="84"/>
        <v>0.03</v>
      </c>
      <c r="AD377">
        <f t="shared" si="85"/>
        <v>1</v>
      </c>
      <c r="AE377">
        <f t="shared" si="86"/>
        <v>1</v>
      </c>
      <c r="AF377">
        <f t="shared" si="87"/>
        <v>1</v>
      </c>
      <c r="AG377">
        <f t="shared" si="88"/>
        <v>100</v>
      </c>
    </row>
    <row r="378" spans="1:33" x14ac:dyDescent="0.2">
      <c r="A378" t="s">
        <v>127</v>
      </c>
      <c r="B378" t="s">
        <v>128</v>
      </c>
      <c r="C378">
        <v>377</v>
      </c>
      <c r="D378">
        <v>52306</v>
      </c>
      <c r="E378" t="s">
        <v>1179</v>
      </c>
      <c r="F378" t="s">
        <v>67</v>
      </c>
      <c r="G378" t="s">
        <v>10</v>
      </c>
      <c r="H378" t="s">
        <v>12</v>
      </c>
      <c r="I378" t="s">
        <v>95</v>
      </c>
      <c r="J378">
        <v>19</v>
      </c>
      <c r="K378">
        <v>0.03</v>
      </c>
      <c r="L378">
        <v>1</v>
      </c>
      <c r="M378">
        <v>1</v>
      </c>
      <c r="N378">
        <v>1</v>
      </c>
      <c r="O378">
        <v>100</v>
      </c>
      <c r="P378" t="b">
        <f t="shared" si="79"/>
        <v>0</v>
      </c>
      <c r="S378" t="str">
        <f t="shared" si="89"/>
        <v>LATER</v>
      </c>
      <c r="T378" t="str">
        <f t="shared" si="90"/>
        <v>SainteLague</v>
      </c>
      <c r="U378">
        <f t="shared" si="92"/>
        <v>377</v>
      </c>
      <c r="V378">
        <f t="shared" si="91"/>
        <v>52306</v>
      </c>
      <c r="W378" s="8" t="str">
        <f>VLOOKUP(V378,'ideas-input'!$A:$B,2,FALSE)</f>
        <v>KPI "Días backlog envíos" en app de análisis de calidad del reparto</v>
      </c>
      <c r="X378" t="str">
        <f t="shared" si="80"/>
        <v>ATC</v>
      </c>
      <c r="Y378" s="8" t="str">
        <f>VLOOKUP(V378,'ideas-input'!$A:$D,4,FALSE)</f>
        <v>eCommerce</v>
      </c>
      <c r="Z378" t="str">
        <f t="shared" si="81"/>
        <v>Corporate</v>
      </c>
      <c r="AA378" t="str">
        <f t="shared" si="82"/>
        <v>In Definition</v>
      </c>
      <c r="AB378">
        <f t="shared" si="83"/>
        <v>19</v>
      </c>
      <c r="AC378">
        <f t="shared" si="84"/>
        <v>0.03</v>
      </c>
      <c r="AD378">
        <f t="shared" si="85"/>
        <v>1</v>
      </c>
      <c r="AE378">
        <f t="shared" si="86"/>
        <v>1</v>
      </c>
      <c r="AF378">
        <f t="shared" si="87"/>
        <v>1</v>
      </c>
      <c r="AG378">
        <f t="shared" si="88"/>
        <v>100</v>
      </c>
    </row>
    <row r="379" spans="1:33" x14ac:dyDescent="0.2">
      <c r="A379" t="s">
        <v>127</v>
      </c>
      <c r="B379" t="s">
        <v>128</v>
      </c>
      <c r="C379">
        <v>378</v>
      </c>
      <c r="D379">
        <v>50788</v>
      </c>
      <c r="E379" t="s">
        <v>1157</v>
      </c>
      <c r="F379" t="s">
        <v>22</v>
      </c>
      <c r="G379" t="s">
        <v>379</v>
      </c>
      <c r="H379" t="s">
        <v>12</v>
      </c>
      <c r="I379" t="s">
        <v>91</v>
      </c>
      <c r="J379">
        <v>9</v>
      </c>
      <c r="K379">
        <v>0.03</v>
      </c>
      <c r="L379">
        <v>1</v>
      </c>
      <c r="M379">
        <v>1</v>
      </c>
      <c r="N379">
        <v>1</v>
      </c>
      <c r="O379">
        <v>100</v>
      </c>
      <c r="P379" t="b">
        <f t="shared" si="79"/>
        <v>0</v>
      </c>
      <c r="S379" t="str">
        <f t="shared" si="89"/>
        <v>LATER</v>
      </c>
      <c r="T379" t="str">
        <f t="shared" si="90"/>
        <v>SainteLague</v>
      </c>
      <c r="U379">
        <f t="shared" si="92"/>
        <v>378</v>
      </c>
      <c r="V379">
        <f t="shared" si="91"/>
        <v>50788</v>
      </c>
      <c r="W379" s="8" t="str">
        <f>VLOOKUP(V379,'ideas-input'!$A:$B,2,FALSE)</f>
        <v>CESOP - Reporte Regulatório AT</v>
      </c>
      <c r="X379" t="str">
        <f t="shared" si="80"/>
        <v>CF</v>
      </c>
      <c r="Y379" s="8" t="str">
        <f>VLOOKUP(V379,'ideas-input'!$A:$D,4,FALSE)</f>
        <v>Mail</v>
      </c>
      <c r="Z379" t="str">
        <f t="shared" si="81"/>
        <v>Corporate</v>
      </c>
      <c r="AA379" t="str">
        <f t="shared" si="82"/>
        <v>Backlog</v>
      </c>
      <c r="AB379">
        <f t="shared" si="83"/>
        <v>9</v>
      </c>
      <c r="AC379">
        <f t="shared" si="84"/>
        <v>0.03</v>
      </c>
      <c r="AD379">
        <f t="shared" si="85"/>
        <v>1</v>
      </c>
      <c r="AE379">
        <f t="shared" si="86"/>
        <v>1</v>
      </c>
      <c r="AF379">
        <f t="shared" si="87"/>
        <v>1</v>
      </c>
      <c r="AG379">
        <f t="shared" si="88"/>
        <v>100</v>
      </c>
    </row>
    <row r="380" spans="1:33" x14ac:dyDescent="0.2">
      <c r="A380" t="s">
        <v>127</v>
      </c>
      <c r="B380" t="s">
        <v>128</v>
      </c>
      <c r="C380">
        <v>379</v>
      </c>
      <c r="D380">
        <v>43648</v>
      </c>
      <c r="E380" t="s">
        <v>1148</v>
      </c>
      <c r="F380" t="s">
        <v>70</v>
      </c>
      <c r="G380" t="s">
        <v>10</v>
      </c>
      <c r="H380" t="s">
        <v>8</v>
      </c>
      <c r="I380" t="s">
        <v>91</v>
      </c>
      <c r="J380">
        <v>40</v>
      </c>
      <c r="K380">
        <v>0.03</v>
      </c>
      <c r="L380">
        <v>1</v>
      </c>
      <c r="M380">
        <v>1</v>
      </c>
      <c r="N380">
        <v>1</v>
      </c>
      <c r="O380">
        <v>100</v>
      </c>
      <c r="P380" t="b">
        <f t="shared" si="79"/>
        <v>0</v>
      </c>
      <c r="S380" t="str">
        <f t="shared" si="89"/>
        <v>LATER</v>
      </c>
      <c r="T380" t="str">
        <f t="shared" si="90"/>
        <v>SainteLague</v>
      </c>
      <c r="U380">
        <f t="shared" si="92"/>
        <v>379</v>
      </c>
      <c r="V380">
        <f t="shared" si="91"/>
        <v>43648</v>
      </c>
      <c r="W380" s="8" t="str">
        <f>VLOOKUP(V380,'ideas-input'!$A:$B,2,FALSE)</f>
        <v>Estabilidad​ - Migración Conflluent​</v>
      </c>
      <c r="X380" t="str">
        <f t="shared" si="80"/>
        <v>CIO</v>
      </c>
      <c r="Y380" s="8" t="str">
        <f>VLOOKUP(V380,'ideas-input'!$A:$D,4,FALSE)</f>
        <v>eCommerce</v>
      </c>
      <c r="Z380" t="str">
        <f t="shared" si="81"/>
        <v>Technology</v>
      </c>
      <c r="AA380" t="str">
        <f t="shared" si="82"/>
        <v>Backlog</v>
      </c>
      <c r="AB380">
        <f t="shared" si="83"/>
        <v>40</v>
      </c>
      <c r="AC380">
        <f t="shared" si="84"/>
        <v>0.03</v>
      </c>
      <c r="AD380">
        <f t="shared" si="85"/>
        <v>1</v>
      </c>
      <c r="AE380">
        <f t="shared" si="86"/>
        <v>1</v>
      </c>
      <c r="AF380">
        <f t="shared" si="87"/>
        <v>1</v>
      </c>
      <c r="AG380">
        <f t="shared" si="88"/>
        <v>100</v>
      </c>
    </row>
    <row r="381" spans="1:33" x14ac:dyDescent="0.2">
      <c r="A381" t="s">
        <v>127</v>
      </c>
      <c r="B381" t="s">
        <v>128</v>
      </c>
      <c r="C381">
        <v>380</v>
      </c>
      <c r="D381">
        <v>137512</v>
      </c>
      <c r="E381" t="s">
        <v>1159</v>
      </c>
      <c r="F381" t="s">
        <v>9</v>
      </c>
      <c r="G381" t="s">
        <v>379</v>
      </c>
      <c r="H381" t="s">
        <v>8</v>
      </c>
      <c r="I381" t="s">
        <v>97</v>
      </c>
      <c r="J381">
        <v>18</v>
      </c>
      <c r="K381">
        <v>0.03</v>
      </c>
      <c r="L381">
        <v>1</v>
      </c>
      <c r="M381">
        <v>1</v>
      </c>
      <c r="N381">
        <v>1</v>
      </c>
      <c r="O381">
        <v>100</v>
      </c>
      <c r="P381" t="b">
        <f t="shared" si="79"/>
        <v>0</v>
      </c>
      <c r="S381" t="str">
        <f t="shared" si="89"/>
        <v>LATER</v>
      </c>
      <c r="T381" t="str">
        <f t="shared" si="90"/>
        <v>SainteLague</v>
      </c>
      <c r="U381">
        <f t="shared" si="92"/>
        <v>380</v>
      </c>
      <c r="V381">
        <f t="shared" si="91"/>
        <v>137512</v>
      </c>
      <c r="W381" s="8" t="str">
        <f>VLOOKUP(V381,'ideas-input'!$A:$B,2,FALSE)</f>
        <v>Integração - Migração ADO2GitHub - Kafka Conectors</v>
      </c>
      <c r="X381" t="str">
        <f t="shared" si="80"/>
        <v>SI</v>
      </c>
      <c r="Y381" s="8" t="str">
        <f>VLOOKUP(V381,'ideas-input'!$A:$D,4,FALSE)</f>
        <v>Mail</v>
      </c>
      <c r="Z381" t="str">
        <f t="shared" si="81"/>
        <v>Technology</v>
      </c>
      <c r="AA381" t="str">
        <f t="shared" si="82"/>
        <v>Ready for Solution</v>
      </c>
      <c r="AB381">
        <f t="shared" si="83"/>
        <v>18</v>
      </c>
      <c r="AC381">
        <f t="shared" si="84"/>
        <v>0.03</v>
      </c>
      <c r="AD381">
        <f t="shared" si="85"/>
        <v>1</v>
      </c>
      <c r="AE381">
        <f t="shared" si="86"/>
        <v>1</v>
      </c>
      <c r="AF381">
        <f t="shared" si="87"/>
        <v>1</v>
      </c>
      <c r="AG381">
        <f t="shared" si="88"/>
        <v>100</v>
      </c>
    </row>
    <row r="382" spans="1:33" x14ac:dyDescent="0.2">
      <c r="A382" t="s">
        <v>127</v>
      </c>
      <c r="B382" t="s">
        <v>128</v>
      </c>
      <c r="C382">
        <v>381</v>
      </c>
      <c r="D382">
        <v>44470</v>
      </c>
      <c r="E382" t="s">
        <v>209</v>
      </c>
      <c r="F382" t="s">
        <v>66</v>
      </c>
      <c r="G382" t="s">
        <v>10</v>
      </c>
      <c r="H382" t="s">
        <v>5</v>
      </c>
      <c r="I382" t="s">
        <v>95</v>
      </c>
      <c r="J382">
        <v>17</v>
      </c>
      <c r="K382">
        <v>0.03</v>
      </c>
      <c r="L382">
        <v>1</v>
      </c>
      <c r="M382">
        <v>1</v>
      </c>
      <c r="N382">
        <v>1</v>
      </c>
      <c r="O382">
        <v>100</v>
      </c>
      <c r="P382" t="b">
        <f t="shared" si="79"/>
        <v>0</v>
      </c>
      <c r="S382" t="str">
        <f t="shared" si="89"/>
        <v>LATER</v>
      </c>
      <c r="T382" t="str">
        <f t="shared" si="90"/>
        <v>SainteLague</v>
      </c>
      <c r="U382">
        <f t="shared" si="92"/>
        <v>381</v>
      </c>
      <c r="V382">
        <f t="shared" si="91"/>
        <v>44470</v>
      </c>
      <c r="W382" s="8" t="str">
        <f>VLOOKUP(V382,'ideas-input'!$A:$B,2,FALSE)</f>
        <v>Qlik - Estado de Venta</v>
      </c>
      <c r="X382" t="str">
        <f t="shared" si="80"/>
        <v>CCO</v>
      </c>
      <c r="Y382" s="8" t="str">
        <f>VLOOKUP(V382,'ideas-input'!$A:$D,4,FALSE)</f>
        <v>eCommerce</v>
      </c>
      <c r="Z382" t="str">
        <f t="shared" si="81"/>
        <v>Commercial</v>
      </c>
      <c r="AA382" t="str">
        <f t="shared" si="82"/>
        <v>In Definition</v>
      </c>
      <c r="AB382">
        <f t="shared" si="83"/>
        <v>17</v>
      </c>
      <c r="AC382">
        <f t="shared" si="84"/>
        <v>0.03</v>
      </c>
      <c r="AD382">
        <f t="shared" si="85"/>
        <v>1</v>
      </c>
      <c r="AE382">
        <f t="shared" si="86"/>
        <v>1</v>
      </c>
      <c r="AF382">
        <f t="shared" si="87"/>
        <v>1</v>
      </c>
      <c r="AG382">
        <f t="shared" si="88"/>
        <v>100</v>
      </c>
    </row>
    <row r="383" spans="1:33" x14ac:dyDescent="0.2">
      <c r="A383" t="s">
        <v>127</v>
      </c>
      <c r="B383" t="s">
        <v>128</v>
      </c>
      <c r="C383">
        <v>382</v>
      </c>
      <c r="D383">
        <v>50095</v>
      </c>
      <c r="E383" t="s">
        <v>1197</v>
      </c>
      <c r="F383" t="s">
        <v>38</v>
      </c>
      <c r="G383" t="s">
        <v>379</v>
      </c>
      <c r="H383" t="s">
        <v>5</v>
      </c>
      <c r="I383" t="s">
        <v>91</v>
      </c>
      <c r="J383">
        <v>6</v>
      </c>
      <c r="K383">
        <v>0.03</v>
      </c>
      <c r="L383">
        <v>1</v>
      </c>
      <c r="M383">
        <v>1</v>
      </c>
      <c r="N383">
        <v>1</v>
      </c>
      <c r="O383">
        <v>100</v>
      </c>
      <c r="P383" t="b">
        <f t="shared" si="79"/>
        <v>0</v>
      </c>
      <c r="S383" t="str">
        <f t="shared" si="89"/>
        <v>LATER</v>
      </c>
      <c r="T383" t="str">
        <f t="shared" si="90"/>
        <v>SainteLague</v>
      </c>
      <c r="U383">
        <f t="shared" si="92"/>
        <v>382</v>
      </c>
      <c r="V383">
        <f t="shared" si="91"/>
        <v>50095</v>
      </c>
      <c r="W383" s="8" t="str">
        <f>VLOOKUP(V383,'ideas-input'!$A:$B,2,FALSE)</f>
        <v>Criação Portal Parceiro</v>
      </c>
      <c r="X383" t="str">
        <f t="shared" si="80"/>
        <v>CSI</v>
      </c>
      <c r="Y383" s="8" t="str">
        <f>VLOOKUP(V383,'ideas-input'!$A:$D,4,FALSE)</f>
        <v>Mail</v>
      </c>
      <c r="Z383" t="str">
        <f t="shared" si="81"/>
        <v>Commercial</v>
      </c>
      <c r="AA383" t="str">
        <f t="shared" si="82"/>
        <v>Backlog</v>
      </c>
      <c r="AB383">
        <f t="shared" si="83"/>
        <v>6</v>
      </c>
      <c r="AC383">
        <f t="shared" si="84"/>
        <v>0.03</v>
      </c>
      <c r="AD383">
        <f t="shared" si="85"/>
        <v>1</v>
      </c>
      <c r="AE383">
        <f t="shared" si="86"/>
        <v>1</v>
      </c>
      <c r="AF383">
        <f t="shared" si="87"/>
        <v>1</v>
      </c>
      <c r="AG383">
        <f t="shared" si="88"/>
        <v>100</v>
      </c>
    </row>
    <row r="384" spans="1:33" x14ac:dyDescent="0.2">
      <c r="A384" t="s">
        <v>127</v>
      </c>
      <c r="B384" t="s">
        <v>128</v>
      </c>
      <c r="C384">
        <v>383</v>
      </c>
      <c r="D384">
        <v>43546</v>
      </c>
      <c r="E384" t="s">
        <v>212</v>
      </c>
      <c r="F384" t="s">
        <v>69</v>
      </c>
      <c r="G384" t="s">
        <v>10</v>
      </c>
      <c r="H384" t="s">
        <v>12</v>
      </c>
      <c r="I384" t="s">
        <v>91</v>
      </c>
      <c r="J384">
        <v>17</v>
      </c>
      <c r="K384">
        <v>0.03</v>
      </c>
      <c r="L384">
        <v>1</v>
      </c>
      <c r="M384">
        <v>1</v>
      </c>
      <c r="N384">
        <v>1</v>
      </c>
      <c r="O384">
        <v>100</v>
      </c>
      <c r="P384" t="b">
        <f t="shared" si="79"/>
        <v>0</v>
      </c>
      <c r="S384" t="str">
        <f t="shared" si="89"/>
        <v>LATER</v>
      </c>
      <c r="T384" t="str">
        <f t="shared" si="90"/>
        <v>SainteLague</v>
      </c>
      <c r="U384">
        <f t="shared" si="92"/>
        <v>383</v>
      </c>
      <c r="V384">
        <f t="shared" si="91"/>
        <v>43546</v>
      </c>
      <c r="W384" s="8" t="str">
        <f>VLOOKUP(V384,'ideas-input'!$A:$B,2,FALSE)</f>
        <v>[Evolutivos SGC Finanzas] Generacion de documentos por master + grupo procesamiento (filtro)</v>
      </c>
      <c r="X384" t="str">
        <f t="shared" si="80"/>
        <v>CFO</v>
      </c>
      <c r="Y384" s="8" t="str">
        <f>VLOOKUP(V384,'ideas-input'!$A:$D,4,FALSE)</f>
        <v>eCommerce</v>
      </c>
      <c r="Z384" t="str">
        <f t="shared" si="81"/>
        <v>Corporate</v>
      </c>
      <c r="AA384" t="str">
        <f t="shared" si="82"/>
        <v>Backlog</v>
      </c>
      <c r="AB384">
        <f t="shared" si="83"/>
        <v>17</v>
      </c>
      <c r="AC384">
        <f t="shared" si="84"/>
        <v>0.03</v>
      </c>
      <c r="AD384">
        <f t="shared" si="85"/>
        <v>1</v>
      </c>
      <c r="AE384">
        <f t="shared" si="86"/>
        <v>1</v>
      </c>
      <c r="AF384">
        <f t="shared" si="87"/>
        <v>1</v>
      </c>
      <c r="AG384">
        <f t="shared" si="88"/>
        <v>100</v>
      </c>
    </row>
    <row r="385" spans="1:33" x14ac:dyDescent="0.2">
      <c r="A385" t="s">
        <v>127</v>
      </c>
      <c r="B385" t="s">
        <v>128</v>
      </c>
      <c r="C385">
        <v>384</v>
      </c>
      <c r="D385">
        <v>39126</v>
      </c>
      <c r="E385" t="s">
        <v>162</v>
      </c>
      <c r="F385" t="s">
        <v>46</v>
      </c>
      <c r="G385" t="s">
        <v>379</v>
      </c>
      <c r="H385" t="s">
        <v>12</v>
      </c>
      <c r="I385" t="s">
        <v>91</v>
      </c>
      <c r="J385">
        <v>9</v>
      </c>
      <c r="K385">
        <v>2.3330000000000002</v>
      </c>
      <c r="L385">
        <v>3</v>
      </c>
      <c r="M385">
        <v>2</v>
      </c>
      <c r="N385">
        <v>2</v>
      </c>
      <c r="O385">
        <v>3</v>
      </c>
      <c r="P385" t="b">
        <f t="shared" si="79"/>
        <v>0</v>
      </c>
      <c r="S385" t="str">
        <f t="shared" si="89"/>
        <v>LATER</v>
      </c>
      <c r="T385" t="str">
        <f t="shared" si="90"/>
        <v>SainteLague</v>
      </c>
      <c r="U385">
        <f t="shared" si="92"/>
        <v>384</v>
      </c>
      <c r="V385">
        <f t="shared" si="91"/>
        <v>39126</v>
      </c>
      <c r="W385" s="8" t="str">
        <f>VLOOKUP(V385,'ideas-input'!$A:$B,2,FALSE)</f>
        <v>Novas funcionalidades no PA- AVC</v>
      </c>
      <c r="X385" t="str">
        <f t="shared" si="80"/>
        <v>AVC</v>
      </c>
      <c r="Y385" s="8" t="str">
        <f>VLOOKUP(V385,'ideas-input'!$A:$D,4,FALSE)</f>
        <v>Mail</v>
      </c>
      <c r="Z385" t="str">
        <f t="shared" si="81"/>
        <v>Corporate</v>
      </c>
      <c r="AA385" t="str">
        <f t="shared" si="82"/>
        <v>Backlog</v>
      </c>
      <c r="AB385">
        <f t="shared" si="83"/>
        <v>9</v>
      </c>
      <c r="AC385">
        <f t="shared" si="84"/>
        <v>2.3330000000000002</v>
      </c>
      <c r="AD385">
        <f t="shared" si="85"/>
        <v>3</v>
      </c>
      <c r="AE385">
        <f t="shared" si="86"/>
        <v>2</v>
      </c>
      <c r="AF385">
        <f t="shared" si="87"/>
        <v>2</v>
      </c>
      <c r="AG385">
        <f t="shared" si="88"/>
        <v>3</v>
      </c>
    </row>
    <row r="386" spans="1:33" x14ac:dyDescent="0.2">
      <c r="A386" t="s">
        <v>127</v>
      </c>
      <c r="B386" t="s">
        <v>128</v>
      </c>
      <c r="C386">
        <v>385</v>
      </c>
      <c r="D386">
        <v>59404</v>
      </c>
      <c r="E386" t="s">
        <v>1153</v>
      </c>
      <c r="F386" t="s">
        <v>70</v>
      </c>
      <c r="G386" t="s">
        <v>10</v>
      </c>
      <c r="H386" t="s">
        <v>8</v>
      </c>
      <c r="I386" t="s">
        <v>97</v>
      </c>
      <c r="J386">
        <v>41</v>
      </c>
      <c r="K386">
        <v>0.03</v>
      </c>
      <c r="L386">
        <v>1</v>
      </c>
      <c r="M386">
        <v>1</v>
      </c>
      <c r="N386">
        <v>1</v>
      </c>
      <c r="O386">
        <v>100</v>
      </c>
      <c r="P386" t="b">
        <f t="shared" ref="P386:P449" si="93">AND(C386&lt;$Q$1,IF(ISBLANK(C386),0,C386)&gt;0)</f>
        <v>0</v>
      </c>
      <c r="S386" t="str">
        <f t="shared" si="89"/>
        <v>LATER</v>
      </c>
      <c r="T386" t="str">
        <f t="shared" si="90"/>
        <v>SainteLague</v>
      </c>
      <c r="U386">
        <f t="shared" si="92"/>
        <v>385</v>
      </c>
      <c r="V386">
        <f t="shared" si="91"/>
        <v>59404</v>
      </c>
      <c r="W386" s="8" t="str">
        <f>VLOOKUP(V386,'ideas-input'!$A:$B,2,FALSE)</f>
        <v>[Tech] [Desconexión SGC] Desconexión API WebTracking a Item-history (bitacora)</v>
      </c>
      <c r="X386" t="str">
        <f t="shared" ref="X386:X449" si="94">F386</f>
        <v>CIO</v>
      </c>
      <c r="Y386" s="8" t="str">
        <f>VLOOKUP(V386,'ideas-input'!$A:$D,4,FALSE)</f>
        <v>eCommerce</v>
      </c>
      <c r="Z386" t="str">
        <f t="shared" ref="Z386:Z449" si="95">H386</f>
        <v>Technology</v>
      </c>
      <c r="AA386" t="str">
        <f t="shared" ref="AA386:AA449" si="96">I386</f>
        <v>Ready for Solution</v>
      </c>
      <c r="AB386">
        <f t="shared" ref="AB386:AB449" si="97">J386</f>
        <v>41</v>
      </c>
      <c r="AC386">
        <f t="shared" ref="AC386:AC449" si="98">K386</f>
        <v>0.03</v>
      </c>
      <c r="AD386">
        <f t="shared" ref="AD386:AD449" si="99">L386</f>
        <v>1</v>
      </c>
      <c r="AE386">
        <f t="shared" ref="AE386:AE449" si="100">M386</f>
        <v>1</v>
      </c>
      <c r="AF386">
        <f t="shared" ref="AF386:AF449" si="101">N386</f>
        <v>1</v>
      </c>
      <c r="AG386">
        <f t="shared" ref="AG386:AG449" si="102">O386</f>
        <v>100</v>
      </c>
    </row>
    <row r="387" spans="1:33" x14ac:dyDescent="0.2">
      <c r="A387" t="s">
        <v>127</v>
      </c>
      <c r="B387" t="s">
        <v>128</v>
      </c>
      <c r="C387">
        <v>386</v>
      </c>
      <c r="D387">
        <v>140431</v>
      </c>
      <c r="E387" t="s">
        <v>1163</v>
      </c>
      <c r="F387" t="s">
        <v>9</v>
      </c>
      <c r="G387" t="s">
        <v>379</v>
      </c>
      <c r="H387" t="s">
        <v>8</v>
      </c>
      <c r="I387" t="s">
        <v>91</v>
      </c>
      <c r="J387">
        <v>19</v>
      </c>
      <c r="K387">
        <v>0.03</v>
      </c>
      <c r="L387">
        <v>1</v>
      </c>
      <c r="M387">
        <v>1</v>
      </c>
      <c r="N387">
        <v>1</v>
      </c>
      <c r="O387">
        <v>100</v>
      </c>
      <c r="P387" t="b">
        <f t="shared" si="93"/>
        <v>0</v>
      </c>
      <c r="S387" t="str">
        <f t="shared" si="89"/>
        <v>LATER</v>
      </c>
      <c r="T387" t="str">
        <f t="shared" si="90"/>
        <v>SainteLague</v>
      </c>
      <c r="U387">
        <f t="shared" si="92"/>
        <v>386</v>
      </c>
      <c r="V387">
        <f t="shared" si="91"/>
        <v>140431</v>
      </c>
      <c r="W387" s="8" t="str">
        <f>VLOOKUP(V387,'ideas-input'!$A:$B,2,FALSE)</f>
        <v>Novo Catalogo de Aplicações (Atlas 2.0)</v>
      </c>
      <c r="X387" t="str">
        <f t="shared" si="94"/>
        <v>SI</v>
      </c>
      <c r="Y387" s="8" t="str">
        <f>VLOOKUP(V387,'ideas-input'!$A:$D,4,FALSE)</f>
        <v>Mail</v>
      </c>
      <c r="Z387" t="str">
        <f t="shared" si="95"/>
        <v>Technology</v>
      </c>
      <c r="AA387" t="str">
        <f t="shared" si="96"/>
        <v>Backlog</v>
      </c>
      <c r="AB387">
        <f t="shared" si="97"/>
        <v>19</v>
      </c>
      <c r="AC387">
        <f t="shared" si="98"/>
        <v>0.03</v>
      </c>
      <c r="AD387">
        <f t="shared" si="99"/>
        <v>1</v>
      </c>
      <c r="AE387">
        <f t="shared" si="100"/>
        <v>1</v>
      </c>
      <c r="AF387">
        <f t="shared" si="101"/>
        <v>1</v>
      </c>
      <c r="AG387">
        <f t="shared" si="102"/>
        <v>100</v>
      </c>
    </row>
    <row r="388" spans="1:33" x14ac:dyDescent="0.2">
      <c r="A388" t="s">
        <v>127</v>
      </c>
      <c r="B388" t="s">
        <v>128</v>
      </c>
      <c r="C388">
        <v>387</v>
      </c>
      <c r="D388">
        <v>54222</v>
      </c>
      <c r="E388" t="s">
        <v>210</v>
      </c>
      <c r="F388" t="s">
        <v>68</v>
      </c>
      <c r="G388" t="s">
        <v>10</v>
      </c>
      <c r="H388" t="s">
        <v>5</v>
      </c>
      <c r="I388" t="s">
        <v>91</v>
      </c>
      <c r="J388">
        <v>15</v>
      </c>
      <c r="K388">
        <v>0.03</v>
      </c>
      <c r="L388">
        <v>1</v>
      </c>
      <c r="M388">
        <v>1</v>
      </c>
      <c r="N388">
        <v>1</v>
      </c>
      <c r="O388">
        <v>100</v>
      </c>
      <c r="P388" t="b">
        <f t="shared" si="93"/>
        <v>0</v>
      </c>
      <c r="S388" t="str">
        <f t="shared" si="89"/>
        <v>LATER</v>
      </c>
      <c r="T388" t="str">
        <f t="shared" si="90"/>
        <v>SainteLague</v>
      </c>
      <c r="U388">
        <f t="shared" si="92"/>
        <v>387</v>
      </c>
      <c r="V388">
        <f t="shared" si="91"/>
        <v>54222</v>
      </c>
      <c r="W388" s="8" t="str">
        <f>VLOOKUP(V388,'ideas-input'!$A:$B,2,FALSE)</f>
        <v>Ficheros DataTrans sin CP origen</v>
      </c>
      <c r="X388" t="str">
        <f t="shared" si="94"/>
        <v>IDC</v>
      </c>
      <c r="Y388" s="8" t="str">
        <f>VLOOKUP(V388,'ideas-input'!$A:$D,4,FALSE)</f>
        <v>eCommerce</v>
      </c>
      <c r="Z388" t="str">
        <f t="shared" si="95"/>
        <v>Commercial</v>
      </c>
      <c r="AA388" t="str">
        <f t="shared" si="96"/>
        <v>Backlog</v>
      </c>
      <c r="AB388">
        <f t="shared" si="97"/>
        <v>15</v>
      </c>
      <c r="AC388">
        <f t="shared" si="98"/>
        <v>0.03</v>
      </c>
      <c r="AD388">
        <f t="shared" si="99"/>
        <v>1</v>
      </c>
      <c r="AE388">
        <f t="shared" si="100"/>
        <v>1</v>
      </c>
      <c r="AF388">
        <f t="shared" si="101"/>
        <v>1</v>
      </c>
      <c r="AG388">
        <f t="shared" si="102"/>
        <v>100</v>
      </c>
    </row>
    <row r="389" spans="1:33" x14ac:dyDescent="0.2">
      <c r="A389" t="s">
        <v>127</v>
      </c>
      <c r="B389" t="s">
        <v>128</v>
      </c>
      <c r="C389">
        <v>388</v>
      </c>
      <c r="D389">
        <v>125912</v>
      </c>
      <c r="E389" t="s">
        <v>1201</v>
      </c>
      <c r="F389" t="s">
        <v>21</v>
      </c>
      <c r="G389" t="s">
        <v>379</v>
      </c>
      <c r="H389" t="s">
        <v>5</v>
      </c>
      <c r="I389" t="s">
        <v>91</v>
      </c>
      <c r="J389">
        <v>10</v>
      </c>
      <c r="K389">
        <v>3.5</v>
      </c>
      <c r="L389">
        <v>2</v>
      </c>
      <c r="M389">
        <v>2</v>
      </c>
      <c r="N389">
        <v>3</v>
      </c>
      <c r="O389">
        <v>2</v>
      </c>
      <c r="P389" t="b">
        <f t="shared" si="93"/>
        <v>0</v>
      </c>
      <c r="S389" t="str">
        <f t="shared" si="89"/>
        <v>LATER</v>
      </c>
      <c r="T389" t="str">
        <f t="shared" si="90"/>
        <v>SainteLague</v>
      </c>
      <c r="U389">
        <f t="shared" si="92"/>
        <v>388</v>
      </c>
      <c r="V389">
        <f t="shared" si="91"/>
        <v>125912</v>
      </c>
      <c r="W389" s="8" t="str">
        <f>VLOOKUP(V389,'ideas-input'!$A:$B,2,FALSE)</f>
        <v>Serviço de envio de emails sediado na europa</v>
      </c>
      <c r="X389" t="str">
        <f t="shared" si="94"/>
        <v>GP B2B</v>
      </c>
      <c r="Y389" s="8" t="str">
        <f>VLOOKUP(V389,'ideas-input'!$A:$D,4,FALSE)</f>
        <v>Business Solutions</v>
      </c>
      <c r="Z389" t="str">
        <f t="shared" si="95"/>
        <v>Commercial</v>
      </c>
      <c r="AA389" t="str">
        <f t="shared" si="96"/>
        <v>Backlog</v>
      </c>
      <c r="AB389">
        <f t="shared" si="97"/>
        <v>10</v>
      </c>
      <c r="AC389">
        <f t="shared" si="98"/>
        <v>3.5</v>
      </c>
      <c r="AD389">
        <f t="shared" si="99"/>
        <v>2</v>
      </c>
      <c r="AE389">
        <f t="shared" si="100"/>
        <v>2</v>
      </c>
      <c r="AF389">
        <f t="shared" si="101"/>
        <v>3</v>
      </c>
      <c r="AG389">
        <f t="shared" si="102"/>
        <v>2</v>
      </c>
    </row>
    <row r="390" spans="1:33" x14ac:dyDescent="0.2">
      <c r="A390" t="s">
        <v>127</v>
      </c>
      <c r="B390" t="s">
        <v>128</v>
      </c>
      <c r="C390">
        <v>389</v>
      </c>
      <c r="D390">
        <v>60294</v>
      </c>
      <c r="E390" t="s">
        <v>1188</v>
      </c>
      <c r="F390" t="s">
        <v>67</v>
      </c>
      <c r="G390" t="s">
        <v>10</v>
      </c>
      <c r="H390" t="s">
        <v>12</v>
      </c>
      <c r="I390" t="s">
        <v>97</v>
      </c>
      <c r="J390">
        <v>20</v>
      </c>
      <c r="K390">
        <v>0.03</v>
      </c>
      <c r="L390">
        <v>1</v>
      </c>
      <c r="M390">
        <v>1</v>
      </c>
      <c r="N390">
        <v>1</v>
      </c>
      <c r="O390">
        <v>100</v>
      </c>
      <c r="P390" t="b">
        <f t="shared" si="93"/>
        <v>0</v>
      </c>
      <c r="S390" t="str">
        <f t="shared" si="89"/>
        <v>LATER</v>
      </c>
      <c r="T390" t="str">
        <f t="shared" si="90"/>
        <v>SainteLague</v>
      </c>
      <c r="U390">
        <f t="shared" si="92"/>
        <v>389</v>
      </c>
      <c r="V390">
        <f t="shared" si="91"/>
        <v>60294</v>
      </c>
      <c r="W390" s="8" t="str">
        <f>VLOOKUP(V390,'ideas-input'!$A:$B,2,FALSE)</f>
        <v>Maestro festivos provinciales en cálculos de fechas de compromiso</v>
      </c>
      <c r="X390" t="str">
        <f t="shared" si="94"/>
        <v>ATC</v>
      </c>
      <c r="Y390" s="8" t="str">
        <f>VLOOKUP(V390,'ideas-input'!$A:$D,4,FALSE)</f>
        <v>eCommerce</v>
      </c>
      <c r="Z390" t="str">
        <f t="shared" si="95"/>
        <v>Corporate</v>
      </c>
      <c r="AA390" t="str">
        <f t="shared" si="96"/>
        <v>Ready for Solution</v>
      </c>
      <c r="AB390">
        <f t="shared" si="97"/>
        <v>20</v>
      </c>
      <c r="AC390">
        <f t="shared" si="98"/>
        <v>0.03</v>
      </c>
      <c r="AD390">
        <f t="shared" si="99"/>
        <v>1</v>
      </c>
      <c r="AE390">
        <f t="shared" si="100"/>
        <v>1</v>
      </c>
      <c r="AF390">
        <f t="shared" si="101"/>
        <v>1</v>
      </c>
      <c r="AG390">
        <f t="shared" si="102"/>
        <v>100</v>
      </c>
    </row>
    <row r="391" spans="1:33" x14ac:dyDescent="0.2">
      <c r="A391" t="s">
        <v>127</v>
      </c>
      <c r="B391" t="s">
        <v>128</v>
      </c>
      <c r="C391">
        <v>390</v>
      </c>
      <c r="D391">
        <v>188737</v>
      </c>
      <c r="E391" t="s">
        <v>149</v>
      </c>
      <c r="F391" t="s">
        <v>98</v>
      </c>
      <c r="G391" t="s">
        <v>379</v>
      </c>
      <c r="H391" t="s">
        <v>12</v>
      </c>
      <c r="I391" t="s">
        <v>95</v>
      </c>
      <c r="J391">
        <v>9</v>
      </c>
      <c r="K391">
        <v>0.03</v>
      </c>
      <c r="L391">
        <v>1</v>
      </c>
      <c r="M391">
        <v>1</v>
      </c>
      <c r="N391">
        <v>1</v>
      </c>
      <c r="O391">
        <v>100</v>
      </c>
      <c r="P391" t="b">
        <f t="shared" si="93"/>
        <v>0</v>
      </c>
      <c r="S391" t="str">
        <f t="shared" si="89"/>
        <v>LATER</v>
      </c>
      <c r="T391" t="str">
        <f t="shared" si="90"/>
        <v>SainteLague</v>
      </c>
      <c r="U391">
        <f t="shared" si="92"/>
        <v>390</v>
      </c>
      <c r="V391">
        <f t="shared" si="91"/>
        <v>188737</v>
      </c>
      <c r="W391" s="8" t="str">
        <f>VLOOKUP(V391,'ideas-input'!$A:$B,2,FALSE)</f>
        <v>Nexus | Data | Nexus Data</v>
      </c>
      <c r="X391" t="str">
        <f t="shared" si="94"/>
        <v>PC</v>
      </c>
      <c r="Y391" s="8" t="str">
        <f>VLOOKUP(V391,'ideas-input'!$A:$D,4,FALSE)</f>
        <v>eCommerce</v>
      </c>
      <c r="Z391" t="str">
        <f t="shared" si="95"/>
        <v>Corporate</v>
      </c>
      <c r="AA391" t="str">
        <f t="shared" si="96"/>
        <v>In Definition</v>
      </c>
      <c r="AB391">
        <f t="shared" si="97"/>
        <v>9</v>
      </c>
      <c r="AC391">
        <f t="shared" si="98"/>
        <v>0.03</v>
      </c>
      <c r="AD391">
        <f t="shared" si="99"/>
        <v>1</v>
      </c>
      <c r="AE391">
        <f t="shared" si="100"/>
        <v>1</v>
      </c>
      <c r="AF391">
        <f t="shared" si="101"/>
        <v>1</v>
      </c>
      <c r="AG391">
        <f t="shared" si="102"/>
        <v>100</v>
      </c>
    </row>
    <row r="392" spans="1:33" x14ac:dyDescent="0.2">
      <c r="A392" t="s">
        <v>127</v>
      </c>
      <c r="B392" t="s">
        <v>128</v>
      </c>
      <c r="C392">
        <v>391</v>
      </c>
      <c r="D392">
        <v>52992</v>
      </c>
      <c r="E392" t="s">
        <v>1160</v>
      </c>
      <c r="F392" t="s">
        <v>70</v>
      </c>
      <c r="G392" t="s">
        <v>10</v>
      </c>
      <c r="H392" t="s">
        <v>8</v>
      </c>
      <c r="I392" t="s">
        <v>91</v>
      </c>
      <c r="J392">
        <v>42</v>
      </c>
      <c r="K392">
        <v>0.03</v>
      </c>
      <c r="L392">
        <v>1</v>
      </c>
      <c r="M392">
        <v>1</v>
      </c>
      <c r="N392">
        <v>1</v>
      </c>
      <c r="O392">
        <v>100</v>
      </c>
      <c r="P392" t="b">
        <f t="shared" si="93"/>
        <v>0</v>
      </c>
      <c r="S392" t="str">
        <f t="shared" si="89"/>
        <v>LATER</v>
      </c>
      <c r="T392" t="str">
        <f t="shared" si="90"/>
        <v>SainteLague</v>
      </c>
      <c r="U392">
        <f t="shared" si="92"/>
        <v>391</v>
      </c>
      <c r="V392">
        <f t="shared" si="91"/>
        <v>52992</v>
      </c>
      <c r="W392" s="8" t="str">
        <f>VLOOKUP(V392,'ideas-input'!$A:$B,2,FALSE)</f>
        <v>[Desconexión SGC] Migración exportación de informes de SGC a Cloud</v>
      </c>
      <c r="X392" t="str">
        <f t="shared" si="94"/>
        <v>CIO</v>
      </c>
      <c r="Y392" s="8" t="str">
        <f>VLOOKUP(V392,'ideas-input'!$A:$D,4,FALSE)</f>
        <v>eCommerce</v>
      </c>
      <c r="Z392" t="str">
        <f t="shared" si="95"/>
        <v>Technology</v>
      </c>
      <c r="AA392" t="str">
        <f t="shared" si="96"/>
        <v>Backlog</v>
      </c>
      <c r="AB392">
        <f t="shared" si="97"/>
        <v>42</v>
      </c>
      <c r="AC392">
        <f t="shared" si="98"/>
        <v>0.03</v>
      </c>
      <c r="AD392">
        <f t="shared" si="99"/>
        <v>1</v>
      </c>
      <c r="AE392">
        <f t="shared" si="100"/>
        <v>1</v>
      </c>
      <c r="AF392">
        <f t="shared" si="101"/>
        <v>1</v>
      </c>
      <c r="AG392">
        <f t="shared" si="102"/>
        <v>100</v>
      </c>
    </row>
    <row r="393" spans="1:33" x14ac:dyDescent="0.2">
      <c r="A393" t="s">
        <v>127</v>
      </c>
      <c r="B393" t="s">
        <v>128</v>
      </c>
      <c r="C393">
        <v>392</v>
      </c>
      <c r="D393">
        <v>126585</v>
      </c>
      <c r="E393" t="s">
        <v>1166</v>
      </c>
      <c r="F393" t="s">
        <v>9</v>
      </c>
      <c r="G393" t="s">
        <v>379</v>
      </c>
      <c r="H393" t="s">
        <v>8</v>
      </c>
      <c r="I393" t="s">
        <v>95</v>
      </c>
      <c r="J393">
        <v>20</v>
      </c>
      <c r="K393">
        <v>6</v>
      </c>
      <c r="L393">
        <v>5</v>
      </c>
      <c r="M393">
        <v>2</v>
      </c>
      <c r="N393">
        <v>5</v>
      </c>
      <c r="O393">
        <v>2</v>
      </c>
      <c r="P393" t="b">
        <f t="shared" si="93"/>
        <v>0</v>
      </c>
      <c r="S393" t="str">
        <f t="shared" si="89"/>
        <v>LATER</v>
      </c>
      <c r="T393" t="str">
        <f t="shared" si="90"/>
        <v>SainteLague</v>
      </c>
      <c r="U393">
        <f t="shared" si="92"/>
        <v>392</v>
      </c>
      <c r="V393">
        <f t="shared" si="91"/>
        <v>126585</v>
      </c>
      <c r="W393" s="8" t="str">
        <f>VLOOKUP(V393,'ideas-input'!$A:$B,2,FALSE)</f>
        <v>Renovação Firewalls Perímetro - CheckPoint</v>
      </c>
      <c r="X393" t="str">
        <f t="shared" si="94"/>
        <v>SI</v>
      </c>
      <c r="Y393" s="8" t="str">
        <f>VLOOKUP(V393,'ideas-input'!$A:$D,4,FALSE)</f>
        <v>Mail</v>
      </c>
      <c r="Z393" t="str">
        <f t="shared" si="95"/>
        <v>Technology</v>
      </c>
      <c r="AA393" t="str">
        <f t="shared" si="96"/>
        <v>In Definition</v>
      </c>
      <c r="AB393">
        <f t="shared" si="97"/>
        <v>20</v>
      </c>
      <c r="AC393">
        <f t="shared" si="98"/>
        <v>6</v>
      </c>
      <c r="AD393">
        <f t="shared" si="99"/>
        <v>5</v>
      </c>
      <c r="AE393">
        <f t="shared" si="100"/>
        <v>2</v>
      </c>
      <c r="AF393">
        <f t="shared" si="101"/>
        <v>5</v>
      </c>
      <c r="AG393">
        <f t="shared" si="102"/>
        <v>2</v>
      </c>
    </row>
    <row r="394" spans="1:33" x14ac:dyDescent="0.2">
      <c r="A394" t="s">
        <v>127</v>
      </c>
      <c r="B394" t="s">
        <v>128</v>
      </c>
      <c r="C394">
        <v>393</v>
      </c>
      <c r="D394">
        <v>58472</v>
      </c>
      <c r="E394" t="s">
        <v>1139</v>
      </c>
      <c r="F394" t="s">
        <v>65</v>
      </c>
      <c r="G394" t="s">
        <v>10</v>
      </c>
      <c r="H394" t="s">
        <v>5</v>
      </c>
      <c r="I394" t="s">
        <v>93</v>
      </c>
      <c r="J394">
        <v>24</v>
      </c>
      <c r="K394">
        <v>0.03</v>
      </c>
      <c r="L394">
        <v>1</v>
      </c>
      <c r="M394">
        <v>1</v>
      </c>
      <c r="N394">
        <v>1</v>
      </c>
      <c r="O394">
        <v>100</v>
      </c>
      <c r="P394" t="b">
        <f t="shared" si="93"/>
        <v>0</v>
      </c>
      <c r="S394" t="str">
        <f t="shared" si="89"/>
        <v>LATER</v>
      </c>
      <c r="T394" t="str">
        <f t="shared" si="90"/>
        <v>SainteLague</v>
      </c>
      <c r="U394">
        <f t="shared" si="92"/>
        <v>393</v>
      </c>
      <c r="V394">
        <f t="shared" si="91"/>
        <v>58472</v>
      </c>
      <c r="W394" s="8" t="str">
        <f>VLOOKUP(V394,'ideas-input'!$A:$B,2,FALSE)</f>
        <v>[Nexus-MVP] [Web de Clientes] Gestión Consumibles</v>
      </c>
      <c r="X394" t="str">
        <f t="shared" si="94"/>
        <v>CMO</v>
      </c>
      <c r="Y394" s="8" t="str">
        <f>VLOOKUP(V394,'ideas-input'!$A:$D,4,FALSE)</f>
        <v>eCommerce</v>
      </c>
      <c r="Z394" t="str">
        <f t="shared" si="95"/>
        <v>Commercial</v>
      </c>
      <c r="AA394" t="str">
        <f t="shared" si="96"/>
        <v>Pitch</v>
      </c>
      <c r="AB394">
        <f t="shared" si="97"/>
        <v>24</v>
      </c>
      <c r="AC394">
        <f t="shared" si="98"/>
        <v>0.03</v>
      </c>
      <c r="AD394">
        <f t="shared" si="99"/>
        <v>1</v>
      </c>
      <c r="AE394">
        <f t="shared" si="100"/>
        <v>1</v>
      </c>
      <c r="AF394">
        <f t="shared" si="101"/>
        <v>1</v>
      </c>
      <c r="AG394">
        <f t="shared" si="102"/>
        <v>100</v>
      </c>
    </row>
    <row r="395" spans="1:33" x14ac:dyDescent="0.2">
      <c r="A395" t="s">
        <v>127</v>
      </c>
      <c r="B395" t="s">
        <v>128</v>
      </c>
      <c r="C395">
        <v>394</v>
      </c>
      <c r="D395">
        <v>126166</v>
      </c>
      <c r="E395" t="s">
        <v>197</v>
      </c>
      <c r="F395" t="s">
        <v>23</v>
      </c>
      <c r="G395" t="s">
        <v>379</v>
      </c>
      <c r="H395" t="s">
        <v>5</v>
      </c>
      <c r="I395" t="s">
        <v>95</v>
      </c>
      <c r="J395">
        <v>10</v>
      </c>
      <c r="K395">
        <v>10</v>
      </c>
      <c r="L395">
        <v>4</v>
      </c>
      <c r="M395">
        <v>3</v>
      </c>
      <c r="N395">
        <v>3</v>
      </c>
      <c r="O395">
        <v>1</v>
      </c>
      <c r="P395" t="b">
        <f t="shared" si="93"/>
        <v>0</v>
      </c>
      <c r="S395" t="str">
        <f t="shared" si="89"/>
        <v>LATER</v>
      </c>
      <c r="T395" t="str">
        <f t="shared" si="90"/>
        <v>SainteLague</v>
      </c>
      <c r="U395">
        <f t="shared" si="92"/>
        <v>394</v>
      </c>
      <c r="V395">
        <f t="shared" si="91"/>
        <v>126166</v>
      </c>
      <c r="W395" s="8" t="str">
        <f>VLOOKUP(V395,'ideas-input'!$A:$B,2,FALSE)</f>
        <v>Produto Internacional Expresso | Permitir envio de bens para os EUA segmento ocasional</v>
      </c>
      <c r="X395" t="str">
        <f t="shared" si="94"/>
        <v>GP ECL</v>
      </c>
      <c r="Y395" s="8" t="str">
        <f>VLOOKUP(V395,'ideas-input'!$A:$D,4,FALSE)</f>
        <v>eCommerce</v>
      </c>
      <c r="Z395" t="str">
        <f t="shared" si="95"/>
        <v>Commercial</v>
      </c>
      <c r="AA395" t="str">
        <f t="shared" si="96"/>
        <v>In Definition</v>
      </c>
      <c r="AB395">
        <f t="shared" si="97"/>
        <v>10</v>
      </c>
      <c r="AC395">
        <f t="shared" si="98"/>
        <v>10</v>
      </c>
      <c r="AD395">
        <f t="shared" si="99"/>
        <v>4</v>
      </c>
      <c r="AE395">
        <f t="shared" si="100"/>
        <v>3</v>
      </c>
      <c r="AF395">
        <f t="shared" si="101"/>
        <v>3</v>
      </c>
      <c r="AG395">
        <f t="shared" si="102"/>
        <v>1</v>
      </c>
    </row>
    <row r="396" spans="1:33" x14ac:dyDescent="0.2">
      <c r="A396" t="s">
        <v>127</v>
      </c>
      <c r="B396" t="s">
        <v>128</v>
      </c>
      <c r="C396">
        <v>395</v>
      </c>
      <c r="D396">
        <v>44497</v>
      </c>
      <c r="E396" t="s">
        <v>1243</v>
      </c>
      <c r="F396" t="s">
        <v>66</v>
      </c>
      <c r="G396" t="s">
        <v>10</v>
      </c>
      <c r="H396" t="s">
        <v>5</v>
      </c>
      <c r="I396" t="s">
        <v>95</v>
      </c>
      <c r="J396">
        <v>18</v>
      </c>
      <c r="K396">
        <v>0.03</v>
      </c>
      <c r="L396">
        <v>1</v>
      </c>
      <c r="M396">
        <v>1</v>
      </c>
      <c r="N396">
        <v>1</v>
      </c>
      <c r="O396">
        <v>100</v>
      </c>
      <c r="P396" t="b">
        <f t="shared" si="93"/>
        <v>0</v>
      </c>
      <c r="S396" t="str">
        <f t="shared" si="89"/>
        <v>LATER</v>
      </c>
      <c r="T396" t="str">
        <f t="shared" si="90"/>
        <v>SainteLague</v>
      </c>
      <c r="U396">
        <f t="shared" si="92"/>
        <v>395</v>
      </c>
      <c r="V396">
        <f t="shared" si="91"/>
        <v>44497</v>
      </c>
      <c r="W396" s="8" t="str">
        <f>VLOOKUP(V396,'ideas-input'!$A:$B,2,FALSE)</f>
        <v>Qlik - Analítica Comercial - Clientes Activos</v>
      </c>
      <c r="X396" t="str">
        <f t="shared" si="94"/>
        <v>CCO</v>
      </c>
      <c r="Y396" s="8" t="str">
        <f>VLOOKUP(V396,'ideas-input'!$A:$D,4,FALSE)</f>
        <v>eCommerce</v>
      </c>
      <c r="Z396" t="str">
        <f t="shared" si="95"/>
        <v>Commercial</v>
      </c>
      <c r="AA396" t="str">
        <f t="shared" si="96"/>
        <v>In Definition</v>
      </c>
      <c r="AB396">
        <f t="shared" si="97"/>
        <v>18</v>
      </c>
      <c r="AC396">
        <f t="shared" si="98"/>
        <v>0.03</v>
      </c>
      <c r="AD396">
        <f t="shared" si="99"/>
        <v>1</v>
      </c>
      <c r="AE396">
        <f t="shared" si="100"/>
        <v>1</v>
      </c>
      <c r="AF396">
        <f t="shared" si="101"/>
        <v>1</v>
      </c>
      <c r="AG396">
        <f t="shared" si="102"/>
        <v>100</v>
      </c>
    </row>
    <row r="397" spans="1:33" x14ac:dyDescent="0.2">
      <c r="A397" t="s">
        <v>127</v>
      </c>
      <c r="B397" t="s">
        <v>128</v>
      </c>
      <c r="C397">
        <v>396</v>
      </c>
      <c r="D397">
        <v>88638</v>
      </c>
      <c r="E397" t="s">
        <v>1169</v>
      </c>
      <c r="F397" t="s">
        <v>22</v>
      </c>
      <c r="G397" t="s">
        <v>379</v>
      </c>
      <c r="H397" t="s">
        <v>12</v>
      </c>
      <c r="I397" t="s">
        <v>91</v>
      </c>
      <c r="J397">
        <v>10</v>
      </c>
      <c r="K397">
        <v>0.03</v>
      </c>
      <c r="L397">
        <v>1</v>
      </c>
      <c r="M397">
        <v>1</v>
      </c>
      <c r="N397">
        <v>1</v>
      </c>
      <c r="O397">
        <v>100</v>
      </c>
      <c r="P397" t="b">
        <f t="shared" si="93"/>
        <v>0</v>
      </c>
      <c r="S397" t="str">
        <f t="shared" si="89"/>
        <v>LATER</v>
      </c>
      <c r="T397" t="str">
        <f t="shared" si="90"/>
        <v>SainteLague</v>
      </c>
      <c r="U397">
        <f t="shared" si="92"/>
        <v>396</v>
      </c>
      <c r="V397">
        <f t="shared" si="91"/>
        <v>88638</v>
      </c>
      <c r="W397" s="8" t="str">
        <f>VLOOKUP(V397,'ideas-input'!$A:$B,2,FALSE)</f>
        <v>Novo modelo de integração SAP SF com Paynest</v>
      </c>
      <c r="X397" t="str">
        <f t="shared" si="94"/>
        <v>CF</v>
      </c>
      <c r="Y397" s="8" t="str">
        <f>VLOOKUP(V397,'ideas-input'!$A:$D,4,FALSE)</f>
        <v>Mail</v>
      </c>
      <c r="Z397" t="str">
        <f t="shared" si="95"/>
        <v>Corporate</v>
      </c>
      <c r="AA397" t="str">
        <f t="shared" si="96"/>
        <v>Backlog</v>
      </c>
      <c r="AB397">
        <f t="shared" si="97"/>
        <v>10</v>
      </c>
      <c r="AC397">
        <f t="shared" si="98"/>
        <v>0.03</v>
      </c>
      <c r="AD397">
        <f t="shared" si="99"/>
        <v>1</v>
      </c>
      <c r="AE397">
        <f t="shared" si="100"/>
        <v>1</v>
      </c>
      <c r="AF397">
        <f t="shared" si="101"/>
        <v>1</v>
      </c>
      <c r="AG397">
        <f t="shared" si="102"/>
        <v>100</v>
      </c>
    </row>
    <row r="398" spans="1:33" x14ac:dyDescent="0.2">
      <c r="A398" t="s">
        <v>127</v>
      </c>
      <c r="B398" t="s">
        <v>128</v>
      </c>
      <c r="C398">
        <v>397</v>
      </c>
      <c r="D398">
        <v>43525</v>
      </c>
      <c r="E398" t="s">
        <v>1193</v>
      </c>
      <c r="F398" t="s">
        <v>69</v>
      </c>
      <c r="G398" t="s">
        <v>10</v>
      </c>
      <c r="H398" t="s">
        <v>12</v>
      </c>
      <c r="I398" t="s">
        <v>91</v>
      </c>
      <c r="J398">
        <v>18</v>
      </c>
      <c r="K398">
        <v>0.03</v>
      </c>
      <c r="L398">
        <v>1</v>
      </c>
      <c r="M398">
        <v>1</v>
      </c>
      <c r="N398">
        <v>1</v>
      </c>
      <c r="O398">
        <v>100</v>
      </c>
      <c r="P398" t="b">
        <f t="shared" si="93"/>
        <v>0</v>
      </c>
      <c r="S398" t="str">
        <f t="shared" si="89"/>
        <v>LATER</v>
      </c>
      <c r="T398" t="str">
        <f t="shared" si="90"/>
        <v>SainteLague</v>
      </c>
      <c r="U398">
        <f t="shared" si="92"/>
        <v>397</v>
      </c>
      <c r="V398">
        <f t="shared" si="91"/>
        <v>43525</v>
      </c>
      <c r="W398" s="8" t="str">
        <f>VLOOKUP(V398,'ideas-input'!$A:$B,2,FALSE)</f>
        <v>[Evolutivos SGC Finanzas] Posibilidad de filtrar en Valoracion de servicios por Microservicio de Tasación "Proceso SINO"</v>
      </c>
      <c r="X398" t="str">
        <f t="shared" si="94"/>
        <v>CFO</v>
      </c>
      <c r="Y398" s="8" t="str">
        <f>VLOOKUP(V398,'ideas-input'!$A:$D,4,FALSE)</f>
        <v>eCommerce</v>
      </c>
      <c r="Z398" t="str">
        <f t="shared" si="95"/>
        <v>Corporate</v>
      </c>
      <c r="AA398" t="str">
        <f t="shared" si="96"/>
        <v>Backlog</v>
      </c>
      <c r="AB398">
        <f t="shared" si="97"/>
        <v>18</v>
      </c>
      <c r="AC398">
        <f t="shared" si="98"/>
        <v>0.03</v>
      </c>
      <c r="AD398">
        <f t="shared" si="99"/>
        <v>1</v>
      </c>
      <c r="AE398">
        <f t="shared" si="100"/>
        <v>1</v>
      </c>
      <c r="AF398">
        <f t="shared" si="101"/>
        <v>1</v>
      </c>
      <c r="AG398">
        <f t="shared" si="102"/>
        <v>100</v>
      </c>
    </row>
    <row r="399" spans="1:33" x14ac:dyDescent="0.2">
      <c r="A399" t="s">
        <v>127</v>
      </c>
      <c r="B399" t="s">
        <v>128</v>
      </c>
      <c r="C399">
        <v>398</v>
      </c>
      <c r="D399">
        <v>58133</v>
      </c>
      <c r="E399" t="s">
        <v>1151</v>
      </c>
      <c r="F399" t="s">
        <v>34</v>
      </c>
      <c r="G399" t="s">
        <v>379</v>
      </c>
      <c r="H399" t="s">
        <v>8</v>
      </c>
      <c r="I399" t="s">
        <v>95</v>
      </c>
      <c r="J399">
        <v>8</v>
      </c>
      <c r="K399">
        <v>0.03</v>
      </c>
      <c r="L399">
        <v>1</v>
      </c>
      <c r="M399">
        <v>1</v>
      </c>
      <c r="N399">
        <v>1</v>
      </c>
      <c r="O399">
        <v>100</v>
      </c>
      <c r="P399" t="b">
        <f t="shared" si="93"/>
        <v>0</v>
      </c>
      <c r="S399" t="str">
        <f t="shared" si="89"/>
        <v>LATER</v>
      </c>
      <c r="T399" t="str">
        <f t="shared" si="90"/>
        <v>SainteLague</v>
      </c>
      <c r="U399">
        <f t="shared" si="92"/>
        <v>398</v>
      </c>
      <c r="V399">
        <f t="shared" si="91"/>
        <v>58133</v>
      </c>
      <c r="W399" s="8" t="str">
        <f>VLOOKUP(V399,'ideas-input'!$A:$B,2,FALSE)</f>
        <v>BCTT - extensão do contrato de multifunções a 321 credito</v>
      </c>
      <c r="X399" t="str">
        <f t="shared" si="94"/>
        <v>BCTT</v>
      </c>
      <c r="Y399" s="8" t="str">
        <f>VLOOKUP(V399,'ideas-input'!$A:$D,4,FALSE)</f>
        <v>Mail</v>
      </c>
      <c r="Z399" t="str">
        <f t="shared" si="95"/>
        <v>Technology</v>
      </c>
      <c r="AA399" t="str">
        <f t="shared" si="96"/>
        <v>In Definition</v>
      </c>
      <c r="AB399">
        <f t="shared" si="97"/>
        <v>8</v>
      </c>
      <c r="AC399">
        <f t="shared" si="98"/>
        <v>0.03</v>
      </c>
      <c r="AD399">
        <f t="shared" si="99"/>
        <v>1</v>
      </c>
      <c r="AE399">
        <f t="shared" si="100"/>
        <v>1</v>
      </c>
      <c r="AF399">
        <f t="shared" si="101"/>
        <v>1</v>
      </c>
      <c r="AG399">
        <f t="shared" si="102"/>
        <v>100</v>
      </c>
    </row>
    <row r="400" spans="1:33" x14ac:dyDescent="0.2">
      <c r="A400" t="s">
        <v>127</v>
      </c>
      <c r="B400" t="s">
        <v>128</v>
      </c>
      <c r="C400">
        <v>399</v>
      </c>
      <c r="D400">
        <v>52038</v>
      </c>
      <c r="E400" t="s">
        <v>1678</v>
      </c>
      <c r="F400" t="s">
        <v>70</v>
      </c>
      <c r="G400" t="s">
        <v>10</v>
      </c>
      <c r="H400" t="s">
        <v>8</v>
      </c>
      <c r="I400" t="s">
        <v>91</v>
      </c>
      <c r="J400">
        <v>43</v>
      </c>
      <c r="K400">
        <v>0.03</v>
      </c>
      <c r="L400">
        <v>1</v>
      </c>
      <c r="M400">
        <v>1</v>
      </c>
      <c r="N400">
        <v>1</v>
      </c>
      <c r="O400">
        <v>100</v>
      </c>
      <c r="P400" t="b">
        <f t="shared" si="93"/>
        <v>0</v>
      </c>
      <c r="S400" t="str">
        <f t="shared" si="89"/>
        <v>LATER</v>
      </c>
      <c r="T400" t="str">
        <f t="shared" si="90"/>
        <v>SainteLague</v>
      </c>
      <c r="U400">
        <f t="shared" si="92"/>
        <v>399</v>
      </c>
      <c r="V400">
        <f t="shared" si="91"/>
        <v>52038</v>
      </c>
      <c r="W400" s="8" t="str">
        <f>VLOOKUP(V400,'ideas-input'!$A:$B,2,FALSE)</f>
        <v>[Desconexión SGC] [Auditoria PT]  Controles para garantizar la integración correcta de la información entre microservicio "Manifiestos" y SGC</v>
      </c>
      <c r="X400" t="str">
        <f t="shared" si="94"/>
        <v>CIO</v>
      </c>
      <c r="Y400" s="8" t="str">
        <f>VLOOKUP(V400,'ideas-input'!$A:$D,4,FALSE)</f>
        <v>eCommerce</v>
      </c>
      <c r="Z400" t="str">
        <f t="shared" si="95"/>
        <v>Technology</v>
      </c>
      <c r="AA400" t="str">
        <f t="shared" si="96"/>
        <v>Backlog</v>
      </c>
      <c r="AB400">
        <f t="shared" si="97"/>
        <v>43</v>
      </c>
      <c r="AC400">
        <f t="shared" si="98"/>
        <v>0.03</v>
      </c>
      <c r="AD400">
        <f t="shared" si="99"/>
        <v>1</v>
      </c>
      <c r="AE400">
        <f t="shared" si="100"/>
        <v>1</v>
      </c>
      <c r="AF400">
        <f t="shared" si="101"/>
        <v>1</v>
      </c>
      <c r="AG400">
        <f t="shared" si="102"/>
        <v>100</v>
      </c>
    </row>
    <row r="401" spans="1:33" x14ac:dyDescent="0.2">
      <c r="A401" t="s">
        <v>127</v>
      </c>
      <c r="B401" t="s">
        <v>128</v>
      </c>
      <c r="C401">
        <v>400</v>
      </c>
      <c r="D401">
        <v>48167</v>
      </c>
      <c r="E401" t="s">
        <v>1211</v>
      </c>
      <c r="F401" t="s">
        <v>25</v>
      </c>
      <c r="G401" t="s">
        <v>379</v>
      </c>
      <c r="H401" t="s">
        <v>5</v>
      </c>
      <c r="I401" t="s">
        <v>91</v>
      </c>
      <c r="J401">
        <v>6</v>
      </c>
      <c r="K401">
        <v>0.03</v>
      </c>
      <c r="L401">
        <v>1</v>
      </c>
      <c r="M401">
        <v>1</v>
      </c>
      <c r="N401">
        <v>1</v>
      </c>
      <c r="O401">
        <v>100</v>
      </c>
      <c r="P401" t="b">
        <f t="shared" si="93"/>
        <v>0</v>
      </c>
      <c r="S401" t="str">
        <f t="shared" si="89"/>
        <v>LATER</v>
      </c>
      <c r="T401" t="str">
        <f t="shared" si="90"/>
        <v>SainteLague</v>
      </c>
      <c r="U401">
        <f t="shared" si="92"/>
        <v>400</v>
      </c>
      <c r="V401">
        <f t="shared" si="91"/>
        <v>48167</v>
      </c>
      <c r="W401" s="8" t="str">
        <f>VLOOKUP(V401,'ideas-input'!$A:$B,2,FALSE)</f>
        <v>GPB2C | Via Verde – Repositório de informação</v>
      </c>
      <c r="X401" t="str">
        <f t="shared" si="94"/>
        <v>GP B2C</v>
      </c>
      <c r="Y401" s="8" t="str">
        <f>VLOOKUP(V401,'ideas-input'!$A:$D,4,FALSE)</f>
        <v>Retail &amp; Financial Services</v>
      </c>
      <c r="Z401" t="str">
        <f t="shared" si="95"/>
        <v>Commercial</v>
      </c>
      <c r="AA401" t="str">
        <f t="shared" si="96"/>
        <v>Backlog</v>
      </c>
      <c r="AB401">
        <f t="shared" si="97"/>
        <v>6</v>
      </c>
      <c r="AC401">
        <f t="shared" si="98"/>
        <v>0.03</v>
      </c>
      <c r="AD401">
        <f t="shared" si="99"/>
        <v>1</v>
      </c>
      <c r="AE401">
        <f t="shared" si="100"/>
        <v>1</v>
      </c>
      <c r="AF401">
        <f t="shared" si="101"/>
        <v>1</v>
      </c>
      <c r="AG401">
        <f t="shared" si="102"/>
        <v>100</v>
      </c>
    </row>
    <row r="402" spans="1:33" x14ac:dyDescent="0.2">
      <c r="A402" t="s">
        <v>127</v>
      </c>
      <c r="B402" t="s">
        <v>128</v>
      </c>
      <c r="C402">
        <v>401</v>
      </c>
      <c r="D402">
        <v>53473</v>
      </c>
      <c r="E402" t="s">
        <v>1229</v>
      </c>
      <c r="F402" t="s">
        <v>68</v>
      </c>
      <c r="G402" t="s">
        <v>10</v>
      </c>
      <c r="H402" t="s">
        <v>5</v>
      </c>
      <c r="I402" t="s">
        <v>91</v>
      </c>
      <c r="J402">
        <v>16</v>
      </c>
      <c r="K402">
        <v>0.03</v>
      </c>
      <c r="L402">
        <v>1</v>
      </c>
      <c r="M402">
        <v>1</v>
      </c>
      <c r="N402">
        <v>1</v>
      </c>
      <c r="O402">
        <v>100</v>
      </c>
      <c r="P402" t="b">
        <f t="shared" si="93"/>
        <v>0</v>
      </c>
      <c r="S402" t="str">
        <f t="shared" si="89"/>
        <v>LATER</v>
      </c>
      <c r="T402" t="str">
        <f t="shared" si="90"/>
        <v>SainteLague</v>
      </c>
      <c r="U402">
        <f t="shared" si="92"/>
        <v>401</v>
      </c>
      <c r="V402">
        <f t="shared" si="91"/>
        <v>53473</v>
      </c>
      <c r="W402" s="8" t="str">
        <f>VLOOKUP(V402,'ideas-input'!$A:$B,2,FALSE)</f>
        <v>Manifest errores de carga en códigos postales.</v>
      </c>
      <c r="X402" t="str">
        <f t="shared" si="94"/>
        <v>IDC</v>
      </c>
      <c r="Y402" s="8" t="str">
        <f>VLOOKUP(V402,'ideas-input'!$A:$D,4,FALSE)</f>
        <v>eCommerce</v>
      </c>
      <c r="Z402" t="str">
        <f t="shared" si="95"/>
        <v>Commercial</v>
      </c>
      <c r="AA402" t="str">
        <f t="shared" si="96"/>
        <v>Backlog</v>
      </c>
      <c r="AB402">
        <f t="shared" si="97"/>
        <v>16</v>
      </c>
      <c r="AC402">
        <f t="shared" si="98"/>
        <v>0.03</v>
      </c>
      <c r="AD402">
        <f t="shared" si="99"/>
        <v>1</v>
      </c>
      <c r="AE402">
        <f t="shared" si="100"/>
        <v>1</v>
      </c>
      <c r="AF402">
        <f t="shared" si="101"/>
        <v>1</v>
      </c>
      <c r="AG402">
        <f t="shared" si="102"/>
        <v>100</v>
      </c>
    </row>
    <row r="403" spans="1:33" x14ac:dyDescent="0.2">
      <c r="A403" t="s">
        <v>127</v>
      </c>
      <c r="B403" t="s">
        <v>128</v>
      </c>
      <c r="C403">
        <v>402</v>
      </c>
      <c r="D403">
        <v>81605</v>
      </c>
      <c r="E403" t="s">
        <v>1216</v>
      </c>
      <c r="F403" t="s">
        <v>24</v>
      </c>
      <c r="G403" t="s">
        <v>379</v>
      </c>
      <c r="H403" t="s">
        <v>5</v>
      </c>
      <c r="I403" t="s">
        <v>95</v>
      </c>
      <c r="J403">
        <v>6</v>
      </c>
      <c r="K403">
        <v>0.03</v>
      </c>
      <c r="L403">
        <v>1</v>
      </c>
      <c r="M403">
        <v>1</v>
      </c>
      <c r="N403">
        <v>1</v>
      </c>
      <c r="O403">
        <v>100</v>
      </c>
      <c r="P403" t="b">
        <f t="shared" si="93"/>
        <v>0</v>
      </c>
      <c r="S403" t="str">
        <f t="shared" si="89"/>
        <v>LATER</v>
      </c>
      <c r="T403" t="str">
        <f t="shared" si="90"/>
        <v>SainteLague</v>
      </c>
      <c r="U403">
        <f t="shared" si="92"/>
        <v>402</v>
      </c>
      <c r="V403">
        <f t="shared" si="91"/>
        <v>81605</v>
      </c>
      <c r="W403" s="8" t="str">
        <f>VLOOKUP(V403,'ideas-input'!$A:$B,2,FALSE)</f>
        <v>DUC - Relatório Mensal de Pagamentos de Impostos com Cartão MB</v>
      </c>
      <c r="X403" t="str">
        <f t="shared" si="94"/>
        <v>GPG</v>
      </c>
      <c r="Y403" s="8" t="str">
        <f>VLOOKUP(V403,'ideas-input'!$A:$D,4,FALSE)</f>
        <v>Payments</v>
      </c>
      <c r="Z403" t="str">
        <f t="shared" si="95"/>
        <v>Commercial</v>
      </c>
      <c r="AA403" t="str">
        <f t="shared" si="96"/>
        <v>In Definition</v>
      </c>
      <c r="AB403">
        <f t="shared" si="97"/>
        <v>6</v>
      </c>
      <c r="AC403">
        <f t="shared" si="98"/>
        <v>0.03</v>
      </c>
      <c r="AD403">
        <f t="shared" si="99"/>
        <v>1</v>
      </c>
      <c r="AE403">
        <f t="shared" si="100"/>
        <v>1</v>
      </c>
      <c r="AF403">
        <f t="shared" si="101"/>
        <v>1</v>
      </c>
      <c r="AG403">
        <f t="shared" si="102"/>
        <v>100</v>
      </c>
    </row>
    <row r="404" spans="1:33" x14ac:dyDescent="0.2">
      <c r="A404" t="s">
        <v>127</v>
      </c>
      <c r="B404" t="s">
        <v>128</v>
      </c>
      <c r="C404">
        <v>403</v>
      </c>
      <c r="D404">
        <v>64410</v>
      </c>
      <c r="E404" t="s">
        <v>1060</v>
      </c>
      <c r="F404" t="s">
        <v>71</v>
      </c>
      <c r="G404" t="s">
        <v>10</v>
      </c>
      <c r="H404" t="s">
        <v>12</v>
      </c>
      <c r="I404" t="s">
        <v>91</v>
      </c>
      <c r="J404">
        <v>5</v>
      </c>
      <c r="K404">
        <v>0.03</v>
      </c>
      <c r="L404">
        <v>1</v>
      </c>
      <c r="M404">
        <v>1</v>
      </c>
      <c r="N404">
        <v>1</v>
      </c>
      <c r="O404">
        <v>100</v>
      </c>
      <c r="P404" t="b">
        <f t="shared" si="93"/>
        <v>0</v>
      </c>
      <c r="S404" t="str">
        <f t="shared" si="89"/>
        <v>LATER</v>
      </c>
      <c r="T404" t="str">
        <f t="shared" si="90"/>
        <v>SainteLague</v>
      </c>
      <c r="U404">
        <f t="shared" si="92"/>
        <v>403</v>
      </c>
      <c r="V404">
        <f t="shared" si="91"/>
        <v>64410</v>
      </c>
      <c r="W404" s="8" t="str">
        <f>VLOOKUP(V404,'ideas-input'!$A:$B,2,FALSE)</f>
        <v>Implantación con empresa externa de software para la medición de la Huella de Carbono</v>
      </c>
      <c r="X404" t="str">
        <f t="shared" si="94"/>
        <v>PRO</v>
      </c>
      <c r="Y404" s="8" t="str">
        <f>VLOOKUP(V404,'ideas-input'!$A:$D,4,FALSE)</f>
        <v>eCommerce</v>
      </c>
      <c r="Z404" t="str">
        <f t="shared" si="95"/>
        <v>Corporate</v>
      </c>
      <c r="AA404" t="str">
        <f t="shared" si="96"/>
        <v>Backlog</v>
      </c>
      <c r="AB404">
        <f t="shared" si="97"/>
        <v>5</v>
      </c>
      <c r="AC404">
        <f t="shared" si="98"/>
        <v>0.03</v>
      </c>
      <c r="AD404">
        <f t="shared" si="99"/>
        <v>1</v>
      </c>
      <c r="AE404">
        <f t="shared" si="100"/>
        <v>1</v>
      </c>
      <c r="AF404">
        <f t="shared" si="101"/>
        <v>1</v>
      </c>
      <c r="AG404">
        <f t="shared" si="102"/>
        <v>100</v>
      </c>
    </row>
    <row r="405" spans="1:33" x14ac:dyDescent="0.2">
      <c r="A405" t="s">
        <v>127</v>
      </c>
      <c r="B405" t="s">
        <v>128</v>
      </c>
      <c r="C405">
        <v>404</v>
      </c>
      <c r="D405">
        <v>50544</v>
      </c>
      <c r="E405" t="s">
        <v>1173</v>
      </c>
      <c r="F405" t="s">
        <v>46</v>
      </c>
      <c r="G405" t="s">
        <v>379</v>
      </c>
      <c r="H405" t="s">
        <v>12</v>
      </c>
      <c r="I405" t="s">
        <v>91</v>
      </c>
      <c r="J405">
        <v>10</v>
      </c>
      <c r="K405">
        <v>2.3330000000000002</v>
      </c>
      <c r="L405">
        <v>3</v>
      </c>
      <c r="M405">
        <v>2</v>
      </c>
      <c r="N405">
        <v>2</v>
      </c>
      <c r="O405">
        <v>3</v>
      </c>
      <c r="P405" t="b">
        <f t="shared" si="93"/>
        <v>0</v>
      </c>
      <c r="S405" t="str">
        <f t="shared" si="89"/>
        <v>LATER</v>
      </c>
      <c r="T405" t="str">
        <f t="shared" si="90"/>
        <v>SainteLague</v>
      </c>
      <c r="U405">
        <f t="shared" si="92"/>
        <v>404</v>
      </c>
      <c r="V405">
        <f t="shared" si="91"/>
        <v>50544</v>
      </c>
      <c r="W405" s="8" t="str">
        <f>VLOOKUP(V405,'ideas-input'!$A:$B,2,FALSE)</f>
        <v>Avaliação de Novo Software de Contact Center</v>
      </c>
      <c r="X405" t="str">
        <f t="shared" si="94"/>
        <v>AVC</v>
      </c>
      <c r="Y405" s="8" t="str">
        <f>VLOOKUP(V405,'ideas-input'!$A:$D,4,FALSE)</f>
        <v>Mail</v>
      </c>
      <c r="Z405" t="str">
        <f t="shared" si="95"/>
        <v>Corporate</v>
      </c>
      <c r="AA405" t="str">
        <f t="shared" si="96"/>
        <v>Backlog</v>
      </c>
      <c r="AB405">
        <f t="shared" si="97"/>
        <v>10</v>
      </c>
      <c r="AC405">
        <f t="shared" si="98"/>
        <v>2.3330000000000002</v>
      </c>
      <c r="AD405">
        <f t="shared" si="99"/>
        <v>3</v>
      </c>
      <c r="AE405">
        <f t="shared" si="100"/>
        <v>2</v>
      </c>
      <c r="AF405">
        <f t="shared" si="101"/>
        <v>2</v>
      </c>
      <c r="AG405">
        <f t="shared" si="102"/>
        <v>3</v>
      </c>
    </row>
    <row r="406" spans="1:33" x14ac:dyDescent="0.2">
      <c r="A406" t="s">
        <v>127</v>
      </c>
      <c r="B406" t="s">
        <v>128</v>
      </c>
      <c r="C406">
        <v>405</v>
      </c>
      <c r="D406">
        <v>59333</v>
      </c>
      <c r="E406" t="s">
        <v>298</v>
      </c>
      <c r="F406" t="s">
        <v>70</v>
      </c>
      <c r="G406" t="s">
        <v>10</v>
      </c>
      <c r="H406" t="s">
        <v>8</v>
      </c>
      <c r="I406" t="s">
        <v>91</v>
      </c>
      <c r="J406">
        <v>44</v>
      </c>
      <c r="K406">
        <v>0.03</v>
      </c>
      <c r="L406">
        <v>1</v>
      </c>
      <c r="M406">
        <v>1</v>
      </c>
      <c r="N406">
        <v>1</v>
      </c>
      <c r="O406">
        <v>100</v>
      </c>
      <c r="P406" t="b">
        <f t="shared" si="93"/>
        <v>0</v>
      </c>
      <c r="S406" t="str">
        <f t="shared" si="89"/>
        <v>LATER</v>
      </c>
      <c r="T406" t="str">
        <f t="shared" si="90"/>
        <v>SainteLague</v>
      </c>
      <c r="U406">
        <f t="shared" si="92"/>
        <v>405</v>
      </c>
      <c r="V406">
        <f t="shared" si="91"/>
        <v>59333</v>
      </c>
      <c r="W406" s="8" t="str">
        <f>VLOOKUP(V406,'ideas-input'!$A:$B,2,FALSE)</f>
        <v>crear plantilla de colecciones de mongodb</v>
      </c>
      <c r="X406" t="str">
        <f t="shared" si="94"/>
        <v>CIO</v>
      </c>
      <c r="Y406" s="8" t="str">
        <f>VLOOKUP(V406,'ideas-input'!$A:$D,4,FALSE)</f>
        <v>eCommerce</v>
      </c>
      <c r="Z406" t="str">
        <f t="shared" si="95"/>
        <v>Technology</v>
      </c>
      <c r="AA406" t="str">
        <f t="shared" si="96"/>
        <v>Backlog</v>
      </c>
      <c r="AB406">
        <f t="shared" si="97"/>
        <v>44</v>
      </c>
      <c r="AC406">
        <f t="shared" si="98"/>
        <v>0.03</v>
      </c>
      <c r="AD406">
        <f t="shared" si="99"/>
        <v>1</v>
      </c>
      <c r="AE406">
        <f t="shared" si="100"/>
        <v>1</v>
      </c>
      <c r="AF406">
        <f t="shared" si="101"/>
        <v>1</v>
      </c>
      <c r="AG406">
        <f t="shared" si="102"/>
        <v>100</v>
      </c>
    </row>
    <row r="407" spans="1:33" x14ac:dyDescent="0.2">
      <c r="A407" t="s">
        <v>127</v>
      </c>
      <c r="B407" t="s">
        <v>128</v>
      </c>
      <c r="C407">
        <v>406</v>
      </c>
      <c r="D407">
        <v>100104</v>
      </c>
      <c r="E407" t="s">
        <v>1175</v>
      </c>
      <c r="F407" t="s">
        <v>58</v>
      </c>
      <c r="G407" t="s">
        <v>379</v>
      </c>
      <c r="H407" t="s">
        <v>8</v>
      </c>
      <c r="I407" t="s">
        <v>91</v>
      </c>
      <c r="J407">
        <v>8</v>
      </c>
      <c r="K407">
        <v>0.03</v>
      </c>
      <c r="L407">
        <v>1</v>
      </c>
      <c r="M407">
        <v>1</v>
      </c>
      <c r="N407">
        <v>1</v>
      </c>
      <c r="O407">
        <v>100</v>
      </c>
      <c r="P407" t="b">
        <f t="shared" si="93"/>
        <v>0</v>
      </c>
      <c r="S407" t="str">
        <f t="shared" ref="S407:S470" si="103">A407</f>
        <v>LATER</v>
      </c>
      <c r="T407" t="str">
        <f t="shared" ref="T407:T470" si="104">B407</f>
        <v>SainteLague</v>
      </c>
      <c r="U407">
        <f t="shared" si="92"/>
        <v>406</v>
      </c>
      <c r="V407">
        <f t="shared" ref="V407:V470" si="105">D407</f>
        <v>100104</v>
      </c>
      <c r="W407" s="8" t="str">
        <f>VLOOKUP(V407,'ideas-input'!$A:$B,2,FALSE)</f>
        <v>SGEE - Descontinuação FTP</v>
      </c>
      <c r="X407" t="str">
        <f t="shared" si="94"/>
        <v>SI-PRD</v>
      </c>
      <c r="Y407" s="8" t="str">
        <f>VLOOKUP(V407,'ideas-input'!$A:$D,4,FALSE)</f>
        <v>eCommerce</v>
      </c>
      <c r="Z407" t="str">
        <f t="shared" si="95"/>
        <v>Technology</v>
      </c>
      <c r="AA407" t="str">
        <f t="shared" si="96"/>
        <v>Backlog</v>
      </c>
      <c r="AB407">
        <f t="shared" si="97"/>
        <v>8</v>
      </c>
      <c r="AC407">
        <f t="shared" si="98"/>
        <v>0.03</v>
      </c>
      <c r="AD407">
        <f t="shared" si="99"/>
        <v>1</v>
      </c>
      <c r="AE407">
        <f t="shared" si="100"/>
        <v>1</v>
      </c>
      <c r="AF407">
        <f t="shared" si="101"/>
        <v>1</v>
      </c>
      <c r="AG407">
        <f t="shared" si="102"/>
        <v>100</v>
      </c>
    </row>
    <row r="408" spans="1:33" x14ac:dyDescent="0.2">
      <c r="A408" t="s">
        <v>127</v>
      </c>
      <c r="B408" t="s">
        <v>128</v>
      </c>
      <c r="C408">
        <v>407</v>
      </c>
      <c r="D408">
        <v>56880</v>
      </c>
      <c r="E408" t="s">
        <v>214</v>
      </c>
      <c r="F408" t="s">
        <v>65</v>
      </c>
      <c r="G408" t="s">
        <v>10</v>
      </c>
      <c r="H408" t="s">
        <v>5</v>
      </c>
      <c r="I408" t="s">
        <v>95</v>
      </c>
      <c r="J408">
        <v>25</v>
      </c>
      <c r="K408">
        <v>0.03</v>
      </c>
      <c r="L408">
        <v>1</v>
      </c>
      <c r="M408">
        <v>1</v>
      </c>
      <c r="N408">
        <v>1</v>
      </c>
      <c r="O408">
        <v>100</v>
      </c>
      <c r="P408" t="b">
        <f t="shared" si="93"/>
        <v>0</v>
      </c>
      <c r="S408" t="str">
        <f t="shared" si="103"/>
        <v>LATER</v>
      </c>
      <c r="T408" t="str">
        <f t="shared" si="104"/>
        <v>SainteLague</v>
      </c>
      <c r="U408">
        <f t="shared" si="92"/>
        <v>407</v>
      </c>
      <c r="V408">
        <f t="shared" si="105"/>
        <v>56880</v>
      </c>
      <c r="W408" s="8" t="str">
        <f>VLOOKUP(V408,'ideas-input'!$A:$B,2,FALSE)</f>
        <v>[Minerva]- Modelo Tarifario Densidades Zoning Actual</v>
      </c>
      <c r="X408" t="str">
        <f t="shared" si="94"/>
        <v>CMO</v>
      </c>
      <c r="Y408" s="8" t="str">
        <f>VLOOKUP(V408,'ideas-input'!$A:$D,4,FALSE)</f>
        <v>eCommerce</v>
      </c>
      <c r="Z408" t="str">
        <f t="shared" si="95"/>
        <v>Commercial</v>
      </c>
      <c r="AA408" t="str">
        <f t="shared" si="96"/>
        <v>In Definition</v>
      </c>
      <c r="AB408">
        <f t="shared" si="97"/>
        <v>25</v>
      </c>
      <c r="AC408">
        <f t="shared" si="98"/>
        <v>0.03</v>
      </c>
      <c r="AD408">
        <f t="shared" si="99"/>
        <v>1</v>
      </c>
      <c r="AE408">
        <f t="shared" si="100"/>
        <v>1</v>
      </c>
      <c r="AF408">
        <f t="shared" si="101"/>
        <v>1</v>
      </c>
      <c r="AG408">
        <f t="shared" si="102"/>
        <v>100</v>
      </c>
    </row>
    <row r="409" spans="1:33" x14ac:dyDescent="0.2">
      <c r="A409" t="s">
        <v>127</v>
      </c>
      <c r="B409" t="s">
        <v>128</v>
      </c>
      <c r="C409">
        <v>408</v>
      </c>
      <c r="D409">
        <v>107435</v>
      </c>
      <c r="E409" t="s">
        <v>1219</v>
      </c>
      <c r="F409" t="s">
        <v>37</v>
      </c>
      <c r="G409" t="s">
        <v>379</v>
      </c>
      <c r="H409" t="s">
        <v>5</v>
      </c>
      <c r="I409" t="s">
        <v>91</v>
      </c>
      <c r="J409">
        <v>8</v>
      </c>
      <c r="K409">
        <v>0.03</v>
      </c>
      <c r="L409">
        <v>1</v>
      </c>
      <c r="M409">
        <v>1</v>
      </c>
      <c r="N409">
        <v>1</v>
      </c>
      <c r="O409">
        <v>100</v>
      </c>
      <c r="P409" t="b">
        <f t="shared" si="93"/>
        <v>0</v>
      </c>
      <c r="S409" t="str">
        <f t="shared" si="103"/>
        <v>LATER</v>
      </c>
      <c r="T409" t="str">
        <f t="shared" si="104"/>
        <v>SainteLague</v>
      </c>
      <c r="U409">
        <f t="shared" si="92"/>
        <v>408</v>
      </c>
      <c r="V409">
        <f t="shared" si="105"/>
        <v>107435</v>
      </c>
      <c r="W409" s="8" t="str">
        <f>VLOOKUP(V409,'ideas-input'!$A:$B,2,FALSE)</f>
        <v>Novo Aceitação imediata de objetos expresso em lockerProjeto</v>
      </c>
      <c r="X409" t="str">
        <f t="shared" si="94"/>
        <v>GS</v>
      </c>
      <c r="Y409" s="8" t="str">
        <f>VLOOKUP(V409,'ideas-input'!$A:$D,4,FALSE)</f>
        <v>eCommerce</v>
      </c>
      <c r="Z409" t="str">
        <f t="shared" si="95"/>
        <v>Commercial</v>
      </c>
      <c r="AA409" t="str">
        <f t="shared" si="96"/>
        <v>Backlog</v>
      </c>
      <c r="AB409">
        <f t="shared" si="97"/>
        <v>8</v>
      </c>
      <c r="AC409">
        <f t="shared" si="98"/>
        <v>0.03</v>
      </c>
      <c r="AD409">
        <f t="shared" si="99"/>
        <v>1</v>
      </c>
      <c r="AE409">
        <f t="shared" si="100"/>
        <v>1</v>
      </c>
      <c r="AF409">
        <f t="shared" si="101"/>
        <v>1</v>
      </c>
      <c r="AG409">
        <f t="shared" si="102"/>
        <v>100</v>
      </c>
    </row>
    <row r="410" spans="1:33" x14ac:dyDescent="0.2">
      <c r="A410" t="s">
        <v>127</v>
      </c>
      <c r="B410" t="s">
        <v>128</v>
      </c>
      <c r="C410">
        <v>409</v>
      </c>
      <c r="D410">
        <v>46164</v>
      </c>
      <c r="E410" t="s">
        <v>1199</v>
      </c>
      <c r="F410" t="s">
        <v>67</v>
      </c>
      <c r="G410" t="s">
        <v>10</v>
      </c>
      <c r="H410" t="s">
        <v>12</v>
      </c>
      <c r="I410" t="s">
        <v>95</v>
      </c>
      <c r="J410">
        <v>21</v>
      </c>
      <c r="K410">
        <v>0.03</v>
      </c>
      <c r="L410">
        <v>1</v>
      </c>
      <c r="M410">
        <v>1</v>
      </c>
      <c r="N410">
        <v>1</v>
      </c>
      <c r="O410">
        <v>100</v>
      </c>
      <c r="P410" t="b">
        <f t="shared" si="93"/>
        <v>0</v>
      </c>
      <c r="S410" t="str">
        <f t="shared" si="103"/>
        <v>LATER</v>
      </c>
      <c r="T410" t="str">
        <f t="shared" si="104"/>
        <v>SainteLague</v>
      </c>
      <c r="U410">
        <f t="shared" ref="U410:U473" si="106">C410</f>
        <v>409</v>
      </c>
      <c r="V410">
        <f t="shared" si="105"/>
        <v>46164</v>
      </c>
      <c r="W410" s="8" t="str">
        <f>VLOOKUP(V410,'ideas-input'!$A:$B,2,FALSE)</f>
        <v>[Salesforce]​ - Reexpedir -recanalizar- y destruir un envío por parte del equipo de ATC</v>
      </c>
      <c r="X410" t="str">
        <f t="shared" si="94"/>
        <v>ATC</v>
      </c>
      <c r="Y410" s="8" t="str">
        <f>VLOOKUP(V410,'ideas-input'!$A:$D,4,FALSE)</f>
        <v>eCommerce</v>
      </c>
      <c r="Z410" t="str">
        <f t="shared" si="95"/>
        <v>Corporate</v>
      </c>
      <c r="AA410" t="str">
        <f t="shared" si="96"/>
        <v>In Definition</v>
      </c>
      <c r="AB410">
        <f t="shared" si="97"/>
        <v>21</v>
      </c>
      <c r="AC410">
        <f t="shared" si="98"/>
        <v>0.03</v>
      </c>
      <c r="AD410">
        <f t="shared" si="99"/>
        <v>1</v>
      </c>
      <c r="AE410">
        <f t="shared" si="100"/>
        <v>1</v>
      </c>
      <c r="AF410">
        <f t="shared" si="101"/>
        <v>1</v>
      </c>
      <c r="AG410">
        <f t="shared" si="102"/>
        <v>100</v>
      </c>
    </row>
    <row r="411" spans="1:33" x14ac:dyDescent="0.2">
      <c r="A411" t="s">
        <v>127</v>
      </c>
      <c r="B411" t="s">
        <v>128</v>
      </c>
      <c r="C411">
        <v>410</v>
      </c>
      <c r="D411">
        <v>205107</v>
      </c>
      <c r="E411" t="s">
        <v>259</v>
      </c>
      <c r="F411" t="s">
        <v>98</v>
      </c>
      <c r="G411" t="s">
        <v>379</v>
      </c>
      <c r="H411" t="s">
        <v>12</v>
      </c>
      <c r="I411" t="s">
        <v>91</v>
      </c>
      <c r="J411">
        <v>10</v>
      </c>
      <c r="K411">
        <v>0.03</v>
      </c>
      <c r="L411">
        <v>1</v>
      </c>
      <c r="M411">
        <v>1</v>
      </c>
      <c r="N411">
        <v>1</v>
      </c>
      <c r="O411">
        <v>100</v>
      </c>
      <c r="P411" t="b">
        <f t="shared" si="93"/>
        <v>0</v>
      </c>
      <c r="S411" t="str">
        <f t="shared" si="103"/>
        <v>LATER</v>
      </c>
      <c r="T411" t="str">
        <f t="shared" si="104"/>
        <v>SainteLague</v>
      </c>
      <c r="U411">
        <f t="shared" si="106"/>
        <v>410</v>
      </c>
      <c r="V411">
        <f t="shared" si="105"/>
        <v>205107</v>
      </c>
      <c r="W411" s="8" t="str">
        <f>VLOOKUP(V411,'ideas-input'!$A:$B,2,FALSE)</f>
        <v>Data Governance - Data Lineage</v>
      </c>
      <c r="X411" t="str">
        <f t="shared" si="94"/>
        <v>PC</v>
      </c>
      <c r="Y411" s="8" t="str">
        <f>VLOOKUP(V411,'ideas-input'!$A:$D,4,FALSE)</f>
        <v>Mail</v>
      </c>
      <c r="Z411" t="str">
        <f t="shared" si="95"/>
        <v>Corporate</v>
      </c>
      <c r="AA411" t="str">
        <f t="shared" si="96"/>
        <v>Backlog</v>
      </c>
      <c r="AB411">
        <f t="shared" si="97"/>
        <v>10</v>
      </c>
      <c r="AC411">
        <f t="shared" si="98"/>
        <v>0.03</v>
      </c>
      <c r="AD411">
        <f t="shared" si="99"/>
        <v>1</v>
      </c>
      <c r="AE411">
        <f t="shared" si="100"/>
        <v>1</v>
      </c>
      <c r="AF411">
        <f t="shared" si="101"/>
        <v>1</v>
      </c>
      <c r="AG411">
        <f t="shared" si="102"/>
        <v>100</v>
      </c>
    </row>
    <row r="412" spans="1:33" x14ac:dyDescent="0.2">
      <c r="A412" t="s">
        <v>127</v>
      </c>
      <c r="B412" t="s">
        <v>128</v>
      </c>
      <c r="C412">
        <v>411</v>
      </c>
      <c r="D412">
        <v>59334</v>
      </c>
      <c r="E412" t="s">
        <v>301</v>
      </c>
      <c r="F412" t="s">
        <v>70</v>
      </c>
      <c r="G412" t="s">
        <v>10</v>
      </c>
      <c r="H412" t="s">
        <v>8</v>
      </c>
      <c r="I412" t="s">
        <v>91</v>
      </c>
      <c r="J412">
        <v>45</v>
      </c>
      <c r="K412">
        <v>0.03</v>
      </c>
      <c r="L412">
        <v>1</v>
      </c>
      <c r="M412">
        <v>1</v>
      </c>
      <c r="N412">
        <v>1</v>
      </c>
      <c r="O412">
        <v>100</v>
      </c>
      <c r="P412" t="b">
        <f t="shared" si="93"/>
        <v>0</v>
      </c>
      <c r="S412" t="str">
        <f t="shared" si="103"/>
        <v>LATER</v>
      </c>
      <c r="T412" t="str">
        <f t="shared" si="104"/>
        <v>SainteLague</v>
      </c>
      <c r="U412">
        <f t="shared" si="106"/>
        <v>411</v>
      </c>
      <c r="V412">
        <f t="shared" si="105"/>
        <v>59334</v>
      </c>
      <c r="W412" s="8" t="str">
        <f>VLOOKUP(V412,'ideas-input'!$A:$B,2,FALSE)</f>
        <v>crear indice atlas search</v>
      </c>
      <c r="X412" t="str">
        <f t="shared" si="94"/>
        <v>CIO</v>
      </c>
      <c r="Y412" s="8" t="str">
        <f>VLOOKUP(V412,'ideas-input'!$A:$D,4,FALSE)</f>
        <v>eCommerce</v>
      </c>
      <c r="Z412" t="str">
        <f t="shared" si="95"/>
        <v>Technology</v>
      </c>
      <c r="AA412" t="str">
        <f t="shared" si="96"/>
        <v>Backlog</v>
      </c>
      <c r="AB412">
        <f t="shared" si="97"/>
        <v>45</v>
      </c>
      <c r="AC412">
        <f t="shared" si="98"/>
        <v>0.03</v>
      </c>
      <c r="AD412">
        <f t="shared" si="99"/>
        <v>1</v>
      </c>
      <c r="AE412">
        <f t="shared" si="100"/>
        <v>1</v>
      </c>
      <c r="AF412">
        <f t="shared" si="101"/>
        <v>1</v>
      </c>
      <c r="AG412">
        <f t="shared" si="102"/>
        <v>100</v>
      </c>
    </row>
    <row r="413" spans="1:33" x14ac:dyDescent="0.2">
      <c r="A413" t="s">
        <v>127</v>
      </c>
      <c r="B413" t="s">
        <v>128</v>
      </c>
      <c r="C413">
        <v>412</v>
      </c>
      <c r="D413">
        <v>132060</v>
      </c>
      <c r="E413" t="s">
        <v>1178</v>
      </c>
      <c r="F413" t="s">
        <v>9</v>
      </c>
      <c r="G413" t="s">
        <v>379</v>
      </c>
      <c r="H413" t="s">
        <v>8</v>
      </c>
      <c r="I413" t="s">
        <v>97</v>
      </c>
      <c r="J413">
        <v>21</v>
      </c>
      <c r="K413">
        <v>8</v>
      </c>
      <c r="L413">
        <v>2</v>
      </c>
      <c r="M413">
        <v>3</v>
      </c>
      <c r="N413">
        <v>3</v>
      </c>
      <c r="O413">
        <v>1</v>
      </c>
      <c r="P413" t="b">
        <f t="shared" si="93"/>
        <v>0</v>
      </c>
      <c r="S413" t="str">
        <f t="shared" si="103"/>
        <v>LATER</v>
      </c>
      <c r="T413" t="str">
        <f t="shared" si="104"/>
        <v>SainteLague</v>
      </c>
      <c r="U413">
        <f t="shared" si="106"/>
        <v>412</v>
      </c>
      <c r="V413">
        <f t="shared" si="105"/>
        <v>132060</v>
      </c>
      <c r="W413" s="8" t="str">
        <f>VLOOKUP(V413,'ideas-input'!$A:$B,2,FALSE)</f>
        <v>Migração ADO2GitHub - Pipelines CRM</v>
      </c>
      <c r="X413" t="str">
        <f t="shared" si="94"/>
        <v>SI</v>
      </c>
      <c r="Y413" s="8" t="str">
        <f>VLOOKUP(V413,'ideas-input'!$A:$D,4,FALSE)</f>
        <v>Mail</v>
      </c>
      <c r="Z413" t="str">
        <f t="shared" si="95"/>
        <v>Technology</v>
      </c>
      <c r="AA413" t="str">
        <f t="shared" si="96"/>
        <v>Ready for Solution</v>
      </c>
      <c r="AB413">
        <f t="shared" si="97"/>
        <v>21</v>
      </c>
      <c r="AC413">
        <f t="shared" si="98"/>
        <v>8</v>
      </c>
      <c r="AD413">
        <f t="shared" si="99"/>
        <v>2</v>
      </c>
      <c r="AE413">
        <f t="shared" si="100"/>
        <v>3</v>
      </c>
      <c r="AF413">
        <f t="shared" si="101"/>
        <v>3</v>
      </c>
      <c r="AG413">
        <f t="shared" si="102"/>
        <v>1</v>
      </c>
    </row>
    <row r="414" spans="1:33" x14ac:dyDescent="0.2">
      <c r="A414" t="s">
        <v>127</v>
      </c>
      <c r="B414" t="s">
        <v>128</v>
      </c>
      <c r="C414">
        <v>413</v>
      </c>
      <c r="D414">
        <v>62979</v>
      </c>
      <c r="E414" t="s">
        <v>215</v>
      </c>
      <c r="F414" t="s">
        <v>66</v>
      </c>
      <c r="G414" t="s">
        <v>10</v>
      </c>
      <c r="H414" t="s">
        <v>5</v>
      </c>
      <c r="I414" t="s">
        <v>95</v>
      </c>
      <c r="J414">
        <v>19</v>
      </c>
      <c r="K414">
        <v>0.03</v>
      </c>
      <c r="L414">
        <v>1</v>
      </c>
      <c r="M414">
        <v>1</v>
      </c>
      <c r="N414">
        <v>1</v>
      </c>
      <c r="O414">
        <v>100</v>
      </c>
      <c r="P414" t="b">
        <f t="shared" si="93"/>
        <v>0</v>
      </c>
      <c r="S414" t="str">
        <f t="shared" si="103"/>
        <v>LATER</v>
      </c>
      <c r="T414" t="str">
        <f t="shared" si="104"/>
        <v>SainteLague</v>
      </c>
      <c r="U414">
        <f t="shared" si="106"/>
        <v>413</v>
      </c>
      <c r="V414">
        <f t="shared" si="105"/>
        <v>62979</v>
      </c>
      <c r="W414" s="8" t="str">
        <f>VLOOKUP(V414,'ideas-input'!$A:$B,2,FALSE)</f>
        <v>[Salesforce Maps] - Nuevas funcionalidades (Fase 3)</v>
      </c>
      <c r="X414" t="str">
        <f t="shared" si="94"/>
        <v>CCO</v>
      </c>
      <c r="Y414" s="8" t="str">
        <f>VLOOKUP(V414,'ideas-input'!$A:$D,4,FALSE)</f>
        <v>eCommerce</v>
      </c>
      <c r="Z414" t="str">
        <f t="shared" si="95"/>
        <v>Commercial</v>
      </c>
      <c r="AA414" t="str">
        <f t="shared" si="96"/>
        <v>In Definition</v>
      </c>
      <c r="AB414">
        <f t="shared" si="97"/>
        <v>19</v>
      </c>
      <c r="AC414">
        <f t="shared" si="98"/>
        <v>0.03</v>
      </c>
      <c r="AD414">
        <f t="shared" si="99"/>
        <v>1</v>
      </c>
      <c r="AE414">
        <f t="shared" si="100"/>
        <v>1</v>
      </c>
      <c r="AF414">
        <f t="shared" si="101"/>
        <v>1</v>
      </c>
      <c r="AG414">
        <f t="shared" si="102"/>
        <v>100</v>
      </c>
    </row>
    <row r="415" spans="1:33" x14ac:dyDescent="0.2">
      <c r="A415" t="s">
        <v>127</v>
      </c>
      <c r="B415" t="s">
        <v>128</v>
      </c>
      <c r="C415">
        <v>414</v>
      </c>
      <c r="D415">
        <v>70559</v>
      </c>
      <c r="E415" t="s">
        <v>1223</v>
      </c>
      <c r="F415" t="s">
        <v>38</v>
      </c>
      <c r="G415" t="s">
        <v>379</v>
      </c>
      <c r="H415" t="s">
        <v>5</v>
      </c>
      <c r="I415" t="s">
        <v>91</v>
      </c>
      <c r="J415">
        <v>7</v>
      </c>
      <c r="K415">
        <v>0.03</v>
      </c>
      <c r="L415">
        <v>1</v>
      </c>
      <c r="M415">
        <v>1</v>
      </c>
      <c r="N415">
        <v>1</v>
      </c>
      <c r="O415">
        <v>100</v>
      </c>
      <c r="P415" t="b">
        <f t="shared" si="93"/>
        <v>0</v>
      </c>
      <c r="S415" t="str">
        <f t="shared" si="103"/>
        <v>LATER</v>
      </c>
      <c r="T415" t="str">
        <f t="shared" si="104"/>
        <v>SainteLague</v>
      </c>
      <c r="U415">
        <f t="shared" si="106"/>
        <v>414</v>
      </c>
      <c r="V415">
        <f t="shared" si="105"/>
        <v>70559</v>
      </c>
      <c r="W415" s="8" t="str">
        <f>VLOOKUP(V415,'ideas-input'!$A:$B,2,FALSE)</f>
        <v>Controlo dos Subadiantamentos (numerário) – cód. 011 - Auditoria REC/ARC 2024_1399</v>
      </c>
      <c r="X415" t="str">
        <f t="shared" si="94"/>
        <v>CSI</v>
      </c>
      <c r="Y415" s="8" t="str">
        <f>VLOOKUP(V415,'ideas-input'!$A:$D,4,FALSE)</f>
        <v>Mail</v>
      </c>
      <c r="Z415" t="str">
        <f t="shared" si="95"/>
        <v>Commercial</v>
      </c>
      <c r="AA415" t="str">
        <f t="shared" si="96"/>
        <v>Backlog</v>
      </c>
      <c r="AB415">
        <f t="shared" si="97"/>
        <v>7</v>
      </c>
      <c r="AC415">
        <f t="shared" si="98"/>
        <v>0.03</v>
      </c>
      <c r="AD415">
        <f t="shared" si="99"/>
        <v>1</v>
      </c>
      <c r="AE415">
        <f t="shared" si="100"/>
        <v>1</v>
      </c>
      <c r="AF415">
        <f t="shared" si="101"/>
        <v>1</v>
      </c>
      <c r="AG415">
        <f t="shared" si="102"/>
        <v>100</v>
      </c>
    </row>
    <row r="416" spans="1:33" x14ac:dyDescent="0.2">
      <c r="A416" t="s">
        <v>127</v>
      </c>
      <c r="B416" t="s">
        <v>128</v>
      </c>
      <c r="C416">
        <v>415</v>
      </c>
      <c r="D416">
        <v>45298</v>
      </c>
      <c r="E416" t="s">
        <v>221</v>
      </c>
      <c r="F416" t="s">
        <v>69</v>
      </c>
      <c r="G416" t="s">
        <v>10</v>
      </c>
      <c r="H416" t="s">
        <v>12</v>
      </c>
      <c r="I416" t="s">
        <v>91</v>
      </c>
      <c r="J416">
        <v>19</v>
      </c>
      <c r="K416">
        <v>0.03</v>
      </c>
      <c r="L416">
        <v>1</v>
      </c>
      <c r="M416">
        <v>1</v>
      </c>
      <c r="N416">
        <v>1</v>
      </c>
      <c r="O416">
        <v>100</v>
      </c>
      <c r="P416" t="b">
        <f t="shared" si="93"/>
        <v>0</v>
      </c>
      <c r="S416" t="str">
        <f t="shared" si="103"/>
        <v>LATER</v>
      </c>
      <c r="T416" t="str">
        <f t="shared" si="104"/>
        <v>SainteLague</v>
      </c>
      <c r="U416">
        <f t="shared" si="106"/>
        <v>415</v>
      </c>
      <c r="V416">
        <f t="shared" si="105"/>
        <v>45298</v>
      </c>
      <c r="W416" s="8" t="str">
        <f>VLOOKUP(V416,'ideas-input'!$A:$B,2,FALSE)</f>
        <v>[Evolutivos Minerva] Zonificacion PT detallada (combinaciones PTC-PTI/PTI-PTI) (Valorar por MKT)</v>
      </c>
      <c r="X416" t="str">
        <f t="shared" si="94"/>
        <v>CFO</v>
      </c>
      <c r="Y416" s="8" t="str">
        <f>VLOOKUP(V416,'ideas-input'!$A:$D,4,FALSE)</f>
        <v>eCommerce</v>
      </c>
      <c r="Z416" t="str">
        <f t="shared" si="95"/>
        <v>Corporate</v>
      </c>
      <c r="AA416" t="str">
        <f t="shared" si="96"/>
        <v>Backlog</v>
      </c>
      <c r="AB416">
        <f t="shared" si="97"/>
        <v>19</v>
      </c>
      <c r="AC416">
        <f t="shared" si="98"/>
        <v>0.03</v>
      </c>
      <c r="AD416">
        <f t="shared" si="99"/>
        <v>1</v>
      </c>
      <c r="AE416">
        <f t="shared" si="100"/>
        <v>1</v>
      </c>
      <c r="AF416">
        <f t="shared" si="101"/>
        <v>1</v>
      </c>
      <c r="AG416">
        <f t="shared" si="102"/>
        <v>100</v>
      </c>
    </row>
    <row r="417" spans="1:33" x14ac:dyDescent="0.2">
      <c r="A417" t="s">
        <v>127</v>
      </c>
      <c r="B417" t="s">
        <v>128</v>
      </c>
      <c r="C417">
        <v>416</v>
      </c>
      <c r="D417">
        <v>69337</v>
      </c>
      <c r="E417" t="s">
        <v>252</v>
      </c>
      <c r="F417" t="s">
        <v>22</v>
      </c>
      <c r="G417" t="s">
        <v>379</v>
      </c>
      <c r="H417" t="s">
        <v>12</v>
      </c>
      <c r="I417" t="s">
        <v>91</v>
      </c>
      <c r="J417">
        <v>11</v>
      </c>
      <c r="K417">
        <v>0.03</v>
      </c>
      <c r="L417">
        <v>1</v>
      </c>
      <c r="M417">
        <v>1</v>
      </c>
      <c r="N417">
        <v>1</v>
      </c>
      <c r="O417">
        <v>100</v>
      </c>
      <c r="P417" t="b">
        <f t="shared" si="93"/>
        <v>0</v>
      </c>
      <c r="S417" t="str">
        <f t="shared" si="103"/>
        <v>LATER</v>
      </c>
      <c r="T417" t="str">
        <f t="shared" si="104"/>
        <v>SainteLague</v>
      </c>
      <c r="U417">
        <f t="shared" si="106"/>
        <v>416</v>
      </c>
      <c r="V417">
        <f t="shared" si="105"/>
        <v>69337</v>
      </c>
      <c r="W417" s="8" t="str">
        <f>VLOOKUP(V417,'ideas-input'!$A:$B,2,FALSE)</f>
        <v>Confirming 2.0</v>
      </c>
      <c r="X417" t="str">
        <f t="shared" si="94"/>
        <v>CF</v>
      </c>
      <c r="Y417" s="8" t="str">
        <f>VLOOKUP(V417,'ideas-input'!$A:$D,4,FALSE)</f>
        <v>eCommerce</v>
      </c>
      <c r="Z417" t="str">
        <f t="shared" si="95"/>
        <v>Corporate</v>
      </c>
      <c r="AA417" t="str">
        <f t="shared" si="96"/>
        <v>Backlog</v>
      </c>
      <c r="AB417">
        <f t="shared" si="97"/>
        <v>11</v>
      </c>
      <c r="AC417">
        <f t="shared" si="98"/>
        <v>0.03</v>
      </c>
      <c r="AD417">
        <f t="shared" si="99"/>
        <v>1</v>
      </c>
      <c r="AE417">
        <f t="shared" si="100"/>
        <v>1</v>
      </c>
      <c r="AF417">
        <f t="shared" si="101"/>
        <v>1</v>
      </c>
      <c r="AG417">
        <f t="shared" si="102"/>
        <v>100</v>
      </c>
    </row>
    <row r="418" spans="1:33" x14ac:dyDescent="0.2">
      <c r="A418" t="s">
        <v>127</v>
      </c>
      <c r="B418" t="s">
        <v>128</v>
      </c>
      <c r="C418">
        <v>417</v>
      </c>
      <c r="D418">
        <v>56900</v>
      </c>
      <c r="E418" t="s">
        <v>1181</v>
      </c>
      <c r="F418" t="s">
        <v>70</v>
      </c>
      <c r="G418" t="s">
        <v>10</v>
      </c>
      <c r="H418" t="s">
        <v>8</v>
      </c>
      <c r="I418" t="s">
        <v>91</v>
      </c>
      <c r="J418">
        <v>46</v>
      </c>
      <c r="K418">
        <v>0.03</v>
      </c>
      <c r="L418">
        <v>1</v>
      </c>
      <c r="M418">
        <v>1</v>
      </c>
      <c r="N418">
        <v>1</v>
      </c>
      <c r="O418">
        <v>100</v>
      </c>
      <c r="P418" t="b">
        <f t="shared" si="93"/>
        <v>0</v>
      </c>
      <c r="S418" t="str">
        <f t="shared" si="103"/>
        <v>LATER</v>
      </c>
      <c r="T418" t="str">
        <f t="shared" si="104"/>
        <v>SainteLague</v>
      </c>
      <c r="U418">
        <f t="shared" si="106"/>
        <v>417</v>
      </c>
      <c r="V418">
        <f t="shared" si="105"/>
        <v>56900</v>
      </c>
      <c r="W418" s="8" t="str">
        <f>VLOOKUP(V418,'ideas-input'!$A:$B,2,FALSE)</f>
        <v>Diseñar flujos de Trabajo IA - React</v>
      </c>
      <c r="X418" t="str">
        <f t="shared" si="94"/>
        <v>CIO</v>
      </c>
      <c r="Y418" s="8" t="str">
        <f>VLOOKUP(V418,'ideas-input'!$A:$D,4,FALSE)</f>
        <v>eCommerce</v>
      </c>
      <c r="Z418" t="str">
        <f t="shared" si="95"/>
        <v>Technology</v>
      </c>
      <c r="AA418" t="str">
        <f t="shared" si="96"/>
        <v>Backlog</v>
      </c>
      <c r="AB418">
        <f t="shared" si="97"/>
        <v>46</v>
      </c>
      <c r="AC418">
        <f t="shared" si="98"/>
        <v>0.03</v>
      </c>
      <c r="AD418">
        <f t="shared" si="99"/>
        <v>1</v>
      </c>
      <c r="AE418">
        <f t="shared" si="100"/>
        <v>1</v>
      </c>
      <c r="AF418">
        <f t="shared" si="101"/>
        <v>1</v>
      </c>
      <c r="AG418">
        <f t="shared" si="102"/>
        <v>100</v>
      </c>
    </row>
    <row r="419" spans="1:33" x14ac:dyDescent="0.2">
      <c r="A419" t="s">
        <v>127</v>
      </c>
      <c r="B419" t="s">
        <v>128</v>
      </c>
      <c r="C419">
        <v>418</v>
      </c>
      <c r="D419">
        <v>132222</v>
      </c>
      <c r="E419" t="s">
        <v>326</v>
      </c>
      <c r="F419" t="s">
        <v>9</v>
      </c>
      <c r="G419" t="s">
        <v>379</v>
      </c>
      <c r="H419" t="s">
        <v>8</v>
      </c>
      <c r="I419" t="s">
        <v>91</v>
      </c>
      <c r="J419">
        <v>22</v>
      </c>
      <c r="K419">
        <v>0.03</v>
      </c>
      <c r="L419">
        <v>1</v>
      </c>
      <c r="M419">
        <v>1</v>
      </c>
      <c r="N419">
        <v>1</v>
      </c>
      <c r="O419">
        <v>100</v>
      </c>
      <c r="P419" t="b">
        <f t="shared" si="93"/>
        <v>0</v>
      </c>
      <c r="S419" t="str">
        <f t="shared" si="103"/>
        <v>LATER</v>
      </c>
      <c r="T419" t="str">
        <f t="shared" si="104"/>
        <v>SainteLague</v>
      </c>
      <c r="U419">
        <f t="shared" si="106"/>
        <v>418</v>
      </c>
      <c r="V419">
        <f t="shared" si="105"/>
        <v>132222</v>
      </c>
      <c r="W419" s="8" t="str">
        <f>VLOOKUP(V419,'ideas-input'!$A:$B,2,FALSE)</f>
        <v>CCP | Migrate from .Net 8 to .Net 10</v>
      </c>
      <c r="X419" t="str">
        <f t="shared" si="94"/>
        <v>SI</v>
      </c>
      <c r="Y419" s="8" t="str">
        <f>VLOOKUP(V419,'ideas-input'!$A:$D,4,FALSE)</f>
        <v>Mail</v>
      </c>
      <c r="Z419" t="str">
        <f t="shared" si="95"/>
        <v>Technology</v>
      </c>
      <c r="AA419" t="str">
        <f t="shared" si="96"/>
        <v>Backlog</v>
      </c>
      <c r="AB419">
        <f t="shared" si="97"/>
        <v>22</v>
      </c>
      <c r="AC419">
        <f t="shared" si="98"/>
        <v>0.03</v>
      </c>
      <c r="AD419">
        <f t="shared" si="99"/>
        <v>1</v>
      </c>
      <c r="AE419">
        <f t="shared" si="100"/>
        <v>1</v>
      </c>
      <c r="AF419">
        <f t="shared" si="101"/>
        <v>1</v>
      </c>
      <c r="AG419">
        <f t="shared" si="102"/>
        <v>100</v>
      </c>
    </row>
    <row r="420" spans="1:33" x14ac:dyDescent="0.2">
      <c r="A420" t="s">
        <v>127</v>
      </c>
      <c r="B420" t="s">
        <v>128</v>
      </c>
      <c r="C420">
        <v>419</v>
      </c>
      <c r="D420">
        <v>66112</v>
      </c>
      <c r="E420" t="s">
        <v>217</v>
      </c>
      <c r="F420" t="s">
        <v>68</v>
      </c>
      <c r="G420" t="s">
        <v>10</v>
      </c>
      <c r="H420" t="s">
        <v>5</v>
      </c>
      <c r="I420" t="s">
        <v>91</v>
      </c>
      <c r="J420">
        <v>17</v>
      </c>
      <c r="K420">
        <v>0.03</v>
      </c>
      <c r="L420">
        <v>1</v>
      </c>
      <c r="M420">
        <v>1</v>
      </c>
      <c r="N420">
        <v>1</v>
      </c>
      <c r="O420">
        <v>100</v>
      </c>
      <c r="P420" t="b">
        <f t="shared" si="93"/>
        <v>0</v>
      </c>
      <c r="S420" t="str">
        <f t="shared" si="103"/>
        <v>LATER</v>
      </c>
      <c r="T420" t="str">
        <f t="shared" si="104"/>
        <v>SainteLague</v>
      </c>
      <c r="U420">
        <f t="shared" si="106"/>
        <v>419</v>
      </c>
      <c r="V420">
        <f t="shared" si="105"/>
        <v>66112</v>
      </c>
      <c r="W420" s="8" t="str">
        <f>VLOOKUP(V420,'ideas-input'!$A:$B,2,FALSE)</f>
        <v>[ESTADOS] - Mostrar a clientes el mismo evento/estado sucesivo ocurrido en dias distintos</v>
      </c>
      <c r="X420" t="str">
        <f t="shared" si="94"/>
        <v>IDC</v>
      </c>
      <c r="Y420" s="8" t="str">
        <f>VLOOKUP(V420,'ideas-input'!$A:$D,4,FALSE)</f>
        <v>eCommerce</v>
      </c>
      <c r="Z420" t="str">
        <f t="shared" si="95"/>
        <v>Commercial</v>
      </c>
      <c r="AA420" t="str">
        <f t="shared" si="96"/>
        <v>Backlog</v>
      </c>
      <c r="AB420">
        <f t="shared" si="97"/>
        <v>17</v>
      </c>
      <c r="AC420">
        <f t="shared" si="98"/>
        <v>0.03</v>
      </c>
      <c r="AD420">
        <f t="shared" si="99"/>
        <v>1</v>
      </c>
      <c r="AE420">
        <f t="shared" si="100"/>
        <v>1</v>
      </c>
      <c r="AF420">
        <f t="shared" si="101"/>
        <v>1</v>
      </c>
      <c r="AG420">
        <f t="shared" si="102"/>
        <v>100</v>
      </c>
    </row>
    <row r="421" spans="1:33" x14ac:dyDescent="0.2">
      <c r="A421" t="s">
        <v>127</v>
      </c>
      <c r="B421" t="s">
        <v>128</v>
      </c>
      <c r="C421">
        <v>420</v>
      </c>
      <c r="D421">
        <v>140430</v>
      </c>
      <c r="E421" t="s">
        <v>1228</v>
      </c>
      <c r="F421" t="s">
        <v>21</v>
      </c>
      <c r="G421" t="s">
        <v>379</v>
      </c>
      <c r="H421" t="s">
        <v>5</v>
      </c>
      <c r="I421" t="s">
        <v>91</v>
      </c>
      <c r="J421">
        <v>11</v>
      </c>
      <c r="K421">
        <v>0.03</v>
      </c>
      <c r="L421">
        <v>1</v>
      </c>
      <c r="M421">
        <v>1</v>
      </c>
      <c r="N421">
        <v>1</v>
      </c>
      <c r="O421">
        <v>100</v>
      </c>
      <c r="P421" t="b">
        <f t="shared" si="93"/>
        <v>0</v>
      </c>
      <c r="S421" t="str">
        <f t="shared" si="103"/>
        <v>LATER</v>
      </c>
      <c r="T421" t="str">
        <f t="shared" si="104"/>
        <v>SainteLague</v>
      </c>
      <c r="U421">
        <f t="shared" si="106"/>
        <v>420</v>
      </c>
      <c r="V421">
        <f t="shared" si="105"/>
        <v>140430</v>
      </c>
      <c r="W421" s="8" t="str">
        <f>VLOOKUP(V421,'ideas-input'!$A:$B,2,FALSE)</f>
        <v>Packs de Envio – Evolução Integrada do Serviço</v>
      </c>
      <c r="X421" t="str">
        <f t="shared" si="94"/>
        <v>GP B2B</v>
      </c>
      <c r="Y421" s="8" t="str">
        <f>VLOOKUP(V421,'ideas-input'!$A:$D,4,FALSE)</f>
        <v>Mail</v>
      </c>
      <c r="Z421" t="str">
        <f t="shared" si="95"/>
        <v>Commercial</v>
      </c>
      <c r="AA421" t="str">
        <f t="shared" si="96"/>
        <v>Backlog</v>
      </c>
      <c r="AB421">
        <f t="shared" si="97"/>
        <v>11</v>
      </c>
      <c r="AC421">
        <f t="shared" si="98"/>
        <v>0.03</v>
      </c>
      <c r="AD421">
        <f t="shared" si="99"/>
        <v>1</v>
      </c>
      <c r="AE421">
        <f t="shared" si="100"/>
        <v>1</v>
      </c>
      <c r="AF421">
        <f t="shared" si="101"/>
        <v>1</v>
      </c>
      <c r="AG421">
        <f t="shared" si="102"/>
        <v>100</v>
      </c>
    </row>
    <row r="422" spans="1:33" x14ac:dyDescent="0.2">
      <c r="A422" t="s">
        <v>127</v>
      </c>
      <c r="B422" t="s">
        <v>128</v>
      </c>
      <c r="C422">
        <v>421</v>
      </c>
      <c r="D422">
        <v>49432</v>
      </c>
      <c r="E422" t="s">
        <v>216</v>
      </c>
      <c r="F422" t="s">
        <v>65</v>
      </c>
      <c r="G422" t="s">
        <v>10</v>
      </c>
      <c r="H422" t="s">
        <v>5</v>
      </c>
      <c r="I422" t="s">
        <v>97</v>
      </c>
      <c r="J422">
        <v>26</v>
      </c>
      <c r="K422">
        <v>3</v>
      </c>
      <c r="L422">
        <v>3</v>
      </c>
      <c r="M422">
        <v>1</v>
      </c>
      <c r="N422">
        <v>2</v>
      </c>
      <c r="O422">
        <v>2</v>
      </c>
      <c r="P422" t="b">
        <f t="shared" si="93"/>
        <v>0</v>
      </c>
      <c r="S422" t="str">
        <f t="shared" si="103"/>
        <v>LATER</v>
      </c>
      <c r="T422" t="str">
        <f t="shared" si="104"/>
        <v>SainteLague</v>
      </c>
      <c r="U422">
        <f t="shared" si="106"/>
        <v>421</v>
      </c>
      <c r="V422">
        <f t="shared" si="105"/>
        <v>49432</v>
      </c>
      <c r="W422" s="8" t="str">
        <f>VLOOKUP(V422,'ideas-input'!$A:$B,2,FALSE)</f>
        <v>[Nexus] [Notificaciones] - Notificaciones ibericas</v>
      </c>
      <c r="X422" t="str">
        <f t="shared" si="94"/>
        <v>CMO</v>
      </c>
      <c r="Y422" s="8" t="str">
        <f>VLOOKUP(V422,'ideas-input'!$A:$D,4,FALSE)</f>
        <v>eCommerce</v>
      </c>
      <c r="Z422" t="str">
        <f t="shared" si="95"/>
        <v>Commercial</v>
      </c>
      <c r="AA422" t="str">
        <f t="shared" si="96"/>
        <v>Ready for Solution</v>
      </c>
      <c r="AB422">
        <f t="shared" si="97"/>
        <v>26</v>
      </c>
      <c r="AC422">
        <f t="shared" si="98"/>
        <v>3</v>
      </c>
      <c r="AD422">
        <f t="shared" si="99"/>
        <v>3</v>
      </c>
      <c r="AE422">
        <f t="shared" si="100"/>
        <v>1</v>
      </c>
      <c r="AF422">
        <f t="shared" si="101"/>
        <v>2</v>
      </c>
      <c r="AG422">
        <f t="shared" si="102"/>
        <v>2</v>
      </c>
    </row>
    <row r="423" spans="1:33" x14ac:dyDescent="0.2">
      <c r="A423" t="s">
        <v>127</v>
      </c>
      <c r="B423" t="s">
        <v>128</v>
      </c>
      <c r="C423">
        <v>422</v>
      </c>
      <c r="D423">
        <v>137662</v>
      </c>
      <c r="E423" t="s">
        <v>1184</v>
      </c>
      <c r="F423" t="s">
        <v>46</v>
      </c>
      <c r="G423" t="s">
        <v>379</v>
      </c>
      <c r="H423" t="s">
        <v>12</v>
      </c>
      <c r="I423" t="s">
        <v>91</v>
      </c>
      <c r="J423">
        <v>11</v>
      </c>
      <c r="K423">
        <v>2.3330000000000002</v>
      </c>
      <c r="L423">
        <v>3</v>
      </c>
      <c r="M423">
        <v>2</v>
      </c>
      <c r="N423">
        <v>2</v>
      </c>
      <c r="O423">
        <v>3</v>
      </c>
      <c r="P423" t="b">
        <f t="shared" si="93"/>
        <v>0</v>
      </c>
      <c r="S423" t="str">
        <f t="shared" si="103"/>
        <v>LATER</v>
      </c>
      <c r="T423" t="str">
        <f t="shared" si="104"/>
        <v>SainteLague</v>
      </c>
      <c r="U423">
        <f t="shared" si="106"/>
        <v>422</v>
      </c>
      <c r="V423">
        <f t="shared" si="105"/>
        <v>137662</v>
      </c>
      <c r="W423" s="8" t="str">
        <f>VLOOKUP(V423,'ideas-input'!$A:$B,2,FALSE)</f>
        <v>Teste ASC Epic Title (ex initiative)</v>
      </c>
      <c r="X423" t="str">
        <f t="shared" si="94"/>
        <v>AVC</v>
      </c>
      <c r="Y423" s="8" t="str">
        <f>VLOOKUP(V423,'ideas-input'!$A:$D,4,FALSE)</f>
        <v>eCommerce</v>
      </c>
      <c r="Z423" t="str">
        <f t="shared" si="95"/>
        <v>Corporate</v>
      </c>
      <c r="AA423" t="str">
        <f t="shared" si="96"/>
        <v>Backlog</v>
      </c>
      <c r="AB423">
        <f t="shared" si="97"/>
        <v>11</v>
      </c>
      <c r="AC423">
        <f t="shared" si="98"/>
        <v>2.3330000000000002</v>
      </c>
      <c r="AD423">
        <f t="shared" si="99"/>
        <v>3</v>
      </c>
      <c r="AE423">
        <f t="shared" si="100"/>
        <v>2</v>
      </c>
      <c r="AF423">
        <f t="shared" si="101"/>
        <v>2</v>
      </c>
      <c r="AG423">
        <f t="shared" si="102"/>
        <v>3</v>
      </c>
    </row>
    <row r="424" spans="1:33" x14ac:dyDescent="0.2">
      <c r="A424" t="s">
        <v>127</v>
      </c>
      <c r="B424" t="s">
        <v>128</v>
      </c>
      <c r="C424">
        <v>423</v>
      </c>
      <c r="D424">
        <v>46675</v>
      </c>
      <c r="E424" t="s">
        <v>1208</v>
      </c>
      <c r="F424" t="s">
        <v>67</v>
      </c>
      <c r="G424" t="s">
        <v>10</v>
      </c>
      <c r="H424" t="s">
        <v>12</v>
      </c>
      <c r="I424" t="s">
        <v>91</v>
      </c>
      <c r="J424">
        <v>22</v>
      </c>
      <c r="K424">
        <v>0.03</v>
      </c>
      <c r="L424">
        <v>1</v>
      </c>
      <c r="M424">
        <v>1</v>
      </c>
      <c r="N424">
        <v>1</v>
      </c>
      <c r="O424">
        <v>100</v>
      </c>
      <c r="P424" t="b">
        <f t="shared" si="93"/>
        <v>0</v>
      </c>
      <c r="S424" t="str">
        <f t="shared" si="103"/>
        <v>LATER</v>
      </c>
      <c r="T424" t="str">
        <f t="shared" si="104"/>
        <v>SainteLague</v>
      </c>
      <c r="U424">
        <f t="shared" si="106"/>
        <v>423</v>
      </c>
      <c r="V424">
        <f t="shared" si="105"/>
        <v>46675</v>
      </c>
      <c r="W424" s="8" t="str">
        <f>VLOOKUP(V424,'ideas-input'!$A:$B,2,FALSE)</f>
        <v>[Desconexión SGC] [QLIK] Calidad de Recogidas App QLIK</v>
      </c>
      <c r="X424" t="str">
        <f t="shared" si="94"/>
        <v>ATC</v>
      </c>
      <c r="Y424" s="8" t="str">
        <f>VLOOKUP(V424,'ideas-input'!$A:$D,4,FALSE)</f>
        <v>eCommerce</v>
      </c>
      <c r="Z424" t="str">
        <f t="shared" si="95"/>
        <v>Corporate</v>
      </c>
      <c r="AA424" t="str">
        <f t="shared" si="96"/>
        <v>Backlog</v>
      </c>
      <c r="AB424">
        <f t="shared" si="97"/>
        <v>22</v>
      </c>
      <c r="AC424">
        <f t="shared" si="98"/>
        <v>0.03</v>
      </c>
      <c r="AD424">
        <f t="shared" si="99"/>
        <v>1</v>
      </c>
      <c r="AE424">
        <f t="shared" si="100"/>
        <v>1</v>
      </c>
      <c r="AF424">
        <f t="shared" si="101"/>
        <v>1</v>
      </c>
      <c r="AG424">
        <f t="shared" si="102"/>
        <v>100</v>
      </c>
    </row>
    <row r="425" spans="1:33" x14ac:dyDescent="0.2">
      <c r="A425" t="s">
        <v>127</v>
      </c>
      <c r="B425" t="s">
        <v>128</v>
      </c>
      <c r="C425">
        <v>424</v>
      </c>
      <c r="D425">
        <v>132220</v>
      </c>
      <c r="E425" t="s">
        <v>377</v>
      </c>
      <c r="F425" t="s">
        <v>9</v>
      </c>
      <c r="G425" t="s">
        <v>379</v>
      </c>
      <c r="H425" t="s">
        <v>8</v>
      </c>
      <c r="I425" t="s">
        <v>91</v>
      </c>
      <c r="J425">
        <v>23</v>
      </c>
      <c r="K425">
        <v>0.03</v>
      </c>
      <c r="L425">
        <v>1</v>
      </c>
      <c r="M425">
        <v>1</v>
      </c>
      <c r="N425">
        <v>1</v>
      </c>
      <c r="O425">
        <v>100</v>
      </c>
      <c r="P425" t="b">
        <f t="shared" si="93"/>
        <v>0</v>
      </c>
      <c r="S425" t="str">
        <f t="shared" si="103"/>
        <v>LATER</v>
      </c>
      <c r="T425" t="str">
        <f t="shared" si="104"/>
        <v>SainteLague</v>
      </c>
      <c r="U425">
        <f t="shared" si="106"/>
        <v>424</v>
      </c>
      <c r="V425">
        <f t="shared" si="105"/>
        <v>132220</v>
      </c>
      <c r="W425" s="8" t="str">
        <f>VLOOKUP(V425,'ideas-input'!$A:$B,2,FALSE)</f>
        <v>ESW | Create code reviewer AI agent</v>
      </c>
      <c r="X425" t="str">
        <f t="shared" si="94"/>
        <v>SI</v>
      </c>
      <c r="Y425" s="8" t="str">
        <f>VLOOKUP(V425,'ideas-input'!$A:$D,4,FALSE)</f>
        <v>Mail</v>
      </c>
      <c r="Z425" t="str">
        <f t="shared" si="95"/>
        <v>Technology</v>
      </c>
      <c r="AA425" t="str">
        <f t="shared" si="96"/>
        <v>Backlog</v>
      </c>
      <c r="AB425">
        <f t="shared" si="97"/>
        <v>23</v>
      </c>
      <c r="AC425">
        <f t="shared" si="98"/>
        <v>0.03</v>
      </c>
      <c r="AD425">
        <f t="shared" si="99"/>
        <v>1</v>
      </c>
      <c r="AE425">
        <f t="shared" si="100"/>
        <v>1</v>
      </c>
      <c r="AF425">
        <f t="shared" si="101"/>
        <v>1</v>
      </c>
      <c r="AG425">
        <f t="shared" si="102"/>
        <v>100</v>
      </c>
    </row>
    <row r="426" spans="1:33" x14ac:dyDescent="0.2">
      <c r="A426" t="s">
        <v>127</v>
      </c>
      <c r="B426" t="s">
        <v>128</v>
      </c>
      <c r="C426">
        <v>425</v>
      </c>
      <c r="D426">
        <v>56901</v>
      </c>
      <c r="E426" t="s">
        <v>1185</v>
      </c>
      <c r="F426" t="s">
        <v>70</v>
      </c>
      <c r="G426" t="s">
        <v>10</v>
      </c>
      <c r="H426" t="s">
        <v>8</v>
      </c>
      <c r="I426" t="s">
        <v>91</v>
      </c>
      <c r="J426">
        <v>47</v>
      </c>
      <c r="K426">
        <v>0.03</v>
      </c>
      <c r="L426">
        <v>1</v>
      </c>
      <c r="M426">
        <v>1</v>
      </c>
      <c r="N426">
        <v>1</v>
      </c>
      <c r="O426">
        <v>100</v>
      </c>
      <c r="P426" t="b">
        <f t="shared" si="93"/>
        <v>0</v>
      </c>
      <c r="S426" t="str">
        <f t="shared" si="103"/>
        <v>LATER</v>
      </c>
      <c r="T426" t="str">
        <f t="shared" si="104"/>
        <v>SainteLague</v>
      </c>
      <c r="U426">
        <f t="shared" si="106"/>
        <v>425</v>
      </c>
      <c r="V426">
        <f t="shared" si="105"/>
        <v>56901</v>
      </c>
      <c r="W426" s="8" t="str">
        <f>VLOOKUP(V426,'ideas-input'!$A:$B,2,FALSE)</f>
        <v>Analisis protocolos MCP para integración de clientes</v>
      </c>
      <c r="X426" t="str">
        <f t="shared" si="94"/>
        <v>CIO</v>
      </c>
      <c r="Y426" s="8" t="str">
        <f>VLOOKUP(V426,'ideas-input'!$A:$D,4,FALSE)</f>
        <v>eCommerce</v>
      </c>
      <c r="Z426" t="str">
        <f t="shared" si="95"/>
        <v>Technology</v>
      </c>
      <c r="AA426" t="str">
        <f t="shared" si="96"/>
        <v>Backlog</v>
      </c>
      <c r="AB426">
        <f t="shared" si="97"/>
        <v>47</v>
      </c>
      <c r="AC426">
        <f t="shared" si="98"/>
        <v>0.03</v>
      </c>
      <c r="AD426">
        <f t="shared" si="99"/>
        <v>1</v>
      </c>
      <c r="AE426">
        <f t="shared" si="100"/>
        <v>1</v>
      </c>
      <c r="AF426">
        <f t="shared" si="101"/>
        <v>1</v>
      </c>
      <c r="AG426">
        <f t="shared" si="102"/>
        <v>100</v>
      </c>
    </row>
    <row r="427" spans="1:33" x14ac:dyDescent="0.2">
      <c r="A427" t="s">
        <v>127</v>
      </c>
      <c r="B427" t="s">
        <v>128</v>
      </c>
      <c r="C427">
        <v>426</v>
      </c>
      <c r="D427">
        <v>138225</v>
      </c>
      <c r="E427" t="s">
        <v>160</v>
      </c>
      <c r="F427" t="s">
        <v>23</v>
      </c>
      <c r="G427" t="s">
        <v>379</v>
      </c>
      <c r="H427" t="s">
        <v>5</v>
      </c>
      <c r="I427" t="s">
        <v>91</v>
      </c>
      <c r="J427">
        <v>11</v>
      </c>
      <c r="K427">
        <v>0.03</v>
      </c>
      <c r="L427">
        <v>1</v>
      </c>
      <c r="M427">
        <v>1</v>
      </c>
      <c r="N427">
        <v>1</v>
      </c>
      <c r="O427">
        <v>100</v>
      </c>
      <c r="P427" t="b">
        <f t="shared" si="93"/>
        <v>0</v>
      </c>
      <c r="S427" t="str">
        <f t="shared" si="103"/>
        <v>LATER</v>
      </c>
      <c r="T427" t="str">
        <f t="shared" si="104"/>
        <v>SainteLague</v>
      </c>
      <c r="U427">
        <f t="shared" si="106"/>
        <v>426</v>
      </c>
      <c r="V427">
        <f t="shared" si="105"/>
        <v>138225</v>
      </c>
      <c r="W427" s="8" t="str">
        <f>VLOOKUP(V427,'ideas-input'!$A:$B,2,FALSE)</f>
        <v>GPECL/INT - Interconnect | Disponibilizar Easy Return Solution Premium (ERS) - Authorising Party</v>
      </c>
      <c r="X427" t="str">
        <f t="shared" si="94"/>
        <v>GP ECL</v>
      </c>
      <c r="Y427" s="8" t="str">
        <f>VLOOKUP(V427,'ideas-input'!$A:$D,4,FALSE)</f>
        <v>eCommerce</v>
      </c>
      <c r="Z427" t="str">
        <f t="shared" si="95"/>
        <v>Commercial</v>
      </c>
      <c r="AA427" t="str">
        <f t="shared" si="96"/>
        <v>Backlog</v>
      </c>
      <c r="AB427">
        <f t="shared" si="97"/>
        <v>11</v>
      </c>
      <c r="AC427">
        <f t="shared" si="98"/>
        <v>0.03</v>
      </c>
      <c r="AD427">
        <f t="shared" si="99"/>
        <v>1</v>
      </c>
      <c r="AE427">
        <f t="shared" si="100"/>
        <v>1</v>
      </c>
      <c r="AF427">
        <f t="shared" si="101"/>
        <v>1</v>
      </c>
      <c r="AG427">
        <f t="shared" si="102"/>
        <v>100</v>
      </c>
    </row>
    <row r="428" spans="1:33" x14ac:dyDescent="0.2">
      <c r="A428" t="s">
        <v>127</v>
      </c>
      <c r="B428" t="s">
        <v>128</v>
      </c>
      <c r="C428">
        <v>427</v>
      </c>
      <c r="D428">
        <v>47352</v>
      </c>
      <c r="E428" t="s">
        <v>1267</v>
      </c>
      <c r="F428" t="s">
        <v>66</v>
      </c>
      <c r="G428" t="s">
        <v>10</v>
      </c>
      <c r="H428" t="s">
        <v>5</v>
      </c>
      <c r="I428" t="s">
        <v>91</v>
      </c>
      <c r="J428">
        <v>20</v>
      </c>
      <c r="K428">
        <v>0.03</v>
      </c>
      <c r="L428">
        <v>1</v>
      </c>
      <c r="M428">
        <v>1</v>
      </c>
      <c r="N428">
        <v>1</v>
      </c>
      <c r="O428">
        <v>100</v>
      </c>
      <c r="P428" t="b">
        <f t="shared" si="93"/>
        <v>0</v>
      </c>
      <c r="S428" t="str">
        <f t="shared" si="103"/>
        <v>LATER</v>
      </c>
      <c r="T428" t="str">
        <f t="shared" si="104"/>
        <v>SainteLague</v>
      </c>
      <c r="U428">
        <f t="shared" si="106"/>
        <v>427</v>
      </c>
      <c r="V428">
        <f t="shared" si="105"/>
        <v>47352</v>
      </c>
      <c r="W428" s="8" t="str">
        <f>VLOOKUP(V428,'ideas-input'!$A:$B,2,FALSE)</f>
        <v>[Minerva] - Servicios adicionales gestionables por el equipo Comercial en la creación de una oferta</v>
      </c>
      <c r="X428" t="str">
        <f t="shared" si="94"/>
        <v>CCO</v>
      </c>
      <c r="Y428" s="8" t="str">
        <f>VLOOKUP(V428,'ideas-input'!$A:$D,4,FALSE)</f>
        <v>eCommerce</v>
      </c>
      <c r="Z428" t="str">
        <f t="shared" si="95"/>
        <v>Commercial</v>
      </c>
      <c r="AA428" t="str">
        <f t="shared" si="96"/>
        <v>Backlog</v>
      </c>
      <c r="AB428">
        <f t="shared" si="97"/>
        <v>20</v>
      </c>
      <c r="AC428">
        <f t="shared" si="98"/>
        <v>0.03</v>
      </c>
      <c r="AD428">
        <f t="shared" si="99"/>
        <v>1</v>
      </c>
      <c r="AE428">
        <f t="shared" si="100"/>
        <v>1</v>
      </c>
      <c r="AF428">
        <f t="shared" si="101"/>
        <v>1</v>
      </c>
      <c r="AG428">
        <f t="shared" si="102"/>
        <v>100</v>
      </c>
    </row>
    <row r="429" spans="1:33" x14ac:dyDescent="0.2">
      <c r="A429" t="s">
        <v>127</v>
      </c>
      <c r="B429" t="s">
        <v>128</v>
      </c>
      <c r="C429">
        <v>428</v>
      </c>
      <c r="D429">
        <v>54059</v>
      </c>
      <c r="E429" t="s">
        <v>1235</v>
      </c>
      <c r="F429" t="s">
        <v>37</v>
      </c>
      <c r="G429" t="s">
        <v>379</v>
      </c>
      <c r="H429" t="s">
        <v>5</v>
      </c>
      <c r="I429" t="s">
        <v>95</v>
      </c>
      <c r="J429">
        <v>9</v>
      </c>
      <c r="K429">
        <v>0.03</v>
      </c>
      <c r="L429">
        <v>1</v>
      </c>
      <c r="M429">
        <v>1</v>
      </c>
      <c r="N429">
        <v>1</v>
      </c>
      <c r="O429">
        <v>100</v>
      </c>
      <c r="P429" t="b">
        <f t="shared" si="93"/>
        <v>0</v>
      </c>
      <c r="S429" t="str">
        <f t="shared" si="103"/>
        <v>LATER</v>
      </c>
      <c r="T429" t="str">
        <f t="shared" si="104"/>
        <v>SainteLague</v>
      </c>
      <c r="U429">
        <f t="shared" si="106"/>
        <v>428</v>
      </c>
      <c r="V429">
        <f t="shared" si="105"/>
        <v>54059</v>
      </c>
      <c r="W429" s="8" t="str">
        <f>VLOOKUP(V429,'ideas-input'!$A:$B,2,FALSE)</f>
        <v>Pay I Cartões e Terminais incremento 2</v>
      </c>
      <c r="X429" t="str">
        <f t="shared" si="94"/>
        <v>GS</v>
      </c>
      <c r="Y429" s="8" t="str">
        <f>VLOOKUP(V429,'ideas-input'!$A:$D,4,FALSE)</f>
        <v>Payments</v>
      </c>
      <c r="Z429" t="str">
        <f t="shared" si="95"/>
        <v>Commercial</v>
      </c>
      <c r="AA429" t="str">
        <f t="shared" si="96"/>
        <v>In Definition</v>
      </c>
      <c r="AB429">
        <f t="shared" si="97"/>
        <v>9</v>
      </c>
      <c r="AC429">
        <f t="shared" si="98"/>
        <v>0.03</v>
      </c>
      <c r="AD429">
        <f t="shared" si="99"/>
        <v>1</v>
      </c>
      <c r="AE429">
        <f t="shared" si="100"/>
        <v>1</v>
      </c>
      <c r="AF429">
        <f t="shared" si="101"/>
        <v>1</v>
      </c>
      <c r="AG429">
        <f t="shared" si="102"/>
        <v>100</v>
      </c>
    </row>
    <row r="430" spans="1:33" x14ac:dyDescent="0.2">
      <c r="A430" t="s">
        <v>127</v>
      </c>
      <c r="B430" t="s">
        <v>128</v>
      </c>
      <c r="C430">
        <v>429</v>
      </c>
      <c r="D430">
        <v>43552</v>
      </c>
      <c r="E430" t="s">
        <v>226</v>
      </c>
      <c r="F430" t="s">
        <v>69</v>
      </c>
      <c r="G430" t="s">
        <v>10</v>
      </c>
      <c r="H430" t="s">
        <v>12</v>
      </c>
      <c r="I430" t="s">
        <v>91</v>
      </c>
      <c r="J430">
        <v>20</v>
      </c>
      <c r="K430">
        <v>0.03</v>
      </c>
      <c r="L430">
        <v>1</v>
      </c>
      <c r="M430">
        <v>1</v>
      </c>
      <c r="N430">
        <v>1</v>
      </c>
      <c r="O430">
        <v>100</v>
      </c>
      <c r="P430" t="b">
        <f t="shared" si="93"/>
        <v>0</v>
      </c>
      <c r="S430" t="str">
        <f t="shared" si="103"/>
        <v>LATER</v>
      </c>
      <c r="T430" t="str">
        <f t="shared" si="104"/>
        <v>SainteLague</v>
      </c>
      <c r="U430">
        <f t="shared" si="106"/>
        <v>429</v>
      </c>
      <c r="V430">
        <f t="shared" si="105"/>
        <v>43552</v>
      </c>
      <c r="W430" s="8" t="str">
        <f>VLOOKUP(V430,'ideas-input'!$A:$B,2,FALSE)</f>
        <v>[Evolutivos Minerva] Tarifas unicas por grupos de varios clientes (multicuentas asociadas incluso en diferentes CO's) (Validar por Herramientas Comerciales)</v>
      </c>
      <c r="X430" t="str">
        <f t="shared" si="94"/>
        <v>CFO</v>
      </c>
      <c r="Y430" s="8" t="str">
        <f>VLOOKUP(V430,'ideas-input'!$A:$D,4,FALSE)</f>
        <v>eCommerce</v>
      </c>
      <c r="Z430" t="str">
        <f t="shared" si="95"/>
        <v>Corporate</v>
      </c>
      <c r="AA430" t="str">
        <f t="shared" si="96"/>
        <v>Backlog</v>
      </c>
      <c r="AB430">
        <f t="shared" si="97"/>
        <v>20</v>
      </c>
      <c r="AC430">
        <f t="shared" si="98"/>
        <v>0.03</v>
      </c>
      <c r="AD430">
        <f t="shared" si="99"/>
        <v>1</v>
      </c>
      <c r="AE430">
        <f t="shared" si="100"/>
        <v>1</v>
      </c>
      <c r="AF430">
        <f t="shared" si="101"/>
        <v>1</v>
      </c>
      <c r="AG430">
        <f t="shared" si="102"/>
        <v>100</v>
      </c>
    </row>
    <row r="431" spans="1:33" x14ac:dyDescent="0.2">
      <c r="A431" t="s">
        <v>127</v>
      </c>
      <c r="B431" t="s">
        <v>128</v>
      </c>
      <c r="C431">
        <v>430</v>
      </c>
      <c r="D431">
        <v>68267</v>
      </c>
      <c r="E431" t="s">
        <v>236</v>
      </c>
      <c r="F431" t="s">
        <v>98</v>
      </c>
      <c r="G431" t="s">
        <v>379</v>
      </c>
      <c r="H431" t="s">
        <v>12</v>
      </c>
      <c r="I431" t="s">
        <v>91</v>
      </c>
      <c r="J431">
        <v>11</v>
      </c>
      <c r="K431">
        <v>0.03</v>
      </c>
      <c r="L431">
        <v>1</v>
      </c>
      <c r="M431">
        <v>1</v>
      </c>
      <c r="N431">
        <v>1</v>
      </c>
      <c r="O431">
        <v>100</v>
      </c>
      <c r="P431" t="b">
        <f t="shared" si="93"/>
        <v>0</v>
      </c>
      <c r="S431" t="str">
        <f t="shared" si="103"/>
        <v>LATER</v>
      </c>
      <c r="T431" t="str">
        <f t="shared" si="104"/>
        <v>SainteLague</v>
      </c>
      <c r="U431">
        <f t="shared" si="106"/>
        <v>430</v>
      </c>
      <c r="V431">
        <f t="shared" si="105"/>
        <v>68267</v>
      </c>
      <c r="W431" s="8" t="str">
        <f>VLOOKUP(V431,'ideas-input'!$A:$B,2,FALSE)</f>
        <v>Descontinuar Grafana Dados</v>
      </c>
      <c r="X431" t="str">
        <f t="shared" si="94"/>
        <v>PC</v>
      </c>
      <c r="Y431" s="8" t="str">
        <f>VLOOKUP(V431,'ideas-input'!$A:$D,4,FALSE)</f>
        <v>Mail</v>
      </c>
      <c r="Z431" t="str">
        <f t="shared" si="95"/>
        <v>Corporate</v>
      </c>
      <c r="AA431" t="str">
        <f t="shared" si="96"/>
        <v>Backlog</v>
      </c>
      <c r="AB431">
        <f t="shared" si="97"/>
        <v>11</v>
      </c>
      <c r="AC431">
        <f t="shared" si="98"/>
        <v>0.03</v>
      </c>
      <c r="AD431">
        <f t="shared" si="99"/>
        <v>1</v>
      </c>
      <c r="AE431">
        <f t="shared" si="100"/>
        <v>1</v>
      </c>
      <c r="AF431">
        <f t="shared" si="101"/>
        <v>1</v>
      </c>
      <c r="AG431">
        <f t="shared" si="102"/>
        <v>100</v>
      </c>
    </row>
    <row r="432" spans="1:33" x14ac:dyDescent="0.2">
      <c r="A432" t="s">
        <v>127</v>
      </c>
      <c r="B432" t="s">
        <v>128</v>
      </c>
      <c r="C432">
        <v>431</v>
      </c>
      <c r="D432">
        <v>58269</v>
      </c>
      <c r="E432" t="s">
        <v>1189</v>
      </c>
      <c r="F432" t="s">
        <v>70</v>
      </c>
      <c r="G432" t="s">
        <v>10</v>
      </c>
      <c r="H432" t="s">
        <v>8</v>
      </c>
      <c r="I432" t="s">
        <v>91</v>
      </c>
      <c r="J432">
        <v>48</v>
      </c>
      <c r="K432">
        <v>0.03</v>
      </c>
      <c r="L432">
        <v>1</v>
      </c>
      <c r="M432">
        <v>1</v>
      </c>
      <c r="N432">
        <v>1</v>
      </c>
      <c r="O432">
        <v>100</v>
      </c>
      <c r="P432" t="b">
        <f t="shared" si="93"/>
        <v>0</v>
      </c>
      <c r="S432" t="str">
        <f t="shared" si="103"/>
        <v>LATER</v>
      </c>
      <c r="T432" t="str">
        <f t="shared" si="104"/>
        <v>SainteLague</v>
      </c>
      <c r="U432">
        <f t="shared" si="106"/>
        <v>431</v>
      </c>
      <c r="V432">
        <f t="shared" si="105"/>
        <v>58269</v>
      </c>
      <c r="W432" s="8" t="str">
        <f>VLOOKUP(V432,'ideas-input'!$A:$B,2,FALSE)</f>
        <v>Autodocumentacion Integración Mulesoft con IA</v>
      </c>
      <c r="X432" t="str">
        <f t="shared" si="94"/>
        <v>CIO</v>
      </c>
      <c r="Y432" s="8" t="str">
        <f>VLOOKUP(V432,'ideas-input'!$A:$D,4,FALSE)</f>
        <v>eCommerce</v>
      </c>
      <c r="Z432" t="str">
        <f t="shared" si="95"/>
        <v>Technology</v>
      </c>
      <c r="AA432" t="str">
        <f t="shared" si="96"/>
        <v>Backlog</v>
      </c>
      <c r="AB432">
        <f t="shared" si="97"/>
        <v>48</v>
      </c>
      <c r="AC432">
        <f t="shared" si="98"/>
        <v>0.03</v>
      </c>
      <c r="AD432">
        <f t="shared" si="99"/>
        <v>1</v>
      </c>
      <c r="AE432">
        <f t="shared" si="100"/>
        <v>1</v>
      </c>
      <c r="AF432">
        <f t="shared" si="101"/>
        <v>1</v>
      </c>
      <c r="AG432">
        <f t="shared" si="102"/>
        <v>100</v>
      </c>
    </row>
    <row r="433" spans="1:33" x14ac:dyDescent="0.2">
      <c r="A433" t="s">
        <v>127</v>
      </c>
      <c r="B433" t="s">
        <v>128</v>
      </c>
      <c r="C433">
        <v>432</v>
      </c>
      <c r="D433">
        <v>70015</v>
      </c>
      <c r="E433" t="s">
        <v>1170</v>
      </c>
      <c r="F433" t="s">
        <v>34</v>
      </c>
      <c r="G433" t="s">
        <v>379</v>
      </c>
      <c r="H433" t="s">
        <v>8</v>
      </c>
      <c r="I433" t="s">
        <v>91</v>
      </c>
      <c r="J433">
        <v>9</v>
      </c>
      <c r="K433">
        <v>0.03</v>
      </c>
      <c r="L433">
        <v>1</v>
      </c>
      <c r="M433">
        <v>1</v>
      </c>
      <c r="N433">
        <v>1</v>
      </c>
      <c r="O433">
        <v>100</v>
      </c>
      <c r="P433" t="b">
        <f t="shared" si="93"/>
        <v>0</v>
      </c>
      <c r="S433" t="str">
        <f t="shared" si="103"/>
        <v>LATER</v>
      </c>
      <c r="T433" t="str">
        <f t="shared" si="104"/>
        <v>SainteLague</v>
      </c>
      <c r="U433">
        <f t="shared" si="106"/>
        <v>432</v>
      </c>
      <c r="V433">
        <f t="shared" si="105"/>
        <v>70015</v>
      </c>
      <c r="W433" s="8" t="str">
        <f>VLOOKUP(V433,'ideas-input'!$A:$B,2,FALSE)</f>
        <v>BCTT - renovação de equipamentos lojas especializadas</v>
      </c>
      <c r="X433" t="str">
        <f t="shared" si="94"/>
        <v>BCTT</v>
      </c>
      <c r="Y433" s="8" t="str">
        <f>VLOOKUP(V433,'ideas-input'!$A:$D,4,FALSE)</f>
        <v>Mail</v>
      </c>
      <c r="Z433" t="str">
        <f t="shared" si="95"/>
        <v>Technology</v>
      </c>
      <c r="AA433" t="str">
        <f t="shared" si="96"/>
        <v>Backlog</v>
      </c>
      <c r="AB433">
        <f t="shared" si="97"/>
        <v>9</v>
      </c>
      <c r="AC433">
        <f t="shared" si="98"/>
        <v>0.03</v>
      </c>
      <c r="AD433">
        <f t="shared" si="99"/>
        <v>1</v>
      </c>
      <c r="AE433">
        <f t="shared" si="100"/>
        <v>1</v>
      </c>
      <c r="AF433">
        <f t="shared" si="101"/>
        <v>1</v>
      </c>
      <c r="AG433">
        <f t="shared" si="102"/>
        <v>100</v>
      </c>
    </row>
    <row r="434" spans="1:33" x14ac:dyDescent="0.2">
      <c r="A434" t="s">
        <v>127</v>
      </c>
      <c r="B434" t="s">
        <v>128</v>
      </c>
      <c r="C434">
        <v>433</v>
      </c>
      <c r="D434">
        <v>62973</v>
      </c>
      <c r="E434" t="s">
        <v>225</v>
      </c>
      <c r="F434" t="s">
        <v>68</v>
      </c>
      <c r="G434" t="s">
        <v>10</v>
      </c>
      <c r="H434" t="s">
        <v>5</v>
      </c>
      <c r="I434" t="s">
        <v>97</v>
      </c>
      <c r="J434">
        <v>18</v>
      </c>
      <c r="K434">
        <v>0.03</v>
      </c>
      <c r="L434">
        <v>1</v>
      </c>
      <c r="M434">
        <v>1</v>
      </c>
      <c r="N434">
        <v>1</v>
      </c>
      <c r="O434">
        <v>100</v>
      </c>
      <c r="P434" t="b">
        <f t="shared" si="93"/>
        <v>0</v>
      </c>
      <c r="S434" t="str">
        <f t="shared" si="103"/>
        <v>LATER</v>
      </c>
      <c r="T434" t="str">
        <f t="shared" si="104"/>
        <v>SainteLague</v>
      </c>
      <c r="U434">
        <f t="shared" si="106"/>
        <v>433</v>
      </c>
      <c r="V434">
        <f t="shared" si="105"/>
        <v>62973</v>
      </c>
      <c r="W434" s="8" t="str">
        <f>VLOOKUP(V434,'ideas-input'!$A:$B,2,FALSE)</f>
        <v>Migracion Metodo WS GetServiceEvents de SGC a Cloud (Dupla)</v>
      </c>
      <c r="X434" t="str">
        <f t="shared" si="94"/>
        <v>IDC</v>
      </c>
      <c r="Y434" s="8" t="str">
        <f>VLOOKUP(V434,'ideas-input'!$A:$D,4,FALSE)</f>
        <v>eCommerce</v>
      </c>
      <c r="Z434" t="str">
        <f t="shared" si="95"/>
        <v>Commercial</v>
      </c>
      <c r="AA434" t="str">
        <f t="shared" si="96"/>
        <v>Ready for Solution</v>
      </c>
      <c r="AB434">
        <f t="shared" si="97"/>
        <v>18</v>
      </c>
      <c r="AC434">
        <f t="shared" si="98"/>
        <v>0.03</v>
      </c>
      <c r="AD434">
        <f t="shared" si="99"/>
        <v>1</v>
      </c>
      <c r="AE434">
        <f t="shared" si="100"/>
        <v>1</v>
      </c>
      <c r="AF434">
        <f t="shared" si="101"/>
        <v>1</v>
      </c>
      <c r="AG434">
        <f t="shared" si="102"/>
        <v>100</v>
      </c>
    </row>
    <row r="435" spans="1:33" x14ac:dyDescent="0.2">
      <c r="A435" t="s">
        <v>127</v>
      </c>
      <c r="B435" t="s">
        <v>128</v>
      </c>
      <c r="C435">
        <v>434</v>
      </c>
      <c r="D435">
        <v>140781</v>
      </c>
      <c r="E435" t="s">
        <v>1239</v>
      </c>
      <c r="F435" t="s">
        <v>21</v>
      </c>
      <c r="G435" t="s">
        <v>379</v>
      </c>
      <c r="H435" t="s">
        <v>5</v>
      </c>
      <c r="I435" t="s">
        <v>91</v>
      </c>
      <c r="J435">
        <v>12</v>
      </c>
      <c r="K435">
        <v>0.03</v>
      </c>
      <c r="L435">
        <v>1</v>
      </c>
      <c r="M435">
        <v>1</v>
      </c>
      <c r="N435">
        <v>1</v>
      </c>
      <c r="O435">
        <v>100</v>
      </c>
      <c r="P435" t="b">
        <f t="shared" si="93"/>
        <v>0</v>
      </c>
      <c r="S435" t="str">
        <f t="shared" si="103"/>
        <v>LATER</v>
      </c>
      <c r="T435" t="str">
        <f t="shared" si="104"/>
        <v>SainteLague</v>
      </c>
      <c r="U435">
        <f t="shared" si="106"/>
        <v>434</v>
      </c>
      <c r="V435">
        <f t="shared" si="105"/>
        <v>140781</v>
      </c>
      <c r="W435" s="8" t="str">
        <f>VLOOKUP(V435,'ideas-input'!$A:$B,2,FALSE)</f>
        <v>Redução de Taxa de Avisados com Melhoria de Dados de Contacto</v>
      </c>
      <c r="X435" t="str">
        <f t="shared" si="94"/>
        <v>GP B2B</v>
      </c>
      <c r="Y435" s="8" t="str">
        <f>VLOOKUP(V435,'ideas-input'!$A:$D,4,FALSE)</f>
        <v>Mail</v>
      </c>
      <c r="Z435" t="str">
        <f t="shared" si="95"/>
        <v>Commercial</v>
      </c>
      <c r="AA435" t="str">
        <f t="shared" si="96"/>
        <v>Backlog</v>
      </c>
      <c r="AB435">
        <f t="shared" si="97"/>
        <v>12</v>
      </c>
      <c r="AC435">
        <f t="shared" si="98"/>
        <v>0.03</v>
      </c>
      <c r="AD435">
        <f t="shared" si="99"/>
        <v>1</v>
      </c>
      <c r="AE435">
        <f t="shared" si="100"/>
        <v>1</v>
      </c>
      <c r="AF435">
        <f t="shared" si="101"/>
        <v>1</v>
      </c>
      <c r="AG435">
        <f t="shared" si="102"/>
        <v>100</v>
      </c>
    </row>
    <row r="436" spans="1:33" x14ac:dyDescent="0.2">
      <c r="A436" t="s">
        <v>127</v>
      </c>
      <c r="B436" t="s">
        <v>128</v>
      </c>
      <c r="C436">
        <v>435</v>
      </c>
      <c r="D436">
        <v>44473</v>
      </c>
      <c r="E436" t="s">
        <v>229</v>
      </c>
      <c r="F436" t="s">
        <v>67</v>
      </c>
      <c r="G436" t="s">
        <v>10</v>
      </c>
      <c r="H436" t="s">
        <v>12</v>
      </c>
      <c r="I436" t="s">
        <v>95</v>
      </c>
      <c r="J436">
        <v>23</v>
      </c>
      <c r="K436">
        <v>0.03</v>
      </c>
      <c r="L436">
        <v>1</v>
      </c>
      <c r="M436">
        <v>1</v>
      </c>
      <c r="N436">
        <v>1</v>
      </c>
      <c r="O436">
        <v>100</v>
      </c>
      <c r="P436" t="b">
        <f t="shared" si="93"/>
        <v>0</v>
      </c>
      <c r="S436" t="str">
        <f t="shared" si="103"/>
        <v>LATER</v>
      </c>
      <c r="T436" t="str">
        <f t="shared" si="104"/>
        <v>SainteLague</v>
      </c>
      <c r="U436">
        <f t="shared" si="106"/>
        <v>435</v>
      </c>
      <c r="V436">
        <f t="shared" si="105"/>
        <v>44473</v>
      </c>
      <c r="W436" s="8" t="str">
        <f>VLOOKUP(V436,'ideas-input'!$A:$B,2,FALSE)</f>
        <v>[Qlik] - Nprinting - Informe efectividad de red</v>
      </c>
      <c r="X436" t="str">
        <f t="shared" si="94"/>
        <v>ATC</v>
      </c>
      <c r="Y436" s="8" t="str">
        <f>VLOOKUP(V436,'ideas-input'!$A:$D,4,FALSE)</f>
        <v>eCommerce</v>
      </c>
      <c r="Z436" t="str">
        <f t="shared" si="95"/>
        <v>Corporate</v>
      </c>
      <c r="AA436" t="str">
        <f t="shared" si="96"/>
        <v>In Definition</v>
      </c>
      <c r="AB436">
        <f t="shared" si="97"/>
        <v>23</v>
      </c>
      <c r="AC436">
        <f t="shared" si="98"/>
        <v>0.03</v>
      </c>
      <c r="AD436">
        <f t="shared" si="99"/>
        <v>1</v>
      </c>
      <c r="AE436">
        <f t="shared" si="100"/>
        <v>1</v>
      </c>
      <c r="AF436">
        <f t="shared" si="101"/>
        <v>1</v>
      </c>
      <c r="AG436">
        <f t="shared" si="102"/>
        <v>100</v>
      </c>
    </row>
    <row r="437" spans="1:33" x14ac:dyDescent="0.2">
      <c r="A437" t="s">
        <v>127</v>
      </c>
      <c r="B437" t="s">
        <v>128</v>
      </c>
      <c r="C437">
        <v>436</v>
      </c>
      <c r="D437">
        <v>69341</v>
      </c>
      <c r="E437" t="s">
        <v>1192</v>
      </c>
      <c r="F437" t="s">
        <v>22</v>
      </c>
      <c r="G437" t="s">
        <v>379</v>
      </c>
      <c r="H437" t="s">
        <v>12</v>
      </c>
      <c r="I437" t="s">
        <v>91</v>
      </c>
      <c r="J437">
        <v>12</v>
      </c>
      <c r="K437">
        <v>0.03</v>
      </c>
      <c r="L437">
        <v>1</v>
      </c>
      <c r="M437">
        <v>1</v>
      </c>
      <c r="N437">
        <v>1</v>
      </c>
      <c r="O437">
        <v>100</v>
      </c>
      <c r="P437" t="b">
        <f t="shared" si="93"/>
        <v>0</v>
      </c>
      <c r="S437" t="str">
        <f t="shared" si="103"/>
        <v>LATER</v>
      </c>
      <c r="T437" t="str">
        <f t="shared" si="104"/>
        <v>SainteLague</v>
      </c>
      <c r="U437">
        <f t="shared" si="106"/>
        <v>436</v>
      </c>
      <c r="V437">
        <f t="shared" si="105"/>
        <v>69341</v>
      </c>
      <c r="W437" s="8" t="str">
        <f>VLOOKUP(V437,'ideas-input'!$A:$B,2,FALSE)</f>
        <v>Otimização CRB</v>
      </c>
      <c r="X437" t="str">
        <f t="shared" si="94"/>
        <v>CF</v>
      </c>
      <c r="Y437" s="8" t="str">
        <f>VLOOKUP(V437,'ideas-input'!$A:$D,4,FALSE)</f>
        <v>Mail</v>
      </c>
      <c r="Z437" t="str">
        <f t="shared" si="95"/>
        <v>Corporate</v>
      </c>
      <c r="AA437" t="str">
        <f t="shared" si="96"/>
        <v>Backlog</v>
      </c>
      <c r="AB437">
        <f t="shared" si="97"/>
        <v>12</v>
      </c>
      <c r="AC437">
        <f t="shared" si="98"/>
        <v>0.03</v>
      </c>
      <c r="AD437">
        <f t="shared" si="99"/>
        <v>1</v>
      </c>
      <c r="AE437">
        <f t="shared" si="100"/>
        <v>1</v>
      </c>
      <c r="AF437">
        <f t="shared" si="101"/>
        <v>1</v>
      </c>
      <c r="AG437">
        <f t="shared" si="102"/>
        <v>100</v>
      </c>
    </row>
    <row r="438" spans="1:33" x14ac:dyDescent="0.2">
      <c r="A438" t="s">
        <v>127</v>
      </c>
      <c r="B438" t="s">
        <v>128</v>
      </c>
      <c r="C438">
        <v>437</v>
      </c>
      <c r="D438">
        <v>61101</v>
      </c>
      <c r="E438" t="s">
        <v>1195</v>
      </c>
      <c r="F438" t="s">
        <v>70</v>
      </c>
      <c r="G438" t="s">
        <v>10</v>
      </c>
      <c r="H438" t="s">
        <v>8</v>
      </c>
      <c r="I438" t="s">
        <v>91</v>
      </c>
      <c r="J438">
        <v>49</v>
      </c>
      <c r="K438">
        <v>0.03</v>
      </c>
      <c r="L438">
        <v>1</v>
      </c>
      <c r="M438">
        <v>1</v>
      </c>
      <c r="N438">
        <v>1</v>
      </c>
      <c r="O438">
        <v>100</v>
      </c>
      <c r="P438" t="b">
        <f t="shared" si="93"/>
        <v>0</v>
      </c>
      <c r="S438" t="str">
        <f t="shared" si="103"/>
        <v>LATER</v>
      </c>
      <c r="T438" t="str">
        <f t="shared" si="104"/>
        <v>SainteLague</v>
      </c>
      <c r="U438">
        <f t="shared" si="106"/>
        <v>437</v>
      </c>
      <c r="V438">
        <f t="shared" si="105"/>
        <v>61101</v>
      </c>
      <c r="W438" s="8" t="str">
        <f>VLOOKUP(V438,'ideas-input'!$A:$B,2,FALSE)</f>
        <v>Creación arquetipo desarrollo React</v>
      </c>
      <c r="X438" t="str">
        <f t="shared" si="94"/>
        <v>CIO</v>
      </c>
      <c r="Y438" s="8" t="str">
        <f>VLOOKUP(V438,'ideas-input'!$A:$D,4,FALSE)</f>
        <v>eCommerce</v>
      </c>
      <c r="Z438" t="str">
        <f t="shared" si="95"/>
        <v>Technology</v>
      </c>
      <c r="AA438" t="str">
        <f t="shared" si="96"/>
        <v>Backlog</v>
      </c>
      <c r="AB438">
        <f t="shared" si="97"/>
        <v>49</v>
      </c>
      <c r="AC438">
        <f t="shared" si="98"/>
        <v>0.03</v>
      </c>
      <c r="AD438">
        <f t="shared" si="99"/>
        <v>1</v>
      </c>
      <c r="AE438">
        <f t="shared" si="100"/>
        <v>1</v>
      </c>
      <c r="AF438">
        <f t="shared" si="101"/>
        <v>1</v>
      </c>
      <c r="AG438">
        <f t="shared" si="102"/>
        <v>100</v>
      </c>
    </row>
    <row r="439" spans="1:33" x14ac:dyDescent="0.2">
      <c r="A439" t="s">
        <v>127</v>
      </c>
      <c r="B439" t="s">
        <v>128</v>
      </c>
      <c r="C439">
        <v>438</v>
      </c>
      <c r="D439">
        <v>100094</v>
      </c>
      <c r="E439" t="s">
        <v>1194</v>
      </c>
      <c r="F439" t="s">
        <v>58</v>
      </c>
      <c r="G439" t="s">
        <v>379</v>
      </c>
      <c r="H439" t="s">
        <v>8</v>
      </c>
      <c r="I439" t="s">
        <v>91</v>
      </c>
      <c r="J439">
        <v>9</v>
      </c>
      <c r="K439">
        <v>0.03</v>
      </c>
      <c r="L439">
        <v>1</v>
      </c>
      <c r="M439">
        <v>1</v>
      </c>
      <c r="N439">
        <v>1</v>
      </c>
      <c r="O439">
        <v>100</v>
      </c>
      <c r="P439" t="b">
        <f t="shared" si="93"/>
        <v>0</v>
      </c>
      <c r="S439" t="str">
        <f t="shared" si="103"/>
        <v>LATER</v>
      </c>
      <c r="T439" t="str">
        <f t="shared" si="104"/>
        <v>SainteLague</v>
      </c>
      <c r="U439">
        <f t="shared" si="106"/>
        <v>438</v>
      </c>
      <c r="V439">
        <f t="shared" si="105"/>
        <v>100094</v>
      </c>
      <c r="W439" s="8" t="str">
        <f>VLOOKUP(V439,'ideas-input'!$A:$B,2,FALSE)</f>
        <v>SRP - Descontinuação FTP</v>
      </c>
      <c r="X439" t="str">
        <f t="shared" si="94"/>
        <v>SI-PRD</v>
      </c>
      <c r="Y439" s="8" t="str">
        <f>VLOOKUP(V439,'ideas-input'!$A:$D,4,FALSE)</f>
        <v>eCommerce</v>
      </c>
      <c r="Z439" t="str">
        <f t="shared" si="95"/>
        <v>Technology</v>
      </c>
      <c r="AA439" t="str">
        <f t="shared" si="96"/>
        <v>Backlog</v>
      </c>
      <c r="AB439">
        <f t="shared" si="97"/>
        <v>9</v>
      </c>
      <c r="AC439">
        <f t="shared" si="98"/>
        <v>0.03</v>
      </c>
      <c r="AD439">
        <f t="shared" si="99"/>
        <v>1</v>
      </c>
      <c r="AE439">
        <f t="shared" si="100"/>
        <v>1</v>
      </c>
      <c r="AF439">
        <f t="shared" si="101"/>
        <v>1</v>
      </c>
      <c r="AG439">
        <f t="shared" si="102"/>
        <v>100</v>
      </c>
    </row>
    <row r="440" spans="1:33" x14ac:dyDescent="0.2">
      <c r="A440" t="s">
        <v>127</v>
      </c>
      <c r="B440" t="s">
        <v>128</v>
      </c>
      <c r="C440">
        <v>439</v>
      </c>
      <c r="D440">
        <v>43509</v>
      </c>
      <c r="E440" t="s">
        <v>223</v>
      </c>
      <c r="F440" t="s">
        <v>65</v>
      </c>
      <c r="G440" t="s">
        <v>10</v>
      </c>
      <c r="H440" t="s">
        <v>5</v>
      </c>
      <c r="I440" t="s">
        <v>95</v>
      </c>
      <c r="J440">
        <v>27</v>
      </c>
      <c r="K440">
        <v>0.03</v>
      </c>
      <c r="L440">
        <v>1</v>
      </c>
      <c r="M440">
        <v>1</v>
      </c>
      <c r="N440">
        <v>1</v>
      </c>
      <c r="O440">
        <v>100</v>
      </c>
      <c r="P440" t="b">
        <f t="shared" si="93"/>
        <v>0</v>
      </c>
      <c r="S440" t="str">
        <f t="shared" si="103"/>
        <v>LATER</v>
      </c>
      <c r="T440" t="str">
        <f t="shared" si="104"/>
        <v>SainteLague</v>
      </c>
      <c r="U440">
        <f t="shared" si="106"/>
        <v>439</v>
      </c>
      <c r="V440">
        <f t="shared" si="105"/>
        <v>43509</v>
      </c>
      <c r="W440" s="8" t="str">
        <f>VLOOKUP(V440,'ideas-input'!$A:$B,2,FALSE)</f>
        <v>[Producto] - Modelo Tarifario/Operativa Broker + TOF (Minerva C)</v>
      </c>
      <c r="X440" t="str">
        <f t="shared" si="94"/>
        <v>CMO</v>
      </c>
      <c r="Y440" s="8" t="str">
        <f>VLOOKUP(V440,'ideas-input'!$A:$D,4,FALSE)</f>
        <v>eCommerce</v>
      </c>
      <c r="Z440" t="str">
        <f t="shared" si="95"/>
        <v>Commercial</v>
      </c>
      <c r="AA440" t="str">
        <f t="shared" si="96"/>
        <v>In Definition</v>
      </c>
      <c r="AB440">
        <f t="shared" si="97"/>
        <v>27</v>
      </c>
      <c r="AC440">
        <f t="shared" si="98"/>
        <v>0.03</v>
      </c>
      <c r="AD440">
        <f t="shared" si="99"/>
        <v>1</v>
      </c>
      <c r="AE440">
        <f t="shared" si="100"/>
        <v>1</v>
      </c>
      <c r="AF440">
        <f t="shared" si="101"/>
        <v>1</v>
      </c>
      <c r="AG440">
        <f t="shared" si="102"/>
        <v>100</v>
      </c>
    </row>
    <row r="441" spans="1:33" x14ac:dyDescent="0.2">
      <c r="A441" t="s">
        <v>127</v>
      </c>
      <c r="B441" t="s">
        <v>128</v>
      </c>
      <c r="C441">
        <v>440</v>
      </c>
      <c r="D441">
        <v>138419</v>
      </c>
      <c r="E441" t="s">
        <v>1242</v>
      </c>
      <c r="F441" t="s">
        <v>23</v>
      </c>
      <c r="G441" t="s">
        <v>379</v>
      </c>
      <c r="H441" t="s">
        <v>5</v>
      </c>
      <c r="I441" t="s">
        <v>91</v>
      </c>
      <c r="J441">
        <v>12</v>
      </c>
      <c r="K441">
        <v>0.05</v>
      </c>
      <c r="L441">
        <v>3</v>
      </c>
      <c r="M441">
        <v>1</v>
      </c>
      <c r="N441">
        <v>1</v>
      </c>
      <c r="O441">
        <v>100</v>
      </c>
      <c r="P441" t="b">
        <f t="shared" si="93"/>
        <v>0</v>
      </c>
      <c r="S441" t="str">
        <f t="shared" si="103"/>
        <v>LATER</v>
      </c>
      <c r="T441" t="str">
        <f t="shared" si="104"/>
        <v>SainteLague</v>
      </c>
      <c r="U441">
        <f t="shared" si="106"/>
        <v>440</v>
      </c>
      <c r="V441">
        <f t="shared" si="105"/>
        <v>138419</v>
      </c>
      <c r="W441" s="8" t="str">
        <f>VLOOKUP(V441,'ideas-input'!$A:$B,2,FALSE)</f>
        <v>Envios OLX | Retirar Certificado de Aceitação</v>
      </c>
      <c r="X441" t="str">
        <f t="shared" si="94"/>
        <v>GP ECL</v>
      </c>
      <c r="Y441" s="8" t="str">
        <f>VLOOKUP(V441,'ideas-input'!$A:$D,4,FALSE)</f>
        <v>eCommerce</v>
      </c>
      <c r="Z441" t="str">
        <f t="shared" si="95"/>
        <v>Commercial</v>
      </c>
      <c r="AA441" t="str">
        <f t="shared" si="96"/>
        <v>Backlog</v>
      </c>
      <c r="AB441">
        <f t="shared" si="97"/>
        <v>12</v>
      </c>
      <c r="AC441">
        <f t="shared" si="98"/>
        <v>0.05</v>
      </c>
      <c r="AD441">
        <f t="shared" si="99"/>
        <v>3</v>
      </c>
      <c r="AE441">
        <f t="shared" si="100"/>
        <v>1</v>
      </c>
      <c r="AF441">
        <f t="shared" si="101"/>
        <v>1</v>
      </c>
      <c r="AG441">
        <f t="shared" si="102"/>
        <v>100</v>
      </c>
    </row>
    <row r="442" spans="1:33" x14ac:dyDescent="0.2">
      <c r="A442" t="s">
        <v>127</v>
      </c>
      <c r="B442" t="s">
        <v>128</v>
      </c>
      <c r="C442">
        <v>441</v>
      </c>
      <c r="D442">
        <v>43555</v>
      </c>
      <c r="E442" t="s">
        <v>1221</v>
      </c>
      <c r="F442" t="s">
        <v>69</v>
      </c>
      <c r="G442" t="s">
        <v>10</v>
      </c>
      <c r="H442" t="s">
        <v>12</v>
      </c>
      <c r="I442" t="s">
        <v>91</v>
      </c>
      <c r="J442">
        <v>21</v>
      </c>
      <c r="K442">
        <v>0.03</v>
      </c>
      <c r="L442">
        <v>1</v>
      </c>
      <c r="M442">
        <v>1</v>
      </c>
      <c r="N442">
        <v>1</v>
      </c>
      <c r="O442">
        <v>100</v>
      </c>
      <c r="P442" t="b">
        <f t="shared" si="93"/>
        <v>0</v>
      </c>
      <c r="S442" t="str">
        <f t="shared" si="103"/>
        <v>LATER</v>
      </c>
      <c r="T442" t="str">
        <f t="shared" si="104"/>
        <v>SainteLague</v>
      </c>
      <c r="U442">
        <f t="shared" si="106"/>
        <v>441</v>
      </c>
      <c r="V442">
        <f t="shared" si="105"/>
        <v>43555</v>
      </c>
      <c r="W442" s="8" t="str">
        <f>VLOOKUP(V442,'ideas-input'!$A:$B,2,FALSE)</f>
        <v>Web Clientes​ - Detalles Excel con y sin Densidades (Español-Ingles), Personalizables por el propio cliente en PortalCliente y en Finanzas</v>
      </c>
      <c r="X442" t="str">
        <f t="shared" si="94"/>
        <v>CFO</v>
      </c>
      <c r="Y442" s="8" t="str">
        <f>VLOOKUP(V442,'ideas-input'!$A:$D,4,FALSE)</f>
        <v>eCommerce</v>
      </c>
      <c r="Z442" t="str">
        <f t="shared" si="95"/>
        <v>Corporate</v>
      </c>
      <c r="AA442" t="str">
        <f t="shared" si="96"/>
        <v>Backlog</v>
      </c>
      <c r="AB442">
        <f t="shared" si="97"/>
        <v>21</v>
      </c>
      <c r="AC442">
        <f t="shared" si="98"/>
        <v>0.03</v>
      </c>
      <c r="AD442">
        <f t="shared" si="99"/>
        <v>1</v>
      </c>
      <c r="AE442">
        <f t="shared" si="100"/>
        <v>1</v>
      </c>
      <c r="AF442">
        <f t="shared" si="101"/>
        <v>1</v>
      </c>
      <c r="AG442">
        <f t="shared" si="102"/>
        <v>100</v>
      </c>
    </row>
    <row r="443" spans="1:33" x14ac:dyDescent="0.2">
      <c r="A443" t="s">
        <v>127</v>
      </c>
      <c r="B443" t="s">
        <v>128</v>
      </c>
      <c r="C443">
        <v>442</v>
      </c>
      <c r="D443">
        <v>203114</v>
      </c>
      <c r="E443" t="s">
        <v>174</v>
      </c>
      <c r="F443" t="s">
        <v>98</v>
      </c>
      <c r="G443" t="s">
        <v>379</v>
      </c>
      <c r="H443" t="s">
        <v>12</v>
      </c>
      <c r="I443" t="s">
        <v>91</v>
      </c>
      <c r="J443">
        <v>12</v>
      </c>
      <c r="K443">
        <v>0.03</v>
      </c>
      <c r="L443">
        <v>1</v>
      </c>
      <c r="M443">
        <v>1</v>
      </c>
      <c r="N443">
        <v>1</v>
      </c>
      <c r="O443">
        <v>100</v>
      </c>
      <c r="P443" t="b">
        <f t="shared" si="93"/>
        <v>0</v>
      </c>
      <c r="S443" t="str">
        <f t="shared" si="103"/>
        <v>LATER</v>
      </c>
      <c r="T443" t="str">
        <f t="shared" si="104"/>
        <v>SainteLague</v>
      </c>
      <c r="U443">
        <f t="shared" si="106"/>
        <v>442</v>
      </c>
      <c r="V443">
        <f t="shared" si="105"/>
        <v>203114</v>
      </c>
      <c r="W443" s="8" t="str">
        <f>VLOOKUP(V443,'ideas-input'!$A:$B,2,FALSE)</f>
        <v>Analytics - Analise de custo parceiros</v>
      </c>
      <c r="X443" t="str">
        <f t="shared" si="94"/>
        <v>PC</v>
      </c>
      <c r="Y443" s="8" t="str">
        <f>VLOOKUP(V443,'ideas-input'!$A:$D,4,FALSE)</f>
        <v>eCommerce</v>
      </c>
      <c r="Z443" t="str">
        <f t="shared" si="95"/>
        <v>Corporate</v>
      </c>
      <c r="AA443" t="str">
        <f t="shared" si="96"/>
        <v>Backlog</v>
      </c>
      <c r="AB443">
        <f t="shared" si="97"/>
        <v>12</v>
      </c>
      <c r="AC443">
        <f t="shared" si="98"/>
        <v>0.03</v>
      </c>
      <c r="AD443">
        <f t="shared" si="99"/>
        <v>1</v>
      </c>
      <c r="AE443">
        <f t="shared" si="100"/>
        <v>1</v>
      </c>
      <c r="AF443">
        <f t="shared" si="101"/>
        <v>1</v>
      </c>
      <c r="AG443">
        <f t="shared" si="102"/>
        <v>100</v>
      </c>
    </row>
    <row r="444" spans="1:33" x14ac:dyDescent="0.2">
      <c r="A444" t="s">
        <v>127</v>
      </c>
      <c r="B444" t="s">
        <v>128</v>
      </c>
      <c r="C444">
        <v>443</v>
      </c>
      <c r="D444">
        <v>61617</v>
      </c>
      <c r="E444" t="s">
        <v>306</v>
      </c>
      <c r="F444" t="s">
        <v>70</v>
      </c>
      <c r="G444" t="s">
        <v>10</v>
      </c>
      <c r="H444" t="s">
        <v>8</v>
      </c>
      <c r="I444" t="s">
        <v>91</v>
      </c>
      <c r="J444">
        <v>50</v>
      </c>
      <c r="K444">
        <v>0.03</v>
      </c>
      <c r="L444">
        <v>1</v>
      </c>
      <c r="M444">
        <v>1</v>
      </c>
      <c r="N444">
        <v>1</v>
      </c>
      <c r="O444">
        <v>100</v>
      </c>
      <c r="P444" t="b">
        <f t="shared" si="93"/>
        <v>0</v>
      </c>
      <c r="S444" t="str">
        <f t="shared" si="103"/>
        <v>LATER</v>
      </c>
      <c r="T444" t="str">
        <f t="shared" si="104"/>
        <v>SainteLague</v>
      </c>
      <c r="U444">
        <f t="shared" si="106"/>
        <v>443</v>
      </c>
      <c r="V444">
        <f t="shared" si="105"/>
        <v>61617</v>
      </c>
      <c r="W444" s="8" t="str">
        <f>VLOOKUP(V444,'ideas-input'!$A:$B,2,FALSE)</f>
        <v>Incluir en nexia opciones multi-idioma</v>
      </c>
      <c r="X444" t="str">
        <f t="shared" si="94"/>
        <v>CIO</v>
      </c>
      <c r="Y444" s="8" t="str">
        <f>VLOOKUP(V444,'ideas-input'!$A:$D,4,FALSE)</f>
        <v>eCommerce</v>
      </c>
      <c r="Z444" t="str">
        <f t="shared" si="95"/>
        <v>Technology</v>
      </c>
      <c r="AA444" t="str">
        <f t="shared" si="96"/>
        <v>Backlog</v>
      </c>
      <c r="AB444">
        <f t="shared" si="97"/>
        <v>50</v>
      </c>
      <c r="AC444">
        <f t="shared" si="98"/>
        <v>0.03</v>
      </c>
      <c r="AD444">
        <f t="shared" si="99"/>
        <v>1</v>
      </c>
      <c r="AE444">
        <f t="shared" si="100"/>
        <v>1</v>
      </c>
      <c r="AF444">
        <f t="shared" si="101"/>
        <v>1</v>
      </c>
      <c r="AG444">
        <f t="shared" si="102"/>
        <v>100</v>
      </c>
    </row>
    <row r="445" spans="1:33" x14ac:dyDescent="0.2">
      <c r="A445" t="s">
        <v>127</v>
      </c>
      <c r="B445" t="s">
        <v>128</v>
      </c>
      <c r="C445">
        <v>444</v>
      </c>
      <c r="D445">
        <v>126584</v>
      </c>
      <c r="E445" t="s">
        <v>272</v>
      </c>
      <c r="F445" t="s">
        <v>9</v>
      </c>
      <c r="G445" t="s">
        <v>379</v>
      </c>
      <c r="H445" t="s">
        <v>8</v>
      </c>
      <c r="I445" t="s">
        <v>91</v>
      </c>
      <c r="J445">
        <v>24</v>
      </c>
      <c r="K445">
        <v>0.03</v>
      </c>
      <c r="L445">
        <v>1</v>
      </c>
      <c r="M445">
        <v>1</v>
      </c>
      <c r="N445">
        <v>1</v>
      </c>
      <c r="O445">
        <v>100</v>
      </c>
      <c r="P445" t="b">
        <f t="shared" si="93"/>
        <v>0</v>
      </c>
      <c r="S445" t="str">
        <f t="shared" si="103"/>
        <v>LATER</v>
      </c>
      <c r="T445" t="str">
        <f t="shared" si="104"/>
        <v>SainteLague</v>
      </c>
      <c r="U445">
        <f t="shared" si="106"/>
        <v>444</v>
      </c>
      <c r="V445">
        <f t="shared" si="105"/>
        <v>126584</v>
      </c>
      <c r="W445" s="8" t="str">
        <f>VLOOKUP(V445,'ideas-input'!$A:$B,2,FALSE)</f>
        <v>Reducing the rollout of Praas printers:</v>
      </c>
      <c r="X445" t="str">
        <f t="shared" si="94"/>
        <v>SI</v>
      </c>
      <c r="Y445" s="8" t="str">
        <f>VLOOKUP(V445,'ideas-input'!$A:$D,4,FALSE)</f>
        <v>Mail</v>
      </c>
      <c r="Z445" t="str">
        <f t="shared" si="95"/>
        <v>Technology</v>
      </c>
      <c r="AA445" t="str">
        <f t="shared" si="96"/>
        <v>Backlog</v>
      </c>
      <c r="AB445">
        <f t="shared" si="97"/>
        <v>24</v>
      </c>
      <c r="AC445">
        <f t="shared" si="98"/>
        <v>0.03</v>
      </c>
      <c r="AD445">
        <f t="shared" si="99"/>
        <v>1</v>
      </c>
      <c r="AE445">
        <f t="shared" si="100"/>
        <v>1</v>
      </c>
      <c r="AF445">
        <f t="shared" si="101"/>
        <v>1</v>
      </c>
      <c r="AG445">
        <f t="shared" si="102"/>
        <v>100</v>
      </c>
    </row>
    <row r="446" spans="1:33" x14ac:dyDescent="0.2">
      <c r="A446" t="s">
        <v>127</v>
      </c>
      <c r="B446" t="s">
        <v>128</v>
      </c>
      <c r="C446">
        <v>445</v>
      </c>
      <c r="D446">
        <v>63250</v>
      </c>
      <c r="E446" t="s">
        <v>224</v>
      </c>
      <c r="F446" t="s">
        <v>66</v>
      </c>
      <c r="G446" t="s">
        <v>10</v>
      </c>
      <c r="H446" t="s">
        <v>5</v>
      </c>
      <c r="I446" t="s">
        <v>91</v>
      </c>
      <c r="J446">
        <v>21</v>
      </c>
      <c r="K446">
        <v>0.03</v>
      </c>
      <c r="L446">
        <v>1</v>
      </c>
      <c r="M446">
        <v>1</v>
      </c>
      <c r="N446">
        <v>1</v>
      </c>
      <c r="O446">
        <v>100</v>
      </c>
      <c r="P446" t="b">
        <f t="shared" si="93"/>
        <v>0</v>
      </c>
      <c r="S446" t="str">
        <f t="shared" si="103"/>
        <v>LATER</v>
      </c>
      <c r="T446" t="str">
        <f t="shared" si="104"/>
        <v>SainteLague</v>
      </c>
      <c r="U446">
        <f t="shared" si="106"/>
        <v>445</v>
      </c>
      <c r="V446">
        <f t="shared" si="105"/>
        <v>63250</v>
      </c>
      <c r="W446" s="8" t="str">
        <f>VLOOKUP(V446,'ideas-input'!$A:$B,2,FALSE)</f>
        <v>[Salesforce Sales - SGC ] - Evitar actualizaciones en SGC en los registros de franquicias</v>
      </c>
      <c r="X446" t="str">
        <f t="shared" si="94"/>
        <v>CCO</v>
      </c>
      <c r="Y446" s="8" t="str">
        <f>VLOOKUP(V446,'ideas-input'!$A:$D,4,FALSE)</f>
        <v>eCommerce</v>
      </c>
      <c r="Z446" t="str">
        <f t="shared" si="95"/>
        <v>Commercial</v>
      </c>
      <c r="AA446" t="str">
        <f t="shared" si="96"/>
        <v>Backlog</v>
      </c>
      <c r="AB446">
        <f t="shared" si="97"/>
        <v>21</v>
      </c>
      <c r="AC446">
        <f t="shared" si="98"/>
        <v>0.03</v>
      </c>
      <c r="AD446">
        <f t="shared" si="99"/>
        <v>1</v>
      </c>
      <c r="AE446">
        <f t="shared" si="100"/>
        <v>1</v>
      </c>
      <c r="AF446">
        <f t="shared" si="101"/>
        <v>1</v>
      </c>
      <c r="AG446">
        <f t="shared" si="102"/>
        <v>100</v>
      </c>
    </row>
    <row r="447" spans="1:33" x14ac:dyDescent="0.2">
      <c r="A447" t="s">
        <v>127</v>
      </c>
      <c r="B447" t="s">
        <v>128</v>
      </c>
      <c r="C447">
        <v>446</v>
      </c>
      <c r="D447">
        <v>189983</v>
      </c>
      <c r="E447" t="s">
        <v>1246</v>
      </c>
      <c r="F447" t="s">
        <v>25</v>
      </c>
      <c r="G447" t="s">
        <v>379</v>
      </c>
      <c r="H447" t="s">
        <v>5</v>
      </c>
      <c r="I447" t="s">
        <v>91</v>
      </c>
      <c r="J447">
        <v>7</v>
      </c>
      <c r="K447">
        <v>0.03</v>
      </c>
      <c r="L447">
        <v>1</v>
      </c>
      <c r="M447">
        <v>1</v>
      </c>
      <c r="N447">
        <v>1</v>
      </c>
      <c r="O447">
        <v>100</v>
      </c>
      <c r="P447" t="b">
        <f t="shared" si="93"/>
        <v>0</v>
      </c>
      <c r="S447" t="str">
        <f t="shared" si="103"/>
        <v>LATER</v>
      </c>
      <c r="T447" t="str">
        <f t="shared" si="104"/>
        <v>SainteLague</v>
      </c>
      <c r="U447">
        <f t="shared" si="106"/>
        <v>446</v>
      </c>
      <c r="V447">
        <f t="shared" si="105"/>
        <v>189983</v>
      </c>
      <c r="W447" s="8" t="str">
        <f>VLOOKUP(V447,'ideas-input'!$A:$B,2,FALSE)</f>
        <v>Pagamento de Vales Nacionais e Internacionais - Finalização do pagamento apenas após procedimentos de RCTO concluídos</v>
      </c>
      <c r="X447" t="str">
        <f t="shared" si="94"/>
        <v>GP B2C</v>
      </c>
      <c r="Y447" s="8" t="str">
        <f>VLOOKUP(V447,'ideas-input'!$A:$D,4,FALSE)</f>
        <v>Retail &amp; Financial Services</v>
      </c>
      <c r="Z447" t="str">
        <f t="shared" si="95"/>
        <v>Commercial</v>
      </c>
      <c r="AA447" t="str">
        <f t="shared" si="96"/>
        <v>Backlog</v>
      </c>
      <c r="AB447">
        <f t="shared" si="97"/>
        <v>7</v>
      </c>
      <c r="AC447">
        <f t="shared" si="98"/>
        <v>0.03</v>
      </c>
      <c r="AD447">
        <f t="shared" si="99"/>
        <v>1</v>
      </c>
      <c r="AE447">
        <f t="shared" si="100"/>
        <v>1</v>
      </c>
      <c r="AF447">
        <f t="shared" si="101"/>
        <v>1</v>
      </c>
      <c r="AG447">
        <f t="shared" si="102"/>
        <v>100</v>
      </c>
    </row>
    <row r="448" spans="1:33" x14ac:dyDescent="0.2">
      <c r="A448" t="s">
        <v>127</v>
      </c>
      <c r="B448" t="s">
        <v>128</v>
      </c>
      <c r="C448">
        <v>447</v>
      </c>
      <c r="D448">
        <v>61721</v>
      </c>
      <c r="E448" t="s">
        <v>227</v>
      </c>
      <c r="F448" t="s">
        <v>68</v>
      </c>
      <c r="G448" t="s">
        <v>10</v>
      </c>
      <c r="H448" t="s">
        <v>5</v>
      </c>
      <c r="I448" t="s">
        <v>95</v>
      </c>
      <c r="J448">
        <v>19</v>
      </c>
      <c r="K448">
        <v>0.03</v>
      </c>
      <c r="L448">
        <v>1</v>
      </c>
      <c r="M448">
        <v>1</v>
      </c>
      <c r="N448">
        <v>1</v>
      </c>
      <c r="O448">
        <v>100</v>
      </c>
      <c r="P448" t="b">
        <f t="shared" si="93"/>
        <v>0</v>
      </c>
      <c r="S448" t="str">
        <f t="shared" si="103"/>
        <v>LATER</v>
      </c>
      <c r="T448" t="str">
        <f t="shared" si="104"/>
        <v>SainteLague</v>
      </c>
      <c r="U448">
        <f t="shared" si="106"/>
        <v>447</v>
      </c>
      <c r="V448">
        <f t="shared" si="105"/>
        <v>61721</v>
      </c>
      <c r="W448" s="8" t="str">
        <f>VLOOKUP(V448,'ideas-input'!$A:$B,2,FALSE)</f>
        <v>Migracion Hosting aplicacion Shopify a servidores CTT</v>
      </c>
      <c r="X448" t="str">
        <f t="shared" si="94"/>
        <v>IDC</v>
      </c>
      <c r="Y448" s="8" t="str">
        <f>VLOOKUP(V448,'ideas-input'!$A:$D,4,FALSE)</f>
        <v>eCommerce</v>
      </c>
      <c r="Z448" t="str">
        <f t="shared" si="95"/>
        <v>Commercial</v>
      </c>
      <c r="AA448" t="str">
        <f t="shared" si="96"/>
        <v>In Definition</v>
      </c>
      <c r="AB448">
        <f t="shared" si="97"/>
        <v>19</v>
      </c>
      <c r="AC448">
        <f t="shared" si="98"/>
        <v>0.03</v>
      </c>
      <c r="AD448">
        <f t="shared" si="99"/>
        <v>1</v>
      </c>
      <c r="AE448">
        <f t="shared" si="100"/>
        <v>1</v>
      </c>
      <c r="AF448">
        <f t="shared" si="101"/>
        <v>1</v>
      </c>
      <c r="AG448">
        <f t="shared" si="102"/>
        <v>100</v>
      </c>
    </row>
    <row r="449" spans="1:33" x14ac:dyDescent="0.2">
      <c r="A449" t="s">
        <v>127</v>
      </c>
      <c r="B449" t="s">
        <v>128</v>
      </c>
      <c r="C449">
        <v>448</v>
      </c>
      <c r="D449">
        <v>71501</v>
      </c>
      <c r="E449" t="s">
        <v>1198</v>
      </c>
      <c r="F449" t="s">
        <v>22</v>
      </c>
      <c r="G449" t="s">
        <v>379</v>
      </c>
      <c r="H449" t="s">
        <v>12</v>
      </c>
      <c r="I449" t="s">
        <v>95</v>
      </c>
      <c r="J449">
        <v>13</v>
      </c>
      <c r="K449">
        <v>0.03</v>
      </c>
      <c r="L449">
        <v>1</v>
      </c>
      <c r="M449">
        <v>1</v>
      </c>
      <c r="N449">
        <v>1</v>
      </c>
      <c r="O449">
        <v>100</v>
      </c>
      <c r="P449" t="b">
        <f t="shared" si="93"/>
        <v>0</v>
      </c>
      <c r="S449" t="str">
        <f t="shared" si="103"/>
        <v>LATER</v>
      </c>
      <c r="T449" t="str">
        <f t="shared" si="104"/>
        <v>SainteLague</v>
      </c>
      <c r="U449">
        <f t="shared" si="106"/>
        <v>448</v>
      </c>
      <c r="V449">
        <f t="shared" si="105"/>
        <v>71501</v>
      </c>
      <c r="W449" s="8" t="str">
        <f>VLOOKUP(V449,'ideas-input'!$A:$B,2,FALSE)</f>
        <v>Nova Entidade Certificadora (CA) Autoridade Tributária e Aduaneira (AT).</v>
      </c>
      <c r="X449" t="str">
        <f t="shared" si="94"/>
        <v>CF</v>
      </c>
      <c r="Y449" s="8" t="str">
        <f>VLOOKUP(V449,'ideas-input'!$A:$D,4,FALSE)</f>
        <v>Mail</v>
      </c>
      <c r="Z449" t="str">
        <f t="shared" si="95"/>
        <v>Corporate</v>
      </c>
      <c r="AA449" t="str">
        <f t="shared" si="96"/>
        <v>In Definition</v>
      </c>
      <c r="AB449">
        <f t="shared" si="97"/>
        <v>13</v>
      </c>
      <c r="AC449">
        <f t="shared" si="98"/>
        <v>0.03</v>
      </c>
      <c r="AD449">
        <f t="shared" si="99"/>
        <v>1</v>
      </c>
      <c r="AE449">
        <f t="shared" si="100"/>
        <v>1</v>
      </c>
      <c r="AF449">
        <f t="shared" si="101"/>
        <v>1</v>
      </c>
      <c r="AG449">
        <f t="shared" si="102"/>
        <v>100</v>
      </c>
    </row>
    <row r="450" spans="1:33" x14ac:dyDescent="0.2">
      <c r="A450" t="s">
        <v>127</v>
      </c>
      <c r="B450" t="s">
        <v>128</v>
      </c>
      <c r="C450">
        <v>449</v>
      </c>
      <c r="D450">
        <v>56551</v>
      </c>
      <c r="E450" t="s">
        <v>1225</v>
      </c>
      <c r="F450" t="s">
        <v>67</v>
      </c>
      <c r="G450" t="s">
        <v>10</v>
      </c>
      <c r="H450" t="s">
        <v>12</v>
      </c>
      <c r="I450" t="s">
        <v>91</v>
      </c>
      <c r="J450">
        <v>24</v>
      </c>
      <c r="K450">
        <v>0.03</v>
      </c>
      <c r="L450">
        <v>1</v>
      </c>
      <c r="M450">
        <v>1</v>
      </c>
      <c r="N450">
        <v>1</v>
      </c>
      <c r="O450">
        <v>100</v>
      </c>
      <c r="P450" t="b">
        <f t="shared" ref="P450:P513" si="107">AND(C450&lt;$Q$1,IF(ISBLANK(C450),0,C450)&gt;0)</f>
        <v>0</v>
      </c>
      <c r="S450" t="str">
        <f t="shared" si="103"/>
        <v>LATER</v>
      </c>
      <c r="T450" t="str">
        <f t="shared" si="104"/>
        <v>SainteLague</v>
      </c>
      <c r="U450">
        <f t="shared" si="106"/>
        <v>449</v>
      </c>
      <c r="V450">
        <f t="shared" si="105"/>
        <v>56551</v>
      </c>
      <c r="W450" s="8" t="str">
        <f>VLOOKUP(V450,'ideas-input'!$A:$B,2,FALSE)</f>
        <v>[Desconexión SGC] [Salesforce Service] - Gestión de casos: modificaciones tipos de servicio</v>
      </c>
      <c r="X450" t="str">
        <f t="shared" ref="X450:X513" si="108">F450</f>
        <v>ATC</v>
      </c>
      <c r="Y450" s="8" t="str">
        <f>VLOOKUP(V450,'ideas-input'!$A:$D,4,FALSE)</f>
        <v>eCommerce</v>
      </c>
      <c r="Z450" t="str">
        <f t="shared" ref="Z450:Z513" si="109">H450</f>
        <v>Corporate</v>
      </c>
      <c r="AA450" t="str">
        <f t="shared" ref="AA450:AA513" si="110">I450</f>
        <v>Backlog</v>
      </c>
      <c r="AB450">
        <f t="shared" ref="AB450:AB513" si="111">J450</f>
        <v>24</v>
      </c>
      <c r="AC450">
        <f t="shared" ref="AC450:AC513" si="112">K450</f>
        <v>0.03</v>
      </c>
      <c r="AD450">
        <f t="shared" ref="AD450:AD513" si="113">L450</f>
        <v>1</v>
      </c>
      <c r="AE450">
        <f t="shared" ref="AE450:AE513" si="114">M450</f>
        <v>1</v>
      </c>
      <c r="AF450">
        <f t="shared" ref="AF450:AF513" si="115">N450</f>
        <v>1</v>
      </c>
      <c r="AG450">
        <f t="shared" ref="AG450:AG513" si="116">O450</f>
        <v>100</v>
      </c>
    </row>
    <row r="451" spans="1:33" x14ac:dyDescent="0.2">
      <c r="A451" t="s">
        <v>127</v>
      </c>
      <c r="B451" t="s">
        <v>128</v>
      </c>
      <c r="C451">
        <v>450</v>
      </c>
      <c r="D451">
        <v>139303</v>
      </c>
      <c r="E451" t="s">
        <v>1200</v>
      </c>
      <c r="F451" t="s">
        <v>9</v>
      </c>
      <c r="G451" t="s">
        <v>379</v>
      </c>
      <c r="H451" t="s">
        <v>8</v>
      </c>
      <c r="I451" t="s">
        <v>96</v>
      </c>
      <c r="J451">
        <v>25</v>
      </c>
      <c r="K451">
        <v>5</v>
      </c>
      <c r="L451">
        <v>2</v>
      </c>
      <c r="M451">
        <v>1</v>
      </c>
      <c r="N451">
        <v>2</v>
      </c>
      <c r="O451">
        <v>1</v>
      </c>
      <c r="P451" t="b">
        <f t="shared" si="107"/>
        <v>0</v>
      </c>
      <c r="S451" t="str">
        <f t="shared" si="103"/>
        <v>LATER</v>
      </c>
      <c r="T451" t="str">
        <f t="shared" si="104"/>
        <v>SainteLague</v>
      </c>
      <c r="U451">
        <f t="shared" si="106"/>
        <v>450</v>
      </c>
      <c r="V451">
        <f t="shared" si="105"/>
        <v>139303</v>
      </c>
      <c r="W451" s="8" t="str">
        <f>VLOOKUP(V451,'ideas-input'!$A:$B,2,FALSE)</f>
        <v>Observabilidade | Uniformização da alarmística nos clusters do IDP</v>
      </c>
      <c r="X451" t="str">
        <f t="shared" si="108"/>
        <v>SI</v>
      </c>
      <c r="Y451" s="8" t="str">
        <f>VLOOKUP(V451,'ideas-input'!$A:$D,4,FALSE)</f>
        <v>Mail</v>
      </c>
      <c r="Z451" t="str">
        <f t="shared" si="109"/>
        <v>Technology</v>
      </c>
      <c r="AA451" t="str">
        <f t="shared" si="110"/>
        <v>Ready for Approval</v>
      </c>
      <c r="AB451">
        <f t="shared" si="111"/>
        <v>25</v>
      </c>
      <c r="AC451">
        <f t="shared" si="112"/>
        <v>5</v>
      </c>
      <c r="AD451">
        <f t="shared" si="113"/>
        <v>2</v>
      </c>
      <c r="AE451">
        <f t="shared" si="114"/>
        <v>1</v>
      </c>
      <c r="AF451">
        <f t="shared" si="115"/>
        <v>2</v>
      </c>
      <c r="AG451">
        <f t="shared" si="116"/>
        <v>1</v>
      </c>
    </row>
    <row r="452" spans="1:33" x14ac:dyDescent="0.2">
      <c r="A452" t="s">
        <v>127</v>
      </c>
      <c r="B452" t="s">
        <v>128</v>
      </c>
      <c r="C452">
        <v>451</v>
      </c>
      <c r="D452">
        <v>61629</v>
      </c>
      <c r="E452" t="s">
        <v>308</v>
      </c>
      <c r="F452" t="s">
        <v>70</v>
      </c>
      <c r="G452" t="s">
        <v>10</v>
      </c>
      <c r="H452" t="s">
        <v>8</v>
      </c>
      <c r="I452" t="s">
        <v>91</v>
      </c>
      <c r="J452">
        <v>51</v>
      </c>
      <c r="K452">
        <v>0.03</v>
      </c>
      <c r="L452">
        <v>1</v>
      </c>
      <c r="M452">
        <v>1</v>
      </c>
      <c r="N452">
        <v>1</v>
      </c>
      <c r="O452">
        <v>100</v>
      </c>
      <c r="P452" t="b">
        <f t="shared" si="107"/>
        <v>0</v>
      </c>
      <c r="S452" t="str">
        <f t="shared" si="103"/>
        <v>LATER</v>
      </c>
      <c r="T452" t="str">
        <f t="shared" si="104"/>
        <v>SainteLague</v>
      </c>
      <c r="U452">
        <f t="shared" si="106"/>
        <v>451</v>
      </c>
      <c r="V452">
        <f t="shared" si="105"/>
        <v>61629</v>
      </c>
      <c r="W452" s="8" t="str">
        <f>VLOOKUP(V452,'ideas-input'!$A:$B,2,FALSE)</f>
        <v>Desconectar servidor SFTP SGC</v>
      </c>
      <c r="X452" t="str">
        <f t="shared" si="108"/>
        <v>CIO</v>
      </c>
      <c r="Y452" s="8" t="str">
        <f>VLOOKUP(V452,'ideas-input'!$A:$D,4,FALSE)</f>
        <v>eCommerce</v>
      </c>
      <c r="Z452" t="str">
        <f t="shared" si="109"/>
        <v>Technology</v>
      </c>
      <c r="AA452" t="str">
        <f t="shared" si="110"/>
        <v>Backlog</v>
      </c>
      <c r="AB452">
        <f t="shared" si="111"/>
        <v>51</v>
      </c>
      <c r="AC452">
        <f t="shared" si="112"/>
        <v>0.03</v>
      </c>
      <c r="AD452">
        <f t="shared" si="113"/>
        <v>1</v>
      </c>
      <c r="AE452">
        <f t="shared" si="114"/>
        <v>1</v>
      </c>
      <c r="AF452">
        <f t="shared" si="115"/>
        <v>1</v>
      </c>
      <c r="AG452">
        <f t="shared" si="116"/>
        <v>100</v>
      </c>
    </row>
    <row r="453" spans="1:33" x14ac:dyDescent="0.2">
      <c r="A453" t="s">
        <v>127</v>
      </c>
      <c r="B453" t="s">
        <v>128</v>
      </c>
      <c r="C453">
        <v>452</v>
      </c>
      <c r="D453">
        <v>53781</v>
      </c>
      <c r="E453" t="s">
        <v>1249</v>
      </c>
      <c r="F453" t="s">
        <v>24</v>
      </c>
      <c r="G453" t="s">
        <v>379</v>
      </c>
      <c r="H453" t="s">
        <v>5</v>
      </c>
      <c r="I453" t="s">
        <v>95</v>
      </c>
      <c r="J453">
        <v>7</v>
      </c>
      <c r="K453">
        <v>0.03</v>
      </c>
      <c r="L453">
        <v>1</v>
      </c>
      <c r="M453">
        <v>1</v>
      </c>
      <c r="N453">
        <v>1</v>
      </c>
      <c r="O453">
        <v>100</v>
      </c>
      <c r="P453" t="b">
        <f t="shared" si="107"/>
        <v>0</v>
      </c>
      <c r="S453" t="str">
        <f t="shared" si="103"/>
        <v>LATER</v>
      </c>
      <c r="T453" t="str">
        <f t="shared" si="104"/>
        <v>SainteLague</v>
      </c>
      <c r="U453">
        <f t="shared" si="106"/>
        <v>452</v>
      </c>
      <c r="V453">
        <f t="shared" si="105"/>
        <v>53781</v>
      </c>
      <c r="W453" s="8" t="str">
        <f>VLOOKUP(V453,'ideas-input'!$A:$B,2,FALSE)</f>
        <v>Proteção Avançada para a Interface do PayByLink</v>
      </c>
      <c r="X453" t="str">
        <f t="shared" si="108"/>
        <v>GPG</v>
      </c>
      <c r="Y453" s="8" t="str">
        <f>VLOOKUP(V453,'ideas-input'!$A:$D,4,FALSE)</f>
        <v>Payments</v>
      </c>
      <c r="Z453" t="str">
        <f t="shared" si="109"/>
        <v>Commercial</v>
      </c>
      <c r="AA453" t="str">
        <f t="shared" si="110"/>
        <v>In Definition</v>
      </c>
      <c r="AB453">
        <f t="shared" si="111"/>
        <v>7</v>
      </c>
      <c r="AC453">
        <f t="shared" si="112"/>
        <v>0.03</v>
      </c>
      <c r="AD453">
        <f t="shared" si="113"/>
        <v>1</v>
      </c>
      <c r="AE453">
        <f t="shared" si="114"/>
        <v>1</v>
      </c>
      <c r="AF453">
        <f t="shared" si="115"/>
        <v>1</v>
      </c>
      <c r="AG453">
        <f t="shared" si="116"/>
        <v>100</v>
      </c>
    </row>
    <row r="454" spans="1:33" x14ac:dyDescent="0.2">
      <c r="A454" t="s">
        <v>127</v>
      </c>
      <c r="B454" t="s">
        <v>128</v>
      </c>
      <c r="C454">
        <v>453</v>
      </c>
      <c r="D454">
        <v>64579</v>
      </c>
      <c r="E454" t="s">
        <v>1191</v>
      </c>
      <c r="F454" t="s">
        <v>65</v>
      </c>
      <c r="G454" t="s">
        <v>10</v>
      </c>
      <c r="H454" t="s">
        <v>5</v>
      </c>
      <c r="I454" t="s">
        <v>97</v>
      </c>
      <c r="J454">
        <v>28</v>
      </c>
      <c r="K454">
        <v>0.03</v>
      </c>
      <c r="L454">
        <v>1</v>
      </c>
      <c r="M454">
        <v>1</v>
      </c>
      <c r="N454">
        <v>1</v>
      </c>
      <c r="O454">
        <v>100</v>
      </c>
      <c r="P454" t="b">
        <f t="shared" si="107"/>
        <v>0</v>
      </c>
      <c r="S454" t="str">
        <f t="shared" si="103"/>
        <v>LATER</v>
      </c>
      <c r="T454" t="str">
        <f t="shared" si="104"/>
        <v>SainteLague</v>
      </c>
      <c r="U454">
        <f t="shared" si="106"/>
        <v>453</v>
      </c>
      <c r="V454">
        <f t="shared" si="105"/>
        <v>64579</v>
      </c>
      <c r="W454" s="8" t="str">
        <f>VLOOKUP(V454,'ideas-input'!$A:$B,2,FALSE)</f>
        <v>[Web Pública 2.0] - Web Pública 2.0 Fase II - V2</v>
      </c>
      <c r="X454" t="str">
        <f t="shared" si="108"/>
        <v>CMO</v>
      </c>
      <c r="Y454" s="8" t="str">
        <f>VLOOKUP(V454,'ideas-input'!$A:$D,4,FALSE)</f>
        <v>eCommerce</v>
      </c>
      <c r="Z454" t="str">
        <f t="shared" si="109"/>
        <v>Commercial</v>
      </c>
      <c r="AA454" t="str">
        <f t="shared" si="110"/>
        <v>Ready for Solution</v>
      </c>
      <c r="AB454">
        <f t="shared" si="111"/>
        <v>28</v>
      </c>
      <c r="AC454">
        <f t="shared" si="112"/>
        <v>0.03</v>
      </c>
      <c r="AD454">
        <f t="shared" si="113"/>
        <v>1</v>
      </c>
      <c r="AE454">
        <f t="shared" si="114"/>
        <v>1</v>
      </c>
      <c r="AF454">
        <f t="shared" si="115"/>
        <v>1</v>
      </c>
      <c r="AG454">
        <f t="shared" si="116"/>
        <v>100</v>
      </c>
    </row>
    <row r="455" spans="1:33" x14ac:dyDescent="0.2">
      <c r="A455" t="s">
        <v>127</v>
      </c>
      <c r="B455" t="s">
        <v>128</v>
      </c>
      <c r="C455">
        <v>454</v>
      </c>
      <c r="D455">
        <v>173285</v>
      </c>
      <c r="E455" t="s">
        <v>233</v>
      </c>
      <c r="F455" t="s">
        <v>38</v>
      </c>
      <c r="G455" t="s">
        <v>379</v>
      </c>
      <c r="H455" t="s">
        <v>5</v>
      </c>
      <c r="I455" t="s">
        <v>91</v>
      </c>
      <c r="J455">
        <v>8</v>
      </c>
      <c r="K455">
        <v>0.03</v>
      </c>
      <c r="L455">
        <v>1</v>
      </c>
      <c r="M455">
        <v>1</v>
      </c>
      <c r="N455">
        <v>1</v>
      </c>
      <c r="O455">
        <v>100</v>
      </c>
      <c r="P455" t="b">
        <f t="shared" si="107"/>
        <v>0</v>
      </c>
      <c r="S455" t="str">
        <f t="shared" si="103"/>
        <v>LATER</v>
      </c>
      <c r="T455" t="str">
        <f t="shared" si="104"/>
        <v>SainteLague</v>
      </c>
      <c r="U455">
        <f t="shared" si="106"/>
        <v>454</v>
      </c>
      <c r="V455">
        <f t="shared" si="105"/>
        <v>173285</v>
      </c>
      <c r="W455" s="8" t="str">
        <f>VLOOKUP(V455,'ideas-input'!$A:$B,2,FALSE)</f>
        <v>Simulador para agrupagem</v>
      </c>
      <c r="X455" t="str">
        <f t="shared" si="108"/>
        <v>CSI</v>
      </c>
      <c r="Y455" s="8" t="str">
        <f>VLOOKUP(V455,'ideas-input'!$A:$D,4,FALSE)</f>
        <v>Mail</v>
      </c>
      <c r="Z455" t="str">
        <f t="shared" si="109"/>
        <v>Commercial</v>
      </c>
      <c r="AA455" t="str">
        <f t="shared" si="110"/>
        <v>Backlog</v>
      </c>
      <c r="AB455">
        <f t="shared" si="111"/>
        <v>8</v>
      </c>
      <c r="AC455">
        <f t="shared" si="112"/>
        <v>0.03</v>
      </c>
      <c r="AD455">
        <f t="shared" si="113"/>
        <v>1</v>
      </c>
      <c r="AE455">
        <f t="shared" si="114"/>
        <v>1</v>
      </c>
      <c r="AF455">
        <f t="shared" si="115"/>
        <v>1</v>
      </c>
      <c r="AG455">
        <f t="shared" si="116"/>
        <v>100</v>
      </c>
    </row>
    <row r="456" spans="1:33" x14ac:dyDescent="0.2">
      <c r="A456" t="s">
        <v>127</v>
      </c>
      <c r="B456" t="s">
        <v>128</v>
      </c>
      <c r="C456">
        <v>455</v>
      </c>
      <c r="D456">
        <v>57283</v>
      </c>
      <c r="E456" t="s">
        <v>1230</v>
      </c>
      <c r="F456" t="s">
        <v>69</v>
      </c>
      <c r="G456" t="s">
        <v>10</v>
      </c>
      <c r="H456" t="s">
        <v>12</v>
      </c>
      <c r="I456" t="s">
        <v>91</v>
      </c>
      <c r="J456">
        <v>22</v>
      </c>
      <c r="K456">
        <v>0.03</v>
      </c>
      <c r="L456">
        <v>1</v>
      </c>
      <c r="M456">
        <v>1</v>
      </c>
      <c r="N456">
        <v>1</v>
      </c>
      <c r="O456">
        <v>100</v>
      </c>
      <c r="P456" t="b">
        <f t="shared" si="107"/>
        <v>0</v>
      </c>
      <c r="S456" t="str">
        <f t="shared" si="103"/>
        <v>LATER</v>
      </c>
      <c r="T456" t="str">
        <f t="shared" si="104"/>
        <v>SainteLague</v>
      </c>
      <c r="U456">
        <f t="shared" si="106"/>
        <v>455</v>
      </c>
      <c r="V456">
        <f t="shared" si="105"/>
        <v>57283</v>
      </c>
      <c r="W456" s="8" t="str">
        <f>VLOOKUP(V456,'ideas-input'!$A:$B,2,FALSE)</f>
        <v>[Nexus Rollout] [We Bill] Estrategia de facturación de clientes ES y PT</v>
      </c>
      <c r="X456" t="str">
        <f t="shared" si="108"/>
        <v>CFO</v>
      </c>
      <c r="Y456" s="8" t="str">
        <f>VLOOKUP(V456,'ideas-input'!$A:$D,4,FALSE)</f>
        <v>eCommerce</v>
      </c>
      <c r="Z456" t="str">
        <f t="shared" si="109"/>
        <v>Corporate</v>
      </c>
      <c r="AA456" t="str">
        <f t="shared" si="110"/>
        <v>Backlog</v>
      </c>
      <c r="AB456">
        <f t="shared" si="111"/>
        <v>22</v>
      </c>
      <c r="AC456">
        <f t="shared" si="112"/>
        <v>0.03</v>
      </c>
      <c r="AD456">
        <f t="shared" si="113"/>
        <v>1</v>
      </c>
      <c r="AE456">
        <f t="shared" si="114"/>
        <v>1</v>
      </c>
      <c r="AF456">
        <f t="shared" si="115"/>
        <v>1</v>
      </c>
      <c r="AG456">
        <f t="shared" si="116"/>
        <v>100</v>
      </c>
    </row>
    <row r="457" spans="1:33" x14ac:dyDescent="0.2">
      <c r="A457" t="s">
        <v>127</v>
      </c>
      <c r="B457" t="s">
        <v>128</v>
      </c>
      <c r="C457">
        <v>456</v>
      </c>
      <c r="D457">
        <v>176414</v>
      </c>
      <c r="E457" t="s">
        <v>1203</v>
      </c>
      <c r="F457" t="s">
        <v>98</v>
      </c>
      <c r="G457" t="s">
        <v>379</v>
      </c>
      <c r="H457" t="s">
        <v>12</v>
      </c>
      <c r="I457" t="s">
        <v>91</v>
      </c>
      <c r="J457">
        <v>13</v>
      </c>
      <c r="K457">
        <v>0.03</v>
      </c>
      <c r="L457">
        <v>1</v>
      </c>
      <c r="M457">
        <v>1</v>
      </c>
      <c r="N457">
        <v>1</v>
      </c>
      <c r="O457">
        <v>100</v>
      </c>
      <c r="P457" t="b">
        <f t="shared" si="107"/>
        <v>0</v>
      </c>
      <c r="S457" t="str">
        <f t="shared" si="103"/>
        <v>LATER</v>
      </c>
      <c r="T457" t="str">
        <f t="shared" si="104"/>
        <v>SainteLague</v>
      </c>
      <c r="U457">
        <f t="shared" si="106"/>
        <v>456</v>
      </c>
      <c r="V457">
        <f t="shared" si="105"/>
        <v>176414</v>
      </c>
      <c r="W457" s="8" t="str">
        <f>VLOOKUP(V457,'ideas-input'!$A:$B,2,FALSE)</f>
        <v>Iberian - Incremento Visão de tratamento por KG's, Restantes Kpi's</v>
      </c>
      <c r="X457" t="str">
        <f t="shared" si="108"/>
        <v>PC</v>
      </c>
      <c r="Y457" s="8" t="str">
        <f>VLOOKUP(V457,'ideas-input'!$A:$D,4,FALSE)</f>
        <v>eCommerce</v>
      </c>
      <c r="Z457" t="str">
        <f t="shared" si="109"/>
        <v>Corporate</v>
      </c>
      <c r="AA457" t="str">
        <f t="shared" si="110"/>
        <v>Backlog</v>
      </c>
      <c r="AB457">
        <f t="shared" si="111"/>
        <v>13</v>
      </c>
      <c r="AC457">
        <f t="shared" si="112"/>
        <v>0.03</v>
      </c>
      <c r="AD457">
        <f t="shared" si="113"/>
        <v>1</v>
      </c>
      <c r="AE457">
        <f t="shared" si="114"/>
        <v>1</v>
      </c>
      <c r="AF457">
        <f t="shared" si="115"/>
        <v>1</v>
      </c>
      <c r="AG457">
        <f t="shared" si="116"/>
        <v>100</v>
      </c>
    </row>
    <row r="458" spans="1:33" x14ac:dyDescent="0.2">
      <c r="A458" t="s">
        <v>127</v>
      </c>
      <c r="B458" t="s">
        <v>128</v>
      </c>
      <c r="C458">
        <v>457</v>
      </c>
      <c r="D458">
        <v>61789</v>
      </c>
      <c r="E458" t="s">
        <v>1205</v>
      </c>
      <c r="F458" t="s">
        <v>70</v>
      </c>
      <c r="G458" t="s">
        <v>10</v>
      </c>
      <c r="H458" t="s">
        <v>8</v>
      </c>
      <c r="I458" t="s">
        <v>91</v>
      </c>
      <c r="J458">
        <v>52</v>
      </c>
      <c r="K458">
        <v>0.03</v>
      </c>
      <c r="L458">
        <v>1</v>
      </c>
      <c r="M458">
        <v>1</v>
      </c>
      <c r="N458">
        <v>1</v>
      </c>
      <c r="O458">
        <v>100</v>
      </c>
      <c r="P458" t="b">
        <f t="shared" si="107"/>
        <v>0</v>
      </c>
      <c r="S458" t="str">
        <f t="shared" si="103"/>
        <v>LATER</v>
      </c>
      <c r="T458" t="str">
        <f t="shared" si="104"/>
        <v>SainteLague</v>
      </c>
      <c r="U458">
        <f t="shared" si="106"/>
        <v>457</v>
      </c>
      <c r="V458">
        <f t="shared" si="105"/>
        <v>61789</v>
      </c>
      <c r="W458" s="8" t="str">
        <f>VLOOKUP(V458,'ideas-input'!$A:$B,2,FALSE)</f>
        <v>Diseñar Flujos de trabajo IA - .Net</v>
      </c>
      <c r="X458" t="str">
        <f t="shared" si="108"/>
        <v>CIO</v>
      </c>
      <c r="Y458" s="8" t="str">
        <f>VLOOKUP(V458,'ideas-input'!$A:$D,4,FALSE)</f>
        <v>eCommerce</v>
      </c>
      <c r="Z458" t="str">
        <f t="shared" si="109"/>
        <v>Technology</v>
      </c>
      <c r="AA458" t="str">
        <f t="shared" si="110"/>
        <v>Backlog</v>
      </c>
      <c r="AB458">
        <f t="shared" si="111"/>
        <v>52</v>
      </c>
      <c r="AC458">
        <f t="shared" si="112"/>
        <v>0.03</v>
      </c>
      <c r="AD458">
        <f t="shared" si="113"/>
        <v>1</v>
      </c>
      <c r="AE458">
        <f t="shared" si="114"/>
        <v>1</v>
      </c>
      <c r="AF458">
        <f t="shared" si="115"/>
        <v>1</v>
      </c>
      <c r="AG458">
        <f t="shared" si="116"/>
        <v>100</v>
      </c>
    </row>
    <row r="459" spans="1:33" x14ac:dyDescent="0.2">
      <c r="A459" t="s">
        <v>127</v>
      </c>
      <c r="B459" t="s">
        <v>128</v>
      </c>
      <c r="C459">
        <v>458</v>
      </c>
      <c r="D459">
        <v>96860</v>
      </c>
      <c r="E459" t="s">
        <v>235</v>
      </c>
      <c r="F459" t="s">
        <v>34</v>
      </c>
      <c r="G459" t="s">
        <v>379</v>
      </c>
      <c r="H459" t="s">
        <v>8</v>
      </c>
      <c r="I459" t="s">
        <v>91</v>
      </c>
      <c r="J459">
        <v>10</v>
      </c>
      <c r="K459">
        <v>0.03</v>
      </c>
      <c r="L459">
        <v>1</v>
      </c>
      <c r="M459">
        <v>1</v>
      </c>
      <c r="N459">
        <v>1</v>
      </c>
      <c r="O459">
        <v>100</v>
      </c>
      <c r="P459" t="b">
        <f t="shared" si="107"/>
        <v>0</v>
      </c>
      <c r="S459" t="str">
        <f t="shared" si="103"/>
        <v>LATER</v>
      </c>
      <c r="T459" t="str">
        <f t="shared" si="104"/>
        <v>SainteLague</v>
      </c>
      <c r="U459">
        <f t="shared" si="106"/>
        <v>458</v>
      </c>
      <c r="V459">
        <f t="shared" si="105"/>
        <v>96860</v>
      </c>
      <c r="W459" s="8" t="str">
        <f>VLOOKUP(V459,'ideas-input'!$A:$B,2,FALSE)</f>
        <v>BANCO CTT | Novo design site banco</v>
      </c>
      <c r="X459" t="str">
        <f t="shared" si="108"/>
        <v>BCTT</v>
      </c>
      <c r="Y459" s="8" t="str">
        <f>VLOOKUP(V459,'ideas-input'!$A:$D,4,FALSE)</f>
        <v>Mail</v>
      </c>
      <c r="Z459" t="str">
        <f t="shared" si="109"/>
        <v>Technology</v>
      </c>
      <c r="AA459" t="str">
        <f t="shared" si="110"/>
        <v>Backlog</v>
      </c>
      <c r="AB459">
        <f t="shared" si="111"/>
        <v>10</v>
      </c>
      <c r="AC459">
        <f t="shared" si="112"/>
        <v>0.03</v>
      </c>
      <c r="AD459">
        <f t="shared" si="113"/>
        <v>1</v>
      </c>
      <c r="AE459">
        <f t="shared" si="114"/>
        <v>1</v>
      </c>
      <c r="AF459">
        <f t="shared" si="115"/>
        <v>1</v>
      </c>
      <c r="AG459">
        <f t="shared" si="116"/>
        <v>100</v>
      </c>
    </row>
    <row r="460" spans="1:33" x14ac:dyDescent="0.2">
      <c r="A460" t="s">
        <v>127</v>
      </c>
      <c r="B460" t="s">
        <v>128</v>
      </c>
      <c r="C460">
        <v>459</v>
      </c>
      <c r="D460">
        <v>139907</v>
      </c>
      <c r="E460" t="s">
        <v>1285</v>
      </c>
      <c r="F460" t="s">
        <v>66</v>
      </c>
      <c r="G460" t="s">
        <v>10</v>
      </c>
      <c r="H460" t="s">
        <v>5</v>
      </c>
      <c r="I460" t="s">
        <v>91</v>
      </c>
      <c r="J460">
        <v>22</v>
      </c>
      <c r="K460">
        <v>0.03</v>
      </c>
      <c r="L460">
        <v>1</v>
      </c>
      <c r="M460">
        <v>1</v>
      </c>
      <c r="N460">
        <v>1</v>
      </c>
      <c r="O460">
        <v>100</v>
      </c>
      <c r="P460" t="b">
        <f t="shared" si="107"/>
        <v>0</v>
      </c>
      <c r="S460" t="str">
        <f t="shared" si="103"/>
        <v>LATER</v>
      </c>
      <c r="T460" t="str">
        <f t="shared" si="104"/>
        <v>SainteLague</v>
      </c>
      <c r="U460">
        <f t="shared" si="106"/>
        <v>459</v>
      </c>
      <c r="V460">
        <f t="shared" si="105"/>
        <v>139907</v>
      </c>
      <c r="W460" s="8" t="str">
        <f>VLOOKUP(V460,'ideas-input'!$A:$B,2,FALSE)</f>
        <v>[Salesforce Sales] - Visualización de Tarifa actual y anterior por cliente.</v>
      </c>
      <c r="X460" t="str">
        <f t="shared" si="108"/>
        <v>CCO</v>
      </c>
      <c r="Y460" s="8" t="str">
        <f>VLOOKUP(V460,'ideas-input'!$A:$D,4,FALSE)</f>
        <v>eCommerce</v>
      </c>
      <c r="Z460" t="str">
        <f t="shared" si="109"/>
        <v>Commercial</v>
      </c>
      <c r="AA460" t="str">
        <f t="shared" si="110"/>
        <v>Backlog</v>
      </c>
      <c r="AB460">
        <f t="shared" si="111"/>
        <v>22</v>
      </c>
      <c r="AC460">
        <f t="shared" si="112"/>
        <v>0.03</v>
      </c>
      <c r="AD460">
        <f t="shared" si="113"/>
        <v>1</v>
      </c>
      <c r="AE460">
        <f t="shared" si="114"/>
        <v>1</v>
      </c>
      <c r="AF460">
        <f t="shared" si="115"/>
        <v>1</v>
      </c>
      <c r="AG460">
        <f t="shared" si="116"/>
        <v>100</v>
      </c>
    </row>
    <row r="461" spans="1:33" x14ac:dyDescent="0.2">
      <c r="A461" t="s">
        <v>127</v>
      </c>
      <c r="B461" t="s">
        <v>128</v>
      </c>
      <c r="C461">
        <v>460</v>
      </c>
      <c r="D461">
        <v>126099</v>
      </c>
      <c r="E461" t="s">
        <v>200</v>
      </c>
      <c r="F461" t="s">
        <v>21</v>
      </c>
      <c r="G461" t="s">
        <v>379</v>
      </c>
      <c r="H461" t="s">
        <v>5</v>
      </c>
      <c r="I461" t="s">
        <v>95</v>
      </c>
      <c r="J461">
        <v>13</v>
      </c>
      <c r="K461">
        <v>0.03</v>
      </c>
      <c r="L461">
        <v>1</v>
      </c>
      <c r="M461">
        <v>1</v>
      </c>
      <c r="N461">
        <v>1</v>
      </c>
      <c r="O461">
        <v>100</v>
      </c>
      <c r="P461" t="b">
        <f t="shared" si="107"/>
        <v>0</v>
      </c>
      <c r="S461" t="str">
        <f t="shared" si="103"/>
        <v>LATER</v>
      </c>
      <c r="T461" t="str">
        <f t="shared" si="104"/>
        <v>SainteLague</v>
      </c>
      <c r="U461">
        <f t="shared" si="106"/>
        <v>460</v>
      </c>
      <c r="V461">
        <f t="shared" si="105"/>
        <v>126099</v>
      </c>
      <c r="W461" s="8" t="str">
        <f>VLOOKUP(V461,'ideas-input'!$A:$B,2,FALSE)</f>
        <v>Desenvolvimentos Regulamentares (Congresso UPU Dubai + Incremental Riade)</v>
      </c>
      <c r="X461" t="str">
        <f t="shared" si="108"/>
        <v>GP B2B</v>
      </c>
      <c r="Y461" s="8" t="str">
        <f>VLOOKUP(V461,'ideas-input'!$A:$D,4,FALSE)</f>
        <v>Mail</v>
      </c>
      <c r="Z461" t="str">
        <f t="shared" si="109"/>
        <v>Commercial</v>
      </c>
      <c r="AA461" t="str">
        <f t="shared" si="110"/>
        <v>In Definition</v>
      </c>
      <c r="AB461">
        <f t="shared" si="111"/>
        <v>13</v>
      </c>
      <c r="AC461">
        <f t="shared" si="112"/>
        <v>0.03</v>
      </c>
      <c r="AD461">
        <f t="shared" si="113"/>
        <v>1</v>
      </c>
      <c r="AE461">
        <f t="shared" si="114"/>
        <v>1</v>
      </c>
      <c r="AF461">
        <f t="shared" si="115"/>
        <v>1</v>
      </c>
      <c r="AG461">
        <f t="shared" si="116"/>
        <v>100</v>
      </c>
    </row>
    <row r="462" spans="1:33" x14ac:dyDescent="0.2">
      <c r="A462" t="s">
        <v>127</v>
      </c>
      <c r="B462" t="s">
        <v>128</v>
      </c>
      <c r="C462">
        <v>461</v>
      </c>
      <c r="D462">
        <v>52023</v>
      </c>
      <c r="E462" t="s">
        <v>1078</v>
      </c>
      <c r="F462" t="s">
        <v>71</v>
      </c>
      <c r="G462" t="s">
        <v>10</v>
      </c>
      <c r="H462" t="s">
        <v>12</v>
      </c>
      <c r="I462" t="s">
        <v>91</v>
      </c>
      <c r="J462">
        <v>6</v>
      </c>
      <c r="K462">
        <v>0.03</v>
      </c>
      <c r="L462">
        <v>1</v>
      </c>
      <c r="M462">
        <v>1</v>
      </c>
      <c r="N462">
        <v>1</v>
      </c>
      <c r="O462">
        <v>100</v>
      </c>
      <c r="P462" t="b">
        <f t="shared" si="107"/>
        <v>0</v>
      </c>
      <c r="S462" t="str">
        <f t="shared" si="103"/>
        <v>LATER</v>
      </c>
      <c r="T462" t="str">
        <f t="shared" si="104"/>
        <v>SainteLague</v>
      </c>
      <c r="U462">
        <f t="shared" si="106"/>
        <v>461</v>
      </c>
      <c r="V462">
        <f t="shared" si="105"/>
        <v>52023</v>
      </c>
      <c r="W462" s="8" t="str">
        <f>VLOOKUP(V462,'ideas-input'!$A:$B,2,FALSE)</f>
        <v>[Auditoria PT] Automatismo para replicar la lógica de corrección manual de pesos declarados</v>
      </c>
      <c r="X462" t="str">
        <f t="shared" si="108"/>
        <v>PRO</v>
      </c>
      <c r="Y462" s="8" t="str">
        <f>VLOOKUP(V462,'ideas-input'!$A:$D,4,FALSE)</f>
        <v>eCommerce</v>
      </c>
      <c r="Z462" t="str">
        <f t="shared" si="109"/>
        <v>Corporate</v>
      </c>
      <c r="AA462" t="str">
        <f t="shared" si="110"/>
        <v>Backlog</v>
      </c>
      <c r="AB462">
        <f t="shared" si="111"/>
        <v>6</v>
      </c>
      <c r="AC462">
        <f t="shared" si="112"/>
        <v>0.03</v>
      </c>
      <c r="AD462">
        <f t="shared" si="113"/>
        <v>1</v>
      </c>
      <c r="AE462">
        <f t="shared" si="114"/>
        <v>1</v>
      </c>
      <c r="AF462">
        <f t="shared" si="115"/>
        <v>1</v>
      </c>
      <c r="AG462">
        <f t="shared" si="116"/>
        <v>100</v>
      </c>
    </row>
    <row r="463" spans="1:33" x14ac:dyDescent="0.2">
      <c r="A463" t="s">
        <v>127</v>
      </c>
      <c r="B463" t="s">
        <v>128</v>
      </c>
      <c r="C463">
        <v>462</v>
      </c>
      <c r="D463">
        <v>150434</v>
      </c>
      <c r="E463" t="s">
        <v>1207</v>
      </c>
      <c r="F463" t="s">
        <v>98</v>
      </c>
      <c r="G463" t="s">
        <v>379</v>
      </c>
      <c r="H463" t="s">
        <v>12</v>
      </c>
      <c r="I463" t="s">
        <v>91</v>
      </c>
      <c r="J463">
        <v>14</v>
      </c>
      <c r="K463">
        <v>0.03</v>
      </c>
      <c r="L463">
        <v>1</v>
      </c>
      <c r="M463">
        <v>1</v>
      </c>
      <c r="N463">
        <v>1</v>
      </c>
      <c r="O463">
        <v>100</v>
      </c>
      <c r="P463" t="b">
        <f t="shared" si="107"/>
        <v>0</v>
      </c>
      <c r="S463" t="str">
        <f t="shared" si="103"/>
        <v>LATER</v>
      </c>
      <c r="T463" t="str">
        <f t="shared" si="104"/>
        <v>SainteLague</v>
      </c>
      <c r="U463">
        <f t="shared" si="106"/>
        <v>462</v>
      </c>
      <c r="V463">
        <f t="shared" si="105"/>
        <v>150434</v>
      </c>
      <c r="W463" s="8" t="str">
        <f>VLOOKUP(V463,'ideas-input'!$A:$B,2,FALSE)</f>
        <v>Modelo de Analise de Variação de Negocio (Efeitos Trafego e Preço)</v>
      </c>
      <c r="X463" t="str">
        <f t="shared" si="108"/>
        <v>PC</v>
      </c>
      <c r="Y463" s="8" t="str">
        <f>VLOOKUP(V463,'ideas-input'!$A:$D,4,FALSE)</f>
        <v>eCommerce</v>
      </c>
      <c r="Z463" t="str">
        <f t="shared" si="109"/>
        <v>Corporate</v>
      </c>
      <c r="AA463" t="str">
        <f t="shared" si="110"/>
        <v>Backlog</v>
      </c>
      <c r="AB463">
        <f t="shared" si="111"/>
        <v>14</v>
      </c>
      <c r="AC463">
        <f t="shared" si="112"/>
        <v>0.03</v>
      </c>
      <c r="AD463">
        <f t="shared" si="113"/>
        <v>1</v>
      </c>
      <c r="AE463">
        <f t="shared" si="114"/>
        <v>1</v>
      </c>
      <c r="AF463">
        <f t="shared" si="115"/>
        <v>1</v>
      </c>
      <c r="AG463">
        <f t="shared" si="116"/>
        <v>100</v>
      </c>
    </row>
    <row r="464" spans="1:33" x14ac:dyDescent="0.2">
      <c r="A464" t="s">
        <v>127</v>
      </c>
      <c r="B464" t="s">
        <v>128</v>
      </c>
      <c r="C464">
        <v>463</v>
      </c>
      <c r="D464">
        <v>50904</v>
      </c>
      <c r="E464" t="s">
        <v>1210</v>
      </c>
      <c r="F464" t="s">
        <v>70</v>
      </c>
      <c r="G464" t="s">
        <v>10</v>
      </c>
      <c r="H464" t="s">
        <v>8</v>
      </c>
      <c r="I464" t="s">
        <v>91</v>
      </c>
      <c r="J464">
        <v>53</v>
      </c>
      <c r="K464">
        <v>0.03</v>
      </c>
      <c r="L464">
        <v>1</v>
      </c>
      <c r="M464">
        <v>1</v>
      </c>
      <c r="N464">
        <v>1</v>
      </c>
      <c r="O464">
        <v>100</v>
      </c>
      <c r="P464" t="b">
        <f t="shared" si="107"/>
        <v>0</v>
      </c>
      <c r="S464" t="str">
        <f t="shared" si="103"/>
        <v>LATER</v>
      </c>
      <c r="T464" t="str">
        <f t="shared" si="104"/>
        <v>SainteLague</v>
      </c>
      <c r="U464">
        <f t="shared" si="106"/>
        <v>463</v>
      </c>
      <c r="V464">
        <f t="shared" si="105"/>
        <v>50904</v>
      </c>
      <c r="W464" s="8" t="str">
        <f>VLOOKUP(V464,'ideas-input'!$A:$B,2,FALSE)</f>
        <v>[Desconexión SGC] Módulo de tasación Cloud</v>
      </c>
      <c r="X464" t="str">
        <f t="shared" si="108"/>
        <v>CIO</v>
      </c>
      <c r="Y464" s="8" t="str">
        <f>VLOOKUP(V464,'ideas-input'!$A:$D,4,FALSE)</f>
        <v>eCommerce</v>
      </c>
      <c r="Z464" t="str">
        <f t="shared" si="109"/>
        <v>Technology</v>
      </c>
      <c r="AA464" t="str">
        <f t="shared" si="110"/>
        <v>Backlog</v>
      </c>
      <c r="AB464">
        <f t="shared" si="111"/>
        <v>53</v>
      </c>
      <c r="AC464">
        <f t="shared" si="112"/>
        <v>0.03</v>
      </c>
      <c r="AD464">
        <f t="shared" si="113"/>
        <v>1</v>
      </c>
      <c r="AE464">
        <f t="shared" si="114"/>
        <v>1</v>
      </c>
      <c r="AF464">
        <f t="shared" si="115"/>
        <v>1</v>
      </c>
      <c r="AG464">
        <f t="shared" si="116"/>
        <v>100</v>
      </c>
    </row>
    <row r="465" spans="1:33" x14ac:dyDescent="0.2">
      <c r="A465" t="s">
        <v>127</v>
      </c>
      <c r="B465" t="s">
        <v>128</v>
      </c>
      <c r="C465">
        <v>464</v>
      </c>
      <c r="D465">
        <v>100093</v>
      </c>
      <c r="E465" t="s">
        <v>1209</v>
      </c>
      <c r="F465" t="s">
        <v>58</v>
      </c>
      <c r="G465" t="s">
        <v>379</v>
      </c>
      <c r="H465" t="s">
        <v>8</v>
      </c>
      <c r="I465" t="s">
        <v>91</v>
      </c>
      <c r="J465">
        <v>10</v>
      </c>
      <c r="K465">
        <v>0.03</v>
      </c>
      <c r="L465">
        <v>1</v>
      </c>
      <c r="M465">
        <v>1</v>
      </c>
      <c r="N465">
        <v>1</v>
      </c>
      <c r="O465">
        <v>100</v>
      </c>
      <c r="P465" t="b">
        <f t="shared" si="107"/>
        <v>0</v>
      </c>
      <c r="S465" t="str">
        <f t="shared" si="103"/>
        <v>LATER</v>
      </c>
      <c r="T465" t="str">
        <f t="shared" si="104"/>
        <v>SainteLague</v>
      </c>
      <c r="U465">
        <f t="shared" si="106"/>
        <v>464</v>
      </c>
      <c r="V465">
        <f t="shared" si="105"/>
        <v>100093</v>
      </c>
      <c r="W465" s="8" t="str">
        <f>VLOOKUP(V465,'ideas-input'!$A:$B,2,FALSE)</f>
        <v>TTEVOB - Descontinuação FTP</v>
      </c>
      <c r="X465" t="str">
        <f t="shared" si="108"/>
        <v>SI-PRD</v>
      </c>
      <c r="Y465" s="8" t="str">
        <f>VLOOKUP(V465,'ideas-input'!$A:$D,4,FALSE)</f>
        <v>eCommerce</v>
      </c>
      <c r="Z465" t="str">
        <f t="shared" si="109"/>
        <v>Technology</v>
      </c>
      <c r="AA465" t="str">
        <f t="shared" si="110"/>
        <v>Backlog</v>
      </c>
      <c r="AB465">
        <f t="shared" si="111"/>
        <v>10</v>
      </c>
      <c r="AC465">
        <f t="shared" si="112"/>
        <v>0.03</v>
      </c>
      <c r="AD465">
        <f t="shared" si="113"/>
        <v>1</v>
      </c>
      <c r="AE465">
        <f t="shared" si="114"/>
        <v>1</v>
      </c>
      <c r="AF465">
        <f t="shared" si="115"/>
        <v>1</v>
      </c>
      <c r="AG465">
        <f t="shared" si="116"/>
        <v>100</v>
      </c>
    </row>
    <row r="466" spans="1:33" x14ac:dyDescent="0.2">
      <c r="A466" t="s">
        <v>127</v>
      </c>
      <c r="B466" t="s">
        <v>128</v>
      </c>
      <c r="C466">
        <v>465</v>
      </c>
      <c r="D466">
        <v>141298</v>
      </c>
      <c r="E466" t="s">
        <v>1606</v>
      </c>
      <c r="F466" t="s">
        <v>68</v>
      </c>
      <c r="G466" t="s">
        <v>10</v>
      </c>
      <c r="H466" t="s">
        <v>5</v>
      </c>
      <c r="I466" t="s">
        <v>95</v>
      </c>
      <c r="J466">
        <v>20</v>
      </c>
      <c r="K466">
        <v>0.03</v>
      </c>
      <c r="L466">
        <v>1</v>
      </c>
      <c r="M466">
        <v>1</v>
      </c>
      <c r="N466">
        <v>1</v>
      </c>
      <c r="O466">
        <v>100</v>
      </c>
      <c r="P466" t="b">
        <f t="shared" si="107"/>
        <v>0</v>
      </c>
      <c r="S466" t="str">
        <f t="shared" si="103"/>
        <v>LATER</v>
      </c>
      <c r="T466" t="str">
        <f t="shared" si="104"/>
        <v>SainteLague</v>
      </c>
      <c r="U466">
        <f t="shared" si="106"/>
        <v>465</v>
      </c>
      <c r="V466">
        <f t="shared" si="105"/>
        <v>141298</v>
      </c>
      <c r="W466" s="8" t="str">
        <f>VLOOKUP(V466,'ideas-input'!$A:$B,2,FALSE)</f>
        <v>Api descarga Albaran Escaneado Cliente</v>
      </c>
      <c r="X466" t="str">
        <f t="shared" si="108"/>
        <v>IDC</v>
      </c>
      <c r="Y466" s="8" t="str">
        <f>VLOOKUP(V466,'ideas-input'!$A:$D,4,FALSE)</f>
        <v>eCommerce</v>
      </c>
      <c r="Z466" t="str">
        <f t="shared" si="109"/>
        <v>Commercial</v>
      </c>
      <c r="AA466" t="str">
        <f t="shared" si="110"/>
        <v>In Definition</v>
      </c>
      <c r="AB466">
        <f t="shared" si="111"/>
        <v>20</v>
      </c>
      <c r="AC466">
        <f t="shared" si="112"/>
        <v>0.03</v>
      </c>
      <c r="AD466">
        <f t="shared" si="113"/>
        <v>1</v>
      </c>
      <c r="AE466">
        <f t="shared" si="114"/>
        <v>1</v>
      </c>
      <c r="AF466">
        <f t="shared" si="115"/>
        <v>1</v>
      </c>
      <c r="AG466">
        <f t="shared" si="116"/>
        <v>100</v>
      </c>
    </row>
    <row r="467" spans="1:33" x14ac:dyDescent="0.2">
      <c r="A467" t="s">
        <v>127</v>
      </c>
      <c r="B467" t="s">
        <v>128</v>
      </c>
      <c r="C467">
        <v>466</v>
      </c>
      <c r="D467">
        <v>126476</v>
      </c>
      <c r="E467" t="s">
        <v>1253</v>
      </c>
      <c r="F467" t="s">
        <v>23</v>
      </c>
      <c r="G467" t="s">
        <v>379</v>
      </c>
      <c r="H467" t="s">
        <v>5</v>
      </c>
      <c r="I467" t="s">
        <v>97</v>
      </c>
      <c r="J467">
        <v>13</v>
      </c>
      <c r="K467">
        <v>0.03</v>
      </c>
      <c r="L467">
        <v>1</v>
      </c>
      <c r="M467">
        <v>1</v>
      </c>
      <c r="N467">
        <v>1</v>
      </c>
      <c r="O467">
        <v>100</v>
      </c>
      <c r="P467" t="b">
        <f t="shared" si="107"/>
        <v>0</v>
      </c>
      <c r="S467" t="str">
        <f t="shared" si="103"/>
        <v>LATER</v>
      </c>
      <c r="T467" t="str">
        <f t="shared" si="104"/>
        <v>SainteLague</v>
      </c>
      <c r="U467">
        <f t="shared" si="106"/>
        <v>466</v>
      </c>
      <c r="V467">
        <f t="shared" si="105"/>
        <v>126476</v>
      </c>
      <c r="W467" s="8" t="str">
        <f>VLOOKUP(V467,'ideas-input'!$A:$B,2,FALSE)</f>
        <v>Melhorias nos envios de Carga e Internacional Expresso</v>
      </c>
      <c r="X467" t="str">
        <f t="shared" si="108"/>
        <v>GP ECL</v>
      </c>
      <c r="Y467" s="8" t="str">
        <f>VLOOKUP(V467,'ideas-input'!$A:$D,4,FALSE)</f>
        <v>eCommerce</v>
      </c>
      <c r="Z467" t="str">
        <f t="shared" si="109"/>
        <v>Commercial</v>
      </c>
      <c r="AA467" t="str">
        <f t="shared" si="110"/>
        <v>Ready for Solution</v>
      </c>
      <c r="AB467">
        <f t="shared" si="111"/>
        <v>13</v>
      </c>
      <c r="AC467">
        <f t="shared" si="112"/>
        <v>0.03</v>
      </c>
      <c r="AD467">
        <f t="shared" si="113"/>
        <v>1</v>
      </c>
      <c r="AE467">
        <f t="shared" si="114"/>
        <v>1</v>
      </c>
      <c r="AF467">
        <f t="shared" si="115"/>
        <v>1</v>
      </c>
      <c r="AG467">
        <f t="shared" si="116"/>
        <v>100</v>
      </c>
    </row>
    <row r="468" spans="1:33" x14ac:dyDescent="0.2">
      <c r="A468" t="s">
        <v>127</v>
      </c>
      <c r="B468" t="s">
        <v>128</v>
      </c>
      <c r="C468">
        <v>467</v>
      </c>
      <c r="D468">
        <v>58802</v>
      </c>
      <c r="E468" t="s">
        <v>244</v>
      </c>
      <c r="F468" t="s">
        <v>67</v>
      </c>
      <c r="G468" t="s">
        <v>10</v>
      </c>
      <c r="H468" t="s">
        <v>12</v>
      </c>
      <c r="I468" t="s">
        <v>91</v>
      </c>
      <c r="J468">
        <v>25</v>
      </c>
      <c r="K468">
        <v>0.03</v>
      </c>
      <c r="L468">
        <v>1</v>
      </c>
      <c r="M468">
        <v>1</v>
      </c>
      <c r="N468">
        <v>1</v>
      </c>
      <c r="O468">
        <v>100</v>
      </c>
      <c r="P468" t="b">
        <f t="shared" si="107"/>
        <v>0</v>
      </c>
      <c r="S468" t="str">
        <f t="shared" si="103"/>
        <v>LATER</v>
      </c>
      <c r="T468" t="str">
        <f t="shared" si="104"/>
        <v>SainteLague</v>
      </c>
      <c r="U468">
        <f t="shared" si="106"/>
        <v>467</v>
      </c>
      <c r="V468">
        <f t="shared" si="105"/>
        <v>58802</v>
      </c>
      <c r="W468" s="8" t="str">
        <f>VLOOKUP(V468,'ideas-input'!$A:$B,2,FALSE)</f>
        <v>Cierre diario de recogidas</v>
      </c>
      <c r="X468" t="str">
        <f t="shared" si="108"/>
        <v>ATC</v>
      </c>
      <c r="Y468" s="8" t="str">
        <f>VLOOKUP(V468,'ideas-input'!$A:$D,4,FALSE)</f>
        <v>eCommerce</v>
      </c>
      <c r="Z468" t="str">
        <f t="shared" si="109"/>
        <v>Corporate</v>
      </c>
      <c r="AA468" t="str">
        <f t="shared" si="110"/>
        <v>Backlog</v>
      </c>
      <c r="AB468">
        <f t="shared" si="111"/>
        <v>25</v>
      </c>
      <c r="AC468">
        <f t="shared" si="112"/>
        <v>0.03</v>
      </c>
      <c r="AD468">
        <f t="shared" si="113"/>
        <v>1</v>
      </c>
      <c r="AE468">
        <f t="shared" si="114"/>
        <v>1</v>
      </c>
      <c r="AF468">
        <f t="shared" si="115"/>
        <v>1</v>
      </c>
      <c r="AG468">
        <f t="shared" si="116"/>
        <v>100</v>
      </c>
    </row>
    <row r="469" spans="1:33" x14ac:dyDescent="0.2">
      <c r="A469" t="s">
        <v>127</v>
      </c>
      <c r="B469" t="s">
        <v>128</v>
      </c>
      <c r="C469">
        <v>468</v>
      </c>
      <c r="D469">
        <v>128714</v>
      </c>
      <c r="E469" t="s">
        <v>1213</v>
      </c>
      <c r="F469" t="s">
        <v>98</v>
      </c>
      <c r="G469" t="s">
        <v>379</v>
      </c>
      <c r="H469" t="s">
        <v>12</v>
      </c>
      <c r="I469" t="s">
        <v>91</v>
      </c>
      <c r="J469">
        <v>15</v>
      </c>
      <c r="K469">
        <v>0.03</v>
      </c>
      <c r="L469">
        <v>1</v>
      </c>
      <c r="M469">
        <v>1</v>
      </c>
      <c r="N469">
        <v>1</v>
      </c>
      <c r="O469">
        <v>100</v>
      </c>
      <c r="P469" t="b">
        <f t="shared" si="107"/>
        <v>0</v>
      </c>
      <c r="S469" t="str">
        <f t="shared" si="103"/>
        <v>LATER</v>
      </c>
      <c r="T469" t="str">
        <f t="shared" si="104"/>
        <v>SainteLague</v>
      </c>
      <c r="U469">
        <f t="shared" si="106"/>
        <v>468</v>
      </c>
      <c r="V469">
        <f t="shared" si="105"/>
        <v>128714</v>
      </c>
      <c r="W469" s="8" t="str">
        <f>VLOOKUP(V469,'ideas-input'!$A:$B,2,FALSE)</f>
        <v>Workforce Analytics - Integração Espanha</v>
      </c>
      <c r="X469" t="str">
        <f t="shared" si="108"/>
        <v>PC</v>
      </c>
      <c r="Y469" s="8" t="str">
        <f>VLOOKUP(V469,'ideas-input'!$A:$D,4,FALSE)</f>
        <v>eCommerce</v>
      </c>
      <c r="Z469" t="str">
        <f t="shared" si="109"/>
        <v>Corporate</v>
      </c>
      <c r="AA469" t="str">
        <f t="shared" si="110"/>
        <v>Backlog</v>
      </c>
      <c r="AB469">
        <f t="shared" si="111"/>
        <v>15</v>
      </c>
      <c r="AC469">
        <f t="shared" si="112"/>
        <v>0.03</v>
      </c>
      <c r="AD469">
        <f t="shared" si="113"/>
        <v>1</v>
      </c>
      <c r="AE469">
        <f t="shared" si="114"/>
        <v>1</v>
      </c>
      <c r="AF469">
        <f t="shared" si="115"/>
        <v>1</v>
      </c>
      <c r="AG469">
        <f t="shared" si="116"/>
        <v>100</v>
      </c>
    </row>
    <row r="470" spans="1:33" x14ac:dyDescent="0.2">
      <c r="A470" t="s">
        <v>127</v>
      </c>
      <c r="B470" t="s">
        <v>128</v>
      </c>
      <c r="C470">
        <v>469</v>
      </c>
      <c r="D470">
        <v>61984</v>
      </c>
      <c r="E470" t="s">
        <v>1215</v>
      </c>
      <c r="F470" t="s">
        <v>70</v>
      </c>
      <c r="G470" t="s">
        <v>10</v>
      </c>
      <c r="H470" t="s">
        <v>8</v>
      </c>
      <c r="I470" t="s">
        <v>95</v>
      </c>
      <c r="J470">
        <v>54</v>
      </c>
      <c r="K470">
        <v>0.03</v>
      </c>
      <c r="L470">
        <v>1</v>
      </c>
      <c r="M470">
        <v>1</v>
      </c>
      <c r="N470">
        <v>1</v>
      </c>
      <c r="O470">
        <v>100</v>
      </c>
      <c r="P470" t="b">
        <f t="shared" si="107"/>
        <v>0</v>
      </c>
      <c r="S470" t="str">
        <f t="shared" si="103"/>
        <v>LATER</v>
      </c>
      <c r="T470" t="str">
        <f t="shared" si="104"/>
        <v>SainteLague</v>
      </c>
      <c r="U470">
        <f t="shared" si="106"/>
        <v>469</v>
      </c>
      <c r="V470">
        <f t="shared" si="105"/>
        <v>61984</v>
      </c>
      <c r="W470" s="8" t="str">
        <f>VLOOKUP(V470,'ideas-input'!$A:$B,2,FALSE)</f>
        <v>Migración Microservicios a SLA nuevo</v>
      </c>
      <c r="X470" t="str">
        <f t="shared" si="108"/>
        <v>CIO</v>
      </c>
      <c r="Y470" s="8" t="str">
        <f>VLOOKUP(V470,'ideas-input'!$A:$D,4,FALSE)</f>
        <v>eCommerce</v>
      </c>
      <c r="Z470" t="str">
        <f t="shared" si="109"/>
        <v>Technology</v>
      </c>
      <c r="AA470" t="str">
        <f t="shared" si="110"/>
        <v>In Definition</v>
      </c>
      <c r="AB470">
        <f t="shared" si="111"/>
        <v>54</v>
      </c>
      <c r="AC470">
        <f t="shared" si="112"/>
        <v>0.03</v>
      </c>
      <c r="AD470">
        <f t="shared" si="113"/>
        <v>1</v>
      </c>
      <c r="AE470">
        <f t="shared" si="114"/>
        <v>1</v>
      </c>
      <c r="AF470">
        <f t="shared" si="115"/>
        <v>1</v>
      </c>
      <c r="AG470">
        <f t="shared" si="116"/>
        <v>100</v>
      </c>
    </row>
    <row r="471" spans="1:33" x14ac:dyDescent="0.2">
      <c r="A471" t="s">
        <v>127</v>
      </c>
      <c r="B471" t="s">
        <v>128</v>
      </c>
      <c r="C471">
        <v>470</v>
      </c>
      <c r="D471">
        <v>139339</v>
      </c>
      <c r="E471" t="s">
        <v>1214</v>
      </c>
      <c r="F471" t="s">
        <v>9</v>
      </c>
      <c r="G471" t="s">
        <v>379</v>
      </c>
      <c r="H471" t="s">
        <v>8</v>
      </c>
      <c r="I471" t="s">
        <v>95</v>
      </c>
      <c r="J471">
        <v>26</v>
      </c>
      <c r="K471">
        <v>2.3330000000000002</v>
      </c>
      <c r="L471">
        <v>4</v>
      </c>
      <c r="M471">
        <v>1</v>
      </c>
      <c r="N471">
        <v>2</v>
      </c>
      <c r="O471">
        <v>3</v>
      </c>
      <c r="P471" t="b">
        <f t="shared" si="107"/>
        <v>0</v>
      </c>
      <c r="S471" t="str">
        <f t="shared" ref="S471:S534" si="117">A471</f>
        <v>LATER</v>
      </c>
      <c r="T471" t="str">
        <f t="shared" ref="T471:T534" si="118">B471</f>
        <v>SainteLague</v>
      </c>
      <c r="U471">
        <f t="shared" si="106"/>
        <v>470</v>
      </c>
      <c r="V471">
        <f t="shared" ref="V471:V534" si="119">D471</f>
        <v>139339</v>
      </c>
      <c r="W471" s="8" t="str">
        <f>VLOOKUP(V471,'ideas-input'!$A:$B,2,FALSE)</f>
        <v>Mata Aplicações Wave 1.16</v>
      </c>
      <c r="X471" t="str">
        <f t="shared" si="108"/>
        <v>SI</v>
      </c>
      <c r="Y471" s="8" t="str">
        <f>VLOOKUP(V471,'ideas-input'!$A:$D,4,FALSE)</f>
        <v>Mail</v>
      </c>
      <c r="Z471" t="str">
        <f t="shared" si="109"/>
        <v>Technology</v>
      </c>
      <c r="AA471" t="str">
        <f t="shared" si="110"/>
        <v>In Definition</v>
      </c>
      <c r="AB471">
        <f t="shared" si="111"/>
        <v>26</v>
      </c>
      <c r="AC471">
        <f t="shared" si="112"/>
        <v>2.3330000000000002</v>
      </c>
      <c r="AD471">
        <f t="shared" si="113"/>
        <v>4</v>
      </c>
      <c r="AE471">
        <f t="shared" si="114"/>
        <v>1</v>
      </c>
      <c r="AF471">
        <f t="shared" si="115"/>
        <v>2</v>
      </c>
      <c r="AG471">
        <f t="shared" si="116"/>
        <v>3</v>
      </c>
    </row>
    <row r="472" spans="1:33" x14ac:dyDescent="0.2">
      <c r="A472" t="s">
        <v>127</v>
      </c>
      <c r="B472" t="s">
        <v>128</v>
      </c>
      <c r="C472">
        <v>471</v>
      </c>
      <c r="D472">
        <v>46924</v>
      </c>
      <c r="E472" t="s">
        <v>1202</v>
      </c>
      <c r="F472" t="s">
        <v>65</v>
      </c>
      <c r="G472" t="s">
        <v>10</v>
      </c>
      <c r="H472" t="s">
        <v>5</v>
      </c>
      <c r="I472" t="s">
        <v>95</v>
      </c>
      <c r="J472">
        <v>29</v>
      </c>
      <c r="K472">
        <v>0.03</v>
      </c>
      <c r="L472">
        <v>1</v>
      </c>
      <c r="M472">
        <v>1</v>
      </c>
      <c r="N472">
        <v>1</v>
      </c>
      <c r="O472">
        <v>100</v>
      </c>
      <c r="P472" t="b">
        <f t="shared" si="107"/>
        <v>0</v>
      </c>
      <c r="S472" t="str">
        <f t="shared" si="117"/>
        <v>LATER</v>
      </c>
      <c r="T472" t="str">
        <f t="shared" si="118"/>
        <v>SainteLague</v>
      </c>
      <c r="U472">
        <f t="shared" si="106"/>
        <v>471</v>
      </c>
      <c r="V472">
        <f t="shared" si="119"/>
        <v>46924</v>
      </c>
      <c r="W472" s="8" t="str">
        <f>VLOOKUP(V472,'ideas-input'!$A:$B,2,FALSE)</f>
        <v>[Producto] - Devoluciones anticipadas: Solicitud de Devolución de Envíos al vuelo</v>
      </c>
      <c r="X472" t="str">
        <f t="shared" si="108"/>
        <v>CMO</v>
      </c>
      <c r="Y472" s="8" t="str">
        <f>VLOOKUP(V472,'ideas-input'!$A:$D,4,FALSE)</f>
        <v>eCommerce</v>
      </c>
      <c r="Z472" t="str">
        <f t="shared" si="109"/>
        <v>Commercial</v>
      </c>
      <c r="AA472" t="str">
        <f t="shared" si="110"/>
        <v>In Definition</v>
      </c>
      <c r="AB472">
        <f t="shared" si="111"/>
        <v>29</v>
      </c>
      <c r="AC472">
        <f t="shared" si="112"/>
        <v>0.03</v>
      </c>
      <c r="AD472">
        <f t="shared" si="113"/>
        <v>1</v>
      </c>
      <c r="AE472">
        <f t="shared" si="114"/>
        <v>1</v>
      </c>
      <c r="AF472">
        <f t="shared" si="115"/>
        <v>1</v>
      </c>
      <c r="AG472">
        <f t="shared" si="116"/>
        <v>100</v>
      </c>
    </row>
    <row r="473" spans="1:33" x14ac:dyDescent="0.2">
      <c r="A473" t="s">
        <v>127</v>
      </c>
      <c r="B473" t="s">
        <v>128</v>
      </c>
      <c r="C473">
        <v>472</v>
      </c>
      <c r="D473">
        <v>140516</v>
      </c>
      <c r="E473" t="s">
        <v>1254</v>
      </c>
      <c r="F473" t="s">
        <v>37</v>
      </c>
      <c r="G473" t="s">
        <v>379</v>
      </c>
      <c r="H473" t="s">
        <v>5</v>
      </c>
      <c r="I473" t="s">
        <v>91</v>
      </c>
      <c r="J473">
        <v>10</v>
      </c>
      <c r="K473">
        <v>0.03</v>
      </c>
      <c r="L473">
        <v>1</v>
      </c>
      <c r="M473">
        <v>1</v>
      </c>
      <c r="N473">
        <v>1</v>
      </c>
      <c r="O473">
        <v>100</v>
      </c>
      <c r="P473" t="b">
        <f t="shared" si="107"/>
        <v>0</v>
      </c>
      <c r="S473" t="str">
        <f t="shared" si="117"/>
        <v>LATER</v>
      </c>
      <c r="T473" t="str">
        <f t="shared" si="118"/>
        <v>SainteLague</v>
      </c>
      <c r="U473">
        <f t="shared" si="106"/>
        <v>472</v>
      </c>
      <c r="V473">
        <f t="shared" si="119"/>
        <v>140516</v>
      </c>
      <c r="W473" s="8" t="str">
        <f>VLOOKUP(V473,'ideas-input'!$A:$B,2,FALSE)</f>
        <v>Criação /Geração de Relatorio Automatico diario Anacom</v>
      </c>
      <c r="X473" t="str">
        <f t="shared" si="108"/>
        <v>GS</v>
      </c>
      <c r="Y473" s="8" t="str">
        <f>VLOOKUP(V473,'ideas-input'!$A:$D,4,FALSE)</f>
        <v>Mail</v>
      </c>
      <c r="Z473" t="str">
        <f t="shared" si="109"/>
        <v>Commercial</v>
      </c>
      <c r="AA473" t="str">
        <f t="shared" si="110"/>
        <v>Backlog</v>
      </c>
      <c r="AB473">
        <f t="shared" si="111"/>
        <v>10</v>
      </c>
      <c r="AC473">
        <f t="shared" si="112"/>
        <v>0.03</v>
      </c>
      <c r="AD473">
        <f t="shared" si="113"/>
        <v>1</v>
      </c>
      <c r="AE473">
        <f t="shared" si="114"/>
        <v>1</v>
      </c>
      <c r="AF473">
        <f t="shared" si="115"/>
        <v>1</v>
      </c>
      <c r="AG473">
        <f t="shared" si="116"/>
        <v>100</v>
      </c>
    </row>
    <row r="474" spans="1:33" x14ac:dyDescent="0.2">
      <c r="A474" t="s">
        <v>127</v>
      </c>
      <c r="B474" t="s">
        <v>128</v>
      </c>
      <c r="C474">
        <v>473</v>
      </c>
      <c r="D474">
        <v>49078</v>
      </c>
      <c r="E474" t="s">
        <v>1294</v>
      </c>
      <c r="F474" t="s">
        <v>66</v>
      </c>
      <c r="G474" t="s">
        <v>10</v>
      </c>
      <c r="H474" t="s">
        <v>5</v>
      </c>
      <c r="I474" t="s">
        <v>91</v>
      </c>
      <c r="J474">
        <v>23</v>
      </c>
      <c r="K474">
        <v>0.03</v>
      </c>
      <c r="L474">
        <v>1</v>
      </c>
      <c r="M474">
        <v>1</v>
      </c>
      <c r="N474">
        <v>1</v>
      </c>
      <c r="O474">
        <v>100</v>
      </c>
      <c r="P474" t="b">
        <f t="shared" si="107"/>
        <v>0</v>
      </c>
      <c r="S474" t="str">
        <f t="shared" si="117"/>
        <v>LATER</v>
      </c>
      <c r="T474" t="str">
        <f t="shared" si="118"/>
        <v>SainteLague</v>
      </c>
      <c r="U474">
        <f t="shared" ref="U474:U537" si="120">C474</f>
        <v>473</v>
      </c>
      <c r="V474">
        <f t="shared" si="119"/>
        <v>49078</v>
      </c>
      <c r="W474" s="8" t="str">
        <f>VLOOKUP(V474,'ideas-input'!$A:$B,2,FALSE)</f>
        <v>[Minerva] - Impresión del contrato en función de la etapa de la opp</v>
      </c>
      <c r="X474" t="str">
        <f t="shared" si="108"/>
        <v>CCO</v>
      </c>
      <c r="Y474" s="8" t="str">
        <f>VLOOKUP(V474,'ideas-input'!$A:$D,4,FALSE)</f>
        <v>eCommerce</v>
      </c>
      <c r="Z474" t="str">
        <f t="shared" si="109"/>
        <v>Commercial</v>
      </c>
      <c r="AA474" t="str">
        <f t="shared" si="110"/>
        <v>Backlog</v>
      </c>
      <c r="AB474">
        <f t="shared" si="111"/>
        <v>23</v>
      </c>
      <c r="AC474">
        <f t="shared" si="112"/>
        <v>0.03</v>
      </c>
      <c r="AD474">
        <f t="shared" si="113"/>
        <v>1</v>
      </c>
      <c r="AE474">
        <f t="shared" si="114"/>
        <v>1</v>
      </c>
      <c r="AF474">
        <f t="shared" si="115"/>
        <v>1</v>
      </c>
      <c r="AG474">
        <f t="shared" si="116"/>
        <v>100</v>
      </c>
    </row>
    <row r="475" spans="1:33" x14ac:dyDescent="0.2">
      <c r="A475" t="s">
        <v>127</v>
      </c>
      <c r="B475" t="s">
        <v>128</v>
      </c>
      <c r="C475">
        <v>474</v>
      </c>
      <c r="D475">
        <v>166289</v>
      </c>
      <c r="E475" t="s">
        <v>1217</v>
      </c>
      <c r="F475" t="s">
        <v>98</v>
      </c>
      <c r="G475" t="s">
        <v>379</v>
      </c>
      <c r="H475" t="s">
        <v>12</v>
      </c>
      <c r="I475" t="s">
        <v>91</v>
      </c>
      <c r="J475">
        <v>16</v>
      </c>
      <c r="K475">
        <v>0.03</v>
      </c>
      <c r="L475">
        <v>1</v>
      </c>
      <c r="M475">
        <v>1</v>
      </c>
      <c r="N475">
        <v>1</v>
      </c>
      <c r="O475">
        <v>100</v>
      </c>
      <c r="P475" t="b">
        <f t="shared" si="107"/>
        <v>0</v>
      </c>
      <c r="S475" t="str">
        <f t="shared" si="117"/>
        <v>LATER</v>
      </c>
      <c r="T475" t="str">
        <f t="shared" si="118"/>
        <v>SainteLague</v>
      </c>
      <c r="U475">
        <f t="shared" si="120"/>
        <v>474</v>
      </c>
      <c r="V475">
        <f t="shared" si="119"/>
        <v>166289</v>
      </c>
      <c r="W475" s="8" t="str">
        <f>VLOOKUP(V475,'ideas-input'!$A:$B,2,FALSE)</f>
        <v>Workforce Analytics - Incremento Integração Indicadores Espanha</v>
      </c>
      <c r="X475" t="str">
        <f t="shared" si="108"/>
        <v>PC</v>
      </c>
      <c r="Y475" s="8" t="str">
        <f>VLOOKUP(V475,'ideas-input'!$A:$D,4,FALSE)</f>
        <v>Mail</v>
      </c>
      <c r="Z475" t="str">
        <f t="shared" si="109"/>
        <v>Corporate</v>
      </c>
      <c r="AA475" t="str">
        <f t="shared" si="110"/>
        <v>Backlog</v>
      </c>
      <c r="AB475">
        <f t="shared" si="111"/>
        <v>16</v>
      </c>
      <c r="AC475">
        <f t="shared" si="112"/>
        <v>0.03</v>
      </c>
      <c r="AD475">
        <f t="shared" si="113"/>
        <v>1</v>
      </c>
      <c r="AE475">
        <f t="shared" si="114"/>
        <v>1</v>
      </c>
      <c r="AF475">
        <f t="shared" si="115"/>
        <v>1</v>
      </c>
      <c r="AG475">
        <f t="shared" si="116"/>
        <v>100</v>
      </c>
    </row>
    <row r="476" spans="1:33" x14ac:dyDescent="0.2">
      <c r="A476" t="s">
        <v>127</v>
      </c>
      <c r="B476" t="s">
        <v>128</v>
      </c>
      <c r="C476">
        <v>475</v>
      </c>
      <c r="D476">
        <v>43501</v>
      </c>
      <c r="E476" t="s">
        <v>1240</v>
      </c>
      <c r="F476" t="s">
        <v>69</v>
      </c>
      <c r="G476" t="s">
        <v>10</v>
      </c>
      <c r="H476" t="s">
        <v>12</v>
      </c>
      <c r="I476" t="s">
        <v>91</v>
      </c>
      <c r="J476">
        <v>23</v>
      </c>
      <c r="K476">
        <v>0.03</v>
      </c>
      <c r="L476">
        <v>1</v>
      </c>
      <c r="M476">
        <v>1</v>
      </c>
      <c r="N476">
        <v>1</v>
      </c>
      <c r="O476">
        <v>100</v>
      </c>
      <c r="P476" t="b">
        <f t="shared" si="107"/>
        <v>0</v>
      </c>
      <c r="S476" t="str">
        <f t="shared" si="117"/>
        <v>LATER</v>
      </c>
      <c r="T476" t="str">
        <f t="shared" si="118"/>
        <v>SainteLague</v>
      </c>
      <c r="U476">
        <f t="shared" si="120"/>
        <v>475</v>
      </c>
      <c r="V476">
        <f t="shared" si="119"/>
        <v>43501</v>
      </c>
      <c r="W476" s="8" t="str">
        <f>VLOOKUP(V476,'ideas-input'!$A:$B,2,FALSE)</f>
        <v>[Alarmas Financieras] Alarma-41 Informe de nº envíos-discrepancias tráfico-facturación (se esta trabajando internamente también)</v>
      </c>
      <c r="X476" t="str">
        <f t="shared" si="108"/>
        <v>CFO</v>
      </c>
      <c r="Y476" s="8" t="str">
        <f>VLOOKUP(V476,'ideas-input'!$A:$D,4,FALSE)</f>
        <v>eCommerce</v>
      </c>
      <c r="Z476" t="str">
        <f t="shared" si="109"/>
        <v>Corporate</v>
      </c>
      <c r="AA476" t="str">
        <f t="shared" si="110"/>
        <v>Backlog</v>
      </c>
      <c r="AB476">
        <f t="shared" si="111"/>
        <v>23</v>
      </c>
      <c r="AC476">
        <f t="shared" si="112"/>
        <v>0.03</v>
      </c>
      <c r="AD476">
        <f t="shared" si="113"/>
        <v>1</v>
      </c>
      <c r="AE476">
        <f t="shared" si="114"/>
        <v>1</v>
      </c>
      <c r="AF476">
        <f t="shared" si="115"/>
        <v>1</v>
      </c>
      <c r="AG476">
        <f t="shared" si="116"/>
        <v>100</v>
      </c>
    </row>
    <row r="477" spans="1:33" x14ac:dyDescent="0.2">
      <c r="A477" t="s">
        <v>127</v>
      </c>
      <c r="B477" t="s">
        <v>128</v>
      </c>
      <c r="C477">
        <v>476</v>
      </c>
      <c r="D477">
        <v>132219</v>
      </c>
      <c r="E477" t="s">
        <v>314</v>
      </c>
      <c r="F477" t="s">
        <v>9</v>
      </c>
      <c r="G477" t="s">
        <v>379</v>
      </c>
      <c r="H477" t="s">
        <v>8</v>
      </c>
      <c r="I477" t="s">
        <v>91</v>
      </c>
      <c r="J477">
        <v>27</v>
      </c>
      <c r="K477">
        <v>3.5</v>
      </c>
      <c r="L477">
        <v>3</v>
      </c>
      <c r="M477">
        <v>2</v>
      </c>
      <c r="N477">
        <v>2</v>
      </c>
      <c r="O477">
        <v>2</v>
      </c>
      <c r="P477" t="b">
        <f t="shared" si="107"/>
        <v>0</v>
      </c>
      <c r="S477" t="str">
        <f t="shared" si="117"/>
        <v>LATER</v>
      </c>
      <c r="T477" t="str">
        <f t="shared" si="118"/>
        <v>SainteLague</v>
      </c>
      <c r="U477">
        <f t="shared" si="120"/>
        <v>476</v>
      </c>
      <c r="V477">
        <f t="shared" si="119"/>
        <v>132219</v>
      </c>
      <c r="W477" s="8" t="str">
        <f>VLOOKUP(V477,'ideas-input'!$A:$B,2,FALSE)</f>
        <v>CCP | Configure alerts for all CCP applications</v>
      </c>
      <c r="X477" t="str">
        <f t="shared" si="108"/>
        <v>SI</v>
      </c>
      <c r="Y477" s="8" t="str">
        <f>VLOOKUP(V477,'ideas-input'!$A:$D,4,FALSE)</f>
        <v>Mail</v>
      </c>
      <c r="Z477" t="str">
        <f t="shared" si="109"/>
        <v>Technology</v>
      </c>
      <c r="AA477" t="str">
        <f t="shared" si="110"/>
        <v>Backlog</v>
      </c>
      <c r="AB477">
        <f t="shared" si="111"/>
        <v>27</v>
      </c>
      <c r="AC477">
        <f t="shared" si="112"/>
        <v>3.5</v>
      </c>
      <c r="AD477">
        <f t="shared" si="113"/>
        <v>3</v>
      </c>
      <c r="AE477">
        <f t="shared" si="114"/>
        <v>2</v>
      </c>
      <c r="AF477">
        <f t="shared" si="115"/>
        <v>2</v>
      </c>
      <c r="AG477">
        <f t="shared" si="116"/>
        <v>2</v>
      </c>
    </row>
    <row r="478" spans="1:33" x14ac:dyDescent="0.2">
      <c r="A478" t="s">
        <v>127</v>
      </c>
      <c r="B478" t="s">
        <v>128</v>
      </c>
      <c r="C478">
        <v>477</v>
      </c>
      <c r="D478">
        <v>63574</v>
      </c>
      <c r="E478" t="s">
        <v>1218</v>
      </c>
      <c r="F478" t="s">
        <v>70</v>
      </c>
      <c r="G478" t="s">
        <v>10</v>
      </c>
      <c r="H478" t="s">
        <v>8</v>
      </c>
      <c r="I478" t="s">
        <v>91</v>
      </c>
      <c r="J478">
        <v>55</v>
      </c>
      <c r="K478">
        <v>0.03</v>
      </c>
      <c r="L478">
        <v>1</v>
      </c>
      <c r="M478">
        <v>1</v>
      </c>
      <c r="N478">
        <v>1</v>
      </c>
      <c r="O478">
        <v>100</v>
      </c>
      <c r="P478" t="b">
        <f t="shared" si="107"/>
        <v>0</v>
      </c>
      <c r="S478" t="str">
        <f t="shared" si="117"/>
        <v>LATER</v>
      </c>
      <c r="T478" t="str">
        <f t="shared" si="118"/>
        <v>SainteLague</v>
      </c>
      <c r="U478">
        <f t="shared" si="120"/>
        <v>477</v>
      </c>
      <c r="V478">
        <f t="shared" si="119"/>
        <v>63574</v>
      </c>
      <c r="W478" s="8" t="str">
        <f>VLOOKUP(V478,'ideas-input'!$A:$B,2,FALSE)</f>
        <v>[Web pública Nexus] - Imágenes alojadas en DOT (ex Wordpress) estudiar alojarlas en AWS</v>
      </c>
      <c r="X478" t="str">
        <f t="shared" si="108"/>
        <v>CIO</v>
      </c>
      <c r="Y478" s="8" t="str">
        <f>VLOOKUP(V478,'ideas-input'!$A:$D,4,FALSE)</f>
        <v>eCommerce</v>
      </c>
      <c r="Z478" t="str">
        <f t="shared" si="109"/>
        <v>Technology</v>
      </c>
      <c r="AA478" t="str">
        <f t="shared" si="110"/>
        <v>Backlog</v>
      </c>
      <c r="AB478">
        <f t="shared" si="111"/>
        <v>55</v>
      </c>
      <c r="AC478">
        <f t="shared" si="112"/>
        <v>0.03</v>
      </c>
      <c r="AD478">
        <f t="shared" si="113"/>
        <v>1</v>
      </c>
      <c r="AE478">
        <f t="shared" si="114"/>
        <v>1</v>
      </c>
      <c r="AF478">
        <f t="shared" si="115"/>
        <v>1</v>
      </c>
      <c r="AG478">
        <f t="shared" si="116"/>
        <v>100</v>
      </c>
    </row>
    <row r="479" spans="1:33" x14ac:dyDescent="0.2">
      <c r="A479" t="s">
        <v>127</v>
      </c>
      <c r="B479" t="s">
        <v>128</v>
      </c>
      <c r="C479">
        <v>478</v>
      </c>
      <c r="D479">
        <v>92337</v>
      </c>
      <c r="E479" t="s">
        <v>142</v>
      </c>
      <c r="F479" t="s">
        <v>25</v>
      </c>
      <c r="G479" t="s">
        <v>379</v>
      </c>
      <c r="H479" t="s">
        <v>5</v>
      </c>
      <c r="I479" t="s">
        <v>91</v>
      </c>
      <c r="J479">
        <v>8</v>
      </c>
      <c r="K479">
        <v>0.03</v>
      </c>
      <c r="L479">
        <v>1</v>
      </c>
      <c r="M479">
        <v>1</v>
      </c>
      <c r="N479">
        <v>1</v>
      </c>
      <c r="O479">
        <v>100</v>
      </c>
      <c r="P479" t="b">
        <f t="shared" si="107"/>
        <v>0</v>
      </c>
      <c r="S479" t="str">
        <f t="shared" si="117"/>
        <v>LATER</v>
      </c>
      <c r="T479" t="str">
        <f t="shared" si="118"/>
        <v>SainteLague</v>
      </c>
      <c r="U479">
        <f t="shared" si="120"/>
        <v>478</v>
      </c>
      <c r="V479">
        <f t="shared" si="119"/>
        <v>92337</v>
      </c>
      <c r="W479" s="8" t="str">
        <f>VLOOKUP(V479,'ideas-input'!$A:$B,2,FALSE)</f>
        <v>GCA - Aforro upgrade Oracle</v>
      </c>
      <c r="X479" t="str">
        <f t="shared" si="108"/>
        <v>GP B2C</v>
      </c>
      <c r="Y479" s="8" t="str">
        <f>VLOOKUP(V479,'ideas-input'!$A:$D,4,FALSE)</f>
        <v>Retail &amp; Financial Services</v>
      </c>
      <c r="Z479" t="str">
        <f t="shared" si="109"/>
        <v>Commercial</v>
      </c>
      <c r="AA479" t="str">
        <f t="shared" si="110"/>
        <v>Backlog</v>
      </c>
      <c r="AB479">
        <f t="shared" si="111"/>
        <v>8</v>
      </c>
      <c r="AC479">
        <f t="shared" si="112"/>
        <v>0.03</v>
      </c>
      <c r="AD479">
        <f t="shared" si="113"/>
        <v>1</v>
      </c>
      <c r="AE479">
        <f t="shared" si="114"/>
        <v>1</v>
      </c>
      <c r="AF479">
        <f t="shared" si="115"/>
        <v>1</v>
      </c>
      <c r="AG479">
        <f t="shared" si="116"/>
        <v>100</v>
      </c>
    </row>
    <row r="480" spans="1:33" x14ac:dyDescent="0.2">
      <c r="A480" t="s">
        <v>127</v>
      </c>
      <c r="B480" t="s">
        <v>128</v>
      </c>
      <c r="C480">
        <v>479</v>
      </c>
      <c r="D480">
        <v>57115</v>
      </c>
      <c r="E480" t="s">
        <v>231</v>
      </c>
      <c r="F480" t="s">
        <v>68</v>
      </c>
      <c r="G480" t="s">
        <v>10</v>
      </c>
      <c r="H480" t="s">
        <v>5</v>
      </c>
      <c r="I480" t="s">
        <v>91</v>
      </c>
      <c r="J480">
        <v>20</v>
      </c>
      <c r="K480">
        <v>0.03</v>
      </c>
      <c r="L480">
        <v>1</v>
      </c>
      <c r="M480">
        <v>1</v>
      </c>
      <c r="N480">
        <v>1</v>
      </c>
      <c r="O480">
        <v>100</v>
      </c>
      <c r="P480" t="b">
        <f t="shared" si="107"/>
        <v>0</v>
      </c>
      <c r="S480" t="str">
        <f t="shared" si="117"/>
        <v>LATER</v>
      </c>
      <c r="T480" t="str">
        <f t="shared" si="118"/>
        <v>SainteLague</v>
      </c>
      <c r="U480">
        <f t="shared" si="120"/>
        <v>479</v>
      </c>
      <c r="V480">
        <f t="shared" si="119"/>
        <v>57115</v>
      </c>
      <c r="W480" s="8" t="str">
        <f>VLOOKUP(V480,'ideas-input'!$A:$B,2,FALSE)</f>
        <v>[ERROR 500 MS Manifest] YDH - TIK TOK</v>
      </c>
      <c r="X480" t="str">
        <f t="shared" si="108"/>
        <v>IDC</v>
      </c>
      <c r="Y480" s="8" t="str">
        <f>VLOOKUP(V480,'ideas-input'!$A:$D,4,FALSE)</f>
        <v>eCommerce</v>
      </c>
      <c r="Z480" t="str">
        <f t="shared" si="109"/>
        <v>Commercial</v>
      </c>
      <c r="AA480" t="str">
        <f t="shared" si="110"/>
        <v>Backlog</v>
      </c>
      <c r="AB480">
        <f t="shared" si="111"/>
        <v>20</v>
      </c>
      <c r="AC480">
        <f t="shared" si="112"/>
        <v>0.03</v>
      </c>
      <c r="AD480">
        <f t="shared" si="113"/>
        <v>1</v>
      </c>
      <c r="AE480">
        <f t="shared" si="114"/>
        <v>1</v>
      </c>
      <c r="AF480">
        <f t="shared" si="115"/>
        <v>1</v>
      </c>
      <c r="AG480">
        <f t="shared" si="116"/>
        <v>100</v>
      </c>
    </row>
    <row r="481" spans="1:33" x14ac:dyDescent="0.2">
      <c r="A481" t="s">
        <v>127</v>
      </c>
      <c r="B481" t="s">
        <v>128</v>
      </c>
      <c r="C481">
        <v>480</v>
      </c>
      <c r="D481">
        <v>111689</v>
      </c>
      <c r="E481" t="s">
        <v>1258</v>
      </c>
      <c r="F481" t="s">
        <v>24</v>
      </c>
      <c r="G481" t="s">
        <v>379</v>
      </c>
      <c r="H481" t="s">
        <v>5</v>
      </c>
      <c r="I481" t="s">
        <v>91</v>
      </c>
      <c r="J481">
        <v>8</v>
      </c>
      <c r="K481">
        <v>0.03</v>
      </c>
      <c r="L481">
        <v>1</v>
      </c>
      <c r="M481">
        <v>1</v>
      </c>
      <c r="N481">
        <v>1</v>
      </c>
      <c r="O481">
        <v>100</v>
      </c>
      <c r="P481" t="b">
        <f t="shared" si="107"/>
        <v>0</v>
      </c>
      <c r="S481" t="str">
        <f t="shared" si="117"/>
        <v>LATER</v>
      </c>
      <c r="T481" t="str">
        <f t="shared" si="118"/>
        <v>SainteLague</v>
      </c>
      <c r="U481">
        <f t="shared" si="120"/>
        <v>480</v>
      </c>
      <c r="V481">
        <f t="shared" si="119"/>
        <v>111689</v>
      </c>
      <c r="W481" s="8" t="str">
        <f>VLOOKUP(V481,'ideas-input'!$A:$B,2,FALSE)</f>
        <v>Indicadores para Planeamento e Controlo (transações manuais)</v>
      </c>
      <c r="X481" t="str">
        <f t="shared" si="108"/>
        <v>GPG</v>
      </c>
      <c r="Y481" s="8" t="str">
        <f>VLOOKUP(V481,'ideas-input'!$A:$D,4,FALSE)</f>
        <v>Payments</v>
      </c>
      <c r="Z481" t="str">
        <f t="shared" si="109"/>
        <v>Commercial</v>
      </c>
      <c r="AA481" t="str">
        <f t="shared" si="110"/>
        <v>Backlog</v>
      </c>
      <c r="AB481">
        <f t="shared" si="111"/>
        <v>8</v>
      </c>
      <c r="AC481">
        <f t="shared" si="112"/>
        <v>0.03</v>
      </c>
      <c r="AD481">
        <f t="shared" si="113"/>
        <v>1</v>
      </c>
      <c r="AE481">
        <f t="shared" si="114"/>
        <v>1</v>
      </c>
      <c r="AF481">
        <f t="shared" si="115"/>
        <v>1</v>
      </c>
      <c r="AG481">
        <f t="shared" si="116"/>
        <v>100</v>
      </c>
    </row>
    <row r="482" spans="1:33" x14ac:dyDescent="0.2">
      <c r="A482" t="s">
        <v>127</v>
      </c>
      <c r="B482" t="s">
        <v>128</v>
      </c>
      <c r="C482">
        <v>481</v>
      </c>
      <c r="D482">
        <v>46845</v>
      </c>
      <c r="E482" t="s">
        <v>1245</v>
      </c>
      <c r="F482" t="s">
        <v>67</v>
      </c>
      <c r="G482" t="s">
        <v>10</v>
      </c>
      <c r="H482" t="s">
        <v>12</v>
      </c>
      <c r="I482" t="s">
        <v>91</v>
      </c>
      <c r="J482">
        <v>26</v>
      </c>
      <c r="K482">
        <v>0.03</v>
      </c>
      <c r="L482">
        <v>1</v>
      </c>
      <c r="M482">
        <v>1</v>
      </c>
      <c r="N482">
        <v>1</v>
      </c>
      <c r="O482">
        <v>100</v>
      </c>
      <c r="P482" t="b">
        <f t="shared" si="107"/>
        <v>0</v>
      </c>
      <c r="S482" t="str">
        <f t="shared" si="117"/>
        <v>LATER</v>
      </c>
      <c r="T482" t="str">
        <f t="shared" si="118"/>
        <v>SainteLague</v>
      </c>
      <c r="U482">
        <f t="shared" si="120"/>
        <v>481</v>
      </c>
      <c r="V482">
        <f t="shared" si="119"/>
        <v>46845</v>
      </c>
      <c r="W482" s="8" t="str">
        <f>VLOOKUP(V482,'ideas-input'!$A:$B,2,FALSE)</f>
        <v>Conexión de eventos estados PT-ES/Transición de estados con eventos PT</v>
      </c>
      <c r="X482" t="str">
        <f t="shared" si="108"/>
        <v>ATC</v>
      </c>
      <c r="Y482" s="8" t="str">
        <f>VLOOKUP(V482,'ideas-input'!$A:$D,4,FALSE)</f>
        <v>eCommerce</v>
      </c>
      <c r="Z482" t="str">
        <f t="shared" si="109"/>
        <v>Corporate</v>
      </c>
      <c r="AA482" t="str">
        <f t="shared" si="110"/>
        <v>Backlog</v>
      </c>
      <c r="AB482">
        <f t="shared" si="111"/>
        <v>26</v>
      </c>
      <c r="AC482">
        <f t="shared" si="112"/>
        <v>0.03</v>
      </c>
      <c r="AD482">
        <f t="shared" si="113"/>
        <v>1</v>
      </c>
      <c r="AE482">
        <f t="shared" si="114"/>
        <v>1</v>
      </c>
      <c r="AF482">
        <f t="shared" si="115"/>
        <v>1</v>
      </c>
      <c r="AG482">
        <f t="shared" si="116"/>
        <v>100</v>
      </c>
    </row>
    <row r="483" spans="1:33" x14ac:dyDescent="0.2">
      <c r="A483" t="s">
        <v>127</v>
      </c>
      <c r="B483" t="s">
        <v>128</v>
      </c>
      <c r="C483">
        <v>482</v>
      </c>
      <c r="D483">
        <v>192060</v>
      </c>
      <c r="E483" t="s">
        <v>218</v>
      </c>
      <c r="F483" t="s">
        <v>98</v>
      </c>
      <c r="G483" t="s">
        <v>379</v>
      </c>
      <c r="H483" t="s">
        <v>12</v>
      </c>
      <c r="I483" t="s">
        <v>91</v>
      </c>
      <c r="J483">
        <v>17</v>
      </c>
      <c r="K483">
        <v>0.03</v>
      </c>
      <c r="L483">
        <v>1</v>
      </c>
      <c r="M483">
        <v>1</v>
      </c>
      <c r="N483">
        <v>1</v>
      </c>
      <c r="O483">
        <v>100</v>
      </c>
      <c r="P483" t="b">
        <f t="shared" si="107"/>
        <v>0</v>
      </c>
      <c r="S483" t="str">
        <f t="shared" si="117"/>
        <v>LATER</v>
      </c>
      <c r="T483" t="str">
        <f t="shared" si="118"/>
        <v>SainteLague</v>
      </c>
      <c r="U483">
        <f t="shared" si="120"/>
        <v>482</v>
      </c>
      <c r="V483">
        <f t="shared" si="119"/>
        <v>192060</v>
      </c>
      <c r="W483" s="8" t="str">
        <f>VLOOKUP(V483,'ideas-input'!$A:$B,2,FALSE)</f>
        <v>Despesa Frota e Edificios - Evolutivo</v>
      </c>
      <c r="X483" t="str">
        <f t="shared" si="108"/>
        <v>PC</v>
      </c>
      <c r="Y483" s="8" t="str">
        <f>VLOOKUP(V483,'ideas-input'!$A:$D,4,FALSE)</f>
        <v>Mail</v>
      </c>
      <c r="Z483" t="str">
        <f t="shared" si="109"/>
        <v>Corporate</v>
      </c>
      <c r="AA483" t="str">
        <f t="shared" si="110"/>
        <v>Backlog</v>
      </c>
      <c r="AB483">
        <f t="shared" si="111"/>
        <v>17</v>
      </c>
      <c r="AC483">
        <f t="shared" si="112"/>
        <v>0.03</v>
      </c>
      <c r="AD483">
        <f t="shared" si="113"/>
        <v>1</v>
      </c>
      <c r="AE483">
        <f t="shared" si="114"/>
        <v>1</v>
      </c>
      <c r="AF483">
        <f t="shared" si="115"/>
        <v>1</v>
      </c>
      <c r="AG483">
        <f t="shared" si="116"/>
        <v>100</v>
      </c>
    </row>
    <row r="484" spans="1:33" x14ac:dyDescent="0.2">
      <c r="A484" t="s">
        <v>127</v>
      </c>
      <c r="B484" t="s">
        <v>128</v>
      </c>
      <c r="C484">
        <v>483</v>
      </c>
      <c r="D484">
        <v>63645</v>
      </c>
      <c r="E484" t="s">
        <v>1222</v>
      </c>
      <c r="F484" t="s">
        <v>70</v>
      </c>
      <c r="G484" t="s">
        <v>10</v>
      </c>
      <c r="H484" t="s">
        <v>8</v>
      </c>
      <c r="I484" t="s">
        <v>91</v>
      </c>
      <c r="J484">
        <v>56</v>
      </c>
      <c r="K484">
        <v>0.03</v>
      </c>
      <c r="L484">
        <v>1</v>
      </c>
      <c r="M484">
        <v>1</v>
      </c>
      <c r="N484">
        <v>1</v>
      </c>
      <c r="O484">
        <v>100</v>
      </c>
      <c r="P484" t="b">
        <f t="shared" si="107"/>
        <v>0</v>
      </c>
      <c r="S484" t="str">
        <f t="shared" si="117"/>
        <v>LATER</v>
      </c>
      <c r="T484" t="str">
        <f t="shared" si="118"/>
        <v>SainteLague</v>
      </c>
      <c r="U484">
        <f t="shared" si="120"/>
        <v>483</v>
      </c>
      <c r="V484">
        <f t="shared" si="119"/>
        <v>63645</v>
      </c>
      <c r="W484" s="8" t="str">
        <f>VLOOKUP(V484,'ideas-input'!$A:$B,2,FALSE)</f>
        <v>Definición de la estrategia de preparación de entornos de prueba de aplicaciones</v>
      </c>
      <c r="X484" t="str">
        <f t="shared" si="108"/>
        <v>CIO</v>
      </c>
      <c r="Y484" s="8" t="str">
        <f>VLOOKUP(V484,'ideas-input'!$A:$D,4,FALSE)</f>
        <v>eCommerce</v>
      </c>
      <c r="Z484" t="str">
        <f t="shared" si="109"/>
        <v>Technology</v>
      </c>
      <c r="AA484" t="str">
        <f t="shared" si="110"/>
        <v>Backlog</v>
      </c>
      <c r="AB484">
        <f t="shared" si="111"/>
        <v>56</v>
      </c>
      <c r="AC484">
        <f t="shared" si="112"/>
        <v>0.03</v>
      </c>
      <c r="AD484">
        <f t="shared" si="113"/>
        <v>1</v>
      </c>
      <c r="AE484">
        <f t="shared" si="114"/>
        <v>1</v>
      </c>
      <c r="AF484">
        <f t="shared" si="115"/>
        <v>1</v>
      </c>
      <c r="AG484">
        <f t="shared" si="116"/>
        <v>100</v>
      </c>
    </row>
    <row r="485" spans="1:33" x14ac:dyDescent="0.2">
      <c r="A485" t="s">
        <v>127</v>
      </c>
      <c r="B485" t="s">
        <v>128</v>
      </c>
      <c r="C485">
        <v>484</v>
      </c>
      <c r="D485">
        <v>126583</v>
      </c>
      <c r="E485" t="s">
        <v>254</v>
      </c>
      <c r="F485" t="s">
        <v>9</v>
      </c>
      <c r="G485" t="s">
        <v>379</v>
      </c>
      <c r="H485" t="s">
        <v>8</v>
      </c>
      <c r="I485" t="s">
        <v>95</v>
      </c>
      <c r="J485">
        <v>28</v>
      </c>
      <c r="K485">
        <v>0.03</v>
      </c>
      <c r="L485">
        <v>1</v>
      </c>
      <c r="M485">
        <v>1</v>
      </c>
      <c r="N485">
        <v>1</v>
      </c>
      <c r="O485">
        <v>100</v>
      </c>
      <c r="P485" t="b">
        <f t="shared" si="107"/>
        <v>0</v>
      </c>
      <c r="S485" t="str">
        <f t="shared" si="117"/>
        <v>LATER</v>
      </c>
      <c r="T485" t="str">
        <f t="shared" si="118"/>
        <v>SainteLague</v>
      </c>
      <c r="U485">
        <f t="shared" si="120"/>
        <v>484</v>
      </c>
      <c r="V485">
        <f t="shared" si="119"/>
        <v>126583</v>
      </c>
      <c r="W485" s="8" t="str">
        <f>VLOOKUP(V485,'ideas-input'!$A:$B,2,FALSE)</f>
        <v>Eliminate 50% of O365 Copilot licences</v>
      </c>
      <c r="X485" t="str">
        <f t="shared" si="108"/>
        <v>SI</v>
      </c>
      <c r="Y485" s="8" t="str">
        <f>VLOOKUP(V485,'ideas-input'!$A:$D,4,FALSE)</f>
        <v>Mail</v>
      </c>
      <c r="Z485" t="str">
        <f t="shared" si="109"/>
        <v>Technology</v>
      </c>
      <c r="AA485" t="str">
        <f t="shared" si="110"/>
        <v>In Definition</v>
      </c>
      <c r="AB485">
        <f t="shared" si="111"/>
        <v>28</v>
      </c>
      <c r="AC485">
        <f t="shared" si="112"/>
        <v>0.03</v>
      </c>
      <c r="AD485">
        <f t="shared" si="113"/>
        <v>1</v>
      </c>
      <c r="AE485">
        <f t="shared" si="114"/>
        <v>1</v>
      </c>
      <c r="AF485">
        <f t="shared" si="115"/>
        <v>1</v>
      </c>
      <c r="AG485">
        <f t="shared" si="116"/>
        <v>100</v>
      </c>
    </row>
    <row r="486" spans="1:33" x14ac:dyDescent="0.2">
      <c r="A486" t="s">
        <v>127</v>
      </c>
      <c r="B486" t="s">
        <v>128</v>
      </c>
      <c r="C486">
        <v>485</v>
      </c>
      <c r="D486">
        <v>56821</v>
      </c>
      <c r="E486" t="s">
        <v>1206</v>
      </c>
      <c r="F486" t="s">
        <v>65</v>
      </c>
      <c r="G486" t="s">
        <v>10</v>
      </c>
      <c r="H486" t="s">
        <v>5</v>
      </c>
      <c r="I486" t="s">
        <v>95</v>
      </c>
      <c r="J486">
        <v>30</v>
      </c>
      <c r="K486">
        <v>0.03</v>
      </c>
      <c r="L486">
        <v>1</v>
      </c>
      <c r="M486">
        <v>1</v>
      </c>
      <c r="N486">
        <v>1</v>
      </c>
      <c r="O486">
        <v>100</v>
      </c>
      <c r="P486" t="b">
        <f t="shared" si="107"/>
        <v>0</v>
      </c>
      <c r="S486" t="str">
        <f t="shared" si="117"/>
        <v>LATER</v>
      </c>
      <c r="T486" t="str">
        <f t="shared" si="118"/>
        <v>SainteLague</v>
      </c>
      <c r="U486">
        <f t="shared" si="120"/>
        <v>485</v>
      </c>
      <c r="V486">
        <f t="shared" si="119"/>
        <v>56821</v>
      </c>
      <c r="W486" s="8" t="str">
        <f>VLOOKUP(V486,'ideas-input'!$A:$B,2,FALSE)</f>
        <v>[Desconexión SGC] [Web de Clientes] - Descarga de seguimiento y en descarga masiva: Incluir más campos: Peso Facturado V2</v>
      </c>
      <c r="X486" t="str">
        <f t="shared" si="108"/>
        <v>CMO</v>
      </c>
      <c r="Y486" s="8" t="str">
        <f>VLOOKUP(V486,'ideas-input'!$A:$D,4,FALSE)</f>
        <v>eCommerce</v>
      </c>
      <c r="Z486" t="str">
        <f t="shared" si="109"/>
        <v>Commercial</v>
      </c>
      <c r="AA486" t="str">
        <f t="shared" si="110"/>
        <v>In Definition</v>
      </c>
      <c r="AB486">
        <f t="shared" si="111"/>
        <v>30</v>
      </c>
      <c r="AC486">
        <f t="shared" si="112"/>
        <v>0.03</v>
      </c>
      <c r="AD486">
        <f t="shared" si="113"/>
        <v>1</v>
      </c>
      <c r="AE486">
        <f t="shared" si="114"/>
        <v>1</v>
      </c>
      <c r="AF486">
        <f t="shared" si="115"/>
        <v>1</v>
      </c>
      <c r="AG486">
        <f t="shared" si="116"/>
        <v>100</v>
      </c>
    </row>
    <row r="487" spans="1:33" x14ac:dyDescent="0.2">
      <c r="A487" t="s">
        <v>127</v>
      </c>
      <c r="B487" t="s">
        <v>128</v>
      </c>
      <c r="C487">
        <v>486</v>
      </c>
      <c r="D487">
        <v>49197</v>
      </c>
      <c r="E487" t="s">
        <v>133</v>
      </c>
      <c r="F487" t="s">
        <v>58</v>
      </c>
      <c r="G487" t="s">
        <v>379</v>
      </c>
      <c r="H487" t="s">
        <v>5</v>
      </c>
      <c r="I487" t="s">
        <v>97</v>
      </c>
      <c r="J487">
        <v>13</v>
      </c>
      <c r="K487">
        <v>7.0000000000000007E-2</v>
      </c>
      <c r="L487">
        <v>5</v>
      </c>
      <c r="M487">
        <v>1</v>
      </c>
      <c r="N487">
        <v>1</v>
      </c>
      <c r="O487">
        <v>100</v>
      </c>
      <c r="P487" t="b">
        <f t="shared" si="107"/>
        <v>0</v>
      </c>
      <c r="S487" t="str">
        <f t="shared" si="117"/>
        <v>LATER</v>
      </c>
      <c r="T487" t="str">
        <f t="shared" si="118"/>
        <v>SainteLague</v>
      </c>
      <c r="U487">
        <f t="shared" si="120"/>
        <v>486</v>
      </c>
      <c r="V487">
        <f t="shared" si="119"/>
        <v>49197</v>
      </c>
      <c r="W487" s="8" t="str">
        <f>VLOOKUP(V487,'ideas-input'!$A:$B,2,FALSE)</f>
        <v>Migrar os documentos do viactt para Filenet</v>
      </c>
      <c r="X487" t="str">
        <f t="shared" si="108"/>
        <v>SI-PRD</v>
      </c>
      <c r="Y487" s="8" t="str">
        <f>VLOOKUP(V487,'ideas-input'!$A:$D,4,FALSE)</f>
        <v>Business Solutions</v>
      </c>
      <c r="Z487" t="str">
        <f t="shared" si="109"/>
        <v>Commercial</v>
      </c>
      <c r="AA487" t="str">
        <f t="shared" si="110"/>
        <v>Ready for Solution</v>
      </c>
      <c r="AB487">
        <f t="shared" si="111"/>
        <v>13</v>
      </c>
      <c r="AC487">
        <f t="shared" si="112"/>
        <v>7.0000000000000007E-2</v>
      </c>
      <c r="AD487">
        <f t="shared" si="113"/>
        <v>5</v>
      </c>
      <c r="AE487">
        <f t="shared" si="114"/>
        <v>1</v>
      </c>
      <c r="AF487">
        <f t="shared" si="115"/>
        <v>1</v>
      </c>
      <c r="AG487">
        <f t="shared" si="116"/>
        <v>100</v>
      </c>
    </row>
    <row r="488" spans="1:33" x14ac:dyDescent="0.2">
      <c r="A488" t="s">
        <v>127</v>
      </c>
      <c r="B488" t="s">
        <v>128</v>
      </c>
      <c r="C488">
        <v>487</v>
      </c>
      <c r="D488">
        <v>43518</v>
      </c>
      <c r="E488" t="s">
        <v>1250</v>
      </c>
      <c r="F488" t="s">
        <v>69</v>
      </c>
      <c r="G488" t="s">
        <v>10</v>
      </c>
      <c r="H488" t="s">
        <v>12</v>
      </c>
      <c r="I488" t="s">
        <v>97</v>
      </c>
      <c r="J488">
        <v>24</v>
      </c>
      <c r="K488">
        <v>0.03</v>
      </c>
      <c r="L488">
        <v>1</v>
      </c>
      <c r="M488">
        <v>1</v>
      </c>
      <c r="N488">
        <v>1</v>
      </c>
      <c r="O488">
        <v>100</v>
      </c>
      <c r="P488" t="b">
        <f t="shared" si="107"/>
        <v>0</v>
      </c>
      <c r="S488" t="str">
        <f t="shared" si="117"/>
        <v>LATER</v>
      </c>
      <c r="T488" t="str">
        <f t="shared" si="118"/>
        <v>SainteLague</v>
      </c>
      <c r="U488">
        <f t="shared" si="120"/>
        <v>487</v>
      </c>
      <c r="V488">
        <f t="shared" si="119"/>
        <v>43518</v>
      </c>
      <c r="W488" s="8" t="str">
        <f>VLOOKUP(V488,'ideas-input'!$A:$B,2,FALSE)</f>
        <v>[NEXUS] [Auditoria PT] [SAP] - Mejora y/o renovación del Interface Salesforce + SGC + SAP</v>
      </c>
      <c r="X488" t="str">
        <f t="shared" si="108"/>
        <v>CFO</v>
      </c>
      <c r="Y488" s="8" t="str">
        <f>VLOOKUP(V488,'ideas-input'!$A:$D,4,FALSE)</f>
        <v>eCommerce</v>
      </c>
      <c r="Z488" t="str">
        <f t="shared" si="109"/>
        <v>Corporate</v>
      </c>
      <c r="AA488" t="str">
        <f t="shared" si="110"/>
        <v>Ready for Solution</v>
      </c>
      <c r="AB488">
        <f t="shared" si="111"/>
        <v>24</v>
      </c>
      <c r="AC488">
        <f t="shared" si="112"/>
        <v>0.03</v>
      </c>
      <c r="AD488">
        <f t="shared" si="113"/>
        <v>1</v>
      </c>
      <c r="AE488">
        <f t="shared" si="114"/>
        <v>1</v>
      </c>
      <c r="AF488">
        <f t="shared" si="115"/>
        <v>1</v>
      </c>
      <c r="AG488">
        <f t="shared" si="116"/>
        <v>100</v>
      </c>
    </row>
    <row r="489" spans="1:33" x14ac:dyDescent="0.2">
      <c r="A489" t="s">
        <v>127</v>
      </c>
      <c r="B489" t="s">
        <v>128</v>
      </c>
      <c r="C489">
        <v>488</v>
      </c>
      <c r="D489">
        <v>199976</v>
      </c>
      <c r="E489" t="s">
        <v>1224</v>
      </c>
      <c r="F489" t="s">
        <v>98</v>
      </c>
      <c r="G489" t="s">
        <v>379</v>
      </c>
      <c r="H489" t="s">
        <v>12</v>
      </c>
      <c r="I489" t="s">
        <v>91</v>
      </c>
      <c r="J489">
        <v>18</v>
      </c>
      <c r="K489">
        <v>0.03</v>
      </c>
      <c r="L489">
        <v>1</v>
      </c>
      <c r="M489">
        <v>1</v>
      </c>
      <c r="N489">
        <v>1</v>
      </c>
      <c r="O489">
        <v>100</v>
      </c>
      <c r="P489" t="b">
        <f t="shared" si="107"/>
        <v>0</v>
      </c>
      <c r="S489" t="str">
        <f t="shared" si="117"/>
        <v>LATER</v>
      </c>
      <c r="T489" t="str">
        <f t="shared" si="118"/>
        <v>SainteLague</v>
      </c>
      <c r="U489">
        <f t="shared" si="120"/>
        <v>488</v>
      </c>
      <c r="V489">
        <f t="shared" si="119"/>
        <v>199976</v>
      </c>
      <c r="W489" s="8" t="str">
        <f>VLOOKUP(V489,'ideas-input'!$A:$B,2,FALSE)</f>
        <v>Data Hub - Monitorização e Backup</v>
      </c>
      <c r="X489" t="str">
        <f t="shared" si="108"/>
        <v>PC</v>
      </c>
      <c r="Y489" s="8" t="str">
        <f>VLOOKUP(V489,'ideas-input'!$A:$D,4,FALSE)</f>
        <v>Mail</v>
      </c>
      <c r="Z489" t="str">
        <f t="shared" si="109"/>
        <v>Corporate</v>
      </c>
      <c r="AA489" t="str">
        <f t="shared" si="110"/>
        <v>Backlog</v>
      </c>
      <c r="AB489">
        <f t="shared" si="111"/>
        <v>18</v>
      </c>
      <c r="AC489">
        <f t="shared" si="112"/>
        <v>0.03</v>
      </c>
      <c r="AD489">
        <f t="shared" si="113"/>
        <v>1</v>
      </c>
      <c r="AE489">
        <f t="shared" si="114"/>
        <v>1</v>
      </c>
      <c r="AF489">
        <f t="shared" si="115"/>
        <v>1</v>
      </c>
      <c r="AG489">
        <f t="shared" si="116"/>
        <v>100</v>
      </c>
    </row>
    <row r="490" spans="1:33" x14ac:dyDescent="0.2">
      <c r="A490" t="s">
        <v>127</v>
      </c>
      <c r="B490" t="s">
        <v>128</v>
      </c>
      <c r="C490">
        <v>489</v>
      </c>
      <c r="D490">
        <v>64718</v>
      </c>
      <c r="E490" t="s">
        <v>1227</v>
      </c>
      <c r="F490" t="s">
        <v>70</v>
      </c>
      <c r="G490" t="s">
        <v>10</v>
      </c>
      <c r="H490" t="s">
        <v>8</v>
      </c>
      <c r="I490" t="s">
        <v>95</v>
      </c>
      <c r="J490">
        <v>57</v>
      </c>
      <c r="K490">
        <v>0.03</v>
      </c>
      <c r="L490">
        <v>1</v>
      </c>
      <c r="M490">
        <v>1</v>
      </c>
      <c r="N490">
        <v>1</v>
      </c>
      <c r="O490">
        <v>100</v>
      </c>
      <c r="P490" t="b">
        <f t="shared" si="107"/>
        <v>0</v>
      </c>
      <c r="S490" t="str">
        <f t="shared" si="117"/>
        <v>LATER</v>
      </c>
      <c r="T490" t="str">
        <f t="shared" si="118"/>
        <v>SainteLague</v>
      </c>
      <c r="U490">
        <f t="shared" si="120"/>
        <v>489</v>
      </c>
      <c r="V490">
        <f t="shared" si="119"/>
        <v>64718</v>
      </c>
      <c r="W490" s="8" t="str">
        <f>VLOOKUP(V490,'ideas-input'!$A:$B,2,FALSE)</f>
        <v>[Bitácora] - Bitacora Management que permita implementar los procesos actuales de configuración en Bitácora</v>
      </c>
      <c r="X490" t="str">
        <f t="shared" si="108"/>
        <v>CIO</v>
      </c>
      <c r="Y490" s="8" t="str">
        <f>VLOOKUP(V490,'ideas-input'!$A:$D,4,FALSE)</f>
        <v>eCommerce</v>
      </c>
      <c r="Z490" t="str">
        <f t="shared" si="109"/>
        <v>Technology</v>
      </c>
      <c r="AA490" t="str">
        <f t="shared" si="110"/>
        <v>In Definition</v>
      </c>
      <c r="AB490">
        <f t="shared" si="111"/>
        <v>57</v>
      </c>
      <c r="AC490">
        <f t="shared" si="112"/>
        <v>0.03</v>
      </c>
      <c r="AD490">
        <f t="shared" si="113"/>
        <v>1</v>
      </c>
      <c r="AE490">
        <f t="shared" si="114"/>
        <v>1</v>
      </c>
      <c r="AF490">
        <f t="shared" si="115"/>
        <v>1</v>
      </c>
      <c r="AG490">
        <f t="shared" si="116"/>
        <v>100</v>
      </c>
    </row>
    <row r="491" spans="1:33" x14ac:dyDescent="0.2">
      <c r="A491" t="s">
        <v>127</v>
      </c>
      <c r="B491" t="s">
        <v>128</v>
      </c>
      <c r="C491">
        <v>490</v>
      </c>
      <c r="D491">
        <v>175823</v>
      </c>
      <c r="E491" t="s">
        <v>1204</v>
      </c>
      <c r="F491" t="s">
        <v>34</v>
      </c>
      <c r="G491" t="s">
        <v>379</v>
      </c>
      <c r="H491" t="s">
        <v>8</v>
      </c>
      <c r="I491" t="s">
        <v>91</v>
      </c>
      <c r="J491">
        <v>11</v>
      </c>
      <c r="K491">
        <v>0.03</v>
      </c>
      <c r="L491">
        <v>1</v>
      </c>
      <c r="M491">
        <v>1</v>
      </c>
      <c r="N491">
        <v>1</v>
      </c>
      <c r="O491">
        <v>100</v>
      </c>
      <c r="P491" t="b">
        <f t="shared" si="107"/>
        <v>0</v>
      </c>
      <c r="S491" t="str">
        <f t="shared" si="117"/>
        <v>LATER</v>
      </c>
      <c r="T491" t="str">
        <f t="shared" si="118"/>
        <v>SainteLague</v>
      </c>
      <c r="U491">
        <f t="shared" si="120"/>
        <v>490</v>
      </c>
      <c r="V491">
        <f t="shared" si="119"/>
        <v>175823</v>
      </c>
      <c r="W491" s="8" t="str">
        <f>VLOOKUP(V491,'ideas-input'!$A:$B,2,FALSE)</f>
        <v>Report automatizado para Crédito Pessoal</v>
      </c>
      <c r="X491" t="str">
        <f t="shared" si="108"/>
        <v>BCTT</v>
      </c>
      <c r="Y491" s="8" t="str">
        <f>VLOOKUP(V491,'ideas-input'!$A:$D,4,FALSE)</f>
        <v>Mail</v>
      </c>
      <c r="Z491" t="str">
        <f t="shared" si="109"/>
        <v>Technology</v>
      </c>
      <c r="AA491" t="str">
        <f t="shared" si="110"/>
        <v>Backlog</v>
      </c>
      <c r="AB491">
        <f t="shared" si="111"/>
        <v>11</v>
      </c>
      <c r="AC491">
        <f t="shared" si="112"/>
        <v>0.03</v>
      </c>
      <c r="AD491">
        <f t="shared" si="113"/>
        <v>1</v>
      </c>
      <c r="AE491">
        <f t="shared" si="114"/>
        <v>1</v>
      </c>
      <c r="AF491">
        <f t="shared" si="115"/>
        <v>1</v>
      </c>
      <c r="AG491">
        <f t="shared" si="116"/>
        <v>100</v>
      </c>
    </row>
    <row r="492" spans="1:33" x14ac:dyDescent="0.2">
      <c r="A492" t="s">
        <v>127</v>
      </c>
      <c r="B492" t="s">
        <v>128</v>
      </c>
      <c r="C492">
        <v>491</v>
      </c>
      <c r="D492">
        <v>130826</v>
      </c>
      <c r="E492" t="s">
        <v>1305</v>
      </c>
      <c r="F492" t="s">
        <v>66</v>
      </c>
      <c r="G492" t="s">
        <v>10</v>
      </c>
      <c r="H492" t="s">
        <v>5</v>
      </c>
      <c r="I492" t="s">
        <v>91</v>
      </c>
      <c r="J492">
        <v>24</v>
      </c>
      <c r="K492">
        <v>0.03</v>
      </c>
      <c r="L492">
        <v>1</v>
      </c>
      <c r="M492">
        <v>1</v>
      </c>
      <c r="N492">
        <v>1</v>
      </c>
      <c r="O492">
        <v>100</v>
      </c>
      <c r="P492" t="b">
        <f t="shared" si="107"/>
        <v>0</v>
      </c>
      <c r="S492" t="str">
        <f t="shared" si="117"/>
        <v>LATER</v>
      </c>
      <c r="T492" t="str">
        <f t="shared" si="118"/>
        <v>SainteLague</v>
      </c>
      <c r="U492">
        <f t="shared" si="120"/>
        <v>491</v>
      </c>
      <c r="V492">
        <f t="shared" si="119"/>
        <v>130826</v>
      </c>
      <c r="W492" s="8" t="str">
        <f>VLOOKUP(V492,'ideas-input'!$A:$B,2,FALSE)</f>
        <v>[Salesforce] - Información de la actividad del cliente en Cuenta en Sales (a partir de Qlik)</v>
      </c>
      <c r="X492" t="str">
        <f t="shared" si="108"/>
        <v>CCO</v>
      </c>
      <c r="Y492" s="8" t="str">
        <f>VLOOKUP(V492,'ideas-input'!$A:$D,4,FALSE)</f>
        <v>eCommerce</v>
      </c>
      <c r="Z492" t="str">
        <f t="shared" si="109"/>
        <v>Commercial</v>
      </c>
      <c r="AA492" t="str">
        <f t="shared" si="110"/>
        <v>Backlog</v>
      </c>
      <c r="AB492">
        <f t="shared" si="111"/>
        <v>24</v>
      </c>
      <c r="AC492">
        <f t="shared" si="112"/>
        <v>0.03</v>
      </c>
      <c r="AD492">
        <f t="shared" si="113"/>
        <v>1</v>
      </c>
      <c r="AE492">
        <f t="shared" si="114"/>
        <v>1</v>
      </c>
      <c r="AF492">
        <f t="shared" si="115"/>
        <v>1</v>
      </c>
      <c r="AG492">
        <f t="shared" si="116"/>
        <v>100</v>
      </c>
    </row>
    <row r="493" spans="1:33" x14ac:dyDescent="0.2">
      <c r="A493" t="s">
        <v>127</v>
      </c>
      <c r="B493" t="s">
        <v>128</v>
      </c>
      <c r="C493">
        <v>492</v>
      </c>
      <c r="D493">
        <v>63424</v>
      </c>
      <c r="E493" t="s">
        <v>1264</v>
      </c>
      <c r="F493" t="s">
        <v>21</v>
      </c>
      <c r="G493" t="s">
        <v>379</v>
      </c>
      <c r="H493" t="s">
        <v>5</v>
      </c>
      <c r="I493" t="s">
        <v>95</v>
      </c>
      <c r="J493">
        <v>14</v>
      </c>
      <c r="K493">
        <v>0.03</v>
      </c>
      <c r="L493">
        <v>1</v>
      </c>
      <c r="M493">
        <v>1</v>
      </c>
      <c r="N493">
        <v>1</v>
      </c>
      <c r="O493">
        <v>100</v>
      </c>
      <c r="P493" t="b">
        <f t="shared" si="107"/>
        <v>0</v>
      </c>
      <c r="S493" t="str">
        <f t="shared" si="117"/>
        <v>LATER</v>
      </c>
      <c r="T493" t="str">
        <f t="shared" si="118"/>
        <v>SainteLague</v>
      </c>
      <c r="U493">
        <f t="shared" si="120"/>
        <v>492</v>
      </c>
      <c r="V493">
        <f t="shared" si="119"/>
        <v>63424</v>
      </c>
      <c r="W493" s="8" t="str">
        <f>VLOOKUP(V493,'ideas-input'!$A:$B,2,FALSE)</f>
        <v>Revamp ViaCTT – 2ª Fase</v>
      </c>
      <c r="X493" t="str">
        <f t="shared" si="108"/>
        <v>GP B2B</v>
      </c>
      <c r="Y493" s="8" t="str">
        <f>VLOOKUP(V493,'ideas-input'!$A:$D,4,FALSE)</f>
        <v>Business Solutions</v>
      </c>
      <c r="Z493" t="str">
        <f t="shared" si="109"/>
        <v>Commercial</v>
      </c>
      <c r="AA493" t="str">
        <f t="shared" si="110"/>
        <v>In Definition</v>
      </c>
      <c r="AB493">
        <f t="shared" si="111"/>
        <v>14</v>
      </c>
      <c r="AC493">
        <f t="shared" si="112"/>
        <v>0.03</v>
      </c>
      <c r="AD493">
        <f t="shared" si="113"/>
        <v>1</v>
      </c>
      <c r="AE493">
        <f t="shared" si="114"/>
        <v>1</v>
      </c>
      <c r="AF493">
        <f t="shared" si="115"/>
        <v>1</v>
      </c>
      <c r="AG493">
        <f t="shared" si="116"/>
        <v>100</v>
      </c>
    </row>
    <row r="494" spans="1:33" x14ac:dyDescent="0.2">
      <c r="A494" t="s">
        <v>127</v>
      </c>
      <c r="B494" t="s">
        <v>128</v>
      </c>
      <c r="C494">
        <v>493</v>
      </c>
      <c r="D494">
        <v>59163</v>
      </c>
      <c r="E494" t="s">
        <v>1252</v>
      </c>
      <c r="F494" t="s">
        <v>69</v>
      </c>
      <c r="G494" t="s">
        <v>10</v>
      </c>
      <c r="H494" t="s">
        <v>12</v>
      </c>
      <c r="I494" t="s">
        <v>91</v>
      </c>
      <c r="J494">
        <v>25</v>
      </c>
      <c r="K494">
        <v>0.03</v>
      </c>
      <c r="L494">
        <v>1</v>
      </c>
      <c r="M494">
        <v>1</v>
      </c>
      <c r="N494">
        <v>1</v>
      </c>
      <c r="O494">
        <v>100</v>
      </c>
      <c r="P494" t="b">
        <f t="shared" si="107"/>
        <v>0</v>
      </c>
      <c r="S494" t="str">
        <f t="shared" si="117"/>
        <v>LATER</v>
      </c>
      <c r="T494" t="str">
        <f t="shared" si="118"/>
        <v>SainteLague</v>
      </c>
      <c r="U494">
        <f t="shared" si="120"/>
        <v>493</v>
      </c>
      <c r="V494">
        <f t="shared" si="119"/>
        <v>59163</v>
      </c>
      <c r="W494" s="8" t="str">
        <f>VLOOKUP(V494,'ideas-input'!$A:$B,2,FALSE)</f>
        <v>[PUDOS]-Modificación plantilla de factura en VDP relacionado con 58594</v>
      </c>
      <c r="X494" t="str">
        <f t="shared" si="108"/>
        <v>CFO</v>
      </c>
      <c r="Y494" s="8" t="str">
        <f>VLOOKUP(V494,'ideas-input'!$A:$D,4,FALSE)</f>
        <v>eCommerce</v>
      </c>
      <c r="Z494" t="str">
        <f t="shared" si="109"/>
        <v>Corporate</v>
      </c>
      <c r="AA494" t="str">
        <f t="shared" si="110"/>
        <v>Backlog</v>
      </c>
      <c r="AB494">
        <f t="shared" si="111"/>
        <v>25</v>
      </c>
      <c r="AC494">
        <f t="shared" si="112"/>
        <v>0.03</v>
      </c>
      <c r="AD494">
        <f t="shared" si="113"/>
        <v>1</v>
      </c>
      <c r="AE494">
        <f t="shared" si="114"/>
        <v>1</v>
      </c>
      <c r="AF494">
        <f t="shared" si="115"/>
        <v>1</v>
      </c>
      <c r="AG494">
        <f t="shared" si="116"/>
        <v>100</v>
      </c>
    </row>
    <row r="495" spans="1:33" x14ac:dyDescent="0.2">
      <c r="A495" t="s">
        <v>127</v>
      </c>
      <c r="B495" t="s">
        <v>128</v>
      </c>
      <c r="C495">
        <v>494</v>
      </c>
      <c r="D495">
        <v>199977</v>
      </c>
      <c r="E495" t="s">
        <v>250</v>
      </c>
      <c r="F495" t="s">
        <v>98</v>
      </c>
      <c r="G495" t="s">
        <v>379</v>
      </c>
      <c r="H495" t="s">
        <v>12</v>
      </c>
      <c r="I495" t="s">
        <v>91</v>
      </c>
      <c r="J495">
        <v>19</v>
      </c>
      <c r="K495">
        <v>0.03</v>
      </c>
      <c r="L495">
        <v>1</v>
      </c>
      <c r="M495">
        <v>1</v>
      </c>
      <c r="N495">
        <v>1</v>
      </c>
      <c r="O495">
        <v>100</v>
      </c>
      <c r="P495" t="b">
        <f t="shared" si="107"/>
        <v>0</v>
      </c>
      <c r="S495" t="str">
        <f t="shared" si="117"/>
        <v>LATER</v>
      </c>
      <c r="T495" t="str">
        <f t="shared" si="118"/>
        <v>SainteLague</v>
      </c>
      <c r="U495">
        <f t="shared" si="120"/>
        <v>494</v>
      </c>
      <c r="V495">
        <f t="shared" si="119"/>
        <v>199977</v>
      </c>
      <c r="W495" s="8" t="str">
        <f>VLOOKUP(V495,'ideas-input'!$A:$B,2,FALSE)</f>
        <v>Data Hub - Secrets and Authentication</v>
      </c>
      <c r="X495" t="str">
        <f t="shared" si="108"/>
        <v>PC</v>
      </c>
      <c r="Y495" s="8" t="str">
        <f>VLOOKUP(V495,'ideas-input'!$A:$D,4,FALSE)</f>
        <v>Mail</v>
      </c>
      <c r="Z495" t="str">
        <f t="shared" si="109"/>
        <v>Corporate</v>
      </c>
      <c r="AA495" t="str">
        <f t="shared" si="110"/>
        <v>Backlog</v>
      </c>
      <c r="AB495">
        <f t="shared" si="111"/>
        <v>19</v>
      </c>
      <c r="AC495">
        <f t="shared" si="112"/>
        <v>0.03</v>
      </c>
      <c r="AD495">
        <f t="shared" si="113"/>
        <v>1</v>
      </c>
      <c r="AE495">
        <f t="shared" si="114"/>
        <v>1</v>
      </c>
      <c r="AF495">
        <f t="shared" si="115"/>
        <v>1</v>
      </c>
      <c r="AG495">
        <f t="shared" si="116"/>
        <v>100</v>
      </c>
    </row>
    <row r="496" spans="1:33" x14ac:dyDescent="0.2">
      <c r="A496" t="s">
        <v>127</v>
      </c>
      <c r="B496" t="s">
        <v>128</v>
      </c>
      <c r="C496">
        <v>495</v>
      </c>
      <c r="D496">
        <v>62641</v>
      </c>
      <c r="E496" t="s">
        <v>1232</v>
      </c>
      <c r="F496" t="s">
        <v>70</v>
      </c>
      <c r="G496" t="s">
        <v>10</v>
      </c>
      <c r="H496" t="s">
        <v>8</v>
      </c>
      <c r="I496" t="s">
        <v>91</v>
      </c>
      <c r="J496">
        <v>58</v>
      </c>
      <c r="K496">
        <v>0.03</v>
      </c>
      <c r="L496">
        <v>1</v>
      </c>
      <c r="M496">
        <v>1</v>
      </c>
      <c r="N496">
        <v>1</v>
      </c>
      <c r="O496">
        <v>100</v>
      </c>
      <c r="P496" t="b">
        <f t="shared" si="107"/>
        <v>0</v>
      </c>
      <c r="S496" t="str">
        <f t="shared" si="117"/>
        <v>LATER</v>
      </c>
      <c r="T496" t="str">
        <f t="shared" si="118"/>
        <v>SainteLague</v>
      </c>
      <c r="U496">
        <f t="shared" si="120"/>
        <v>495</v>
      </c>
      <c r="V496">
        <f t="shared" si="119"/>
        <v>62641</v>
      </c>
      <c r="W496" s="8" t="str">
        <f>VLOOKUP(V496,'ideas-input'!$A:$B,2,FALSE)</f>
        <v>Optimización del CAU mediante herramientas de autodiagnóstico para operativas críticas</v>
      </c>
      <c r="X496" t="str">
        <f t="shared" si="108"/>
        <v>CIO</v>
      </c>
      <c r="Y496" s="8" t="str">
        <f>VLOOKUP(V496,'ideas-input'!$A:$D,4,FALSE)</f>
        <v>eCommerce</v>
      </c>
      <c r="Z496" t="str">
        <f t="shared" si="109"/>
        <v>Technology</v>
      </c>
      <c r="AA496" t="str">
        <f t="shared" si="110"/>
        <v>Backlog</v>
      </c>
      <c r="AB496">
        <f t="shared" si="111"/>
        <v>58</v>
      </c>
      <c r="AC496">
        <f t="shared" si="112"/>
        <v>0.03</v>
      </c>
      <c r="AD496">
        <f t="shared" si="113"/>
        <v>1</v>
      </c>
      <c r="AE496">
        <f t="shared" si="114"/>
        <v>1</v>
      </c>
      <c r="AF496">
        <f t="shared" si="115"/>
        <v>1</v>
      </c>
      <c r="AG496">
        <f t="shared" si="116"/>
        <v>100</v>
      </c>
    </row>
    <row r="497" spans="1:33" x14ac:dyDescent="0.2">
      <c r="A497" t="s">
        <v>127</v>
      </c>
      <c r="B497" t="s">
        <v>128</v>
      </c>
      <c r="C497">
        <v>496</v>
      </c>
      <c r="D497">
        <v>100092</v>
      </c>
      <c r="E497" t="s">
        <v>1231</v>
      </c>
      <c r="F497" t="s">
        <v>58</v>
      </c>
      <c r="G497" t="s">
        <v>379</v>
      </c>
      <c r="H497" t="s">
        <v>8</v>
      </c>
      <c r="I497" t="s">
        <v>91</v>
      </c>
      <c r="J497">
        <v>11</v>
      </c>
      <c r="K497">
        <v>0.03</v>
      </c>
      <c r="L497">
        <v>1</v>
      </c>
      <c r="M497">
        <v>1</v>
      </c>
      <c r="N497">
        <v>1</v>
      </c>
      <c r="O497">
        <v>100</v>
      </c>
      <c r="P497" t="b">
        <f t="shared" si="107"/>
        <v>0</v>
      </c>
      <c r="S497" t="str">
        <f t="shared" si="117"/>
        <v>LATER</v>
      </c>
      <c r="T497" t="str">
        <f t="shared" si="118"/>
        <v>SainteLague</v>
      </c>
      <c r="U497">
        <f t="shared" si="120"/>
        <v>496</v>
      </c>
      <c r="V497">
        <f t="shared" si="119"/>
        <v>100092</v>
      </c>
      <c r="W497" s="8" t="str">
        <f>VLOOKUP(V497,'ideas-input'!$A:$B,2,FALSE)</f>
        <v>PEF - Descontinuação da utilização do FTP</v>
      </c>
      <c r="X497" t="str">
        <f t="shared" si="108"/>
        <v>SI-PRD</v>
      </c>
      <c r="Y497" s="8" t="str">
        <f>VLOOKUP(V497,'ideas-input'!$A:$D,4,FALSE)</f>
        <v>Business Solutions</v>
      </c>
      <c r="Z497" t="str">
        <f t="shared" si="109"/>
        <v>Technology</v>
      </c>
      <c r="AA497" t="str">
        <f t="shared" si="110"/>
        <v>Backlog</v>
      </c>
      <c r="AB497">
        <f t="shared" si="111"/>
        <v>11</v>
      </c>
      <c r="AC497">
        <f t="shared" si="112"/>
        <v>0.03</v>
      </c>
      <c r="AD497">
        <f t="shared" si="113"/>
        <v>1</v>
      </c>
      <c r="AE497">
        <f t="shared" si="114"/>
        <v>1</v>
      </c>
      <c r="AF497">
        <f t="shared" si="115"/>
        <v>1</v>
      </c>
      <c r="AG497">
        <f t="shared" si="116"/>
        <v>100</v>
      </c>
    </row>
    <row r="498" spans="1:33" x14ac:dyDescent="0.2">
      <c r="A498" t="s">
        <v>127</v>
      </c>
      <c r="B498" t="s">
        <v>128</v>
      </c>
      <c r="C498">
        <v>497</v>
      </c>
      <c r="D498">
        <v>55559</v>
      </c>
      <c r="E498" t="s">
        <v>237</v>
      </c>
      <c r="F498" t="s">
        <v>68</v>
      </c>
      <c r="G498" t="s">
        <v>10</v>
      </c>
      <c r="H498" t="s">
        <v>5</v>
      </c>
      <c r="I498" t="s">
        <v>91</v>
      </c>
      <c r="J498">
        <v>21</v>
      </c>
      <c r="K498">
        <v>0.03</v>
      </c>
      <c r="L498">
        <v>1</v>
      </c>
      <c r="M498">
        <v>1</v>
      </c>
      <c r="N498">
        <v>1</v>
      </c>
      <c r="O498">
        <v>100</v>
      </c>
      <c r="P498" t="b">
        <f t="shared" si="107"/>
        <v>0</v>
      </c>
      <c r="S498" t="str">
        <f t="shared" si="117"/>
        <v>LATER</v>
      </c>
      <c r="T498" t="str">
        <f t="shared" si="118"/>
        <v>SainteLague</v>
      </c>
      <c r="U498">
        <f t="shared" si="120"/>
        <v>497</v>
      </c>
      <c r="V498">
        <f t="shared" si="119"/>
        <v>55559</v>
      </c>
      <c r="W498" s="8" t="str">
        <f>VLOOKUP(V498,'ideas-input'!$A:$B,2,FALSE)</f>
        <v>[WebHook] - Factor Libre 4096600005 solo entorno de test</v>
      </c>
      <c r="X498" t="str">
        <f t="shared" si="108"/>
        <v>IDC</v>
      </c>
      <c r="Y498" s="8" t="str">
        <f>VLOOKUP(V498,'ideas-input'!$A:$D,4,FALSE)</f>
        <v>eCommerce</v>
      </c>
      <c r="Z498" t="str">
        <f t="shared" si="109"/>
        <v>Commercial</v>
      </c>
      <c r="AA498" t="str">
        <f t="shared" si="110"/>
        <v>Backlog</v>
      </c>
      <c r="AB498">
        <f t="shared" si="111"/>
        <v>21</v>
      </c>
      <c r="AC498">
        <f t="shared" si="112"/>
        <v>0.03</v>
      </c>
      <c r="AD498">
        <f t="shared" si="113"/>
        <v>1</v>
      </c>
      <c r="AE498">
        <f t="shared" si="114"/>
        <v>1</v>
      </c>
      <c r="AF498">
        <f t="shared" si="115"/>
        <v>1</v>
      </c>
      <c r="AG498">
        <f t="shared" si="116"/>
        <v>100</v>
      </c>
    </row>
    <row r="499" spans="1:33" x14ac:dyDescent="0.2">
      <c r="A499" t="s">
        <v>127</v>
      </c>
      <c r="B499" t="s">
        <v>128</v>
      </c>
      <c r="C499">
        <v>498</v>
      </c>
      <c r="D499">
        <v>124619</v>
      </c>
      <c r="E499" t="s">
        <v>1268</v>
      </c>
      <c r="F499" t="s">
        <v>23</v>
      </c>
      <c r="G499" t="s">
        <v>379</v>
      </c>
      <c r="H499" t="s">
        <v>5</v>
      </c>
      <c r="I499" t="s">
        <v>91</v>
      </c>
      <c r="J499">
        <v>14</v>
      </c>
      <c r="K499">
        <v>0.03</v>
      </c>
      <c r="L499">
        <v>1</v>
      </c>
      <c r="M499">
        <v>1</v>
      </c>
      <c r="N499">
        <v>1</v>
      </c>
      <c r="O499">
        <v>100</v>
      </c>
      <c r="P499" t="b">
        <f t="shared" si="107"/>
        <v>0</v>
      </c>
      <c r="S499" t="str">
        <f t="shared" si="117"/>
        <v>LATER</v>
      </c>
      <c r="T499" t="str">
        <f t="shared" si="118"/>
        <v>SainteLague</v>
      </c>
      <c r="U499">
        <f t="shared" si="120"/>
        <v>498</v>
      </c>
      <c r="V499">
        <f t="shared" si="119"/>
        <v>124619</v>
      </c>
      <c r="W499" s="8" t="str">
        <f>VLOOKUP(V499,'ideas-input'!$A:$B,2,FALSE)</f>
        <v>Envios Online &amp; Super APP | Serviço de Ponto de Entrega</v>
      </c>
      <c r="X499" t="str">
        <f t="shared" si="108"/>
        <v>GP ECL</v>
      </c>
      <c r="Y499" s="8" t="str">
        <f>VLOOKUP(V499,'ideas-input'!$A:$D,4,FALSE)</f>
        <v>eCommerce</v>
      </c>
      <c r="Z499" t="str">
        <f t="shared" si="109"/>
        <v>Commercial</v>
      </c>
      <c r="AA499" t="str">
        <f t="shared" si="110"/>
        <v>Backlog</v>
      </c>
      <c r="AB499">
        <f t="shared" si="111"/>
        <v>14</v>
      </c>
      <c r="AC499">
        <f t="shared" si="112"/>
        <v>0.03</v>
      </c>
      <c r="AD499">
        <f t="shared" si="113"/>
        <v>1</v>
      </c>
      <c r="AE499">
        <f t="shared" si="114"/>
        <v>1</v>
      </c>
      <c r="AF499">
        <f t="shared" si="115"/>
        <v>1</v>
      </c>
      <c r="AG499">
        <f t="shared" si="116"/>
        <v>100</v>
      </c>
    </row>
    <row r="500" spans="1:33" x14ac:dyDescent="0.2">
      <c r="A500" t="s">
        <v>127</v>
      </c>
      <c r="B500" t="s">
        <v>128</v>
      </c>
      <c r="C500">
        <v>499</v>
      </c>
      <c r="D500">
        <v>45893</v>
      </c>
      <c r="E500" t="s">
        <v>1220</v>
      </c>
      <c r="F500" t="s">
        <v>65</v>
      </c>
      <c r="G500" t="s">
        <v>10</v>
      </c>
      <c r="H500" t="s">
        <v>5</v>
      </c>
      <c r="I500" t="s">
        <v>97</v>
      </c>
      <c r="J500">
        <v>31</v>
      </c>
      <c r="K500">
        <v>0.03</v>
      </c>
      <c r="L500">
        <v>1</v>
      </c>
      <c r="M500">
        <v>1</v>
      </c>
      <c r="N500">
        <v>1</v>
      </c>
      <c r="O500">
        <v>100</v>
      </c>
      <c r="P500" t="b">
        <f t="shared" si="107"/>
        <v>0</v>
      </c>
      <c r="S500" t="str">
        <f t="shared" si="117"/>
        <v>LATER</v>
      </c>
      <c r="T500" t="str">
        <f t="shared" si="118"/>
        <v>SainteLague</v>
      </c>
      <c r="U500">
        <f t="shared" si="120"/>
        <v>499</v>
      </c>
      <c r="V500">
        <f t="shared" si="119"/>
        <v>45893</v>
      </c>
      <c r="W500" s="8" t="str">
        <f>VLOOKUP(V500,'ideas-input'!$A:$B,2,FALSE)</f>
        <v>[Nexus]-[Minerva]- CTT 14h MINERVA Óptica (Nuevo producto comercial)</v>
      </c>
      <c r="X500" t="str">
        <f t="shared" si="108"/>
        <v>CMO</v>
      </c>
      <c r="Y500" s="8" t="str">
        <f>VLOOKUP(V500,'ideas-input'!$A:$D,4,FALSE)</f>
        <v>eCommerce</v>
      </c>
      <c r="Z500" t="str">
        <f t="shared" si="109"/>
        <v>Commercial</v>
      </c>
      <c r="AA500" t="str">
        <f t="shared" si="110"/>
        <v>Ready for Solution</v>
      </c>
      <c r="AB500">
        <f t="shared" si="111"/>
        <v>31</v>
      </c>
      <c r="AC500">
        <f t="shared" si="112"/>
        <v>0.03</v>
      </c>
      <c r="AD500">
        <f t="shared" si="113"/>
        <v>1</v>
      </c>
      <c r="AE500">
        <f t="shared" si="114"/>
        <v>1</v>
      </c>
      <c r="AF500">
        <f t="shared" si="115"/>
        <v>1</v>
      </c>
      <c r="AG500">
        <f t="shared" si="116"/>
        <v>100</v>
      </c>
    </row>
    <row r="501" spans="1:33" x14ac:dyDescent="0.2">
      <c r="A501" t="s">
        <v>127</v>
      </c>
      <c r="B501" t="s">
        <v>128</v>
      </c>
      <c r="C501">
        <v>500</v>
      </c>
      <c r="D501">
        <v>140483</v>
      </c>
      <c r="E501" t="s">
        <v>1234</v>
      </c>
      <c r="F501" t="s">
        <v>9</v>
      </c>
      <c r="G501" t="s">
        <v>379</v>
      </c>
      <c r="H501" t="s">
        <v>8</v>
      </c>
      <c r="I501" t="s">
        <v>95</v>
      </c>
      <c r="J501">
        <v>29</v>
      </c>
      <c r="K501">
        <v>4</v>
      </c>
      <c r="L501">
        <v>2</v>
      </c>
      <c r="M501">
        <v>1</v>
      </c>
      <c r="N501">
        <v>1</v>
      </c>
      <c r="O501">
        <v>1</v>
      </c>
      <c r="P501" t="b">
        <f t="shared" si="107"/>
        <v>0</v>
      </c>
      <c r="S501" t="str">
        <f t="shared" si="117"/>
        <v>LATER</v>
      </c>
      <c r="T501" t="str">
        <f t="shared" si="118"/>
        <v>SainteLague</v>
      </c>
      <c r="U501">
        <f t="shared" si="120"/>
        <v>500</v>
      </c>
      <c r="V501">
        <f t="shared" si="119"/>
        <v>140483</v>
      </c>
      <c r="W501" s="8" t="str">
        <f>VLOOKUP(V501,'ideas-input'!$A:$B,2,FALSE)</f>
        <v>INT | - Evolutivo Mulesoft - Março e Abril</v>
      </c>
      <c r="X501" t="str">
        <f t="shared" si="108"/>
        <v>SI</v>
      </c>
      <c r="Y501" s="8" t="str">
        <f>VLOOKUP(V501,'ideas-input'!$A:$D,4,FALSE)</f>
        <v>Mail</v>
      </c>
      <c r="Z501" t="str">
        <f t="shared" si="109"/>
        <v>Technology</v>
      </c>
      <c r="AA501" t="str">
        <f t="shared" si="110"/>
        <v>In Definition</v>
      </c>
      <c r="AB501">
        <f t="shared" si="111"/>
        <v>29</v>
      </c>
      <c r="AC501">
        <f t="shared" si="112"/>
        <v>4</v>
      </c>
      <c r="AD501">
        <f t="shared" si="113"/>
        <v>2</v>
      </c>
      <c r="AE501">
        <f t="shared" si="114"/>
        <v>1</v>
      </c>
      <c r="AF501">
        <f t="shared" si="115"/>
        <v>1</v>
      </c>
      <c r="AG501">
        <f t="shared" si="116"/>
        <v>1</v>
      </c>
    </row>
    <row r="502" spans="1:33" x14ac:dyDescent="0.2">
      <c r="A502" t="s">
        <v>127</v>
      </c>
      <c r="B502" t="s">
        <v>128</v>
      </c>
      <c r="C502">
        <v>501</v>
      </c>
      <c r="D502">
        <v>56222</v>
      </c>
      <c r="E502" t="s">
        <v>251</v>
      </c>
      <c r="F502" t="s">
        <v>69</v>
      </c>
      <c r="G502" t="s">
        <v>10</v>
      </c>
      <c r="H502" t="s">
        <v>12</v>
      </c>
      <c r="I502" t="s">
        <v>91</v>
      </c>
      <c r="J502">
        <v>26</v>
      </c>
      <c r="K502">
        <v>0.03</v>
      </c>
      <c r="L502">
        <v>1</v>
      </c>
      <c r="M502">
        <v>1</v>
      </c>
      <c r="N502">
        <v>1</v>
      </c>
      <c r="O502">
        <v>100</v>
      </c>
      <c r="P502" t="b">
        <f t="shared" si="107"/>
        <v>0</v>
      </c>
      <c r="S502" t="str">
        <f t="shared" si="117"/>
        <v>LATER</v>
      </c>
      <c r="T502" t="str">
        <f t="shared" si="118"/>
        <v>SainteLague</v>
      </c>
      <c r="U502">
        <f t="shared" si="120"/>
        <v>501</v>
      </c>
      <c r="V502">
        <f t="shared" si="119"/>
        <v>56222</v>
      </c>
      <c r="W502" s="8" t="str">
        <f>VLOOKUP(V502,'ideas-input'!$A:$B,2,FALSE)</f>
        <v>Nueva funcionalidad SGC: Nuevas opciones de cambios masivos</v>
      </c>
      <c r="X502" t="str">
        <f t="shared" si="108"/>
        <v>CFO</v>
      </c>
      <c r="Y502" s="8" t="str">
        <f>VLOOKUP(V502,'ideas-input'!$A:$D,4,FALSE)</f>
        <v>eCommerce</v>
      </c>
      <c r="Z502" t="str">
        <f t="shared" si="109"/>
        <v>Corporate</v>
      </c>
      <c r="AA502" t="str">
        <f t="shared" si="110"/>
        <v>Backlog</v>
      </c>
      <c r="AB502">
        <f t="shared" si="111"/>
        <v>26</v>
      </c>
      <c r="AC502">
        <f t="shared" si="112"/>
        <v>0.03</v>
      </c>
      <c r="AD502">
        <f t="shared" si="113"/>
        <v>1</v>
      </c>
      <c r="AE502">
        <f t="shared" si="114"/>
        <v>1</v>
      </c>
      <c r="AF502">
        <f t="shared" si="115"/>
        <v>1</v>
      </c>
      <c r="AG502">
        <f t="shared" si="116"/>
        <v>100</v>
      </c>
    </row>
    <row r="503" spans="1:33" x14ac:dyDescent="0.2">
      <c r="A503" t="s">
        <v>127</v>
      </c>
      <c r="B503" t="s">
        <v>128</v>
      </c>
      <c r="C503">
        <v>502</v>
      </c>
      <c r="D503">
        <v>173278</v>
      </c>
      <c r="E503" t="s">
        <v>248</v>
      </c>
      <c r="F503" t="s">
        <v>38</v>
      </c>
      <c r="G503" t="s">
        <v>379</v>
      </c>
      <c r="H503" t="s">
        <v>5</v>
      </c>
      <c r="I503" t="s">
        <v>91</v>
      </c>
      <c r="J503">
        <v>9</v>
      </c>
      <c r="K503">
        <v>0.03</v>
      </c>
      <c r="L503">
        <v>1</v>
      </c>
      <c r="M503">
        <v>1</v>
      </c>
      <c r="N503">
        <v>1</v>
      </c>
      <c r="O503">
        <v>100</v>
      </c>
      <c r="P503" t="b">
        <f t="shared" si="107"/>
        <v>0</v>
      </c>
      <c r="S503" t="str">
        <f t="shared" si="117"/>
        <v>LATER</v>
      </c>
      <c r="T503" t="str">
        <f t="shared" si="118"/>
        <v>SainteLague</v>
      </c>
      <c r="U503">
        <f t="shared" si="120"/>
        <v>502</v>
      </c>
      <c r="V503">
        <f t="shared" si="119"/>
        <v>173278</v>
      </c>
      <c r="W503" s="8" t="str">
        <f>VLOOKUP(V503,'ideas-input'!$A:$B,2,FALSE)</f>
        <v>Motor de Pesquisa de Varios objetos no SGC</v>
      </c>
      <c r="X503" t="str">
        <f t="shared" si="108"/>
        <v>CSI</v>
      </c>
      <c r="Y503" s="8" t="str">
        <f>VLOOKUP(V503,'ideas-input'!$A:$D,4,FALSE)</f>
        <v>Mail</v>
      </c>
      <c r="Z503" t="str">
        <f t="shared" si="109"/>
        <v>Commercial</v>
      </c>
      <c r="AA503" t="str">
        <f t="shared" si="110"/>
        <v>Backlog</v>
      </c>
      <c r="AB503">
        <f t="shared" si="111"/>
        <v>9</v>
      </c>
      <c r="AC503">
        <f t="shared" si="112"/>
        <v>0.03</v>
      </c>
      <c r="AD503">
        <f t="shared" si="113"/>
        <v>1</v>
      </c>
      <c r="AE503">
        <f t="shared" si="114"/>
        <v>1</v>
      </c>
      <c r="AF503">
        <f t="shared" si="115"/>
        <v>1</v>
      </c>
      <c r="AG503">
        <f t="shared" si="116"/>
        <v>100</v>
      </c>
    </row>
    <row r="504" spans="1:33" x14ac:dyDescent="0.2">
      <c r="A504" t="s">
        <v>127</v>
      </c>
      <c r="B504" t="s">
        <v>128</v>
      </c>
      <c r="C504">
        <v>503</v>
      </c>
      <c r="D504">
        <v>63173</v>
      </c>
      <c r="E504" t="s">
        <v>1236</v>
      </c>
      <c r="F504" t="s">
        <v>70</v>
      </c>
      <c r="G504" t="s">
        <v>10</v>
      </c>
      <c r="H504" t="s">
        <v>8</v>
      </c>
      <c r="I504" t="s">
        <v>91</v>
      </c>
      <c r="J504">
        <v>59</v>
      </c>
      <c r="K504">
        <v>0.03</v>
      </c>
      <c r="L504">
        <v>1</v>
      </c>
      <c r="M504">
        <v>1</v>
      </c>
      <c r="N504">
        <v>1</v>
      </c>
      <c r="O504">
        <v>100</v>
      </c>
      <c r="P504" t="b">
        <f t="shared" si="107"/>
        <v>0</v>
      </c>
      <c r="S504" t="str">
        <f t="shared" si="117"/>
        <v>LATER</v>
      </c>
      <c r="T504" t="str">
        <f t="shared" si="118"/>
        <v>SainteLague</v>
      </c>
      <c r="U504">
        <f t="shared" si="120"/>
        <v>503</v>
      </c>
      <c r="V504">
        <f t="shared" si="119"/>
        <v>63173</v>
      </c>
      <c r="W504" s="8" t="str">
        <f>VLOOKUP(V504,'ideas-input'!$A:$B,2,FALSE)</f>
        <v>Federación de acceso a Salesforce mediante SSO - EntraID</v>
      </c>
      <c r="X504" t="str">
        <f t="shared" si="108"/>
        <v>CIO</v>
      </c>
      <c r="Y504" s="8" t="str">
        <f>VLOOKUP(V504,'ideas-input'!$A:$D,4,FALSE)</f>
        <v>eCommerce</v>
      </c>
      <c r="Z504" t="str">
        <f t="shared" si="109"/>
        <v>Technology</v>
      </c>
      <c r="AA504" t="str">
        <f t="shared" si="110"/>
        <v>Backlog</v>
      </c>
      <c r="AB504">
        <f t="shared" si="111"/>
        <v>59</v>
      </c>
      <c r="AC504">
        <f t="shared" si="112"/>
        <v>0.03</v>
      </c>
      <c r="AD504">
        <f t="shared" si="113"/>
        <v>1</v>
      </c>
      <c r="AE504">
        <f t="shared" si="114"/>
        <v>1</v>
      </c>
      <c r="AF504">
        <f t="shared" si="115"/>
        <v>1</v>
      </c>
      <c r="AG504">
        <f t="shared" si="116"/>
        <v>100</v>
      </c>
    </row>
    <row r="505" spans="1:33" x14ac:dyDescent="0.2">
      <c r="A505" t="s">
        <v>127</v>
      </c>
      <c r="B505" t="s">
        <v>128</v>
      </c>
      <c r="C505">
        <v>504</v>
      </c>
      <c r="D505">
        <v>140528</v>
      </c>
      <c r="E505" t="s">
        <v>1273</v>
      </c>
      <c r="F505" t="s">
        <v>37</v>
      </c>
      <c r="G505" t="s">
        <v>379</v>
      </c>
      <c r="H505" t="s">
        <v>5</v>
      </c>
      <c r="I505" t="s">
        <v>91</v>
      </c>
      <c r="J505">
        <v>11</v>
      </c>
      <c r="K505">
        <v>0.03</v>
      </c>
      <c r="L505">
        <v>1</v>
      </c>
      <c r="M505">
        <v>1</v>
      </c>
      <c r="N505">
        <v>1</v>
      </c>
      <c r="O505">
        <v>100</v>
      </c>
      <c r="P505" t="b">
        <f t="shared" si="107"/>
        <v>0</v>
      </c>
      <c r="S505" t="str">
        <f t="shared" si="117"/>
        <v>LATER</v>
      </c>
      <c r="T505" t="str">
        <f t="shared" si="118"/>
        <v>SainteLague</v>
      </c>
      <c r="U505">
        <f t="shared" si="120"/>
        <v>504</v>
      </c>
      <c r="V505">
        <f t="shared" si="119"/>
        <v>140528</v>
      </c>
      <c r="W505" s="8" t="str">
        <f>VLOOKUP(V505,'ideas-input'!$A:$B,2,FALSE)</f>
        <v>integração de objetos com destino a Espanha do Cliente NOS</v>
      </c>
      <c r="X505" t="str">
        <f t="shared" si="108"/>
        <v>GS</v>
      </c>
      <c r="Y505" s="8" t="str">
        <f>VLOOKUP(V505,'ideas-input'!$A:$D,4,FALSE)</f>
        <v>Business Solutions</v>
      </c>
      <c r="Z505" t="str">
        <f t="shared" si="109"/>
        <v>Commercial</v>
      </c>
      <c r="AA505" t="str">
        <f t="shared" si="110"/>
        <v>Backlog</v>
      </c>
      <c r="AB505">
        <f t="shared" si="111"/>
        <v>11</v>
      </c>
      <c r="AC505">
        <f t="shared" si="112"/>
        <v>0.03</v>
      </c>
      <c r="AD505">
        <f t="shared" si="113"/>
        <v>1</v>
      </c>
      <c r="AE505">
        <f t="shared" si="114"/>
        <v>1</v>
      </c>
      <c r="AF505">
        <f t="shared" si="115"/>
        <v>1</v>
      </c>
      <c r="AG505">
        <f t="shared" si="116"/>
        <v>100</v>
      </c>
    </row>
    <row r="506" spans="1:33" x14ac:dyDescent="0.2">
      <c r="A506" t="s">
        <v>127</v>
      </c>
      <c r="B506" t="s">
        <v>128</v>
      </c>
      <c r="C506">
        <v>505</v>
      </c>
      <c r="D506">
        <v>55564</v>
      </c>
      <c r="E506" t="s">
        <v>1312</v>
      </c>
      <c r="F506" t="s">
        <v>66</v>
      </c>
      <c r="G506" t="s">
        <v>10</v>
      </c>
      <c r="H506" t="s">
        <v>5</v>
      </c>
      <c r="I506" t="s">
        <v>91</v>
      </c>
      <c r="J506">
        <v>25</v>
      </c>
      <c r="K506">
        <v>0.03</v>
      </c>
      <c r="L506">
        <v>1</v>
      </c>
      <c r="M506">
        <v>1</v>
      </c>
      <c r="N506">
        <v>1</v>
      </c>
      <c r="O506">
        <v>100</v>
      </c>
      <c r="P506" t="b">
        <f t="shared" si="107"/>
        <v>0</v>
      </c>
      <c r="S506" t="str">
        <f t="shared" si="117"/>
        <v>LATER</v>
      </c>
      <c r="T506" t="str">
        <f t="shared" si="118"/>
        <v>SainteLague</v>
      </c>
      <c r="U506">
        <f t="shared" si="120"/>
        <v>505</v>
      </c>
      <c r="V506">
        <f t="shared" si="119"/>
        <v>55564</v>
      </c>
      <c r="W506" s="8" t="str">
        <f>VLOOKUP(V506,'ideas-input'!$A:$B,2,FALSE)</f>
        <v>[Qlik] - Nuevos KPIS en Analítica Comercial</v>
      </c>
      <c r="X506" t="str">
        <f t="shared" si="108"/>
        <v>CCO</v>
      </c>
      <c r="Y506" s="8" t="str">
        <f>VLOOKUP(V506,'ideas-input'!$A:$D,4,FALSE)</f>
        <v>eCommerce</v>
      </c>
      <c r="Z506" t="str">
        <f t="shared" si="109"/>
        <v>Commercial</v>
      </c>
      <c r="AA506" t="str">
        <f t="shared" si="110"/>
        <v>Backlog</v>
      </c>
      <c r="AB506">
        <f t="shared" si="111"/>
        <v>25</v>
      </c>
      <c r="AC506">
        <f t="shared" si="112"/>
        <v>0.03</v>
      </c>
      <c r="AD506">
        <f t="shared" si="113"/>
        <v>1</v>
      </c>
      <c r="AE506">
        <f t="shared" si="114"/>
        <v>1</v>
      </c>
      <c r="AF506">
        <f t="shared" si="115"/>
        <v>1</v>
      </c>
      <c r="AG506">
        <f t="shared" si="116"/>
        <v>100</v>
      </c>
    </row>
    <row r="507" spans="1:33" x14ac:dyDescent="0.2">
      <c r="A507" t="s">
        <v>127</v>
      </c>
      <c r="B507" t="s">
        <v>128</v>
      </c>
      <c r="C507">
        <v>506</v>
      </c>
      <c r="D507">
        <v>49513</v>
      </c>
      <c r="E507" t="s">
        <v>1237</v>
      </c>
      <c r="F507" t="s">
        <v>9</v>
      </c>
      <c r="G507" t="s">
        <v>379</v>
      </c>
      <c r="H507" t="s">
        <v>8</v>
      </c>
      <c r="I507" t="s">
        <v>91</v>
      </c>
      <c r="J507">
        <v>30</v>
      </c>
      <c r="K507">
        <v>0.03</v>
      </c>
      <c r="L507">
        <v>1</v>
      </c>
      <c r="M507">
        <v>1</v>
      </c>
      <c r="N507">
        <v>1</v>
      </c>
      <c r="O507">
        <v>100</v>
      </c>
      <c r="P507" t="b">
        <f t="shared" si="107"/>
        <v>0</v>
      </c>
      <c r="S507" t="str">
        <f t="shared" si="117"/>
        <v>LATER</v>
      </c>
      <c r="T507" t="str">
        <f t="shared" si="118"/>
        <v>SainteLague</v>
      </c>
      <c r="U507">
        <f t="shared" si="120"/>
        <v>506</v>
      </c>
      <c r="V507">
        <f t="shared" si="119"/>
        <v>49513</v>
      </c>
      <c r="W507" s="8" t="str">
        <f>VLOOKUP(V507,'ideas-input'!$A:$B,2,FALSE)</f>
        <v>APT | Mata Aplicações Wave 1.12 - GCC</v>
      </c>
      <c r="X507" t="str">
        <f t="shared" si="108"/>
        <v>SI</v>
      </c>
      <c r="Y507" s="8" t="str">
        <f>VLOOKUP(V507,'ideas-input'!$A:$D,4,FALSE)</f>
        <v>Mail</v>
      </c>
      <c r="Z507" t="str">
        <f t="shared" si="109"/>
        <v>Technology</v>
      </c>
      <c r="AA507" t="str">
        <f t="shared" si="110"/>
        <v>Backlog</v>
      </c>
      <c r="AB507">
        <f t="shared" si="111"/>
        <v>30</v>
      </c>
      <c r="AC507">
        <f t="shared" si="112"/>
        <v>0.03</v>
      </c>
      <c r="AD507">
        <f t="shared" si="113"/>
        <v>1</v>
      </c>
      <c r="AE507">
        <f t="shared" si="114"/>
        <v>1</v>
      </c>
      <c r="AF507">
        <f t="shared" si="115"/>
        <v>1</v>
      </c>
      <c r="AG507">
        <f t="shared" si="116"/>
        <v>100</v>
      </c>
    </row>
    <row r="508" spans="1:33" x14ac:dyDescent="0.2">
      <c r="A508" t="s">
        <v>127</v>
      </c>
      <c r="B508" t="s">
        <v>128</v>
      </c>
      <c r="C508">
        <v>507</v>
      </c>
      <c r="D508">
        <v>52049</v>
      </c>
      <c r="E508" t="s">
        <v>1102</v>
      </c>
      <c r="F508" t="s">
        <v>71</v>
      </c>
      <c r="G508" t="s">
        <v>10</v>
      </c>
      <c r="H508" t="s">
        <v>12</v>
      </c>
      <c r="I508" t="s">
        <v>91</v>
      </c>
      <c r="J508">
        <v>7</v>
      </c>
      <c r="K508">
        <v>0.03</v>
      </c>
      <c r="L508">
        <v>1</v>
      </c>
      <c r="M508">
        <v>1</v>
      </c>
      <c r="N508">
        <v>1</v>
      </c>
      <c r="O508">
        <v>100</v>
      </c>
      <c r="P508" t="b">
        <f t="shared" si="107"/>
        <v>0</v>
      </c>
      <c r="S508" t="str">
        <f t="shared" si="117"/>
        <v>LATER</v>
      </c>
      <c r="T508" t="str">
        <f t="shared" si="118"/>
        <v>SainteLague</v>
      </c>
      <c r="U508">
        <f t="shared" si="120"/>
        <v>507</v>
      </c>
      <c r="V508">
        <f t="shared" si="119"/>
        <v>52049</v>
      </c>
      <c r="W508" s="8" t="str">
        <f>VLOOKUP(V508,'ideas-input'!$A:$B,2,FALSE)</f>
        <v>[Auditoria PT] Pruebas sobre calidad de datos declarados por clientes con facturación basada en el peso y/o las medidas declaradas</v>
      </c>
      <c r="X508" t="str">
        <f t="shared" si="108"/>
        <v>PRO</v>
      </c>
      <c r="Y508" s="8" t="str">
        <f>VLOOKUP(V508,'ideas-input'!$A:$D,4,FALSE)</f>
        <v>eCommerce</v>
      </c>
      <c r="Z508" t="str">
        <f t="shared" si="109"/>
        <v>Corporate</v>
      </c>
      <c r="AA508" t="str">
        <f t="shared" si="110"/>
        <v>Backlog</v>
      </c>
      <c r="AB508">
        <f t="shared" si="111"/>
        <v>7</v>
      </c>
      <c r="AC508">
        <f t="shared" si="112"/>
        <v>0.03</v>
      </c>
      <c r="AD508">
        <f t="shared" si="113"/>
        <v>1</v>
      </c>
      <c r="AE508">
        <f t="shared" si="114"/>
        <v>1</v>
      </c>
      <c r="AF508">
        <f t="shared" si="115"/>
        <v>1</v>
      </c>
      <c r="AG508">
        <f t="shared" si="116"/>
        <v>100</v>
      </c>
    </row>
    <row r="509" spans="1:33" x14ac:dyDescent="0.2">
      <c r="A509" t="s">
        <v>127</v>
      </c>
      <c r="B509" t="s">
        <v>128</v>
      </c>
      <c r="C509">
        <v>508</v>
      </c>
      <c r="D509">
        <v>125697</v>
      </c>
      <c r="E509" t="s">
        <v>1274</v>
      </c>
      <c r="F509" t="s">
        <v>21</v>
      </c>
      <c r="G509" t="s">
        <v>379</v>
      </c>
      <c r="H509" t="s">
        <v>5</v>
      </c>
      <c r="I509" t="s">
        <v>95</v>
      </c>
      <c r="J509">
        <v>15</v>
      </c>
      <c r="K509">
        <v>3</v>
      </c>
      <c r="L509">
        <v>3</v>
      </c>
      <c r="M509">
        <v>3</v>
      </c>
      <c r="N509">
        <v>3</v>
      </c>
      <c r="O509">
        <v>3</v>
      </c>
      <c r="P509" t="b">
        <f t="shared" si="107"/>
        <v>0</v>
      </c>
      <c r="S509" t="str">
        <f t="shared" si="117"/>
        <v>LATER</v>
      </c>
      <c r="T509" t="str">
        <f t="shared" si="118"/>
        <v>SainteLague</v>
      </c>
      <c r="U509">
        <f t="shared" si="120"/>
        <v>508</v>
      </c>
      <c r="V509">
        <f t="shared" si="119"/>
        <v>125697</v>
      </c>
      <c r="W509" s="8" t="str">
        <f>VLOOKUP(V509,'ideas-input'!$A:$B,2,FALSE)</f>
        <v>DeMinimis EUA - Solução para retomar os envios de Bens para os EUA para os clientes não contratuais</v>
      </c>
      <c r="X509" t="str">
        <f t="shared" si="108"/>
        <v>GP B2B</v>
      </c>
      <c r="Y509" s="8" t="str">
        <f>VLOOKUP(V509,'ideas-input'!$A:$D,4,FALSE)</f>
        <v>Mail</v>
      </c>
      <c r="Z509" t="str">
        <f t="shared" si="109"/>
        <v>Commercial</v>
      </c>
      <c r="AA509" t="str">
        <f t="shared" si="110"/>
        <v>In Definition</v>
      </c>
      <c r="AB509">
        <f t="shared" si="111"/>
        <v>15</v>
      </c>
      <c r="AC509">
        <f t="shared" si="112"/>
        <v>3</v>
      </c>
      <c r="AD509">
        <f t="shared" si="113"/>
        <v>3</v>
      </c>
      <c r="AE509">
        <f t="shared" si="114"/>
        <v>3</v>
      </c>
      <c r="AF509">
        <f t="shared" si="115"/>
        <v>3</v>
      </c>
      <c r="AG509">
        <f t="shared" si="116"/>
        <v>3</v>
      </c>
    </row>
    <row r="510" spans="1:33" x14ac:dyDescent="0.2">
      <c r="A510" t="s">
        <v>127</v>
      </c>
      <c r="B510" t="s">
        <v>128</v>
      </c>
      <c r="C510">
        <v>509</v>
      </c>
      <c r="D510">
        <v>63179</v>
      </c>
      <c r="E510" t="s">
        <v>1241</v>
      </c>
      <c r="F510" t="s">
        <v>70</v>
      </c>
      <c r="G510" t="s">
        <v>10</v>
      </c>
      <c r="H510" t="s">
        <v>8</v>
      </c>
      <c r="I510" t="s">
        <v>91</v>
      </c>
      <c r="J510">
        <v>60</v>
      </c>
      <c r="K510">
        <v>0.03</v>
      </c>
      <c r="L510">
        <v>1</v>
      </c>
      <c r="M510">
        <v>1</v>
      </c>
      <c r="N510">
        <v>1</v>
      </c>
      <c r="O510">
        <v>100</v>
      </c>
      <c r="P510" t="b">
        <f t="shared" si="107"/>
        <v>0</v>
      </c>
      <c r="S510" t="str">
        <f t="shared" si="117"/>
        <v>LATER</v>
      </c>
      <c r="T510" t="str">
        <f t="shared" si="118"/>
        <v>SainteLague</v>
      </c>
      <c r="U510">
        <f t="shared" si="120"/>
        <v>509</v>
      </c>
      <c r="V510">
        <f t="shared" si="119"/>
        <v>63179</v>
      </c>
      <c r="W510" s="8" t="str">
        <f>VLOOKUP(V510,'ideas-input'!$A:$B,2,FALSE)</f>
        <v>MongoDB - Recopilación de usuarios y reset de contraseñas</v>
      </c>
      <c r="X510" t="str">
        <f t="shared" si="108"/>
        <v>CIO</v>
      </c>
      <c r="Y510" s="8" t="str">
        <f>VLOOKUP(V510,'ideas-input'!$A:$D,4,FALSE)</f>
        <v>eCommerce</v>
      </c>
      <c r="Z510" t="str">
        <f t="shared" si="109"/>
        <v>Technology</v>
      </c>
      <c r="AA510" t="str">
        <f t="shared" si="110"/>
        <v>Backlog</v>
      </c>
      <c r="AB510">
        <f t="shared" si="111"/>
        <v>60</v>
      </c>
      <c r="AC510">
        <f t="shared" si="112"/>
        <v>0.03</v>
      </c>
      <c r="AD510">
        <f t="shared" si="113"/>
        <v>1</v>
      </c>
      <c r="AE510">
        <f t="shared" si="114"/>
        <v>1</v>
      </c>
      <c r="AF510">
        <f t="shared" si="115"/>
        <v>1</v>
      </c>
      <c r="AG510">
        <f t="shared" si="116"/>
        <v>100</v>
      </c>
    </row>
    <row r="511" spans="1:33" x14ac:dyDescent="0.2">
      <c r="A511" t="s">
        <v>127</v>
      </c>
      <c r="B511" t="s">
        <v>128</v>
      </c>
      <c r="C511">
        <v>510</v>
      </c>
      <c r="D511">
        <v>126581</v>
      </c>
      <c r="E511" t="s">
        <v>157</v>
      </c>
      <c r="F511" t="s">
        <v>9</v>
      </c>
      <c r="G511" t="s">
        <v>379</v>
      </c>
      <c r="H511" t="s">
        <v>8</v>
      </c>
      <c r="I511" t="s">
        <v>95</v>
      </c>
      <c r="J511">
        <v>31</v>
      </c>
      <c r="K511">
        <v>0.03</v>
      </c>
      <c r="L511">
        <v>1</v>
      </c>
      <c r="M511">
        <v>1</v>
      </c>
      <c r="N511">
        <v>1</v>
      </c>
      <c r="O511">
        <v>100</v>
      </c>
      <c r="P511" t="b">
        <f t="shared" si="107"/>
        <v>0</v>
      </c>
      <c r="S511" t="str">
        <f t="shared" si="117"/>
        <v>LATER</v>
      </c>
      <c r="T511" t="str">
        <f t="shared" si="118"/>
        <v>SainteLague</v>
      </c>
      <c r="U511">
        <f t="shared" si="120"/>
        <v>510</v>
      </c>
      <c r="V511">
        <f t="shared" si="119"/>
        <v>126581</v>
      </c>
      <c r="W511" s="8" t="str">
        <f>VLOOKUP(V511,'ideas-input'!$A:$B,2,FALSE)</f>
        <v>Downgrade 1.200 / 4.186 Microsoft O365 E5 licences (local) to O365 F3 (web) [1/2 year]</v>
      </c>
      <c r="X511" t="str">
        <f t="shared" si="108"/>
        <v>SI</v>
      </c>
      <c r="Y511" s="8" t="str">
        <f>VLOOKUP(V511,'ideas-input'!$A:$D,4,FALSE)</f>
        <v>Mail</v>
      </c>
      <c r="Z511" t="str">
        <f t="shared" si="109"/>
        <v>Technology</v>
      </c>
      <c r="AA511" t="str">
        <f t="shared" si="110"/>
        <v>In Definition</v>
      </c>
      <c r="AB511">
        <f t="shared" si="111"/>
        <v>31</v>
      </c>
      <c r="AC511">
        <f t="shared" si="112"/>
        <v>0.03</v>
      </c>
      <c r="AD511">
        <f t="shared" si="113"/>
        <v>1</v>
      </c>
      <c r="AE511">
        <f t="shared" si="114"/>
        <v>1</v>
      </c>
      <c r="AF511">
        <f t="shared" si="115"/>
        <v>1</v>
      </c>
      <c r="AG511">
        <f t="shared" si="116"/>
        <v>100</v>
      </c>
    </row>
    <row r="512" spans="1:33" x14ac:dyDescent="0.2">
      <c r="A512" t="s">
        <v>127</v>
      </c>
      <c r="B512" t="s">
        <v>128</v>
      </c>
      <c r="C512">
        <v>511</v>
      </c>
      <c r="D512">
        <v>61906</v>
      </c>
      <c r="E512" t="s">
        <v>245</v>
      </c>
      <c r="F512" t="s">
        <v>68</v>
      </c>
      <c r="G512" t="s">
        <v>10</v>
      </c>
      <c r="H512" t="s">
        <v>5</v>
      </c>
      <c r="I512" t="s">
        <v>91</v>
      </c>
      <c r="J512">
        <v>22</v>
      </c>
      <c r="K512">
        <v>0.03</v>
      </c>
      <c r="L512">
        <v>1</v>
      </c>
      <c r="M512">
        <v>1</v>
      </c>
      <c r="N512">
        <v>1</v>
      </c>
      <c r="O512">
        <v>100</v>
      </c>
      <c r="P512" t="b">
        <f t="shared" si="107"/>
        <v>0</v>
      </c>
      <c r="S512" t="str">
        <f t="shared" si="117"/>
        <v>LATER</v>
      </c>
      <c r="T512" t="str">
        <f t="shared" si="118"/>
        <v>SainteLague</v>
      </c>
      <c r="U512">
        <f t="shared" si="120"/>
        <v>511</v>
      </c>
      <c r="V512">
        <f t="shared" si="119"/>
        <v>61906</v>
      </c>
      <c r="W512" s="8" t="str">
        <f>VLOOKUP(V512,'ideas-input'!$A:$B,2,FALSE)</f>
        <v>[ESTADOS VISIBLES] Endpoint Client Experience API REST GET TRACKING - TIK TOK - estados no devueltos - Copy</v>
      </c>
      <c r="X512" t="str">
        <f t="shared" si="108"/>
        <v>IDC</v>
      </c>
      <c r="Y512" s="8" t="str">
        <f>VLOOKUP(V512,'ideas-input'!$A:$D,4,FALSE)</f>
        <v>eCommerce</v>
      </c>
      <c r="Z512" t="str">
        <f t="shared" si="109"/>
        <v>Commercial</v>
      </c>
      <c r="AA512" t="str">
        <f t="shared" si="110"/>
        <v>Backlog</v>
      </c>
      <c r="AB512">
        <f t="shared" si="111"/>
        <v>22</v>
      </c>
      <c r="AC512">
        <f t="shared" si="112"/>
        <v>0.03</v>
      </c>
      <c r="AD512">
        <f t="shared" si="113"/>
        <v>1</v>
      </c>
      <c r="AE512">
        <f t="shared" si="114"/>
        <v>1</v>
      </c>
      <c r="AF512">
        <f t="shared" si="115"/>
        <v>1</v>
      </c>
      <c r="AG512">
        <f t="shared" si="116"/>
        <v>100</v>
      </c>
    </row>
    <row r="513" spans="1:33" x14ac:dyDescent="0.2">
      <c r="A513" t="s">
        <v>127</v>
      </c>
      <c r="B513" t="s">
        <v>128</v>
      </c>
      <c r="C513">
        <v>512</v>
      </c>
      <c r="D513">
        <v>204653</v>
      </c>
      <c r="E513" t="s">
        <v>1277</v>
      </c>
      <c r="F513" t="s">
        <v>23</v>
      </c>
      <c r="G513" t="s">
        <v>379</v>
      </c>
      <c r="H513" t="s">
        <v>5</v>
      </c>
      <c r="I513" t="s">
        <v>95</v>
      </c>
      <c r="J513">
        <v>15</v>
      </c>
      <c r="K513">
        <v>0.03</v>
      </c>
      <c r="L513">
        <v>1</v>
      </c>
      <c r="M513">
        <v>1</v>
      </c>
      <c r="N513">
        <v>1</v>
      </c>
      <c r="O513">
        <v>100</v>
      </c>
      <c r="P513" t="b">
        <f t="shared" si="107"/>
        <v>0</v>
      </c>
      <c r="S513" t="str">
        <f t="shared" si="117"/>
        <v>LATER</v>
      </c>
      <c r="T513" t="str">
        <f t="shared" si="118"/>
        <v>SainteLague</v>
      </c>
      <c r="U513">
        <f t="shared" si="120"/>
        <v>512</v>
      </c>
      <c r="V513">
        <f t="shared" si="119"/>
        <v>204653</v>
      </c>
      <c r="W513" s="8" t="str">
        <f>VLOOKUP(V513,'ideas-input'!$A:$B,2,FALSE)</f>
        <v>GPECL/DIS |PACK EXPRESSO Contabilização automática e Re-atribuição do centro de lucro</v>
      </c>
      <c r="X513" t="str">
        <f t="shared" si="108"/>
        <v>GP ECL</v>
      </c>
      <c r="Y513" s="8" t="str">
        <f>VLOOKUP(V513,'ideas-input'!$A:$D,4,FALSE)</f>
        <v>eCommerce</v>
      </c>
      <c r="Z513" t="str">
        <f t="shared" si="109"/>
        <v>Commercial</v>
      </c>
      <c r="AA513" t="str">
        <f t="shared" si="110"/>
        <v>In Definition</v>
      </c>
      <c r="AB513">
        <f t="shared" si="111"/>
        <v>15</v>
      </c>
      <c r="AC513">
        <f t="shared" si="112"/>
        <v>0.03</v>
      </c>
      <c r="AD513">
        <f t="shared" si="113"/>
        <v>1</v>
      </c>
      <c r="AE513">
        <f t="shared" si="114"/>
        <v>1</v>
      </c>
      <c r="AF513">
        <f t="shared" si="115"/>
        <v>1</v>
      </c>
      <c r="AG513">
        <f t="shared" si="116"/>
        <v>100</v>
      </c>
    </row>
    <row r="514" spans="1:33" x14ac:dyDescent="0.2">
      <c r="A514" t="s">
        <v>127</v>
      </c>
      <c r="B514" t="s">
        <v>128</v>
      </c>
      <c r="C514">
        <v>513</v>
      </c>
      <c r="D514">
        <v>43502</v>
      </c>
      <c r="E514" t="s">
        <v>258</v>
      </c>
      <c r="F514" t="s">
        <v>69</v>
      </c>
      <c r="G514" t="s">
        <v>10</v>
      </c>
      <c r="H514" t="s">
        <v>12</v>
      </c>
      <c r="I514" t="s">
        <v>91</v>
      </c>
      <c r="J514">
        <v>27</v>
      </c>
      <c r="K514">
        <v>0.03</v>
      </c>
      <c r="L514">
        <v>1</v>
      </c>
      <c r="M514">
        <v>1</v>
      </c>
      <c r="N514">
        <v>1</v>
      </c>
      <c r="O514">
        <v>100</v>
      </c>
      <c r="P514" t="b">
        <f t="shared" ref="P514:P577" si="121">AND(C514&lt;$Q$1,IF(ISBLANK(C514),0,C514)&gt;0)</f>
        <v>0</v>
      </c>
      <c r="S514" t="str">
        <f t="shared" si="117"/>
        <v>LATER</v>
      </c>
      <c r="T514" t="str">
        <f t="shared" si="118"/>
        <v>SainteLague</v>
      </c>
      <c r="U514">
        <f t="shared" si="120"/>
        <v>513</v>
      </c>
      <c r="V514">
        <f t="shared" si="119"/>
        <v>43502</v>
      </c>
      <c r="W514" s="8" t="str">
        <f>VLOOKUP(V514,'ideas-input'!$A:$B,2,FALSE)</f>
        <v>[Alarmas Financieras] Alarma-46 Reporte/Alerta de Datos Clientes antes del cierre "Keysoft" (datos incompletos de clientes o deficiencia)</v>
      </c>
      <c r="X514" t="str">
        <f t="shared" ref="X514:X577" si="122">F514</f>
        <v>CFO</v>
      </c>
      <c r="Y514" s="8" t="str">
        <f>VLOOKUP(V514,'ideas-input'!$A:$D,4,FALSE)</f>
        <v>eCommerce</v>
      </c>
      <c r="Z514" t="str">
        <f t="shared" ref="Z514:Z577" si="123">H514</f>
        <v>Corporate</v>
      </c>
      <c r="AA514" t="str">
        <f t="shared" ref="AA514:AA577" si="124">I514</f>
        <v>Backlog</v>
      </c>
      <c r="AB514">
        <f t="shared" ref="AB514:AB577" si="125">J514</f>
        <v>27</v>
      </c>
      <c r="AC514">
        <f t="shared" ref="AC514:AC577" si="126">K514</f>
        <v>0.03</v>
      </c>
      <c r="AD514">
        <f t="shared" ref="AD514:AD577" si="127">L514</f>
        <v>1</v>
      </c>
      <c r="AE514">
        <f t="shared" ref="AE514:AE577" si="128">M514</f>
        <v>1</v>
      </c>
      <c r="AF514">
        <f t="shared" ref="AF514:AF577" si="129">N514</f>
        <v>1</v>
      </c>
      <c r="AG514">
        <f t="shared" ref="AG514:AG577" si="130">O514</f>
        <v>100</v>
      </c>
    </row>
    <row r="515" spans="1:33" x14ac:dyDescent="0.2">
      <c r="A515" t="s">
        <v>127</v>
      </c>
      <c r="B515" t="s">
        <v>128</v>
      </c>
      <c r="C515">
        <v>514</v>
      </c>
      <c r="D515">
        <v>172578</v>
      </c>
      <c r="E515" t="s">
        <v>1226</v>
      </c>
      <c r="F515" t="s">
        <v>34</v>
      </c>
      <c r="G515" t="s">
        <v>379</v>
      </c>
      <c r="H515" t="s">
        <v>8</v>
      </c>
      <c r="I515" t="s">
        <v>91</v>
      </c>
      <c r="J515">
        <v>12</v>
      </c>
      <c r="K515">
        <v>0.03</v>
      </c>
      <c r="L515">
        <v>1</v>
      </c>
      <c r="M515">
        <v>1</v>
      </c>
      <c r="N515">
        <v>1</v>
      </c>
      <c r="O515">
        <v>100</v>
      </c>
      <c r="P515" t="b">
        <f t="shared" si="121"/>
        <v>0</v>
      </c>
      <c r="S515" t="str">
        <f t="shared" si="117"/>
        <v>LATER</v>
      </c>
      <c r="T515" t="str">
        <f t="shared" si="118"/>
        <v>SainteLague</v>
      </c>
      <c r="U515">
        <f t="shared" si="120"/>
        <v>514</v>
      </c>
      <c r="V515">
        <f t="shared" si="119"/>
        <v>172578</v>
      </c>
      <c r="W515" s="8" t="str">
        <f>VLOOKUP(V515,'ideas-input'!$A:$B,2,FALSE)</f>
        <v>Banco CTT - Gestão de Acessos em SAP4Hana</v>
      </c>
      <c r="X515" t="str">
        <f t="shared" si="122"/>
        <v>BCTT</v>
      </c>
      <c r="Y515" s="8" t="str">
        <f>VLOOKUP(V515,'ideas-input'!$A:$D,4,FALSE)</f>
        <v>Mail</v>
      </c>
      <c r="Z515" t="str">
        <f t="shared" si="123"/>
        <v>Technology</v>
      </c>
      <c r="AA515" t="str">
        <f t="shared" si="124"/>
        <v>Backlog</v>
      </c>
      <c r="AB515">
        <f t="shared" si="125"/>
        <v>12</v>
      </c>
      <c r="AC515">
        <f t="shared" si="126"/>
        <v>0.03</v>
      </c>
      <c r="AD515">
        <f t="shared" si="127"/>
        <v>1</v>
      </c>
      <c r="AE515">
        <f t="shared" si="128"/>
        <v>1</v>
      </c>
      <c r="AF515">
        <f t="shared" si="129"/>
        <v>1</v>
      </c>
      <c r="AG515">
        <f t="shared" si="130"/>
        <v>100</v>
      </c>
    </row>
    <row r="516" spans="1:33" x14ac:dyDescent="0.2">
      <c r="A516" t="s">
        <v>127</v>
      </c>
      <c r="B516" t="s">
        <v>128</v>
      </c>
      <c r="C516">
        <v>515</v>
      </c>
      <c r="D516">
        <v>63361</v>
      </c>
      <c r="E516" t="s">
        <v>1247</v>
      </c>
      <c r="F516" t="s">
        <v>70</v>
      </c>
      <c r="G516" t="s">
        <v>10</v>
      </c>
      <c r="H516" t="s">
        <v>8</v>
      </c>
      <c r="I516" t="s">
        <v>91</v>
      </c>
      <c r="J516">
        <v>61</v>
      </c>
      <c r="K516">
        <v>0.03</v>
      </c>
      <c r="L516">
        <v>1</v>
      </c>
      <c r="M516">
        <v>1</v>
      </c>
      <c r="N516">
        <v>1</v>
      </c>
      <c r="O516">
        <v>100</v>
      </c>
      <c r="P516" t="b">
        <f t="shared" si="121"/>
        <v>0</v>
      </c>
      <c r="S516" t="str">
        <f t="shared" si="117"/>
        <v>LATER</v>
      </c>
      <c r="T516" t="str">
        <f t="shared" si="118"/>
        <v>SainteLague</v>
      </c>
      <c r="U516">
        <f t="shared" si="120"/>
        <v>515</v>
      </c>
      <c r="V516">
        <f t="shared" si="119"/>
        <v>63361</v>
      </c>
      <c r="W516" s="8" t="str">
        <f>VLOOKUP(V516,'ideas-input'!$A:$B,2,FALSE)</f>
        <v>Revisión del PRN actual</v>
      </c>
      <c r="X516" t="str">
        <f t="shared" si="122"/>
        <v>CIO</v>
      </c>
      <c r="Y516" s="8" t="str">
        <f>VLOOKUP(V516,'ideas-input'!$A:$D,4,FALSE)</f>
        <v>eCommerce</v>
      </c>
      <c r="Z516" t="str">
        <f t="shared" si="123"/>
        <v>Technology</v>
      </c>
      <c r="AA516" t="str">
        <f t="shared" si="124"/>
        <v>Backlog</v>
      </c>
      <c r="AB516">
        <f t="shared" si="125"/>
        <v>61</v>
      </c>
      <c r="AC516">
        <f t="shared" si="126"/>
        <v>0.03</v>
      </c>
      <c r="AD516">
        <f t="shared" si="127"/>
        <v>1</v>
      </c>
      <c r="AE516">
        <f t="shared" si="128"/>
        <v>1</v>
      </c>
      <c r="AF516">
        <f t="shared" si="129"/>
        <v>1</v>
      </c>
      <c r="AG516">
        <f t="shared" si="130"/>
        <v>100</v>
      </c>
    </row>
    <row r="517" spans="1:33" x14ac:dyDescent="0.2">
      <c r="A517" t="s">
        <v>127</v>
      </c>
      <c r="B517" t="s">
        <v>128</v>
      </c>
      <c r="C517">
        <v>516</v>
      </c>
      <c r="D517">
        <v>76019</v>
      </c>
      <c r="E517" t="s">
        <v>1685</v>
      </c>
      <c r="F517" t="s">
        <v>25</v>
      </c>
      <c r="G517" t="s">
        <v>379</v>
      </c>
      <c r="H517" t="s">
        <v>5</v>
      </c>
      <c r="I517" t="s">
        <v>91</v>
      </c>
      <c r="J517">
        <v>9</v>
      </c>
      <c r="K517">
        <v>0.03</v>
      </c>
      <c r="L517">
        <v>1</v>
      </c>
      <c r="M517">
        <v>1</v>
      </c>
      <c r="N517">
        <v>1</v>
      </c>
      <c r="O517">
        <v>100</v>
      </c>
      <c r="P517" t="b">
        <f t="shared" si="121"/>
        <v>0</v>
      </c>
      <c r="S517" t="str">
        <f t="shared" si="117"/>
        <v>LATER</v>
      </c>
      <c r="T517" t="str">
        <f t="shared" si="118"/>
        <v>SainteLague</v>
      </c>
      <c r="U517">
        <f t="shared" si="120"/>
        <v>516</v>
      </c>
      <c r="V517">
        <f t="shared" si="119"/>
        <v>76019</v>
      </c>
      <c r="W517" s="8" t="str">
        <f>VLOOKUP(V517,'ideas-input'!$A:$B,2,FALSE)</f>
        <v>Serviço Conveniência -  Impressão A4 (complemento ao Serviço de Fotocopias)</v>
      </c>
      <c r="X517" t="str">
        <f t="shared" si="122"/>
        <v>GP B2C</v>
      </c>
      <c r="Y517" s="8" t="str">
        <f>VLOOKUP(V517,'ideas-input'!$A:$D,4,FALSE)</f>
        <v>Retail &amp; Financial Services</v>
      </c>
      <c r="Z517" t="str">
        <f t="shared" si="123"/>
        <v>Commercial</v>
      </c>
      <c r="AA517" t="str">
        <f t="shared" si="124"/>
        <v>Backlog</v>
      </c>
      <c r="AB517">
        <f t="shared" si="125"/>
        <v>9</v>
      </c>
      <c r="AC517">
        <f t="shared" si="126"/>
        <v>0.03</v>
      </c>
      <c r="AD517">
        <f t="shared" si="127"/>
        <v>1</v>
      </c>
      <c r="AE517">
        <f t="shared" si="128"/>
        <v>1</v>
      </c>
      <c r="AF517">
        <f t="shared" si="129"/>
        <v>1</v>
      </c>
      <c r="AG517">
        <f t="shared" si="130"/>
        <v>100</v>
      </c>
    </row>
    <row r="518" spans="1:33" x14ac:dyDescent="0.2">
      <c r="A518" t="s">
        <v>127</v>
      </c>
      <c r="B518" t="s">
        <v>128</v>
      </c>
      <c r="C518">
        <v>517</v>
      </c>
      <c r="D518">
        <v>65866</v>
      </c>
      <c r="E518" t="s">
        <v>1233</v>
      </c>
      <c r="F518" t="s">
        <v>65</v>
      </c>
      <c r="G518" t="s">
        <v>10</v>
      </c>
      <c r="H518" t="s">
        <v>5</v>
      </c>
      <c r="I518" t="s">
        <v>91</v>
      </c>
      <c r="J518">
        <v>32</v>
      </c>
      <c r="K518">
        <v>0.03</v>
      </c>
      <c r="L518">
        <v>1</v>
      </c>
      <c r="M518">
        <v>1</v>
      </c>
      <c r="N518">
        <v>1</v>
      </c>
      <c r="O518">
        <v>100</v>
      </c>
      <c r="P518" t="b">
        <f t="shared" si="121"/>
        <v>0</v>
      </c>
      <c r="S518" t="str">
        <f t="shared" si="117"/>
        <v>LATER</v>
      </c>
      <c r="T518" t="str">
        <f t="shared" si="118"/>
        <v>SainteLague</v>
      </c>
      <c r="U518">
        <f t="shared" si="120"/>
        <v>517</v>
      </c>
      <c r="V518">
        <f t="shared" si="119"/>
        <v>65866</v>
      </c>
      <c r="W518" s="8" t="str">
        <f>VLOOKUP(V518,'ideas-input'!$A:$B,2,FALSE)</f>
        <v>[PUDOS] - Automatización del tratamiento de incidencias de PUDOS cerrados</v>
      </c>
      <c r="X518" t="str">
        <f t="shared" si="122"/>
        <v>CMO</v>
      </c>
      <c r="Y518" s="8" t="str">
        <f>VLOOKUP(V518,'ideas-input'!$A:$D,4,FALSE)</f>
        <v>eCommerce</v>
      </c>
      <c r="Z518" t="str">
        <f t="shared" si="123"/>
        <v>Commercial</v>
      </c>
      <c r="AA518" t="str">
        <f t="shared" si="124"/>
        <v>Backlog</v>
      </c>
      <c r="AB518">
        <f t="shared" si="125"/>
        <v>32</v>
      </c>
      <c r="AC518">
        <f t="shared" si="126"/>
        <v>0.03</v>
      </c>
      <c r="AD518">
        <f t="shared" si="127"/>
        <v>1</v>
      </c>
      <c r="AE518">
        <f t="shared" si="128"/>
        <v>1</v>
      </c>
      <c r="AF518">
        <f t="shared" si="129"/>
        <v>1</v>
      </c>
      <c r="AG518">
        <f t="shared" si="130"/>
        <v>100</v>
      </c>
    </row>
    <row r="519" spans="1:33" x14ac:dyDescent="0.2">
      <c r="A519" t="s">
        <v>127</v>
      </c>
      <c r="B519" t="s">
        <v>128</v>
      </c>
      <c r="C519">
        <v>518</v>
      </c>
      <c r="D519">
        <v>49198</v>
      </c>
      <c r="E519" t="s">
        <v>1248</v>
      </c>
      <c r="F519" t="s">
        <v>58</v>
      </c>
      <c r="G519" t="s">
        <v>379</v>
      </c>
      <c r="H519" t="s">
        <v>8</v>
      </c>
      <c r="I519" t="s">
        <v>91</v>
      </c>
      <c r="J519">
        <v>12</v>
      </c>
      <c r="K519">
        <v>0.03</v>
      </c>
      <c r="L519">
        <v>1</v>
      </c>
      <c r="M519">
        <v>1</v>
      </c>
      <c r="N519">
        <v>1</v>
      </c>
      <c r="O519">
        <v>100</v>
      </c>
      <c r="P519" t="b">
        <f t="shared" si="121"/>
        <v>0</v>
      </c>
      <c r="S519" t="str">
        <f t="shared" si="117"/>
        <v>LATER</v>
      </c>
      <c r="T519" t="str">
        <f t="shared" si="118"/>
        <v>SainteLague</v>
      </c>
      <c r="U519">
        <f t="shared" si="120"/>
        <v>518</v>
      </c>
      <c r="V519">
        <f t="shared" si="119"/>
        <v>49198</v>
      </c>
      <c r="W519" s="8" t="str">
        <f>VLOOKUP(V519,'ideas-input'!$A:$B,2,FALSE)</f>
        <v>Descontinuação do express2me para a super app</v>
      </c>
      <c r="X519" t="str">
        <f t="shared" si="122"/>
        <v>SI-PRD</v>
      </c>
      <c r="Y519" s="8" t="str">
        <f>VLOOKUP(V519,'ideas-input'!$A:$D,4,FALSE)</f>
        <v>Mail</v>
      </c>
      <c r="Z519" t="str">
        <f t="shared" si="123"/>
        <v>Technology</v>
      </c>
      <c r="AA519" t="str">
        <f t="shared" si="124"/>
        <v>Backlog</v>
      </c>
      <c r="AB519">
        <f t="shared" si="125"/>
        <v>12</v>
      </c>
      <c r="AC519">
        <f t="shared" si="126"/>
        <v>0.03</v>
      </c>
      <c r="AD519">
        <f t="shared" si="127"/>
        <v>1</v>
      </c>
      <c r="AE519">
        <f t="shared" si="128"/>
        <v>1</v>
      </c>
      <c r="AF519">
        <f t="shared" si="129"/>
        <v>1</v>
      </c>
      <c r="AG519">
        <f t="shared" si="130"/>
        <v>100</v>
      </c>
    </row>
    <row r="520" spans="1:33" x14ac:dyDescent="0.2">
      <c r="A520" t="s">
        <v>127</v>
      </c>
      <c r="B520" t="s">
        <v>128</v>
      </c>
      <c r="C520">
        <v>519</v>
      </c>
      <c r="D520">
        <v>52408</v>
      </c>
      <c r="E520" t="s">
        <v>1259</v>
      </c>
      <c r="F520" t="s">
        <v>69</v>
      </c>
      <c r="G520" t="s">
        <v>10</v>
      </c>
      <c r="H520" t="s">
        <v>12</v>
      </c>
      <c r="I520" t="s">
        <v>91</v>
      </c>
      <c r="J520">
        <v>28</v>
      </c>
      <c r="K520">
        <v>0.03</v>
      </c>
      <c r="L520">
        <v>1</v>
      </c>
      <c r="M520">
        <v>1</v>
      </c>
      <c r="N520">
        <v>1</v>
      </c>
      <c r="O520">
        <v>100</v>
      </c>
      <c r="P520" t="b">
        <f t="shared" si="121"/>
        <v>0</v>
      </c>
      <c r="S520" t="str">
        <f t="shared" si="117"/>
        <v>LATER</v>
      </c>
      <c r="T520" t="str">
        <f t="shared" si="118"/>
        <v>SainteLague</v>
      </c>
      <c r="U520">
        <f t="shared" si="120"/>
        <v>519</v>
      </c>
      <c r="V520">
        <f t="shared" si="119"/>
        <v>52408</v>
      </c>
      <c r="W520" s="8" t="str">
        <f>VLOOKUP(V520,'ideas-input'!$A:$B,2,FALSE)</f>
        <v>Cambio en la Lógica de generación de OBX en Cainiao</v>
      </c>
      <c r="X520" t="str">
        <f t="shared" si="122"/>
        <v>CFO</v>
      </c>
      <c r="Y520" s="8" t="str">
        <f>VLOOKUP(V520,'ideas-input'!$A:$D,4,FALSE)</f>
        <v>eCommerce</v>
      </c>
      <c r="Z520" t="str">
        <f t="shared" si="123"/>
        <v>Corporate</v>
      </c>
      <c r="AA520" t="str">
        <f t="shared" si="124"/>
        <v>Backlog</v>
      </c>
      <c r="AB520">
        <f t="shared" si="125"/>
        <v>28</v>
      </c>
      <c r="AC520">
        <f t="shared" si="126"/>
        <v>0.03</v>
      </c>
      <c r="AD520">
        <f t="shared" si="127"/>
        <v>1</v>
      </c>
      <c r="AE520">
        <f t="shared" si="128"/>
        <v>1</v>
      </c>
      <c r="AF520">
        <f t="shared" si="129"/>
        <v>1</v>
      </c>
      <c r="AG520">
        <f t="shared" si="130"/>
        <v>100</v>
      </c>
    </row>
    <row r="521" spans="1:33" x14ac:dyDescent="0.2">
      <c r="A521" t="s">
        <v>127</v>
      </c>
      <c r="B521" t="s">
        <v>128</v>
      </c>
      <c r="C521">
        <v>520</v>
      </c>
      <c r="D521">
        <v>120372</v>
      </c>
      <c r="E521" t="s">
        <v>151</v>
      </c>
      <c r="F521" t="s">
        <v>24</v>
      </c>
      <c r="G521" t="s">
        <v>379</v>
      </c>
      <c r="H521" t="s">
        <v>5</v>
      </c>
      <c r="I521" t="s">
        <v>91</v>
      </c>
      <c r="J521">
        <v>9</v>
      </c>
      <c r="K521">
        <v>0.03</v>
      </c>
      <c r="L521">
        <v>1</v>
      </c>
      <c r="M521">
        <v>1</v>
      </c>
      <c r="N521">
        <v>1</v>
      </c>
      <c r="O521">
        <v>100</v>
      </c>
      <c r="P521" t="b">
        <f t="shared" si="121"/>
        <v>0</v>
      </c>
      <c r="S521" t="str">
        <f t="shared" si="117"/>
        <v>LATER</v>
      </c>
      <c r="T521" t="str">
        <f t="shared" si="118"/>
        <v>SainteLague</v>
      </c>
      <c r="U521">
        <f t="shared" si="120"/>
        <v>520</v>
      </c>
      <c r="V521">
        <f t="shared" si="119"/>
        <v>120372</v>
      </c>
      <c r="W521" s="8" t="str">
        <f>VLOOKUP(V521,'ideas-input'!$A:$B,2,FALSE)</f>
        <v>POP - Melhorias a OnBoarding de clientes</v>
      </c>
      <c r="X521" t="str">
        <f t="shared" si="122"/>
        <v>GPG</v>
      </c>
      <c r="Y521" s="8" t="str">
        <f>VLOOKUP(V521,'ideas-input'!$A:$D,4,FALSE)</f>
        <v>Payments</v>
      </c>
      <c r="Z521" t="str">
        <f t="shared" si="123"/>
        <v>Commercial</v>
      </c>
      <c r="AA521" t="str">
        <f t="shared" si="124"/>
        <v>Backlog</v>
      </c>
      <c r="AB521">
        <f t="shared" si="125"/>
        <v>9</v>
      </c>
      <c r="AC521">
        <f t="shared" si="126"/>
        <v>0.03</v>
      </c>
      <c r="AD521">
        <f t="shared" si="127"/>
        <v>1</v>
      </c>
      <c r="AE521">
        <f t="shared" si="128"/>
        <v>1</v>
      </c>
      <c r="AF521">
        <f t="shared" si="129"/>
        <v>1</v>
      </c>
      <c r="AG521">
        <f t="shared" si="130"/>
        <v>100</v>
      </c>
    </row>
    <row r="522" spans="1:33" x14ac:dyDescent="0.2">
      <c r="A522" t="s">
        <v>127</v>
      </c>
      <c r="B522" t="s">
        <v>128</v>
      </c>
      <c r="C522">
        <v>521</v>
      </c>
      <c r="D522">
        <v>63428</v>
      </c>
      <c r="E522" t="s">
        <v>325</v>
      </c>
      <c r="F522" t="s">
        <v>70</v>
      </c>
      <c r="G522" t="s">
        <v>10</v>
      </c>
      <c r="H522" t="s">
        <v>8</v>
      </c>
      <c r="I522" t="s">
        <v>91</v>
      </c>
      <c r="J522">
        <v>62</v>
      </c>
      <c r="K522">
        <v>0.03</v>
      </c>
      <c r="L522">
        <v>1</v>
      </c>
      <c r="M522">
        <v>1</v>
      </c>
      <c r="N522">
        <v>1</v>
      </c>
      <c r="O522">
        <v>100</v>
      </c>
      <c r="P522" t="b">
        <f t="shared" si="121"/>
        <v>0</v>
      </c>
      <c r="S522" t="str">
        <f t="shared" si="117"/>
        <v>LATER</v>
      </c>
      <c r="T522" t="str">
        <f t="shared" si="118"/>
        <v>SainteLague</v>
      </c>
      <c r="U522">
        <f t="shared" si="120"/>
        <v>521</v>
      </c>
      <c r="V522">
        <f t="shared" si="119"/>
        <v>63428</v>
      </c>
      <c r="W522" s="8" t="str">
        <f>VLOOKUP(V522,'ideas-input'!$A:$B,2,FALSE)</f>
        <v>Notificaciones AWS para migraciones de lambdas de python 3.9 a 3.12</v>
      </c>
      <c r="X522" t="str">
        <f t="shared" si="122"/>
        <v>CIO</v>
      </c>
      <c r="Y522" s="8" t="str">
        <f>VLOOKUP(V522,'ideas-input'!$A:$D,4,FALSE)</f>
        <v>eCommerce</v>
      </c>
      <c r="Z522" t="str">
        <f t="shared" si="123"/>
        <v>Technology</v>
      </c>
      <c r="AA522" t="str">
        <f t="shared" si="124"/>
        <v>Backlog</v>
      </c>
      <c r="AB522">
        <f t="shared" si="125"/>
        <v>62</v>
      </c>
      <c r="AC522">
        <f t="shared" si="126"/>
        <v>0.03</v>
      </c>
      <c r="AD522">
        <f t="shared" si="127"/>
        <v>1</v>
      </c>
      <c r="AE522">
        <f t="shared" si="128"/>
        <v>1</v>
      </c>
      <c r="AF522">
        <f t="shared" si="129"/>
        <v>1</v>
      </c>
      <c r="AG522">
        <f t="shared" si="130"/>
        <v>100</v>
      </c>
    </row>
    <row r="523" spans="1:33" x14ac:dyDescent="0.2">
      <c r="A523" t="s">
        <v>127</v>
      </c>
      <c r="B523" t="s">
        <v>128</v>
      </c>
      <c r="C523">
        <v>522</v>
      </c>
      <c r="D523">
        <v>173286</v>
      </c>
      <c r="E523" t="s">
        <v>241</v>
      </c>
      <c r="F523" t="s">
        <v>38</v>
      </c>
      <c r="G523" t="s">
        <v>379</v>
      </c>
      <c r="H523" t="s">
        <v>5</v>
      </c>
      <c r="I523" t="s">
        <v>91</v>
      </c>
      <c r="J523">
        <v>10</v>
      </c>
      <c r="K523">
        <v>0.03</v>
      </c>
      <c r="L523">
        <v>1</v>
      </c>
      <c r="M523">
        <v>1</v>
      </c>
      <c r="N523">
        <v>1</v>
      </c>
      <c r="O523">
        <v>100</v>
      </c>
      <c r="P523" t="b">
        <f t="shared" si="121"/>
        <v>0</v>
      </c>
      <c r="S523" t="str">
        <f t="shared" si="117"/>
        <v>LATER</v>
      </c>
      <c r="T523" t="str">
        <f t="shared" si="118"/>
        <v>SainteLague</v>
      </c>
      <c r="U523">
        <f t="shared" si="120"/>
        <v>522</v>
      </c>
      <c r="V523">
        <f t="shared" si="119"/>
        <v>173286</v>
      </c>
      <c r="W523" s="8" t="str">
        <f>VLOOKUP(V523,'ideas-input'!$A:$B,2,FALSE)</f>
        <v>Simulador de tabelas</v>
      </c>
      <c r="X523" t="str">
        <f t="shared" si="122"/>
        <v>CSI</v>
      </c>
      <c r="Y523" s="8" t="str">
        <f>VLOOKUP(V523,'ideas-input'!$A:$D,4,FALSE)</f>
        <v>Mail</v>
      </c>
      <c r="Z523" t="str">
        <f t="shared" si="123"/>
        <v>Commercial</v>
      </c>
      <c r="AA523" t="str">
        <f t="shared" si="124"/>
        <v>Backlog</v>
      </c>
      <c r="AB523">
        <f t="shared" si="125"/>
        <v>10</v>
      </c>
      <c r="AC523">
        <f t="shared" si="126"/>
        <v>0.03</v>
      </c>
      <c r="AD523">
        <f t="shared" si="127"/>
        <v>1</v>
      </c>
      <c r="AE523">
        <f t="shared" si="128"/>
        <v>1</v>
      </c>
      <c r="AF523">
        <f t="shared" si="129"/>
        <v>1</v>
      </c>
      <c r="AG523">
        <f t="shared" si="130"/>
        <v>100</v>
      </c>
    </row>
    <row r="524" spans="1:33" x14ac:dyDescent="0.2">
      <c r="A524" t="s">
        <v>127</v>
      </c>
      <c r="B524" t="s">
        <v>128</v>
      </c>
      <c r="C524">
        <v>523</v>
      </c>
      <c r="D524">
        <v>50627</v>
      </c>
      <c r="E524" t="s">
        <v>243</v>
      </c>
      <c r="F524" t="s">
        <v>66</v>
      </c>
      <c r="G524" t="s">
        <v>10</v>
      </c>
      <c r="H524" t="s">
        <v>5</v>
      </c>
      <c r="I524" t="s">
        <v>91</v>
      </c>
      <c r="J524">
        <v>26</v>
      </c>
      <c r="K524">
        <v>0.03</v>
      </c>
      <c r="L524">
        <v>1</v>
      </c>
      <c r="M524">
        <v>1</v>
      </c>
      <c r="N524">
        <v>1</v>
      </c>
      <c r="O524">
        <v>100</v>
      </c>
      <c r="P524" t="b">
        <f t="shared" si="121"/>
        <v>0</v>
      </c>
      <c r="S524" t="str">
        <f t="shared" si="117"/>
        <v>LATER</v>
      </c>
      <c r="T524" t="str">
        <f t="shared" si="118"/>
        <v>SainteLague</v>
      </c>
      <c r="U524">
        <f t="shared" si="120"/>
        <v>523</v>
      </c>
      <c r="V524">
        <f t="shared" si="119"/>
        <v>50627</v>
      </c>
      <c r="W524" s="8" t="str">
        <f>VLOOKUP(V524,'ideas-input'!$A:$B,2,FALSE)</f>
        <v>[Minerva] - Campos requeridos en contrato con firma digital por Signaturit</v>
      </c>
      <c r="X524" t="str">
        <f t="shared" si="122"/>
        <v>CCO</v>
      </c>
      <c r="Y524" s="8" t="str">
        <f>VLOOKUP(V524,'ideas-input'!$A:$D,4,FALSE)</f>
        <v>eCommerce</v>
      </c>
      <c r="Z524" t="str">
        <f t="shared" si="123"/>
        <v>Commercial</v>
      </c>
      <c r="AA524" t="str">
        <f t="shared" si="124"/>
        <v>Backlog</v>
      </c>
      <c r="AB524">
        <f t="shared" si="125"/>
        <v>26</v>
      </c>
      <c r="AC524">
        <f t="shared" si="126"/>
        <v>0.03</v>
      </c>
      <c r="AD524">
        <f t="shared" si="127"/>
        <v>1</v>
      </c>
      <c r="AE524">
        <f t="shared" si="128"/>
        <v>1</v>
      </c>
      <c r="AF524">
        <f t="shared" si="129"/>
        <v>1</v>
      </c>
      <c r="AG524">
        <f t="shared" si="130"/>
        <v>100</v>
      </c>
    </row>
    <row r="525" spans="1:33" x14ac:dyDescent="0.2">
      <c r="A525" t="s">
        <v>127</v>
      </c>
      <c r="B525" t="s">
        <v>128</v>
      </c>
      <c r="C525">
        <v>524</v>
      </c>
      <c r="D525">
        <v>132059</v>
      </c>
      <c r="E525" t="s">
        <v>1251</v>
      </c>
      <c r="F525" t="s">
        <v>9</v>
      </c>
      <c r="G525" t="s">
        <v>379</v>
      </c>
      <c r="H525" t="s">
        <v>8</v>
      </c>
      <c r="I525" t="s">
        <v>91</v>
      </c>
      <c r="J525">
        <v>32</v>
      </c>
      <c r="K525">
        <v>3</v>
      </c>
      <c r="L525">
        <v>3</v>
      </c>
      <c r="M525">
        <v>3</v>
      </c>
      <c r="N525">
        <v>3</v>
      </c>
      <c r="O525">
        <v>3</v>
      </c>
      <c r="P525" t="b">
        <f t="shared" si="121"/>
        <v>0</v>
      </c>
      <c r="S525" t="str">
        <f t="shared" si="117"/>
        <v>LATER</v>
      </c>
      <c r="T525" t="str">
        <f t="shared" si="118"/>
        <v>SainteLague</v>
      </c>
      <c r="U525">
        <f t="shared" si="120"/>
        <v>524</v>
      </c>
      <c r="V525">
        <f t="shared" si="119"/>
        <v>132059</v>
      </c>
      <c r="W525" s="8" t="str">
        <f>VLOOKUP(V525,'ideas-input'!$A:$B,2,FALSE)</f>
        <v>Mata Aplicações - Wave 1.15 - CRM Oracle Sales</v>
      </c>
      <c r="X525" t="str">
        <f t="shared" si="122"/>
        <v>SI</v>
      </c>
      <c r="Y525" s="8" t="str">
        <f>VLOOKUP(V525,'ideas-input'!$A:$D,4,FALSE)</f>
        <v>Mail</v>
      </c>
      <c r="Z525" t="str">
        <f t="shared" si="123"/>
        <v>Technology</v>
      </c>
      <c r="AA525" t="str">
        <f t="shared" si="124"/>
        <v>Backlog</v>
      </c>
      <c r="AB525">
        <f t="shared" si="125"/>
        <v>32</v>
      </c>
      <c r="AC525">
        <f t="shared" si="126"/>
        <v>3</v>
      </c>
      <c r="AD525">
        <f t="shared" si="127"/>
        <v>3</v>
      </c>
      <c r="AE525">
        <f t="shared" si="128"/>
        <v>3</v>
      </c>
      <c r="AF525">
        <f t="shared" si="129"/>
        <v>3</v>
      </c>
      <c r="AG525">
        <f t="shared" si="130"/>
        <v>3</v>
      </c>
    </row>
    <row r="526" spans="1:33" x14ac:dyDescent="0.2">
      <c r="A526" t="s">
        <v>127</v>
      </c>
      <c r="B526" t="s">
        <v>128</v>
      </c>
      <c r="C526">
        <v>525</v>
      </c>
      <c r="D526">
        <v>58980</v>
      </c>
      <c r="E526" t="s">
        <v>249</v>
      </c>
      <c r="F526" t="s">
        <v>68</v>
      </c>
      <c r="G526" t="s">
        <v>10</v>
      </c>
      <c r="H526" t="s">
        <v>5</v>
      </c>
      <c r="I526" t="s">
        <v>95</v>
      </c>
      <c r="J526">
        <v>23</v>
      </c>
      <c r="K526">
        <v>0.03</v>
      </c>
      <c r="L526">
        <v>1</v>
      </c>
      <c r="M526">
        <v>1</v>
      </c>
      <c r="N526">
        <v>1</v>
      </c>
      <c r="O526">
        <v>100</v>
      </c>
      <c r="P526" t="b">
        <f t="shared" si="121"/>
        <v>0</v>
      </c>
      <c r="S526" t="str">
        <f t="shared" si="117"/>
        <v>LATER</v>
      </c>
      <c r="T526" t="str">
        <f t="shared" si="118"/>
        <v>SainteLague</v>
      </c>
      <c r="U526">
        <f t="shared" si="120"/>
        <v>525</v>
      </c>
      <c r="V526">
        <f t="shared" si="119"/>
        <v>58980</v>
      </c>
      <c r="W526" s="8" t="str">
        <f>VLOOKUP(V526,'ideas-input'!$A:$B,2,FALSE)</f>
        <v>[WebHook] - Indtex - Migracion de SGC a Cloud</v>
      </c>
      <c r="X526" t="str">
        <f t="shared" si="122"/>
        <v>IDC</v>
      </c>
      <c r="Y526" s="8" t="str">
        <f>VLOOKUP(V526,'ideas-input'!$A:$D,4,FALSE)</f>
        <v>eCommerce</v>
      </c>
      <c r="Z526" t="str">
        <f t="shared" si="123"/>
        <v>Commercial</v>
      </c>
      <c r="AA526" t="str">
        <f t="shared" si="124"/>
        <v>In Definition</v>
      </c>
      <c r="AB526">
        <f t="shared" si="125"/>
        <v>23</v>
      </c>
      <c r="AC526">
        <f t="shared" si="126"/>
        <v>0.03</v>
      </c>
      <c r="AD526">
        <f t="shared" si="127"/>
        <v>1</v>
      </c>
      <c r="AE526">
        <f t="shared" si="128"/>
        <v>1</v>
      </c>
      <c r="AF526">
        <f t="shared" si="129"/>
        <v>1</v>
      </c>
      <c r="AG526">
        <f t="shared" si="130"/>
        <v>100</v>
      </c>
    </row>
    <row r="527" spans="1:33" x14ac:dyDescent="0.2">
      <c r="A527" t="s">
        <v>127</v>
      </c>
      <c r="B527" t="s">
        <v>128</v>
      </c>
      <c r="C527">
        <v>526</v>
      </c>
      <c r="D527">
        <v>123106</v>
      </c>
      <c r="E527" t="s">
        <v>1282</v>
      </c>
      <c r="F527" t="s">
        <v>37</v>
      </c>
      <c r="G527" t="s">
        <v>379</v>
      </c>
      <c r="H527" t="s">
        <v>5</v>
      </c>
      <c r="I527" t="s">
        <v>95</v>
      </c>
      <c r="J527">
        <v>12</v>
      </c>
      <c r="K527">
        <v>0.03</v>
      </c>
      <c r="L527">
        <v>1</v>
      </c>
      <c r="M527">
        <v>1</v>
      </c>
      <c r="N527">
        <v>1</v>
      </c>
      <c r="O527">
        <v>100</v>
      </c>
      <c r="P527" t="b">
        <f t="shared" si="121"/>
        <v>0</v>
      </c>
      <c r="S527" t="str">
        <f t="shared" si="117"/>
        <v>LATER</v>
      </c>
      <c r="T527" t="str">
        <f t="shared" si="118"/>
        <v>SainteLague</v>
      </c>
      <c r="U527">
        <f t="shared" si="120"/>
        <v>526</v>
      </c>
      <c r="V527">
        <f t="shared" si="119"/>
        <v>123106</v>
      </c>
      <c r="W527" s="8" t="str">
        <f>VLOOKUP(V527,'ideas-input'!$A:$B,2,FALSE)</f>
        <v>GS B2C - Evolução do sistema de Gestão da informação Geográfica da Rede</v>
      </c>
      <c r="X527" t="str">
        <f t="shared" si="122"/>
        <v>GS</v>
      </c>
      <c r="Y527" s="8" t="str">
        <f>VLOOKUP(V527,'ideas-input'!$A:$D,4,FALSE)</f>
        <v>Mail</v>
      </c>
      <c r="Z527" t="str">
        <f t="shared" si="123"/>
        <v>Commercial</v>
      </c>
      <c r="AA527" t="str">
        <f t="shared" si="124"/>
        <v>In Definition</v>
      </c>
      <c r="AB527">
        <f t="shared" si="125"/>
        <v>12</v>
      </c>
      <c r="AC527">
        <f t="shared" si="126"/>
        <v>0.03</v>
      </c>
      <c r="AD527">
        <f t="shared" si="127"/>
        <v>1</v>
      </c>
      <c r="AE527">
        <f t="shared" si="128"/>
        <v>1</v>
      </c>
      <c r="AF527">
        <f t="shared" si="129"/>
        <v>1</v>
      </c>
      <c r="AG527">
        <f t="shared" si="130"/>
        <v>100</v>
      </c>
    </row>
    <row r="528" spans="1:33" x14ac:dyDescent="0.2">
      <c r="A528" t="s">
        <v>127</v>
      </c>
      <c r="B528" t="s">
        <v>128</v>
      </c>
      <c r="C528">
        <v>527</v>
      </c>
      <c r="D528">
        <v>52556</v>
      </c>
      <c r="E528" t="s">
        <v>1263</v>
      </c>
      <c r="F528" t="s">
        <v>69</v>
      </c>
      <c r="G528" t="s">
        <v>10</v>
      </c>
      <c r="H528" t="s">
        <v>12</v>
      </c>
      <c r="I528" t="s">
        <v>91</v>
      </c>
      <c r="J528">
        <v>29</v>
      </c>
      <c r="K528">
        <v>0.03</v>
      </c>
      <c r="L528">
        <v>1</v>
      </c>
      <c r="M528">
        <v>1</v>
      </c>
      <c r="N528">
        <v>1</v>
      </c>
      <c r="O528">
        <v>100</v>
      </c>
      <c r="P528" t="b">
        <f t="shared" si="121"/>
        <v>0</v>
      </c>
      <c r="S528" t="str">
        <f t="shared" si="117"/>
        <v>LATER</v>
      </c>
      <c r="T528" t="str">
        <f t="shared" si="118"/>
        <v>SainteLague</v>
      </c>
      <c r="U528">
        <f t="shared" si="120"/>
        <v>527</v>
      </c>
      <c r="V528">
        <f t="shared" si="119"/>
        <v>52556</v>
      </c>
      <c r="W528" s="8" t="str">
        <f>VLOOKUP(V528,'ideas-input'!$A:$B,2,FALSE)</f>
        <v>[QLIK] Incorporación de datos adicionales en BI (Income Tracking App)</v>
      </c>
      <c r="X528" t="str">
        <f t="shared" si="122"/>
        <v>CFO</v>
      </c>
      <c r="Y528" s="8" t="str">
        <f>VLOOKUP(V528,'ideas-input'!$A:$D,4,FALSE)</f>
        <v>eCommerce</v>
      </c>
      <c r="Z528" t="str">
        <f t="shared" si="123"/>
        <v>Corporate</v>
      </c>
      <c r="AA528" t="str">
        <f t="shared" si="124"/>
        <v>Backlog</v>
      </c>
      <c r="AB528">
        <f t="shared" si="125"/>
        <v>29</v>
      </c>
      <c r="AC528">
        <f t="shared" si="126"/>
        <v>0.03</v>
      </c>
      <c r="AD528">
        <f t="shared" si="127"/>
        <v>1</v>
      </c>
      <c r="AE528">
        <f t="shared" si="128"/>
        <v>1</v>
      </c>
      <c r="AF528">
        <f t="shared" si="129"/>
        <v>1</v>
      </c>
      <c r="AG528">
        <f t="shared" si="130"/>
        <v>100</v>
      </c>
    </row>
    <row r="529" spans="1:33" x14ac:dyDescent="0.2">
      <c r="A529" t="s">
        <v>127</v>
      </c>
      <c r="B529" t="s">
        <v>128</v>
      </c>
      <c r="C529">
        <v>528</v>
      </c>
      <c r="D529">
        <v>96334</v>
      </c>
      <c r="E529" t="s">
        <v>376</v>
      </c>
      <c r="F529" t="s">
        <v>9</v>
      </c>
      <c r="G529" t="s">
        <v>379</v>
      </c>
      <c r="H529" t="s">
        <v>8</v>
      </c>
      <c r="I529" t="s">
        <v>91</v>
      </c>
      <c r="J529">
        <v>33</v>
      </c>
      <c r="K529">
        <v>0.03</v>
      </c>
      <c r="L529">
        <v>1</v>
      </c>
      <c r="M529">
        <v>1</v>
      </c>
      <c r="N529">
        <v>1</v>
      </c>
      <c r="O529">
        <v>100</v>
      </c>
      <c r="P529" t="b">
        <f t="shared" si="121"/>
        <v>0</v>
      </c>
      <c r="S529" t="str">
        <f t="shared" si="117"/>
        <v>LATER</v>
      </c>
      <c r="T529" t="str">
        <f t="shared" si="118"/>
        <v>SainteLague</v>
      </c>
      <c r="U529">
        <f t="shared" si="120"/>
        <v>528</v>
      </c>
      <c r="V529">
        <f t="shared" si="119"/>
        <v>96334</v>
      </c>
      <c r="W529" s="8" t="str">
        <f>VLOOKUP(V529,'ideas-input'!$A:$B,2,FALSE)</f>
        <v>ESW | Github | Allow Github Actions to access resources inside CTT internal network</v>
      </c>
      <c r="X529" t="str">
        <f t="shared" si="122"/>
        <v>SI</v>
      </c>
      <c r="Y529" s="8" t="str">
        <f>VLOOKUP(V529,'ideas-input'!$A:$D,4,FALSE)</f>
        <v>Mail</v>
      </c>
      <c r="Z529" t="str">
        <f t="shared" si="123"/>
        <v>Technology</v>
      </c>
      <c r="AA529" t="str">
        <f t="shared" si="124"/>
        <v>Backlog</v>
      </c>
      <c r="AB529">
        <f t="shared" si="125"/>
        <v>33</v>
      </c>
      <c r="AC529">
        <f t="shared" si="126"/>
        <v>0.03</v>
      </c>
      <c r="AD529">
        <f t="shared" si="127"/>
        <v>1</v>
      </c>
      <c r="AE529">
        <f t="shared" si="128"/>
        <v>1</v>
      </c>
      <c r="AF529">
        <f t="shared" si="129"/>
        <v>1</v>
      </c>
      <c r="AG529">
        <f t="shared" si="130"/>
        <v>100</v>
      </c>
    </row>
    <row r="530" spans="1:33" x14ac:dyDescent="0.2">
      <c r="A530" t="s">
        <v>127</v>
      </c>
      <c r="B530" t="s">
        <v>128</v>
      </c>
      <c r="C530">
        <v>529</v>
      </c>
      <c r="D530">
        <v>63762</v>
      </c>
      <c r="E530" t="s">
        <v>1680</v>
      </c>
      <c r="F530" t="s">
        <v>70</v>
      </c>
      <c r="G530" t="s">
        <v>10</v>
      </c>
      <c r="H530" t="s">
        <v>8</v>
      </c>
      <c r="I530" t="s">
        <v>95</v>
      </c>
      <c r="J530">
        <v>63</v>
      </c>
      <c r="K530">
        <v>0.03</v>
      </c>
      <c r="L530">
        <v>1</v>
      </c>
      <c r="M530">
        <v>1</v>
      </c>
      <c r="N530">
        <v>1</v>
      </c>
      <c r="O530">
        <v>100</v>
      </c>
      <c r="P530" t="b">
        <f t="shared" si="121"/>
        <v>0</v>
      </c>
      <c r="S530" t="str">
        <f t="shared" si="117"/>
        <v>LATER</v>
      </c>
      <c r="T530" t="str">
        <f t="shared" si="118"/>
        <v>SainteLague</v>
      </c>
      <c r="U530">
        <f t="shared" si="120"/>
        <v>529</v>
      </c>
      <c r="V530">
        <f t="shared" si="119"/>
        <v>63762</v>
      </c>
      <c r="W530" s="8" t="str">
        <f>VLOOKUP(V530,'ideas-input'!$A:$B,2,FALSE)</f>
        <v>[Web de Clientes] - Vulnerabilidad crítica web clientes y  Revisión de la web antigua</v>
      </c>
      <c r="X530" t="str">
        <f t="shared" si="122"/>
        <v>CIO</v>
      </c>
      <c r="Y530" s="8" t="str">
        <f>VLOOKUP(V530,'ideas-input'!$A:$D,4,FALSE)</f>
        <v>eCommerce</v>
      </c>
      <c r="Z530" t="str">
        <f t="shared" si="123"/>
        <v>Technology</v>
      </c>
      <c r="AA530" t="str">
        <f t="shared" si="124"/>
        <v>In Definition</v>
      </c>
      <c r="AB530">
        <f t="shared" si="125"/>
        <v>63</v>
      </c>
      <c r="AC530">
        <f t="shared" si="126"/>
        <v>0.03</v>
      </c>
      <c r="AD530">
        <f t="shared" si="127"/>
        <v>1</v>
      </c>
      <c r="AE530">
        <f t="shared" si="128"/>
        <v>1</v>
      </c>
      <c r="AF530">
        <f t="shared" si="129"/>
        <v>1</v>
      </c>
      <c r="AG530">
        <f t="shared" si="130"/>
        <v>100</v>
      </c>
    </row>
    <row r="531" spans="1:33" x14ac:dyDescent="0.2">
      <c r="A531" t="s">
        <v>127</v>
      </c>
      <c r="B531" t="s">
        <v>128</v>
      </c>
      <c r="C531">
        <v>530</v>
      </c>
      <c r="D531">
        <v>140779</v>
      </c>
      <c r="E531" t="s">
        <v>1284</v>
      </c>
      <c r="F531" t="s">
        <v>21</v>
      </c>
      <c r="G531" t="s">
        <v>379</v>
      </c>
      <c r="H531" t="s">
        <v>5</v>
      </c>
      <c r="I531" t="s">
        <v>91</v>
      </c>
      <c r="J531">
        <v>16</v>
      </c>
      <c r="K531">
        <v>0.03</v>
      </c>
      <c r="L531">
        <v>1</v>
      </c>
      <c r="M531">
        <v>1</v>
      </c>
      <c r="N531">
        <v>1</v>
      </c>
      <c r="O531">
        <v>100</v>
      </c>
      <c r="P531" t="b">
        <f t="shared" si="121"/>
        <v>0</v>
      </c>
      <c r="S531" t="str">
        <f t="shared" si="117"/>
        <v>LATER</v>
      </c>
      <c r="T531" t="str">
        <f t="shared" si="118"/>
        <v>SainteLague</v>
      </c>
      <c r="U531">
        <f t="shared" si="120"/>
        <v>530</v>
      </c>
      <c r="V531">
        <f t="shared" si="119"/>
        <v>140779</v>
      </c>
      <c r="W531" s="8" t="str">
        <f>VLOOKUP(V531,'ideas-input'!$A:$B,2,FALSE)</f>
        <v>Registos com Aviso de Receção E2E em locker</v>
      </c>
      <c r="X531" t="str">
        <f t="shared" si="122"/>
        <v>GP B2B</v>
      </c>
      <c r="Y531" s="8" t="str">
        <f>VLOOKUP(V531,'ideas-input'!$A:$D,4,FALSE)</f>
        <v>Mail</v>
      </c>
      <c r="Z531" t="str">
        <f t="shared" si="123"/>
        <v>Commercial</v>
      </c>
      <c r="AA531" t="str">
        <f t="shared" si="124"/>
        <v>Backlog</v>
      </c>
      <c r="AB531">
        <f t="shared" si="125"/>
        <v>16</v>
      </c>
      <c r="AC531">
        <f t="shared" si="126"/>
        <v>0.03</v>
      </c>
      <c r="AD531">
        <f t="shared" si="127"/>
        <v>1</v>
      </c>
      <c r="AE531">
        <f t="shared" si="128"/>
        <v>1</v>
      </c>
      <c r="AF531">
        <f t="shared" si="129"/>
        <v>1</v>
      </c>
      <c r="AG531">
        <f t="shared" si="130"/>
        <v>100</v>
      </c>
    </row>
    <row r="532" spans="1:33" x14ac:dyDescent="0.2">
      <c r="A532" t="s">
        <v>127</v>
      </c>
      <c r="B532" t="s">
        <v>128</v>
      </c>
      <c r="C532">
        <v>531</v>
      </c>
      <c r="D532">
        <v>59266</v>
      </c>
      <c r="E532" t="s">
        <v>1238</v>
      </c>
      <c r="F532" t="s">
        <v>65</v>
      </c>
      <c r="G532" t="s">
        <v>10</v>
      </c>
      <c r="H532" t="s">
        <v>5</v>
      </c>
      <c r="I532" t="s">
        <v>91</v>
      </c>
      <c r="J532">
        <v>33</v>
      </c>
      <c r="K532">
        <v>0.03</v>
      </c>
      <c r="L532">
        <v>1</v>
      </c>
      <c r="M532">
        <v>1</v>
      </c>
      <c r="N532">
        <v>1</v>
      </c>
      <c r="O532">
        <v>100</v>
      </c>
      <c r="P532" t="b">
        <f t="shared" si="121"/>
        <v>0</v>
      </c>
      <c r="S532" t="str">
        <f t="shared" si="117"/>
        <v>LATER</v>
      </c>
      <c r="T532" t="str">
        <f t="shared" si="118"/>
        <v>SainteLague</v>
      </c>
      <c r="U532">
        <f t="shared" si="120"/>
        <v>531</v>
      </c>
      <c r="V532">
        <f t="shared" si="119"/>
        <v>59266</v>
      </c>
      <c r="W532" s="8" t="str">
        <f>VLOOKUP(V532,'ideas-input'!$A:$B,2,FALSE)</f>
        <v>[PUDOS] [MONGO] - Información completa de incidencias en colección Pickups</v>
      </c>
      <c r="X532" t="str">
        <f t="shared" si="122"/>
        <v>CMO</v>
      </c>
      <c r="Y532" s="8" t="str">
        <f>VLOOKUP(V532,'ideas-input'!$A:$D,4,FALSE)</f>
        <v>eCommerce</v>
      </c>
      <c r="Z532" t="str">
        <f t="shared" si="123"/>
        <v>Commercial</v>
      </c>
      <c r="AA532" t="str">
        <f t="shared" si="124"/>
        <v>Backlog</v>
      </c>
      <c r="AB532">
        <f t="shared" si="125"/>
        <v>33</v>
      </c>
      <c r="AC532">
        <f t="shared" si="126"/>
        <v>0.03</v>
      </c>
      <c r="AD532">
        <f t="shared" si="127"/>
        <v>1</v>
      </c>
      <c r="AE532">
        <f t="shared" si="128"/>
        <v>1</v>
      </c>
      <c r="AF532">
        <f t="shared" si="129"/>
        <v>1</v>
      </c>
      <c r="AG532">
        <f t="shared" si="130"/>
        <v>100</v>
      </c>
    </row>
    <row r="533" spans="1:33" x14ac:dyDescent="0.2">
      <c r="A533" t="s">
        <v>127</v>
      </c>
      <c r="B533" t="s">
        <v>128</v>
      </c>
      <c r="C533">
        <v>532</v>
      </c>
      <c r="D533">
        <v>177123</v>
      </c>
      <c r="E533" t="s">
        <v>1244</v>
      </c>
      <c r="F533" t="s">
        <v>34</v>
      </c>
      <c r="G533" t="s">
        <v>379</v>
      </c>
      <c r="H533" t="s">
        <v>8</v>
      </c>
      <c r="I533" t="s">
        <v>91</v>
      </c>
      <c r="J533">
        <v>13</v>
      </c>
      <c r="K533">
        <v>0.03</v>
      </c>
      <c r="L533">
        <v>1</v>
      </c>
      <c r="M533">
        <v>1</v>
      </c>
      <c r="N533">
        <v>1</v>
      </c>
      <c r="O533">
        <v>100</v>
      </c>
      <c r="P533" t="b">
        <f t="shared" si="121"/>
        <v>0</v>
      </c>
      <c r="S533" t="str">
        <f t="shared" si="117"/>
        <v>LATER</v>
      </c>
      <c r="T533" t="str">
        <f t="shared" si="118"/>
        <v>SainteLague</v>
      </c>
      <c r="U533">
        <f t="shared" si="120"/>
        <v>532</v>
      </c>
      <c r="V533">
        <f t="shared" si="119"/>
        <v>177123</v>
      </c>
      <c r="W533" s="8" t="str">
        <f>VLOOKUP(V533,'ideas-input'!$A:$B,2,FALSE)</f>
        <v>Obsolescência WAVE 0 - Converter LDAP em LDAPS (BCTT)</v>
      </c>
      <c r="X533" t="str">
        <f t="shared" si="122"/>
        <v>BCTT</v>
      </c>
      <c r="Y533" s="8" t="str">
        <f>VLOOKUP(V533,'ideas-input'!$A:$D,4,FALSE)</f>
        <v>Mail</v>
      </c>
      <c r="Z533" t="str">
        <f t="shared" si="123"/>
        <v>Technology</v>
      </c>
      <c r="AA533" t="str">
        <f t="shared" si="124"/>
        <v>Backlog</v>
      </c>
      <c r="AB533">
        <f t="shared" si="125"/>
        <v>13</v>
      </c>
      <c r="AC533">
        <f t="shared" si="126"/>
        <v>0.03</v>
      </c>
      <c r="AD533">
        <f t="shared" si="127"/>
        <v>1</v>
      </c>
      <c r="AE533">
        <f t="shared" si="128"/>
        <v>1</v>
      </c>
      <c r="AF533">
        <f t="shared" si="129"/>
        <v>1</v>
      </c>
      <c r="AG533">
        <f t="shared" si="130"/>
        <v>100</v>
      </c>
    </row>
    <row r="534" spans="1:33" x14ac:dyDescent="0.2">
      <c r="A534" t="s">
        <v>127</v>
      </c>
      <c r="B534" t="s">
        <v>128</v>
      </c>
      <c r="C534">
        <v>533</v>
      </c>
      <c r="D534">
        <v>43544</v>
      </c>
      <c r="E534" t="s">
        <v>1681</v>
      </c>
      <c r="F534" t="s">
        <v>69</v>
      </c>
      <c r="G534" t="s">
        <v>10</v>
      </c>
      <c r="H534" t="s">
        <v>12</v>
      </c>
      <c r="I534" t="s">
        <v>91</v>
      </c>
      <c r="J534">
        <v>30</v>
      </c>
      <c r="K534">
        <v>0.03</v>
      </c>
      <c r="L534">
        <v>1</v>
      </c>
      <c r="M534">
        <v>1</v>
      </c>
      <c r="N534">
        <v>1</v>
      </c>
      <c r="O534">
        <v>100</v>
      </c>
      <c r="P534" t="b">
        <f t="shared" si="121"/>
        <v>0</v>
      </c>
      <c r="S534" t="str">
        <f t="shared" si="117"/>
        <v>LATER</v>
      </c>
      <c r="T534" t="str">
        <f t="shared" si="118"/>
        <v>SainteLague</v>
      </c>
      <c r="U534">
        <f t="shared" si="120"/>
        <v>533</v>
      </c>
      <c r="V534">
        <f t="shared" si="119"/>
        <v>43544</v>
      </c>
      <c r="W534" s="8" t="str">
        <f>VLOOKUP(V534,'ideas-input'!$A:$B,2,FALSE)</f>
        <v>[Evolutivos SGC Finanzas]  Alarma-86 Engaño Cod. Postales (solicitado tambien a traves de BI para buscar automatización)</v>
      </c>
      <c r="X534" t="str">
        <f t="shared" si="122"/>
        <v>CFO</v>
      </c>
      <c r="Y534" s="8" t="str">
        <f>VLOOKUP(V534,'ideas-input'!$A:$D,4,FALSE)</f>
        <v>eCommerce</v>
      </c>
      <c r="Z534" t="str">
        <f t="shared" si="123"/>
        <v>Corporate</v>
      </c>
      <c r="AA534" t="str">
        <f t="shared" si="124"/>
        <v>Backlog</v>
      </c>
      <c r="AB534">
        <f t="shared" si="125"/>
        <v>30</v>
      </c>
      <c r="AC534">
        <f t="shared" si="126"/>
        <v>0.03</v>
      </c>
      <c r="AD534">
        <f t="shared" si="127"/>
        <v>1</v>
      </c>
      <c r="AE534">
        <f t="shared" si="128"/>
        <v>1</v>
      </c>
      <c r="AF534">
        <f t="shared" si="129"/>
        <v>1</v>
      </c>
      <c r="AG534">
        <f t="shared" si="130"/>
        <v>100</v>
      </c>
    </row>
    <row r="535" spans="1:33" x14ac:dyDescent="0.2">
      <c r="A535" t="s">
        <v>127</v>
      </c>
      <c r="B535" t="s">
        <v>128</v>
      </c>
      <c r="C535">
        <v>534</v>
      </c>
      <c r="D535">
        <v>123648</v>
      </c>
      <c r="E535" t="s">
        <v>1287</v>
      </c>
      <c r="F535" t="s">
        <v>23</v>
      </c>
      <c r="G535" t="s">
        <v>379</v>
      </c>
      <c r="H535" t="s">
        <v>5</v>
      </c>
      <c r="I535" t="s">
        <v>91</v>
      </c>
      <c r="J535">
        <v>16</v>
      </c>
      <c r="K535">
        <v>0.03</v>
      </c>
      <c r="L535">
        <v>1</v>
      </c>
      <c r="M535">
        <v>1</v>
      </c>
      <c r="N535">
        <v>1</v>
      </c>
      <c r="O535">
        <v>100</v>
      </c>
      <c r="P535" t="b">
        <f t="shared" si="121"/>
        <v>0</v>
      </c>
      <c r="S535" t="str">
        <f t="shared" ref="S535:S598" si="131">A535</f>
        <v>LATER</v>
      </c>
      <c r="T535" t="str">
        <f t="shared" ref="T535:T598" si="132">B535</f>
        <v>SainteLague</v>
      </c>
      <c r="U535">
        <f t="shared" si="120"/>
        <v>534</v>
      </c>
      <c r="V535">
        <f t="shared" ref="V535:V598" si="133">D535</f>
        <v>123648</v>
      </c>
      <c r="W535" s="8" t="str">
        <f>VLOOKUP(V535,'ideas-input'!$A:$B,2,FALSE)</f>
        <v>Amazon | Serviço Especial Feriado</v>
      </c>
      <c r="X535" t="str">
        <f t="shared" si="122"/>
        <v>GP ECL</v>
      </c>
      <c r="Y535" s="8" t="str">
        <f>VLOOKUP(V535,'ideas-input'!$A:$D,4,FALSE)</f>
        <v>eCommerce</v>
      </c>
      <c r="Z535" t="str">
        <f t="shared" si="123"/>
        <v>Commercial</v>
      </c>
      <c r="AA535" t="str">
        <f t="shared" si="124"/>
        <v>Backlog</v>
      </c>
      <c r="AB535">
        <f t="shared" si="125"/>
        <v>16</v>
      </c>
      <c r="AC535">
        <f t="shared" si="126"/>
        <v>0.03</v>
      </c>
      <c r="AD535">
        <f t="shared" si="127"/>
        <v>1</v>
      </c>
      <c r="AE535">
        <f t="shared" si="128"/>
        <v>1</v>
      </c>
      <c r="AF535">
        <f t="shared" si="129"/>
        <v>1</v>
      </c>
      <c r="AG535">
        <f t="shared" si="130"/>
        <v>100</v>
      </c>
    </row>
    <row r="536" spans="1:33" x14ac:dyDescent="0.2">
      <c r="A536" t="s">
        <v>127</v>
      </c>
      <c r="B536" t="s">
        <v>128</v>
      </c>
      <c r="C536">
        <v>535</v>
      </c>
      <c r="D536">
        <v>62285</v>
      </c>
      <c r="E536" t="s">
        <v>328</v>
      </c>
      <c r="F536" t="s">
        <v>70</v>
      </c>
      <c r="G536" t="s">
        <v>10</v>
      </c>
      <c r="H536" t="s">
        <v>8</v>
      </c>
      <c r="I536" t="s">
        <v>91</v>
      </c>
      <c r="J536">
        <v>64</v>
      </c>
      <c r="K536">
        <v>0.03</v>
      </c>
      <c r="L536">
        <v>1</v>
      </c>
      <c r="M536">
        <v>1</v>
      </c>
      <c r="N536">
        <v>1</v>
      </c>
      <c r="O536">
        <v>100</v>
      </c>
      <c r="P536" t="b">
        <f t="shared" si="121"/>
        <v>0</v>
      </c>
      <c r="S536" t="str">
        <f t="shared" si="131"/>
        <v>LATER</v>
      </c>
      <c r="T536" t="str">
        <f t="shared" si="132"/>
        <v>SainteLague</v>
      </c>
      <c r="U536">
        <f t="shared" si="120"/>
        <v>535</v>
      </c>
      <c r="V536">
        <f t="shared" si="133"/>
        <v>62285</v>
      </c>
      <c r="W536" s="8" t="str">
        <f>VLOOKUP(V536,'ideas-input'!$A:$B,2,FALSE)</f>
        <v>Migrar clusters de Mongo a MultiAZ</v>
      </c>
      <c r="X536" t="str">
        <f t="shared" si="122"/>
        <v>CIO</v>
      </c>
      <c r="Y536" s="8" t="str">
        <f>VLOOKUP(V536,'ideas-input'!$A:$D,4,FALSE)</f>
        <v>eCommerce</v>
      </c>
      <c r="Z536" t="str">
        <f t="shared" si="123"/>
        <v>Technology</v>
      </c>
      <c r="AA536" t="str">
        <f t="shared" si="124"/>
        <v>Backlog</v>
      </c>
      <c r="AB536">
        <f t="shared" si="125"/>
        <v>64</v>
      </c>
      <c r="AC536">
        <f t="shared" si="126"/>
        <v>0.03</v>
      </c>
      <c r="AD536">
        <f t="shared" si="127"/>
        <v>1</v>
      </c>
      <c r="AE536">
        <f t="shared" si="128"/>
        <v>1</v>
      </c>
      <c r="AF536">
        <f t="shared" si="129"/>
        <v>1</v>
      </c>
      <c r="AG536">
        <f t="shared" si="130"/>
        <v>100</v>
      </c>
    </row>
    <row r="537" spans="1:33" x14ac:dyDescent="0.2">
      <c r="A537" t="s">
        <v>127</v>
      </c>
      <c r="B537" t="s">
        <v>128</v>
      </c>
      <c r="C537">
        <v>536</v>
      </c>
      <c r="D537">
        <v>125545</v>
      </c>
      <c r="E537" t="s">
        <v>260</v>
      </c>
      <c r="F537" t="s">
        <v>9</v>
      </c>
      <c r="G537" t="s">
        <v>379</v>
      </c>
      <c r="H537" t="s">
        <v>8</v>
      </c>
      <c r="I537" t="s">
        <v>91</v>
      </c>
      <c r="J537">
        <v>34</v>
      </c>
      <c r="K537">
        <v>0.08</v>
      </c>
      <c r="L537">
        <v>5</v>
      </c>
      <c r="M537">
        <v>2</v>
      </c>
      <c r="N537">
        <v>1</v>
      </c>
      <c r="O537">
        <v>100</v>
      </c>
      <c r="P537" t="b">
        <f t="shared" si="121"/>
        <v>0</v>
      </c>
      <c r="S537" t="str">
        <f t="shared" si="131"/>
        <v>LATER</v>
      </c>
      <c r="T537" t="str">
        <f t="shared" si="132"/>
        <v>SainteLague</v>
      </c>
      <c r="U537">
        <f t="shared" si="120"/>
        <v>536</v>
      </c>
      <c r="V537">
        <f t="shared" si="133"/>
        <v>125545</v>
      </c>
      <c r="W537" s="8" t="str">
        <f>VLOOKUP(V537,'ideas-input'!$A:$B,2,FALSE)</f>
        <v>Observability | Alarm Catalog for self provision in applications</v>
      </c>
      <c r="X537" t="str">
        <f t="shared" si="122"/>
        <v>SI</v>
      </c>
      <c r="Y537" s="8" t="str">
        <f>VLOOKUP(V537,'ideas-input'!$A:$D,4,FALSE)</f>
        <v>Mail</v>
      </c>
      <c r="Z537" t="str">
        <f t="shared" si="123"/>
        <v>Technology</v>
      </c>
      <c r="AA537" t="str">
        <f t="shared" si="124"/>
        <v>Backlog</v>
      </c>
      <c r="AB537">
        <f t="shared" si="125"/>
        <v>34</v>
      </c>
      <c r="AC537">
        <f t="shared" si="126"/>
        <v>0.08</v>
      </c>
      <c r="AD537">
        <f t="shared" si="127"/>
        <v>5</v>
      </c>
      <c r="AE537">
        <f t="shared" si="128"/>
        <v>2</v>
      </c>
      <c r="AF537">
        <f t="shared" si="129"/>
        <v>1</v>
      </c>
      <c r="AG537">
        <f t="shared" si="130"/>
        <v>100</v>
      </c>
    </row>
    <row r="538" spans="1:33" x14ac:dyDescent="0.2">
      <c r="A538" t="s">
        <v>127</v>
      </c>
      <c r="B538" t="s">
        <v>128</v>
      </c>
      <c r="C538">
        <v>537</v>
      </c>
      <c r="D538">
        <v>57310</v>
      </c>
      <c r="E538" t="s">
        <v>247</v>
      </c>
      <c r="F538" t="s">
        <v>66</v>
      </c>
      <c r="G538" t="s">
        <v>10</v>
      </c>
      <c r="H538" t="s">
        <v>5</v>
      </c>
      <c r="I538" t="s">
        <v>97</v>
      </c>
      <c r="J538">
        <v>27</v>
      </c>
      <c r="K538">
        <v>0.03</v>
      </c>
      <c r="L538">
        <v>1</v>
      </c>
      <c r="M538">
        <v>1</v>
      </c>
      <c r="N538">
        <v>1</v>
      </c>
      <c r="O538">
        <v>100</v>
      </c>
      <c r="P538" t="b">
        <f t="shared" si="121"/>
        <v>0</v>
      </c>
      <c r="S538" t="str">
        <f t="shared" si="131"/>
        <v>LATER</v>
      </c>
      <c r="T538" t="str">
        <f t="shared" si="132"/>
        <v>SainteLague</v>
      </c>
      <c r="U538">
        <f t="shared" ref="U538:U601" si="134">C538</f>
        <v>537</v>
      </c>
      <c r="V538">
        <f t="shared" si="133"/>
        <v>57310</v>
      </c>
      <c r="W538" s="8" t="str">
        <f>VLOOKUP(V538,'ideas-input'!$A:$B,2,FALSE)</f>
        <v>[Salesforce Sales] - Contemplar los puntos de servicio a nivel master</v>
      </c>
      <c r="X538" t="str">
        <f t="shared" si="122"/>
        <v>CCO</v>
      </c>
      <c r="Y538" s="8" t="str">
        <f>VLOOKUP(V538,'ideas-input'!$A:$D,4,FALSE)</f>
        <v>eCommerce</v>
      </c>
      <c r="Z538" t="str">
        <f t="shared" si="123"/>
        <v>Commercial</v>
      </c>
      <c r="AA538" t="str">
        <f t="shared" si="124"/>
        <v>Ready for Solution</v>
      </c>
      <c r="AB538">
        <f t="shared" si="125"/>
        <v>27</v>
      </c>
      <c r="AC538">
        <f t="shared" si="126"/>
        <v>0.03</v>
      </c>
      <c r="AD538">
        <f t="shared" si="127"/>
        <v>1</v>
      </c>
      <c r="AE538">
        <f t="shared" si="128"/>
        <v>1</v>
      </c>
      <c r="AF538">
        <f t="shared" si="129"/>
        <v>1</v>
      </c>
      <c r="AG538">
        <f t="shared" si="130"/>
        <v>100</v>
      </c>
    </row>
    <row r="539" spans="1:33" x14ac:dyDescent="0.2">
      <c r="A539" t="s">
        <v>127</v>
      </c>
      <c r="B539" t="s">
        <v>128</v>
      </c>
      <c r="C539">
        <v>538</v>
      </c>
      <c r="D539">
        <v>103865</v>
      </c>
      <c r="E539" t="s">
        <v>1290</v>
      </c>
      <c r="F539" t="s">
        <v>21</v>
      </c>
      <c r="G539" t="s">
        <v>379</v>
      </c>
      <c r="H539" t="s">
        <v>5</v>
      </c>
      <c r="I539" t="s">
        <v>91</v>
      </c>
      <c r="J539">
        <v>17</v>
      </c>
      <c r="K539">
        <v>0.03</v>
      </c>
      <c r="L539">
        <v>1</v>
      </c>
      <c r="M539">
        <v>1</v>
      </c>
      <c r="N539">
        <v>1</v>
      </c>
      <c r="O539">
        <v>100</v>
      </c>
      <c r="P539" t="b">
        <f t="shared" si="121"/>
        <v>0</v>
      </c>
      <c r="S539" t="str">
        <f t="shared" si="131"/>
        <v>LATER</v>
      </c>
      <c r="T539" t="str">
        <f t="shared" si="132"/>
        <v>SainteLague</v>
      </c>
      <c r="U539">
        <f t="shared" si="134"/>
        <v>538</v>
      </c>
      <c r="V539">
        <f t="shared" si="133"/>
        <v>103865</v>
      </c>
      <c r="W539" s="8" t="str">
        <f>VLOOKUP(V539,'ideas-input'!$A:$B,2,FALSE)</f>
        <v>Avaliação do custo de extensão do licenciamento atual para a utilização do serviço webhook - BKTER</v>
      </c>
      <c r="X539" t="str">
        <f t="shared" si="122"/>
        <v>GP B2B</v>
      </c>
      <c r="Y539" s="8" t="str">
        <f>VLOOKUP(V539,'ideas-input'!$A:$D,4,FALSE)</f>
        <v>Business Solutions</v>
      </c>
      <c r="Z539" t="str">
        <f t="shared" si="123"/>
        <v>Commercial</v>
      </c>
      <c r="AA539" t="str">
        <f t="shared" si="124"/>
        <v>Backlog</v>
      </c>
      <c r="AB539">
        <f t="shared" si="125"/>
        <v>17</v>
      </c>
      <c r="AC539">
        <f t="shared" si="126"/>
        <v>0.03</v>
      </c>
      <c r="AD539">
        <f t="shared" si="127"/>
        <v>1</v>
      </c>
      <c r="AE539">
        <f t="shared" si="128"/>
        <v>1</v>
      </c>
      <c r="AF539">
        <f t="shared" si="129"/>
        <v>1</v>
      </c>
      <c r="AG539">
        <f t="shared" si="130"/>
        <v>100</v>
      </c>
    </row>
    <row r="540" spans="1:33" x14ac:dyDescent="0.2">
      <c r="A540" t="s">
        <v>127</v>
      </c>
      <c r="B540" t="s">
        <v>128</v>
      </c>
      <c r="C540">
        <v>539</v>
      </c>
      <c r="D540">
        <v>52020</v>
      </c>
      <c r="E540" t="s">
        <v>1130</v>
      </c>
      <c r="F540" t="s">
        <v>71</v>
      </c>
      <c r="G540" t="s">
        <v>10</v>
      </c>
      <c r="H540" t="s">
        <v>12</v>
      </c>
      <c r="I540" t="s">
        <v>91</v>
      </c>
      <c r="J540">
        <v>8</v>
      </c>
      <c r="K540">
        <v>0.03</v>
      </c>
      <c r="L540">
        <v>1</v>
      </c>
      <c r="M540">
        <v>1</v>
      </c>
      <c r="N540">
        <v>1</v>
      </c>
      <c r="O540">
        <v>100</v>
      </c>
      <c r="P540" t="b">
        <f t="shared" si="121"/>
        <v>0</v>
      </c>
      <c r="S540" t="str">
        <f t="shared" si="131"/>
        <v>LATER</v>
      </c>
      <c r="T540" t="str">
        <f t="shared" si="132"/>
        <v>SainteLague</v>
      </c>
      <c r="U540">
        <f t="shared" si="134"/>
        <v>539</v>
      </c>
      <c r="V540">
        <f t="shared" si="133"/>
        <v>52020</v>
      </c>
      <c r="W540" s="8" t="str">
        <f>VLOOKUP(V540,'ideas-input'!$A:$B,2,FALSE)</f>
        <v>[Auditoria PT] Detección y expulsión en los clasificadores de objetos de Clientes inactivos</v>
      </c>
      <c r="X540" t="str">
        <f t="shared" si="122"/>
        <v>PRO</v>
      </c>
      <c r="Y540" s="8" t="str">
        <f>VLOOKUP(V540,'ideas-input'!$A:$D,4,FALSE)</f>
        <v>eCommerce</v>
      </c>
      <c r="Z540" t="str">
        <f t="shared" si="123"/>
        <v>Corporate</v>
      </c>
      <c r="AA540" t="str">
        <f t="shared" si="124"/>
        <v>Backlog</v>
      </c>
      <c r="AB540">
        <f t="shared" si="125"/>
        <v>8</v>
      </c>
      <c r="AC540">
        <f t="shared" si="126"/>
        <v>0.03</v>
      </c>
      <c r="AD540">
        <f t="shared" si="127"/>
        <v>1</v>
      </c>
      <c r="AE540">
        <f t="shared" si="128"/>
        <v>1</v>
      </c>
      <c r="AF540">
        <f t="shared" si="129"/>
        <v>1</v>
      </c>
      <c r="AG540">
        <f t="shared" si="130"/>
        <v>100</v>
      </c>
    </row>
    <row r="541" spans="1:33" x14ac:dyDescent="0.2">
      <c r="A541" t="s">
        <v>127</v>
      </c>
      <c r="B541" t="s">
        <v>128</v>
      </c>
      <c r="C541">
        <v>540</v>
      </c>
      <c r="D541">
        <v>84860</v>
      </c>
      <c r="E541" t="s">
        <v>1293</v>
      </c>
      <c r="F541" t="s">
        <v>23</v>
      </c>
      <c r="G541" t="s">
        <v>379</v>
      </c>
      <c r="H541" t="s">
        <v>5</v>
      </c>
      <c r="I541" t="s">
        <v>91</v>
      </c>
      <c r="J541">
        <v>17</v>
      </c>
      <c r="K541">
        <v>0.03</v>
      </c>
      <c r="L541">
        <v>1</v>
      </c>
      <c r="M541">
        <v>1</v>
      </c>
      <c r="N541">
        <v>1</v>
      </c>
      <c r="O541">
        <v>100</v>
      </c>
      <c r="P541" t="b">
        <f t="shared" si="121"/>
        <v>0</v>
      </c>
      <c r="S541" t="str">
        <f t="shared" si="131"/>
        <v>LATER</v>
      </c>
      <c r="T541" t="str">
        <f t="shared" si="132"/>
        <v>SainteLague</v>
      </c>
      <c r="U541">
        <f t="shared" si="134"/>
        <v>540</v>
      </c>
      <c r="V541">
        <f t="shared" si="133"/>
        <v>84860</v>
      </c>
      <c r="W541" s="8" t="str">
        <f>VLOOKUP(V541,'ideas-input'!$A:$B,2,FALSE)</f>
        <v>Amazon | Informação complementar de fechos ocasionais e férias</v>
      </c>
      <c r="X541" t="str">
        <f t="shared" si="122"/>
        <v>GP ECL</v>
      </c>
      <c r="Y541" s="8" t="str">
        <f>VLOOKUP(V541,'ideas-input'!$A:$D,4,FALSE)</f>
        <v>eCommerce</v>
      </c>
      <c r="Z541" t="str">
        <f t="shared" si="123"/>
        <v>Commercial</v>
      </c>
      <c r="AA541" t="str">
        <f t="shared" si="124"/>
        <v>Backlog</v>
      </c>
      <c r="AB541">
        <f t="shared" si="125"/>
        <v>17</v>
      </c>
      <c r="AC541">
        <f t="shared" si="126"/>
        <v>0.03</v>
      </c>
      <c r="AD541">
        <f t="shared" si="127"/>
        <v>1</v>
      </c>
      <c r="AE541">
        <f t="shared" si="128"/>
        <v>1</v>
      </c>
      <c r="AF541">
        <f t="shared" si="129"/>
        <v>1</v>
      </c>
      <c r="AG541">
        <f t="shared" si="130"/>
        <v>100</v>
      </c>
    </row>
    <row r="542" spans="1:33" x14ac:dyDescent="0.2">
      <c r="A542" t="s">
        <v>127</v>
      </c>
      <c r="B542" t="s">
        <v>128</v>
      </c>
      <c r="C542">
        <v>541</v>
      </c>
      <c r="D542">
        <v>62413</v>
      </c>
      <c r="E542" t="s">
        <v>1256</v>
      </c>
      <c r="F542" t="s">
        <v>70</v>
      </c>
      <c r="G542" t="s">
        <v>10</v>
      </c>
      <c r="H542" t="s">
        <v>8</v>
      </c>
      <c r="I542" t="s">
        <v>95</v>
      </c>
      <c r="J542">
        <v>65</v>
      </c>
      <c r="K542">
        <v>0.03</v>
      </c>
      <c r="L542">
        <v>1</v>
      </c>
      <c r="M542">
        <v>1</v>
      </c>
      <c r="N542">
        <v>1</v>
      </c>
      <c r="O542">
        <v>100</v>
      </c>
      <c r="P542" t="b">
        <f t="shared" si="121"/>
        <v>0</v>
      </c>
      <c r="S542" t="str">
        <f t="shared" si="131"/>
        <v>LATER</v>
      </c>
      <c r="T542" t="str">
        <f t="shared" si="132"/>
        <v>SainteLague</v>
      </c>
      <c r="U542">
        <f t="shared" si="134"/>
        <v>541</v>
      </c>
      <c r="V542">
        <f t="shared" si="133"/>
        <v>62413</v>
      </c>
      <c r="W542" s="8" t="str">
        <f>VLOOKUP(V542,'ideas-input'!$A:$B,2,FALSE)</f>
        <v>Actualización automática de aplicaciones hijas en Nexia</v>
      </c>
      <c r="X542" t="str">
        <f t="shared" si="122"/>
        <v>CIO</v>
      </c>
      <c r="Y542" s="8" t="str">
        <f>VLOOKUP(V542,'ideas-input'!$A:$D,4,FALSE)</f>
        <v>eCommerce</v>
      </c>
      <c r="Z542" t="str">
        <f t="shared" si="123"/>
        <v>Technology</v>
      </c>
      <c r="AA542" t="str">
        <f t="shared" si="124"/>
        <v>In Definition</v>
      </c>
      <c r="AB542">
        <f t="shared" si="125"/>
        <v>65</v>
      </c>
      <c r="AC542">
        <f t="shared" si="126"/>
        <v>0.03</v>
      </c>
      <c r="AD542">
        <f t="shared" si="127"/>
        <v>1</v>
      </c>
      <c r="AE542">
        <f t="shared" si="128"/>
        <v>1</v>
      </c>
      <c r="AF542">
        <f t="shared" si="129"/>
        <v>1</v>
      </c>
      <c r="AG542">
        <f t="shared" si="130"/>
        <v>100</v>
      </c>
    </row>
    <row r="543" spans="1:33" x14ac:dyDescent="0.2">
      <c r="A543" t="s">
        <v>127</v>
      </c>
      <c r="B543" t="s">
        <v>128</v>
      </c>
      <c r="C543">
        <v>542</v>
      </c>
      <c r="D543">
        <v>106746</v>
      </c>
      <c r="E543" t="s">
        <v>375</v>
      </c>
      <c r="F543" t="s">
        <v>9</v>
      </c>
      <c r="G543" t="s">
        <v>379</v>
      </c>
      <c r="H543" t="s">
        <v>8</v>
      </c>
      <c r="I543" t="s">
        <v>91</v>
      </c>
      <c r="J543">
        <v>35</v>
      </c>
      <c r="K543">
        <v>0.03</v>
      </c>
      <c r="L543">
        <v>1</v>
      </c>
      <c r="M543">
        <v>1</v>
      </c>
      <c r="N543">
        <v>1</v>
      </c>
      <c r="O543">
        <v>100</v>
      </c>
      <c r="P543" t="b">
        <f t="shared" si="121"/>
        <v>0</v>
      </c>
      <c r="S543" t="str">
        <f t="shared" si="131"/>
        <v>LATER</v>
      </c>
      <c r="T543" t="str">
        <f t="shared" si="132"/>
        <v>SainteLague</v>
      </c>
      <c r="U543">
        <f t="shared" si="134"/>
        <v>542</v>
      </c>
      <c r="V543">
        <f t="shared" si="133"/>
        <v>106746</v>
      </c>
      <c r="W543" s="8" t="str">
        <f>VLOOKUP(V543,'ideas-input'!$A:$B,2,FALSE)</f>
        <v>ESW | Sonar | Connect Github based applications to Sonar</v>
      </c>
      <c r="X543" t="str">
        <f t="shared" si="122"/>
        <v>SI</v>
      </c>
      <c r="Y543" s="8" t="str">
        <f>VLOOKUP(V543,'ideas-input'!$A:$D,4,FALSE)</f>
        <v>Mail</v>
      </c>
      <c r="Z543" t="str">
        <f t="shared" si="123"/>
        <v>Technology</v>
      </c>
      <c r="AA543" t="str">
        <f t="shared" si="124"/>
        <v>Backlog</v>
      </c>
      <c r="AB543">
        <f t="shared" si="125"/>
        <v>35</v>
      </c>
      <c r="AC543">
        <f t="shared" si="126"/>
        <v>0.03</v>
      </c>
      <c r="AD543">
        <f t="shared" si="127"/>
        <v>1</v>
      </c>
      <c r="AE543">
        <f t="shared" si="128"/>
        <v>1</v>
      </c>
      <c r="AF543">
        <f t="shared" si="129"/>
        <v>1</v>
      </c>
      <c r="AG543">
        <f t="shared" si="130"/>
        <v>100</v>
      </c>
    </row>
    <row r="544" spans="1:33" x14ac:dyDescent="0.2">
      <c r="A544" t="s">
        <v>127</v>
      </c>
      <c r="B544" t="s">
        <v>128</v>
      </c>
      <c r="C544">
        <v>543</v>
      </c>
      <c r="D544">
        <v>46622</v>
      </c>
      <c r="E544" t="s">
        <v>255</v>
      </c>
      <c r="F544" t="s">
        <v>68</v>
      </c>
      <c r="G544" t="s">
        <v>10</v>
      </c>
      <c r="H544" t="s">
        <v>5</v>
      </c>
      <c r="I544" t="s">
        <v>91</v>
      </c>
      <c r="J544">
        <v>24</v>
      </c>
      <c r="K544">
        <v>0.03</v>
      </c>
      <c r="L544">
        <v>1</v>
      </c>
      <c r="M544">
        <v>1</v>
      </c>
      <c r="N544">
        <v>1</v>
      </c>
      <c r="O544">
        <v>100</v>
      </c>
      <c r="P544" t="b">
        <f t="shared" si="121"/>
        <v>0</v>
      </c>
      <c r="S544" t="str">
        <f t="shared" si="131"/>
        <v>LATER</v>
      </c>
      <c r="T544" t="str">
        <f t="shared" si="132"/>
        <v>SainteLague</v>
      </c>
      <c r="U544">
        <f t="shared" si="134"/>
        <v>543</v>
      </c>
      <c r="V544">
        <f t="shared" si="133"/>
        <v>46622</v>
      </c>
      <c r="W544" s="8" t="str">
        <f>VLOOKUP(V544,'ideas-input'!$A:$B,2,FALSE)</f>
        <v>Mejora Mapper Agrupacion</v>
      </c>
      <c r="X544" t="str">
        <f t="shared" si="122"/>
        <v>IDC</v>
      </c>
      <c r="Y544" s="8" t="str">
        <f>VLOOKUP(V544,'ideas-input'!$A:$D,4,FALSE)</f>
        <v>eCommerce</v>
      </c>
      <c r="Z544" t="str">
        <f t="shared" si="123"/>
        <v>Commercial</v>
      </c>
      <c r="AA544" t="str">
        <f t="shared" si="124"/>
        <v>Backlog</v>
      </c>
      <c r="AB544">
        <f t="shared" si="125"/>
        <v>24</v>
      </c>
      <c r="AC544">
        <f t="shared" si="126"/>
        <v>0.03</v>
      </c>
      <c r="AD544">
        <f t="shared" si="127"/>
        <v>1</v>
      </c>
      <c r="AE544">
        <f t="shared" si="128"/>
        <v>1</v>
      </c>
      <c r="AF544">
        <f t="shared" si="129"/>
        <v>1</v>
      </c>
      <c r="AG544">
        <f t="shared" si="130"/>
        <v>100</v>
      </c>
    </row>
    <row r="545" spans="1:33" x14ac:dyDescent="0.2">
      <c r="A545" t="s">
        <v>127</v>
      </c>
      <c r="B545" t="s">
        <v>128</v>
      </c>
      <c r="C545">
        <v>544</v>
      </c>
      <c r="D545">
        <v>190291</v>
      </c>
      <c r="E545" t="s">
        <v>1297</v>
      </c>
      <c r="F545" t="s">
        <v>37</v>
      </c>
      <c r="G545" t="s">
        <v>379</v>
      </c>
      <c r="H545" t="s">
        <v>5</v>
      </c>
      <c r="I545" t="s">
        <v>95</v>
      </c>
      <c r="J545">
        <v>13</v>
      </c>
      <c r="K545">
        <v>0.03</v>
      </c>
      <c r="L545">
        <v>1</v>
      </c>
      <c r="M545">
        <v>1</v>
      </c>
      <c r="N545">
        <v>1</v>
      </c>
      <c r="O545">
        <v>100</v>
      </c>
      <c r="P545" t="b">
        <f t="shared" si="121"/>
        <v>0</v>
      </c>
      <c r="S545" t="str">
        <f t="shared" si="131"/>
        <v>LATER</v>
      </c>
      <c r="T545" t="str">
        <f t="shared" si="132"/>
        <v>SainteLague</v>
      </c>
      <c r="U545">
        <f t="shared" si="134"/>
        <v>544</v>
      </c>
      <c r="V545">
        <f t="shared" si="133"/>
        <v>190291</v>
      </c>
      <c r="W545" s="8" t="str">
        <f>VLOOKUP(V545,'ideas-input'!$A:$B,2,FALSE)</f>
        <v>ETCP - Anomalia na Integração do ficheiro das recolhas</v>
      </c>
      <c r="X545" t="str">
        <f t="shared" si="122"/>
        <v>GS</v>
      </c>
      <c r="Y545" s="8" t="str">
        <f>VLOOKUP(V545,'ideas-input'!$A:$D,4,FALSE)</f>
        <v>Mail</v>
      </c>
      <c r="Z545" t="str">
        <f t="shared" si="123"/>
        <v>Commercial</v>
      </c>
      <c r="AA545" t="str">
        <f t="shared" si="124"/>
        <v>In Definition</v>
      </c>
      <c r="AB545">
        <f t="shared" si="125"/>
        <v>13</v>
      </c>
      <c r="AC545">
        <f t="shared" si="126"/>
        <v>0.03</v>
      </c>
      <c r="AD545">
        <f t="shared" si="127"/>
        <v>1</v>
      </c>
      <c r="AE545">
        <f t="shared" si="128"/>
        <v>1</v>
      </c>
      <c r="AF545">
        <f t="shared" si="129"/>
        <v>1</v>
      </c>
      <c r="AG545">
        <f t="shared" si="130"/>
        <v>100</v>
      </c>
    </row>
    <row r="546" spans="1:33" x14ac:dyDescent="0.2">
      <c r="A546" t="s">
        <v>127</v>
      </c>
      <c r="B546" t="s">
        <v>128</v>
      </c>
      <c r="C546">
        <v>545</v>
      </c>
      <c r="D546">
        <v>43541</v>
      </c>
      <c r="E546" t="s">
        <v>1272</v>
      </c>
      <c r="F546" t="s">
        <v>69</v>
      </c>
      <c r="G546" t="s">
        <v>10</v>
      </c>
      <c r="H546" t="s">
        <v>12</v>
      </c>
      <c r="I546" t="s">
        <v>91</v>
      </c>
      <c r="J546">
        <v>31</v>
      </c>
      <c r="K546">
        <v>0.03</v>
      </c>
      <c r="L546">
        <v>1</v>
      </c>
      <c r="M546">
        <v>1</v>
      </c>
      <c r="N546">
        <v>1</v>
      </c>
      <c r="O546">
        <v>100</v>
      </c>
      <c r="P546" t="b">
        <f t="shared" si="121"/>
        <v>0</v>
      </c>
      <c r="S546" t="str">
        <f t="shared" si="131"/>
        <v>LATER</v>
      </c>
      <c r="T546" t="str">
        <f t="shared" si="132"/>
        <v>SainteLague</v>
      </c>
      <c r="U546">
        <f t="shared" si="134"/>
        <v>545</v>
      </c>
      <c r="V546">
        <f t="shared" si="133"/>
        <v>43541</v>
      </c>
      <c r="W546" s="8" t="str">
        <f>VLOOKUP(V546,'ideas-input'!$A:$B,2,FALSE)</f>
        <v>[Evolutivos SGC Finanzas] Inclusión del Cliente Máster en todos los módulos de SGC ahora no lo están (esta ligado con el anterior)</v>
      </c>
      <c r="X546" t="str">
        <f t="shared" si="122"/>
        <v>CFO</v>
      </c>
      <c r="Y546" s="8" t="str">
        <f>VLOOKUP(V546,'ideas-input'!$A:$D,4,FALSE)</f>
        <v>eCommerce</v>
      </c>
      <c r="Z546" t="str">
        <f t="shared" si="123"/>
        <v>Corporate</v>
      </c>
      <c r="AA546" t="str">
        <f t="shared" si="124"/>
        <v>Backlog</v>
      </c>
      <c r="AB546">
        <f t="shared" si="125"/>
        <v>31</v>
      </c>
      <c r="AC546">
        <f t="shared" si="126"/>
        <v>0.03</v>
      </c>
      <c r="AD546">
        <f t="shared" si="127"/>
        <v>1</v>
      </c>
      <c r="AE546">
        <f t="shared" si="128"/>
        <v>1</v>
      </c>
      <c r="AF546">
        <f t="shared" si="129"/>
        <v>1</v>
      </c>
      <c r="AG546">
        <f t="shared" si="130"/>
        <v>100</v>
      </c>
    </row>
    <row r="547" spans="1:33" x14ac:dyDescent="0.2">
      <c r="A547" t="s">
        <v>127</v>
      </c>
      <c r="B547" t="s">
        <v>128</v>
      </c>
      <c r="C547">
        <v>546</v>
      </c>
      <c r="D547">
        <v>126579</v>
      </c>
      <c r="E547" t="s">
        <v>1255</v>
      </c>
      <c r="F547" t="s">
        <v>9</v>
      </c>
      <c r="G547" t="s">
        <v>379</v>
      </c>
      <c r="H547" t="s">
        <v>8</v>
      </c>
      <c r="I547" t="s">
        <v>91</v>
      </c>
      <c r="J547">
        <v>36</v>
      </c>
      <c r="K547">
        <v>0.03</v>
      </c>
      <c r="L547">
        <v>1</v>
      </c>
      <c r="M547">
        <v>1</v>
      </c>
      <c r="N547">
        <v>1</v>
      </c>
      <c r="O547">
        <v>100</v>
      </c>
      <c r="P547" t="b">
        <f t="shared" si="121"/>
        <v>0</v>
      </c>
      <c r="S547" t="str">
        <f t="shared" si="131"/>
        <v>LATER</v>
      </c>
      <c r="T547" t="str">
        <f t="shared" si="132"/>
        <v>SainteLague</v>
      </c>
      <c r="U547">
        <f t="shared" si="134"/>
        <v>546</v>
      </c>
      <c r="V547">
        <f t="shared" si="133"/>
        <v>126579</v>
      </c>
      <c r="W547" s="8" t="str">
        <f>VLOOKUP(V547,'ideas-input'!$A:$B,2,FALSE)</f>
        <v>Reformulação do serviço AOS</v>
      </c>
      <c r="X547" t="str">
        <f t="shared" si="122"/>
        <v>SI</v>
      </c>
      <c r="Y547" s="8" t="str">
        <f>VLOOKUP(V547,'ideas-input'!$A:$D,4,FALSE)</f>
        <v>Mail</v>
      </c>
      <c r="Z547" t="str">
        <f t="shared" si="123"/>
        <v>Technology</v>
      </c>
      <c r="AA547" t="str">
        <f t="shared" si="124"/>
        <v>Backlog</v>
      </c>
      <c r="AB547">
        <f t="shared" si="125"/>
        <v>36</v>
      </c>
      <c r="AC547">
        <f t="shared" si="126"/>
        <v>0.03</v>
      </c>
      <c r="AD547">
        <f t="shared" si="127"/>
        <v>1</v>
      </c>
      <c r="AE547">
        <f t="shared" si="128"/>
        <v>1</v>
      </c>
      <c r="AF547">
        <f t="shared" si="129"/>
        <v>1</v>
      </c>
      <c r="AG547">
        <f t="shared" si="130"/>
        <v>100</v>
      </c>
    </row>
    <row r="548" spans="1:33" x14ac:dyDescent="0.2">
      <c r="A548" t="s">
        <v>127</v>
      </c>
      <c r="B548" t="s">
        <v>128</v>
      </c>
      <c r="C548">
        <v>547</v>
      </c>
      <c r="D548">
        <v>62059</v>
      </c>
      <c r="E548" t="s">
        <v>1261</v>
      </c>
      <c r="F548" t="s">
        <v>70</v>
      </c>
      <c r="G548" t="s">
        <v>10</v>
      </c>
      <c r="H548" t="s">
        <v>8</v>
      </c>
      <c r="I548" t="s">
        <v>91</v>
      </c>
      <c r="J548">
        <v>66</v>
      </c>
      <c r="K548">
        <v>0.03</v>
      </c>
      <c r="L548">
        <v>1</v>
      </c>
      <c r="M548">
        <v>1</v>
      </c>
      <c r="N548">
        <v>1</v>
      </c>
      <c r="O548">
        <v>100</v>
      </c>
      <c r="P548" t="b">
        <f t="shared" si="121"/>
        <v>0</v>
      </c>
      <c r="S548" t="str">
        <f t="shared" si="131"/>
        <v>LATER</v>
      </c>
      <c r="T548" t="str">
        <f t="shared" si="132"/>
        <v>SainteLague</v>
      </c>
      <c r="U548">
        <f t="shared" si="134"/>
        <v>547</v>
      </c>
      <c r="V548">
        <f t="shared" si="133"/>
        <v>62059</v>
      </c>
      <c r="W548" s="8" t="str">
        <f>VLOOKUP(V548,'ideas-input'!$A:$B,2,FALSE)</f>
        <v>Cyber - Securización de los accesos a webcliente.cttexpress.com y api.cttexpress.com</v>
      </c>
      <c r="X548" t="str">
        <f t="shared" si="122"/>
        <v>CIO</v>
      </c>
      <c r="Y548" s="8" t="str">
        <f>VLOOKUP(V548,'ideas-input'!$A:$D,4,FALSE)</f>
        <v>eCommerce</v>
      </c>
      <c r="Z548" t="str">
        <f t="shared" si="123"/>
        <v>Technology</v>
      </c>
      <c r="AA548" t="str">
        <f t="shared" si="124"/>
        <v>Backlog</v>
      </c>
      <c r="AB548">
        <f t="shared" si="125"/>
        <v>66</v>
      </c>
      <c r="AC548">
        <f t="shared" si="126"/>
        <v>0.03</v>
      </c>
      <c r="AD548">
        <f t="shared" si="127"/>
        <v>1</v>
      </c>
      <c r="AE548">
        <f t="shared" si="128"/>
        <v>1</v>
      </c>
      <c r="AF548">
        <f t="shared" si="129"/>
        <v>1</v>
      </c>
      <c r="AG548">
        <f t="shared" si="130"/>
        <v>100</v>
      </c>
    </row>
    <row r="549" spans="1:33" x14ac:dyDescent="0.2">
      <c r="A549" t="s">
        <v>127</v>
      </c>
      <c r="B549" t="s">
        <v>128</v>
      </c>
      <c r="C549">
        <v>548</v>
      </c>
      <c r="D549">
        <v>74510</v>
      </c>
      <c r="E549" t="s">
        <v>1299</v>
      </c>
      <c r="F549" t="s">
        <v>38</v>
      </c>
      <c r="G549" t="s">
        <v>379</v>
      </c>
      <c r="H549" t="s">
        <v>5</v>
      </c>
      <c r="I549" t="s">
        <v>91</v>
      </c>
      <c r="J549">
        <v>11</v>
      </c>
      <c r="K549">
        <v>0.03</v>
      </c>
      <c r="L549">
        <v>1</v>
      </c>
      <c r="M549">
        <v>1</v>
      </c>
      <c r="N549">
        <v>1</v>
      </c>
      <c r="O549">
        <v>100</v>
      </c>
      <c r="P549" t="b">
        <f t="shared" si="121"/>
        <v>0</v>
      </c>
      <c r="S549" t="str">
        <f t="shared" si="131"/>
        <v>LATER</v>
      </c>
      <c r="T549" t="str">
        <f t="shared" si="132"/>
        <v>SainteLague</v>
      </c>
      <c r="U549">
        <f t="shared" si="134"/>
        <v>548</v>
      </c>
      <c r="V549">
        <f t="shared" si="133"/>
        <v>74510</v>
      </c>
      <c r="W549" s="8" t="str">
        <f>VLOOKUP(V549,'ideas-input'!$A:$B,2,FALSE)</f>
        <v>Alteração Talão Vales Postais superiores a 1.000€ - recomendação auditoria REC/ASN:2025-0015</v>
      </c>
      <c r="X549" t="str">
        <f t="shared" si="122"/>
        <v>CSI</v>
      </c>
      <c r="Y549" s="8" t="str">
        <f>VLOOKUP(V549,'ideas-input'!$A:$D,4,FALSE)</f>
        <v>Mail</v>
      </c>
      <c r="Z549" t="str">
        <f t="shared" si="123"/>
        <v>Commercial</v>
      </c>
      <c r="AA549" t="str">
        <f t="shared" si="124"/>
        <v>Backlog</v>
      </c>
      <c r="AB549">
        <f t="shared" si="125"/>
        <v>11</v>
      </c>
      <c r="AC549">
        <f t="shared" si="126"/>
        <v>0.03</v>
      </c>
      <c r="AD549">
        <f t="shared" si="127"/>
        <v>1</v>
      </c>
      <c r="AE549">
        <f t="shared" si="128"/>
        <v>1</v>
      </c>
      <c r="AF549">
        <f t="shared" si="129"/>
        <v>1</v>
      </c>
      <c r="AG549">
        <f t="shared" si="130"/>
        <v>100</v>
      </c>
    </row>
    <row r="550" spans="1:33" x14ac:dyDescent="0.2">
      <c r="A550" t="s">
        <v>127</v>
      </c>
      <c r="B550" t="s">
        <v>128</v>
      </c>
      <c r="C550">
        <v>549</v>
      </c>
      <c r="D550">
        <v>61734</v>
      </c>
      <c r="E550" t="s">
        <v>262</v>
      </c>
      <c r="F550" t="s">
        <v>65</v>
      </c>
      <c r="G550" t="s">
        <v>10</v>
      </c>
      <c r="H550" t="s">
        <v>5</v>
      </c>
      <c r="I550" t="s">
        <v>95</v>
      </c>
      <c r="J550">
        <v>34</v>
      </c>
      <c r="K550">
        <v>0.03</v>
      </c>
      <c r="L550">
        <v>1</v>
      </c>
      <c r="M550">
        <v>1</v>
      </c>
      <c r="N550">
        <v>1</v>
      </c>
      <c r="O550">
        <v>100</v>
      </c>
      <c r="P550" t="b">
        <f t="shared" si="121"/>
        <v>0</v>
      </c>
      <c r="S550" t="str">
        <f t="shared" si="131"/>
        <v>LATER</v>
      </c>
      <c r="T550" t="str">
        <f t="shared" si="132"/>
        <v>SainteLague</v>
      </c>
      <c r="U550">
        <f t="shared" si="134"/>
        <v>549</v>
      </c>
      <c r="V550">
        <f t="shared" si="133"/>
        <v>61734</v>
      </c>
      <c r="W550" s="8" t="str">
        <f>VLOOKUP(V550,'ideas-input'!$A:$B,2,FALSE)</f>
        <v>[Minerva] - Habilitar Minerva para el uso por parte de los Broker / Franquicias (Operativa + Modelo tarifario)</v>
      </c>
      <c r="X550" t="str">
        <f t="shared" si="122"/>
        <v>CMO</v>
      </c>
      <c r="Y550" s="8" t="str">
        <f>VLOOKUP(V550,'ideas-input'!$A:$D,4,FALSE)</f>
        <v>eCommerce</v>
      </c>
      <c r="Z550" t="str">
        <f t="shared" si="123"/>
        <v>Commercial</v>
      </c>
      <c r="AA550" t="str">
        <f t="shared" si="124"/>
        <v>In Definition</v>
      </c>
      <c r="AB550">
        <f t="shared" si="125"/>
        <v>34</v>
      </c>
      <c r="AC550">
        <f t="shared" si="126"/>
        <v>0.03</v>
      </c>
      <c r="AD550">
        <f t="shared" si="127"/>
        <v>1</v>
      </c>
      <c r="AE550">
        <f t="shared" si="128"/>
        <v>1</v>
      </c>
      <c r="AF550">
        <f t="shared" si="129"/>
        <v>1</v>
      </c>
      <c r="AG550">
        <f t="shared" si="130"/>
        <v>100</v>
      </c>
    </row>
    <row r="551" spans="1:33" x14ac:dyDescent="0.2">
      <c r="A551" t="s">
        <v>127</v>
      </c>
      <c r="B551" t="s">
        <v>128</v>
      </c>
      <c r="C551">
        <v>550</v>
      </c>
      <c r="D551">
        <v>42676</v>
      </c>
      <c r="E551" t="s">
        <v>1682</v>
      </c>
      <c r="F551" t="s">
        <v>58</v>
      </c>
      <c r="G551" t="s">
        <v>379</v>
      </c>
      <c r="H551" t="s">
        <v>8</v>
      </c>
      <c r="I551" t="s">
        <v>95</v>
      </c>
      <c r="J551">
        <v>14</v>
      </c>
      <c r="K551">
        <v>0.03</v>
      </c>
      <c r="L551">
        <v>1</v>
      </c>
      <c r="M551">
        <v>1</v>
      </c>
      <c r="N551">
        <v>1</v>
      </c>
      <c r="O551">
        <v>100</v>
      </c>
      <c r="P551" t="b">
        <f t="shared" si="121"/>
        <v>0</v>
      </c>
      <c r="S551" t="str">
        <f t="shared" si="131"/>
        <v>LATER</v>
      </c>
      <c r="T551" t="str">
        <f t="shared" si="132"/>
        <v>SainteLague</v>
      </c>
      <c r="U551">
        <f t="shared" si="134"/>
        <v>550</v>
      </c>
      <c r="V551">
        <f t="shared" si="133"/>
        <v>42676</v>
      </c>
      <c r="W551" s="8" t="str">
        <f>VLOOKUP(V551,'ideas-input'!$A:$B,2,FALSE)</f>
        <v>Descontinuação do SGCP e GIEP -  Migração de Funcionalidades uma nova aplicação</v>
      </c>
      <c r="X551" t="str">
        <f t="shared" si="122"/>
        <v>SI-PRD</v>
      </c>
      <c r="Y551" s="8" t="str">
        <f>VLOOKUP(V551,'ideas-input'!$A:$D,4,FALSE)</f>
        <v>Mail</v>
      </c>
      <c r="Z551" t="str">
        <f t="shared" si="123"/>
        <v>Technology</v>
      </c>
      <c r="AA551" t="str">
        <f t="shared" si="124"/>
        <v>In Definition</v>
      </c>
      <c r="AB551">
        <f t="shared" si="125"/>
        <v>14</v>
      </c>
      <c r="AC551">
        <f t="shared" si="126"/>
        <v>0.03</v>
      </c>
      <c r="AD551">
        <f t="shared" si="127"/>
        <v>1</v>
      </c>
      <c r="AE551">
        <f t="shared" si="128"/>
        <v>1</v>
      </c>
      <c r="AF551">
        <f t="shared" si="129"/>
        <v>1</v>
      </c>
      <c r="AG551">
        <f t="shared" si="130"/>
        <v>100</v>
      </c>
    </row>
    <row r="552" spans="1:33" x14ac:dyDescent="0.2">
      <c r="A552" t="s">
        <v>127</v>
      </c>
      <c r="B552" t="s">
        <v>128</v>
      </c>
      <c r="C552">
        <v>551</v>
      </c>
      <c r="D552">
        <v>57765</v>
      </c>
      <c r="E552" t="s">
        <v>253</v>
      </c>
      <c r="F552" t="s">
        <v>66</v>
      </c>
      <c r="G552" t="s">
        <v>10</v>
      </c>
      <c r="H552" t="s">
        <v>5</v>
      </c>
      <c r="I552" t="s">
        <v>91</v>
      </c>
      <c r="J552">
        <v>28</v>
      </c>
      <c r="K552">
        <v>0.03</v>
      </c>
      <c r="L552">
        <v>1</v>
      </c>
      <c r="M552">
        <v>1</v>
      </c>
      <c r="N552">
        <v>1</v>
      </c>
      <c r="O552">
        <v>100</v>
      </c>
      <c r="P552" t="b">
        <f t="shared" si="121"/>
        <v>0</v>
      </c>
      <c r="S552" t="str">
        <f t="shared" si="131"/>
        <v>LATER</v>
      </c>
      <c r="T552" t="str">
        <f t="shared" si="132"/>
        <v>SainteLague</v>
      </c>
      <c r="U552">
        <f t="shared" si="134"/>
        <v>551</v>
      </c>
      <c r="V552">
        <f t="shared" si="133"/>
        <v>57765</v>
      </c>
      <c r="W552" s="8" t="str">
        <f>VLOOKUP(V552,'ideas-input'!$A:$B,2,FALSE)</f>
        <v>[Qlik] - Evaluador de ofertas en Qlik</v>
      </c>
      <c r="X552" t="str">
        <f t="shared" si="122"/>
        <v>CCO</v>
      </c>
      <c r="Y552" s="8" t="str">
        <f>VLOOKUP(V552,'ideas-input'!$A:$D,4,FALSE)</f>
        <v>eCommerce</v>
      </c>
      <c r="Z552" t="str">
        <f t="shared" si="123"/>
        <v>Commercial</v>
      </c>
      <c r="AA552" t="str">
        <f t="shared" si="124"/>
        <v>Backlog</v>
      </c>
      <c r="AB552">
        <f t="shared" si="125"/>
        <v>28</v>
      </c>
      <c r="AC552">
        <f t="shared" si="126"/>
        <v>0.03</v>
      </c>
      <c r="AD552">
        <f t="shared" si="127"/>
        <v>1</v>
      </c>
      <c r="AE552">
        <f t="shared" si="128"/>
        <v>1</v>
      </c>
      <c r="AF552">
        <f t="shared" si="129"/>
        <v>1</v>
      </c>
      <c r="AG552">
        <f t="shared" si="130"/>
        <v>100</v>
      </c>
    </row>
    <row r="553" spans="1:33" x14ac:dyDescent="0.2">
      <c r="A553" t="s">
        <v>127</v>
      </c>
      <c r="B553" t="s">
        <v>128</v>
      </c>
      <c r="C553">
        <v>552</v>
      </c>
      <c r="D553">
        <v>16508</v>
      </c>
      <c r="E553" t="s">
        <v>1302</v>
      </c>
      <c r="F553" t="s">
        <v>25</v>
      </c>
      <c r="G553" t="s">
        <v>379</v>
      </c>
      <c r="H553" t="s">
        <v>5</v>
      </c>
      <c r="I553" t="s">
        <v>91</v>
      </c>
      <c r="J553">
        <v>10</v>
      </c>
      <c r="K553">
        <v>0.03</v>
      </c>
      <c r="L553">
        <v>1</v>
      </c>
      <c r="M553">
        <v>1</v>
      </c>
      <c r="N553">
        <v>1</v>
      </c>
      <c r="O553">
        <v>100</v>
      </c>
      <c r="P553" t="b">
        <f t="shared" si="121"/>
        <v>0</v>
      </c>
      <c r="S553" t="str">
        <f t="shared" si="131"/>
        <v>LATER</v>
      </c>
      <c r="T553" t="str">
        <f t="shared" si="132"/>
        <v>SainteLague</v>
      </c>
      <c r="U553">
        <f t="shared" si="134"/>
        <v>552</v>
      </c>
      <c r="V553">
        <f t="shared" si="133"/>
        <v>16508</v>
      </c>
      <c r="W553" s="8" t="str">
        <f>VLOOKUP(V553,'ideas-input'!$A:$B,2,FALSE)</f>
        <v>GP B2C-Automatização da faturação APIN</v>
      </c>
      <c r="X553" t="str">
        <f t="shared" si="122"/>
        <v>GP B2C</v>
      </c>
      <c r="Y553" s="8" t="str">
        <f>VLOOKUP(V553,'ideas-input'!$A:$D,4,FALSE)</f>
        <v>Retail &amp; Financial Services</v>
      </c>
      <c r="Z553" t="str">
        <f t="shared" si="123"/>
        <v>Commercial</v>
      </c>
      <c r="AA553" t="str">
        <f t="shared" si="124"/>
        <v>Backlog</v>
      </c>
      <c r="AB553">
        <f t="shared" si="125"/>
        <v>10</v>
      </c>
      <c r="AC553">
        <f t="shared" si="126"/>
        <v>0.03</v>
      </c>
      <c r="AD553">
        <f t="shared" si="127"/>
        <v>1</v>
      </c>
      <c r="AE553">
        <f t="shared" si="128"/>
        <v>1</v>
      </c>
      <c r="AF553">
        <f t="shared" si="129"/>
        <v>1</v>
      </c>
      <c r="AG553">
        <f t="shared" si="130"/>
        <v>100</v>
      </c>
    </row>
    <row r="554" spans="1:33" x14ac:dyDescent="0.2">
      <c r="A554" t="s">
        <v>127</v>
      </c>
      <c r="B554" t="s">
        <v>128</v>
      </c>
      <c r="C554">
        <v>553</v>
      </c>
      <c r="D554">
        <v>43520</v>
      </c>
      <c r="E554" t="s">
        <v>1275</v>
      </c>
      <c r="F554" t="s">
        <v>69</v>
      </c>
      <c r="G554" t="s">
        <v>10</v>
      </c>
      <c r="H554" t="s">
        <v>12</v>
      </c>
      <c r="I554" t="s">
        <v>91</v>
      </c>
      <c r="J554">
        <v>32</v>
      </c>
      <c r="K554">
        <v>0.03</v>
      </c>
      <c r="L554">
        <v>1</v>
      </c>
      <c r="M554">
        <v>1</v>
      </c>
      <c r="N554">
        <v>1</v>
      </c>
      <c r="O554">
        <v>100</v>
      </c>
      <c r="P554" t="b">
        <f t="shared" si="121"/>
        <v>0</v>
      </c>
      <c r="S554" t="str">
        <f t="shared" si="131"/>
        <v>LATER</v>
      </c>
      <c r="T554" t="str">
        <f t="shared" si="132"/>
        <v>SainteLague</v>
      </c>
      <c r="U554">
        <f t="shared" si="134"/>
        <v>553</v>
      </c>
      <c r="V554">
        <f t="shared" si="133"/>
        <v>43520</v>
      </c>
      <c r="W554" s="8" t="str">
        <f>VLOOKUP(V554,'ideas-input'!$A:$B,2,FALSE)</f>
        <v>[Alarmas Financieras] Alarma-78 Garantizar la igualación de datos de clientes en tres herramientas. (SGC-Salesforce-SAP)</v>
      </c>
      <c r="X554" t="str">
        <f t="shared" si="122"/>
        <v>CFO</v>
      </c>
      <c r="Y554" s="8" t="str">
        <f>VLOOKUP(V554,'ideas-input'!$A:$D,4,FALSE)</f>
        <v>eCommerce</v>
      </c>
      <c r="Z554" t="str">
        <f t="shared" si="123"/>
        <v>Corporate</v>
      </c>
      <c r="AA554" t="str">
        <f t="shared" si="124"/>
        <v>Backlog</v>
      </c>
      <c r="AB554">
        <f t="shared" si="125"/>
        <v>32</v>
      </c>
      <c r="AC554">
        <f t="shared" si="126"/>
        <v>0.03</v>
      </c>
      <c r="AD554">
        <f t="shared" si="127"/>
        <v>1</v>
      </c>
      <c r="AE554">
        <f t="shared" si="128"/>
        <v>1</v>
      </c>
      <c r="AF554">
        <f t="shared" si="129"/>
        <v>1</v>
      </c>
      <c r="AG554">
        <f t="shared" si="130"/>
        <v>100</v>
      </c>
    </row>
    <row r="555" spans="1:33" x14ac:dyDescent="0.2">
      <c r="A555" t="s">
        <v>127</v>
      </c>
      <c r="B555" t="s">
        <v>128</v>
      </c>
      <c r="C555">
        <v>554</v>
      </c>
      <c r="D555">
        <v>131992</v>
      </c>
      <c r="E555" t="s">
        <v>1260</v>
      </c>
      <c r="F555" t="s">
        <v>9</v>
      </c>
      <c r="G555" t="s">
        <v>379</v>
      </c>
      <c r="H555" t="s">
        <v>8</v>
      </c>
      <c r="I555" t="s">
        <v>95</v>
      </c>
      <c r="J555">
        <v>37</v>
      </c>
      <c r="K555">
        <v>0.03</v>
      </c>
      <c r="L555">
        <v>1</v>
      </c>
      <c r="M555">
        <v>1</v>
      </c>
      <c r="N555">
        <v>1</v>
      </c>
      <c r="O555">
        <v>100</v>
      </c>
      <c r="P555" t="b">
        <f t="shared" si="121"/>
        <v>0</v>
      </c>
      <c r="S555" t="str">
        <f t="shared" si="131"/>
        <v>LATER</v>
      </c>
      <c r="T555" t="str">
        <f t="shared" si="132"/>
        <v>SainteLague</v>
      </c>
      <c r="U555">
        <f t="shared" si="134"/>
        <v>554</v>
      </c>
      <c r="V555">
        <f t="shared" si="133"/>
        <v>131992</v>
      </c>
      <c r="W555" s="8" t="str">
        <f>VLOOKUP(V555,'ideas-input'!$A:$B,2,FALSE)</f>
        <v>INT | Mulesoft – Refatorização de Aplicações</v>
      </c>
      <c r="X555" t="str">
        <f t="shared" si="122"/>
        <v>SI</v>
      </c>
      <c r="Y555" s="8" t="str">
        <f>VLOOKUP(V555,'ideas-input'!$A:$D,4,FALSE)</f>
        <v>Mail</v>
      </c>
      <c r="Z555" t="str">
        <f t="shared" si="123"/>
        <v>Technology</v>
      </c>
      <c r="AA555" t="str">
        <f t="shared" si="124"/>
        <v>In Definition</v>
      </c>
      <c r="AB555">
        <f t="shared" si="125"/>
        <v>37</v>
      </c>
      <c r="AC555">
        <f t="shared" si="126"/>
        <v>0.03</v>
      </c>
      <c r="AD555">
        <f t="shared" si="127"/>
        <v>1</v>
      </c>
      <c r="AE555">
        <f t="shared" si="128"/>
        <v>1</v>
      </c>
      <c r="AF555">
        <f t="shared" si="129"/>
        <v>1</v>
      </c>
      <c r="AG555">
        <f t="shared" si="130"/>
        <v>100</v>
      </c>
    </row>
    <row r="556" spans="1:33" x14ac:dyDescent="0.2">
      <c r="A556" t="s">
        <v>127</v>
      </c>
      <c r="B556" t="s">
        <v>128</v>
      </c>
      <c r="C556">
        <v>555</v>
      </c>
      <c r="D556">
        <v>53788</v>
      </c>
      <c r="E556" t="s">
        <v>1265</v>
      </c>
      <c r="F556" t="s">
        <v>70</v>
      </c>
      <c r="G556" t="s">
        <v>10</v>
      </c>
      <c r="H556" t="s">
        <v>8</v>
      </c>
      <c r="I556" t="s">
        <v>91</v>
      </c>
      <c r="J556">
        <v>67</v>
      </c>
      <c r="K556">
        <v>0.03</v>
      </c>
      <c r="L556">
        <v>1</v>
      </c>
      <c r="M556">
        <v>1</v>
      </c>
      <c r="N556">
        <v>1</v>
      </c>
      <c r="O556">
        <v>100</v>
      </c>
      <c r="P556" t="b">
        <f t="shared" si="121"/>
        <v>0</v>
      </c>
      <c r="S556" t="str">
        <f t="shared" si="131"/>
        <v>LATER</v>
      </c>
      <c r="T556" t="str">
        <f t="shared" si="132"/>
        <v>SainteLague</v>
      </c>
      <c r="U556">
        <f t="shared" si="134"/>
        <v>555</v>
      </c>
      <c r="V556">
        <f t="shared" si="133"/>
        <v>53788</v>
      </c>
      <c r="W556" s="8" t="str">
        <f>VLOOKUP(V556,'ideas-input'!$A:$B,2,FALSE)</f>
        <v>Integración Clientes</v>
      </c>
      <c r="X556" t="str">
        <f t="shared" si="122"/>
        <v>CIO</v>
      </c>
      <c r="Y556" s="8" t="str">
        <f>VLOOKUP(V556,'ideas-input'!$A:$D,4,FALSE)</f>
        <v>eCommerce</v>
      </c>
      <c r="Z556" t="str">
        <f t="shared" si="123"/>
        <v>Technology</v>
      </c>
      <c r="AA556" t="str">
        <f t="shared" si="124"/>
        <v>Backlog</v>
      </c>
      <c r="AB556">
        <f t="shared" si="125"/>
        <v>67</v>
      </c>
      <c r="AC556">
        <f t="shared" si="126"/>
        <v>0.03</v>
      </c>
      <c r="AD556">
        <f t="shared" si="127"/>
        <v>1</v>
      </c>
      <c r="AE556">
        <f t="shared" si="128"/>
        <v>1</v>
      </c>
      <c r="AF556">
        <f t="shared" si="129"/>
        <v>1</v>
      </c>
      <c r="AG556">
        <f t="shared" si="130"/>
        <v>100</v>
      </c>
    </row>
    <row r="557" spans="1:33" x14ac:dyDescent="0.2">
      <c r="A557" t="s">
        <v>127</v>
      </c>
      <c r="B557" t="s">
        <v>128</v>
      </c>
      <c r="C557">
        <v>556</v>
      </c>
      <c r="D557">
        <v>152796</v>
      </c>
      <c r="E557" t="s">
        <v>1304</v>
      </c>
      <c r="F557" t="s">
        <v>24</v>
      </c>
      <c r="G557" t="s">
        <v>379</v>
      </c>
      <c r="H557" t="s">
        <v>5</v>
      </c>
      <c r="I557" t="s">
        <v>91</v>
      </c>
      <c r="J557">
        <v>10</v>
      </c>
      <c r="K557">
        <v>0.03</v>
      </c>
      <c r="L557">
        <v>1</v>
      </c>
      <c r="M557">
        <v>1</v>
      </c>
      <c r="N557">
        <v>1</v>
      </c>
      <c r="O557">
        <v>100</v>
      </c>
      <c r="P557" t="b">
        <f t="shared" si="121"/>
        <v>0</v>
      </c>
      <c r="S557" t="str">
        <f t="shared" si="131"/>
        <v>LATER</v>
      </c>
      <c r="T557" t="str">
        <f t="shared" si="132"/>
        <v>SainteLague</v>
      </c>
      <c r="U557">
        <f t="shared" si="134"/>
        <v>556</v>
      </c>
      <c r="V557">
        <f t="shared" si="133"/>
        <v>152796</v>
      </c>
      <c r="W557" s="8" t="str">
        <f>VLOOKUP(V557,'ideas-input'!$A:$B,2,FALSE)</f>
        <v>Onboarding POP - retificação de interface de criação de entidade</v>
      </c>
      <c r="X557" t="str">
        <f t="shared" si="122"/>
        <v>GPG</v>
      </c>
      <c r="Y557" s="8" t="str">
        <f>VLOOKUP(V557,'ideas-input'!$A:$D,4,FALSE)</f>
        <v>Payments</v>
      </c>
      <c r="Z557" t="str">
        <f t="shared" si="123"/>
        <v>Commercial</v>
      </c>
      <c r="AA557" t="str">
        <f t="shared" si="124"/>
        <v>Backlog</v>
      </c>
      <c r="AB557">
        <f t="shared" si="125"/>
        <v>10</v>
      </c>
      <c r="AC557">
        <f t="shared" si="126"/>
        <v>0.03</v>
      </c>
      <c r="AD557">
        <f t="shared" si="127"/>
        <v>1</v>
      </c>
      <c r="AE557">
        <f t="shared" si="128"/>
        <v>1</v>
      </c>
      <c r="AF557">
        <f t="shared" si="129"/>
        <v>1</v>
      </c>
      <c r="AG557">
        <f t="shared" si="130"/>
        <v>100</v>
      </c>
    </row>
    <row r="558" spans="1:33" x14ac:dyDescent="0.2">
      <c r="A558" t="s">
        <v>127</v>
      </c>
      <c r="B558" t="s">
        <v>128</v>
      </c>
      <c r="C558">
        <v>557</v>
      </c>
      <c r="D558">
        <v>47268</v>
      </c>
      <c r="E558" t="s">
        <v>1324</v>
      </c>
      <c r="F558" t="s">
        <v>68</v>
      </c>
      <c r="G558" t="s">
        <v>10</v>
      </c>
      <c r="H558" t="s">
        <v>5</v>
      </c>
      <c r="I558" t="s">
        <v>91</v>
      </c>
      <c r="J558">
        <v>25</v>
      </c>
      <c r="K558">
        <v>0.03</v>
      </c>
      <c r="L558">
        <v>1</v>
      </c>
      <c r="M558">
        <v>1</v>
      </c>
      <c r="N558">
        <v>1</v>
      </c>
      <c r="O558">
        <v>100</v>
      </c>
      <c r="P558" t="b">
        <f t="shared" si="121"/>
        <v>0</v>
      </c>
      <c r="S558" t="str">
        <f t="shared" si="131"/>
        <v>LATER</v>
      </c>
      <c r="T558" t="str">
        <f t="shared" si="132"/>
        <v>SainteLague</v>
      </c>
      <c r="U558">
        <f t="shared" si="134"/>
        <v>557</v>
      </c>
      <c r="V558">
        <f t="shared" si="133"/>
        <v>47268</v>
      </c>
      <c r="W558" s="8" t="str">
        <f>VLOOKUP(V558,'ideas-input'!$A:$B,2,FALSE)</f>
        <v>Mapper: Posibilidad de indicar la ruta de instalación.</v>
      </c>
      <c r="X558" t="str">
        <f t="shared" si="122"/>
        <v>IDC</v>
      </c>
      <c r="Y558" s="8" t="str">
        <f>VLOOKUP(V558,'ideas-input'!$A:$D,4,FALSE)</f>
        <v>eCommerce</v>
      </c>
      <c r="Z558" t="str">
        <f t="shared" si="123"/>
        <v>Commercial</v>
      </c>
      <c r="AA558" t="str">
        <f t="shared" si="124"/>
        <v>Backlog</v>
      </c>
      <c r="AB558">
        <f t="shared" si="125"/>
        <v>25</v>
      </c>
      <c r="AC558">
        <f t="shared" si="126"/>
        <v>0.03</v>
      </c>
      <c r="AD558">
        <f t="shared" si="127"/>
        <v>1</v>
      </c>
      <c r="AE558">
        <f t="shared" si="128"/>
        <v>1</v>
      </c>
      <c r="AF558">
        <f t="shared" si="129"/>
        <v>1</v>
      </c>
      <c r="AG558">
        <f t="shared" si="130"/>
        <v>100</v>
      </c>
    </row>
    <row r="559" spans="1:33" x14ac:dyDescent="0.2">
      <c r="A559" t="s">
        <v>127</v>
      </c>
      <c r="B559" t="s">
        <v>128</v>
      </c>
      <c r="C559">
        <v>558</v>
      </c>
      <c r="D559">
        <v>108370</v>
      </c>
      <c r="E559" t="s">
        <v>220</v>
      </c>
      <c r="F559" t="s">
        <v>21</v>
      </c>
      <c r="G559" t="s">
        <v>379</v>
      </c>
      <c r="H559" t="s">
        <v>5</v>
      </c>
      <c r="I559" t="s">
        <v>91</v>
      </c>
      <c r="J559">
        <v>18</v>
      </c>
      <c r="K559">
        <v>0.03</v>
      </c>
      <c r="L559">
        <v>1</v>
      </c>
      <c r="M559">
        <v>1</v>
      </c>
      <c r="N559">
        <v>1</v>
      </c>
      <c r="O559">
        <v>100</v>
      </c>
      <c r="P559" t="b">
        <f t="shared" si="121"/>
        <v>0</v>
      </c>
      <c r="S559" t="str">
        <f t="shared" si="131"/>
        <v>LATER</v>
      </c>
      <c r="T559" t="str">
        <f t="shared" si="132"/>
        <v>SainteLague</v>
      </c>
      <c r="U559">
        <f t="shared" si="134"/>
        <v>558</v>
      </c>
      <c r="V559">
        <f t="shared" si="133"/>
        <v>108370</v>
      </c>
      <c r="W559" s="8" t="str">
        <f>VLOOKUP(V559,'ideas-input'!$A:$B,2,FALSE)</f>
        <v>Campanha para envios internacionais_PCR_4T2025</v>
      </c>
      <c r="X559" t="str">
        <f t="shared" si="122"/>
        <v>GP B2B</v>
      </c>
      <c r="Y559" s="8" t="str">
        <f>VLOOKUP(V559,'ideas-input'!$A:$D,4,FALSE)</f>
        <v>Mail</v>
      </c>
      <c r="Z559" t="str">
        <f t="shared" si="123"/>
        <v>Commercial</v>
      </c>
      <c r="AA559" t="str">
        <f t="shared" si="124"/>
        <v>Backlog</v>
      </c>
      <c r="AB559">
        <f t="shared" si="125"/>
        <v>18</v>
      </c>
      <c r="AC559">
        <f t="shared" si="126"/>
        <v>0.03</v>
      </c>
      <c r="AD559">
        <f t="shared" si="127"/>
        <v>1</v>
      </c>
      <c r="AE559">
        <f t="shared" si="128"/>
        <v>1</v>
      </c>
      <c r="AF559">
        <f t="shared" si="129"/>
        <v>1</v>
      </c>
      <c r="AG559">
        <f t="shared" si="130"/>
        <v>100</v>
      </c>
    </row>
    <row r="560" spans="1:33" x14ac:dyDescent="0.2">
      <c r="A560" t="s">
        <v>127</v>
      </c>
      <c r="B560" t="s">
        <v>128</v>
      </c>
      <c r="C560">
        <v>559</v>
      </c>
      <c r="D560">
        <v>43499</v>
      </c>
      <c r="E560" t="s">
        <v>273</v>
      </c>
      <c r="F560" t="s">
        <v>69</v>
      </c>
      <c r="G560" t="s">
        <v>10</v>
      </c>
      <c r="H560" t="s">
        <v>12</v>
      </c>
      <c r="I560" t="s">
        <v>91</v>
      </c>
      <c r="J560">
        <v>33</v>
      </c>
      <c r="K560">
        <v>0.03</v>
      </c>
      <c r="L560">
        <v>1</v>
      </c>
      <c r="M560">
        <v>1</v>
      </c>
      <c r="N560">
        <v>1</v>
      </c>
      <c r="O560">
        <v>100</v>
      </c>
      <c r="P560" t="b">
        <f t="shared" si="121"/>
        <v>0</v>
      </c>
      <c r="S560" t="str">
        <f t="shared" si="131"/>
        <v>LATER</v>
      </c>
      <c r="T560" t="str">
        <f t="shared" si="132"/>
        <v>SainteLague</v>
      </c>
      <c r="U560">
        <f t="shared" si="134"/>
        <v>559</v>
      </c>
      <c r="V560">
        <f t="shared" si="133"/>
        <v>43499</v>
      </c>
      <c r="W560" s="8" t="str">
        <f>VLOOKUP(V560,'ideas-input'!$A:$B,2,FALSE)</f>
        <v>[Alarmas Finanzas] Alarma-85 Clientes con cambio tarifas "a medio mes", si no avisan facturamos mal si hay retroactividad</v>
      </c>
      <c r="X560" t="str">
        <f t="shared" si="122"/>
        <v>CFO</v>
      </c>
      <c r="Y560" s="8" t="str">
        <f>VLOOKUP(V560,'ideas-input'!$A:$D,4,FALSE)</f>
        <v>eCommerce</v>
      </c>
      <c r="Z560" t="str">
        <f t="shared" si="123"/>
        <v>Corporate</v>
      </c>
      <c r="AA560" t="str">
        <f t="shared" si="124"/>
        <v>Backlog</v>
      </c>
      <c r="AB560">
        <f t="shared" si="125"/>
        <v>33</v>
      </c>
      <c r="AC560">
        <f t="shared" si="126"/>
        <v>0.03</v>
      </c>
      <c r="AD560">
        <f t="shared" si="127"/>
        <v>1</v>
      </c>
      <c r="AE560">
        <f t="shared" si="128"/>
        <v>1</v>
      </c>
      <c r="AF560">
        <f t="shared" si="129"/>
        <v>1</v>
      </c>
      <c r="AG560">
        <f t="shared" si="130"/>
        <v>100</v>
      </c>
    </row>
    <row r="561" spans="1:33" x14ac:dyDescent="0.2">
      <c r="A561" t="s">
        <v>127</v>
      </c>
      <c r="B561" t="s">
        <v>128</v>
      </c>
      <c r="C561">
        <v>560</v>
      </c>
      <c r="D561">
        <v>126578</v>
      </c>
      <c r="E561" t="s">
        <v>1262</v>
      </c>
      <c r="F561" t="s">
        <v>9</v>
      </c>
      <c r="G561" t="s">
        <v>379</v>
      </c>
      <c r="H561" t="s">
        <v>8</v>
      </c>
      <c r="I561" t="s">
        <v>91</v>
      </c>
      <c r="J561">
        <v>38</v>
      </c>
      <c r="K561">
        <v>0.03</v>
      </c>
      <c r="L561">
        <v>1</v>
      </c>
      <c r="M561">
        <v>1</v>
      </c>
      <c r="N561">
        <v>1</v>
      </c>
      <c r="O561">
        <v>100</v>
      </c>
      <c r="P561" t="b">
        <f t="shared" si="121"/>
        <v>0</v>
      </c>
      <c r="S561" t="str">
        <f t="shared" si="131"/>
        <v>LATER</v>
      </c>
      <c r="T561" t="str">
        <f t="shared" si="132"/>
        <v>SainteLague</v>
      </c>
      <c r="U561">
        <f t="shared" si="134"/>
        <v>560</v>
      </c>
      <c r="V561">
        <f t="shared" si="133"/>
        <v>126578</v>
      </c>
      <c r="W561" s="8" t="str">
        <f>VLOOKUP(V561,'ideas-input'!$A:$B,2,FALSE)</f>
        <v>Reformulação do serviço HDDTM</v>
      </c>
      <c r="X561" t="str">
        <f t="shared" si="122"/>
        <v>SI</v>
      </c>
      <c r="Y561" s="8" t="str">
        <f>VLOOKUP(V561,'ideas-input'!$A:$D,4,FALSE)</f>
        <v>Mail</v>
      </c>
      <c r="Z561" t="str">
        <f t="shared" si="123"/>
        <v>Technology</v>
      </c>
      <c r="AA561" t="str">
        <f t="shared" si="124"/>
        <v>Backlog</v>
      </c>
      <c r="AB561">
        <f t="shared" si="125"/>
        <v>38</v>
      </c>
      <c r="AC561">
        <f t="shared" si="126"/>
        <v>0.03</v>
      </c>
      <c r="AD561">
        <f t="shared" si="127"/>
        <v>1</v>
      </c>
      <c r="AE561">
        <f t="shared" si="128"/>
        <v>1</v>
      </c>
      <c r="AF561">
        <f t="shared" si="129"/>
        <v>1</v>
      </c>
      <c r="AG561">
        <f t="shared" si="130"/>
        <v>100</v>
      </c>
    </row>
    <row r="562" spans="1:33" x14ac:dyDescent="0.2">
      <c r="A562" t="s">
        <v>127</v>
      </c>
      <c r="B562" t="s">
        <v>128</v>
      </c>
      <c r="C562">
        <v>561</v>
      </c>
      <c r="D562">
        <v>65757</v>
      </c>
      <c r="E562" t="s">
        <v>1270</v>
      </c>
      <c r="F562" t="s">
        <v>70</v>
      </c>
      <c r="G562" t="s">
        <v>10</v>
      </c>
      <c r="H562" t="s">
        <v>8</v>
      </c>
      <c r="I562" t="s">
        <v>95</v>
      </c>
      <c r="J562">
        <v>68</v>
      </c>
      <c r="K562">
        <v>0.03</v>
      </c>
      <c r="L562">
        <v>1</v>
      </c>
      <c r="M562">
        <v>1</v>
      </c>
      <c r="N562">
        <v>1</v>
      </c>
      <c r="O562">
        <v>100</v>
      </c>
      <c r="P562" t="b">
        <f t="shared" si="121"/>
        <v>0</v>
      </c>
      <c r="S562" t="str">
        <f t="shared" si="131"/>
        <v>LATER</v>
      </c>
      <c r="T562" t="str">
        <f t="shared" si="132"/>
        <v>SainteLague</v>
      </c>
      <c r="U562">
        <f t="shared" si="134"/>
        <v>561</v>
      </c>
      <c r="V562">
        <f t="shared" si="133"/>
        <v>65757</v>
      </c>
      <c r="W562" s="8" t="str">
        <f>VLOOKUP(V562,'ideas-input'!$A:$B,2,FALSE)</f>
        <v>Plataforma de Configuración de Agentes IA</v>
      </c>
      <c r="X562" t="str">
        <f t="shared" si="122"/>
        <v>CIO</v>
      </c>
      <c r="Y562" s="8" t="str">
        <f>VLOOKUP(V562,'ideas-input'!$A:$D,4,FALSE)</f>
        <v>eCommerce</v>
      </c>
      <c r="Z562" t="str">
        <f t="shared" si="123"/>
        <v>Technology</v>
      </c>
      <c r="AA562" t="str">
        <f t="shared" si="124"/>
        <v>In Definition</v>
      </c>
      <c r="AB562">
        <f t="shared" si="125"/>
        <v>68</v>
      </c>
      <c r="AC562">
        <f t="shared" si="126"/>
        <v>0.03</v>
      </c>
      <c r="AD562">
        <f t="shared" si="127"/>
        <v>1</v>
      </c>
      <c r="AE562">
        <f t="shared" si="128"/>
        <v>1</v>
      </c>
      <c r="AF562">
        <f t="shared" si="129"/>
        <v>1</v>
      </c>
      <c r="AG562">
        <f t="shared" si="130"/>
        <v>100</v>
      </c>
    </row>
    <row r="563" spans="1:33" x14ac:dyDescent="0.2">
      <c r="A563" t="s">
        <v>127</v>
      </c>
      <c r="B563" t="s">
        <v>128</v>
      </c>
      <c r="C563">
        <v>562</v>
      </c>
      <c r="D563">
        <v>118750</v>
      </c>
      <c r="E563" t="s">
        <v>1308</v>
      </c>
      <c r="F563" t="s">
        <v>23</v>
      </c>
      <c r="G563" t="s">
        <v>379</v>
      </c>
      <c r="H563" t="s">
        <v>5</v>
      </c>
      <c r="I563" t="s">
        <v>91</v>
      </c>
      <c r="J563">
        <v>18</v>
      </c>
      <c r="K563">
        <v>0.03</v>
      </c>
      <c r="L563">
        <v>1</v>
      </c>
      <c r="M563">
        <v>1</v>
      </c>
      <c r="N563">
        <v>1</v>
      </c>
      <c r="O563">
        <v>100</v>
      </c>
      <c r="P563" t="b">
        <f t="shared" si="121"/>
        <v>0</v>
      </c>
      <c r="S563" t="str">
        <f t="shared" si="131"/>
        <v>LATER</v>
      </c>
      <c r="T563" t="str">
        <f t="shared" si="132"/>
        <v>SainteLague</v>
      </c>
      <c r="U563">
        <f t="shared" si="134"/>
        <v>562</v>
      </c>
      <c r="V563">
        <f t="shared" si="133"/>
        <v>118750</v>
      </c>
      <c r="W563" s="8" t="str">
        <f>VLOOKUP(V563,'ideas-input'!$A:$B,2,FALSE)</f>
        <v>Validação Automática de Códigos Postais Internacionais</v>
      </c>
      <c r="X563" t="str">
        <f t="shared" si="122"/>
        <v>GP ECL</v>
      </c>
      <c r="Y563" s="8" t="str">
        <f>VLOOKUP(V563,'ideas-input'!$A:$D,4,FALSE)</f>
        <v>eCommerce</v>
      </c>
      <c r="Z563" t="str">
        <f t="shared" si="123"/>
        <v>Commercial</v>
      </c>
      <c r="AA563" t="str">
        <f t="shared" si="124"/>
        <v>Backlog</v>
      </c>
      <c r="AB563">
        <f t="shared" si="125"/>
        <v>18</v>
      </c>
      <c r="AC563">
        <f t="shared" si="126"/>
        <v>0.03</v>
      </c>
      <c r="AD563">
        <f t="shared" si="127"/>
        <v>1</v>
      </c>
      <c r="AE563">
        <f t="shared" si="128"/>
        <v>1</v>
      </c>
      <c r="AF563">
        <f t="shared" si="129"/>
        <v>1</v>
      </c>
      <c r="AG563">
        <f t="shared" si="130"/>
        <v>100</v>
      </c>
    </row>
    <row r="564" spans="1:33" x14ac:dyDescent="0.2">
      <c r="A564" t="s">
        <v>127</v>
      </c>
      <c r="B564" t="s">
        <v>128</v>
      </c>
      <c r="C564">
        <v>563</v>
      </c>
      <c r="D564">
        <v>63422</v>
      </c>
      <c r="E564" t="s">
        <v>1257</v>
      </c>
      <c r="F564" t="s">
        <v>65</v>
      </c>
      <c r="G564" t="s">
        <v>10</v>
      </c>
      <c r="H564" t="s">
        <v>5</v>
      </c>
      <c r="I564" t="s">
        <v>91</v>
      </c>
      <c r="J564">
        <v>35</v>
      </c>
      <c r="K564">
        <v>0.03</v>
      </c>
      <c r="L564">
        <v>1</v>
      </c>
      <c r="M564">
        <v>1</v>
      </c>
      <c r="N564">
        <v>1</v>
      </c>
      <c r="O564">
        <v>100</v>
      </c>
      <c r="P564" t="b">
        <f t="shared" si="121"/>
        <v>0</v>
      </c>
      <c r="S564" t="str">
        <f t="shared" si="131"/>
        <v>LATER</v>
      </c>
      <c r="T564" t="str">
        <f t="shared" si="132"/>
        <v>SainteLague</v>
      </c>
      <c r="U564">
        <f t="shared" si="134"/>
        <v>563</v>
      </c>
      <c r="V564">
        <f t="shared" si="133"/>
        <v>63422</v>
      </c>
      <c r="W564" s="8" t="str">
        <f>VLOOKUP(V564,'ideas-input'!$A:$B,2,FALSE)</f>
        <v>[PUDOS]-Nueva colección en Nexia. Acceso datos de DB manifest</v>
      </c>
      <c r="X564" t="str">
        <f t="shared" si="122"/>
        <v>CMO</v>
      </c>
      <c r="Y564" s="8" t="str">
        <f>VLOOKUP(V564,'ideas-input'!$A:$D,4,FALSE)</f>
        <v>eCommerce</v>
      </c>
      <c r="Z564" t="str">
        <f t="shared" si="123"/>
        <v>Commercial</v>
      </c>
      <c r="AA564" t="str">
        <f t="shared" si="124"/>
        <v>Backlog</v>
      </c>
      <c r="AB564">
        <f t="shared" si="125"/>
        <v>35</v>
      </c>
      <c r="AC564">
        <f t="shared" si="126"/>
        <v>0.03</v>
      </c>
      <c r="AD564">
        <f t="shared" si="127"/>
        <v>1</v>
      </c>
      <c r="AE564">
        <f t="shared" si="128"/>
        <v>1</v>
      </c>
      <c r="AF564">
        <f t="shared" si="129"/>
        <v>1</v>
      </c>
      <c r="AG564">
        <f t="shared" si="130"/>
        <v>100</v>
      </c>
    </row>
    <row r="565" spans="1:33" x14ac:dyDescent="0.2">
      <c r="A565" t="s">
        <v>127</v>
      </c>
      <c r="B565" t="s">
        <v>128</v>
      </c>
      <c r="C565">
        <v>564</v>
      </c>
      <c r="D565">
        <v>140470</v>
      </c>
      <c r="E565" t="s">
        <v>1266</v>
      </c>
      <c r="F565" t="s">
        <v>9</v>
      </c>
      <c r="G565" t="s">
        <v>379</v>
      </c>
      <c r="H565" t="s">
        <v>8</v>
      </c>
      <c r="I565" t="s">
        <v>91</v>
      </c>
      <c r="J565">
        <v>39</v>
      </c>
      <c r="K565">
        <v>0.03</v>
      </c>
      <c r="L565">
        <v>1</v>
      </c>
      <c r="M565">
        <v>1</v>
      </c>
      <c r="N565">
        <v>1</v>
      </c>
      <c r="O565">
        <v>100</v>
      </c>
      <c r="P565" t="b">
        <f t="shared" si="121"/>
        <v>0</v>
      </c>
      <c r="S565" t="str">
        <f t="shared" si="131"/>
        <v>LATER</v>
      </c>
      <c r="T565" t="str">
        <f t="shared" si="132"/>
        <v>SainteLague</v>
      </c>
      <c r="U565">
        <f t="shared" si="134"/>
        <v>564</v>
      </c>
      <c r="V565">
        <f t="shared" si="133"/>
        <v>140470</v>
      </c>
      <c r="W565" s="8" t="str">
        <f>VLOOKUP(V565,'ideas-input'!$A:$B,2,FALSE)</f>
        <v>Mata Aplicações - Wave 1.15 - CRM Oracle Sales (Fase 1 - Execução)</v>
      </c>
      <c r="X565" t="str">
        <f t="shared" si="122"/>
        <v>SI</v>
      </c>
      <c r="Y565" s="8" t="str">
        <f>VLOOKUP(V565,'ideas-input'!$A:$D,4,FALSE)</f>
        <v>Mail</v>
      </c>
      <c r="Z565" t="str">
        <f t="shared" si="123"/>
        <v>Technology</v>
      </c>
      <c r="AA565" t="str">
        <f t="shared" si="124"/>
        <v>Backlog</v>
      </c>
      <c r="AB565">
        <f t="shared" si="125"/>
        <v>39</v>
      </c>
      <c r="AC565">
        <f t="shared" si="126"/>
        <v>0.03</v>
      </c>
      <c r="AD565">
        <f t="shared" si="127"/>
        <v>1</v>
      </c>
      <c r="AE565">
        <f t="shared" si="128"/>
        <v>1</v>
      </c>
      <c r="AF565">
        <f t="shared" si="129"/>
        <v>1</v>
      </c>
      <c r="AG565">
        <f t="shared" si="130"/>
        <v>100</v>
      </c>
    </row>
    <row r="566" spans="1:33" x14ac:dyDescent="0.2">
      <c r="A566" t="s">
        <v>127</v>
      </c>
      <c r="B566" t="s">
        <v>128</v>
      </c>
      <c r="C566">
        <v>565</v>
      </c>
      <c r="D566">
        <v>43514</v>
      </c>
      <c r="E566" t="s">
        <v>277</v>
      </c>
      <c r="F566" t="s">
        <v>69</v>
      </c>
      <c r="G566" t="s">
        <v>10</v>
      </c>
      <c r="H566" t="s">
        <v>12</v>
      </c>
      <c r="I566" t="s">
        <v>91</v>
      </c>
      <c r="J566">
        <v>34</v>
      </c>
      <c r="K566">
        <v>0.03</v>
      </c>
      <c r="L566">
        <v>1</v>
      </c>
      <c r="M566">
        <v>1</v>
      </c>
      <c r="N566">
        <v>1</v>
      </c>
      <c r="O566">
        <v>100</v>
      </c>
      <c r="P566" t="b">
        <f t="shared" si="121"/>
        <v>0</v>
      </c>
      <c r="S566" t="str">
        <f t="shared" si="131"/>
        <v>LATER</v>
      </c>
      <c r="T566" t="str">
        <f t="shared" si="132"/>
        <v>SainteLague</v>
      </c>
      <c r="U566">
        <f t="shared" si="134"/>
        <v>565</v>
      </c>
      <c r="V566">
        <f t="shared" si="133"/>
        <v>43514</v>
      </c>
      <c r="W566" s="8" t="str">
        <f>VLOOKUP(V566,'ideas-input'!$A:$B,2,FALSE)</f>
        <v>[Evolutivos Salesforce] Alarma-77 Clientes reactivados (clientes que se dan de alta sin control)</v>
      </c>
      <c r="X566" t="str">
        <f t="shared" si="122"/>
        <v>CFO</v>
      </c>
      <c r="Y566" s="8" t="str">
        <f>VLOOKUP(V566,'ideas-input'!$A:$D,4,FALSE)</f>
        <v>eCommerce</v>
      </c>
      <c r="Z566" t="str">
        <f t="shared" si="123"/>
        <v>Corporate</v>
      </c>
      <c r="AA566" t="str">
        <f t="shared" si="124"/>
        <v>Backlog</v>
      </c>
      <c r="AB566">
        <f t="shared" si="125"/>
        <v>34</v>
      </c>
      <c r="AC566">
        <f t="shared" si="126"/>
        <v>0.03</v>
      </c>
      <c r="AD566">
        <f t="shared" si="127"/>
        <v>1</v>
      </c>
      <c r="AE566">
        <f t="shared" si="128"/>
        <v>1</v>
      </c>
      <c r="AF566">
        <f t="shared" si="129"/>
        <v>1</v>
      </c>
      <c r="AG566">
        <f t="shared" si="130"/>
        <v>100</v>
      </c>
    </row>
    <row r="567" spans="1:33" x14ac:dyDescent="0.2">
      <c r="A567" t="s">
        <v>127</v>
      </c>
      <c r="B567" t="s">
        <v>128</v>
      </c>
      <c r="C567">
        <v>566</v>
      </c>
      <c r="D567">
        <v>44136</v>
      </c>
      <c r="E567" t="s">
        <v>1691</v>
      </c>
      <c r="F567" t="s">
        <v>37</v>
      </c>
      <c r="G567" t="s">
        <v>379</v>
      </c>
      <c r="H567" t="s">
        <v>5</v>
      </c>
      <c r="I567" t="s">
        <v>95</v>
      </c>
      <c r="J567">
        <v>14</v>
      </c>
      <c r="K567">
        <v>0.03</v>
      </c>
      <c r="L567">
        <v>1</v>
      </c>
      <c r="M567">
        <v>1</v>
      </c>
      <c r="N567">
        <v>1</v>
      </c>
      <c r="O567">
        <v>100</v>
      </c>
      <c r="P567" t="b">
        <f t="shared" si="121"/>
        <v>0</v>
      </c>
      <c r="S567" t="str">
        <f t="shared" si="131"/>
        <v>LATER</v>
      </c>
      <c r="T567" t="str">
        <f t="shared" si="132"/>
        <v>SainteLague</v>
      </c>
      <c r="U567">
        <f t="shared" si="134"/>
        <v>566</v>
      </c>
      <c r="V567">
        <f t="shared" si="133"/>
        <v>44136</v>
      </c>
      <c r="W567" s="8" t="str">
        <f>VLOOKUP(V567,'ideas-input'!$A:$B,2,FALSE)</f>
        <v>Liquidação de  objetos CTT  à cobrança</v>
      </c>
      <c r="X567" t="str">
        <f t="shared" si="122"/>
        <v>GS</v>
      </c>
      <c r="Y567" s="8" t="str">
        <f>VLOOKUP(V567,'ideas-input'!$A:$D,4,FALSE)</f>
        <v>Mail</v>
      </c>
      <c r="Z567" t="str">
        <f t="shared" si="123"/>
        <v>Commercial</v>
      </c>
      <c r="AA567" t="str">
        <f t="shared" si="124"/>
        <v>In Definition</v>
      </c>
      <c r="AB567">
        <f t="shared" si="125"/>
        <v>14</v>
      </c>
      <c r="AC567">
        <f t="shared" si="126"/>
        <v>0.03</v>
      </c>
      <c r="AD567">
        <f t="shared" si="127"/>
        <v>1</v>
      </c>
      <c r="AE567">
        <f t="shared" si="128"/>
        <v>1</v>
      </c>
      <c r="AF567">
        <f t="shared" si="129"/>
        <v>1</v>
      </c>
      <c r="AG567">
        <f t="shared" si="130"/>
        <v>100</v>
      </c>
    </row>
    <row r="568" spans="1:33" x14ac:dyDescent="0.2">
      <c r="A568" t="s">
        <v>127</v>
      </c>
      <c r="B568" t="s">
        <v>128</v>
      </c>
      <c r="C568">
        <v>567</v>
      </c>
      <c r="D568">
        <v>65828</v>
      </c>
      <c r="E568" t="s">
        <v>336</v>
      </c>
      <c r="F568" t="s">
        <v>70</v>
      </c>
      <c r="G568" t="s">
        <v>10</v>
      </c>
      <c r="H568" t="s">
        <v>8</v>
      </c>
      <c r="I568" t="s">
        <v>95</v>
      </c>
      <c r="J568">
        <v>69</v>
      </c>
      <c r="K568">
        <v>0.03</v>
      </c>
      <c r="L568">
        <v>1</v>
      </c>
      <c r="M568">
        <v>1</v>
      </c>
      <c r="N568">
        <v>1</v>
      </c>
      <c r="O568">
        <v>100</v>
      </c>
      <c r="P568" t="b">
        <f t="shared" si="121"/>
        <v>0</v>
      </c>
      <c r="S568" t="str">
        <f t="shared" si="131"/>
        <v>LATER</v>
      </c>
      <c r="T568" t="str">
        <f t="shared" si="132"/>
        <v>SainteLague</v>
      </c>
      <c r="U568">
        <f t="shared" si="134"/>
        <v>567</v>
      </c>
      <c r="V568">
        <f t="shared" si="133"/>
        <v>65828</v>
      </c>
      <c r="W568" s="8" t="str">
        <f>VLOOKUP(V568,'ideas-input'!$A:$B,2,FALSE)</f>
        <v>Nuevo entorno de desarrollo para microservicios</v>
      </c>
      <c r="X568" t="str">
        <f t="shared" si="122"/>
        <v>CIO</v>
      </c>
      <c r="Y568" s="8" t="str">
        <f>VLOOKUP(V568,'ideas-input'!$A:$D,4,FALSE)</f>
        <v>eCommerce</v>
      </c>
      <c r="Z568" t="str">
        <f t="shared" si="123"/>
        <v>Technology</v>
      </c>
      <c r="AA568" t="str">
        <f t="shared" si="124"/>
        <v>In Definition</v>
      </c>
      <c r="AB568">
        <f t="shared" si="125"/>
        <v>69</v>
      </c>
      <c r="AC568">
        <f t="shared" si="126"/>
        <v>0.03</v>
      </c>
      <c r="AD568">
        <f t="shared" si="127"/>
        <v>1</v>
      </c>
      <c r="AE568">
        <f t="shared" si="128"/>
        <v>1</v>
      </c>
      <c r="AF568">
        <f t="shared" si="129"/>
        <v>1</v>
      </c>
      <c r="AG568">
        <f t="shared" si="130"/>
        <v>100</v>
      </c>
    </row>
    <row r="569" spans="1:33" x14ac:dyDescent="0.2">
      <c r="A569" t="s">
        <v>127</v>
      </c>
      <c r="B569" t="s">
        <v>128</v>
      </c>
      <c r="C569">
        <v>568</v>
      </c>
      <c r="D569">
        <v>36549</v>
      </c>
      <c r="E569" t="s">
        <v>1269</v>
      </c>
      <c r="F569" t="s">
        <v>58</v>
      </c>
      <c r="G569" t="s">
        <v>379</v>
      </c>
      <c r="H569" t="s">
        <v>8</v>
      </c>
      <c r="I569" t="s">
        <v>91</v>
      </c>
      <c r="J569">
        <v>15</v>
      </c>
      <c r="K569">
        <v>0.03</v>
      </c>
      <c r="L569">
        <v>1</v>
      </c>
      <c r="M569">
        <v>1</v>
      </c>
      <c r="N569">
        <v>1</v>
      </c>
      <c r="O569">
        <v>100</v>
      </c>
      <c r="P569" t="b">
        <f t="shared" si="121"/>
        <v>0</v>
      </c>
      <c r="S569" t="str">
        <f t="shared" si="131"/>
        <v>LATER</v>
      </c>
      <c r="T569" t="str">
        <f t="shared" si="132"/>
        <v>SainteLague</v>
      </c>
      <c r="U569">
        <f t="shared" si="134"/>
        <v>568</v>
      </c>
      <c r="V569">
        <f t="shared" si="133"/>
        <v>36549</v>
      </c>
      <c r="W569" s="8" t="str">
        <f>VLOOKUP(V569,'ideas-input'!$A:$B,2,FALSE)</f>
        <v>Novo Modelo de Replicação de Dados Contratuais</v>
      </c>
      <c r="X569" t="str">
        <f t="shared" si="122"/>
        <v>SI-PRD</v>
      </c>
      <c r="Y569" s="8" t="str">
        <f>VLOOKUP(V569,'ideas-input'!$A:$D,4,FALSE)</f>
        <v>Mail</v>
      </c>
      <c r="Z569" t="str">
        <f t="shared" si="123"/>
        <v>Technology</v>
      </c>
      <c r="AA569" t="str">
        <f t="shared" si="124"/>
        <v>Backlog</v>
      </c>
      <c r="AB569">
        <f t="shared" si="125"/>
        <v>15</v>
      </c>
      <c r="AC569">
        <f t="shared" si="126"/>
        <v>0.03</v>
      </c>
      <c r="AD569">
        <f t="shared" si="127"/>
        <v>1</v>
      </c>
      <c r="AE569">
        <f t="shared" si="128"/>
        <v>1</v>
      </c>
      <c r="AF569">
        <f t="shared" si="129"/>
        <v>1</v>
      </c>
      <c r="AG569">
        <f t="shared" si="130"/>
        <v>100</v>
      </c>
    </row>
    <row r="570" spans="1:33" x14ac:dyDescent="0.2">
      <c r="A570" t="s">
        <v>127</v>
      </c>
      <c r="B570" t="s">
        <v>128</v>
      </c>
      <c r="C570">
        <v>569</v>
      </c>
      <c r="D570">
        <v>45892</v>
      </c>
      <c r="E570" t="s">
        <v>1344</v>
      </c>
      <c r="F570" t="s">
        <v>66</v>
      </c>
      <c r="G570" t="s">
        <v>10</v>
      </c>
      <c r="H570" t="s">
        <v>5</v>
      </c>
      <c r="I570" t="s">
        <v>97</v>
      </c>
      <c r="J570">
        <v>29</v>
      </c>
      <c r="K570">
        <v>0.03</v>
      </c>
      <c r="L570">
        <v>1</v>
      </c>
      <c r="M570">
        <v>1</v>
      </c>
      <c r="N570">
        <v>1</v>
      </c>
      <c r="O570">
        <v>100</v>
      </c>
      <c r="P570" t="b">
        <f t="shared" si="121"/>
        <v>0</v>
      </c>
      <c r="S570" t="str">
        <f t="shared" si="131"/>
        <v>LATER</v>
      </c>
      <c r="T570" t="str">
        <f t="shared" si="132"/>
        <v>SainteLague</v>
      </c>
      <c r="U570">
        <f t="shared" si="134"/>
        <v>569</v>
      </c>
      <c r="V570">
        <f t="shared" si="133"/>
        <v>45892</v>
      </c>
      <c r="W570" s="8" t="str">
        <f>VLOOKUP(V570,'ideas-input'!$A:$B,2,FALSE)</f>
        <v>[Minerva] - Dispersiones estándar de ofertas de tipo B y C</v>
      </c>
      <c r="X570" t="str">
        <f t="shared" si="122"/>
        <v>CCO</v>
      </c>
      <c r="Y570" s="8" t="str">
        <f>VLOOKUP(V570,'ideas-input'!$A:$D,4,FALSE)</f>
        <v>eCommerce</v>
      </c>
      <c r="Z570" t="str">
        <f t="shared" si="123"/>
        <v>Commercial</v>
      </c>
      <c r="AA570" t="str">
        <f t="shared" si="124"/>
        <v>Ready for Solution</v>
      </c>
      <c r="AB570">
        <f t="shared" si="125"/>
        <v>29</v>
      </c>
      <c r="AC570">
        <f t="shared" si="126"/>
        <v>0.03</v>
      </c>
      <c r="AD570">
        <f t="shared" si="127"/>
        <v>1</v>
      </c>
      <c r="AE570">
        <f t="shared" si="128"/>
        <v>1</v>
      </c>
      <c r="AF570">
        <f t="shared" si="129"/>
        <v>1</v>
      </c>
      <c r="AG570">
        <f t="shared" si="130"/>
        <v>100</v>
      </c>
    </row>
    <row r="571" spans="1:33" x14ac:dyDescent="0.2">
      <c r="A571" t="s">
        <v>127</v>
      </c>
      <c r="B571" t="s">
        <v>128</v>
      </c>
      <c r="C571">
        <v>570</v>
      </c>
      <c r="D571">
        <v>36274</v>
      </c>
      <c r="E571" t="s">
        <v>1314</v>
      </c>
      <c r="F571" t="s">
        <v>38</v>
      </c>
      <c r="G571" t="s">
        <v>379</v>
      </c>
      <c r="H571" t="s">
        <v>5</v>
      </c>
      <c r="I571" t="s">
        <v>95</v>
      </c>
      <c r="J571">
        <v>13</v>
      </c>
      <c r="K571">
        <v>0.03</v>
      </c>
      <c r="L571">
        <v>1</v>
      </c>
      <c r="M571">
        <v>1</v>
      </c>
      <c r="N571">
        <v>1</v>
      </c>
      <c r="O571">
        <v>100</v>
      </c>
      <c r="P571" t="b">
        <f t="shared" si="121"/>
        <v>0</v>
      </c>
      <c r="S571" t="str">
        <f t="shared" si="131"/>
        <v>LATER</v>
      </c>
      <c r="T571" t="str">
        <f t="shared" si="132"/>
        <v>SainteLague</v>
      </c>
      <c r="U571">
        <f t="shared" si="134"/>
        <v>570</v>
      </c>
      <c r="V571">
        <f t="shared" si="133"/>
        <v>36274</v>
      </c>
      <c r="W571" s="8" t="str">
        <f>VLOOKUP(V571,'ideas-input'!$A:$B,2,FALSE)</f>
        <v>Correção Mapeamento informático - metadados Vales Pagos internacionais</v>
      </c>
      <c r="X571" t="str">
        <f t="shared" si="122"/>
        <v>CSI</v>
      </c>
      <c r="Y571" s="8" t="str">
        <f>VLOOKUP(V571,'ideas-input'!$A:$D,4,FALSE)</f>
        <v>Mail</v>
      </c>
      <c r="Z571" t="str">
        <f t="shared" si="123"/>
        <v>Commercial</v>
      </c>
      <c r="AA571" t="str">
        <f t="shared" si="124"/>
        <v>In Definition</v>
      </c>
      <c r="AB571">
        <f t="shared" si="125"/>
        <v>13</v>
      </c>
      <c r="AC571">
        <f t="shared" si="126"/>
        <v>0.03</v>
      </c>
      <c r="AD571">
        <f t="shared" si="127"/>
        <v>1</v>
      </c>
      <c r="AE571">
        <f t="shared" si="128"/>
        <v>1</v>
      </c>
      <c r="AF571">
        <f t="shared" si="129"/>
        <v>1</v>
      </c>
      <c r="AG571">
        <f t="shared" si="130"/>
        <v>100</v>
      </c>
    </row>
    <row r="572" spans="1:33" x14ac:dyDescent="0.2">
      <c r="A572" t="s">
        <v>127</v>
      </c>
      <c r="B572" t="s">
        <v>128</v>
      </c>
      <c r="C572">
        <v>571</v>
      </c>
      <c r="D572">
        <v>50323</v>
      </c>
      <c r="E572" t="s">
        <v>1158</v>
      </c>
      <c r="F572" t="s">
        <v>71</v>
      </c>
      <c r="G572" t="s">
        <v>10</v>
      </c>
      <c r="H572" t="s">
        <v>12</v>
      </c>
      <c r="I572" t="s">
        <v>91</v>
      </c>
      <c r="J572">
        <v>9</v>
      </c>
      <c r="K572">
        <v>0.03</v>
      </c>
      <c r="L572">
        <v>1</v>
      </c>
      <c r="M572">
        <v>1</v>
      </c>
      <c r="N572">
        <v>1</v>
      </c>
      <c r="O572">
        <v>100</v>
      </c>
      <c r="P572" t="b">
        <f t="shared" si="121"/>
        <v>0</v>
      </c>
      <c r="S572" t="str">
        <f t="shared" si="131"/>
        <v>LATER</v>
      </c>
      <c r="T572" t="str">
        <f t="shared" si="132"/>
        <v>SainteLague</v>
      </c>
      <c r="U572">
        <f t="shared" si="134"/>
        <v>571</v>
      </c>
      <c r="V572">
        <f t="shared" si="133"/>
        <v>50323</v>
      </c>
      <c r="W572" s="8" t="str">
        <f>VLOOKUP(V572,'ideas-input'!$A:$B,2,FALSE)</f>
        <v>Creación de un entorno específico para el Sistema de Gestión de Calidad y Sostenibilidad</v>
      </c>
      <c r="X572" t="str">
        <f t="shared" si="122"/>
        <v>PRO</v>
      </c>
      <c r="Y572" s="8" t="str">
        <f>VLOOKUP(V572,'ideas-input'!$A:$D,4,FALSE)</f>
        <v>eCommerce</v>
      </c>
      <c r="Z572" t="str">
        <f t="shared" si="123"/>
        <v>Corporate</v>
      </c>
      <c r="AA572" t="str">
        <f t="shared" si="124"/>
        <v>Backlog</v>
      </c>
      <c r="AB572">
        <f t="shared" si="125"/>
        <v>9</v>
      </c>
      <c r="AC572">
        <f t="shared" si="126"/>
        <v>0.03</v>
      </c>
      <c r="AD572">
        <f t="shared" si="127"/>
        <v>1</v>
      </c>
      <c r="AE572">
        <f t="shared" si="128"/>
        <v>1</v>
      </c>
      <c r="AF572">
        <f t="shared" si="129"/>
        <v>1</v>
      </c>
      <c r="AG572">
        <f t="shared" si="130"/>
        <v>100</v>
      </c>
    </row>
    <row r="573" spans="1:33" x14ac:dyDescent="0.2">
      <c r="A573" t="s">
        <v>127</v>
      </c>
      <c r="B573" t="s">
        <v>128</v>
      </c>
      <c r="C573">
        <v>572</v>
      </c>
      <c r="D573">
        <v>126577</v>
      </c>
      <c r="E573" t="s">
        <v>1271</v>
      </c>
      <c r="F573" t="s">
        <v>9</v>
      </c>
      <c r="G573" t="s">
        <v>379</v>
      </c>
      <c r="H573" t="s">
        <v>8</v>
      </c>
      <c r="I573" t="s">
        <v>95</v>
      </c>
      <c r="J573">
        <v>40</v>
      </c>
      <c r="K573">
        <v>0.03</v>
      </c>
      <c r="L573">
        <v>1</v>
      </c>
      <c r="M573">
        <v>1</v>
      </c>
      <c r="N573">
        <v>1</v>
      </c>
      <c r="O573">
        <v>100</v>
      </c>
      <c r="P573" t="b">
        <f t="shared" si="121"/>
        <v>0</v>
      </c>
      <c r="S573" t="str">
        <f t="shared" si="131"/>
        <v>LATER</v>
      </c>
      <c r="T573" t="str">
        <f t="shared" si="132"/>
        <v>SainteLague</v>
      </c>
      <c r="U573">
        <f t="shared" si="134"/>
        <v>572</v>
      </c>
      <c r="V573">
        <f t="shared" si="133"/>
        <v>126577</v>
      </c>
      <c r="W573" s="8" t="str">
        <f>VLOOKUP(V573,'ideas-input'!$A:$B,2,FALSE)</f>
        <v>Renovaçao dos contratos de outsouricng COM</v>
      </c>
      <c r="X573" t="str">
        <f t="shared" si="122"/>
        <v>SI</v>
      </c>
      <c r="Y573" s="8" t="str">
        <f>VLOOKUP(V573,'ideas-input'!$A:$D,4,FALSE)</f>
        <v>Mail</v>
      </c>
      <c r="Z573" t="str">
        <f t="shared" si="123"/>
        <v>Technology</v>
      </c>
      <c r="AA573" t="str">
        <f t="shared" si="124"/>
        <v>In Definition</v>
      </c>
      <c r="AB573">
        <f t="shared" si="125"/>
        <v>40</v>
      </c>
      <c r="AC573">
        <f t="shared" si="126"/>
        <v>0.03</v>
      </c>
      <c r="AD573">
        <f t="shared" si="127"/>
        <v>1</v>
      </c>
      <c r="AE573">
        <f t="shared" si="128"/>
        <v>1</v>
      </c>
      <c r="AF573">
        <f t="shared" si="129"/>
        <v>1</v>
      </c>
      <c r="AG573">
        <f t="shared" si="130"/>
        <v>100</v>
      </c>
    </row>
    <row r="574" spans="1:33" x14ac:dyDescent="0.2">
      <c r="A574" t="s">
        <v>127</v>
      </c>
      <c r="B574" t="s">
        <v>128</v>
      </c>
      <c r="C574">
        <v>573</v>
      </c>
      <c r="D574">
        <v>46856</v>
      </c>
      <c r="E574" t="s">
        <v>1683</v>
      </c>
      <c r="F574" t="s">
        <v>70</v>
      </c>
      <c r="G574" t="s">
        <v>10</v>
      </c>
      <c r="H574" t="s">
        <v>8</v>
      </c>
      <c r="I574" t="s">
        <v>91</v>
      </c>
      <c r="J574">
        <v>70</v>
      </c>
      <c r="K574">
        <v>0.03</v>
      </c>
      <c r="L574">
        <v>1</v>
      </c>
      <c r="M574">
        <v>1</v>
      </c>
      <c r="N574">
        <v>1</v>
      </c>
      <c r="O574">
        <v>100</v>
      </c>
      <c r="P574" t="b">
        <f t="shared" si="121"/>
        <v>0</v>
      </c>
      <c r="S574" t="str">
        <f t="shared" si="131"/>
        <v>LATER</v>
      </c>
      <c r="T574" t="str">
        <f t="shared" si="132"/>
        <v>SainteLague</v>
      </c>
      <c r="U574">
        <f t="shared" si="134"/>
        <v>573</v>
      </c>
      <c r="V574">
        <f t="shared" si="133"/>
        <v>46856</v>
      </c>
      <c r="W574" s="8" t="str">
        <f>VLOOKUP(V574,'ideas-input'!$A:$B,2,FALSE)</f>
        <v>Cambio de API para disponer de la información de valor y peso a declarar ante la aduana por parte del Cliente  (TC)</v>
      </c>
      <c r="X574" t="str">
        <f t="shared" si="122"/>
        <v>CIO</v>
      </c>
      <c r="Y574" s="8" t="str">
        <f>VLOOKUP(V574,'ideas-input'!$A:$D,4,FALSE)</f>
        <v>eCommerce</v>
      </c>
      <c r="Z574" t="str">
        <f t="shared" si="123"/>
        <v>Technology</v>
      </c>
      <c r="AA574" t="str">
        <f t="shared" si="124"/>
        <v>Backlog</v>
      </c>
      <c r="AB574">
        <f t="shared" si="125"/>
        <v>70</v>
      </c>
      <c r="AC574">
        <f t="shared" si="126"/>
        <v>0.03</v>
      </c>
      <c r="AD574">
        <f t="shared" si="127"/>
        <v>1</v>
      </c>
      <c r="AE574">
        <f t="shared" si="128"/>
        <v>1</v>
      </c>
      <c r="AF574">
        <f t="shared" si="129"/>
        <v>1</v>
      </c>
      <c r="AG574">
        <f t="shared" si="130"/>
        <v>100</v>
      </c>
    </row>
    <row r="575" spans="1:33" x14ac:dyDescent="0.2">
      <c r="A575" t="s">
        <v>127</v>
      </c>
      <c r="B575" t="s">
        <v>128</v>
      </c>
      <c r="C575">
        <v>574</v>
      </c>
      <c r="D575">
        <v>147251</v>
      </c>
      <c r="E575" t="s">
        <v>188</v>
      </c>
      <c r="F575" t="s">
        <v>21</v>
      </c>
      <c r="G575" t="s">
        <v>379</v>
      </c>
      <c r="H575" t="s">
        <v>5</v>
      </c>
      <c r="I575" t="s">
        <v>91</v>
      </c>
      <c r="J575">
        <v>19</v>
      </c>
      <c r="K575">
        <v>0.03</v>
      </c>
      <c r="L575">
        <v>1</v>
      </c>
      <c r="M575">
        <v>1</v>
      </c>
      <c r="N575">
        <v>1</v>
      </c>
      <c r="O575">
        <v>100</v>
      </c>
      <c r="P575" t="b">
        <f t="shared" si="121"/>
        <v>0</v>
      </c>
      <c r="S575" t="str">
        <f t="shared" si="131"/>
        <v>LATER</v>
      </c>
      <c r="T575" t="str">
        <f t="shared" si="132"/>
        <v>SainteLague</v>
      </c>
      <c r="U575">
        <f t="shared" si="134"/>
        <v>574</v>
      </c>
      <c r="V575">
        <f t="shared" si="133"/>
        <v>147251</v>
      </c>
      <c r="W575" s="8" t="str">
        <f>VLOOKUP(V575,'ideas-input'!$A:$B,2,FALSE)</f>
        <v>SELO DIGITAL</v>
      </c>
      <c r="X575" t="str">
        <f t="shared" si="122"/>
        <v>GP B2B</v>
      </c>
      <c r="Y575" s="8" t="str">
        <f>VLOOKUP(V575,'ideas-input'!$A:$D,4,FALSE)</f>
        <v>Mail</v>
      </c>
      <c r="Z575" t="str">
        <f t="shared" si="123"/>
        <v>Commercial</v>
      </c>
      <c r="AA575" t="str">
        <f t="shared" si="124"/>
        <v>Backlog</v>
      </c>
      <c r="AB575">
        <f t="shared" si="125"/>
        <v>19</v>
      </c>
      <c r="AC575">
        <f t="shared" si="126"/>
        <v>0.03</v>
      </c>
      <c r="AD575">
        <f t="shared" si="127"/>
        <v>1</v>
      </c>
      <c r="AE575">
        <f t="shared" si="128"/>
        <v>1</v>
      </c>
      <c r="AF575">
        <f t="shared" si="129"/>
        <v>1</v>
      </c>
      <c r="AG575">
        <f t="shared" si="130"/>
        <v>100</v>
      </c>
    </row>
    <row r="576" spans="1:33" x14ac:dyDescent="0.2">
      <c r="A576" t="s">
        <v>127</v>
      </c>
      <c r="B576" t="s">
        <v>128</v>
      </c>
      <c r="C576">
        <v>575</v>
      </c>
      <c r="D576">
        <v>52728</v>
      </c>
      <c r="E576" t="s">
        <v>264</v>
      </c>
      <c r="F576" t="s">
        <v>68</v>
      </c>
      <c r="G576" t="s">
        <v>10</v>
      </c>
      <c r="H576" t="s">
        <v>5</v>
      </c>
      <c r="I576" t="s">
        <v>91</v>
      </c>
      <c r="J576">
        <v>26</v>
      </c>
      <c r="K576">
        <v>0.03</v>
      </c>
      <c r="L576">
        <v>1</v>
      </c>
      <c r="M576">
        <v>1</v>
      </c>
      <c r="N576">
        <v>1</v>
      </c>
      <c r="O576">
        <v>100</v>
      </c>
      <c r="P576" t="b">
        <f t="shared" si="121"/>
        <v>0</v>
      </c>
      <c r="S576" t="str">
        <f t="shared" si="131"/>
        <v>LATER</v>
      </c>
      <c r="T576" t="str">
        <f t="shared" si="132"/>
        <v>SainteLague</v>
      </c>
      <c r="U576">
        <f t="shared" si="134"/>
        <v>575</v>
      </c>
      <c r="V576">
        <f t="shared" si="133"/>
        <v>52728</v>
      </c>
      <c r="W576" s="8" t="str">
        <f>VLOOKUP(V576,'ideas-input'!$A:$B,2,FALSE)</f>
        <v>BITACORA - Cambiar delivery_comments de lugar</v>
      </c>
      <c r="X576" t="str">
        <f t="shared" si="122"/>
        <v>IDC</v>
      </c>
      <c r="Y576" s="8" t="str">
        <f>VLOOKUP(V576,'ideas-input'!$A:$D,4,FALSE)</f>
        <v>eCommerce</v>
      </c>
      <c r="Z576" t="str">
        <f t="shared" si="123"/>
        <v>Commercial</v>
      </c>
      <c r="AA576" t="str">
        <f t="shared" si="124"/>
        <v>Backlog</v>
      </c>
      <c r="AB576">
        <f t="shared" si="125"/>
        <v>26</v>
      </c>
      <c r="AC576">
        <f t="shared" si="126"/>
        <v>0.03</v>
      </c>
      <c r="AD576">
        <f t="shared" si="127"/>
        <v>1</v>
      </c>
      <c r="AE576">
        <f t="shared" si="128"/>
        <v>1</v>
      </c>
      <c r="AF576">
        <f t="shared" si="129"/>
        <v>1</v>
      </c>
      <c r="AG576">
        <f t="shared" si="130"/>
        <v>100</v>
      </c>
    </row>
    <row r="577" spans="1:33" x14ac:dyDescent="0.2">
      <c r="A577" t="s">
        <v>127</v>
      </c>
      <c r="B577" t="s">
        <v>128</v>
      </c>
      <c r="C577">
        <v>576</v>
      </c>
      <c r="D577">
        <v>134801</v>
      </c>
      <c r="E577" t="s">
        <v>1318</v>
      </c>
      <c r="F577" t="s">
        <v>23</v>
      </c>
      <c r="G577" t="s">
        <v>379</v>
      </c>
      <c r="H577" t="s">
        <v>5</v>
      </c>
      <c r="I577" t="s">
        <v>91</v>
      </c>
      <c r="J577">
        <v>19</v>
      </c>
      <c r="K577">
        <v>0.03</v>
      </c>
      <c r="L577">
        <v>1</v>
      </c>
      <c r="M577">
        <v>1</v>
      </c>
      <c r="N577">
        <v>1</v>
      </c>
      <c r="O577">
        <v>100</v>
      </c>
      <c r="P577" t="b">
        <f t="shared" si="121"/>
        <v>0</v>
      </c>
      <c r="S577" t="str">
        <f t="shared" si="131"/>
        <v>LATER</v>
      </c>
      <c r="T577" t="str">
        <f t="shared" si="132"/>
        <v>SainteLague</v>
      </c>
      <c r="U577">
        <f t="shared" si="134"/>
        <v>576</v>
      </c>
      <c r="V577">
        <f t="shared" si="133"/>
        <v>134801</v>
      </c>
      <c r="W577" s="8" t="str">
        <f>VLOOKUP(V577,'ideas-input'!$A:$B,2,FALSE)</f>
        <v>Amazon | Serviço POD (Prova de Entrega)</v>
      </c>
      <c r="X577" t="str">
        <f t="shared" si="122"/>
        <v>GP ECL</v>
      </c>
      <c r="Y577" s="8" t="str">
        <f>VLOOKUP(V577,'ideas-input'!$A:$D,4,FALSE)</f>
        <v>eCommerce</v>
      </c>
      <c r="Z577" t="str">
        <f t="shared" si="123"/>
        <v>Commercial</v>
      </c>
      <c r="AA577" t="str">
        <f t="shared" si="124"/>
        <v>Backlog</v>
      </c>
      <c r="AB577">
        <f t="shared" si="125"/>
        <v>19</v>
      </c>
      <c r="AC577">
        <f t="shared" si="126"/>
        <v>0.03</v>
      </c>
      <c r="AD577">
        <f t="shared" si="127"/>
        <v>1</v>
      </c>
      <c r="AE577">
        <f t="shared" si="128"/>
        <v>1</v>
      </c>
      <c r="AF577">
        <f t="shared" si="129"/>
        <v>1</v>
      </c>
      <c r="AG577">
        <f t="shared" si="130"/>
        <v>100</v>
      </c>
    </row>
    <row r="578" spans="1:33" x14ac:dyDescent="0.2">
      <c r="A578" t="s">
        <v>127</v>
      </c>
      <c r="B578" t="s">
        <v>128</v>
      </c>
      <c r="C578">
        <v>577</v>
      </c>
      <c r="D578">
        <v>59462</v>
      </c>
      <c r="E578" t="s">
        <v>268</v>
      </c>
      <c r="F578" t="s">
        <v>65</v>
      </c>
      <c r="G578" t="s">
        <v>10</v>
      </c>
      <c r="H578" t="s">
        <v>5</v>
      </c>
      <c r="I578" t="s">
        <v>95</v>
      </c>
      <c r="J578">
        <v>36</v>
      </c>
      <c r="K578">
        <v>0.03</v>
      </c>
      <c r="L578">
        <v>1</v>
      </c>
      <c r="M578">
        <v>1</v>
      </c>
      <c r="N578">
        <v>1</v>
      </c>
      <c r="O578">
        <v>100</v>
      </c>
      <c r="P578" t="b">
        <f t="shared" ref="P578:P641" si="135">AND(C578&lt;$Q$1,IF(ISBLANK(C578),0,C578)&gt;0)</f>
        <v>0</v>
      </c>
      <c r="S578" t="str">
        <f t="shared" si="131"/>
        <v>LATER</v>
      </c>
      <c r="T578" t="str">
        <f t="shared" si="132"/>
        <v>SainteLague</v>
      </c>
      <c r="U578">
        <f t="shared" si="134"/>
        <v>577</v>
      </c>
      <c r="V578">
        <f t="shared" si="133"/>
        <v>59462</v>
      </c>
      <c r="W578" s="8" t="str">
        <f>VLOOKUP(V578,'ideas-input'!$A:$B,2,FALSE)</f>
        <v>[Qlik &amp; Salesforce] - Alarmas Comercial 02- Cumplimiento del Comprometido Cierre Tareas</v>
      </c>
      <c r="X578" t="str">
        <f t="shared" ref="X578:X641" si="136">F578</f>
        <v>CMO</v>
      </c>
      <c r="Y578" s="8" t="str">
        <f>VLOOKUP(V578,'ideas-input'!$A:$D,4,FALSE)</f>
        <v>eCommerce</v>
      </c>
      <c r="Z578" t="str">
        <f t="shared" ref="Z578:Z641" si="137">H578</f>
        <v>Commercial</v>
      </c>
      <c r="AA578" t="str">
        <f t="shared" ref="AA578:AA641" si="138">I578</f>
        <v>In Definition</v>
      </c>
      <c r="AB578">
        <f t="shared" ref="AB578:AB641" si="139">J578</f>
        <v>36</v>
      </c>
      <c r="AC578">
        <f t="shared" ref="AC578:AC641" si="140">K578</f>
        <v>0.03</v>
      </c>
      <c r="AD578">
        <f t="shared" ref="AD578:AD641" si="141">L578</f>
        <v>1</v>
      </c>
      <c r="AE578">
        <f t="shared" ref="AE578:AE641" si="142">M578</f>
        <v>1</v>
      </c>
      <c r="AF578">
        <f t="shared" ref="AF578:AF641" si="143">N578</f>
        <v>1</v>
      </c>
      <c r="AG578">
        <f t="shared" ref="AG578:AG641" si="144">O578</f>
        <v>100</v>
      </c>
    </row>
    <row r="579" spans="1:33" x14ac:dyDescent="0.2">
      <c r="A579" t="s">
        <v>127</v>
      </c>
      <c r="B579" t="s">
        <v>128</v>
      </c>
      <c r="C579">
        <v>578</v>
      </c>
      <c r="D579">
        <v>132054</v>
      </c>
      <c r="E579" t="s">
        <v>283</v>
      </c>
      <c r="F579" t="s">
        <v>9</v>
      </c>
      <c r="G579" t="s">
        <v>379</v>
      </c>
      <c r="H579" t="s">
        <v>8</v>
      </c>
      <c r="I579" t="s">
        <v>91</v>
      </c>
      <c r="J579">
        <v>41</v>
      </c>
      <c r="K579">
        <v>8</v>
      </c>
      <c r="L579">
        <v>5</v>
      </c>
      <c r="M579">
        <v>2</v>
      </c>
      <c r="N579">
        <v>1</v>
      </c>
      <c r="O579">
        <v>1</v>
      </c>
      <c r="P579" t="b">
        <f t="shared" si="135"/>
        <v>0</v>
      </c>
      <c r="S579" t="str">
        <f t="shared" si="131"/>
        <v>LATER</v>
      </c>
      <c r="T579" t="str">
        <f t="shared" si="132"/>
        <v>SainteLague</v>
      </c>
      <c r="U579">
        <f t="shared" si="134"/>
        <v>578</v>
      </c>
      <c r="V579">
        <f t="shared" si="133"/>
        <v>132054</v>
      </c>
      <c r="W579" s="8" t="str">
        <f>VLOOKUP(V579,'ideas-input'!$A:$B,2,FALSE)</f>
        <v>Observability | Notifications | Alarmistic association to Teams / Squads</v>
      </c>
      <c r="X579" t="str">
        <f t="shared" si="136"/>
        <v>SI</v>
      </c>
      <c r="Y579" s="8" t="str">
        <f>VLOOKUP(V579,'ideas-input'!$A:$D,4,FALSE)</f>
        <v>Mail</v>
      </c>
      <c r="Z579" t="str">
        <f t="shared" si="137"/>
        <v>Technology</v>
      </c>
      <c r="AA579" t="str">
        <f t="shared" si="138"/>
        <v>Backlog</v>
      </c>
      <c r="AB579">
        <f t="shared" si="139"/>
        <v>41</v>
      </c>
      <c r="AC579">
        <f t="shared" si="140"/>
        <v>8</v>
      </c>
      <c r="AD579">
        <f t="shared" si="141"/>
        <v>5</v>
      </c>
      <c r="AE579">
        <f t="shared" si="142"/>
        <v>2</v>
      </c>
      <c r="AF579">
        <f t="shared" si="143"/>
        <v>1</v>
      </c>
      <c r="AG579">
        <f t="shared" si="144"/>
        <v>1</v>
      </c>
    </row>
    <row r="580" spans="1:33" x14ac:dyDescent="0.2">
      <c r="A580" t="s">
        <v>127</v>
      </c>
      <c r="B580" t="s">
        <v>128</v>
      </c>
      <c r="C580">
        <v>579</v>
      </c>
      <c r="D580">
        <v>45725</v>
      </c>
      <c r="E580" t="s">
        <v>1684</v>
      </c>
      <c r="F580" t="s">
        <v>69</v>
      </c>
      <c r="G580" t="s">
        <v>10</v>
      </c>
      <c r="H580" t="s">
        <v>12</v>
      </c>
      <c r="I580" t="s">
        <v>91</v>
      </c>
      <c r="J580">
        <v>35</v>
      </c>
      <c r="K580">
        <v>0.03</v>
      </c>
      <c r="L580">
        <v>1</v>
      </c>
      <c r="M580">
        <v>1</v>
      </c>
      <c r="N580">
        <v>1</v>
      </c>
      <c r="O580">
        <v>100</v>
      </c>
      <c r="P580" t="b">
        <f t="shared" si="135"/>
        <v>0</v>
      </c>
      <c r="S580" t="str">
        <f t="shared" si="131"/>
        <v>LATER</v>
      </c>
      <c r="T580" t="str">
        <f t="shared" si="132"/>
        <v>SainteLague</v>
      </c>
      <c r="U580">
        <f t="shared" si="134"/>
        <v>579</v>
      </c>
      <c r="V580">
        <f t="shared" si="133"/>
        <v>45725</v>
      </c>
      <c r="W580" s="8" t="str">
        <f>VLOOKUP(V580,'ideas-input'!$A:$B,2,FALSE)</f>
        <v>[Evolutivos SGC Finanzas]  Historificación datos de facturación perdidos tras ataque informático (PENDIENTE SOLUCIÓN DE IT YA PRESENTADA)</v>
      </c>
      <c r="X580" t="str">
        <f t="shared" si="136"/>
        <v>CFO</v>
      </c>
      <c r="Y580" s="8" t="str">
        <f>VLOOKUP(V580,'ideas-input'!$A:$D,4,FALSE)</f>
        <v>eCommerce</v>
      </c>
      <c r="Z580" t="str">
        <f t="shared" si="137"/>
        <v>Corporate</v>
      </c>
      <c r="AA580" t="str">
        <f t="shared" si="138"/>
        <v>Backlog</v>
      </c>
      <c r="AB580">
        <f t="shared" si="139"/>
        <v>35</v>
      </c>
      <c r="AC580">
        <f t="shared" si="140"/>
        <v>0.03</v>
      </c>
      <c r="AD580">
        <f t="shared" si="141"/>
        <v>1</v>
      </c>
      <c r="AE580">
        <f t="shared" si="142"/>
        <v>1</v>
      </c>
      <c r="AF580">
        <f t="shared" si="143"/>
        <v>1</v>
      </c>
      <c r="AG580">
        <f t="shared" si="144"/>
        <v>100</v>
      </c>
    </row>
    <row r="581" spans="1:33" x14ac:dyDescent="0.2">
      <c r="A581" t="s">
        <v>127</v>
      </c>
      <c r="B581" t="s">
        <v>128</v>
      </c>
      <c r="C581">
        <v>580</v>
      </c>
      <c r="D581">
        <v>189526</v>
      </c>
      <c r="E581" t="s">
        <v>1321</v>
      </c>
      <c r="F581" t="s">
        <v>25</v>
      </c>
      <c r="G581" t="s">
        <v>379</v>
      </c>
      <c r="H581" t="s">
        <v>5</v>
      </c>
      <c r="I581" t="s">
        <v>95</v>
      </c>
      <c r="J581">
        <v>11</v>
      </c>
      <c r="K581">
        <v>0.03</v>
      </c>
      <c r="L581">
        <v>1</v>
      </c>
      <c r="M581">
        <v>1</v>
      </c>
      <c r="N581">
        <v>1</v>
      </c>
      <c r="O581">
        <v>100</v>
      </c>
      <c r="P581" t="b">
        <f t="shared" si="135"/>
        <v>0</v>
      </c>
      <c r="S581" t="str">
        <f t="shared" si="131"/>
        <v>LATER</v>
      </c>
      <c r="T581" t="str">
        <f t="shared" si="132"/>
        <v>SainteLague</v>
      </c>
      <c r="U581">
        <f t="shared" si="134"/>
        <v>580</v>
      </c>
      <c r="V581">
        <f t="shared" si="133"/>
        <v>189526</v>
      </c>
      <c r="W581" s="8" t="str">
        <f>VLOOKUP(V581,'ideas-input'!$A:$B,2,FALSE)</f>
        <v>GPB2C | Inibição de Pagamentos a Entidades Coletivas Singulares no Nave e no STA</v>
      </c>
      <c r="X581" t="str">
        <f t="shared" si="136"/>
        <v>GP B2C</v>
      </c>
      <c r="Y581" s="8" t="str">
        <f>VLOOKUP(V581,'ideas-input'!$A:$D,4,FALSE)</f>
        <v>Retail &amp; Financial Services</v>
      </c>
      <c r="Z581" t="str">
        <f t="shared" si="137"/>
        <v>Commercial</v>
      </c>
      <c r="AA581" t="str">
        <f t="shared" si="138"/>
        <v>In Definition</v>
      </c>
      <c r="AB581">
        <f t="shared" si="139"/>
        <v>11</v>
      </c>
      <c r="AC581">
        <f t="shared" si="140"/>
        <v>0.03</v>
      </c>
      <c r="AD581">
        <f t="shared" si="141"/>
        <v>1</v>
      </c>
      <c r="AE581">
        <f t="shared" si="142"/>
        <v>1</v>
      </c>
      <c r="AF581">
        <f t="shared" si="143"/>
        <v>1</v>
      </c>
      <c r="AG581">
        <f t="shared" si="144"/>
        <v>100</v>
      </c>
    </row>
    <row r="582" spans="1:33" x14ac:dyDescent="0.2">
      <c r="A582" t="s">
        <v>127</v>
      </c>
      <c r="B582" t="s">
        <v>128</v>
      </c>
      <c r="C582">
        <v>581</v>
      </c>
      <c r="D582">
        <v>52691</v>
      </c>
      <c r="E582" t="s">
        <v>337</v>
      </c>
      <c r="F582" t="s">
        <v>70</v>
      </c>
      <c r="G582" t="s">
        <v>10</v>
      </c>
      <c r="H582" t="s">
        <v>8</v>
      </c>
      <c r="I582" t="s">
        <v>91</v>
      </c>
      <c r="J582">
        <v>71</v>
      </c>
      <c r="K582">
        <v>0.03</v>
      </c>
      <c r="L582">
        <v>1</v>
      </c>
      <c r="M582">
        <v>1</v>
      </c>
      <c r="N582">
        <v>1</v>
      </c>
      <c r="O582">
        <v>100</v>
      </c>
      <c r="P582" t="b">
        <f t="shared" si="135"/>
        <v>0</v>
      </c>
      <c r="S582" t="str">
        <f t="shared" si="131"/>
        <v>LATER</v>
      </c>
      <c r="T582" t="str">
        <f t="shared" si="132"/>
        <v>SainteLague</v>
      </c>
      <c r="U582">
        <f t="shared" si="134"/>
        <v>581</v>
      </c>
      <c r="V582">
        <f t="shared" si="133"/>
        <v>52691</v>
      </c>
      <c r="W582" s="8" t="str">
        <f>VLOOKUP(V582,'ideas-input'!$A:$B,2,FALSE)</f>
        <v>PMO - Seguimiento y Control de Proyectos</v>
      </c>
      <c r="X582" t="str">
        <f t="shared" si="136"/>
        <v>CIO</v>
      </c>
      <c r="Y582" s="8" t="str">
        <f>VLOOKUP(V582,'ideas-input'!$A:$D,4,FALSE)</f>
        <v>eCommerce</v>
      </c>
      <c r="Z582" t="str">
        <f t="shared" si="137"/>
        <v>Technology</v>
      </c>
      <c r="AA582" t="str">
        <f t="shared" si="138"/>
        <v>Backlog</v>
      </c>
      <c r="AB582">
        <f t="shared" si="139"/>
        <v>71</v>
      </c>
      <c r="AC582">
        <f t="shared" si="140"/>
        <v>0.03</v>
      </c>
      <c r="AD582">
        <f t="shared" si="141"/>
        <v>1</v>
      </c>
      <c r="AE582">
        <f t="shared" si="142"/>
        <v>1</v>
      </c>
      <c r="AF582">
        <f t="shared" si="143"/>
        <v>1</v>
      </c>
      <c r="AG582">
        <f t="shared" si="144"/>
        <v>100</v>
      </c>
    </row>
    <row r="583" spans="1:33" x14ac:dyDescent="0.2">
      <c r="A583" t="s">
        <v>127</v>
      </c>
      <c r="B583" t="s">
        <v>128</v>
      </c>
      <c r="C583">
        <v>582</v>
      </c>
      <c r="D583">
        <v>36196</v>
      </c>
      <c r="E583" t="s">
        <v>1276</v>
      </c>
      <c r="F583" t="s">
        <v>58</v>
      </c>
      <c r="G583" t="s">
        <v>379</v>
      </c>
      <c r="H583" t="s">
        <v>8</v>
      </c>
      <c r="I583" t="s">
        <v>91</v>
      </c>
      <c r="J583">
        <v>16</v>
      </c>
      <c r="K583">
        <v>0.03</v>
      </c>
      <c r="L583">
        <v>1</v>
      </c>
      <c r="M583">
        <v>1</v>
      </c>
      <c r="N583">
        <v>1</v>
      </c>
      <c r="O583">
        <v>100</v>
      </c>
      <c r="P583" t="b">
        <f t="shared" si="135"/>
        <v>0</v>
      </c>
      <c r="S583" t="str">
        <f t="shared" si="131"/>
        <v>LATER</v>
      </c>
      <c r="T583" t="str">
        <f t="shared" si="132"/>
        <v>SainteLague</v>
      </c>
      <c r="U583">
        <f t="shared" si="134"/>
        <v>582</v>
      </c>
      <c r="V583">
        <f t="shared" si="133"/>
        <v>36196</v>
      </c>
      <c r="W583" s="8" t="str">
        <f>VLOOKUP(V583,'ideas-input'!$A:$B,2,FALSE)</f>
        <v>Redução do número de sms enviados aos clientes</v>
      </c>
      <c r="X583" t="str">
        <f t="shared" si="136"/>
        <v>SI-PRD</v>
      </c>
      <c r="Y583" s="8" t="str">
        <f>VLOOKUP(V583,'ideas-input'!$A:$D,4,FALSE)</f>
        <v>eCommerce</v>
      </c>
      <c r="Z583" t="str">
        <f t="shared" si="137"/>
        <v>Technology</v>
      </c>
      <c r="AA583" t="str">
        <f t="shared" si="138"/>
        <v>Backlog</v>
      </c>
      <c r="AB583">
        <f t="shared" si="139"/>
        <v>16</v>
      </c>
      <c r="AC583">
        <f t="shared" si="140"/>
        <v>0.03</v>
      </c>
      <c r="AD583">
        <f t="shared" si="141"/>
        <v>1</v>
      </c>
      <c r="AE583">
        <f t="shared" si="142"/>
        <v>1</v>
      </c>
      <c r="AF583">
        <f t="shared" si="143"/>
        <v>1</v>
      </c>
      <c r="AG583">
        <f t="shared" si="144"/>
        <v>100</v>
      </c>
    </row>
    <row r="584" spans="1:33" x14ac:dyDescent="0.2">
      <c r="A584" t="s">
        <v>127</v>
      </c>
      <c r="B584" t="s">
        <v>128</v>
      </c>
      <c r="C584">
        <v>583</v>
      </c>
      <c r="D584">
        <v>54464</v>
      </c>
      <c r="E584" t="s">
        <v>263</v>
      </c>
      <c r="F584" t="s">
        <v>66</v>
      </c>
      <c r="G584" t="s">
        <v>10</v>
      </c>
      <c r="H584" t="s">
        <v>5</v>
      </c>
      <c r="I584" t="s">
        <v>91</v>
      </c>
      <c r="J584">
        <v>30</v>
      </c>
      <c r="K584">
        <v>0.03</v>
      </c>
      <c r="L584">
        <v>1</v>
      </c>
      <c r="M584">
        <v>1</v>
      </c>
      <c r="N584">
        <v>1</v>
      </c>
      <c r="O584">
        <v>100</v>
      </c>
      <c r="P584" t="b">
        <f t="shared" si="135"/>
        <v>0</v>
      </c>
      <c r="S584" t="str">
        <f t="shared" si="131"/>
        <v>LATER</v>
      </c>
      <c r="T584" t="str">
        <f t="shared" si="132"/>
        <v>SainteLague</v>
      </c>
      <c r="U584">
        <f t="shared" si="134"/>
        <v>583</v>
      </c>
      <c r="V584">
        <f t="shared" si="133"/>
        <v>54464</v>
      </c>
      <c r="W584" s="8" t="str">
        <f>VLOOKUP(V584,'ideas-input'!$A:$B,2,FALSE)</f>
        <v>[Salesforce Sales] - Campo Centro Operativo de clientes que cuelgan de Agencias Virtuales (Amazon, ICP, Inditex....)</v>
      </c>
      <c r="X584" t="str">
        <f t="shared" si="136"/>
        <v>CCO</v>
      </c>
      <c r="Y584" s="8" t="str">
        <f>VLOOKUP(V584,'ideas-input'!$A:$D,4,FALSE)</f>
        <v>eCommerce</v>
      </c>
      <c r="Z584" t="str">
        <f t="shared" si="137"/>
        <v>Commercial</v>
      </c>
      <c r="AA584" t="str">
        <f t="shared" si="138"/>
        <v>Backlog</v>
      </c>
      <c r="AB584">
        <f t="shared" si="139"/>
        <v>30</v>
      </c>
      <c r="AC584">
        <f t="shared" si="140"/>
        <v>0.03</v>
      </c>
      <c r="AD584">
        <f t="shared" si="141"/>
        <v>1</v>
      </c>
      <c r="AE584">
        <f t="shared" si="142"/>
        <v>1</v>
      </c>
      <c r="AF584">
        <f t="shared" si="143"/>
        <v>1</v>
      </c>
      <c r="AG584">
        <f t="shared" si="144"/>
        <v>100</v>
      </c>
    </row>
    <row r="585" spans="1:33" x14ac:dyDescent="0.2">
      <c r="A585" t="s">
        <v>127</v>
      </c>
      <c r="B585" t="s">
        <v>128</v>
      </c>
      <c r="C585">
        <v>584</v>
      </c>
      <c r="D585">
        <v>56652</v>
      </c>
      <c r="E585" t="s">
        <v>1323</v>
      </c>
      <c r="F585" t="s">
        <v>24</v>
      </c>
      <c r="G585" t="s">
        <v>379</v>
      </c>
      <c r="H585" t="s">
        <v>5</v>
      </c>
      <c r="I585" t="s">
        <v>95</v>
      </c>
      <c r="J585">
        <v>11</v>
      </c>
      <c r="K585">
        <v>0.03</v>
      </c>
      <c r="L585">
        <v>1</v>
      </c>
      <c r="M585">
        <v>1</v>
      </c>
      <c r="N585">
        <v>1</v>
      </c>
      <c r="O585">
        <v>100</v>
      </c>
      <c r="P585" t="b">
        <f t="shared" si="135"/>
        <v>0</v>
      </c>
      <c r="S585" t="str">
        <f t="shared" si="131"/>
        <v>LATER</v>
      </c>
      <c r="T585" t="str">
        <f t="shared" si="132"/>
        <v>SainteLague</v>
      </c>
      <c r="U585">
        <f t="shared" si="134"/>
        <v>584</v>
      </c>
      <c r="V585">
        <f t="shared" si="133"/>
        <v>56652</v>
      </c>
      <c r="W585" s="8" t="str">
        <f>VLOOKUP(V585,'ideas-input'!$A:$B,2,FALSE)</f>
        <v>Coimas - Configuração /Mapeamentos SAP</v>
      </c>
      <c r="X585" t="str">
        <f t="shared" si="136"/>
        <v>GPG</v>
      </c>
      <c r="Y585" s="8" t="str">
        <f>VLOOKUP(V585,'ideas-input'!$A:$D,4,FALSE)</f>
        <v>Payments</v>
      </c>
      <c r="Z585" t="str">
        <f t="shared" si="137"/>
        <v>Commercial</v>
      </c>
      <c r="AA585" t="str">
        <f t="shared" si="138"/>
        <v>In Definition</v>
      </c>
      <c r="AB585">
        <f t="shared" si="139"/>
        <v>11</v>
      </c>
      <c r="AC585">
        <f t="shared" si="140"/>
        <v>0.03</v>
      </c>
      <c r="AD585">
        <f t="shared" si="141"/>
        <v>1</v>
      </c>
      <c r="AE585">
        <f t="shared" si="142"/>
        <v>1</v>
      </c>
      <c r="AF585">
        <f t="shared" si="143"/>
        <v>1</v>
      </c>
      <c r="AG585">
        <f t="shared" si="144"/>
        <v>100</v>
      </c>
    </row>
    <row r="586" spans="1:33" x14ac:dyDescent="0.2">
      <c r="A586" t="s">
        <v>127</v>
      </c>
      <c r="B586" t="s">
        <v>128</v>
      </c>
      <c r="C586">
        <v>585</v>
      </c>
      <c r="D586">
        <v>43511</v>
      </c>
      <c r="E586" t="s">
        <v>281</v>
      </c>
      <c r="F586" t="s">
        <v>69</v>
      </c>
      <c r="G586" t="s">
        <v>10</v>
      </c>
      <c r="H586" t="s">
        <v>12</v>
      </c>
      <c r="I586" t="s">
        <v>91</v>
      </c>
      <c r="J586">
        <v>36</v>
      </c>
      <c r="K586">
        <v>0.03</v>
      </c>
      <c r="L586">
        <v>1</v>
      </c>
      <c r="M586">
        <v>1</v>
      </c>
      <c r="N586">
        <v>1</v>
      </c>
      <c r="O586">
        <v>100</v>
      </c>
      <c r="P586" t="b">
        <f t="shared" si="135"/>
        <v>0</v>
      </c>
      <c r="S586" t="str">
        <f t="shared" si="131"/>
        <v>LATER</v>
      </c>
      <c r="T586" t="str">
        <f t="shared" si="132"/>
        <v>SainteLague</v>
      </c>
      <c r="U586">
        <f t="shared" si="134"/>
        <v>585</v>
      </c>
      <c r="V586">
        <f t="shared" si="133"/>
        <v>43511</v>
      </c>
      <c r="W586" s="8" t="str">
        <f>VLOOKUP(V586,'ideas-input'!$A:$B,2,FALSE)</f>
        <v>Portal Proveedores - Facturacion a/de proveedores fuera de SAP, necesidad de adaptar el modulo de proveedores</v>
      </c>
      <c r="X586" t="str">
        <f t="shared" si="136"/>
        <v>CFO</v>
      </c>
      <c r="Y586" s="8" t="str">
        <f>VLOOKUP(V586,'ideas-input'!$A:$D,4,FALSE)</f>
        <v>eCommerce</v>
      </c>
      <c r="Z586" t="str">
        <f t="shared" si="137"/>
        <v>Corporate</v>
      </c>
      <c r="AA586" t="str">
        <f t="shared" si="138"/>
        <v>Backlog</v>
      </c>
      <c r="AB586">
        <f t="shared" si="139"/>
        <v>36</v>
      </c>
      <c r="AC586">
        <f t="shared" si="140"/>
        <v>0.03</v>
      </c>
      <c r="AD586">
        <f t="shared" si="141"/>
        <v>1</v>
      </c>
      <c r="AE586">
        <f t="shared" si="142"/>
        <v>1</v>
      </c>
      <c r="AF586">
        <f t="shared" si="143"/>
        <v>1</v>
      </c>
      <c r="AG586">
        <f t="shared" si="144"/>
        <v>100</v>
      </c>
    </row>
    <row r="587" spans="1:33" x14ac:dyDescent="0.2">
      <c r="A587" t="s">
        <v>127</v>
      </c>
      <c r="B587" t="s">
        <v>128</v>
      </c>
      <c r="C587">
        <v>586</v>
      </c>
      <c r="D587">
        <v>71332</v>
      </c>
      <c r="E587" t="s">
        <v>1686</v>
      </c>
      <c r="F587" t="s">
        <v>9</v>
      </c>
      <c r="G587" t="s">
        <v>379</v>
      </c>
      <c r="H587" t="s">
        <v>8</v>
      </c>
      <c r="I587" t="s">
        <v>93</v>
      </c>
      <c r="J587">
        <v>42</v>
      </c>
      <c r="K587">
        <v>0.75</v>
      </c>
      <c r="L587">
        <v>1</v>
      </c>
      <c r="M587">
        <v>1</v>
      </c>
      <c r="N587">
        <v>1</v>
      </c>
      <c r="O587">
        <v>4</v>
      </c>
      <c r="P587" t="b">
        <f t="shared" si="135"/>
        <v>0</v>
      </c>
      <c r="S587" t="str">
        <f t="shared" si="131"/>
        <v>LATER</v>
      </c>
      <c r="T587" t="str">
        <f t="shared" si="132"/>
        <v>SainteLague</v>
      </c>
      <c r="U587">
        <f t="shared" si="134"/>
        <v>586</v>
      </c>
      <c r="V587">
        <f t="shared" si="133"/>
        <v>71332</v>
      </c>
      <c r="W587" s="8" t="str">
        <f>VLOOKUP(V587,'ideas-input'!$A:$B,2,FALSE)</f>
        <v>IOP | Sistemas - Migração -  Nova Farm Hyper V Lisboa - Wave 3</v>
      </c>
      <c r="X587" t="str">
        <f t="shared" si="136"/>
        <v>SI</v>
      </c>
      <c r="Y587" s="8" t="str">
        <f>VLOOKUP(V587,'ideas-input'!$A:$D,4,FALSE)</f>
        <v>Mail</v>
      </c>
      <c r="Z587" t="str">
        <f t="shared" si="137"/>
        <v>Technology</v>
      </c>
      <c r="AA587" t="str">
        <f t="shared" si="138"/>
        <v>Pitch</v>
      </c>
      <c r="AB587">
        <f t="shared" si="139"/>
        <v>42</v>
      </c>
      <c r="AC587">
        <f t="shared" si="140"/>
        <v>0.75</v>
      </c>
      <c r="AD587">
        <f t="shared" si="141"/>
        <v>1</v>
      </c>
      <c r="AE587">
        <f t="shared" si="142"/>
        <v>1</v>
      </c>
      <c r="AF587">
        <f t="shared" si="143"/>
        <v>1</v>
      </c>
      <c r="AG587">
        <f t="shared" si="144"/>
        <v>4</v>
      </c>
    </row>
    <row r="588" spans="1:33" x14ac:dyDescent="0.2">
      <c r="A588" t="s">
        <v>127</v>
      </c>
      <c r="B588" t="s">
        <v>128</v>
      </c>
      <c r="C588">
        <v>587</v>
      </c>
      <c r="D588">
        <v>57275</v>
      </c>
      <c r="E588" t="s">
        <v>1279</v>
      </c>
      <c r="F588" t="s">
        <v>70</v>
      </c>
      <c r="G588" t="s">
        <v>10</v>
      </c>
      <c r="H588" t="s">
        <v>8</v>
      </c>
      <c r="I588" t="s">
        <v>91</v>
      </c>
      <c r="J588">
        <v>72</v>
      </c>
      <c r="K588">
        <v>0.03</v>
      </c>
      <c r="L588">
        <v>1</v>
      </c>
      <c r="M588">
        <v>1</v>
      </c>
      <c r="N588">
        <v>1</v>
      </c>
      <c r="O588">
        <v>100</v>
      </c>
      <c r="P588" t="b">
        <f t="shared" si="135"/>
        <v>0</v>
      </c>
      <c r="S588" t="str">
        <f t="shared" si="131"/>
        <v>LATER</v>
      </c>
      <c r="T588" t="str">
        <f t="shared" si="132"/>
        <v>SainteLague</v>
      </c>
      <c r="U588">
        <f t="shared" si="134"/>
        <v>587</v>
      </c>
      <c r="V588">
        <f t="shared" si="133"/>
        <v>57275</v>
      </c>
      <c r="W588" s="8" t="str">
        <f>VLOOKUP(V588,'ideas-input'!$A:$B,2,FALSE)</f>
        <v>Seguimiento &amp; Control de IT - Formación - Vacaciones - Otros</v>
      </c>
      <c r="X588" t="str">
        <f t="shared" si="136"/>
        <v>CIO</v>
      </c>
      <c r="Y588" s="8" t="str">
        <f>VLOOKUP(V588,'ideas-input'!$A:$D,4,FALSE)</f>
        <v>eCommerce</v>
      </c>
      <c r="Z588" t="str">
        <f t="shared" si="137"/>
        <v>Technology</v>
      </c>
      <c r="AA588" t="str">
        <f t="shared" si="138"/>
        <v>Backlog</v>
      </c>
      <c r="AB588">
        <f t="shared" si="139"/>
        <v>72</v>
      </c>
      <c r="AC588">
        <f t="shared" si="140"/>
        <v>0.03</v>
      </c>
      <c r="AD588">
        <f t="shared" si="141"/>
        <v>1</v>
      </c>
      <c r="AE588">
        <f t="shared" si="142"/>
        <v>1</v>
      </c>
      <c r="AF588">
        <f t="shared" si="143"/>
        <v>1</v>
      </c>
      <c r="AG588">
        <f t="shared" si="144"/>
        <v>100</v>
      </c>
    </row>
    <row r="589" spans="1:33" x14ac:dyDescent="0.2">
      <c r="A589" t="s">
        <v>127</v>
      </c>
      <c r="B589" t="s">
        <v>128</v>
      </c>
      <c r="C589">
        <v>588</v>
      </c>
      <c r="D589">
        <v>60584</v>
      </c>
      <c r="E589" t="s">
        <v>163</v>
      </c>
      <c r="F589" t="s">
        <v>37</v>
      </c>
      <c r="G589" t="s">
        <v>379</v>
      </c>
      <c r="H589" t="s">
        <v>5</v>
      </c>
      <c r="I589" t="s">
        <v>95</v>
      </c>
      <c r="J589">
        <v>15</v>
      </c>
      <c r="K589">
        <v>0.03</v>
      </c>
      <c r="L589">
        <v>1</v>
      </c>
      <c r="M589">
        <v>1</v>
      </c>
      <c r="N589">
        <v>1</v>
      </c>
      <c r="O589">
        <v>100</v>
      </c>
      <c r="P589" t="b">
        <f t="shared" si="135"/>
        <v>0</v>
      </c>
      <c r="S589" t="str">
        <f t="shared" si="131"/>
        <v>LATER</v>
      </c>
      <c r="T589" t="str">
        <f t="shared" si="132"/>
        <v>SainteLague</v>
      </c>
      <c r="U589">
        <f t="shared" si="134"/>
        <v>588</v>
      </c>
      <c r="V589">
        <f t="shared" si="133"/>
        <v>60584</v>
      </c>
      <c r="W589" s="8" t="str">
        <f>VLOOKUP(V589,'ideas-input'!$A:$B,2,FALSE)</f>
        <v>Nexus | We Sell | Customer Onboarding</v>
      </c>
      <c r="X589" t="str">
        <f t="shared" si="136"/>
        <v>GS</v>
      </c>
      <c r="Y589" s="8" t="str">
        <f>VLOOKUP(V589,'ideas-input'!$A:$D,4,FALSE)</f>
        <v>eCommerce</v>
      </c>
      <c r="Z589" t="str">
        <f t="shared" si="137"/>
        <v>Commercial</v>
      </c>
      <c r="AA589" t="str">
        <f t="shared" si="138"/>
        <v>In Definition</v>
      </c>
      <c r="AB589">
        <f t="shared" si="139"/>
        <v>15</v>
      </c>
      <c r="AC589">
        <f t="shared" si="140"/>
        <v>0.03</v>
      </c>
      <c r="AD589">
        <f t="shared" si="141"/>
        <v>1</v>
      </c>
      <c r="AE589">
        <f t="shared" si="142"/>
        <v>1</v>
      </c>
      <c r="AF589">
        <f t="shared" si="143"/>
        <v>1</v>
      </c>
      <c r="AG589">
        <f t="shared" si="144"/>
        <v>100</v>
      </c>
    </row>
    <row r="590" spans="1:33" x14ac:dyDescent="0.2">
      <c r="A590" t="s">
        <v>127</v>
      </c>
      <c r="B590" t="s">
        <v>128</v>
      </c>
      <c r="C590">
        <v>589</v>
      </c>
      <c r="D590">
        <v>51569</v>
      </c>
      <c r="E590" t="s">
        <v>266</v>
      </c>
      <c r="F590" t="s">
        <v>68</v>
      </c>
      <c r="G590" t="s">
        <v>10</v>
      </c>
      <c r="H590" t="s">
        <v>5</v>
      </c>
      <c r="I590" t="s">
        <v>91</v>
      </c>
      <c r="J590">
        <v>27</v>
      </c>
      <c r="K590">
        <v>0.03</v>
      </c>
      <c r="L590">
        <v>1</v>
      </c>
      <c r="M590">
        <v>1</v>
      </c>
      <c r="N590">
        <v>1</v>
      </c>
      <c r="O590">
        <v>100</v>
      </c>
      <c r="P590" t="b">
        <f t="shared" si="135"/>
        <v>0</v>
      </c>
      <c r="S590" t="str">
        <f t="shared" si="131"/>
        <v>LATER</v>
      </c>
      <c r="T590" t="str">
        <f t="shared" si="132"/>
        <v>SainteLague</v>
      </c>
      <c r="U590">
        <f t="shared" si="134"/>
        <v>589</v>
      </c>
      <c r="V590">
        <f t="shared" si="133"/>
        <v>51569</v>
      </c>
      <c r="W590" s="8" t="str">
        <f>VLOOKUP(V590,'ideas-input'!$A:$B,2,FALSE)</f>
        <v>BITACORA EVOLUCION DE ESTADOS FINALES</v>
      </c>
      <c r="X590" t="str">
        <f t="shared" si="136"/>
        <v>IDC</v>
      </c>
      <c r="Y590" s="8" t="str">
        <f>VLOOKUP(V590,'ideas-input'!$A:$D,4,FALSE)</f>
        <v>eCommerce</v>
      </c>
      <c r="Z590" t="str">
        <f t="shared" si="137"/>
        <v>Commercial</v>
      </c>
      <c r="AA590" t="str">
        <f t="shared" si="138"/>
        <v>Backlog</v>
      </c>
      <c r="AB590">
        <f t="shared" si="139"/>
        <v>27</v>
      </c>
      <c r="AC590">
        <f t="shared" si="140"/>
        <v>0.03</v>
      </c>
      <c r="AD590">
        <f t="shared" si="141"/>
        <v>1</v>
      </c>
      <c r="AE590">
        <f t="shared" si="142"/>
        <v>1</v>
      </c>
      <c r="AF590">
        <f t="shared" si="143"/>
        <v>1</v>
      </c>
      <c r="AG590">
        <f t="shared" si="144"/>
        <v>100</v>
      </c>
    </row>
    <row r="591" spans="1:33" x14ac:dyDescent="0.2">
      <c r="A591" t="s">
        <v>127</v>
      </c>
      <c r="B591" t="s">
        <v>128</v>
      </c>
      <c r="C591">
        <v>590</v>
      </c>
      <c r="D591">
        <v>131994</v>
      </c>
      <c r="E591" t="s">
        <v>1687</v>
      </c>
      <c r="F591" t="s">
        <v>9</v>
      </c>
      <c r="G591" t="s">
        <v>379</v>
      </c>
      <c r="H591" t="s">
        <v>8</v>
      </c>
      <c r="I591" t="s">
        <v>91</v>
      </c>
      <c r="J591">
        <v>43</v>
      </c>
      <c r="K591">
        <v>0.03</v>
      </c>
      <c r="L591">
        <v>1</v>
      </c>
      <c r="M591">
        <v>1</v>
      </c>
      <c r="N591">
        <v>1</v>
      </c>
      <c r="O591">
        <v>100</v>
      </c>
      <c r="P591" t="b">
        <f t="shared" si="135"/>
        <v>0</v>
      </c>
      <c r="S591" t="str">
        <f t="shared" si="131"/>
        <v>LATER</v>
      </c>
      <c r="T591" t="str">
        <f t="shared" si="132"/>
        <v>SainteLague</v>
      </c>
      <c r="U591">
        <f t="shared" si="134"/>
        <v>590</v>
      </c>
      <c r="V591">
        <f t="shared" si="133"/>
        <v>131994</v>
      </c>
      <c r="W591" s="8" t="str">
        <f>VLOOKUP(V591,'ideas-input'!$A:$B,2,FALSE)</f>
        <v>INT| -  Reconstrução dos processos de LOGs do SD mulesoft no ELK coorporativo.</v>
      </c>
      <c r="X591" t="str">
        <f t="shared" si="136"/>
        <v>SI</v>
      </c>
      <c r="Y591" s="8" t="str">
        <f>VLOOKUP(V591,'ideas-input'!$A:$D,4,FALSE)</f>
        <v>Mail</v>
      </c>
      <c r="Z591" t="str">
        <f t="shared" si="137"/>
        <v>Technology</v>
      </c>
      <c r="AA591" t="str">
        <f t="shared" si="138"/>
        <v>Backlog</v>
      </c>
      <c r="AB591">
        <f t="shared" si="139"/>
        <v>43</v>
      </c>
      <c r="AC591">
        <f t="shared" si="140"/>
        <v>0.03</v>
      </c>
      <c r="AD591">
        <f t="shared" si="141"/>
        <v>1</v>
      </c>
      <c r="AE591">
        <f t="shared" si="142"/>
        <v>1</v>
      </c>
      <c r="AF591">
        <f t="shared" si="143"/>
        <v>1</v>
      </c>
      <c r="AG591">
        <f t="shared" si="144"/>
        <v>100</v>
      </c>
    </row>
    <row r="592" spans="1:33" x14ac:dyDescent="0.2">
      <c r="A592" t="s">
        <v>127</v>
      </c>
      <c r="B592" t="s">
        <v>128</v>
      </c>
      <c r="C592">
        <v>591</v>
      </c>
      <c r="D592">
        <v>43545</v>
      </c>
      <c r="E592" t="s">
        <v>1286</v>
      </c>
      <c r="F592" t="s">
        <v>69</v>
      </c>
      <c r="G592" t="s">
        <v>10</v>
      </c>
      <c r="H592" t="s">
        <v>12</v>
      </c>
      <c r="I592" t="s">
        <v>91</v>
      </c>
      <c r="J592">
        <v>37</v>
      </c>
      <c r="K592">
        <v>0.03</v>
      </c>
      <c r="L592">
        <v>1</v>
      </c>
      <c r="M592">
        <v>1</v>
      </c>
      <c r="N592">
        <v>1</v>
      </c>
      <c r="O592">
        <v>100</v>
      </c>
      <c r="P592" t="b">
        <f t="shared" si="135"/>
        <v>0</v>
      </c>
      <c r="S592" t="str">
        <f t="shared" si="131"/>
        <v>LATER</v>
      </c>
      <c r="T592" t="str">
        <f t="shared" si="132"/>
        <v>SainteLague</v>
      </c>
      <c r="U592">
        <f t="shared" si="134"/>
        <v>591</v>
      </c>
      <c r="V592">
        <f t="shared" si="133"/>
        <v>43545</v>
      </c>
      <c r="W592" s="8" t="str">
        <f>VLOOKUP(V592,'ideas-input'!$A:$B,2,FALSE)</f>
        <v>[Evolutivos SGC] Adeudos manuales o automáticos, (relacionado con trabajo de auditoria interna de ES ya informada en 2022) (Validar por Procesos)</v>
      </c>
      <c r="X592" t="str">
        <f t="shared" si="136"/>
        <v>CFO</v>
      </c>
      <c r="Y592" s="8" t="str">
        <f>VLOOKUP(V592,'ideas-input'!$A:$D,4,FALSE)</f>
        <v>eCommerce</v>
      </c>
      <c r="Z592" t="str">
        <f t="shared" si="137"/>
        <v>Corporate</v>
      </c>
      <c r="AA592" t="str">
        <f t="shared" si="138"/>
        <v>Backlog</v>
      </c>
      <c r="AB592">
        <f t="shared" si="139"/>
        <v>37</v>
      </c>
      <c r="AC592">
        <f t="shared" si="140"/>
        <v>0.03</v>
      </c>
      <c r="AD592">
        <f t="shared" si="141"/>
        <v>1</v>
      </c>
      <c r="AE592">
        <f t="shared" si="142"/>
        <v>1</v>
      </c>
      <c r="AF592">
        <f t="shared" si="143"/>
        <v>1</v>
      </c>
      <c r="AG592">
        <f t="shared" si="144"/>
        <v>100</v>
      </c>
    </row>
    <row r="593" spans="1:33" x14ac:dyDescent="0.2">
      <c r="A593" t="s">
        <v>127</v>
      </c>
      <c r="B593" t="s">
        <v>128</v>
      </c>
      <c r="C593">
        <v>592</v>
      </c>
      <c r="D593">
        <v>127256</v>
      </c>
      <c r="E593" t="s">
        <v>238</v>
      </c>
      <c r="F593" t="s">
        <v>21</v>
      </c>
      <c r="G593" t="s">
        <v>379</v>
      </c>
      <c r="H593" t="s">
        <v>5</v>
      </c>
      <c r="I593" t="s">
        <v>91</v>
      </c>
      <c r="J593">
        <v>20</v>
      </c>
      <c r="K593">
        <v>0.03</v>
      </c>
      <c r="L593">
        <v>1</v>
      </c>
      <c r="M593">
        <v>1</v>
      </c>
      <c r="N593">
        <v>1</v>
      </c>
      <c r="O593">
        <v>100</v>
      </c>
      <c r="P593" t="b">
        <f t="shared" si="135"/>
        <v>0</v>
      </c>
      <c r="S593" t="str">
        <f t="shared" si="131"/>
        <v>LATER</v>
      </c>
      <c r="T593" t="str">
        <f t="shared" si="132"/>
        <v>SainteLague</v>
      </c>
      <c r="U593">
        <f t="shared" si="134"/>
        <v>592</v>
      </c>
      <c r="V593">
        <f t="shared" si="133"/>
        <v>127256</v>
      </c>
      <c r="W593" s="8" t="str">
        <f>VLOOKUP(V593,'ideas-input'!$A:$B,2,FALSE)</f>
        <v>Correio Registado Self-Service| Envios a partir do SuperPortal</v>
      </c>
      <c r="X593" t="str">
        <f t="shared" si="136"/>
        <v>GP B2B</v>
      </c>
      <c r="Y593" s="8" t="str">
        <f>VLOOKUP(V593,'ideas-input'!$A:$D,4,FALSE)</f>
        <v>Mail</v>
      </c>
      <c r="Z593" t="str">
        <f t="shared" si="137"/>
        <v>Commercial</v>
      </c>
      <c r="AA593" t="str">
        <f t="shared" si="138"/>
        <v>Backlog</v>
      </c>
      <c r="AB593">
        <f t="shared" si="139"/>
        <v>20</v>
      </c>
      <c r="AC593">
        <f t="shared" si="140"/>
        <v>0.03</v>
      </c>
      <c r="AD593">
        <f t="shared" si="141"/>
        <v>1</v>
      </c>
      <c r="AE593">
        <f t="shared" si="142"/>
        <v>1</v>
      </c>
      <c r="AF593">
        <f t="shared" si="143"/>
        <v>1</v>
      </c>
      <c r="AG593">
        <f t="shared" si="144"/>
        <v>100</v>
      </c>
    </row>
    <row r="594" spans="1:33" x14ac:dyDescent="0.2">
      <c r="A594" t="s">
        <v>127</v>
      </c>
      <c r="B594" t="s">
        <v>128</v>
      </c>
      <c r="C594">
        <v>593</v>
      </c>
      <c r="D594">
        <v>47102</v>
      </c>
      <c r="E594" t="s">
        <v>270</v>
      </c>
      <c r="F594" t="s">
        <v>65</v>
      </c>
      <c r="G594" t="s">
        <v>10</v>
      </c>
      <c r="H594" t="s">
        <v>5</v>
      </c>
      <c r="I594" t="s">
        <v>95</v>
      </c>
      <c r="J594">
        <v>37</v>
      </c>
      <c r="K594">
        <v>0.03</v>
      </c>
      <c r="L594">
        <v>1</v>
      </c>
      <c r="M594">
        <v>1</v>
      </c>
      <c r="N594">
        <v>1</v>
      </c>
      <c r="O594">
        <v>100</v>
      </c>
      <c r="P594" t="b">
        <f t="shared" si="135"/>
        <v>0</v>
      </c>
      <c r="S594" t="str">
        <f t="shared" si="131"/>
        <v>LATER</v>
      </c>
      <c r="T594" t="str">
        <f t="shared" si="132"/>
        <v>SainteLague</v>
      </c>
      <c r="U594">
        <f t="shared" si="134"/>
        <v>593</v>
      </c>
      <c r="V594">
        <f t="shared" si="133"/>
        <v>47102</v>
      </c>
      <c r="W594" s="8" t="str">
        <f>VLOOKUP(V594,'ideas-input'!$A:$B,2,FALSE)</f>
        <v>Qlik para comerciales</v>
      </c>
      <c r="X594" t="str">
        <f t="shared" si="136"/>
        <v>CMO</v>
      </c>
      <c r="Y594" s="8" t="str">
        <f>VLOOKUP(V594,'ideas-input'!$A:$D,4,FALSE)</f>
        <v>eCommerce</v>
      </c>
      <c r="Z594" t="str">
        <f t="shared" si="137"/>
        <v>Commercial</v>
      </c>
      <c r="AA594" t="str">
        <f t="shared" si="138"/>
        <v>In Definition</v>
      </c>
      <c r="AB594">
        <f t="shared" si="139"/>
        <v>37</v>
      </c>
      <c r="AC594">
        <f t="shared" si="140"/>
        <v>0.03</v>
      </c>
      <c r="AD594">
        <f t="shared" si="141"/>
        <v>1</v>
      </c>
      <c r="AE594">
        <f t="shared" si="142"/>
        <v>1</v>
      </c>
      <c r="AF594">
        <f t="shared" si="143"/>
        <v>1</v>
      </c>
      <c r="AG594">
        <f t="shared" si="144"/>
        <v>100</v>
      </c>
    </row>
    <row r="595" spans="1:33" x14ac:dyDescent="0.2">
      <c r="A595" t="s">
        <v>127</v>
      </c>
      <c r="B595" t="s">
        <v>128</v>
      </c>
      <c r="C595">
        <v>594</v>
      </c>
      <c r="D595">
        <v>123004</v>
      </c>
      <c r="E595" t="s">
        <v>1330</v>
      </c>
      <c r="F595" t="s">
        <v>23</v>
      </c>
      <c r="G595" t="s">
        <v>379</v>
      </c>
      <c r="H595" t="s">
        <v>5</v>
      </c>
      <c r="I595" t="s">
        <v>91</v>
      </c>
      <c r="J595">
        <v>20</v>
      </c>
      <c r="K595">
        <v>0.03</v>
      </c>
      <c r="L595">
        <v>1</v>
      </c>
      <c r="M595">
        <v>1</v>
      </c>
      <c r="N595">
        <v>1</v>
      </c>
      <c r="O595">
        <v>100</v>
      </c>
      <c r="P595" t="b">
        <f t="shared" si="135"/>
        <v>0</v>
      </c>
      <c r="S595" t="str">
        <f t="shared" si="131"/>
        <v>LATER</v>
      </c>
      <c r="T595" t="str">
        <f t="shared" si="132"/>
        <v>SainteLague</v>
      </c>
      <c r="U595">
        <f t="shared" si="134"/>
        <v>594</v>
      </c>
      <c r="V595">
        <f t="shared" si="133"/>
        <v>123004</v>
      </c>
      <c r="W595" s="8" t="str">
        <f>VLOOKUP(V595,'ideas-input'!$A:$B,2,FALSE)</f>
        <v>Faturação do produto C65 - Tracked Simples - Alteração Pré-Aviso</v>
      </c>
      <c r="X595" t="str">
        <f t="shared" si="136"/>
        <v>GP ECL</v>
      </c>
      <c r="Y595" s="8" t="str">
        <f>VLOOKUP(V595,'ideas-input'!$A:$D,4,FALSE)</f>
        <v>eCommerce</v>
      </c>
      <c r="Z595" t="str">
        <f t="shared" si="137"/>
        <v>Commercial</v>
      </c>
      <c r="AA595" t="str">
        <f t="shared" si="138"/>
        <v>Backlog</v>
      </c>
      <c r="AB595">
        <f t="shared" si="139"/>
        <v>20</v>
      </c>
      <c r="AC595">
        <f t="shared" si="140"/>
        <v>0.03</v>
      </c>
      <c r="AD595">
        <f t="shared" si="141"/>
        <v>1</v>
      </c>
      <c r="AE595">
        <f t="shared" si="142"/>
        <v>1</v>
      </c>
      <c r="AF595">
        <f t="shared" si="143"/>
        <v>1</v>
      </c>
      <c r="AG595">
        <f t="shared" si="144"/>
        <v>100</v>
      </c>
    </row>
    <row r="596" spans="1:33" x14ac:dyDescent="0.2">
      <c r="A596" t="s">
        <v>127</v>
      </c>
      <c r="B596" t="s">
        <v>128</v>
      </c>
      <c r="C596">
        <v>595</v>
      </c>
      <c r="D596">
        <v>43543</v>
      </c>
      <c r="E596" t="s">
        <v>1289</v>
      </c>
      <c r="F596" t="s">
        <v>69</v>
      </c>
      <c r="G596" t="s">
        <v>10</v>
      </c>
      <c r="H596" t="s">
        <v>12</v>
      </c>
      <c r="I596" t="s">
        <v>91</v>
      </c>
      <c r="J596">
        <v>38</v>
      </c>
      <c r="K596">
        <v>0.03</v>
      </c>
      <c r="L596">
        <v>1</v>
      </c>
      <c r="M596">
        <v>1</v>
      </c>
      <c r="N596">
        <v>1</v>
      </c>
      <c r="O596">
        <v>100</v>
      </c>
      <c r="P596" t="b">
        <f t="shared" si="135"/>
        <v>0</v>
      </c>
      <c r="S596" t="str">
        <f t="shared" si="131"/>
        <v>LATER</v>
      </c>
      <c r="T596" t="str">
        <f t="shared" si="132"/>
        <v>SainteLague</v>
      </c>
      <c r="U596">
        <f t="shared" si="134"/>
        <v>595</v>
      </c>
      <c r="V596">
        <f t="shared" si="133"/>
        <v>43543</v>
      </c>
      <c r="W596" s="8" t="str">
        <f>VLOOKUP(V596,'ideas-input'!$A:$B,2,FALSE)</f>
        <v>[Evolutivos SGC] Cambio de agencia de cargo en un envío / Utilizacion de agencia de facturacion, (pérdida de funcionalidad)</v>
      </c>
      <c r="X596" t="str">
        <f t="shared" si="136"/>
        <v>CFO</v>
      </c>
      <c r="Y596" s="8" t="str">
        <f>VLOOKUP(V596,'ideas-input'!$A:$D,4,FALSE)</f>
        <v>eCommerce</v>
      </c>
      <c r="Z596" t="str">
        <f t="shared" si="137"/>
        <v>Corporate</v>
      </c>
      <c r="AA596" t="str">
        <f t="shared" si="138"/>
        <v>Backlog</v>
      </c>
      <c r="AB596">
        <f t="shared" si="139"/>
        <v>38</v>
      </c>
      <c r="AC596">
        <f t="shared" si="140"/>
        <v>0.03</v>
      </c>
      <c r="AD596">
        <f t="shared" si="141"/>
        <v>1</v>
      </c>
      <c r="AE596">
        <f t="shared" si="142"/>
        <v>1</v>
      </c>
      <c r="AF596">
        <f t="shared" si="143"/>
        <v>1</v>
      </c>
      <c r="AG596">
        <f t="shared" si="144"/>
        <v>100</v>
      </c>
    </row>
    <row r="597" spans="1:33" x14ac:dyDescent="0.2">
      <c r="A597" t="s">
        <v>127</v>
      </c>
      <c r="B597" t="s">
        <v>128</v>
      </c>
      <c r="C597">
        <v>596</v>
      </c>
      <c r="D597">
        <v>173201</v>
      </c>
      <c r="E597" t="s">
        <v>1278</v>
      </c>
      <c r="F597" t="s">
        <v>9</v>
      </c>
      <c r="G597" t="s">
        <v>379</v>
      </c>
      <c r="H597" t="s">
        <v>8</v>
      </c>
      <c r="I597" t="s">
        <v>91</v>
      </c>
      <c r="J597">
        <v>44</v>
      </c>
      <c r="K597">
        <v>0.03</v>
      </c>
      <c r="L597">
        <v>1</v>
      </c>
      <c r="M597">
        <v>1</v>
      </c>
      <c r="N597">
        <v>1</v>
      </c>
      <c r="O597">
        <v>100</v>
      </c>
      <c r="P597" t="b">
        <f t="shared" si="135"/>
        <v>0</v>
      </c>
      <c r="S597" t="str">
        <f t="shared" si="131"/>
        <v>LATER</v>
      </c>
      <c r="T597" t="str">
        <f t="shared" si="132"/>
        <v>SainteLague</v>
      </c>
      <c r="U597">
        <f t="shared" si="134"/>
        <v>596</v>
      </c>
      <c r="V597">
        <f t="shared" si="133"/>
        <v>173201</v>
      </c>
      <c r="W597" s="8" t="str">
        <f>VLOOKUP(V597,'ideas-input'!$A:$B,2,FALSE)</f>
        <v>IOP | CrushFTP - migração de CentOS para Ubuntu</v>
      </c>
      <c r="X597" t="str">
        <f t="shared" si="136"/>
        <v>SI</v>
      </c>
      <c r="Y597" s="8" t="str">
        <f>VLOOKUP(V597,'ideas-input'!$A:$D,4,FALSE)</f>
        <v>Mail</v>
      </c>
      <c r="Z597" t="str">
        <f t="shared" si="137"/>
        <v>Technology</v>
      </c>
      <c r="AA597" t="str">
        <f t="shared" si="138"/>
        <v>Backlog</v>
      </c>
      <c r="AB597">
        <f t="shared" si="139"/>
        <v>44</v>
      </c>
      <c r="AC597">
        <f t="shared" si="140"/>
        <v>0.03</v>
      </c>
      <c r="AD597">
        <f t="shared" si="141"/>
        <v>1</v>
      </c>
      <c r="AE597">
        <f t="shared" si="142"/>
        <v>1</v>
      </c>
      <c r="AF597">
        <f t="shared" si="143"/>
        <v>1</v>
      </c>
      <c r="AG597">
        <f t="shared" si="144"/>
        <v>100</v>
      </c>
    </row>
    <row r="598" spans="1:33" x14ac:dyDescent="0.2">
      <c r="A598" t="s">
        <v>127</v>
      </c>
      <c r="B598" t="s">
        <v>128</v>
      </c>
      <c r="C598">
        <v>597</v>
      </c>
      <c r="D598">
        <v>57776</v>
      </c>
      <c r="E598" t="s">
        <v>1364</v>
      </c>
      <c r="F598" t="s">
        <v>66</v>
      </c>
      <c r="G598" t="s">
        <v>10</v>
      </c>
      <c r="H598" t="s">
        <v>5</v>
      </c>
      <c r="I598" t="s">
        <v>91</v>
      </c>
      <c r="J598">
        <v>31</v>
      </c>
      <c r="K598">
        <v>0.03</v>
      </c>
      <c r="L598">
        <v>1</v>
      </c>
      <c r="M598">
        <v>1</v>
      </c>
      <c r="N598">
        <v>1</v>
      </c>
      <c r="O598">
        <v>100</v>
      </c>
      <c r="P598" t="b">
        <f t="shared" si="135"/>
        <v>0</v>
      </c>
      <c r="S598" t="str">
        <f t="shared" si="131"/>
        <v>LATER</v>
      </c>
      <c r="T598" t="str">
        <f t="shared" si="132"/>
        <v>SainteLague</v>
      </c>
      <c r="U598">
        <f t="shared" si="134"/>
        <v>597</v>
      </c>
      <c r="V598">
        <f t="shared" si="133"/>
        <v>57776</v>
      </c>
      <c r="W598" s="8" t="str">
        <f>VLOOKUP(V598,'ideas-input'!$A:$B,2,FALSE)</f>
        <v>[Minerva] - Evaluación de la oferta en Minerva</v>
      </c>
      <c r="X598" t="str">
        <f t="shared" si="136"/>
        <v>CCO</v>
      </c>
      <c r="Y598" s="8" t="str">
        <f>VLOOKUP(V598,'ideas-input'!$A:$D,4,FALSE)</f>
        <v>eCommerce</v>
      </c>
      <c r="Z598" t="str">
        <f t="shared" si="137"/>
        <v>Commercial</v>
      </c>
      <c r="AA598" t="str">
        <f t="shared" si="138"/>
        <v>Backlog</v>
      </c>
      <c r="AB598">
        <f t="shared" si="139"/>
        <v>31</v>
      </c>
      <c r="AC598">
        <f t="shared" si="140"/>
        <v>0.03</v>
      </c>
      <c r="AD598">
        <f t="shared" si="141"/>
        <v>1</v>
      </c>
      <c r="AE598">
        <f t="shared" si="142"/>
        <v>1</v>
      </c>
      <c r="AF598">
        <f t="shared" si="143"/>
        <v>1</v>
      </c>
      <c r="AG598">
        <f t="shared" si="144"/>
        <v>100</v>
      </c>
    </row>
    <row r="599" spans="1:33" x14ac:dyDescent="0.2">
      <c r="A599" t="s">
        <v>127</v>
      </c>
      <c r="B599" t="s">
        <v>128</v>
      </c>
      <c r="C599">
        <v>598</v>
      </c>
      <c r="D599">
        <v>173335</v>
      </c>
      <c r="E599" t="s">
        <v>265</v>
      </c>
      <c r="F599" t="s">
        <v>38</v>
      </c>
      <c r="G599" t="s">
        <v>379</v>
      </c>
      <c r="H599" t="s">
        <v>5</v>
      </c>
      <c r="I599" t="s">
        <v>91</v>
      </c>
      <c r="J599">
        <v>14</v>
      </c>
      <c r="K599">
        <v>0.03</v>
      </c>
      <c r="L599">
        <v>1</v>
      </c>
      <c r="M599">
        <v>1</v>
      </c>
      <c r="N599">
        <v>1</v>
      </c>
      <c r="O599">
        <v>100</v>
      </c>
      <c r="P599" t="b">
        <f t="shared" si="135"/>
        <v>0</v>
      </c>
      <c r="S599" t="str">
        <f t="shared" ref="S599:S662" si="145">A599</f>
        <v>LATER</v>
      </c>
      <c r="T599" t="str">
        <f t="shared" ref="T599:T662" si="146">B599</f>
        <v>SainteLague</v>
      </c>
      <c r="U599">
        <f t="shared" si="134"/>
        <v>598</v>
      </c>
      <c r="V599">
        <f t="shared" ref="V599:V662" si="147">D599</f>
        <v>173335</v>
      </c>
      <c r="W599" s="8" t="str">
        <f>VLOOKUP(V599,'ideas-input'!$A:$B,2,FALSE)</f>
        <v>Consulta de Objetos e Downlad dos POD'S</v>
      </c>
      <c r="X599" t="str">
        <f t="shared" si="136"/>
        <v>CSI</v>
      </c>
      <c r="Y599" s="8" t="str">
        <f>VLOOKUP(V599,'ideas-input'!$A:$D,4,FALSE)</f>
        <v>Mail</v>
      </c>
      <c r="Z599" t="str">
        <f t="shared" si="137"/>
        <v>Commercial</v>
      </c>
      <c r="AA599" t="str">
        <f t="shared" si="138"/>
        <v>Backlog</v>
      </c>
      <c r="AB599">
        <f t="shared" si="139"/>
        <v>14</v>
      </c>
      <c r="AC599">
        <f t="shared" si="140"/>
        <v>0.03</v>
      </c>
      <c r="AD599">
        <f t="shared" si="141"/>
        <v>1</v>
      </c>
      <c r="AE599">
        <f t="shared" si="142"/>
        <v>1</v>
      </c>
      <c r="AF599">
        <f t="shared" si="143"/>
        <v>1</v>
      </c>
      <c r="AG599">
        <f t="shared" si="144"/>
        <v>100</v>
      </c>
    </row>
    <row r="600" spans="1:33" x14ac:dyDescent="0.2">
      <c r="A600" t="s">
        <v>127</v>
      </c>
      <c r="B600" t="s">
        <v>128</v>
      </c>
      <c r="C600">
        <v>599</v>
      </c>
      <c r="D600">
        <v>48908</v>
      </c>
      <c r="E600" t="s">
        <v>1347</v>
      </c>
      <c r="F600" t="s">
        <v>68</v>
      </c>
      <c r="G600" t="s">
        <v>10</v>
      </c>
      <c r="H600" t="s">
        <v>5</v>
      </c>
      <c r="I600" t="s">
        <v>95</v>
      </c>
      <c r="J600">
        <v>28</v>
      </c>
      <c r="K600">
        <v>0.03</v>
      </c>
      <c r="L600">
        <v>1</v>
      </c>
      <c r="M600">
        <v>1</v>
      </c>
      <c r="N600">
        <v>1</v>
      </c>
      <c r="O600">
        <v>100</v>
      </c>
      <c r="P600" t="b">
        <f t="shared" si="135"/>
        <v>0</v>
      </c>
      <c r="S600" t="str">
        <f t="shared" si="145"/>
        <v>LATER</v>
      </c>
      <c r="T600" t="str">
        <f t="shared" si="146"/>
        <v>SainteLague</v>
      </c>
      <c r="U600">
        <f t="shared" si="134"/>
        <v>599</v>
      </c>
      <c r="V600">
        <f t="shared" si="147"/>
        <v>48908</v>
      </c>
      <c r="W600" s="8" t="str">
        <f>VLOOKUP(V600,'ideas-input'!$A:$B,2,FALSE)</f>
        <v>[Integración] - Publicar landing page para gestionar Devoluciones por parte de los Destinatarios - (MAS DEPORTE)</v>
      </c>
      <c r="X600" t="str">
        <f t="shared" si="136"/>
        <v>IDC</v>
      </c>
      <c r="Y600" s="8" t="str">
        <f>VLOOKUP(V600,'ideas-input'!$A:$D,4,FALSE)</f>
        <v>eCommerce</v>
      </c>
      <c r="Z600" t="str">
        <f t="shared" si="137"/>
        <v>Commercial</v>
      </c>
      <c r="AA600" t="str">
        <f t="shared" si="138"/>
        <v>In Definition</v>
      </c>
      <c r="AB600">
        <f t="shared" si="139"/>
        <v>28</v>
      </c>
      <c r="AC600">
        <f t="shared" si="140"/>
        <v>0.03</v>
      </c>
      <c r="AD600">
        <f t="shared" si="141"/>
        <v>1</v>
      </c>
      <c r="AE600">
        <f t="shared" si="142"/>
        <v>1</v>
      </c>
      <c r="AF600">
        <f t="shared" si="143"/>
        <v>1</v>
      </c>
      <c r="AG600">
        <f t="shared" si="144"/>
        <v>100</v>
      </c>
    </row>
    <row r="601" spans="1:33" x14ac:dyDescent="0.2">
      <c r="A601" t="s">
        <v>127</v>
      </c>
      <c r="B601" t="s">
        <v>128</v>
      </c>
      <c r="C601">
        <v>600</v>
      </c>
      <c r="D601">
        <v>203092</v>
      </c>
      <c r="E601" t="s">
        <v>1281</v>
      </c>
      <c r="F601" t="s">
        <v>58</v>
      </c>
      <c r="G601" t="s">
        <v>379</v>
      </c>
      <c r="H601" t="s">
        <v>8</v>
      </c>
      <c r="I601" t="s">
        <v>91</v>
      </c>
      <c r="J601">
        <v>17</v>
      </c>
      <c r="K601">
        <v>0.03</v>
      </c>
      <c r="L601">
        <v>1</v>
      </c>
      <c r="M601">
        <v>1</v>
      </c>
      <c r="N601">
        <v>1</v>
      </c>
      <c r="O601">
        <v>100</v>
      </c>
      <c r="P601" t="b">
        <f t="shared" si="135"/>
        <v>0</v>
      </c>
      <c r="S601" t="str">
        <f t="shared" si="145"/>
        <v>LATER</v>
      </c>
      <c r="T601" t="str">
        <f t="shared" si="146"/>
        <v>SainteLague</v>
      </c>
      <c r="U601">
        <f t="shared" si="134"/>
        <v>600</v>
      </c>
      <c r="V601">
        <f t="shared" si="147"/>
        <v>203092</v>
      </c>
      <c r="W601" s="8" t="str">
        <f>VLOOKUP(V601,'ideas-input'!$A:$B,2,FALSE)</f>
        <v>PDFs Gerados de Listagens lojas estão alojados nos servidores do Nave</v>
      </c>
      <c r="X601" t="str">
        <f t="shared" si="136"/>
        <v>SI-PRD</v>
      </c>
      <c r="Y601" s="8" t="str">
        <f>VLOOKUP(V601,'ideas-input'!$A:$D,4,FALSE)</f>
        <v>Mail</v>
      </c>
      <c r="Z601" t="str">
        <f t="shared" si="137"/>
        <v>Technology</v>
      </c>
      <c r="AA601" t="str">
        <f t="shared" si="138"/>
        <v>Backlog</v>
      </c>
      <c r="AB601">
        <f t="shared" si="139"/>
        <v>17</v>
      </c>
      <c r="AC601">
        <f t="shared" si="140"/>
        <v>0.03</v>
      </c>
      <c r="AD601">
        <f t="shared" si="141"/>
        <v>1</v>
      </c>
      <c r="AE601">
        <f t="shared" si="142"/>
        <v>1</v>
      </c>
      <c r="AF601">
        <f t="shared" si="143"/>
        <v>1</v>
      </c>
      <c r="AG601">
        <f t="shared" si="144"/>
        <v>100</v>
      </c>
    </row>
    <row r="602" spans="1:33" x14ac:dyDescent="0.2">
      <c r="A602" t="s">
        <v>127</v>
      </c>
      <c r="B602" t="s">
        <v>128</v>
      </c>
      <c r="C602">
        <v>601</v>
      </c>
      <c r="D602">
        <v>65798</v>
      </c>
      <c r="E602" t="s">
        <v>1174</v>
      </c>
      <c r="F602" t="s">
        <v>71</v>
      </c>
      <c r="G602" t="s">
        <v>10</v>
      </c>
      <c r="H602" t="s">
        <v>12</v>
      </c>
      <c r="I602" t="s">
        <v>91</v>
      </c>
      <c r="J602">
        <v>10</v>
      </c>
      <c r="K602">
        <v>0.03</v>
      </c>
      <c r="L602">
        <v>1</v>
      </c>
      <c r="M602">
        <v>1</v>
      </c>
      <c r="N602">
        <v>1</v>
      </c>
      <c r="O602">
        <v>100</v>
      </c>
      <c r="P602" t="b">
        <f t="shared" si="135"/>
        <v>0</v>
      </c>
      <c r="S602" t="str">
        <f t="shared" si="145"/>
        <v>LATER</v>
      </c>
      <c r="T602" t="str">
        <f t="shared" si="146"/>
        <v>SainteLague</v>
      </c>
      <c r="U602">
        <f t="shared" ref="U602:U665" si="148">C602</f>
        <v>601</v>
      </c>
      <c r="V602">
        <f t="shared" si="147"/>
        <v>65798</v>
      </c>
      <c r="W602" s="8" t="str">
        <f>VLOOKUP(V602,'ideas-input'!$A:$B,2,FALSE)</f>
        <v>Exponer dato de código de recogida propia</v>
      </c>
      <c r="X602" t="str">
        <f t="shared" si="136"/>
        <v>PRO</v>
      </c>
      <c r="Y602" s="8" t="str">
        <f>VLOOKUP(V602,'ideas-input'!$A:$D,4,FALSE)</f>
        <v>eCommerce</v>
      </c>
      <c r="Z602" t="str">
        <f t="shared" si="137"/>
        <v>Corporate</v>
      </c>
      <c r="AA602" t="str">
        <f t="shared" si="138"/>
        <v>Backlog</v>
      </c>
      <c r="AB602">
        <f t="shared" si="139"/>
        <v>10</v>
      </c>
      <c r="AC602">
        <f t="shared" si="140"/>
        <v>0.03</v>
      </c>
      <c r="AD602">
        <f t="shared" si="141"/>
        <v>1</v>
      </c>
      <c r="AE602">
        <f t="shared" si="142"/>
        <v>1</v>
      </c>
      <c r="AF602">
        <f t="shared" si="143"/>
        <v>1</v>
      </c>
      <c r="AG602">
        <f t="shared" si="144"/>
        <v>100</v>
      </c>
    </row>
    <row r="603" spans="1:33" x14ac:dyDescent="0.2">
      <c r="A603" t="s">
        <v>127</v>
      </c>
      <c r="B603" t="s">
        <v>128</v>
      </c>
      <c r="C603">
        <v>602</v>
      </c>
      <c r="D603">
        <v>156771</v>
      </c>
      <c r="E603" t="s">
        <v>1335</v>
      </c>
      <c r="F603" t="s">
        <v>25</v>
      </c>
      <c r="G603" t="s">
        <v>379</v>
      </c>
      <c r="H603" t="s">
        <v>5</v>
      </c>
      <c r="I603" t="s">
        <v>91</v>
      </c>
      <c r="J603">
        <v>12</v>
      </c>
      <c r="K603">
        <v>0.03</v>
      </c>
      <c r="L603">
        <v>1</v>
      </c>
      <c r="M603">
        <v>1</v>
      </c>
      <c r="N603">
        <v>1</v>
      </c>
      <c r="O603">
        <v>100</v>
      </c>
      <c r="P603" t="b">
        <f t="shared" si="135"/>
        <v>0</v>
      </c>
      <c r="S603" t="str">
        <f t="shared" si="145"/>
        <v>LATER</v>
      </c>
      <c r="T603" t="str">
        <f t="shared" si="146"/>
        <v>SainteLague</v>
      </c>
      <c r="U603">
        <f t="shared" si="148"/>
        <v>602</v>
      </c>
      <c r="V603">
        <f t="shared" si="147"/>
        <v>156771</v>
      </c>
      <c r="W603" s="8" t="str">
        <f>VLOOKUP(V603,'ideas-input'!$A:$B,2,FALSE)</f>
        <v>GPB2C | Subsidio Social de Mobilidade - Recomendações de Auditoria (Nº 21001/23)</v>
      </c>
      <c r="X603" t="str">
        <f t="shared" si="136"/>
        <v>GP B2C</v>
      </c>
      <c r="Y603" s="8" t="str">
        <f>VLOOKUP(V603,'ideas-input'!$A:$D,4,FALSE)</f>
        <v>Retail &amp; Financial Services</v>
      </c>
      <c r="Z603" t="str">
        <f t="shared" si="137"/>
        <v>Commercial</v>
      </c>
      <c r="AA603" t="str">
        <f t="shared" si="138"/>
        <v>Backlog</v>
      </c>
      <c r="AB603">
        <f t="shared" si="139"/>
        <v>12</v>
      </c>
      <c r="AC603">
        <f t="shared" si="140"/>
        <v>0.03</v>
      </c>
      <c r="AD603">
        <f t="shared" si="141"/>
        <v>1</v>
      </c>
      <c r="AE603">
        <f t="shared" si="142"/>
        <v>1</v>
      </c>
      <c r="AF603">
        <f t="shared" si="143"/>
        <v>1</v>
      </c>
      <c r="AG603">
        <f t="shared" si="144"/>
        <v>100</v>
      </c>
    </row>
    <row r="604" spans="1:33" x14ac:dyDescent="0.2">
      <c r="A604" t="s">
        <v>127</v>
      </c>
      <c r="B604" t="s">
        <v>128</v>
      </c>
      <c r="C604">
        <v>603</v>
      </c>
      <c r="D604">
        <v>53215</v>
      </c>
      <c r="E604" t="s">
        <v>1280</v>
      </c>
      <c r="F604" t="s">
        <v>65</v>
      </c>
      <c r="G604" t="s">
        <v>10</v>
      </c>
      <c r="H604" t="s">
        <v>5</v>
      </c>
      <c r="I604" t="s">
        <v>91</v>
      </c>
      <c r="J604">
        <v>38</v>
      </c>
      <c r="K604">
        <v>0.03</v>
      </c>
      <c r="L604">
        <v>1</v>
      </c>
      <c r="M604">
        <v>1</v>
      </c>
      <c r="N604">
        <v>1</v>
      </c>
      <c r="O604">
        <v>100</v>
      </c>
      <c r="P604" t="b">
        <f t="shared" si="135"/>
        <v>0</v>
      </c>
      <c r="S604" t="str">
        <f t="shared" si="145"/>
        <v>LATER</v>
      </c>
      <c r="T604" t="str">
        <f t="shared" si="146"/>
        <v>SainteLague</v>
      </c>
      <c r="U604">
        <f t="shared" si="148"/>
        <v>603</v>
      </c>
      <c r="V604">
        <f t="shared" si="147"/>
        <v>53215</v>
      </c>
      <c r="W604" s="8" t="str">
        <f>VLOOKUP(V604,'ideas-input'!$A:$B,2,FALSE)</f>
        <v>[PUDOS] -Planilla de selección de puntos según criterio del cliente</v>
      </c>
      <c r="X604" t="str">
        <f t="shared" si="136"/>
        <v>CMO</v>
      </c>
      <c r="Y604" s="8" t="str">
        <f>VLOOKUP(V604,'ideas-input'!$A:$D,4,FALSE)</f>
        <v>eCommerce</v>
      </c>
      <c r="Z604" t="str">
        <f t="shared" si="137"/>
        <v>Commercial</v>
      </c>
      <c r="AA604" t="str">
        <f t="shared" si="138"/>
        <v>Backlog</v>
      </c>
      <c r="AB604">
        <f t="shared" si="139"/>
        <v>38</v>
      </c>
      <c r="AC604">
        <f t="shared" si="140"/>
        <v>0.03</v>
      </c>
      <c r="AD604">
        <f t="shared" si="141"/>
        <v>1</v>
      </c>
      <c r="AE604">
        <f t="shared" si="142"/>
        <v>1</v>
      </c>
      <c r="AF604">
        <f t="shared" si="143"/>
        <v>1</v>
      </c>
      <c r="AG604">
        <f t="shared" si="144"/>
        <v>100</v>
      </c>
    </row>
    <row r="605" spans="1:33" x14ac:dyDescent="0.2">
      <c r="A605" t="s">
        <v>127</v>
      </c>
      <c r="B605" t="s">
        <v>128</v>
      </c>
      <c r="C605">
        <v>604</v>
      </c>
      <c r="D605">
        <v>132062</v>
      </c>
      <c r="E605" t="s">
        <v>293</v>
      </c>
      <c r="F605" t="s">
        <v>9</v>
      </c>
      <c r="G605" t="s">
        <v>379</v>
      </c>
      <c r="H605" t="s">
        <v>8</v>
      </c>
      <c r="I605" t="s">
        <v>93</v>
      </c>
      <c r="J605">
        <v>45</v>
      </c>
      <c r="K605">
        <v>7</v>
      </c>
      <c r="L605">
        <v>3</v>
      </c>
      <c r="M605">
        <v>2</v>
      </c>
      <c r="N605">
        <v>2</v>
      </c>
      <c r="O605">
        <v>1</v>
      </c>
      <c r="P605" t="b">
        <f t="shared" si="135"/>
        <v>0</v>
      </c>
      <c r="S605" t="str">
        <f t="shared" si="145"/>
        <v>LATER</v>
      </c>
      <c r="T605" t="str">
        <f t="shared" si="146"/>
        <v>SainteLague</v>
      </c>
      <c r="U605">
        <f t="shared" si="148"/>
        <v>604</v>
      </c>
      <c r="V605">
        <f t="shared" si="147"/>
        <v>132062</v>
      </c>
      <c r="W605" s="8" t="str">
        <f>VLOOKUP(V605,'ideas-input'!$A:$B,2,FALSE)</f>
        <v>BPM - Upgrade WebSphere</v>
      </c>
      <c r="X605" t="str">
        <f t="shared" si="136"/>
        <v>SI</v>
      </c>
      <c r="Y605" s="8" t="str">
        <f>VLOOKUP(V605,'ideas-input'!$A:$D,4,FALSE)</f>
        <v>Mail</v>
      </c>
      <c r="Z605" t="str">
        <f t="shared" si="137"/>
        <v>Technology</v>
      </c>
      <c r="AA605" t="str">
        <f t="shared" si="138"/>
        <v>Pitch</v>
      </c>
      <c r="AB605">
        <f t="shared" si="139"/>
        <v>45</v>
      </c>
      <c r="AC605">
        <f t="shared" si="140"/>
        <v>7</v>
      </c>
      <c r="AD605">
        <f t="shared" si="141"/>
        <v>3</v>
      </c>
      <c r="AE605">
        <f t="shared" si="142"/>
        <v>2</v>
      </c>
      <c r="AF605">
        <f t="shared" si="143"/>
        <v>2</v>
      </c>
      <c r="AG605">
        <f t="shared" si="144"/>
        <v>1</v>
      </c>
    </row>
    <row r="606" spans="1:33" x14ac:dyDescent="0.2">
      <c r="A606" t="s">
        <v>127</v>
      </c>
      <c r="B606" t="s">
        <v>128</v>
      </c>
      <c r="C606">
        <v>605</v>
      </c>
      <c r="D606">
        <v>43547</v>
      </c>
      <c r="E606" t="s">
        <v>1688</v>
      </c>
      <c r="F606" t="s">
        <v>69</v>
      </c>
      <c r="G606" t="s">
        <v>10</v>
      </c>
      <c r="H606" t="s">
        <v>12</v>
      </c>
      <c r="I606" t="s">
        <v>91</v>
      </c>
      <c r="J606">
        <v>39</v>
      </c>
      <c r="K606">
        <v>0.03</v>
      </c>
      <c r="L606">
        <v>1</v>
      </c>
      <c r="M606">
        <v>1</v>
      </c>
      <c r="N606">
        <v>1</v>
      </c>
      <c r="O606">
        <v>100</v>
      </c>
      <c r="P606" t="b">
        <f t="shared" si="135"/>
        <v>0</v>
      </c>
      <c r="S606" t="str">
        <f t="shared" si="145"/>
        <v>LATER</v>
      </c>
      <c r="T606" t="str">
        <f t="shared" si="146"/>
        <v>SainteLague</v>
      </c>
      <c r="U606">
        <f t="shared" si="148"/>
        <v>605</v>
      </c>
      <c r="V606">
        <f t="shared" si="147"/>
        <v>43547</v>
      </c>
      <c r="W606" s="8" t="str">
        <f>VLOOKUP(V606,'ideas-input'!$A:$B,2,FALSE)</f>
        <v>[Evolutivos SGC]  Recuperar Doble click en grid inferior valoracion de servicios, no abre las tablas como antes para editar y cambios, (pérdida esta funcionalidad importante)</v>
      </c>
      <c r="X606" t="str">
        <f t="shared" si="136"/>
        <v>CFO</v>
      </c>
      <c r="Y606" s="8" t="str">
        <f>VLOOKUP(V606,'ideas-input'!$A:$D,4,FALSE)</f>
        <v>eCommerce</v>
      </c>
      <c r="Z606" t="str">
        <f t="shared" si="137"/>
        <v>Corporate</v>
      </c>
      <c r="AA606" t="str">
        <f t="shared" si="138"/>
        <v>Backlog</v>
      </c>
      <c r="AB606">
        <f t="shared" si="139"/>
        <v>39</v>
      </c>
      <c r="AC606">
        <f t="shared" si="140"/>
        <v>0.03</v>
      </c>
      <c r="AD606">
        <f t="shared" si="141"/>
        <v>1</v>
      </c>
      <c r="AE606">
        <f t="shared" si="142"/>
        <v>1</v>
      </c>
      <c r="AF606">
        <f t="shared" si="143"/>
        <v>1</v>
      </c>
      <c r="AG606">
        <f t="shared" si="144"/>
        <v>100</v>
      </c>
    </row>
    <row r="607" spans="1:33" x14ac:dyDescent="0.2">
      <c r="A607" t="s">
        <v>127</v>
      </c>
      <c r="B607" t="s">
        <v>128</v>
      </c>
      <c r="C607">
        <v>606</v>
      </c>
      <c r="D607">
        <v>203853</v>
      </c>
      <c r="E607" t="s">
        <v>1336</v>
      </c>
      <c r="F607" t="s">
        <v>24</v>
      </c>
      <c r="G607" t="s">
        <v>379</v>
      </c>
      <c r="H607" t="s">
        <v>5</v>
      </c>
      <c r="I607" t="s">
        <v>91</v>
      </c>
      <c r="J607">
        <v>12</v>
      </c>
      <c r="K607">
        <v>0.03</v>
      </c>
      <c r="L607">
        <v>1</v>
      </c>
      <c r="M607">
        <v>1</v>
      </c>
      <c r="N607">
        <v>1</v>
      </c>
      <c r="O607">
        <v>100</v>
      </c>
      <c r="P607" t="b">
        <f t="shared" si="135"/>
        <v>0</v>
      </c>
      <c r="S607" t="str">
        <f t="shared" si="145"/>
        <v>LATER</v>
      </c>
      <c r="T607" t="str">
        <f t="shared" si="146"/>
        <v>SainteLague</v>
      </c>
      <c r="U607">
        <f t="shared" si="148"/>
        <v>606</v>
      </c>
      <c r="V607">
        <f t="shared" si="147"/>
        <v>203853</v>
      </c>
      <c r="W607" s="8" t="str">
        <f>VLOOKUP(V607,'ideas-input'!$A:$B,2,FALSE)</f>
        <v>Sites CTT e Payshop | Inclusão dos Agentes Payshop na pesquisa de Pontos de Contacto CTT</v>
      </c>
      <c r="X607" t="str">
        <f t="shared" si="136"/>
        <v>GPG</v>
      </c>
      <c r="Y607" s="8" t="str">
        <f>VLOOKUP(V607,'ideas-input'!$A:$D,4,FALSE)</f>
        <v>Payments</v>
      </c>
      <c r="Z607" t="str">
        <f t="shared" si="137"/>
        <v>Commercial</v>
      </c>
      <c r="AA607" t="str">
        <f t="shared" si="138"/>
        <v>Backlog</v>
      </c>
      <c r="AB607">
        <f t="shared" si="139"/>
        <v>12</v>
      </c>
      <c r="AC607">
        <f t="shared" si="140"/>
        <v>0.03</v>
      </c>
      <c r="AD607">
        <f t="shared" si="141"/>
        <v>1</v>
      </c>
      <c r="AE607">
        <f t="shared" si="142"/>
        <v>1</v>
      </c>
      <c r="AF607">
        <f t="shared" si="143"/>
        <v>1</v>
      </c>
      <c r="AG607">
        <f t="shared" si="144"/>
        <v>100</v>
      </c>
    </row>
    <row r="608" spans="1:33" x14ac:dyDescent="0.2">
      <c r="A608" t="s">
        <v>127</v>
      </c>
      <c r="B608" t="s">
        <v>128</v>
      </c>
      <c r="C608">
        <v>607</v>
      </c>
      <c r="D608">
        <v>46220</v>
      </c>
      <c r="E608" t="s">
        <v>1375</v>
      </c>
      <c r="F608" t="s">
        <v>66</v>
      </c>
      <c r="G608" t="s">
        <v>10</v>
      </c>
      <c r="H608" t="s">
        <v>5</v>
      </c>
      <c r="I608" t="s">
        <v>91</v>
      </c>
      <c r="J608">
        <v>32</v>
      </c>
      <c r="K608">
        <v>0.03</v>
      </c>
      <c r="L608">
        <v>1</v>
      </c>
      <c r="M608">
        <v>1</v>
      </c>
      <c r="N608">
        <v>1</v>
      </c>
      <c r="O608">
        <v>100</v>
      </c>
      <c r="P608" t="b">
        <f t="shared" si="135"/>
        <v>0</v>
      </c>
      <c r="S608" t="str">
        <f t="shared" si="145"/>
        <v>LATER</v>
      </c>
      <c r="T608" t="str">
        <f t="shared" si="146"/>
        <v>SainteLague</v>
      </c>
      <c r="U608">
        <f t="shared" si="148"/>
        <v>607</v>
      </c>
      <c r="V608">
        <f t="shared" si="147"/>
        <v>46220</v>
      </c>
      <c r="W608" s="8" t="str">
        <f>VLOOKUP(V608,'ideas-input'!$A:$B,2,FALSE)</f>
        <v>[Salesforce Sales] - Disponer de un botón que permita sincronizar toda una cuenta (cliente, contactos y direcciones)</v>
      </c>
      <c r="X608" t="str">
        <f t="shared" si="136"/>
        <v>CCO</v>
      </c>
      <c r="Y608" s="8" t="str">
        <f>VLOOKUP(V608,'ideas-input'!$A:$D,4,FALSE)</f>
        <v>eCommerce</v>
      </c>
      <c r="Z608" t="str">
        <f t="shared" si="137"/>
        <v>Commercial</v>
      </c>
      <c r="AA608" t="str">
        <f t="shared" si="138"/>
        <v>Backlog</v>
      </c>
      <c r="AB608">
        <f t="shared" si="139"/>
        <v>32</v>
      </c>
      <c r="AC608">
        <f t="shared" si="140"/>
        <v>0.03</v>
      </c>
      <c r="AD608">
        <f t="shared" si="141"/>
        <v>1</v>
      </c>
      <c r="AE608">
        <f t="shared" si="142"/>
        <v>1</v>
      </c>
      <c r="AF608">
        <f t="shared" si="143"/>
        <v>1</v>
      </c>
      <c r="AG608">
        <f t="shared" si="144"/>
        <v>100</v>
      </c>
    </row>
    <row r="609" spans="1:33" x14ac:dyDescent="0.2">
      <c r="A609" t="s">
        <v>127</v>
      </c>
      <c r="B609" t="s">
        <v>128</v>
      </c>
      <c r="C609">
        <v>608</v>
      </c>
      <c r="D609">
        <v>127619</v>
      </c>
      <c r="E609" t="s">
        <v>295</v>
      </c>
      <c r="F609" t="s">
        <v>9</v>
      </c>
      <c r="G609" t="s">
        <v>379</v>
      </c>
      <c r="H609" t="s">
        <v>8</v>
      </c>
      <c r="I609" t="s">
        <v>95</v>
      </c>
      <c r="J609">
        <v>46</v>
      </c>
      <c r="K609">
        <v>0.03</v>
      </c>
      <c r="L609">
        <v>1</v>
      </c>
      <c r="M609">
        <v>1</v>
      </c>
      <c r="N609">
        <v>1</v>
      </c>
      <c r="O609">
        <v>100</v>
      </c>
      <c r="P609" t="b">
        <f t="shared" si="135"/>
        <v>0</v>
      </c>
      <c r="S609" t="str">
        <f t="shared" si="145"/>
        <v>LATER</v>
      </c>
      <c r="T609" t="str">
        <f t="shared" si="146"/>
        <v>SainteLague</v>
      </c>
      <c r="U609">
        <f t="shared" si="148"/>
        <v>608</v>
      </c>
      <c r="V609">
        <f t="shared" si="147"/>
        <v>127619</v>
      </c>
      <c r="W609" s="8" t="str">
        <f>VLOOKUP(V609,'ideas-input'!$A:$B,2,FALSE)</f>
        <v>Configuration Profiles Endpoint</v>
      </c>
      <c r="X609" t="str">
        <f t="shared" si="136"/>
        <v>SI</v>
      </c>
      <c r="Y609" s="8" t="str">
        <f>VLOOKUP(V609,'ideas-input'!$A:$D,4,FALSE)</f>
        <v>Mail</v>
      </c>
      <c r="Z609" t="str">
        <f t="shared" si="137"/>
        <v>Technology</v>
      </c>
      <c r="AA609" t="str">
        <f t="shared" si="138"/>
        <v>In Definition</v>
      </c>
      <c r="AB609">
        <f t="shared" si="139"/>
        <v>46</v>
      </c>
      <c r="AC609">
        <f t="shared" si="140"/>
        <v>0.03</v>
      </c>
      <c r="AD609">
        <f t="shared" si="141"/>
        <v>1</v>
      </c>
      <c r="AE609">
        <f t="shared" si="142"/>
        <v>1</v>
      </c>
      <c r="AF609">
        <f t="shared" si="143"/>
        <v>1</v>
      </c>
      <c r="AG609">
        <f t="shared" si="144"/>
        <v>100</v>
      </c>
    </row>
    <row r="610" spans="1:33" x14ac:dyDescent="0.2">
      <c r="A610" t="s">
        <v>127</v>
      </c>
      <c r="B610" t="s">
        <v>128</v>
      </c>
      <c r="C610">
        <v>609</v>
      </c>
      <c r="D610">
        <v>43542</v>
      </c>
      <c r="E610" t="s">
        <v>1296</v>
      </c>
      <c r="F610" t="s">
        <v>69</v>
      </c>
      <c r="G610" t="s">
        <v>10</v>
      </c>
      <c r="H610" t="s">
        <v>12</v>
      </c>
      <c r="I610" t="s">
        <v>91</v>
      </c>
      <c r="J610">
        <v>40</v>
      </c>
      <c r="K610">
        <v>0.03</v>
      </c>
      <c r="L610">
        <v>1</v>
      </c>
      <c r="M610">
        <v>1</v>
      </c>
      <c r="N610">
        <v>1</v>
      </c>
      <c r="O610">
        <v>100</v>
      </c>
      <c r="P610" t="b">
        <f t="shared" si="135"/>
        <v>0</v>
      </c>
      <c r="S610" t="str">
        <f t="shared" si="145"/>
        <v>LATER</v>
      </c>
      <c r="T610" t="str">
        <f t="shared" si="146"/>
        <v>SainteLague</v>
      </c>
      <c r="U610">
        <f t="shared" si="148"/>
        <v>609</v>
      </c>
      <c r="V610">
        <f t="shared" si="147"/>
        <v>43542</v>
      </c>
      <c r="W610" s="8" t="str">
        <f>VLOOKUP(V610,'ideas-input'!$A:$B,2,FALSE)</f>
        <v>[Evolutivos SGC] Recuperar Acceso a modificacion de tarifas y configuracion del "Microservicio" (pérdida de funcionalidad importante)</v>
      </c>
      <c r="X610" t="str">
        <f t="shared" si="136"/>
        <v>CFO</v>
      </c>
      <c r="Y610" s="8" t="str">
        <f>VLOOKUP(V610,'ideas-input'!$A:$D,4,FALSE)</f>
        <v>eCommerce</v>
      </c>
      <c r="Z610" t="str">
        <f t="shared" si="137"/>
        <v>Corporate</v>
      </c>
      <c r="AA610" t="str">
        <f t="shared" si="138"/>
        <v>Backlog</v>
      </c>
      <c r="AB610">
        <f t="shared" si="139"/>
        <v>40</v>
      </c>
      <c r="AC610">
        <f t="shared" si="140"/>
        <v>0.03</v>
      </c>
      <c r="AD610">
        <f t="shared" si="141"/>
        <v>1</v>
      </c>
      <c r="AE610">
        <f t="shared" si="142"/>
        <v>1</v>
      </c>
      <c r="AF610">
        <f t="shared" si="143"/>
        <v>1</v>
      </c>
      <c r="AG610">
        <f t="shared" si="144"/>
        <v>100</v>
      </c>
    </row>
    <row r="611" spans="1:33" x14ac:dyDescent="0.2">
      <c r="A611" t="s">
        <v>127</v>
      </c>
      <c r="B611" t="s">
        <v>128</v>
      </c>
      <c r="C611">
        <v>610</v>
      </c>
      <c r="D611">
        <v>132425</v>
      </c>
      <c r="E611" t="s">
        <v>1613</v>
      </c>
      <c r="F611" t="s">
        <v>21</v>
      </c>
      <c r="G611" t="s">
        <v>379</v>
      </c>
      <c r="H611" t="s">
        <v>5</v>
      </c>
      <c r="I611" t="s">
        <v>95</v>
      </c>
      <c r="J611">
        <v>21</v>
      </c>
      <c r="K611">
        <v>4.5</v>
      </c>
      <c r="L611">
        <v>3</v>
      </c>
      <c r="M611">
        <v>3</v>
      </c>
      <c r="N611">
        <v>3</v>
      </c>
      <c r="O611">
        <v>2</v>
      </c>
      <c r="P611" t="b">
        <f t="shared" si="135"/>
        <v>0</v>
      </c>
      <c r="S611" t="str">
        <f t="shared" si="145"/>
        <v>LATER</v>
      </c>
      <c r="T611" t="str">
        <f t="shared" si="146"/>
        <v>SainteLague</v>
      </c>
      <c r="U611">
        <f t="shared" si="148"/>
        <v>610</v>
      </c>
      <c r="V611">
        <f t="shared" si="147"/>
        <v>132425</v>
      </c>
      <c r="W611" s="8" t="str">
        <f>VLOOKUP(V611,'ideas-input'!$A:$B,2,FALSE)</f>
        <v>Disponibilizar o produto Correio Registado internacional no aplicativo  "Criar envio de Correio ou Expresso"</v>
      </c>
      <c r="X611" t="str">
        <f t="shared" si="136"/>
        <v>GP B2B</v>
      </c>
      <c r="Y611" s="8" t="str">
        <f>VLOOKUP(V611,'ideas-input'!$A:$D,4,FALSE)</f>
        <v>Mail</v>
      </c>
      <c r="Z611" t="str">
        <f t="shared" si="137"/>
        <v>Commercial</v>
      </c>
      <c r="AA611" t="str">
        <f t="shared" si="138"/>
        <v>In Definition</v>
      </c>
      <c r="AB611">
        <f t="shared" si="139"/>
        <v>21</v>
      </c>
      <c r="AC611">
        <f t="shared" si="140"/>
        <v>4.5</v>
      </c>
      <c r="AD611">
        <f t="shared" si="141"/>
        <v>3</v>
      </c>
      <c r="AE611">
        <f t="shared" si="142"/>
        <v>3</v>
      </c>
      <c r="AF611">
        <f t="shared" si="143"/>
        <v>3</v>
      </c>
      <c r="AG611">
        <f t="shared" si="144"/>
        <v>2</v>
      </c>
    </row>
    <row r="612" spans="1:33" x14ac:dyDescent="0.2">
      <c r="A612" t="s">
        <v>127</v>
      </c>
      <c r="B612" t="s">
        <v>128</v>
      </c>
      <c r="C612">
        <v>611</v>
      </c>
      <c r="D612">
        <v>44547</v>
      </c>
      <c r="E612" t="s">
        <v>1358</v>
      </c>
      <c r="F612" t="s">
        <v>68</v>
      </c>
      <c r="G612" t="s">
        <v>10</v>
      </c>
      <c r="H612" t="s">
        <v>5</v>
      </c>
      <c r="I612" t="s">
        <v>95</v>
      </c>
      <c r="J612">
        <v>29</v>
      </c>
      <c r="K612">
        <v>0.03</v>
      </c>
      <c r="L612">
        <v>1</v>
      </c>
      <c r="M612">
        <v>1</v>
      </c>
      <c r="N612">
        <v>1</v>
      </c>
      <c r="O612">
        <v>100</v>
      </c>
      <c r="P612" t="b">
        <f t="shared" si="135"/>
        <v>0</v>
      </c>
      <c r="S612" t="str">
        <f t="shared" si="145"/>
        <v>LATER</v>
      </c>
      <c r="T612" t="str">
        <f t="shared" si="146"/>
        <v>SainteLague</v>
      </c>
      <c r="U612">
        <f t="shared" si="148"/>
        <v>611</v>
      </c>
      <c r="V612">
        <f t="shared" si="147"/>
        <v>44547</v>
      </c>
      <c r="W612" s="8" t="str">
        <f>VLOOKUP(V612,'ideas-input'!$A:$B,2,FALSE)</f>
        <v>Seguimiento de envíos por Api Devolución retornado reexpedido y recogidas</v>
      </c>
      <c r="X612" t="str">
        <f t="shared" si="136"/>
        <v>IDC</v>
      </c>
      <c r="Y612" s="8" t="str">
        <f>VLOOKUP(V612,'ideas-input'!$A:$D,4,FALSE)</f>
        <v>eCommerce</v>
      </c>
      <c r="Z612" t="str">
        <f t="shared" si="137"/>
        <v>Commercial</v>
      </c>
      <c r="AA612" t="str">
        <f t="shared" si="138"/>
        <v>In Definition</v>
      </c>
      <c r="AB612">
        <f t="shared" si="139"/>
        <v>29</v>
      </c>
      <c r="AC612">
        <f t="shared" si="140"/>
        <v>0.03</v>
      </c>
      <c r="AD612">
        <f t="shared" si="141"/>
        <v>1</v>
      </c>
      <c r="AE612">
        <f t="shared" si="142"/>
        <v>1</v>
      </c>
      <c r="AF612">
        <f t="shared" si="143"/>
        <v>1</v>
      </c>
      <c r="AG612">
        <f t="shared" si="144"/>
        <v>100</v>
      </c>
    </row>
    <row r="613" spans="1:33" x14ac:dyDescent="0.2">
      <c r="A613" t="s">
        <v>127</v>
      </c>
      <c r="B613" t="s">
        <v>128</v>
      </c>
      <c r="C613">
        <v>612</v>
      </c>
      <c r="D613">
        <v>124000</v>
      </c>
      <c r="E613" t="s">
        <v>1340</v>
      </c>
      <c r="F613" t="s">
        <v>23</v>
      </c>
      <c r="G613" t="s">
        <v>379</v>
      </c>
      <c r="H613" t="s">
        <v>5</v>
      </c>
      <c r="I613" t="s">
        <v>91</v>
      </c>
      <c r="J613">
        <v>21</v>
      </c>
      <c r="K613">
        <v>0.03</v>
      </c>
      <c r="L613">
        <v>1</v>
      </c>
      <c r="M613">
        <v>1</v>
      </c>
      <c r="N613">
        <v>1</v>
      </c>
      <c r="O613">
        <v>100</v>
      </c>
      <c r="P613" t="b">
        <f t="shared" si="135"/>
        <v>0</v>
      </c>
      <c r="S613" t="str">
        <f t="shared" si="145"/>
        <v>LATER</v>
      </c>
      <c r="T613" t="str">
        <f t="shared" si="146"/>
        <v>SainteLague</v>
      </c>
      <c r="U613">
        <f t="shared" si="148"/>
        <v>612</v>
      </c>
      <c r="V613">
        <f t="shared" si="147"/>
        <v>124000</v>
      </c>
      <c r="W613" s="8" t="str">
        <f>VLOOKUP(V613,'ideas-input'!$A:$B,2,FALSE)</f>
        <v>Milytech| Alteração à extração de dados de envios</v>
      </c>
      <c r="X613" t="str">
        <f t="shared" si="136"/>
        <v>GP ECL</v>
      </c>
      <c r="Y613" s="8" t="str">
        <f>VLOOKUP(V613,'ideas-input'!$A:$D,4,FALSE)</f>
        <v>eCommerce</v>
      </c>
      <c r="Z613" t="str">
        <f t="shared" si="137"/>
        <v>Commercial</v>
      </c>
      <c r="AA613" t="str">
        <f t="shared" si="138"/>
        <v>Backlog</v>
      </c>
      <c r="AB613">
        <f t="shared" si="139"/>
        <v>21</v>
      </c>
      <c r="AC613">
        <f t="shared" si="140"/>
        <v>0.03</v>
      </c>
      <c r="AD613">
        <f t="shared" si="141"/>
        <v>1</v>
      </c>
      <c r="AE613">
        <f t="shared" si="142"/>
        <v>1</v>
      </c>
      <c r="AF613">
        <f t="shared" si="143"/>
        <v>1</v>
      </c>
      <c r="AG613">
        <f t="shared" si="144"/>
        <v>100</v>
      </c>
    </row>
    <row r="614" spans="1:33" x14ac:dyDescent="0.2">
      <c r="A614" t="s">
        <v>127</v>
      </c>
      <c r="B614" t="s">
        <v>128</v>
      </c>
      <c r="C614">
        <v>613</v>
      </c>
      <c r="D614">
        <v>48431</v>
      </c>
      <c r="E614" t="s">
        <v>1298</v>
      </c>
      <c r="F614" t="s">
        <v>69</v>
      </c>
      <c r="G614" t="s">
        <v>10</v>
      </c>
      <c r="H614" t="s">
        <v>12</v>
      </c>
      <c r="I614" t="s">
        <v>91</v>
      </c>
      <c r="J614">
        <v>41</v>
      </c>
      <c r="K614">
        <v>0.03</v>
      </c>
      <c r="L614">
        <v>1</v>
      </c>
      <c r="M614">
        <v>1</v>
      </c>
      <c r="N614">
        <v>1</v>
      </c>
      <c r="O614">
        <v>100</v>
      </c>
      <c r="P614" t="b">
        <f t="shared" si="135"/>
        <v>0</v>
      </c>
      <c r="S614" t="str">
        <f t="shared" si="145"/>
        <v>LATER</v>
      </c>
      <c r="T614" t="str">
        <f t="shared" si="146"/>
        <v>SainteLague</v>
      </c>
      <c r="U614">
        <f t="shared" si="148"/>
        <v>613</v>
      </c>
      <c r="V614">
        <f t="shared" si="147"/>
        <v>48431</v>
      </c>
      <c r="W614" s="8" t="str">
        <f>VLOOKUP(V614,'ideas-input'!$A:$B,2,FALSE)</f>
        <v>Web Clientes​ - Automatizacion para Generacion y envio automatico de informes, Portal cliente</v>
      </c>
      <c r="X614" t="str">
        <f t="shared" si="136"/>
        <v>CFO</v>
      </c>
      <c r="Y614" s="8" t="str">
        <f>VLOOKUP(V614,'ideas-input'!$A:$D,4,FALSE)</f>
        <v>eCommerce</v>
      </c>
      <c r="Z614" t="str">
        <f t="shared" si="137"/>
        <v>Corporate</v>
      </c>
      <c r="AA614" t="str">
        <f t="shared" si="138"/>
        <v>Backlog</v>
      </c>
      <c r="AB614">
        <f t="shared" si="139"/>
        <v>41</v>
      </c>
      <c r="AC614">
        <f t="shared" si="140"/>
        <v>0.03</v>
      </c>
      <c r="AD614">
        <f t="shared" si="141"/>
        <v>1</v>
      </c>
      <c r="AE614">
        <f t="shared" si="142"/>
        <v>1</v>
      </c>
      <c r="AF614">
        <f t="shared" si="143"/>
        <v>1</v>
      </c>
      <c r="AG614">
        <f t="shared" si="144"/>
        <v>100</v>
      </c>
    </row>
    <row r="615" spans="1:33" x14ac:dyDescent="0.2">
      <c r="A615" t="s">
        <v>127</v>
      </c>
      <c r="B615" t="s">
        <v>128</v>
      </c>
      <c r="C615">
        <v>614</v>
      </c>
      <c r="D615">
        <v>140454</v>
      </c>
      <c r="E615" t="s">
        <v>1288</v>
      </c>
      <c r="F615" t="s">
        <v>9</v>
      </c>
      <c r="G615" t="s">
        <v>379</v>
      </c>
      <c r="H615" t="s">
        <v>8</v>
      </c>
      <c r="I615" t="s">
        <v>91</v>
      </c>
      <c r="J615">
        <v>47</v>
      </c>
      <c r="K615">
        <v>0.03</v>
      </c>
      <c r="L615">
        <v>1</v>
      </c>
      <c r="M615">
        <v>1</v>
      </c>
      <c r="N615">
        <v>1</v>
      </c>
      <c r="O615">
        <v>100</v>
      </c>
      <c r="P615" t="b">
        <f t="shared" si="135"/>
        <v>0</v>
      </c>
      <c r="S615" t="str">
        <f t="shared" si="145"/>
        <v>LATER</v>
      </c>
      <c r="T615" t="str">
        <f t="shared" si="146"/>
        <v>SainteLague</v>
      </c>
      <c r="U615">
        <f t="shared" si="148"/>
        <v>614</v>
      </c>
      <c r="V615">
        <f t="shared" si="147"/>
        <v>140454</v>
      </c>
      <c r="W615" s="8" t="str">
        <f>VLOOKUP(V615,'ideas-input'!$A:$B,2,FALSE)</f>
        <v>Kafka | Self Service</v>
      </c>
      <c r="X615" t="str">
        <f t="shared" si="136"/>
        <v>SI</v>
      </c>
      <c r="Y615" s="8" t="str">
        <f>VLOOKUP(V615,'ideas-input'!$A:$D,4,FALSE)</f>
        <v>eCommerce</v>
      </c>
      <c r="Z615" t="str">
        <f t="shared" si="137"/>
        <v>Technology</v>
      </c>
      <c r="AA615" t="str">
        <f t="shared" si="138"/>
        <v>Backlog</v>
      </c>
      <c r="AB615">
        <f t="shared" si="139"/>
        <v>47</v>
      </c>
      <c r="AC615">
        <f t="shared" si="140"/>
        <v>0.03</v>
      </c>
      <c r="AD615">
        <f t="shared" si="141"/>
        <v>1</v>
      </c>
      <c r="AE615">
        <f t="shared" si="142"/>
        <v>1</v>
      </c>
      <c r="AF615">
        <f t="shared" si="143"/>
        <v>1</v>
      </c>
      <c r="AG615">
        <f t="shared" si="144"/>
        <v>100</v>
      </c>
    </row>
    <row r="616" spans="1:33" x14ac:dyDescent="0.2">
      <c r="A616" t="s">
        <v>127</v>
      </c>
      <c r="B616" t="s">
        <v>128</v>
      </c>
      <c r="C616">
        <v>615</v>
      </c>
      <c r="D616">
        <v>46913</v>
      </c>
      <c r="E616" t="s">
        <v>1283</v>
      </c>
      <c r="F616" t="s">
        <v>65</v>
      </c>
      <c r="G616" t="s">
        <v>10</v>
      </c>
      <c r="H616" t="s">
        <v>5</v>
      </c>
      <c r="I616" t="s">
        <v>95</v>
      </c>
      <c r="J616">
        <v>39</v>
      </c>
      <c r="K616">
        <v>0.03</v>
      </c>
      <c r="L616">
        <v>1</v>
      </c>
      <c r="M616">
        <v>1</v>
      </c>
      <c r="N616">
        <v>1</v>
      </c>
      <c r="O616">
        <v>100</v>
      </c>
      <c r="P616" t="b">
        <f t="shared" si="135"/>
        <v>0</v>
      </c>
      <c r="S616" t="str">
        <f t="shared" si="145"/>
        <v>LATER</v>
      </c>
      <c r="T616" t="str">
        <f t="shared" si="146"/>
        <v>SainteLague</v>
      </c>
      <c r="U616">
        <f t="shared" si="148"/>
        <v>615</v>
      </c>
      <c r="V616">
        <f t="shared" si="147"/>
        <v>46913</v>
      </c>
      <c r="W616" s="8" t="str">
        <f>VLOOKUP(V616,'ideas-input'!$A:$B,2,FALSE)</f>
        <v>[Qlik] - Tasa de Retención &amp; Churn Rate (Qlik: Automatizar el modelo)</v>
      </c>
      <c r="X616" t="str">
        <f t="shared" si="136"/>
        <v>CMO</v>
      </c>
      <c r="Y616" s="8" t="str">
        <f>VLOOKUP(V616,'ideas-input'!$A:$D,4,FALSE)</f>
        <v>eCommerce</v>
      </c>
      <c r="Z616" t="str">
        <f t="shared" si="137"/>
        <v>Commercial</v>
      </c>
      <c r="AA616" t="str">
        <f t="shared" si="138"/>
        <v>In Definition</v>
      </c>
      <c r="AB616">
        <f t="shared" si="139"/>
        <v>39</v>
      </c>
      <c r="AC616">
        <f t="shared" si="140"/>
        <v>0.03</v>
      </c>
      <c r="AD616">
        <f t="shared" si="141"/>
        <v>1</v>
      </c>
      <c r="AE616">
        <f t="shared" si="142"/>
        <v>1</v>
      </c>
      <c r="AF616">
        <f t="shared" si="143"/>
        <v>1</v>
      </c>
      <c r="AG616">
        <f t="shared" si="144"/>
        <v>100</v>
      </c>
    </row>
    <row r="617" spans="1:33" x14ac:dyDescent="0.2">
      <c r="A617" t="s">
        <v>127</v>
      </c>
      <c r="B617" t="s">
        <v>128</v>
      </c>
      <c r="C617">
        <v>616</v>
      </c>
      <c r="D617">
        <v>76670</v>
      </c>
      <c r="E617" t="s">
        <v>1343</v>
      </c>
      <c r="F617" t="s">
        <v>37</v>
      </c>
      <c r="G617" t="s">
        <v>379</v>
      </c>
      <c r="H617" t="s">
        <v>5</v>
      </c>
      <c r="I617" t="s">
        <v>95</v>
      </c>
      <c r="J617">
        <v>16</v>
      </c>
      <c r="K617">
        <v>0.03</v>
      </c>
      <c r="L617">
        <v>1</v>
      </c>
      <c r="M617">
        <v>1</v>
      </c>
      <c r="N617">
        <v>1</v>
      </c>
      <c r="O617">
        <v>100</v>
      </c>
      <c r="P617" t="b">
        <f t="shared" si="135"/>
        <v>0</v>
      </c>
      <c r="S617" t="str">
        <f t="shared" si="145"/>
        <v>LATER</v>
      </c>
      <c r="T617" t="str">
        <f t="shared" si="146"/>
        <v>SainteLague</v>
      </c>
      <c r="U617">
        <f t="shared" si="148"/>
        <v>616</v>
      </c>
      <c r="V617">
        <f t="shared" si="147"/>
        <v>76670</v>
      </c>
      <c r="W617" s="8" t="str">
        <f>VLOOKUP(V617,'ideas-input'!$A:$B,2,FALSE)</f>
        <v>GALAXY | Identificação dos Clientes nas Lojas Físicas</v>
      </c>
      <c r="X617" t="str">
        <f t="shared" si="136"/>
        <v>GS</v>
      </c>
      <c r="Y617" s="8" t="str">
        <f>VLOOKUP(V617,'ideas-input'!$A:$D,4,FALSE)</f>
        <v>Mail</v>
      </c>
      <c r="Z617" t="str">
        <f t="shared" si="137"/>
        <v>Commercial</v>
      </c>
      <c r="AA617" t="str">
        <f t="shared" si="138"/>
        <v>In Definition</v>
      </c>
      <c r="AB617">
        <f t="shared" si="139"/>
        <v>16</v>
      </c>
      <c r="AC617">
        <f t="shared" si="140"/>
        <v>0.03</v>
      </c>
      <c r="AD617">
        <f t="shared" si="141"/>
        <v>1</v>
      </c>
      <c r="AE617">
        <f t="shared" si="142"/>
        <v>1</v>
      </c>
      <c r="AF617">
        <f t="shared" si="143"/>
        <v>1</v>
      </c>
      <c r="AG617">
        <f t="shared" si="144"/>
        <v>100</v>
      </c>
    </row>
    <row r="618" spans="1:33" x14ac:dyDescent="0.2">
      <c r="A618" t="s">
        <v>127</v>
      </c>
      <c r="B618" t="s">
        <v>128</v>
      </c>
      <c r="C618">
        <v>617</v>
      </c>
      <c r="D618">
        <v>44020</v>
      </c>
      <c r="E618" t="s">
        <v>1379</v>
      </c>
      <c r="F618" t="s">
        <v>66</v>
      </c>
      <c r="G618" t="s">
        <v>10</v>
      </c>
      <c r="H618" t="s">
        <v>5</v>
      </c>
      <c r="I618" t="s">
        <v>97</v>
      </c>
      <c r="J618">
        <v>33</v>
      </c>
      <c r="K618">
        <v>0.03</v>
      </c>
      <c r="L618">
        <v>1</v>
      </c>
      <c r="M618">
        <v>1</v>
      </c>
      <c r="N618">
        <v>1</v>
      </c>
      <c r="O618">
        <v>100</v>
      </c>
      <c r="P618" t="b">
        <f t="shared" si="135"/>
        <v>0</v>
      </c>
      <c r="S618" t="str">
        <f t="shared" si="145"/>
        <v>LATER</v>
      </c>
      <c r="T618" t="str">
        <f t="shared" si="146"/>
        <v>SainteLague</v>
      </c>
      <c r="U618">
        <f t="shared" si="148"/>
        <v>617</v>
      </c>
      <c r="V618">
        <f t="shared" si="147"/>
        <v>44020</v>
      </c>
      <c r="W618" s="8" t="str">
        <f>VLOOKUP(V618,'ideas-input'!$A:$B,2,FALSE)</f>
        <v>[Salesforce] - Automatización de tarifas (en función de envíos comprometidos y rentabilidad de la cuenta)</v>
      </c>
      <c r="X618" t="str">
        <f t="shared" si="136"/>
        <v>CCO</v>
      </c>
      <c r="Y618" s="8" t="str">
        <f>VLOOKUP(V618,'ideas-input'!$A:$D,4,FALSE)</f>
        <v>eCommerce</v>
      </c>
      <c r="Z618" t="str">
        <f t="shared" si="137"/>
        <v>Commercial</v>
      </c>
      <c r="AA618" t="str">
        <f t="shared" si="138"/>
        <v>Ready for Solution</v>
      </c>
      <c r="AB618">
        <f t="shared" si="139"/>
        <v>33</v>
      </c>
      <c r="AC618">
        <f t="shared" si="140"/>
        <v>0.03</v>
      </c>
      <c r="AD618">
        <f t="shared" si="141"/>
        <v>1</v>
      </c>
      <c r="AE618">
        <f t="shared" si="142"/>
        <v>1</v>
      </c>
      <c r="AF618">
        <f t="shared" si="143"/>
        <v>1</v>
      </c>
      <c r="AG618">
        <f t="shared" si="144"/>
        <v>100</v>
      </c>
    </row>
    <row r="619" spans="1:33" x14ac:dyDescent="0.2">
      <c r="A619" t="s">
        <v>127</v>
      </c>
      <c r="B619" t="s">
        <v>128</v>
      </c>
      <c r="C619">
        <v>618</v>
      </c>
      <c r="D619">
        <v>194112</v>
      </c>
      <c r="E619" t="s">
        <v>1292</v>
      </c>
      <c r="F619" t="s">
        <v>58</v>
      </c>
      <c r="G619" t="s">
        <v>379</v>
      </c>
      <c r="H619" t="s">
        <v>8</v>
      </c>
      <c r="I619" t="s">
        <v>95</v>
      </c>
      <c r="J619">
        <v>18</v>
      </c>
      <c r="K619">
        <v>0.03</v>
      </c>
      <c r="L619">
        <v>1</v>
      </c>
      <c r="M619">
        <v>1</v>
      </c>
      <c r="N619">
        <v>1</v>
      </c>
      <c r="O619">
        <v>100</v>
      </c>
      <c r="P619" t="b">
        <f t="shared" si="135"/>
        <v>0</v>
      </c>
      <c r="S619" t="str">
        <f t="shared" si="145"/>
        <v>LATER</v>
      </c>
      <c r="T619" t="str">
        <f t="shared" si="146"/>
        <v>SainteLague</v>
      </c>
      <c r="U619">
        <f t="shared" si="148"/>
        <v>618</v>
      </c>
      <c r="V619">
        <f t="shared" si="147"/>
        <v>194112</v>
      </c>
      <c r="W619" s="8" t="str">
        <f>VLOOKUP(V619,'ideas-input'!$A:$B,2,FALSE)</f>
        <v>Substituição da aplicação de faturação do P&amp;F</v>
      </c>
      <c r="X619" t="str">
        <f t="shared" si="136"/>
        <v>SI-PRD</v>
      </c>
      <c r="Y619" s="8" t="str">
        <f>VLOOKUP(V619,'ideas-input'!$A:$D,4,FALSE)</f>
        <v>Business Solutions</v>
      </c>
      <c r="Z619" t="str">
        <f t="shared" si="137"/>
        <v>Technology</v>
      </c>
      <c r="AA619" t="str">
        <f t="shared" si="138"/>
        <v>In Definition</v>
      </c>
      <c r="AB619">
        <f t="shared" si="139"/>
        <v>18</v>
      </c>
      <c r="AC619">
        <f t="shared" si="140"/>
        <v>0.03</v>
      </c>
      <c r="AD619">
        <f t="shared" si="141"/>
        <v>1</v>
      </c>
      <c r="AE619">
        <f t="shared" si="142"/>
        <v>1</v>
      </c>
      <c r="AF619">
        <f t="shared" si="143"/>
        <v>1</v>
      </c>
      <c r="AG619">
        <f t="shared" si="144"/>
        <v>100</v>
      </c>
    </row>
    <row r="620" spans="1:33" x14ac:dyDescent="0.2">
      <c r="A620" t="s">
        <v>127</v>
      </c>
      <c r="B620" t="s">
        <v>128</v>
      </c>
      <c r="C620">
        <v>619</v>
      </c>
      <c r="D620">
        <v>43540</v>
      </c>
      <c r="E620" t="s">
        <v>1689</v>
      </c>
      <c r="F620" t="s">
        <v>69</v>
      </c>
      <c r="G620" t="s">
        <v>10</v>
      </c>
      <c r="H620" t="s">
        <v>12</v>
      </c>
      <c r="I620" t="s">
        <v>91</v>
      </c>
      <c r="J620">
        <v>42</v>
      </c>
      <c r="K620">
        <v>0.03</v>
      </c>
      <c r="L620">
        <v>1</v>
      </c>
      <c r="M620">
        <v>1</v>
      </c>
      <c r="N620">
        <v>1</v>
      </c>
      <c r="O620">
        <v>100</v>
      </c>
      <c r="P620" t="b">
        <f t="shared" si="135"/>
        <v>0</v>
      </c>
      <c r="S620" t="str">
        <f t="shared" si="145"/>
        <v>LATER</v>
      </c>
      <c r="T620" t="str">
        <f t="shared" si="146"/>
        <v>SainteLague</v>
      </c>
      <c r="U620">
        <f t="shared" si="148"/>
        <v>619</v>
      </c>
      <c r="V620">
        <f t="shared" si="147"/>
        <v>43540</v>
      </c>
      <c r="W620" s="8" t="str">
        <f>VLOOKUP(V620,'ideas-input'!$A:$B,2,FALSE)</f>
        <v>[Evolutivos SGC]  Aplicación de la densidad cuando el CP no existe, confirmar IT si todo el proceso esta acabado (Incidencia)</v>
      </c>
      <c r="X620" t="str">
        <f t="shared" si="136"/>
        <v>CFO</v>
      </c>
      <c r="Y620" s="8" t="str">
        <f>VLOOKUP(V620,'ideas-input'!$A:$D,4,FALSE)</f>
        <v>eCommerce</v>
      </c>
      <c r="Z620" t="str">
        <f t="shared" si="137"/>
        <v>Corporate</v>
      </c>
      <c r="AA620" t="str">
        <f t="shared" si="138"/>
        <v>Backlog</v>
      </c>
      <c r="AB620">
        <f t="shared" si="139"/>
        <v>42</v>
      </c>
      <c r="AC620">
        <f t="shared" si="140"/>
        <v>0.03</v>
      </c>
      <c r="AD620">
        <f t="shared" si="141"/>
        <v>1</v>
      </c>
      <c r="AE620">
        <f t="shared" si="142"/>
        <v>1</v>
      </c>
      <c r="AF620">
        <f t="shared" si="143"/>
        <v>1</v>
      </c>
      <c r="AG620">
        <f t="shared" si="144"/>
        <v>100</v>
      </c>
    </row>
    <row r="621" spans="1:33" x14ac:dyDescent="0.2">
      <c r="A621" t="s">
        <v>127</v>
      </c>
      <c r="B621" t="s">
        <v>128</v>
      </c>
      <c r="C621">
        <v>620</v>
      </c>
      <c r="D621">
        <v>127257</v>
      </c>
      <c r="E621" t="s">
        <v>1346</v>
      </c>
      <c r="F621" t="s">
        <v>21</v>
      </c>
      <c r="G621" t="s">
        <v>379</v>
      </c>
      <c r="H621" t="s">
        <v>5</v>
      </c>
      <c r="I621" t="s">
        <v>91</v>
      </c>
      <c r="J621">
        <v>22</v>
      </c>
      <c r="K621">
        <v>0.03</v>
      </c>
      <c r="L621">
        <v>1</v>
      </c>
      <c r="M621">
        <v>1</v>
      </c>
      <c r="N621">
        <v>1</v>
      </c>
      <c r="O621">
        <v>100</v>
      </c>
      <c r="P621" t="b">
        <f t="shared" si="135"/>
        <v>0</v>
      </c>
      <c r="S621" t="str">
        <f t="shared" si="145"/>
        <v>LATER</v>
      </c>
      <c r="T621" t="str">
        <f t="shared" si="146"/>
        <v>SainteLague</v>
      </c>
      <c r="U621">
        <f t="shared" si="148"/>
        <v>620</v>
      </c>
      <c r="V621">
        <f t="shared" si="147"/>
        <v>127257</v>
      </c>
      <c r="W621" s="8" t="str">
        <f>VLOOKUP(V621,'ideas-input'!$A:$B,2,FALSE)</f>
        <v>Aviso de Receção (AR) Digital | Envios SuperPortal, Prestadores e Super App</v>
      </c>
      <c r="X621" t="str">
        <f t="shared" si="136"/>
        <v>GP B2B</v>
      </c>
      <c r="Y621" s="8" t="str">
        <f>VLOOKUP(V621,'ideas-input'!$A:$D,4,FALSE)</f>
        <v>Mail</v>
      </c>
      <c r="Z621" t="str">
        <f t="shared" si="137"/>
        <v>Commercial</v>
      </c>
      <c r="AA621" t="str">
        <f t="shared" si="138"/>
        <v>Backlog</v>
      </c>
      <c r="AB621">
        <f t="shared" si="139"/>
        <v>22</v>
      </c>
      <c r="AC621">
        <f t="shared" si="140"/>
        <v>0.03</v>
      </c>
      <c r="AD621">
        <f t="shared" si="141"/>
        <v>1</v>
      </c>
      <c r="AE621">
        <f t="shared" si="142"/>
        <v>1</v>
      </c>
      <c r="AF621">
        <f t="shared" si="143"/>
        <v>1</v>
      </c>
      <c r="AG621">
        <f t="shared" si="144"/>
        <v>100</v>
      </c>
    </row>
    <row r="622" spans="1:33" x14ac:dyDescent="0.2">
      <c r="A622" t="s">
        <v>127</v>
      </c>
      <c r="B622" t="s">
        <v>128</v>
      </c>
      <c r="C622">
        <v>621</v>
      </c>
      <c r="D622">
        <v>53166</v>
      </c>
      <c r="E622" t="s">
        <v>1367</v>
      </c>
      <c r="F622" t="s">
        <v>68</v>
      </c>
      <c r="G622" t="s">
        <v>10</v>
      </c>
      <c r="H622" t="s">
        <v>5</v>
      </c>
      <c r="I622" t="s">
        <v>91</v>
      </c>
      <c r="J622">
        <v>30</v>
      </c>
      <c r="K622">
        <v>0.03</v>
      </c>
      <c r="L622">
        <v>1</v>
      </c>
      <c r="M622">
        <v>1</v>
      </c>
      <c r="N622">
        <v>1</v>
      </c>
      <c r="O622">
        <v>100</v>
      </c>
      <c r="P622" t="b">
        <f t="shared" si="135"/>
        <v>0</v>
      </c>
      <c r="S622" t="str">
        <f t="shared" si="145"/>
        <v>LATER</v>
      </c>
      <c r="T622" t="str">
        <f t="shared" si="146"/>
        <v>SainteLague</v>
      </c>
      <c r="U622">
        <f t="shared" si="148"/>
        <v>621</v>
      </c>
      <c r="V622">
        <f t="shared" si="147"/>
        <v>53166</v>
      </c>
      <c r="W622" s="8" t="str">
        <f>VLOOKUP(V622,'ideas-input'!$A:$B,2,FALSE)</f>
        <v>[Desconexión SGC] [WebHook] - Monitorización WebHooks clientes</v>
      </c>
      <c r="X622" t="str">
        <f t="shared" si="136"/>
        <v>IDC</v>
      </c>
      <c r="Y622" s="8" t="str">
        <f>VLOOKUP(V622,'ideas-input'!$A:$D,4,FALSE)</f>
        <v>eCommerce</v>
      </c>
      <c r="Z622" t="str">
        <f t="shared" si="137"/>
        <v>Commercial</v>
      </c>
      <c r="AA622" t="str">
        <f t="shared" si="138"/>
        <v>Backlog</v>
      </c>
      <c r="AB622">
        <f t="shared" si="139"/>
        <v>30</v>
      </c>
      <c r="AC622">
        <f t="shared" si="140"/>
        <v>0.03</v>
      </c>
      <c r="AD622">
        <f t="shared" si="141"/>
        <v>1</v>
      </c>
      <c r="AE622">
        <f t="shared" si="142"/>
        <v>1</v>
      </c>
      <c r="AF622">
        <f t="shared" si="143"/>
        <v>1</v>
      </c>
      <c r="AG622">
        <f t="shared" si="144"/>
        <v>100</v>
      </c>
    </row>
    <row r="623" spans="1:33" x14ac:dyDescent="0.2">
      <c r="A623" t="s">
        <v>127</v>
      </c>
      <c r="B623" t="s">
        <v>128</v>
      </c>
      <c r="C623">
        <v>622</v>
      </c>
      <c r="D623">
        <v>126588</v>
      </c>
      <c r="E623" t="s">
        <v>1295</v>
      </c>
      <c r="F623" t="s">
        <v>9</v>
      </c>
      <c r="G623" t="s">
        <v>379</v>
      </c>
      <c r="H623" t="s">
        <v>8</v>
      </c>
      <c r="I623" t="s">
        <v>91</v>
      </c>
      <c r="J623">
        <v>48</v>
      </c>
      <c r="K623">
        <v>0.03</v>
      </c>
      <c r="L623">
        <v>1</v>
      </c>
      <c r="M623">
        <v>1</v>
      </c>
      <c r="N623">
        <v>1</v>
      </c>
      <c r="O623">
        <v>100</v>
      </c>
      <c r="P623" t="b">
        <f t="shared" si="135"/>
        <v>0</v>
      </c>
      <c r="S623" t="str">
        <f t="shared" si="145"/>
        <v>LATER</v>
      </c>
      <c r="T623" t="str">
        <f t="shared" si="146"/>
        <v>SainteLague</v>
      </c>
      <c r="U623">
        <f t="shared" si="148"/>
        <v>622</v>
      </c>
      <c r="V623">
        <f t="shared" si="147"/>
        <v>126588</v>
      </c>
      <c r="W623" s="8" t="str">
        <f>VLOOKUP(V623,'ideas-input'!$A:$B,2,FALSE)</f>
        <v>Renovação ativos rede Datacenter CTT Express (Lisboa e Barcelona)</v>
      </c>
      <c r="X623" t="str">
        <f t="shared" si="136"/>
        <v>SI</v>
      </c>
      <c r="Y623" s="8" t="str">
        <f>VLOOKUP(V623,'ideas-input'!$A:$D,4,FALSE)</f>
        <v>Mail</v>
      </c>
      <c r="Z623" t="str">
        <f t="shared" si="137"/>
        <v>Technology</v>
      </c>
      <c r="AA623" t="str">
        <f t="shared" si="138"/>
        <v>Backlog</v>
      </c>
      <c r="AB623">
        <f t="shared" si="139"/>
        <v>48</v>
      </c>
      <c r="AC623">
        <f t="shared" si="140"/>
        <v>0.03</v>
      </c>
      <c r="AD623">
        <f t="shared" si="141"/>
        <v>1</v>
      </c>
      <c r="AE623">
        <f t="shared" si="142"/>
        <v>1</v>
      </c>
      <c r="AF623">
        <f t="shared" si="143"/>
        <v>1</v>
      </c>
      <c r="AG623">
        <f t="shared" si="144"/>
        <v>100</v>
      </c>
    </row>
    <row r="624" spans="1:33" x14ac:dyDescent="0.2">
      <c r="A624" t="s">
        <v>127</v>
      </c>
      <c r="B624" t="s">
        <v>128</v>
      </c>
      <c r="C624">
        <v>623</v>
      </c>
      <c r="D624">
        <v>43500</v>
      </c>
      <c r="E624" t="s">
        <v>294</v>
      </c>
      <c r="F624" t="s">
        <v>69</v>
      </c>
      <c r="G624" t="s">
        <v>10</v>
      </c>
      <c r="H624" t="s">
        <v>12</v>
      </c>
      <c r="I624" t="s">
        <v>91</v>
      </c>
      <c r="J624">
        <v>43</v>
      </c>
      <c r="K624">
        <v>0.03</v>
      </c>
      <c r="L624">
        <v>1</v>
      </c>
      <c r="M624">
        <v>1</v>
      </c>
      <c r="N624">
        <v>1</v>
      </c>
      <c r="O624">
        <v>100</v>
      </c>
      <c r="P624" t="b">
        <f t="shared" si="135"/>
        <v>0</v>
      </c>
      <c r="S624" t="str">
        <f t="shared" si="145"/>
        <v>LATER</v>
      </c>
      <c r="T624" t="str">
        <f t="shared" si="146"/>
        <v>SainteLague</v>
      </c>
      <c r="U624">
        <f t="shared" si="148"/>
        <v>623</v>
      </c>
      <c r="V624">
        <f t="shared" si="147"/>
        <v>43500</v>
      </c>
      <c r="W624" s="8" t="str">
        <f>VLOOKUP(V624,'ideas-input'!$A:$B,2,FALSE)</f>
        <v>[Alarmas Finanzas] Alarma-45 Reporte/Alerta de servicios antes del cierre "Keysoft"</v>
      </c>
      <c r="X624" t="str">
        <f t="shared" si="136"/>
        <v>CFO</v>
      </c>
      <c r="Y624" s="8" t="str">
        <f>VLOOKUP(V624,'ideas-input'!$A:$D,4,FALSE)</f>
        <v>eCommerce</v>
      </c>
      <c r="Z624" t="str">
        <f t="shared" si="137"/>
        <v>Corporate</v>
      </c>
      <c r="AA624" t="str">
        <f t="shared" si="138"/>
        <v>Backlog</v>
      </c>
      <c r="AB624">
        <f t="shared" si="139"/>
        <v>43</v>
      </c>
      <c r="AC624">
        <f t="shared" si="140"/>
        <v>0.03</v>
      </c>
      <c r="AD624">
        <f t="shared" si="141"/>
        <v>1</v>
      </c>
      <c r="AE624">
        <f t="shared" si="142"/>
        <v>1</v>
      </c>
      <c r="AF624">
        <f t="shared" si="143"/>
        <v>1</v>
      </c>
      <c r="AG624">
        <f t="shared" si="144"/>
        <v>100</v>
      </c>
    </row>
    <row r="625" spans="1:33" x14ac:dyDescent="0.2">
      <c r="A625" t="s">
        <v>127</v>
      </c>
      <c r="B625" t="s">
        <v>128</v>
      </c>
      <c r="C625">
        <v>624</v>
      </c>
      <c r="D625">
        <v>78453</v>
      </c>
      <c r="E625" t="s">
        <v>1349</v>
      </c>
      <c r="F625" t="s">
        <v>23</v>
      </c>
      <c r="G625" t="s">
        <v>379</v>
      </c>
      <c r="H625" t="s">
        <v>5</v>
      </c>
      <c r="I625" t="s">
        <v>91</v>
      </c>
      <c r="J625">
        <v>22</v>
      </c>
      <c r="K625">
        <v>0.03</v>
      </c>
      <c r="L625">
        <v>1</v>
      </c>
      <c r="M625">
        <v>1</v>
      </c>
      <c r="N625">
        <v>1</v>
      </c>
      <c r="O625">
        <v>100</v>
      </c>
      <c r="P625" t="b">
        <f t="shared" si="135"/>
        <v>0</v>
      </c>
      <c r="S625" t="str">
        <f t="shared" si="145"/>
        <v>LATER</v>
      </c>
      <c r="T625" t="str">
        <f t="shared" si="146"/>
        <v>SainteLague</v>
      </c>
      <c r="U625">
        <f t="shared" si="148"/>
        <v>624</v>
      </c>
      <c r="V625">
        <f t="shared" si="147"/>
        <v>78453</v>
      </c>
      <c r="W625" s="8" t="str">
        <f>VLOOKUP(V625,'ideas-input'!$A:$B,2,FALSE)</f>
        <v>Alteração da Autenticação dos Distribuidores nos Lockers</v>
      </c>
      <c r="X625" t="str">
        <f t="shared" si="136"/>
        <v>GP ECL</v>
      </c>
      <c r="Y625" s="8" t="str">
        <f>VLOOKUP(V625,'ideas-input'!$A:$D,4,FALSE)</f>
        <v>eCommerce</v>
      </c>
      <c r="Z625" t="str">
        <f t="shared" si="137"/>
        <v>Commercial</v>
      </c>
      <c r="AA625" t="str">
        <f t="shared" si="138"/>
        <v>Backlog</v>
      </c>
      <c r="AB625">
        <f t="shared" si="139"/>
        <v>22</v>
      </c>
      <c r="AC625">
        <f t="shared" si="140"/>
        <v>0.03</v>
      </c>
      <c r="AD625">
        <f t="shared" si="141"/>
        <v>1</v>
      </c>
      <c r="AE625">
        <f t="shared" si="142"/>
        <v>1</v>
      </c>
      <c r="AF625">
        <f t="shared" si="143"/>
        <v>1</v>
      </c>
      <c r="AG625">
        <f t="shared" si="144"/>
        <v>100</v>
      </c>
    </row>
    <row r="626" spans="1:33" x14ac:dyDescent="0.2">
      <c r="A626" t="s">
        <v>127</v>
      </c>
      <c r="B626" t="s">
        <v>128</v>
      </c>
      <c r="C626">
        <v>625</v>
      </c>
      <c r="D626">
        <v>63262</v>
      </c>
      <c r="E626" t="s">
        <v>1291</v>
      </c>
      <c r="F626" t="s">
        <v>65</v>
      </c>
      <c r="G626" t="s">
        <v>10</v>
      </c>
      <c r="H626" t="s">
        <v>5</v>
      </c>
      <c r="I626" t="s">
        <v>91</v>
      </c>
      <c r="J626">
        <v>40</v>
      </c>
      <c r="K626">
        <v>0.03</v>
      </c>
      <c r="L626">
        <v>1</v>
      </c>
      <c r="M626">
        <v>1</v>
      </c>
      <c r="N626">
        <v>1</v>
      </c>
      <c r="O626">
        <v>100</v>
      </c>
      <c r="P626" t="b">
        <f t="shared" si="135"/>
        <v>0</v>
      </c>
      <c r="S626" t="str">
        <f t="shared" si="145"/>
        <v>LATER</v>
      </c>
      <c r="T626" t="str">
        <f t="shared" si="146"/>
        <v>SainteLague</v>
      </c>
      <c r="U626">
        <f t="shared" si="148"/>
        <v>625</v>
      </c>
      <c r="V626">
        <f t="shared" si="147"/>
        <v>63262</v>
      </c>
      <c r="W626" s="8" t="str">
        <f>VLOOKUP(V626,'ideas-input'!$A:$B,2,FALSE)</f>
        <v>[Web de clientes] - Crear función JS que devuelva el ID de los usuarios</v>
      </c>
      <c r="X626" t="str">
        <f t="shared" si="136"/>
        <v>CMO</v>
      </c>
      <c r="Y626" s="8" t="str">
        <f>VLOOKUP(V626,'ideas-input'!$A:$D,4,FALSE)</f>
        <v>eCommerce</v>
      </c>
      <c r="Z626" t="str">
        <f t="shared" si="137"/>
        <v>Commercial</v>
      </c>
      <c r="AA626" t="str">
        <f t="shared" si="138"/>
        <v>Backlog</v>
      </c>
      <c r="AB626">
        <f t="shared" si="139"/>
        <v>40</v>
      </c>
      <c r="AC626">
        <f t="shared" si="140"/>
        <v>0.03</v>
      </c>
      <c r="AD626">
        <f t="shared" si="141"/>
        <v>1</v>
      </c>
      <c r="AE626">
        <f t="shared" si="142"/>
        <v>1</v>
      </c>
      <c r="AF626">
        <f t="shared" si="143"/>
        <v>1</v>
      </c>
      <c r="AG626">
        <f t="shared" si="144"/>
        <v>100</v>
      </c>
    </row>
    <row r="627" spans="1:33" x14ac:dyDescent="0.2">
      <c r="A627" t="s">
        <v>127</v>
      </c>
      <c r="B627" t="s">
        <v>128</v>
      </c>
      <c r="C627">
        <v>626</v>
      </c>
      <c r="D627">
        <v>131993</v>
      </c>
      <c r="E627" t="s">
        <v>1690</v>
      </c>
      <c r="F627" t="s">
        <v>9</v>
      </c>
      <c r="G627" t="s">
        <v>379</v>
      </c>
      <c r="H627" t="s">
        <v>8</v>
      </c>
      <c r="I627" t="s">
        <v>91</v>
      </c>
      <c r="J627">
        <v>49</v>
      </c>
      <c r="K627">
        <v>0.03</v>
      </c>
      <c r="L627">
        <v>1</v>
      </c>
      <c r="M627">
        <v>1</v>
      </c>
      <c r="N627">
        <v>1</v>
      </c>
      <c r="O627">
        <v>100</v>
      </c>
      <c r="P627" t="b">
        <f t="shared" si="135"/>
        <v>0</v>
      </c>
      <c r="S627" t="str">
        <f t="shared" si="145"/>
        <v>LATER</v>
      </c>
      <c r="T627" t="str">
        <f t="shared" si="146"/>
        <v>SainteLague</v>
      </c>
      <c r="U627">
        <f t="shared" si="148"/>
        <v>626</v>
      </c>
      <c r="V627">
        <f t="shared" si="147"/>
        <v>131993</v>
      </c>
      <c r="W627" s="8" t="str">
        <f>VLOOKUP(V627,'ideas-input'!$A:$B,2,FALSE)</f>
        <v>INT| -  Mata Aplicações Wave 1.1X - Solução de Transformação</v>
      </c>
      <c r="X627" t="str">
        <f t="shared" si="136"/>
        <v>SI</v>
      </c>
      <c r="Y627" s="8" t="str">
        <f>VLOOKUP(V627,'ideas-input'!$A:$D,4,FALSE)</f>
        <v>Mail</v>
      </c>
      <c r="Z627" t="str">
        <f t="shared" si="137"/>
        <v>Technology</v>
      </c>
      <c r="AA627" t="str">
        <f t="shared" si="138"/>
        <v>Backlog</v>
      </c>
      <c r="AB627">
        <f t="shared" si="139"/>
        <v>49</v>
      </c>
      <c r="AC627">
        <f t="shared" si="140"/>
        <v>0.03</v>
      </c>
      <c r="AD627">
        <f t="shared" si="141"/>
        <v>1</v>
      </c>
      <c r="AE627">
        <f t="shared" si="142"/>
        <v>1</v>
      </c>
      <c r="AF627">
        <f t="shared" si="143"/>
        <v>1</v>
      </c>
      <c r="AG627">
        <f t="shared" si="144"/>
        <v>100</v>
      </c>
    </row>
    <row r="628" spans="1:33" x14ac:dyDescent="0.2">
      <c r="A628" t="s">
        <v>127</v>
      </c>
      <c r="B628" t="s">
        <v>128</v>
      </c>
      <c r="C628">
        <v>627</v>
      </c>
      <c r="D628">
        <v>43536</v>
      </c>
      <c r="E628" t="s">
        <v>297</v>
      </c>
      <c r="F628" t="s">
        <v>69</v>
      </c>
      <c r="G628" t="s">
        <v>10</v>
      </c>
      <c r="H628" t="s">
        <v>12</v>
      </c>
      <c r="I628" t="s">
        <v>91</v>
      </c>
      <c r="J628">
        <v>44</v>
      </c>
      <c r="K628">
        <v>0.03</v>
      </c>
      <c r="L628">
        <v>1</v>
      </c>
      <c r="M628">
        <v>1</v>
      </c>
      <c r="N628">
        <v>1</v>
      </c>
      <c r="O628">
        <v>100</v>
      </c>
      <c r="P628" t="b">
        <f t="shared" si="135"/>
        <v>0</v>
      </c>
      <c r="S628" t="str">
        <f t="shared" si="145"/>
        <v>LATER</v>
      </c>
      <c r="T628" t="str">
        <f t="shared" si="146"/>
        <v>SainteLague</v>
      </c>
      <c r="U628">
        <f t="shared" si="148"/>
        <v>627</v>
      </c>
      <c r="V628">
        <f t="shared" si="147"/>
        <v>43536</v>
      </c>
      <c r="W628" s="8" t="str">
        <f>VLOOKUP(V628,'ideas-input'!$A:$B,2,FALSE)</f>
        <v>[Evolutivos SGC] Acceso a tabla de retasados (NO las muestra si hay varias por validez en gestion de tablas) + Acceso Retasados microservicios (revisar Juancho)</v>
      </c>
      <c r="X628" t="str">
        <f t="shared" si="136"/>
        <v>CFO</v>
      </c>
      <c r="Y628" s="8" t="str">
        <f>VLOOKUP(V628,'ideas-input'!$A:$D,4,FALSE)</f>
        <v>eCommerce</v>
      </c>
      <c r="Z628" t="str">
        <f t="shared" si="137"/>
        <v>Corporate</v>
      </c>
      <c r="AA628" t="str">
        <f t="shared" si="138"/>
        <v>Backlog</v>
      </c>
      <c r="AB628">
        <f t="shared" si="139"/>
        <v>44</v>
      </c>
      <c r="AC628">
        <f t="shared" si="140"/>
        <v>0.03</v>
      </c>
      <c r="AD628">
        <f t="shared" si="141"/>
        <v>1</v>
      </c>
      <c r="AE628">
        <f t="shared" si="142"/>
        <v>1</v>
      </c>
      <c r="AF628">
        <f t="shared" si="143"/>
        <v>1</v>
      </c>
      <c r="AG628">
        <f t="shared" si="144"/>
        <v>100</v>
      </c>
    </row>
    <row r="629" spans="1:33" x14ac:dyDescent="0.2">
      <c r="A629" t="s">
        <v>127</v>
      </c>
      <c r="B629" t="s">
        <v>128</v>
      </c>
      <c r="C629">
        <v>628</v>
      </c>
      <c r="D629">
        <v>173279</v>
      </c>
      <c r="E629" t="s">
        <v>269</v>
      </c>
      <c r="F629" t="s">
        <v>38</v>
      </c>
      <c r="G629" t="s">
        <v>379</v>
      </c>
      <c r="H629" t="s">
        <v>5</v>
      </c>
      <c r="I629" t="s">
        <v>91</v>
      </c>
      <c r="J629">
        <v>15</v>
      </c>
      <c r="K629">
        <v>0.03</v>
      </c>
      <c r="L629">
        <v>1</v>
      </c>
      <c r="M629">
        <v>1</v>
      </c>
      <c r="N629">
        <v>1</v>
      </c>
      <c r="O629">
        <v>100</v>
      </c>
      <c r="P629" t="b">
        <f t="shared" si="135"/>
        <v>0</v>
      </c>
      <c r="S629" t="str">
        <f t="shared" si="145"/>
        <v>LATER</v>
      </c>
      <c r="T629" t="str">
        <f t="shared" si="146"/>
        <v>SainteLague</v>
      </c>
      <c r="U629">
        <f t="shared" si="148"/>
        <v>628</v>
      </c>
      <c r="V629">
        <f t="shared" si="147"/>
        <v>173279</v>
      </c>
      <c r="W629" s="8" t="str">
        <f>VLOOKUP(V629,'ideas-input'!$A:$B,2,FALSE)</f>
        <v>Motor de Pesquisa de Varios objetos no T&amp;T</v>
      </c>
      <c r="X629" t="str">
        <f t="shared" si="136"/>
        <v>CSI</v>
      </c>
      <c r="Y629" s="8" t="str">
        <f>VLOOKUP(V629,'ideas-input'!$A:$D,4,FALSE)</f>
        <v>Mail</v>
      </c>
      <c r="Z629" t="str">
        <f t="shared" si="137"/>
        <v>Commercial</v>
      </c>
      <c r="AA629" t="str">
        <f t="shared" si="138"/>
        <v>Backlog</v>
      </c>
      <c r="AB629">
        <f t="shared" si="139"/>
        <v>15</v>
      </c>
      <c r="AC629">
        <f t="shared" si="140"/>
        <v>0.03</v>
      </c>
      <c r="AD629">
        <f t="shared" si="141"/>
        <v>1</v>
      </c>
      <c r="AE629">
        <f t="shared" si="142"/>
        <v>1</v>
      </c>
      <c r="AF629">
        <f t="shared" si="143"/>
        <v>1</v>
      </c>
      <c r="AG629">
        <f t="shared" si="144"/>
        <v>100</v>
      </c>
    </row>
    <row r="630" spans="1:33" x14ac:dyDescent="0.2">
      <c r="A630" t="s">
        <v>127</v>
      </c>
      <c r="B630" t="s">
        <v>128</v>
      </c>
      <c r="C630">
        <v>629</v>
      </c>
      <c r="D630">
        <v>48741</v>
      </c>
      <c r="E630" t="s">
        <v>1387</v>
      </c>
      <c r="F630" t="s">
        <v>66</v>
      </c>
      <c r="G630" t="s">
        <v>10</v>
      </c>
      <c r="H630" t="s">
        <v>5</v>
      </c>
      <c r="I630" t="s">
        <v>91</v>
      </c>
      <c r="J630">
        <v>34</v>
      </c>
      <c r="K630">
        <v>0.03</v>
      </c>
      <c r="L630">
        <v>1</v>
      </c>
      <c r="M630">
        <v>1</v>
      </c>
      <c r="N630">
        <v>1</v>
      </c>
      <c r="O630">
        <v>100</v>
      </c>
      <c r="P630" t="b">
        <f t="shared" si="135"/>
        <v>0</v>
      </c>
      <c r="S630" t="str">
        <f t="shared" si="145"/>
        <v>LATER</v>
      </c>
      <c r="T630" t="str">
        <f t="shared" si="146"/>
        <v>SainteLague</v>
      </c>
      <c r="U630">
        <f t="shared" si="148"/>
        <v>629</v>
      </c>
      <c r="V630">
        <f t="shared" si="147"/>
        <v>48741</v>
      </c>
      <c r="W630" s="8" t="str">
        <f>VLOOKUP(V630,'ideas-input'!$A:$B,2,FALSE)</f>
        <v>[Salesforce] - Automatismo de asignación de casos a gestora de ingresos</v>
      </c>
      <c r="X630" t="str">
        <f t="shared" si="136"/>
        <v>CCO</v>
      </c>
      <c r="Y630" s="8" t="str">
        <f>VLOOKUP(V630,'ideas-input'!$A:$D,4,FALSE)</f>
        <v>eCommerce</v>
      </c>
      <c r="Z630" t="str">
        <f t="shared" si="137"/>
        <v>Commercial</v>
      </c>
      <c r="AA630" t="str">
        <f t="shared" si="138"/>
        <v>Backlog</v>
      </c>
      <c r="AB630">
        <f t="shared" si="139"/>
        <v>34</v>
      </c>
      <c r="AC630">
        <f t="shared" si="140"/>
        <v>0.03</v>
      </c>
      <c r="AD630">
        <f t="shared" si="141"/>
        <v>1</v>
      </c>
      <c r="AE630">
        <f t="shared" si="142"/>
        <v>1</v>
      </c>
      <c r="AF630">
        <f t="shared" si="143"/>
        <v>1</v>
      </c>
      <c r="AG630">
        <f t="shared" si="144"/>
        <v>100</v>
      </c>
    </row>
    <row r="631" spans="1:33" x14ac:dyDescent="0.2">
      <c r="A631" t="s">
        <v>127</v>
      </c>
      <c r="B631" t="s">
        <v>128</v>
      </c>
      <c r="C631">
        <v>630</v>
      </c>
      <c r="D631">
        <v>76398</v>
      </c>
      <c r="E631" t="s">
        <v>1354</v>
      </c>
      <c r="F631" t="s">
        <v>37</v>
      </c>
      <c r="G631" t="s">
        <v>379</v>
      </c>
      <c r="H631" t="s">
        <v>5</v>
      </c>
      <c r="I631" t="s">
        <v>95</v>
      </c>
      <c r="J631">
        <v>17</v>
      </c>
      <c r="K631">
        <v>0.03</v>
      </c>
      <c r="L631">
        <v>1</v>
      </c>
      <c r="M631">
        <v>1</v>
      </c>
      <c r="N631">
        <v>1</v>
      </c>
      <c r="O631">
        <v>100</v>
      </c>
      <c r="P631" t="b">
        <f t="shared" si="135"/>
        <v>0</v>
      </c>
      <c r="S631" t="str">
        <f t="shared" si="145"/>
        <v>LATER</v>
      </c>
      <c r="T631" t="str">
        <f t="shared" si="146"/>
        <v>SainteLague</v>
      </c>
      <c r="U631">
        <f t="shared" si="148"/>
        <v>630</v>
      </c>
      <c r="V631">
        <f t="shared" si="147"/>
        <v>76398</v>
      </c>
      <c r="W631" s="8" t="str">
        <f>VLOOKUP(V631,'ideas-input'!$A:$B,2,FALSE)</f>
        <v>Galaxy | MCE &amp; CDP - Nova Fase pós MVP - Equipa ENABLER Salesforce (AGILE WAY)</v>
      </c>
      <c r="X631" t="str">
        <f t="shared" si="136"/>
        <v>GS</v>
      </c>
      <c r="Y631" s="8" t="str">
        <f>VLOOKUP(V631,'ideas-input'!$A:$D,4,FALSE)</f>
        <v>Mail</v>
      </c>
      <c r="Z631" t="str">
        <f t="shared" si="137"/>
        <v>Commercial</v>
      </c>
      <c r="AA631" t="str">
        <f t="shared" si="138"/>
        <v>In Definition</v>
      </c>
      <c r="AB631">
        <f t="shared" si="139"/>
        <v>17</v>
      </c>
      <c r="AC631">
        <f t="shared" si="140"/>
        <v>0.03</v>
      </c>
      <c r="AD631">
        <f t="shared" si="141"/>
        <v>1</v>
      </c>
      <c r="AE631">
        <f t="shared" si="142"/>
        <v>1</v>
      </c>
      <c r="AF631">
        <f t="shared" si="143"/>
        <v>1</v>
      </c>
      <c r="AG631">
        <f t="shared" si="144"/>
        <v>100</v>
      </c>
    </row>
    <row r="632" spans="1:33" x14ac:dyDescent="0.2">
      <c r="A632" t="s">
        <v>127</v>
      </c>
      <c r="B632" t="s">
        <v>128</v>
      </c>
      <c r="C632">
        <v>631</v>
      </c>
      <c r="D632">
        <v>43503</v>
      </c>
      <c r="E632" t="s">
        <v>1307</v>
      </c>
      <c r="F632" t="s">
        <v>69</v>
      </c>
      <c r="G632" t="s">
        <v>10</v>
      </c>
      <c r="H632" t="s">
        <v>12</v>
      </c>
      <c r="I632" t="s">
        <v>91</v>
      </c>
      <c r="J632">
        <v>45</v>
      </c>
      <c r="K632">
        <v>0.03</v>
      </c>
      <c r="L632">
        <v>1</v>
      </c>
      <c r="M632">
        <v>1</v>
      </c>
      <c r="N632">
        <v>1</v>
      </c>
      <c r="O632">
        <v>100</v>
      </c>
      <c r="P632" t="b">
        <f t="shared" si="135"/>
        <v>0</v>
      </c>
      <c r="S632" t="str">
        <f t="shared" si="145"/>
        <v>LATER</v>
      </c>
      <c r="T632" t="str">
        <f t="shared" si="146"/>
        <v>SainteLague</v>
      </c>
      <c r="U632">
        <f t="shared" si="148"/>
        <v>631</v>
      </c>
      <c r="V632">
        <f t="shared" si="147"/>
        <v>43503</v>
      </c>
      <c r="W632" s="8" t="str">
        <f>VLOOKUP(V632,'ideas-input'!$A:$B,2,FALSE)</f>
        <v>[Alarmas Finanzas] Alarma-75 Comprobar envíos en agencias desactivadas</v>
      </c>
      <c r="X632" t="str">
        <f t="shared" si="136"/>
        <v>CFO</v>
      </c>
      <c r="Y632" s="8" t="str">
        <f>VLOOKUP(V632,'ideas-input'!$A:$D,4,FALSE)</f>
        <v>eCommerce</v>
      </c>
      <c r="Z632" t="str">
        <f t="shared" si="137"/>
        <v>Corporate</v>
      </c>
      <c r="AA632" t="str">
        <f t="shared" si="138"/>
        <v>Backlog</v>
      </c>
      <c r="AB632">
        <f t="shared" si="139"/>
        <v>45</v>
      </c>
      <c r="AC632">
        <f t="shared" si="140"/>
        <v>0.03</v>
      </c>
      <c r="AD632">
        <f t="shared" si="141"/>
        <v>1</v>
      </c>
      <c r="AE632">
        <f t="shared" si="142"/>
        <v>1</v>
      </c>
      <c r="AF632">
        <f t="shared" si="143"/>
        <v>1</v>
      </c>
      <c r="AG632">
        <f t="shared" si="144"/>
        <v>100</v>
      </c>
    </row>
    <row r="633" spans="1:33" x14ac:dyDescent="0.2">
      <c r="A633" t="s">
        <v>127</v>
      </c>
      <c r="B633" t="s">
        <v>128</v>
      </c>
      <c r="C633">
        <v>632</v>
      </c>
      <c r="D633">
        <v>190399</v>
      </c>
      <c r="E633" t="s">
        <v>1301</v>
      </c>
      <c r="F633" t="s">
        <v>58</v>
      </c>
      <c r="G633" t="s">
        <v>379</v>
      </c>
      <c r="H633" t="s">
        <v>8</v>
      </c>
      <c r="I633" t="s">
        <v>91</v>
      </c>
      <c r="J633">
        <v>19</v>
      </c>
      <c r="K633">
        <v>0.03</v>
      </c>
      <c r="L633">
        <v>1</v>
      </c>
      <c r="M633">
        <v>1</v>
      </c>
      <c r="N633">
        <v>1</v>
      </c>
      <c r="O633">
        <v>100</v>
      </c>
      <c r="P633" t="b">
        <f t="shared" si="135"/>
        <v>0</v>
      </c>
      <c r="S633" t="str">
        <f t="shared" si="145"/>
        <v>LATER</v>
      </c>
      <c r="T633" t="str">
        <f t="shared" si="146"/>
        <v>SainteLague</v>
      </c>
      <c r="U633">
        <f t="shared" si="148"/>
        <v>632</v>
      </c>
      <c r="V633">
        <f t="shared" si="147"/>
        <v>190399</v>
      </c>
      <c r="W633" s="8" t="str">
        <f>VLOOKUP(V633,'ideas-input'!$A:$B,2,FALSE)</f>
        <v>Descontinuação do PIPOLI</v>
      </c>
      <c r="X633" t="str">
        <f t="shared" si="136"/>
        <v>SI-PRD</v>
      </c>
      <c r="Y633" s="8" t="str">
        <f>VLOOKUP(V633,'ideas-input'!$A:$D,4,FALSE)</f>
        <v>Business Solutions</v>
      </c>
      <c r="Z633" t="str">
        <f t="shared" si="137"/>
        <v>Technology</v>
      </c>
      <c r="AA633" t="str">
        <f t="shared" si="138"/>
        <v>Backlog</v>
      </c>
      <c r="AB633">
        <f t="shared" si="139"/>
        <v>19</v>
      </c>
      <c r="AC633">
        <f t="shared" si="140"/>
        <v>0.03</v>
      </c>
      <c r="AD633">
        <f t="shared" si="141"/>
        <v>1</v>
      </c>
      <c r="AE633">
        <f t="shared" si="142"/>
        <v>1</v>
      </c>
      <c r="AF633">
        <f t="shared" si="143"/>
        <v>1</v>
      </c>
      <c r="AG633">
        <f t="shared" si="144"/>
        <v>100</v>
      </c>
    </row>
    <row r="634" spans="1:33" x14ac:dyDescent="0.2">
      <c r="A634" t="s">
        <v>127</v>
      </c>
      <c r="B634" t="s">
        <v>128</v>
      </c>
      <c r="C634">
        <v>633</v>
      </c>
      <c r="D634">
        <v>57021</v>
      </c>
      <c r="E634" t="s">
        <v>275</v>
      </c>
      <c r="F634" t="s">
        <v>68</v>
      </c>
      <c r="G634" t="s">
        <v>10</v>
      </c>
      <c r="H634" t="s">
        <v>5</v>
      </c>
      <c r="I634" t="s">
        <v>91</v>
      </c>
      <c r="J634">
        <v>31</v>
      </c>
      <c r="K634">
        <v>0.03</v>
      </c>
      <c r="L634">
        <v>1</v>
      </c>
      <c r="M634">
        <v>1</v>
      </c>
      <c r="N634">
        <v>1</v>
      </c>
      <c r="O634">
        <v>100</v>
      </c>
      <c r="P634" t="b">
        <f t="shared" si="135"/>
        <v>0</v>
      </c>
      <c r="S634" t="str">
        <f t="shared" si="145"/>
        <v>LATER</v>
      </c>
      <c r="T634" t="str">
        <f t="shared" si="146"/>
        <v>SainteLague</v>
      </c>
      <c r="U634">
        <f t="shared" si="148"/>
        <v>633</v>
      </c>
      <c r="V634">
        <f t="shared" si="147"/>
        <v>57021</v>
      </c>
      <c r="W634" s="8" t="str">
        <f>VLOOKUP(V634,'ideas-input'!$A:$B,2,FALSE)</f>
        <v>[CANCEL SHIPMENT - Falta check ccc] URL Management rpc-cancel</v>
      </c>
      <c r="X634" t="str">
        <f t="shared" si="136"/>
        <v>IDC</v>
      </c>
      <c r="Y634" s="8" t="str">
        <f>VLOOKUP(V634,'ideas-input'!$A:$D,4,FALSE)</f>
        <v>eCommerce</v>
      </c>
      <c r="Z634" t="str">
        <f t="shared" si="137"/>
        <v>Commercial</v>
      </c>
      <c r="AA634" t="str">
        <f t="shared" si="138"/>
        <v>Backlog</v>
      </c>
      <c r="AB634">
        <f t="shared" si="139"/>
        <v>31</v>
      </c>
      <c r="AC634">
        <f t="shared" si="140"/>
        <v>0.03</v>
      </c>
      <c r="AD634">
        <f t="shared" si="141"/>
        <v>1</v>
      </c>
      <c r="AE634">
        <f t="shared" si="142"/>
        <v>1</v>
      </c>
      <c r="AF634">
        <f t="shared" si="143"/>
        <v>1</v>
      </c>
      <c r="AG634">
        <f t="shared" si="144"/>
        <v>100</v>
      </c>
    </row>
    <row r="635" spans="1:33" x14ac:dyDescent="0.2">
      <c r="A635" t="s">
        <v>127</v>
      </c>
      <c r="B635" t="s">
        <v>128</v>
      </c>
      <c r="C635">
        <v>634</v>
      </c>
      <c r="D635">
        <v>28297</v>
      </c>
      <c r="E635" t="s">
        <v>1357</v>
      </c>
      <c r="F635" t="s">
        <v>25</v>
      </c>
      <c r="G635" t="s">
        <v>379</v>
      </c>
      <c r="H635" t="s">
        <v>5</v>
      </c>
      <c r="I635" t="s">
        <v>91</v>
      </c>
      <c r="J635">
        <v>13</v>
      </c>
      <c r="K635">
        <v>0.03</v>
      </c>
      <c r="L635">
        <v>1</v>
      </c>
      <c r="M635">
        <v>1</v>
      </c>
      <c r="N635">
        <v>1</v>
      </c>
      <c r="O635">
        <v>100</v>
      </c>
      <c r="P635" t="b">
        <f t="shared" si="135"/>
        <v>0</v>
      </c>
      <c r="S635" t="str">
        <f t="shared" si="145"/>
        <v>LATER</v>
      </c>
      <c r="T635" t="str">
        <f t="shared" si="146"/>
        <v>SainteLague</v>
      </c>
      <c r="U635">
        <f t="shared" si="148"/>
        <v>634</v>
      </c>
      <c r="V635">
        <f t="shared" si="147"/>
        <v>28297</v>
      </c>
      <c r="W635" s="8" t="str">
        <f>VLOOKUP(V635,'ideas-input'!$A:$B,2,FALSE)</f>
        <v>B2C NAVe | GP B2C-Validação da data de Voo com a AT - Subsidio de Mobilidade</v>
      </c>
      <c r="X635" t="str">
        <f t="shared" si="136"/>
        <v>GP B2C</v>
      </c>
      <c r="Y635" s="8" t="str">
        <f>VLOOKUP(V635,'ideas-input'!$A:$D,4,FALSE)</f>
        <v>Retail &amp; Financial Services</v>
      </c>
      <c r="Z635" t="str">
        <f t="shared" si="137"/>
        <v>Commercial</v>
      </c>
      <c r="AA635" t="str">
        <f t="shared" si="138"/>
        <v>Backlog</v>
      </c>
      <c r="AB635">
        <f t="shared" si="139"/>
        <v>13</v>
      </c>
      <c r="AC635">
        <f t="shared" si="140"/>
        <v>0.03</v>
      </c>
      <c r="AD635">
        <f t="shared" si="141"/>
        <v>1</v>
      </c>
      <c r="AE635">
        <f t="shared" si="142"/>
        <v>1</v>
      </c>
      <c r="AF635">
        <f t="shared" si="143"/>
        <v>1</v>
      </c>
      <c r="AG635">
        <f t="shared" si="144"/>
        <v>100</v>
      </c>
    </row>
    <row r="636" spans="1:33" x14ac:dyDescent="0.2">
      <c r="A636" t="s">
        <v>127</v>
      </c>
      <c r="B636" t="s">
        <v>128</v>
      </c>
      <c r="C636">
        <v>635</v>
      </c>
      <c r="D636">
        <v>49778</v>
      </c>
      <c r="E636" t="s">
        <v>1300</v>
      </c>
      <c r="F636" t="s">
        <v>65</v>
      </c>
      <c r="G636" t="s">
        <v>10</v>
      </c>
      <c r="H636" t="s">
        <v>5</v>
      </c>
      <c r="I636" t="s">
        <v>91</v>
      </c>
      <c r="J636">
        <v>41</v>
      </c>
      <c r="K636">
        <v>0.03</v>
      </c>
      <c r="L636">
        <v>1</v>
      </c>
      <c r="M636">
        <v>1</v>
      </c>
      <c r="N636">
        <v>1</v>
      </c>
      <c r="O636">
        <v>100</v>
      </c>
      <c r="P636" t="b">
        <f t="shared" si="135"/>
        <v>0</v>
      </c>
      <c r="S636" t="str">
        <f t="shared" si="145"/>
        <v>LATER</v>
      </c>
      <c r="T636" t="str">
        <f t="shared" si="146"/>
        <v>SainteLague</v>
      </c>
      <c r="U636">
        <f t="shared" si="148"/>
        <v>635</v>
      </c>
      <c r="V636">
        <f t="shared" si="147"/>
        <v>49778</v>
      </c>
      <c r="W636" s="8" t="str">
        <f>VLOOKUP(V636,'ideas-input'!$A:$B,2,FALSE)</f>
        <v>[Nexus - MVP] [PUDOS] - Desvío a PUDO al vuelo en incidencia</v>
      </c>
      <c r="X636" t="str">
        <f t="shared" si="136"/>
        <v>CMO</v>
      </c>
      <c r="Y636" s="8" t="str">
        <f>VLOOKUP(V636,'ideas-input'!$A:$D,4,FALSE)</f>
        <v>eCommerce</v>
      </c>
      <c r="Z636" t="str">
        <f t="shared" si="137"/>
        <v>Commercial</v>
      </c>
      <c r="AA636" t="str">
        <f t="shared" si="138"/>
        <v>Backlog</v>
      </c>
      <c r="AB636">
        <f t="shared" si="139"/>
        <v>41</v>
      </c>
      <c r="AC636">
        <f t="shared" si="140"/>
        <v>0.03</v>
      </c>
      <c r="AD636">
        <f t="shared" si="141"/>
        <v>1</v>
      </c>
      <c r="AE636">
        <f t="shared" si="142"/>
        <v>1</v>
      </c>
      <c r="AF636">
        <f t="shared" si="143"/>
        <v>1</v>
      </c>
      <c r="AG636">
        <f t="shared" si="144"/>
        <v>100</v>
      </c>
    </row>
    <row r="637" spans="1:33" x14ac:dyDescent="0.2">
      <c r="A637" t="s">
        <v>127</v>
      </c>
      <c r="B637" t="s">
        <v>128</v>
      </c>
      <c r="C637">
        <v>636</v>
      </c>
      <c r="D637">
        <v>126580</v>
      </c>
      <c r="E637" t="s">
        <v>307</v>
      </c>
      <c r="F637" t="s">
        <v>9</v>
      </c>
      <c r="G637" t="s">
        <v>379</v>
      </c>
      <c r="H637" t="s">
        <v>8</v>
      </c>
      <c r="I637" t="s">
        <v>95</v>
      </c>
      <c r="J637">
        <v>50</v>
      </c>
      <c r="K637">
        <v>0.03</v>
      </c>
      <c r="L637">
        <v>1</v>
      </c>
      <c r="M637">
        <v>1</v>
      </c>
      <c r="N637">
        <v>1</v>
      </c>
      <c r="O637">
        <v>100</v>
      </c>
      <c r="P637" t="b">
        <f t="shared" si="135"/>
        <v>0</v>
      </c>
      <c r="S637" t="str">
        <f t="shared" si="145"/>
        <v>LATER</v>
      </c>
      <c r="T637" t="str">
        <f t="shared" si="146"/>
        <v>SainteLague</v>
      </c>
      <c r="U637">
        <f t="shared" si="148"/>
        <v>636</v>
      </c>
      <c r="V637">
        <f t="shared" si="147"/>
        <v>126580</v>
      </c>
      <c r="W637" s="8" t="str">
        <f>VLOOKUP(V637,'ideas-input'!$A:$B,2,FALSE)</f>
        <v>Estudo para levantamento e alternativa ao MUS (Microsoft)</v>
      </c>
      <c r="X637" t="str">
        <f t="shared" si="136"/>
        <v>SI</v>
      </c>
      <c r="Y637" s="8" t="str">
        <f>VLOOKUP(V637,'ideas-input'!$A:$D,4,FALSE)</f>
        <v>Mail</v>
      </c>
      <c r="Z637" t="str">
        <f t="shared" si="137"/>
        <v>Technology</v>
      </c>
      <c r="AA637" t="str">
        <f t="shared" si="138"/>
        <v>In Definition</v>
      </c>
      <c r="AB637">
        <f t="shared" si="139"/>
        <v>50</v>
      </c>
      <c r="AC637">
        <f t="shared" si="140"/>
        <v>0.03</v>
      </c>
      <c r="AD637">
        <f t="shared" si="141"/>
        <v>1</v>
      </c>
      <c r="AE637">
        <f t="shared" si="142"/>
        <v>1</v>
      </c>
      <c r="AF637">
        <f t="shared" si="143"/>
        <v>1</v>
      </c>
      <c r="AG637">
        <f t="shared" si="144"/>
        <v>100</v>
      </c>
    </row>
    <row r="638" spans="1:33" x14ac:dyDescent="0.2">
      <c r="A638" t="s">
        <v>127</v>
      </c>
      <c r="B638" t="s">
        <v>128</v>
      </c>
      <c r="C638">
        <v>637</v>
      </c>
      <c r="D638">
        <v>43504</v>
      </c>
      <c r="E638" t="s">
        <v>1311</v>
      </c>
      <c r="F638" t="s">
        <v>69</v>
      </c>
      <c r="G638" t="s">
        <v>10</v>
      </c>
      <c r="H638" t="s">
        <v>12</v>
      </c>
      <c r="I638" t="s">
        <v>91</v>
      </c>
      <c r="J638">
        <v>46</v>
      </c>
      <c r="K638">
        <v>0.03</v>
      </c>
      <c r="L638">
        <v>1</v>
      </c>
      <c r="M638">
        <v>1</v>
      </c>
      <c r="N638">
        <v>1</v>
      </c>
      <c r="O638">
        <v>100</v>
      </c>
      <c r="P638" t="b">
        <f t="shared" si="135"/>
        <v>0</v>
      </c>
      <c r="S638" t="str">
        <f t="shared" si="145"/>
        <v>LATER</v>
      </c>
      <c r="T638" t="str">
        <f t="shared" si="146"/>
        <v>SainteLague</v>
      </c>
      <c r="U638">
        <f t="shared" si="148"/>
        <v>637</v>
      </c>
      <c r="V638">
        <f t="shared" si="147"/>
        <v>43504</v>
      </c>
      <c r="W638" s="8" t="str">
        <f>VLOOKUP(V638,'ideas-input'!$A:$B,2,FALSE)</f>
        <v>[Alarmas Finanzas] Alarma-56 Envíos abonados más de una vez</v>
      </c>
      <c r="X638" t="str">
        <f t="shared" si="136"/>
        <v>CFO</v>
      </c>
      <c r="Y638" s="8" t="str">
        <f>VLOOKUP(V638,'ideas-input'!$A:$D,4,FALSE)</f>
        <v>eCommerce</v>
      </c>
      <c r="Z638" t="str">
        <f t="shared" si="137"/>
        <v>Corporate</v>
      </c>
      <c r="AA638" t="str">
        <f t="shared" si="138"/>
        <v>Backlog</v>
      </c>
      <c r="AB638">
        <f t="shared" si="139"/>
        <v>46</v>
      </c>
      <c r="AC638">
        <f t="shared" si="140"/>
        <v>0.03</v>
      </c>
      <c r="AD638">
        <f t="shared" si="141"/>
        <v>1</v>
      </c>
      <c r="AE638">
        <f t="shared" si="142"/>
        <v>1</v>
      </c>
      <c r="AF638">
        <f t="shared" si="143"/>
        <v>1</v>
      </c>
      <c r="AG638">
        <f t="shared" si="144"/>
        <v>100</v>
      </c>
    </row>
    <row r="639" spans="1:33" x14ac:dyDescent="0.2">
      <c r="A639" t="s">
        <v>127</v>
      </c>
      <c r="B639" t="s">
        <v>128</v>
      </c>
      <c r="C639">
        <v>638</v>
      </c>
      <c r="D639">
        <v>188749</v>
      </c>
      <c r="E639" t="s">
        <v>1696</v>
      </c>
      <c r="F639" t="s">
        <v>24</v>
      </c>
      <c r="G639" t="s">
        <v>379</v>
      </c>
      <c r="H639" t="s">
        <v>5</v>
      </c>
      <c r="I639" t="s">
        <v>91</v>
      </c>
      <c r="J639">
        <v>13</v>
      </c>
      <c r="K639">
        <v>0.03</v>
      </c>
      <c r="L639">
        <v>1</v>
      </c>
      <c r="M639">
        <v>1</v>
      </c>
      <c r="N639">
        <v>1</v>
      </c>
      <c r="O639">
        <v>100</v>
      </c>
      <c r="P639" t="b">
        <f t="shared" si="135"/>
        <v>0</v>
      </c>
      <c r="S639" t="str">
        <f t="shared" si="145"/>
        <v>LATER</v>
      </c>
      <c r="T639" t="str">
        <f t="shared" si="146"/>
        <v>SainteLague</v>
      </c>
      <c r="U639">
        <f t="shared" si="148"/>
        <v>638</v>
      </c>
      <c r="V639">
        <f t="shared" si="147"/>
        <v>188749</v>
      </c>
      <c r="W639" s="8" t="str">
        <f>VLOOKUP(V639,'ideas-input'!$A:$B,2,FALSE)</f>
        <v>Automatização Revisão Alertas AML  (Payshop)</v>
      </c>
      <c r="X639" t="str">
        <f t="shared" si="136"/>
        <v>GPG</v>
      </c>
      <c r="Y639" s="8" t="str">
        <f>VLOOKUP(V639,'ideas-input'!$A:$D,4,FALSE)</f>
        <v>Payments</v>
      </c>
      <c r="Z639" t="str">
        <f t="shared" si="137"/>
        <v>Commercial</v>
      </c>
      <c r="AA639" t="str">
        <f t="shared" si="138"/>
        <v>Backlog</v>
      </c>
      <c r="AB639">
        <f t="shared" si="139"/>
        <v>13</v>
      </c>
      <c r="AC639">
        <f t="shared" si="140"/>
        <v>0.03</v>
      </c>
      <c r="AD639">
        <f t="shared" si="141"/>
        <v>1</v>
      </c>
      <c r="AE639">
        <f t="shared" si="142"/>
        <v>1</v>
      </c>
      <c r="AF639">
        <f t="shared" si="143"/>
        <v>1</v>
      </c>
      <c r="AG639">
        <f t="shared" si="144"/>
        <v>100</v>
      </c>
    </row>
    <row r="640" spans="1:33" x14ac:dyDescent="0.2">
      <c r="A640" t="s">
        <v>127</v>
      </c>
      <c r="B640" t="s">
        <v>128</v>
      </c>
      <c r="C640">
        <v>639</v>
      </c>
      <c r="D640">
        <v>55058</v>
      </c>
      <c r="E640" t="s">
        <v>274</v>
      </c>
      <c r="F640" t="s">
        <v>66</v>
      </c>
      <c r="G640" t="s">
        <v>10</v>
      </c>
      <c r="H640" t="s">
        <v>5</v>
      </c>
      <c r="I640" t="s">
        <v>130</v>
      </c>
      <c r="J640">
        <v>35</v>
      </c>
      <c r="K640">
        <v>3</v>
      </c>
      <c r="L640">
        <v>1</v>
      </c>
      <c r="M640">
        <v>1</v>
      </c>
      <c r="N640">
        <v>1</v>
      </c>
      <c r="O640">
        <v>1</v>
      </c>
      <c r="P640" t="b">
        <f t="shared" si="135"/>
        <v>0</v>
      </c>
      <c r="S640" t="str">
        <f t="shared" si="145"/>
        <v>LATER</v>
      </c>
      <c r="T640" t="str">
        <f t="shared" si="146"/>
        <v>SainteLague</v>
      </c>
      <c r="U640">
        <f t="shared" si="148"/>
        <v>639</v>
      </c>
      <c r="V640">
        <f t="shared" si="147"/>
        <v>55058</v>
      </c>
      <c r="W640" s="8" t="str">
        <f>VLOOKUP(V640,'ideas-input'!$A:$B,2,FALSE)</f>
        <v>[Salesforce] - Datos de comisionista en Cuenta en el CRM</v>
      </c>
      <c r="X640" t="str">
        <f t="shared" si="136"/>
        <v>CCO</v>
      </c>
      <c r="Y640" s="8" t="str">
        <f>VLOOKUP(V640,'ideas-input'!$A:$D,4,FALSE)</f>
        <v>eCommerce</v>
      </c>
      <c r="Z640" t="str">
        <f t="shared" si="137"/>
        <v>Commercial</v>
      </c>
      <c r="AA640" t="str">
        <f t="shared" si="138"/>
        <v>High Level Design</v>
      </c>
      <c r="AB640">
        <f t="shared" si="139"/>
        <v>35</v>
      </c>
      <c r="AC640">
        <f t="shared" si="140"/>
        <v>3</v>
      </c>
      <c r="AD640">
        <f t="shared" si="141"/>
        <v>1</v>
      </c>
      <c r="AE640">
        <f t="shared" si="142"/>
        <v>1</v>
      </c>
      <c r="AF640">
        <f t="shared" si="143"/>
        <v>1</v>
      </c>
      <c r="AG640">
        <f t="shared" si="144"/>
        <v>1</v>
      </c>
    </row>
    <row r="641" spans="1:33" x14ac:dyDescent="0.2">
      <c r="A641" t="s">
        <v>127</v>
      </c>
      <c r="B641" t="s">
        <v>128</v>
      </c>
      <c r="C641">
        <v>640</v>
      </c>
      <c r="D641">
        <v>132063</v>
      </c>
      <c r="E641" t="s">
        <v>1306</v>
      </c>
      <c r="F641" t="s">
        <v>9</v>
      </c>
      <c r="G641" t="s">
        <v>379</v>
      </c>
      <c r="H641" t="s">
        <v>8</v>
      </c>
      <c r="I641" t="s">
        <v>91</v>
      </c>
      <c r="J641">
        <v>51</v>
      </c>
      <c r="K641">
        <v>7</v>
      </c>
      <c r="L641">
        <v>3</v>
      </c>
      <c r="M641">
        <v>2</v>
      </c>
      <c r="N641">
        <v>2</v>
      </c>
      <c r="O641">
        <v>1</v>
      </c>
      <c r="P641" t="b">
        <f t="shared" si="135"/>
        <v>0</v>
      </c>
      <c r="S641" t="str">
        <f t="shared" si="145"/>
        <v>LATER</v>
      </c>
      <c r="T641" t="str">
        <f t="shared" si="146"/>
        <v>SainteLague</v>
      </c>
      <c r="U641">
        <f t="shared" si="148"/>
        <v>640</v>
      </c>
      <c r="V641">
        <f t="shared" si="147"/>
        <v>132063</v>
      </c>
      <c r="W641" s="8" t="str">
        <f>VLOOKUP(V641,'ideas-input'!$A:$B,2,FALSE)</f>
        <v>ODM - Uniformização Ambiente Produtivo</v>
      </c>
      <c r="X641" t="str">
        <f t="shared" si="136"/>
        <v>SI</v>
      </c>
      <c r="Y641" s="8" t="str">
        <f>VLOOKUP(V641,'ideas-input'!$A:$D,4,FALSE)</f>
        <v>Mail</v>
      </c>
      <c r="Z641" t="str">
        <f t="shared" si="137"/>
        <v>Technology</v>
      </c>
      <c r="AA641" t="str">
        <f t="shared" si="138"/>
        <v>Backlog</v>
      </c>
      <c r="AB641">
        <f t="shared" si="139"/>
        <v>51</v>
      </c>
      <c r="AC641">
        <f t="shared" si="140"/>
        <v>7</v>
      </c>
      <c r="AD641">
        <f t="shared" si="141"/>
        <v>3</v>
      </c>
      <c r="AE641">
        <f t="shared" si="142"/>
        <v>2</v>
      </c>
      <c r="AF641">
        <f t="shared" si="143"/>
        <v>2</v>
      </c>
      <c r="AG641">
        <f t="shared" si="144"/>
        <v>1</v>
      </c>
    </row>
    <row r="642" spans="1:33" x14ac:dyDescent="0.2">
      <c r="A642" t="s">
        <v>127</v>
      </c>
      <c r="B642" t="s">
        <v>128</v>
      </c>
      <c r="C642">
        <v>641</v>
      </c>
      <c r="D642">
        <v>43505</v>
      </c>
      <c r="E642" t="s">
        <v>1313</v>
      </c>
      <c r="F642" t="s">
        <v>69</v>
      </c>
      <c r="G642" t="s">
        <v>10</v>
      </c>
      <c r="H642" t="s">
        <v>12</v>
      </c>
      <c r="I642" t="s">
        <v>91</v>
      </c>
      <c r="J642">
        <v>47</v>
      </c>
      <c r="K642">
        <v>0.03</v>
      </c>
      <c r="L642">
        <v>1</v>
      </c>
      <c r="M642">
        <v>1</v>
      </c>
      <c r="N642">
        <v>1</v>
      </c>
      <c r="O642">
        <v>100</v>
      </c>
      <c r="P642" t="b">
        <f t="shared" ref="P642:P705" si="149">AND(C642&lt;$Q$1,IF(ISBLANK(C642),0,C642)&gt;0)</f>
        <v>0</v>
      </c>
      <c r="S642" t="str">
        <f t="shared" si="145"/>
        <v>LATER</v>
      </c>
      <c r="T642" t="str">
        <f t="shared" si="146"/>
        <v>SainteLague</v>
      </c>
      <c r="U642">
        <f t="shared" si="148"/>
        <v>641</v>
      </c>
      <c r="V642">
        <f t="shared" si="147"/>
        <v>43505</v>
      </c>
      <c r="W642" s="8" t="str">
        <f>VLOOKUP(V642,'ideas-input'!$A:$B,2,FALSE)</f>
        <v>[Alarmas Finanzas] Alarma-55 Envíos pendientes de valorizar o sin facturar del mes anterior</v>
      </c>
      <c r="X642" t="str">
        <f t="shared" ref="X642:X705" si="150">F642</f>
        <v>CFO</v>
      </c>
      <c r="Y642" s="8" t="str">
        <f>VLOOKUP(V642,'ideas-input'!$A:$D,4,FALSE)</f>
        <v>eCommerce</v>
      </c>
      <c r="Z642" t="str">
        <f t="shared" ref="Z642:Z705" si="151">H642</f>
        <v>Corporate</v>
      </c>
      <c r="AA642" t="str">
        <f t="shared" ref="AA642:AA705" si="152">I642</f>
        <v>Backlog</v>
      </c>
      <c r="AB642">
        <f t="shared" ref="AB642:AB705" si="153">J642</f>
        <v>47</v>
      </c>
      <c r="AC642">
        <f t="shared" ref="AC642:AC705" si="154">K642</f>
        <v>0.03</v>
      </c>
      <c r="AD642">
        <f t="shared" ref="AD642:AD705" si="155">L642</f>
        <v>1</v>
      </c>
      <c r="AE642">
        <f t="shared" ref="AE642:AE705" si="156">M642</f>
        <v>1</v>
      </c>
      <c r="AF642">
        <f t="shared" ref="AF642:AF705" si="157">N642</f>
        <v>1</v>
      </c>
      <c r="AG642">
        <f t="shared" ref="AG642:AG705" si="158">O642</f>
        <v>100</v>
      </c>
    </row>
    <row r="643" spans="1:33" x14ac:dyDescent="0.2">
      <c r="A643" t="s">
        <v>127</v>
      </c>
      <c r="B643" t="s">
        <v>128</v>
      </c>
      <c r="C643">
        <v>642</v>
      </c>
      <c r="D643">
        <v>189783</v>
      </c>
      <c r="E643" t="s">
        <v>1363</v>
      </c>
      <c r="F643" t="s">
        <v>21</v>
      </c>
      <c r="G643" t="s">
        <v>379</v>
      </c>
      <c r="H643" t="s">
        <v>5</v>
      </c>
      <c r="I643" t="s">
        <v>91</v>
      </c>
      <c r="J643">
        <v>23</v>
      </c>
      <c r="K643">
        <v>0.03</v>
      </c>
      <c r="L643">
        <v>1</v>
      </c>
      <c r="M643">
        <v>1</v>
      </c>
      <c r="N643">
        <v>1</v>
      </c>
      <c r="O643">
        <v>100</v>
      </c>
      <c r="P643" t="b">
        <f t="shared" si="149"/>
        <v>0</v>
      </c>
      <c r="S643" t="str">
        <f t="shared" si="145"/>
        <v>LATER</v>
      </c>
      <c r="T643" t="str">
        <f t="shared" si="146"/>
        <v>SainteLague</v>
      </c>
      <c r="U643">
        <f t="shared" si="148"/>
        <v>642</v>
      </c>
      <c r="V643">
        <f t="shared" si="147"/>
        <v>189783</v>
      </c>
      <c r="W643" s="8" t="str">
        <f>VLOOKUP(V643,'ideas-input'!$A:$B,2,FALSE)</f>
        <v>Melhorias área cliente correio</v>
      </c>
      <c r="X643" t="str">
        <f t="shared" si="150"/>
        <v>GP B2B</v>
      </c>
      <c r="Y643" s="8" t="str">
        <f>VLOOKUP(V643,'ideas-input'!$A:$D,4,FALSE)</f>
        <v>Mail</v>
      </c>
      <c r="Z643" t="str">
        <f t="shared" si="151"/>
        <v>Commercial</v>
      </c>
      <c r="AA643" t="str">
        <f t="shared" si="152"/>
        <v>Backlog</v>
      </c>
      <c r="AB643">
        <f t="shared" si="153"/>
        <v>23</v>
      </c>
      <c r="AC643">
        <f t="shared" si="154"/>
        <v>0.03</v>
      </c>
      <c r="AD643">
        <f t="shared" si="155"/>
        <v>1</v>
      </c>
      <c r="AE643">
        <f t="shared" si="156"/>
        <v>1</v>
      </c>
      <c r="AF643">
        <f t="shared" si="157"/>
        <v>1</v>
      </c>
      <c r="AG643">
        <f t="shared" si="158"/>
        <v>100</v>
      </c>
    </row>
    <row r="644" spans="1:33" x14ac:dyDescent="0.2">
      <c r="A644" t="s">
        <v>127</v>
      </c>
      <c r="B644" t="s">
        <v>128</v>
      </c>
      <c r="C644">
        <v>643</v>
      </c>
      <c r="D644">
        <v>47877</v>
      </c>
      <c r="E644" t="s">
        <v>1381</v>
      </c>
      <c r="F644" t="s">
        <v>68</v>
      </c>
      <c r="G644" t="s">
        <v>10</v>
      </c>
      <c r="H644" t="s">
        <v>5</v>
      </c>
      <c r="I644" t="s">
        <v>95</v>
      </c>
      <c r="J644">
        <v>32</v>
      </c>
      <c r="K644">
        <v>0.03</v>
      </c>
      <c r="L644">
        <v>1</v>
      </c>
      <c r="M644">
        <v>1</v>
      </c>
      <c r="N644">
        <v>1</v>
      </c>
      <c r="O644">
        <v>100</v>
      </c>
      <c r="P644" t="b">
        <f t="shared" si="149"/>
        <v>0</v>
      </c>
      <c r="S644" t="str">
        <f t="shared" si="145"/>
        <v>LATER</v>
      </c>
      <c r="T644" t="str">
        <f t="shared" si="146"/>
        <v>SainteLague</v>
      </c>
      <c r="U644">
        <f t="shared" si="148"/>
        <v>643</v>
      </c>
      <c r="V644">
        <f t="shared" si="147"/>
        <v>47877</v>
      </c>
      <c r="W644" s="8" t="str">
        <f>VLOOKUP(V644,'ideas-input'!$A:$B,2,FALSE)</f>
        <v>API'S para clientes Tipos Servicio Disponibles (Integración de Clientes)</v>
      </c>
      <c r="X644" t="str">
        <f t="shared" si="150"/>
        <v>IDC</v>
      </c>
      <c r="Y644" s="8" t="str">
        <f>VLOOKUP(V644,'ideas-input'!$A:$D,4,FALSE)</f>
        <v>eCommerce</v>
      </c>
      <c r="Z644" t="str">
        <f t="shared" si="151"/>
        <v>Commercial</v>
      </c>
      <c r="AA644" t="str">
        <f t="shared" si="152"/>
        <v>In Definition</v>
      </c>
      <c r="AB644">
        <f t="shared" si="153"/>
        <v>32</v>
      </c>
      <c r="AC644">
        <f t="shared" si="154"/>
        <v>0.03</v>
      </c>
      <c r="AD644">
        <f t="shared" si="155"/>
        <v>1</v>
      </c>
      <c r="AE644">
        <f t="shared" si="156"/>
        <v>1</v>
      </c>
      <c r="AF644">
        <f t="shared" si="157"/>
        <v>1</v>
      </c>
      <c r="AG644">
        <f t="shared" si="158"/>
        <v>100</v>
      </c>
    </row>
    <row r="645" spans="1:33" x14ac:dyDescent="0.2">
      <c r="A645" t="s">
        <v>127</v>
      </c>
      <c r="B645" t="s">
        <v>128</v>
      </c>
      <c r="C645">
        <v>644</v>
      </c>
      <c r="D645">
        <v>95633</v>
      </c>
      <c r="E645" t="s">
        <v>305</v>
      </c>
      <c r="F645" t="s">
        <v>9</v>
      </c>
      <c r="G645" t="s">
        <v>379</v>
      </c>
      <c r="H645" t="s">
        <v>8</v>
      </c>
      <c r="I645" t="s">
        <v>91</v>
      </c>
      <c r="J645">
        <v>52</v>
      </c>
      <c r="K645">
        <v>0.03</v>
      </c>
      <c r="L645">
        <v>1</v>
      </c>
      <c r="M645">
        <v>1</v>
      </c>
      <c r="N645">
        <v>1</v>
      </c>
      <c r="O645">
        <v>100</v>
      </c>
      <c r="P645" t="b">
        <f t="shared" si="149"/>
        <v>0</v>
      </c>
      <c r="S645" t="str">
        <f t="shared" si="145"/>
        <v>LATER</v>
      </c>
      <c r="T645" t="str">
        <f t="shared" si="146"/>
        <v>SainteLague</v>
      </c>
      <c r="U645">
        <f t="shared" si="148"/>
        <v>644</v>
      </c>
      <c r="V645">
        <f t="shared" si="147"/>
        <v>95633</v>
      </c>
      <c r="W645" s="8" t="str">
        <f>VLOOKUP(V645,'ideas-input'!$A:$B,2,FALSE)</f>
        <v>Assinaturas de autenticidade emails</v>
      </c>
      <c r="X645" t="str">
        <f t="shared" si="150"/>
        <v>SI</v>
      </c>
      <c r="Y645" s="8" t="str">
        <f>VLOOKUP(V645,'ideas-input'!$A:$D,4,FALSE)</f>
        <v>Mail</v>
      </c>
      <c r="Z645" t="str">
        <f t="shared" si="151"/>
        <v>Technology</v>
      </c>
      <c r="AA645" t="str">
        <f t="shared" si="152"/>
        <v>Backlog</v>
      </c>
      <c r="AB645">
        <f t="shared" si="153"/>
        <v>52</v>
      </c>
      <c r="AC645">
        <f t="shared" si="154"/>
        <v>0.03</v>
      </c>
      <c r="AD645">
        <f t="shared" si="155"/>
        <v>1</v>
      </c>
      <c r="AE645">
        <f t="shared" si="156"/>
        <v>1</v>
      </c>
      <c r="AF645">
        <f t="shared" si="157"/>
        <v>1</v>
      </c>
      <c r="AG645">
        <f t="shared" si="158"/>
        <v>100</v>
      </c>
    </row>
    <row r="646" spans="1:33" x14ac:dyDescent="0.2">
      <c r="A646" t="s">
        <v>127</v>
      </c>
      <c r="B646" t="s">
        <v>128</v>
      </c>
      <c r="C646">
        <v>645</v>
      </c>
      <c r="D646">
        <v>43553</v>
      </c>
      <c r="E646" t="s">
        <v>1315</v>
      </c>
      <c r="F646" t="s">
        <v>69</v>
      </c>
      <c r="G646" t="s">
        <v>10</v>
      </c>
      <c r="H646" t="s">
        <v>12</v>
      </c>
      <c r="I646" t="s">
        <v>91</v>
      </c>
      <c r="J646">
        <v>48</v>
      </c>
      <c r="K646">
        <v>0.03</v>
      </c>
      <c r="L646">
        <v>1</v>
      </c>
      <c r="M646">
        <v>1</v>
      </c>
      <c r="N646">
        <v>1</v>
      </c>
      <c r="O646">
        <v>100</v>
      </c>
      <c r="P646" t="b">
        <f t="shared" si="149"/>
        <v>0</v>
      </c>
      <c r="S646" t="str">
        <f t="shared" si="145"/>
        <v>LATER</v>
      </c>
      <c r="T646" t="str">
        <f t="shared" si="146"/>
        <v>SainteLague</v>
      </c>
      <c r="U646">
        <f t="shared" si="148"/>
        <v>645</v>
      </c>
      <c r="V646">
        <f t="shared" si="147"/>
        <v>43553</v>
      </c>
      <c r="W646" s="8" t="str">
        <f>VLOOKUP(V646,'ideas-input'!$A:$B,2,FALSE)</f>
        <v>[Compras] Implantación e-Compras - Nueva Web venta material clientes (proyecto de finanzas 2023)</v>
      </c>
      <c r="X646" t="str">
        <f t="shared" si="150"/>
        <v>CFO</v>
      </c>
      <c r="Y646" s="8" t="str">
        <f>VLOOKUP(V646,'ideas-input'!$A:$D,4,FALSE)</f>
        <v>eCommerce</v>
      </c>
      <c r="Z646" t="str">
        <f t="shared" si="151"/>
        <v>Corporate</v>
      </c>
      <c r="AA646" t="str">
        <f t="shared" si="152"/>
        <v>Backlog</v>
      </c>
      <c r="AB646">
        <f t="shared" si="153"/>
        <v>48</v>
      </c>
      <c r="AC646">
        <f t="shared" si="154"/>
        <v>0.03</v>
      </c>
      <c r="AD646">
        <f t="shared" si="155"/>
        <v>1</v>
      </c>
      <c r="AE646">
        <f t="shared" si="156"/>
        <v>1</v>
      </c>
      <c r="AF646">
        <f t="shared" si="157"/>
        <v>1</v>
      </c>
      <c r="AG646">
        <f t="shared" si="158"/>
        <v>100</v>
      </c>
    </row>
    <row r="647" spans="1:33" x14ac:dyDescent="0.2">
      <c r="A647" t="s">
        <v>127</v>
      </c>
      <c r="B647" t="s">
        <v>128</v>
      </c>
      <c r="C647">
        <v>646</v>
      </c>
      <c r="D647">
        <v>94164</v>
      </c>
      <c r="E647" t="s">
        <v>1366</v>
      </c>
      <c r="F647" t="s">
        <v>23</v>
      </c>
      <c r="G647" t="s">
        <v>379</v>
      </c>
      <c r="H647" t="s">
        <v>5</v>
      </c>
      <c r="I647" t="s">
        <v>91</v>
      </c>
      <c r="J647">
        <v>23</v>
      </c>
      <c r="K647">
        <v>0.03</v>
      </c>
      <c r="L647">
        <v>1</v>
      </c>
      <c r="M647">
        <v>1</v>
      </c>
      <c r="N647">
        <v>1</v>
      </c>
      <c r="O647">
        <v>100</v>
      </c>
      <c r="P647" t="b">
        <f t="shared" si="149"/>
        <v>0</v>
      </c>
      <c r="S647" t="str">
        <f t="shared" si="145"/>
        <v>LATER</v>
      </c>
      <c r="T647" t="str">
        <f t="shared" si="146"/>
        <v>SainteLague</v>
      </c>
      <c r="U647">
        <f t="shared" si="148"/>
        <v>646</v>
      </c>
      <c r="V647">
        <f t="shared" si="147"/>
        <v>94164</v>
      </c>
      <c r="W647" s="8" t="str">
        <f>VLOOKUP(V647,'ideas-input'!$A:$B,2,FALSE)</f>
        <v>Reconfiguração de Zonas de Taxação | Produtos Internacionais Expresso</v>
      </c>
      <c r="X647" t="str">
        <f t="shared" si="150"/>
        <v>GP ECL</v>
      </c>
      <c r="Y647" s="8" t="str">
        <f>VLOOKUP(V647,'ideas-input'!$A:$D,4,FALSE)</f>
        <v>eCommerce</v>
      </c>
      <c r="Z647" t="str">
        <f t="shared" si="151"/>
        <v>Commercial</v>
      </c>
      <c r="AA647" t="str">
        <f t="shared" si="152"/>
        <v>Backlog</v>
      </c>
      <c r="AB647">
        <f t="shared" si="153"/>
        <v>23</v>
      </c>
      <c r="AC647">
        <f t="shared" si="154"/>
        <v>0.03</v>
      </c>
      <c r="AD647">
        <f t="shared" si="155"/>
        <v>1</v>
      </c>
      <c r="AE647">
        <f t="shared" si="156"/>
        <v>1</v>
      </c>
      <c r="AF647">
        <f t="shared" si="157"/>
        <v>1</v>
      </c>
      <c r="AG647">
        <f t="shared" si="158"/>
        <v>100</v>
      </c>
    </row>
    <row r="648" spans="1:33" x14ac:dyDescent="0.2">
      <c r="A648" t="s">
        <v>127</v>
      </c>
      <c r="B648" t="s">
        <v>128</v>
      </c>
      <c r="C648">
        <v>647</v>
      </c>
      <c r="D648">
        <v>54317</v>
      </c>
      <c r="E648" t="s">
        <v>1303</v>
      </c>
      <c r="F648" t="s">
        <v>65</v>
      </c>
      <c r="G648" t="s">
        <v>10</v>
      </c>
      <c r="H648" t="s">
        <v>5</v>
      </c>
      <c r="I648" t="s">
        <v>91</v>
      </c>
      <c r="J648">
        <v>42</v>
      </c>
      <c r="K648">
        <v>0.03</v>
      </c>
      <c r="L648">
        <v>1</v>
      </c>
      <c r="M648">
        <v>1</v>
      </c>
      <c r="N648">
        <v>1</v>
      </c>
      <c r="O648">
        <v>100</v>
      </c>
      <c r="P648" t="b">
        <f t="shared" si="149"/>
        <v>0</v>
      </c>
      <c r="S648" t="str">
        <f t="shared" si="145"/>
        <v>LATER</v>
      </c>
      <c r="T648" t="str">
        <f t="shared" si="146"/>
        <v>SainteLague</v>
      </c>
      <c r="U648">
        <f t="shared" si="148"/>
        <v>647</v>
      </c>
      <c r="V648">
        <f t="shared" si="147"/>
        <v>54317</v>
      </c>
      <c r="W648" s="8" t="str">
        <f>VLOOKUP(V648,'ideas-input'!$A:$B,2,FALSE)</f>
        <v>[Desconexión SGC] [ FR y BR Web de clientes] - Proyecto Cloud (borrador)</v>
      </c>
      <c r="X648" t="str">
        <f t="shared" si="150"/>
        <v>CMO</v>
      </c>
      <c r="Y648" s="8" t="str">
        <f>VLOOKUP(V648,'ideas-input'!$A:$D,4,FALSE)</f>
        <v>eCommerce</v>
      </c>
      <c r="Z648" t="str">
        <f t="shared" si="151"/>
        <v>Commercial</v>
      </c>
      <c r="AA648" t="str">
        <f t="shared" si="152"/>
        <v>Backlog</v>
      </c>
      <c r="AB648">
        <f t="shared" si="153"/>
        <v>42</v>
      </c>
      <c r="AC648">
        <f t="shared" si="154"/>
        <v>0.03</v>
      </c>
      <c r="AD648">
        <f t="shared" si="155"/>
        <v>1</v>
      </c>
      <c r="AE648">
        <f t="shared" si="156"/>
        <v>1</v>
      </c>
      <c r="AF648">
        <f t="shared" si="157"/>
        <v>1</v>
      </c>
      <c r="AG648">
        <f t="shared" si="158"/>
        <v>100</v>
      </c>
    </row>
    <row r="649" spans="1:33" x14ac:dyDescent="0.2">
      <c r="A649" t="s">
        <v>127</v>
      </c>
      <c r="B649" t="s">
        <v>128</v>
      </c>
      <c r="C649">
        <v>648</v>
      </c>
      <c r="D649">
        <v>173281</v>
      </c>
      <c r="E649" t="s">
        <v>271</v>
      </c>
      <c r="F649" t="s">
        <v>38</v>
      </c>
      <c r="G649" t="s">
        <v>379</v>
      </c>
      <c r="H649" t="s">
        <v>5</v>
      </c>
      <c r="I649" t="s">
        <v>91</v>
      </c>
      <c r="J649">
        <v>16</v>
      </c>
      <c r="K649">
        <v>0.03</v>
      </c>
      <c r="L649">
        <v>1</v>
      </c>
      <c r="M649">
        <v>1</v>
      </c>
      <c r="N649">
        <v>1</v>
      </c>
      <c r="O649">
        <v>100</v>
      </c>
      <c r="P649" t="b">
        <f t="shared" si="149"/>
        <v>0</v>
      </c>
      <c r="S649" t="str">
        <f t="shared" si="145"/>
        <v>LATER</v>
      </c>
      <c r="T649" t="str">
        <f t="shared" si="146"/>
        <v>SainteLague</v>
      </c>
      <c r="U649">
        <f t="shared" si="148"/>
        <v>648</v>
      </c>
      <c r="V649">
        <f t="shared" si="147"/>
        <v>173281</v>
      </c>
      <c r="W649" s="8" t="str">
        <f>VLOOKUP(V649,'ideas-input'!$A:$B,2,FALSE)</f>
        <v>Motor de Pesquisa de Varios objetos no S&amp;V</v>
      </c>
      <c r="X649" t="str">
        <f t="shared" si="150"/>
        <v>CSI</v>
      </c>
      <c r="Y649" s="8" t="str">
        <f>VLOOKUP(V649,'ideas-input'!$A:$D,4,FALSE)</f>
        <v>Mail</v>
      </c>
      <c r="Z649" t="str">
        <f t="shared" si="151"/>
        <v>Commercial</v>
      </c>
      <c r="AA649" t="str">
        <f t="shared" si="152"/>
        <v>Backlog</v>
      </c>
      <c r="AB649">
        <f t="shared" si="153"/>
        <v>16</v>
      </c>
      <c r="AC649">
        <f t="shared" si="154"/>
        <v>0.03</v>
      </c>
      <c r="AD649">
        <f t="shared" si="155"/>
        <v>1</v>
      </c>
      <c r="AE649">
        <f t="shared" si="156"/>
        <v>1</v>
      </c>
      <c r="AF649">
        <f t="shared" si="157"/>
        <v>1</v>
      </c>
      <c r="AG649">
        <f t="shared" si="158"/>
        <v>100</v>
      </c>
    </row>
    <row r="650" spans="1:33" x14ac:dyDescent="0.2">
      <c r="A650" t="s">
        <v>127</v>
      </c>
      <c r="B650" t="s">
        <v>128</v>
      </c>
      <c r="C650">
        <v>649</v>
      </c>
      <c r="D650">
        <v>43535</v>
      </c>
      <c r="E650" t="s">
        <v>1317</v>
      </c>
      <c r="F650" t="s">
        <v>69</v>
      </c>
      <c r="G650" t="s">
        <v>10</v>
      </c>
      <c r="H650" t="s">
        <v>12</v>
      </c>
      <c r="I650" t="s">
        <v>91</v>
      </c>
      <c r="J650">
        <v>49</v>
      </c>
      <c r="K650">
        <v>0.03</v>
      </c>
      <c r="L650">
        <v>1</v>
      </c>
      <c r="M650">
        <v>1</v>
      </c>
      <c r="N650">
        <v>1</v>
      </c>
      <c r="O650">
        <v>100</v>
      </c>
      <c r="P650" t="b">
        <f t="shared" si="149"/>
        <v>0</v>
      </c>
      <c r="S650" t="str">
        <f t="shared" si="145"/>
        <v>LATER</v>
      </c>
      <c r="T650" t="str">
        <f t="shared" si="146"/>
        <v>SainteLague</v>
      </c>
      <c r="U650">
        <f t="shared" si="148"/>
        <v>649</v>
      </c>
      <c r="V650">
        <f t="shared" si="147"/>
        <v>43535</v>
      </c>
      <c r="W650" s="8" t="str">
        <f>VLOOKUP(V650,'ideas-input'!$A:$B,2,FALSE)</f>
        <v>[Evolutivos SGC] Cambio de código de Cliente al rectificar un servicio, confirmar IT si todo el proceso esta acabado (Incidencia)</v>
      </c>
      <c r="X650" t="str">
        <f t="shared" si="150"/>
        <v>CFO</v>
      </c>
      <c r="Y650" s="8" t="str">
        <f>VLOOKUP(V650,'ideas-input'!$A:$D,4,FALSE)</f>
        <v>eCommerce</v>
      </c>
      <c r="Z650" t="str">
        <f t="shared" si="151"/>
        <v>Corporate</v>
      </c>
      <c r="AA650" t="str">
        <f t="shared" si="152"/>
        <v>Backlog</v>
      </c>
      <c r="AB650">
        <f t="shared" si="153"/>
        <v>49</v>
      </c>
      <c r="AC650">
        <f t="shared" si="154"/>
        <v>0.03</v>
      </c>
      <c r="AD650">
        <f t="shared" si="155"/>
        <v>1</v>
      </c>
      <c r="AE650">
        <f t="shared" si="156"/>
        <v>1</v>
      </c>
      <c r="AF650">
        <f t="shared" si="157"/>
        <v>1</v>
      </c>
      <c r="AG650">
        <f t="shared" si="158"/>
        <v>100</v>
      </c>
    </row>
    <row r="651" spans="1:33" x14ac:dyDescent="0.2">
      <c r="A651" t="s">
        <v>127</v>
      </c>
      <c r="B651" t="s">
        <v>128</v>
      </c>
      <c r="C651">
        <v>650</v>
      </c>
      <c r="D651">
        <v>177539</v>
      </c>
      <c r="E651" t="s">
        <v>1310</v>
      </c>
      <c r="F651" t="s">
        <v>58</v>
      </c>
      <c r="G651" t="s">
        <v>379</v>
      </c>
      <c r="H651" t="s">
        <v>8</v>
      </c>
      <c r="I651" t="s">
        <v>91</v>
      </c>
      <c r="J651">
        <v>20</v>
      </c>
      <c r="K651">
        <v>0.03</v>
      </c>
      <c r="L651">
        <v>1</v>
      </c>
      <c r="M651">
        <v>1</v>
      </c>
      <c r="N651">
        <v>1</v>
      </c>
      <c r="O651">
        <v>100</v>
      </c>
      <c r="P651" t="b">
        <f t="shared" si="149"/>
        <v>0</v>
      </c>
      <c r="S651" t="str">
        <f t="shared" si="145"/>
        <v>LATER</v>
      </c>
      <c r="T651" t="str">
        <f t="shared" si="146"/>
        <v>SainteLague</v>
      </c>
      <c r="U651">
        <f t="shared" si="148"/>
        <v>650</v>
      </c>
      <c r="V651">
        <f t="shared" si="147"/>
        <v>177539</v>
      </c>
      <c r="W651" s="8" t="str">
        <f>VLOOKUP(V651,'ideas-input'!$A:$B,2,FALSE)</f>
        <v>Evolução tecnológica do PIAO</v>
      </c>
      <c r="X651" t="str">
        <f t="shared" si="150"/>
        <v>SI-PRD</v>
      </c>
      <c r="Y651" s="8" t="str">
        <f>VLOOKUP(V651,'ideas-input'!$A:$D,4,FALSE)</f>
        <v>Business Solutions</v>
      </c>
      <c r="Z651" t="str">
        <f t="shared" si="151"/>
        <v>Technology</v>
      </c>
      <c r="AA651" t="str">
        <f t="shared" si="152"/>
        <v>Backlog</v>
      </c>
      <c r="AB651">
        <f t="shared" si="153"/>
        <v>20</v>
      </c>
      <c r="AC651">
        <f t="shared" si="154"/>
        <v>0.03</v>
      </c>
      <c r="AD651">
        <f t="shared" si="155"/>
        <v>1</v>
      </c>
      <c r="AE651">
        <f t="shared" si="156"/>
        <v>1</v>
      </c>
      <c r="AF651">
        <f t="shared" si="157"/>
        <v>1</v>
      </c>
      <c r="AG651">
        <f t="shared" si="158"/>
        <v>100</v>
      </c>
    </row>
    <row r="652" spans="1:33" x14ac:dyDescent="0.2">
      <c r="A652" t="s">
        <v>127</v>
      </c>
      <c r="B652" t="s">
        <v>128</v>
      </c>
      <c r="C652">
        <v>651</v>
      </c>
      <c r="D652">
        <v>54720</v>
      </c>
      <c r="E652" t="s">
        <v>278</v>
      </c>
      <c r="F652" t="s">
        <v>66</v>
      </c>
      <c r="G652" t="s">
        <v>10</v>
      </c>
      <c r="H652" t="s">
        <v>5</v>
      </c>
      <c r="I652" t="s">
        <v>91</v>
      </c>
      <c r="J652">
        <v>36</v>
      </c>
      <c r="K652">
        <v>0.03</v>
      </c>
      <c r="L652">
        <v>1</v>
      </c>
      <c r="M652">
        <v>1</v>
      </c>
      <c r="N652">
        <v>1</v>
      </c>
      <c r="O652">
        <v>100</v>
      </c>
      <c r="P652" t="b">
        <f t="shared" si="149"/>
        <v>0</v>
      </c>
      <c r="S652" t="str">
        <f t="shared" si="145"/>
        <v>LATER</v>
      </c>
      <c r="T652" t="str">
        <f t="shared" si="146"/>
        <v>SainteLague</v>
      </c>
      <c r="U652">
        <f t="shared" si="148"/>
        <v>651</v>
      </c>
      <c r="V652">
        <f t="shared" si="147"/>
        <v>54720</v>
      </c>
      <c r="W652" s="8" t="str">
        <f>VLOOKUP(V652,'ideas-input'!$A:$B,2,FALSE)</f>
        <v>[Salesforce Sales] - Completar campo Estado / provincia</v>
      </c>
      <c r="X652" t="str">
        <f t="shared" si="150"/>
        <v>CCO</v>
      </c>
      <c r="Y652" s="8" t="str">
        <f>VLOOKUP(V652,'ideas-input'!$A:$D,4,FALSE)</f>
        <v>eCommerce</v>
      </c>
      <c r="Z652" t="str">
        <f t="shared" si="151"/>
        <v>Commercial</v>
      </c>
      <c r="AA652" t="str">
        <f t="shared" si="152"/>
        <v>Backlog</v>
      </c>
      <c r="AB652">
        <f t="shared" si="153"/>
        <v>36</v>
      </c>
      <c r="AC652">
        <f t="shared" si="154"/>
        <v>0.03</v>
      </c>
      <c r="AD652">
        <f t="shared" si="155"/>
        <v>1</v>
      </c>
      <c r="AE652">
        <f t="shared" si="156"/>
        <v>1</v>
      </c>
      <c r="AF652">
        <f t="shared" si="157"/>
        <v>1</v>
      </c>
      <c r="AG652">
        <f t="shared" si="158"/>
        <v>100</v>
      </c>
    </row>
    <row r="653" spans="1:33" x14ac:dyDescent="0.2">
      <c r="A653" t="s">
        <v>127</v>
      </c>
      <c r="B653" t="s">
        <v>128</v>
      </c>
      <c r="C653">
        <v>652</v>
      </c>
      <c r="D653">
        <v>206177</v>
      </c>
      <c r="E653" t="s">
        <v>232</v>
      </c>
      <c r="F653" t="s">
        <v>37</v>
      </c>
      <c r="G653" t="s">
        <v>379</v>
      </c>
      <c r="H653" t="s">
        <v>5</v>
      </c>
      <c r="I653" t="s">
        <v>91</v>
      </c>
      <c r="J653">
        <v>18</v>
      </c>
      <c r="K653">
        <v>0.03</v>
      </c>
      <c r="L653">
        <v>1</v>
      </c>
      <c r="M653">
        <v>1</v>
      </c>
      <c r="N653">
        <v>1</v>
      </c>
      <c r="O653">
        <v>100</v>
      </c>
      <c r="P653" t="b">
        <f t="shared" si="149"/>
        <v>0</v>
      </c>
      <c r="S653" t="str">
        <f t="shared" si="145"/>
        <v>LATER</v>
      </c>
      <c r="T653" t="str">
        <f t="shared" si="146"/>
        <v>SainteLague</v>
      </c>
      <c r="U653">
        <f t="shared" si="148"/>
        <v>652</v>
      </c>
      <c r="V653">
        <f t="shared" si="147"/>
        <v>206177</v>
      </c>
      <c r="W653" s="8" t="str">
        <f>VLOOKUP(V653,'ideas-input'!$A:$B,2,FALSE)</f>
        <v>Galaxy | Avisados em Mobi - Indicadores de Loja (Modelo 415)</v>
      </c>
      <c r="X653" t="str">
        <f t="shared" si="150"/>
        <v>GS</v>
      </c>
      <c r="Y653" s="8" t="str">
        <f>VLOOKUP(V653,'ideas-input'!$A:$D,4,FALSE)</f>
        <v>Mail</v>
      </c>
      <c r="Z653" t="str">
        <f t="shared" si="151"/>
        <v>Commercial</v>
      </c>
      <c r="AA653" t="str">
        <f t="shared" si="152"/>
        <v>Backlog</v>
      </c>
      <c r="AB653">
        <f t="shared" si="153"/>
        <v>18</v>
      </c>
      <c r="AC653">
        <f t="shared" si="154"/>
        <v>0.03</v>
      </c>
      <c r="AD653">
        <f t="shared" si="155"/>
        <v>1</v>
      </c>
      <c r="AE653">
        <f t="shared" si="156"/>
        <v>1</v>
      </c>
      <c r="AF653">
        <f t="shared" si="157"/>
        <v>1</v>
      </c>
      <c r="AG653">
        <f t="shared" si="158"/>
        <v>100</v>
      </c>
    </row>
    <row r="654" spans="1:33" x14ac:dyDescent="0.2">
      <c r="A654" t="s">
        <v>127</v>
      </c>
      <c r="B654" t="s">
        <v>128</v>
      </c>
      <c r="C654">
        <v>653</v>
      </c>
      <c r="D654">
        <v>38972</v>
      </c>
      <c r="E654" t="s">
        <v>1388</v>
      </c>
      <c r="F654" t="s">
        <v>68</v>
      </c>
      <c r="G654" t="s">
        <v>10</v>
      </c>
      <c r="H654" t="s">
        <v>5</v>
      </c>
      <c r="I654" t="s">
        <v>95</v>
      </c>
      <c r="J654">
        <v>33</v>
      </c>
      <c r="K654">
        <v>0.03</v>
      </c>
      <c r="L654">
        <v>1</v>
      </c>
      <c r="M654">
        <v>1</v>
      </c>
      <c r="N654">
        <v>1</v>
      </c>
      <c r="O654">
        <v>100</v>
      </c>
      <c r="P654" t="b">
        <f t="shared" si="149"/>
        <v>0</v>
      </c>
      <c r="S654" t="str">
        <f t="shared" si="145"/>
        <v>LATER</v>
      </c>
      <c r="T654" t="str">
        <f t="shared" si="146"/>
        <v>SainteLague</v>
      </c>
      <c r="U654">
        <f t="shared" si="148"/>
        <v>653</v>
      </c>
      <c r="V654">
        <f t="shared" si="147"/>
        <v>38972</v>
      </c>
      <c r="W654" s="8" t="str">
        <f>VLOOKUP(V654,'ideas-input'!$A:$B,2,FALSE)</f>
        <v>API'S para clientes Routing y Canalizaciones (Integración de Clientes)</v>
      </c>
      <c r="X654" t="str">
        <f t="shared" si="150"/>
        <v>IDC</v>
      </c>
      <c r="Y654" s="8" t="str">
        <f>VLOOKUP(V654,'ideas-input'!$A:$D,4,FALSE)</f>
        <v>eCommerce</v>
      </c>
      <c r="Z654" t="str">
        <f t="shared" si="151"/>
        <v>Commercial</v>
      </c>
      <c r="AA654" t="str">
        <f t="shared" si="152"/>
        <v>In Definition</v>
      </c>
      <c r="AB654">
        <f t="shared" si="153"/>
        <v>33</v>
      </c>
      <c r="AC654">
        <f t="shared" si="154"/>
        <v>0.03</v>
      </c>
      <c r="AD654">
        <f t="shared" si="155"/>
        <v>1</v>
      </c>
      <c r="AE654">
        <f t="shared" si="156"/>
        <v>1</v>
      </c>
      <c r="AF654">
        <f t="shared" si="157"/>
        <v>1</v>
      </c>
      <c r="AG654">
        <f t="shared" si="158"/>
        <v>100</v>
      </c>
    </row>
    <row r="655" spans="1:33" x14ac:dyDescent="0.2">
      <c r="A655" t="s">
        <v>127</v>
      </c>
      <c r="B655" t="s">
        <v>128</v>
      </c>
      <c r="C655">
        <v>654</v>
      </c>
      <c r="D655">
        <v>127817</v>
      </c>
      <c r="E655" t="s">
        <v>374</v>
      </c>
      <c r="F655" t="s">
        <v>9</v>
      </c>
      <c r="G655" t="s">
        <v>379</v>
      </c>
      <c r="H655" t="s">
        <v>8</v>
      </c>
      <c r="I655" t="s">
        <v>91</v>
      </c>
      <c r="J655">
        <v>53</v>
      </c>
      <c r="K655">
        <v>3.5</v>
      </c>
      <c r="L655">
        <v>5</v>
      </c>
      <c r="M655">
        <v>1</v>
      </c>
      <c r="N655">
        <v>1</v>
      </c>
      <c r="O655">
        <v>2</v>
      </c>
      <c r="P655" t="b">
        <f t="shared" si="149"/>
        <v>0</v>
      </c>
      <c r="S655" t="str">
        <f t="shared" si="145"/>
        <v>LATER</v>
      </c>
      <c r="T655" t="str">
        <f t="shared" si="146"/>
        <v>SainteLague</v>
      </c>
      <c r="U655">
        <f t="shared" si="148"/>
        <v>654</v>
      </c>
      <c r="V655">
        <f t="shared" si="147"/>
        <v>127817</v>
      </c>
      <c r="W655" s="8" t="str">
        <f>VLOOKUP(V655,'ideas-input'!$A:$B,2,FALSE)</f>
        <v>PTF | ODIN | Muticloud</v>
      </c>
      <c r="X655" t="str">
        <f t="shared" si="150"/>
        <v>SI</v>
      </c>
      <c r="Y655" s="8" t="str">
        <f>VLOOKUP(V655,'ideas-input'!$A:$D,4,FALSE)</f>
        <v>Mail</v>
      </c>
      <c r="Z655" t="str">
        <f t="shared" si="151"/>
        <v>Technology</v>
      </c>
      <c r="AA655" t="str">
        <f t="shared" si="152"/>
        <v>Backlog</v>
      </c>
      <c r="AB655">
        <f t="shared" si="153"/>
        <v>53</v>
      </c>
      <c r="AC655">
        <f t="shared" si="154"/>
        <v>3.5</v>
      </c>
      <c r="AD655">
        <f t="shared" si="155"/>
        <v>5</v>
      </c>
      <c r="AE655">
        <f t="shared" si="156"/>
        <v>1</v>
      </c>
      <c r="AF655">
        <f t="shared" si="157"/>
        <v>1</v>
      </c>
      <c r="AG655">
        <f t="shared" si="158"/>
        <v>2</v>
      </c>
    </row>
    <row r="656" spans="1:33" x14ac:dyDescent="0.2">
      <c r="A656" t="s">
        <v>127</v>
      </c>
      <c r="B656" t="s">
        <v>128</v>
      </c>
      <c r="C656">
        <v>655</v>
      </c>
      <c r="D656">
        <v>43551</v>
      </c>
      <c r="E656" t="s">
        <v>1657</v>
      </c>
      <c r="F656" t="s">
        <v>69</v>
      </c>
      <c r="G656" t="s">
        <v>10</v>
      </c>
      <c r="H656" t="s">
        <v>12</v>
      </c>
      <c r="I656" t="s">
        <v>91</v>
      </c>
      <c r="J656">
        <v>50</v>
      </c>
      <c r="K656">
        <v>0.03</v>
      </c>
      <c r="L656">
        <v>1</v>
      </c>
      <c r="M656">
        <v>1</v>
      </c>
      <c r="N656">
        <v>1</v>
      </c>
      <c r="O656">
        <v>100</v>
      </c>
      <c r="P656" t="b">
        <f t="shared" si="149"/>
        <v>0</v>
      </c>
      <c r="S656" t="str">
        <f t="shared" si="145"/>
        <v>LATER</v>
      </c>
      <c r="T656" t="str">
        <f t="shared" si="146"/>
        <v>SainteLague</v>
      </c>
      <c r="U656">
        <f t="shared" si="148"/>
        <v>655</v>
      </c>
      <c r="V656">
        <f t="shared" si="147"/>
        <v>43551</v>
      </c>
      <c r="W656" s="8" t="str">
        <f>VLOOKUP(V656,'ideas-input'!$A:$B,2,FALSE)</f>
        <v>[Evolutivos Salesforce]  Asignacion de tarifas por cliente master - Salesforce/Minerva (posibilidad de clientes centro con tarifas diferentes) (Validar por Herramientas Comerciales)</v>
      </c>
      <c r="X656" t="str">
        <f t="shared" si="150"/>
        <v>CFO</v>
      </c>
      <c r="Y656" s="8" t="str">
        <f>VLOOKUP(V656,'ideas-input'!$A:$D,4,FALSE)</f>
        <v>eCommerce</v>
      </c>
      <c r="Z656" t="str">
        <f t="shared" si="151"/>
        <v>Corporate</v>
      </c>
      <c r="AA656" t="str">
        <f t="shared" si="152"/>
        <v>Backlog</v>
      </c>
      <c r="AB656">
        <f t="shared" si="153"/>
        <v>50</v>
      </c>
      <c r="AC656">
        <f t="shared" si="154"/>
        <v>0.03</v>
      </c>
      <c r="AD656">
        <f t="shared" si="155"/>
        <v>1</v>
      </c>
      <c r="AE656">
        <f t="shared" si="156"/>
        <v>1</v>
      </c>
      <c r="AF656">
        <f t="shared" si="157"/>
        <v>1</v>
      </c>
      <c r="AG656">
        <f t="shared" si="158"/>
        <v>100</v>
      </c>
    </row>
    <row r="657" spans="1:33" x14ac:dyDescent="0.2">
      <c r="A657" t="s">
        <v>127</v>
      </c>
      <c r="B657" t="s">
        <v>128</v>
      </c>
      <c r="C657">
        <v>656</v>
      </c>
      <c r="D657">
        <v>199556</v>
      </c>
      <c r="E657" t="s">
        <v>1374</v>
      </c>
      <c r="F657" t="s">
        <v>21</v>
      </c>
      <c r="G657" t="s">
        <v>379</v>
      </c>
      <c r="H657" t="s">
        <v>5</v>
      </c>
      <c r="I657" t="s">
        <v>91</v>
      </c>
      <c r="J657">
        <v>24</v>
      </c>
      <c r="K657">
        <v>0.03</v>
      </c>
      <c r="L657">
        <v>1</v>
      </c>
      <c r="M657">
        <v>1</v>
      </c>
      <c r="N657">
        <v>1</v>
      </c>
      <c r="O657">
        <v>100</v>
      </c>
      <c r="P657" t="b">
        <f t="shared" si="149"/>
        <v>0</v>
      </c>
      <c r="S657" t="str">
        <f t="shared" si="145"/>
        <v>LATER</v>
      </c>
      <c r="T657" t="str">
        <f t="shared" si="146"/>
        <v>SainteLague</v>
      </c>
      <c r="U657">
        <f t="shared" si="148"/>
        <v>656</v>
      </c>
      <c r="V657">
        <f t="shared" si="147"/>
        <v>199556</v>
      </c>
      <c r="W657" s="8" t="str">
        <f>VLOOKUP(V657,'ideas-input'!$A:$B,2,FALSE)</f>
        <v>Desmaterialização dos Envios de Correio e Encomendas - Envios Online Únicos (Correio e Expresso)</v>
      </c>
      <c r="X657" t="str">
        <f t="shared" si="150"/>
        <v>GP B2B</v>
      </c>
      <c r="Y657" s="8" t="str">
        <f>VLOOKUP(V657,'ideas-input'!$A:$D,4,FALSE)</f>
        <v>Mail</v>
      </c>
      <c r="Z657" t="str">
        <f t="shared" si="151"/>
        <v>Commercial</v>
      </c>
      <c r="AA657" t="str">
        <f t="shared" si="152"/>
        <v>Backlog</v>
      </c>
      <c r="AB657">
        <f t="shared" si="153"/>
        <v>24</v>
      </c>
      <c r="AC657">
        <f t="shared" si="154"/>
        <v>0.03</v>
      </c>
      <c r="AD657">
        <f t="shared" si="155"/>
        <v>1</v>
      </c>
      <c r="AE657">
        <f t="shared" si="156"/>
        <v>1</v>
      </c>
      <c r="AF657">
        <f t="shared" si="157"/>
        <v>1</v>
      </c>
      <c r="AG657">
        <f t="shared" si="158"/>
        <v>100</v>
      </c>
    </row>
    <row r="658" spans="1:33" x14ac:dyDescent="0.2">
      <c r="A658" t="s">
        <v>127</v>
      </c>
      <c r="B658" t="s">
        <v>128</v>
      </c>
      <c r="C658">
        <v>657</v>
      </c>
      <c r="D658">
        <v>49975</v>
      </c>
      <c r="E658" t="s">
        <v>1309</v>
      </c>
      <c r="F658" t="s">
        <v>65</v>
      </c>
      <c r="G658" t="s">
        <v>10</v>
      </c>
      <c r="H658" t="s">
        <v>5</v>
      </c>
      <c r="I658" t="s">
        <v>95</v>
      </c>
      <c r="J658">
        <v>43</v>
      </c>
      <c r="K658">
        <v>0.03</v>
      </c>
      <c r="L658">
        <v>1</v>
      </c>
      <c r="M658">
        <v>1</v>
      </c>
      <c r="N658">
        <v>1</v>
      </c>
      <c r="O658">
        <v>100</v>
      </c>
      <c r="P658" t="b">
        <f t="shared" si="149"/>
        <v>0</v>
      </c>
      <c r="S658" t="str">
        <f t="shared" si="145"/>
        <v>LATER</v>
      </c>
      <c r="T658" t="str">
        <f t="shared" si="146"/>
        <v>SainteLague</v>
      </c>
      <c r="U658">
        <f t="shared" si="148"/>
        <v>657</v>
      </c>
      <c r="V658">
        <f t="shared" si="147"/>
        <v>49975</v>
      </c>
      <c r="W658" s="8" t="str">
        <f>VLOOKUP(V658,'ideas-input'!$A:$B,2,FALSE)</f>
        <v>[Internacional] - Informar a FedEx del valor asegurado del envío</v>
      </c>
      <c r="X658" t="str">
        <f t="shared" si="150"/>
        <v>CMO</v>
      </c>
      <c r="Y658" s="8" t="str">
        <f>VLOOKUP(V658,'ideas-input'!$A:$D,4,FALSE)</f>
        <v>eCommerce</v>
      </c>
      <c r="Z658" t="str">
        <f t="shared" si="151"/>
        <v>Commercial</v>
      </c>
      <c r="AA658" t="str">
        <f t="shared" si="152"/>
        <v>In Definition</v>
      </c>
      <c r="AB658">
        <f t="shared" si="153"/>
        <v>43</v>
      </c>
      <c r="AC658">
        <f t="shared" si="154"/>
        <v>0.03</v>
      </c>
      <c r="AD658">
        <f t="shared" si="155"/>
        <v>1</v>
      </c>
      <c r="AE658">
        <f t="shared" si="156"/>
        <v>1</v>
      </c>
      <c r="AF658">
        <f t="shared" si="157"/>
        <v>1</v>
      </c>
      <c r="AG658">
        <f t="shared" si="158"/>
        <v>100</v>
      </c>
    </row>
    <row r="659" spans="1:33" x14ac:dyDescent="0.2">
      <c r="A659" t="s">
        <v>127</v>
      </c>
      <c r="B659" t="s">
        <v>128</v>
      </c>
      <c r="C659">
        <v>658</v>
      </c>
      <c r="D659">
        <v>74950</v>
      </c>
      <c r="E659" t="s">
        <v>1692</v>
      </c>
      <c r="F659" t="s">
        <v>9</v>
      </c>
      <c r="G659" t="s">
        <v>379</v>
      </c>
      <c r="H659" t="s">
        <v>8</v>
      </c>
      <c r="I659" t="s">
        <v>91</v>
      </c>
      <c r="J659">
        <v>54</v>
      </c>
      <c r="K659">
        <v>0.03</v>
      </c>
      <c r="L659">
        <v>1</v>
      </c>
      <c r="M659">
        <v>1</v>
      </c>
      <c r="N659">
        <v>1</v>
      </c>
      <c r="O659">
        <v>100</v>
      </c>
      <c r="P659" t="b">
        <f t="shared" si="149"/>
        <v>0</v>
      </c>
      <c r="S659" t="str">
        <f t="shared" si="145"/>
        <v>LATER</v>
      </c>
      <c r="T659" t="str">
        <f t="shared" si="146"/>
        <v>SainteLague</v>
      </c>
      <c r="U659">
        <f t="shared" si="148"/>
        <v>658</v>
      </c>
      <c r="V659">
        <f t="shared" si="147"/>
        <v>74950</v>
      </c>
      <c r="W659" s="8" t="str">
        <f>VLOOKUP(V659,'ideas-input'!$A:$B,2,FALSE)</f>
        <v>IOP | Instalação e Ativação da Componente Guardian -  Nova Hyper V</v>
      </c>
      <c r="X659" t="str">
        <f t="shared" si="150"/>
        <v>SI</v>
      </c>
      <c r="Y659" s="8" t="str">
        <f>VLOOKUP(V659,'ideas-input'!$A:$D,4,FALSE)</f>
        <v>Mail</v>
      </c>
      <c r="Z659" t="str">
        <f t="shared" si="151"/>
        <v>Technology</v>
      </c>
      <c r="AA659" t="str">
        <f t="shared" si="152"/>
        <v>Backlog</v>
      </c>
      <c r="AB659">
        <f t="shared" si="153"/>
        <v>54</v>
      </c>
      <c r="AC659">
        <f t="shared" si="154"/>
        <v>0.03</v>
      </c>
      <c r="AD659">
        <f t="shared" si="155"/>
        <v>1</v>
      </c>
      <c r="AE659">
        <f t="shared" si="156"/>
        <v>1</v>
      </c>
      <c r="AF659">
        <f t="shared" si="157"/>
        <v>1</v>
      </c>
      <c r="AG659">
        <f t="shared" si="158"/>
        <v>100</v>
      </c>
    </row>
    <row r="660" spans="1:33" x14ac:dyDescent="0.2">
      <c r="A660" t="s">
        <v>127</v>
      </c>
      <c r="B660" t="s">
        <v>128</v>
      </c>
      <c r="C660">
        <v>659</v>
      </c>
      <c r="D660">
        <v>43534</v>
      </c>
      <c r="E660" t="s">
        <v>1322</v>
      </c>
      <c r="F660" t="s">
        <v>69</v>
      </c>
      <c r="G660" t="s">
        <v>10</v>
      </c>
      <c r="H660" t="s">
        <v>12</v>
      </c>
      <c r="I660" t="s">
        <v>91</v>
      </c>
      <c r="J660">
        <v>51</v>
      </c>
      <c r="K660">
        <v>0.03</v>
      </c>
      <c r="L660">
        <v>1</v>
      </c>
      <c r="M660">
        <v>1</v>
      </c>
      <c r="N660">
        <v>1</v>
      </c>
      <c r="O660">
        <v>100</v>
      </c>
      <c r="P660" t="b">
        <f t="shared" si="149"/>
        <v>0</v>
      </c>
      <c r="S660" t="str">
        <f t="shared" si="145"/>
        <v>LATER</v>
      </c>
      <c r="T660" t="str">
        <f t="shared" si="146"/>
        <v>SainteLague</v>
      </c>
      <c r="U660">
        <f t="shared" si="148"/>
        <v>659</v>
      </c>
      <c r="V660">
        <f t="shared" si="147"/>
        <v>43534</v>
      </c>
      <c r="W660" s="8" t="str">
        <f>VLOOKUP(V660,'ideas-input'!$A:$B,2,FALSE)</f>
        <v>[Evolutivos SGC] Aplicar correctamente los impuestos en función de la combinación artículo-zona, Solicitud de 2015 potenciales problemas fiscales</v>
      </c>
      <c r="X660" t="str">
        <f t="shared" si="150"/>
        <v>CFO</v>
      </c>
      <c r="Y660" s="8" t="str">
        <f>VLOOKUP(V660,'ideas-input'!$A:$D,4,FALSE)</f>
        <v>eCommerce</v>
      </c>
      <c r="Z660" t="str">
        <f t="shared" si="151"/>
        <v>Corporate</v>
      </c>
      <c r="AA660" t="str">
        <f t="shared" si="152"/>
        <v>Backlog</v>
      </c>
      <c r="AB660">
        <f t="shared" si="153"/>
        <v>51</v>
      </c>
      <c r="AC660">
        <f t="shared" si="154"/>
        <v>0.03</v>
      </c>
      <c r="AD660">
        <f t="shared" si="155"/>
        <v>1</v>
      </c>
      <c r="AE660">
        <f t="shared" si="156"/>
        <v>1</v>
      </c>
      <c r="AF660">
        <f t="shared" si="157"/>
        <v>1</v>
      </c>
      <c r="AG660">
        <f t="shared" si="158"/>
        <v>100</v>
      </c>
    </row>
    <row r="661" spans="1:33" x14ac:dyDescent="0.2">
      <c r="A661" t="s">
        <v>127</v>
      </c>
      <c r="B661" t="s">
        <v>128</v>
      </c>
      <c r="C661">
        <v>660</v>
      </c>
      <c r="D661">
        <v>123999</v>
      </c>
      <c r="E661" t="s">
        <v>211</v>
      </c>
      <c r="F661" t="s">
        <v>23</v>
      </c>
      <c r="G661" t="s">
        <v>379</v>
      </c>
      <c r="H661" t="s">
        <v>5</v>
      </c>
      <c r="I661" t="s">
        <v>95</v>
      </c>
      <c r="J661">
        <v>24</v>
      </c>
      <c r="K661">
        <v>0.03</v>
      </c>
      <c r="L661">
        <v>1</v>
      </c>
      <c r="M661">
        <v>1</v>
      </c>
      <c r="N661">
        <v>1</v>
      </c>
      <c r="O661">
        <v>100</v>
      </c>
      <c r="P661" t="b">
        <f t="shared" si="149"/>
        <v>0</v>
      </c>
      <c r="S661" t="str">
        <f t="shared" si="145"/>
        <v>LATER</v>
      </c>
      <c r="T661" t="str">
        <f t="shared" si="146"/>
        <v>SainteLague</v>
      </c>
      <c r="U661">
        <f t="shared" si="148"/>
        <v>660</v>
      </c>
      <c r="V661">
        <f t="shared" si="147"/>
        <v>123999</v>
      </c>
      <c r="W661" s="8" t="str">
        <f>VLOOKUP(V661,'ideas-input'!$A:$B,2,FALSE)</f>
        <v>Interconnect Common Return Platform | Upgrade p/ V2 (CRP2)</v>
      </c>
      <c r="X661" t="str">
        <f t="shared" si="150"/>
        <v>GP ECL</v>
      </c>
      <c r="Y661" s="8" t="str">
        <f>VLOOKUP(V661,'ideas-input'!$A:$D,4,FALSE)</f>
        <v>eCommerce</v>
      </c>
      <c r="Z661" t="str">
        <f t="shared" si="151"/>
        <v>Commercial</v>
      </c>
      <c r="AA661" t="str">
        <f t="shared" si="152"/>
        <v>In Definition</v>
      </c>
      <c r="AB661">
        <f t="shared" si="153"/>
        <v>24</v>
      </c>
      <c r="AC661">
        <f t="shared" si="154"/>
        <v>0.03</v>
      </c>
      <c r="AD661">
        <f t="shared" si="155"/>
        <v>1</v>
      </c>
      <c r="AE661">
        <f t="shared" si="156"/>
        <v>1</v>
      </c>
      <c r="AF661">
        <f t="shared" si="157"/>
        <v>1</v>
      </c>
      <c r="AG661">
        <f t="shared" si="158"/>
        <v>100</v>
      </c>
    </row>
    <row r="662" spans="1:33" x14ac:dyDescent="0.2">
      <c r="A662" t="s">
        <v>127</v>
      </c>
      <c r="B662" t="s">
        <v>128</v>
      </c>
      <c r="C662">
        <v>661</v>
      </c>
      <c r="D662">
        <v>46218</v>
      </c>
      <c r="E662" t="s">
        <v>279</v>
      </c>
      <c r="F662" t="s">
        <v>66</v>
      </c>
      <c r="G662" t="s">
        <v>10</v>
      </c>
      <c r="H662" t="s">
        <v>5</v>
      </c>
      <c r="I662" t="s">
        <v>91</v>
      </c>
      <c r="J662">
        <v>37</v>
      </c>
      <c r="K662">
        <v>0.03</v>
      </c>
      <c r="L662">
        <v>1</v>
      </c>
      <c r="M662">
        <v>1</v>
      </c>
      <c r="N662">
        <v>1</v>
      </c>
      <c r="O662">
        <v>100</v>
      </c>
      <c r="P662" t="b">
        <f t="shared" si="149"/>
        <v>0</v>
      </c>
      <c r="S662" t="str">
        <f t="shared" si="145"/>
        <v>LATER</v>
      </c>
      <c r="T662" t="str">
        <f t="shared" si="146"/>
        <v>SainteLague</v>
      </c>
      <c r="U662">
        <f t="shared" si="148"/>
        <v>661</v>
      </c>
      <c r="V662">
        <f t="shared" si="147"/>
        <v>46218</v>
      </c>
      <c r="W662" s="8" t="str">
        <f>VLOOKUP(V662,'ideas-input'!$A:$B,2,FALSE)</f>
        <v>[Salesforce] - Cancelar ofertas no firmadas cuando se cancele una oportunidad</v>
      </c>
      <c r="X662" t="str">
        <f t="shared" si="150"/>
        <v>CCO</v>
      </c>
      <c r="Y662" s="8" t="str">
        <f>VLOOKUP(V662,'ideas-input'!$A:$D,4,FALSE)</f>
        <v>eCommerce</v>
      </c>
      <c r="Z662" t="str">
        <f t="shared" si="151"/>
        <v>Commercial</v>
      </c>
      <c r="AA662" t="str">
        <f t="shared" si="152"/>
        <v>Backlog</v>
      </c>
      <c r="AB662">
        <f t="shared" si="153"/>
        <v>37</v>
      </c>
      <c r="AC662">
        <f t="shared" si="154"/>
        <v>0.03</v>
      </c>
      <c r="AD662">
        <f t="shared" si="155"/>
        <v>1</v>
      </c>
      <c r="AE662">
        <f t="shared" si="156"/>
        <v>1</v>
      </c>
      <c r="AF662">
        <f t="shared" si="157"/>
        <v>1</v>
      </c>
      <c r="AG662">
        <f t="shared" si="158"/>
        <v>100</v>
      </c>
    </row>
    <row r="663" spans="1:33" x14ac:dyDescent="0.2">
      <c r="A663" t="s">
        <v>127</v>
      </c>
      <c r="B663" t="s">
        <v>128</v>
      </c>
      <c r="C663">
        <v>662</v>
      </c>
      <c r="D663">
        <v>131995</v>
      </c>
      <c r="E663" t="s">
        <v>1693</v>
      </c>
      <c r="F663" t="s">
        <v>9</v>
      </c>
      <c r="G663" t="s">
        <v>379</v>
      </c>
      <c r="H663" t="s">
        <v>8</v>
      </c>
      <c r="I663" t="s">
        <v>91</v>
      </c>
      <c r="J663">
        <v>55</v>
      </c>
      <c r="K663">
        <v>0.03</v>
      </c>
      <c r="L663">
        <v>1</v>
      </c>
      <c r="M663">
        <v>1</v>
      </c>
      <c r="N663">
        <v>1</v>
      </c>
      <c r="O663">
        <v>100</v>
      </c>
      <c r="P663" t="b">
        <f t="shared" si="149"/>
        <v>0</v>
      </c>
      <c r="S663" t="str">
        <f t="shared" ref="S663:S726" si="159">A663</f>
        <v>LATER</v>
      </c>
      <c r="T663" t="str">
        <f t="shared" ref="T663:T726" si="160">B663</f>
        <v>SainteLague</v>
      </c>
      <c r="U663">
        <f t="shared" si="148"/>
        <v>662</v>
      </c>
      <c r="V663">
        <f t="shared" ref="V663:V726" si="161">D663</f>
        <v>131995</v>
      </c>
      <c r="W663" s="8" t="str">
        <f>VLOOKUP(V663,'ideas-input'!$A:$B,2,FALSE)</f>
        <v>INT| -  Alarmística MuleSoft</v>
      </c>
      <c r="X663" t="str">
        <f t="shared" si="150"/>
        <v>SI</v>
      </c>
      <c r="Y663" s="8" t="str">
        <f>VLOOKUP(V663,'ideas-input'!$A:$D,4,FALSE)</f>
        <v>Mail</v>
      </c>
      <c r="Z663" t="str">
        <f t="shared" si="151"/>
        <v>Technology</v>
      </c>
      <c r="AA663" t="str">
        <f t="shared" si="152"/>
        <v>Backlog</v>
      </c>
      <c r="AB663">
        <f t="shared" si="153"/>
        <v>55</v>
      </c>
      <c r="AC663">
        <f t="shared" si="154"/>
        <v>0.03</v>
      </c>
      <c r="AD663">
        <f t="shared" si="155"/>
        <v>1</v>
      </c>
      <c r="AE663">
        <f t="shared" si="156"/>
        <v>1</v>
      </c>
      <c r="AF663">
        <f t="shared" si="157"/>
        <v>1</v>
      </c>
      <c r="AG663">
        <f t="shared" si="158"/>
        <v>100</v>
      </c>
    </row>
    <row r="664" spans="1:33" x14ac:dyDescent="0.2">
      <c r="A664" t="s">
        <v>127</v>
      </c>
      <c r="B664" t="s">
        <v>128</v>
      </c>
      <c r="C664">
        <v>663</v>
      </c>
      <c r="D664">
        <v>43531</v>
      </c>
      <c r="E664" t="s">
        <v>310</v>
      </c>
      <c r="F664" t="s">
        <v>69</v>
      </c>
      <c r="G664" t="s">
        <v>10</v>
      </c>
      <c r="H664" t="s">
        <v>12</v>
      </c>
      <c r="I664" t="s">
        <v>91</v>
      </c>
      <c r="J664">
        <v>52</v>
      </c>
      <c r="K664">
        <v>0.03</v>
      </c>
      <c r="L664">
        <v>1</v>
      </c>
      <c r="M664">
        <v>1</v>
      </c>
      <c r="N664">
        <v>1</v>
      </c>
      <c r="O664">
        <v>100</v>
      </c>
      <c r="P664" t="b">
        <f t="shared" si="149"/>
        <v>0</v>
      </c>
      <c r="S664" t="str">
        <f t="shared" si="159"/>
        <v>LATER</v>
      </c>
      <c r="T664" t="str">
        <f t="shared" si="160"/>
        <v>SainteLague</v>
      </c>
      <c r="U664">
        <f t="shared" si="148"/>
        <v>663</v>
      </c>
      <c r="V664">
        <f t="shared" si="161"/>
        <v>43531</v>
      </c>
      <c r="W664" s="8" t="str">
        <f>VLOOKUP(V664,'ideas-input'!$A:$B,2,FALSE)</f>
        <v>[Evolutivos SGC] Recuperar el Numero de factura emitida en grid de valoracion de servicios, (perdida de funcionalidad)</v>
      </c>
      <c r="X664" t="str">
        <f t="shared" si="150"/>
        <v>CFO</v>
      </c>
      <c r="Y664" s="8" t="str">
        <f>VLOOKUP(V664,'ideas-input'!$A:$D,4,FALSE)</f>
        <v>eCommerce</v>
      </c>
      <c r="Z664" t="str">
        <f t="shared" si="151"/>
        <v>Corporate</v>
      </c>
      <c r="AA664" t="str">
        <f t="shared" si="152"/>
        <v>Backlog</v>
      </c>
      <c r="AB664">
        <f t="shared" si="153"/>
        <v>52</v>
      </c>
      <c r="AC664">
        <f t="shared" si="154"/>
        <v>0.03</v>
      </c>
      <c r="AD664">
        <f t="shared" si="155"/>
        <v>1</v>
      </c>
      <c r="AE664">
        <f t="shared" si="156"/>
        <v>1</v>
      </c>
      <c r="AF664">
        <f t="shared" si="157"/>
        <v>1</v>
      </c>
      <c r="AG664">
        <f t="shared" si="158"/>
        <v>100</v>
      </c>
    </row>
    <row r="665" spans="1:33" x14ac:dyDescent="0.2">
      <c r="A665" t="s">
        <v>127</v>
      </c>
      <c r="B665" t="s">
        <v>128</v>
      </c>
      <c r="C665">
        <v>664</v>
      </c>
      <c r="D665">
        <v>136621</v>
      </c>
      <c r="E665" t="s">
        <v>1380</v>
      </c>
      <c r="F665" t="s">
        <v>24</v>
      </c>
      <c r="G665" t="s">
        <v>379</v>
      </c>
      <c r="H665" t="s">
        <v>5</v>
      </c>
      <c r="I665" t="s">
        <v>91</v>
      </c>
      <c r="J665">
        <v>14</v>
      </c>
      <c r="K665">
        <v>0.03</v>
      </c>
      <c r="L665">
        <v>1</v>
      </c>
      <c r="M665">
        <v>1</v>
      </c>
      <c r="N665">
        <v>1</v>
      </c>
      <c r="O665">
        <v>100</v>
      </c>
      <c r="P665" t="b">
        <f t="shared" si="149"/>
        <v>0</v>
      </c>
      <c r="S665" t="str">
        <f t="shared" si="159"/>
        <v>LATER</v>
      </c>
      <c r="T665" t="str">
        <f t="shared" si="160"/>
        <v>SainteLague</v>
      </c>
      <c r="U665">
        <f t="shared" si="148"/>
        <v>664</v>
      </c>
      <c r="V665">
        <f t="shared" si="161"/>
        <v>136621</v>
      </c>
      <c r="W665" s="8" t="str">
        <f>VLOOKUP(V665,'ideas-input'!$A:$B,2,FALSE)</f>
        <v>Relatórios Mensais para Novo Modelo Operativo - Postos não NAVe</v>
      </c>
      <c r="X665" t="str">
        <f t="shared" si="150"/>
        <v>GPG</v>
      </c>
      <c r="Y665" s="8" t="str">
        <f>VLOOKUP(V665,'ideas-input'!$A:$D,4,FALSE)</f>
        <v>Payments</v>
      </c>
      <c r="Z665" t="str">
        <f t="shared" si="151"/>
        <v>Commercial</v>
      </c>
      <c r="AA665" t="str">
        <f t="shared" si="152"/>
        <v>Backlog</v>
      </c>
      <c r="AB665">
        <f t="shared" si="153"/>
        <v>14</v>
      </c>
      <c r="AC665">
        <f t="shared" si="154"/>
        <v>0.03</v>
      </c>
      <c r="AD665">
        <f t="shared" si="155"/>
        <v>1</v>
      </c>
      <c r="AE665">
        <f t="shared" si="156"/>
        <v>1</v>
      </c>
      <c r="AF665">
        <f t="shared" si="157"/>
        <v>1</v>
      </c>
      <c r="AG665">
        <f t="shared" si="158"/>
        <v>100</v>
      </c>
    </row>
    <row r="666" spans="1:33" x14ac:dyDescent="0.2">
      <c r="A666" t="s">
        <v>127</v>
      </c>
      <c r="B666" t="s">
        <v>128</v>
      </c>
      <c r="C666">
        <v>665</v>
      </c>
      <c r="D666">
        <v>55200</v>
      </c>
      <c r="E666" t="s">
        <v>284</v>
      </c>
      <c r="F666" t="s">
        <v>68</v>
      </c>
      <c r="G666" t="s">
        <v>10</v>
      </c>
      <c r="H666" t="s">
        <v>5</v>
      </c>
      <c r="I666" t="s">
        <v>97</v>
      </c>
      <c r="J666">
        <v>34</v>
      </c>
      <c r="K666">
        <v>0.03</v>
      </c>
      <c r="L666">
        <v>1</v>
      </c>
      <c r="M666">
        <v>1</v>
      </c>
      <c r="N666">
        <v>1</v>
      </c>
      <c r="O666">
        <v>100</v>
      </c>
      <c r="P666" t="b">
        <f t="shared" si="149"/>
        <v>0</v>
      </c>
      <c r="S666" t="str">
        <f t="shared" si="159"/>
        <v>LATER</v>
      </c>
      <c r="T666" t="str">
        <f t="shared" si="160"/>
        <v>SainteLague</v>
      </c>
      <c r="U666">
        <f t="shared" ref="U666:U729" si="162">C666</f>
        <v>665</v>
      </c>
      <c r="V666">
        <f t="shared" si="161"/>
        <v>55200</v>
      </c>
      <c r="W666" s="8" t="str">
        <f>VLOOKUP(V666,'ideas-input'!$A:$B,2,FALSE)</f>
        <v>[Salesforce Sales] - Clonar cliente de PRODUCCION en UAT</v>
      </c>
      <c r="X666" t="str">
        <f t="shared" si="150"/>
        <v>IDC</v>
      </c>
      <c r="Y666" s="8" t="str">
        <f>VLOOKUP(V666,'ideas-input'!$A:$D,4,FALSE)</f>
        <v>eCommerce</v>
      </c>
      <c r="Z666" t="str">
        <f t="shared" si="151"/>
        <v>Commercial</v>
      </c>
      <c r="AA666" t="str">
        <f t="shared" si="152"/>
        <v>Ready for Solution</v>
      </c>
      <c r="AB666">
        <f t="shared" si="153"/>
        <v>34</v>
      </c>
      <c r="AC666">
        <f t="shared" si="154"/>
        <v>0.03</v>
      </c>
      <c r="AD666">
        <f t="shared" si="155"/>
        <v>1</v>
      </c>
      <c r="AE666">
        <f t="shared" si="156"/>
        <v>1</v>
      </c>
      <c r="AF666">
        <f t="shared" si="157"/>
        <v>1</v>
      </c>
      <c r="AG666">
        <f t="shared" si="158"/>
        <v>100</v>
      </c>
    </row>
    <row r="667" spans="1:33" x14ac:dyDescent="0.2">
      <c r="A667" t="s">
        <v>127</v>
      </c>
      <c r="B667" t="s">
        <v>128</v>
      </c>
      <c r="C667">
        <v>666</v>
      </c>
      <c r="D667">
        <v>136320</v>
      </c>
      <c r="E667" t="s">
        <v>1384</v>
      </c>
      <c r="F667" t="s">
        <v>21</v>
      </c>
      <c r="G667" t="s">
        <v>379</v>
      </c>
      <c r="H667" t="s">
        <v>5</v>
      </c>
      <c r="I667" t="s">
        <v>91</v>
      </c>
      <c r="J667">
        <v>25</v>
      </c>
      <c r="K667">
        <v>5</v>
      </c>
      <c r="L667">
        <v>3</v>
      </c>
      <c r="M667">
        <v>3</v>
      </c>
      <c r="N667">
        <v>4</v>
      </c>
      <c r="O667">
        <v>2</v>
      </c>
      <c r="P667" t="b">
        <f t="shared" si="149"/>
        <v>0</v>
      </c>
      <c r="S667" t="str">
        <f t="shared" si="159"/>
        <v>LATER</v>
      </c>
      <c r="T667" t="str">
        <f t="shared" si="160"/>
        <v>SainteLague</v>
      </c>
      <c r="U667">
        <f t="shared" si="162"/>
        <v>666</v>
      </c>
      <c r="V667">
        <f t="shared" si="161"/>
        <v>136320</v>
      </c>
      <c r="W667" s="8" t="str">
        <f>VLOOKUP(V667,'ideas-input'!$A:$B,2,FALSE)</f>
        <v>Eliminar aplicativo de envio internacional online legado</v>
      </c>
      <c r="X667" t="str">
        <f t="shared" si="150"/>
        <v>GP B2B</v>
      </c>
      <c r="Y667" s="8" t="str">
        <f>VLOOKUP(V667,'ideas-input'!$A:$D,4,FALSE)</f>
        <v>Mail</v>
      </c>
      <c r="Z667" t="str">
        <f t="shared" si="151"/>
        <v>Commercial</v>
      </c>
      <c r="AA667" t="str">
        <f t="shared" si="152"/>
        <v>Backlog</v>
      </c>
      <c r="AB667">
        <f t="shared" si="153"/>
        <v>25</v>
      </c>
      <c r="AC667">
        <f t="shared" si="154"/>
        <v>5</v>
      </c>
      <c r="AD667">
        <f t="shared" si="155"/>
        <v>3</v>
      </c>
      <c r="AE667">
        <f t="shared" si="156"/>
        <v>3</v>
      </c>
      <c r="AF667">
        <f t="shared" si="157"/>
        <v>4</v>
      </c>
      <c r="AG667">
        <f t="shared" si="158"/>
        <v>2</v>
      </c>
    </row>
    <row r="668" spans="1:33" x14ac:dyDescent="0.2">
      <c r="A668" t="s">
        <v>127</v>
      </c>
      <c r="B668" t="s">
        <v>128</v>
      </c>
      <c r="C668">
        <v>667</v>
      </c>
      <c r="D668">
        <v>43529</v>
      </c>
      <c r="E668" t="s">
        <v>1327</v>
      </c>
      <c r="F668" t="s">
        <v>69</v>
      </c>
      <c r="G668" t="s">
        <v>10</v>
      </c>
      <c r="H668" t="s">
        <v>12</v>
      </c>
      <c r="I668" t="s">
        <v>91</v>
      </c>
      <c r="J668">
        <v>53</v>
      </c>
      <c r="K668">
        <v>0.03</v>
      </c>
      <c r="L668">
        <v>1</v>
      </c>
      <c r="M668">
        <v>1</v>
      </c>
      <c r="N668">
        <v>1</v>
      </c>
      <c r="O668">
        <v>100</v>
      </c>
      <c r="P668" t="b">
        <f t="shared" si="149"/>
        <v>0</v>
      </c>
      <c r="S668" t="str">
        <f t="shared" si="159"/>
        <v>LATER</v>
      </c>
      <c r="T668" t="str">
        <f t="shared" si="160"/>
        <v>SainteLague</v>
      </c>
      <c r="U668">
        <f t="shared" si="162"/>
        <v>667</v>
      </c>
      <c r="V668">
        <f t="shared" si="161"/>
        <v>43529</v>
      </c>
      <c r="W668" s="8" t="str">
        <f>VLOOKUP(V668,'ideas-input'!$A:$B,2,FALSE)</f>
        <v>[Alarmas Finanzas] Servicios pendientes de meses anteriores que pasen al mes siguiente a modulo de facturación una vez cerrado el mes (PENDIENTE DE SOLUCIÓN DE IT YA PRESENTADA)</v>
      </c>
      <c r="X668" t="str">
        <f t="shared" si="150"/>
        <v>CFO</v>
      </c>
      <c r="Y668" s="8" t="str">
        <f>VLOOKUP(V668,'ideas-input'!$A:$D,4,FALSE)</f>
        <v>eCommerce</v>
      </c>
      <c r="Z668" t="str">
        <f t="shared" si="151"/>
        <v>Corporate</v>
      </c>
      <c r="AA668" t="str">
        <f t="shared" si="152"/>
        <v>Backlog</v>
      </c>
      <c r="AB668">
        <f t="shared" si="153"/>
        <v>53</v>
      </c>
      <c r="AC668">
        <f t="shared" si="154"/>
        <v>0.03</v>
      </c>
      <c r="AD668">
        <f t="shared" si="155"/>
        <v>1</v>
      </c>
      <c r="AE668">
        <f t="shared" si="156"/>
        <v>1</v>
      </c>
      <c r="AF668">
        <f t="shared" si="157"/>
        <v>1</v>
      </c>
      <c r="AG668">
        <f t="shared" si="158"/>
        <v>100</v>
      </c>
    </row>
    <row r="669" spans="1:33" x14ac:dyDescent="0.2">
      <c r="A669" t="s">
        <v>127</v>
      </c>
      <c r="B669" t="s">
        <v>128</v>
      </c>
      <c r="C669">
        <v>668</v>
      </c>
      <c r="D669">
        <v>48158</v>
      </c>
      <c r="E669" t="s">
        <v>1320</v>
      </c>
      <c r="F669" t="s">
        <v>9</v>
      </c>
      <c r="G669" t="s">
        <v>379</v>
      </c>
      <c r="H669" t="s">
        <v>8</v>
      </c>
      <c r="I669" t="s">
        <v>91</v>
      </c>
      <c r="J669">
        <v>56</v>
      </c>
      <c r="K669">
        <v>0.03</v>
      </c>
      <c r="L669">
        <v>1</v>
      </c>
      <c r="M669">
        <v>1</v>
      </c>
      <c r="N669">
        <v>1</v>
      </c>
      <c r="O669">
        <v>100</v>
      </c>
      <c r="P669" t="b">
        <f t="shared" si="149"/>
        <v>0</v>
      </c>
      <c r="S669" t="str">
        <f t="shared" si="159"/>
        <v>LATER</v>
      </c>
      <c r="T669" t="str">
        <f t="shared" si="160"/>
        <v>SainteLague</v>
      </c>
      <c r="U669">
        <f t="shared" si="162"/>
        <v>668</v>
      </c>
      <c r="V669">
        <f t="shared" si="161"/>
        <v>48158</v>
      </c>
      <c r="W669" s="8" t="str">
        <f>VLOOKUP(V669,'ideas-input'!$A:$B,2,FALSE)</f>
        <v>IOP | Redução da Obsolescência Protocolos TLS 1.0 &amp; 1.1 WAVE 4 - Servidores Unix</v>
      </c>
      <c r="X669" t="str">
        <f t="shared" si="150"/>
        <v>SI</v>
      </c>
      <c r="Y669" s="8" t="str">
        <f>VLOOKUP(V669,'ideas-input'!$A:$D,4,FALSE)</f>
        <v>Mail</v>
      </c>
      <c r="Z669" t="str">
        <f t="shared" si="151"/>
        <v>Technology</v>
      </c>
      <c r="AA669" t="str">
        <f t="shared" si="152"/>
        <v>Backlog</v>
      </c>
      <c r="AB669">
        <f t="shared" si="153"/>
        <v>56</v>
      </c>
      <c r="AC669">
        <f t="shared" si="154"/>
        <v>0.03</v>
      </c>
      <c r="AD669">
        <f t="shared" si="155"/>
        <v>1</v>
      </c>
      <c r="AE669">
        <f t="shared" si="156"/>
        <v>1</v>
      </c>
      <c r="AF669">
        <f t="shared" si="157"/>
        <v>1</v>
      </c>
      <c r="AG669">
        <f t="shared" si="158"/>
        <v>100</v>
      </c>
    </row>
    <row r="670" spans="1:33" x14ac:dyDescent="0.2">
      <c r="A670" t="s">
        <v>127</v>
      </c>
      <c r="B670" t="s">
        <v>128</v>
      </c>
      <c r="C670">
        <v>669</v>
      </c>
      <c r="D670">
        <v>47879</v>
      </c>
      <c r="E670" t="s">
        <v>1316</v>
      </c>
      <c r="F670" t="s">
        <v>65</v>
      </c>
      <c r="G670" t="s">
        <v>10</v>
      </c>
      <c r="H670" t="s">
        <v>5</v>
      </c>
      <c r="I670" t="s">
        <v>93</v>
      </c>
      <c r="J670">
        <v>44</v>
      </c>
      <c r="K670">
        <v>0.03</v>
      </c>
      <c r="L670">
        <v>1</v>
      </c>
      <c r="M670">
        <v>1</v>
      </c>
      <c r="N670">
        <v>1</v>
      </c>
      <c r="O670">
        <v>100</v>
      </c>
      <c r="P670" t="b">
        <f t="shared" si="149"/>
        <v>0</v>
      </c>
      <c r="S670" t="str">
        <f t="shared" si="159"/>
        <v>LATER</v>
      </c>
      <c r="T670" t="str">
        <f t="shared" si="160"/>
        <v>SainteLague</v>
      </c>
      <c r="U670">
        <f t="shared" si="162"/>
        <v>669</v>
      </c>
      <c r="V670">
        <f t="shared" si="161"/>
        <v>47879</v>
      </c>
      <c r="W670" s="8" t="str">
        <f>VLOOKUP(V670,'ideas-input'!$A:$B,2,FALSE)</f>
        <v>[NEXUS] [Web de cambios] - Transformación web de cambios - Rediseño y tecnología React</v>
      </c>
      <c r="X670" t="str">
        <f t="shared" si="150"/>
        <v>CMO</v>
      </c>
      <c r="Y670" s="8" t="str">
        <f>VLOOKUP(V670,'ideas-input'!$A:$D,4,FALSE)</f>
        <v>eCommerce</v>
      </c>
      <c r="Z670" t="str">
        <f t="shared" si="151"/>
        <v>Commercial</v>
      </c>
      <c r="AA670" t="str">
        <f t="shared" si="152"/>
        <v>Pitch</v>
      </c>
      <c r="AB670">
        <f t="shared" si="153"/>
        <v>44</v>
      </c>
      <c r="AC670">
        <f t="shared" si="154"/>
        <v>0.03</v>
      </c>
      <c r="AD670">
        <f t="shared" si="155"/>
        <v>1</v>
      </c>
      <c r="AE670">
        <f t="shared" si="156"/>
        <v>1</v>
      </c>
      <c r="AF670">
        <f t="shared" si="157"/>
        <v>1</v>
      </c>
      <c r="AG670">
        <f t="shared" si="158"/>
        <v>100</v>
      </c>
    </row>
    <row r="671" spans="1:33" x14ac:dyDescent="0.2">
      <c r="A671" t="s">
        <v>127</v>
      </c>
      <c r="B671" t="s">
        <v>128</v>
      </c>
      <c r="C671">
        <v>670</v>
      </c>
      <c r="D671">
        <v>163331</v>
      </c>
      <c r="E671" t="s">
        <v>219</v>
      </c>
      <c r="F671" t="s">
        <v>23</v>
      </c>
      <c r="G671" t="s">
        <v>379</v>
      </c>
      <c r="H671" t="s">
        <v>5</v>
      </c>
      <c r="I671" t="s">
        <v>91</v>
      </c>
      <c r="J671">
        <v>25</v>
      </c>
      <c r="K671">
        <v>0.03</v>
      </c>
      <c r="L671">
        <v>1</v>
      </c>
      <c r="M671">
        <v>1</v>
      </c>
      <c r="N671">
        <v>1</v>
      </c>
      <c r="O671">
        <v>100</v>
      </c>
      <c r="P671" t="b">
        <f t="shared" si="149"/>
        <v>0</v>
      </c>
      <c r="S671" t="str">
        <f t="shared" si="159"/>
        <v>LATER</v>
      </c>
      <c r="T671" t="str">
        <f t="shared" si="160"/>
        <v>SainteLague</v>
      </c>
      <c r="U671">
        <f t="shared" si="162"/>
        <v>670</v>
      </c>
      <c r="V671">
        <f t="shared" si="161"/>
        <v>163331</v>
      </c>
      <c r="W671" s="8" t="str">
        <f>VLOOKUP(V671,'ideas-input'!$A:$B,2,FALSE)</f>
        <v>GPECL/DIS - Pack Expresso | Incremento ao Produto</v>
      </c>
      <c r="X671" t="str">
        <f t="shared" si="150"/>
        <v>GP ECL</v>
      </c>
      <c r="Y671" s="8" t="str">
        <f>VLOOKUP(V671,'ideas-input'!$A:$D,4,FALSE)</f>
        <v>eCommerce</v>
      </c>
      <c r="Z671" t="str">
        <f t="shared" si="151"/>
        <v>Commercial</v>
      </c>
      <c r="AA671" t="str">
        <f t="shared" si="152"/>
        <v>Backlog</v>
      </c>
      <c r="AB671">
        <f t="shared" si="153"/>
        <v>25</v>
      </c>
      <c r="AC671">
        <f t="shared" si="154"/>
        <v>0.03</v>
      </c>
      <c r="AD671">
        <f t="shared" si="155"/>
        <v>1</v>
      </c>
      <c r="AE671">
        <f t="shared" si="156"/>
        <v>1</v>
      </c>
      <c r="AF671">
        <f t="shared" si="157"/>
        <v>1</v>
      </c>
      <c r="AG671">
        <f t="shared" si="158"/>
        <v>100</v>
      </c>
    </row>
    <row r="672" spans="1:33" x14ac:dyDescent="0.2">
      <c r="A672" t="s">
        <v>127</v>
      </c>
      <c r="B672" t="s">
        <v>128</v>
      </c>
      <c r="C672">
        <v>671</v>
      </c>
      <c r="D672">
        <v>46216</v>
      </c>
      <c r="E672" t="s">
        <v>282</v>
      </c>
      <c r="F672" t="s">
        <v>66</v>
      </c>
      <c r="G672" t="s">
        <v>10</v>
      </c>
      <c r="H672" t="s">
        <v>5</v>
      </c>
      <c r="I672" t="s">
        <v>91</v>
      </c>
      <c r="J672">
        <v>38</v>
      </c>
      <c r="K672">
        <v>0.03</v>
      </c>
      <c r="L672">
        <v>1</v>
      </c>
      <c r="M672">
        <v>1</v>
      </c>
      <c r="N672">
        <v>1</v>
      </c>
      <c r="O672">
        <v>100</v>
      </c>
      <c r="P672" t="b">
        <f t="shared" si="149"/>
        <v>0</v>
      </c>
      <c r="S672" t="str">
        <f t="shared" si="159"/>
        <v>LATER</v>
      </c>
      <c r="T672" t="str">
        <f t="shared" si="160"/>
        <v>SainteLague</v>
      </c>
      <c r="U672">
        <f t="shared" si="162"/>
        <v>671</v>
      </c>
      <c r="V672">
        <f t="shared" si="161"/>
        <v>46216</v>
      </c>
      <c r="W672" s="8" t="str">
        <f>VLOOKUP(V672,'ideas-input'!$A:$B,2,FALSE)</f>
        <v>[Salesforce Sales] - Modificar el CIF de un centro relacionado cuando se modifique un Prospecto</v>
      </c>
      <c r="X672" t="str">
        <f t="shared" si="150"/>
        <v>CCO</v>
      </c>
      <c r="Y672" s="8" t="str">
        <f>VLOOKUP(V672,'ideas-input'!$A:$D,4,FALSE)</f>
        <v>eCommerce</v>
      </c>
      <c r="Z672" t="str">
        <f t="shared" si="151"/>
        <v>Commercial</v>
      </c>
      <c r="AA672" t="str">
        <f t="shared" si="152"/>
        <v>Backlog</v>
      </c>
      <c r="AB672">
        <f t="shared" si="153"/>
        <v>38</v>
      </c>
      <c r="AC672">
        <f t="shared" si="154"/>
        <v>0.03</v>
      </c>
      <c r="AD672">
        <f t="shared" si="155"/>
        <v>1</v>
      </c>
      <c r="AE672">
        <f t="shared" si="156"/>
        <v>1</v>
      </c>
      <c r="AF672">
        <f t="shared" si="157"/>
        <v>1</v>
      </c>
      <c r="AG672">
        <f t="shared" si="158"/>
        <v>100</v>
      </c>
    </row>
    <row r="673" spans="1:33" x14ac:dyDescent="0.2">
      <c r="A673" t="s">
        <v>127</v>
      </c>
      <c r="B673" t="s">
        <v>128</v>
      </c>
      <c r="C673">
        <v>672</v>
      </c>
      <c r="D673">
        <v>158454</v>
      </c>
      <c r="E673" t="s">
        <v>332</v>
      </c>
      <c r="F673" t="s">
        <v>9</v>
      </c>
      <c r="G673" t="s">
        <v>379</v>
      </c>
      <c r="H673" t="s">
        <v>8</v>
      </c>
      <c r="I673" t="s">
        <v>91</v>
      </c>
      <c r="J673">
        <v>57</v>
      </c>
      <c r="K673">
        <v>0.03</v>
      </c>
      <c r="L673">
        <v>1</v>
      </c>
      <c r="M673">
        <v>1</v>
      </c>
      <c r="N673">
        <v>1</v>
      </c>
      <c r="O673">
        <v>100</v>
      </c>
      <c r="P673" t="b">
        <f t="shared" si="149"/>
        <v>0</v>
      </c>
      <c r="S673" t="str">
        <f t="shared" si="159"/>
        <v>LATER</v>
      </c>
      <c r="T673" t="str">
        <f t="shared" si="160"/>
        <v>SainteLague</v>
      </c>
      <c r="U673">
        <f t="shared" si="162"/>
        <v>672</v>
      </c>
      <c r="V673">
        <f t="shared" si="161"/>
        <v>158454</v>
      </c>
      <c r="W673" s="8" t="str">
        <f>VLOOKUP(V673,'ideas-input'!$A:$B,2,FALSE)</f>
        <v>APT | IBM ODM | configurar HTTPS</v>
      </c>
      <c r="X673" t="str">
        <f t="shared" si="150"/>
        <v>SI</v>
      </c>
      <c r="Y673" s="8" t="str">
        <f>VLOOKUP(V673,'ideas-input'!$A:$D,4,FALSE)</f>
        <v>Mail</v>
      </c>
      <c r="Z673" t="str">
        <f t="shared" si="151"/>
        <v>Technology</v>
      </c>
      <c r="AA673" t="str">
        <f t="shared" si="152"/>
        <v>Backlog</v>
      </c>
      <c r="AB673">
        <f t="shared" si="153"/>
        <v>57</v>
      </c>
      <c r="AC673">
        <f t="shared" si="154"/>
        <v>0.03</v>
      </c>
      <c r="AD673">
        <f t="shared" si="155"/>
        <v>1</v>
      </c>
      <c r="AE673">
        <f t="shared" si="156"/>
        <v>1</v>
      </c>
      <c r="AF673">
        <f t="shared" si="157"/>
        <v>1</v>
      </c>
      <c r="AG673">
        <f t="shared" si="158"/>
        <v>100</v>
      </c>
    </row>
    <row r="674" spans="1:33" x14ac:dyDescent="0.2">
      <c r="A674" t="s">
        <v>127</v>
      </c>
      <c r="B674" t="s">
        <v>128</v>
      </c>
      <c r="C674">
        <v>673</v>
      </c>
      <c r="D674">
        <v>43528</v>
      </c>
      <c r="E674" t="s">
        <v>1329</v>
      </c>
      <c r="F674" t="s">
        <v>69</v>
      </c>
      <c r="G674" t="s">
        <v>10</v>
      </c>
      <c r="H674" t="s">
        <v>12</v>
      </c>
      <c r="I674" t="s">
        <v>91</v>
      </c>
      <c r="J674">
        <v>54</v>
      </c>
      <c r="K674">
        <v>0.03</v>
      </c>
      <c r="L674">
        <v>1</v>
      </c>
      <c r="M674">
        <v>1</v>
      </c>
      <c r="N674">
        <v>1</v>
      </c>
      <c r="O674">
        <v>100</v>
      </c>
      <c r="P674" t="b">
        <f t="shared" si="149"/>
        <v>0</v>
      </c>
      <c r="S674" t="str">
        <f t="shared" si="159"/>
        <v>LATER</v>
      </c>
      <c r="T674" t="str">
        <f t="shared" si="160"/>
        <v>SainteLague</v>
      </c>
      <c r="U674">
        <f t="shared" si="162"/>
        <v>673</v>
      </c>
      <c r="V674">
        <f t="shared" si="161"/>
        <v>43528</v>
      </c>
      <c r="W674" s="8" t="str">
        <f>VLOOKUP(V674,'ideas-input'!$A:$B,2,FALSE)</f>
        <v>[Evolutivo SGC] Adeudos RE2 y RE11 cargados el último día del mes pasadas las 17:00 horas (Pasar a Operaciones)</v>
      </c>
      <c r="X674" t="str">
        <f t="shared" si="150"/>
        <v>CFO</v>
      </c>
      <c r="Y674" s="8" t="str">
        <f>VLOOKUP(V674,'ideas-input'!$A:$D,4,FALSE)</f>
        <v>eCommerce</v>
      </c>
      <c r="Z674" t="str">
        <f t="shared" si="151"/>
        <v>Corporate</v>
      </c>
      <c r="AA674" t="str">
        <f t="shared" si="152"/>
        <v>Backlog</v>
      </c>
      <c r="AB674">
        <f t="shared" si="153"/>
        <v>54</v>
      </c>
      <c r="AC674">
        <f t="shared" si="154"/>
        <v>0.03</v>
      </c>
      <c r="AD674">
        <f t="shared" si="155"/>
        <v>1</v>
      </c>
      <c r="AE674">
        <f t="shared" si="156"/>
        <v>1</v>
      </c>
      <c r="AF674">
        <f t="shared" si="157"/>
        <v>1</v>
      </c>
      <c r="AG674">
        <f t="shared" si="158"/>
        <v>100</v>
      </c>
    </row>
    <row r="675" spans="1:33" x14ac:dyDescent="0.2">
      <c r="A675" t="s">
        <v>127</v>
      </c>
      <c r="B675" t="s">
        <v>128</v>
      </c>
      <c r="C675">
        <v>674</v>
      </c>
      <c r="D675">
        <v>201686</v>
      </c>
      <c r="E675" t="s">
        <v>240</v>
      </c>
      <c r="F675" t="s">
        <v>37</v>
      </c>
      <c r="G675" t="s">
        <v>379</v>
      </c>
      <c r="H675" t="s">
        <v>5</v>
      </c>
      <c r="I675" t="s">
        <v>91</v>
      </c>
      <c r="J675">
        <v>19</v>
      </c>
      <c r="K675">
        <v>0.03</v>
      </c>
      <c r="L675">
        <v>1</v>
      </c>
      <c r="M675">
        <v>1</v>
      </c>
      <c r="N675">
        <v>1</v>
      </c>
      <c r="O675">
        <v>100</v>
      </c>
      <c r="P675" t="b">
        <f t="shared" si="149"/>
        <v>0</v>
      </c>
      <c r="S675" t="str">
        <f t="shared" si="159"/>
        <v>LATER</v>
      </c>
      <c r="T675" t="str">
        <f t="shared" si="160"/>
        <v>SainteLague</v>
      </c>
      <c r="U675">
        <f t="shared" si="162"/>
        <v>674</v>
      </c>
      <c r="V675">
        <f t="shared" si="161"/>
        <v>201686</v>
      </c>
      <c r="W675" s="8" t="str">
        <f>VLOOKUP(V675,'ideas-input'!$A:$B,2,FALSE)</f>
        <v>Galaxy | Avisados em Mobi - POD - Aumentar o campo assinatura</v>
      </c>
      <c r="X675" t="str">
        <f t="shared" si="150"/>
        <v>GS</v>
      </c>
      <c r="Y675" s="8" t="str">
        <f>VLOOKUP(V675,'ideas-input'!$A:$D,4,FALSE)</f>
        <v>Mail</v>
      </c>
      <c r="Z675" t="str">
        <f t="shared" si="151"/>
        <v>Commercial</v>
      </c>
      <c r="AA675" t="str">
        <f t="shared" si="152"/>
        <v>Backlog</v>
      </c>
      <c r="AB675">
        <f t="shared" si="153"/>
        <v>19</v>
      </c>
      <c r="AC675">
        <f t="shared" si="154"/>
        <v>0.03</v>
      </c>
      <c r="AD675">
        <f t="shared" si="155"/>
        <v>1</v>
      </c>
      <c r="AE675">
        <f t="shared" si="156"/>
        <v>1</v>
      </c>
      <c r="AF675">
        <f t="shared" si="157"/>
        <v>1</v>
      </c>
      <c r="AG675">
        <f t="shared" si="158"/>
        <v>100</v>
      </c>
    </row>
    <row r="676" spans="1:33" x14ac:dyDescent="0.2">
      <c r="A676" t="s">
        <v>127</v>
      </c>
      <c r="B676" t="s">
        <v>128</v>
      </c>
      <c r="C676">
        <v>675</v>
      </c>
      <c r="D676">
        <v>49015</v>
      </c>
      <c r="E676" t="s">
        <v>286</v>
      </c>
      <c r="F676" t="s">
        <v>68</v>
      </c>
      <c r="G676" t="s">
        <v>10</v>
      </c>
      <c r="H676" t="s">
        <v>5</v>
      </c>
      <c r="I676" t="s">
        <v>95</v>
      </c>
      <c r="J676">
        <v>35</v>
      </c>
      <c r="K676">
        <v>0.03</v>
      </c>
      <c r="L676">
        <v>1</v>
      </c>
      <c r="M676">
        <v>1</v>
      </c>
      <c r="N676">
        <v>1</v>
      </c>
      <c r="O676">
        <v>100</v>
      </c>
      <c r="P676" t="b">
        <f t="shared" si="149"/>
        <v>0</v>
      </c>
      <c r="S676" t="str">
        <f t="shared" si="159"/>
        <v>LATER</v>
      </c>
      <c r="T676" t="str">
        <f t="shared" si="160"/>
        <v>SainteLague</v>
      </c>
      <c r="U676">
        <f t="shared" si="162"/>
        <v>675</v>
      </c>
      <c r="V676">
        <f t="shared" si="161"/>
        <v>49015</v>
      </c>
      <c r="W676" s="8" t="str">
        <f>VLOOKUP(V676,'ideas-input'!$A:$B,2,FALSE)</f>
        <v>Publicar en Mule para Integrations recipient_available_actions</v>
      </c>
      <c r="X676" t="str">
        <f t="shared" si="150"/>
        <v>IDC</v>
      </c>
      <c r="Y676" s="8" t="str">
        <f>VLOOKUP(V676,'ideas-input'!$A:$D,4,FALSE)</f>
        <v>eCommerce</v>
      </c>
      <c r="Z676" t="str">
        <f t="shared" si="151"/>
        <v>Commercial</v>
      </c>
      <c r="AA676" t="str">
        <f t="shared" si="152"/>
        <v>In Definition</v>
      </c>
      <c r="AB676">
        <f t="shared" si="153"/>
        <v>35</v>
      </c>
      <c r="AC676">
        <f t="shared" si="154"/>
        <v>0.03</v>
      </c>
      <c r="AD676">
        <f t="shared" si="155"/>
        <v>1</v>
      </c>
      <c r="AE676">
        <f t="shared" si="156"/>
        <v>1</v>
      </c>
      <c r="AF676">
        <f t="shared" si="157"/>
        <v>1</v>
      </c>
      <c r="AG676">
        <f t="shared" si="158"/>
        <v>100</v>
      </c>
    </row>
    <row r="677" spans="1:33" x14ac:dyDescent="0.2">
      <c r="A677" t="s">
        <v>127</v>
      </c>
      <c r="B677" t="s">
        <v>128</v>
      </c>
      <c r="C677">
        <v>676</v>
      </c>
      <c r="D677">
        <v>50641</v>
      </c>
      <c r="E677" t="s">
        <v>323</v>
      </c>
      <c r="F677" t="s">
        <v>9</v>
      </c>
      <c r="G677" t="s">
        <v>379</v>
      </c>
      <c r="H677" t="s">
        <v>8</v>
      </c>
      <c r="I677" t="s">
        <v>91</v>
      </c>
      <c r="J677">
        <v>58</v>
      </c>
      <c r="K677">
        <v>0.03</v>
      </c>
      <c r="L677">
        <v>1</v>
      </c>
      <c r="M677">
        <v>1</v>
      </c>
      <c r="N677">
        <v>1</v>
      </c>
      <c r="O677">
        <v>100</v>
      </c>
      <c r="P677" t="b">
        <f t="shared" si="149"/>
        <v>0</v>
      </c>
      <c r="S677" t="str">
        <f t="shared" si="159"/>
        <v>LATER</v>
      </c>
      <c r="T677" t="str">
        <f t="shared" si="160"/>
        <v>SainteLague</v>
      </c>
      <c r="U677">
        <f t="shared" si="162"/>
        <v>676</v>
      </c>
      <c r="V677">
        <f t="shared" si="161"/>
        <v>50641</v>
      </c>
      <c r="W677" s="8" t="str">
        <f>VLOOKUP(V677,'ideas-input'!$A:$B,2,FALSE)</f>
        <v>APT | ODIN | Self Service</v>
      </c>
      <c r="X677" t="str">
        <f t="shared" si="150"/>
        <v>SI</v>
      </c>
      <c r="Y677" s="8" t="str">
        <f>VLOOKUP(V677,'ideas-input'!$A:$D,4,FALSE)</f>
        <v>Mail</v>
      </c>
      <c r="Z677" t="str">
        <f t="shared" si="151"/>
        <v>Technology</v>
      </c>
      <c r="AA677" t="str">
        <f t="shared" si="152"/>
        <v>Backlog</v>
      </c>
      <c r="AB677">
        <f t="shared" si="153"/>
        <v>58</v>
      </c>
      <c r="AC677">
        <f t="shared" si="154"/>
        <v>0.03</v>
      </c>
      <c r="AD677">
        <f t="shared" si="155"/>
        <v>1</v>
      </c>
      <c r="AE677">
        <f t="shared" si="156"/>
        <v>1</v>
      </c>
      <c r="AF677">
        <f t="shared" si="157"/>
        <v>1</v>
      </c>
      <c r="AG677">
        <f t="shared" si="158"/>
        <v>100</v>
      </c>
    </row>
    <row r="678" spans="1:33" x14ac:dyDescent="0.2">
      <c r="A678" t="s">
        <v>127</v>
      </c>
      <c r="B678" t="s">
        <v>128</v>
      </c>
      <c r="C678">
        <v>677</v>
      </c>
      <c r="D678">
        <v>43526</v>
      </c>
      <c r="E678" t="s">
        <v>1332</v>
      </c>
      <c r="F678" t="s">
        <v>69</v>
      </c>
      <c r="G678" t="s">
        <v>10</v>
      </c>
      <c r="H678" t="s">
        <v>12</v>
      </c>
      <c r="I678" t="s">
        <v>91</v>
      </c>
      <c r="J678">
        <v>55</v>
      </c>
      <c r="K678">
        <v>0.03</v>
      </c>
      <c r="L678">
        <v>1</v>
      </c>
      <c r="M678">
        <v>1</v>
      </c>
      <c r="N678">
        <v>1</v>
      </c>
      <c r="O678">
        <v>100</v>
      </c>
      <c r="P678" t="b">
        <f t="shared" si="149"/>
        <v>0</v>
      </c>
      <c r="S678" t="str">
        <f t="shared" si="159"/>
        <v>LATER</v>
      </c>
      <c r="T678" t="str">
        <f t="shared" si="160"/>
        <v>SainteLague</v>
      </c>
      <c r="U678">
        <f t="shared" si="162"/>
        <v>677</v>
      </c>
      <c r="V678">
        <f t="shared" si="161"/>
        <v>43526</v>
      </c>
      <c r="W678" s="8" t="str">
        <f>VLOOKUP(V678,'ideas-input'!$A:$B,2,FALSE)</f>
        <v>[Evolutivo SGC] Desarrollar un sistema de refacturación a los brokers para que automáticamente podamos refacturarles los costes de recogida cuando se apliquen a brokers sin coste de recogida</v>
      </c>
      <c r="X678" t="str">
        <f t="shared" si="150"/>
        <v>CFO</v>
      </c>
      <c r="Y678" s="8" t="str">
        <f>VLOOKUP(V678,'ideas-input'!$A:$D,4,FALSE)</f>
        <v>eCommerce</v>
      </c>
      <c r="Z678" t="str">
        <f t="shared" si="151"/>
        <v>Corporate</v>
      </c>
      <c r="AA678" t="str">
        <f t="shared" si="152"/>
        <v>Backlog</v>
      </c>
      <c r="AB678">
        <f t="shared" si="153"/>
        <v>55</v>
      </c>
      <c r="AC678">
        <f t="shared" si="154"/>
        <v>0.03</v>
      </c>
      <c r="AD678">
        <f t="shared" si="155"/>
        <v>1</v>
      </c>
      <c r="AE678">
        <f t="shared" si="156"/>
        <v>1</v>
      </c>
      <c r="AF678">
        <f t="shared" si="157"/>
        <v>1</v>
      </c>
      <c r="AG678">
        <f t="shared" si="158"/>
        <v>100</v>
      </c>
    </row>
    <row r="679" spans="1:33" x14ac:dyDescent="0.2">
      <c r="A679" t="s">
        <v>127</v>
      </c>
      <c r="B679" t="s">
        <v>128</v>
      </c>
      <c r="C679">
        <v>678</v>
      </c>
      <c r="D679">
        <v>193256</v>
      </c>
      <c r="E679" t="s">
        <v>1391</v>
      </c>
      <c r="F679" t="s">
        <v>38</v>
      </c>
      <c r="G679" t="s">
        <v>379</v>
      </c>
      <c r="H679" t="s">
        <v>5</v>
      </c>
      <c r="I679" t="s">
        <v>91</v>
      </c>
      <c r="J679">
        <v>17</v>
      </c>
      <c r="K679">
        <v>0.03</v>
      </c>
      <c r="L679">
        <v>1</v>
      </c>
      <c r="M679">
        <v>1</v>
      </c>
      <c r="N679">
        <v>1</v>
      </c>
      <c r="O679">
        <v>100</v>
      </c>
      <c r="P679" t="b">
        <f t="shared" si="149"/>
        <v>0</v>
      </c>
      <c r="S679" t="str">
        <f t="shared" si="159"/>
        <v>LATER</v>
      </c>
      <c r="T679" t="str">
        <f t="shared" si="160"/>
        <v>SainteLague</v>
      </c>
      <c r="U679">
        <f t="shared" si="162"/>
        <v>678</v>
      </c>
      <c r="V679">
        <f t="shared" si="161"/>
        <v>193256</v>
      </c>
      <c r="W679" s="8" t="str">
        <f>VLOOKUP(V679,'ideas-input'!$A:$B,2,FALSE)</f>
        <v>Eliminação da impressão da guia da Loja na aceitação de objetos CTT Expresso (contratual e ocasional)</v>
      </c>
      <c r="X679" t="str">
        <f t="shared" si="150"/>
        <v>CSI</v>
      </c>
      <c r="Y679" s="8" t="str">
        <f>VLOOKUP(V679,'ideas-input'!$A:$D,4,FALSE)</f>
        <v>Mail</v>
      </c>
      <c r="Z679" t="str">
        <f t="shared" si="151"/>
        <v>Commercial</v>
      </c>
      <c r="AA679" t="str">
        <f t="shared" si="152"/>
        <v>Backlog</v>
      </c>
      <c r="AB679">
        <f t="shared" si="153"/>
        <v>17</v>
      </c>
      <c r="AC679">
        <f t="shared" si="154"/>
        <v>0.03</v>
      </c>
      <c r="AD679">
        <f t="shared" si="155"/>
        <v>1</v>
      </c>
      <c r="AE679">
        <f t="shared" si="156"/>
        <v>1</v>
      </c>
      <c r="AF679">
        <f t="shared" si="157"/>
        <v>1</v>
      </c>
      <c r="AG679">
        <f t="shared" si="158"/>
        <v>100</v>
      </c>
    </row>
    <row r="680" spans="1:33" x14ac:dyDescent="0.2">
      <c r="A680" t="s">
        <v>127</v>
      </c>
      <c r="B680" t="s">
        <v>128</v>
      </c>
      <c r="C680">
        <v>679</v>
      </c>
      <c r="D680">
        <v>58380</v>
      </c>
      <c r="E680" t="s">
        <v>1319</v>
      </c>
      <c r="F680" t="s">
        <v>65</v>
      </c>
      <c r="G680" t="s">
        <v>10</v>
      </c>
      <c r="H680" t="s">
        <v>5</v>
      </c>
      <c r="I680" t="s">
        <v>91</v>
      </c>
      <c r="J680">
        <v>45</v>
      </c>
      <c r="K680">
        <v>0.03</v>
      </c>
      <c r="L680">
        <v>1</v>
      </c>
      <c r="M680">
        <v>1</v>
      </c>
      <c r="N680">
        <v>1</v>
      </c>
      <c r="O680">
        <v>100</v>
      </c>
      <c r="P680" t="b">
        <f t="shared" si="149"/>
        <v>0</v>
      </c>
      <c r="S680" t="str">
        <f t="shared" si="159"/>
        <v>LATER</v>
      </c>
      <c r="T680" t="str">
        <f t="shared" si="160"/>
        <v>SainteLague</v>
      </c>
      <c r="U680">
        <f t="shared" si="162"/>
        <v>679</v>
      </c>
      <c r="V680">
        <f t="shared" si="161"/>
        <v>58380</v>
      </c>
      <c r="W680" s="8" t="str">
        <f>VLOOKUP(V680,'ideas-input'!$A:$B,2,FALSE)</f>
        <v>[Web de clientes] - Seguimiento 2.0 - Rediseño de la sección de seguimiento</v>
      </c>
      <c r="X680" t="str">
        <f t="shared" si="150"/>
        <v>CMO</v>
      </c>
      <c r="Y680" s="8" t="str">
        <f>VLOOKUP(V680,'ideas-input'!$A:$D,4,FALSE)</f>
        <v>eCommerce</v>
      </c>
      <c r="Z680" t="str">
        <f t="shared" si="151"/>
        <v>Commercial</v>
      </c>
      <c r="AA680" t="str">
        <f t="shared" si="152"/>
        <v>Backlog</v>
      </c>
      <c r="AB680">
        <f t="shared" si="153"/>
        <v>45</v>
      </c>
      <c r="AC680">
        <f t="shared" si="154"/>
        <v>0.03</v>
      </c>
      <c r="AD680">
        <f t="shared" si="155"/>
        <v>1</v>
      </c>
      <c r="AE680">
        <f t="shared" si="156"/>
        <v>1</v>
      </c>
      <c r="AF680">
        <f t="shared" si="157"/>
        <v>1</v>
      </c>
      <c r="AG680">
        <f t="shared" si="158"/>
        <v>100</v>
      </c>
    </row>
    <row r="681" spans="1:33" x14ac:dyDescent="0.2">
      <c r="A681" t="s">
        <v>127</v>
      </c>
      <c r="B681" t="s">
        <v>128</v>
      </c>
      <c r="C681">
        <v>680</v>
      </c>
      <c r="D681">
        <v>48157</v>
      </c>
      <c r="E681" t="s">
        <v>1326</v>
      </c>
      <c r="F681" t="s">
        <v>9</v>
      </c>
      <c r="G681" t="s">
        <v>379</v>
      </c>
      <c r="H681" t="s">
        <v>8</v>
      </c>
      <c r="I681" t="s">
        <v>91</v>
      </c>
      <c r="J681">
        <v>59</v>
      </c>
      <c r="K681">
        <v>0.03</v>
      </c>
      <c r="L681">
        <v>1</v>
      </c>
      <c r="M681">
        <v>1</v>
      </c>
      <c r="N681">
        <v>1</v>
      </c>
      <c r="O681">
        <v>100</v>
      </c>
      <c r="P681" t="b">
        <f t="shared" si="149"/>
        <v>0</v>
      </c>
      <c r="S681" t="str">
        <f t="shared" si="159"/>
        <v>LATER</v>
      </c>
      <c r="T681" t="str">
        <f t="shared" si="160"/>
        <v>SainteLague</v>
      </c>
      <c r="U681">
        <f t="shared" si="162"/>
        <v>680</v>
      </c>
      <c r="V681">
        <f t="shared" si="161"/>
        <v>48157</v>
      </c>
      <c r="W681" s="8" t="str">
        <f>VLOOKUP(V681,'ideas-input'!$A:$B,2,FALSE)</f>
        <v>IOP | Redução da Obsolescência Protocolos TLS 1.0 &amp; 1.1 WAVE 3</v>
      </c>
      <c r="X681" t="str">
        <f t="shared" si="150"/>
        <v>SI</v>
      </c>
      <c r="Y681" s="8" t="str">
        <f>VLOOKUP(V681,'ideas-input'!$A:$D,4,FALSE)</f>
        <v>Mail</v>
      </c>
      <c r="Z681" t="str">
        <f t="shared" si="151"/>
        <v>Technology</v>
      </c>
      <c r="AA681" t="str">
        <f t="shared" si="152"/>
        <v>Backlog</v>
      </c>
      <c r="AB681">
        <f t="shared" si="153"/>
        <v>59</v>
      </c>
      <c r="AC681">
        <f t="shared" si="154"/>
        <v>0.03</v>
      </c>
      <c r="AD681">
        <f t="shared" si="155"/>
        <v>1</v>
      </c>
      <c r="AE681">
        <f t="shared" si="156"/>
        <v>1</v>
      </c>
      <c r="AF681">
        <f t="shared" si="157"/>
        <v>1</v>
      </c>
      <c r="AG681">
        <f t="shared" si="158"/>
        <v>100</v>
      </c>
    </row>
    <row r="682" spans="1:33" x14ac:dyDescent="0.2">
      <c r="A682" t="s">
        <v>127</v>
      </c>
      <c r="B682" t="s">
        <v>128</v>
      </c>
      <c r="C682">
        <v>681</v>
      </c>
      <c r="D682">
        <v>43517</v>
      </c>
      <c r="E682" t="s">
        <v>1334</v>
      </c>
      <c r="F682" t="s">
        <v>69</v>
      </c>
      <c r="G682" t="s">
        <v>10</v>
      </c>
      <c r="H682" t="s">
        <v>12</v>
      </c>
      <c r="I682" t="s">
        <v>91</v>
      </c>
      <c r="J682">
        <v>56</v>
      </c>
      <c r="K682">
        <v>0.03</v>
      </c>
      <c r="L682">
        <v>1</v>
      </c>
      <c r="M682">
        <v>1</v>
      </c>
      <c r="N682">
        <v>1</v>
      </c>
      <c r="O682">
        <v>100</v>
      </c>
      <c r="P682" t="b">
        <f t="shared" si="149"/>
        <v>0</v>
      </c>
      <c r="S682" t="str">
        <f t="shared" si="159"/>
        <v>LATER</v>
      </c>
      <c r="T682" t="str">
        <f t="shared" si="160"/>
        <v>SainteLague</v>
      </c>
      <c r="U682">
        <f t="shared" si="162"/>
        <v>681</v>
      </c>
      <c r="V682">
        <f t="shared" si="161"/>
        <v>43517</v>
      </c>
      <c r="W682" s="8" t="str">
        <f>VLOOKUP(V682,'ideas-input'!$A:$B,2,FALSE)</f>
        <v>[SAP] Recargo de equivalencia (módulo +) Esta evolucion debe ser en SGC y en el interface de SAP no viaja</v>
      </c>
      <c r="X682" t="str">
        <f t="shared" si="150"/>
        <v>CFO</v>
      </c>
      <c r="Y682" s="8" t="str">
        <f>VLOOKUP(V682,'ideas-input'!$A:$D,4,FALSE)</f>
        <v>eCommerce</v>
      </c>
      <c r="Z682" t="str">
        <f t="shared" si="151"/>
        <v>Corporate</v>
      </c>
      <c r="AA682" t="str">
        <f t="shared" si="152"/>
        <v>Backlog</v>
      </c>
      <c r="AB682">
        <f t="shared" si="153"/>
        <v>56</v>
      </c>
      <c r="AC682">
        <f t="shared" si="154"/>
        <v>0.03</v>
      </c>
      <c r="AD682">
        <f t="shared" si="155"/>
        <v>1</v>
      </c>
      <c r="AE682">
        <f t="shared" si="156"/>
        <v>1</v>
      </c>
      <c r="AF682">
        <f t="shared" si="157"/>
        <v>1</v>
      </c>
      <c r="AG682">
        <f t="shared" si="158"/>
        <v>100</v>
      </c>
    </row>
    <row r="683" spans="1:33" x14ac:dyDescent="0.2">
      <c r="A683" t="s">
        <v>127</v>
      </c>
      <c r="B683" t="s">
        <v>128</v>
      </c>
      <c r="C683">
        <v>682</v>
      </c>
      <c r="D683">
        <v>90947</v>
      </c>
      <c r="E683" t="s">
        <v>1395</v>
      </c>
      <c r="F683" t="s">
        <v>21</v>
      </c>
      <c r="G683" t="s">
        <v>379</v>
      </c>
      <c r="H683" t="s">
        <v>5</v>
      </c>
      <c r="I683" t="s">
        <v>91</v>
      </c>
      <c r="J683">
        <v>26</v>
      </c>
      <c r="K683">
        <v>0.03</v>
      </c>
      <c r="L683">
        <v>1</v>
      </c>
      <c r="M683">
        <v>1</v>
      </c>
      <c r="N683">
        <v>1</v>
      </c>
      <c r="O683">
        <v>100</v>
      </c>
      <c r="P683" t="b">
        <f t="shared" si="149"/>
        <v>0</v>
      </c>
      <c r="S683" t="str">
        <f t="shared" si="159"/>
        <v>LATER</v>
      </c>
      <c r="T683" t="str">
        <f t="shared" si="160"/>
        <v>SainteLague</v>
      </c>
      <c r="U683">
        <f t="shared" si="162"/>
        <v>682</v>
      </c>
      <c r="V683">
        <f t="shared" si="161"/>
        <v>90947</v>
      </c>
      <c r="W683" s="8" t="str">
        <f>VLOOKUP(V683,'ideas-input'!$A:$B,2,FALSE)</f>
        <v>Descontinuação das Guias em Papel e Aplicações Locais – Introdução de um custo adicional</v>
      </c>
      <c r="X683" t="str">
        <f t="shared" si="150"/>
        <v>GP B2B</v>
      </c>
      <c r="Y683" s="8" t="str">
        <f>VLOOKUP(V683,'ideas-input'!$A:$D,4,FALSE)</f>
        <v>Mail</v>
      </c>
      <c r="Z683" t="str">
        <f t="shared" si="151"/>
        <v>Commercial</v>
      </c>
      <c r="AA683" t="str">
        <f t="shared" si="152"/>
        <v>Backlog</v>
      </c>
      <c r="AB683">
        <f t="shared" si="153"/>
        <v>26</v>
      </c>
      <c r="AC683">
        <f t="shared" si="154"/>
        <v>0.03</v>
      </c>
      <c r="AD683">
        <f t="shared" si="155"/>
        <v>1</v>
      </c>
      <c r="AE683">
        <f t="shared" si="156"/>
        <v>1</v>
      </c>
      <c r="AF683">
        <f t="shared" si="157"/>
        <v>1</v>
      </c>
      <c r="AG683">
        <f t="shared" si="158"/>
        <v>100</v>
      </c>
    </row>
    <row r="684" spans="1:33" x14ac:dyDescent="0.2">
      <c r="A684" t="s">
        <v>127</v>
      </c>
      <c r="B684" t="s">
        <v>128</v>
      </c>
      <c r="C684">
        <v>683</v>
      </c>
      <c r="D684">
        <v>136973</v>
      </c>
      <c r="E684" t="s">
        <v>1409</v>
      </c>
      <c r="F684" t="s">
        <v>66</v>
      </c>
      <c r="G684" t="s">
        <v>10</v>
      </c>
      <c r="H684" t="s">
        <v>5</v>
      </c>
      <c r="I684" t="s">
        <v>91</v>
      </c>
      <c r="J684">
        <v>39</v>
      </c>
      <c r="K684">
        <v>0.03</v>
      </c>
      <c r="L684">
        <v>1</v>
      </c>
      <c r="M684">
        <v>1</v>
      </c>
      <c r="N684">
        <v>1</v>
      </c>
      <c r="O684">
        <v>100</v>
      </c>
      <c r="P684" t="b">
        <f t="shared" si="149"/>
        <v>0</v>
      </c>
      <c r="S684" t="str">
        <f t="shared" si="159"/>
        <v>LATER</v>
      </c>
      <c r="T684" t="str">
        <f t="shared" si="160"/>
        <v>SainteLague</v>
      </c>
      <c r="U684">
        <f t="shared" si="162"/>
        <v>683</v>
      </c>
      <c r="V684">
        <f t="shared" si="161"/>
        <v>136973</v>
      </c>
      <c r="W684" s="8" t="str">
        <f>VLOOKUP(V684,'ideas-input'!$A:$B,2,FALSE)</f>
        <v>[Salesforce Sales] - Incorporación de nuevos Subsegmentos SME</v>
      </c>
      <c r="X684" t="str">
        <f t="shared" si="150"/>
        <v>CCO</v>
      </c>
      <c r="Y684" s="8" t="str">
        <f>VLOOKUP(V684,'ideas-input'!$A:$D,4,FALSE)</f>
        <v>eCommerce</v>
      </c>
      <c r="Z684" t="str">
        <f t="shared" si="151"/>
        <v>Commercial</v>
      </c>
      <c r="AA684" t="str">
        <f t="shared" si="152"/>
        <v>Backlog</v>
      </c>
      <c r="AB684">
        <f t="shared" si="153"/>
        <v>39</v>
      </c>
      <c r="AC684">
        <f t="shared" si="154"/>
        <v>0.03</v>
      </c>
      <c r="AD684">
        <f t="shared" si="155"/>
        <v>1</v>
      </c>
      <c r="AE684">
        <f t="shared" si="156"/>
        <v>1</v>
      </c>
      <c r="AF684">
        <f t="shared" si="157"/>
        <v>1</v>
      </c>
      <c r="AG684">
        <f t="shared" si="158"/>
        <v>100</v>
      </c>
    </row>
    <row r="685" spans="1:33" x14ac:dyDescent="0.2">
      <c r="A685" t="s">
        <v>127</v>
      </c>
      <c r="B685" t="s">
        <v>128</v>
      </c>
      <c r="C685">
        <v>684</v>
      </c>
      <c r="D685">
        <v>204261</v>
      </c>
      <c r="E685" t="s">
        <v>1397</v>
      </c>
      <c r="F685" t="s">
        <v>23</v>
      </c>
      <c r="G685" t="s">
        <v>379</v>
      </c>
      <c r="H685" t="s">
        <v>5</v>
      </c>
      <c r="I685" t="s">
        <v>91</v>
      </c>
      <c r="J685">
        <v>26</v>
      </c>
      <c r="K685">
        <v>0.03</v>
      </c>
      <c r="L685">
        <v>1</v>
      </c>
      <c r="M685">
        <v>1</v>
      </c>
      <c r="N685">
        <v>1</v>
      </c>
      <c r="O685">
        <v>100</v>
      </c>
      <c r="P685" t="b">
        <f t="shared" si="149"/>
        <v>0</v>
      </c>
      <c r="S685" t="str">
        <f t="shared" si="159"/>
        <v>LATER</v>
      </c>
      <c r="T685" t="str">
        <f t="shared" si="160"/>
        <v>SainteLague</v>
      </c>
      <c r="U685">
        <f t="shared" si="162"/>
        <v>684</v>
      </c>
      <c r="V685">
        <f t="shared" si="161"/>
        <v>204261</v>
      </c>
      <c r="W685" s="8" t="str">
        <f>VLOOKUP(V685,'ideas-input'!$A:$B,2,FALSE)</f>
        <v>GP ECL/INT - Erros envolvendo DHL - Objeto CTT que gera múltiplas Cartas de Porte DHL (AWB DHL Express)</v>
      </c>
      <c r="X685" t="str">
        <f t="shared" si="150"/>
        <v>GP ECL</v>
      </c>
      <c r="Y685" s="8" t="str">
        <f>VLOOKUP(V685,'ideas-input'!$A:$D,4,FALSE)</f>
        <v>eCommerce</v>
      </c>
      <c r="Z685" t="str">
        <f t="shared" si="151"/>
        <v>Commercial</v>
      </c>
      <c r="AA685" t="str">
        <f t="shared" si="152"/>
        <v>Backlog</v>
      </c>
      <c r="AB685">
        <f t="shared" si="153"/>
        <v>26</v>
      </c>
      <c r="AC685">
        <f t="shared" si="154"/>
        <v>0.03</v>
      </c>
      <c r="AD685">
        <f t="shared" si="155"/>
        <v>1</v>
      </c>
      <c r="AE685">
        <f t="shared" si="156"/>
        <v>1</v>
      </c>
      <c r="AF685">
        <f t="shared" si="157"/>
        <v>1</v>
      </c>
      <c r="AG685">
        <f t="shared" si="158"/>
        <v>100</v>
      </c>
    </row>
    <row r="686" spans="1:33" x14ac:dyDescent="0.2">
      <c r="A686" t="s">
        <v>127</v>
      </c>
      <c r="B686" t="s">
        <v>128</v>
      </c>
      <c r="C686">
        <v>685</v>
      </c>
      <c r="D686">
        <v>43524</v>
      </c>
      <c r="E686" t="s">
        <v>316</v>
      </c>
      <c r="F686" t="s">
        <v>69</v>
      </c>
      <c r="G686" t="s">
        <v>10</v>
      </c>
      <c r="H686" t="s">
        <v>12</v>
      </c>
      <c r="I686" t="s">
        <v>91</v>
      </c>
      <c r="J686">
        <v>57</v>
      </c>
      <c r="K686">
        <v>0.03</v>
      </c>
      <c r="L686">
        <v>1</v>
      </c>
      <c r="M686">
        <v>1</v>
      </c>
      <c r="N686">
        <v>1</v>
      </c>
      <c r="O686">
        <v>100</v>
      </c>
      <c r="P686" t="b">
        <f t="shared" si="149"/>
        <v>0</v>
      </c>
      <c r="S686" t="str">
        <f t="shared" si="159"/>
        <v>LATER</v>
      </c>
      <c r="T686" t="str">
        <f t="shared" si="160"/>
        <v>SainteLague</v>
      </c>
      <c r="U686">
        <f t="shared" si="162"/>
        <v>685</v>
      </c>
      <c r="V686">
        <f t="shared" si="161"/>
        <v>43524</v>
      </c>
      <c r="W686" s="8" t="str">
        <f>VLOOKUP(V686,'ideas-input'!$A:$B,2,FALSE)</f>
        <v>[Evolutivos SGC] Nueva funcionalidad para Clientes que no etiquetan (recargo por mercancia no/mal etiquetada) (pendiente al ser antiguo revisar con LR)</v>
      </c>
      <c r="X686" t="str">
        <f t="shared" si="150"/>
        <v>CFO</v>
      </c>
      <c r="Y686" s="8" t="str">
        <f>VLOOKUP(V686,'ideas-input'!$A:$D,4,FALSE)</f>
        <v>eCommerce</v>
      </c>
      <c r="Z686" t="str">
        <f t="shared" si="151"/>
        <v>Corporate</v>
      </c>
      <c r="AA686" t="str">
        <f t="shared" si="152"/>
        <v>Backlog</v>
      </c>
      <c r="AB686">
        <f t="shared" si="153"/>
        <v>57</v>
      </c>
      <c r="AC686">
        <f t="shared" si="154"/>
        <v>0.03</v>
      </c>
      <c r="AD686">
        <f t="shared" si="155"/>
        <v>1</v>
      </c>
      <c r="AE686">
        <f t="shared" si="156"/>
        <v>1</v>
      </c>
      <c r="AF686">
        <f t="shared" si="157"/>
        <v>1</v>
      </c>
      <c r="AG686">
        <f t="shared" si="158"/>
        <v>100</v>
      </c>
    </row>
    <row r="687" spans="1:33" x14ac:dyDescent="0.2">
      <c r="A687" t="s">
        <v>127</v>
      </c>
      <c r="B687" t="s">
        <v>128</v>
      </c>
      <c r="C687">
        <v>686</v>
      </c>
      <c r="D687">
        <v>48156</v>
      </c>
      <c r="E687" t="s">
        <v>1328</v>
      </c>
      <c r="F687" t="s">
        <v>9</v>
      </c>
      <c r="G687" t="s">
        <v>379</v>
      </c>
      <c r="H687" t="s">
        <v>8</v>
      </c>
      <c r="I687" t="s">
        <v>91</v>
      </c>
      <c r="J687">
        <v>60</v>
      </c>
      <c r="K687">
        <v>0.03</v>
      </c>
      <c r="L687">
        <v>1</v>
      </c>
      <c r="M687">
        <v>1</v>
      </c>
      <c r="N687">
        <v>1</v>
      </c>
      <c r="O687">
        <v>100</v>
      </c>
      <c r="P687" t="b">
        <f t="shared" si="149"/>
        <v>0</v>
      </c>
      <c r="S687" t="str">
        <f t="shared" si="159"/>
        <v>LATER</v>
      </c>
      <c r="T687" t="str">
        <f t="shared" si="160"/>
        <v>SainteLague</v>
      </c>
      <c r="U687">
        <f t="shared" si="162"/>
        <v>686</v>
      </c>
      <c r="V687">
        <f t="shared" si="161"/>
        <v>48156</v>
      </c>
      <c r="W687" s="8" t="str">
        <f>VLOOKUP(V687,'ideas-input'!$A:$B,2,FALSE)</f>
        <v>IOP | Redução da Obsolescência Protocolos TLS 1.0 &amp; 1.1 WAVE 2</v>
      </c>
      <c r="X687" t="str">
        <f t="shared" si="150"/>
        <v>SI</v>
      </c>
      <c r="Y687" s="8" t="str">
        <f>VLOOKUP(V687,'ideas-input'!$A:$D,4,FALSE)</f>
        <v>Mail</v>
      </c>
      <c r="Z687" t="str">
        <f t="shared" si="151"/>
        <v>Technology</v>
      </c>
      <c r="AA687" t="str">
        <f t="shared" si="152"/>
        <v>Backlog</v>
      </c>
      <c r="AB687">
        <f t="shared" si="153"/>
        <v>60</v>
      </c>
      <c r="AC687">
        <f t="shared" si="154"/>
        <v>0.03</v>
      </c>
      <c r="AD687">
        <f t="shared" si="155"/>
        <v>1</v>
      </c>
      <c r="AE687">
        <f t="shared" si="156"/>
        <v>1</v>
      </c>
      <c r="AF687">
        <f t="shared" si="157"/>
        <v>1</v>
      </c>
      <c r="AG687">
        <f t="shared" si="158"/>
        <v>100</v>
      </c>
    </row>
    <row r="688" spans="1:33" x14ac:dyDescent="0.2">
      <c r="A688" t="s">
        <v>127</v>
      </c>
      <c r="B688" t="s">
        <v>128</v>
      </c>
      <c r="C688">
        <v>687</v>
      </c>
      <c r="D688">
        <v>46225</v>
      </c>
      <c r="E688" t="s">
        <v>1400</v>
      </c>
      <c r="F688" t="s">
        <v>68</v>
      </c>
      <c r="G688" t="s">
        <v>10</v>
      </c>
      <c r="H688" t="s">
        <v>5</v>
      </c>
      <c r="I688" t="s">
        <v>95</v>
      </c>
      <c r="J688">
        <v>36</v>
      </c>
      <c r="K688">
        <v>0.03</v>
      </c>
      <c r="L688">
        <v>1</v>
      </c>
      <c r="M688">
        <v>1</v>
      </c>
      <c r="N688">
        <v>1</v>
      </c>
      <c r="O688">
        <v>100</v>
      </c>
      <c r="P688" t="b">
        <f t="shared" si="149"/>
        <v>0</v>
      </c>
      <c r="S688" t="str">
        <f t="shared" si="159"/>
        <v>LATER</v>
      </c>
      <c r="T688" t="str">
        <f t="shared" si="160"/>
        <v>SainteLague</v>
      </c>
      <c r="U688">
        <f t="shared" si="162"/>
        <v>687</v>
      </c>
      <c r="V688">
        <f t="shared" si="161"/>
        <v>46225</v>
      </c>
      <c r="W688" s="8" t="str">
        <f>VLOOKUP(V688,'ideas-input'!$A:$B,2,FALSE)</f>
        <v>[Desconexión SGC] [WebHook] - Dupla Logistics - Envío de estados</v>
      </c>
      <c r="X688" t="str">
        <f t="shared" si="150"/>
        <v>IDC</v>
      </c>
      <c r="Y688" s="8" t="str">
        <f>VLOOKUP(V688,'ideas-input'!$A:$D,4,FALSE)</f>
        <v>eCommerce</v>
      </c>
      <c r="Z688" t="str">
        <f t="shared" si="151"/>
        <v>Commercial</v>
      </c>
      <c r="AA688" t="str">
        <f t="shared" si="152"/>
        <v>In Definition</v>
      </c>
      <c r="AB688">
        <f t="shared" si="153"/>
        <v>36</v>
      </c>
      <c r="AC688">
        <f t="shared" si="154"/>
        <v>0.03</v>
      </c>
      <c r="AD688">
        <f t="shared" si="155"/>
        <v>1</v>
      </c>
      <c r="AE688">
        <f t="shared" si="156"/>
        <v>1</v>
      </c>
      <c r="AF688">
        <f t="shared" si="157"/>
        <v>1</v>
      </c>
      <c r="AG688">
        <f t="shared" si="158"/>
        <v>100</v>
      </c>
    </row>
    <row r="689" spans="1:33" x14ac:dyDescent="0.2">
      <c r="A689" t="s">
        <v>127</v>
      </c>
      <c r="B689" t="s">
        <v>128</v>
      </c>
      <c r="C689">
        <v>688</v>
      </c>
      <c r="D689">
        <v>76382</v>
      </c>
      <c r="E689" t="s">
        <v>203</v>
      </c>
      <c r="F689" t="s">
        <v>37</v>
      </c>
      <c r="G689" t="s">
        <v>379</v>
      </c>
      <c r="H689" t="s">
        <v>5</v>
      </c>
      <c r="I689" t="s">
        <v>95</v>
      </c>
      <c r="J689">
        <v>20</v>
      </c>
      <c r="K689">
        <v>0.03</v>
      </c>
      <c r="L689">
        <v>1</v>
      </c>
      <c r="M689">
        <v>1</v>
      </c>
      <c r="N689">
        <v>1</v>
      </c>
      <c r="O689">
        <v>100</v>
      </c>
      <c r="P689" t="b">
        <f t="shared" si="149"/>
        <v>0</v>
      </c>
      <c r="S689" t="str">
        <f t="shared" si="159"/>
        <v>LATER</v>
      </c>
      <c r="T689" t="str">
        <f t="shared" si="160"/>
        <v>SainteLague</v>
      </c>
      <c r="U689">
        <f t="shared" si="162"/>
        <v>688</v>
      </c>
      <c r="V689">
        <f t="shared" si="161"/>
        <v>76382</v>
      </c>
      <c r="W689" s="8" t="str">
        <f>VLOOKUP(V689,'ideas-input'!$A:$B,2,FALSE)</f>
        <v>[35908] - Jornada NBO: MOBI</v>
      </c>
      <c r="X689" t="str">
        <f t="shared" si="150"/>
        <v>GS</v>
      </c>
      <c r="Y689" s="8" t="str">
        <f>VLOOKUP(V689,'ideas-input'!$A:$D,4,FALSE)</f>
        <v>Mail</v>
      </c>
      <c r="Z689" t="str">
        <f t="shared" si="151"/>
        <v>Commercial</v>
      </c>
      <c r="AA689" t="str">
        <f t="shared" si="152"/>
        <v>In Definition</v>
      </c>
      <c r="AB689">
        <f t="shared" si="153"/>
        <v>20</v>
      </c>
      <c r="AC689">
        <f t="shared" si="154"/>
        <v>0.03</v>
      </c>
      <c r="AD689">
        <f t="shared" si="155"/>
        <v>1</v>
      </c>
      <c r="AE689">
        <f t="shared" si="156"/>
        <v>1</v>
      </c>
      <c r="AF689">
        <f t="shared" si="157"/>
        <v>1</v>
      </c>
      <c r="AG689">
        <f t="shared" si="158"/>
        <v>100</v>
      </c>
    </row>
    <row r="690" spans="1:33" x14ac:dyDescent="0.2">
      <c r="A690" t="s">
        <v>127</v>
      </c>
      <c r="B690" t="s">
        <v>128</v>
      </c>
      <c r="C690">
        <v>689</v>
      </c>
      <c r="D690">
        <v>62731</v>
      </c>
      <c r="E690" t="s">
        <v>1325</v>
      </c>
      <c r="F690" t="s">
        <v>65</v>
      </c>
      <c r="G690" t="s">
        <v>10</v>
      </c>
      <c r="H690" t="s">
        <v>5</v>
      </c>
      <c r="I690" t="s">
        <v>91</v>
      </c>
      <c r="J690">
        <v>46</v>
      </c>
      <c r="K690">
        <v>0.03</v>
      </c>
      <c r="L690">
        <v>1</v>
      </c>
      <c r="M690">
        <v>1</v>
      </c>
      <c r="N690">
        <v>1</v>
      </c>
      <c r="O690">
        <v>100</v>
      </c>
      <c r="P690" t="b">
        <f t="shared" si="149"/>
        <v>0</v>
      </c>
      <c r="S690" t="str">
        <f t="shared" si="159"/>
        <v>LATER</v>
      </c>
      <c r="T690" t="str">
        <f t="shared" si="160"/>
        <v>SainteLague</v>
      </c>
      <c r="U690">
        <f t="shared" si="162"/>
        <v>689</v>
      </c>
      <c r="V690">
        <f t="shared" si="161"/>
        <v>62731</v>
      </c>
      <c r="W690" s="8" t="str">
        <f>VLOOKUP(V690,'ideas-input'!$A:$B,2,FALSE)</f>
        <v>[PUDOS] [Web clientes] - Añadir campo nombre rtt en RDP</v>
      </c>
      <c r="X690" t="str">
        <f t="shared" si="150"/>
        <v>CMO</v>
      </c>
      <c r="Y690" s="8" t="str">
        <f>VLOOKUP(V690,'ideas-input'!$A:$D,4,FALSE)</f>
        <v>eCommerce</v>
      </c>
      <c r="Z690" t="str">
        <f t="shared" si="151"/>
        <v>Commercial</v>
      </c>
      <c r="AA690" t="str">
        <f t="shared" si="152"/>
        <v>Backlog</v>
      </c>
      <c r="AB690">
        <f t="shared" si="153"/>
        <v>46</v>
      </c>
      <c r="AC690">
        <f t="shared" si="154"/>
        <v>0.03</v>
      </c>
      <c r="AD690">
        <f t="shared" si="155"/>
        <v>1</v>
      </c>
      <c r="AE690">
        <f t="shared" si="156"/>
        <v>1</v>
      </c>
      <c r="AF690">
        <f t="shared" si="157"/>
        <v>1</v>
      </c>
      <c r="AG690">
        <f t="shared" si="158"/>
        <v>100</v>
      </c>
    </row>
    <row r="691" spans="1:33" x14ac:dyDescent="0.2">
      <c r="A691" t="s">
        <v>127</v>
      </c>
      <c r="B691" t="s">
        <v>128</v>
      </c>
      <c r="C691">
        <v>690</v>
      </c>
      <c r="D691">
        <v>131991</v>
      </c>
      <c r="E691" t="s">
        <v>1331</v>
      </c>
      <c r="F691" t="s">
        <v>9</v>
      </c>
      <c r="G691" t="s">
        <v>379</v>
      </c>
      <c r="H691" t="s">
        <v>8</v>
      </c>
      <c r="I691" t="s">
        <v>91</v>
      </c>
      <c r="J691">
        <v>61</v>
      </c>
      <c r="K691">
        <v>0.03</v>
      </c>
      <c r="L691">
        <v>1</v>
      </c>
      <c r="M691">
        <v>1</v>
      </c>
      <c r="N691">
        <v>1</v>
      </c>
      <c r="O691">
        <v>100</v>
      </c>
      <c r="P691" t="b">
        <f t="shared" si="149"/>
        <v>0</v>
      </c>
      <c r="S691" t="str">
        <f t="shared" si="159"/>
        <v>LATER</v>
      </c>
      <c r="T691" t="str">
        <f t="shared" si="160"/>
        <v>SainteLague</v>
      </c>
      <c r="U691">
        <f t="shared" si="162"/>
        <v>690</v>
      </c>
      <c r="V691">
        <f t="shared" si="161"/>
        <v>131991</v>
      </c>
      <c r="W691" s="8" t="str">
        <f>VLOOKUP(V691,'ideas-input'!$A:$B,2,FALSE)</f>
        <v>INT | Migração da solução da Knowledge Base atual para uma solução Knowledge Base coorporativa</v>
      </c>
      <c r="X691" t="str">
        <f t="shared" si="150"/>
        <v>SI</v>
      </c>
      <c r="Y691" s="8" t="str">
        <f>VLOOKUP(V691,'ideas-input'!$A:$D,4,FALSE)</f>
        <v>Mail</v>
      </c>
      <c r="Z691" t="str">
        <f t="shared" si="151"/>
        <v>Technology</v>
      </c>
      <c r="AA691" t="str">
        <f t="shared" si="152"/>
        <v>Backlog</v>
      </c>
      <c r="AB691">
        <f t="shared" si="153"/>
        <v>61</v>
      </c>
      <c r="AC691">
        <f t="shared" si="154"/>
        <v>0.03</v>
      </c>
      <c r="AD691">
        <f t="shared" si="155"/>
        <v>1</v>
      </c>
      <c r="AE691">
        <f t="shared" si="156"/>
        <v>1</v>
      </c>
      <c r="AF691">
        <f t="shared" si="157"/>
        <v>1</v>
      </c>
      <c r="AG691">
        <f t="shared" si="158"/>
        <v>100</v>
      </c>
    </row>
    <row r="692" spans="1:33" x14ac:dyDescent="0.2">
      <c r="A692" t="s">
        <v>127</v>
      </c>
      <c r="B692" t="s">
        <v>128</v>
      </c>
      <c r="C692">
        <v>691</v>
      </c>
      <c r="D692">
        <v>43558</v>
      </c>
      <c r="E692" t="s">
        <v>1337</v>
      </c>
      <c r="F692" t="s">
        <v>69</v>
      </c>
      <c r="G692" t="s">
        <v>10</v>
      </c>
      <c r="H692" t="s">
        <v>12</v>
      </c>
      <c r="I692" t="s">
        <v>91</v>
      </c>
      <c r="J692">
        <v>58</v>
      </c>
      <c r="K692">
        <v>0.03</v>
      </c>
      <c r="L692">
        <v>1</v>
      </c>
      <c r="M692">
        <v>1</v>
      </c>
      <c r="N692">
        <v>1</v>
      </c>
      <c r="O692">
        <v>100</v>
      </c>
      <c r="P692" t="b">
        <f t="shared" si="149"/>
        <v>0</v>
      </c>
      <c r="S692" t="str">
        <f t="shared" si="159"/>
        <v>LATER</v>
      </c>
      <c r="T692" t="str">
        <f t="shared" si="160"/>
        <v>SainteLague</v>
      </c>
      <c r="U692">
        <f t="shared" si="162"/>
        <v>691</v>
      </c>
      <c r="V692">
        <f t="shared" si="161"/>
        <v>43558</v>
      </c>
      <c r="W692" s="8" t="str">
        <f>VLOOKUP(V692,'ideas-input'!$A:$B,2,FALSE)</f>
        <v>[SAP] Migración SAP</v>
      </c>
      <c r="X692" t="str">
        <f t="shared" si="150"/>
        <v>CFO</v>
      </c>
      <c r="Y692" s="8" t="str">
        <f>VLOOKUP(V692,'ideas-input'!$A:$D,4,FALSE)</f>
        <v>eCommerce</v>
      </c>
      <c r="Z692" t="str">
        <f t="shared" si="151"/>
        <v>Corporate</v>
      </c>
      <c r="AA692" t="str">
        <f t="shared" si="152"/>
        <v>Backlog</v>
      </c>
      <c r="AB692">
        <f t="shared" si="153"/>
        <v>58</v>
      </c>
      <c r="AC692">
        <f t="shared" si="154"/>
        <v>0.03</v>
      </c>
      <c r="AD692">
        <f t="shared" si="155"/>
        <v>1</v>
      </c>
      <c r="AE692">
        <f t="shared" si="156"/>
        <v>1</v>
      </c>
      <c r="AF692">
        <f t="shared" si="157"/>
        <v>1</v>
      </c>
      <c r="AG692">
        <f t="shared" si="158"/>
        <v>100</v>
      </c>
    </row>
    <row r="693" spans="1:33" x14ac:dyDescent="0.2">
      <c r="A693" t="s">
        <v>127</v>
      </c>
      <c r="B693" t="s">
        <v>128</v>
      </c>
      <c r="C693">
        <v>692</v>
      </c>
      <c r="D693">
        <v>94489</v>
      </c>
      <c r="E693" t="s">
        <v>1402</v>
      </c>
      <c r="F693" t="s">
        <v>38</v>
      </c>
      <c r="G693" t="s">
        <v>379</v>
      </c>
      <c r="H693" t="s">
        <v>5</v>
      </c>
      <c r="I693" t="s">
        <v>91</v>
      </c>
      <c r="J693">
        <v>18</v>
      </c>
      <c r="K693">
        <v>0.03</v>
      </c>
      <c r="L693">
        <v>1</v>
      </c>
      <c r="M693">
        <v>1</v>
      </c>
      <c r="N693">
        <v>1</v>
      </c>
      <c r="O693">
        <v>100</v>
      </c>
      <c r="P693" t="b">
        <f t="shared" si="149"/>
        <v>0</v>
      </c>
      <c r="S693" t="str">
        <f t="shared" si="159"/>
        <v>LATER</v>
      </c>
      <c r="T693" t="str">
        <f t="shared" si="160"/>
        <v>SainteLague</v>
      </c>
      <c r="U693">
        <f t="shared" si="162"/>
        <v>692</v>
      </c>
      <c r="V693">
        <f t="shared" si="161"/>
        <v>94489</v>
      </c>
      <c r="W693" s="8" t="str">
        <f>VLOOKUP(V693,'ideas-input'!$A:$B,2,FALSE)</f>
        <v>Faturação Agentes Payshop - automatização e integração processo CTT</v>
      </c>
      <c r="X693" t="str">
        <f t="shared" si="150"/>
        <v>CSI</v>
      </c>
      <c r="Y693" s="8" t="str">
        <f>VLOOKUP(V693,'ideas-input'!$A:$D,4,FALSE)</f>
        <v>Mail</v>
      </c>
      <c r="Z693" t="str">
        <f t="shared" si="151"/>
        <v>Commercial</v>
      </c>
      <c r="AA693" t="str">
        <f t="shared" si="152"/>
        <v>Backlog</v>
      </c>
      <c r="AB693">
        <f t="shared" si="153"/>
        <v>18</v>
      </c>
      <c r="AC693">
        <f t="shared" si="154"/>
        <v>0.03</v>
      </c>
      <c r="AD693">
        <f t="shared" si="155"/>
        <v>1</v>
      </c>
      <c r="AE693">
        <f t="shared" si="156"/>
        <v>1</v>
      </c>
      <c r="AF693">
        <f t="shared" si="157"/>
        <v>1</v>
      </c>
      <c r="AG693">
        <f t="shared" si="158"/>
        <v>100</v>
      </c>
    </row>
    <row r="694" spans="1:33" x14ac:dyDescent="0.2">
      <c r="A694" t="s">
        <v>127</v>
      </c>
      <c r="B694" t="s">
        <v>128</v>
      </c>
      <c r="C694">
        <v>693</v>
      </c>
      <c r="D694">
        <v>135029</v>
      </c>
      <c r="E694" t="s">
        <v>1417</v>
      </c>
      <c r="F694" t="s">
        <v>66</v>
      </c>
      <c r="G694" t="s">
        <v>10</v>
      </c>
      <c r="H694" t="s">
        <v>5</v>
      </c>
      <c r="I694" t="s">
        <v>91</v>
      </c>
      <c r="J694">
        <v>40</v>
      </c>
      <c r="K694">
        <v>2.6</v>
      </c>
      <c r="L694">
        <v>3</v>
      </c>
      <c r="M694">
        <v>5</v>
      </c>
      <c r="N694">
        <v>5</v>
      </c>
      <c r="O694">
        <v>5</v>
      </c>
      <c r="P694" t="b">
        <f t="shared" si="149"/>
        <v>0</v>
      </c>
      <c r="S694" t="str">
        <f t="shared" si="159"/>
        <v>LATER</v>
      </c>
      <c r="T694" t="str">
        <f t="shared" si="160"/>
        <v>SainteLague</v>
      </c>
      <c r="U694">
        <f t="shared" si="162"/>
        <v>693</v>
      </c>
      <c r="V694">
        <f t="shared" si="161"/>
        <v>135029</v>
      </c>
      <c r="W694" s="8" t="str">
        <f>VLOOKUP(V694,'ideas-input'!$A:$B,2,FALSE)</f>
        <v>[Salesforce Sales] - Brokers y MBE: Permitir generación de usuarios web</v>
      </c>
      <c r="X694" t="str">
        <f t="shared" si="150"/>
        <v>CCO</v>
      </c>
      <c r="Y694" s="8" t="str">
        <f>VLOOKUP(V694,'ideas-input'!$A:$D,4,FALSE)</f>
        <v>eCommerce</v>
      </c>
      <c r="Z694" t="str">
        <f t="shared" si="151"/>
        <v>Commercial</v>
      </c>
      <c r="AA694" t="str">
        <f t="shared" si="152"/>
        <v>Backlog</v>
      </c>
      <c r="AB694">
        <f t="shared" si="153"/>
        <v>40</v>
      </c>
      <c r="AC694">
        <f t="shared" si="154"/>
        <v>2.6</v>
      </c>
      <c r="AD694">
        <f t="shared" si="155"/>
        <v>3</v>
      </c>
      <c r="AE694">
        <f t="shared" si="156"/>
        <v>5</v>
      </c>
      <c r="AF694">
        <f t="shared" si="157"/>
        <v>5</v>
      </c>
      <c r="AG694">
        <f t="shared" si="158"/>
        <v>5</v>
      </c>
    </row>
    <row r="695" spans="1:33" x14ac:dyDescent="0.2">
      <c r="A695" t="s">
        <v>127</v>
      </c>
      <c r="B695" t="s">
        <v>128</v>
      </c>
      <c r="C695">
        <v>694</v>
      </c>
      <c r="D695">
        <v>35914</v>
      </c>
      <c r="E695" t="s">
        <v>1333</v>
      </c>
      <c r="F695" t="s">
        <v>9</v>
      </c>
      <c r="G695" t="s">
        <v>379</v>
      </c>
      <c r="H695" t="s">
        <v>8</v>
      </c>
      <c r="I695" t="s">
        <v>91</v>
      </c>
      <c r="J695">
        <v>62</v>
      </c>
      <c r="K695">
        <v>0.03</v>
      </c>
      <c r="L695">
        <v>1</v>
      </c>
      <c r="M695">
        <v>1</v>
      </c>
      <c r="N695">
        <v>1</v>
      </c>
      <c r="O695">
        <v>100</v>
      </c>
      <c r="P695" t="b">
        <f t="shared" si="149"/>
        <v>0</v>
      </c>
      <c r="S695" t="str">
        <f t="shared" si="159"/>
        <v>LATER</v>
      </c>
      <c r="T695" t="str">
        <f t="shared" si="160"/>
        <v>SainteLague</v>
      </c>
      <c r="U695">
        <f t="shared" si="162"/>
        <v>694</v>
      </c>
      <c r="V695">
        <f t="shared" si="161"/>
        <v>35914</v>
      </c>
      <c r="W695" s="8" t="str">
        <f>VLOOKUP(V695,'ideas-input'!$A:$B,2,FALSE)</f>
        <v>IOP | Evolução da Private Key Infrastructure (PKI) dos CTT</v>
      </c>
      <c r="X695" t="str">
        <f t="shared" si="150"/>
        <v>SI</v>
      </c>
      <c r="Y695" s="8" t="str">
        <f>VLOOKUP(V695,'ideas-input'!$A:$D,4,FALSE)</f>
        <v>Mail</v>
      </c>
      <c r="Z695" t="str">
        <f t="shared" si="151"/>
        <v>Technology</v>
      </c>
      <c r="AA695" t="str">
        <f t="shared" si="152"/>
        <v>Backlog</v>
      </c>
      <c r="AB695">
        <f t="shared" si="153"/>
        <v>62</v>
      </c>
      <c r="AC695">
        <f t="shared" si="154"/>
        <v>0.03</v>
      </c>
      <c r="AD695">
        <f t="shared" si="155"/>
        <v>1</v>
      </c>
      <c r="AE695">
        <f t="shared" si="156"/>
        <v>1</v>
      </c>
      <c r="AF695">
        <f t="shared" si="157"/>
        <v>1</v>
      </c>
      <c r="AG695">
        <f t="shared" si="158"/>
        <v>100</v>
      </c>
    </row>
    <row r="696" spans="1:33" x14ac:dyDescent="0.2">
      <c r="A696" t="s">
        <v>127</v>
      </c>
      <c r="B696" t="s">
        <v>128</v>
      </c>
      <c r="C696">
        <v>695</v>
      </c>
      <c r="D696">
        <v>52021</v>
      </c>
      <c r="E696" t="s">
        <v>1339</v>
      </c>
      <c r="F696" t="s">
        <v>69</v>
      </c>
      <c r="G696" t="s">
        <v>10</v>
      </c>
      <c r="H696" t="s">
        <v>12</v>
      </c>
      <c r="I696" t="s">
        <v>91</v>
      </c>
      <c r="J696">
        <v>59</v>
      </c>
      <c r="K696">
        <v>0.03</v>
      </c>
      <c r="L696">
        <v>1</v>
      </c>
      <c r="M696">
        <v>1</v>
      </c>
      <c r="N696">
        <v>1</v>
      </c>
      <c r="O696">
        <v>100</v>
      </c>
      <c r="P696" t="b">
        <f t="shared" si="149"/>
        <v>0</v>
      </c>
      <c r="S696" t="str">
        <f t="shared" si="159"/>
        <v>LATER</v>
      </c>
      <c r="T696" t="str">
        <f t="shared" si="160"/>
        <v>SainteLague</v>
      </c>
      <c r="U696">
        <f t="shared" si="162"/>
        <v>695</v>
      </c>
      <c r="V696">
        <f t="shared" si="161"/>
        <v>52021</v>
      </c>
      <c r="W696" s="8" t="str">
        <f>VLOOKUP(V696,'ideas-input'!$A:$B,2,FALSE)</f>
        <v>[Auditoria PT] Control periódico de Clientes Inactivos</v>
      </c>
      <c r="X696" t="str">
        <f t="shared" si="150"/>
        <v>CFO</v>
      </c>
      <c r="Y696" s="8" t="str">
        <f>VLOOKUP(V696,'ideas-input'!$A:$D,4,FALSE)</f>
        <v>eCommerce</v>
      </c>
      <c r="Z696" t="str">
        <f t="shared" si="151"/>
        <v>Corporate</v>
      </c>
      <c r="AA696" t="str">
        <f t="shared" si="152"/>
        <v>Backlog</v>
      </c>
      <c r="AB696">
        <f t="shared" si="153"/>
        <v>59</v>
      </c>
      <c r="AC696">
        <f t="shared" si="154"/>
        <v>0.03</v>
      </c>
      <c r="AD696">
        <f t="shared" si="155"/>
        <v>1</v>
      </c>
      <c r="AE696">
        <f t="shared" si="156"/>
        <v>1</v>
      </c>
      <c r="AF696">
        <f t="shared" si="157"/>
        <v>1</v>
      </c>
      <c r="AG696">
        <f t="shared" si="158"/>
        <v>100</v>
      </c>
    </row>
    <row r="697" spans="1:33" x14ac:dyDescent="0.2">
      <c r="A697" t="s">
        <v>127</v>
      </c>
      <c r="B697" t="s">
        <v>128</v>
      </c>
      <c r="C697">
        <v>696</v>
      </c>
      <c r="D697">
        <v>135540</v>
      </c>
      <c r="E697" t="s">
        <v>1405</v>
      </c>
      <c r="F697" t="s">
        <v>21</v>
      </c>
      <c r="G697" t="s">
        <v>379</v>
      </c>
      <c r="H697" t="s">
        <v>5</v>
      </c>
      <c r="I697" t="s">
        <v>94</v>
      </c>
      <c r="J697">
        <v>27</v>
      </c>
      <c r="K697">
        <v>3</v>
      </c>
      <c r="L697">
        <v>2</v>
      </c>
      <c r="M697">
        <v>2</v>
      </c>
      <c r="N697">
        <v>2</v>
      </c>
      <c r="O697">
        <v>2</v>
      </c>
      <c r="P697" t="b">
        <f t="shared" si="149"/>
        <v>0</v>
      </c>
      <c r="S697" t="str">
        <f t="shared" si="159"/>
        <v>LATER</v>
      </c>
      <c r="T697" t="str">
        <f t="shared" si="160"/>
        <v>SainteLague</v>
      </c>
      <c r="U697">
        <f t="shared" si="162"/>
        <v>696</v>
      </c>
      <c r="V697">
        <f t="shared" si="161"/>
        <v>135540</v>
      </c>
      <c r="W697" s="8" t="str">
        <f>VLOOKUP(V697,'ideas-input'!$A:$B,2,FALSE)</f>
        <v>Business Solutions - Recibos Online - Evolutivos 1B 2026 (janeiro e fevereiro)</v>
      </c>
      <c r="X697" t="str">
        <f t="shared" si="150"/>
        <v>GP B2B</v>
      </c>
      <c r="Y697" s="8" t="str">
        <f>VLOOKUP(V697,'ideas-input'!$A:$D,4,FALSE)</f>
        <v>Business Solutions</v>
      </c>
      <c r="Z697" t="str">
        <f t="shared" si="151"/>
        <v>Commercial</v>
      </c>
      <c r="AA697" t="str">
        <f t="shared" si="152"/>
        <v>In Approval</v>
      </c>
      <c r="AB697">
        <f t="shared" si="153"/>
        <v>27</v>
      </c>
      <c r="AC697">
        <f t="shared" si="154"/>
        <v>3</v>
      </c>
      <c r="AD697">
        <f t="shared" si="155"/>
        <v>2</v>
      </c>
      <c r="AE697">
        <f t="shared" si="156"/>
        <v>2</v>
      </c>
      <c r="AF697">
        <f t="shared" si="157"/>
        <v>2</v>
      </c>
      <c r="AG697">
        <f t="shared" si="158"/>
        <v>2</v>
      </c>
    </row>
    <row r="698" spans="1:33" x14ac:dyDescent="0.2">
      <c r="A698" t="s">
        <v>127</v>
      </c>
      <c r="B698" t="s">
        <v>128</v>
      </c>
      <c r="C698">
        <v>697</v>
      </c>
      <c r="D698">
        <v>51230</v>
      </c>
      <c r="E698" t="s">
        <v>1406</v>
      </c>
      <c r="F698" t="s">
        <v>68</v>
      </c>
      <c r="G698" t="s">
        <v>10</v>
      </c>
      <c r="H698" t="s">
        <v>5</v>
      </c>
      <c r="I698" t="s">
        <v>95</v>
      </c>
      <c r="J698">
        <v>37</v>
      </c>
      <c r="K698">
        <v>0.03</v>
      </c>
      <c r="L698">
        <v>1</v>
      </c>
      <c r="M698">
        <v>1</v>
      </c>
      <c r="N698">
        <v>1</v>
      </c>
      <c r="O698">
        <v>100</v>
      </c>
      <c r="P698" t="b">
        <f t="shared" si="149"/>
        <v>0</v>
      </c>
      <c r="S698" t="str">
        <f t="shared" si="159"/>
        <v>LATER</v>
      </c>
      <c r="T698" t="str">
        <f t="shared" si="160"/>
        <v>SainteLague</v>
      </c>
      <c r="U698">
        <f t="shared" si="162"/>
        <v>697</v>
      </c>
      <c r="V698">
        <f t="shared" si="161"/>
        <v>51230</v>
      </c>
      <c r="W698" s="8" t="str">
        <f>VLOOKUP(V698,'ideas-input'!$A:$B,2,FALSE)</f>
        <v>[Desconexión SGC] [WebHook] - Celeritas - Transmisión de estados</v>
      </c>
      <c r="X698" t="str">
        <f t="shared" si="150"/>
        <v>IDC</v>
      </c>
      <c r="Y698" s="8" t="str">
        <f>VLOOKUP(V698,'ideas-input'!$A:$D,4,FALSE)</f>
        <v>eCommerce</v>
      </c>
      <c r="Z698" t="str">
        <f t="shared" si="151"/>
        <v>Commercial</v>
      </c>
      <c r="AA698" t="str">
        <f t="shared" si="152"/>
        <v>In Definition</v>
      </c>
      <c r="AB698">
        <f t="shared" si="153"/>
        <v>37</v>
      </c>
      <c r="AC698">
        <f t="shared" si="154"/>
        <v>0.03</v>
      </c>
      <c r="AD698">
        <f t="shared" si="155"/>
        <v>1</v>
      </c>
      <c r="AE698">
        <f t="shared" si="156"/>
        <v>1</v>
      </c>
      <c r="AF698">
        <f t="shared" si="157"/>
        <v>1</v>
      </c>
      <c r="AG698">
        <f t="shared" si="158"/>
        <v>100</v>
      </c>
    </row>
    <row r="699" spans="1:33" x14ac:dyDescent="0.2">
      <c r="A699" t="s">
        <v>127</v>
      </c>
      <c r="B699" t="s">
        <v>128</v>
      </c>
      <c r="C699">
        <v>698</v>
      </c>
      <c r="D699">
        <v>132058</v>
      </c>
      <c r="E699" t="s">
        <v>319</v>
      </c>
      <c r="F699" t="s">
        <v>9</v>
      </c>
      <c r="G699" t="s">
        <v>379</v>
      </c>
      <c r="H699" t="s">
        <v>8</v>
      </c>
      <c r="I699" t="s">
        <v>93</v>
      </c>
      <c r="J699">
        <v>63</v>
      </c>
      <c r="K699">
        <v>4</v>
      </c>
      <c r="L699">
        <v>2</v>
      </c>
      <c r="M699">
        <v>1</v>
      </c>
      <c r="N699">
        <v>1</v>
      </c>
      <c r="O699">
        <v>1</v>
      </c>
      <c r="P699" t="b">
        <f t="shared" si="149"/>
        <v>0</v>
      </c>
      <c r="S699" t="str">
        <f t="shared" si="159"/>
        <v>LATER</v>
      </c>
      <c r="T699" t="str">
        <f t="shared" si="160"/>
        <v>SainteLague</v>
      </c>
      <c r="U699">
        <f t="shared" si="162"/>
        <v>698</v>
      </c>
      <c r="V699">
        <f t="shared" si="161"/>
        <v>132058</v>
      </c>
      <c r="W699" s="8" t="str">
        <f>VLOOKUP(V699,'ideas-input'!$A:$B,2,FALSE)</f>
        <v>Evolutivos CRM Q1.2026</v>
      </c>
      <c r="X699" t="str">
        <f t="shared" si="150"/>
        <v>SI</v>
      </c>
      <c r="Y699" s="8" t="str">
        <f>VLOOKUP(V699,'ideas-input'!$A:$D,4,FALSE)</f>
        <v>Mail</v>
      </c>
      <c r="Z699" t="str">
        <f t="shared" si="151"/>
        <v>Technology</v>
      </c>
      <c r="AA699" t="str">
        <f t="shared" si="152"/>
        <v>Pitch</v>
      </c>
      <c r="AB699">
        <f t="shared" si="153"/>
        <v>63</v>
      </c>
      <c r="AC699">
        <f t="shared" si="154"/>
        <v>4</v>
      </c>
      <c r="AD699">
        <f t="shared" si="155"/>
        <v>2</v>
      </c>
      <c r="AE699">
        <f t="shared" si="156"/>
        <v>1</v>
      </c>
      <c r="AF699">
        <f t="shared" si="157"/>
        <v>1</v>
      </c>
      <c r="AG699">
        <f t="shared" si="158"/>
        <v>1</v>
      </c>
    </row>
    <row r="700" spans="1:33" x14ac:dyDescent="0.2">
      <c r="A700" t="s">
        <v>127</v>
      </c>
      <c r="B700" t="s">
        <v>128</v>
      </c>
      <c r="C700">
        <v>699</v>
      </c>
      <c r="D700">
        <v>55732</v>
      </c>
      <c r="E700" t="s">
        <v>1649</v>
      </c>
      <c r="F700" t="s">
        <v>69</v>
      </c>
      <c r="G700" t="s">
        <v>10</v>
      </c>
      <c r="H700" t="s">
        <v>12</v>
      </c>
      <c r="I700" t="s">
        <v>91</v>
      </c>
      <c r="J700">
        <v>60</v>
      </c>
      <c r="K700">
        <v>0.03</v>
      </c>
      <c r="L700">
        <v>1</v>
      </c>
      <c r="M700">
        <v>1</v>
      </c>
      <c r="N700">
        <v>1</v>
      </c>
      <c r="O700">
        <v>100</v>
      </c>
      <c r="P700" t="b">
        <f t="shared" si="149"/>
        <v>0</v>
      </c>
      <c r="S700" t="str">
        <f t="shared" si="159"/>
        <v>LATER</v>
      </c>
      <c r="T700" t="str">
        <f t="shared" si="160"/>
        <v>SainteLague</v>
      </c>
      <c r="U700">
        <f t="shared" si="162"/>
        <v>699</v>
      </c>
      <c r="V700">
        <f t="shared" si="161"/>
        <v>55732</v>
      </c>
      <c r="W700" s="8" t="str">
        <f>VLOOKUP(V700,'ideas-input'!$A:$B,2,FALSE)</f>
        <v>Crear LOG  reglas de pago clientes SGC</v>
      </c>
      <c r="X700" t="str">
        <f t="shared" si="150"/>
        <v>CFO</v>
      </c>
      <c r="Y700" s="8" t="str">
        <f>VLOOKUP(V700,'ideas-input'!$A:$D,4,FALSE)</f>
        <v>eCommerce</v>
      </c>
      <c r="Z700" t="str">
        <f t="shared" si="151"/>
        <v>Corporate</v>
      </c>
      <c r="AA700" t="str">
        <f t="shared" si="152"/>
        <v>Backlog</v>
      </c>
      <c r="AB700">
        <f t="shared" si="153"/>
        <v>60</v>
      </c>
      <c r="AC700">
        <f t="shared" si="154"/>
        <v>0.03</v>
      </c>
      <c r="AD700">
        <f t="shared" si="155"/>
        <v>1</v>
      </c>
      <c r="AE700">
        <f t="shared" si="156"/>
        <v>1</v>
      </c>
      <c r="AF700">
        <f t="shared" si="157"/>
        <v>1</v>
      </c>
      <c r="AG700">
        <f t="shared" si="158"/>
        <v>100</v>
      </c>
    </row>
    <row r="701" spans="1:33" x14ac:dyDescent="0.2">
      <c r="A701" t="s">
        <v>127</v>
      </c>
      <c r="B701" t="s">
        <v>128</v>
      </c>
      <c r="C701">
        <v>700</v>
      </c>
      <c r="D701">
        <v>178627</v>
      </c>
      <c r="E701" t="s">
        <v>1408</v>
      </c>
      <c r="F701" t="s">
        <v>23</v>
      </c>
      <c r="G701" t="s">
        <v>379</v>
      </c>
      <c r="H701" t="s">
        <v>5</v>
      </c>
      <c r="I701" t="s">
        <v>91</v>
      </c>
      <c r="J701">
        <v>27</v>
      </c>
      <c r="K701">
        <v>0.03</v>
      </c>
      <c r="L701">
        <v>1</v>
      </c>
      <c r="M701">
        <v>1</v>
      </c>
      <c r="N701">
        <v>1</v>
      </c>
      <c r="O701">
        <v>100</v>
      </c>
      <c r="P701" t="b">
        <f t="shared" si="149"/>
        <v>0</v>
      </c>
      <c r="S701" t="str">
        <f t="shared" si="159"/>
        <v>LATER</v>
      </c>
      <c r="T701" t="str">
        <f t="shared" si="160"/>
        <v>SainteLague</v>
      </c>
      <c r="U701">
        <f t="shared" si="162"/>
        <v>700</v>
      </c>
      <c r="V701">
        <f t="shared" si="161"/>
        <v>178627</v>
      </c>
      <c r="W701" s="8" t="str">
        <f>VLOOKUP(V701,'ideas-input'!$A:$B,2,FALSE)</f>
        <v>GPECL/DIS - Notificações Sábado e Domingo // alteração do processo de indicação da data de entrega</v>
      </c>
      <c r="X701" t="str">
        <f t="shared" si="150"/>
        <v>GP ECL</v>
      </c>
      <c r="Y701" s="8" t="str">
        <f>VLOOKUP(V701,'ideas-input'!$A:$D,4,FALSE)</f>
        <v>eCommerce</v>
      </c>
      <c r="Z701" t="str">
        <f t="shared" si="151"/>
        <v>Commercial</v>
      </c>
      <c r="AA701" t="str">
        <f t="shared" si="152"/>
        <v>Backlog</v>
      </c>
      <c r="AB701">
        <f t="shared" si="153"/>
        <v>27</v>
      </c>
      <c r="AC701">
        <f t="shared" si="154"/>
        <v>0.03</v>
      </c>
      <c r="AD701">
        <f t="shared" si="155"/>
        <v>1</v>
      </c>
      <c r="AE701">
        <f t="shared" si="156"/>
        <v>1</v>
      </c>
      <c r="AF701">
        <f t="shared" si="157"/>
        <v>1</v>
      </c>
      <c r="AG701">
        <f t="shared" si="158"/>
        <v>100</v>
      </c>
    </row>
    <row r="702" spans="1:33" x14ac:dyDescent="0.2">
      <c r="A702" t="s">
        <v>127</v>
      </c>
      <c r="B702" t="s">
        <v>128</v>
      </c>
      <c r="C702">
        <v>701</v>
      </c>
      <c r="D702">
        <v>62062</v>
      </c>
      <c r="E702" t="s">
        <v>296</v>
      </c>
      <c r="F702" t="s">
        <v>65</v>
      </c>
      <c r="G702" t="s">
        <v>10</v>
      </c>
      <c r="H702" t="s">
        <v>5</v>
      </c>
      <c r="I702" t="s">
        <v>91</v>
      </c>
      <c r="J702">
        <v>47</v>
      </c>
      <c r="K702">
        <v>0.03</v>
      </c>
      <c r="L702">
        <v>1</v>
      </c>
      <c r="M702">
        <v>1</v>
      </c>
      <c r="N702">
        <v>1</v>
      </c>
      <c r="O702">
        <v>100</v>
      </c>
      <c r="P702" t="b">
        <f t="shared" si="149"/>
        <v>0</v>
      </c>
      <c r="S702" t="str">
        <f t="shared" si="159"/>
        <v>LATER</v>
      </c>
      <c r="T702" t="str">
        <f t="shared" si="160"/>
        <v>SainteLague</v>
      </c>
      <c r="U702">
        <f t="shared" si="162"/>
        <v>701</v>
      </c>
      <c r="V702">
        <f t="shared" si="161"/>
        <v>62062</v>
      </c>
      <c r="W702" s="8" t="str">
        <f>VLOOKUP(V702,'ideas-input'!$A:$B,2,FALSE)</f>
        <v>[Web de Clientes] - Visualizar costes de los servicios adicionales en la web de clientes</v>
      </c>
      <c r="X702" t="str">
        <f t="shared" si="150"/>
        <v>CMO</v>
      </c>
      <c r="Y702" s="8" t="str">
        <f>VLOOKUP(V702,'ideas-input'!$A:$D,4,FALSE)</f>
        <v>eCommerce</v>
      </c>
      <c r="Z702" t="str">
        <f t="shared" si="151"/>
        <v>Commercial</v>
      </c>
      <c r="AA702" t="str">
        <f t="shared" si="152"/>
        <v>Backlog</v>
      </c>
      <c r="AB702">
        <f t="shared" si="153"/>
        <v>47</v>
      </c>
      <c r="AC702">
        <f t="shared" si="154"/>
        <v>0.03</v>
      </c>
      <c r="AD702">
        <f t="shared" si="155"/>
        <v>1</v>
      </c>
      <c r="AE702">
        <f t="shared" si="156"/>
        <v>1</v>
      </c>
      <c r="AF702">
        <f t="shared" si="157"/>
        <v>1</v>
      </c>
      <c r="AG702">
        <f t="shared" si="158"/>
        <v>100</v>
      </c>
    </row>
    <row r="703" spans="1:33" x14ac:dyDescent="0.2">
      <c r="A703" t="s">
        <v>127</v>
      </c>
      <c r="B703" t="s">
        <v>128</v>
      </c>
      <c r="C703">
        <v>702</v>
      </c>
      <c r="D703">
        <v>63944</v>
      </c>
      <c r="E703" t="s">
        <v>1412</v>
      </c>
      <c r="F703" t="s">
        <v>37</v>
      </c>
      <c r="G703" t="s">
        <v>379</v>
      </c>
      <c r="H703" t="s">
        <v>5</v>
      </c>
      <c r="I703" t="s">
        <v>95</v>
      </c>
      <c r="J703">
        <v>21</v>
      </c>
      <c r="K703">
        <v>0.03</v>
      </c>
      <c r="L703">
        <v>1</v>
      </c>
      <c r="M703">
        <v>1</v>
      </c>
      <c r="N703">
        <v>1</v>
      </c>
      <c r="O703">
        <v>100</v>
      </c>
      <c r="P703" t="b">
        <f t="shared" si="149"/>
        <v>0</v>
      </c>
      <c r="S703" t="str">
        <f t="shared" si="159"/>
        <v>LATER</v>
      </c>
      <c r="T703" t="str">
        <f t="shared" si="160"/>
        <v>SainteLague</v>
      </c>
      <c r="U703">
        <f t="shared" si="162"/>
        <v>702</v>
      </c>
      <c r="V703">
        <f t="shared" si="161"/>
        <v>63944</v>
      </c>
      <c r="W703" s="8" t="str">
        <f>VLOOKUP(V703,'ideas-input'!$A:$B,2,FALSE)</f>
        <v>solução de atualização de tracking em real time - Cliente Veryfex (Prozis)</v>
      </c>
      <c r="X703" t="str">
        <f t="shared" si="150"/>
        <v>GS</v>
      </c>
      <c r="Y703" s="8" t="str">
        <f>VLOOKUP(V703,'ideas-input'!$A:$D,4,FALSE)</f>
        <v>eCommerce</v>
      </c>
      <c r="Z703" t="str">
        <f t="shared" si="151"/>
        <v>Commercial</v>
      </c>
      <c r="AA703" t="str">
        <f t="shared" si="152"/>
        <v>In Definition</v>
      </c>
      <c r="AB703">
        <f t="shared" si="153"/>
        <v>21</v>
      </c>
      <c r="AC703">
        <f t="shared" si="154"/>
        <v>0.03</v>
      </c>
      <c r="AD703">
        <f t="shared" si="155"/>
        <v>1</v>
      </c>
      <c r="AE703">
        <f t="shared" si="156"/>
        <v>1</v>
      </c>
      <c r="AF703">
        <f t="shared" si="157"/>
        <v>1</v>
      </c>
      <c r="AG703">
        <f t="shared" si="158"/>
        <v>100</v>
      </c>
    </row>
    <row r="704" spans="1:33" x14ac:dyDescent="0.2">
      <c r="A704" t="s">
        <v>127</v>
      </c>
      <c r="B704" t="s">
        <v>128</v>
      </c>
      <c r="C704">
        <v>703</v>
      </c>
      <c r="D704">
        <v>52025</v>
      </c>
      <c r="E704" t="s">
        <v>1345</v>
      </c>
      <c r="F704" t="s">
        <v>69</v>
      </c>
      <c r="G704" t="s">
        <v>10</v>
      </c>
      <c r="H704" t="s">
        <v>12</v>
      </c>
      <c r="I704" t="s">
        <v>91</v>
      </c>
      <c r="J704">
        <v>61</v>
      </c>
      <c r="K704">
        <v>0.03</v>
      </c>
      <c r="L704">
        <v>1</v>
      </c>
      <c r="M704">
        <v>1</v>
      </c>
      <c r="N704">
        <v>1</v>
      </c>
      <c r="O704">
        <v>100</v>
      </c>
      <c r="P704" t="b">
        <f t="shared" si="149"/>
        <v>0</v>
      </c>
      <c r="S704" t="str">
        <f t="shared" si="159"/>
        <v>LATER</v>
      </c>
      <c r="T704" t="str">
        <f t="shared" si="160"/>
        <v>SainteLague</v>
      </c>
      <c r="U704">
        <f t="shared" si="162"/>
        <v>703</v>
      </c>
      <c r="V704">
        <f t="shared" si="161"/>
        <v>52025</v>
      </c>
      <c r="W704" s="8" t="str">
        <f>VLOOKUP(V704,'ideas-input'!$A:$B,2,FALSE)</f>
        <v>[Auditoria PT] Consulta del historial de los datos de los objetos que han sido alterados manualmente o corregidos por la automatización</v>
      </c>
      <c r="X704" t="str">
        <f t="shared" si="150"/>
        <v>CFO</v>
      </c>
      <c r="Y704" s="8" t="str">
        <f>VLOOKUP(V704,'ideas-input'!$A:$D,4,FALSE)</f>
        <v>eCommerce</v>
      </c>
      <c r="Z704" t="str">
        <f t="shared" si="151"/>
        <v>Corporate</v>
      </c>
      <c r="AA704" t="str">
        <f t="shared" si="152"/>
        <v>Backlog</v>
      </c>
      <c r="AB704">
        <f t="shared" si="153"/>
        <v>61</v>
      </c>
      <c r="AC704">
        <f t="shared" si="154"/>
        <v>0.03</v>
      </c>
      <c r="AD704">
        <f t="shared" si="155"/>
        <v>1</v>
      </c>
      <c r="AE704">
        <f t="shared" si="156"/>
        <v>1</v>
      </c>
      <c r="AF704">
        <f t="shared" si="157"/>
        <v>1</v>
      </c>
      <c r="AG704">
        <f t="shared" si="158"/>
        <v>100</v>
      </c>
    </row>
    <row r="705" spans="1:33" x14ac:dyDescent="0.2">
      <c r="A705" t="s">
        <v>127</v>
      </c>
      <c r="B705" t="s">
        <v>128</v>
      </c>
      <c r="C705">
        <v>704</v>
      </c>
      <c r="D705">
        <v>192640</v>
      </c>
      <c r="E705" t="s">
        <v>309</v>
      </c>
      <c r="F705" t="s">
        <v>9</v>
      </c>
      <c r="G705" t="s">
        <v>379</v>
      </c>
      <c r="H705" t="s">
        <v>8</v>
      </c>
      <c r="I705" t="s">
        <v>91</v>
      </c>
      <c r="J705">
        <v>64</v>
      </c>
      <c r="K705">
        <v>0.03</v>
      </c>
      <c r="L705">
        <v>1</v>
      </c>
      <c r="M705">
        <v>1</v>
      </c>
      <c r="N705">
        <v>1</v>
      </c>
      <c r="O705">
        <v>100</v>
      </c>
      <c r="P705" t="b">
        <f t="shared" si="149"/>
        <v>0</v>
      </c>
      <c r="S705" t="str">
        <f t="shared" si="159"/>
        <v>LATER</v>
      </c>
      <c r="T705" t="str">
        <f t="shared" si="160"/>
        <v>SainteLague</v>
      </c>
      <c r="U705">
        <f t="shared" si="162"/>
        <v>704</v>
      </c>
      <c r="V705">
        <f t="shared" si="161"/>
        <v>192640</v>
      </c>
      <c r="W705" s="8" t="str">
        <f>VLOOKUP(V705,'ideas-input'!$A:$B,2,FALSE)</f>
        <v>IOP | DNS private resolvers - descontinuar bind em 2 vms ubuntu</v>
      </c>
      <c r="X705" t="str">
        <f t="shared" si="150"/>
        <v>SI</v>
      </c>
      <c r="Y705" s="8" t="str">
        <f>VLOOKUP(V705,'ideas-input'!$A:$D,4,FALSE)</f>
        <v>Mail</v>
      </c>
      <c r="Z705" t="str">
        <f t="shared" si="151"/>
        <v>Technology</v>
      </c>
      <c r="AA705" t="str">
        <f t="shared" si="152"/>
        <v>Backlog</v>
      </c>
      <c r="AB705">
        <f t="shared" si="153"/>
        <v>64</v>
      </c>
      <c r="AC705">
        <f t="shared" si="154"/>
        <v>0.03</v>
      </c>
      <c r="AD705">
        <f t="shared" si="155"/>
        <v>1</v>
      </c>
      <c r="AE705">
        <f t="shared" si="156"/>
        <v>1</v>
      </c>
      <c r="AF705">
        <f t="shared" si="157"/>
        <v>1</v>
      </c>
      <c r="AG705">
        <f t="shared" si="158"/>
        <v>100</v>
      </c>
    </row>
    <row r="706" spans="1:33" x14ac:dyDescent="0.2">
      <c r="A706" t="s">
        <v>127</v>
      </c>
      <c r="B706" t="s">
        <v>128</v>
      </c>
      <c r="C706">
        <v>705</v>
      </c>
      <c r="D706">
        <v>54777</v>
      </c>
      <c r="E706" t="s">
        <v>1421</v>
      </c>
      <c r="F706" t="s">
        <v>66</v>
      </c>
      <c r="G706" t="s">
        <v>10</v>
      </c>
      <c r="H706" t="s">
        <v>5</v>
      </c>
      <c r="I706" t="s">
        <v>91</v>
      </c>
      <c r="J706">
        <v>41</v>
      </c>
      <c r="K706">
        <v>0.03</v>
      </c>
      <c r="L706">
        <v>1</v>
      </c>
      <c r="M706">
        <v>1</v>
      </c>
      <c r="N706">
        <v>1</v>
      </c>
      <c r="O706">
        <v>100</v>
      </c>
      <c r="P706" t="b">
        <f t="shared" ref="P706:P769" si="163">AND(C706&lt;$Q$1,IF(ISBLANK(C706),0,C706)&gt;0)</f>
        <v>0</v>
      </c>
      <c r="S706" t="str">
        <f t="shared" si="159"/>
        <v>LATER</v>
      </c>
      <c r="T706" t="str">
        <f t="shared" si="160"/>
        <v>SainteLague</v>
      </c>
      <c r="U706">
        <f t="shared" si="162"/>
        <v>705</v>
      </c>
      <c r="V706">
        <f t="shared" si="161"/>
        <v>54777</v>
      </c>
      <c r="W706" s="8" t="str">
        <f>VLOOKUP(V706,'ideas-input'!$A:$B,2,FALSE)</f>
        <v>[Salesforce Sales] - Notificaciones del Plan de Acompañamiento automáticas</v>
      </c>
      <c r="X706" t="str">
        <f t="shared" ref="X706:X769" si="164">F706</f>
        <v>CCO</v>
      </c>
      <c r="Y706" s="8" t="str">
        <f>VLOOKUP(V706,'ideas-input'!$A:$D,4,FALSE)</f>
        <v>eCommerce</v>
      </c>
      <c r="Z706" t="str">
        <f t="shared" ref="Z706:Z769" si="165">H706</f>
        <v>Commercial</v>
      </c>
      <c r="AA706" t="str">
        <f t="shared" ref="AA706:AA769" si="166">I706</f>
        <v>Backlog</v>
      </c>
      <c r="AB706">
        <f t="shared" ref="AB706:AB769" si="167">J706</f>
        <v>41</v>
      </c>
      <c r="AC706">
        <f t="shared" ref="AC706:AC769" si="168">K706</f>
        <v>0.03</v>
      </c>
      <c r="AD706">
        <f t="shared" ref="AD706:AD769" si="169">L706</f>
        <v>1</v>
      </c>
      <c r="AE706">
        <f t="shared" ref="AE706:AE769" si="170">M706</f>
        <v>1</v>
      </c>
      <c r="AF706">
        <f t="shared" ref="AF706:AF769" si="171">N706</f>
        <v>1</v>
      </c>
      <c r="AG706">
        <f t="shared" ref="AG706:AG769" si="172">O706</f>
        <v>100</v>
      </c>
    </row>
    <row r="707" spans="1:33" x14ac:dyDescent="0.2">
      <c r="A707" t="s">
        <v>127</v>
      </c>
      <c r="B707" t="s">
        <v>128</v>
      </c>
      <c r="C707">
        <v>706</v>
      </c>
      <c r="D707">
        <v>135537</v>
      </c>
      <c r="E707" t="s">
        <v>1416</v>
      </c>
      <c r="F707" t="s">
        <v>21</v>
      </c>
      <c r="G707" t="s">
        <v>379</v>
      </c>
      <c r="H707" t="s">
        <v>5</v>
      </c>
      <c r="I707" t="s">
        <v>94</v>
      </c>
      <c r="J707">
        <v>28</v>
      </c>
      <c r="K707">
        <v>3.5</v>
      </c>
      <c r="L707">
        <v>3</v>
      </c>
      <c r="M707">
        <v>2</v>
      </c>
      <c r="N707">
        <v>2</v>
      </c>
      <c r="O707">
        <v>2</v>
      </c>
      <c r="P707" t="b">
        <f t="shared" si="163"/>
        <v>0</v>
      </c>
      <c r="S707" t="str">
        <f t="shared" si="159"/>
        <v>LATER</v>
      </c>
      <c r="T707" t="str">
        <f t="shared" si="160"/>
        <v>SainteLague</v>
      </c>
      <c r="U707">
        <f t="shared" si="162"/>
        <v>706</v>
      </c>
      <c r="V707">
        <f t="shared" si="161"/>
        <v>135537</v>
      </c>
      <c r="W707" s="8" t="str">
        <f>VLOOKUP(V707,'ideas-input'!$A:$B,2,FALSE)</f>
        <v>Business Solutions - STICO - Evolutivos 1B 2026 (janeiro e fevereiro)</v>
      </c>
      <c r="X707" t="str">
        <f t="shared" si="164"/>
        <v>GP B2B</v>
      </c>
      <c r="Y707" s="8" t="str">
        <f>VLOOKUP(V707,'ideas-input'!$A:$D,4,FALSE)</f>
        <v>Business Solutions</v>
      </c>
      <c r="Z707" t="str">
        <f t="shared" si="165"/>
        <v>Commercial</v>
      </c>
      <c r="AA707" t="str">
        <f t="shared" si="166"/>
        <v>In Approval</v>
      </c>
      <c r="AB707">
        <f t="shared" si="167"/>
        <v>28</v>
      </c>
      <c r="AC707">
        <f t="shared" si="168"/>
        <v>3.5</v>
      </c>
      <c r="AD707">
        <f t="shared" si="169"/>
        <v>3</v>
      </c>
      <c r="AE707">
        <f t="shared" si="170"/>
        <v>2</v>
      </c>
      <c r="AF707">
        <f t="shared" si="171"/>
        <v>2</v>
      </c>
      <c r="AG707">
        <f t="shared" si="172"/>
        <v>2</v>
      </c>
    </row>
    <row r="708" spans="1:33" x14ac:dyDescent="0.2">
      <c r="A708" t="s">
        <v>127</v>
      </c>
      <c r="B708" t="s">
        <v>128</v>
      </c>
      <c r="C708">
        <v>707</v>
      </c>
      <c r="D708">
        <v>52579</v>
      </c>
      <c r="E708" t="s">
        <v>1411</v>
      </c>
      <c r="F708" t="s">
        <v>68</v>
      </c>
      <c r="G708" t="s">
        <v>10</v>
      </c>
      <c r="H708" t="s">
        <v>5</v>
      </c>
      <c r="I708" t="s">
        <v>91</v>
      </c>
      <c r="J708">
        <v>38</v>
      </c>
      <c r="K708">
        <v>0.03</v>
      </c>
      <c r="L708">
        <v>1</v>
      </c>
      <c r="M708">
        <v>1</v>
      </c>
      <c r="N708">
        <v>1</v>
      </c>
      <c r="O708">
        <v>100</v>
      </c>
      <c r="P708" t="b">
        <f t="shared" si="163"/>
        <v>0</v>
      </c>
      <c r="S708" t="str">
        <f t="shared" si="159"/>
        <v>LATER</v>
      </c>
      <c r="T708" t="str">
        <f t="shared" si="160"/>
        <v>SainteLague</v>
      </c>
      <c r="U708">
        <f t="shared" si="162"/>
        <v>707</v>
      </c>
      <c r="V708">
        <f t="shared" si="161"/>
        <v>52579</v>
      </c>
      <c r="W708" s="8" t="str">
        <f>VLOOKUP(V708,'ideas-input'!$A:$B,2,FALSE)</f>
        <v>Manifest - Estandarización de formato DNI en envíoscon adicional RID: Transformación automática a mayúsculas</v>
      </c>
      <c r="X708" t="str">
        <f t="shared" si="164"/>
        <v>IDC</v>
      </c>
      <c r="Y708" s="8" t="str">
        <f>VLOOKUP(V708,'ideas-input'!$A:$D,4,FALSE)</f>
        <v>eCommerce</v>
      </c>
      <c r="Z708" t="str">
        <f t="shared" si="165"/>
        <v>Commercial</v>
      </c>
      <c r="AA708" t="str">
        <f t="shared" si="166"/>
        <v>Backlog</v>
      </c>
      <c r="AB708">
        <f t="shared" si="167"/>
        <v>38</v>
      </c>
      <c r="AC708">
        <f t="shared" si="168"/>
        <v>0.03</v>
      </c>
      <c r="AD708">
        <f t="shared" si="169"/>
        <v>1</v>
      </c>
      <c r="AE708">
        <f t="shared" si="170"/>
        <v>1</v>
      </c>
      <c r="AF708">
        <f t="shared" si="171"/>
        <v>1</v>
      </c>
      <c r="AG708">
        <f t="shared" si="172"/>
        <v>100</v>
      </c>
    </row>
    <row r="709" spans="1:33" x14ac:dyDescent="0.2">
      <c r="A709" t="s">
        <v>127</v>
      </c>
      <c r="B709" t="s">
        <v>128</v>
      </c>
      <c r="C709">
        <v>708</v>
      </c>
      <c r="D709">
        <v>137466</v>
      </c>
      <c r="E709" t="s">
        <v>1338</v>
      </c>
      <c r="F709" t="s">
        <v>24</v>
      </c>
      <c r="G709" t="s">
        <v>379</v>
      </c>
      <c r="H709" t="s">
        <v>8</v>
      </c>
      <c r="I709" t="s">
        <v>91</v>
      </c>
      <c r="J709">
        <v>15</v>
      </c>
      <c r="K709">
        <v>0.03</v>
      </c>
      <c r="L709">
        <v>1</v>
      </c>
      <c r="M709">
        <v>1</v>
      </c>
      <c r="N709">
        <v>1</v>
      </c>
      <c r="O709">
        <v>100</v>
      </c>
      <c r="P709" t="b">
        <f t="shared" si="163"/>
        <v>0</v>
      </c>
      <c r="S709" t="str">
        <f t="shared" si="159"/>
        <v>LATER</v>
      </c>
      <c r="T709" t="str">
        <f t="shared" si="160"/>
        <v>SainteLague</v>
      </c>
      <c r="U709">
        <f t="shared" si="162"/>
        <v>708</v>
      </c>
      <c r="V709">
        <f t="shared" si="161"/>
        <v>137466</v>
      </c>
      <c r="W709" s="8" t="str">
        <f>VLOOKUP(V709,'ideas-input'!$A:$B,2,FALSE)</f>
        <v>Configuração do pagamento de faturas no Locky</v>
      </c>
      <c r="X709" t="str">
        <f t="shared" si="164"/>
        <v>GPG</v>
      </c>
      <c r="Y709" s="8" t="str">
        <f>VLOOKUP(V709,'ideas-input'!$A:$D,4,FALSE)</f>
        <v>Payments</v>
      </c>
      <c r="Z709" t="str">
        <f t="shared" si="165"/>
        <v>Technology</v>
      </c>
      <c r="AA709" t="str">
        <f t="shared" si="166"/>
        <v>Backlog</v>
      </c>
      <c r="AB709">
        <f t="shared" si="167"/>
        <v>15</v>
      </c>
      <c r="AC709">
        <f t="shared" si="168"/>
        <v>0.03</v>
      </c>
      <c r="AD709">
        <f t="shared" si="169"/>
        <v>1</v>
      </c>
      <c r="AE709">
        <f t="shared" si="170"/>
        <v>1</v>
      </c>
      <c r="AF709">
        <f t="shared" si="171"/>
        <v>1</v>
      </c>
      <c r="AG709">
        <f t="shared" si="172"/>
        <v>100</v>
      </c>
    </row>
    <row r="710" spans="1:33" x14ac:dyDescent="0.2">
      <c r="A710" t="s">
        <v>127</v>
      </c>
      <c r="B710" t="s">
        <v>128</v>
      </c>
      <c r="C710">
        <v>709</v>
      </c>
      <c r="D710">
        <v>52032</v>
      </c>
      <c r="E710" t="s">
        <v>324</v>
      </c>
      <c r="F710" t="s">
        <v>69</v>
      </c>
      <c r="G710" t="s">
        <v>10</v>
      </c>
      <c r="H710" t="s">
        <v>12</v>
      </c>
      <c r="I710" t="s">
        <v>91</v>
      </c>
      <c r="J710">
        <v>62</v>
      </c>
      <c r="K710">
        <v>0.03</v>
      </c>
      <c r="L710">
        <v>1</v>
      </c>
      <c r="M710">
        <v>1</v>
      </c>
      <c r="N710">
        <v>1</v>
      </c>
      <c r="O710">
        <v>100</v>
      </c>
      <c r="P710" t="b">
        <f t="shared" si="163"/>
        <v>0</v>
      </c>
      <c r="S710" t="str">
        <f t="shared" si="159"/>
        <v>LATER</v>
      </c>
      <c r="T710" t="str">
        <f t="shared" si="160"/>
        <v>SainteLague</v>
      </c>
      <c r="U710">
        <f t="shared" si="162"/>
        <v>709</v>
      </c>
      <c r="V710">
        <f t="shared" si="161"/>
        <v>52032</v>
      </c>
      <c r="W710" s="8" t="str">
        <f>VLOOKUP(V710,'ideas-input'!$A:$B,2,FALSE)</f>
        <v>[Auditoria PT] Control de revisiones de alteraciones manuales</v>
      </c>
      <c r="X710" t="str">
        <f t="shared" si="164"/>
        <v>CFO</v>
      </c>
      <c r="Y710" s="8" t="str">
        <f>VLOOKUP(V710,'ideas-input'!$A:$D,4,FALSE)</f>
        <v>eCommerce</v>
      </c>
      <c r="Z710" t="str">
        <f t="shared" si="165"/>
        <v>Corporate</v>
      </c>
      <c r="AA710" t="str">
        <f t="shared" si="166"/>
        <v>Backlog</v>
      </c>
      <c r="AB710">
        <f t="shared" si="167"/>
        <v>62</v>
      </c>
      <c r="AC710">
        <f t="shared" si="168"/>
        <v>0.03</v>
      </c>
      <c r="AD710">
        <f t="shared" si="169"/>
        <v>1</v>
      </c>
      <c r="AE710">
        <f t="shared" si="170"/>
        <v>1</v>
      </c>
      <c r="AF710">
        <f t="shared" si="171"/>
        <v>1</v>
      </c>
      <c r="AG710">
        <f t="shared" si="172"/>
        <v>100</v>
      </c>
    </row>
    <row r="711" spans="1:33" x14ac:dyDescent="0.2">
      <c r="A711" t="s">
        <v>127</v>
      </c>
      <c r="B711" t="s">
        <v>128</v>
      </c>
      <c r="C711">
        <v>710</v>
      </c>
      <c r="D711">
        <v>43366</v>
      </c>
      <c r="E711" t="s">
        <v>1697</v>
      </c>
      <c r="F711" t="s">
        <v>23</v>
      </c>
      <c r="G711" t="s">
        <v>379</v>
      </c>
      <c r="H711" t="s">
        <v>5</v>
      </c>
      <c r="I711" t="s">
        <v>91</v>
      </c>
      <c r="J711">
        <v>28</v>
      </c>
      <c r="K711">
        <v>0.03</v>
      </c>
      <c r="L711">
        <v>1</v>
      </c>
      <c r="M711">
        <v>1</v>
      </c>
      <c r="N711">
        <v>1</v>
      </c>
      <c r="O711">
        <v>100</v>
      </c>
      <c r="P711" t="b">
        <f t="shared" si="163"/>
        <v>0</v>
      </c>
      <c r="S711" t="str">
        <f t="shared" si="159"/>
        <v>LATER</v>
      </c>
      <c r="T711" t="str">
        <f t="shared" si="160"/>
        <v>SainteLague</v>
      </c>
      <c r="U711">
        <f t="shared" si="162"/>
        <v>710</v>
      </c>
      <c r="V711">
        <f t="shared" si="161"/>
        <v>43366</v>
      </c>
      <c r="W711" s="8" t="str">
        <f>VLOOKUP(V711,'ideas-input'!$A:$B,2,FALSE)</f>
        <v>GPECL/INT -  Eventos DHL não integrados no T&amp;T CTT</v>
      </c>
      <c r="X711" t="str">
        <f t="shared" si="164"/>
        <v>GP ECL</v>
      </c>
      <c r="Y711" s="8" t="str">
        <f>VLOOKUP(V711,'ideas-input'!$A:$D,4,FALSE)</f>
        <v>eCommerce</v>
      </c>
      <c r="Z711" t="str">
        <f t="shared" si="165"/>
        <v>Commercial</v>
      </c>
      <c r="AA711" t="str">
        <f t="shared" si="166"/>
        <v>Backlog</v>
      </c>
      <c r="AB711">
        <f t="shared" si="167"/>
        <v>28</v>
      </c>
      <c r="AC711">
        <f t="shared" si="168"/>
        <v>0.03</v>
      </c>
      <c r="AD711">
        <f t="shared" si="169"/>
        <v>1</v>
      </c>
      <c r="AE711">
        <f t="shared" si="170"/>
        <v>1</v>
      </c>
      <c r="AF711">
        <f t="shared" si="171"/>
        <v>1</v>
      </c>
      <c r="AG711">
        <f t="shared" si="172"/>
        <v>100</v>
      </c>
    </row>
    <row r="712" spans="1:33" x14ac:dyDescent="0.2">
      <c r="A712" t="s">
        <v>127</v>
      </c>
      <c r="B712" t="s">
        <v>128</v>
      </c>
      <c r="C712">
        <v>711</v>
      </c>
      <c r="D712">
        <v>56929</v>
      </c>
      <c r="E712" t="s">
        <v>299</v>
      </c>
      <c r="F712" t="s">
        <v>65</v>
      </c>
      <c r="G712" t="s">
        <v>10</v>
      </c>
      <c r="H712" t="s">
        <v>5</v>
      </c>
      <c r="I712" t="s">
        <v>97</v>
      </c>
      <c r="J712">
        <v>48</v>
      </c>
      <c r="K712">
        <v>0.03</v>
      </c>
      <c r="L712">
        <v>1</v>
      </c>
      <c r="M712">
        <v>1</v>
      </c>
      <c r="N712">
        <v>1</v>
      </c>
      <c r="O712">
        <v>100</v>
      </c>
      <c r="P712" t="b">
        <f t="shared" si="163"/>
        <v>0</v>
      </c>
      <c r="S712" t="str">
        <f t="shared" si="159"/>
        <v>LATER</v>
      </c>
      <c r="T712" t="str">
        <f t="shared" si="160"/>
        <v>SainteLague</v>
      </c>
      <c r="U712">
        <f t="shared" si="162"/>
        <v>711</v>
      </c>
      <c r="V712">
        <f t="shared" si="161"/>
        <v>56929</v>
      </c>
      <c r="W712" s="8" t="str">
        <f>VLOOKUP(V712,'ideas-input'!$A:$B,2,FALSE)</f>
        <v>[Web de clientes] - Funcionalidad de gestionar y visualizar el seguimiento de los Retornados</v>
      </c>
      <c r="X712" t="str">
        <f t="shared" si="164"/>
        <v>CMO</v>
      </c>
      <c r="Y712" s="8" t="str">
        <f>VLOOKUP(V712,'ideas-input'!$A:$D,4,FALSE)</f>
        <v>eCommerce</v>
      </c>
      <c r="Z712" t="str">
        <f t="shared" si="165"/>
        <v>Commercial</v>
      </c>
      <c r="AA712" t="str">
        <f t="shared" si="166"/>
        <v>Ready for Solution</v>
      </c>
      <c r="AB712">
        <f t="shared" si="167"/>
        <v>48</v>
      </c>
      <c r="AC712">
        <f t="shared" si="168"/>
        <v>0.03</v>
      </c>
      <c r="AD712">
        <f t="shared" si="169"/>
        <v>1</v>
      </c>
      <c r="AE712">
        <f t="shared" si="170"/>
        <v>1</v>
      </c>
      <c r="AF712">
        <f t="shared" si="171"/>
        <v>1</v>
      </c>
      <c r="AG712">
        <f t="shared" si="172"/>
        <v>100</v>
      </c>
    </row>
    <row r="713" spans="1:33" x14ac:dyDescent="0.2">
      <c r="A713" t="s">
        <v>127</v>
      </c>
      <c r="B713" t="s">
        <v>128</v>
      </c>
      <c r="C713">
        <v>712</v>
      </c>
      <c r="D713">
        <v>192033</v>
      </c>
      <c r="E713" t="s">
        <v>1342</v>
      </c>
      <c r="F713" t="s">
        <v>9</v>
      </c>
      <c r="G713" t="s">
        <v>379</v>
      </c>
      <c r="H713" t="s">
        <v>8</v>
      </c>
      <c r="I713" t="s">
        <v>91</v>
      </c>
      <c r="J713">
        <v>65</v>
      </c>
      <c r="K713">
        <v>0.03</v>
      </c>
      <c r="L713">
        <v>1</v>
      </c>
      <c r="M713">
        <v>1</v>
      </c>
      <c r="N713">
        <v>1</v>
      </c>
      <c r="O713">
        <v>100</v>
      </c>
      <c r="P713" t="b">
        <f t="shared" si="163"/>
        <v>0</v>
      </c>
      <c r="S713" t="str">
        <f t="shared" si="159"/>
        <v>LATER</v>
      </c>
      <c r="T713" t="str">
        <f t="shared" si="160"/>
        <v>SainteLague</v>
      </c>
      <c r="U713">
        <f t="shared" si="162"/>
        <v>712</v>
      </c>
      <c r="V713">
        <f t="shared" si="161"/>
        <v>192033</v>
      </c>
      <c r="W713" s="8" t="str">
        <f>VLOOKUP(V713,'ideas-input'!$A:$B,2,FALSE)</f>
        <v>IOP | Internet - visibilidade sobre utilização e qualidade do serviço</v>
      </c>
      <c r="X713" t="str">
        <f t="shared" si="164"/>
        <v>SI</v>
      </c>
      <c r="Y713" s="8" t="str">
        <f>VLOOKUP(V713,'ideas-input'!$A:$D,4,FALSE)</f>
        <v>Mail</v>
      </c>
      <c r="Z713" t="str">
        <f t="shared" si="165"/>
        <v>Technology</v>
      </c>
      <c r="AA713" t="str">
        <f t="shared" si="166"/>
        <v>Backlog</v>
      </c>
      <c r="AB713">
        <f t="shared" si="167"/>
        <v>65</v>
      </c>
      <c r="AC713">
        <f t="shared" si="168"/>
        <v>0.03</v>
      </c>
      <c r="AD713">
        <f t="shared" si="169"/>
        <v>1</v>
      </c>
      <c r="AE713">
        <f t="shared" si="170"/>
        <v>1</v>
      </c>
      <c r="AF713">
        <f t="shared" si="171"/>
        <v>1</v>
      </c>
      <c r="AG713">
        <f t="shared" si="172"/>
        <v>100</v>
      </c>
    </row>
    <row r="714" spans="1:33" x14ac:dyDescent="0.2">
      <c r="A714" t="s">
        <v>127</v>
      </c>
      <c r="B714" t="s">
        <v>128</v>
      </c>
      <c r="C714">
        <v>713</v>
      </c>
      <c r="D714">
        <v>52034</v>
      </c>
      <c r="E714" t="s">
        <v>1352</v>
      </c>
      <c r="F714" t="s">
        <v>69</v>
      </c>
      <c r="G714" t="s">
        <v>10</v>
      </c>
      <c r="H714" t="s">
        <v>12</v>
      </c>
      <c r="I714" t="s">
        <v>91</v>
      </c>
      <c r="J714">
        <v>63</v>
      </c>
      <c r="K714">
        <v>0.03</v>
      </c>
      <c r="L714">
        <v>1</v>
      </c>
      <c r="M714">
        <v>1</v>
      </c>
      <c r="N714">
        <v>1</v>
      </c>
      <c r="O714">
        <v>100</v>
      </c>
      <c r="P714" t="b">
        <f t="shared" si="163"/>
        <v>0</v>
      </c>
      <c r="S714" t="str">
        <f t="shared" si="159"/>
        <v>LATER</v>
      </c>
      <c r="T714" t="str">
        <f t="shared" si="160"/>
        <v>SainteLague</v>
      </c>
      <c r="U714">
        <f t="shared" si="162"/>
        <v>713</v>
      </c>
      <c r="V714">
        <f t="shared" si="161"/>
        <v>52034</v>
      </c>
      <c r="W714" s="8" t="str">
        <f>VLOOKUP(V714,'ideas-input'!$A:$B,2,FALSE)</f>
        <v>[Auditoria PT] Evaluar la implementación de una reclasificación automática de los servicios declarados incorrectamente por el cliente</v>
      </c>
      <c r="X714" t="str">
        <f t="shared" si="164"/>
        <v>CFO</v>
      </c>
      <c r="Y714" s="8" t="str">
        <f>VLOOKUP(V714,'ideas-input'!$A:$D,4,FALSE)</f>
        <v>eCommerce</v>
      </c>
      <c r="Z714" t="str">
        <f t="shared" si="165"/>
        <v>Corporate</v>
      </c>
      <c r="AA714" t="str">
        <f t="shared" si="166"/>
        <v>Backlog</v>
      </c>
      <c r="AB714">
        <f t="shared" si="167"/>
        <v>63</v>
      </c>
      <c r="AC714">
        <f t="shared" si="168"/>
        <v>0.03</v>
      </c>
      <c r="AD714">
        <f t="shared" si="169"/>
        <v>1</v>
      </c>
      <c r="AE714">
        <f t="shared" si="170"/>
        <v>1</v>
      </c>
      <c r="AF714">
        <f t="shared" si="171"/>
        <v>1</v>
      </c>
      <c r="AG714">
        <f t="shared" si="172"/>
        <v>100</v>
      </c>
    </row>
    <row r="715" spans="1:33" x14ac:dyDescent="0.2">
      <c r="A715" t="s">
        <v>127</v>
      </c>
      <c r="B715" t="s">
        <v>128</v>
      </c>
      <c r="C715">
        <v>714</v>
      </c>
      <c r="D715">
        <v>94915</v>
      </c>
      <c r="E715" t="s">
        <v>1419</v>
      </c>
      <c r="F715" t="s">
        <v>38</v>
      </c>
      <c r="G715" t="s">
        <v>379</v>
      </c>
      <c r="H715" t="s">
        <v>5</v>
      </c>
      <c r="I715" t="s">
        <v>91</v>
      </c>
      <c r="J715">
        <v>19</v>
      </c>
      <c r="K715">
        <v>0.03</v>
      </c>
      <c r="L715">
        <v>1</v>
      </c>
      <c r="M715">
        <v>1</v>
      </c>
      <c r="N715">
        <v>1</v>
      </c>
      <c r="O715">
        <v>100</v>
      </c>
      <c r="P715" t="b">
        <f t="shared" si="163"/>
        <v>0</v>
      </c>
      <c r="S715" t="str">
        <f t="shared" si="159"/>
        <v>LATER</v>
      </c>
      <c r="T715" t="str">
        <f t="shared" si="160"/>
        <v>SainteLague</v>
      </c>
      <c r="U715">
        <f t="shared" si="162"/>
        <v>714</v>
      </c>
      <c r="V715">
        <f t="shared" si="161"/>
        <v>94915</v>
      </c>
      <c r="W715" s="8" t="str">
        <f>VLOOKUP(V715,'ideas-input'!$A:$B,2,FALSE)</f>
        <v>Agentes Payshop - criação de base de dados certificada com ligação a ferramenta de edição/consulta</v>
      </c>
      <c r="X715" t="str">
        <f t="shared" si="164"/>
        <v>CSI</v>
      </c>
      <c r="Y715" s="8" t="str">
        <f>VLOOKUP(V715,'ideas-input'!$A:$D,4,FALSE)</f>
        <v>Mail</v>
      </c>
      <c r="Z715" t="str">
        <f t="shared" si="165"/>
        <v>Commercial</v>
      </c>
      <c r="AA715" t="str">
        <f t="shared" si="166"/>
        <v>Backlog</v>
      </c>
      <c r="AB715">
        <f t="shared" si="167"/>
        <v>19</v>
      </c>
      <c r="AC715">
        <f t="shared" si="168"/>
        <v>0.03</v>
      </c>
      <c r="AD715">
        <f t="shared" si="169"/>
        <v>1</v>
      </c>
      <c r="AE715">
        <f t="shared" si="170"/>
        <v>1</v>
      </c>
      <c r="AF715">
        <f t="shared" si="171"/>
        <v>1</v>
      </c>
      <c r="AG715">
        <f t="shared" si="172"/>
        <v>100</v>
      </c>
    </row>
    <row r="716" spans="1:33" x14ac:dyDescent="0.2">
      <c r="A716" t="s">
        <v>127</v>
      </c>
      <c r="B716" t="s">
        <v>128</v>
      </c>
      <c r="C716">
        <v>715</v>
      </c>
      <c r="D716">
        <v>46855</v>
      </c>
      <c r="E716" t="s">
        <v>1428</v>
      </c>
      <c r="F716" t="s">
        <v>66</v>
      </c>
      <c r="G716" t="s">
        <v>10</v>
      </c>
      <c r="H716" t="s">
        <v>5</v>
      </c>
      <c r="I716" t="s">
        <v>91</v>
      </c>
      <c r="J716">
        <v>42</v>
      </c>
      <c r="K716">
        <v>0.03</v>
      </c>
      <c r="L716">
        <v>1</v>
      </c>
      <c r="M716">
        <v>1</v>
      </c>
      <c r="N716">
        <v>1</v>
      </c>
      <c r="O716">
        <v>100</v>
      </c>
      <c r="P716" t="b">
        <f t="shared" si="163"/>
        <v>0</v>
      </c>
      <c r="S716" t="str">
        <f t="shared" si="159"/>
        <v>LATER</v>
      </c>
      <c r="T716" t="str">
        <f t="shared" si="160"/>
        <v>SainteLague</v>
      </c>
      <c r="U716">
        <f t="shared" si="162"/>
        <v>715</v>
      </c>
      <c r="V716">
        <f t="shared" si="161"/>
        <v>46855</v>
      </c>
      <c r="W716" s="8" t="str">
        <f>VLOOKUP(V716,'ideas-input'!$A:$B,2,FALSE)</f>
        <v>Nueva estrategia de integración de Clientes (TC)</v>
      </c>
      <c r="X716" t="str">
        <f t="shared" si="164"/>
        <v>CCO</v>
      </c>
      <c r="Y716" s="8" t="str">
        <f>VLOOKUP(V716,'ideas-input'!$A:$D,4,FALSE)</f>
        <v>eCommerce</v>
      </c>
      <c r="Z716" t="str">
        <f t="shared" si="165"/>
        <v>Commercial</v>
      </c>
      <c r="AA716" t="str">
        <f t="shared" si="166"/>
        <v>Backlog</v>
      </c>
      <c r="AB716">
        <f t="shared" si="167"/>
        <v>42</v>
      </c>
      <c r="AC716">
        <f t="shared" si="168"/>
        <v>0.03</v>
      </c>
      <c r="AD716">
        <f t="shared" si="169"/>
        <v>1</v>
      </c>
      <c r="AE716">
        <f t="shared" si="170"/>
        <v>1</v>
      </c>
      <c r="AF716">
        <f t="shared" si="171"/>
        <v>1</v>
      </c>
      <c r="AG716">
        <f t="shared" si="172"/>
        <v>100</v>
      </c>
    </row>
    <row r="717" spans="1:33" x14ac:dyDescent="0.2">
      <c r="A717" t="s">
        <v>127</v>
      </c>
      <c r="B717" t="s">
        <v>128</v>
      </c>
      <c r="C717">
        <v>716</v>
      </c>
      <c r="D717">
        <v>131989</v>
      </c>
      <c r="E717" t="s">
        <v>1694</v>
      </c>
      <c r="F717" t="s">
        <v>9</v>
      </c>
      <c r="G717" t="s">
        <v>379</v>
      </c>
      <c r="H717" t="s">
        <v>8</v>
      </c>
      <c r="I717" t="s">
        <v>91</v>
      </c>
      <c r="J717">
        <v>66</v>
      </c>
      <c r="K717">
        <v>0.03</v>
      </c>
      <c r="L717">
        <v>1</v>
      </c>
      <c r="M717">
        <v>1</v>
      </c>
      <c r="N717">
        <v>1</v>
      </c>
      <c r="O717">
        <v>100</v>
      </c>
      <c r="P717" t="b">
        <f t="shared" si="163"/>
        <v>0</v>
      </c>
      <c r="S717" t="str">
        <f t="shared" si="159"/>
        <v>LATER</v>
      </c>
      <c r="T717" t="str">
        <f t="shared" si="160"/>
        <v>SainteLague</v>
      </c>
      <c r="U717">
        <f t="shared" si="162"/>
        <v>716</v>
      </c>
      <c r="V717">
        <f t="shared" si="161"/>
        <v>131989</v>
      </c>
      <c r="W717" s="8" t="str">
        <f>VLOOKUP(V717,'ideas-input'!$A:$B,2,FALSE)</f>
        <v>INT| -  Mata Aplicações Wave 1.1X - Tradutor</v>
      </c>
      <c r="X717" t="str">
        <f t="shared" si="164"/>
        <v>SI</v>
      </c>
      <c r="Y717" s="8" t="str">
        <f>VLOOKUP(V717,'ideas-input'!$A:$D,4,FALSE)</f>
        <v>Mail</v>
      </c>
      <c r="Z717" t="str">
        <f t="shared" si="165"/>
        <v>Technology</v>
      </c>
      <c r="AA717" t="str">
        <f t="shared" si="166"/>
        <v>Backlog</v>
      </c>
      <c r="AB717">
        <f t="shared" si="167"/>
        <v>66</v>
      </c>
      <c r="AC717">
        <f t="shared" si="168"/>
        <v>0.03</v>
      </c>
      <c r="AD717">
        <f t="shared" si="169"/>
        <v>1</v>
      </c>
      <c r="AE717">
        <f t="shared" si="170"/>
        <v>1</v>
      </c>
      <c r="AF717">
        <f t="shared" si="171"/>
        <v>1</v>
      </c>
      <c r="AG717">
        <f t="shared" si="172"/>
        <v>100</v>
      </c>
    </row>
    <row r="718" spans="1:33" x14ac:dyDescent="0.2">
      <c r="A718" t="s">
        <v>127</v>
      </c>
      <c r="B718" t="s">
        <v>128</v>
      </c>
      <c r="C718">
        <v>717</v>
      </c>
      <c r="D718">
        <v>52035</v>
      </c>
      <c r="E718" t="s">
        <v>1695</v>
      </c>
      <c r="F718" t="s">
        <v>69</v>
      </c>
      <c r="G718" t="s">
        <v>10</v>
      </c>
      <c r="H718" t="s">
        <v>12</v>
      </c>
      <c r="I718" t="s">
        <v>91</v>
      </c>
      <c r="J718">
        <v>64</v>
      </c>
      <c r="K718">
        <v>0.03</v>
      </c>
      <c r="L718">
        <v>1</v>
      </c>
      <c r="M718">
        <v>1</v>
      </c>
      <c r="N718">
        <v>1</v>
      </c>
      <c r="O718">
        <v>100</v>
      </c>
      <c r="P718" t="b">
        <f t="shared" si="163"/>
        <v>0</v>
      </c>
      <c r="S718" t="str">
        <f t="shared" si="159"/>
        <v>LATER</v>
      </c>
      <c r="T718" t="str">
        <f t="shared" si="160"/>
        <v>SainteLague</v>
      </c>
      <c r="U718">
        <f t="shared" si="162"/>
        <v>717</v>
      </c>
      <c r="V718">
        <f t="shared" si="161"/>
        <v>52035</v>
      </c>
      <c r="W718" s="8" t="str">
        <f>VLOOKUP(V718,'ideas-input'!$A:$B,2,FALSE)</f>
        <v>[Auditoria PT]  Seguimiento de los cambios realizados manualmente o mediante automatización y control/aprobación de los mismos</v>
      </c>
      <c r="X718" t="str">
        <f t="shared" si="164"/>
        <v>CFO</v>
      </c>
      <c r="Y718" s="8" t="str">
        <f>VLOOKUP(V718,'ideas-input'!$A:$D,4,FALSE)</f>
        <v>eCommerce</v>
      </c>
      <c r="Z718" t="str">
        <f t="shared" si="165"/>
        <v>Corporate</v>
      </c>
      <c r="AA718" t="str">
        <f t="shared" si="166"/>
        <v>Backlog</v>
      </c>
      <c r="AB718">
        <f t="shared" si="167"/>
        <v>64</v>
      </c>
      <c r="AC718">
        <f t="shared" si="168"/>
        <v>0.03</v>
      </c>
      <c r="AD718">
        <f t="shared" si="169"/>
        <v>1</v>
      </c>
      <c r="AE718">
        <f t="shared" si="170"/>
        <v>1</v>
      </c>
      <c r="AF718">
        <f t="shared" si="171"/>
        <v>1</v>
      </c>
      <c r="AG718">
        <f t="shared" si="172"/>
        <v>100</v>
      </c>
    </row>
    <row r="719" spans="1:33" x14ac:dyDescent="0.2">
      <c r="A719" t="s">
        <v>127</v>
      </c>
      <c r="B719" t="s">
        <v>128</v>
      </c>
      <c r="C719">
        <v>718</v>
      </c>
      <c r="D719">
        <v>135529</v>
      </c>
      <c r="E719" t="s">
        <v>1420</v>
      </c>
      <c r="F719" t="s">
        <v>21</v>
      </c>
      <c r="G719" t="s">
        <v>379</v>
      </c>
      <c r="H719" t="s">
        <v>5</v>
      </c>
      <c r="I719" t="s">
        <v>94</v>
      </c>
      <c r="J719">
        <v>29</v>
      </c>
      <c r="K719">
        <v>3.5</v>
      </c>
      <c r="L719">
        <v>3</v>
      </c>
      <c r="M719">
        <v>2</v>
      </c>
      <c r="N719">
        <v>2</v>
      </c>
      <c r="O719">
        <v>2</v>
      </c>
      <c r="P719" t="b">
        <f t="shared" si="163"/>
        <v>0</v>
      </c>
      <c r="S719" t="str">
        <f t="shared" si="159"/>
        <v>LATER</v>
      </c>
      <c r="T719" t="str">
        <f t="shared" si="160"/>
        <v>SainteLague</v>
      </c>
      <c r="U719">
        <f t="shared" si="162"/>
        <v>718</v>
      </c>
      <c r="V719">
        <f t="shared" si="161"/>
        <v>135529</v>
      </c>
      <c r="W719" s="8" t="str">
        <f>VLOOKUP(V719,'ideas-input'!$A:$B,2,FALSE)</f>
        <v>Business Solutions - P&amp;F - Evolutivos 1B 2026 (janeiro e fevereiro)</v>
      </c>
      <c r="X719" t="str">
        <f t="shared" si="164"/>
        <v>GP B2B</v>
      </c>
      <c r="Y719" s="8" t="str">
        <f>VLOOKUP(V719,'ideas-input'!$A:$D,4,FALSE)</f>
        <v>Business Solutions</v>
      </c>
      <c r="Z719" t="str">
        <f t="shared" si="165"/>
        <v>Commercial</v>
      </c>
      <c r="AA719" t="str">
        <f t="shared" si="166"/>
        <v>In Approval</v>
      </c>
      <c r="AB719">
        <f t="shared" si="167"/>
        <v>29</v>
      </c>
      <c r="AC719">
        <f t="shared" si="168"/>
        <v>3.5</v>
      </c>
      <c r="AD719">
        <f t="shared" si="169"/>
        <v>3</v>
      </c>
      <c r="AE719">
        <f t="shared" si="170"/>
        <v>2</v>
      </c>
      <c r="AF719">
        <f t="shared" si="171"/>
        <v>2</v>
      </c>
      <c r="AG719">
        <f t="shared" si="172"/>
        <v>2</v>
      </c>
    </row>
    <row r="720" spans="1:33" x14ac:dyDescent="0.2">
      <c r="A720" t="s">
        <v>127</v>
      </c>
      <c r="B720" t="s">
        <v>128</v>
      </c>
      <c r="C720">
        <v>719</v>
      </c>
      <c r="D720">
        <v>45965</v>
      </c>
      <c r="E720" t="s">
        <v>1418</v>
      </c>
      <c r="F720" t="s">
        <v>68</v>
      </c>
      <c r="G720" t="s">
        <v>10</v>
      </c>
      <c r="H720" t="s">
        <v>5</v>
      </c>
      <c r="I720" t="s">
        <v>97</v>
      </c>
      <c r="J720">
        <v>39</v>
      </c>
      <c r="K720">
        <v>0.03</v>
      </c>
      <c r="L720">
        <v>1</v>
      </c>
      <c r="M720">
        <v>1</v>
      </c>
      <c r="N720">
        <v>1</v>
      </c>
      <c r="O720">
        <v>100</v>
      </c>
      <c r="P720" t="b">
        <f t="shared" si="163"/>
        <v>0</v>
      </c>
      <c r="S720" t="str">
        <f t="shared" si="159"/>
        <v>LATER</v>
      </c>
      <c r="T720" t="str">
        <f t="shared" si="160"/>
        <v>SainteLague</v>
      </c>
      <c r="U720">
        <f t="shared" si="162"/>
        <v>719</v>
      </c>
      <c r="V720">
        <f t="shared" si="161"/>
        <v>45965</v>
      </c>
      <c r="W720" s="8" t="str">
        <f>VLOOKUP(V720,'ideas-input'!$A:$B,2,FALSE)</f>
        <v>[Salesforce Integración Clientes] - Nueva lógica creación de implementaciones</v>
      </c>
      <c r="X720" t="str">
        <f t="shared" si="164"/>
        <v>IDC</v>
      </c>
      <c r="Y720" s="8" t="str">
        <f>VLOOKUP(V720,'ideas-input'!$A:$D,4,FALSE)</f>
        <v>eCommerce</v>
      </c>
      <c r="Z720" t="str">
        <f t="shared" si="165"/>
        <v>Commercial</v>
      </c>
      <c r="AA720" t="str">
        <f t="shared" si="166"/>
        <v>Ready for Solution</v>
      </c>
      <c r="AB720">
        <f t="shared" si="167"/>
        <v>39</v>
      </c>
      <c r="AC720">
        <f t="shared" si="168"/>
        <v>0.03</v>
      </c>
      <c r="AD720">
        <f t="shared" si="169"/>
        <v>1</v>
      </c>
      <c r="AE720">
        <f t="shared" si="170"/>
        <v>1</v>
      </c>
      <c r="AF720">
        <f t="shared" si="171"/>
        <v>1</v>
      </c>
      <c r="AG720">
        <f t="shared" si="172"/>
        <v>100</v>
      </c>
    </row>
    <row r="721" spans="1:33" x14ac:dyDescent="0.2">
      <c r="A721" t="s">
        <v>127</v>
      </c>
      <c r="B721" t="s">
        <v>128</v>
      </c>
      <c r="C721">
        <v>720</v>
      </c>
      <c r="D721">
        <v>157527</v>
      </c>
      <c r="E721" t="s">
        <v>1422</v>
      </c>
      <c r="F721" t="s">
        <v>23</v>
      </c>
      <c r="G721" t="s">
        <v>379</v>
      </c>
      <c r="H721" t="s">
        <v>5</v>
      </c>
      <c r="I721" t="s">
        <v>91</v>
      </c>
      <c r="J721">
        <v>29</v>
      </c>
      <c r="K721">
        <v>0.03</v>
      </c>
      <c r="L721">
        <v>1</v>
      </c>
      <c r="M721">
        <v>1</v>
      </c>
      <c r="N721">
        <v>1</v>
      </c>
      <c r="O721">
        <v>100</v>
      </c>
      <c r="P721" t="b">
        <f t="shared" si="163"/>
        <v>0</v>
      </c>
      <c r="S721" t="str">
        <f t="shared" si="159"/>
        <v>LATER</v>
      </c>
      <c r="T721" t="str">
        <f t="shared" si="160"/>
        <v>SainteLague</v>
      </c>
      <c r="U721">
        <f t="shared" si="162"/>
        <v>720</v>
      </c>
      <c r="V721">
        <f t="shared" si="161"/>
        <v>157527</v>
      </c>
      <c r="W721" s="8" t="str">
        <f>VLOOKUP(V721,'ideas-input'!$A:$B,2,FALSE)</f>
        <v>Nova Oferta produtos Untracked e Tracked Simples - melhoria de informação site TT 2023 07 24</v>
      </c>
      <c r="X721" t="str">
        <f t="shared" si="164"/>
        <v>GP ECL</v>
      </c>
      <c r="Y721" s="8" t="str">
        <f>VLOOKUP(V721,'ideas-input'!$A:$D,4,FALSE)</f>
        <v>eCommerce</v>
      </c>
      <c r="Z721" t="str">
        <f t="shared" si="165"/>
        <v>Commercial</v>
      </c>
      <c r="AA721" t="str">
        <f t="shared" si="166"/>
        <v>Backlog</v>
      </c>
      <c r="AB721">
        <f t="shared" si="167"/>
        <v>29</v>
      </c>
      <c r="AC721">
        <f t="shared" si="168"/>
        <v>0.03</v>
      </c>
      <c r="AD721">
        <f t="shared" si="169"/>
        <v>1</v>
      </c>
      <c r="AE721">
        <f t="shared" si="170"/>
        <v>1</v>
      </c>
      <c r="AF721">
        <f t="shared" si="171"/>
        <v>1</v>
      </c>
      <c r="AG721">
        <f t="shared" si="172"/>
        <v>100</v>
      </c>
    </row>
    <row r="722" spans="1:33" x14ac:dyDescent="0.2">
      <c r="A722" t="s">
        <v>127</v>
      </c>
      <c r="B722" t="s">
        <v>128</v>
      </c>
      <c r="C722">
        <v>721</v>
      </c>
      <c r="D722">
        <v>61841</v>
      </c>
      <c r="E722" t="s">
        <v>1356</v>
      </c>
      <c r="F722" t="s">
        <v>69</v>
      </c>
      <c r="G722" t="s">
        <v>10</v>
      </c>
      <c r="H722" t="s">
        <v>12</v>
      </c>
      <c r="I722" t="s">
        <v>91</v>
      </c>
      <c r="J722">
        <v>65</v>
      </c>
      <c r="K722">
        <v>0.03</v>
      </c>
      <c r="L722">
        <v>1</v>
      </c>
      <c r="M722">
        <v>1</v>
      </c>
      <c r="N722">
        <v>1</v>
      </c>
      <c r="O722">
        <v>100</v>
      </c>
      <c r="P722" t="b">
        <f t="shared" si="163"/>
        <v>0</v>
      </c>
      <c r="S722" t="str">
        <f t="shared" si="159"/>
        <v>LATER</v>
      </c>
      <c r="T722" t="str">
        <f t="shared" si="160"/>
        <v>SainteLague</v>
      </c>
      <c r="U722">
        <f t="shared" si="162"/>
        <v>721</v>
      </c>
      <c r="V722">
        <f t="shared" si="161"/>
        <v>61841</v>
      </c>
      <c r="W722" s="8" t="str">
        <f>VLOOKUP(V722,'ideas-input'!$A:$B,2,FALSE)</f>
        <v>SGC - Anulación eventos PT</v>
      </c>
      <c r="X722" t="str">
        <f t="shared" si="164"/>
        <v>CFO</v>
      </c>
      <c r="Y722" s="8" t="str">
        <f>VLOOKUP(V722,'ideas-input'!$A:$D,4,FALSE)</f>
        <v>eCommerce</v>
      </c>
      <c r="Z722" t="str">
        <f t="shared" si="165"/>
        <v>Corporate</v>
      </c>
      <c r="AA722" t="str">
        <f t="shared" si="166"/>
        <v>Backlog</v>
      </c>
      <c r="AB722">
        <f t="shared" si="167"/>
        <v>65</v>
      </c>
      <c r="AC722">
        <f t="shared" si="168"/>
        <v>0.03</v>
      </c>
      <c r="AD722">
        <f t="shared" si="169"/>
        <v>1</v>
      </c>
      <c r="AE722">
        <f t="shared" si="170"/>
        <v>1</v>
      </c>
      <c r="AF722">
        <f t="shared" si="171"/>
        <v>1</v>
      </c>
      <c r="AG722">
        <f t="shared" si="172"/>
        <v>100</v>
      </c>
    </row>
    <row r="723" spans="1:33" x14ac:dyDescent="0.2">
      <c r="A723" t="s">
        <v>127</v>
      </c>
      <c r="B723" t="s">
        <v>128</v>
      </c>
      <c r="C723">
        <v>722</v>
      </c>
      <c r="D723">
        <v>180676</v>
      </c>
      <c r="E723" t="s">
        <v>1348</v>
      </c>
      <c r="F723" t="s">
        <v>9</v>
      </c>
      <c r="G723" t="s">
        <v>379</v>
      </c>
      <c r="H723" t="s">
        <v>8</v>
      </c>
      <c r="I723" t="s">
        <v>91</v>
      </c>
      <c r="J723">
        <v>67</v>
      </c>
      <c r="K723">
        <v>0.03</v>
      </c>
      <c r="L723">
        <v>1</v>
      </c>
      <c r="M723">
        <v>1</v>
      </c>
      <c r="N723">
        <v>1</v>
      </c>
      <c r="O723">
        <v>100</v>
      </c>
      <c r="P723" t="b">
        <f t="shared" si="163"/>
        <v>0</v>
      </c>
      <c r="S723" t="str">
        <f t="shared" si="159"/>
        <v>LATER</v>
      </c>
      <c r="T723" t="str">
        <f t="shared" si="160"/>
        <v>SainteLague</v>
      </c>
      <c r="U723">
        <f t="shared" si="162"/>
        <v>722</v>
      </c>
      <c r="V723">
        <f t="shared" si="161"/>
        <v>180676</v>
      </c>
      <c r="W723" s="8" t="str">
        <f>VLOOKUP(V723,'ideas-input'!$A:$B,2,FALSE)</f>
        <v>IOP | ClearPass - alargar cobertura da solução de Network Access Control</v>
      </c>
      <c r="X723" t="str">
        <f t="shared" si="164"/>
        <v>SI</v>
      </c>
      <c r="Y723" s="8" t="str">
        <f>VLOOKUP(V723,'ideas-input'!$A:$D,4,FALSE)</f>
        <v>Mail</v>
      </c>
      <c r="Z723" t="str">
        <f t="shared" si="165"/>
        <v>Technology</v>
      </c>
      <c r="AA723" t="str">
        <f t="shared" si="166"/>
        <v>Backlog</v>
      </c>
      <c r="AB723">
        <f t="shared" si="167"/>
        <v>67</v>
      </c>
      <c r="AC723">
        <f t="shared" si="168"/>
        <v>0.03</v>
      </c>
      <c r="AD723">
        <f t="shared" si="169"/>
        <v>1</v>
      </c>
      <c r="AE723">
        <f t="shared" si="170"/>
        <v>1</v>
      </c>
      <c r="AF723">
        <f t="shared" si="171"/>
        <v>1</v>
      </c>
      <c r="AG723">
        <f t="shared" si="172"/>
        <v>100</v>
      </c>
    </row>
    <row r="724" spans="1:33" x14ac:dyDescent="0.2">
      <c r="A724" t="s">
        <v>127</v>
      </c>
      <c r="B724" t="s">
        <v>128</v>
      </c>
      <c r="C724">
        <v>723</v>
      </c>
      <c r="D724">
        <v>49250</v>
      </c>
      <c r="E724" t="s">
        <v>1341</v>
      </c>
      <c r="F724" t="s">
        <v>65</v>
      </c>
      <c r="G724" t="s">
        <v>10</v>
      </c>
      <c r="H724" t="s">
        <v>5</v>
      </c>
      <c r="I724" t="s">
        <v>95</v>
      </c>
      <c r="J724">
        <v>49</v>
      </c>
      <c r="K724">
        <v>0.03</v>
      </c>
      <c r="L724">
        <v>1</v>
      </c>
      <c r="M724">
        <v>1</v>
      </c>
      <c r="N724">
        <v>1</v>
      </c>
      <c r="O724">
        <v>100</v>
      </c>
      <c r="P724" t="b">
        <f t="shared" si="163"/>
        <v>0</v>
      </c>
      <c r="S724" t="str">
        <f t="shared" si="159"/>
        <v>LATER</v>
      </c>
      <c r="T724" t="str">
        <f t="shared" si="160"/>
        <v>SainteLague</v>
      </c>
      <c r="U724">
        <f t="shared" si="162"/>
        <v>723</v>
      </c>
      <c r="V724">
        <f t="shared" si="161"/>
        <v>49250</v>
      </c>
      <c r="W724" s="8" t="str">
        <f>VLOOKUP(V724,'ideas-input'!$A:$B,2,FALSE)</f>
        <v>[Procesos] - Reenvío notificaciones envíos en incidencia estacionados</v>
      </c>
      <c r="X724" t="str">
        <f t="shared" si="164"/>
        <v>CMO</v>
      </c>
      <c r="Y724" s="8" t="str">
        <f>VLOOKUP(V724,'ideas-input'!$A:$D,4,FALSE)</f>
        <v>eCommerce</v>
      </c>
      <c r="Z724" t="str">
        <f t="shared" si="165"/>
        <v>Commercial</v>
      </c>
      <c r="AA724" t="str">
        <f t="shared" si="166"/>
        <v>In Definition</v>
      </c>
      <c r="AB724">
        <f t="shared" si="167"/>
        <v>49</v>
      </c>
      <c r="AC724">
        <f t="shared" si="168"/>
        <v>0.03</v>
      </c>
      <c r="AD724">
        <f t="shared" si="169"/>
        <v>1</v>
      </c>
      <c r="AE724">
        <f t="shared" si="170"/>
        <v>1</v>
      </c>
      <c r="AF724">
        <f t="shared" si="171"/>
        <v>1</v>
      </c>
      <c r="AG724">
        <f t="shared" si="172"/>
        <v>100</v>
      </c>
    </row>
    <row r="725" spans="1:33" x14ac:dyDescent="0.2">
      <c r="A725" t="s">
        <v>127</v>
      </c>
      <c r="B725" t="s">
        <v>128</v>
      </c>
      <c r="C725">
        <v>724</v>
      </c>
      <c r="D725">
        <v>127396</v>
      </c>
      <c r="E725" t="s">
        <v>1424</v>
      </c>
      <c r="F725" t="s">
        <v>37</v>
      </c>
      <c r="G725" t="s">
        <v>379</v>
      </c>
      <c r="H725" t="s">
        <v>5</v>
      </c>
      <c r="I725" t="s">
        <v>94</v>
      </c>
      <c r="J725">
        <v>22</v>
      </c>
      <c r="K725">
        <v>0.03</v>
      </c>
      <c r="L725">
        <v>1</v>
      </c>
      <c r="M725">
        <v>1</v>
      </c>
      <c r="N725">
        <v>1</v>
      </c>
      <c r="O725">
        <v>100</v>
      </c>
      <c r="P725" t="b">
        <f t="shared" si="163"/>
        <v>0</v>
      </c>
      <c r="S725" t="str">
        <f t="shared" si="159"/>
        <v>LATER</v>
      </c>
      <c r="T725" t="str">
        <f t="shared" si="160"/>
        <v>SainteLague</v>
      </c>
      <c r="U725">
        <f t="shared" si="162"/>
        <v>724</v>
      </c>
      <c r="V725">
        <f t="shared" si="161"/>
        <v>127396</v>
      </c>
      <c r="W725" s="8" t="str">
        <f>VLOOKUP(V725,'ideas-input'!$A:$B,2,FALSE)</f>
        <v>Evolutivos Nave Janeiro e Fevereiro 2026</v>
      </c>
      <c r="X725" t="str">
        <f t="shared" si="164"/>
        <v>GS</v>
      </c>
      <c r="Y725" s="8" t="str">
        <f>VLOOKUP(V725,'ideas-input'!$A:$D,4,FALSE)</f>
        <v>Mail</v>
      </c>
      <c r="Z725" t="str">
        <f t="shared" si="165"/>
        <v>Commercial</v>
      </c>
      <c r="AA725" t="str">
        <f t="shared" si="166"/>
        <v>In Approval</v>
      </c>
      <c r="AB725">
        <f t="shared" si="167"/>
        <v>22</v>
      </c>
      <c r="AC725">
        <f t="shared" si="168"/>
        <v>0.03</v>
      </c>
      <c r="AD725">
        <f t="shared" si="169"/>
        <v>1</v>
      </c>
      <c r="AE725">
        <f t="shared" si="170"/>
        <v>1</v>
      </c>
      <c r="AF725">
        <f t="shared" si="171"/>
        <v>1</v>
      </c>
      <c r="AG725">
        <f t="shared" si="172"/>
        <v>100</v>
      </c>
    </row>
    <row r="726" spans="1:33" x14ac:dyDescent="0.2">
      <c r="A726" t="s">
        <v>127</v>
      </c>
      <c r="B726" t="s">
        <v>128</v>
      </c>
      <c r="C726">
        <v>725</v>
      </c>
      <c r="D726">
        <v>46844</v>
      </c>
      <c r="E726" t="s">
        <v>1433</v>
      </c>
      <c r="F726" t="s">
        <v>66</v>
      </c>
      <c r="G726" t="s">
        <v>10</v>
      </c>
      <c r="H726" t="s">
        <v>5</v>
      </c>
      <c r="I726" t="s">
        <v>91</v>
      </c>
      <c r="J726">
        <v>43</v>
      </c>
      <c r="K726">
        <v>0.03</v>
      </c>
      <c r="L726">
        <v>1</v>
      </c>
      <c r="M726">
        <v>1</v>
      </c>
      <c r="N726">
        <v>1</v>
      </c>
      <c r="O726">
        <v>100</v>
      </c>
      <c r="P726" t="b">
        <f t="shared" si="163"/>
        <v>0</v>
      </c>
      <c r="S726" t="str">
        <f t="shared" si="159"/>
        <v>LATER</v>
      </c>
      <c r="T726" t="str">
        <f t="shared" si="160"/>
        <v>SainteLague</v>
      </c>
      <c r="U726">
        <f t="shared" si="162"/>
        <v>725</v>
      </c>
      <c r="V726">
        <f t="shared" si="161"/>
        <v>46844</v>
      </c>
      <c r="W726" s="8" t="str">
        <f>VLOOKUP(V726,'ideas-input'!$A:$B,2,FALSE)</f>
        <v>Revisión feedback a Clientes conectados a SGC (legacy)</v>
      </c>
      <c r="X726" t="str">
        <f t="shared" si="164"/>
        <v>CCO</v>
      </c>
      <c r="Y726" s="8" t="str">
        <f>VLOOKUP(V726,'ideas-input'!$A:$D,4,FALSE)</f>
        <v>eCommerce</v>
      </c>
      <c r="Z726" t="str">
        <f t="shared" si="165"/>
        <v>Commercial</v>
      </c>
      <c r="AA726" t="str">
        <f t="shared" si="166"/>
        <v>Backlog</v>
      </c>
      <c r="AB726">
        <f t="shared" si="167"/>
        <v>43</v>
      </c>
      <c r="AC726">
        <f t="shared" si="168"/>
        <v>0.03</v>
      </c>
      <c r="AD726">
        <f t="shared" si="169"/>
        <v>1</v>
      </c>
      <c r="AE726">
        <f t="shared" si="170"/>
        <v>1</v>
      </c>
      <c r="AF726">
        <f t="shared" si="171"/>
        <v>1</v>
      </c>
      <c r="AG726">
        <f t="shared" si="172"/>
        <v>100</v>
      </c>
    </row>
    <row r="727" spans="1:33" x14ac:dyDescent="0.2">
      <c r="A727" t="s">
        <v>127</v>
      </c>
      <c r="B727" t="s">
        <v>128</v>
      </c>
      <c r="C727">
        <v>726</v>
      </c>
      <c r="D727">
        <v>140460</v>
      </c>
      <c r="E727" t="s">
        <v>1351</v>
      </c>
      <c r="F727" t="s">
        <v>9</v>
      </c>
      <c r="G727" t="s">
        <v>379</v>
      </c>
      <c r="H727" t="s">
        <v>8</v>
      </c>
      <c r="I727" t="s">
        <v>91</v>
      </c>
      <c r="J727">
        <v>68</v>
      </c>
      <c r="K727">
        <v>4</v>
      </c>
      <c r="L727">
        <v>2</v>
      </c>
      <c r="M727">
        <v>1</v>
      </c>
      <c r="N727">
        <v>1</v>
      </c>
      <c r="O727">
        <v>1</v>
      </c>
      <c r="P727" t="b">
        <f t="shared" si="163"/>
        <v>0</v>
      </c>
      <c r="S727" t="str">
        <f t="shared" ref="S727:S790" si="173">A727</f>
        <v>LATER</v>
      </c>
      <c r="T727" t="str">
        <f t="shared" ref="T727:T790" si="174">B727</f>
        <v>SainteLague</v>
      </c>
      <c r="U727">
        <f t="shared" si="162"/>
        <v>726</v>
      </c>
      <c r="V727">
        <f t="shared" ref="V727:V790" si="175">D727</f>
        <v>140460</v>
      </c>
      <c r="W727" s="8" t="str">
        <f>VLOOKUP(V727,'ideas-input'!$A:$B,2,FALSE)</f>
        <v>Evolutivos CRM Q2.2026</v>
      </c>
      <c r="X727" t="str">
        <f t="shared" si="164"/>
        <v>SI</v>
      </c>
      <c r="Y727" s="8" t="str">
        <f>VLOOKUP(V727,'ideas-input'!$A:$D,4,FALSE)</f>
        <v>Mail</v>
      </c>
      <c r="Z727" t="str">
        <f t="shared" si="165"/>
        <v>Technology</v>
      </c>
      <c r="AA727" t="str">
        <f t="shared" si="166"/>
        <v>Backlog</v>
      </c>
      <c r="AB727">
        <f t="shared" si="167"/>
        <v>68</v>
      </c>
      <c r="AC727">
        <f t="shared" si="168"/>
        <v>4</v>
      </c>
      <c r="AD727">
        <f t="shared" si="169"/>
        <v>2</v>
      </c>
      <c r="AE727">
        <f t="shared" si="170"/>
        <v>1</v>
      </c>
      <c r="AF727">
        <f t="shared" si="171"/>
        <v>1</v>
      </c>
      <c r="AG727">
        <f t="shared" si="172"/>
        <v>1</v>
      </c>
    </row>
    <row r="728" spans="1:33" x14ac:dyDescent="0.2">
      <c r="A728" t="s">
        <v>127</v>
      </c>
      <c r="B728" t="s">
        <v>128</v>
      </c>
      <c r="C728">
        <v>727</v>
      </c>
      <c r="D728">
        <v>62846</v>
      </c>
      <c r="E728" t="s">
        <v>1360</v>
      </c>
      <c r="F728" t="s">
        <v>69</v>
      </c>
      <c r="G728" t="s">
        <v>10</v>
      </c>
      <c r="H728" t="s">
        <v>12</v>
      </c>
      <c r="I728" t="s">
        <v>91</v>
      </c>
      <c r="J728">
        <v>66</v>
      </c>
      <c r="K728">
        <v>0.03</v>
      </c>
      <c r="L728">
        <v>1</v>
      </c>
      <c r="M728">
        <v>1</v>
      </c>
      <c r="N728">
        <v>1</v>
      </c>
      <c r="O728">
        <v>100</v>
      </c>
      <c r="P728" t="b">
        <f t="shared" si="163"/>
        <v>0</v>
      </c>
      <c r="S728" t="str">
        <f t="shared" si="173"/>
        <v>LATER</v>
      </c>
      <c r="T728" t="str">
        <f t="shared" si="174"/>
        <v>SainteLague</v>
      </c>
      <c r="U728">
        <f t="shared" si="162"/>
        <v>727</v>
      </c>
      <c r="V728">
        <f t="shared" si="175"/>
        <v>62846</v>
      </c>
      <c r="W728" s="8" t="str">
        <f>VLOOKUP(V728,'ideas-input'!$A:$B,2,FALSE)</f>
        <v>Evolución verificación periodos + (pesos y medidas) V2</v>
      </c>
      <c r="X728" t="str">
        <f t="shared" si="164"/>
        <v>CFO</v>
      </c>
      <c r="Y728" s="8" t="str">
        <f>VLOOKUP(V728,'ideas-input'!$A:$D,4,FALSE)</f>
        <v>eCommerce</v>
      </c>
      <c r="Z728" t="str">
        <f t="shared" si="165"/>
        <v>Corporate</v>
      </c>
      <c r="AA728" t="str">
        <f t="shared" si="166"/>
        <v>Backlog</v>
      </c>
      <c r="AB728">
        <f t="shared" si="167"/>
        <v>66</v>
      </c>
      <c r="AC728">
        <f t="shared" si="168"/>
        <v>0.03</v>
      </c>
      <c r="AD728">
        <f t="shared" si="169"/>
        <v>1</v>
      </c>
      <c r="AE728">
        <f t="shared" si="170"/>
        <v>1</v>
      </c>
      <c r="AF728">
        <f t="shared" si="171"/>
        <v>1</v>
      </c>
      <c r="AG728">
        <f t="shared" si="172"/>
        <v>100</v>
      </c>
    </row>
    <row r="729" spans="1:33" x14ac:dyDescent="0.2">
      <c r="A729" t="s">
        <v>127</v>
      </c>
      <c r="B729" t="s">
        <v>128</v>
      </c>
      <c r="C729">
        <v>728</v>
      </c>
      <c r="D729">
        <v>135525</v>
      </c>
      <c r="E729" t="s">
        <v>1426</v>
      </c>
      <c r="F729" t="s">
        <v>21</v>
      </c>
      <c r="G729" t="s">
        <v>379</v>
      </c>
      <c r="H729" t="s">
        <v>5</v>
      </c>
      <c r="I729" t="s">
        <v>94</v>
      </c>
      <c r="J729">
        <v>30</v>
      </c>
      <c r="K729">
        <v>4</v>
      </c>
      <c r="L729">
        <v>3</v>
      </c>
      <c r="M729">
        <v>2</v>
      </c>
      <c r="N729">
        <v>3</v>
      </c>
      <c r="O729">
        <v>2</v>
      </c>
      <c r="P729" t="b">
        <f t="shared" si="163"/>
        <v>0</v>
      </c>
      <c r="S729" t="str">
        <f t="shared" si="173"/>
        <v>LATER</v>
      </c>
      <c r="T729" t="str">
        <f t="shared" si="174"/>
        <v>SainteLague</v>
      </c>
      <c r="U729">
        <f t="shared" si="162"/>
        <v>728</v>
      </c>
      <c r="V729">
        <f t="shared" si="175"/>
        <v>135525</v>
      </c>
      <c r="W729" s="8" t="str">
        <f>VLOOKUP(V729,'ideas-input'!$A:$B,2,FALSE)</f>
        <v>Business Solutions - Evolutivos 1B 2026 (janeiro e fevereiro)</v>
      </c>
      <c r="X729" t="str">
        <f t="shared" si="164"/>
        <v>GP B2B</v>
      </c>
      <c r="Y729" s="8" t="str">
        <f>VLOOKUP(V729,'ideas-input'!$A:$D,4,FALSE)</f>
        <v>Business Solutions</v>
      </c>
      <c r="Z729" t="str">
        <f t="shared" si="165"/>
        <v>Commercial</v>
      </c>
      <c r="AA729" t="str">
        <f t="shared" si="166"/>
        <v>In Approval</v>
      </c>
      <c r="AB729">
        <f t="shared" si="167"/>
        <v>30</v>
      </c>
      <c r="AC729">
        <f t="shared" si="168"/>
        <v>4</v>
      </c>
      <c r="AD729">
        <f t="shared" si="169"/>
        <v>3</v>
      </c>
      <c r="AE729">
        <f t="shared" si="170"/>
        <v>2</v>
      </c>
      <c r="AF729">
        <f t="shared" si="171"/>
        <v>3</v>
      </c>
      <c r="AG729">
        <f t="shared" si="172"/>
        <v>2</v>
      </c>
    </row>
    <row r="730" spans="1:33" x14ac:dyDescent="0.2">
      <c r="A730" t="s">
        <v>127</v>
      </c>
      <c r="B730" t="s">
        <v>128</v>
      </c>
      <c r="C730">
        <v>729</v>
      </c>
      <c r="D730">
        <v>46343</v>
      </c>
      <c r="E730" t="s">
        <v>1423</v>
      </c>
      <c r="F730" t="s">
        <v>68</v>
      </c>
      <c r="G730" t="s">
        <v>10</v>
      </c>
      <c r="H730" t="s">
        <v>5</v>
      </c>
      <c r="I730" t="s">
        <v>91</v>
      </c>
      <c r="J730">
        <v>40</v>
      </c>
      <c r="K730">
        <v>0.03</v>
      </c>
      <c r="L730">
        <v>1</v>
      </c>
      <c r="M730">
        <v>1</v>
      </c>
      <c r="N730">
        <v>1</v>
      </c>
      <c r="O730">
        <v>100</v>
      </c>
      <c r="P730" t="b">
        <f t="shared" si="163"/>
        <v>0</v>
      </c>
      <c r="S730" t="str">
        <f t="shared" si="173"/>
        <v>LATER</v>
      </c>
      <c r="T730" t="str">
        <f t="shared" si="174"/>
        <v>SainteLague</v>
      </c>
      <c r="U730">
        <f t="shared" ref="U730:U793" si="176">C730</f>
        <v>729</v>
      </c>
      <c r="V730">
        <f t="shared" si="175"/>
        <v>46343</v>
      </c>
      <c r="W730" s="8" t="str">
        <f>VLOOKUP(V730,'ideas-input'!$A:$B,2,FALSE)</f>
        <v>[Salesforce Integración Clientes] - Automatizar el cierre de una implementación exitosa</v>
      </c>
      <c r="X730" t="str">
        <f t="shared" si="164"/>
        <v>IDC</v>
      </c>
      <c r="Y730" s="8" t="str">
        <f>VLOOKUP(V730,'ideas-input'!$A:$D,4,FALSE)</f>
        <v>eCommerce</v>
      </c>
      <c r="Z730" t="str">
        <f t="shared" si="165"/>
        <v>Commercial</v>
      </c>
      <c r="AA730" t="str">
        <f t="shared" si="166"/>
        <v>Backlog</v>
      </c>
      <c r="AB730">
        <f t="shared" si="167"/>
        <v>40</v>
      </c>
      <c r="AC730">
        <f t="shared" si="168"/>
        <v>0.03</v>
      </c>
      <c r="AD730">
        <f t="shared" si="169"/>
        <v>1</v>
      </c>
      <c r="AE730">
        <f t="shared" si="170"/>
        <v>1</v>
      </c>
      <c r="AF730">
        <f t="shared" si="171"/>
        <v>1</v>
      </c>
      <c r="AG730">
        <f t="shared" si="172"/>
        <v>100</v>
      </c>
    </row>
    <row r="731" spans="1:33" x14ac:dyDescent="0.2">
      <c r="A731" t="s">
        <v>127</v>
      </c>
      <c r="B731" t="s">
        <v>128</v>
      </c>
      <c r="C731">
        <v>730</v>
      </c>
      <c r="D731">
        <v>180673</v>
      </c>
      <c r="E731" t="s">
        <v>1353</v>
      </c>
      <c r="F731" t="s">
        <v>9</v>
      </c>
      <c r="G731" t="s">
        <v>379</v>
      </c>
      <c r="H731" t="s">
        <v>8</v>
      </c>
      <c r="I731" t="s">
        <v>91</v>
      </c>
      <c r="J731">
        <v>69</v>
      </c>
      <c r="K731">
        <v>0.03</v>
      </c>
      <c r="L731">
        <v>1</v>
      </c>
      <c r="M731">
        <v>1</v>
      </c>
      <c r="N731">
        <v>1</v>
      </c>
      <c r="O731">
        <v>100</v>
      </c>
      <c r="P731" t="b">
        <f t="shared" si="163"/>
        <v>0</v>
      </c>
      <c r="S731" t="str">
        <f t="shared" si="173"/>
        <v>LATER</v>
      </c>
      <c r="T731" t="str">
        <f t="shared" si="174"/>
        <v>SainteLague</v>
      </c>
      <c r="U731">
        <f t="shared" si="176"/>
        <v>730</v>
      </c>
      <c r="V731">
        <f t="shared" si="175"/>
        <v>180673</v>
      </c>
      <c r="W731" s="8" t="str">
        <f>VLOOKUP(V731,'ideas-input'!$A:$B,2,FALSE)</f>
        <v>IOP | Segregação da Rede Privada</v>
      </c>
      <c r="X731" t="str">
        <f t="shared" si="164"/>
        <v>SI</v>
      </c>
      <c r="Y731" s="8" t="str">
        <f>VLOOKUP(V731,'ideas-input'!$A:$D,4,FALSE)</f>
        <v>Mail</v>
      </c>
      <c r="Z731" t="str">
        <f t="shared" si="165"/>
        <v>Technology</v>
      </c>
      <c r="AA731" t="str">
        <f t="shared" si="166"/>
        <v>Backlog</v>
      </c>
      <c r="AB731">
        <f t="shared" si="167"/>
        <v>69</v>
      </c>
      <c r="AC731">
        <f t="shared" si="168"/>
        <v>0.03</v>
      </c>
      <c r="AD731">
        <f t="shared" si="169"/>
        <v>1</v>
      </c>
      <c r="AE731">
        <f t="shared" si="170"/>
        <v>1</v>
      </c>
      <c r="AF731">
        <f t="shared" si="171"/>
        <v>1</v>
      </c>
      <c r="AG731">
        <f t="shared" si="172"/>
        <v>100</v>
      </c>
    </row>
    <row r="732" spans="1:33" x14ac:dyDescent="0.2">
      <c r="A732" t="s">
        <v>127</v>
      </c>
      <c r="B732" t="s">
        <v>128</v>
      </c>
      <c r="C732">
        <v>731</v>
      </c>
      <c r="D732">
        <v>66282</v>
      </c>
      <c r="E732" t="s">
        <v>331</v>
      </c>
      <c r="F732" t="s">
        <v>69</v>
      </c>
      <c r="G732" t="s">
        <v>10</v>
      </c>
      <c r="H732" t="s">
        <v>12</v>
      </c>
      <c r="I732" t="s">
        <v>91</v>
      </c>
      <c r="J732">
        <v>67</v>
      </c>
      <c r="K732">
        <v>0.03</v>
      </c>
      <c r="L732">
        <v>1</v>
      </c>
      <c r="M732">
        <v>1</v>
      </c>
      <c r="N732">
        <v>1</v>
      </c>
      <c r="O732">
        <v>100</v>
      </c>
      <c r="P732" t="b">
        <f t="shared" si="163"/>
        <v>0</v>
      </c>
      <c r="S732" t="str">
        <f t="shared" si="173"/>
        <v>LATER</v>
      </c>
      <c r="T732" t="str">
        <f t="shared" si="174"/>
        <v>SainteLague</v>
      </c>
      <c r="U732">
        <f t="shared" si="176"/>
        <v>731</v>
      </c>
      <c r="V732">
        <f t="shared" si="175"/>
        <v>66282</v>
      </c>
      <c r="W732" s="8" t="str">
        <f>VLOOKUP(V732,'ideas-input'!$A:$B,2,FALSE)</f>
        <v>Plantilla modificacion de clientes sap hanna</v>
      </c>
      <c r="X732" t="str">
        <f t="shared" si="164"/>
        <v>CFO</v>
      </c>
      <c r="Y732" s="8" t="str">
        <f>VLOOKUP(V732,'ideas-input'!$A:$D,4,FALSE)</f>
        <v>eCommerce</v>
      </c>
      <c r="Z732" t="str">
        <f t="shared" si="165"/>
        <v>Corporate</v>
      </c>
      <c r="AA732" t="str">
        <f t="shared" si="166"/>
        <v>Backlog</v>
      </c>
      <c r="AB732">
        <f t="shared" si="167"/>
        <v>67</v>
      </c>
      <c r="AC732">
        <f t="shared" si="168"/>
        <v>0.03</v>
      </c>
      <c r="AD732">
        <f t="shared" si="169"/>
        <v>1</v>
      </c>
      <c r="AE732">
        <f t="shared" si="170"/>
        <v>1</v>
      </c>
      <c r="AF732">
        <f t="shared" si="171"/>
        <v>1</v>
      </c>
      <c r="AG732">
        <f t="shared" si="172"/>
        <v>100</v>
      </c>
    </row>
    <row r="733" spans="1:33" x14ac:dyDescent="0.2">
      <c r="A733" t="s">
        <v>127</v>
      </c>
      <c r="B733" t="s">
        <v>128</v>
      </c>
      <c r="C733">
        <v>732</v>
      </c>
      <c r="D733">
        <v>140468</v>
      </c>
      <c r="E733" t="s">
        <v>1427</v>
      </c>
      <c r="F733" t="s">
        <v>23</v>
      </c>
      <c r="G733" t="s">
        <v>379</v>
      </c>
      <c r="H733" t="s">
        <v>5</v>
      </c>
      <c r="I733" t="s">
        <v>91</v>
      </c>
      <c r="J733">
        <v>30</v>
      </c>
      <c r="K733">
        <v>0.03</v>
      </c>
      <c r="L733">
        <v>1</v>
      </c>
      <c r="M733">
        <v>1</v>
      </c>
      <c r="N733">
        <v>1</v>
      </c>
      <c r="O733">
        <v>100</v>
      </c>
      <c r="P733" t="b">
        <f t="shared" si="163"/>
        <v>0</v>
      </c>
      <c r="S733" t="str">
        <f t="shared" si="173"/>
        <v>LATER</v>
      </c>
      <c r="T733" t="str">
        <f t="shared" si="174"/>
        <v>SainteLague</v>
      </c>
      <c r="U733">
        <f t="shared" si="176"/>
        <v>732</v>
      </c>
      <c r="V733">
        <f t="shared" si="175"/>
        <v>140468</v>
      </c>
      <c r="W733" s="8" t="str">
        <f>VLOOKUP(V733,'ideas-input'!$A:$B,2,FALSE)</f>
        <v>GPECL/DIS - CTT Now melhorias aplicação</v>
      </c>
      <c r="X733" t="str">
        <f t="shared" si="164"/>
        <v>GP ECL</v>
      </c>
      <c r="Y733" s="8" t="str">
        <f>VLOOKUP(V733,'ideas-input'!$A:$D,4,FALSE)</f>
        <v>eCommerce</v>
      </c>
      <c r="Z733" t="str">
        <f t="shared" si="165"/>
        <v>Commercial</v>
      </c>
      <c r="AA733" t="str">
        <f t="shared" si="166"/>
        <v>Backlog</v>
      </c>
      <c r="AB733">
        <f t="shared" si="167"/>
        <v>30</v>
      </c>
      <c r="AC733">
        <f t="shared" si="168"/>
        <v>0.03</v>
      </c>
      <c r="AD733">
        <f t="shared" si="169"/>
        <v>1</v>
      </c>
      <c r="AE733">
        <f t="shared" si="170"/>
        <v>1</v>
      </c>
      <c r="AF733">
        <f t="shared" si="171"/>
        <v>1</v>
      </c>
      <c r="AG733">
        <f t="shared" si="172"/>
        <v>100</v>
      </c>
    </row>
    <row r="734" spans="1:33" x14ac:dyDescent="0.2">
      <c r="A734" t="s">
        <v>127</v>
      </c>
      <c r="B734" t="s">
        <v>128</v>
      </c>
      <c r="C734">
        <v>733</v>
      </c>
      <c r="D734">
        <v>45758</v>
      </c>
      <c r="E734" t="s">
        <v>1350</v>
      </c>
      <c r="F734" t="s">
        <v>65</v>
      </c>
      <c r="G734" t="s">
        <v>10</v>
      </c>
      <c r="H734" t="s">
        <v>5</v>
      </c>
      <c r="I734" t="s">
        <v>91</v>
      </c>
      <c r="J734">
        <v>50</v>
      </c>
      <c r="K734">
        <v>0.03</v>
      </c>
      <c r="L734">
        <v>1</v>
      </c>
      <c r="M734">
        <v>1</v>
      </c>
      <c r="N734">
        <v>1</v>
      </c>
      <c r="O734">
        <v>100</v>
      </c>
      <c r="P734" t="b">
        <f t="shared" si="163"/>
        <v>0</v>
      </c>
      <c r="S734" t="str">
        <f t="shared" si="173"/>
        <v>LATER</v>
      </c>
      <c r="T734" t="str">
        <f t="shared" si="174"/>
        <v>SainteLague</v>
      </c>
      <c r="U734">
        <f t="shared" si="176"/>
        <v>733</v>
      </c>
      <c r="V734">
        <f t="shared" si="175"/>
        <v>45758</v>
      </c>
      <c r="W734" s="8" t="str">
        <f>VLOOKUP(V734,'ideas-input'!$A:$B,2,FALSE)</f>
        <v>[Qlik] - CANDIDATES MANAGEMENT (Crear un modelo para medir las campañas de MK)</v>
      </c>
      <c r="X734" t="str">
        <f t="shared" si="164"/>
        <v>CMO</v>
      </c>
      <c r="Y734" s="8" t="str">
        <f>VLOOKUP(V734,'ideas-input'!$A:$D,4,FALSE)</f>
        <v>eCommerce</v>
      </c>
      <c r="Z734" t="str">
        <f t="shared" si="165"/>
        <v>Commercial</v>
      </c>
      <c r="AA734" t="str">
        <f t="shared" si="166"/>
        <v>Backlog</v>
      </c>
      <c r="AB734">
        <f t="shared" si="167"/>
        <v>50</v>
      </c>
      <c r="AC734">
        <f t="shared" si="168"/>
        <v>0.03</v>
      </c>
      <c r="AD734">
        <f t="shared" si="169"/>
        <v>1</v>
      </c>
      <c r="AE734">
        <f t="shared" si="170"/>
        <v>1</v>
      </c>
      <c r="AF734">
        <f t="shared" si="171"/>
        <v>1</v>
      </c>
      <c r="AG734">
        <f t="shared" si="172"/>
        <v>100</v>
      </c>
    </row>
    <row r="735" spans="1:33" x14ac:dyDescent="0.2">
      <c r="A735" t="s">
        <v>127</v>
      </c>
      <c r="B735" t="s">
        <v>128</v>
      </c>
      <c r="C735">
        <v>734</v>
      </c>
      <c r="D735">
        <v>139747</v>
      </c>
      <c r="E735" t="s">
        <v>1355</v>
      </c>
      <c r="F735" t="s">
        <v>24</v>
      </c>
      <c r="G735" t="s">
        <v>379</v>
      </c>
      <c r="H735" t="s">
        <v>8</v>
      </c>
      <c r="I735" t="s">
        <v>91</v>
      </c>
      <c r="J735">
        <v>16</v>
      </c>
      <c r="K735">
        <v>3</v>
      </c>
      <c r="L735">
        <v>3</v>
      </c>
      <c r="M735">
        <v>1</v>
      </c>
      <c r="N735">
        <v>2</v>
      </c>
      <c r="O735">
        <v>2</v>
      </c>
      <c r="P735" t="b">
        <f t="shared" si="163"/>
        <v>0</v>
      </c>
      <c r="S735" t="str">
        <f t="shared" si="173"/>
        <v>LATER</v>
      </c>
      <c r="T735" t="str">
        <f t="shared" si="174"/>
        <v>SainteLague</v>
      </c>
      <c r="U735">
        <f t="shared" si="176"/>
        <v>734</v>
      </c>
      <c r="V735">
        <f t="shared" si="175"/>
        <v>139747</v>
      </c>
      <c r="W735" s="8" t="str">
        <f>VLOOKUP(V735,'ideas-input'!$A:$B,2,FALSE)</f>
        <v>Integração da API do AEDoc no Projeto – Nova Arquitetura de Aceitação</v>
      </c>
      <c r="X735" t="str">
        <f t="shared" si="164"/>
        <v>GPG</v>
      </c>
      <c r="Y735" s="8" t="str">
        <f>VLOOKUP(V735,'ideas-input'!$A:$D,4,FALSE)</f>
        <v>Payments</v>
      </c>
      <c r="Z735" t="str">
        <f t="shared" si="165"/>
        <v>Technology</v>
      </c>
      <c r="AA735" t="str">
        <f t="shared" si="166"/>
        <v>Backlog</v>
      </c>
      <c r="AB735">
        <f t="shared" si="167"/>
        <v>16</v>
      </c>
      <c r="AC735">
        <f t="shared" si="168"/>
        <v>3</v>
      </c>
      <c r="AD735">
        <f t="shared" si="169"/>
        <v>3</v>
      </c>
      <c r="AE735">
        <f t="shared" si="170"/>
        <v>1</v>
      </c>
      <c r="AF735">
        <f t="shared" si="171"/>
        <v>2</v>
      </c>
      <c r="AG735">
        <f t="shared" si="172"/>
        <v>2</v>
      </c>
    </row>
    <row r="736" spans="1:33" x14ac:dyDescent="0.2">
      <c r="A736" t="s">
        <v>127</v>
      </c>
      <c r="B736" t="s">
        <v>128</v>
      </c>
      <c r="C736">
        <v>735</v>
      </c>
      <c r="D736">
        <v>63696</v>
      </c>
      <c r="E736" t="s">
        <v>333</v>
      </c>
      <c r="F736" t="s">
        <v>69</v>
      </c>
      <c r="G736" t="s">
        <v>10</v>
      </c>
      <c r="H736" t="s">
        <v>12</v>
      </c>
      <c r="I736" t="s">
        <v>95</v>
      </c>
      <c r="J736">
        <v>68</v>
      </c>
      <c r="K736">
        <v>0.03</v>
      </c>
      <c r="L736">
        <v>1</v>
      </c>
      <c r="M736">
        <v>1</v>
      </c>
      <c r="N736">
        <v>1</v>
      </c>
      <c r="O736">
        <v>100</v>
      </c>
      <c r="P736" t="b">
        <f t="shared" si="163"/>
        <v>0</v>
      </c>
      <c r="S736" t="str">
        <f t="shared" si="173"/>
        <v>LATER</v>
      </c>
      <c r="T736" t="str">
        <f t="shared" si="174"/>
        <v>SainteLague</v>
      </c>
      <c r="U736">
        <f t="shared" si="176"/>
        <v>735</v>
      </c>
      <c r="V736">
        <f t="shared" si="175"/>
        <v>63696</v>
      </c>
      <c r="W736" s="8" t="str">
        <f>VLOOKUP(V736,'ideas-input'!$A:$B,2,FALSE)</f>
        <v>Query direcciones de recogida portal del proveedor</v>
      </c>
      <c r="X736" t="str">
        <f t="shared" si="164"/>
        <v>CFO</v>
      </c>
      <c r="Y736" s="8" t="str">
        <f>VLOOKUP(V736,'ideas-input'!$A:$D,4,FALSE)</f>
        <v>eCommerce</v>
      </c>
      <c r="Z736" t="str">
        <f t="shared" si="165"/>
        <v>Corporate</v>
      </c>
      <c r="AA736" t="str">
        <f t="shared" si="166"/>
        <v>In Definition</v>
      </c>
      <c r="AB736">
        <f t="shared" si="167"/>
        <v>68</v>
      </c>
      <c r="AC736">
        <f t="shared" si="168"/>
        <v>0.03</v>
      </c>
      <c r="AD736">
        <f t="shared" si="169"/>
        <v>1</v>
      </c>
      <c r="AE736">
        <f t="shared" si="170"/>
        <v>1</v>
      </c>
      <c r="AF736">
        <f t="shared" si="171"/>
        <v>1</v>
      </c>
      <c r="AG736">
        <f t="shared" si="172"/>
        <v>100</v>
      </c>
    </row>
    <row r="737" spans="1:33" x14ac:dyDescent="0.2">
      <c r="A737" t="s">
        <v>127</v>
      </c>
      <c r="B737" t="s">
        <v>128</v>
      </c>
      <c r="C737">
        <v>736</v>
      </c>
      <c r="D737">
        <v>46750</v>
      </c>
      <c r="E737" t="s">
        <v>1429</v>
      </c>
      <c r="F737" t="s">
        <v>38</v>
      </c>
      <c r="G737" t="s">
        <v>379</v>
      </c>
      <c r="H737" t="s">
        <v>5</v>
      </c>
      <c r="I737" t="s">
        <v>91</v>
      </c>
      <c r="J737">
        <v>20</v>
      </c>
      <c r="K737">
        <v>0.03</v>
      </c>
      <c r="L737">
        <v>1</v>
      </c>
      <c r="M737">
        <v>1</v>
      </c>
      <c r="N737">
        <v>1</v>
      </c>
      <c r="O737">
        <v>100</v>
      </c>
      <c r="P737" t="b">
        <f t="shared" si="163"/>
        <v>0</v>
      </c>
      <c r="S737" t="str">
        <f t="shared" si="173"/>
        <v>LATER</v>
      </c>
      <c r="T737" t="str">
        <f t="shared" si="174"/>
        <v>SainteLague</v>
      </c>
      <c r="U737">
        <f t="shared" si="176"/>
        <v>736</v>
      </c>
      <c r="V737">
        <f t="shared" si="175"/>
        <v>46750</v>
      </c>
      <c r="W737" s="8" t="str">
        <f>VLOOKUP(V737,'ideas-input'!$A:$B,2,FALSE)</f>
        <v>Atualização Catálogo Produtos e Otimização de Guias de Remessa (Operações de Filatelia)</v>
      </c>
      <c r="X737" t="str">
        <f t="shared" si="164"/>
        <v>CSI</v>
      </c>
      <c r="Y737" s="8" t="str">
        <f>VLOOKUP(V737,'ideas-input'!$A:$D,4,FALSE)</f>
        <v>Mail</v>
      </c>
      <c r="Z737" t="str">
        <f t="shared" si="165"/>
        <v>Commercial</v>
      </c>
      <c r="AA737" t="str">
        <f t="shared" si="166"/>
        <v>Backlog</v>
      </c>
      <c r="AB737">
        <f t="shared" si="167"/>
        <v>20</v>
      </c>
      <c r="AC737">
        <f t="shared" si="168"/>
        <v>0.03</v>
      </c>
      <c r="AD737">
        <f t="shared" si="169"/>
        <v>1</v>
      </c>
      <c r="AE737">
        <f t="shared" si="170"/>
        <v>1</v>
      </c>
      <c r="AF737">
        <f t="shared" si="171"/>
        <v>1</v>
      </c>
      <c r="AG737">
        <f t="shared" si="172"/>
        <v>100</v>
      </c>
    </row>
    <row r="738" spans="1:33" x14ac:dyDescent="0.2">
      <c r="A738" t="s">
        <v>127</v>
      </c>
      <c r="B738" t="s">
        <v>128</v>
      </c>
      <c r="C738">
        <v>737</v>
      </c>
      <c r="D738">
        <v>46543</v>
      </c>
      <c r="E738" t="s">
        <v>1438</v>
      </c>
      <c r="F738" t="s">
        <v>66</v>
      </c>
      <c r="G738" t="s">
        <v>10</v>
      </c>
      <c r="H738" t="s">
        <v>5</v>
      </c>
      <c r="I738" t="s">
        <v>91</v>
      </c>
      <c r="J738">
        <v>44</v>
      </c>
      <c r="K738">
        <v>0.03</v>
      </c>
      <c r="L738">
        <v>1</v>
      </c>
      <c r="M738">
        <v>1</v>
      </c>
      <c r="N738">
        <v>1</v>
      </c>
      <c r="O738">
        <v>100</v>
      </c>
      <c r="P738" t="b">
        <f t="shared" si="163"/>
        <v>0</v>
      </c>
      <c r="S738" t="str">
        <f t="shared" si="173"/>
        <v>LATER</v>
      </c>
      <c r="T738" t="str">
        <f t="shared" si="174"/>
        <v>SainteLague</v>
      </c>
      <c r="U738">
        <f t="shared" si="176"/>
        <v>737</v>
      </c>
      <c r="V738">
        <f t="shared" si="175"/>
        <v>46543</v>
      </c>
      <c r="W738" s="8" t="str">
        <f>VLOOKUP(V738,'ideas-input'!$A:$B,2,FALSE)</f>
        <v>[Auditoria PT] [Salesforce Sales] - (Des)Activación de clientes centros y usuarios por cese o impagos</v>
      </c>
      <c r="X738" t="str">
        <f t="shared" si="164"/>
        <v>CCO</v>
      </c>
      <c r="Y738" s="8" t="str">
        <f>VLOOKUP(V738,'ideas-input'!$A:$D,4,FALSE)</f>
        <v>eCommerce</v>
      </c>
      <c r="Z738" t="str">
        <f t="shared" si="165"/>
        <v>Commercial</v>
      </c>
      <c r="AA738" t="str">
        <f t="shared" si="166"/>
        <v>Backlog</v>
      </c>
      <c r="AB738">
        <f t="shared" si="167"/>
        <v>44</v>
      </c>
      <c r="AC738">
        <f t="shared" si="168"/>
        <v>0.03</v>
      </c>
      <c r="AD738">
        <f t="shared" si="169"/>
        <v>1</v>
      </c>
      <c r="AE738">
        <f t="shared" si="170"/>
        <v>1</v>
      </c>
      <c r="AF738">
        <f t="shared" si="171"/>
        <v>1</v>
      </c>
      <c r="AG738">
        <f t="shared" si="172"/>
        <v>100</v>
      </c>
    </row>
    <row r="739" spans="1:33" x14ac:dyDescent="0.2">
      <c r="A739" t="s">
        <v>127</v>
      </c>
      <c r="B739" t="s">
        <v>128</v>
      </c>
      <c r="C739">
        <v>738</v>
      </c>
      <c r="D739">
        <v>140064</v>
      </c>
      <c r="E739" t="s">
        <v>1431</v>
      </c>
      <c r="F739" t="s">
        <v>37</v>
      </c>
      <c r="G739" t="s">
        <v>379</v>
      </c>
      <c r="H739" t="s">
        <v>5</v>
      </c>
      <c r="I739" t="s">
        <v>91</v>
      </c>
      <c r="J739">
        <v>23</v>
      </c>
      <c r="K739">
        <v>6</v>
      </c>
      <c r="L739">
        <v>2</v>
      </c>
      <c r="M739">
        <v>2</v>
      </c>
      <c r="N739">
        <v>2</v>
      </c>
      <c r="O739">
        <v>1</v>
      </c>
      <c r="P739" t="b">
        <f t="shared" si="163"/>
        <v>0</v>
      </c>
      <c r="S739" t="str">
        <f t="shared" si="173"/>
        <v>LATER</v>
      </c>
      <c r="T739" t="str">
        <f t="shared" si="174"/>
        <v>SainteLague</v>
      </c>
      <c r="U739">
        <f t="shared" si="176"/>
        <v>738</v>
      </c>
      <c r="V739">
        <f t="shared" si="175"/>
        <v>140064</v>
      </c>
      <c r="W739" s="8" t="str">
        <f>VLOOKUP(V739,'ideas-input'!$A:$B,2,FALSE)</f>
        <v>Evolutivos Nave - Março e Abril</v>
      </c>
      <c r="X739" t="str">
        <f t="shared" si="164"/>
        <v>GS</v>
      </c>
      <c r="Y739" s="8" t="str">
        <f>VLOOKUP(V739,'ideas-input'!$A:$D,4,FALSE)</f>
        <v>Mail</v>
      </c>
      <c r="Z739" t="str">
        <f t="shared" si="165"/>
        <v>Commercial</v>
      </c>
      <c r="AA739" t="str">
        <f t="shared" si="166"/>
        <v>Backlog</v>
      </c>
      <c r="AB739">
        <f t="shared" si="167"/>
        <v>23</v>
      </c>
      <c r="AC739">
        <f t="shared" si="168"/>
        <v>6</v>
      </c>
      <c r="AD739">
        <f t="shared" si="169"/>
        <v>2</v>
      </c>
      <c r="AE739">
        <f t="shared" si="170"/>
        <v>2</v>
      </c>
      <c r="AF739">
        <f t="shared" si="171"/>
        <v>2</v>
      </c>
      <c r="AG739">
        <f t="shared" si="172"/>
        <v>1</v>
      </c>
    </row>
    <row r="740" spans="1:33" x14ac:dyDescent="0.2">
      <c r="A740" t="s">
        <v>127</v>
      </c>
      <c r="B740" t="s">
        <v>128</v>
      </c>
      <c r="C740">
        <v>739</v>
      </c>
      <c r="D740">
        <v>56625</v>
      </c>
      <c r="E740" t="s">
        <v>335</v>
      </c>
      <c r="F740" t="s">
        <v>69</v>
      </c>
      <c r="G740" t="s">
        <v>10</v>
      </c>
      <c r="H740" t="s">
        <v>12</v>
      </c>
      <c r="I740" t="s">
        <v>97</v>
      </c>
      <c r="J740">
        <v>69</v>
      </c>
      <c r="K740">
        <v>0.03</v>
      </c>
      <c r="L740">
        <v>1</v>
      </c>
      <c r="M740">
        <v>1</v>
      </c>
      <c r="N740">
        <v>1</v>
      </c>
      <c r="O740">
        <v>100</v>
      </c>
      <c r="P740" t="b">
        <f t="shared" si="163"/>
        <v>0</v>
      </c>
      <c r="S740" t="str">
        <f t="shared" si="173"/>
        <v>LATER</v>
      </c>
      <c r="T740" t="str">
        <f t="shared" si="174"/>
        <v>SainteLague</v>
      </c>
      <c r="U740">
        <f t="shared" si="176"/>
        <v>739</v>
      </c>
      <c r="V740">
        <f t="shared" si="175"/>
        <v>56625</v>
      </c>
      <c r="W740" s="8" t="str">
        <f>VLOOKUP(V740,'ideas-input'!$A:$B,2,FALSE)</f>
        <v>Informes Personalizados Finanzas en SharePoint</v>
      </c>
      <c r="X740" t="str">
        <f t="shared" si="164"/>
        <v>CFO</v>
      </c>
      <c r="Y740" s="8" t="str">
        <f>VLOOKUP(V740,'ideas-input'!$A:$D,4,FALSE)</f>
        <v>eCommerce</v>
      </c>
      <c r="Z740" t="str">
        <f t="shared" si="165"/>
        <v>Corporate</v>
      </c>
      <c r="AA740" t="str">
        <f t="shared" si="166"/>
        <v>Ready for Solution</v>
      </c>
      <c r="AB740">
        <f t="shared" si="167"/>
        <v>69</v>
      </c>
      <c r="AC740">
        <f t="shared" si="168"/>
        <v>0.03</v>
      </c>
      <c r="AD740">
        <f t="shared" si="169"/>
        <v>1</v>
      </c>
      <c r="AE740">
        <f t="shared" si="170"/>
        <v>1</v>
      </c>
      <c r="AF740">
        <f t="shared" si="171"/>
        <v>1</v>
      </c>
      <c r="AG740">
        <f t="shared" si="172"/>
        <v>100</v>
      </c>
    </row>
    <row r="741" spans="1:33" x14ac:dyDescent="0.2">
      <c r="A741" t="s">
        <v>127</v>
      </c>
      <c r="B741" t="s">
        <v>128</v>
      </c>
      <c r="C741">
        <v>740</v>
      </c>
      <c r="D741">
        <v>177129</v>
      </c>
      <c r="E741" t="s">
        <v>1359</v>
      </c>
      <c r="F741" t="s">
        <v>9</v>
      </c>
      <c r="G741" t="s">
        <v>379</v>
      </c>
      <c r="H741" t="s">
        <v>8</v>
      </c>
      <c r="I741" t="s">
        <v>91</v>
      </c>
      <c r="J741">
        <v>70</v>
      </c>
      <c r="K741">
        <v>0.03</v>
      </c>
      <c r="L741">
        <v>1</v>
      </c>
      <c r="M741">
        <v>1</v>
      </c>
      <c r="N741">
        <v>1</v>
      </c>
      <c r="O741">
        <v>100</v>
      </c>
      <c r="P741" t="b">
        <f t="shared" si="163"/>
        <v>0</v>
      </c>
      <c r="S741" t="str">
        <f t="shared" si="173"/>
        <v>LATER</v>
      </c>
      <c r="T741" t="str">
        <f t="shared" si="174"/>
        <v>SainteLague</v>
      </c>
      <c r="U741">
        <f t="shared" si="176"/>
        <v>740</v>
      </c>
      <c r="V741">
        <f t="shared" si="175"/>
        <v>177129</v>
      </c>
      <c r="W741" s="8" t="str">
        <f>VLOOKUP(V741,'ideas-input'!$A:$B,2,FALSE)</f>
        <v>IOP | Obsolescência WAVE 2 - Matar/Upgrade Oracle DB, IBM DB2 para ultimas versões suportadas (mínimo n-1)</v>
      </c>
      <c r="X741" t="str">
        <f t="shared" si="164"/>
        <v>SI</v>
      </c>
      <c r="Y741" s="8" t="str">
        <f>VLOOKUP(V741,'ideas-input'!$A:$D,4,FALSE)</f>
        <v>Mail</v>
      </c>
      <c r="Z741" t="str">
        <f t="shared" si="165"/>
        <v>Technology</v>
      </c>
      <c r="AA741" t="str">
        <f t="shared" si="166"/>
        <v>Backlog</v>
      </c>
      <c r="AB741">
        <f t="shared" si="167"/>
        <v>70</v>
      </c>
      <c r="AC741">
        <f t="shared" si="168"/>
        <v>0.03</v>
      </c>
      <c r="AD741">
        <f t="shared" si="169"/>
        <v>1</v>
      </c>
      <c r="AE741">
        <f t="shared" si="170"/>
        <v>1</v>
      </c>
      <c r="AF741">
        <f t="shared" si="171"/>
        <v>1</v>
      </c>
      <c r="AG741">
        <f t="shared" si="172"/>
        <v>100</v>
      </c>
    </row>
    <row r="742" spans="1:33" x14ac:dyDescent="0.2">
      <c r="A742" t="s">
        <v>127</v>
      </c>
      <c r="B742" t="s">
        <v>128</v>
      </c>
      <c r="C742">
        <v>741</v>
      </c>
      <c r="D742">
        <v>46344</v>
      </c>
      <c r="E742" t="s">
        <v>1430</v>
      </c>
      <c r="F742" t="s">
        <v>68</v>
      </c>
      <c r="G742" t="s">
        <v>10</v>
      </c>
      <c r="H742" t="s">
        <v>5</v>
      </c>
      <c r="I742" t="s">
        <v>97</v>
      </c>
      <c r="J742">
        <v>41</v>
      </c>
      <c r="K742">
        <v>0.03</v>
      </c>
      <c r="L742">
        <v>1</v>
      </c>
      <c r="M742">
        <v>1</v>
      </c>
      <c r="N742">
        <v>1</v>
      </c>
      <c r="O742">
        <v>100</v>
      </c>
      <c r="P742" t="b">
        <f t="shared" si="163"/>
        <v>0</v>
      </c>
      <c r="S742" t="str">
        <f t="shared" si="173"/>
        <v>LATER</v>
      </c>
      <c r="T742" t="str">
        <f t="shared" si="174"/>
        <v>SainteLague</v>
      </c>
      <c r="U742">
        <f t="shared" si="176"/>
        <v>741</v>
      </c>
      <c r="V742">
        <f t="shared" si="175"/>
        <v>46344</v>
      </c>
      <c r="W742" s="8" t="str">
        <f>VLOOKUP(V742,'ideas-input'!$A:$B,2,FALSE)</f>
        <v>[Salesforce] - Relacionar una implementación entre varios clientes que cuelgan de un mismo grupo de empresa</v>
      </c>
      <c r="X742" t="str">
        <f t="shared" si="164"/>
        <v>IDC</v>
      </c>
      <c r="Y742" s="8" t="str">
        <f>VLOOKUP(V742,'ideas-input'!$A:$D,4,FALSE)</f>
        <v>eCommerce</v>
      </c>
      <c r="Z742" t="str">
        <f t="shared" si="165"/>
        <v>Commercial</v>
      </c>
      <c r="AA742" t="str">
        <f t="shared" si="166"/>
        <v>Ready for Solution</v>
      </c>
      <c r="AB742">
        <f t="shared" si="167"/>
        <v>41</v>
      </c>
      <c r="AC742">
        <f t="shared" si="168"/>
        <v>0.03</v>
      </c>
      <c r="AD742">
        <f t="shared" si="169"/>
        <v>1</v>
      </c>
      <c r="AE742">
        <f t="shared" si="170"/>
        <v>1</v>
      </c>
      <c r="AF742">
        <f t="shared" si="171"/>
        <v>1</v>
      </c>
      <c r="AG742">
        <f t="shared" si="172"/>
        <v>100</v>
      </c>
    </row>
    <row r="743" spans="1:33" x14ac:dyDescent="0.2">
      <c r="A743" t="s">
        <v>127</v>
      </c>
      <c r="B743" t="s">
        <v>128</v>
      </c>
      <c r="C743">
        <v>742</v>
      </c>
      <c r="D743">
        <v>131505</v>
      </c>
      <c r="E743" t="s">
        <v>246</v>
      </c>
      <c r="F743" t="s">
        <v>23</v>
      </c>
      <c r="G743" t="s">
        <v>379</v>
      </c>
      <c r="H743" t="s">
        <v>5</v>
      </c>
      <c r="I743" t="s">
        <v>91</v>
      </c>
      <c r="J743">
        <v>31</v>
      </c>
      <c r="K743">
        <v>0.03</v>
      </c>
      <c r="L743">
        <v>1</v>
      </c>
      <c r="M743">
        <v>1</v>
      </c>
      <c r="N743">
        <v>1</v>
      </c>
      <c r="O743">
        <v>100</v>
      </c>
      <c r="P743" t="b">
        <f t="shared" si="163"/>
        <v>0</v>
      </c>
      <c r="S743" t="str">
        <f t="shared" si="173"/>
        <v>LATER</v>
      </c>
      <c r="T743" t="str">
        <f t="shared" si="174"/>
        <v>SainteLague</v>
      </c>
      <c r="U743">
        <f t="shared" si="176"/>
        <v>742</v>
      </c>
      <c r="V743">
        <f t="shared" si="175"/>
        <v>131505</v>
      </c>
      <c r="W743" s="8" t="str">
        <f>VLOOKUP(V743,'ideas-input'!$A:$B,2,FALSE)</f>
        <v>GPECL/DIS - CTT Now Visibilidade sobre pedidos Programados</v>
      </c>
      <c r="X743" t="str">
        <f t="shared" si="164"/>
        <v>GP ECL</v>
      </c>
      <c r="Y743" s="8" t="str">
        <f>VLOOKUP(V743,'ideas-input'!$A:$D,4,FALSE)</f>
        <v>eCommerce</v>
      </c>
      <c r="Z743" t="str">
        <f t="shared" si="165"/>
        <v>Commercial</v>
      </c>
      <c r="AA743" t="str">
        <f t="shared" si="166"/>
        <v>Backlog</v>
      </c>
      <c r="AB743">
        <f t="shared" si="167"/>
        <v>31</v>
      </c>
      <c r="AC743">
        <f t="shared" si="168"/>
        <v>0.03</v>
      </c>
      <c r="AD743">
        <f t="shared" si="169"/>
        <v>1</v>
      </c>
      <c r="AE743">
        <f t="shared" si="170"/>
        <v>1</v>
      </c>
      <c r="AF743">
        <f t="shared" si="171"/>
        <v>1</v>
      </c>
      <c r="AG743">
        <f t="shared" si="172"/>
        <v>100</v>
      </c>
    </row>
    <row r="744" spans="1:33" x14ac:dyDescent="0.2">
      <c r="A744" t="s">
        <v>127</v>
      </c>
      <c r="B744" t="s">
        <v>128</v>
      </c>
      <c r="C744">
        <v>743</v>
      </c>
      <c r="D744">
        <v>46937</v>
      </c>
      <c r="E744" t="s">
        <v>304</v>
      </c>
      <c r="F744" t="s">
        <v>65</v>
      </c>
      <c r="G744" t="s">
        <v>10</v>
      </c>
      <c r="H744" t="s">
        <v>5</v>
      </c>
      <c r="I744" t="s">
        <v>91</v>
      </c>
      <c r="J744">
        <v>51</v>
      </c>
      <c r="K744">
        <v>0.03</v>
      </c>
      <c r="L744">
        <v>1</v>
      </c>
      <c r="M744">
        <v>1</v>
      </c>
      <c r="N744">
        <v>1</v>
      </c>
      <c r="O744">
        <v>100</v>
      </c>
      <c r="P744" t="b">
        <f t="shared" si="163"/>
        <v>0</v>
      </c>
      <c r="S744" t="str">
        <f t="shared" si="173"/>
        <v>LATER</v>
      </c>
      <c r="T744" t="str">
        <f t="shared" si="174"/>
        <v>SainteLague</v>
      </c>
      <c r="U744">
        <f t="shared" si="176"/>
        <v>743</v>
      </c>
      <c r="V744">
        <f t="shared" si="175"/>
        <v>46937</v>
      </c>
      <c r="W744" s="8" t="str">
        <f>VLOOKUP(V744,'ideas-input'!$A:$B,2,FALSE)</f>
        <v>[PUDOS] - Herramienta de seguimiento de recogidas infructuosas de caducados</v>
      </c>
      <c r="X744" t="str">
        <f t="shared" si="164"/>
        <v>CMO</v>
      </c>
      <c r="Y744" s="8" t="str">
        <f>VLOOKUP(V744,'ideas-input'!$A:$D,4,FALSE)</f>
        <v>eCommerce</v>
      </c>
      <c r="Z744" t="str">
        <f t="shared" si="165"/>
        <v>Commercial</v>
      </c>
      <c r="AA744" t="str">
        <f t="shared" si="166"/>
        <v>Backlog</v>
      </c>
      <c r="AB744">
        <f t="shared" si="167"/>
        <v>51</v>
      </c>
      <c r="AC744">
        <f t="shared" si="168"/>
        <v>0.03</v>
      </c>
      <c r="AD744">
        <f t="shared" si="169"/>
        <v>1</v>
      </c>
      <c r="AE744">
        <f t="shared" si="170"/>
        <v>1</v>
      </c>
      <c r="AF744">
        <f t="shared" si="171"/>
        <v>1</v>
      </c>
      <c r="AG744">
        <f t="shared" si="172"/>
        <v>100</v>
      </c>
    </row>
    <row r="745" spans="1:33" x14ac:dyDescent="0.2">
      <c r="A745" t="s">
        <v>127</v>
      </c>
      <c r="B745" t="s">
        <v>128</v>
      </c>
      <c r="C745">
        <v>744</v>
      </c>
      <c r="D745">
        <v>131990</v>
      </c>
      <c r="E745" t="s">
        <v>1362</v>
      </c>
      <c r="F745" t="s">
        <v>9</v>
      </c>
      <c r="G745" t="s">
        <v>379</v>
      </c>
      <c r="H745" t="s">
        <v>8</v>
      </c>
      <c r="I745" t="s">
        <v>91</v>
      </c>
      <c r="J745">
        <v>71</v>
      </c>
      <c r="K745">
        <v>0.03</v>
      </c>
      <c r="L745">
        <v>1</v>
      </c>
      <c r="M745">
        <v>1</v>
      </c>
      <c r="N745">
        <v>1</v>
      </c>
      <c r="O745">
        <v>100</v>
      </c>
      <c r="P745" t="b">
        <f t="shared" si="163"/>
        <v>0</v>
      </c>
      <c r="S745" t="str">
        <f t="shared" si="173"/>
        <v>LATER</v>
      </c>
      <c r="T745" t="str">
        <f t="shared" si="174"/>
        <v>SainteLague</v>
      </c>
      <c r="U745">
        <f t="shared" si="176"/>
        <v>744</v>
      </c>
      <c r="V745">
        <f t="shared" si="175"/>
        <v>131990</v>
      </c>
      <c r="W745" s="8" t="str">
        <f>VLOOKUP(V745,'ideas-input'!$A:$B,2,FALSE)</f>
        <v>INT| Descontinuar os serviços suportados pelo Biztalk</v>
      </c>
      <c r="X745" t="str">
        <f t="shared" si="164"/>
        <v>SI</v>
      </c>
      <c r="Y745" s="8" t="str">
        <f>VLOOKUP(V745,'ideas-input'!$A:$D,4,FALSE)</f>
        <v>Mail</v>
      </c>
      <c r="Z745" t="str">
        <f t="shared" si="165"/>
        <v>Technology</v>
      </c>
      <c r="AA745" t="str">
        <f t="shared" si="166"/>
        <v>Backlog</v>
      </c>
      <c r="AB745">
        <f t="shared" si="167"/>
        <v>71</v>
      </c>
      <c r="AC745">
        <f t="shared" si="168"/>
        <v>0.03</v>
      </c>
      <c r="AD745">
        <f t="shared" si="169"/>
        <v>1</v>
      </c>
      <c r="AE745">
        <f t="shared" si="170"/>
        <v>1</v>
      </c>
      <c r="AF745">
        <f t="shared" si="171"/>
        <v>1</v>
      </c>
      <c r="AG745">
        <f t="shared" si="172"/>
        <v>100</v>
      </c>
    </row>
    <row r="746" spans="1:33" x14ac:dyDescent="0.2">
      <c r="A746" t="s">
        <v>127</v>
      </c>
      <c r="B746" t="s">
        <v>128</v>
      </c>
      <c r="C746">
        <v>745</v>
      </c>
      <c r="D746">
        <v>46817</v>
      </c>
      <c r="E746" t="s">
        <v>1371</v>
      </c>
      <c r="F746" t="s">
        <v>69</v>
      </c>
      <c r="G746" t="s">
        <v>10</v>
      </c>
      <c r="H746" t="s">
        <v>12</v>
      </c>
      <c r="I746" t="s">
        <v>95</v>
      </c>
      <c r="J746">
        <v>70</v>
      </c>
      <c r="K746">
        <v>0.03</v>
      </c>
      <c r="L746">
        <v>1</v>
      </c>
      <c r="M746">
        <v>1</v>
      </c>
      <c r="N746">
        <v>1</v>
      </c>
      <c r="O746">
        <v>100</v>
      </c>
      <c r="P746" t="b">
        <f t="shared" si="163"/>
        <v>0</v>
      </c>
      <c r="S746" t="str">
        <f t="shared" si="173"/>
        <v>LATER</v>
      </c>
      <c r="T746" t="str">
        <f t="shared" si="174"/>
        <v>SainteLague</v>
      </c>
      <c r="U746">
        <f t="shared" si="176"/>
        <v>745</v>
      </c>
      <c r="V746">
        <f t="shared" si="175"/>
        <v>46817</v>
      </c>
      <c r="W746" s="8" t="str">
        <f>VLOOKUP(V746,'ideas-input'!$A:$B,2,FALSE)</f>
        <v>Aplicación de reglas en registros de peso y volumen (TC)</v>
      </c>
      <c r="X746" t="str">
        <f t="shared" si="164"/>
        <v>CFO</v>
      </c>
      <c r="Y746" s="8" t="str">
        <f>VLOOKUP(V746,'ideas-input'!$A:$D,4,FALSE)</f>
        <v>eCommerce</v>
      </c>
      <c r="Z746" t="str">
        <f t="shared" si="165"/>
        <v>Corporate</v>
      </c>
      <c r="AA746" t="str">
        <f t="shared" si="166"/>
        <v>In Definition</v>
      </c>
      <c r="AB746">
        <f t="shared" si="167"/>
        <v>70</v>
      </c>
      <c r="AC746">
        <f t="shared" si="168"/>
        <v>0.03</v>
      </c>
      <c r="AD746">
        <f t="shared" si="169"/>
        <v>1</v>
      </c>
      <c r="AE746">
        <f t="shared" si="170"/>
        <v>1</v>
      </c>
      <c r="AF746">
        <f t="shared" si="171"/>
        <v>1</v>
      </c>
      <c r="AG746">
        <f t="shared" si="172"/>
        <v>100</v>
      </c>
    </row>
    <row r="747" spans="1:33" x14ac:dyDescent="0.2">
      <c r="A747" t="s">
        <v>127</v>
      </c>
      <c r="B747" t="s">
        <v>128</v>
      </c>
      <c r="C747">
        <v>746</v>
      </c>
      <c r="D747">
        <v>126656</v>
      </c>
      <c r="E747" t="s">
        <v>1434</v>
      </c>
      <c r="F747" t="s">
        <v>38</v>
      </c>
      <c r="G747" t="s">
        <v>379</v>
      </c>
      <c r="H747" t="s">
        <v>5</v>
      </c>
      <c r="I747" t="s">
        <v>136</v>
      </c>
      <c r="J747">
        <v>21</v>
      </c>
      <c r="K747">
        <v>4</v>
      </c>
      <c r="L747">
        <v>3</v>
      </c>
      <c r="M747">
        <v>3</v>
      </c>
      <c r="N747">
        <v>2</v>
      </c>
      <c r="O747">
        <v>2</v>
      </c>
      <c r="P747" t="b">
        <f t="shared" si="163"/>
        <v>0</v>
      </c>
      <c r="S747" t="str">
        <f t="shared" si="173"/>
        <v>LATER</v>
      </c>
      <c r="T747" t="str">
        <f t="shared" si="174"/>
        <v>SainteLague</v>
      </c>
      <c r="U747">
        <f t="shared" si="176"/>
        <v>746</v>
      </c>
      <c r="V747">
        <f t="shared" si="175"/>
        <v>126656</v>
      </c>
      <c r="W747" s="8" t="str">
        <f>VLOOKUP(V747,'ideas-input'!$A:$B,2,FALSE)</f>
        <v>GENAI - CIS - AI Automation - BO Faturação</v>
      </c>
      <c r="X747" t="str">
        <f t="shared" si="164"/>
        <v>CSI</v>
      </c>
      <c r="Y747" s="8" t="str">
        <f>VLOOKUP(V747,'ideas-input'!$A:$D,4,FALSE)</f>
        <v>Mail</v>
      </c>
      <c r="Z747" t="str">
        <f t="shared" si="165"/>
        <v>Commercial</v>
      </c>
      <c r="AA747" t="str">
        <f t="shared" si="166"/>
        <v>In Solution</v>
      </c>
      <c r="AB747">
        <f t="shared" si="167"/>
        <v>21</v>
      </c>
      <c r="AC747">
        <f t="shared" si="168"/>
        <v>4</v>
      </c>
      <c r="AD747">
        <f t="shared" si="169"/>
        <v>3</v>
      </c>
      <c r="AE747">
        <f t="shared" si="170"/>
        <v>3</v>
      </c>
      <c r="AF747">
        <f t="shared" si="171"/>
        <v>2</v>
      </c>
      <c r="AG747">
        <f t="shared" si="172"/>
        <v>2</v>
      </c>
    </row>
    <row r="748" spans="1:33" x14ac:dyDescent="0.2">
      <c r="A748" t="s">
        <v>127</v>
      </c>
      <c r="B748" t="s">
        <v>128</v>
      </c>
      <c r="C748">
        <v>747</v>
      </c>
      <c r="D748">
        <v>46453</v>
      </c>
      <c r="E748" t="s">
        <v>1444</v>
      </c>
      <c r="F748" t="s">
        <v>66</v>
      </c>
      <c r="G748" t="s">
        <v>10</v>
      </c>
      <c r="H748" t="s">
        <v>5</v>
      </c>
      <c r="I748" t="s">
        <v>91</v>
      </c>
      <c r="J748">
        <v>45</v>
      </c>
      <c r="K748">
        <v>0.03</v>
      </c>
      <c r="L748">
        <v>1</v>
      </c>
      <c r="M748">
        <v>1</v>
      </c>
      <c r="N748">
        <v>1</v>
      </c>
      <c r="O748">
        <v>100</v>
      </c>
      <c r="P748" t="b">
        <f t="shared" si="163"/>
        <v>0</v>
      </c>
      <c r="S748" t="str">
        <f t="shared" si="173"/>
        <v>LATER</v>
      </c>
      <c r="T748" t="str">
        <f t="shared" si="174"/>
        <v>SainteLague</v>
      </c>
      <c r="U748">
        <f t="shared" si="176"/>
        <v>747</v>
      </c>
      <c r="V748">
        <f t="shared" si="175"/>
        <v>46453</v>
      </c>
      <c r="W748" s="8" t="str">
        <f>VLOOKUP(V748,'ideas-input'!$A:$B,2,FALSE)</f>
        <v>[Salesforce] - Gestión de casos asignados al área comercial</v>
      </c>
      <c r="X748" t="str">
        <f t="shared" si="164"/>
        <v>CCO</v>
      </c>
      <c r="Y748" s="8" t="str">
        <f>VLOOKUP(V748,'ideas-input'!$A:$D,4,FALSE)</f>
        <v>eCommerce</v>
      </c>
      <c r="Z748" t="str">
        <f t="shared" si="165"/>
        <v>Commercial</v>
      </c>
      <c r="AA748" t="str">
        <f t="shared" si="166"/>
        <v>Backlog</v>
      </c>
      <c r="AB748">
        <f t="shared" si="167"/>
        <v>45</v>
      </c>
      <c r="AC748">
        <f t="shared" si="168"/>
        <v>0.03</v>
      </c>
      <c r="AD748">
        <f t="shared" si="169"/>
        <v>1</v>
      </c>
      <c r="AE748">
        <f t="shared" si="170"/>
        <v>1</v>
      </c>
      <c r="AF748">
        <f t="shared" si="171"/>
        <v>1</v>
      </c>
      <c r="AG748">
        <f t="shared" si="172"/>
        <v>100</v>
      </c>
    </row>
    <row r="749" spans="1:33" x14ac:dyDescent="0.2">
      <c r="A749" t="s">
        <v>127</v>
      </c>
      <c r="B749" t="s">
        <v>128</v>
      </c>
      <c r="C749">
        <v>748</v>
      </c>
      <c r="D749">
        <v>177128</v>
      </c>
      <c r="E749" t="s">
        <v>1365</v>
      </c>
      <c r="F749" t="s">
        <v>9</v>
      </c>
      <c r="G749" t="s">
        <v>379</v>
      </c>
      <c r="H749" t="s">
        <v>8</v>
      </c>
      <c r="I749" t="s">
        <v>91</v>
      </c>
      <c r="J749">
        <v>72</v>
      </c>
      <c r="K749">
        <v>0.03</v>
      </c>
      <c r="L749">
        <v>1</v>
      </c>
      <c r="M749">
        <v>1</v>
      </c>
      <c r="N749">
        <v>1</v>
      </c>
      <c r="O749">
        <v>100</v>
      </c>
      <c r="P749" t="b">
        <f t="shared" si="163"/>
        <v>0</v>
      </c>
      <c r="S749" t="str">
        <f t="shared" si="173"/>
        <v>LATER</v>
      </c>
      <c r="T749" t="str">
        <f t="shared" si="174"/>
        <v>SainteLague</v>
      </c>
      <c r="U749">
        <f t="shared" si="176"/>
        <v>748</v>
      </c>
      <c r="V749">
        <f t="shared" si="175"/>
        <v>177128</v>
      </c>
      <c r="W749" s="8" t="str">
        <f>VLOOKUP(V749,'ideas-input'!$A:$B,2,FALSE)</f>
        <v>IOP | Obsolescência WAVE 1 - Matar/Upgrade SQL Server anterior a 2019</v>
      </c>
      <c r="X749" t="str">
        <f t="shared" si="164"/>
        <v>SI</v>
      </c>
      <c r="Y749" s="8" t="str">
        <f>VLOOKUP(V749,'ideas-input'!$A:$D,4,FALSE)</f>
        <v>Mail</v>
      </c>
      <c r="Z749" t="str">
        <f t="shared" si="165"/>
        <v>Technology</v>
      </c>
      <c r="AA749" t="str">
        <f t="shared" si="166"/>
        <v>Backlog</v>
      </c>
      <c r="AB749">
        <f t="shared" si="167"/>
        <v>72</v>
      </c>
      <c r="AC749">
        <f t="shared" si="168"/>
        <v>0.03</v>
      </c>
      <c r="AD749">
        <f t="shared" si="169"/>
        <v>1</v>
      </c>
      <c r="AE749">
        <f t="shared" si="170"/>
        <v>1</v>
      </c>
      <c r="AF749">
        <f t="shared" si="171"/>
        <v>1</v>
      </c>
      <c r="AG749">
        <f t="shared" si="172"/>
        <v>100</v>
      </c>
    </row>
    <row r="750" spans="1:33" x14ac:dyDescent="0.2">
      <c r="A750" t="s">
        <v>127</v>
      </c>
      <c r="B750" t="s">
        <v>128</v>
      </c>
      <c r="C750">
        <v>749</v>
      </c>
      <c r="D750">
        <v>137457</v>
      </c>
      <c r="E750" t="s">
        <v>1373</v>
      </c>
      <c r="F750" t="s">
        <v>69</v>
      </c>
      <c r="G750" t="s">
        <v>10</v>
      </c>
      <c r="H750" t="s">
        <v>12</v>
      </c>
      <c r="I750" t="s">
        <v>91</v>
      </c>
      <c r="J750">
        <v>71</v>
      </c>
      <c r="K750">
        <v>0.03</v>
      </c>
      <c r="L750">
        <v>1</v>
      </c>
      <c r="M750">
        <v>1</v>
      </c>
      <c r="N750">
        <v>1</v>
      </c>
      <c r="O750">
        <v>100</v>
      </c>
      <c r="P750" t="b">
        <f t="shared" si="163"/>
        <v>0</v>
      </c>
      <c r="S750" t="str">
        <f t="shared" si="173"/>
        <v>LATER</v>
      </c>
      <c r="T750" t="str">
        <f t="shared" si="174"/>
        <v>SainteLague</v>
      </c>
      <c r="U750">
        <f t="shared" si="176"/>
        <v>749</v>
      </c>
      <c r="V750">
        <f t="shared" si="175"/>
        <v>137457</v>
      </c>
      <c r="W750" s="8" t="str">
        <f>VLOOKUP(V750,'ideas-input'!$A:$B,2,FALSE)</f>
        <v>ENVIOS CARGO-DESTINO PT</v>
      </c>
      <c r="X750" t="str">
        <f t="shared" si="164"/>
        <v>CFO</v>
      </c>
      <c r="Y750" s="8" t="str">
        <f>VLOOKUP(V750,'ideas-input'!$A:$D,4,FALSE)</f>
        <v>eCommerce</v>
      </c>
      <c r="Z750" t="str">
        <f t="shared" si="165"/>
        <v>Corporate</v>
      </c>
      <c r="AA750" t="str">
        <f t="shared" si="166"/>
        <v>Backlog</v>
      </c>
      <c r="AB750">
        <f t="shared" si="167"/>
        <v>71</v>
      </c>
      <c r="AC750">
        <f t="shared" si="168"/>
        <v>0.03</v>
      </c>
      <c r="AD750">
        <f t="shared" si="169"/>
        <v>1</v>
      </c>
      <c r="AE750">
        <f t="shared" si="170"/>
        <v>1</v>
      </c>
      <c r="AF750">
        <f t="shared" si="171"/>
        <v>1</v>
      </c>
      <c r="AG750">
        <f t="shared" si="172"/>
        <v>100</v>
      </c>
    </row>
    <row r="751" spans="1:33" x14ac:dyDescent="0.2">
      <c r="A751" t="s">
        <v>127</v>
      </c>
      <c r="B751" t="s">
        <v>128</v>
      </c>
      <c r="C751">
        <v>750</v>
      </c>
      <c r="D751">
        <v>101572</v>
      </c>
      <c r="E751" t="s">
        <v>182</v>
      </c>
      <c r="F751" t="s">
        <v>37</v>
      </c>
      <c r="G751" t="s">
        <v>379</v>
      </c>
      <c r="H751" t="s">
        <v>5</v>
      </c>
      <c r="I751" t="s">
        <v>95</v>
      </c>
      <c r="J751">
        <v>24</v>
      </c>
      <c r="K751">
        <v>0.03</v>
      </c>
      <c r="L751">
        <v>1</v>
      </c>
      <c r="M751">
        <v>1</v>
      </c>
      <c r="N751">
        <v>1</v>
      </c>
      <c r="O751">
        <v>100</v>
      </c>
      <c r="P751" t="b">
        <f t="shared" si="163"/>
        <v>0</v>
      </c>
      <c r="S751" t="str">
        <f t="shared" si="173"/>
        <v>LATER</v>
      </c>
      <c r="T751" t="str">
        <f t="shared" si="174"/>
        <v>SainteLague</v>
      </c>
      <c r="U751">
        <f t="shared" si="176"/>
        <v>750</v>
      </c>
      <c r="V751">
        <f t="shared" si="175"/>
        <v>101572</v>
      </c>
      <c r="W751" s="8" t="str">
        <f>VLOOKUP(V751,'ideas-input'!$A:$B,2,FALSE)</f>
        <v>Lojas MEO - Recolhas Contextualizadas</v>
      </c>
      <c r="X751" t="str">
        <f t="shared" si="164"/>
        <v>GS</v>
      </c>
      <c r="Y751" s="8" t="str">
        <f>VLOOKUP(V751,'ideas-input'!$A:$D,4,FALSE)</f>
        <v>Mail</v>
      </c>
      <c r="Z751" t="str">
        <f t="shared" si="165"/>
        <v>Commercial</v>
      </c>
      <c r="AA751" t="str">
        <f t="shared" si="166"/>
        <v>In Definition</v>
      </c>
      <c r="AB751">
        <f t="shared" si="167"/>
        <v>24</v>
      </c>
      <c r="AC751">
        <f t="shared" si="168"/>
        <v>0.03</v>
      </c>
      <c r="AD751">
        <f t="shared" si="169"/>
        <v>1</v>
      </c>
      <c r="AE751">
        <f t="shared" si="170"/>
        <v>1</v>
      </c>
      <c r="AF751">
        <f t="shared" si="171"/>
        <v>1</v>
      </c>
      <c r="AG751">
        <f t="shared" si="172"/>
        <v>100</v>
      </c>
    </row>
    <row r="752" spans="1:33" x14ac:dyDescent="0.2">
      <c r="A752" t="s">
        <v>127</v>
      </c>
      <c r="B752" t="s">
        <v>128</v>
      </c>
      <c r="C752">
        <v>751</v>
      </c>
      <c r="D752">
        <v>61010</v>
      </c>
      <c r="E752" t="s">
        <v>1435</v>
      </c>
      <c r="F752" t="s">
        <v>68</v>
      </c>
      <c r="G752" t="s">
        <v>10</v>
      </c>
      <c r="H752" t="s">
        <v>5</v>
      </c>
      <c r="I752" t="s">
        <v>91</v>
      </c>
      <c r="J752">
        <v>42</v>
      </c>
      <c r="K752">
        <v>0.03</v>
      </c>
      <c r="L752">
        <v>1</v>
      </c>
      <c r="M752">
        <v>1</v>
      </c>
      <c r="N752">
        <v>1</v>
      </c>
      <c r="O752">
        <v>100</v>
      </c>
      <c r="P752" t="b">
        <f t="shared" si="163"/>
        <v>0</v>
      </c>
      <c r="S752" t="str">
        <f t="shared" si="173"/>
        <v>LATER</v>
      </c>
      <c r="T752" t="str">
        <f t="shared" si="174"/>
        <v>SainteLague</v>
      </c>
      <c r="U752">
        <f t="shared" si="176"/>
        <v>751</v>
      </c>
      <c r="V752">
        <f t="shared" si="175"/>
        <v>61010</v>
      </c>
      <c r="W752" s="8" t="str">
        <f>VLOOKUP(V752,'ideas-input'!$A:$B,2,FALSE)</f>
        <v>[ID LOGISTICS] Estados De Portugal no visibles en SGC/API REST y URL web en España (envíos origen ES, destino PT)</v>
      </c>
      <c r="X752" t="str">
        <f t="shared" si="164"/>
        <v>IDC</v>
      </c>
      <c r="Y752" s="8" t="str">
        <f>VLOOKUP(V752,'ideas-input'!$A:$D,4,FALSE)</f>
        <v>eCommerce</v>
      </c>
      <c r="Z752" t="str">
        <f t="shared" si="165"/>
        <v>Commercial</v>
      </c>
      <c r="AA752" t="str">
        <f t="shared" si="166"/>
        <v>Backlog</v>
      </c>
      <c r="AB752">
        <f t="shared" si="167"/>
        <v>42</v>
      </c>
      <c r="AC752">
        <f t="shared" si="168"/>
        <v>0.03</v>
      </c>
      <c r="AD752">
        <f t="shared" si="169"/>
        <v>1</v>
      </c>
      <c r="AE752">
        <f t="shared" si="170"/>
        <v>1</v>
      </c>
      <c r="AF752">
        <f t="shared" si="171"/>
        <v>1</v>
      </c>
      <c r="AG752">
        <f t="shared" si="172"/>
        <v>100</v>
      </c>
    </row>
    <row r="753" spans="1:33" x14ac:dyDescent="0.2">
      <c r="A753" t="s">
        <v>127</v>
      </c>
      <c r="B753" t="s">
        <v>128</v>
      </c>
      <c r="C753">
        <v>752</v>
      </c>
      <c r="D753">
        <v>177126</v>
      </c>
      <c r="E753" t="s">
        <v>1368</v>
      </c>
      <c r="F753" t="s">
        <v>9</v>
      </c>
      <c r="G753" t="s">
        <v>379</v>
      </c>
      <c r="H753" t="s">
        <v>8</v>
      </c>
      <c r="I753" t="s">
        <v>91</v>
      </c>
      <c r="J753">
        <v>73</v>
      </c>
      <c r="K753">
        <v>0.03</v>
      </c>
      <c r="L753">
        <v>1</v>
      </c>
      <c r="M753">
        <v>1</v>
      </c>
      <c r="N753">
        <v>1</v>
      </c>
      <c r="O753">
        <v>100</v>
      </c>
      <c r="P753" t="b">
        <f t="shared" si="163"/>
        <v>0</v>
      </c>
      <c r="S753" t="str">
        <f t="shared" si="173"/>
        <v>LATER</v>
      </c>
      <c r="T753" t="str">
        <f t="shared" si="174"/>
        <v>SainteLague</v>
      </c>
      <c r="U753">
        <f t="shared" si="176"/>
        <v>752</v>
      </c>
      <c r="V753">
        <f t="shared" si="175"/>
        <v>177126</v>
      </c>
      <c r="W753" s="8" t="str">
        <f>VLOOKUP(V753,'ideas-input'!$A:$B,2,FALSE)</f>
        <v>IOP | Obsolescência WAVE 1 - Windows 7 (evoluir para windows 11)</v>
      </c>
      <c r="X753" t="str">
        <f t="shared" si="164"/>
        <v>SI</v>
      </c>
      <c r="Y753" s="8" t="str">
        <f>VLOOKUP(V753,'ideas-input'!$A:$D,4,FALSE)</f>
        <v>Mail</v>
      </c>
      <c r="Z753" t="str">
        <f t="shared" si="165"/>
        <v>Technology</v>
      </c>
      <c r="AA753" t="str">
        <f t="shared" si="166"/>
        <v>Backlog</v>
      </c>
      <c r="AB753">
        <f t="shared" si="167"/>
        <v>73</v>
      </c>
      <c r="AC753">
        <f t="shared" si="168"/>
        <v>0.03</v>
      </c>
      <c r="AD753">
        <f t="shared" si="169"/>
        <v>1</v>
      </c>
      <c r="AE753">
        <f t="shared" si="170"/>
        <v>1</v>
      </c>
      <c r="AF753">
        <f t="shared" si="171"/>
        <v>1</v>
      </c>
      <c r="AG753">
        <f t="shared" si="172"/>
        <v>100</v>
      </c>
    </row>
    <row r="754" spans="1:33" x14ac:dyDescent="0.2">
      <c r="A754" t="s">
        <v>127</v>
      </c>
      <c r="B754" t="s">
        <v>128</v>
      </c>
      <c r="C754">
        <v>753</v>
      </c>
      <c r="D754">
        <v>46938</v>
      </c>
      <c r="E754" t="s">
        <v>1361</v>
      </c>
      <c r="F754" t="s">
        <v>65</v>
      </c>
      <c r="G754" t="s">
        <v>10</v>
      </c>
      <c r="H754" t="s">
        <v>5</v>
      </c>
      <c r="I754" t="s">
        <v>91</v>
      </c>
      <c r="J754">
        <v>52</v>
      </c>
      <c r="K754">
        <v>0.03</v>
      </c>
      <c r="L754">
        <v>1</v>
      </c>
      <c r="M754">
        <v>1</v>
      </c>
      <c r="N754">
        <v>1</v>
      </c>
      <c r="O754">
        <v>100</v>
      </c>
      <c r="P754" t="b">
        <f t="shared" si="163"/>
        <v>0</v>
      </c>
      <c r="S754" t="str">
        <f t="shared" si="173"/>
        <v>LATER</v>
      </c>
      <c r="T754" t="str">
        <f t="shared" si="174"/>
        <v>SainteLague</v>
      </c>
      <c r="U754">
        <f t="shared" si="176"/>
        <v>753</v>
      </c>
      <c r="V754">
        <f t="shared" si="175"/>
        <v>46938</v>
      </c>
      <c r="W754" s="8" t="str">
        <f>VLOOKUP(V754,'ideas-input'!$A:$B,2,FALSE)</f>
        <v>[PUDOS] - Filtrado - Depuración en envíos a dirección PUDO sin PER</v>
      </c>
      <c r="X754" t="str">
        <f t="shared" si="164"/>
        <v>CMO</v>
      </c>
      <c r="Y754" s="8" t="str">
        <f>VLOOKUP(V754,'ideas-input'!$A:$D,4,FALSE)</f>
        <v>eCommerce</v>
      </c>
      <c r="Z754" t="str">
        <f t="shared" si="165"/>
        <v>Commercial</v>
      </c>
      <c r="AA754" t="str">
        <f t="shared" si="166"/>
        <v>Backlog</v>
      </c>
      <c r="AB754">
        <f t="shared" si="167"/>
        <v>52</v>
      </c>
      <c r="AC754">
        <f t="shared" si="168"/>
        <v>0.03</v>
      </c>
      <c r="AD754">
        <f t="shared" si="169"/>
        <v>1</v>
      </c>
      <c r="AE754">
        <f t="shared" si="170"/>
        <v>1</v>
      </c>
      <c r="AF754">
        <f t="shared" si="171"/>
        <v>1</v>
      </c>
      <c r="AG754">
        <f t="shared" si="172"/>
        <v>100</v>
      </c>
    </row>
    <row r="755" spans="1:33" x14ac:dyDescent="0.2">
      <c r="A755" t="s">
        <v>127</v>
      </c>
      <c r="B755" t="s">
        <v>128</v>
      </c>
      <c r="C755">
        <v>754</v>
      </c>
      <c r="D755">
        <v>99517</v>
      </c>
      <c r="E755" t="s">
        <v>1436</v>
      </c>
      <c r="F755" t="s">
        <v>23</v>
      </c>
      <c r="G755" t="s">
        <v>379</v>
      </c>
      <c r="H755" t="s">
        <v>5</v>
      </c>
      <c r="I755" t="s">
        <v>91</v>
      </c>
      <c r="J755">
        <v>32</v>
      </c>
      <c r="K755">
        <v>0.03</v>
      </c>
      <c r="L755">
        <v>1</v>
      </c>
      <c r="M755">
        <v>1</v>
      </c>
      <c r="N755">
        <v>1</v>
      </c>
      <c r="O755">
        <v>100</v>
      </c>
      <c r="P755" t="b">
        <f t="shared" si="163"/>
        <v>0</v>
      </c>
      <c r="S755" t="str">
        <f t="shared" si="173"/>
        <v>LATER</v>
      </c>
      <c r="T755" t="str">
        <f t="shared" si="174"/>
        <v>SainteLague</v>
      </c>
      <c r="U755">
        <f t="shared" si="176"/>
        <v>754</v>
      </c>
      <c r="V755">
        <f t="shared" si="175"/>
        <v>99517</v>
      </c>
      <c r="W755" s="8" t="str">
        <f>VLOOKUP(V755,'ideas-input'!$A:$B,2,FALSE)</f>
        <v>ECL/PSC - Identificação de giros de distribuição (green delivery)</v>
      </c>
      <c r="X755" t="str">
        <f t="shared" si="164"/>
        <v>GP ECL</v>
      </c>
      <c r="Y755" s="8" t="str">
        <f>VLOOKUP(V755,'ideas-input'!$A:$D,4,FALSE)</f>
        <v>eCommerce</v>
      </c>
      <c r="Z755" t="str">
        <f t="shared" si="165"/>
        <v>Commercial</v>
      </c>
      <c r="AA755" t="str">
        <f t="shared" si="166"/>
        <v>Backlog</v>
      </c>
      <c r="AB755">
        <f t="shared" si="167"/>
        <v>32</v>
      </c>
      <c r="AC755">
        <f t="shared" si="168"/>
        <v>0.03</v>
      </c>
      <c r="AD755">
        <f t="shared" si="169"/>
        <v>1</v>
      </c>
      <c r="AE755">
        <f t="shared" si="170"/>
        <v>1</v>
      </c>
      <c r="AF755">
        <f t="shared" si="171"/>
        <v>1</v>
      </c>
      <c r="AG755">
        <f t="shared" si="172"/>
        <v>100</v>
      </c>
    </row>
    <row r="756" spans="1:33" x14ac:dyDescent="0.2">
      <c r="A756" t="s">
        <v>127</v>
      </c>
      <c r="B756" t="s">
        <v>128</v>
      </c>
      <c r="C756">
        <v>755</v>
      </c>
      <c r="D756">
        <v>46418</v>
      </c>
      <c r="E756" t="s">
        <v>1447</v>
      </c>
      <c r="F756" t="s">
        <v>66</v>
      </c>
      <c r="G756" t="s">
        <v>10</v>
      </c>
      <c r="H756" t="s">
        <v>5</v>
      </c>
      <c r="I756" t="s">
        <v>91</v>
      </c>
      <c r="J756">
        <v>46</v>
      </c>
      <c r="K756">
        <v>0.03</v>
      </c>
      <c r="L756">
        <v>1</v>
      </c>
      <c r="M756">
        <v>1</v>
      </c>
      <c r="N756">
        <v>1</v>
      </c>
      <c r="O756">
        <v>100</v>
      </c>
      <c r="P756" t="b">
        <f t="shared" si="163"/>
        <v>0</v>
      </c>
      <c r="S756" t="str">
        <f t="shared" si="173"/>
        <v>LATER</v>
      </c>
      <c r="T756" t="str">
        <f t="shared" si="174"/>
        <v>SainteLague</v>
      </c>
      <c r="U756">
        <f t="shared" si="176"/>
        <v>755</v>
      </c>
      <c r="V756">
        <f t="shared" si="175"/>
        <v>46418</v>
      </c>
      <c r="W756" s="8" t="str">
        <f>VLOOKUP(V756,'ideas-input'!$A:$B,2,FALSE)</f>
        <v>[Salesforce Sales] - Nuevo Campo Cuenta tipo Cliente y centro: "Gestión por"</v>
      </c>
      <c r="X756" t="str">
        <f t="shared" si="164"/>
        <v>CCO</v>
      </c>
      <c r="Y756" s="8" t="str">
        <f>VLOOKUP(V756,'ideas-input'!$A:$D,4,FALSE)</f>
        <v>eCommerce</v>
      </c>
      <c r="Z756" t="str">
        <f t="shared" si="165"/>
        <v>Commercial</v>
      </c>
      <c r="AA756" t="str">
        <f t="shared" si="166"/>
        <v>Backlog</v>
      </c>
      <c r="AB756">
        <f t="shared" si="167"/>
        <v>46</v>
      </c>
      <c r="AC756">
        <f t="shared" si="168"/>
        <v>0.03</v>
      </c>
      <c r="AD756">
        <f t="shared" si="169"/>
        <v>1</v>
      </c>
      <c r="AE756">
        <f t="shared" si="170"/>
        <v>1</v>
      </c>
      <c r="AF756">
        <f t="shared" si="171"/>
        <v>1</v>
      </c>
      <c r="AG756">
        <f t="shared" si="172"/>
        <v>100</v>
      </c>
    </row>
    <row r="757" spans="1:33" x14ac:dyDescent="0.2">
      <c r="A757" t="s">
        <v>127</v>
      </c>
      <c r="B757" t="s">
        <v>128</v>
      </c>
      <c r="C757">
        <v>756</v>
      </c>
      <c r="D757">
        <v>71425</v>
      </c>
      <c r="E757" t="s">
        <v>257</v>
      </c>
      <c r="F757" t="s">
        <v>23</v>
      </c>
      <c r="G757" t="s">
        <v>379</v>
      </c>
      <c r="H757" t="s">
        <v>5</v>
      </c>
      <c r="I757" t="s">
        <v>91</v>
      </c>
      <c r="J757">
        <v>33</v>
      </c>
      <c r="K757">
        <v>0.03</v>
      </c>
      <c r="L757">
        <v>1</v>
      </c>
      <c r="M757">
        <v>1</v>
      </c>
      <c r="N757">
        <v>1</v>
      </c>
      <c r="O757">
        <v>100</v>
      </c>
      <c r="P757" t="b">
        <f t="shared" si="163"/>
        <v>0</v>
      </c>
      <c r="S757" t="str">
        <f t="shared" si="173"/>
        <v>LATER</v>
      </c>
      <c r="T757" t="str">
        <f t="shared" si="174"/>
        <v>SainteLague</v>
      </c>
      <c r="U757">
        <f t="shared" si="176"/>
        <v>756</v>
      </c>
      <c r="V757">
        <f t="shared" si="175"/>
        <v>71425</v>
      </c>
      <c r="W757" s="8" t="str">
        <f>VLOOKUP(V757,'ideas-input'!$A:$B,2,FALSE)</f>
        <v>ECL/GPR - Peso Default por Produto Expresso e Carga</v>
      </c>
      <c r="X757" t="str">
        <f t="shared" si="164"/>
        <v>GP ECL</v>
      </c>
      <c r="Y757" s="8" t="str">
        <f>VLOOKUP(V757,'ideas-input'!$A:$D,4,FALSE)</f>
        <v>eCommerce</v>
      </c>
      <c r="Z757" t="str">
        <f t="shared" si="165"/>
        <v>Commercial</v>
      </c>
      <c r="AA757" t="str">
        <f t="shared" si="166"/>
        <v>Backlog</v>
      </c>
      <c r="AB757">
        <f t="shared" si="167"/>
        <v>33</v>
      </c>
      <c r="AC757">
        <f t="shared" si="168"/>
        <v>0.03</v>
      </c>
      <c r="AD757">
        <f t="shared" si="169"/>
        <v>1</v>
      </c>
      <c r="AE757">
        <f t="shared" si="170"/>
        <v>1</v>
      </c>
      <c r="AF757">
        <f t="shared" si="171"/>
        <v>1</v>
      </c>
      <c r="AG757">
        <f t="shared" si="172"/>
        <v>100</v>
      </c>
    </row>
    <row r="758" spans="1:33" x14ac:dyDescent="0.2">
      <c r="A758" t="s">
        <v>127</v>
      </c>
      <c r="B758" t="s">
        <v>128</v>
      </c>
      <c r="C758">
        <v>757</v>
      </c>
      <c r="D758">
        <v>56782</v>
      </c>
      <c r="E758" t="s">
        <v>1440</v>
      </c>
      <c r="F758" t="s">
        <v>68</v>
      </c>
      <c r="G758" t="s">
        <v>10</v>
      </c>
      <c r="H758" t="s">
        <v>5</v>
      </c>
      <c r="I758" t="s">
        <v>91</v>
      </c>
      <c r="J758">
        <v>43</v>
      </c>
      <c r="K758">
        <v>0.03</v>
      </c>
      <c r="L758">
        <v>1</v>
      </c>
      <c r="M758">
        <v>1</v>
      </c>
      <c r="N758">
        <v>1</v>
      </c>
      <c r="O758">
        <v>100</v>
      </c>
      <c r="P758" t="b">
        <f t="shared" si="163"/>
        <v>0</v>
      </c>
      <c r="S758" t="str">
        <f t="shared" si="173"/>
        <v>LATER</v>
      </c>
      <c r="T758" t="str">
        <f t="shared" si="174"/>
        <v>SainteLague</v>
      </c>
      <c r="U758">
        <f t="shared" si="176"/>
        <v>757</v>
      </c>
      <c r="V758">
        <f t="shared" si="175"/>
        <v>56782</v>
      </c>
      <c r="W758" s="8" t="str">
        <f>VLOOKUP(V758,'ideas-input'!$A:$B,2,FALSE)</f>
        <v>[Desconexión SGC] - Migración exportación estados e informes a Cloud</v>
      </c>
      <c r="X758" t="str">
        <f t="shared" si="164"/>
        <v>IDC</v>
      </c>
      <c r="Y758" s="8" t="str">
        <f>VLOOKUP(V758,'ideas-input'!$A:$D,4,FALSE)</f>
        <v>eCommerce</v>
      </c>
      <c r="Z758" t="str">
        <f t="shared" si="165"/>
        <v>Commercial</v>
      </c>
      <c r="AA758" t="str">
        <f t="shared" si="166"/>
        <v>Backlog</v>
      </c>
      <c r="AB758">
        <f t="shared" si="167"/>
        <v>43</v>
      </c>
      <c r="AC758">
        <f t="shared" si="168"/>
        <v>0.03</v>
      </c>
      <c r="AD758">
        <f t="shared" si="169"/>
        <v>1</v>
      </c>
      <c r="AE758">
        <f t="shared" si="170"/>
        <v>1</v>
      </c>
      <c r="AF758">
        <f t="shared" si="171"/>
        <v>1</v>
      </c>
      <c r="AG758">
        <f t="shared" si="172"/>
        <v>100</v>
      </c>
    </row>
    <row r="759" spans="1:33" x14ac:dyDescent="0.2">
      <c r="A759" t="s">
        <v>127</v>
      </c>
      <c r="B759" t="s">
        <v>128</v>
      </c>
      <c r="C759">
        <v>758</v>
      </c>
      <c r="D759">
        <v>177125</v>
      </c>
      <c r="E759" t="s">
        <v>1370</v>
      </c>
      <c r="F759" t="s">
        <v>9</v>
      </c>
      <c r="G759" t="s">
        <v>379</v>
      </c>
      <c r="H759" t="s">
        <v>8</v>
      </c>
      <c r="I759" t="s">
        <v>91</v>
      </c>
      <c r="J759">
        <v>74</v>
      </c>
      <c r="K759">
        <v>0.03</v>
      </c>
      <c r="L759">
        <v>1</v>
      </c>
      <c r="M759">
        <v>1</v>
      </c>
      <c r="N759">
        <v>1</v>
      </c>
      <c r="O759">
        <v>100</v>
      </c>
      <c r="P759" t="b">
        <f t="shared" si="163"/>
        <v>0</v>
      </c>
      <c r="S759" t="str">
        <f t="shared" si="173"/>
        <v>LATER</v>
      </c>
      <c r="T759" t="str">
        <f t="shared" si="174"/>
        <v>SainteLague</v>
      </c>
      <c r="U759">
        <f t="shared" si="176"/>
        <v>758</v>
      </c>
      <c r="V759">
        <f t="shared" si="175"/>
        <v>177125</v>
      </c>
      <c r="W759" s="8" t="str">
        <f>VLOOKUP(V759,'ideas-input'!$A:$B,2,FALSE)</f>
        <v>IOP | Obsolescência Infraestrutura WAVE 0 - Converter LDAP em LDAPS (ENABLERS)</v>
      </c>
      <c r="X759" t="str">
        <f t="shared" si="164"/>
        <v>SI</v>
      </c>
      <c r="Y759" s="8" t="str">
        <f>VLOOKUP(V759,'ideas-input'!$A:$D,4,FALSE)</f>
        <v>Mail</v>
      </c>
      <c r="Z759" t="str">
        <f t="shared" si="165"/>
        <v>Technology</v>
      </c>
      <c r="AA759" t="str">
        <f t="shared" si="166"/>
        <v>Backlog</v>
      </c>
      <c r="AB759">
        <f t="shared" si="167"/>
        <v>74</v>
      </c>
      <c r="AC759">
        <f t="shared" si="168"/>
        <v>0.03</v>
      </c>
      <c r="AD759">
        <f t="shared" si="169"/>
        <v>1</v>
      </c>
      <c r="AE759">
        <f t="shared" si="170"/>
        <v>1</v>
      </c>
      <c r="AF759">
        <f t="shared" si="171"/>
        <v>1</v>
      </c>
      <c r="AG759">
        <f t="shared" si="172"/>
        <v>100</v>
      </c>
    </row>
    <row r="760" spans="1:33" x14ac:dyDescent="0.2">
      <c r="A760" t="s">
        <v>127</v>
      </c>
      <c r="B760" t="s">
        <v>128</v>
      </c>
      <c r="C760">
        <v>759</v>
      </c>
      <c r="D760">
        <v>58287</v>
      </c>
      <c r="E760" t="s">
        <v>1369</v>
      </c>
      <c r="F760" t="s">
        <v>65</v>
      </c>
      <c r="G760" t="s">
        <v>10</v>
      </c>
      <c r="H760" t="s">
        <v>5</v>
      </c>
      <c r="I760" t="s">
        <v>91</v>
      </c>
      <c r="J760">
        <v>53</v>
      </c>
      <c r="K760">
        <v>0.03</v>
      </c>
      <c r="L760">
        <v>1</v>
      </c>
      <c r="M760">
        <v>1</v>
      </c>
      <c r="N760">
        <v>1</v>
      </c>
      <c r="O760">
        <v>100</v>
      </c>
      <c r="P760" t="b">
        <f t="shared" si="163"/>
        <v>0</v>
      </c>
      <c r="S760" t="str">
        <f t="shared" si="173"/>
        <v>LATER</v>
      </c>
      <c r="T760" t="str">
        <f t="shared" si="174"/>
        <v>SainteLague</v>
      </c>
      <c r="U760">
        <f t="shared" si="176"/>
        <v>759</v>
      </c>
      <c r="V760">
        <f t="shared" si="175"/>
        <v>58287</v>
      </c>
      <c r="W760" s="8" t="str">
        <f>VLOOKUP(V760,'ideas-input'!$A:$B,2,FALSE)</f>
        <v>[Salesforce Sales] - Configuración campos/variables y GRP en Pardot</v>
      </c>
      <c r="X760" t="str">
        <f t="shared" si="164"/>
        <v>CMO</v>
      </c>
      <c r="Y760" s="8" t="str">
        <f>VLOOKUP(V760,'ideas-input'!$A:$D,4,FALSE)</f>
        <v>eCommerce</v>
      </c>
      <c r="Z760" t="str">
        <f t="shared" si="165"/>
        <v>Commercial</v>
      </c>
      <c r="AA760" t="str">
        <f t="shared" si="166"/>
        <v>Backlog</v>
      </c>
      <c r="AB760">
        <f t="shared" si="167"/>
        <v>53</v>
      </c>
      <c r="AC760">
        <f t="shared" si="168"/>
        <v>0.03</v>
      </c>
      <c r="AD760">
        <f t="shared" si="169"/>
        <v>1</v>
      </c>
      <c r="AE760">
        <f t="shared" si="170"/>
        <v>1</v>
      </c>
      <c r="AF760">
        <f t="shared" si="171"/>
        <v>1</v>
      </c>
      <c r="AG760">
        <f t="shared" si="172"/>
        <v>100</v>
      </c>
    </row>
    <row r="761" spans="1:33" x14ac:dyDescent="0.2">
      <c r="A761" t="s">
        <v>127</v>
      </c>
      <c r="B761" t="s">
        <v>128</v>
      </c>
      <c r="C761">
        <v>760</v>
      </c>
      <c r="D761">
        <v>133243</v>
      </c>
      <c r="E761" t="s">
        <v>1439</v>
      </c>
      <c r="F761" t="s">
        <v>37</v>
      </c>
      <c r="G761" t="s">
        <v>379</v>
      </c>
      <c r="H761" t="s">
        <v>5</v>
      </c>
      <c r="I761" t="s">
        <v>91</v>
      </c>
      <c r="J761">
        <v>25</v>
      </c>
      <c r="K761">
        <v>0.03</v>
      </c>
      <c r="L761">
        <v>1</v>
      </c>
      <c r="M761">
        <v>1</v>
      </c>
      <c r="N761">
        <v>1</v>
      </c>
      <c r="O761">
        <v>100</v>
      </c>
      <c r="P761" t="b">
        <f t="shared" si="163"/>
        <v>0</v>
      </c>
      <c r="S761" t="str">
        <f t="shared" si="173"/>
        <v>LATER</v>
      </c>
      <c r="T761" t="str">
        <f t="shared" si="174"/>
        <v>SainteLague</v>
      </c>
      <c r="U761">
        <f t="shared" si="176"/>
        <v>760</v>
      </c>
      <c r="V761">
        <f t="shared" si="175"/>
        <v>133243</v>
      </c>
      <c r="W761" s="8" t="str">
        <f>VLOOKUP(V761,'ideas-input'!$A:$B,2,FALSE)</f>
        <v>Citrix nas lojas - Análise para Eliminação / substituição</v>
      </c>
      <c r="X761" t="str">
        <f t="shared" si="164"/>
        <v>GS</v>
      </c>
      <c r="Y761" s="8" t="str">
        <f>VLOOKUP(V761,'ideas-input'!$A:$D,4,FALSE)</f>
        <v>Mail</v>
      </c>
      <c r="Z761" t="str">
        <f t="shared" si="165"/>
        <v>Commercial</v>
      </c>
      <c r="AA761" t="str">
        <f t="shared" si="166"/>
        <v>Backlog</v>
      </c>
      <c r="AB761">
        <f t="shared" si="167"/>
        <v>25</v>
      </c>
      <c r="AC761">
        <f t="shared" si="168"/>
        <v>0.03</v>
      </c>
      <c r="AD761">
        <f t="shared" si="169"/>
        <v>1</v>
      </c>
      <c r="AE761">
        <f t="shared" si="170"/>
        <v>1</v>
      </c>
      <c r="AF761">
        <f t="shared" si="171"/>
        <v>1</v>
      </c>
      <c r="AG761">
        <f t="shared" si="172"/>
        <v>100</v>
      </c>
    </row>
    <row r="762" spans="1:33" x14ac:dyDescent="0.2">
      <c r="A762" t="s">
        <v>127</v>
      </c>
      <c r="B762" t="s">
        <v>128</v>
      </c>
      <c r="C762">
        <v>761</v>
      </c>
      <c r="D762">
        <v>139048</v>
      </c>
      <c r="E762" t="s">
        <v>1451</v>
      </c>
      <c r="F762" t="s">
        <v>66</v>
      </c>
      <c r="G762" t="s">
        <v>10</v>
      </c>
      <c r="H762" t="s">
        <v>5</v>
      </c>
      <c r="I762" t="s">
        <v>91</v>
      </c>
      <c r="J762">
        <v>47</v>
      </c>
      <c r="K762">
        <v>0.03</v>
      </c>
      <c r="L762">
        <v>1</v>
      </c>
      <c r="M762">
        <v>1</v>
      </c>
      <c r="N762">
        <v>1</v>
      </c>
      <c r="O762">
        <v>100</v>
      </c>
      <c r="P762" t="b">
        <f t="shared" si="163"/>
        <v>0</v>
      </c>
      <c r="S762" t="str">
        <f t="shared" si="173"/>
        <v>LATER</v>
      </c>
      <c r="T762" t="str">
        <f t="shared" si="174"/>
        <v>SainteLague</v>
      </c>
      <c r="U762">
        <f t="shared" si="176"/>
        <v>761</v>
      </c>
      <c r="V762">
        <f t="shared" si="175"/>
        <v>139048</v>
      </c>
      <c r="W762" s="8" t="str">
        <f>VLOOKUP(V762,'ideas-input'!$A:$B,2,FALSE)</f>
        <v>[Nexus - We Sell] - [Minerva] - Creación del modelo tarifario dentro de Minerva para el servicio de Correo</v>
      </c>
      <c r="X762" t="str">
        <f t="shared" si="164"/>
        <v>CCO</v>
      </c>
      <c r="Y762" s="8" t="str">
        <f>VLOOKUP(V762,'ideas-input'!$A:$D,4,FALSE)</f>
        <v>eCommerce</v>
      </c>
      <c r="Z762" t="str">
        <f t="shared" si="165"/>
        <v>Commercial</v>
      </c>
      <c r="AA762" t="str">
        <f t="shared" si="166"/>
        <v>Backlog</v>
      </c>
      <c r="AB762">
        <f t="shared" si="167"/>
        <v>47</v>
      </c>
      <c r="AC762">
        <f t="shared" si="168"/>
        <v>0.03</v>
      </c>
      <c r="AD762">
        <f t="shared" si="169"/>
        <v>1</v>
      </c>
      <c r="AE762">
        <f t="shared" si="170"/>
        <v>1</v>
      </c>
      <c r="AF762">
        <f t="shared" si="171"/>
        <v>1</v>
      </c>
      <c r="AG762">
        <f t="shared" si="172"/>
        <v>100</v>
      </c>
    </row>
    <row r="763" spans="1:33" x14ac:dyDescent="0.2">
      <c r="A763" t="s">
        <v>127</v>
      </c>
      <c r="B763" t="s">
        <v>128</v>
      </c>
      <c r="C763">
        <v>762</v>
      </c>
      <c r="D763">
        <v>69196</v>
      </c>
      <c r="E763" t="s">
        <v>340</v>
      </c>
      <c r="F763" t="s">
        <v>9</v>
      </c>
      <c r="G763" t="s">
        <v>379</v>
      </c>
      <c r="H763" t="s">
        <v>8</v>
      </c>
      <c r="I763" t="s">
        <v>91</v>
      </c>
      <c r="J763">
        <v>75</v>
      </c>
      <c r="K763">
        <v>0.03</v>
      </c>
      <c r="L763">
        <v>1</v>
      </c>
      <c r="M763">
        <v>1</v>
      </c>
      <c r="N763">
        <v>1</v>
      </c>
      <c r="O763">
        <v>100</v>
      </c>
      <c r="P763" t="b">
        <f t="shared" si="163"/>
        <v>0</v>
      </c>
      <c r="S763" t="str">
        <f t="shared" si="173"/>
        <v>LATER</v>
      </c>
      <c r="T763" t="str">
        <f t="shared" si="174"/>
        <v>SainteLague</v>
      </c>
      <c r="U763">
        <f t="shared" si="176"/>
        <v>762</v>
      </c>
      <c r="V763">
        <f t="shared" si="175"/>
        <v>69196</v>
      </c>
      <c r="W763" s="8" t="str">
        <f>VLOOKUP(V763,'ideas-input'!$A:$B,2,FALSE)</f>
        <v>MACC: DC Lisboa - Jouney to Azure cloud</v>
      </c>
      <c r="X763" t="str">
        <f t="shared" si="164"/>
        <v>SI</v>
      </c>
      <c r="Y763" s="8" t="str">
        <f>VLOOKUP(V763,'ideas-input'!$A:$D,4,FALSE)</f>
        <v>Mail</v>
      </c>
      <c r="Z763" t="str">
        <f t="shared" si="165"/>
        <v>Technology</v>
      </c>
      <c r="AA763" t="str">
        <f t="shared" si="166"/>
        <v>Backlog</v>
      </c>
      <c r="AB763">
        <f t="shared" si="167"/>
        <v>75</v>
      </c>
      <c r="AC763">
        <f t="shared" si="168"/>
        <v>0.03</v>
      </c>
      <c r="AD763">
        <f t="shared" si="169"/>
        <v>1</v>
      </c>
      <c r="AE763">
        <f t="shared" si="170"/>
        <v>1</v>
      </c>
      <c r="AF763">
        <f t="shared" si="171"/>
        <v>1</v>
      </c>
      <c r="AG763">
        <f t="shared" si="172"/>
        <v>100</v>
      </c>
    </row>
    <row r="764" spans="1:33" x14ac:dyDescent="0.2">
      <c r="A764" t="s">
        <v>127</v>
      </c>
      <c r="B764" t="s">
        <v>128</v>
      </c>
      <c r="C764">
        <v>763</v>
      </c>
      <c r="D764">
        <v>59011</v>
      </c>
      <c r="E764" t="s">
        <v>1446</v>
      </c>
      <c r="F764" t="s">
        <v>68</v>
      </c>
      <c r="G764" t="s">
        <v>10</v>
      </c>
      <c r="H764" t="s">
        <v>5</v>
      </c>
      <c r="I764" t="s">
        <v>91</v>
      </c>
      <c r="J764">
        <v>44</v>
      </c>
      <c r="K764">
        <v>0.03</v>
      </c>
      <c r="L764">
        <v>1</v>
      </c>
      <c r="M764">
        <v>1</v>
      </c>
      <c r="N764">
        <v>1</v>
      </c>
      <c r="O764">
        <v>100</v>
      </c>
      <c r="P764" t="b">
        <f t="shared" si="163"/>
        <v>0</v>
      </c>
      <c r="S764" t="str">
        <f t="shared" si="173"/>
        <v>LATER</v>
      </c>
      <c r="T764" t="str">
        <f t="shared" si="174"/>
        <v>SainteLague</v>
      </c>
      <c r="U764">
        <f t="shared" si="176"/>
        <v>763</v>
      </c>
      <c r="V764">
        <f t="shared" si="175"/>
        <v>59011</v>
      </c>
      <c r="W764" s="8" t="str">
        <f>VLOOKUP(V764,'ideas-input'!$A:$B,2,FALSE)</f>
        <v>Odoo - Implementación remitente personalizado</v>
      </c>
      <c r="X764" t="str">
        <f t="shared" si="164"/>
        <v>IDC</v>
      </c>
      <c r="Y764" s="8" t="str">
        <f>VLOOKUP(V764,'ideas-input'!$A:$D,4,FALSE)</f>
        <v>eCommerce</v>
      </c>
      <c r="Z764" t="str">
        <f t="shared" si="165"/>
        <v>Commercial</v>
      </c>
      <c r="AA764" t="str">
        <f t="shared" si="166"/>
        <v>Backlog</v>
      </c>
      <c r="AB764">
        <f t="shared" si="167"/>
        <v>44</v>
      </c>
      <c r="AC764">
        <f t="shared" si="168"/>
        <v>0.03</v>
      </c>
      <c r="AD764">
        <f t="shared" si="169"/>
        <v>1</v>
      </c>
      <c r="AE764">
        <f t="shared" si="170"/>
        <v>1</v>
      </c>
      <c r="AF764">
        <f t="shared" si="171"/>
        <v>1</v>
      </c>
      <c r="AG764">
        <f t="shared" si="172"/>
        <v>100</v>
      </c>
    </row>
    <row r="765" spans="1:33" x14ac:dyDescent="0.2">
      <c r="A765" t="s">
        <v>127</v>
      </c>
      <c r="B765" t="s">
        <v>128</v>
      </c>
      <c r="C765">
        <v>764</v>
      </c>
      <c r="D765">
        <v>169812</v>
      </c>
      <c r="E765" t="s">
        <v>1441</v>
      </c>
      <c r="F765" t="s">
        <v>38</v>
      </c>
      <c r="G765" t="s">
        <v>379</v>
      </c>
      <c r="H765" t="s">
        <v>5</v>
      </c>
      <c r="I765" t="s">
        <v>91</v>
      </c>
      <c r="J765">
        <v>22</v>
      </c>
      <c r="K765">
        <v>0.03</v>
      </c>
      <c r="L765">
        <v>1</v>
      </c>
      <c r="M765">
        <v>1</v>
      </c>
      <c r="N765">
        <v>1</v>
      </c>
      <c r="O765">
        <v>100</v>
      </c>
      <c r="P765" t="b">
        <f t="shared" si="163"/>
        <v>0</v>
      </c>
      <c r="S765" t="str">
        <f t="shared" si="173"/>
        <v>LATER</v>
      </c>
      <c r="T765" t="str">
        <f t="shared" si="174"/>
        <v>SainteLague</v>
      </c>
      <c r="U765">
        <f t="shared" si="176"/>
        <v>764</v>
      </c>
      <c r="V765">
        <f t="shared" si="175"/>
        <v>169812</v>
      </c>
      <c r="W765" s="8" t="str">
        <f>VLOOKUP(V765,'ideas-input'!$A:$B,2,FALSE)</f>
        <v>Planeamento e Controlo Diário - Conciliação Modelo A</v>
      </c>
      <c r="X765" t="str">
        <f t="shared" si="164"/>
        <v>CSI</v>
      </c>
      <c r="Y765" s="8" t="str">
        <f>VLOOKUP(V765,'ideas-input'!$A:$D,4,FALSE)</f>
        <v>Mail</v>
      </c>
      <c r="Z765" t="str">
        <f t="shared" si="165"/>
        <v>Commercial</v>
      </c>
      <c r="AA765" t="str">
        <f t="shared" si="166"/>
        <v>Backlog</v>
      </c>
      <c r="AB765">
        <f t="shared" si="167"/>
        <v>22</v>
      </c>
      <c r="AC765">
        <f t="shared" si="168"/>
        <v>0.03</v>
      </c>
      <c r="AD765">
        <f t="shared" si="169"/>
        <v>1</v>
      </c>
      <c r="AE765">
        <f t="shared" si="170"/>
        <v>1</v>
      </c>
      <c r="AF765">
        <f t="shared" si="171"/>
        <v>1</v>
      </c>
      <c r="AG765">
        <f t="shared" si="172"/>
        <v>100</v>
      </c>
    </row>
    <row r="766" spans="1:33" x14ac:dyDescent="0.2">
      <c r="A766" t="s">
        <v>127</v>
      </c>
      <c r="B766" t="s">
        <v>128</v>
      </c>
      <c r="C766">
        <v>765</v>
      </c>
      <c r="D766">
        <v>49004</v>
      </c>
      <c r="E766" t="s">
        <v>1372</v>
      </c>
      <c r="F766" t="s">
        <v>65</v>
      </c>
      <c r="G766" t="s">
        <v>10</v>
      </c>
      <c r="H766" t="s">
        <v>5</v>
      </c>
      <c r="I766" t="s">
        <v>95</v>
      </c>
      <c r="J766">
        <v>54</v>
      </c>
      <c r="K766">
        <v>0.03</v>
      </c>
      <c r="L766">
        <v>1</v>
      </c>
      <c r="M766">
        <v>1</v>
      </c>
      <c r="N766">
        <v>1</v>
      </c>
      <c r="O766">
        <v>100</v>
      </c>
      <c r="P766" t="b">
        <f t="shared" si="163"/>
        <v>0</v>
      </c>
      <c r="S766" t="str">
        <f t="shared" si="173"/>
        <v>LATER</v>
      </c>
      <c r="T766" t="str">
        <f t="shared" si="174"/>
        <v>SainteLague</v>
      </c>
      <c r="U766">
        <f t="shared" si="176"/>
        <v>765</v>
      </c>
      <c r="V766">
        <f t="shared" si="175"/>
        <v>49004</v>
      </c>
      <c r="W766" s="8" t="str">
        <f>VLOOKUP(V766,'ideas-input'!$A:$B,2,FALSE)</f>
        <v>[PUDOS] [Web de Clientes] - EDP y RDP: Tarificación por bonificación de servicios 24H y 48H</v>
      </c>
      <c r="X766" t="str">
        <f t="shared" si="164"/>
        <v>CMO</v>
      </c>
      <c r="Y766" s="8" t="str">
        <f>VLOOKUP(V766,'ideas-input'!$A:$D,4,FALSE)</f>
        <v>eCommerce</v>
      </c>
      <c r="Z766" t="str">
        <f t="shared" si="165"/>
        <v>Commercial</v>
      </c>
      <c r="AA766" t="str">
        <f t="shared" si="166"/>
        <v>In Definition</v>
      </c>
      <c r="AB766">
        <f t="shared" si="167"/>
        <v>54</v>
      </c>
      <c r="AC766">
        <f t="shared" si="168"/>
        <v>0.03</v>
      </c>
      <c r="AD766">
        <f t="shared" si="169"/>
        <v>1</v>
      </c>
      <c r="AE766">
        <f t="shared" si="170"/>
        <v>1</v>
      </c>
      <c r="AF766">
        <f t="shared" si="171"/>
        <v>1</v>
      </c>
      <c r="AG766">
        <f t="shared" si="172"/>
        <v>100</v>
      </c>
    </row>
    <row r="767" spans="1:33" x14ac:dyDescent="0.2">
      <c r="A767" t="s">
        <v>127</v>
      </c>
      <c r="B767" t="s">
        <v>128</v>
      </c>
      <c r="C767">
        <v>766</v>
      </c>
      <c r="D767">
        <v>132021</v>
      </c>
      <c r="E767" t="s">
        <v>1376</v>
      </c>
      <c r="F767" t="s">
        <v>9</v>
      </c>
      <c r="G767" t="s">
        <v>379</v>
      </c>
      <c r="H767" t="s">
        <v>8</v>
      </c>
      <c r="I767" t="s">
        <v>91</v>
      </c>
      <c r="J767">
        <v>76</v>
      </c>
      <c r="K767">
        <v>0.03</v>
      </c>
      <c r="L767">
        <v>1</v>
      </c>
      <c r="M767">
        <v>1</v>
      </c>
      <c r="N767">
        <v>1</v>
      </c>
      <c r="O767">
        <v>100</v>
      </c>
      <c r="P767" t="b">
        <f t="shared" si="163"/>
        <v>0</v>
      </c>
      <c r="S767" t="str">
        <f t="shared" si="173"/>
        <v>LATER</v>
      </c>
      <c r="T767" t="str">
        <f t="shared" si="174"/>
        <v>SainteLague</v>
      </c>
      <c r="U767">
        <f t="shared" si="176"/>
        <v>766</v>
      </c>
      <c r="V767">
        <f t="shared" si="175"/>
        <v>132021</v>
      </c>
      <c r="W767" s="8" t="str">
        <f>VLOOKUP(V767,'ideas-input'!$A:$B,2,FALSE)</f>
        <v>ESW | EQA | Definição de Checklist Mínimo de QA por Projeto</v>
      </c>
      <c r="X767" t="str">
        <f t="shared" si="164"/>
        <v>SI</v>
      </c>
      <c r="Y767" s="8" t="str">
        <f>VLOOKUP(V767,'ideas-input'!$A:$D,4,FALSE)</f>
        <v>Mail</v>
      </c>
      <c r="Z767" t="str">
        <f t="shared" si="165"/>
        <v>Technology</v>
      </c>
      <c r="AA767" t="str">
        <f t="shared" si="166"/>
        <v>Backlog</v>
      </c>
      <c r="AB767">
        <f t="shared" si="167"/>
        <v>76</v>
      </c>
      <c r="AC767">
        <f t="shared" si="168"/>
        <v>0.03</v>
      </c>
      <c r="AD767">
        <f t="shared" si="169"/>
        <v>1</v>
      </c>
      <c r="AE767">
        <f t="shared" si="170"/>
        <v>1</v>
      </c>
      <c r="AF767">
        <f t="shared" si="171"/>
        <v>1</v>
      </c>
      <c r="AG767">
        <f t="shared" si="172"/>
        <v>100</v>
      </c>
    </row>
    <row r="768" spans="1:33" x14ac:dyDescent="0.2">
      <c r="A768" t="s">
        <v>127</v>
      </c>
      <c r="B768" t="s">
        <v>128</v>
      </c>
      <c r="C768">
        <v>767</v>
      </c>
      <c r="D768">
        <v>139047</v>
      </c>
      <c r="E768" t="s">
        <v>1459</v>
      </c>
      <c r="F768" t="s">
        <v>66</v>
      </c>
      <c r="G768" t="s">
        <v>10</v>
      </c>
      <c r="H768" t="s">
        <v>5</v>
      </c>
      <c r="I768" t="s">
        <v>91</v>
      </c>
      <c r="J768">
        <v>48</v>
      </c>
      <c r="K768">
        <v>0.03</v>
      </c>
      <c r="L768">
        <v>1</v>
      </c>
      <c r="M768">
        <v>1</v>
      </c>
      <c r="N768">
        <v>1</v>
      </c>
      <c r="O768">
        <v>100</v>
      </c>
      <c r="P768" t="b">
        <f t="shared" si="163"/>
        <v>0</v>
      </c>
      <c r="S768" t="str">
        <f t="shared" si="173"/>
        <v>LATER</v>
      </c>
      <c r="T768" t="str">
        <f t="shared" si="174"/>
        <v>SainteLague</v>
      </c>
      <c r="U768">
        <f t="shared" si="176"/>
        <v>767</v>
      </c>
      <c r="V768">
        <f t="shared" si="175"/>
        <v>139047</v>
      </c>
      <c r="W768" s="8" t="str">
        <f>VLOOKUP(V768,'ideas-input'!$A:$B,2,FALSE)</f>
        <v>[Nexus - We Sell] - Onboarding de las Lojas de PT en Proceso Comercial Salesforce</v>
      </c>
      <c r="X768" t="str">
        <f t="shared" si="164"/>
        <v>CCO</v>
      </c>
      <c r="Y768" s="8" t="str">
        <f>VLOOKUP(V768,'ideas-input'!$A:$D,4,FALSE)</f>
        <v>eCommerce</v>
      </c>
      <c r="Z768" t="str">
        <f t="shared" si="165"/>
        <v>Commercial</v>
      </c>
      <c r="AA768" t="str">
        <f t="shared" si="166"/>
        <v>Backlog</v>
      </c>
      <c r="AB768">
        <f t="shared" si="167"/>
        <v>48</v>
      </c>
      <c r="AC768">
        <f t="shared" si="168"/>
        <v>0.03</v>
      </c>
      <c r="AD768">
        <f t="shared" si="169"/>
        <v>1</v>
      </c>
      <c r="AE768">
        <f t="shared" si="170"/>
        <v>1</v>
      </c>
      <c r="AF768">
        <f t="shared" si="171"/>
        <v>1</v>
      </c>
      <c r="AG768">
        <f t="shared" si="172"/>
        <v>100</v>
      </c>
    </row>
    <row r="769" spans="1:33" x14ac:dyDescent="0.2">
      <c r="A769" t="s">
        <v>127</v>
      </c>
      <c r="B769" t="s">
        <v>128</v>
      </c>
      <c r="C769">
        <v>768</v>
      </c>
      <c r="D769">
        <v>105938</v>
      </c>
      <c r="E769" t="s">
        <v>1443</v>
      </c>
      <c r="F769" t="s">
        <v>23</v>
      </c>
      <c r="G769" t="s">
        <v>379</v>
      </c>
      <c r="H769" t="s">
        <v>5</v>
      </c>
      <c r="I769" t="s">
        <v>91</v>
      </c>
      <c r="J769">
        <v>34</v>
      </c>
      <c r="K769">
        <v>0.03</v>
      </c>
      <c r="L769">
        <v>1</v>
      </c>
      <c r="M769">
        <v>1</v>
      </c>
      <c r="N769">
        <v>1</v>
      </c>
      <c r="O769">
        <v>100</v>
      </c>
      <c r="P769" t="b">
        <f t="shared" si="163"/>
        <v>0</v>
      </c>
      <c r="S769" t="str">
        <f t="shared" si="173"/>
        <v>LATER</v>
      </c>
      <c r="T769" t="str">
        <f t="shared" si="174"/>
        <v>SainteLague</v>
      </c>
      <c r="U769">
        <f t="shared" si="176"/>
        <v>768</v>
      </c>
      <c r="V769">
        <f t="shared" si="175"/>
        <v>105938</v>
      </c>
      <c r="W769" s="8" t="str">
        <f>VLOOKUP(V769,'ideas-input'!$A:$B,2,FALSE)</f>
        <v>Notificações Expresso | Aceitação no PUDO (Pedido ZALANDO)</v>
      </c>
      <c r="X769" t="str">
        <f t="shared" si="164"/>
        <v>GP ECL</v>
      </c>
      <c r="Y769" s="8" t="str">
        <f>VLOOKUP(V769,'ideas-input'!$A:$D,4,FALSE)</f>
        <v>eCommerce</v>
      </c>
      <c r="Z769" t="str">
        <f t="shared" si="165"/>
        <v>Commercial</v>
      </c>
      <c r="AA769" t="str">
        <f t="shared" si="166"/>
        <v>Backlog</v>
      </c>
      <c r="AB769">
        <f t="shared" si="167"/>
        <v>34</v>
      </c>
      <c r="AC769">
        <f t="shared" si="168"/>
        <v>0.03</v>
      </c>
      <c r="AD769">
        <f t="shared" si="169"/>
        <v>1</v>
      </c>
      <c r="AE769">
        <f t="shared" si="170"/>
        <v>1</v>
      </c>
      <c r="AF769">
        <f t="shared" si="171"/>
        <v>1</v>
      </c>
      <c r="AG769">
        <f t="shared" si="172"/>
        <v>100</v>
      </c>
    </row>
    <row r="770" spans="1:33" x14ac:dyDescent="0.2">
      <c r="A770" t="s">
        <v>127</v>
      </c>
      <c r="B770" t="s">
        <v>128</v>
      </c>
      <c r="C770">
        <v>769</v>
      </c>
      <c r="D770">
        <v>60855</v>
      </c>
      <c r="E770" t="s">
        <v>1449</v>
      </c>
      <c r="F770" t="s">
        <v>68</v>
      </c>
      <c r="G770" t="s">
        <v>10</v>
      </c>
      <c r="H770" t="s">
        <v>5</v>
      </c>
      <c r="I770" t="s">
        <v>91</v>
      </c>
      <c r="J770">
        <v>45</v>
      </c>
      <c r="K770">
        <v>0.03</v>
      </c>
      <c r="L770">
        <v>1</v>
      </c>
      <c r="M770">
        <v>1</v>
      </c>
      <c r="N770">
        <v>1</v>
      </c>
      <c r="O770">
        <v>100</v>
      </c>
      <c r="P770" t="b">
        <f t="shared" ref="P770:P833" si="177">AND(C770&lt;$Q$1,IF(ISBLANK(C770),0,C770)&gt;0)</f>
        <v>0</v>
      </c>
      <c r="S770" t="str">
        <f t="shared" si="173"/>
        <v>LATER</v>
      </c>
      <c r="T770" t="str">
        <f t="shared" si="174"/>
        <v>SainteLague</v>
      </c>
      <c r="U770">
        <f t="shared" si="176"/>
        <v>769</v>
      </c>
      <c r="V770">
        <f t="shared" si="175"/>
        <v>60855</v>
      </c>
      <c r="W770" s="8" t="str">
        <f>VLOOKUP(V770,'ideas-input'!$A:$B,2,FALSE)</f>
        <v>Identificacion Clientes y Metodos de integracion que usan [Objetos con origen en España sin Cp7]</v>
      </c>
      <c r="X770" t="str">
        <f t="shared" ref="X770:X833" si="178">F770</f>
        <v>IDC</v>
      </c>
      <c r="Y770" s="8" t="str">
        <f>VLOOKUP(V770,'ideas-input'!$A:$D,4,FALSE)</f>
        <v>eCommerce</v>
      </c>
      <c r="Z770" t="str">
        <f t="shared" ref="Z770:Z833" si="179">H770</f>
        <v>Commercial</v>
      </c>
      <c r="AA770" t="str">
        <f t="shared" ref="AA770:AA833" si="180">I770</f>
        <v>Backlog</v>
      </c>
      <c r="AB770">
        <f t="shared" ref="AB770:AB833" si="181">J770</f>
        <v>45</v>
      </c>
      <c r="AC770">
        <f t="shared" ref="AC770:AC833" si="182">K770</f>
        <v>0.03</v>
      </c>
      <c r="AD770">
        <f t="shared" ref="AD770:AD833" si="183">L770</f>
        <v>1</v>
      </c>
      <c r="AE770">
        <f t="shared" ref="AE770:AE833" si="184">M770</f>
        <v>1</v>
      </c>
      <c r="AF770">
        <f t="shared" ref="AF770:AF833" si="185">N770</f>
        <v>1</v>
      </c>
      <c r="AG770">
        <f t="shared" ref="AG770:AG833" si="186">O770</f>
        <v>100</v>
      </c>
    </row>
    <row r="771" spans="1:33" x14ac:dyDescent="0.2">
      <c r="A771" t="s">
        <v>127</v>
      </c>
      <c r="B771" t="s">
        <v>128</v>
      </c>
      <c r="C771">
        <v>770</v>
      </c>
      <c r="D771">
        <v>132023</v>
      </c>
      <c r="E771" t="s">
        <v>1378</v>
      </c>
      <c r="F771" t="s">
        <v>9</v>
      </c>
      <c r="G771" t="s">
        <v>379</v>
      </c>
      <c r="H771" t="s">
        <v>8</v>
      </c>
      <c r="I771" t="s">
        <v>91</v>
      </c>
      <c r="J771">
        <v>77</v>
      </c>
      <c r="K771">
        <v>0.03</v>
      </c>
      <c r="L771">
        <v>1</v>
      </c>
      <c r="M771">
        <v>1</v>
      </c>
      <c r="N771">
        <v>1</v>
      </c>
      <c r="O771">
        <v>100</v>
      </c>
      <c r="P771" t="b">
        <f t="shared" si="177"/>
        <v>0</v>
      </c>
      <c r="S771" t="str">
        <f t="shared" si="173"/>
        <v>LATER</v>
      </c>
      <c r="T771" t="str">
        <f t="shared" si="174"/>
        <v>SainteLague</v>
      </c>
      <c r="U771">
        <f t="shared" si="176"/>
        <v>770</v>
      </c>
      <c r="V771">
        <f t="shared" si="175"/>
        <v>132023</v>
      </c>
      <c r="W771" s="8" t="str">
        <f>VLOOKUP(V771,'ideas-input'!$A:$B,2,FALSE)</f>
        <v>ESW | EQA |Estabilização de Testes Automáticos Existentes de QA</v>
      </c>
      <c r="X771" t="str">
        <f t="shared" si="178"/>
        <v>SI</v>
      </c>
      <c r="Y771" s="8" t="str">
        <f>VLOOKUP(V771,'ideas-input'!$A:$D,4,FALSE)</f>
        <v>Mail</v>
      </c>
      <c r="Z771" t="str">
        <f t="shared" si="179"/>
        <v>Technology</v>
      </c>
      <c r="AA771" t="str">
        <f t="shared" si="180"/>
        <v>Backlog</v>
      </c>
      <c r="AB771">
        <f t="shared" si="181"/>
        <v>77</v>
      </c>
      <c r="AC771">
        <f t="shared" si="182"/>
        <v>0.03</v>
      </c>
      <c r="AD771">
        <f t="shared" si="183"/>
        <v>1</v>
      </c>
      <c r="AE771">
        <f t="shared" si="184"/>
        <v>1</v>
      </c>
      <c r="AF771">
        <f t="shared" si="185"/>
        <v>1</v>
      </c>
      <c r="AG771">
        <f t="shared" si="186"/>
        <v>100</v>
      </c>
    </row>
    <row r="772" spans="1:33" x14ac:dyDescent="0.2">
      <c r="A772" t="s">
        <v>127</v>
      </c>
      <c r="B772" t="s">
        <v>128</v>
      </c>
      <c r="C772">
        <v>771</v>
      </c>
      <c r="D772">
        <v>62833</v>
      </c>
      <c r="E772" t="s">
        <v>1377</v>
      </c>
      <c r="F772" t="s">
        <v>65</v>
      </c>
      <c r="G772" t="s">
        <v>10</v>
      </c>
      <c r="H772" t="s">
        <v>5</v>
      </c>
      <c r="I772" t="s">
        <v>93</v>
      </c>
      <c r="J772">
        <v>55</v>
      </c>
      <c r="K772">
        <v>0.03</v>
      </c>
      <c r="L772">
        <v>1</v>
      </c>
      <c r="M772">
        <v>1</v>
      </c>
      <c r="N772">
        <v>1</v>
      </c>
      <c r="O772">
        <v>100</v>
      </c>
      <c r="P772" t="b">
        <f t="shared" si="177"/>
        <v>0</v>
      </c>
      <c r="S772" t="str">
        <f t="shared" si="173"/>
        <v>LATER</v>
      </c>
      <c r="T772" t="str">
        <f t="shared" si="174"/>
        <v>SainteLague</v>
      </c>
      <c r="U772">
        <f t="shared" si="176"/>
        <v>771</v>
      </c>
      <c r="V772">
        <f t="shared" si="175"/>
        <v>62833</v>
      </c>
      <c r="W772" s="8" t="str">
        <f>VLOOKUP(V772,'ideas-input'!$A:$B,2,FALSE)</f>
        <v>[NEXUS] – Normalización, almacenamiento y gestión de consentimientos (GDPR) en los activos digitales</v>
      </c>
      <c r="X772" t="str">
        <f t="shared" si="178"/>
        <v>CMO</v>
      </c>
      <c r="Y772" s="8" t="str">
        <f>VLOOKUP(V772,'ideas-input'!$A:$D,4,FALSE)</f>
        <v>eCommerce</v>
      </c>
      <c r="Z772" t="str">
        <f t="shared" si="179"/>
        <v>Commercial</v>
      </c>
      <c r="AA772" t="str">
        <f t="shared" si="180"/>
        <v>Pitch</v>
      </c>
      <c r="AB772">
        <f t="shared" si="181"/>
        <v>55</v>
      </c>
      <c r="AC772">
        <f t="shared" si="182"/>
        <v>0.03</v>
      </c>
      <c r="AD772">
        <f t="shared" si="183"/>
        <v>1</v>
      </c>
      <c r="AE772">
        <f t="shared" si="184"/>
        <v>1</v>
      </c>
      <c r="AF772">
        <f t="shared" si="185"/>
        <v>1</v>
      </c>
      <c r="AG772">
        <f t="shared" si="186"/>
        <v>100</v>
      </c>
    </row>
    <row r="773" spans="1:33" x14ac:dyDescent="0.2">
      <c r="A773" t="s">
        <v>127</v>
      </c>
      <c r="B773" t="s">
        <v>128</v>
      </c>
      <c r="C773">
        <v>772</v>
      </c>
      <c r="D773">
        <v>43204</v>
      </c>
      <c r="E773" t="s">
        <v>1445</v>
      </c>
      <c r="F773" t="s">
        <v>37</v>
      </c>
      <c r="G773" t="s">
        <v>379</v>
      </c>
      <c r="H773" t="s">
        <v>5</v>
      </c>
      <c r="I773" t="s">
        <v>95</v>
      </c>
      <c r="J773">
        <v>26</v>
      </c>
      <c r="K773">
        <v>0.03</v>
      </c>
      <c r="L773">
        <v>1</v>
      </c>
      <c r="M773">
        <v>1</v>
      </c>
      <c r="N773">
        <v>1</v>
      </c>
      <c r="O773">
        <v>100</v>
      </c>
      <c r="P773" t="b">
        <f t="shared" si="177"/>
        <v>0</v>
      </c>
      <c r="S773" t="str">
        <f t="shared" si="173"/>
        <v>LATER</v>
      </c>
      <c r="T773" t="str">
        <f t="shared" si="174"/>
        <v>SainteLague</v>
      </c>
      <c r="U773">
        <f t="shared" si="176"/>
        <v>772</v>
      </c>
      <c r="V773">
        <f t="shared" si="175"/>
        <v>43204</v>
      </c>
      <c r="W773" s="8" t="str">
        <f>VLOOKUP(V773,'ideas-input'!$A:$B,2,FALSE)</f>
        <v>Desmaterialização Documentos Multicare</v>
      </c>
      <c r="X773" t="str">
        <f t="shared" si="178"/>
        <v>GS</v>
      </c>
      <c r="Y773" s="8" t="str">
        <f>VLOOKUP(V773,'ideas-input'!$A:$D,4,FALSE)</f>
        <v>Retail &amp; Financial Services</v>
      </c>
      <c r="Z773" t="str">
        <f t="shared" si="179"/>
        <v>Commercial</v>
      </c>
      <c r="AA773" t="str">
        <f t="shared" si="180"/>
        <v>In Definition</v>
      </c>
      <c r="AB773">
        <f t="shared" si="181"/>
        <v>26</v>
      </c>
      <c r="AC773">
        <f t="shared" si="182"/>
        <v>0.03</v>
      </c>
      <c r="AD773">
        <f t="shared" si="183"/>
        <v>1</v>
      </c>
      <c r="AE773">
        <f t="shared" si="184"/>
        <v>1</v>
      </c>
      <c r="AF773">
        <f t="shared" si="185"/>
        <v>1</v>
      </c>
      <c r="AG773">
        <f t="shared" si="186"/>
        <v>100</v>
      </c>
    </row>
    <row r="774" spans="1:33" x14ac:dyDescent="0.2">
      <c r="A774" t="s">
        <v>127</v>
      </c>
      <c r="B774" t="s">
        <v>128</v>
      </c>
      <c r="C774">
        <v>773</v>
      </c>
      <c r="D774">
        <v>63932</v>
      </c>
      <c r="E774" t="s">
        <v>1453</v>
      </c>
      <c r="F774" t="s">
        <v>68</v>
      </c>
      <c r="G774" t="s">
        <v>10</v>
      </c>
      <c r="H774" t="s">
        <v>5</v>
      </c>
      <c r="I774" t="s">
        <v>91</v>
      </c>
      <c r="J774">
        <v>46</v>
      </c>
      <c r="K774">
        <v>0.03</v>
      </c>
      <c r="L774">
        <v>1</v>
      </c>
      <c r="M774">
        <v>1</v>
      </c>
      <c r="N774">
        <v>1</v>
      </c>
      <c r="O774">
        <v>100</v>
      </c>
      <c r="P774" t="b">
        <f t="shared" si="177"/>
        <v>0</v>
      </c>
      <c r="S774" t="str">
        <f t="shared" si="173"/>
        <v>LATER</v>
      </c>
      <c r="T774" t="str">
        <f t="shared" si="174"/>
        <v>SainteLague</v>
      </c>
      <c r="U774">
        <f t="shared" si="176"/>
        <v>773</v>
      </c>
      <c r="V774">
        <f t="shared" si="175"/>
        <v>63932</v>
      </c>
      <c r="W774" s="8" t="str">
        <f>VLOOKUP(V774,'ideas-input'!$A:$B,2,FALSE)</f>
        <v>Prestashop- Habilitar adicionales identificación en destino y verificacion destinatario</v>
      </c>
      <c r="X774" t="str">
        <f t="shared" si="178"/>
        <v>IDC</v>
      </c>
      <c r="Y774" s="8" t="str">
        <f>VLOOKUP(V774,'ideas-input'!$A:$D,4,FALSE)</f>
        <v>eCommerce</v>
      </c>
      <c r="Z774" t="str">
        <f t="shared" si="179"/>
        <v>Commercial</v>
      </c>
      <c r="AA774" t="str">
        <f t="shared" si="180"/>
        <v>Backlog</v>
      </c>
      <c r="AB774">
        <f t="shared" si="181"/>
        <v>46</v>
      </c>
      <c r="AC774">
        <f t="shared" si="182"/>
        <v>0.03</v>
      </c>
      <c r="AD774">
        <f t="shared" si="183"/>
        <v>1</v>
      </c>
      <c r="AE774">
        <f t="shared" si="184"/>
        <v>1</v>
      </c>
      <c r="AF774">
        <f t="shared" si="185"/>
        <v>1</v>
      </c>
      <c r="AG774">
        <f t="shared" si="186"/>
        <v>100</v>
      </c>
    </row>
    <row r="775" spans="1:33" x14ac:dyDescent="0.2">
      <c r="A775" t="s">
        <v>127</v>
      </c>
      <c r="B775" t="s">
        <v>128</v>
      </c>
      <c r="C775">
        <v>774</v>
      </c>
      <c r="D775">
        <v>142362</v>
      </c>
      <c r="E775" t="s">
        <v>288</v>
      </c>
      <c r="F775" t="s">
        <v>38</v>
      </c>
      <c r="G775" t="s">
        <v>379</v>
      </c>
      <c r="H775" t="s">
        <v>5</v>
      </c>
      <c r="I775" t="s">
        <v>91</v>
      </c>
      <c r="J775">
        <v>23</v>
      </c>
      <c r="K775">
        <v>0.03</v>
      </c>
      <c r="L775">
        <v>1</v>
      </c>
      <c r="M775">
        <v>1</v>
      </c>
      <c r="N775">
        <v>1</v>
      </c>
      <c r="O775">
        <v>100</v>
      </c>
      <c r="P775" t="b">
        <f t="shared" si="177"/>
        <v>0</v>
      </c>
      <c r="S775" t="str">
        <f t="shared" si="173"/>
        <v>LATER</v>
      </c>
      <c r="T775" t="str">
        <f t="shared" si="174"/>
        <v>SainteLague</v>
      </c>
      <c r="U775">
        <f t="shared" si="176"/>
        <v>774</v>
      </c>
      <c r="V775">
        <f t="shared" si="175"/>
        <v>142362</v>
      </c>
      <c r="W775" s="8" t="str">
        <f>VLOOKUP(V775,'ideas-input'!$A:$B,2,FALSE)</f>
        <v>Adiantamentos para D+1 a PCTT encerrados em D</v>
      </c>
      <c r="X775" t="str">
        <f t="shared" si="178"/>
        <v>CSI</v>
      </c>
      <c r="Y775" s="8" t="str">
        <f>VLOOKUP(V775,'ideas-input'!$A:$D,4,FALSE)</f>
        <v>Mail</v>
      </c>
      <c r="Z775" t="str">
        <f t="shared" si="179"/>
        <v>Commercial</v>
      </c>
      <c r="AA775" t="str">
        <f t="shared" si="180"/>
        <v>Backlog</v>
      </c>
      <c r="AB775">
        <f t="shared" si="181"/>
        <v>23</v>
      </c>
      <c r="AC775">
        <f t="shared" si="182"/>
        <v>0.03</v>
      </c>
      <c r="AD775">
        <f t="shared" si="183"/>
        <v>1</v>
      </c>
      <c r="AE775">
        <f t="shared" si="184"/>
        <v>1</v>
      </c>
      <c r="AF775">
        <f t="shared" si="185"/>
        <v>1</v>
      </c>
      <c r="AG775">
        <f t="shared" si="186"/>
        <v>100</v>
      </c>
    </row>
    <row r="776" spans="1:33" x14ac:dyDescent="0.2">
      <c r="A776" t="s">
        <v>127</v>
      </c>
      <c r="B776" t="s">
        <v>128</v>
      </c>
      <c r="C776">
        <v>775</v>
      </c>
      <c r="D776">
        <v>43598</v>
      </c>
      <c r="E776" t="s">
        <v>1383</v>
      </c>
      <c r="F776" t="s">
        <v>65</v>
      </c>
      <c r="G776" t="s">
        <v>10</v>
      </c>
      <c r="H776" t="s">
        <v>5</v>
      </c>
      <c r="I776" t="s">
        <v>91</v>
      </c>
      <c r="J776">
        <v>56</v>
      </c>
      <c r="K776">
        <v>0.03</v>
      </c>
      <c r="L776">
        <v>1</v>
      </c>
      <c r="M776">
        <v>1</v>
      </c>
      <c r="N776">
        <v>1</v>
      </c>
      <c r="O776">
        <v>100</v>
      </c>
      <c r="P776" t="b">
        <f t="shared" si="177"/>
        <v>0</v>
      </c>
      <c r="S776" t="str">
        <f t="shared" si="173"/>
        <v>LATER</v>
      </c>
      <c r="T776" t="str">
        <f t="shared" si="174"/>
        <v>SainteLague</v>
      </c>
      <c r="U776">
        <f t="shared" si="176"/>
        <v>775</v>
      </c>
      <c r="V776">
        <f t="shared" si="175"/>
        <v>43598</v>
      </c>
      <c r="W776" s="8" t="str">
        <f>VLOOKUP(V776,'ideas-input'!$A:$B,2,FALSE)</f>
        <v>[PUDOS] - Entregas y Recogidas Directas en PUDO - Tránsitos ES-ES y ES-PT - Integración bidireccional de Pudos ES-PT, PT-ES</v>
      </c>
      <c r="X776" t="str">
        <f t="shared" si="178"/>
        <v>CMO</v>
      </c>
      <c r="Y776" s="8" t="str">
        <f>VLOOKUP(V776,'ideas-input'!$A:$D,4,FALSE)</f>
        <v>eCommerce</v>
      </c>
      <c r="Z776" t="str">
        <f t="shared" si="179"/>
        <v>Commercial</v>
      </c>
      <c r="AA776" t="str">
        <f t="shared" si="180"/>
        <v>Backlog</v>
      </c>
      <c r="AB776">
        <f t="shared" si="181"/>
        <v>56</v>
      </c>
      <c r="AC776">
        <f t="shared" si="182"/>
        <v>0.03</v>
      </c>
      <c r="AD776">
        <f t="shared" si="183"/>
        <v>1</v>
      </c>
      <c r="AE776">
        <f t="shared" si="184"/>
        <v>1</v>
      </c>
      <c r="AF776">
        <f t="shared" si="185"/>
        <v>1</v>
      </c>
      <c r="AG776">
        <f t="shared" si="186"/>
        <v>100</v>
      </c>
    </row>
    <row r="777" spans="1:33" x14ac:dyDescent="0.2">
      <c r="A777" t="s">
        <v>127</v>
      </c>
      <c r="B777" t="s">
        <v>128</v>
      </c>
      <c r="C777">
        <v>776</v>
      </c>
      <c r="D777">
        <v>132024</v>
      </c>
      <c r="E777" t="s">
        <v>1382</v>
      </c>
      <c r="F777" t="s">
        <v>9</v>
      </c>
      <c r="G777" t="s">
        <v>379</v>
      </c>
      <c r="H777" t="s">
        <v>8</v>
      </c>
      <c r="I777" t="s">
        <v>91</v>
      </c>
      <c r="J777">
        <v>78</v>
      </c>
      <c r="K777">
        <v>0.03</v>
      </c>
      <c r="L777">
        <v>1</v>
      </c>
      <c r="M777">
        <v>1</v>
      </c>
      <c r="N777">
        <v>1</v>
      </c>
      <c r="O777">
        <v>100</v>
      </c>
      <c r="P777" t="b">
        <f t="shared" si="177"/>
        <v>0</v>
      </c>
      <c r="S777" t="str">
        <f t="shared" si="173"/>
        <v>LATER</v>
      </c>
      <c r="T777" t="str">
        <f t="shared" si="174"/>
        <v>SainteLague</v>
      </c>
      <c r="U777">
        <f t="shared" si="176"/>
        <v>776</v>
      </c>
      <c r="V777">
        <f t="shared" si="175"/>
        <v>132024</v>
      </c>
      <c r="W777" s="8" t="str">
        <f>VLOOKUP(V777,'ideas-input'!$A:$B,2,FALSE)</f>
        <v>ESW | EQA | Utilização Regular da Automação de QA em Regressões</v>
      </c>
      <c r="X777" t="str">
        <f t="shared" si="178"/>
        <v>SI</v>
      </c>
      <c r="Y777" s="8" t="str">
        <f>VLOOKUP(V777,'ideas-input'!$A:$D,4,FALSE)</f>
        <v>Mail</v>
      </c>
      <c r="Z777" t="str">
        <f t="shared" si="179"/>
        <v>Technology</v>
      </c>
      <c r="AA777" t="str">
        <f t="shared" si="180"/>
        <v>Backlog</v>
      </c>
      <c r="AB777">
        <f t="shared" si="181"/>
        <v>78</v>
      </c>
      <c r="AC777">
        <f t="shared" si="182"/>
        <v>0.03</v>
      </c>
      <c r="AD777">
        <f t="shared" si="183"/>
        <v>1</v>
      </c>
      <c r="AE777">
        <f t="shared" si="184"/>
        <v>1</v>
      </c>
      <c r="AF777">
        <f t="shared" si="185"/>
        <v>1</v>
      </c>
      <c r="AG777">
        <f t="shared" si="186"/>
        <v>100</v>
      </c>
    </row>
    <row r="778" spans="1:33" x14ac:dyDescent="0.2">
      <c r="A778" t="s">
        <v>127</v>
      </c>
      <c r="B778" t="s">
        <v>128</v>
      </c>
      <c r="C778">
        <v>777</v>
      </c>
      <c r="D778">
        <v>63935</v>
      </c>
      <c r="E778" t="s">
        <v>1461</v>
      </c>
      <c r="F778" t="s">
        <v>68</v>
      </c>
      <c r="G778" t="s">
        <v>10</v>
      </c>
      <c r="H778" t="s">
        <v>5</v>
      </c>
      <c r="I778" t="s">
        <v>91</v>
      </c>
      <c r="J778">
        <v>47</v>
      </c>
      <c r="K778">
        <v>0.03</v>
      </c>
      <c r="L778">
        <v>1</v>
      </c>
      <c r="M778">
        <v>1</v>
      </c>
      <c r="N778">
        <v>1</v>
      </c>
      <c r="O778">
        <v>100</v>
      </c>
      <c r="P778" t="b">
        <f t="shared" si="177"/>
        <v>0</v>
      </c>
      <c r="S778" t="str">
        <f t="shared" si="173"/>
        <v>LATER</v>
      </c>
      <c r="T778" t="str">
        <f t="shared" si="174"/>
        <v>SainteLague</v>
      </c>
      <c r="U778">
        <f t="shared" si="176"/>
        <v>777</v>
      </c>
      <c r="V778">
        <f t="shared" si="175"/>
        <v>63935</v>
      </c>
      <c r="W778" s="8" t="str">
        <f>VLOOKUP(V778,'ideas-input'!$A:$B,2,FALSE)</f>
        <v>WooCommerce- Habilitar adicionales identificación en destino y verificacion destinatario</v>
      </c>
      <c r="X778" t="str">
        <f t="shared" si="178"/>
        <v>IDC</v>
      </c>
      <c r="Y778" s="8" t="str">
        <f>VLOOKUP(V778,'ideas-input'!$A:$D,4,FALSE)</f>
        <v>eCommerce</v>
      </c>
      <c r="Z778" t="str">
        <f t="shared" si="179"/>
        <v>Commercial</v>
      </c>
      <c r="AA778" t="str">
        <f t="shared" si="180"/>
        <v>Backlog</v>
      </c>
      <c r="AB778">
        <f t="shared" si="181"/>
        <v>47</v>
      </c>
      <c r="AC778">
        <f t="shared" si="182"/>
        <v>0.03</v>
      </c>
      <c r="AD778">
        <f t="shared" si="183"/>
        <v>1</v>
      </c>
      <c r="AE778">
        <f t="shared" si="184"/>
        <v>1</v>
      </c>
      <c r="AF778">
        <f t="shared" si="185"/>
        <v>1</v>
      </c>
      <c r="AG778">
        <f t="shared" si="186"/>
        <v>100</v>
      </c>
    </row>
    <row r="779" spans="1:33" x14ac:dyDescent="0.2">
      <c r="A779" t="s">
        <v>127</v>
      </c>
      <c r="B779" t="s">
        <v>128</v>
      </c>
      <c r="C779">
        <v>778</v>
      </c>
      <c r="D779">
        <v>188477</v>
      </c>
      <c r="E779" t="s">
        <v>256</v>
      </c>
      <c r="F779" t="s">
        <v>37</v>
      </c>
      <c r="G779" t="s">
        <v>379</v>
      </c>
      <c r="H779" t="s">
        <v>5</v>
      </c>
      <c r="I779" t="s">
        <v>95</v>
      </c>
      <c r="J779">
        <v>27</v>
      </c>
      <c r="K779">
        <v>0.03</v>
      </c>
      <c r="L779">
        <v>1</v>
      </c>
      <c r="M779">
        <v>1</v>
      </c>
      <c r="N779">
        <v>1</v>
      </c>
      <c r="O779">
        <v>100</v>
      </c>
      <c r="P779" t="b">
        <f t="shared" si="177"/>
        <v>0</v>
      </c>
      <c r="S779" t="str">
        <f t="shared" si="173"/>
        <v>LATER</v>
      </c>
      <c r="T779" t="str">
        <f t="shared" si="174"/>
        <v>SainteLague</v>
      </c>
      <c r="U779">
        <f t="shared" si="176"/>
        <v>778</v>
      </c>
      <c r="V779">
        <f t="shared" si="175"/>
        <v>188477</v>
      </c>
      <c r="W779" s="8" t="str">
        <f>VLOOKUP(V779,'ideas-input'!$A:$B,2,FALSE)</f>
        <v>Amazon - Melhorias ao processo atual</v>
      </c>
      <c r="X779" t="str">
        <f t="shared" si="178"/>
        <v>GS</v>
      </c>
      <c r="Y779" s="8" t="str">
        <f>VLOOKUP(V779,'ideas-input'!$A:$D,4,FALSE)</f>
        <v>Mail</v>
      </c>
      <c r="Z779" t="str">
        <f t="shared" si="179"/>
        <v>Commercial</v>
      </c>
      <c r="AA779" t="str">
        <f t="shared" si="180"/>
        <v>In Definition</v>
      </c>
      <c r="AB779">
        <f t="shared" si="181"/>
        <v>27</v>
      </c>
      <c r="AC779">
        <f t="shared" si="182"/>
        <v>0.03</v>
      </c>
      <c r="AD779">
        <f t="shared" si="183"/>
        <v>1</v>
      </c>
      <c r="AE779">
        <f t="shared" si="184"/>
        <v>1</v>
      </c>
      <c r="AF779">
        <f t="shared" si="185"/>
        <v>1</v>
      </c>
      <c r="AG779">
        <f t="shared" si="186"/>
        <v>100</v>
      </c>
    </row>
    <row r="780" spans="1:33" x14ac:dyDescent="0.2">
      <c r="A780" t="s">
        <v>127</v>
      </c>
      <c r="B780" t="s">
        <v>128</v>
      </c>
      <c r="C780">
        <v>779</v>
      </c>
      <c r="D780">
        <v>49640</v>
      </c>
      <c r="E780" t="s">
        <v>1385</v>
      </c>
      <c r="F780" t="s">
        <v>65</v>
      </c>
      <c r="G780" t="s">
        <v>10</v>
      </c>
      <c r="H780" t="s">
        <v>5</v>
      </c>
      <c r="I780" t="s">
        <v>95</v>
      </c>
      <c r="J780">
        <v>57</v>
      </c>
      <c r="K780">
        <v>0.03</v>
      </c>
      <c r="L780">
        <v>1</v>
      </c>
      <c r="M780">
        <v>1</v>
      </c>
      <c r="N780">
        <v>1</v>
      </c>
      <c r="O780">
        <v>100</v>
      </c>
      <c r="P780" t="b">
        <f t="shared" si="177"/>
        <v>0</v>
      </c>
      <c r="S780" t="str">
        <f t="shared" si="173"/>
        <v>LATER</v>
      </c>
      <c r="T780" t="str">
        <f t="shared" si="174"/>
        <v>SainteLague</v>
      </c>
      <c r="U780">
        <f t="shared" si="176"/>
        <v>779</v>
      </c>
      <c r="V780">
        <f t="shared" si="175"/>
        <v>49640</v>
      </c>
      <c r="W780" s="8" t="str">
        <f>VLOOKUP(V780,'ideas-input'!$A:$B,2,FALSE)</f>
        <v>[Web de Clientes] - Reportes: Suscripción Informes incidencias con disponibilidad a demanda</v>
      </c>
      <c r="X780" t="str">
        <f t="shared" si="178"/>
        <v>CMO</v>
      </c>
      <c r="Y780" s="8" t="str">
        <f>VLOOKUP(V780,'ideas-input'!$A:$D,4,FALSE)</f>
        <v>eCommerce</v>
      </c>
      <c r="Z780" t="str">
        <f t="shared" si="179"/>
        <v>Commercial</v>
      </c>
      <c r="AA780" t="str">
        <f t="shared" si="180"/>
        <v>In Definition</v>
      </c>
      <c r="AB780">
        <f t="shared" si="181"/>
        <v>57</v>
      </c>
      <c r="AC780">
        <f t="shared" si="182"/>
        <v>0.03</v>
      </c>
      <c r="AD780">
        <f t="shared" si="183"/>
        <v>1</v>
      </c>
      <c r="AE780">
        <f t="shared" si="184"/>
        <v>1</v>
      </c>
      <c r="AF780">
        <f t="shared" si="185"/>
        <v>1</v>
      </c>
      <c r="AG780">
        <f t="shared" si="186"/>
        <v>100</v>
      </c>
    </row>
    <row r="781" spans="1:33" x14ac:dyDescent="0.2">
      <c r="A781" t="s">
        <v>127</v>
      </c>
      <c r="B781" t="s">
        <v>128</v>
      </c>
      <c r="C781">
        <v>780</v>
      </c>
      <c r="D781">
        <v>125692</v>
      </c>
      <c r="E781" t="s">
        <v>1386</v>
      </c>
      <c r="F781" t="s">
        <v>9</v>
      </c>
      <c r="G781" t="s">
        <v>379</v>
      </c>
      <c r="H781" t="s">
        <v>8</v>
      </c>
      <c r="I781" t="s">
        <v>94</v>
      </c>
      <c r="J781">
        <v>79</v>
      </c>
      <c r="K781">
        <v>11</v>
      </c>
      <c r="L781">
        <v>3</v>
      </c>
      <c r="M781">
        <v>4</v>
      </c>
      <c r="N781">
        <v>4</v>
      </c>
      <c r="O781">
        <v>1</v>
      </c>
      <c r="P781" t="b">
        <f t="shared" si="177"/>
        <v>0</v>
      </c>
      <c r="S781" t="str">
        <f t="shared" si="173"/>
        <v>LATER</v>
      </c>
      <c r="T781" t="str">
        <f t="shared" si="174"/>
        <v>SainteLague</v>
      </c>
      <c r="U781">
        <f t="shared" si="176"/>
        <v>780</v>
      </c>
      <c r="V781">
        <f t="shared" si="175"/>
        <v>125692</v>
      </c>
      <c r="W781" s="8" t="str">
        <f>VLOOKUP(V781,'ideas-input'!$A:$B,2,FALSE)</f>
        <v>Upgrade plataforma OutSystems para versão 11.40.0</v>
      </c>
      <c r="X781" t="str">
        <f t="shared" si="178"/>
        <v>SI</v>
      </c>
      <c r="Y781" s="8" t="str">
        <f>VLOOKUP(V781,'ideas-input'!$A:$D,4,FALSE)</f>
        <v>Mail</v>
      </c>
      <c r="Z781" t="str">
        <f t="shared" si="179"/>
        <v>Technology</v>
      </c>
      <c r="AA781" t="str">
        <f t="shared" si="180"/>
        <v>In Approval</v>
      </c>
      <c r="AB781">
        <f t="shared" si="181"/>
        <v>79</v>
      </c>
      <c r="AC781">
        <f t="shared" si="182"/>
        <v>11</v>
      </c>
      <c r="AD781">
        <f t="shared" si="183"/>
        <v>3</v>
      </c>
      <c r="AE781">
        <f t="shared" si="184"/>
        <v>4</v>
      </c>
      <c r="AF781">
        <f t="shared" si="185"/>
        <v>4</v>
      </c>
      <c r="AG781">
        <f t="shared" si="186"/>
        <v>1</v>
      </c>
    </row>
    <row r="782" spans="1:33" x14ac:dyDescent="0.2">
      <c r="A782" t="s">
        <v>127</v>
      </c>
      <c r="B782" t="s">
        <v>128</v>
      </c>
      <c r="C782">
        <v>781</v>
      </c>
      <c r="D782">
        <v>64010</v>
      </c>
      <c r="E782" t="s">
        <v>1465</v>
      </c>
      <c r="F782" t="s">
        <v>68</v>
      </c>
      <c r="G782" t="s">
        <v>10</v>
      </c>
      <c r="H782" t="s">
        <v>5</v>
      </c>
      <c r="I782" t="s">
        <v>91</v>
      </c>
      <c r="J782">
        <v>48</v>
      </c>
      <c r="K782">
        <v>0.03</v>
      </c>
      <c r="L782">
        <v>1</v>
      </c>
      <c r="M782">
        <v>1</v>
      </c>
      <c r="N782">
        <v>1</v>
      </c>
      <c r="O782">
        <v>100</v>
      </c>
      <c r="P782" t="b">
        <f t="shared" si="177"/>
        <v>0</v>
      </c>
      <c r="S782" t="str">
        <f t="shared" si="173"/>
        <v>LATER</v>
      </c>
      <c r="T782" t="str">
        <f t="shared" si="174"/>
        <v>SainteLague</v>
      </c>
      <c r="U782">
        <f t="shared" si="176"/>
        <v>781</v>
      </c>
      <c r="V782">
        <f t="shared" si="175"/>
        <v>64010</v>
      </c>
      <c r="W782" s="8" t="str">
        <f>VLOOKUP(V782,'ideas-input'!$A:$B,2,FALSE)</f>
        <v>[API GET TRACKING BY DATES] - WEB TRACKING - Añadir código envío devolución - API Rest, capa User Experience</v>
      </c>
      <c r="X782" t="str">
        <f t="shared" si="178"/>
        <v>IDC</v>
      </c>
      <c r="Y782" s="8" t="str">
        <f>VLOOKUP(V782,'ideas-input'!$A:$D,4,FALSE)</f>
        <v>eCommerce</v>
      </c>
      <c r="Z782" t="str">
        <f t="shared" si="179"/>
        <v>Commercial</v>
      </c>
      <c r="AA782" t="str">
        <f t="shared" si="180"/>
        <v>Backlog</v>
      </c>
      <c r="AB782">
        <f t="shared" si="181"/>
        <v>48</v>
      </c>
      <c r="AC782">
        <f t="shared" si="182"/>
        <v>0.03</v>
      </c>
      <c r="AD782">
        <f t="shared" si="183"/>
        <v>1</v>
      </c>
      <c r="AE782">
        <f t="shared" si="184"/>
        <v>1</v>
      </c>
      <c r="AF782">
        <f t="shared" si="185"/>
        <v>1</v>
      </c>
      <c r="AG782">
        <f t="shared" si="186"/>
        <v>100</v>
      </c>
    </row>
    <row r="783" spans="1:33" x14ac:dyDescent="0.2">
      <c r="A783" t="s">
        <v>127</v>
      </c>
      <c r="B783" t="s">
        <v>128</v>
      </c>
      <c r="C783">
        <v>782</v>
      </c>
      <c r="D783">
        <v>160028</v>
      </c>
      <c r="E783" t="s">
        <v>291</v>
      </c>
      <c r="F783" t="s">
        <v>38</v>
      </c>
      <c r="G783" t="s">
        <v>379</v>
      </c>
      <c r="H783" t="s">
        <v>5</v>
      </c>
      <c r="I783" t="s">
        <v>91</v>
      </c>
      <c r="J783">
        <v>24</v>
      </c>
      <c r="K783">
        <v>0.03</v>
      </c>
      <c r="L783">
        <v>1</v>
      </c>
      <c r="M783">
        <v>1</v>
      </c>
      <c r="N783">
        <v>1</v>
      </c>
      <c r="O783">
        <v>100</v>
      </c>
      <c r="P783" t="b">
        <f t="shared" si="177"/>
        <v>0</v>
      </c>
      <c r="S783" t="str">
        <f t="shared" si="173"/>
        <v>LATER</v>
      </c>
      <c r="T783" t="str">
        <f t="shared" si="174"/>
        <v>SainteLague</v>
      </c>
      <c r="U783">
        <f t="shared" si="176"/>
        <v>782</v>
      </c>
      <c r="V783">
        <f t="shared" si="175"/>
        <v>160028</v>
      </c>
      <c r="W783" s="8" t="str">
        <f>VLOOKUP(V783,'ideas-input'!$A:$B,2,FALSE)</f>
        <v>BFT - Faturas com 4 casas decimais</v>
      </c>
      <c r="X783" t="str">
        <f t="shared" si="178"/>
        <v>CSI</v>
      </c>
      <c r="Y783" s="8" t="str">
        <f>VLOOKUP(V783,'ideas-input'!$A:$D,4,FALSE)</f>
        <v>Mail</v>
      </c>
      <c r="Z783" t="str">
        <f t="shared" si="179"/>
        <v>Commercial</v>
      </c>
      <c r="AA783" t="str">
        <f t="shared" si="180"/>
        <v>Backlog</v>
      </c>
      <c r="AB783">
        <f t="shared" si="181"/>
        <v>24</v>
      </c>
      <c r="AC783">
        <f t="shared" si="182"/>
        <v>0.03</v>
      </c>
      <c r="AD783">
        <f t="shared" si="183"/>
        <v>1</v>
      </c>
      <c r="AE783">
        <f t="shared" si="184"/>
        <v>1</v>
      </c>
      <c r="AF783">
        <f t="shared" si="185"/>
        <v>1</v>
      </c>
      <c r="AG783">
        <f t="shared" si="186"/>
        <v>100</v>
      </c>
    </row>
    <row r="784" spans="1:33" x14ac:dyDescent="0.2">
      <c r="A784" t="s">
        <v>127</v>
      </c>
      <c r="B784" t="s">
        <v>128</v>
      </c>
      <c r="C784">
        <v>783</v>
      </c>
      <c r="D784">
        <v>53144</v>
      </c>
      <c r="E784" t="s">
        <v>1389</v>
      </c>
      <c r="F784" t="s">
        <v>65</v>
      </c>
      <c r="G784" t="s">
        <v>10</v>
      </c>
      <c r="H784" t="s">
        <v>5</v>
      </c>
      <c r="I784" t="s">
        <v>91</v>
      </c>
      <c r="J784">
        <v>58</v>
      </c>
      <c r="K784">
        <v>0.03</v>
      </c>
      <c r="L784">
        <v>1</v>
      </c>
      <c r="M784">
        <v>1</v>
      </c>
      <c r="N784">
        <v>1</v>
      </c>
      <c r="O784">
        <v>100</v>
      </c>
      <c r="P784" t="b">
        <f t="shared" si="177"/>
        <v>0</v>
      </c>
      <c r="S784" t="str">
        <f t="shared" si="173"/>
        <v>LATER</v>
      </c>
      <c r="T784" t="str">
        <f t="shared" si="174"/>
        <v>SainteLague</v>
      </c>
      <c r="U784">
        <f t="shared" si="176"/>
        <v>783</v>
      </c>
      <c r="V784">
        <f t="shared" si="175"/>
        <v>53144</v>
      </c>
      <c r="W784" s="8" t="str">
        <f>VLOOKUP(V784,'ideas-input'!$A:$B,2,FALSE)</f>
        <v>[PUDOS] - Automatización de comunicación de eventos de Celeritas - CTT</v>
      </c>
      <c r="X784" t="str">
        <f t="shared" si="178"/>
        <v>CMO</v>
      </c>
      <c r="Y784" s="8" t="str">
        <f>VLOOKUP(V784,'ideas-input'!$A:$D,4,FALSE)</f>
        <v>eCommerce</v>
      </c>
      <c r="Z784" t="str">
        <f t="shared" si="179"/>
        <v>Commercial</v>
      </c>
      <c r="AA784" t="str">
        <f t="shared" si="180"/>
        <v>Backlog</v>
      </c>
      <c r="AB784">
        <f t="shared" si="181"/>
        <v>58</v>
      </c>
      <c r="AC784">
        <f t="shared" si="182"/>
        <v>0.03</v>
      </c>
      <c r="AD784">
        <f t="shared" si="183"/>
        <v>1</v>
      </c>
      <c r="AE784">
        <f t="shared" si="184"/>
        <v>1</v>
      </c>
      <c r="AF784">
        <f t="shared" si="185"/>
        <v>1</v>
      </c>
      <c r="AG784">
        <f t="shared" si="186"/>
        <v>100</v>
      </c>
    </row>
    <row r="785" spans="1:33" x14ac:dyDescent="0.2">
      <c r="A785" t="s">
        <v>127</v>
      </c>
      <c r="B785" t="s">
        <v>128</v>
      </c>
      <c r="C785">
        <v>784</v>
      </c>
      <c r="D785">
        <v>125693</v>
      </c>
      <c r="E785" t="s">
        <v>300</v>
      </c>
      <c r="F785" t="s">
        <v>9</v>
      </c>
      <c r="G785" t="s">
        <v>379</v>
      </c>
      <c r="H785" t="s">
        <v>8</v>
      </c>
      <c r="I785" t="s">
        <v>94</v>
      </c>
      <c r="J785">
        <v>80</v>
      </c>
      <c r="K785">
        <v>11</v>
      </c>
      <c r="L785">
        <v>3</v>
      </c>
      <c r="M785">
        <v>4</v>
      </c>
      <c r="N785">
        <v>4</v>
      </c>
      <c r="O785">
        <v>1</v>
      </c>
      <c r="P785" t="b">
        <f t="shared" si="177"/>
        <v>0</v>
      </c>
      <c r="S785" t="str">
        <f t="shared" si="173"/>
        <v>LATER</v>
      </c>
      <c r="T785" t="str">
        <f t="shared" si="174"/>
        <v>SainteLague</v>
      </c>
      <c r="U785">
        <f t="shared" si="176"/>
        <v>784</v>
      </c>
      <c r="V785">
        <f t="shared" si="175"/>
        <v>125693</v>
      </c>
      <c r="W785" s="8" t="str">
        <f>VLOOKUP(V785,'ideas-input'!$A:$B,2,FALSE)</f>
        <v>Upgrade servidores OutSystems para Windows Server 2022</v>
      </c>
      <c r="X785" t="str">
        <f t="shared" si="178"/>
        <v>SI</v>
      </c>
      <c r="Y785" s="8" t="str">
        <f>VLOOKUP(V785,'ideas-input'!$A:$D,4,FALSE)</f>
        <v>Mail</v>
      </c>
      <c r="Z785" t="str">
        <f t="shared" si="179"/>
        <v>Technology</v>
      </c>
      <c r="AA785" t="str">
        <f t="shared" si="180"/>
        <v>In Approval</v>
      </c>
      <c r="AB785">
        <f t="shared" si="181"/>
        <v>80</v>
      </c>
      <c r="AC785">
        <f t="shared" si="182"/>
        <v>11</v>
      </c>
      <c r="AD785">
        <f t="shared" si="183"/>
        <v>3</v>
      </c>
      <c r="AE785">
        <f t="shared" si="184"/>
        <v>4</v>
      </c>
      <c r="AF785">
        <f t="shared" si="185"/>
        <v>4</v>
      </c>
      <c r="AG785">
        <f t="shared" si="186"/>
        <v>1</v>
      </c>
    </row>
    <row r="786" spans="1:33" x14ac:dyDescent="0.2">
      <c r="A786" t="s">
        <v>127</v>
      </c>
      <c r="B786" t="s">
        <v>128</v>
      </c>
      <c r="C786">
        <v>785</v>
      </c>
      <c r="D786">
        <v>64193</v>
      </c>
      <c r="E786" t="s">
        <v>312</v>
      </c>
      <c r="F786" t="s">
        <v>68</v>
      </c>
      <c r="G786" t="s">
        <v>10</v>
      </c>
      <c r="H786" t="s">
        <v>5</v>
      </c>
      <c r="I786" t="s">
        <v>95</v>
      </c>
      <c r="J786">
        <v>49</v>
      </c>
      <c r="K786">
        <v>0.03</v>
      </c>
      <c r="L786">
        <v>1</v>
      </c>
      <c r="M786">
        <v>1</v>
      </c>
      <c r="N786">
        <v>1</v>
      </c>
      <c r="O786">
        <v>100</v>
      </c>
      <c r="P786" t="b">
        <f t="shared" si="177"/>
        <v>0</v>
      </c>
      <c r="S786" t="str">
        <f t="shared" si="173"/>
        <v>LATER</v>
      </c>
      <c r="T786" t="str">
        <f t="shared" si="174"/>
        <v>SainteLague</v>
      </c>
      <c r="U786">
        <f t="shared" si="176"/>
        <v>785</v>
      </c>
      <c r="V786">
        <f t="shared" si="175"/>
        <v>64193</v>
      </c>
      <c r="W786" s="8" t="str">
        <f>VLOOKUP(V786,'ideas-input'!$A:$B,2,FALSE)</f>
        <v>Herramienta Soporte ADT en Nexia</v>
      </c>
      <c r="X786" t="str">
        <f t="shared" si="178"/>
        <v>IDC</v>
      </c>
      <c r="Y786" s="8" t="str">
        <f>VLOOKUP(V786,'ideas-input'!$A:$D,4,FALSE)</f>
        <v>eCommerce</v>
      </c>
      <c r="Z786" t="str">
        <f t="shared" si="179"/>
        <v>Commercial</v>
      </c>
      <c r="AA786" t="str">
        <f t="shared" si="180"/>
        <v>In Definition</v>
      </c>
      <c r="AB786">
        <f t="shared" si="181"/>
        <v>49</v>
      </c>
      <c r="AC786">
        <f t="shared" si="182"/>
        <v>0.03</v>
      </c>
      <c r="AD786">
        <f t="shared" si="183"/>
        <v>1</v>
      </c>
      <c r="AE786">
        <f t="shared" si="184"/>
        <v>1</v>
      </c>
      <c r="AF786">
        <f t="shared" si="185"/>
        <v>1</v>
      </c>
      <c r="AG786">
        <f t="shared" si="186"/>
        <v>100</v>
      </c>
    </row>
    <row r="787" spans="1:33" x14ac:dyDescent="0.2">
      <c r="A787" t="s">
        <v>127</v>
      </c>
      <c r="B787" t="s">
        <v>128</v>
      </c>
      <c r="C787">
        <v>786</v>
      </c>
      <c r="D787">
        <v>88579</v>
      </c>
      <c r="E787" t="s">
        <v>1448</v>
      </c>
      <c r="F787" t="s">
        <v>37</v>
      </c>
      <c r="G787" t="s">
        <v>379</v>
      </c>
      <c r="H787" t="s">
        <v>5</v>
      </c>
      <c r="I787" t="s">
        <v>95</v>
      </c>
      <c r="J787">
        <v>28</v>
      </c>
      <c r="K787">
        <v>0.03</v>
      </c>
      <c r="L787">
        <v>1</v>
      </c>
      <c r="M787">
        <v>1</v>
      </c>
      <c r="N787">
        <v>1</v>
      </c>
      <c r="O787">
        <v>100</v>
      </c>
      <c r="P787" t="b">
        <f t="shared" si="177"/>
        <v>0</v>
      </c>
      <c r="S787" t="str">
        <f t="shared" si="173"/>
        <v>LATER</v>
      </c>
      <c r="T787" t="str">
        <f t="shared" si="174"/>
        <v>SainteLague</v>
      </c>
      <c r="U787">
        <f t="shared" si="176"/>
        <v>786</v>
      </c>
      <c r="V787">
        <f t="shared" si="175"/>
        <v>88579</v>
      </c>
      <c r="W787" s="8" t="str">
        <f>VLOOKUP(V787,'ideas-input'!$A:$B,2,FALSE)</f>
        <v>Automatização de validação do QR Code de Selos</v>
      </c>
      <c r="X787" t="str">
        <f t="shared" si="178"/>
        <v>GS</v>
      </c>
      <c r="Y787" s="8" t="str">
        <f>VLOOKUP(V787,'ideas-input'!$A:$D,4,FALSE)</f>
        <v>Mail</v>
      </c>
      <c r="Z787" t="str">
        <f t="shared" si="179"/>
        <v>Commercial</v>
      </c>
      <c r="AA787" t="str">
        <f t="shared" si="180"/>
        <v>In Definition</v>
      </c>
      <c r="AB787">
        <f t="shared" si="181"/>
        <v>28</v>
      </c>
      <c r="AC787">
        <f t="shared" si="182"/>
        <v>0.03</v>
      </c>
      <c r="AD787">
        <f t="shared" si="183"/>
        <v>1</v>
      </c>
      <c r="AE787">
        <f t="shared" si="184"/>
        <v>1</v>
      </c>
      <c r="AF787">
        <f t="shared" si="185"/>
        <v>1</v>
      </c>
      <c r="AG787">
        <f t="shared" si="186"/>
        <v>100</v>
      </c>
    </row>
    <row r="788" spans="1:33" x14ac:dyDescent="0.2">
      <c r="A788" t="s">
        <v>127</v>
      </c>
      <c r="B788" t="s">
        <v>128</v>
      </c>
      <c r="C788">
        <v>787</v>
      </c>
      <c r="D788">
        <v>52204</v>
      </c>
      <c r="E788" t="s">
        <v>1392</v>
      </c>
      <c r="F788" t="s">
        <v>65</v>
      </c>
      <c r="G788" t="s">
        <v>10</v>
      </c>
      <c r="H788" t="s">
        <v>5</v>
      </c>
      <c r="I788" t="s">
        <v>91</v>
      </c>
      <c r="J788">
        <v>59</v>
      </c>
      <c r="K788">
        <v>0.03</v>
      </c>
      <c r="L788">
        <v>1</v>
      </c>
      <c r="M788">
        <v>1</v>
      </c>
      <c r="N788">
        <v>1</v>
      </c>
      <c r="O788">
        <v>100</v>
      </c>
      <c r="P788" t="b">
        <f t="shared" si="177"/>
        <v>0</v>
      </c>
      <c r="S788" t="str">
        <f t="shared" si="173"/>
        <v>LATER</v>
      </c>
      <c r="T788" t="str">
        <f t="shared" si="174"/>
        <v>SainteLague</v>
      </c>
      <c r="U788">
        <f t="shared" si="176"/>
        <v>787</v>
      </c>
      <c r="V788">
        <f t="shared" si="175"/>
        <v>52204</v>
      </c>
      <c r="W788" s="8" t="str">
        <f>VLOOKUP(V788,'ideas-input'!$A:$B,2,FALSE)</f>
        <v>[PUDOS] - Check para permitir a cliente elegir si dtt recibe notificaciones del estado del envío</v>
      </c>
      <c r="X788" t="str">
        <f t="shared" si="178"/>
        <v>CMO</v>
      </c>
      <c r="Y788" s="8" t="str">
        <f>VLOOKUP(V788,'ideas-input'!$A:$D,4,FALSE)</f>
        <v>eCommerce</v>
      </c>
      <c r="Z788" t="str">
        <f t="shared" si="179"/>
        <v>Commercial</v>
      </c>
      <c r="AA788" t="str">
        <f t="shared" si="180"/>
        <v>Backlog</v>
      </c>
      <c r="AB788">
        <f t="shared" si="181"/>
        <v>59</v>
      </c>
      <c r="AC788">
        <f t="shared" si="182"/>
        <v>0.03</v>
      </c>
      <c r="AD788">
        <f t="shared" si="183"/>
        <v>1</v>
      </c>
      <c r="AE788">
        <f t="shared" si="184"/>
        <v>1</v>
      </c>
      <c r="AF788">
        <f t="shared" si="185"/>
        <v>1</v>
      </c>
      <c r="AG788">
        <f t="shared" si="186"/>
        <v>100</v>
      </c>
    </row>
    <row r="789" spans="1:33" x14ac:dyDescent="0.2">
      <c r="A789" t="s">
        <v>127</v>
      </c>
      <c r="B789" t="s">
        <v>128</v>
      </c>
      <c r="C789">
        <v>788</v>
      </c>
      <c r="D789">
        <v>135004</v>
      </c>
      <c r="E789" t="s">
        <v>1390</v>
      </c>
      <c r="F789" t="s">
        <v>9</v>
      </c>
      <c r="G789" t="s">
        <v>379</v>
      </c>
      <c r="H789" t="s">
        <v>8</v>
      </c>
      <c r="I789" t="s">
        <v>94</v>
      </c>
      <c r="J789">
        <v>81</v>
      </c>
      <c r="K789">
        <v>8</v>
      </c>
      <c r="L789">
        <v>3</v>
      </c>
      <c r="M789">
        <v>4</v>
      </c>
      <c r="N789">
        <v>1</v>
      </c>
      <c r="O789">
        <v>1</v>
      </c>
      <c r="P789" t="b">
        <f t="shared" si="177"/>
        <v>0</v>
      </c>
      <c r="S789" t="str">
        <f t="shared" si="173"/>
        <v>LATER</v>
      </c>
      <c r="T789" t="str">
        <f t="shared" si="174"/>
        <v>SainteLague</v>
      </c>
      <c r="U789">
        <f t="shared" si="176"/>
        <v>788</v>
      </c>
      <c r="V789">
        <f t="shared" si="175"/>
        <v>135004</v>
      </c>
      <c r="W789" s="8" t="str">
        <f>VLOOKUP(V789,'ideas-input'!$A:$B,2,FALSE)</f>
        <v>ESW | Criação de novo agente AI para validação de código obsoleto</v>
      </c>
      <c r="X789" t="str">
        <f t="shared" si="178"/>
        <v>SI</v>
      </c>
      <c r="Y789" s="8" t="str">
        <f>VLOOKUP(V789,'ideas-input'!$A:$D,4,FALSE)</f>
        <v>Mail</v>
      </c>
      <c r="Z789" t="str">
        <f t="shared" si="179"/>
        <v>Technology</v>
      </c>
      <c r="AA789" t="str">
        <f t="shared" si="180"/>
        <v>In Approval</v>
      </c>
      <c r="AB789">
        <f t="shared" si="181"/>
        <v>81</v>
      </c>
      <c r="AC789">
        <f t="shared" si="182"/>
        <v>8</v>
      </c>
      <c r="AD789">
        <f t="shared" si="183"/>
        <v>3</v>
      </c>
      <c r="AE789">
        <f t="shared" si="184"/>
        <v>4</v>
      </c>
      <c r="AF789">
        <f t="shared" si="185"/>
        <v>1</v>
      </c>
      <c r="AG789">
        <f t="shared" si="186"/>
        <v>1</v>
      </c>
    </row>
    <row r="790" spans="1:33" x14ac:dyDescent="0.2">
      <c r="A790" t="s">
        <v>127</v>
      </c>
      <c r="B790" t="s">
        <v>128</v>
      </c>
      <c r="C790">
        <v>789</v>
      </c>
      <c r="D790">
        <v>60381</v>
      </c>
      <c r="E790" t="s">
        <v>1472</v>
      </c>
      <c r="F790" t="s">
        <v>68</v>
      </c>
      <c r="G790" t="s">
        <v>10</v>
      </c>
      <c r="H790" t="s">
        <v>5</v>
      </c>
      <c r="I790" t="s">
        <v>95</v>
      </c>
      <c r="J790">
        <v>50</v>
      </c>
      <c r="K790">
        <v>0.03</v>
      </c>
      <c r="L790">
        <v>1</v>
      </c>
      <c r="M790">
        <v>1</v>
      </c>
      <c r="N790">
        <v>1</v>
      </c>
      <c r="O790">
        <v>100</v>
      </c>
      <c r="P790" t="b">
        <f t="shared" si="177"/>
        <v>0</v>
      </c>
      <c r="S790" t="str">
        <f t="shared" si="173"/>
        <v>LATER</v>
      </c>
      <c r="T790" t="str">
        <f t="shared" si="174"/>
        <v>SainteLague</v>
      </c>
      <c r="U790">
        <f t="shared" si="176"/>
        <v>789</v>
      </c>
      <c r="V790">
        <f t="shared" si="175"/>
        <v>60381</v>
      </c>
      <c r="W790" s="8" t="str">
        <f>VLOOKUP(V790,'ideas-input'!$A:$B,2,FALSE)</f>
        <v>Incluir fichero con versionado sobre histórico de cambios (novedades y fixes) en todos los modulos</v>
      </c>
      <c r="X790" t="str">
        <f t="shared" si="178"/>
        <v>IDC</v>
      </c>
      <c r="Y790" s="8" t="str">
        <f>VLOOKUP(V790,'ideas-input'!$A:$D,4,FALSE)</f>
        <v>eCommerce</v>
      </c>
      <c r="Z790" t="str">
        <f t="shared" si="179"/>
        <v>Commercial</v>
      </c>
      <c r="AA790" t="str">
        <f t="shared" si="180"/>
        <v>In Definition</v>
      </c>
      <c r="AB790">
        <f t="shared" si="181"/>
        <v>50</v>
      </c>
      <c r="AC790">
        <f t="shared" si="182"/>
        <v>0.03</v>
      </c>
      <c r="AD790">
        <f t="shared" si="183"/>
        <v>1</v>
      </c>
      <c r="AE790">
        <f t="shared" si="184"/>
        <v>1</v>
      </c>
      <c r="AF790">
        <f t="shared" si="185"/>
        <v>1</v>
      </c>
      <c r="AG790">
        <f t="shared" si="186"/>
        <v>100</v>
      </c>
    </row>
    <row r="791" spans="1:33" x14ac:dyDescent="0.2">
      <c r="A791" t="s">
        <v>127</v>
      </c>
      <c r="B791" t="s">
        <v>128</v>
      </c>
      <c r="C791">
        <v>790</v>
      </c>
      <c r="D791">
        <v>192862</v>
      </c>
      <c r="E791" t="s">
        <v>1450</v>
      </c>
      <c r="F791" t="s">
        <v>38</v>
      </c>
      <c r="G791" t="s">
        <v>379</v>
      </c>
      <c r="H791" t="s">
        <v>5</v>
      </c>
      <c r="I791" t="s">
        <v>91</v>
      </c>
      <c r="J791">
        <v>25</v>
      </c>
      <c r="K791">
        <v>0.03</v>
      </c>
      <c r="L791">
        <v>1</v>
      </c>
      <c r="M791">
        <v>1</v>
      </c>
      <c r="N791">
        <v>1</v>
      </c>
      <c r="O791">
        <v>100</v>
      </c>
      <c r="P791" t="b">
        <f t="shared" si="177"/>
        <v>0</v>
      </c>
      <c r="S791" t="str">
        <f t="shared" ref="S791:S854" si="187">A791</f>
        <v>LATER</v>
      </c>
      <c r="T791" t="str">
        <f t="shared" ref="T791:T854" si="188">B791</f>
        <v>SainteLague</v>
      </c>
      <c r="U791">
        <f t="shared" si="176"/>
        <v>790</v>
      </c>
      <c r="V791">
        <f t="shared" ref="V791:V854" si="189">D791</f>
        <v>192862</v>
      </c>
      <c r="W791" s="8" t="str">
        <f>VLOOKUP(V791,'ideas-input'!$A:$B,2,FALSE)</f>
        <v>Criação Seção dados Complementares</v>
      </c>
      <c r="X791" t="str">
        <f t="shared" si="178"/>
        <v>CSI</v>
      </c>
      <c r="Y791" s="8" t="str">
        <f>VLOOKUP(V791,'ideas-input'!$A:$D,4,FALSE)</f>
        <v>Mail</v>
      </c>
      <c r="Z791" t="str">
        <f t="shared" si="179"/>
        <v>Commercial</v>
      </c>
      <c r="AA791" t="str">
        <f t="shared" si="180"/>
        <v>Backlog</v>
      </c>
      <c r="AB791">
        <f t="shared" si="181"/>
        <v>25</v>
      </c>
      <c r="AC791">
        <f t="shared" si="182"/>
        <v>0.03</v>
      </c>
      <c r="AD791">
        <f t="shared" si="183"/>
        <v>1</v>
      </c>
      <c r="AE791">
        <f t="shared" si="184"/>
        <v>1</v>
      </c>
      <c r="AF791">
        <f t="shared" si="185"/>
        <v>1</v>
      </c>
      <c r="AG791">
        <f t="shared" si="186"/>
        <v>100</v>
      </c>
    </row>
    <row r="792" spans="1:33" x14ac:dyDescent="0.2">
      <c r="A792" t="s">
        <v>127</v>
      </c>
      <c r="B792" t="s">
        <v>128</v>
      </c>
      <c r="C792">
        <v>791</v>
      </c>
      <c r="D792">
        <v>54986</v>
      </c>
      <c r="E792" t="s">
        <v>1394</v>
      </c>
      <c r="F792" t="s">
        <v>65</v>
      </c>
      <c r="G792" t="s">
        <v>10</v>
      </c>
      <c r="H792" t="s">
        <v>5</v>
      </c>
      <c r="I792" t="s">
        <v>91</v>
      </c>
      <c r="J792">
        <v>60</v>
      </c>
      <c r="K792">
        <v>0.03</v>
      </c>
      <c r="L792">
        <v>1</v>
      </c>
      <c r="M792">
        <v>1</v>
      </c>
      <c r="N792">
        <v>1</v>
      </c>
      <c r="O792">
        <v>100</v>
      </c>
      <c r="P792" t="b">
        <f t="shared" si="177"/>
        <v>0</v>
      </c>
      <c r="S792" t="str">
        <f t="shared" si="187"/>
        <v>LATER</v>
      </c>
      <c r="T792" t="str">
        <f t="shared" si="188"/>
        <v>SainteLague</v>
      </c>
      <c r="U792">
        <f t="shared" si="176"/>
        <v>791</v>
      </c>
      <c r="V792">
        <f t="shared" si="189"/>
        <v>54986</v>
      </c>
      <c r="W792" s="8" t="str">
        <f>VLOOKUP(V792,'ideas-input'!$A:$B,2,FALSE)</f>
        <v>[PUDOS] - Mecanismo de diferenciación de recogidas en los COs. Recogidas vs. RDP</v>
      </c>
      <c r="X792" t="str">
        <f t="shared" si="178"/>
        <v>CMO</v>
      </c>
      <c r="Y792" s="8" t="str">
        <f>VLOOKUP(V792,'ideas-input'!$A:$D,4,FALSE)</f>
        <v>eCommerce</v>
      </c>
      <c r="Z792" t="str">
        <f t="shared" si="179"/>
        <v>Commercial</v>
      </c>
      <c r="AA792" t="str">
        <f t="shared" si="180"/>
        <v>Backlog</v>
      </c>
      <c r="AB792">
        <f t="shared" si="181"/>
        <v>60</v>
      </c>
      <c r="AC792">
        <f t="shared" si="182"/>
        <v>0.03</v>
      </c>
      <c r="AD792">
        <f t="shared" si="183"/>
        <v>1</v>
      </c>
      <c r="AE792">
        <f t="shared" si="184"/>
        <v>1</v>
      </c>
      <c r="AF792">
        <f t="shared" si="185"/>
        <v>1</v>
      </c>
      <c r="AG792">
        <f t="shared" si="186"/>
        <v>100</v>
      </c>
    </row>
    <row r="793" spans="1:33" x14ac:dyDescent="0.2">
      <c r="A793" t="s">
        <v>127</v>
      </c>
      <c r="B793" t="s">
        <v>128</v>
      </c>
      <c r="C793">
        <v>792</v>
      </c>
      <c r="D793">
        <v>50738</v>
      </c>
      <c r="E793" t="s">
        <v>276</v>
      </c>
      <c r="F793" t="s">
        <v>37</v>
      </c>
      <c r="G793" t="s">
        <v>379</v>
      </c>
      <c r="H793" t="s">
        <v>5</v>
      </c>
      <c r="I793" t="s">
        <v>91</v>
      </c>
      <c r="J793">
        <v>29</v>
      </c>
      <c r="K793">
        <v>0.03</v>
      </c>
      <c r="L793">
        <v>1</v>
      </c>
      <c r="M793">
        <v>1</v>
      </c>
      <c r="N793">
        <v>1</v>
      </c>
      <c r="O793">
        <v>100</v>
      </c>
      <c r="P793" t="b">
        <f t="shared" si="177"/>
        <v>0</v>
      </c>
      <c r="S793" t="str">
        <f t="shared" si="187"/>
        <v>LATER</v>
      </c>
      <c r="T793" t="str">
        <f t="shared" si="188"/>
        <v>SainteLague</v>
      </c>
      <c r="U793">
        <f t="shared" si="176"/>
        <v>792</v>
      </c>
      <c r="V793">
        <f t="shared" si="189"/>
        <v>50738</v>
      </c>
      <c r="W793" s="8" t="str">
        <f>VLOOKUP(V793,'ideas-input'!$A:$B,2,FALSE)</f>
        <v>Piloto para experimentar o SW do BCE na loja</v>
      </c>
      <c r="X793" t="str">
        <f t="shared" si="178"/>
        <v>GS</v>
      </c>
      <c r="Y793" s="8" t="str">
        <f>VLOOKUP(V793,'ideas-input'!$A:$D,4,FALSE)</f>
        <v>Mail</v>
      </c>
      <c r="Z793" t="str">
        <f t="shared" si="179"/>
        <v>Commercial</v>
      </c>
      <c r="AA793" t="str">
        <f t="shared" si="180"/>
        <v>Backlog</v>
      </c>
      <c r="AB793">
        <f t="shared" si="181"/>
        <v>29</v>
      </c>
      <c r="AC793">
        <f t="shared" si="182"/>
        <v>0.03</v>
      </c>
      <c r="AD793">
        <f t="shared" si="183"/>
        <v>1</v>
      </c>
      <c r="AE793">
        <f t="shared" si="184"/>
        <v>1</v>
      </c>
      <c r="AF793">
        <f t="shared" si="185"/>
        <v>1</v>
      </c>
      <c r="AG793">
        <f t="shared" si="186"/>
        <v>100</v>
      </c>
    </row>
    <row r="794" spans="1:33" x14ac:dyDescent="0.2">
      <c r="A794" t="s">
        <v>127</v>
      </c>
      <c r="B794" t="s">
        <v>128</v>
      </c>
      <c r="C794">
        <v>793</v>
      </c>
      <c r="D794">
        <v>57023</v>
      </c>
      <c r="E794" t="s">
        <v>1476</v>
      </c>
      <c r="F794" t="s">
        <v>68</v>
      </c>
      <c r="G794" t="s">
        <v>10</v>
      </c>
      <c r="H794" t="s">
        <v>5</v>
      </c>
      <c r="I794" t="s">
        <v>91</v>
      </c>
      <c r="J794">
        <v>51</v>
      </c>
      <c r="K794">
        <v>0.03</v>
      </c>
      <c r="L794">
        <v>1</v>
      </c>
      <c r="M794">
        <v>1</v>
      </c>
      <c r="N794">
        <v>1</v>
      </c>
      <c r="O794">
        <v>100</v>
      </c>
      <c r="P794" t="b">
        <f t="shared" si="177"/>
        <v>0</v>
      </c>
      <c r="S794" t="str">
        <f t="shared" si="187"/>
        <v>LATER</v>
      </c>
      <c r="T794" t="str">
        <f t="shared" si="188"/>
        <v>SainteLague</v>
      </c>
      <c r="U794">
        <f t="shared" ref="U794:U857" si="190">C794</f>
        <v>793</v>
      </c>
      <c r="V794">
        <f t="shared" si="189"/>
        <v>57023</v>
      </c>
      <c r="W794" s="8" t="str">
        <f>VLOOKUP(V794,'ideas-input'!$A:$B,2,FALSE)</f>
        <v>ELKAR - Actualización de bultos/kilos en expedición mediante carga de fichero</v>
      </c>
      <c r="X794" t="str">
        <f t="shared" si="178"/>
        <v>IDC</v>
      </c>
      <c r="Y794" s="8" t="str">
        <f>VLOOKUP(V794,'ideas-input'!$A:$D,4,FALSE)</f>
        <v>eCommerce</v>
      </c>
      <c r="Z794" t="str">
        <f t="shared" si="179"/>
        <v>Commercial</v>
      </c>
      <c r="AA794" t="str">
        <f t="shared" si="180"/>
        <v>Backlog</v>
      </c>
      <c r="AB794">
        <f t="shared" si="181"/>
        <v>51</v>
      </c>
      <c r="AC794">
        <f t="shared" si="182"/>
        <v>0.03</v>
      </c>
      <c r="AD794">
        <f t="shared" si="183"/>
        <v>1</v>
      </c>
      <c r="AE794">
        <f t="shared" si="184"/>
        <v>1</v>
      </c>
      <c r="AF794">
        <f t="shared" si="185"/>
        <v>1</v>
      </c>
      <c r="AG794">
        <f t="shared" si="186"/>
        <v>100</v>
      </c>
    </row>
    <row r="795" spans="1:33" x14ac:dyDescent="0.2">
      <c r="A795" t="s">
        <v>127</v>
      </c>
      <c r="B795" t="s">
        <v>128</v>
      </c>
      <c r="C795">
        <v>794</v>
      </c>
      <c r="D795">
        <v>138084</v>
      </c>
      <c r="E795" t="s">
        <v>1393</v>
      </c>
      <c r="F795" t="s">
        <v>9</v>
      </c>
      <c r="G795" t="s">
        <v>379</v>
      </c>
      <c r="H795" t="s">
        <v>8</v>
      </c>
      <c r="I795" t="s">
        <v>93</v>
      </c>
      <c r="J795">
        <v>82</v>
      </c>
      <c r="K795">
        <v>0.03</v>
      </c>
      <c r="L795">
        <v>1</v>
      </c>
      <c r="M795">
        <v>1</v>
      </c>
      <c r="N795">
        <v>1</v>
      </c>
      <c r="O795">
        <v>100</v>
      </c>
      <c r="P795" t="b">
        <f t="shared" si="177"/>
        <v>0</v>
      </c>
      <c r="S795" t="str">
        <f t="shared" si="187"/>
        <v>LATER</v>
      </c>
      <c r="T795" t="str">
        <f t="shared" si="188"/>
        <v>SainteLague</v>
      </c>
      <c r="U795">
        <f t="shared" si="190"/>
        <v>794</v>
      </c>
      <c r="V795">
        <f t="shared" si="189"/>
        <v>138084</v>
      </c>
      <c r="W795" s="8" t="str">
        <f>VLOOKUP(V795,'ideas-input'!$A:$B,2,FALSE)</f>
        <v>Fábrica OutSystems | Melhorias à plataforma - JAN, FEV MAR 2026</v>
      </c>
      <c r="X795" t="str">
        <f t="shared" si="178"/>
        <v>SI</v>
      </c>
      <c r="Y795" s="8" t="str">
        <f>VLOOKUP(V795,'ideas-input'!$A:$D,4,FALSE)</f>
        <v>eCommerce</v>
      </c>
      <c r="Z795" t="str">
        <f t="shared" si="179"/>
        <v>Technology</v>
      </c>
      <c r="AA795" t="str">
        <f t="shared" si="180"/>
        <v>Pitch</v>
      </c>
      <c r="AB795">
        <f t="shared" si="181"/>
        <v>82</v>
      </c>
      <c r="AC795">
        <f t="shared" si="182"/>
        <v>0.03</v>
      </c>
      <c r="AD795">
        <f t="shared" si="183"/>
        <v>1</v>
      </c>
      <c r="AE795">
        <f t="shared" si="184"/>
        <v>1</v>
      </c>
      <c r="AF795">
        <f t="shared" si="185"/>
        <v>1</v>
      </c>
      <c r="AG795">
        <f t="shared" si="186"/>
        <v>100</v>
      </c>
    </row>
    <row r="796" spans="1:33" x14ac:dyDescent="0.2">
      <c r="A796" t="s">
        <v>127</v>
      </c>
      <c r="B796" t="s">
        <v>128</v>
      </c>
      <c r="C796">
        <v>795</v>
      </c>
      <c r="D796">
        <v>54275</v>
      </c>
      <c r="E796" t="s">
        <v>1398</v>
      </c>
      <c r="F796" t="s">
        <v>65</v>
      </c>
      <c r="G796" t="s">
        <v>10</v>
      </c>
      <c r="H796" t="s">
        <v>5</v>
      </c>
      <c r="I796" t="s">
        <v>91</v>
      </c>
      <c r="J796">
        <v>61</v>
      </c>
      <c r="K796">
        <v>0.03</v>
      </c>
      <c r="L796">
        <v>1</v>
      </c>
      <c r="M796">
        <v>1</v>
      </c>
      <c r="N796">
        <v>1</v>
      </c>
      <c r="O796">
        <v>100</v>
      </c>
      <c r="P796" t="b">
        <f t="shared" si="177"/>
        <v>0</v>
      </c>
      <c r="S796" t="str">
        <f t="shared" si="187"/>
        <v>LATER</v>
      </c>
      <c r="T796" t="str">
        <f t="shared" si="188"/>
        <v>SainteLague</v>
      </c>
      <c r="U796">
        <f t="shared" si="190"/>
        <v>795</v>
      </c>
      <c r="V796">
        <f t="shared" si="189"/>
        <v>54275</v>
      </c>
      <c r="W796" s="8" t="str">
        <f>VLOOKUP(V796,'ideas-input'!$A:$B,2,FALSE)</f>
        <v>[PUDOS] - Envíos Punto-Punto</v>
      </c>
      <c r="X796" t="str">
        <f t="shared" si="178"/>
        <v>CMO</v>
      </c>
      <c r="Y796" s="8" t="str">
        <f>VLOOKUP(V796,'ideas-input'!$A:$D,4,FALSE)</f>
        <v>eCommerce</v>
      </c>
      <c r="Z796" t="str">
        <f t="shared" si="179"/>
        <v>Commercial</v>
      </c>
      <c r="AA796" t="str">
        <f t="shared" si="180"/>
        <v>Backlog</v>
      </c>
      <c r="AB796">
        <f t="shared" si="181"/>
        <v>61</v>
      </c>
      <c r="AC796">
        <f t="shared" si="182"/>
        <v>0.03</v>
      </c>
      <c r="AD796">
        <f t="shared" si="183"/>
        <v>1</v>
      </c>
      <c r="AE796">
        <f t="shared" si="184"/>
        <v>1</v>
      </c>
      <c r="AF796">
        <f t="shared" si="185"/>
        <v>1</v>
      </c>
      <c r="AG796">
        <f t="shared" si="186"/>
        <v>100</v>
      </c>
    </row>
    <row r="797" spans="1:33" x14ac:dyDescent="0.2">
      <c r="A797" t="s">
        <v>127</v>
      </c>
      <c r="B797" t="s">
        <v>128</v>
      </c>
      <c r="C797">
        <v>796</v>
      </c>
      <c r="D797">
        <v>133246</v>
      </c>
      <c r="E797" t="s">
        <v>1452</v>
      </c>
      <c r="F797" t="s">
        <v>38</v>
      </c>
      <c r="G797" t="s">
        <v>379</v>
      </c>
      <c r="H797" t="s">
        <v>5</v>
      </c>
      <c r="I797" t="s">
        <v>91</v>
      </c>
      <c r="J797">
        <v>26</v>
      </c>
      <c r="K797">
        <v>0.03</v>
      </c>
      <c r="L797">
        <v>1</v>
      </c>
      <c r="M797">
        <v>1</v>
      </c>
      <c r="N797">
        <v>1</v>
      </c>
      <c r="O797">
        <v>100</v>
      </c>
      <c r="P797" t="b">
        <f t="shared" si="177"/>
        <v>0</v>
      </c>
      <c r="S797" t="str">
        <f t="shared" si="187"/>
        <v>LATER</v>
      </c>
      <c r="T797" t="str">
        <f t="shared" si="188"/>
        <v>SainteLague</v>
      </c>
      <c r="U797">
        <f t="shared" si="190"/>
        <v>796</v>
      </c>
      <c r="V797">
        <f t="shared" si="189"/>
        <v>133246</v>
      </c>
      <c r="W797" s="8" t="str">
        <f>VLOOKUP(V797,'ideas-input'!$A:$B,2,FALSE)</f>
        <v>Impressoras Termicas (Clientes Externos) - certificação de varios modelos e handover para EM</v>
      </c>
      <c r="X797" t="str">
        <f t="shared" si="178"/>
        <v>CSI</v>
      </c>
      <c r="Y797" s="8" t="str">
        <f>VLOOKUP(V797,'ideas-input'!$A:$D,4,FALSE)</f>
        <v>Mail</v>
      </c>
      <c r="Z797" t="str">
        <f t="shared" si="179"/>
        <v>Commercial</v>
      </c>
      <c r="AA797" t="str">
        <f t="shared" si="180"/>
        <v>Backlog</v>
      </c>
      <c r="AB797">
        <f t="shared" si="181"/>
        <v>26</v>
      </c>
      <c r="AC797">
        <f t="shared" si="182"/>
        <v>0.03</v>
      </c>
      <c r="AD797">
        <f t="shared" si="183"/>
        <v>1</v>
      </c>
      <c r="AE797">
        <f t="shared" si="184"/>
        <v>1</v>
      </c>
      <c r="AF797">
        <f t="shared" si="185"/>
        <v>1</v>
      </c>
      <c r="AG797">
        <f t="shared" si="186"/>
        <v>100</v>
      </c>
    </row>
    <row r="798" spans="1:33" x14ac:dyDescent="0.2">
      <c r="A798" t="s">
        <v>127</v>
      </c>
      <c r="B798" t="s">
        <v>128</v>
      </c>
      <c r="C798">
        <v>797</v>
      </c>
      <c r="D798">
        <v>64785</v>
      </c>
      <c r="E798" t="s">
        <v>1479</v>
      </c>
      <c r="F798" t="s">
        <v>68</v>
      </c>
      <c r="G798" t="s">
        <v>10</v>
      </c>
      <c r="H798" t="s">
        <v>5</v>
      </c>
      <c r="I798" t="s">
        <v>91</v>
      </c>
      <c r="J798">
        <v>52</v>
      </c>
      <c r="K798">
        <v>0.03</v>
      </c>
      <c r="L798">
        <v>1</v>
      </c>
      <c r="M798">
        <v>1</v>
      </c>
      <c r="N798">
        <v>1</v>
      </c>
      <c r="O798">
        <v>100</v>
      </c>
      <c r="P798" t="b">
        <f t="shared" si="177"/>
        <v>0</v>
      </c>
      <c r="S798" t="str">
        <f t="shared" si="187"/>
        <v>LATER</v>
      </c>
      <c r="T798" t="str">
        <f t="shared" si="188"/>
        <v>SainteLague</v>
      </c>
      <c r="U798">
        <f t="shared" si="190"/>
        <v>797</v>
      </c>
      <c r="V798">
        <f t="shared" si="189"/>
        <v>64785</v>
      </c>
      <c r="W798" s="8" t="str">
        <f>VLOOKUP(V798,'ideas-input'!$A:$B,2,FALSE)</f>
        <v>[Salesforce] - Información de campos en los casos del Plan de acompañamiento</v>
      </c>
      <c r="X798" t="str">
        <f t="shared" si="178"/>
        <v>IDC</v>
      </c>
      <c r="Y798" s="8" t="str">
        <f>VLOOKUP(V798,'ideas-input'!$A:$D,4,FALSE)</f>
        <v>eCommerce</v>
      </c>
      <c r="Z798" t="str">
        <f t="shared" si="179"/>
        <v>Commercial</v>
      </c>
      <c r="AA798" t="str">
        <f t="shared" si="180"/>
        <v>Backlog</v>
      </c>
      <c r="AB798">
        <f t="shared" si="181"/>
        <v>52</v>
      </c>
      <c r="AC798">
        <f t="shared" si="182"/>
        <v>0.03</v>
      </c>
      <c r="AD798">
        <f t="shared" si="183"/>
        <v>1</v>
      </c>
      <c r="AE798">
        <f t="shared" si="184"/>
        <v>1</v>
      </c>
      <c r="AF798">
        <f t="shared" si="185"/>
        <v>1</v>
      </c>
      <c r="AG798">
        <f t="shared" si="186"/>
        <v>100</v>
      </c>
    </row>
    <row r="799" spans="1:33" x14ac:dyDescent="0.2">
      <c r="A799" t="s">
        <v>127</v>
      </c>
      <c r="B799" t="s">
        <v>128</v>
      </c>
      <c r="C799">
        <v>798</v>
      </c>
      <c r="D799">
        <v>137572</v>
      </c>
      <c r="E799" t="s">
        <v>1396</v>
      </c>
      <c r="F799" t="s">
        <v>9</v>
      </c>
      <c r="G799" t="s">
        <v>379</v>
      </c>
      <c r="H799" t="s">
        <v>8</v>
      </c>
      <c r="I799" t="s">
        <v>95</v>
      </c>
      <c r="J799">
        <v>83</v>
      </c>
      <c r="K799">
        <v>0.03</v>
      </c>
      <c r="L799">
        <v>1</v>
      </c>
      <c r="M799">
        <v>1</v>
      </c>
      <c r="N799">
        <v>1</v>
      </c>
      <c r="O799">
        <v>100</v>
      </c>
      <c r="P799" t="b">
        <f t="shared" si="177"/>
        <v>0</v>
      </c>
      <c r="S799" t="str">
        <f t="shared" si="187"/>
        <v>LATER</v>
      </c>
      <c r="T799" t="str">
        <f t="shared" si="188"/>
        <v>SainteLague</v>
      </c>
      <c r="U799">
        <f t="shared" si="190"/>
        <v>798</v>
      </c>
      <c r="V799">
        <f t="shared" si="189"/>
        <v>137572</v>
      </c>
      <c r="W799" s="8" t="str">
        <f>VLOOKUP(V799,'ideas-input'!$A:$B,2,FALSE)</f>
        <v>Criação de WAF para Infraestrutura de OutSystems</v>
      </c>
      <c r="X799" t="str">
        <f t="shared" si="178"/>
        <v>SI</v>
      </c>
      <c r="Y799" s="8" t="str">
        <f>VLOOKUP(V799,'ideas-input'!$A:$D,4,FALSE)</f>
        <v>eCommerce</v>
      </c>
      <c r="Z799" t="str">
        <f t="shared" si="179"/>
        <v>Technology</v>
      </c>
      <c r="AA799" t="str">
        <f t="shared" si="180"/>
        <v>In Definition</v>
      </c>
      <c r="AB799">
        <f t="shared" si="181"/>
        <v>83</v>
      </c>
      <c r="AC799">
        <f t="shared" si="182"/>
        <v>0.03</v>
      </c>
      <c r="AD799">
        <f t="shared" si="183"/>
        <v>1</v>
      </c>
      <c r="AE799">
        <f t="shared" si="184"/>
        <v>1</v>
      </c>
      <c r="AF799">
        <f t="shared" si="185"/>
        <v>1</v>
      </c>
      <c r="AG799">
        <f t="shared" si="186"/>
        <v>100</v>
      </c>
    </row>
    <row r="800" spans="1:33" x14ac:dyDescent="0.2">
      <c r="A800" t="s">
        <v>127</v>
      </c>
      <c r="B800" t="s">
        <v>128</v>
      </c>
      <c r="C800">
        <v>799</v>
      </c>
      <c r="D800">
        <v>50399</v>
      </c>
      <c r="E800" t="s">
        <v>321</v>
      </c>
      <c r="F800" t="s">
        <v>65</v>
      </c>
      <c r="G800" t="s">
        <v>10</v>
      </c>
      <c r="H800" t="s">
        <v>5</v>
      </c>
      <c r="I800" t="s">
        <v>91</v>
      </c>
      <c r="J800">
        <v>62</v>
      </c>
      <c r="K800">
        <v>0.03</v>
      </c>
      <c r="L800">
        <v>1</v>
      </c>
      <c r="M800">
        <v>1</v>
      </c>
      <c r="N800">
        <v>1</v>
      </c>
      <c r="O800">
        <v>100</v>
      </c>
      <c r="P800" t="b">
        <f t="shared" si="177"/>
        <v>0</v>
      </c>
      <c r="S800" t="str">
        <f t="shared" si="187"/>
        <v>LATER</v>
      </c>
      <c r="T800" t="str">
        <f t="shared" si="188"/>
        <v>SainteLague</v>
      </c>
      <c r="U800">
        <f t="shared" si="190"/>
        <v>799</v>
      </c>
      <c r="V800">
        <f t="shared" si="189"/>
        <v>50399</v>
      </c>
      <c r="W800" s="8" t="str">
        <f>VLOOKUP(V800,'ideas-input'!$A:$B,2,FALSE)</f>
        <v>[PUDOS] - Mejora servicio VDP</v>
      </c>
      <c r="X800" t="str">
        <f t="shared" si="178"/>
        <v>CMO</v>
      </c>
      <c r="Y800" s="8" t="str">
        <f>VLOOKUP(V800,'ideas-input'!$A:$D,4,FALSE)</f>
        <v>eCommerce</v>
      </c>
      <c r="Z800" t="str">
        <f t="shared" si="179"/>
        <v>Commercial</v>
      </c>
      <c r="AA800" t="str">
        <f t="shared" si="180"/>
        <v>Backlog</v>
      </c>
      <c r="AB800">
        <f t="shared" si="181"/>
        <v>62</v>
      </c>
      <c r="AC800">
        <f t="shared" si="182"/>
        <v>0.03</v>
      </c>
      <c r="AD800">
        <f t="shared" si="183"/>
        <v>1</v>
      </c>
      <c r="AE800">
        <f t="shared" si="184"/>
        <v>1</v>
      </c>
      <c r="AF800">
        <f t="shared" si="185"/>
        <v>1</v>
      </c>
      <c r="AG800">
        <f t="shared" si="186"/>
        <v>100</v>
      </c>
    </row>
    <row r="801" spans="1:33" x14ac:dyDescent="0.2">
      <c r="A801" t="s">
        <v>127</v>
      </c>
      <c r="B801" t="s">
        <v>128</v>
      </c>
      <c r="C801">
        <v>800</v>
      </c>
      <c r="D801">
        <v>85248</v>
      </c>
      <c r="E801" t="s">
        <v>1454</v>
      </c>
      <c r="F801" t="s">
        <v>37</v>
      </c>
      <c r="G801" t="s">
        <v>379</v>
      </c>
      <c r="H801" t="s">
        <v>5</v>
      </c>
      <c r="I801" t="s">
        <v>91</v>
      </c>
      <c r="J801">
        <v>30</v>
      </c>
      <c r="K801">
        <v>0.03</v>
      </c>
      <c r="L801">
        <v>1</v>
      </c>
      <c r="M801">
        <v>1</v>
      </c>
      <c r="N801">
        <v>1</v>
      </c>
      <c r="O801">
        <v>100</v>
      </c>
      <c r="P801" t="b">
        <f t="shared" si="177"/>
        <v>0</v>
      </c>
      <c r="S801" t="str">
        <f t="shared" si="187"/>
        <v>LATER</v>
      </c>
      <c r="T801" t="str">
        <f t="shared" si="188"/>
        <v>SainteLague</v>
      </c>
      <c r="U801">
        <f t="shared" si="190"/>
        <v>800</v>
      </c>
      <c r="V801">
        <f t="shared" si="189"/>
        <v>85248</v>
      </c>
      <c r="W801" s="8" t="str">
        <f>VLOOKUP(V801,'ideas-input'!$A:$B,2,FALSE)</f>
        <v>Gestão de Stocks Vending em SAP</v>
      </c>
      <c r="X801" t="str">
        <f t="shared" si="178"/>
        <v>GS</v>
      </c>
      <c r="Y801" s="8" t="str">
        <f>VLOOKUP(V801,'ideas-input'!$A:$D,4,FALSE)</f>
        <v>Mail</v>
      </c>
      <c r="Z801" t="str">
        <f t="shared" si="179"/>
        <v>Commercial</v>
      </c>
      <c r="AA801" t="str">
        <f t="shared" si="180"/>
        <v>Backlog</v>
      </c>
      <c r="AB801">
        <f t="shared" si="181"/>
        <v>30</v>
      </c>
      <c r="AC801">
        <f t="shared" si="182"/>
        <v>0.03</v>
      </c>
      <c r="AD801">
        <f t="shared" si="183"/>
        <v>1</v>
      </c>
      <c r="AE801">
        <f t="shared" si="184"/>
        <v>1</v>
      </c>
      <c r="AF801">
        <f t="shared" si="185"/>
        <v>1</v>
      </c>
      <c r="AG801">
        <f t="shared" si="186"/>
        <v>100</v>
      </c>
    </row>
    <row r="802" spans="1:33" x14ac:dyDescent="0.2">
      <c r="A802" t="s">
        <v>127</v>
      </c>
      <c r="B802" t="s">
        <v>128</v>
      </c>
      <c r="C802">
        <v>801</v>
      </c>
      <c r="D802">
        <v>63279</v>
      </c>
      <c r="E802" t="s">
        <v>315</v>
      </c>
      <c r="F802" t="s">
        <v>68</v>
      </c>
      <c r="G802" t="s">
        <v>10</v>
      </c>
      <c r="H802" t="s">
        <v>5</v>
      </c>
      <c r="I802" t="s">
        <v>95</v>
      </c>
      <c r="J802">
        <v>53</v>
      </c>
      <c r="K802">
        <v>0.03</v>
      </c>
      <c r="L802">
        <v>1</v>
      </c>
      <c r="M802">
        <v>1</v>
      </c>
      <c r="N802">
        <v>1</v>
      </c>
      <c r="O802">
        <v>100</v>
      </c>
      <c r="P802" t="b">
        <f t="shared" si="177"/>
        <v>0</v>
      </c>
      <c r="S802" t="str">
        <f t="shared" si="187"/>
        <v>LATER</v>
      </c>
      <c r="T802" t="str">
        <f t="shared" si="188"/>
        <v>SainteLague</v>
      </c>
      <c r="U802">
        <f t="shared" si="190"/>
        <v>801</v>
      </c>
      <c r="V802">
        <f t="shared" si="189"/>
        <v>63279</v>
      </c>
      <c r="W802" s="8" t="str">
        <f>VLOOKUP(V802,'ideas-input'!$A:$B,2,FALSE)</f>
        <v>Manifest-file: Admitir carga fichero Standar Cloud sin los campos de shipping_code e item_codes rellenos (mismo comportamiento que api de experiencia de clientes)</v>
      </c>
      <c r="X802" t="str">
        <f t="shared" si="178"/>
        <v>IDC</v>
      </c>
      <c r="Y802" s="8" t="str">
        <f>VLOOKUP(V802,'ideas-input'!$A:$D,4,FALSE)</f>
        <v>eCommerce</v>
      </c>
      <c r="Z802" t="str">
        <f t="shared" si="179"/>
        <v>Commercial</v>
      </c>
      <c r="AA802" t="str">
        <f t="shared" si="180"/>
        <v>In Definition</v>
      </c>
      <c r="AB802">
        <f t="shared" si="181"/>
        <v>53</v>
      </c>
      <c r="AC802">
        <f t="shared" si="182"/>
        <v>0.03</v>
      </c>
      <c r="AD802">
        <f t="shared" si="183"/>
        <v>1</v>
      </c>
      <c r="AE802">
        <f t="shared" si="184"/>
        <v>1</v>
      </c>
      <c r="AF802">
        <f t="shared" si="185"/>
        <v>1</v>
      </c>
      <c r="AG802">
        <f t="shared" si="186"/>
        <v>100</v>
      </c>
    </row>
    <row r="803" spans="1:33" x14ac:dyDescent="0.2">
      <c r="A803" t="s">
        <v>127</v>
      </c>
      <c r="B803" t="s">
        <v>128</v>
      </c>
      <c r="C803">
        <v>802</v>
      </c>
      <c r="D803">
        <v>125694</v>
      </c>
      <c r="E803" t="s">
        <v>1399</v>
      </c>
      <c r="F803" t="s">
        <v>9</v>
      </c>
      <c r="G803" t="s">
        <v>379</v>
      </c>
      <c r="H803" t="s">
        <v>8</v>
      </c>
      <c r="I803" t="s">
        <v>95</v>
      </c>
      <c r="J803">
        <v>84</v>
      </c>
      <c r="K803">
        <v>0.03</v>
      </c>
      <c r="L803">
        <v>1</v>
      </c>
      <c r="M803">
        <v>1</v>
      </c>
      <c r="N803">
        <v>1</v>
      </c>
      <c r="O803">
        <v>100</v>
      </c>
      <c r="P803" t="b">
        <f t="shared" si="177"/>
        <v>0</v>
      </c>
      <c r="S803" t="str">
        <f t="shared" si="187"/>
        <v>LATER</v>
      </c>
      <c r="T803" t="str">
        <f t="shared" si="188"/>
        <v>SainteLague</v>
      </c>
      <c r="U803">
        <f t="shared" si="190"/>
        <v>802</v>
      </c>
      <c r="V803">
        <f t="shared" si="189"/>
        <v>125694</v>
      </c>
      <c r="W803" s="8" t="str">
        <f>VLOOKUP(V803,'ideas-input'!$A:$B,2,FALSE)</f>
        <v>ESW | Integração de Crashlytics nas aplicações mobile</v>
      </c>
      <c r="X803" t="str">
        <f t="shared" si="178"/>
        <v>SI</v>
      </c>
      <c r="Y803" s="8" t="str">
        <f>VLOOKUP(V803,'ideas-input'!$A:$D,4,FALSE)</f>
        <v>Mail</v>
      </c>
      <c r="Z803" t="str">
        <f t="shared" si="179"/>
        <v>Technology</v>
      </c>
      <c r="AA803" t="str">
        <f t="shared" si="180"/>
        <v>In Definition</v>
      </c>
      <c r="AB803">
        <f t="shared" si="181"/>
        <v>84</v>
      </c>
      <c r="AC803">
        <f t="shared" si="182"/>
        <v>0.03</v>
      </c>
      <c r="AD803">
        <f t="shared" si="183"/>
        <v>1</v>
      </c>
      <c r="AE803">
        <f t="shared" si="184"/>
        <v>1</v>
      </c>
      <c r="AF803">
        <f t="shared" si="185"/>
        <v>1</v>
      </c>
      <c r="AG803">
        <f t="shared" si="186"/>
        <v>100</v>
      </c>
    </row>
    <row r="804" spans="1:33" x14ac:dyDescent="0.2">
      <c r="A804" t="s">
        <v>127</v>
      </c>
      <c r="B804" t="s">
        <v>128</v>
      </c>
      <c r="C804">
        <v>803</v>
      </c>
      <c r="D804">
        <v>56100</v>
      </c>
      <c r="E804" t="s">
        <v>1403</v>
      </c>
      <c r="F804" t="s">
        <v>65</v>
      </c>
      <c r="G804" t="s">
        <v>10</v>
      </c>
      <c r="H804" t="s">
        <v>5</v>
      </c>
      <c r="I804" t="s">
        <v>91</v>
      </c>
      <c r="J804">
        <v>63</v>
      </c>
      <c r="K804">
        <v>0.03</v>
      </c>
      <c r="L804">
        <v>1</v>
      </c>
      <c r="M804">
        <v>1</v>
      </c>
      <c r="N804">
        <v>1</v>
      </c>
      <c r="O804">
        <v>100</v>
      </c>
      <c r="P804" t="b">
        <f t="shared" si="177"/>
        <v>0</v>
      </c>
      <c r="S804" t="str">
        <f t="shared" si="187"/>
        <v>LATER</v>
      </c>
      <c r="T804" t="str">
        <f t="shared" si="188"/>
        <v>SainteLague</v>
      </c>
      <c r="U804">
        <f t="shared" si="190"/>
        <v>803</v>
      </c>
      <c r="V804">
        <f t="shared" si="189"/>
        <v>56100</v>
      </c>
      <c r="W804" s="8" t="str">
        <f>VLOOKUP(V804,'ideas-input'!$A:$B,2,FALSE)</f>
        <v>[Web publica] - Permitir a los destinatarios buscar un envío por número de etiqueta de enlace asociada en el localizador</v>
      </c>
      <c r="X804" t="str">
        <f t="shared" si="178"/>
        <v>CMO</v>
      </c>
      <c r="Y804" s="8" t="str">
        <f>VLOOKUP(V804,'ideas-input'!$A:$D,4,FALSE)</f>
        <v>eCommerce</v>
      </c>
      <c r="Z804" t="str">
        <f t="shared" si="179"/>
        <v>Commercial</v>
      </c>
      <c r="AA804" t="str">
        <f t="shared" si="180"/>
        <v>Backlog</v>
      </c>
      <c r="AB804">
        <f t="shared" si="181"/>
        <v>63</v>
      </c>
      <c r="AC804">
        <f t="shared" si="182"/>
        <v>0.03</v>
      </c>
      <c r="AD804">
        <f t="shared" si="183"/>
        <v>1</v>
      </c>
      <c r="AE804">
        <f t="shared" si="184"/>
        <v>1</v>
      </c>
      <c r="AF804">
        <f t="shared" si="185"/>
        <v>1</v>
      </c>
      <c r="AG804">
        <f t="shared" si="186"/>
        <v>100</v>
      </c>
    </row>
    <row r="805" spans="1:33" x14ac:dyDescent="0.2">
      <c r="A805" t="s">
        <v>127</v>
      </c>
      <c r="B805" t="s">
        <v>128</v>
      </c>
      <c r="C805">
        <v>804</v>
      </c>
      <c r="D805">
        <v>68919</v>
      </c>
      <c r="E805" t="s">
        <v>1456</v>
      </c>
      <c r="F805" t="s">
        <v>37</v>
      </c>
      <c r="G805" t="s">
        <v>379</v>
      </c>
      <c r="H805" t="s">
        <v>5</v>
      </c>
      <c r="I805" t="s">
        <v>95</v>
      </c>
      <c r="J805">
        <v>31</v>
      </c>
      <c r="K805">
        <v>0.03</v>
      </c>
      <c r="L805">
        <v>1</v>
      </c>
      <c r="M805">
        <v>1</v>
      </c>
      <c r="N805">
        <v>1</v>
      </c>
      <c r="O805">
        <v>100</v>
      </c>
      <c r="P805" t="b">
        <f t="shared" si="177"/>
        <v>0</v>
      </c>
      <c r="S805" t="str">
        <f t="shared" si="187"/>
        <v>LATER</v>
      </c>
      <c r="T805" t="str">
        <f t="shared" si="188"/>
        <v>SainteLague</v>
      </c>
      <c r="U805">
        <f t="shared" si="190"/>
        <v>804</v>
      </c>
      <c r="V805">
        <f t="shared" si="189"/>
        <v>68919</v>
      </c>
      <c r="W805" s="8" t="str">
        <f>VLOOKUP(V805,'ideas-input'!$A:$B,2,FALSE)</f>
        <v>Máquina vending machines: Associação de Receita, Faturação e gestão de stock</v>
      </c>
      <c r="X805" t="str">
        <f t="shared" si="178"/>
        <v>GS</v>
      </c>
      <c r="Y805" s="8" t="str">
        <f>VLOOKUP(V805,'ideas-input'!$A:$D,4,FALSE)</f>
        <v>Retail &amp; Financial Services</v>
      </c>
      <c r="Z805" t="str">
        <f t="shared" si="179"/>
        <v>Commercial</v>
      </c>
      <c r="AA805" t="str">
        <f t="shared" si="180"/>
        <v>In Definition</v>
      </c>
      <c r="AB805">
        <f t="shared" si="181"/>
        <v>31</v>
      </c>
      <c r="AC805">
        <f t="shared" si="182"/>
        <v>0.03</v>
      </c>
      <c r="AD805">
        <f t="shared" si="183"/>
        <v>1</v>
      </c>
      <c r="AE805">
        <f t="shared" si="184"/>
        <v>1</v>
      </c>
      <c r="AF805">
        <f t="shared" si="185"/>
        <v>1</v>
      </c>
      <c r="AG805">
        <f t="shared" si="186"/>
        <v>100</v>
      </c>
    </row>
    <row r="806" spans="1:33" x14ac:dyDescent="0.2">
      <c r="A806" t="s">
        <v>127</v>
      </c>
      <c r="B806" t="s">
        <v>128</v>
      </c>
      <c r="C806">
        <v>805</v>
      </c>
      <c r="D806">
        <v>136234</v>
      </c>
      <c r="E806" t="s">
        <v>317</v>
      </c>
      <c r="F806" t="s">
        <v>68</v>
      </c>
      <c r="G806" t="s">
        <v>10</v>
      </c>
      <c r="H806" t="s">
        <v>5</v>
      </c>
      <c r="I806" t="s">
        <v>95</v>
      </c>
      <c r="J806">
        <v>54</v>
      </c>
      <c r="K806">
        <v>0.03</v>
      </c>
      <c r="L806">
        <v>1</v>
      </c>
      <c r="M806">
        <v>1</v>
      </c>
      <c r="N806">
        <v>1</v>
      </c>
      <c r="O806">
        <v>100</v>
      </c>
      <c r="P806" t="b">
        <f t="shared" si="177"/>
        <v>0</v>
      </c>
      <c r="S806" t="str">
        <f t="shared" si="187"/>
        <v>LATER</v>
      </c>
      <c r="T806" t="str">
        <f t="shared" si="188"/>
        <v>SainteLague</v>
      </c>
      <c r="U806">
        <f t="shared" si="190"/>
        <v>805</v>
      </c>
      <c r="V806">
        <f t="shared" si="189"/>
        <v>136234</v>
      </c>
      <c r="W806" s="8" t="str">
        <f>VLOOKUP(V806,'ideas-input'!$A:$B,2,FALSE)</f>
        <v>WANB - Webhook</v>
      </c>
      <c r="X806" t="str">
        <f t="shared" si="178"/>
        <v>IDC</v>
      </c>
      <c r="Y806" s="8" t="str">
        <f>VLOOKUP(V806,'ideas-input'!$A:$D,4,FALSE)</f>
        <v>eCommerce</v>
      </c>
      <c r="Z806" t="str">
        <f t="shared" si="179"/>
        <v>Commercial</v>
      </c>
      <c r="AA806" t="str">
        <f t="shared" si="180"/>
        <v>In Definition</v>
      </c>
      <c r="AB806">
        <f t="shared" si="181"/>
        <v>54</v>
      </c>
      <c r="AC806">
        <f t="shared" si="182"/>
        <v>0.03</v>
      </c>
      <c r="AD806">
        <f t="shared" si="183"/>
        <v>1</v>
      </c>
      <c r="AE806">
        <f t="shared" si="184"/>
        <v>1</v>
      </c>
      <c r="AF806">
        <f t="shared" si="185"/>
        <v>1</v>
      </c>
      <c r="AG806">
        <f t="shared" si="186"/>
        <v>100</v>
      </c>
    </row>
    <row r="807" spans="1:33" x14ac:dyDescent="0.2">
      <c r="A807" t="s">
        <v>127</v>
      </c>
      <c r="B807" t="s">
        <v>128</v>
      </c>
      <c r="C807">
        <v>806</v>
      </c>
      <c r="D807">
        <v>132278</v>
      </c>
      <c r="E807" t="s">
        <v>1401</v>
      </c>
      <c r="F807" t="s">
        <v>9</v>
      </c>
      <c r="G807" t="s">
        <v>379</v>
      </c>
      <c r="H807" t="s">
        <v>8</v>
      </c>
      <c r="I807" t="s">
        <v>130</v>
      </c>
      <c r="J807">
        <v>85</v>
      </c>
      <c r="K807">
        <v>0.03</v>
      </c>
      <c r="L807">
        <v>1</v>
      </c>
      <c r="M807">
        <v>1</v>
      </c>
      <c r="N807">
        <v>1</v>
      </c>
      <c r="O807">
        <v>100</v>
      </c>
      <c r="P807" t="b">
        <f t="shared" si="177"/>
        <v>0</v>
      </c>
      <c r="S807" t="str">
        <f t="shared" si="187"/>
        <v>LATER</v>
      </c>
      <c r="T807" t="str">
        <f t="shared" si="188"/>
        <v>SainteLague</v>
      </c>
      <c r="U807">
        <f t="shared" si="190"/>
        <v>806</v>
      </c>
      <c r="V807">
        <f t="shared" si="189"/>
        <v>132278</v>
      </c>
      <c r="W807" s="8" t="str">
        <f>VLOOKUP(V807,'ideas-input'!$A:$B,2,FALSE)</f>
        <v>dotCMS - update da versão</v>
      </c>
      <c r="X807" t="str">
        <f t="shared" si="178"/>
        <v>SI</v>
      </c>
      <c r="Y807" s="8" t="str">
        <f>VLOOKUP(V807,'ideas-input'!$A:$D,4,FALSE)</f>
        <v>Mail</v>
      </c>
      <c r="Z807" t="str">
        <f t="shared" si="179"/>
        <v>Technology</v>
      </c>
      <c r="AA807" t="str">
        <f t="shared" si="180"/>
        <v>High Level Design</v>
      </c>
      <c r="AB807">
        <f t="shared" si="181"/>
        <v>85</v>
      </c>
      <c r="AC807">
        <f t="shared" si="182"/>
        <v>0.03</v>
      </c>
      <c r="AD807">
        <f t="shared" si="183"/>
        <v>1</v>
      </c>
      <c r="AE807">
        <f t="shared" si="184"/>
        <v>1</v>
      </c>
      <c r="AF807">
        <f t="shared" si="185"/>
        <v>1</v>
      </c>
      <c r="AG807">
        <f t="shared" si="186"/>
        <v>100</v>
      </c>
    </row>
    <row r="808" spans="1:33" x14ac:dyDescent="0.2">
      <c r="A808" t="s">
        <v>127</v>
      </c>
      <c r="B808" t="s">
        <v>128</v>
      </c>
      <c r="C808">
        <v>807</v>
      </c>
      <c r="D808">
        <v>57596</v>
      </c>
      <c r="E808" t="s">
        <v>327</v>
      </c>
      <c r="F808" t="s">
        <v>65</v>
      </c>
      <c r="G808" t="s">
        <v>10</v>
      </c>
      <c r="H808" t="s">
        <v>5</v>
      </c>
      <c r="I808" t="s">
        <v>91</v>
      </c>
      <c r="J808">
        <v>64</v>
      </c>
      <c r="K808">
        <v>0.03</v>
      </c>
      <c r="L808">
        <v>1</v>
      </c>
      <c r="M808">
        <v>1</v>
      </c>
      <c r="N808">
        <v>1</v>
      </c>
      <c r="O808">
        <v>100</v>
      </c>
      <c r="P808" t="b">
        <f t="shared" si="177"/>
        <v>0</v>
      </c>
      <c r="S808" t="str">
        <f t="shared" si="187"/>
        <v>LATER</v>
      </c>
      <c r="T808" t="str">
        <f t="shared" si="188"/>
        <v>SainteLague</v>
      </c>
      <c r="U808">
        <f t="shared" si="190"/>
        <v>807</v>
      </c>
      <c r="V808">
        <f t="shared" si="189"/>
        <v>57596</v>
      </c>
      <c r="W808" s="8" t="str">
        <f>VLOOKUP(V808,'ideas-input'!$A:$B,2,FALSE)</f>
        <v>[PUDOS] - Descuento comercial RDP</v>
      </c>
      <c r="X808" t="str">
        <f t="shared" si="178"/>
        <v>CMO</v>
      </c>
      <c r="Y808" s="8" t="str">
        <f>VLOOKUP(V808,'ideas-input'!$A:$D,4,FALSE)</f>
        <v>eCommerce</v>
      </c>
      <c r="Z808" t="str">
        <f t="shared" si="179"/>
        <v>Commercial</v>
      </c>
      <c r="AA808" t="str">
        <f t="shared" si="180"/>
        <v>Backlog</v>
      </c>
      <c r="AB808">
        <f t="shared" si="181"/>
        <v>64</v>
      </c>
      <c r="AC808">
        <f t="shared" si="182"/>
        <v>0.03</v>
      </c>
      <c r="AD808">
        <f t="shared" si="183"/>
        <v>1</v>
      </c>
      <c r="AE808">
        <f t="shared" si="184"/>
        <v>1</v>
      </c>
      <c r="AF808">
        <f t="shared" si="185"/>
        <v>1</v>
      </c>
      <c r="AG808">
        <f t="shared" si="186"/>
        <v>100</v>
      </c>
    </row>
    <row r="809" spans="1:33" x14ac:dyDescent="0.2">
      <c r="A809" t="s">
        <v>127</v>
      </c>
      <c r="B809" t="s">
        <v>128</v>
      </c>
      <c r="C809">
        <v>808</v>
      </c>
      <c r="D809">
        <v>60938</v>
      </c>
      <c r="E809" t="s">
        <v>1458</v>
      </c>
      <c r="F809" t="s">
        <v>37</v>
      </c>
      <c r="G809" t="s">
        <v>379</v>
      </c>
      <c r="H809" t="s">
        <v>5</v>
      </c>
      <c r="I809" t="s">
        <v>91</v>
      </c>
      <c r="J809">
        <v>32</v>
      </c>
      <c r="K809">
        <v>0.03</v>
      </c>
      <c r="L809">
        <v>1</v>
      </c>
      <c r="M809">
        <v>1</v>
      </c>
      <c r="N809">
        <v>1</v>
      </c>
      <c r="O809">
        <v>100</v>
      </c>
      <c r="P809" t="b">
        <f t="shared" si="177"/>
        <v>0</v>
      </c>
      <c r="S809" t="str">
        <f t="shared" si="187"/>
        <v>LATER</v>
      </c>
      <c r="T809" t="str">
        <f t="shared" si="188"/>
        <v>SainteLague</v>
      </c>
      <c r="U809">
        <f t="shared" si="190"/>
        <v>808</v>
      </c>
      <c r="V809">
        <f t="shared" si="189"/>
        <v>60938</v>
      </c>
      <c r="W809" s="8" t="str">
        <f>VLOOKUP(V809,'ideas-input'!$A:$B,2,FALSE)</f>
        <v>Fornecimentos automáticos de material vendável às lojas</v>
      </c>
      <c r="X809" t="str">
        <f t="shared" si="178"/>
        <v>GS</v>
      </c>
      <c r="Y809" s="8" t="str">
        <f>VLOOKUP(V809,'ideas-input'!$A:$D,4,FALSE)</f>
        <v>Retail &amp; Financial Services</v>
      </c>
      <c r="Z809" t="str">
        <f t="shared" si="179"/>
        <v>Commercial</v>
      </c>
      <c r="AA809" t="str">
        <f t="shared" si="180"/>
        <v>Backlog</v>
      </c>
      <c r="AB809">
        <f t="shared" si="181"/>
        <v>32</v>
      </c>
      <c r="AC809">
        <f t="shared" si="182"/>
        <v>0.03</v>
      </c>
      <c r="AD809">
        <f t="shared" si="183"/>
        <v>1</v>
      </c>
      <c r="AE809">
        <f t="shared" si="184"/>
        <v>1</v>
      </c>
      <c r="AF809">
        <f t="shared" si="185"/>
        <v>1</v>
      </c>
      <c r="AG809">
        <f t="shared" si="186"/>
        <v>100</v>
      </c>
    </row>
    <row r="810" spans="1:33" x14ac:dyDescent="0.2">
      <c r="A810" t="s">
        <v>127</v>
      </c>
      <c r="B810" t="s">
        <v>128</v>
      </c>
      <c r="C810">
        <v>809</v>
      </c>
      <c r="D810">
        <v>136179</v>
      </c>
      <c r="E810" t="s">
        <v>318</v>
      </c>
      <c r="F810" t="s">
        <v>68</v>
      </c>
      <c r="G810" t="s">
        <v>10</v>
      </c>
      <c r="H810" t="s">
        <v>5</v>
      </c>
      <c r="I810" t="s">
        <v>95</v>
      </c>
      <c r="J810">
        <v>55</v>
      </c>
      <c r="K810">
        <v>0.03</v>
      </c>
      <c r="L810">
        <v>1</v>
      </c>
      <c r="M810">
        <v>1</v>
      </c>
      <c r="N810">
        <v>1</v>
      </c>
      <c r="O810">
        <v>100</v>
      </c>
      <c r="P810" t="b">
        <f t="shared" si="177"/>
        <v>0</v>
      </c>
      <c r="S810" t="str">
        <f t="shared" si="187"/>
        <v>LATER</v>
      </c>
      <c r="T810" t="str">
        <f t="shared" si="188"/>
        <v>SainteLague</v>
      </c>
      <c r="U810">
        <f t="shared" si="190"/>
        <v>809</v>
      </c>
      <c r="V810">
        <f t="shared" si="189"/>
        <v>136179</v>
      </c>
      <c r="W810" s="8" t="str">
        <f>VLOOKUP(V810,'ideas-input'!$A:$B,2,FALSE)</f>
        <v>Api Horario Cortes Recogidas</v>
      </c>
      <c r="X810" t="str">
        <f t="shared" si="178"/>
        <v>IDC</v>
      </c>
      <c r="Y810" s="8" t="str">
        <f>VLOOKUP(V810,'ideas-input'!$A:$D,4,FALSE)</f>
        <v>eCommerce</v>
      </c>
      <c r="Z810" t="str">
        <f t="shared" si="179"/>
        <v>Commercial</v>
      </c>
      <c r="AA810" t="str">
        <f t="shared" si="180"/>
        <v>In Definition</v>
      </c>
      <c r="AB810">
        <f t="shared" si="181"/>
        <v>55</v>
      </c>
      <c r="AC810">
        <f t="shared" si="182"/>
        <v>0.03</v>
      </c>
      <c r="AD810">
        <f t="shared" si="183"/>
        <v>1</v>
      </c>
      <c r="AE810">
        <f t="shared" si="184"/>
        <v>1</v>
      </c>
      <c r="AF810">
        <f t="shared" si="185"/>
        <v>1</v>
      </c>
      <c r="AG810">
        <f t="shared" si="186"/>
        <v>100</v>
      </c>
    </row>
    <row r="811" spans="1:33" x14ac:dyDescent="0.2">
      <c r="A811" t="s">
        <v>127</v>
      </c>
      <c r="B811" t="s">
        <v>128</v>
      </c>
      <c r="C811">
        <v>810</v>
      </c>
      <c r="D811">
        <v>204677</v>
      </c>
      <c r="E811" t="s">
        <v>1460</v>
      </c>
      <c r="F811" t="s">
        <v>37</v>
      </c>
      <c r="G811" t="s">
        <v>379</v>
      </c>
      <c r="H811" t="s">
        <v>5</v>
      </c>
      <c r="I811" t="s">
        <v>91</v>
      </c>
      <c r="J811">
        <v>33</v>
      </c>
      <c r="K811">
        <v>0.03</v>
      </c>
      <c r="L811">
        <v>1</v>
      </c>
      <c r="M811">
        <v>1</v>
      </c>
      <c r="N811">
        <v>1</v>
      </c>
      <c r="O811">
        <v>100</v>
      </c>
      <c r="P811" t="b">
        <f t="shared" si="177"/>
        <v>0</v>
      </c>
      <c r="S811" t="str">
        <f t="shared" si="187"/>
        <v>LATER</v>
      </c>
      <c r="T811" t="str">
        <f t="shared" si="188"/>
        <v>SainteLague</v>
      </c>
      <c r="U811">
        <f t="shared" si="190"/>
        <v>810</v>
      </c>
      <c r="V811">
        <f t="shared" si="189"/>
        <v>204677</v>
      </c>
      <c r="W811" s="8" t="str">
        <f>VLOOKUP(V811,'ideas-input'!$A:$B,2,FALSE)</f>
        <v>Afetação Receita Vendas Loja Online a Gestores de clientes e hierarquia</v>
      </c>
      <c r="X811" t="str">
        <f t="shared" si="178"/>
        <v>GS</v>
      </c>
      <c r="Y811" s="8" t="str">
        <f>VLOOKUP(V811,'ideas-input'!$A:$D,4,FALSE)</f>
        <v>Mail</v>
      </c>
      <c r="Z811" t="str">
        <f t="shared" si="179"/>
        <v>Commercial</v>
      </c>
      <c r="AA811" t="str">
        <f t="shared" si="180"/>
        <v>Backlog</v>
      </c>
      <c r="AB811">
        <f t="shared" si="181"/>
        <v>33</v>
      </c>
      <c r="AC811">
        <f t="shared" si="182"/>
        <v>0.03</v>
      </c>
      <c r="AD811">
        <f t="shared" si="183"/>
        <v>1</v>
      </c>
      <c r="AE811">
        <f t="shared" si="184"/>
        <v>1</v>
      </c>
      <c r="AF811">
        <f t="shared" si="185"/>
        <v>1</v>
      </c>
      <c r="AG811">
        <f t="shared" si="186"/>
        <v>100</v>
      </c>
    </row>
    <row r="812" spans="1:33" x14ac:dyDescent="0.2">
      <c r="A812" t="s">
        <v>127</v>
      </c>
      <c r="B812" t="s">
        <v>128</v>
      </c>
      <c r="C812">
        <v>811</v>
      </c>
      <c r="D812">
        <v>54192</v>
      </c>
      <c r="E812" t="s">
        <v>1413</v>
      </c>
      <c r="F812" t="s">
        <v>65</v>
      </c>
      <c r="G812" t="s">
        <v>10</v>
      </c>
      <c r="H812" t="s">
        <v>5</v>
      </c>
      <c r="I812" t="s">
        <v>91</v>
      </c>
      <c r="J812">
        <v>65</v>
      </c>
      <c r="K812">
        <v>0.03</v>
      </c>
      <c r="L812">
        <v>1</v>
      </c>
      <c r="M812">
        <v>1</v>
      </c>
      <c r="N812">
        <v>1</v>
      </c>
      <c r="O812">
        <v>100</v>
      </c>
      <c r="P812" t="b">
        <f t="shared" si="177"/>
        <v>0</v>
      </c>
      <c r="S812" t="str">
        <f t="shared" si="187"/>
        <v>LATER</v>
      </c>
      <c r="T812" t="str">
        <f t="shared" si="188"/>
        <v>SainteLague</v>
      </c>
      <c r="U812">
        <f t="shared" si="190"/>
        <v>811</v>
      </c>
      <c r="V812">
        <f t="shared" si="189"/>
        <v>54192</v>
      </c>
      <c r="W812" s="8" t="str">
        <f>VLOOKUP(V812,'ideas-input'!$A:$B,2,FALSE)</f>
        <v>[Web clientes - Mapper] - Evolución completa de grabación masiva en Cloud</v>
      </c>
      <c r="X812" t="str">
        <f t="shared" si="178"/>
        <v>CMO</v>
      </c>
      <c r="Y812" s="8" t="str">
        <f>VLOOKUP(V812,'ideas-input'!$A:$D,4,FALSE)</f>
        <v>eCommerce</v>
      </c>
      <c r="Z812" t="str">
        <f t="shared" si="179"/>
        <v>Commercial</v>
      </c>
      <c r="AA812" t="str">
        <f t="shared" si="180"/>
        <v>Backlog</v>
      </c>
      <c r="AB812">
        <f t="shared" si="181"/>
        <v>65</v>
      </c>
      <c r="AC812">
        <f t="shared" si="182"/>
        <v>0.03</v>
      </c>
      <c r="AD812">
        <f t="shared" si="183"/>
        <v>1</v>
      </c>
      <c r="AE812">
        <f t="shared" si="184"/>
        <v>1</v>
      </c>
      <c r="AF812">
        <f t="shared" si="185"/>
        <v>1</v>
      </c>
      <c r="AG812">
        <f t="shared" si="186"/>
        <v>100</v>
      </c>
    </row>
    <row r="813" spans="1:33" x14ac:dyDescent="0.2">
      <c r="A813" t="s">
        <v>127</v>
      </c>
      <c r="B813" t="s">
        <v>128</v>
      </c>
      <c r="C813">
        <v>812</v>
      </c>
      <c r="D813">
        <v>65266</v>
      </c>
      <c r="E813" t="s">
        <v>1404</v>
      </c>
      <c r="F813" t="s">
        <v>9</v>
      </c>
      <c r="G813" t="s">
        <v>379</v>
      </c>
      <c r="H813" t="s">
        <v>8</v>
      </c>
      <c r="I813" t="s">
        <v>91</v>
      </c>
      <c r="J813">
        <v>86</v>
      </c>
      <c r="K813">
        <v>0.03</v>
      </c>
      <c r="L813">
        <v>1</v>
      </c>
      <c r="M813">
        <v>1</v>
      </c>
      <c r="N813">
        <v>1</v>
      </c>
      <c r="O813">
        <v>100</v>
      </c>
      <c r="P813" t="b">
        <f t="shared" si="177"/>
        <v>0</v>
      </c>
      <c r="S813" t="str">
        <f t="shared" si="187"/>
        <v>LATER</v>
      </c>
      <c r="T813" t="str">
        <f t="shared" si="188"/>
        <v>SainteLague</v>
      </c>
      <c r="U813">
        <f t="shared" si="190"/>
        <v>812</v>
      </c>
      <c r="V813">
        <f t="shared" si="189"/>
        <v>65266</v>
      </c>
      <c r="W813" s="8" t="str">
        <f>VLOOKUP(V813,'ideas-input'!$A:$B,2,FALSE)</f>
        <v>Desagregar a Intranet de Outsystems ( Acção Post Mortem - INC1002170)</v>
      </c>
      <c r="X813" t="str">
        <f t="shared" si="178"/>
        <v>SI</v>
      </c>
      <c r="Y813" s="8" t="str">
        <f>VLOOKUP(V813,'ideas-input'!$A:$D,4,FALSE)</f>
        <v>Mail</v>
      </c>
      <c r="Z813" t="str">
        <f t="shared" si="179"/>
        <v>Technology</v>
      </c>
      <c r="AA813" t="str">
        <f t="shared" si="180"/>
        <v>Backlog</v>
      </c>
      <c r="AB813">
        <f t="shared" si="181"/>
        <v>86</v>
      </c>
      <c r="AC813">
        <f t="shared" si="182"/>
        <v>0.03</v>
      </c>
      <c r="AD813">
        <f t="shared" si="183"/>
        <v>1</v>
      </c>
      <c r="AE813">
        <f t="shared" si="184"/>
        <v>1</v>
      </c>
      <c r="AF813">
        <f t="shared" si="185"/>
        <v>1</v>
      </c>
      <c r="AG813">
        <f t="shared" si="186"/>
        <v>100</v>
      </c>
    </row>
    <row r="814" spans="1:33" x14ac:dyDescent="0.2">
      <c r="A814" t="s">
        <v>127</v>
      </c>
      <c r="B814" t="s">
        <v>128</v>
      </c>
      <c r="C814">
        <v>813</v>
      </c>
      <c r="D814">
        <v>136177</v>
      </c>
      <c r="E814" t="s">
        <v>320</v>
      </c>
      <c r="F814" t="s">
        <v>68</v>
      </c>
      <c r="G814" t="s">
        <v>10</v>
      </c>
      <c r="H814" t="s">
        <v>5</v>
      </c>
      <c r="I814" t="s">
        <v>95</v>
      </c>
      <c r="J814">
        <v>56</v>
      </c>
      <c r="K814">
        <v>0.03</v>
      </c>
      <c r="L814">
        <v>1</v>
      </c>
      <c r="M814">
        <v>1</v>
      </c>
      <c r="N814">
        <v>1</v>
      </c>
      <c r="O814">
        <v>100</v>
      </c>
      <c r="P814" t="b">
        <f t="shared" si="177"/>
        <v>0</v>
      </c>
      <c r="S814" t="str">
        <f t="shared" si="187"/>
        <v>LATER</v>
      </c>
      <c r="T814" t="str">
        <f t="shared" si="188"/>
        <v>SainteLague</v>
      </c>
      <c r="U814">
        <f t="shared" si="190"/>
        <v>813</v>
      </c>
      <c r="V814">
        <f t="shared" si="189"/>
        <v>136177</v>
      </c>
      <c r="W814" s="8" t="str">
        <f>VLOOKUP(V814,'ideas-input'!$A:$B,2,FALSE)</f>
        <v>Api Manifest- Devovler fecha y hora de recogida en respuesta cuando proceda</v>
      </c>
      <c r="X814" t="str">
        <f t="shared" si="178"/>
        <v>IDC</v>
      </c>
      <c r="Y814" s="8" t="str">
        <f>VLOOKUP(V814,'ideas-input'!$A:$D,4,FALSE)</f>
        <v>eCommerce</v>
      </c>
      <c r="Z814" t="str">
        <f t="shared" si="179"/>
        <v>Commercial</v>
      </c>
      <c r="AA814" t="str">
        <f t="shared" si="180"/>
        <v>In Definition</v>
      </c>
      <c r="AB814">
        <f t="shared" si="181"/>
        <v>56</v>
      </c>
      <c r="AC814">
        <f t="shared" si="182"/>
        <v>0.03</v>
      </c>
      <c r="AD814">
        <f t="shared" si="183"/>
        <v>1</v>
      </c>
      <c r="AE814">
        <f t="shared" si="184"/>
        <v>1</v>
      </c>
      <c r="AF814">
        <f t="shared" si="185"/>
        <v>1</v>
      </c>
      <c r="AG814">
        <f t="shared" si="186"/>
        <v>100</v>
      </c>
    </row>
    <row r="815" spans="1:33" x14ac:dyDescent="0.2">
      <c r="A815" t="s">
        <v>127</v>
      </c>
      <c r="B815" t="s">
        <v>128</v>
      </c>
      <c r="C815">
        <v>814</v>
      </c>
      <c r="D815">
        <v>196287</v>
      </c>
      <c r="E815" t="s">
        <v>1462</v>
      </c>
      <c r="F815" t="s">
        <v>37</v>
      </c>
      <c r="G815" t="s">
        <v>379</v>
      </c>
      <c r="H815" t="s">
        <v>5</v>
      </c>
      <c r="I815" t="s">
        <v>91</v>
      </c>
      <c r="J815">
        <v>34</v>
      </c>
      <c r="K815">
        <v>0.03</v>
      </c>
      <c r="L815">
        <v>1</v>
      </c>
      <c r="M815">
        <v>1</v>
      </c>
      <c r="N815">
        <v>1</v>
      </c>
      <c r="O815">
        <v>100</v>
      </c>
      <c r="P815" t="b">
        <f t="shared" si="177"/>
        <v>0</v>
      </c>
      <c r="S815" t="str">
        <f t="shared" si="187"/>
        <v>LATER</v>
      </c>
      <c r="T815" t="str">
        <f t="shared" si="188"/>
        <v>SainteLague</v>
      </c>
      <c r="U815">
        <f t="shared" si="190"/>
        <v>814</v>
      </c>
      <c r="V815">
        <f t="shared" si="189"/>
        <v>196287</v>
      </c>
      <c r="W815" s="8" t="str">
        <f>VLOOKUP(V815,'ideas-input'!$A:$B,2,FALSE)</f>
        <v>Afetação correta da receita de produtos/serviços faturados fora do SAP ao respetivo gestor comercial B2B e Lojas e Loja Online</v>
      </c>
      <c r="X815" t="str">
        <f t="shared" si="178"/>
        <v>GS</v>
      </c>
      <c r="Y815" s="8" t="str">
        <f>VLOOKUP(V815,'ideas-input'!$A:$D,4,FALSE)</f>
        <v>Mail</v>
      </c>
      <c r="Z815" t="str">
        <f t="shared" si="179"/>
        <v>Commercial</v>
      </c>
      <c r="AA815" t="str">
        <f t="shared" si="180"/>
        <v>Backlog</v>
      </c>
      <c r="AB815">
        <f t="shared" si="181"/>
        <v>34</v>
      </c>
      <c r="AC815">
        <f t="shared" si="182"/>
        <v>0.03</v>
      </c>
      <c r="AD815">
        <f t="shared" si="183"/>
        <v>1</v>
      </c>
      <c r="AE815">
        <f t="shared" si="184"/>
        <v>1</v>
      </c>
      <c r="AF815">
        <f t="shared" si="185"/>
        <v>1</v>
      </c>
      <c r="AG815">
        <f t="shared" si="186"/>
        <v>100</v>
      </c>
    </row>
    <row r="816" spans="1:33" x14ac:dyDescent="0.2">
      <c r="A816" t="s">
        <v>127</v>
      </c>
      <c r="B816" t="s">
        <v>128</v>
      </c>
      <c r="C816">
        <v>815</v>
      </c>
      <c r="D816">
        <v>50029</v>
      </c>
      <c r="E816" t="s">
        <v>1415</v>
      </c>
      <c r="F816" t="s">
        <v>65</v>
      </c>
      <c r="G816" t="s">
        <v>10</v>
      </c>
      <c r="H816" t="s">
        <v>5</v>
      </c>
      <c r="I816" t="s">
        <v>91</v>
      </c>
      <c r="J816">
        <v>66</v>
      </c>
      <c r="K816">
        <v>0.03</v>
      </c>
      <c r="L816">
        <v>1</v>
      </c>
      <c r="M816">
        <v>1</v>
      </c>
      <c r="N816">
        <v>1</v>
      </c>
      <c r="O816">
        <v>100</v>
      </c>
      <c r="P816" t="b">
        <f t="shared" si="177"/>
        <v>0</v>
      </c>
      <c r="S816" t="str">
        <f t="shared" si="187"/>
        <v>LATER</v>
      </c>
      <c r="T816" t="str">
        <f t="shared" si="188"/>
        <v>SainteLague</v>
      </c>
      <c r="U816">
        <f t="shared" si="190"/>
        <v>815</v>
      </c>
      <c r="V816">
        <f t="shared" si="189"/>
        <v>50029</v>
      </c>
      <c r="W816" s="8" t="str">
        <f>VLOOKUP(V816,'ideas-input'!$A:$B,2,FALSE)</f>
        <v>[PUDOS] - Creación de alarma ante la falta de recepción de órdenes de recogidas de caducados Celeritas</v>
      </c>
      <c r="X816" t="str">
        <f t="shared" si="178"/>
        <v>CMO</v>
      </c>
      <c r="Y816" s="8" t="str">
        <f>VLOOKUP(V816,'ideas-input'!$A:$D,4,FALSE)</f>
        <v>eCommerce</v>
      </c>
      <c r="Z816" t="str">
        <f t="shared" si="179"/>
        <v>Commercial</v>
      </c>
      <c r="AA816" t="str">
        <f t="shared" si="180"/>
        <v>Backlog</v>
      </c>
      <c r="AB816">
        <f t="shared" si="181"/>
        <v>66</v>
      </c>
      <c r="AC816">
        <f t="shared" si="182"/>
        <v>0.03</v>
      </c>
      <c r="AD816">
        <f t="shared" si="183"/>
        <v>1</v>
      </c>
      <c r="AE816">
        <f t="shared" si="184"/>
        <v>1</v>
      </c>
      <c r="AF816">
        <f t="shared" si="185"/>
        <v>1</v>
      </c>
      <c r="AG816">
        <f t="shared" si="186"/>
        <v>100</v>
      </c>
    </row>
    <row r="817" spans="1:33" x14ac:dyDescent="0.2">
      <c r="A817" t="s">
        <v>127</v>
      </c>
      <c r="B817" t="s">
        <v>128</v>
      </c>
      <c r="C817">
        <v>816</v>
      </c>
      <c r="D817">
        <v>137551</v>
      </c>
      <c r="E817" t="s">
        <v>1407</v>
      </c>
      <c r="F817" t="s">
        <v>9</v>
      </c>
      <c r="G817" t="s">
        <v>379</v>
      </c>
      <c r="H817" t="s">
        <v>8</v>
      </c>
      <c r="I817" t="s">
        <v>95</v>
      </c>
      <c r="J817">
        <v>87</v>
      </c>
      <c r="K817">
        <v>0.03</v>
      </c>
      <c r="L817">
        <v>1</v>
      </c>
      <c r="M817">
        <v>1</v>
      </c>
      <c r="N817">
        <v>1</v>
      </c>
      <c r="O817">
        <v>100</v>
      </c>
      <c r="P817" t="b">
        <f t="shared" si="177"/>
        <v>0</v>
      </c>
      <c r="S817" t="str">
        <f t="shared" si="187"/>
        <v>LATER</v>
      </c>
      <c r="T817" t="str">
        <f t="shared" si="188"/>
        <v>SainteLague</v>
      </c>
      <c r="U817">
        <f t="shared" si="190"/>
        <v>816</v>
      </c>
      <c r="V817">
        <f t="shared" si="189"/>
        <v>137551</v>
      </c>
      <c r="W817" s="8" t="str">
        <f>VLOOKUP(V817,'ideas-input'!$A:$B,2,FALSE)</f>
        <v>Quick Wins - Super App B2C</v>
      </c>
      <c r="X817" t="str">
        <f t="shared" si="178"/>
        <v>SI</v>
      </c>
      <c r="Y817" s="8" t="str">
        <f>VLOOKUP(V817,'ideas-input'!$A:$D,4,FALSE)</f>
        <v>eCommerce</v>
      </c>
      <c r="Z817" t="str">
        <f t="shared" si="179"/>
        <v>Technology</v>
      </c>
      <c r="AA817" t="str">
        <f t="shared" si="180"/>
        <v>In Definition</v>
      </c>
      <c r="AB817">
        <f t="shared" si="181"/>
        <v>87</v>
      </c>
      <c r="AC817">
        <f t="shared" si="182"/>
        <v>0.03</v>
      </c>
      <c r="AD817">
        <f t="shared" si="183"/>
        <v>1</v>
      </c>
      <c r="AE817">
        <f t="shared" si="184"/>
        <v>1</v>
      </c>
      <c r="AF817">
        <f t="shared" si="185"/>
        <v>1</v>
      </c>
      <c r="AG817">
        <f t="shared" si="186"/>
        <v>100</v>
      </c>
    </row>
    <row r="818" spans="1:33" x14ac:dyDescent="0.2">
      <c r="A818" t="s">
        <v>127</v>
      </c>
      <c r="B818" t="s">
        <v>128</v>
      </c>
      <c r="C818">
        <v>817</v>
      </c>
      <c r="D818">
        <v>136173</v>
      </c>
      <c r="E818" t="s">
        <v>322</v>
      </c>
      <c r="F818" t="s">
        <v>68</v>
      </c>
      <c r="G818" t="s">
        <v>10</v>
      </c>
      <c r="H818" t="s">
        <v>5</v>
      </c>
      <c r="I818" t="s">
        <v>95</v>
      </c>
      <c r="J818">
        <v>57</v>
      </c>
      <c r="K818">
        <v>0.03</v>
      </c>
      <c r="L818">
        <v>1</v>
      </c>
      <c r="M818">
        <v>1</v>
      </c>
      <c r="N818">
        <v>1</v>
      </c>
      <c r="O818">
        <v>100</v>
      </c>
      <c r="P818" t="b">
        <f t="shared" si="177"/>
        <v>0</v>
      </c>
      <c r="S818" t="str">
        <f t="shared" si="187"/>
        <v>LATER</v>
      </c>
      <c r="T818" t="str">
        <f t="shared" si="188"/>
        <v>SainteLague</v>
      </c>
      <c r="U818">
        <f t="shared" si="190"/>
        <v>817</v>
      </c>
      <c r="V818">
        <f t="shared" si="189"/>
        <v>136173</v>
      </c>
      <c r="W818" s="8" t="str">
        <f>VLOOKUP(V818,'ideas-input'!$A:$B,2,FALSE)</f>
        <v>Api Solicitud de Recogidas (sin envio asociado)</v>
      </c>
      <c r="X818" t="str">
        <f t="shared" si="178"/>
        <v>IDC</v>
      </c>
      <c r="Y818" s="8" t="str">
        <f>VLOOKUP(V818,'ideas-input'!$A:$D,4,FALSE)</f>
        <v>eCommerce</v>
      </c>
      <c r="Z818" t="str">
        <f t="shared" si="179"/>
        <v>Commercial</v>
      </c>
      <c r="AA818" t="str">
        <f t="shared" si="180"/>
        <v>In Definition</v>
      </c>
      <c r="AB818">
        <f t="shared" si="181"/>
        <v>57</v>
      </c>
      <c r="AC818">
        <f t="shared" si="182"/>
        <v>0.03</v>
      </c>
      <c r="AD818">
        <f t="shared" si="183"/>
        <v>1</v>
      </c>
      <c r="AE818">
        <f t="shared" si="184"/>
        <v>1</v>
      </c>
      <c r="AF818">
        <f t="shared" si="185"/>
        <v>1</v>
      </c>
      <c r="AG818">
        <f t="shared" si="186"/>
        <v>100</v>
      </c>
    </row>
    <row r="819" spans="1:33" x14ac:dyDescent="0.2">
      <c r="A819" t="s">
        <v>127</v>
      </c>
      <c r="B819" t="s">
        <v>128</v>
      </c>
      <c r="C819">
        <v>818</v>
      </c>
      <c r="D819">
        <v>46558</v>
      </c>
      <c r="E819" t="s">
        <v>1464</v>
      </c>
      <c r="F819" t="s">
        <v>37</v>
      </c>
      <c r="G819" t="s">
        <v>379</v>
      </c>
      <c r="H819" t="s">
        <v>5</v>
      </c>
      <c r="I819" t="s">
        <v>91</v>
      </c>
      <c r="J819">
        <v>35</v>
      </c>
      <c r="K819">
        <v>0.03</v>
      </c>
      <c r="L819">
        <v>1</v>
      </c>
      <c r="M819">
        <v>1</v>
      </c>
      <c r="N819">
        <v>1</v>
      </c>
      <c r="O819">
        <v>100</v>
      </c>
      <c r="P819" t="b">
        <f t="shared" si="177"/>
        <v>0</v>
      </c>
      <c r="S819" t="str">
        <f t="shared" si="187"/>
        <v>LATER</v>
      </c>
      <c r="T819" t="str">
        <f t="shared" si="188"/>
        <v>SainteLague</v>
      </c>
      <c r="U819">
        <f t="shared" si="190"/>
        <v>818</v>
      </c>
      <c r="V819">
        <f t="shared" si="189"/>
        <v>46558</v>
      </c>
      <c r="W819" s="8" t="str">
        <f>VLOOKUP(V819,'ideas-input'!$A:$B,2,FALSE)</f>
        <v>A receita dos Pontos ctt não NAVe</v>
      </c>
      <c r="X819" t="str">
        <f t="shared" si="178"/>
        <v>GS</v>
      </c>
      <c r="Y819" s="8" t="str">
        <f>VLOOKUP(V819,'ideas-input'!$A:$D,4,FALSE)</f>
        <v>Mail</v>
      </c>
      <c r="Z819" t="str">
        <f t="shared" si="179"/>
        <v>Commercial</v>
      </c>
      <c r="AA819" t="str">
        <f t="shared" si="180"/>
        <v>Backlog</v>
      </c>
      <c r="AB819">
        <f t="shared" si="181"/>
        <v>35</v>
      </c>
      <c r="AC819">
        <f t="shared" si="182"/>
        <v>0.03</v>
      </c>
      <c r="AD819">
        <f t="shared" si="183"/>
        <v>1</v>
      </c>
      <c r="AE819">
        <f t="shared" si="184"/>
        <v>1</v>
      </c>
      <c r="AF819">
        <f t="shared" si="185"/>
        <v>1</v>
      </c>
      <c r="AG819">
        <f t="shared" si="186"/>
        <v>100</v>
      </c>
    </row>
    <row r="820" spans="1:33" x14ac:dyDescent="0.2">
      <c r="A820" t="s">
        <v>127</v>
      </c>
      <c r="B820" t="s">
        <v>128</v>
      </c>
      <c r="C820">
        <v>819</v>
      </c>
      <c r="D820">
        <v>130472</v>
      </c>
      <c r="E820" t="s">
        <v>329</v>
      </c>
      <c r="F820" t="s">
        <v>65</v>
      </c>
      <c r="G820" t="s">
        <v>10</v>
      </c>
      <c r="H820" t="s">
        <v>5</v>
      </c>
      <c r="I820" t="s">
        <v>91</v>
      </c>
      <c r="J820">
        <v>67</v>
      </c>
      <c r="K820">
        <v>0.03</v>
      </c>
      <c r="L820">
        <v>1</v>
      </c>
      <c r="M820">
        <v>1</v>
      </c>
      <c r="N820">
        <v>1</v>
      </c>
      <c r="O820">
        <v>100</v>
      </c>
      <c r="P820" t="b">
        <f t="shared" si="177"/>
        <v>0</v>
      </c>
      <c r="S820" t="str">
        <f t="shared" si="187"/>
        <v>LATER</v>
      </c>
      <c r="T820" t="str">
        <f t="shared" si="188"/>
        <v>SainteLague</v>
      </c>
      <c r="U820">
        <f t="shared" si="190"/>
        <v>819</v>
      </c>
      <c r="V820">
        <f t="shared" si="189"/>
        <v>130472</v>
      </c>
      <c r="W820" s="8" t="str">
        <f>VLOOKUP(V820,'ideas-input'!$A:$B,2,FALSE)</f>
        <v>[Minerva] - Modificar la plantilla de respuesta de Signaturit cuando se firma un contrato</v>
      </c>
      <c r="X820" t="str">
        <f t="shared" si="178"/>
        <v>CMO</v>
      </c>
      <c r="Y820" s="8" t="str">
        <f>VLOOKUP(V820,'ideas-input'!$A:$D,4,FALSE)</f>
        <v>eCommerce</v>
      </c>
      <c r="Z820" t="str">
        <f t="shared" si="179"/>
        <v>Commercial</v>
      </c>
      <c r="AA820" t="str">
        <f t="shared" si="180"/>
        <v>Backlog</v>
      </c>
      <c r="AB820">
        <f t="shared" si="181"/>
        <v>67</v>
      </c>
      <c r="AC820">
        <f t="shared" si="182"/>
        <v>0.03</v>
      </c>
      <c r="AD820">
        <f t="shared" si="183"/>
        <v>1</v>
      </c>
      <c r="AE820">
        <f t="shared" si="184"/>
        <v>1</v>
      </c>
      <c r="AF820">
        <f t="shared" si="185"/>
        <v>1</v>
      </c>
      <c r="AG820">
        <f t="shared" si="186"/>
        <v>100</v>
      </c>
    </row>
    <row r="821" spans="1:33" x14ac:dyDescent="0.2">
      <c r="A821" t="s">
        <v>127</v>
      </c>
      <c r="B821" t="s">
        <v>128</v>
      </c>
      <c r="C821">
        <v>820</v>
      </c>
      <c r="D821">
        <v>140465</v>
      </c>
      <c r="E821" t="s">
        <v>1410</v>
      </c>
      <c r="F821" t="s">
        <v>9</v>
      </c>
      <c r="G821" t="s">
        <v>379</v>
      </c>
      <c r="H821" t="s">
        <v>8</v>
      </c>
      <c r="I821" t="s">
        <v>91</v>
      </c>
      <c r="J821">
        <v>88</v>
      </c>
      <c r="K821">
        <v>0.03</v>
      </c>
      <c r="L821">
        <v>1</v>
      </c>
      <c r="M821">
        <v>1</v>
      </c>
      <c r="N821">
        <v>1</v>
      </c>
      <c r="O821">
        <v>100</v>
      </c>
      <c r="P821" t="b">
        <f t="shared" si="177"/>
        <v>0</v>
      </c>
      <c r="S821" t="str">
        <f t="shared" si="187"/>
        <v>LATER</v>
      </c>
      <c r="T821" t="str">
        <f t="shared" si="188"/>
        <v>SainteLague</v>
      </c>
      <c r="U821">
        <f t="shared" si="190"/>
        <v>820</v>
      </c>
      <c r="V821">
        <f t="shared" si="189"/>
        <v>140465</v>
      </c>
      <c r="W821" s="8" t="str">
        <f>VLOOKUP(V821,'ideas-input'!$A:$B,2,FALSE)</f>
        <v>CoE OutSystems | Upgrade de MABS 11.2 para MABS 12</v>
      </c>
      <c r="X821" t="str">
        <f t="shared" si="178"/>
        <v>SI</v>
      </c>
      <c r="Y821" s="8" t="str">
        <f>VLOOKUP(V821,'ideas-input'!$A:$D,4,FALSE)</f>
        <v>eCommerce</v>
      </c>
      <c r="Z821" t="str">
        <f t="shared" si="179"/>
        <v>Technology</v>
      </c>
      <c r="AA821" t="str">
        <f t="shared" si="180"/>
        <v>Backlog</v>
      </c>
      <c r="AB821">
        <f t="shared" si="181"/>
        <v>88</v>
      </c>
      <c r="AC821">
        <f t="shared" si="182"/>
        <v>0.03</v>
      </c>
      <c r="AD821">
        <f t="shared" si="183"/>
        <v>1</v>
      </c>
      <c r="AE821">
        <f t="shared" si="184"/>
        <v>1</v>
      </c>
      <c r="AF821">
        <f t="shared" si="185"/>
        <v>1</v>
      </c>
      <c r="AG821">
        <f t="shared" si="186"/>
        <v>100</v>
      </c>
    </row>
    <row r="822" spans="1:33" x14ac:dyDescent="0.2">
      <c r="A822" t="s">
        <v>127</v>
      </c>
      <c r="B822" t="s">
        <v>128</v>
      </c>
      <c r="C822">
        <v>821</v>
      </c>
      <c r="D822">
        <v>135956</v>
      </c>
      <c r="E822" t="s">
        <v>1610</v>
      </c>
      <c r="F822" t="s">
        <v>68</v>
      </c>
      <c r="G822" t="s">
        <v>10</v>
      </c>
      <c r="H822" t="s">
        <v>5</v>
      </c>
      <c r="I822" t="s">
        <v>95</v>
      </c>
      <c r="J822">
        <v>58</v>
      </c>
      <c r="K822">
        <v>0.05</v>
      </c>
      <c r="L822">
        <v>3</v>
      </c>
      <c r="M822">
        <v>1</v>
      </c>
      <c r="N822">
        <v>1</v>
      </c>
      <c r="O822">
        <v>100</v>
      </c>
      <c r="P822" t="b">
        <f t="shared" si="177"/>
        <v>0</v>
      </c>
      <c r="S822" t="str">
        <f t="shared" si="187"/>
        <v>LATER</v>
      </c>
      <c r="T822" t="str">
        <f t="shared" si="188"/>
        <v>SainteLague</v>
      </c>
      <c r="U822">
        <f t="shared" si="190"/>
        <v>821</v>
      </c>
      <c r="V822">
        <f t="shared" si="189"/>
        <v>135956</v>
      </c>
      <c r="W822" s="8" t="str">
        <f>VLOOKUP(V822,'ideas-input'!$A:$B,2,FALSE)</f>
        <v>[WebHook] - Temu</v>
      </c>
      <c r="X822" t="str">
        <f t="shared" si="178"/>
        <v>IDC</v>
      </c>
      <c r="Y822" s="8" t="str">
        <f>VLOOKUP(V822,'ideas-input'!$A:$D,4,FALSE)</f>
        <v>eCommerce</v>
      </c>
      <c r="Z822" t="str">
        <f t="shared" si="179"/>
        <v>Commercial</v>
      </c>
      <c r="AA822" t="str">
        <f t="shared" si="180"/>
        <v>In Definition</v>
      </c>
      <c r="AB822">
        <f t="shared" si="181"/>
        <v>58</v>
      </c>
      <c r="AC822">
        <f t="shared" si="182"/>
        <v>0.05</v>
      </c>
      <c r="AD822">
        <f t="shared" si="183"/>
        <v>3</v>
      </c>
      <c r="AE822">
        <f t="shared" si="184"/>
        <v>1</v>
      </c>
      <c r="AF822">
        <f t="shared" si="185"/>
        <v>1</v>
      </c>
      <c r="AG822">
        <f t="shared" si="186"/>
        <v>100</v>
      </c>
    </row>
    <row r="823" spans="1:33" x14ac:dyDescent="0.2">
      <c r="A823" t="s">
        <v>127</v>
      </c>
      <c r="B823" t="s">
        <v>128</v>
      </c>
      <c r="C823">
        <v>822</v>
      </c>
      <c r="D823">
        <v>65058</v>
      </c>
      <c r="E823" t="s">
        <v>1466</v>
      </c>
      <c r="F823" t="s">
        <v>37</v>
      </c>
      <c r="G823" t="s">
        <v>379</v>
      </c>
      <c r="H823" t="s">
        <v>5</v>
      </c>
      <c r="I823" t="s">
        <v>95</v>
      </c>
      <c r="J823">
        <v>36</v>
      </c>
      <c r="K823">
        <v>0.03</v>
      </c>
      <c r="L823">
        <v>1</v>
      </c>
      <c r="M823">
        <v>1</v>
      </c>
      <c r="N823">
        <v>1</v>
      </c>
      <c r="O823">
        <v>100</v>
      </c>
      <c r="P823" t="b">
        <f t="shared" si="177"/>
        <v>0</v>
      </c>
      <c r="S823" t="str">
        <f t="shared" si="187"/>
        <v>LATER</v>
      </c>
      <c r="T823" t="str">
        <f t="shared" si="188"/>
        <v>SainteLague</v>
      </c>
      <c r="U823">
        <f t="shared" si="190"/>
        <v>822</v>
      </c>
      <c r="V823">
        <f t="shared" si="189"/>
        <v>65058</v>
      </c>
      <c r="W823" s="8" t="str">
        <f>VLOOKUP(V823,'ideas-input'!$A:$B,2,FALSE)</f>
        <v>El corte Inglês - Relatorios de Conciliação forma automatica</v>
      </c>
      <c r="X823" t="str">
        <f t="shared" si="178"/>
        <v>GS</v>
      </c>
      <c r="Y823" s="8" t="str">
        <f>VLOOKUP(V823,'ideas-input'!$A:$D,4,FALSE)</f>
        <v>Mail</v>
      </c>
      <c r="Z823" t="str">
        <f t="shared" si="179"/>
        <v>Commercial</v>
      </c>
      <c r="AA823" t="str">
        <f t="shared" si="180"/>
        <v>In Definition</v>
      </c>
      <c r="AB823">
        <f t="shared" si="181"/>
        <v>36</v>
      </c>
      <c r="AC823">
        <f t="shared" si="182"/>
        <v>0.03</v>
      </c>
      <c r="AD823">
        <f t="shared" si="183"/>
        <v>1</v>
      </c>
      <c r="AE823">
        <f t="shared" si="184"/>
        <v>1</v>
      </c>
      <c r="AF823">
        <f t="shared" si="185"/>
        <v>1</v>
      </c>
      <c r="AG823">
        <f t="shared" si="186"/>
        <v>100</v>
      </c>
    </row>
    <row r="824" spans="1:33" x14ac:dyDescent="0.2">
      <c r="A824" t="s">
        <v>127</v>
      </c>
      <c r="B824" t="s">
        <v>128</v>
      </c>
      <c r="C824">
        <v>823</v>
      </c>
      <c r="D824">
        <v>46911</v>
      </c>
      <c r="E824" t="s">
        <v>1425</v>
      </c>
      <c r="F824" t="s">
        <v>65</v>
      </c>
      <c r="G824" t="s">
        <v>10</v>
      </c>
      <c r="H824" t="s">
        <v>5</v>
      </c>
      <c r="I824" t="s">
        <v>91</v>
      </c>
      <c r="J824">
        <v>68</v>
      </c>
      <c r="K824">
        <v>0.03</v>
      </c>
      <c r="L824">
        <v>1</v>
      </c>
      <c r="M824">
        <v>1</v>
      </c>
      <c r="N824">
        <v>1</v>
      </c>
      <c r="O824">
        <v>100</v>
      </c>
      <c r="P824" t="b">
        <f t="shared" si="177"/>
        <v>0</v>
      </c>
      <c r="S824" t="str">
        <f t="shared" si="187"/>
        <v>LATER</v>
      </c>
      <c r="T824" t="str">
        <f t="shared" si="188"/>
        <v>SainteLague</v>
      </c>
      <c r="U824">
        <f t="shared" si="190"/>
        <v>823</v>
      </c>
      <c r="V824">
        <f t="shared" si="189"/>
        <v>46911</v>
      </c>
      <c r="W824" s="8" t="str">
        <f>VLOOKUP(V824,'ideas-input'!$A:$B,2,FALSE)</f>
        <v>[PUDOS] - Automatización de la facturación cruzada con las redes de puntos.</v>
      </c>
      <c r="X824" t="str">
        <f t="shared" si="178"/>
        <v>CMO</v>
      </c>
      <c r="Y824" s="8" t="str">
        <f>VLOOKUP(V824,'ideas-input'!$A:$D,4,FALSE)</f>
        <v>eCommerce</v>
      </c>
      <c r="Z824" t="str">
        <f t="shared" si="179"/>
        <v>Commercial</v>
      </c>
      <c r="AA824" t="str">
        <f t="shared" si="180"/>
        <v>Backlog</v>
      </c>
      <c r="AB824">
        <f t="shared" si="181"/>
        <v>68</v>
      </c>
      <c r="AC824">
        <f t="shared" si="182"/>
        <v>0.03</v>
      </c>
      <c r="AD824">
        <f t="shared" si="183"/>
        <v>1</v>
      </c>
      <c r="AE824">
        <f t="shared" si="184"/>
        <v>1</v>
      </c>
      <c r="AF824">
        <f t="shared" si="185"/>
        <v>1</v>
      </c>
      <c r="AG824">
        <f t="shared" si="186"/>
        <v>100</v>
      </c>
    </row>
    <row r="825" spans="1:33" x14ac:dyDescent="0.2">
      <c r="A825" t="s">
        <v>127</v>
      </c>
      <c r="B825" t="s">
        <v>128</v>
      </c>
      <c r="C825">
        <v>824</v>
      </c>
      <c r="D825">
        <v>137549</v>
      </c>
      <c r="E825" t="s">
        <v>1414</v>
      </c>
      <c r="F825" t="s">
        <v>9</v>
      </c>
      <c r="G825" t="s">
        <v>379</v>
      </c>
      <c r="H825" t="s">
        <v>8</v>
      </c>
      <c r="I825" t="s">
        <v>93</v>
      </c>
      <c r="J825">
        <v>89</v>
      </c>
      <c r="K825">
        <v>0.03</v>
      </c>
      <c r="L825">
        <v>1</v>
      </c>
      <c r="M825">
        <v>1</v>
      </c>
      <c r="N825">
        <v>1</v>
      </c>
      <c r="O825">
        <v>100</v>
      </c>
      <c r="P825" t="b">
        <f t="shared" si="177"/>
        <v>0</v>
      </c>
      <c r="S825" t="str">
        <f t="shared" si="187"/>
        <v>LATER</v>
      </c>
      <c r="T825" t="str">
        <f t="shared" si="188"/>
        <v>SainteLague</v>
      </c>
      <c r="U825">
        <f t="shared" si="190"/>
        <v>824</v>
      </c>
      <c r="V825">
        <f t="shared" si="189"/>
        <v>137549</v>
      </c>
      <c r="W825" s="8" t="str">
        <f>VLOOKUP(V825,'ideas-input'!$A:$B,2,FALSE)</f>
        <v>Outsystems - Evolução processo de CI/CD</v>
      </c>
      <c r="X825" t="str">
        <f t="shared" si="178"/>
        <v>SI</v>
      </c>
      <c r="Y825" s="8" t="str">
        <f>VLOOKUP(V825,'ideas-input'!$A:$D,4,FALSE)</f>
        <v>eCommerce</v>
      </c>
      <c r="Z825" t="str">
        <f t="shared" si="179"/>
        <v>Technology</v>
      </c>
      <c r="AA825" t="str">
        <f t="shared" si="180"/>
        <v>Pitch</v>
      </c>
      <c r="AB825">
        <f t="shared" si="181"/>
        <v>89</v>
      </c>
      <c r="AC825">
        <f t="shared" si="182"/>
        <v>0.03</v>
      </c>
      <c r="AD825">
        <f t="shared" si="183"/>
        <v>1</v>
      </c>
      <c r="AE825">
        <f t="shared" si="184"/>
        <v>1</v>
      </c>
      <c r="AF825">
        <f t="shared" si="185"/>
        <v>1</v>
      </c>
      <c r="AG825">
        <f t="shared" si="186"/>
        <v>100</v>
      </c>
    </row>
    <row r="826" spans="1:33" x14ac:dyDescent="0.2">
      <c r="A826" t="s">
        <v>127</v>
      </c>
      <c r="B826" t="s">
        <v>128</v>
      </c>
      <c r="C826">
        <v>825</v>
      </c>
      <c r="D826">
        <v>132736</v>
      </c>
      <c r="E826" t="s">
        <v>1496</v>
      </c>
      <c r="F826" t="s">
        <v>68</v>
      </c>
      <c r="G826" t="s">
        <v>10</v>
      </c>
      <c r="H826" t="s">
        <v>5</v>
      </c>
      <c r="I826" t="s">
        <v>95</v>
      </c>
      <c r="J826">
        <v>59</v>
      </c>
      <c r="K826">
        <v>0.03</v>
      </c>
      <c r="L826">
        <v>1</v>
      </c>
      <c r="M826">
        <v>1</v>
      </c>
      <c r="N826">
        <v>1</v>
      </c>
      <c r="O826">
        <v>100</v>
      </c>
      <c r="P826" t="b">
        <f t="shared" si="177"/>
        <v>0</v>
      </c>
      <c r="S826" t="str">
        <f t="shared" si="187"/>
        <v>LATER</v>
      </c>
      <c r="T826" t="str">
        <f t="shared" si="188"/>
        <v>SainteLague</v>
      </c>
      <c r="U826">
        <f t="shared" si="190"/>
        <v>825</v>
      </c>
      <c r="V826">
        <f t="shared" si="189"/>
        <v>132736</v>
      </c>
      <c r="W826" s="8" t="str">
        <f>VLOOKUP(V826,'ideas-input'!$A:$B,2,FALSE)</f>
        <v>[Internacional] - Manifiesto de envíos internacionales de explotación con aduanas por métodos de Integración Clientes</v>
      </c>
      <c r="X826" t="str">
        <f t="shared" si="178"/>
        <v>IDC</v>
      </c>
      <c r="Y826" s="8" t="str">
        <f>VLOOKUP(V826,'ideas-input'!$A:$D,4,FALSE)</f>
        <v>eCommerce</v>
      </c>
      <c r="Z826" t="str">
        <f t="shared" si="179"/>
        <v>Commercial</v>
      </c>
      <c r="AA826" t="str">
        <f t="shared" si="180"/>
        <v>In Definition</v>
      </c>
      <c r="AB826">
        <f t="shared" si="181"/>
        <v>59</v>
      </c>
      <c r="AC826">
        <f t="shared" si="182"/>
        <v>0.03</v>
      </c>
      <c r="AD826">
        <f t="shared" si="183"/>
        <v>1</v>
      </c>
      <c r="AE826">
        <f t="shared" si="184"/>
        <v>1</v>
      </c>
      <c r="AF826">
        <f t="shared" si="185"/>
        <v>1</v>
      </c>
      <c r="AG826">
        <f t="shared" si="186"/>
        <v>100</v>
      </c>
    </row>
    <row r="827" spans="1:33" x14ac:dyDescent="0.2">
      <c r="A827" t="s">
        <v>127</v>
      </c>
      <c r="B827" t="s">
        <v>128</v>
      </c>
      <c r="C827">
        <v>826</v>
      </c>
      <c r="D827">
        <v>55478</v>
      </c>
      <c r="E827" t="s">
        <v>1468</v>
      </c>
      <c r="F827" t="s">
        <v>37</v>
      </c>
      <c r="G827" t="s">
        <v>379</v>
      </c>
      <c r="H827" t="s">
        <v>5</v>
      </c>
      <c r="I827" t="s">
        <v>95</v>
      </c>
      <c r="J827">
        <v>37</v>
      </c>
      <c r="K827">
        <v>0.03</v>
      </c>
      <c r="L827">
        <v>1</v>
      </c>
      <c r="M827">
        <v>1</v>
      </c>
      <c r="N827">
        <v>1</v>
      </c>
      <c r="O827">
        <v>100</v>
      </c>
      <c r="P827" t="b">
        <f t="shared" si="177"/>
        <v>0</v>
      </c>
      <c r="S827" t="str">
        <f t="shared" si="187"/>
        <v>LATER</v>
      </c>
      <c r="T827" t="str">
        <f t="shared" si="188"/>
        <v>SainteLague</v>
      </c>
      <c r="U827">
        <f t="shared" si="190"/>
        <v>826</v>
      </c>
      <c r="V827">
        <f t="shared" si="189"/>
        <v>55478</v>
      </c>
      <c r="W827" s="8" t="str">
        <f>VLOOKUP(V827,'ideas-input'!$A:$B,2,FALSE)</f>
        <v>Alteração Ficheiro Pontos CTT - Cliente Nespresso</v>
      </c>
      <c r="X827" t="str">
        <f t="shared" si="178"/>
        <v>GS</v>
      </c>
      <c r="Y827" s="8" t="str">
        <f>VLOOKUP(V827,'ideas-input'!$A:$D,4,FALSE)</f>
        <v>Mail</v>
      </c>
      <c r="Z827" t="str">
        <f t="shared" si="179"/>
        <v>Commercial</v>
      </c>
      <c r="AA827" t="str">
        <f t="shared" si="180"/>
        <v>In Definition</v>
      </c>
      <c r="AB827">
        <f t="shared" si="181"/>
        <v>37</v>
      </c>
      <c r="AC827">
        <f t="shared" si="182"/>
        <v>0.03</v>
      </c>
      <c r="AD827">
        <f t="shared" si="183"/>
        <v>1</v>
      </c>
      <c r="AE827">
        <f t="shared" si="184"/>
        <v>1</v>
      </c>
      <c r="AF827">
        <f t="shared" si="185"/>
        <v>1</v>
      </c>
      <c r="AG827">
        <f t="shared" si="186"/>
        <v>100</v>
      </c>
    </row>
    <row r="828" spans="1:33" x14ac:dyDescent="0.2">
      <c r="A828" t="s">
        <v>127</v>
      </c>
      <c r="B828" t="s">
        <v>128</v>
      </c>
      <c r="C828">
        <v>827</v>
      </c>
      <c r="D828">
        <v>61393</v>
      </c>
      <c r="E828" t="s">
        <v>334</v>
      </c>
      <c r="F828" t="s">
        <v>65</v>
      </c>
      <c r="G828" t="s">
        <v>10</v>
      </c>
      <c r="H828" t="s">
        <v>5</v>
      </c>
      <c r="I828" t="s">
        <v>91</v>
      </c>
      <c r="J828">
        <v>69</v>
      </c>
      <c r="K828">
        <v>0.03</v>
      </c>
      <c r="L828">
        <v>1</v>
      </c>
      <c r="M828">
        <v>1</v>
      </c>
      <c r="N828">
        <v>1</v>
      </c>
      <c r="O828">
        <v>100</v>
      </c>
      <c r="P828" t="b">
        <f t="shared" si="177"/>
        <v>0</v>
      </c>
      <c r="S828" t="str">
        <f t="shared" si="187"/>
        <v>LATER</v>
      </c>
      <c r="T828" t="str">
        <f t="shared" si="188"/>
        <v>SainteLague</v>
      </c>
      <c r="U828">
        <f t="shared" si="190"/>
        <v>827</v>
      </c>
      <c r="V828">
        <f t="shared" si="189"/>
        <v>61393</v>
      </c>
      <c r="W828" s="8" t="str">
        <f>VLOOKUP(V828,'ideas-input'!$A:$B,2,FALSE)</f>
        <v>[PUDOS] - Notificaciones de RDP origen PT</v>
      </c>
      <c r="X828" t="str">
        <f t="shared" si="178"/>
        <v>CMO</v>
      </c>
      <c r="Y828" s="8" t="str">
        <f>VLOOKUP(V828,'ideas-input'!$A:$D,4,FALSE)</f>
        <v>eCommerce</v>
      </c>
      <c r="Z828" t="str">
        <f t="shared" si="179"/>
        <v>Commercial</v>
      </c>
      <c r="AA828" t="str">
        <f t="shared" si="180"/>
        <v>Backlog</v>
      </c>
      <c r="AB828">
        <f t="shared" si="181"/>
        <v>69</v>
      </c>
      <c r="AC828">
        <f t="shared" si="182"/>
        <v>0.03</v>
      </c>
      <c r="AD828">
        <f t="shared" si="183"/>
        <v>1</v>
      </c>
      <c r="AE828">
        <f t="shared" si="184"/>
        <v>1</v>
      </c>
      <c r="AF828">
        <f t="shared" si="185"/>
        <v>1</v>
      </c>
      <c r="AG828">
        <f t="shared" si="186"/>
        <v>100</v>
      </c>
    </row>
    <row r="829" spans="1:33" x14ac:dyDescent="0.2">
      <c r="A829" t="s">
        <v>127</v>
      </c>
      <c r="B829" t="s">
        <v>128</v>
      </c>
      <c r="C829">
        <v>828</v>
      </c>
      <c r="D829">
        <v>50206</v>
      </c>
      <c r="E829" t="s">
        <v>1469</v>
      </c>
      <c r="F829" t="s">
        <v>37</v>
      </c>
      <c r="G829" t="s">
        <v>379</v>
      </c>
      <c r="H829" t="s">
        <v>5</v>
      </c>
      <c r="I829" t="s">
        <v>91</v>
      </c>
      <c r="J829">
        <v>38</v>
      </c>
      <c r="K829">
        <v>0.03</v>
      </c>
      <c r="L829">
        <v>1</v>
      </c>
      <c r="M829">
        <v>1</v>
      </c>
      <c r="N829">
        <v>1</v>
      </c>
      <c r="O829">
        <v>100</v>
      </c>
      <c r="P829" t="b">
        <f t="shared" si="177"/>
        <v>0</v>
      </c>
      <c r="S829" t="str">
        <f t="shared" si="187"/>
        <v>LATER</v>
      </c>
      <c r="T829" t="str">
        <f t="shared" si="188"/>
        <v>SainteLague</v>
      </c>
      <c r="U829">
        <f t="shared" si="190"/>
        <v>828</v>
      </c>
      <c r="V829">
        <f t="shared" si="189"/>
        <v>50206</v>
      </c>
      <c r="W829" s="8" t="str">
        <f>VLOOKUP(V829,'ideas-input'!$A:$B,2,FALSE)</f>
        <v>Tradução do Site e da App</v>
      </c>
      <c r="X829" t="str">
        <f t="shared" si="178"/>
        <v>GS</v>
      </c>
      <c r="Y829" s="8" t="str">
        <f>VLOOKUP(V829,'ideas-input'!$A:$D,4,FALSE)</f>
        <v>Mail</v>
      </c>
      <c r="Z829" t="str">
        <f t="shared" si="179"/>
        <v>Commercial</v>
      </c>
      <c r="AA829" t="str">
        <f t="shared" si="180"/>
        <v>Backlog</v>
      </c>
      <c r="AB829">
        <f t="shared" si="181"/>
        <v>38</v>
      </c>
      <c r="AC829">
        <f t="shared" si="182"/>
        <v>0.03</v>
      </c>
      <c r="AD829">
        <f t="shared" si="183"/>
        <v>1</v>
      </c>
      <c r="AE829">
        <f t="shared" si="184"/>
        <v>1</v>
      </c>
      <c r="AF829">
        <f t="shared" si="185"/>
        <v>1</v>
      </c>
      <c r="AG829">
        <f t="shared" si="186"/>
        <v>100</v>
      </c>
    </row>
    <row r="830" spans="1:33" x14ac:dyDescent="0.2">
      <c r="A830" t="s">
        <v>127</v>
      </c>
      <c r="B830" t="s">
        <v>128</v>
      </c>
      <c r="C830">
        <v>829</v>
      </c>
      <c r="D830">
        <v>137343</v>
      </c>
      <c r="E830" t="s">
        <v>1498</v>
      </c>
      <c r="F830" t="s">
        <v>68</v>
      </c>
      <c r="G830" t="s">
        <v>10</v>
      </c>
      <c r="H830" t="s">
        <v>5</v>
      </c>
      <c r="I830" t="s">
        <v>95</v>
      </c>
      <c r="J830">
        <v>60</v>
      </c>
      <c r="K830">
        <v>0.03</v>
      </c>
      <c r="L830">
        <v>1</v>
      </c>
      <c r="M830">
        <v>1</v>
      </c>
      <c r="N830">
        <v>1</v>
      </c>
      <c r="O830">
        <v>100</v>
      </c>
      <c r="P830" t="b">
        <f t="shared" si="177"/>
        <v>0</v>
      </c>
      <c r="S830" t="str">
        <f t="shared" si="187"/>
        <v>LATER</v>
      </c>
      <c r="T830" t="str">
        <f t="shared" si="188"/>
        <v>SainteLague</v>
      </c>
      <c r="U830">
        <f t="shared" si="190"/>
        <v>829</v>
      </c>
      <c r="V830">
        <f t="shared" si="189"/>
        <v>137343</v>
      </c>
      <c r="W830" s="8" t="str">
        <f>VLOOKUP(V830,'ideas-input'!$A:$B,2,FALSE)</f>
        <v>Mapper - Personalizacion para clientes que trabajan con Amazon , TikTok y Temu</v>
      </c>
      <c r="X830" t="str">
        <f t="shared" si="178"/>
        <v>IDC</v>
      </c>
      <c r="Y830" s="8" t="str">
        <f>VLOOKUP(V830,'ideas-input'!$A:$D,4,FALSE)</f>
        <v>eCommerce</v>
      </c>
      <c r="Z830" t="str">
        <f t="shared" si="179"/>
        <v>Commercial</v>
      </c>
      <c r="AA830" t="str">
        <f t="shared" si="180"/>
        <v>In Definition</v>
      </c>
      <c r="AB830">
        <f t="shared" si="181"/>
        <v>60</v>
      </c>
      <c r="AC830">
        <f t="shared" si="182"/>
        <v>0.03</v>
      </c>
      <c r="AD830">
        <f t="shared" si="183"/>
        <v>1</v>
      </c>
      <c r="AE830">
        <f t="shared" si="184"/>
        <v>1</v>
      </c>
      <c r="AF830">
        <f t="shared" si="185"/>
        <v>1</v>
      </c>
      <c r="AG830">
        <f t="shared" si="186"/>
        <v>100</v>
      </c>
    </row>
    <row r="831" spans="1:33" x14ac:dyDescent="0.2">
      <c r="A831" t="s">
        <v>127</v>
      </c>
      <c r="B831" t="s">
        <v>128</v>
      </c>
      <c r="C831">
        <v>830</v>
      </c>
      <c r="D831">
        <v>133560</v>
      </c>
      <c r="E831" t="s">
        <v>1470</v>
      </c>
      <c r="F831" t="s">
        <v>37</v>
      </c>
      <c r="G831" t="s">
        <v>379</v>
      </c>
      <c r="H831" t="s">
        <v>5</v>
      </c>
      <c r="I831" t="s">
        <v>91</v>
      </c>
      <c r="J831">
        <v>39</v>
      </c>
      <c r="K831">
        <v>0.03</v>
      </c>
      <c r="L831">
        <v>1</v>
      </c>
      <c r="M831">
        <v>1</v>
      </c>
      <c r="N831">
        <v>1</v>
      </c>
      <c r="O831">
        <v>100</v>
      </c>
      <c r="P831" t="b">
        <f t="shared" si="177"/>
        <v>0</v>
      </c>
      <c r="S831" t="str">
        <f t="shared" si="187"/>
        <v>LATER</v>
      </c>
      <c r="T831" t="str">
        <f t="shared" si="188"/>
        <v>SainteLague</v>
      </c>
      <c r="U831">
        <f t="shared" si="190"/>
        <v>830</v>
      </c>
      <c r="V831">
        <f t="shared" si="189"/>
        <v>133560</v>
      </c>
      <c r="W831" s="8" t="str">
        <f>VLOOKUP(V831,'ideas-input'!$A:$B,2,FALSE)</f>
        <v>Novos Canais | Assegurar a liquidação automática das faturas de campanhas Outbound</v>
      </c>
      <c r="X831" t="str">
        <f t="shared" si="178"/>
        <v>GS</v>
      </c>
      <c r="Y831" s="8" t="str">
        <f>VLOOKUP(V831,'ideas-input'!$A:$D,4,FALSE)</f>
        <v>Retail &amp; Financial Services</v>
      </c>
      <c r="Z831" t="str">
        <f t="shared" si="179"/>
        <v>Commercial</v>
      </c>
      <c r="AA831" t="str">
        <f t="shared" si="180"/>
        <v>Backlog</v>
      </c>
      <c r="AB831">
        <f t="shared" si="181"/>
        <v>39</v>
      </c>
      <c r="AC831">
        <f t="shared" si="182"/>
        <v>0.03</v>
      </c>
      <c r="AD831">
        <f t="shared" si="183"/>
        <v>1</v>
      </c>
      <c r="AE831">
        <f t="shared" si="184"/>
        <v>1</v>
      </c>
      <c r="AF831">
        <f t="shared" si="185"/>
        <v>1</v>
      </c>
      <c r="AG831">
        <f t="shared" si="186"/>
        <v>100</v>
      </c>
    </row>
    <row r="832" spans="1:33" x14ac:dyDescent="0.2">
      <c r="A832" t="s">
        <v>127</v>
      </c>
      <c r="B832" t="s">
        <v>128</v>
      </c>
      <c r="C832">
        <v>831</v>
      </c>
      <c r="D832">
        <v>58487</v>
      </c>
      <c r="E832" t="s">
        <v>1432</v>
      </c>
      <c r="F832" t="s">
        <v>65</v>
      </c>
      <c r="G832" t="s">
        <v>10</v>
      </c>
      <c r="H832" t="s">
        <v>5</v>
      </c>
      <c r="I832" t="s">
        <v>91</v>
      </c>
      <c r="J832">
        <v>70</v>
      </c>
      <c r="K832">
        <v>0.03</v>
      </c>
      <c r="L832">
        <v>1</v>
      </c>
      <c r="M832">
        <v>1</v>
      </c>
      <c r="N832">
        <v>1</v>
      </c>
      <c r="O832">
        <v>100</v>
      </c>
      <c r="P832" t="b">
        <f t="shared" si="177"/>
        <v>0</v>
      </c>
      <c r="S832" t="str">
        <f t="shared" si="187"/>
        <v>LATER</v>
      </c>
      <c r="T832" t="str">
        <f t="shared" si="188"/>
        <v>SainteLague</v>
      </c>
      <c r="U832">
        <f t="shared" si="190"/>
        <v>831</v>
      </c>
      <c r="V832">
        <f t="shared" si="189"/>
        <v>58487</v>
      </c>
      <c r="W832" s="8" t="str">
        <f>VLOOKUP(V832,'ideas-input'!$A:$B,2,FALSE)</f>
        <v>[Web de clientes] - Setting: Configurar envío predeterminado</v>
      </c>
      <c r="X832" t="str">
        <f t="shared" si="178"/>
        <v>CMO</v>
      </c>
      <c r="Y832" s="8" t="str">
        <f>VLOOKUP(V832,'ideas-input'!$A:$D,4,FALSE)</f>
        <v>eCommerce</v>
      </c>
      <c r="Z832" t="str">
        <f t="shared" si="179"/>
        <v>Commercial</v>
      </c>
      <c r="AA832" t="str">
        <f t="shared" si="180"/>
        <v>Backlog</v>
      </c>
      <c r="AB832">
        <f t="shared" si="181"/>
        <v>70</v>
      </c>
      <c r="AC832">
        <f t="shared" si="182"/>
        <v>0.03</v>
      </c>
      <c r="AD832">
        <f t="shared" si="183"/>
        <v>1</v>
      </c>
      <c r="AE832">
        <f t="shared" si="184"/>
        <v>1</v>
      </c>
      <c r="AF832">
        <f t="shared" si="185"/>
        <v>1</v>
      </c>
      <c r="AG832">
        <f t="shared" si="186"/>
        <v>100</v>
      </c>
    </row>
    <row r="833" spans="1:33" x14ac:dyDescent="0.2">
      <c r="A833" t="s">
        <v>127</v>
      </c>
      <c r="B833" t="s">
        <v>128</v>
      </c>
      <c r="C833">
        <v>832</v>
      </c>
      <c r="D833">
        <v>113960</v>
      </c>
      <c r="E833" t="s">
        <v>1471</v>
      </c>
      <c r="F833" t="s">
        <v>37</v>
      </c>
      <c r="G833" t="s">
        <v>379</v>
      </c>
      <c r="H833" t="s">
        <v>5</v>
      </c>
      <c r="I833" t="s">
        <v>91</v>
      </c>
      <c r="J833">
        <v>40</v>
      </c>
      <c r="K833">
        <v>0.03</v>
      </c>
      <c r="L833">
        <v>1</v>
      </c>
      <c r="M833">
        <v>1</v>
      </c>
      <c r="N833">
        <v>1</v>
      </c>
      <c r="O833">
        <v>100</v>
      </c>
      <c r="P833" t="b">
        <f t="shared" si="177"/>
        <v>0</v>
      </c>
      <c r="S833" t="str">
        <f t="shared" si="187"/>
        <v>LATER</v>
      </c>
      <c r="T833" t="str">
        <f t="shared" si="188"/>
        <v>SainteLague</v>
      </c>
      <c r="U833">
        <f t="shared" si="190"/>
        <v>832</v>
      </c>
      <c r="V833">
        <f t="shared" si="189"/>
        <v>113960</v>
      </c>
      <c r="W833" s="8" t="str">
        <f>VLOOKUP(V833,'ideas-input'!$A:$B,2,FALSE)</f>
        <v>Informação das vendas por colaborador E nif</v>
      </c>
      <c r="X833" t="str">
        <f t="shared" si="178"/>
        <v>GS</v>
      </c>
      <c r="Y833" s="8" t="str">
        <f>VLOOKUP(V833,'ideas-input'!$A:$D,4,FALSE)</f>
        <v>Mail</v>
      </c>
      <c r="Z833" t="str">
        <f t="shared" si="179"/>
        <v>Commercial</v>
      </c>
      <c r="AA833" t="str">
        <f t="shared" si="180"/>
        <v>Backlog</v>
      </c>
      <c r="AB833">
        <f t="shared" si="181"/>
        <v>40</v>
      </c>
      <c r="AC833">
        <f t="shared" si="182"/>
        <v>0.03</v>
      </c>
      <c r="AD833">
        <f t="shared" si="183"/>
        <v>1</v>
      </c>
      <c r="AE833">
        <f t="shared" si="184"/>
        <v>1</v>
      </c>
      <c r="AF833">
        <f t="shared" si="185"/>
        <v>1</v>
      </c>
      <c r="AG833">
        <f t="shared" si="186"/>
        <v>100</v>
      </c>
    </row>
    <row r="834" spans="1:33" x14ac:dyDescent="0.2">
      <c r="A834" t="s">
        <v>127</v>
      </c>
      <c r="B834" t="s">
        <v>128</v>
      </c>
      <c r="C834">
        <v>833</v>
      </c>
      <c r="D834">
        <v>137212</v>
      </c>
      <c r="E834" t="s">
        <v>1500</v>
      </c>
      <c r="F834" t="s">
        <v>68</v>
      </c>
      <c r="G834" t="s">
        <v>10</v>
      </c>
      <c r="H834" t="s">
        <v>5</v>
      </c>
      <c r="I834" t="s">
        <v>95</v>
      </c>
      <c r="J834">
        <v>61</v>
      </c>
      <c r="K834">
        <v>0.03</v>
      </c>
      <c r="L834">
        <v>1</v>
      </c>
      <c r="M834">
        <v>1</v>
      </c>
      <c r="N834">
        <v>1</v>
      </c>
      <c r="O834">
        <v>100</v>
      </c>
      <c r="P834" t="b">
        <f t="shared" ref="P834:P897" si="191">AND(C834&lt;$Q$1,IF(ISBLANK(C834),0,C834)&gt;0)</f>
        <v>0</v>
      </c>
      <c r="S834" t="str">
        <f t="shared" si="187"/>
        <v>LATER</v>
      </c>
      <c r="T834" t="str">
        <f t="shared" si="188"/>
        <v>SainteLague</v>
      </c>
      <c r="U834">
        <f t="shared" si="190"/>
        <v>833</v>
      </c>
      <c r="V834">
        <f t="shared" si="189"/>
        <v>137212</v>
      </c>
      <c r="W834" s="8" t="str">
        <f>VLOOKUP(V834,'ideas-input'!$A:$B,2,FALSE)</f>
        <v>API PUDO - Consulta de informacion de punto por el codigo de punto "organic point code"</v>
      </c>
      <c r="X834" t="str">
        <f t="shared" ref="X834:X897" si="192">F834</f>
        <v>IDC</v>
      </c>
      <c r="Y834" s="8" t="str">
        <f>VLOOKUP(V834,'ideas-input'!$A:$D,4,FALSE)</f>
        <v>eCommerce</v>
      </c>
      <c r="Z834" t="str">
        <f t="shared" ref="Z834:Z897" si="193">H834</f>
        <v>Commercial</v>
      </c>
      <c r="AA834" t="str">
        <f t="shared" ref="AA834:AA897" si="194">I834</f>
        <v>In Definition</v>
      </c>
      <c r="AB834">
        <f t="shared" ref="AB834:AB897" si="195">J834</f>
        <v>61</v>
      </c>
      <c r="AC834">
        <f t="shared" ref="AC834:AC897" si="196">K834</f>
        <v>0.03</v>
      </c>
      <c r="AD834">
        <f t="shared" ref="AD834:AD897" si="197">L834</f>
        <v>1</v>
      </c>
      <c r="AE834">
        <f t="shared" ref="AE834:AE897" si="198">M834</f>
        <v>1</v>
      </c>
      <c r="AF834">
        <f t="shared" ref="AF834:AF897" si="199">N834</f>
        <v>1</v>
      </c>
      <c r="AG834">
        <f t="shared" ref="AG834:AG897" si="200">O834</f>
        <v>100</v>
      </c>
    </row>
    <row r="835" spans="1:33" x14ac:dyDescent="0.2">
      <c r="A835" t="s">
        <v>127</v>
      </c>
      <c r="B835" t="s">
        <v>128</v>
      </c>
      <c r="C835">
        <v>834</v>
      </c>
      <c r="D835">
        <v>91539</v>
      </c>
      <c r="E835" t="s">
        <v>1473</v>
      </c>
      <c r="F835" t="s">
        <v>37</v>
      </c>
      <c r="G835" t="s">
        <v>379</v>
      </c>
      <c r="H835" t="s">
        <v>5</v>
      </c>
      <c r="I835" t="s">
        <v>91</v>
      </c>
      <c r="J835">
        <v>41</v>
      </c>
      <c r="K835">
        <v>0.03</v>
      </c>
      <c r="L835">
        <v>1</v>
      </c>
      <c r="M835">
        <v>1</v>
      </c>
      <c r="N835">
        <v>1</v>
      </c>
      <c r="O835">
        <v>100</v>
      </c>
      <c r="P835" t="b">
        <f t="shared" si="191"/>
        <v>0</v>
      </c>
      <c r="S835" t="str">
        <f t="shared" si="187"/>
        <v>LATER</v>
      </c>
      <c r="T835" t="str">
        <f t="shared" si="188"/>
        <v>SainteLague</v>
      </c>
      <c r="U835">
        <f t="shared" si="190"/>
        <v>834</v>
      </c>
      <c r="V835">
        <f t="shared" si="189"/>
        <v>91539</v>
      </c>
      <c r="W835" s="8" t="str">
        <f>VLOOKUP(V835,'ideas-input'!$A:$B,2,FALSE)</f>
        <v>D. Oferta - atualização base de dados dos empregados CTT em NAVe</v>
      </c>
      <c r="X835" t="str">
        <f t="shared" si="192"/>
        <v>GS</v>
      </c>
      <c r="Y835" s="8" t="str">
        <f>VLOOKUP(V835,'ideas-input'!$A:$D,4,FALSE)</f>
        <v>Mail</v>
      </c>
      <c r="Z835" t="str">
        <f t="shared" si="193"/>
        <v>Commercial</v>
      </c>
      <c r="AA835" t="str">
        <f t="shared" si="194"/>
        <v>Backlog</v>
      </c>
      <c r="AB835">
        <f t="shared" si="195"/>
        <v>41</v>
      </c>
      <c r="AC835">
        <f t="shared" si="196"/>
        <v>0.03</v>
      </c>
      <c r="AD835">
        <f t="shared" si="197"/>
        <v>1</v>
      </c>
      <c r="AE835">
        <f t="shared" si="198"/>
        <v>1</v>
      </c>
      <c r="AF835">
        <f t="shared" si="199"/>
        <v>1</v>
      </c>
      <c r="AG835">
        <f t="shared" si="200"/>
        <v>100</v>
      </c>
    </row>
    <row r="836" spans="1:33" x14ac:dyDescent="0.2">
      <c r="A836" t="s">
        <v>127</v>
      </c>
      <c r="B836" t="s">
        <v>128</v>
      </c>
      <c r="C836">
        <v>835</v>
      </c>
      <c r="D836">
        <v>58518</v>
      </c>
      <c r="E836" t="s">
        <v>1698</v>
      </c>
      <c r="F836" t="s">
        <v>65</v>
      </c>
      <c r="G836" t="s">
        <v>10</v>
      </c>
      <c r="H836" t="s">
        <v>5</v>
      </c>
      <c r="I836" t="s">
        <v>95</v>
      </c>
      <c r="J836">
        <v>71</v>
      </c>
      <c r="K836">
        <v>0.03</v>
      </c>
      <c r="L836">
        <v>1</v>
      </c>
      <c r="M836">
        <v>1</v>
      </c>
      <c r="N836">
        <v>1</v>
      </c>
      <c r="O836">
        <v>100</v>
      </c>
      <c r="P836" t="b">
        <f t="shared" si="191"/>
        <v>0</v>
      </c>
      <c r="S836" t="str">
        <f t="shared" si="187"/>
        <v>LATER</v>
      </c>
      <c r="T836" t="str">
        <f t="shared" si="188"/>
        <v>SainteLague</v>
      </c>
      <c r="U836">
        <f t="shared" si="190"/>
        <v>835</v>
      </c>
      <c r="V836">
        <f t="shared" si="189"/>
        <v>58518</v>
      </c>
      <c r="W836" s="8" t="str">
        <f>VLOOKUP(V836,'ideas-input'!$A:$B,2,FALSE)</f>
        <v>[Producto] - Incorporar Validación DNI / PIN  (Servicio actual)</v>
      </c>
      <c r="X836" t="str">
        <f t="shared" si="192"/>
        <v>CMO</v>
      </c>
      <c r="Y836" s="8" t="str">
        <f>VLOOKUP(V836,'ideas-input'!$A:$D,4,FALSE)</f>
        <v>eCommerce</v>
      </c>
      <c r="Z836" t="str">
        <f t="shared" si="193"/>
        <v>Commercial</v>
      </c>
      <c r="AA836" t="str">
        <f t="shared" si="194"/>
        <v>In Definition</v>
      </c>
      <c r="AB836">
        <f t="shared" si="195"/>
        <v>71</v>
      </c>
      <c r="AC836">
        <f t="shared" si="196"/>
        <v>0.03</v>
      </c>
      <c r="AD836">
        <f t="shared" si="197"/>
        <v>1</v>
      </c>
      <c r="AE836">
        <f t="shared" si="198"/>
        <v>1</v>
      </c>
      <c r="AF836">
        <f t="shared" si="199"/>
        <v>1</v>
      </c>
      <c r="AG836">
        <f t="shared" si="200"/>
        <v>100</v>
      </c>
    </row>
    <row r="837" spans="1:33" x14ac:dyDescent="0.2">
      <c r="A837" t="s">
        <v>127</v>
      </c>
      <c r="B837" t="s">
        <v>128</v>
      </c>
      <c r="C837">
        <v>836</v>
      </c>
      <c r="D837">
        <v>76303</v>
      </c>
      <c r="E837" t="s">
        <v>292</v>
      </c>
      <c r="F837" t="s">
        <v>37</v>
      </c>
      <c r="G837" t="s">
        <v>379</v>
      </c>
      <c r="H837" t="s">
        <v>5</v>
      </c>
      <c r="I837" t="s">
        <v>91</v>
      </c>
      <c r="J837">
        <v>42</v>
      </c>
      <c r="K837">
        <v>0.03</v>
      </c>
      <c r="L837">
        <v>1</v>
      </c>
      <c r="M837">
        <v>1</v>
      </c>
      <c r="N837">
        <v>1</v>
      </c>
      <c r="O837">
        <v>100</v>
      </c>
      <c r="P837" t="b">
        <f t="shared" si="191"/>
        <v>0</v>
      </c>
      <c r="S837" t="str">
        <f t="shared" si="187"/>
        <v>LATER</v>
      </c>
      <c r="T837" t="str">
        <f t="shared" si="188"/>
        <v>SainteLague</v>
      </c>
      <c r="U837">
        <f t="shared" si="190"/>
        <v>836</v>
      </c>
      <c r="V837">
        <f t="shared" si="189"/>
        <v>76303</v>
      </c>
      <c r="W837" s="8" t="str">
        <f>VLOOKUP(V837,'ideas-input'!$A:$B,2,FALSE)</f>
        <v>Correio Registado Self-Service| Envios a partir da SuperApp e Site CTT</v>
      </c>
      <c r="X837" t="str">
        <f t="shared" si="192"/>
        <v>GS</v>
      </c>
      <c r="Y837" s="8" t="str">
        <f>VLOOKUP(V837,'ideas-input'!$A:$D,4,FALSE)</f>
        <v>Mail</v>
      </c>
      <c r="Z837" t="str">
        <f t="shared" si="193"/>
        <v>Commercial</v>
      </c>
      <c r="AA837" t="str">
        <f t="shared" si="194"/>
        <v>Backlog</v>
      </c>
      <c r="AB837">
        <f t="shared" si="195"/>
        <v>42</v>
      </c>
      <c r="AC837">
        <f t="shared" si="196"/>
        <v>0.03</v>
      </c>
      <c r="AD837">
        <f t="shared" si="197"/>
        <v>1</v>
      </c>
      <c r="AE837">
        <f t="shared" si="198"/>
        <v>1</v>
      </c>
      <c r="AF837">
        <f t="shared" si="199"/>
        <v>1</v>
      </c>
      <c r="AG837">
        <f t="shared" si="200"/>
        <v>100</v>
      </c>
    </row>
    <row r="838" spans="1:33" x14ac:dyDescent="0.2">
      <c r="A838" t="s">
        <v>127</v>
      </c>
      <c r="B838" t="s">
        <v>128</v>
      </c>
      <c r="C838">
        <v>837</v>
      </c>
      <c r="D838">
        <v>54990</v>
      </c>
      <c r="E838" t="s">
        <v>1437</v>
      </c>
      <c r="F838" t="s">
        <v>65</v>
      </c>
      <c r="G838" t="s">
        <v>10</v>
      </c>
      <c r="H838" t="s">
        <v>5</v>
      </c>
      <c r="I838" t="s">
        <v>91</v>
      </c>
      <c r="J838">
        <v>72</v>
      </c>
      <c r="K838">
        <v>0.03</v>
      </c>
      <c r="L838">
        <v>1</v>
      </c>
      <c r="M838">
        <v>1</v>
      </c>
      <c r="N838">
        <v>1</v>
      </c>
      <c r="O838">
        <v>100</v>
      </c>
      <c r="P838" t="b">
        <f t="shared" si="191"/>
        <v>0</v>
      </c>
      <c r="S838" t="str">
        <f t="shared" si="187"/>
        <v>LATER</v>
      </c>
      <c r="T838" t="str">
        <f t="shared" si="188"/>
        <v>SainteLague</v>
      </c>
      <c r="U838">
        <f t="shared" si="190"/>
        <v>837</v>
      </c>
      <c r="V838">
        <f t="shared" si="189"/>
        <v>54990</v>
      </c>
      <c r="W838" s="8" t="str">
        <f>VLOOKUP(V838,'ideas-input'!$A:$B,2,FALSE)</f>
        <v>[Web de Clientes] - Minerva Ratings - Actualizar el perfil tarifario de clientes al estándar de 1-20 envíos comprometidos para que visualice su tarifa en la web</v>
      </c>
      <c r="X838" t="str">
        <f t="shared" si="192"/>
        <v>CMO</v>
      </c>
      <c r="Y838" s="8" t="str">
        <f>VLOOKUP(V838,'ideas-input'!$A:$D,4,FALSE)</f>
        <v>eCommerce</v>
      </c>
      <c r="Z838" t="str">
        <f t="shared" si="193"/>
        <v>Commercial</v>
      </c>
      <c r="AA838" t="str">
        <f t="shared" si="194"/>
        <v>Backlog</v>
      </c>
      <c r="AB838">
        <f t="shared" si="195"/>
        <v>72</v>
      </c>
      <c r="AC838">
        <f t="shared" si="196"/>
        <v>0.03</v>
      </c>
      <c r="AD838">
        <f t="shared" si="197"/>
        <v>1</v>
      </c>
      <c r="AE838">
        <f t="shared" si="198"/>
        <v>1</v>
      </c>
      <c r="AF838">
        <f t="shared" si="199"/>
        <v>1</v>
      </c>
      <c r="AG838">
        <f t="shared" si="200"/>
        <v>100</v>
      </c>
    </row>
    <row r="839" spans="1:33" x14ac:dyDescent="0.2">
      <c r="A839" t="s">
        <v>127</v>
      </c>
      <c r="B839" t="s">
        <v>128</v>
      </c>
      <c r="C839">
        <v>838</v>
      </c>
      <c r="D839">
        <v>46567</v>
      </c>
      <c r="E839" t="s">
        <v>1625</v>
      </c>
      <c r="F839" t="s">
        <v>37</v>
      </c>
      <c r="G839" t="s">
        <v>379</v>
      </c>
      <c r="H839" t="s">
        <v>5</v>
      </c>
      <c r="I839" t="s">
        <v>91</v>
      </c>
      <c r="J839">
        <v>43</v>
      </c>
      <c r="K839">
        <v>0.03</v>
      </c>
      <c r="L839">
        <v>1</v>
      </c>
      <c r="M839">
        <v>1</v>
      </c>
      <c r="N839">
        <v>1</v>
      </c>
      <c r="O839">
        <v>100</v>
      </c>
      <c r="P839" t="b">
        <f t="shared" si="191"/>
        <v>0</v>
      </c>
      <c r="S839" t="str">
        <f t="shared" si="187"/>
        <v>LATER</v>
      </c>
      <c r="T839" t="str">
        <f t="shared" si="188"/>
        <v>SainteLague</v>
      </c>
      <c r="U839">
        <f t="shared" si="190"/>
        <v>838</v>
      </c>
      <c r="V839">
        <f t="shared" si="189"/>
        <v>46567</v>
      </c>
      <c r="W839" s="8" t="str">
        <f>VLOOKUP(V839,'ideas-input'!$A:$B,2,FALSE)</f>
        <v>A receita dos  Postos  Venda de Selos (PVS)</v>
      </c>
      <c r="X839" t="str">
        <f t="shared" si="192"/>
        <v>GS</v>
      </c>
      <c r="Y839" s="8" t="str">
        <f>VLOOKUP(V839,'ideas-input'!$A:$D,4,FALSE)</f>
        <v>Mail</v>
      </c>
      <c r="Z839" t="str">
        <f t="shared" si="193"/>
        <v>Commercial</v>
      </c>
      <c r="AA839" t="str">
        <f t="shared" si="194"/>
        <v>Backlog</v>
      </c>
      <c r="AB839">
        <f t="shared" si="195"/>
        <v>43</v>
      </c>
      <c r="AC839">
        <f t="shared" si="196"/>
        <v>0.03</v>
      </c>
      <c r="AD839">
        <f t="shared" si="197"/>
        <v>1</v>
      </c>
      <c r="AE839">
        <f t="shared" si="198"/>
        <v>1</v>
      </c>
      <c r="AF839">
        <f t="shared" si="199"/>
        <v>1</v>
      </c>
      <c r="AG839">
        <f t="shared" si="200"/>
        <v>100</v>
      </c>
    </row>
    <row r="840" spans="1:33" x14ac:dyDescent="0.2">
      <c r="A840" t="s">
        <v>127</v>
      </c>
      <c r="B840" t="s">
        <v>128</v>
      </c>
      <c r="C840">
        <v>839</v>
      </c>
      <c r="D840">
        <v>55104</v>
      </c>
      <c r="E840" t="s">
        <v>1442</v>
      </c>
      <c r="F840" t="s">
        <v>65</v>
      </c>
      <c r="G840" t="s">
        <v>10</v>
      </c>
      <c r="H840" t="s">
        <v>5</v>
      </c>
      <c r="I840" t="s">
        <v>91</v>
      </c>
      <c r="J840">
        <v>73</v>
      </c>
      <c r="K840">
        <v>0.03</v>
      </c>
      <c r="L840">
        <v>1</v>
      </c>
      <c r="M840">
        <v>1</v>
      </c>
      <c r="N840">
        <v>1</v>
      </c>
      <c r="O840">
        <v>100</v>
      </c>
      <c r="P840" t="b">
        <f t="shared" si="191"/>
        <v>0</v>
      </c>
      <c r="S840" t="str">
        <f t="shared" si="187"/>
        <v>LATER</v>
      </c>
      <c r="T840" t="str">
        <f t="shared" si="188"/>
        <v>SainteLague</v>
      </c>
      <c r="U840">
        <f t="shared" si="190"/>
        <v>839</v>
      </c>
      <c r="V840">
        <f t="shared" si="189"/>
        <v>55104</v>
      </c>
      <c r="W840" s="8" t="str">
        <f>VLOOKUP(V840,'ideas-input'!$A:$B,2,FALSE)</f>
        <v>[Web de Clientes] - Minerva Ratings - Visualización incorrecta de tarifa del cliente 00052</v>
      </c>
      <c r="X840" t="str">
        <f t="shared" si="192"/>
        <v>CMO</v>
      </c>
      <c r="Y840" s="8" t="str">
        <f>VLOOKUP(V840,'ideas-input'!$A:$D,4,FALSE)</f>
        <v>eCommerce</v>
      </c>
      <c r="Z840" t="str">
        <f t="shared" si="193"/>
        <v>Commercial</v>
      </c>
      <c r="AA840" t="str">
        <f t="shared" si="194"/>
        <v>Backlog</v>
      </c>
      <c r="AB840">
        <f t="shared" si="195"/>
        <v>73</v>
      </c>
      <c r="AC840">
        <f t="shared" si="196"/>
        <v>0.03</v>
      </c>
      <c r="AD840">
        <f t="shared" si="197"/>
        <v>1</v>
      </c>
      <c r="AE840">
        <f t="shared" si="198"/>
        <v>1</v>
      </c>
      <c r="AF840">
        <f t="shared" si="199"/>
        <v>1</v>
      </c>
      <c r="AG840">
        <f t="shared" si="200"/>
        <v>100</v>
      </c>
    </row>
    <row r="841" spans="1:33" x14ac:dyDescent="0.2">
      <c r="A841" t="s">
        <v>127</v>
      </c>
      <c r="B841" t="s">
        <v>128</v>
      </c>
      <c r="C841">
        <v>840</v>
      </c>
      <c r="D841">
        <v>207256</v>
      </c>
      <c r="E841" t="s">
        <v>1477</v>
      </c>
      <c r="F841" t="s">
        <v>37</v>
      </c>
      <c r="G841" t="s">
        <v>379</v>
      </c>
      <c r="H841" t="s">
        <v>5</v>
      </c>
      <c r="I841" t="s">
        <v>91</v>
      </c>
      <c r="J841">
        <v>44</v>
      </c>
      <c r="K841">
        <v>0.03</v>
      </c>
      <c r="L841">
        <v>1</v>
      </c>
      <c r="M841">
        <v>1</v>
      </c>
      <c r="N841">
        <v>1</v>
      </c>
      <c r="O841">
        <v>100</v>
      </c>
      <c r="P841" t="b">
        <f t="shared" si="191"/>
        <v>0</v>
      </c>
      <c r="S841" t="str">
        <f t="shared" si="187"/>
        <v>LATER</v>
      </c>
      <c r="T841" t="str">
        <f t="shared" si="188"/>
        <v>SainteLague</v>
      </c>
      <c r="U841">
        <f t="shared" si="190"/>
        <v>840</v>
      </c>
      <c r="V841">
        <f t="shared" si="189"/>
        <v>207256</v>
      </c>
      <c r="W841" s="8" t="str">
        <f>VLOOKUP(V841,'ideas-input'!$A:$B,2,FALSE)</f>
        <v>Alteração Canal Produtos Pagamentos B2C</v>
      </c>
      <c r="X841" t="str">
        <f t="shared" si="192"/>
        <v>GS</v>
      </c>
      <c r="Y841" s="8" t="str">
        <f>VLOOKUP(V841,'ideas-input'!$A:$D,4,FALSE)</f>
        <v>Payments</v>
      </c>
      <c r="Z841" t="str">
        <f t="shared" si="193"/>
        <v>Commercial</v>
      </c>
      <c r="AA841" t="str">
        <f t="shared" si="194"/>
        <v>Backlog</v>
      </c>
      <c r="AB841">
        <f t="shared" si="195"/>
        <v>44</v>
      </c>
      <c r="AC841">
        <f t="shared" si="196"/>
        <v>0.03</v>
      </c>
      <c r="AD841">
        <f t="shared" si="197"/>
        <v>1</v>
      </c>
      <c r="AE841">
        <f t="shared" si="198"/>
        <v>1</v>
      </c>
      <c r="AF841">
        <f t="shared" si="199"/>
        <v>1</v>
      </c>
      <c r="AG841">
        <f t="shared" si="200"/>
        <v>100</v>
      </c>
    </row>
    <row r="842" spans="1:33" x14ac:dyDescent="0.2">
      <c r="A842" t="s">
        <v>127</v>
      </c>
      <c r="B842" t="s">
        <v>128</v>
      </c>
      <c r="C842">
        <v>841</v>
      </c>
      <c r="D842">
        <v>52527</v>
      </c>
      <c r="E842" t="s">
        <v>1699</v>
      </c>
      <c r="F842" t="s">
        <v>65</v>
      </c>
      <c r="G842" t="s">
        <v>10</v>
      </c>
      <c r="H842" t="s">
        <v>5</v>
      </c>
      <c r="I842" t="s">
        <v>95</v>
      </c>
      <c r="J842">
        <v>74</v>
      </c>
      <c r="K842">
        <v>0.03</v>
      </c>
      <c r="L842">
        <v>1</v>
      </c>
      <c r="M842">
        <v>1</v>
      </c>
      <c r="N842">
        <v>1</v>
      </c>
      <c r="O842">
        <v>100</v>
      </c>
      <c r="P842" t="b">
        <f t="shared" si="191"/>
        <v>0</v>
      </c>
      <c r="S842" t="str">
        <f t="shared" si="187"/>
        <v>LATER</v>
      </c>
      <c r="T842" t="str">
        <f t="shared" si="188"/>
        <v>SainteLague</v>
      </c>
      <c r="U842">
        <f t="shared" si="190"/>
        <v>841</v>
      </c>
      <c r="V842">
        <f t="shared" si="189"/>
        <v>52527</v>
      </c>
      <c r="W842" s="8" t="str">
        <f>VLOOKUP(V842,'ideas-input'!$A:$B,2,FALSE)</f>
        <v>[Web de Clientes] - Estados - Seguimiento - Error con los envíos  al filtrar por fechas de grabación</v>
      </c>
      <c r="X842" t="str">
        <f t="shared" si="192"/>
        <v>CMO</v>
      </c>
      <c r="Y842" s="8" t="str">
        <f>VLOOKUP(V842,'ideas-input'!$A:$D,4,FALSE)</f>
        <v>eCommerce</v>
      </c>
      <c r="Z842" t="str">
        <f t="shared" si="193"/>
        <v>Commercial</v>
      </c>
      <c r="AA842" t="str">
        <f t="shared" si="194"/>
        <v>In Definition</v>
      </c>
      <c r="AB842">
        <f t="shared" si="195"/>
        <v>74</v>
      </c>
      <c r="AC842">
        <f t="shared" si="196"/>
        <v>0.03</v>
      </c>
      <c r="AD842">
        <f t="shared" si="197"/>
        <v>1</v>
      </c>
      <c r="AE842">
        <f t="shared" si="198"/>
        <v>1</v>
      </c>
      <c r="AF842">
        <f t="shared" si="199"/>
        <v>1</v>
      </c>
      <c r="AG842">
        <f t="shared" si="200"/>
        <v>100</v>
      </c>
    </row>
    <row r="843" spans="1:33" x14ac:dyDescent="0.2">
      <c r="A843" t="s">
        <v>127</v>
      </c>
      <c r="B843" t="s">
        <v>128</v>
      </c>
      <c r="C843">
        <v>842</v>
      </c>
      <c r="D843">
        <v>203999</v>
      </c>
      <c r="E843" t="s">
        <v>1478</v>
      </c>
      <c r="F843" t="s">
        <v>37</v>
      </c>
      <c r="G843" t="s">
        <v>379</v>
      </c>
      <c r="H843" t="s">
        <v>5</v>
      </c>
      <c r="I843" t="s">
        <v>91</v>
      </c>
      <c r="J843">
        <v>45</v>
      </c>
      <c r="K843">
        <v>0.03</v>
      </c>
      <c r="L843">
        <v>1</v>
      </c>
      <c r="M843">
        <v>1</v>
      </c>
      <c r="N843">
        <v>1</v>
      </c>
      <c r="O843">
        <v>100</v>
      </c>
      <c r="P843" t="b">
        <f t="shared" si="191"/>
        <v>0</v>
      </c>
      <c r="S843" t="str">
        <f t="shared" si="187"/>
        <v>LATER</v>
      </c>
      <c r="T843" t="str">
        <f t="shared" si="188"/>
        <v>SainteLague</v>
      </c>
      <c r="U843">
        <f t="shared" si="190"/>
        <v>842</v>
      </c>
      <c r="V843">
        <f t="shared" si="189"/>
        <v>203999</v>
      </c>
      <c r="W843" s="8" t="str">
        <f>VLOOKUP(V843,'ideas-input'!$A:$B,2,FALSE)</f>
        <v>Alteração de dados à query designada por Sandra Teams PUDO para loky 16-10-2023</v>
      </c>
      <c r="X843" t="str">
        <f t="shared" si="192"/>
        <v>GS</v>
      </c>
      <c r="Y843" s="8" t="str">
        <f>VLOOKUP(V843,'ideas-input'!$A:$D,4,FALSE)</f>
        <v>Mail</v>
      </c>
      <c r="Z843" t="str">
        <f t="shared" si="193"/>
        <v>Commercial</v>
      </c>
      <c r="AA843" t="str">
        <f t="shared" si="194"/>
        <v>Backlog</v>
      </c>
      <c r="AB843">
        <f t="shared" si="195"/>
        <v>45</v>
      </c>
      <c r="AC843">
        <f t="shared" si="196"/>
        <v>0.03</v>
      </c>
      <c r="AD843">
        <f t="shared" si="197"/>
        <v>1</v>
      </c>
      <c r="AE843">
        <f t="shared" si="198"/>
        <v>1</v>
      </c>
      <c r="AF843">
        <f t="shared" si="199"/>
        <v>1</v>
      </c>
      <c r="AG843">
        <f t="shared" si="200"/>
        <v>100</v>
      </c>
    </row>
    <row r="844" spans="1:33" x14ac:dyDescent="0.2">
      <c r="A844" t="s">
        <v>127</v>
      </c>
      <c r="B844" t="s">
        <v>128</v>
      </c>
      <c r="C844">
        <v>843</v>
      </c>
      <c r="D844">
        <v>56826</v>
      </c>
      <c r="E844" t="s">
        <v>338</v>
      </c>
      <c r="F844" t="s">
        <v>65</v>
      </c>
      <c r="G844" t="s">
        <v>10</v>
      </c>
      <c r="H844" t="s">
        <v>5</v>
      </c>
      <c r="I844" t="s">
        <v>91</v>
      </c>
      <c r="J844">
        <v>75</v>
      </c>
      <c r="K844">
        <v>0.03</v>
      </c>
      <c r="L844">
        <v>1</v>
      </c>
      <c r="M844">
        <v>1</v>
      </c>
      <c r="N844">
        <v>1</v>
      </c>
      <c r="O844">
        <v>100</v>
      </c>
      <c r="P844" t="b">
        <f t="shared" si="191"/>
        <v>0</v>
      </c>
      <c r="S844" t="str">
        <f t="shared" si="187"/>
        <v>LATER</v>
      </c>
      <c r="T844" t="str">
        <f t="shared" si="188"/>
        <v>SainteLague</v>
      </c>
      <c r="U844">
        <f t="shared" si="190"/>
        <v>843</v>
      </c>
      <c r="V844">
        <f t="shared" si="189"/>
        <v>56826</v>
      </c>
      <c r="W844" s="8" t="str">
        <f>VLOOKUP(V844,'ideas-input'!$A:$B,2,FALSE)</f>
        <v>[Nexus]-[Minerva]- Modelo Tarifario Densidades+Zona</v>
      </c>
      <c r="X844" t="str">
        <f t="shared" si="192"/>
        <v>CMO</v>
      </c>
      <c r="Y844" s="8" t="str">
        <f>VLOOKUP(V844,'ideas-input'!$A:$D,4,FALSE)</f>
        <v>eCommerce</v>
      </c>
      <c r="Z844" t="str">
        <f t="shared" si="193"/>
        <v>Commercial</v>
      </c>
      <c r="AA844" t="str">
        <f t="shared" si="194"/>
        <v>Backlog</v>
      </c>
      <c r="AB844">
        <f t="shared" si="195"/>
        <v>75</v>
      </c>
      <c r="AC844">
        <f t="shared" si="196"/>
        <v>0.03</v>
      </c>
      <c r="AD844">
        <f t="shared" si="197"/>
        <v>1</v>
      </c>
      <c r="AE844">
        <f t="shared" si="198"/>
        <v>1</v>
      </c>
      <c r="AF844">
        <f t="shared" si="199"/>
        <v>1</v>
      </c>
      <c r="AG844">
        <f t="shared" si="200"/>
        <v>100</v>
      </c>
    </row>
    <row r="845" spans="1:33" x14ac:dyDescent="0.2">
      <c r="A845" t="s">
        <v>127</v>
      </c>
      <c r="B845" t="s">
        <v>128</v>
      </c>
      <c r="C845">
        <v>844</v>
      </c>
      <c r="D845">
        <v>146437</v>
      </c>
      <c r="E845" t="s">
        <v>1480</v>
      </c>
      <c r="F845" t="s">
        <v>37</v>
      </c>
      <c r="G845" t="s">
        <v>379</v>
      </c>
      <c r="H845" t="s">
        <v>5</v>
      </c>
      <c r="I845" t="s">
        <v>91</v>
      </c>
      <c r="J845">
        <v>46</v>
      </c>
      <c r="K845">
        <v>0.03</v>
      </c>
      <c r="L845">
        <v>1</v>
      </c>
      <c r="M845">
        <v>1</v>
      </c>
      <c r="N845">
        <v>1</v>
      </c>
      <c r="O845">
        <v>100</v>
      </c>
      <c r="P845" t="b">
        <f t="shared" si="191"/>
        <v>0</v>
      </c>
      <c r="S845" t="str">
        <f t="shared" si="187"/>
        <v>LATER</v>
      </c>
      <c r="T845" t="str">
        <f t="shared" si="188"/>
        <v>SainteLague</v>
      </c>
      <c r="U845">
        <f t="shared" si="190"/>
        <v>844</v>
      </c>
      <c r="V845">
        <f t="shared" si="189"/>
        <v>146437</v>
      </c>
      <c r="W845" s="8" t="str">
        <f>VLOOKUP(V845,'ideas-input'!$A:$B,2,FALSE)</f>
        <v>BPM - Processo de Regularização de Movimentos Manual</v>
      </c>
      <c r="X845" t="str">
        <f t="shared" si="192"/>
        <v>GS</v>
      </c>
      <c r="Y845" s="8" t="str">
        <f>VLOOKUP(V845,'ideas-input'!$A:$D,4,FALSE)</f>
        <v>Mail</v>
      </c>
      <c r="Z845" t="str">
        <f t="shared" si="193"/>
        <v>Commercial</v>
      </c>
      <c r="AA845" t="str">
        <f t="shared" si="194"/>
        <v>Backlog</v>
      </c>
      <c r="AB845">
        <f t="shared" si="195"/>
        <v>46</v>
      </c>
      <c r="AC845">
        <f t="shared" si="196"/>
        <v>0.03</v>
      </c>
      <c r="AD845">
        <f t="shared" si="197"/>
        <v>1</v>
      </c>
      <c r="AE845">
        <f t="shared" si="198"/>
        <v>1</v>
      </c>
      <c r="AF845">
        <f t="shared" si="199"/>
        <v>1</v>
      </c>
      <c r="AG845">
        <f t="shared" si="200"/>
        <v>100</v>
      </c>
    </row>
    <row r="846" spans="1:33" x14ac:dyDescent="0.2">
      <c r="A846" t="s">
        <v>127</v>
      </c>
      <c r="B846" t="s">
        <v>128</v>
      </c>
      <c r="C846">
        <v>845</v>
      </c>
      <c r="D846">
        <v>56874</v>
      </c>
      <c r="E846" t="s">
        <v>339</v>
      </c>
      <c r="F846" t="s">
        <v>65</v>
      </c>
      <c r="G846" t="s">
        <v>10</v>
      </c>
      <c r="H846" t="s">
        <v>5</v>
      </c>
      <c r="I846" t="s">
        <v>91</v>
      </c>
      <c r="J846">
        <v>76</v>
      </c>
      <c r="K846">
        <v>0.03</v>
      </c>
      <c r="L846">
        <v>1</v>
      </c>
      <c r="M846">
        <v>1</v>
      </c>
      <c r="N846">
        <v>1</v>
      </c>
      <c r="O846">
        <v>100</v>
      </c>
      <c r="P846" t="b">
        <f t="shared" si="191"/>
        <v>0</v>
      </c>
      <c r="S846" t="str">
        <f t="shared" si="187"/>
        <v>LATER</v>
      </c>
      <c r="T846" t="str">
        <f t="shared" si="188"/>
        <v>SainteLague</v>
      </c>
      <c r="U846">
        <f t="shared" si="190"/>
        <v>845</v>
      </c>
      <c r="V846">
        <f t="shared" si="189"/>
        <v>56874</v>
      </c>
      <c r="W846" s="8" t="str">
        <f>VLOOKUP(V846,'ideas-input'!$A:$B,2,FALSE)</f>
        <v>[PUDOS] - [Notificaciones] - N3.1 Entrega en PUDOS mostrar variable pudo address</v>
      </c>
      <c r="X846" t="str">
        <f t="shared" si="192"/>
        <v>CMO</v>
      </c>
      <c r="Y846" s="8" t="str">
        <f>VLOOKUP(V846,'ideas-input'!$A:$D,4,FALSE)</f>
        <v>eCommerce</v>
      </c>
      <c r="Z846" t="str">
        <f t="shared" si="193"/>
        <v>Commercial</v>
      </c>
      <c r="AA846" t="str">
        <f t="shared" si="194"/>
        <v>Backlog</v>
      </c>
      <c r="AB846">
        <f t="shared" si="195"/>
        <v>76</v>
      </c>
      <c r="AC846">
        <f t="shared" si="196"/>
        <v>0.03</v>
      </c>
      <c r="AD846">
        <f t="shared" si="197"/>
        <v>1</v>
      </c>
      <c r="AE846">
        <f t="shared" si="198"/>
        <v>1</v>
      </c>
      <c r="AF846">
        <f t="shared" si="199"/>
        <v>1</v>
      </c>
      <c r="AG846">
        <f t="shared" si="200"/>
        <v>100</v>
      </c>
    </row>
    <row r="847" spans="1:33" x14ac:dyDescent="0.2">
      <c r="A847" t="s">
        <v>127</v>
      </c>
      <c r="B847" t="s">
        <v>128</v>
      </c>
      <c r="C847">
        <v>846</v>
      </c>
      <c r="D847">
        <v>185996</v>
      </c>
      <c r="E847" t="s">
        <v>1481</v>
      </c>
      <c r="F847" t="s">
        <v>37</v>
      </c>
      <c r="G847" t="s">
        <v>379</v>
      </c>
      <c r="H847" t="s">
        <v>5</v>
      </c>
      <c r="I847" t="s">
        <v>91</v>
      </c>
      <c r="J847">
        <v>47</v>
      </c>
      <c r="K847">
        <v>0.03</v>
      </c>
      <c r="L847">
        <v>1</v>
      </c>
      <c r="M847">
        <v>1</v>
      </c>
      <c r="N847">
        <v>1</v>
      </c>
      <c r="O847">
        <v>100</v>
      </c>
      <c r="P847" t="b">
        <f t="shared" si="191"/>
        <v>0</v>
      </c>
      <c r="S847" t="str">
        <f t="shared" si="187"/>
        <v>LATER</v>
      </c>
      <c r="T847" t="str">
        <f t="shared" si="188"/>
        <v>SainteLague</v>
      </c>
      <c r="U847">
        <f t="shared" si="190"/>
        <v>846</v>
      </c>
      <c r="V847">
        <f t="shared" si="189"/>
        <v>185996</v>
      </c>
      <c r="W847" s="8" t="str">
        <f>VLOOKUP(V847,'ideas-input'!$A:$B,2,FALSE)</f>
        <v>Apresentação Imagens BOL LCD LOJAS</v>
      </c>
      <c r="X847" t="str">
        <f t="shared" si="192"/>
        <v>GS</v>
      </c>
      <c r="Y847" s="8" t="str">
        <f>VLOOKUP(V847,'ideas-input'!$A:$D,4,FALSE)</f>
        <v>Retail &amp; Financial Services</v>
      </c>
      <c r="Z847" t="str">
        <f t="shared" si="193"/>
        <v>Commercial</v>
      </c>
      <c r="AA847" t="str">
        <f t="shared" si="194"/>
        <v>Backlog</v>
      </c>
      <c r="AB847">
        <f t="shared" si="195"/>
        <v>47</v>
      </c>
      <c r="AC847">
        <f t="shared" si="196"/>
        <v>0.03</v>
      </c>
      <c r="AD847">
        <f t="shared" si="197"/>
        <v>1</v>
      </c>
      <c r="AE847">
        <f t="shared" si="198"/>
        <v>1</v>
      </c>
      <c r="AF847">
        <f t="shared" si="199"/>
        <v>1</v>
      </c>
      <c r="AG847">
        <f t="shared" si="200"/>
        <v>100</v>
      </c>
    </row>
    <row r="848" spans="1:33" x14ac:dyDescent="0.2">
      <c r="A848" t="s">
        <v>127</v>
      </c>
      <c r="B848" t="s">
        <v>128</v>
      </c>
      <c r="C848">
        <v>847</v>
      </c>
      <c r="D848">
        <v>55715</v>
      </c>
      <c r="E848" t="s">
        <v>1455</v>
      </c>
      <c r="F848" t="s">
        <v>65</v>
      </c>
      <c r="G848" t="s">
        <v>10</v>
      </c>
      <c r="H848" t="s">
        <v>5</v>
      </c>
      <c r="I848" t="s">
        <v>91</v>
      </c>
      <c r="J848">
        <v>77</v>
      </c>
      <c r="K848">
        <v>0.03</v>
      </c>
      <c r="L848">
        <v>1</v>
      </c>
      <c r="M848">
        <v>1</v>
      </c>
      <c r="N848">
        <v>1</v>
      </c>
      <c r="O848">
        <v>100</v>
      </c>
      <c r="P848" t="b">
        <f t="shared" si="191"/>
        <v>0</v>
      </c>
      <c r="S848" t="str">
        <f t="shared" si="187"/>
        <v>LATER</v>
      </c>
      <c r="T848" t="str">
        <f t="shared" si="188"/>
        <v>SainteLague</v>
      </c>
      <c r="U848">
        <f t="shared" si="190"/>
        <v>847</v>
      </c>
      <c r="V848">
        <f t="shared" si="189"/>
        <v>55715</v>
      </c>
      <c r="W848" s="8" t="str">
        <f>VLOOKUP(V848,'ideas-input'!$A:$B,2,FALSE)</f>
        <v>[Web de clientes] - Retorno en seguimiento - Mostrar por fecha de grabación y no de servicio</v>
      </c>
      <c r="X848" t="str">
        <f t="shared" si="192"/>
        <v>CMO</v>
      </c>
      <c r="Y848" s="8" t="str">
        <f>VLOOKUP(V848,'ideas-input'!$A:$D,4,FALSE)</f>
        <v>eCommerce</v>
      </c>
      <c r="Z848" t="str">
        <f t="shared" si="193"/>
        <v>Commercial</v>
      </c>
      <c r="AA848" t="str">
        <f t="shared" si="194"/>
        <v>Backlog</v>
      </c>
      <c r="AB848">
        <f t="shared" si="195"/>
        <v>77</v>
      </c>
      <c r="AC848">
        <f t="shared" si="196"/>
        <v>0.03</v>
      </c>
      <c r="AD848">
        <f t="shared" si="197"/>
        <v>1</v>
      </c>
      <c r="AE848">
        <f t="shared" si="198"/>
        <v>1</v>
      </c>
      <c r="AF848">
        <f t="shared" si="199"/>
        <v>1</v>
      </c>
      <c r="AG848">
        <f t="shared" si="200"/>
        <v>100</v>
      </c>
    </row>
    <row r="849" spans="1:33" x14ac:dyDescent="0.2">
      <c r="A849" t="s">
        <v>127</v>
      </c>
      <c r="B849" t="s">
        <v>128</v>
      </c>
      <c r="C849">
        <v>848</v>
      </c>
      <c r="D849">
        <v>10344</v>
      </c>
      <c r="E849" t="s">
        <v>313</v>
      </c>
      <c r="F849" t="s">
        <v>37</v>
      </c>
      <c r="G849" t="s">
        <v>379</v>
      </c>
      <c r="H849" t="s">
        <v>5</v>
      </c>
      <c r="I849" t="s">
        <v>91</v>
      </c>
      <c r="J849">
        <v>48</v>
      </c>
      <c r="K849">
        <v>0.03</v>
      </c>
      <c r="L849">
        <v>1</v>
      </c>
      <c r="M849">
        <v>1</v>
      </c>
      <c r="N849">
        <v>1</v>
      </c>
      <c r="O849">
        <v>100</v>
      </c>
      <c r="P849" t="b">
        <f t="shared" si="191"/>
        <v>0</v>
      </c>
      <c r="S849" t="str">
        <f t="shared" si="187"/>
        <v>LATER</v>
      </c>
      <c r="T849" t="str">
        <f t="shared" si="188"/>
        <v>SainteLague</v>
      </c>
      <c r="U849">
        <f t="shared" si="190"/>
        <v>848</v>
      </c>
      <c r="V849">
        <f t="shared" si="189"/>
        <v>10344</v>
      </c>
      <c r="W849" s="8" t="str">
        <f>VLOOKUP(V849,'ideas-input'!$A:$B,2,FALSE)</f>
        <v>Melhorias de funcionamento nos Tablets das Lojas</v>
      </c>
      <c r="X849" t="str">
        <f t="shared" si="192"/>
        <v>GS</v>
      </c>
      <c r="Y849" s="8" t="str">
        <f>VLOOKUP(V849,'ideas-input'!$A:$D,4,FALSE)</f>
        <v>Mail</v>
      </c>
      <c r="Z849" t="str">
        <f t="shared" si="193"/>
        <v>Commercial</v>
      </c>
      <c r="AA849" t="str">
        <f t="shared" si="194"/>
        <v>Backlog</v>
      </c>
      <c r="AB849">
        <f t="shared" si="195"/>
        <v>48</v>
      </c>
      <c r="AC849">
        <f t="shared" si="196"/>
        <v>0.03</v>
      </c>
      <c r="AD849">
        <f t="shared" si="197"/>
        <v>1</v>
      </c>
      <c r="AE849">
        <f t="shared" si="198"/>
        <v>1</v>
      </c>
      <c r="AF849">
        <f t="shared" si="199"/>
        <v>1</v>
      </c>
      <c r="AG849">
        <f t="shared" si="200"/>
        <v>100</v>
      </c>
    </row>
    <row r="850" spans="1:33" x14ac:dyDescent="0.2">
      <c r="A850" t="s">
        <v>127</v>
      </c>
      <c r="B850" t="s">
        <v>128</v>
      </c>
      <c r="C850">
        <v>849</v>
      </c>
      <c r="D850">
        <v>46909</v>
      </c>
      <c r="E850" t="s">
        <v>1457</v>
      </c>
      <c r="F850" t="s">
        <v>65</v>
      </c>
      <c r="G850" t="s">
        <v>10</v>
      </c>
      <c r="H850" t="s">
        <v>5</v>
      </c>
      <c r="I850" t="s">
        <v>91</v>
      </c>
      <c r="J850">
        <v>78</v>
      </c>
      <c r="K850">
        <v>0.03</v>
      </c>
      <c r="L850">
        <v>1</v>
      </c>
      <c r="M850">
        <v>1</v>
      </c>
      <c r="N850">
        <v>1</v>
      </c>
      <c r="O850">
        <v>100</v>
      </c>
      <c r="P850" t="b">
        <f t="shared" si="191"/>
        <v>0</v>
      </c>
      <c r="S850" t="str">
        <f t="shared" si="187"/>
        <v>LATER</v>
      </c>
      <c r="T850" t="str">
        <f t="shared" si="188"/>
        <v>SainteLague</v>
      </c>
      <c r="U850">
        <f t="shared" si="190"/>
        <v>849</v>
      </c>
      <c r="V850">
        <f t="shared" si="189"/>
        <v>46909</v>
      </c>
      <c r="W850" s="8" t="str">
        <f>VLOOKUP(V850,'ideas-input'!$A:$B,2,FALSE)</f>
        <v>[Nexus] [Web de Clientes] - Recogida Flexible Grabación de envíos: Permitir recogida a la carta</v>
      </c>
      <c r="X850" t="str">
        <f t="shared" si="192"/>
        <v>CMO</v>
      </c>
      <c r="Y850" s="8" t="str">
        <f>VLOOKUP(V850,'ideas-input'!$A:$D,4,FALSE)</f>
        <v>eCommerce</v>
      </c>
      <c r="Z850" t="str">
        <f t="shared" si="193"/>
        <v>Commercial</v>
      </c>
      <c r="AA850" t="str">
        <f t="shared" si="194"/>
        <v>Backlog</v>
      </c>
      <c r="AB850">
        <f t="shared" si="195"/>
        <v>78</v>
      </c>
      <c r="AC850">
        <f t="shared" si="196"/>
        <v>0.03</v>
      </c>
      <c r="AD850">
        <f t="shared" si="197"/>
        <v>1</v>
      </c>
      <c r="AE850">
        <f t="shared" si="198"/>
        <v>1</v>
      </c>
      <c r="AF850">
        <f t="shared" si="199"/>
        <v>1</v>
      </c>
      <c r="AG850">
        <f t="shared" si="200"/>
        <v>100</v>
      </c>
    </row>
    <row r="851" spans="1:33" x14ac:dyDescent="0.2">
      <c r="A851" t="s">
        <v>127</v>
      </c>
      <c r="B851" t="s">
        <v>128</v>
      </c>
      <c r="C851">
        <v>850</v>
      </c>
      <c r="D851">
        <v>159032</v>
      </c>
      <c r="E851" t="s">
        <v>1483</v>
      </c>
      <c r="F851" t="s">
        <v>37</v>
      </c>
      <c r="G851" t="s">
        <v>379</v>
      </c>
      <c r="H851" t="s">
        <v>5</v>
      </c>
      <c r="I851" t="s">
        <v>91</v>
      </c>
      <c r="J851">
        <v>49</v>
      </c>
      <c r="K851">
        <v>0.03</v>
      </c>
      <c r="L851">
        <v>1</v>
      </c>
      <c r="M851">
        <v>1</v>
      </c>
      <c r="N851">
        <v>1</v>
      </c>
      <c r="O851">
        <v>100</v>
      </c>
      <c r="P851" t="b">
        <f t="shared" si="191"/>
        <v>0</v>
      </c>
      <c r="S851" t="str">
        <f t="shared" si="187"/>
        <v>LATER</v>
      </c>
      <c r="T851" t="str">
        <f t="shared" si="188"/>
        <v>SainteLague</v>
      </c>
      <c r="U851">
        <f t="shared" si="190"/>
        <v>850</v>
      </c>
      <c r="V851">
        <f t="shared" si="189"/>
        <v>159032</v>
      </c>
      <c r="W851" s="8" t="str">
        <f>VLOOKUP(V851,'ideas-input'!$A:$B,2,FALSE)</f>
        <v>Aplicação OPL6 compromete a segurança do ecossistema CTT,</v>
      </c>
      <c r="X851" t="str">
        <f t="shared" si="192"/>
        <v>GS</v>
      </c>
      <c r="Y851" s="8" t="str">
        <f>VLOOKUP(V851,'ideas-input'!$A:$D,4,FALSE)</f>
        <v>Mail</v>
      </c>
      <c r="Z851" t="str">
        <f t="shared" si="193"/>
        <v>Commercial</v>
      </c>
      <c r="AA851" t="str">
        <f t="shared" si="194"/>
        <v>Backlog</v>
      </c>
      <c r="AB851">
        <f t="shared" si="195"/>
        <v>49</v>
      </c>
      <c r="AC851">
        <f t="shared" si="196"/>
        <v>0.03</v>
      </c>
      <c r="AD851">
        <f t="shared" si="197"/>
        <v>1</v>
      </c>
      <c r="AE851">
        <f t="shared" si="198"/>
        <v>1</v>
      </c>
      <c r="AF851">
        <f t="shared" si="199"/>
        <v>1</v>
      </c>
      <c r="AG851">
        <f t="shared" si="200"/>
        <v>100</v>
      </c>
    </row>
    <row r="852" spans="1:33" x14ac:dyDescent="0.2">
      <c r="A852" t="s">
        <v>127</v>
      </c>
      <c r="B852" t="s">
        <v>128</v>
      </c>
      <c r="C852">
        <v>851</v>
      </c>
      <c r="D852">
        <v>58727</v>
      </c>
      <c r="E852" t="s">
        <v>1463</v>
      </c>
      <c r="F852" t="s">
        <v>65</v>
      </c>
      <c r="G852" t="s">
        <v>10</v>
      </c>
      <c r="H852" t="s">
        <v>5</v>
      </c>
      <c r="I852" t="s">
        <v>91</v>
      </c>
      <c r="J852">
        <v>79</v>
      </c>
      <c r="K852">
        <v>0.03</v>
      </c>
      <c r="L852">
        <v>1</v>
      </c>
      <c r="M852">
        <v>1</v>
      </c>
      <c r="N852">
        <v>1</v>
      </c>
      <c r="O852">
        <v>100</v>
      </c>
      <c r="P852" t="b">
        <f t="shared" si="191"/>
        <v>0</v>
      </c>
      <c r="S852" t="str">
        <f t="shared" si="187"/>
        <v>LATER</v>
      </c>
      <c r="T852" t="str">
        <f t="shared" si="188"/>
        <v>SainteLague</v>
      </c>
      <c r="U852">
        <f t="shared" si="190"/>
        <v>851</v>
      </c>
      <c r="V852">
        <f t="shared" si="189"/>
        <v>58727</v>
      </c>
      <c r="W852" s="8" t="str">
        <f>VLOOKUP(V852,'ideas-input'!$A:$B,2,FALSE)</f>
        <v>[PUDOS] [Web Pública] - Orientar venta directa (añadir literales)</v>
      </c>
      <c r="X852" t="str">
        <f t="shared" si="192"/>
        <v>CMO</v>
      </c>
      <c r="Y852" s="8" t="str">
        <f>VLOOKUP(V852,'ideas-input'!$A:$D,4,FALSE)</f>
        <v>eCommerce</v>
      </c>
      <c r="Z852" t="str">
        <f t="shared" si="193"/>
        <v>Commercial</v>
      </c>
      <c r="AA852" t="str">
        <f t="shared" si="194"/>
        <v>Backlog</v>
      </c>
      <c r="AB852">
        <f t="shared" si="195"/>
        <v>79</v>
      </c>
      <c r="AC852">
        <f t="shared" si="196"/>
        <v>0.03</v>
      </c>
      <c r="AD852">
        <f t="shared" si="197"/>
        <v>1</v>
      </c>
      <c r="AE852">
        <f t="shared" si="198"/>
        <v>1</v>
      </c>
      <c r="AF852">
        <f t="shared" si="199"/>
        <v>1</v>
      </c>
      <c r="AG852">
        <f t="shared" si="200"/>
        <v>100</v>
      </c>
    </row>
    <row r="853" spans="1:33" x14ac:dyDescent="0.2">
      <c r="A853" t="s">
        <v>127</v>
      </c>
      <c r="B853" t="s">
        <v>128</v>
      </c>
      <c r="C853">
        <v>852</v>
      </c>
      <c r="D853">
        <v>173452</v>
      </c>
      <c r="E853" t="s">
        <v>1485</v>
      </c>
      <c r="F853" t="s">
        <v>37</v>
      </c>
      <c r="G853" t="s">
        <v>379</v>
      </c>
      <c r="H853" t="s">
        <v>5</v>
      </c>
      <c r="I853" t="s">
        <v>91</v>
      </c>
      <c r="J853">
        <v>50</v>
      </c>
      <c r="K853">
        <v>0.03</v>
      </c>
      <c r="L853">
        <v>1</v>
      </c>
      <c r="M853">
        <v>1</v>
      </c>
      <c r="N853">
        <v>1</v>
      </c>
      <c r="O853">
        <v>100</v>
      </c>
      <c r="P853" t="b">
        <f t="shared" si="191"/>
        <v>0</v>
      </c>
      <c r="S853" t="str">
        <f t="shared" si="187"/>
        <v>LATER</v>
      </c>
      <c r="T853" t="str">
        <f t="shared" si="188"/>
        <v>SainteLague</v>
      </c>
      <c r="U853">
        <f t="shared" si="190"/>
        <v>852</v>
      </c>
      <c r="V853">
        <f t="shared" si="189"/>
        <v>173452</v>
      </c>
      <c r="W853" s="8" t="str">
        <f>VLOOKUP(V853,'ideas-input'!$A:$B,2,FALSE)</f>
        <v>UPDATE | SOLUÇÃO TRANSFORMAÇÃO | RELATÓRIO SERIAL NUMBER EXPEDIÇÃO</v>
      </c>
      <c r="X853" t="str">
        <f t="shared" si="192"/>
        <v>GS</v>
      </c>
      <c r="Y853" s="8" t="str">
        <f>VLOOKUP(V853,'ideas-input'!$A:$D,4,FALSE)</f>
        <v>Mail</v>
      </c>
      <c r="Z853" t="str">
        <f t="shared" si="193"/>
        <v>Commercial</v>
      </c>
      <c r="AA853" t="str">
        <f t="shared" si="194"/>
        <v>Backlog</v>
      </c>
      <c r="AB853">
        <f t="shared" si="195"/>
        <v>50</v>
      </c>
      <c r="AC853">
        <f t="shared" si="196"/>
        <v>0.03</v>
      </c>
      <c r="AD853">
        <f t="shared" si="197"/>
        <v>1</v>
      </c>
      <c r="AE853">
        <f t="shared" si="198"/>
        <v>1</v>
      </c>
      <c r="AF853">
        <f t="shared" si="199"/>
        <v>1</v>
      </c>
      <c r="AG853">
        <f t="shared" si="200"/>
        <v>100</v>
      </c>
    </row>
    <row r="854" spans="1:33" x14ac:dyDescent="0.2">
      <c r="A854" t="s">
        <v>127</v>
      </c>
      <c r="B854" t="s">
        <v>128</v>
      </c>
      <c r="C854">
        <v>853</v>
      </c>
      <c r="D854">
        <v>58528</v>
      </c>
      <c r="E854" t="s">
        <v>1467</v>
      </c>
      <c r="F854" t="s">
        <v>65</v>
      </c>
      <c r="G854" t="s">
        <v>10</v>
      </c>
      <c r="H854" t="s">
        <v>5</v>
      </c>
      <c r="I854" t="s">
        <v>91</v>
      </c>
      <c r="J854">
        <v>80</v>
      </c>
      <c r="K854">
        <v>0.03</v>
      </c>
      <c r="L854">
        <v>1</v>
      </c>
      <c r="M854">
        <v>1</v>
      </c>
      <c r="N854">
        <v>1</v>
      </c>
      <c r="O854">
        <v>100</v>
      </c>
      <c r="P854" t="b">
        <f t="shared" si="191"/>
        <v>0</v>
      </c>
      <c r="S854" t="str">
        <f t="shared" si="187"/>
        <v>LATER</v>
      </c>
      <c r="T854" t="str">
        <f t="shared" si="188"/>
        <v>SainteLague</v>
      </c>
      <c r="U854">
        <f t="shared" si="190"/>
        <v>853</v>
      </c>
      <c r="V854">
        <f t="shared" si="189"/>
        <v>58528</v>
      </c>
      <c r="W854" s="8" t="str">
        <f>VLOOKUP(V854,'ideas-input'!$A:$B,2,FALSE)</f>
        <v>[Web de Clientes] - Seguimiento - Añadir HORA junto a la FECHA</v>
      </c>
      <c r="X854" t="str">
        <f t="shared" si="192"/>
        <v>CMO</v>
      </c>
      <c r="Y854" s="8" t="str">
        <f>VLOOKUP(V854,'ideas-input'!$A:$D,4,FALSE)</f>
        <v>eCommerce</v>
      </c>
      <c r="Z854" t="str">
        <f t="shared" si="193"/>
        <v>Commercial</v>
      </c>
      <c r="AA854" t="str">
        <f t="shared" si="194"/>
        <v>Backlog</v>
      </c>
      <c r="AB854">
        <f t="shared" si="195"/>
        <v>80</v>
      </c>
      <c r="AC854">
        <f t="shared" si="196"/>
        <v>0.03</v>
      </c>
      <c r="AD854">
        <f t="shared" si="197"/>
        <v>1</v>
      </c>
      <c r="AE854">
        <f t="shared" si="198"/>
        <v>1</v>
      </c>
      <c r="AF854">
        <f t="shared" si="199"/>
        <v>1</v>
      </c>
      <c r="AG854">
        <f t="shared" si="200"/>
        <v>100</v>
      </c>
    </row>
    <row r="855" spans="1:33" x14ac:dyDescent="0.2">
      <c r="A855" t="s">
        <v>127</v>
      </c>
      <c r="B855" t="s">
        <v>128</v>
      </c>
      <c r="C855">
        <v>854</v>
      </c>
      <c r="D855">
        <v>190603</v>
      </c>
      <c r="E855" t="s">
        <v>1486</v>
      </c>
      <c r="F855" t="s">
        <v>37</v>
      </c>
      <c r="G855" t="s">
        <v>379</v>
      </c>
      <c r="H855" t="s">
        <v>5</v>
      </c>
      <c r="I855" t="s">
        <v>91</v>
      </c>
      <c r="J855">
        <v>51</v>
      </c>
      <c r="K855">
        <v>0.03</v>
      </c>
      <c r="L855">
        <v>1</v>
      </c>
      <c r="M855">
        <v>1</v>
      </c>
      <c r="N855">
        <v>1</v>
      </c>
      <c r="O855">
        <v>100</v>
      </c>
      <c r="P855" t="b">
        <f t="shared" si="191"/>
        <v>0</v>
      </c>
      <c r="S855" t="str">
        <f t="shared" ref="S855:S918" si="201">A855</f>
        <v>LATER</v>
      </c>
      <c r="T855" t="str">
        <f t="shared" ref="T855:T918" si="202">B855</f>
        <v>SainteLague</v>
      </c>
      <c r="U855">
        <f t="shared" si="190"/>
        <v>854</v>
      </c>
      <c r="V855">
        <f t="shared" ref="V855:V918" si="203">D855</f>
        <v>190603</v>
      </c>
      <c r="W855" s="8" t="str">
        <f>VLOOKUP(V855,'ideas-input'!$A:$B,2,FALSE)</f>
        <v>Formulário Criar Envio de Correio Internacional | Supressão do Serviço Especial de Cobrança no Correio Registado para o âmbito Internacional</v>
      </c>
      <c r="X855" t="str">
        <f t="shared" si="192"/>
        <v>GS</v>
      </c>
      <c r="Y855" s="8" t="str">
        <f>VLOOKUP(V855,'ideas-input'!$A:$D,4,FALSE)</f>
        <v>Mail</v>
      </c>
      <c r="Z855" t="str">
        <f t="shared" si="193"/>
        <v>Commercial</v>
      </c>
      <c r="AA855" t="str">
        <f t="shared" si="194"/>
        <v>Backlog</v>
      </c>
      <c r="AB855">
        <f t="shared" si="195"/>
        <v>51</v>
      </c>
      <c r="AC855">
        <f t="shared" si="196"/>
        <v>0.03</v>
      </c>
      <c r="AD855">
        <f t="shared" si="197"/>
        <v>1</v>
      </c>
      <c r="AE855">
        <f t="shared" si="198"/>
        <v>1</v>
      </c>
      <c r="AF855">
        <f t="shared" si="199"/>
        <v>1</v>
      </c>
      <c r="AG855">
        <f t="shared" si="200"/>
        <v>100</v>
      </c>
    </row>
    <row r="856" spans="1:33" x14ac:dyDescent="0.2">
      <c r="A856" t="s">
        <v>127</v>
      </c>
      <c r="B856" t="s">
        <v>128</v>
      </c>
      <c r="C856">
        <v>855</v>
      </c>
      <c r="D856">
        <v>59039</v>
      </c>
      <c r="E856" t="s">
        <v>1644</v>
      </c>
      <c r="F856" t="s">
        <v>65</v>
      </c>
      <c r="G856" t="s">
        <v>10</v>
      </c>
      <c r="H856" t="s">
        <v>5</v>
      </c>
      <c r="I856" t="s">
        <v>91</v>
      </c>
      <c r="J856">
        <v>81</v>
      </c>
      <c r="K856">
        <v>0.03</v>
      </c>
      <c r="L856">
        <v>1</v>
      </c>
      <c r="M856">
        <v>1</v>
      </c>
      <c r="N856">
        <v>1</v>
      </c>
      <c r="O856">
        <v>100</v>
      </c>
      <c r="P856" t="b">
        <f t="shared" si="191"/>
        <v>0</v>
      </c>
      <c r="S856" t="str">
        <f t="shared" si="201"/>
        <v>LATER</v>
      </c>
      <c r="T856" t="str">
        <f t="shared" si="202"/>
        <v>SainteLague</v>
      </c>
      <c r="U856">
        <f t="shared" si="190"/>
        <v>855</v>
      </c>
      <c r="V856">
        <f t="shared" si="203"/>
        <v>59039</v>
      </c>
      <c r="W856" s="8" t="str">
        <f>VLOOKUP(V856,'ideas-input'!$A:$B,2,FALSE)</f>
        <v>[PRODUCTO]  [Web de Clientes] - Aranceles aduaneros Canarias</v>
      </c>
      <c r="X856" t="str">
        <f t="shared" si="192"/>
        <v>CMO</v>
      </c>
      <c r="Y856" s="8" t="str">
        <f>VLOOKUP(V856,'ideas-input'!$A:$D,4,FALSE)</f>
        <v>eCommerce</v>
      </c>
      <c r="Z856" t="str">
        <f t="shared" si="193"/>
        <v>Commercial</v>
      </c>
      <c r="AA856" t="str">
        <f t="shared" si="194"/>
        <v>Backlog</v>
      </c>
      <c r="AB856">
        <f t="shared" si="195"/>
        <v>81</v>
      </c>
      <c r="AC856">
        <f t="shared" si="196"/>
        <v>0.03</v>
      </c>
      <c r="AD856">
        <f t="shared" si="197"/>
        <v>1</v>
      </c>
      <c r="AE856">
        <f t="shared" si="198"/>
        <v>1</v>
      </c>
      <c r="AF856">
        <f t="shared" si="199"/>
        <v>1</v>
      </c>
      <c r="AG856">
        <f t="shared" si="200"/>
        <v>100</v>
      </c>
    </row>
    <row r="857" spans="1:33" x14ac:dyDescent="0.2">
      <c r="A857" t="s">
        <v>127</v>
      </c>
      <c r="B857" t="s">
        <v>128</v>
      </c>
      <c r="C857">
        <v>856</v>
      </c>
      <c r="D857">
        <v>66650</v>
      </c>
      <c r="E857" t="s">
        <v>1488</v>
      </c>
      <c r="F857" t="s">
        <v>37</v>
      </c>
      <c r="G857" t="s">
        <v>379</v>
      </c>
      <c r="H857" t="s">
        <v>5</v>
      </c>
      <c r="I857" t="s">
        <v>91</v>
      </c>
      <c r="J857">
        <v>52</v>
      </c>
      <c r="K857">
        <v>0.03</v>
      </c>
      <c r="L857">
        <v>1</v>
      </c>
      <c r="M857">
        <v>1</v>
      </c>
      <c r="N857">
        <v>1</v>
      </c>
      <c r="O857">
        <v>100</v>
      </c>
      <c r="P857" t="b">
        <f t="shared" si="191"/>
        <v>0</v>
      </c>
      <c r="S857" t="str">
        <f t="shared" si="201"/>
        <v>LATER</v>
      </c>
      <c r="T857" t="str">
        <f t="shared" si="202"/>
        <v>SainteLague</v>
      </c>
      <c r="U857">
        <f t="shared" si="190"/>
        <v>856</v>
      </c>
      <c r="V857">
        <f t="shared" si="203"/>
        <v>66650</v>
      </c>
      <c r="W857" s="8" t="str">
        <f>VLOOKUP(V857,'ideas-input'!$A:$B,2,FALSE)</f>
        <v>GS B2C - Disponibilização de informação do Data Analytics sobre Sessões NAVe</v>
      </c>
      <c r="X857" t="str">
        <f t="shared" si="192"/>
        <v>GS</v>
      </c>
      <c r="Y857" s="8" t="str">
        <f>VLOOKUP(V857,'ideas-input'!$A:$D,4,FALSE)</f>
        <v>Mail</v>
      </c>
      <c r="Z857" t="str">
        <f t="shared" si="193"/>
        <v>Commercial</v>
      </c>
      <c r="AA857" t="str">
        <f t="shared" si="194"/>
        <v>Backlog</v>
      </c>
      <c r="AB857">
        <f t="shared" si="195"/>
        <v>52</v>
      </c>
      <c r="AC857">
        <f t="shared" si="196"/>
        <v>0.03</v>
      </c>
      <c r="AD857">
        <f t="shared" si="197"/>
        <v>1</v>
      </c>
      <c r="AE857">
        <f t="shared" si="198"/>
        <v>1</v>
      </c>
      <c r="AF857">
        <f t="shared" si="199"/>
        <v>1</v>
      </c>
      <c r="AG857">
        <f t="shared" si="200"/>
        <v>100</v>
      </c>
    </row>
    <row r="858" spans="1:33" x14ac:dyDescent="0.2">
      <c r="A858" t="s">
        <v>127</v>
      </c>
      <c r="B858" t="s">
        <v>128</v>
      </c>
      <c r="C858">
        <v>857</v>
      </c>
      <c r="D858">
        <v>60003</v>
      </c>
      <c r="E858" t="s">
        <v>1700</v>
      </c>
      <c r="F858" t="s">
        <v>65</v>
      </c>
      <c r="G858" t="s">
        <v>10</v>
      </c>
      <c r="H858" t="s">
        <v>5</v>
      </c>
      <c r="I858" t="s">
        <v>91</v>
      </c>
      <c r="J858">
        <v>82</v>
      </c>
      <c r="K858">
        <v>0.03</v>
      </c>
      <c r="L858">
        <v>1</v>
      </c>
      <c r="M858">
        <v>1</v>
      </c>
      <c r="N858">
        <v>1</v>
      </c>
      <c r="O858">
        <v>100</v>
      </c>
      <c r="P858" t="b">
        <f t="shared" si="191"/>
        <v>0</v>
      </c>
      <c r="S858" t="str">
        <f t="shared" si="201"/>
        <v>LATER</v>
      </c>
      <c r="T858" t="str">
        <f t="shared" si="202"/>
        <v>SainteLague</v>
      </c>
      <c r="U858">
        <f t="shared" ref="U858:U921" si="204">C858</f>
        <v>857</v>
      </c>
      <c r="V858">
        <f t="shared" si="203"/>
        <v>60003</v>
      </c>
      <c r="W858" s="8" t="str">
        <f>VLOOKUP(V858,'ideas-input'!$A:$B,2,FALSE)</f>
        <v>[Web de Clientes] [Qlik] -  Medición volumen de envíos y facturación Web Clientes Cloud (Canal Importación masiva y grabación manual).</v>
      </c>
      <c r="X858" t="str">
        <f t="shared" si="192"/>
        <v>CMO</v>
      </c>
      <c r="Y858" s="8" t="str">
        <f>VLOOKUP(V858,'ideas-input'!$A:$D,4,FALSE)</f>
        <v>eCommerce</v>
      </c>
      <c r="Z858" t="str">
        <f t="shared" si="193"/>
        <v>Commercial</v>
      </c>
      <c r="AA858" t="str">
        <f t="shared" si="194"/>
        <v>Backlog</v>
      </c>
      <c r="AB858">
        <f t="shared" si="195"/>
        <v>82</v>
      </c>
      <c r="AC858">
        <f t="shared" si="196"/>
        <v>0.03</v>
      </c>
      <c r="AD858">
        <f t="shared" si="197"/>
        <v>1</v>
      </c>
      <c r="AE858">
        <f t="shared" si="198"/>
        <v>1</v>
      </c>
      <c r="AF858">
        <f t="shared" si="199"/>
        <v>1</v>
      </c>
      <c r="AG858">
        <f t="shared" si="200"/>
        <v>100</v>
      </c>
    </row>
    <row r="859" spans="1:33" x14ac:dyDescent="0.2">
      <c r="A859" t="s">
        <v>127</v>
      </c>
      <c r="B859" t="s">
        <v>128</v>
      </c>
      <c r="C859">
        <v>858</v>
      </c>
      <c r="D859">
        <v>16889</v>
      </c>
      <c r="E859" t="s">
        <v>1490</v>
      </c>
      <c r="F859" t="s">
        <v>37</v>
      </c>
      <c r="G859" t="s">
        <v>379</v>
      </c>
      <c r="H859" t="s">
        <v>5</v>
      </c>
      <c r="I859" t="s">
        <v>91</v>
      </c>
      <c r="J859">
        <v>53</v>
      </c>
      <c r="K859">
        <v>0.03</v>
      </c>
      <c r="L859">
        <v>1</v>
      </c>
      <c r="M859">
        <v>1</v>
      </c>
      <c r="N859">
        <v>1</v>
      </c>
      <c r="O859">
        <v>100</v>
      </c>
      <c r="P859" t="b">
        <f t="shared" si="191"/>
        <v>0</v>
      </c>
      <c r="S859" t="str">
        <f t="shared" si="201"/>
        <v>LATER</v>
      </c>
      <c r="T859" t="str">
        <f t="shared" si="202"/>
        <v>SainteLague</v>
      </c>
      <c r="U859">
        <f t="shared" si="204"/>
        <v>858</v>
      </c>
      <c r="V859">
        <f t="shared" si="203"/>
        <v>16889</v>
      </c>
      <c r="W859" s="8" t="str">
        <f>VLOOKUP(V859,'ideas-input'!$A:$B,2,FALSE)</f>
        <v>Dona Oferta – Dados de recibo/fatura automáticos</v>
      </c>
      <c r="X859" t="str">
        <f t="shared" si="192"/>
        <v>GS</v>
      </c>
      <c r="Y859" s="8" t="str">
        <f>VLOOKUP(V859,'ideas-input'!$A:$D,4,FALSE)</f>
        <v>Mail</v>
      </c>
      <c r="Z859" t="str">
        <f t="shared" si="193"/>
        <v>Commercial</v>
      </c>
      <c r="AA859" t="str">
        <f t="shared" si="194"/>
        <v>Backlog</v>
      </c>
      <c r="AB859">
        <f t="shared" si="195"/>
        <v>53</v>
      </c>
      <c r="AC859">
        <f t="shared" si="196"/>
        <v>0.03</v>
      </c>
      <c r="AD859">
        <f t="shared" si="197"/>
        <v>1</v>
      </c>
      <c r="AE859">
        <f t="shared" si="198"/>
        <v>1</v>
      </c>
      <c r="AF859">
        <f t="shared" si="199"/>
        <v>1</v>
      </c>
      <c r="AG859">
        <f t="shared" si="200"/>
        <v>100</v>
      </c>
    </row>
    <row r="860" spans="1:33" x14ac:dyDescent="0.2">
      <c r="A860" t="s">
        <v>127</v>
      </c>
      <c r="B860" t="s">
        <v>128</v>
      </c>
      <c r="C860">
        <v>859</v>
      </c>
      <c r="D860">
        <v>60289</v>
      </c>
      <c r="E860" t="s">
        <v>1474</v>
      </c>
      <c r="F860" t="s">
        <v>65</v>
      </c>
      <c r="G860" t="s">
        <v>10</v>
      </c>
      <c r="H860" t="s">
        <v>5</v>
      </c>
      <c r="I860" t="s">
        <v>91</v>
      </c>
      <c r="J860">
        <v>83</v>
      </c>
      <c r="K860">
        <v>0.03</v>
      </c>
      <c r="L860">
        <v>1</v>
      </c>
      <c r="M860">
        <v>1</v>
      </c>
      <c r="N860">
        <v>1</v>
      </c>
      <c r="O860">
        <v>100</v>
      </c>
      <c r="P860" t="b">
        <f t="shared" si="191"/>
        <v>0</v>
      </c>
      <c r="S860" t="str">
        <f t="shared" si="201"/>
        <v>LATER</v>
      </c>
      <c r="T860" t="str">
        <f t="shared" si="202"/>
        <v>SainteLague</v>
      </c>
      <c r="U860">
        <f t="shared" si="204"/>
        <v>859</v>
      </c>
      <c r="V860">
        <f t="shared" si="203"/>
        <v>60289</v>
      </c>
      <c r="W860" s="8" t="str">
        <f>VLOOKUP(V860,'ideas-input'!$A:$B,2,FALSE)</f>
        <v>[Web de Clientes] - Incluir tooltip en el botón de añadir NUEVO bulto para envíos a Puntos</v>
      </c>
      <c r="X860" t="str">
        <f t="shared" si="192"/>
        <v>CMO</v>
      </c>
      <c r="Y860" s="8" t="str">
        <f>VLOOKUP(V860,'ideas-input'!$A:$D,4,FALSE)</f>
        <v>eCommerce</v>
      </c>
      <c r="Z860" t="str">
        <f t="shared" si="193"/>
        <v>Commercial</v>
      </c>
      <c r="AA860" t="str">
        <f t="shared" si="194"/>
        <v>Backlog</v>
      </c>
      <c r="AB860">
        <f t="shared" si="195"/>
        <v>83</v>
      </c>
      <c r="AC860">
        <f t="shared" si="196"/>
        <v>0.03</v>
      </c>
      <c r="AD860">
        <f t="shared" si="197"/>
        <v>1</v>
      </c>
      <c r="AE860">
        <f t="shared" si="198"/>
        <v>1</v>
      </c>
      <c r="AF860">
        <f t="shared" si="199"/>
        <v>1</v>
      </c>
      <c r="AG860">
        <f t="shared" si="200"/>
        <v>100</v>
      </c>
    </row>
    <row r="861" spans="1:33" x14ac:dyDescent="0.2">
      <c r="A861" t="s">
        <v>127</v>
      </c>
      <c r="B861" t="s">
        <v>128</v>
      </c>
      <c r="C861">
        <v>860</v>
      </c>
      <c r="D861">
        <v>50493</v>
      </c>
      <c r="E861" t="s">
        <v>1632</v>
      </c>
      <c r="F861" t="s">
        <v>37</v>
      </c>
      <c r="G861" t="s">
        <v>379</v>
      </c>
      <c r="H861" t="s">
        <v>5</v>
      </c>
      <c r="I861" t="s">
        <v>91</v>
      </c>
      <c r="J861">
        <v>54</v>
      </c>
      <c r="K861">
        <v>0.03</v>
      </c>
      <c r="L861">
        <v>1</v>
      </c>
      <c r="M861">
        <v>1</v>
      </c>
      <c r="N861">
        <v>1</v>
      </c>
      <c r="O861">
        <v>100</v>
      </c>
      <c r="P861" t="b">
        <f t="shared" si="191"/>
        <v>0</v>
      </c>
      <c r="S861" t="str">
        <f t="shared" si="201"/>
        <v>LATER</v>
      </c>
      <c r="T861" t="str">
        <f t="shared" si="202"/>
        <v>SainteLague</v>
      </c>
      <c r="U861">
        <f t="shared" si="204"/>
        <v>860</v>
      </c>
      <c r="V861">
        <f t="shared" si="203"/>
        <v>50493</v>
      </c>
      <c r="W861" s="8" t="str">
        <f>VLOOKUP(V861,'ideas-input'!$A:$B,2,FALSE)</f>
        <v>B2C - Vendas  Expresso por colaborador - CORVENDAS</v>
      </c>
      <c r="X861" t="str">
        <f t="shared" si="192"/>
        <v>GS</v>
      </c>
      <c r="Y861" s="8" t="str">
        <f>VLOOKUP(V861,'ideas-input'!$A:$D,4,FALSE)</f>
        <v>eCommerce</v>
      </c>
      <c r="Z861" t="str">
        <f t="shared" si="193"/>
        <v>Commercial</v>
      </c>
      <c r="AA861" t="str">
        <f t="shared" si="194"/>
        <v>Backlog</v>
      </c>
      <c r="AB861">
        <f t="shared" si="195"/>
        <v>54</v>
      </c>
      <c r="AC861">
        <f t="shared" si="196"/>
        <v>0.03</v>
      </c>
      <c r="AD861">
        <f t="shared" si="197"/>
        <v>1</v>
      </c>
      <c r="AE861">
        <f t="shared" si="198"/>
        <v>1</v>
      </c>
      <c r="AF861">
        <f t="shared" si="199"/>
        <v>1</v>
      </c>
      <c r="AG861">
        <f t="shared" si="200"/>
        <v>100</v>
      </c>
    </row>
    <row r="862" spans="1:33" x14ac:dyDescent="0.2">
      <c r="A862" t="s">
        <v>127</v>
      </c>
      <c r="B862" t="s">
        <v>128</v>
      </c>
      <c r="C862">
        <v>861</v>
      </c>
      <c r="D862">
        <v>60722</v>
      </c>
      <c r="E862" t="s">
        <v>1475</v>
      </c>
      <c r="F862" t="s">
        <v>65</v>
      </c>
      <c r="G862" t="s">
        <v>10</v>
      </c>
      <c r="H862" t="s">
        <v>5</v>
      </c>
      <c r="I862" t="s">
        <v>91</v>
      </c>
      <c r="J862">
        <v>84</v>
      </c>
      <c r="K862">
        <v>0.03</v>
      </c>
      <c r="L862">
        <v>1</v>
      </c>
      <c r="M862">
        <v>1</v>
      </c>
      <c r="N862">
        <v>1</v>
      </c>
      <c r="O862">
        <v>100</v>
      </c>
      <c r="P862" t="b">
        <f t="shared" si="191"/>
        <v>0</v>
      </c>
      <c r="S862" t="str">
        <f t="shared" si="201"/>
        <v>LATER</v>
      </c>
      <c r="T862" t="str">
        <f t="shared" si="202"/>
        <v>SainteLague</v>
      </c>
      <c r="U862">
        <f t="shared" si="204"/>
        <v>861</v>
      </c>
      <c r="V862">
        <f t="shared" si="203"/>
        <v>60722</v>
      </c>
      <c r="W862" s="8" t="str">
        <f>VLOOKUP(V862,'ideas-input'!$A:$B,2,FALSE)</f>
        <v>[Notificaciones] - Facturación - Modificar contenido del Email Factura a clientes</v>
      </c>
      <c r="X862" t="str">
        <f t="shared" si="192"/>
        <v>CMO</v>
      </c>
      <c r="Y862" s="8" t="str">
        <f>VLOOKUP(V862,'ideas-input'!$A:$D,4,FALSE)</f>
        <v>eCommerce</v>
      </c>
      <c r="Z862" t="str">
        <f t="shared" si="193"/>
        <v>Commercial</v>
      </c>
      <c r="AA862" t="str">
        <f t="shared" si="194"/>
        <v>Backlog</v>
      </c>
      <c r="AB862">
        <f t="shared" si="195"/>
        <v>84</v>
      </c>
      <c r="AC862">
        <f t="shared" si="196"/>
        <v>0.03</v>
      </c>
      <c r="AD862">
        <f t="shared" si="197"/>
        <v>1</v>
      </c>
      <c r="AE862">
        <f t="shared" si="198"/>
        <v>1</v>
      </c>
      <c r="AF862">
        <f t="shared" si="199"/>
        <v>1</v>
      </c>
      <c r="AG862">
        <f t="shared" si="200"/>
        <v>100</v>
      </c>
    </row>
    <row r="863" spans="1:33" x14ac:dyDescent="0.2">
      <c r="A863" t="s">
        <v>127</v>
      </c>
      <c r="B863" t="s">
        <v>128</v>
      </c>
      <c r="C863">
        <v>862</v>
      </c>
      <c r="D863">
        <v>50482</v>
      </c>
      <c r="E863" t="s">
        <v>1492</v>
      </c>
      <c r="F863" t="s">
        <v>37</v>
      </c>
      <c r="G863" t="s">
        <v>379</v>
      </c>
      <c r="H863" t="s">
        <v>5</v>
      </c>
      <c r="I863" t="s">
        <v>91</v>
      </c>
      <c r="J863">
        <v>55</v>
      </c>
      <c r="K863">
        <v>0.03</v>
      </c>
      <c r="L863">
        <v>1</v>
      </c>
      <c r="M863">
        <v>1</v>
      </c>
      <c r="N863">
        <v>1</v>
      </c>
      <c r="O863">
        <v>100</v>
      </c>
      <c r="P863" t="b">
        <f t="shared" si="191"/>
        <v>0</v>
      </c>
      <c r="S863" t="str">
        <f t="shared" si="201"/>
        <v>LATER</v>
      </c>
      <c r="T863" t="str">
        <f t="shared" si="202"/>
        <v>SainteLague</v>
      </c>
      <c r="U863">
        <f t="shared" si="204"/>
        <v>862</v>
      </c>
      <c r="V863">
        <f t="shared" si="203"/>
        <v>50482</v>
      </c>
      <c r="W863" s="8" t="str">
        <f>VLOOKUP(V863,'ideas-input'!$A:$B,2,FALSE)</f>
        <v>GS B2C - Disponibilização de dados de vendas Filatelia dos canais FIL e DTI</v>
      </c>
      <c r="X863" t="str">
        <f t="shared" si="192"/>
        <v>GS</v>
      </c>
      <c r="Y863" s="8" t="str">
        <f>VLOOKUP(V863,'ideas-input'!$A:$D,4,FALSE)</f>
        <v>Mail</v>
      </c>
      <c r="Z863" t="str">
        <f t="shared" si="193"/>
        <v>Commercial</v>
      </c>
      <c r="AA863" t="str">
        <f t="shared" si="194"/>
        <v>Backlog</v>
      </c>
      <c r="AB863">
        <f t="shared" si="195"/>
        <v>55</v>
      </c>
      <c r="AC863">
        <f t="shared" si="196"/>
        <v>0.03</v>
      </c>
      <c r="AD863">
        <f t="shared" si="197"/>
        <v>1</v>
      </c>
      <c r="AE863">
        <f t="shared" si="198"/>
        <v>1</v>
      </c>
      <c r="AF863">
        <f t="shared" si="199"/>
        <v>1</v>
      </c>
      <c r="AG863">
        <f t="shared" si="200"/>
        <v>100</v>
      </c>
    </row>
    <row r="864" spans="1:33" x14ac:dyDescent="0.2">
      <c r="A864" t="s">
        <v>127</v>
      </c>
      <c r="B864" t="s">
        <v>128</v>
      </c>
      <c r="C864">
        <v>863</v>
      </c>
      <c r="D864">
        <v>60729</v>
      </c>
      <c r="E864" t="s">
        <v>341</v>
      </c>
      <c r="F864" t="s">
        <v>65</v>
      </c>
      <c r="G864" t="s">
        <v>10</v>
      </c>
      <c r="H864" t="s">
        <v>5</v>
      </c>
      <c r="I864" t="s">
        <v>95</v>
      </c>
      <c r="J864">
        <v>85</v>
      </c>
      <c r="K864">
        <v>0.03</v>
      </c>
      <c r="L864">
        <v>1</v>
      </c>
      <c r="M864">
        <v>1</v>
      </c>
      <c r="N864">
        <v>1</v>
      </c>
      <c r="O864">
        <v>100</v>
      </c>
      <c r="P864" t="b">
        <f t="shared" si="191"/>
        <v>0</v>
      </c>
      <c r="S864" t="str">
        <f t="shared" si="201"/>
        <v>LATER</v>
      </c>
      <c r="T864" t="str">
        <f t="shared" si="202"/>
        <v>SainteLague</v>
      </c>
      <c r="U864">
        <f t="shared" si="204"/>
        <v>863</v>
      </c>
      <c r="V864">
        <f t="shared" si="203"/>
        <v>60729</v>
      </c>
      <c r="W864" s="8" t="str">
        <f>VLOOKUP(V864,'ideas-input'!$A:$B,2,FALSE)</f>
        <v>[web clientes] Modulo aduanas: Andorra</v>
      </c>
      <c r="X864" t="str">
        <f t="shared" si="192"/>
        <v>CMO</v>
      </c>
      <c r="Y864" s="8" t="str">
        <f>VLOOKUP(V864,'ideas-input'!$A:$D,4,FALSE)</f>
        <v>eCommerce</v>
      </c>
      <c r="Z864" t="str">
        <f t="shared" si="193"/>
        <v>Commercial</v>
      </c>
      <c r="AA864" t="str">
        <f t="shared" si="194"/>
        <v>In Definition</v>
      </c>
      <c r="AB864">
        <f t="shared" si="195"/>
        <v>85</v>
      </c>
      <c r="AC864">
        <f t="shared" si="196"/>
        <v>0.03</v>
      </c>
      <c r="AD864">
        <f t="shared" si="197"/>
        <v>1</v>
      </c>
      <c r="AE864">
        <f t="shared" si="198"/>
        <v>1</v>
      </c>
      <c r="AF864">
        <f t="shared" si="199"/>
        <v>1</v>
      </c>
      <c r="AG864">
        <f t="shared" si="200"/>
        <v>100</v>
      </c>
    </row>
    <row r="865" spans="1:33" x14ac:dyDescent="0.2">
      <c r="A865" t="s">
        <v>127</v>
      </c>
      <c r="B865" t="s">
        <v>128</v>
      </c>
      <c r="C865">
        <v>864</v>
      </c>
      <c r="D865">
        <v>48860</v>
      </c>
      <c r="E865" t="s">
        <v>311</v>
      </c>
      <c r="F865" t="s">
        <v>37</v>
      </c>
      <c r="G865" t="s">
        <v>379</v>
      </c>
      <c r="H865" t="s">
        <v>5</v>
      </c>
      <c r="I865" t="s">
        <v>91</v>
      </c>
      <c r="J865">
        <v>56</v>
      </c>
      <c r="K865">
        <v>0.03</v>
      </c>
      <c r="L865">
        <v>1</v>
      </c>
      <c r="M865">
        <v>1</v>
      </c>
      <c r="N865">
        <v>1</v>
      </c>
      <c r="O865">
        <v>100</v>
      </c>
      <c r="P865" t="b">
        <f t="shared" si="191"/>
        <v>0</v>
      </c>
      <c r="S865" t="str">
        <f t="shared" si="201"/>
        <v>LATER</v>
      </c>
      <c r="T865" t="str">
        <f t="shared" si="202"/>
        <v>SainteLague</v>
      </c>
      <c r="U865">
        <f t="shared" si="204"/>
        <v>864</v>
      </c>
      <c r="V865">
        <f t="shared" si="203"/>
        <v>48860</v>
      </c>
      <c r="W865" s="8" t="str">
        <f>VLOOKUP(V865,'ideas-input'!$A:$B,2,FALSE)</f>
        <v>B2C - Dados Vendas Dona Oferta - via Data Analytics</v>
      </c>
      <c r="X865" t="str">
        <f t="shared" si="192"/>
        <v>GS</v>
      </c>
      <c r="Y865" s="8" t="str">
        <f>VLOOKUP(V865,'ideas-input'!$A:$D,4,FALSE)</f>
        <v>Mail</v>
      </c>
      <c r="Z865" t="str">
        <f t="shared" si="193"/>
        <v>Commercial</v>
      </c>
      <c r="AA865" t="str">
        <f t="shared" si="194"/>
        <v>Backlog</v>
      </c>
      <c r="AB865">
        <f t="shared" si="195"/>
        <v>56</v>
      </c>
      <c r="AC865">
        <f t="shared" si="196"/>
        <v>0.03</v>
      </c>
      <c r="AD865">
        <f t="shared" si="197"/>
        <v>1</v>
      </c>
      <c r="AE865">
        <f t="shared" si="198"/>
        <v>1</v>
      </c>
      <c r="AF865">
        <f t="shared" si="199"/>
        <v>1</v>
      </c>
      <c r="AG865">
        <f t="shared" si="200"/>
        <v>100</v>
      </c>
    </row>
    <row r="866" spans="1:33" x14ac:dyDescent="0.2">
      <c r="A866" t="s">
        <v>127</v>
      </c>
      <c r="B866" t="s">
        <v>128</v>
      </c>
      <c r="C866">
        <v>865</v>
      </c>
      <c r="D866">
        <v>61203</v>
      </c>
      <c r="E866" t="s">
        <v>342</v>
      </c>
      <c r="F866" t="s">
        <v>65</v>
      </c>
      <c r="G866" t="s">
        <v>10</v>
      </c>
      <c r="H866" t="s">
        <v>5</v>
      </c>
      <c r="I866" t="s">
        <v>91</v>
      </c>
      <c r="J866">
        <v>86</v>
      </c>
      <c r="K866">
        <v>0.03</v>
      </c>
      <c r="L866">
        <v>1</v>
      </c>
      <c r="M866">
        <v>1</v>
      </c>
      <c r="N866">
        <v>1</v>
      </c>
      <c r="O866">
        <v>100</v>
      </c>
      <c r="P866" t="b">
        <f t="shared" si="191"/>
        <v>0</v>
      </c>
      <c r="S866" t="str">
        <f t="shared" si="201"/>
        <v>LATER</v>
      </c>
      <c r="T866" t="str">
        <f t="shared" si="202"/>
        <v>SainteLague</v>
      </c>
      <c r="U866">
        <f t="shared" si="204"/>
        <v>865</v>
      </c>
      <c r="V866">
        <f t="shared" si="203"/>
        <v>61203</v>
      </c>
      <c r="W866" s="8" t="str">
        <f>VLOOKUP(V866,'ideas-input'!$A:$B,2,FALSE)</f>
        <v>[PUDOS] - Pantallas Nexia consulta estados de proveedor</v>
      </c>
      <c r="X866" t="str">
        <f t="shared" si="192"/>
        <v>CMO</v>
      </c>
      <c r="Y866" s="8" t="str">
        <f>VLOOKUP(V866,'ideas-input'!$A:$D,4,FALSE)</f>
        <v>eCommerce</v>
      </c>
      <c r="Z866" t="str">
        <f t="shared" si="193"/>
        <v>Commercial</v>
      </c>
      <c r="AA866" t="str">
        <f t="shared" si="194"/>
        <v>Backlog</v>
      </c>
      <c r="AB866">
        <f t="shared" si="195"/>
        <v>86</v>
      </c>
      <c r="AC866">
        <f t="shared" si="196"/>
        <v>0.03</v>
      </c>
      <c r="AD866">
        <f t="shared" si="197"/>
        <v>1</v>
      </c>
      <c r="AE866">
        <f t="shared" si="198"/>
        <v>1</v>
      </c>
      <c r="AF866">
        <f t="shared" si="199"/>
        <v>1</v>
      </c>
      <c r="AG866">
        <f t="shared" si="200"/>
        <v>100</v>
      </c>
    </row>
    <row r="867" spans="1:33" x14ac:dyDescent="0.2">
      <c r="A867" t="s">
        <v>127</v>
      </c>
      <c r="B867" t="s">
        <v>128</v>
      </c>
      <c r="C867">
        <v>866</v>
      </c>
      <c r="D867">
        <v>160300</v>
      </c>
      <c r="E867" t="s">
        <v>1493</v>
      </c>
      <c r="F867" t="s">
        <v>37</v>
      </c>
      <c r="G867" t="s">
        <v>379</v>
      </c>
      <c r="H867" t="s">
        <v>5</v>
      </c>
      <c r="I867" t="s">
        <v>91</v>
      </c>
      <c r="J867">
        <v>60</v>
      </c>
      <c r="K867">
        <v>0.03</v>
      </c>
      <c r="L867">
        <v>1</v>
      </c>
      <c r="M867">
        <v>1</v>
      </c>
      <c r="N867">
        <v>1</v>
      </c>
      <c r="O867">
        <v>100</v>
      </c>
      <c r="P867" t="b">
        <f t="shared" si="191"/>
        <v>0</v>
      </c>
      <c r="S867" t="str">
        <f t="shared" si="201"/>
        <v>LATER</v>
      </c>
      <c r="T867" t="str">
        <f t="shared" si="202"/>
        <v>SainteLague</v>
      </c>
      <c r="U867">
        <f t="shared" si="204"/>
        <v>866</v>
      </c>
      <c r="V867">
        <f t="shared" si="203"/>
        <v>160300</v>
      </c>
      <c r="W867" s="8" t="str">
        <f>VLOOKUP(V867,'ideas-input'!$A:$B,2,FALSE)</f>
        <v>Incusão de informação da “Faturação prevista” e “Tráfego previsto nos Relatorios</v>
      </c>
      <c r="X867" t="str">
        <f t="shared" si="192"/>
        <v>GS</v>
      </c>
      <c r="Y867" s="8" t="str">
        <f>VLOOKUP(V867,'ideas-input'!$A:$D,4,FALSE)</f>
        <v>Mail</v>
      </c>
      <c r="Z867" t="str">
        <f t="shared" si="193"/>
        <v>Commercial</v>
      </c>
      <c r="AA867" t="str">
        <f t="shared" si="194"/>
        <v>Backlog</v>
      </c>
      <c r="AB867">
        <f t="shared" si="195"/>
        <v>60</v>
      </c>
      <c r="AC867">
        <f t="shared" si="196"/>
        <v>0.03</v>
      </c>
      <c r="AD867">
        <f t="shared" si="197"/>
        <v>1</v>
      </c>
      <c r="AE867">
        <f t="shared" si="198"/>
        <v>1</v>
      </c>
      <c r="AF867">
        <f t="shared" si="199"/>
        <v>1</v>
      </c>
      <c r="AG867">
        <f t="shared" si="200"/>
        <v>100</v>
      </c>
    </row>
    <row r="868" spans="1:33" x14ac:dyDescent="0.2">
      <c r="A868" t="s">
        <v>127</v>
      </c>
      <c r="B868" t="s">
        <v>128</v>
      </c>
      <c r="C868">
        <v>867</v>
      </c>
      <c r="D868">
        <v>61096</v>
      </c>
      <c r="E868" t="s">
        <v>1482</v>
      </c>
      <c r="F868" t="s">
        <v>65</v>
      </c>
      <c r="G868" t="s">
        <v>10</v>
      </c>
      <c r="H868" t="s">
        <v>5</v>
      </c>
      <c r="I868" t="s">
        <v>91</v>
      </c>
      <c r="J868">
        <v>87</v>
      </c>
      <c r="K868">
        <v>0.03</v>
      </c>
      <c r="L868">
        <v>1</v>
      </c>
      <c r="M868">
        <v>1</v>
      </c>
      <c r="N868">
        <v>1</v>
      </c>
      <c r="O868">
        <v>100</v>
      </c>
      <c r="P868" t="b">
        <f t="shared" si="191"/>
        <v>0</v>
      </c>
      <c r="S868" t="str">
        <f t="shared" si="201"/>
        <v>LATER</v>
      </c>
      <c r="T868" t="str">
        <f t="shared" si="202"/>
        <v>SainteLague</v>
      </c>
      <c r="U868">
        <f t="shared" si="204"/>
        <v>867</v>
      </c>
      <c r="V868">
        <f t="shared" si="203"/>
        <v>61096</v>
      </c>
      <c r="W868" s="8" t="str">
        <f>VLOOKUP(V868,'ideas-input'!$A:$B,2,FALSE)</f>
        <v>[Web de Clientes] - Anulación de recogidas</v>
      </c>
      <c r="X868" t="str">
        <f t="shared" si="192"/>
        <v>CMO</v>
      </c>
      <c r="Y868" s="8" t="str">
        <f>VLOOKUP(V868,'ideas-input'!$A:$D,4,FALSE)</f>
        <v>eCommerce</v>
      </c>
      <c r="Z868" t="str">
        <f t="shared" si="193"/>
        <v>Commercial</v>
      </c>
      <c r="AA868" t="str">
        <f t="shared" si="194"/>
        <v>Backlog</v>
      </c>
      <c r="AB868">
        <f t="shared" si="195"/>
        <v>87</v>
      </c>
      <c r="AC868">
        <f t="shared" si="196"/>
        <v>0.03</v>
      </c>
      <c r="AD868">
        <f t="shared" si="197"/>
        <v>1</v>
      </c>
      <c r="AE868">
        <f t="shared" si="198"/>
        <v>1</v>
      </c>
      <c r="AF868">
        <f t="shared" si="199"/>
        <v>1</v>
      </c>
      <c r="AG868">
        <f t="shared" si="200"/>
        <v>100</v>
      </c>
    </row>
    <row r="869" spans="1:33" x14ac:dyDescent="0.2">
      <c r="A869" t="s">
        <v>127</v>
      </c>
      <c r="B869" t="s">
        <v>128</v>
      </c>
      <c r="C869">
        <v>868</v>
      </c>
      <c r="D869">
        <v>155967</v>
      </c>
      <c r="E869" t="s">
        <v>1494</v>
      </c>
      <c r="F869" t="s">
        <v>37</v>
      </c>
      <c r="G869" t="s">
        <v>379</v>
      </c>
      <c r="H869" t="s">
        <v>5</v>
      </c>
      <c r="I869" t="s">
        <v>91</v>
      </c>
      <c r="J869">
        <v>61</v>
      </c>
      <c r="K869">
        <v>0.03</v>
      </c>
      <c r="L869">
        <v>1</v>
      </c>
      <c r="M869">
        <v>1</v>
      </c>
      <c r="N869">
        <v>1</v>
      </c>
      <c r="O869">
        <v>100</v>
      </c>
      <c r="P869" t="b">
        <f t="shared" si="191"/>
        <v>0</v>
      </c>
      <c r="S869" t="str">
        <f t="shared" si="201"/>
        <v>LATER</v>
      </c>
      <c r="T869" t="str">
        <f t="shared" si="202"/>
        <v>SainteLague</v>
      </c>
      <c r="U869">
        <f t="shared" si="204"/>
        <v>868</v>
      </c>
      <c r="V869">
        <f t="shared" si="203"/>
        <v>155967</v>
      </c>
      <c r="W869" s="8" t="str">
        <f>VLOOKUP(V869,'ideas-input'!$A:$B,2,FALSE)</f>
        <v>Relatorio SAP Hana - Dados de Clientes Objetos à Cobrança</v>
      </c>
      <c r="X869" t="str">
        <f t="shared" si="192"/>
        <v>GS</v>
      </c>
      <c r="Y869" s="8" t="str">
        <f>VLOOKUP(V869,'ideas-input'!$A:$D,4,FALSE)</f>
        <v>eCommerce</v>
      </c>
      <c r="Z869" t="str">
        <f t="shared" si="193"/>
        <v>Commercial</v>
      </c>
      <c r="AA869" t="str">
        <f t="shared" si="194"/>
        <v>Backlog</v>
      </c>
      <c r="AB869">
        <f t="shared" si="195"/>
        <v>61</v>
      </c>
      <c r="AC869">
        <f t="shared" si="196"/>
        <v>0.03</v>
      </c>
      <c r="AD869">
        <f t="shared" si="197"/>
        <v>1</v>
      </c>
      <c r="AE869">
        <f t="shared" si="198"/>
        <v>1</v>
      </c>
      <c r="AF869">
        <f t="shared" si="199"/>
        <v>1</v>
      </c>
      <c r="AG869">
        <f t="shared" si="200"/>
        <v>100</v>
      </c>
    </row>
    <row r="870" spans="1:33" x14ac:dyDescent="0.2">
      <c r="A870" t="s">
        <v>127</v>
      </c>
      <c r="B870" t="s">
        <v>128</v>
      </c>
      <c r="C870">
        <v>869</v>
      </c>
      <c r="D870">
        <v>59315</v>
      </c>
      <c r="E870" t="s">
        <v>1484</v>
      </c>
      <c r="F870" t="s">
        <v>65</v>
      </c>
      <c r="G870" t="s">
        <v>10</v>
      </c>
      <c r="H870" t="s">
        <v>5</v>
      </c>
      <c r="I870" t="s">
        <v>91</v>
      </c>
      <c r="J870">
        <v>88</v>
      </c>
      <c r="K870">
        <v>0.03</v>
      </c>
      <c r="L870">
        <v>1</v>
      </c>
      <c r="M870">
        <v>1</v>
      </c>
      <c r="N870">
        <v>1</v>
      </c>
      <c r="O870">
        <v>100</v>
      </c>
      <c r="P870" t="b">
        <f t="shared" si="191"/>
        <v>0</v>
      </c>
      <c r="S870" t="str">
        <f t="shared" si="201"/>
        <v>LATER</v>
      </c>
      <c r="T870" t="str">
        <f t="shared" si="202"/>
        <v>SainteLague</v>
      </c>
      <c r="U870">
        <f t="shared" si="204"/>
        <v>869</v>
      </c>
      <c r="V870">
        <f t="shared" si="203"/>
        <v>59315</v>
      </c>
      <c r="W870" s="8" t="str">
        <f>VLOOKUP(V870,'ideas-input'!$A:$B,2,FALSE)</f>
        <v>[CELERITAS] - Inhibir notificaciones a dtt en envíos Celeritas Cliente</v>
      </c>
      <c r="X870" t="str">
        <f t="shared" si="192"/>
        <v>CMO</v>
      </c>
      <c r="Y870" s="8" t="str">
        <f>VLOOKUP(V870,'ideas-input'!$A:$D,4,FALSE)</f>
        <v>eCommerce</v>
      </c>
      <c r="Z870" t="str">
        <f t="shared" si="193"/>
        <v>Commercial</v>
      </c>
      <c r="AA870" t="str">
        <f t="shared" si="194"/>
        <v>Backlog</v>
      </c>
      <c r="AB870">
        <f t="shared" si="195"/>
        <v>88</v>
      </c>
      <c r="AC870">
        <f t="shared" si="196"/>
        <v>0.03</v>
      </c>
      <c r="AD870">
        <f t="shared" si="197"/>
        <v>1</v>
      </c>
      <c r="AE870">
        <f t="shared" si="198"/>
        <v>1</v>
      </c>
      <c r="AF870">
        <f t="shared" si="199"/>
        <v>1</v>
      </c>
      <c r="AG870">
        <f t="shared" si="200"/>
        <v>100</v>
      </c>
    </row>
    <row r="871" spans="1:33" x14ac:dyDescent="0.2">
      <c r="A871" t="s">
        <v>127</v>
      </c>
      <c r="B871" t="s">
        <v>128</v>
      </c>
      <c r="C871">
        <v>870</v>
      </c>
      <c r="D871">
        <v>155973</v>
      </c>
      <c r="E871" t="s">
        <v>177</v>
      </c>
      <c r="F871" t="s">
        <v>37</v>
      </c>
      <c r="G871" t="s">
        <v>379</v>
      </c>
      <c r="H871" t="s">
        <v>5</v>
      </c>
      <c r="I871" t="s">
        <v>91</v>
      </c>
      <c r="J871">
        <v>62</v>
      </c>
      <c r="K871">
        <v>0.03</v>
      </c>
      <c r="L871">
        <v>1</v>
      </c>
      <c r="M871">
        <v>1</v>
      </c>
      <c r="N871">
        <v>1</v>
      </c>
      <c r="O871">
        <v>100</v>
      </c>
      <c r="P871" t="b">
        <f t="shared" si="191"/>
        <v>0</v>
      </c>
      <c r="S871" t="str">
        <f t="shared" si="201"/>
        <v>LATER</v>
      </c>
      <c r="T871" t="str">
        <f t="shared" si="202"/>
        <v>SainteLague</v>
      </c>
      <c r="U871">
        <f t="shared" si="204"/>
        <v>870</v>
      </c>
      <c r="V871">
        <f t="shared" si="203"/>
        <v>155973</v>
      </c>
      <c r="W871" s="8" t="str">
        <f>VLOOKUP(V871,'ideas-input'!$A:$B,2,FALSE)</f>
        <v>Relatorio SAP Hana - Clientes com Fatura Eletronica</v>
      </c>
      <c r="X871" t="str">
        <f t="shared" si="192"/>
        <v>GS</v>
      </c>
      <c r="Y871" s="8" t="str">
        <f>VLOOKUP(V871,'ideas-input'!$A:$D,4,FALSE)</f>
        <v>eCommerce</v>
      </c>
      <c r="Z871" t="str">
        <f t="shared" si="193"/>
        <v>Commercial</v>
      </c>
      <c r="AA871" t="str">
        <f t="shared" si="194"/>
        <v>Backlog</v>
      </c>
      <c r="AB871">
        <f t="shared" si="195"/>
        <v>62</v>
      </c>
      <c r="AC871">
        <f t="shared" si="196"/>
        <v>0.03</v>
      </c>
      <c r="AD871">
        <f t="shared" si="197"/>
        <v>1</v>
      </c>
      <c r="AE871">
        <f t="shared" si="198"/>
        <v>1</v>
      </c>
      <c r="AF871">
        <f t="shared" si="199"/>
        <v>1</v>
      </c>
      <c r="AG871">
        <f t="shared" si="200"/>
        <v>100</v>
      </c>
    </row>
    <row r="872" spans="1:33" x14ac:dyDescent="0.2">
      <c r="A872" t="s">
        <v>127</v>
      </c>
      <c r="B872" t="s">
        <v>128</v>
      </c>
      <c r="C872">
        <v>871</v>
      </c>
      <c r="D872">
        <v>61365</v>
      </c>
      <c r="E872" t="s">
        <v>1489</v>
      </c>
      <c r="F872" t="s">
        <v>65</v>
      </c>
      <c r="G872" t="s">
        <v>10</v>
      </c>
      <c r="H872" t="s">
        <v>5</v>
      </c>
      <c r="I872" t="s">
        <v>91</v>
      </c>
      <c r="J872">
        <v>89</v>
      </c>
      <c r="K872">
        <v>0.03</v>
      </c>
      <c r="L872">
        <v>1</v>
      </c>
      <c r="M872">
        <v>1</v>
      </c>
      <c r="N872">
        <v>1</v>
      </c>
      <c r="O872">
        <v>100</v>
      </c>
      <c r="P872" t="b">
        <f t="shared" si="191"/>
        <v>0</v>
      </c>
      <c r="S872" t="str">
        <f t="shared" si="201"/>
        <v>LATER</v>
      </c>
      <c r="T872" t="str">
        <f t="shared" si="202"/>
        <v>SainteLague</v>
      </c>
      <c r="U872">
        <f t="shared" si="204"/>
        <v>871</v>
      </c>
      <c r="V872">
        <f t="shared" si="203"/>
        <v>61365</v>
      </c>
      <c r="W872" s="8" t="str">
        <f>VLOOKUP(V872,'ideas-input'!$A:$B,2,FALSE)</f>
        <v>[PUDOS] - [Salesforce-Dynamic Case] - EL botón de reenvío de pin debe reconocer que el envío tiene estado 2310 no que está en estado 2310</v>
      </c>
      <c r="X872" t="str">
        <f t="shared" si="192"/>
        <v>CMO</v>
      </c>
      <c r="Y872" s="8" t="str">
        <f>VLOOKUP(V872,'ideas-input'!$A:$D,4,FALSE)</f>
        <v>eCommerce</v>
      </c>
      <c r="Z872" t="str">
        <f t="shared" si="193"/>
        <v>Commercial</v>
      </c>
      <c r="AA872" t="str">
        <f t="shared" si="194"/>
        <v>Backlog</v>
      </c>
      <c r="AB872">
        <f t="shared" si="195"/>
        <v>89</v>
      </c>
      <c r="AC872">
        <f t="shared" si="196"/>
        <v>0.03</v>
      </c>
      <c r="AD872">
        <f t="shared" si="197"/>
        <v>1</v>
      </c>
      <c r="AE872">
        <f t="shared" si="198"/>
        <v>1</v>
      </c>
      <c r="AF872">
        <f t="shared" si="199"/>
        <v>1</v>
      </c>
      <c r="AG872">
        <f t="shared" si="200"/>
        <v>100</v>
      </c>
    </row>
    <row r="873" spans="1:33" x14ac:dyDescent="0.2">
      <c r="A873" t="s">
        <v>127</v>
      </c>
      <c r="B873" t="s">
        <v>128</v>
      </c>
      <c r="C873">
        <v>872</v>
      </c>
      <c r="D873">
        <v>61744</v>
      </c>
      <c r="E873" t="s">
        <v>1487</v>
      </c>
      <c r="F873" t="s">
        <v>65</v>
      </c>
      <c r="G873" t="s">
        <v>10</v>
      </c>
      <c r="H873" t="s">
        <v>5</v>
      </c>
      <c r="I873" t="s">
        <v>95</v>
      </c>
      <c r="J873">
        <v>90</v>
      </c>
      <c r="K873">
        <v>0.03</v>
      </c>
      <c r="L873">
        <v>1</v>
      </c>
      <c r="M873">
        <v>1</v>
      </c>
      <c r="N873">
        <v>1</v>
      </c>
      <c r="O873">
        <v>100</v>
      </c>
      <c r="P873" t="b">
        <f t="shared" si="191"/>
        <v>0</v>
      </c>
      <c r="S873" t="str">
        <f t="shared" si="201"/>
        <v>LATER</v>
      </c>
      <c r="T873" t="str">
        <f t="shared" si="202"/>
        <v>SainteLague</v>
      </c>
      <c r="U873">
        <f t="shared" si="204"/>
        <v>872</v>
      </c>
      <c r="V873">
        <f t="shared" si="203"/>
        <v>61744</v>
      </c>
      <c r="W873" s="8" t="str">
        <f>VLOOKUP(V873,'ideas-input'!$A:$B,2,FALSE)</f>
        <v>[Nexus] - Información Pública de los Clientes - visión de información de clientes a destinatarios</v>
      </c>
      <c r="X873" t="str">
        <f t="shared" si="192"/>
        <v>CMO</v>
      </c>
      <c r="Y873" s="8" t="str">
        <f>VLOOKUP(V873,'ideas-input'!$A:$D,4,FALSE)</f>
        <v>eCommerce</v>
      </c>
      <c r="Z873" t="str">
        <f t="shared" si="193"/>
        <v>Commercial</v>
      </c>
      <c r="AA873" t="str">
        <f t="shared" si="194"/>
        <v>In Definition</v>
      </c>
      <c r="AB873">
        <f t="shared" si="195"/>
        <v>90</v>
      </c>
      <c r="AC873">
        <f t="shared" si="196"/>
        <v>0.03</v>
      </c>
      <c r="AD873">
        <f t="shared" si="197"/>
        <v>1</v>
      </c>
      <c r="AE873">
        <f t="shared" si="198"/>
        <v>1</v>
      </c>
      <c r="AF873">
        <f t="shared" si="199"/>
        <v>1</v>
      </c>
      <c r="AG873">
        <f t="shared" si="200"/>
        <v>100</v>
      </c>
    </row>
    <row r="874" spans="1:33" x14ac:dyDescent="0.2">
      <c r="A874" t="s">
        <v>127</v>
      </c>
      <c r="B874" t="s">
        <v>128</v>
      </c>
      <c r="C874">
        <v>873</v>
      </c>
      <c r="D874">
        <v>63750</v>
      </c>
      <c r="E874" t="s">
        <v>1491</v>
      </c>
      <c r="F874" t="s">
        <v>65</v>
      </c>
      <c r="G874" t="s">
        <v>10</v>
      </c>
      <c r="H874" t="s">
        <v>5</v>
      </c>
      <c r="I874" t="s">
        <v>91</v>
      </c>
      <c r="J874">
        <v>91</v>
      </c>
      <c r="K874">
        <v>0.03</v>
      </c>
      <c r="L874">
        <v>1</v>
      </c>
      <c r="M874">
        <v>1</v>
      </c>
      <c r="N874">
        <v>1</v>
      </c>
      <c r="O874">
        <v>100</v>
      </c>
      <c r="P874" t="b">
        <f t="shared" si="191"/>
        <v>0</v>
      </c>
      <c r="S874" t="str">
        <f t="shared" si="201"/>
        <v>LATER</v>
      </c>
      <c r="T874" t="str">
        <f t="shared" si="202"/>
        <v>SainteLague</v>
      </c>
      <c r="U874">
        <f t="shared" si="204"/>
        <v>873</v>
      </c>
      <c r="V874">
        <f t="shared" si="203"/>
        <v>63750</v>
      </c>
      <c r="W874" s="8" t="str">
        <f>VLOOKUP(V874,'ideas-input'!$A:$B,2,FALSE)</f>
        <v>[PUDOS] - Gestión de saturación en puntos Collectt</v>
      </c>
      <c r="X874" t="str">
        <f t="shared" si="192"/>
        <v>CMO</v>
      </c>
      <c r="Y874" s="8" t="str">
        <f>VLOOKUP(V874,'ideas-input'!$A:$D,4,FALSE)</f>
        <v>eCommerce</v>
      </c>
      <c r="Z874" t="str">
        <f t="shared" si="193"/>
        <v>Commercial</v>
      </c>
      <c r="AA874" t="str">
        <f t="shared" si="194"/>
        <v>Backlog</v>
      </c>
      <c r="AB874">
        <f t="shared" si="195"/>
        <v>91</v>
      </c>
      <c r="AC874">
        <f t="shared" si="196"/>
        <v>0.03</v>
      </c>
      <c r="AD874">
        <f t="shared" si="197"/>
        <v>1</v>
      </c>
      <c r="AE874">
        <f t="shared" si="198"/>
        <v>1</v>
      </c>
      <c r="AF874">
        <f t="shared" si="199"/>
        <v>1</v>
      </c>
      <c r="AG874">
        <f t="shared" si="200"/>
        <v>100</v>
      </c>
    </row>
    <row r="875" spans="1:33" x14ac:dyDescent="0.2">
      <c r="A875" t="s">
        <v>127</v>
      </c>
      <c r="B875" t="s">
        <v>128</v>
      </c>
      <c r="C875">
        <v>874</v>
      </c>
      <c r="D875">
        <v>58393</v>
      </c>
      <c r="E875" t="s">
        <v>1701</v>
      </c>
      <c r="F875" t="s">
        <v>65</v>
      </c>
      <c r="G875" t="s">
        <v>10</v>
      </c>
      <c r="H875" t="s">
        <v>5</v>
      </c>
      <c r="I875" t="s">
        <v>91</v>
      </c>
      <c r="J875">
        <v>92</v>
      </c>
      <c r="K875">
        <v>0.03</v>
      </c>
      <c r="L875">
        <v>1</v>
      </c>
      <c r="M875">
        <v>1</v>
      </c>
      <c r="N875">
        <v>1</v>
      </c>
      <c r="O875">
        <v>100</v>
      </c>
      <c r="P875" t="b">
        <f t="shared" si="191"/>
        <v>0</v>
      </c>
      <c r="S875" t="str">
        <f t="shared" si="201"/>
        <v>LATER</v>
      </c>
      <c r="T875" t="str">
        <f t="shared" si="202"/>
        <v>SainteLague</v>
      </c>
      <c r="U875">
        <f t="shared" si="204"/>
        <v>874</v>
      </c>
      <c r="V875">
        <f t="shared" si="203"/>
        <v>58393</v>
      </c>
      <c r="W875" s="8" t="str">
        <f>VLOOKUP(V875,'ideas-input'!$A:$B,2,FALSE)</f>
        <v>[Web  de Clientes] - Comportamiento recogidas en grabación masiva</v>
      </c>
      <c r="X875" t="str">
        <f t="shared" si="192"/>
        <v>CMO</v>
      </c>
      <c r="Y875" s="8" t="str">
        <f>VLOOKUP(V875,'ideas-input'!$A:$D,4,FALSE)</f>
        <v>eCommerce</v>
      </c>
      <c r="Z875" t="str">
        <f t="shared" si="193"/>
        <v>Commercial</v>
      </c>
      <c r="AA875" t="str">
        <f t="shared" si="194"/>
        <v>Backlog</v>
      </c>
      <c r="AB875">
        <f t="shared" si="195"/>
        <v>92</v>
      </c>
      <c r="AC875">
        <f t="shared" si="196"/>
        <v>0.03</v>
      </c>
      <c r="AD875">
        <f t="shared" si="197"/>
        <v>1</v>
      </c>
      <c r="AE875">
        <f t="shared" si="198"/>
        <v>1</v>
      </c>
      <c r="AF875">
        <f t="shared" si="199"/>
        <v>1</v>
      </c>
      <c r="AG875">
        <f t="shared" si="200"/>
        <v>100</v>
      </c>
    </row>
    <row r="876" spans="1:33" x14ac:dyDescent="0.2">
      <c r="A876" t="s">
        <v>127</v>
      </c>
      <c r="B876" t="s">
        <v>128</v>
      </c>
      <c r="C876">
        <v>875</v>
      </c>
      <c r="D876">
        <v>64102</v>
      </c>
      <c r="E876" t="s">
        <v>343</v>
      </c>
      <c r="F876" t="s">
        <v>65</v>
      </c>
      <c r="G876" t="s">
        <v>10</v>
      </c>
      <c r="H876" t="s">
        <v>5</v>
      </c>
      <c r="I876" t="s">
        <v>91</v>
      </c>
      <c r="J876">
        <v>93</v>
      </c>
      <c r="K876">
        <v>0.03</v>
      </c>
      <c r="L876">
        <v>1</v>
      </c>
      <c r="M876">
        <v>1</v>
      </c>
      <c r="N876">
        <v>1</v>
      </c>
      <c r="O876">
        <v>100</v>
      </c>
      <c r="P876" t="b">
        <f t="shared" si="191"/>
        <v>0</v>
      </c>
      <c r="S876" t="str">
        <f t="shared" si="201"/>
        <v>LATER</v>
      </c>
      <c r="T876" t="str">
        <f t="shared" si="202"/>
        <v>SainteLague</v>
      </c>
      <c r="U876">
        <f t="shared" si="204"/>
        <v>875</v>
      </c>
      <c r="V876">
        <f t="shared" si="203"/>
        <v>64102</v>
      </c>
      <c r="W876" s="8" t="str">
        <f>VLOOKUP(V876,'ideas-input'!$A:$B,2,FALSE)</f>
        <v>[Web de Cambios] - Mantener el idioma configurado por defecto en web de cambio</v>
      </c>
      <c r="X876" t="str">
        <f t="shared" si="192"/>
        <v>CMO</v>
      </c>
      <c r="Y876" s="8" t="str">
        <f>VLOOKUP(V876,'ideas-input'!$A:$D,4,FALSE)</f>
        <v>eCommerce</v>
      </c>
      <c r="Z876" t="str">
        <f t="shared" si="193"/>
        <v>Commercial</v>
      </c>
      <c r="AA876" t="str">
        <f t="shared" si="194"/>
        <v>Backlog</v>
      </c>
      <c r="AB876">
        <f t="shared" si="195"/>
        <v>93</v>
      </c>
      <c r="AC876">
        <f t="shared" si="196"/>
        <v>0.03</v>
      </c>
      <c r="AD876">
        <f t="shared" si="197"/>
        <v>1</v>
      </c>
      <c r="AE876">
        <f t="shared" si="198"/>
        <v>1</v>
      </c>
      <c r="AF876">
        <f t="shared" si="199"/>
        <v>1</v>
      </c>
      <c r="AG876">
        <f t="shared" si="200"/>
        <v>100</v>
      </c>
    </row>
    <row r="877" spans="1:33" x14ac:dyDescent="0.2">
      <c r="A877" t="s">
        <v>127</v>
      </c>
      <c r="B877" t="s">
        <v>128</v>
      </c>
      <c r="C877">
        <v>876</v>
      </c>
      <c r="D877">
        <v>64248</v>
      </c>
      <c r="E877" t="s">
        <v>1702</v>
      </c>
      <c r="F877" t="s">
        <v>65</v>
      </c>
      <c r="G877" t="s">
        <v>10</v>
      </c>
      <c r="H877" t="s">
        <v>5</v>
      </c>
      <c r="I877" t="s">
        <v>91</v>
      </c>
      <c r="J877">
        <v>94</v>
      </c>
      <c r="K877">
        <v>0.03</v>
      </c>
      <c r="L877">
        <v>1</v>
      </c>
      <c r="M877">
        <v>1</v>
      </c>
      <c r="N877">
        <v>1</v>
      </c>
      <c r="O877">
        <v>100</v>
      </c>
      <c r="P877" t="b">
        <f t="shared" si="191"/>
        <v>0</v>
      </c>
      <c r="S877" t="str">
        <f t="shared" si="201"/>
        <v>LATER</v>
      </c>
      <c r="T877" t="str">
        <f t="shared" si="202"/>
        <v>SainteLague</v>
      </c>
      <c r="U877">
        <f t="shared" si="204"/>
        <v>876</v>
      </c>
      <c r="V877">
        <f t="shared" si="203"/>
        <v>64248</v>
      </c>
      <c r="W877" s="8" t="str">
        <f>VLOOKUP(V877,'ideas-input'!$A:$B,2,FALSE)</f>
        <v>[Web pública 2.0] - Seguimiento de envíos - Acciones según número de intentos de entrega  - Dynamic Cases</v>
      </c>
      <c r="X877" t="str">
        <f t="shared" si="192"/>
        <v>CMO</v>
      </c>
      <c r="Y877" s="8" t="str">
        <f>VLOOKUP(V877,'ideas-input'!$A:$D,4,FALSE)</f>
        <v>eCommerce</v>
      </c>
      <c r="Z877" t="str">
        <f t="shared" si="193"/>
        <v>Commercial</v>
      </c>
      <c r="AA877" t="str">
        <f t="shared" si="194"/>
        <v>Backlog</v>
      </c>
      <c r="AB877">
        <f t="shared" si="195"/>
        <v>94</v>
      </c>
      <c r="AC877">
        <f t="shared" si="196"/>
        <v>0.03</v>
      </c>
      <c r="AD877">
        <f t="shared" si="197"/>
        <v>1</v>
      </c>
      <c r="AE877">
        <f t="shared" si="198"/>
        <v>1</v>
      </c>
      <c r="AF877">
        <f t="shared" si="199"/>
        <v>1</v>
      </c>
      <c r="AG877">
        <f t="shared" si="200"/>
        <v>100</v>
      </c>
    </row>
    <row r="878" spans="1:33" x14ac:dyDescent="0.2">
      <c r="A878" t="s">
        <v>127</v>
      </c>
      <c r="B878" t="s">
        <v>128</v>
      </c>
      <c r="C878">
        <v>877</v>
      </c>
      <c r="D878">
        <v>63578</v>
      </c>
      <c r="E878" t="s">
        <v>1495</v>
      </c>
      <c r="F878" t="s">
        <v>65</v>
      </c>
      <c r="G878" t="s">
        <v>10</v>
      </c>
      <c r="H878" t="s">
        <v>5</v>
      </c>
      <c r="I878" t="s">
        <v>97</v>
      </c>
      <c r="J878">
        <v>95</v>
      </c>
      <c r="K878">
        <v>0.03</v>
      </c>
      <c r="L878">
        <v>1</v>
      </c>
      <c r="M878">
        <v>1</v>
      </c>
      <c r="N878">
        <v>1</v>
      </c>
      <c r="O878">
        <v>100</v>
      </c>
      <c r="P878" t="b">
        <f t="shared" si="191"/>
        <v>0</v>
      </c>
      <c r="S878" t="str">
        <f t="shared" si="201"/>
        <v>LATER</v>
      </c>
      <c r="T878" t="str">
        <f t="shared" si="202"/>
        <v>SainteLague</v>
      </c>
      <c r="U878">
        <f t="shared" si="204"/>
        <v>877</v>
      </c>
      <c r="V878">
        <f t="shared" si="203"/>
        <v>63578</v>
      </c>
      <c r="W878" s="8" t="str">
        <f>VLOOKUP(V878,'ideas-input'!$A:$B,2,FALSE)</f>
        <v>[Salesforce] - Nueva landing captación SEM conectada con el CRM y Pardot</v>
      </c>
      <c r="X878" t="str">
        <f t="shared" si="192"/>
        <v>CMO</v>
      </c>
      <c r="Y878" s="8" t="str">
        <f>VLOOKUP(V878,'ideas-input'!$A:$D,4,FALSE)</f>
        <v>eCommerce</v>
      </c>
      <c r="Z878" t="str">
        <f t="shared" si="193"/>
        <v>Commercial</v>
      </c>
      <c r="AA878" t="str">
        <f t="shared" si="194"/>
        <v>Ready for Solution</v>
      </c>
      <c r="AB878">
        <f t="shared" si="195"/>
        <v>95</v>
      </c>
      <c r="AC878">
        <f t="shared" si="196"/>
        <v>0.03</v>
      </c>
      <c r="AD878">
        <f t="shared" si="197"/>
        <v>1</v>
      </c>
      <c r="AE878">
        <f t="shared" si="198"/>
        <v>1</v>
      </c>
      <c r="AF878">
        <f t="shared" si="199"/>
        <v>1</v>
      </c>
      <c r="AG878">
        <f t="shared" si="200"/>
        <v>100</v>
      </c>
    </row>
    <row r="879" spans="1:33" x14ac:dyDescent="0.2">
      <c r="A879" t="s">
        <v>127</v>
      </c>
      <c r="B879" t="s">
        <v>128</v>
      </c>
      <c r="C879">
        <v>878</v>
      </c>
      <c r="D879">
        <v>137068</v>
      </c>
      <c r="E879" t="s">
        <v>1531</v>
      </c>
      <c r="F879" t="s">
        <v>65</v>
      </c>
      <c r="G879" t="s">
        <v>10</v>
      </c>
      <c r="H879" t="s">
        <v>5</v>
      </c>
      <c r="I879" t="s">
        <v>95</v>
      </c>
      <c r="J879">
        <v>96</v>
      </c>
      <c r="K879">
        <v>6</v>
      </c>
      <c r="L879">
        <v>3</v>
      </c>
      <c r="M879">
        <v>2</v>
      </c>
      <c r="N879">
        <v>1</v>
      </c>
      <c r="O879">
        <v>1</v>
      </c>
      <c r="P879" t="b">
        <f t="shared" si="191"/>
        <v>0</v>
      </c>
      <c r="S879" t="str">
        <f t="shared" si="201"/>
        <v>LATER</v>
      </c>
      <c r="T879" t="str">
        <f t="shared" si="202"/>
        <v>SainteLague</v>
      </c>
      <c r="U879">
        <f t="shared" si="204"/>
        <v>878</v>
      </c>
      <c r="V879">
        <f t="shared" si="203"/>
        <v>137068</v>
      </c>
      <c r="W879" s="8" t="str">
        <f>VLOOKUP(V879,'ideas-input'!$A:$B,2,FALSE)</f>
        <v>End point to get Georeferences from listed addresses</v>
      </c>
      <c r="X879" t="str">
        <f t="shared" si="192"/>
        <v>CMO</v>
      </c>
      <c r="Y879" s="8" t="str">
        <f>VLOOKUP(V879,'ideas-input'!$A:$D,4,FALSE)</f>
        <v>eCommerce</v>
      </c>
      <c r="Z879" t="str">
        <f t="shared" si="193"/>
        <v>Commercial</v>
      </c>
      <c r="AA879" t="str">
        <f t="shared" si="194"/>
        <v>In Definition</v>
      </c>
      <c r="AB879">
        <f t="shared" si="195"/>
        <v>96</v>
      </c>
      <c r="AC879">
        <f t="shared" si="196"/>
        <v>6</v>
      </c>
      <c r="AD879">
        <f t="shared" si="197"/>
        <v>3</v>
      </c>
      <c r="AE879">
        <f t="shared" si="198"/>
        <v>2</v>
      </c>
      <c r="AF879">
        <f t="shared" si="199"/>
        <v>1</v>
      </c>
      <c r="AG879">
        <f t="shared" si="200"/>
        <v>1</v>
      </c>
    </row>
    <row r="880" spans="1:33" x14ac:dyDescent="0.2">
      <c r="A880" t="s">
        <v>127</v>
      </c>
      <c r="B880" t="s">
        <v>128</v>
      </c>
      <c r="C880">
        <v>879</v>
      </c>
      <c r="D880">
        <v>136610</v>
      </c>
      <c r="E880" t="s">
        <v>344</v>
      </c>
      <c r="F880" t="s">
        <v>65</v>
      </c>
      <c r="G880" t="s">
        <v>10</v>
      </c>
      <c r="H880" t="s">
        <v>5</v>
      </c>
      <c r="I880" t="s">
        <v>95</v>
      </c>
      <c r="J880">
        <v>97</v>
      </c>
      <c r="K880">
        <v>6</v>
      </c>
      <c r="L880">
        <v>3</v>
      </c>
      <c r="M880">
        <v>1</v>
      </c>
      <c r="N880">
        <v>2</v>
      </c>
      <c r="O880">
        <v>1</v>
      </c>
      <c r="P880" t="b">
        <f t="shared" si="191"/>
        <v>0</v>
      </c>
      <c r="S880" t="str">
        <f t="shared" si="201"/>
        <v>LATER</v>
      </c>
      <c r="T880" t="str">
        <f t="shared" si="202"/>
        <v>SainteLague</v>
      </c>
      <c r="U880">
        <f t="shared" si="204"/>
        <v>879</v>
      </c>
      <c r="V880">
        <f t="shared" si="203"/>
        <v>136610</v>
      </c>
      <c r="W880" s="8" t="str">
        <f>VLOOKUP(V880,'ideas-input'!$A:$B,2,FALSE)</f>
        <v>[Notificaciones] - Customer Communications Management basado en la funcionalidad actual</v>
      </c>
      <c r="X880" t="str">
        <f t="shared" si="192"/>
        <v>CMO</v>
      </c>
      <c r="Y880" s="8" t="str">
        <f>VLOOKUP(V880,'ideas-input'!$A:$D,4,FALSE)</f>
        <v>eCommerce</v>
      </c>
      <c r="Z880" t="str">
        <f t="shared" si="193"/>
        <v>Commercial</v>
      </c>
      <c r="AA880" t="str">
        <f t="shared" si="194"/>
        <v>In Definition</v>
      </c>
      <c r="AB880">
        <f t="shared" si="195"/>
        <v>97</v>
      </c>
      <c r="AC880">
        <f t="shared" si="196"/>
        <v>6</v>
      </c>
      <c r="AD880">
        <f t="shared" si="197"/>
        <v>3</v>
      </c>
      <c r="AE880">
        <f t="shared" si="198"/>
        <v>1</v>
      </c>
      <c r="AF880">
        <f t="shared" si="199"/>
        <v>2</v>
      </c>
      <c r="AG880">
        <f t="shared" si="200"/>
        <v>1</v>
      </c>
    </row>
    <row r="881" spans="1:33" x14ac:dyDescent="0.2">
      <c r="A881" t="s">
        <v>127</v>
      </c>
      <c r="B881" t="s">
        <v>128</v>
      </c>
      <c r="C881">
        <v>880</v>
      </c>
      <c r="D881">
        <v>136346</v>
      </c>
      <c r="E881" t="s">
        <v>1497</v>
      </c>
      <c r="F881" t="s">
        <v>65</v>
      </c>
      <c r="G881" t="s">
        <v>10</v>
      </c>
      <c r="H881" t="s">
        <v>5</v>
      </c>
      <c r="I881" t="s">
        <v>91</v>
      </c>
      <c r="J881">
        <v>98</v>
      </c>
      <c r="K881">
        <v>0.03</v>
      </c>
      <c r="L881">
        <v>1</v>
      </c>
      <c r="M881">
        <v>1</v>
      </c>
      <c r="N881">
        <v>1</v>
      </c>
      <c r="O881">
        <v>100</v>
      </c>
      <c r="P881" t="b">
        <f t="shared" si="191"/>
        <v>0</v>
      </c>
      <c r="S881" t="str">
        <f t="shared" si="201"/>
        <v>LATER</v>
      </c>
      <c r="T881" t="str">
        <f t="shared" si="202"/>
        <v>SainteLague</v>
      </c>
      <c r="U881">
        <f t="shared" si="204"/>
        <v>880</v>
      </c>
      <c r="V881">
        <f t="shared" si="203"/>
        <v>136346</v>
      </c>
      <c r="W881" s="8" t="str">
        <f>VLOOKUP(V881,'ideas-input'!$A:$B,2,FALSE)</f>
        <v>Enlace para usuario en selección PUDO para RDP a través de Web Cliente</v>
      </c>
      <c r="X881" t="str">
        <f t="shared" si="192"/>
        <v>CMO</v>
      </c>
      <c r="Y881" s="8" t="str">
        <f>VLOOKUP(V881,'ideas-input'!$A:$D,4,FALSE)</f>
        <v>eCommerce</v>
      </c>
      <c r="Z881" t="str">
        <f t="shared" si="193"/>
        <v>Commercial</v>
      </c>
      <c r="AA881" t="str">
        <f t="shared" si="194"/>
        <v>Backlog</v>
      </c>
      <c r="AB881">
        <f t="shared" si="195"/>
        <v>98</v>
      </c>
      <c r="AC881">
        <f t="shared" si="196"/>
        <v>0.03</v>
      </c>
      <c r="AD881">
        <f t="shared" si="197"/>
        <v>1</v>
      </c>
      <c r="AE881">
        <f t="shared" si="198"/>
        <v>1</v>
      </c>
      <c r="AF881">
        <f t="shared" si="199"/>
        <v>1</v>
      </c>
      <c r="AG881">
        <f t="shared" si="200"/>
        <v>100</v>
      </c>
    </row>
    <row r="882" spans="1:33" x14ac:dyDescent="0.2">
      <c r="A882" t="s">
        <v>127</v>
      </c>
      <c r="B882" t="s">
        <v>128</v>
      </c>
      <c r="C882">
        <v>881</v>
      </c>
      <c r="D882">
        <v>135524</v>
      </c>
      <c r="E882" t="s">
        <v>1703</v>
      </c>
      <c r="F882" t="s">
        <v>65</v>
      </c>
      <c r="G882" t="s">
        <v>10</v>
      </c>
      <c r="H882" t="s">
        <v>5</v>
      </c>
      <c r="I882" t="s">
        <v>91</v>
      </c>
      <c r="J882">
        <v>99</v>
      </c>
      <c r="K882">
        <v>0.03</v>
      </c>
      <c r="L882">
        <v>1</v>
      </c>
      <c r="M882">
        <v>1</v>
      </c>
      <c r="N882">
        <v>1</v>
      </c>
      <c r="O882">
        <v>100</v>
      </c>
      <c r="P882" t="b">
        <f t="shared" si="191"/>
        <v>0</v>
      </c>
      <c r="S882" t="str">
        <f t="shared" si="201"/>
        <v>LATER</v>
      </c>
      <c r="T882" t="str">
        <f t="shared" si="202"/>
        <v>SainteLague</v>
      </c>
      <c r="U882">
        <f t="shared" si="204"/>
        <v>881</v>
      </c>
      <c r="V882">
        <f t="shared" si="203"/>
        <v>135524</v>
      </c>
      <c r="W882" s="8" t="str">
        <f>VLOOKUP(V882,'ideas-input'!$A:$B,2,FALSE)</f>
        <v>[web clientes]  Incluir formato Excel y CSV en suscripción de informes</v>
      </c>
      <c r="X882" t="str">
        <f t="shared" si="192"/>
        <v>CMO</v>
      </c>
      <c r="Y882" s="8" t="str">
        <f>VLOOKUP(V882,'ideas-input'!$A:$D,4,FALSE)</f>
        <v>eCommerce</v>
      </c>
      <c r="Z882" t="str">
        <f t="shared" si="193"/>
        <v>Commercial</v>
      </c>
      <c r="AA882" t="str">
        <f t="shared" si="194"/>
        <v>Backlog</v>
      </c>
      <c r="AB882">
        <f t="shared" si="195"/>
        <v>99</v>
      </c>
      <c r="AC882">
        <f t="shared" si="196"/>
        <v>0.03</v>
      </c>
      <c r="AD882">
        <f t="shared" si="197"/>
        <v>1</v>
      </c>
      <c r="AE882">
        <f t="shared" si="198"/>
        <v>1</v>
      </c>
      <c r="AF882">
        <f t="shared" si="199"/>
        <v>1</v>
      </c>
      <c r="AG882">
        <f t="shared" si="200"/>
        <v>100</v>
      </c>
    </row>
    <row r="883" spans="1:33" x14ac:dyDescent="0.2">
      <c r="A883" t="s">
        <v>127</v>
      </c>
      <c r="B883" t="s">
        <v>128</v>
      </c>
      <c r="C883">
        <v>882</v>
      </c>
      <c r="D883">
        <v>135345</v>
      </c>
      <c r="E883" t="s">
        <v>1499</v>
      </c>
      <c r="F883" t="s">
        <v>65</v>
      </c>
      <c r="G883" t="s">
        <v>10</v>
      </c>
      <c r="H883" t="s">
        <v>5</v>
      </c>
      <c r="I883" t="s">
        <v>91</v>
      </c>
      <c r="J883">
        <v>100</v>
      </c>
      <c r="K883">
        <v>0.03</v>
      </c>
      <c r="L883">
        <v>1</v>
      </c>
      <c r="M883">
        <v>1</v>
      </c>
      <c r="N883">
        <v>1</v>
      </c>
      <c r="O883">
        <v>100</v>
      </c>
      <c r="P883" t="b">
        <f t="shared" si="191"/>
        <v>0</v>
      </c>
      <c r="S883" t="str">
        <f t="shared" si="201"/>
        <v>LATER</v>
      </c>
      <c r="T883" t="str">
        <f t="shared" si="202"/>
        <v>SainteLague</v>
      </c>
      <c r="U883">
        <f t="shared" si="204"/>
        <v>882</v>
      </c>
      <c r="V883">
        <f t="shared" si="203"/>
        <v>135345</v>
      </c>
      <c r="W883" s="8" t="str">
        <f>VLOOKUP(V883,'ideas-input'!$A:$B,2,FALSE)</f>
        <v>[Web de clientes] - Seguimiento - Geoposición V2 - Comparar destino con geoposición de entrega</v>
      </c>
      <c r="X883" t="str">
        <f t="shared" si="192"/>
        <v>CMO</v>
      </c>
      <c r="Y883" s="8" t="str">
        <f>VLOOKUP(V883,'ideas-input'!$A:$D,4,FALSE)</f>
        <v>eCommerce</v>
      </c>
      <c r="Z883" t="str">
        <f t="shared" si="193"/>
        <v>Commercial</v>
      </c>
      <c r="AA883" t="str">
        <f t="shared" si="194"/>
        <v>Backlog</v>
      </c>
      <c r="AB883">
        <f t="shared" si="195"/>
        <v>100</v>
      </c>
      <c r="AC883">
        <f t="shared" si="196"/>
        <v>0.03</v>
      </c>
      <c r="AD883">
        <f t="shared" si="197"/>
        <v>1</v>
      </c>
      <c r="AE883">
        <f t="shared" si="198"/>
        <v>1</v>
      </c>
      <c r="AF883">
        <f t="shared" si="199"/>
        <v>1</v>
      </c>
      <c r="AG883">
        <f t="shared" si="200"/>
        <v>100</v>
      </c>
    </row>
    <row r="884" spans="1:33" x14ac:dyDescent="0.2">
      <c r="A884" t="s">
        <v>127</v>
      </c>
      <c r="B884" t="s">
        <v>128</v>
      </c>
      <c r="C884">
        <v>883</v>
      </c>
      <c r="D884">
        <v>135097</v>
      </c>
      <c r="E884" t="s">
        <v>1501</v>
      </c>
      <c r="F884" t="s">
        <v>65</v>
      </c>
      <c r="G884" t="s">
        <v>10</v>
      </c>
      <c r="H884" t="s">
        <v>5</v>
      </c>
      <c r="I884" t="s">
        <v>91</v>
      </c>
      <c r="J884">
        <v>101</v>
      </c>
      <c r="K884">
        <v>0.03</v>
      </c>
      <c r="L884">
        <v>1</v>
      </c>
      <c r="M884">
        <v>1</v>
      </c>
      <c r="N884">
        <v>1</v>
      </c>
      <c r="O884">
        <v>100</v>
      </c>
      <c r="P884" t="b">
        <f t="shared" si="191"/>
        <v>0</v>
      </c>
      <c r="S884" t="str">
        <f t="shared" si="201"/>
        <v>LATER</v>
      </c>
      <c r="T884" t="str">
        <f t="shared" si="202"/>
        <v>SainteLague</v>
      </c>
      <c r="U884">
        <f t="shared" si="204"/>
        <v>883</v>
      </c>
      <c r="V884">
        <f t="shared" si="203"/>
        <v>135097</v>
      </c>
      <c r="W884" s="8" t="str">
        <f>VLOOKUP(V884,'ideas-input'!$A:$B,2,FALSE)</f>
        <v>[Internacional]-Notificación por Incidencia "Falta de documentación"</v>
      </c>
      <c r="X884" t="str">
        <f t="shared" si="192"/>
        <v>CMO</v>
      </c>
      <c r="Y884" s="8" t="str">
        <f>VLOOKUP(V884,'ideas-input'!$A:$D,4,FALSE)</f>
        <v>eCommerce</v>
      </c>
      <c r="Z884" t="str">
        <f t="shared" si="193"/>
        <v>Commercial</v>
      </c>
      <c r="AA884" t="str">
        <f t="shared" si="194"/>
        <v>Backlog</v>
      </c>
      <c r="AB884">
        <f t="shared" si="195"/>
        <v>101</v>
      </c>
      <c r="AC884">
        <f t="shared" si="196"/>
        <v>0.03</v>
      </c>
      <c r="AD884">
        <f t="shared" si="197"/>
        <v>1</v>
      </c>
      <c r="AE884">
        <f t="shared" si="198"/>
        <v>1</v>
      </c>
      <c r="AF884">
        <f t="shared" si="199"/>
        <v>1</v>
      </c>
      <c r="AG884">
        <f t="shared" si="200"/>
        <v>100</v>
      </c>
    </row>
    <row r="885" spans="1:33" x14ac:dyDescent="0.2">
      <c r="A885" t="s">
        <v>127</v>
      </c>
      <c r="B885" t="s">
        <v>128</v>
      </c>
      <c r="C885">
        <v>884</v>
      </c>
      <c r="D885">
        <v>134746</v>
      </c>
      <c r="E885" t="s">
        <v>345</v>
      </c>
      <c r="F885" t="s">
        <v>65</v>
      </c>
      <c r="G885" t="s">
        <v>10</v>
      </c>
      <c r="H885" t="s">
        <v>5</v>
      </c>
      <c r="I885" t="s">
        <v>91</v>
      </c>
      <c r="J885">
        <v>102</v>
      </c>
      <c r="K885">
        <v>0.03</v>
      </c>
      <c r="L885">
        <v>1</v>
      </c>
      <c r="M885">
        <v>1</v>
      </c>
      <c r="N885">
        <v>1</v>
      </c>
      <c r="O885">
        <v>100</v>
      </c>
      <c r="P885" t="b">
        <f t="shared" si="191"/>
        <v>0</v>
      </c>
      <c r="S885" t="str">
        <f t="shared" si="201"/>
        <v>LATER</v>
      </c>
      <c r="T885" t="str">
        <f t="shared" si="202"/>
        <v>SainteLague</v>
      </c>
      <c r="U885">
        <f t="shared" si="204"/>
        <v>884</v>
      </c>
      <c r="V885">
        <f t="shared" si="203"/>
        <v>134746</v>
      </c>
      <c r="W885" s="8" t="str">
        <f>VLOOKUP(V885,'ideas-input'!$A:$B,2,FALSE)</f>
        <v>[PUDOS] - Destacar Locky en localizador de pudos</v>
      </c>
      <c r="X885" t="str">
        <f t="shared" si="192"/>
        <v>CMO</v>
      </c>
      <c r="Y885" s="8" t="str">
        <f>VLOOKUP(V885,'ideas-input'!$A:$D,4,FALSE)</f>
        <v>eCommerce</v>
      </c>
      <c r="Z885" t="str">
        <f t="shared" si="193"/>
        <v>Commercial</v>
      </c>
      <c r="AA885" t="str">
        <f t="shared" si="194"/>
        <v>Backlog</v>
      </c>
      <c r="AB885">
        <f t="shared" si="195"/>
        <v>102</v>
      </c>
      <c r="AC885">
        <f t="shared" si="196"/>
        <v>0.03</v>
      </c>
      <c r="AD885">
        <f t="shared" si="197"/>
        <v>1</v>
      </c>
      <c r="AE885">
        <f t="shared" si="198"/>
        <v>1</v>
      </c>
      <c r="AF885">
        <f t="shared" si="199"/>
        <v>1</v>
      </c>
      <c r="AG885">
        <f t="shared" si="200"/>
        <v>100</v>
      </c>
    </row>
    <row r="886" spans="1:33" x14ac:dyDescent="0.2">
      <c r="A886" t="s">
        <v>127</v>
      </c>
      <c r="B886" t="s">
        <v>128</v>
      </c>
      <c r="C886">
        <v>885</v>
      </c>
      <c r="D886">
        <v>134614</v>
      </c>
      <c r="E886" t="s">
        <v>346</v>
      </c>
      <c r="F886" t="s">
        <v>65</v>
      </c>
      <c r="G886" t="s">
        <v>10</v>
      </c>
      <c r="H886" t="s">
        <v>5</v>
      </c>
      <c r="I886" t="s">
        <v>91</v>
      </c>
      <c r="J886">
        <v>103</v>
      </c>
      <c r="K886">
        <v>0.03</v>
      </c>
      <c r="L886">
        <v>1</v>
      </c>
      <c r="M886">
        <v>1</v>
      </c>
      <c r="N886">
        <v>1</v>
      </c>
      <c r="O886">
        <v>100</v>
      </c>
      <c r="P886" t="b">
        <f t="shared" si="191"/>
        <v>0</v>
      </c>
      <c r="S886" t="str">
        <f t="shared" si="201"/>
        <v>LATER</v>
      </c>
      <c r="T886" t="str">
        <f t="shared" si="202"/>
        <v>SainteLague</v>
      </c>
      <c r="U886">
        <f t="shared" si="204"/>
        <v>885</v>
      </c>
      <c r="V886">
        <f t="shared" si="203"/>
        <v>134614</v>
      </c>
      <c r="W886" s="8" t="str">
        <f>VLOOKUP(V886,'ideas-input'!$A:$B,2,FALSE)</f>
        <v>CONTRATO ON LINE</v>
      </c>
      <c r="X886" t="str">
        <f t="shared" si="192"/>
        <v>CMO</v>
      </c>
      <c r="Y886" s="8" t="str">
        <f>VLOOKUP(V886,'ideas-input'!$A:$D,4,FALSE)</f>
        <v>eCommerce</v>
      </c>
      <c r="Z886" t="str">
        <f t="shared" si="193"/>
        <v>Commercial</v>
      </c>
      <c r="AA886" t="str">
        <f t="shared" si="194"/>
        <v>Backlog</v>
      </c>
      <c r="AB886">
        <f t="shared" si="195"/>
        <v>103</v>
      </c>
      <c r="AC886">
        <f t="shared" si="196"/>
        <v>0.03</v>
      </c>
      <c r="AD886">
        <f t="shared" si="197"/>
        <v>1</v>
      </c>
      <c r="AE886">
        <f t="shared" si="198"/>
        <v>1</v>
      </c>
      <c r="AF886">
        <f t="shared" si="199"/>
        <v>1</v>
      </c>
      <c r="AG886">
        <f t="shared" si="200"/>
        <v>100</v>
      </c>
    </row>
    <row r="887" spans="1:33" x14ac:dyDescent="0.2">
      <c r="A887" t="s">
        <v>127</v>
      </c>
      <c r="B887" t="s">
        <v>128</v>
      </c>
      <c r="C887">
        <v>886</v>
      </c>
      <c r="D887">
        <v>134613</v>
      </c>
      <c r="E887" t="s">
        <v>1502</v>
      </c>
      <c r="F887" t="s">
        <v>65</v>
      </c>
      <c r="G887" t="s">
        <v>10</v>
      </c>
      <c r="H887" t="s">
        <v>5</v>
      </c>
      <c r="I887" t="s">
        <v>91</v>
      </c>
      <c r="J887">
        <v>104</v>
      </c>
      <c r="K887">
        <v>0.03</v>
      </c>
      <c r="L887">
        <v>1</v>
      </c>
      <c r="M887">
        <v>1</v>
      </c>
      <c r="N887">
        <v>1</v>
      </c>
      <c r="O887">
        <v>100</v>
      </c>
      <c r="P887" t="b">
        <f t="shared" si="191"/>
        <v>0</v>
      </c>
      <c r="S887" t="str">
        <f t="shared" si="201"/>
        <v>LATER</v>
      </c>
      <c r="T887" t="str">
        <f t="shared" si="202"/>
        <v>SainteLague</v>
      </c>
      <c r="U887">
        <f t="shared" si="204"/>
        <v>886</v>
      </c>
      <c r="V887">
        <f t="shared" si="203"/>
        <v>134613</v>
      </c>
      <c r="W887" s="8" t="str">
        <f>VLOOKUP(V887,'ideas-input'!$A:$B,2,FALSE)</f>
        <v>[Web publica] - Ajustes Locky en visión destinatario de web pública</v>
      </c>
      <c r="X887" t="str">
        <f t="shared" si="192"/>
        <v>CMO</v>
      </c>
      <c r="Y887" s="8" t="str">
        <f>VLOOKUP(V887,'ideas-input'!$A:$D,4,FALSE)</f>
        <v>eCommerce</v>
      </c>
      <c r="Z887" t="str">
        <f t="shared" si="193"/>
        <v>Commercial</v>
      </c>
      <c r="AA887" t="str">
        <f t="shared" si="194"/>
        <v>Backlog</v>
      </c>
      <c r="AB887">
        <f t="shared" si="195"/>
        <v>104</v>
      </c>
      <c r="AC887">
        <f t="shared" si="196"/>
        <v>0.03</v>
      </c>
      <c r="AD887">
        <f t="shared" si="197"/>
        <v>1</v>
      </c>
      <c r="AE887">
        <f t="shared" si="198"/>
        <v>1</v>
      </c>
      <c r="AF887">
        <f t="shared" si="199"/>
        <v>1</v>
      </c>
      <c r="AG887">
        <f t="shared" si="200"/>
        <v>100</v>
      </c>
    </row>
    <row r="888" spans="1:33" x14ac:dyDescent="0.2">
      <c r="A888" t="s">
        <v>127</v>
      </c>
      <c r="B888" t="s">
        <v>128</v>
      </c>
      <c r="C888">
        <v>887</v>
      </c>
      <c r="D888">
        <v>134602</v>
      </c>
      <c r="E888" t="s">
        <v>1503</v>
      </c>
      <c r="F888" t="s">
        <v>65</v>
      </c>
      <c r="G888" t="s">
        <v>10</v>
      </c>
      <c r="H888" t="s">
        <v>5</v>
      </c>
      <c r="I888" t="s">
        <v>91</v>
      </c>
      <c r="J888">
        <v>105</v>
      </c>
      <c r="K888">
        <v>0.03</v>
      </c>
      <c r="L888">
        <v>1</v>
      </c>
      <c r="M888">
        <v>1</v>
      </c>
      <c r="N888">
        <v>1</v>
      </c>
      <c r="O888">
        <v>100</v>
      </c>
      <c r="P888" t="b">
        <f t="shared" si="191"/>
        <v>0</v>
      </c>
      <c r="S888" t="str">
        <f t="shared" si="201"/>
        <v>LATER</v>
      </c>
      <c r="T888" t="str">
        <f t="shared" si="202"/>
        <v>SainteLague</v>
      </c>
      <c r="U888">
        <f t="shared" si="204"/>
        <v>887</v>
      </c>
      <c r="V888">
        <f t="shared" si="203"/>
        <v>134602</v>
      </c>
      <c r="W888" s="8" t="str">
        <f>VLOOKUP(V888,'ideas-input'!$A:$B,2,FALSE)</f>
        <v>[Web de cliente] - Seguimiento - Utilizar en filtro y listado de envío la fecha registrada en la variable shipping_date</v>
      </c>
      <c r="X888" t="str">
        <f t="shared" si="192"/>
        <v>CMO</v>
      </c>
      <c r="Y888" s="8" t="str">
        <f>VLOOKUP(V888,'ideas-input'!$A:$D,4,FALSE)</f>
        <v>eCommerce</v>
      </c>
      <c r="Z888" t="str">
        <f t="shared" si="193"/>
        <v>Commercial</v>
      </c>
      <c r="AA888" t="str">
        <f t="shared" si="194"/>
        <v>Backlog</v>
      </c>
      <c r="AB888">
        <f t="shared" si="195"/>
        <v>105</v>
      </c>
      <c r="AC888">
        <f t="shared" si="196"/>
        <v>0.03</v>
      </c>
      <c r="AD888">
        <f t="shared" si="197"/>
        <v>1</v>
      </c>
      <c r="AE888">
        <f t="shared" si="198"/>
        <v>1</v>
      </c>
      <c r="AF888">
        <f t="shared" si="199"/>
        <v>1</v>
      </c>
      <c r="AG888">
        <f t="shared" si="200"/>
        <v>100</v>
      </c>
    </row>
    <row r="889" spans="1:33" x14ac:dyDescent="0.2">
      <c r="A889" t="s">
        <v>127</v>
      </c>
      <c r="B889" t="s">
        <v>128</v>
      </c>
      <c r="C889">
        <v>888</v>
      </c>
      <c r="D889">
        <v>133992</v>
      </c>
      <c r="E889" t="s">
        <v>378</v>
      </c>
      <c r="F889" t="s">
        <v>65</v>
      </c>
      <c r="G889" t="s">
        <v>10</v>
      </c>
      <c r="H889" t="s">
        <v>5</v>
      </c>
      <c r="I889" t="s">
        <v>91</v>
      </c>
      <c r="J889">
        <v>106</v>
      </c>
      <c r="K889">
        <v>0.03</v>
      </c>
      <c r="L889">
        <v>1</v>
      </c>
      <c r="M889">
        <v>1</v>
      </c>
      <c r="N889">
        <v>1</v>
      </c>
      <c r="O889">
        <v>100</v>
      </c>
      <c r="P889" t="b">
        <f t="shared" si="191"/>
        <v>0</v>
      </c>
      <c r="S889" t="str">
        <f t="shared" si="201"/>
        <v>LATER</v>
      </c>
      <c r="T889" t="str">
        <f t="shared" si="202"/>
        <v>SainteLague</v>
      </c>
      <c r="U889">
        <f t="shared" si="204"/>
        <v>888</v>
      </c>
      <c r="V889">
        <f t="shared" si="203"/>
        <v>133992</v>
      </c>
      <c r="W889" s="8" t="str">
        <f>VLOOKUP(V889,'ideas-input'!$A:$B,2,FALSE)</f>
        <v>[Web de clientes] - Agenda - Incluir campo provincia en fichero de carga masiva de agenda</v>
      </c>
      <c r="X889" t="str">
        <f t="shared" si="192"/>
        <v>CMO</v>
      </c>
      <c r="Y889" s="8" t="str">
        <f>VLOOKUP(V889,'ideas-input'!$A:$D,4,FALSE)</f>
        <v>eCommerce</v>
      </c>
      <c r="Z889" t="str">
        <f t="shared" si="193"/>
        <v>Commercial</v>
      </c>
      <c r="AA889" t="str">
        <f t="shared" si="194"/>
        <v>Backlog</v>
      </c>
      <c r="AB889">
        <f t="shared" si="195"/>
        <v>106</v>
      </c>
      <c r="AC889">
        <f t="shared" si="196"/>
        <v>0.03</v>
      </c>
      <c r="AD889">
        <f t="shared" si="197"/>
        <v>1</v>
      </c>
      <c r="AE889">
        <f t="shared" si="198"/>
        <v>1</v>
      </c>
      <c r="AF889">
        <f t="shared" si="199"/>
        <v>1</v>
      </c>
      <c r="AG889">
        <f t="shared" si="200"/>
        <v>100</v>
      </c>
    </row>
    <row r="890" spans="1:33" x14ac:dyDescent="0.2">
      <c r="A890" t="s">
        <v>127</v>
      </c>
      <c r="B890" t="s">
        <v>128</v>
      </c>
      <c r="C890">
        <v>889</v>
      </c>
      <c r="D890">
        <v>133988</v>
      </c>
      <c r="E890" t="s">
        <v>1504</v>
      </c>
      <c r="F890" t="s">
        <v>65</v>
      </c>
      <c r="G890" t="s">
        <v>10</v>
      </c>
      <c r="H890" t="s">
        <v>5</v>
      </c>
      <c r="I890" t="s">
        <v>91</v>
      </c>
      <c r="J890">
        <v>107</v>
      </c>
      <c r="K890">
        <v>0.03</v>
      </c>
      <c r="L890">
        <v>1</v>
      </c>
      <c r="M890">
        <v>1</v>
      </c>
      <c r="N890">
        <v>1</v>
      </c>
      <c r="O890">
        <v>100</v>
      </c>
      <c r="P890" t="b">
        <f t="shared" si="191"/>
        <v>0</v>
      </c>
      <c r="S890" t="str">
        <f t="shared" si="201"/>
        <v>LATER</v>
      </c>
      <c r="T890" t="str">
        <f t="shared" si="202"/>
        <v>SainteLague</v>
      </c>
      <c r="U890">
        <f t="shared" si="204"/>
        <v>889</v>
      </c>
      <c r="V890">
        <f t="shared" si="203"/>
        <v>133988</v>
      </c>
      <c r="W890" s="8" t="str">
        <f>VLOOKUP(V890,'ideas-input'!$A:$B,2,FALSE)</f>
        <v>[Web de clientes] - Seguimiento - Incidencias gestionables muestra mensaje erróneo</v>
      </c>
      <c r="X890" t="str">
        <f t="shared" si="192"/>
        <v>CMO</v>
      </c>
      <c r="Y890" s="8" t="str">
        <f>VLOOKUP(V890,'ideas-input'!$A:$D,4,FALSE)</f>
        <v>eCommerce</v>
      </c>
      <c r="Z890" t="str">
        <f t="shared" si="193"/>
        <v>Commercial</v>
      </c>
      <c r="AA890" t="str">
        <f t="shared" si="194"/>
        <v>Backlog</v>
      </c>
      <c r="AB890">
        <f t="shared" si="195"/>
        <v>107</v>
      </c>
      <c r="AC890">
        <f t="shared" si="196"/>
        <v>0.03</v>
      </c>
      <c r="AD890">
        <f t="shared" si="197"/>
        <v>1</v>
      </c>
      <c r="AE890">
        <f t="shared" si="198"/>
        <v>1</v>
      </c>
      <c r="AF890">
        <f t="shared" si="199"/>
        <v>1</v>
      </c>
      <c r="AG890">
        <f t="shared" si="200"/>
        <v>100</v>
      </c>
    </row>
    <row r="891" spans="1:33" x14ac:dyDescent="0.2">
      <c r="A891" t="s">
        <v>127</v>
      </c>
      <c r="B891" t="s">
        <v>128</v>
      </c>
      <c r="C891">
        <v>890</v>
      </c>
      <c r="D891">
        <v>133834</v>
      </c>
      <c r="E891" t="s">
        <v>1505</v>
      </c>
      <c r="F891" t="s">
        <v>65</v>
      </c>
      <c r="G891" t="s">
        <v>10</v>
      </c>
      <c r="H891" t="s">
        <v>5</v>
      </c>
      <c r="I891" t="s">
        <v>93</v>
      </c>
      <c r="J891">
        <v>108</v>
      </c>
      <c r="K891">
        <v>0.03</v>
      </c>
      <c r="L891">
        <v>1</v>
      </c>
      <c r="M891">
        <v>1</v>
      </c>
      <c r="N891">
        <v>1</v>
      </c>
      <c r="O891">
        <v>100</v>
      </c>
      <c r="P891" t="b">
        <f t="shared" si="191"/>
        <v>0</v>
      </c>
      <c r="S891" t="str">
        <f t="shared" si="201"/>
        <v>LATER</v>
      </c>
      <c r="T891" t="str">
        <f t="shared" si="202"/>
        <v>SainteLague</v>
      </c>
      <c r="U891">
        <f t="shared" si="204"/>
        <v>890</v>
      </c>
      <c r="V891">
        <f t="shared" si="203"/>
        <v>133834</v>
      </c>
      <c r="W891" s="8" t="str">
        <f>VLOOKUP(V891,'ideas-input'!$A:$B,2,FALSE)</f>
        <v>[Nexus-MVP] [Web de Clientes] Traducción al Inglés y Portugués</v>
      </c>
      <c r="X891" t="str">
        <f t="shared" si="192"/>
        <v>CMO</v>
      </c>
      <c r="Y891" s="8" t="str">
        <f>VLOOKUP(V891,'ideas-input'!$A:$D,4,FALSE)</f>
        <v>eCommerce</v>
      </c>
      <c r="Z891" t="str">
        <f t="shared" si="193"/>
        <v>Commercial</v>
      </c>
      <c r="AA891" t="str">
        <f t="shared" si="194"/>
        <v>Pitch</v>
      </c>
      <c r="AB891">
        <f t="shared" si="195"/>
        <v>108</v>
      </c>
      <c r="AC891">
        <f t="shared" si="196"/>
        <v>0.03</v>
      </c>
      <c r="AD891">
        <f t="shared" si="197"/>
        <v>1</v>
      </c>
      <c r="AE891">
        <f t="shared" si="198"/>
        <v>1</v>
      </c>
      <c r="AF891">
        <f t="shared" si="199"/>
        <v>1</v>
      </c>
      <c r="AG891">
        <f t="shared" si="200"/>
        <v>100</v>
      </c>
    </row>
    <row r="892" spans="1:33" x14ac:dyDescent="0.2">
      <c r="A892" t="s">
        <v>127</v>
      </c>
      <c r="B892" t="s">
        <v>128</v>
      </c>
      <c r="C892">
        <v>891</v>
      </c>
      <c r="D892">
        <v>66400</v>
      </c>
      <c r="E892" t="s">
        <v>1506</v>
      </c>
      <c r="F892" t="s">
        <v>65</v>
      </c>
      <c r="G892" t="s">
        <v>10</v>
      </c>
      <c r="H892" t="s">
        <v>5</v>
      </c>
      <c r="I892" t="s">
        <v>91</v>
      </c>
      <c r="J892">
        <v>109</v>
      </c>
      <c r="K892">
        <v>0.03</v>
      </c>
      <c r="L892">
        <v>1</v>
      </c>
      <c r="M892">
        <v>1</v>
      </c>
      <c r="N892">
        <v>1</v>
      </c>
      <c r="O892">
        <v>100</v>
      </c>
      <c r="P892" t="b">
        <f t="shared" si="191"/>
        <v>0</v>
      </c>
      <c r="S892" t="str">
        <f t="shared" si="201"/>
        <v>LATER</v>
      </c>
      <c r="T892" t="str">
        <f t="shared" si="202"/>
        <v>SainteLague</v>
      </c>
      <c r="U892">
        <f t="shared" si="204"/>
        <v>891</v>
      </c>
      <c r="V892">
        <f t="shared" si="203"/>
        <v>66400</v>
      </c>
      <c r="W892" s="8" t="str">
        <f>VLOOKUP(V892,'ideas-input'!$A:$B,2,FALSE)</f>
        <v>[Salesforce] Notificación automática cambio de comercial</v>
      </c>
      <c r="X892" t="str">
        <f t="shared" si="192"/>
        <v>CMO</v>
      </c>
      <c r="Y892" s="8" t="str">
        <f>VLOOKUP(V892,'ideas-input'!$A:$D,4,FALSE)</f>
        <v>eCommerce</v>
      </c>
      <c r="Z892" t="str">
        <f t="shared" si="193"/>
        <v>Commercial</v>
      </c>
      <c r="AA892" t="str">
        <f t="shared" si="194"/>
        <v>Backlog</v>
      </c>
      <c r="AB892">
        <f t="shared" si="195"/>
        <v>109</v>
      </c>
      <c r="AC892">
        <f t="shared" si="196"/>
        <v>0.03</v>
      </c>
      <c r="AD892">
        <f t="shared" si="197"/>
        <v>1</v>
      </c>
      <c r="AE892">
        <f t="shared" si="198"/>
        <v>1</v>
      </c>
      <c r="AF892">
        <f t="shared" si="199"/>
        <v>1</v>
      </c>
      <c r="AG892">
        <f t="shared" si="200"/>
        <v>100</v>
      </c>
    </row>
    <row r="893" spans="1:33" x14ac:dyDescent="0.2">
      <c r="A893" t="s">
        <v>127</v>
      </c>
      <c r="B893" t="s">
        <v>128</v>
      </c>
      <c r="C893">
        <v>892</v>
      </c>
      <c r="D893">
        <v>66371</v>
      </c>
      <c r="E893" t="s">
        <v>347</v>
      </c>
      <c r="F893" t="s">
        <v>65</v>
      </c>
      <c r="G893" t="s">
        <v>10</v>
      </c>
      <c r="H893" t="s">
        <v>5</v>
      </c>
      <c r="I893" t="s">
        <v>91</v>
      </c>
      <c r="J893">
        <v>110</v>
      </c>
      <c r="K893">
        <v>0.03</v>
      </c>
      <c r="L893">
        <v>1</v>
      </c>
      <c r="M893">
        <v>1</v>
      </c>
      <c r="N893">
        <v>1</v>
      </c>
      <c r="O893">
        <v>100</v>
      </c>
      <c r="P893" t="b">
        <f t="shared" si="191"/>
        <v>0</v>
      </c>
      <c r="S893" t="str">
        <f t="shared" si="201"/>
        <v>LATER</v>
      </c>
      <c r="T893" t="str">
        <f t="shared" si="202"/>
        <v>SainteLague</v>
      </c>
      <c r="U893">
        <f t="shared" si="204"/>
        <v>892</v>
      </c>
      <c r="V893">
        <f t="shared" si="203"/>
        <v>66371</v>
      </c>
      <c r="W893" s="8" t="str">
        <f>VLOOKUP(V893,'ideas-input'!$A:$B,2,FALSE)</f>
        <v>[PUDOS][PDA]-Evitar falsos entregados desde PDA repartidor</v>
      </c>
      <c r="X893" t="str">
        <f t="shared" si="192"/>
        <v>CMO</v>
      </c>
      <c r="Y893" s="8" t="str">
        <f>VLOOKUP(V893,'ideas-input'!$A:$D,4,FALSE)</f>
        <v>eCommerce</v>
      </c>
      <c r="Z893" t="str">
        <f t="shared" si="193"/>
        <v>Commercial</v>
      </c>
      <c r="AA893" t="str">
        <f t="shared" si="194"/>
        <v>Backlog</v>
      </c>
      <c r="AB893">
        <f t="shared" si="195"/>
        <v>110</v>
      </c>
      <c r="AC893">
        <f t="shared" si="196"/>
        <v>0.03</v>
      </c>
      <c r="AD893">
        <f t="shared" si="197"/>
        <v>1</v>
      </c>
      <c r="AE893">
        <f t="shared" si="198"/>
        <v>1</v>
      </c>
      <c r="AF893">
        <f t="shared" si="199"/>
        <v>1</v>
      </c>
      <c r="AG893">
        <f t="shared" si="200"/>
        <v>100</v>
      </c>
    </row>
    <row r="894" spans="1:33" x14ac:dyDescent="0.2">
      <c r="A894" t="s">
        <v>127</v>
      </c>
      <c r="B894" t="s">
        <v>128</v>
      </c>
      <c r="C894">
        <v>893</v>
      </c>
      <c r="D894">
        <v>66213</v>
      </c>
      <c r="E894" t="s">
        <v>1507</v>
      </c>
      <c r="F894" t="s">
        <v>65</v>
      </c>
      <c r="G894" t="s">
        <v>10</v>
      </c>
      <c r="H894" t="s">
        <v>5</v>
      </c>
      <c r="I894" t="s">
        <v>91</v>
      </c>
      <c r="J894">
        <v>111</v>
      </c>
      <c r="K894">
        <v>0.03</v>
      </c>
      <c r="L894">
        <v>1</v>
      </c>
      <c r="M894">
        <v>1</v>
      </c>
      <c r="N894">
        <v>1</v>
      </c>
      <c r="O894">
        <v>100</v>
      </c>
      <c r="P894" t="b">
        <f t="shared" si="191"/>
        <v>0</v>
      </c>
      <c r="S894" t="str">
        <f t="shared" si="201"/>
        <v>LATER</v>
      </c>
      <c r="T894" t="str">
        <f t="shared" si="202"/>
        <v>SainteLague</v>
      </c>
      <c r="U894">
        <f t="shared" si="204"/>
        <v>893</v>
      </c>
      <c r="V894">
        <f t="shared" si="203"/>
        <v>66213</v>
      </c>
      <c r="W894" s="8" t="str">
        <f>VLOOKUP(V894,'ideas-input'!$A:$B,2,FALSE)</f>
        <v>[Web de clientes][Desktop] - Seguimiento - Ocultar botón de "Estados" / Alert de filtros</v>
      </c>
      <c r="X894" t="str">
        <f t="shared" si="192"/>
        <v>CMO</v>
      </c>
      <c r="Y894" s="8" t="str">
        <f>VLOOKUP(V894,'ideas-input'!$A:$D,4,FALSE)</f>
        <v>eCommerce</v>
      </c>
      <c r="Z894" t="str">
        <f t="shared" si="193"/>
        <v>Commercial</v>
      </c>
      <c r="AA894" t="str">
        <f t="shared" si="194"/>
        <v>Backlog</v>
      </c>
      <c r="AB894">
        <f t="shared" si="195"/>
        <v>111</v>
      </c>
      <c r="AC894">
        <f t="shared" si="196"/>
        <v>0.03</v>
      </c>
      <c r="AD894">
        <f t="shared" si="197"/>
        <v>1</v>
      </c>
      <c r="AE894">
        <f t="shared" si="198"/>
        <v>1</v>
      </c>
      <c r="AF894">
        <f t="shared" si="199"/>
        <v>1</v>
      </c>
      <c r="AG894">
        <f t="shared" si="200"/>
        <v>100</v>
      </c>
    </row>
    <row r="895" spans="1:33" x14ac:dyDescent="0.2">
      <c r="A895" t="s">
        <v>127</v>
      </c>
      <c r="B895" t="s">
        <v>128</v>
      </c>
      <c r="C895">
        <v>894</v>
      </c>
      <c r="D895">
        <v>66183</v>
      </c>
      <c r="E895" t="s">
        <v>348</v>
      </c>
      <c r="F895" t="s">
        <v>65</v>
      </c>
      <c r="G895" t="s">
        <v>10</v>
      </c>
      <c r="H895" t="s">
        <v>5</v>
      </c>
      <c r="I895" t="s">
        <v>91</v>
      </c>
      <c r="J895">
        <v>112</v>
      </c>
      <c r="K895">
        <v>0.03</v>
      </c>
      <c r="L895">
        <v>1</v>
      </c>
      <c r="M895">
        <v>1</v>
      </c>
      <c r="N895">
        <v>1</v>
      </c>
      <c r="O895">
        <v>100</v>
      </c>
      <c r="P895" t="b">
        <f t="shared" si="191"/>
        <v>0</v>
      </c>
      <c r="S895" t="str">
        <f t="shared" si="201"/>
        <v>LATER</v>
      </c>
      <c r="T895" t="str">
        <f t="shared" si="202"/>
        <v>SainteLague</v>
      </c>
      <c r="U895">
        <f t="shared" si="204"/>
        <v>894</v>
      </c>
      <c r="V895">
        <f t="shared" si="203"/>
        <v>66183</v>
      </c>
      <c r="W895" s="8" t="str">
        <f>VLOOKUP(V895,'ideas-input'!$A:$B,2,FALSE)</f>
        <v>[Web de clientes][Mobile] - Mi cuenta + Ayuda y soporte</v>
      </c>
      <c r="X895" t="str">
        <f t="shared" si="192"/>
        <v>CMO</v>
      </c>
      <c r="Y895" s="8" t="str">
        <f>VLOOKUP(V895,'ideas-input'!$A:$D,4,FALSE)</f>
        <v>eCommerce</v>
      </c>
      <c r="Z895" t="str">
        <f t="shared" si="193"/>
        <v>Commercial</v>
      </c>
      <c r="AA895" t="str">
        <f t="shared" si="194"/>
        <v>Backlog</v>
      </c>
      <c r="AB895">
        <f t="shared" si="195"/>
        <v>112</v>
      </c>
      <c r="AC895">
        <f t="shared" si="196"/>
        <v>0.03</v>
      </c>
      <c r="AD895">
        <f t="shared" si="197"/>
        <v>1</v>
      </c>
      <c r="AE895">
        <f t="shared" si="198"/>
        <v>1</v>
      </c>
      <c r="AF895">
        <f t="shared" si="199"/>
        <v>1</v>
      </c>
      <c r="AG895">
        <f t="shared" si="200"/>
        <v>100</v>
      </c>
    </row>
    <row r="896" spans="1:33" x14ac:dyDescent="0.2">
      <c r="A896" t="s">
        <v>127</v>
      </c>
      <c r="B896" t="s">
        <v>128</v>
      </c>
      <c r="C896">
        <v>895</v>
      </c>
      <c r="D896">
        <v>66165</v>
      </c>
      <c r="E896" t="s">
        <v>349</v>
      </c>
      <c r="F896" t="s">
        <v>65</v>
      </c>
      <c r="G896" t="s">
        <v>10</v>
      </c>
      <c r="H896" t="s">
        <v>5</v>
      </c>
      <c r="I896" t="s">
        <v>91</v>
      </c>
      <c r="J896">
        <v>113</v>
      </c>
      <c r="K896">
        <v>0.03</v>
      </c>
      <c r="L896">
        <v>1</v>
      </c>
      <c r="M896">
        <v>1</v>
      </c>
      <c r="N896">
        <v>1</v>
      </c>
      <c r="O896">
        <v>100</v>
      </c>
      <c r="P896" t="b">
        <f t="shared" si="191"/>
        <v>0</v>
      </c>
      <c r="S896" t="str">
        <f t="shared" si="201"/>
        <v>LATER</v>
      </c>
      <c r="T896" t="str">
        <f t="shared" si="202"/>
        <v>SainteLague</v>
      </c>
      <c r="U896">
        <f t="shared" si="204"/>
        <v>895</v>
      </c>
      <c r="V896">
        <f t="shared" si="203"/>
        <v>66165</v>
      </c>
      <c r="W896" s="8" t="str">
        <f>VLOOKUP(V896,'ideas-input'!$A:$B,2,FALSE)</f>
        <v>[Web de clientes][Mobile] - Agenda</v>
      </c>
      <c r="X896" t="str">
        <f t="shared" si="192"/>
        <v>CMO</v>
      </c>
      <c r="Y896" s="8" t="str">
        <f>VLOOKUP(V896,'ideas-input'!$A:$D,4,FALSE)</f>
        <v>eCommerce</v>
      </c>
      <c r="Z896" t="str">
        <f t="shared" si="193"/>
        <v>Commercial</v>
      </c>
      <c r="AA896" t="str">
        <f t="shared" si="194"/>
        <v>Backlog</v>
      </c>
      <c r="AB896">
        <f t="shared" si="195"/>
        <v>113</v>
      </c>
      <c r="AC896">
        <f t="shared" si="196"/>
        <v>0.03</v>
      </c>
      <c r="AD896">
        <f t="shared" si="197"/>
        <v>1</v>
      </c>
      <c r="AE896">
        <f t="shared" si="198"/>
        <v>1</v>
      </c>
      <c r="AF896">
        <f t="shared" si="199"/>
        <v>1</v>
      </c>
      <c r="AG896">
        <f t="shared" si="200"/>
        <v>100</v>
      </c>
    </row>
    <row r="897" spans="1:33" x14ac:dyDescent="0.2">
      <c r="A897" t="s">
        <v>127</v>
      </c>
      <c r="B897" t="s">
        <v>128</v>
      </c>
      <c r="C897">
        <v>896</v>
      </c>
      <c r="D897">
        <v>66163</v>
      </c>
      <c r="E897" t="s">
        <v>1508</v>
      </c>
      <c r="F897" t="s">
        <v>65</v>
      </c>
      <c r="G897" t="s">
        <v>10</v>
      </c>
      <c r="H897" t="s">
        <v>5</v>
      </c>
      <c r="I897" t="s">
        <v>91</v>
      </c>
      <c r="J897">
        <v>114</v>
      </c>
      <c r="K897">
        <v>0.03</v>
      </c>
      <c r="L897">
        <v>1</v>
      </c>
      <c r="M897">
        <v>1</v>
      </c>
      <c r="N897">
        <v>1</v>
      </c>
      <c r="O897">
        <v>100</v>
      </c>
      <c r="P897" t="b">
        <f t="shared" si="191"/>
        <v>0</v>
      </c>
      <c r="S897" t="str">
        <f t="shared" si="201"/>
        <v>LATER</v>
      </c>
      <c r="T897" t="str">
        <f t="shared" si="202"/>
        <v>SainteLague</v>
      </c>
      <c r="U897">
        <f t="shared" si="204"/>
        <v>896</v>
      </c>
      <c r="V897">
        <f t="shared" si="203"/>
        <v>66163</v>
      </c>
      <c r="W897" s="8" t="str">
        <f>VLOOKUP(V897,'ideas-input'!$A:$B,2,FALSE)</f>
        <v>[Web de clientes][Mobile] - Seguimiento de envíos</v>
      </c>
      <c r="X897" t="str">
        <f t="shared" si="192"/>
        <v>CMO</v>
      </c>
      <c r="Y897" s="8" t="str">
        <f>VLOOKUP(V897,'ideas-input'!$A:$D,4,FALSE)</f>
        <v>eCommerce</v>
      </c>
      <c r="Z897" t="str">
        <f t="shared" si="193"/>
        <v>Commercial</v>
      </c>
      <c r="AA897" t="str">
        <f t="shared" si="194"/>
        <v>Backlog</v>
      </c>
      <c r="AB897">
        <f t="shared" si="195"/>
        <v>114</v>
      </c>
      <c r="AC897">
        <f t="shared" si="196"/>
        <v>0.03</v>
      </c>
      <c r="AD897">
        <f t="shared" si="197"/>
        <v>1</v>
      </c>
      <c r="AE897">
        <f t="shared" si="198"/>
        <v>1</v>
      </c>
      <c r="AF897">
        <f t="shared" si="199"/>
        <v>1</v>
      </c>
      <c r="AG897">
        <f t="shared" si="200"/>
        <v>100</v>
      </c>
    </row>
    <row r="898" spans="1:33" x14ac:dyDescent="0.2">
      <c r="A898" t="s">
        <v>127</v>
      </c>
      <c r="B898" t="s">
        <v>128</v>
      </c>
      <c r="C898">
        <v>897</v>
      </c>
      <c r="D898">
        <v>66161</v>
      </c>
      <c r="E898" t="s">
        <v>1509</v>
      </c>
      <c r="F898" t="s">
        <v>65</v>
      </c>
      <c r="G898" t="s">
        <v>10</v>
      </c>
      <c r="H898" t="s">
        <v>5</v>
      </c>
      <c r="I898" t="s">
        <v>91</v>
      </c>
      <c r="J898">
        <v>115</v>
      </c>
      <c r="K898">
        <v>0.03</v>
      </c>
      <c r="L898">
        <v>1</v>
      </c>
      <c r="M898">
        <v>1</v>
      </c>
      <c r="N898">
        <v>1</v>
      </c>
      <c r="O898">
        <v>100</v>
      </c>
      <c r="P898" t="b">
        <f t="shared" ref="P898:P934" si="205">AND(C898&lt;$Q$1,IF(ISBLANK(C898),0,C898)&gt;0)</f>
        <v>0</v>
      </c>
      <c r="S898" t="str">
        <f t="shared" si="201"/>
        <v>LATER</v>
      </c>
      <c r="T898" t="str">
        <f t="shared" si="202"/>
        <v>SainteLague</v>
      </c>
      <c r="U898">
        <f t="shared" si="204"/>
        <v>897</v>
      </c>
      <c r="V898">
        <f t="shared" si="203"/>
        <v>66161</v>
      </c>
      <c r="W898" s="8" t="str">
        <f>VLOOKUP(V898,'ideas-input'!$A:$B,2,FALSE)</f>
        <v>[Web de clientes][Mobile] - Burger Menu + Actualización de página de inicio</v>
      </c>
      <c r="X898" t="str">
        <f t="shared" ref="X898:X934" si="206">F898</f>
        <v>CMO</v>
      </c>
      <c r="Y898" s="8" t="str">
        <f>VLOOKUP(V898,'ideas-input'!$A:$D,4,FALSE)</f>
        <v>eCommerce</v>
      </c>
      <c r="Z898" t="str">
        <f t="shared" ref="Z898:Z934" si="207">H898</f>
        <v>Commercial</v>
      </c>
      <c r="AA898" t="str">
        <f t="shared" ref="AA898:AA934" si="208">I898</f>
        <v>Backlog</v>
      </c>
      <c r="AB898">
        <f t="shared" ref="AB898:AB934" si="209">J898</f>
        <v>115</v>
      </c>
      <c r="AC898">
        <f t="shared" ref="AC898:AC934" si="210">K898</f>
        <v>0.03</v>
      </c>
      <c r="AD898">
        <f t="shared" ref="AD898:AD934" si="211">L898</f>
        <v>1</v>
      </c>
      <c r="AE898">
        <f t="shared" ref="AE898:AE934" si="212">M898</f>
        <v>1</v>
      </c>
      <c r="AF898">
        <f t="shared" ref="AF898:AF934" si="213">N898</f>
        <v>1</v>
      </c>
      <c r="AG898">
        <f t="shared" ref="AG898:AG934" si="214">O898</f>
        <v>100</v>
      </c>
    </row>
    <row r="899" spans="1:33" x14ac:dyDescent="0.2">
      <c r="A899" t="s">
        <v>127</v>
      </c>
      <c r="B899" t="s">
        <v>128</v>
      </c>
      <c r="C899">
        <v>898</v>
      </c>
      <c r="D899">
        <v>66141</v>
      </c>
      <c r="E899" t="s">
        <v>1510</v>
      </c>
      <c r="F899" t="s">
        <v>65</v>
      </c>
      <c r="G899" t="s">
        <v>10</v>
      </c>
      <c r="H899" t="s">
        <v>5</v>
      </c>
      <c r="I899" t="s">
        <v>91</v>
      </c>
      <c r="J899">
        <v>116</v>
      </c>
      <c r="K899">
        <v>0.03</v>
      </c>
      <c r="L899">
        <v>1</v>
      </c>
      <c r="M899">
        <v>1</v>
      </c>
      <c r="N899">
        <v>1</v>
      </c>
      <c r="O899">
        <v>100</v>
      </c>
      <c r="P899" t="b">
        <f t="shared" si="205"/>
        <v>0</v>
      </c>
      <c r="S899" t="str">
        <f t="shared" si="201"/>
        <v>LATER</v>
      </c>
      <c r="T899" t="str">
        <f t="shared" si="202"/>
        <v>SainteLague</v>
      </c>
      <c r="U899">
        <f t="shared" si="204"/>
        <v>898</v>
      </c>
      <c r="V899">
        <f t="shared" si="203"/>
        <v>66141</v>
      </c>
      <c r="W899" s="8" t="str">
        <f>VLOOKUP(V899,'ideas-input'!$A:$B,2,FALSE)</f>
        <v>[Web de clientes][Mobile] - Solicitud de envío</v>
      </c>
      <c r="X899" t="str">
        <f t="shared" si="206"/>
        <v>CMO</v>
      </c>
      <c r="Y899" s="8" t="str">
        <f>VLOOKUP(V899,'ideas-input'!$A:$D,4,FALSE)</f>
        <v>eCommerce</v>
      </c>
      <c r="Z899" t="str">
        <f t="shared" si="207"/>
        <v>Commercial</v>
      </c>
      <c r="AA899" t="str">
        <f t="shared" si="208"/>
        <v>Backlog</v>
      </c>
      <c r="AB899">
        <f t="shared" si="209"/>
        <v>116</v>
      </c>
      <c r="AC899">
        <f t="shared" si="210"/>
        <v>0.03</v>
      </c>
      <c r="AD899">
        <f t="shared" si="211"/>
        <v>1</v>
      </c>
      <c r="AE899">
        <f t="shared" si="212"/>
        <v>1</v>
      </c>
      <c r="AF899">
        <f t="shared" si="213"/>
        <v>1</v>
      </c>
      <c r="AG899">
        <f t="shared" si="214"/>
        <v>100</v>
      </c>
    </row>
    <row r="900" spans="1:33" x14ac:dyDescent="0.2">
      <c r="A900" t="s">
        <v>127</v>
      </c>
      <c r="B900" t="s">
        <v>128</v>
      </c>
      <c r="C900">
        <v>899</v>
      </c>
      <c r="D900">
        <v>66118</v>
      </c>
      <c r="E900" t="s">
        <v>1511</v>
      </c>
      <c r="F900" t="s">
        <v>65</v>
      </c>
      <c r="G900" t="s">
        <v>10</v>
      </c>
      <c r="H900" t="s">
        <v>5</v>
      </c>
      <c r="I900" t="s">
        <v>91</v>
      </c>
      <c r="J900">
        <v>117</v>
      </c>
      <c r="K900">
        <v>0.03</v>
      </c>
      <c r="L900">
        <v>1</v>
      </c>
      <c r="M900">
        <v>1</v>
      </c>
      <c r="N900">
        <v>1</v>
      </c>
      <c r="O900">
        <v>100</v>
      </c>
      <c r="P900" t="b">
        <f t="shared" si="205"/>
        <v>0</v>
      </c>
      <c r="S900" t="str">
        <f t="shared" si="201"/>
        <v>LATER</v>
      </c>
      <c r="T900" t="str">
        <f t="shared" si="202"/>
        <v>SainteLague</v>
      </c>
      <c r="U900">
        <f t="shared" si="204"/>
        <v>899</v>
      </c>
      <c r="V900">
        <f t="shared" si="203"/>
        <v>66118</v>
      </c>
      <c r="W900" s="8" t="str">
        <f>VLOOKUP(V900,'ideas-input'!$A:$B,2,FALSE)</f>
        <v>[Web Pública] - Formulario y email Pagina Red PUDOS</v>
      </c>
      <c r="X900" t="str">
        <f t="shared" si="206"/>
        <v>CMO</v>
      </c>
      <c r="Y900" s="8" t="str">
        <f>VLOOKUP(V900,'ideas-input'!$A:$D,4,FALSE)</f>
        <v>eCommerce</v>
      </c>
      <c r="Z900" t="str">
        <f t="shared" si="207"/>
        <v>Commercial</v>
      </c>
      <c r="AA900" t="str">
        <f t="shared" si="208"/>
        <v>Backlog</v>
      </c>
      <c r="AB900">
        <f t="shared" si="209"/>
        <v>117</v>
      </c>
      <c r="AC900">
        <f t="shared" si="210"/>
        <v>0.03</v>
      </c>
      <c r="AD900">
        <f t="shared" si="211"/>
        <v>1</v>
      </c>
      <c r="AE900">
        <f t="shared" si="212"/>
        <v>1</v>
      </c>
      <c r="AF900">
        <f t="shared" si="213"/>
        <v>1</v>
      </c>
      <c r="AG900">
        <f t="shared" si="214"/>
        <v>100</v>
      </c>
    </row>
    <row r="901" spans="1:33" x14ac:dyDescent="0.2">
      <c r="A901" t="s">
        <v>127</v>
      </c>
      <c r="B901" t="s">
        <v>128</v>
      </c>
      <c r="C901">
        <v>900</v>
      </c>
      <c r="D901">
        <v>66062</v>
      </c>
      <c r="E901" t="s">
        <v>1512</v>
      </c>
      <c r="F901" t="s">
        <v>65</v>
      </c>
      <c r="G901" t="s">
        <v>10</v>
      </c>
      <c r="H901" t="s">
        <v>5</v>
      </c>
      <c r="I901" t="s">
        <v>91</v>
      </c>
      <c r="J901">
        <v>118</v>
      </c>
      <c r="K901">
        <v>0.03</v>
      </c>
      <c r="L901">
        <v>1</v>
      </c>
      <c r="M901">
        <v>1</v>
      </c>
      <c r="N901">
        <v>1</v>
      </c>
      <c r="O901">
        <v>100</v>
      </c>
      <c r="P901" t="b">
        <f t="shared" si="205"/>
        <v>0</v>
      </c>
      <c r="S901" t="str">
        <f t="shared" si="201"/>
        <v>LATER</v>
      </c>
      <c r="T901" t="str">
        <f t="shared" si="202"/>
        <v>SainteLague</v>
      </c>
      <c r="U901">
        <f t="shared" si="204"/>
        <v>900</v>
      </c>
      <c r="V901">
        <f t="shared" si="203"/>
        <v>66062</v>
      </c>
      <c r="W901" s="8" t="str">
        <f>VLOOKUP(V901,'ideas-input'!$A:$B,2,FALSE)</f>
        <v>[Web de Clientes] - Suscripción de informes - Reporte con la información de envíos de los últimos 30 días naturales - Ordenar reporte</v>
      </c>
      <c r="X901" t="str">
        <f t="shared" si="206"/>
        <v>CMO</v>
      </c>
      <c r="Y901" s="8" t="str">
        <f>VLOOKUP(V901,'ideas-input'!$A:$D,4,FALSE)</f>
        <v>eCommerce</v>
      </c>
      <c r="Z901" t="str">
        <f t="shared" si="207"/>
        <v>Commercial</v>
      </c>
      <c r="AA901" t="str">
        <f t="shared" si="208"/>
        <v>Backlog</v>
      </c>
      <c r="AB901">
        <f t="shared" si="209"/>
        <v>118</v>
      </c>
      <c r="AC901">
        <f t="shared" si="210"/>
        <v>0.03</v>
      </c>
      <c r="AD901">
        <f t="shared" si="211"/>
        <v>1</v>
      </c>
      <c r="AE901">
        <f t="shared" si="212"/>
        <v>1</v>
      </c>
      <c r="AF901">
        <f t="shared" si="213"/>
        <v>1</v>
      </c>
      <c r="AG901">
        <f t="shared" si="214"/>
        <v>100</v>
      </c>
    </row>
    <row r="902" spans="1:33" x14ac:dyDescent="0.2">
      <c r="A902" t="s">
        <v>127</v>
      </c>
      <c r="B902" t="s">
        <v>128</v>
      </c>
      <c r="C902">
        <v>901</v>
      </c>
      <c r="D902">
        <v>65865</v>
      </c>
      <c r="E902" t="s">
        <v>350</v>
      </c>
      <c r="F902" t="s">
        <v>65</v>
      </c>
      <c r="G902" t="s">
        <v>10</v>
      </c>
      <c r="H902" t="s">
        <v>5</v>
      </c>
      <c r="I902" t="s">
        <v>91</v>
      </c>
      <c r="J902">
        <v>119</v>
      </c>
      <c r="K902">
        <v>0.03</v>
      </c>
      <c r="L902">
        <v>1</v>
      </c>
      <c r="M902">
        <v>1</v>
      </c>
      <c r="N902">
        <v>1</v>
      </c>
      <c r="O902">
        <v>100</v>
      </c>
      <c r="P902" t="b">
        <f t="shared" si="205"/>
        <v>0</v>
      </c>
      <c r="S902" t="str">
        <f t="shared" si="201"/>
        <v>LATER</v>
      </c>
      <c r="T902" t="str">
        <f t="shared" si="202"/>
        <v>SainteLague</v>
      </c>
      <c r="U902">
        <f t="shared" si="204"/>
        <v>901</v>
      </c>
      <c r="V902">
        <f t="shared" si="203"/>
        <v>65865</v>
      </c>
      <c r="W902" s="8" t="str">
        <f>VLOOKUP(V902,'ideas-input'!$A:$B,2,FALSE)</f>
        <v>[FR y BR] - Tarifas y Ofertas</v>
      </c>
      <c r="X902" t="str">
        <f t="shared" si="206"/>
        <v>CMO</v>
      </c>
      <c r="Y902" s="8" t="str">
        <f>VLOOKUP(V902,'ideas-input'!$A:$D,4,FALSE)</f>
        <v>eCommerce</v>
      </c>
      <c r="Z902" t="str">
        <f t="shared" si="207"/>
        <v>Commercial</v>
      </c>
      <c r="AA902" t="str">
        <f t="shared" si="208"/>
        <v>Backlog</v>
      </c>
      <c r="AB902">
        <f t="shared" si="209"/>
        <v>119</v>
      </c>
      <c r="AC902">
        <f t="shared" si="210"/>
        <v>0.03</v>
      </c>
      <c r="AD902">
        <f t="shared" si="211"/>
        <v>1</v>
      </c>
      <c r="AE902">
        <f t="shared" si="212"/>
        <v>1</v>
      </c>
      <c r="AF902">
        <f t="shared" si="213"/>
        <v>1</v>
      </c>
      <c r="AG902">
        <f t="shared" si="214"/>
        <v>100</v>
      </c>
    </row>
    <row r="903" spans="1:33" x14ac:dyDescent="0.2">
      <c r="A903" t="s">
        <v>127</v>
      </c>
      <c r="B903" t="s">
        <v>128</v>
      </c>
      <c r="C903">
        <v>902</v>
      </c>
      <c r="D903">
        <v>65864</v>
      </c>
      <c r="E903" t="s">
        <v>1513</v>
      </c>
      <c r="F903" t="s">
        <v>65</v>
      </c>
      <c r="G903" t="s">
        <v>10</v>
      </c>
      <c r="H903" t="s">
        <v>5</v>
      </c>
      <c r="I903" t="s">
        <v>91</v>
      </c>
      <c r="J903">
        <v>120</v>
      </c>
      <c r="K903">
        <v>0.03</v>
      </c>
      <c r="L903">
        <v>1</v>
      </c>
      <c r="M903">
        <v>1</v>
      </c>
      <c r="N903">
        <v>1</v>
      </c>
      <c r="O903">
        <v>100</v>
      </c>
      <c r="P903" t="b">
        <f t="shared" si="205"/>
        <v>0</v>
      </c>
      <c r="S903" t="str">
        <f t="shared" si="201"/>
        <v>LATER</v>
      </c>
      <c r="T903" t="str">
        <f t="shared" si="202"/>
        <v>SainteLague</v>
      </c>
      <c r="U903">
        <f t="shared" si="204"/>
        <v>902</v>
      </c>
      <c r="V903">
        <f t="shared" si="203"/>
        <v>65864</v>
      </c>
      <c r="W903" s="8" t="str">
        <f>VLOOKUP(V903,'ideas-input'!$A:$B,2,FALSE)</f>
        <v>[FR y BR] - Campo departamento y facturación</v>
      </c>
      <c r="X903" t="str">
        <f t="shared" si="206"/>
        <v>CMO</v>
      </c>
      <c r="Y903" s="8" t="str">
        <f>VLOOKUP(V903,'ideas-input'!$A:$D,4,FALSE)</f>
        <v>eCommerce</v>
      </c>
      <c r="Z903" t="str">
        <f t="shared" si="207"/>
        <v>Commercial</v>
      </c>
      <c r="AA903" t="str">
        <f t="shared" si="208"/>
        <v>Backlog</v>
      </c>
      <c r="AB903">
        <f t="shared" si="209"/>
        <v>120</v>
      </c>
      <c r="AC903">
        <f t="shared" si="210"/>
        <v>0.03</v>
      </c>
      <c r="AD903">
        <f t="shared" si="211"/>
        <v>1</v>
      </c>
      <c r="AE903">
        <f t="shared" si="212"/>
        <v>1</v>
      </c>
      <c r="AF903">
        <f t="shared" si="213"/>
        <v>1</v>
      </c>
      <c r="AG903">
        <f t="shared" si="214"/>
        <v>100</v>
      </c>
    </row>
    <row r="904" spans="1:33" x14ac:dyDescent="0.2">
      <c r="A904" t="s">
        <v>127</v>
      </c>
      <c r="B904" t="s">
        <v>128</v>
      </c>
      <c r="C904">
        <v>903</v>
      </c>
      <c r="D904">
        <v>65407</v>
      </c>
      <c r="E904" t="s">
        <v>1514</v>
      </c>
      <c r="F904" t="s">
        <v>65</v>
      </c>
      <c r="G904" t="s">
        <v>10</v>
      </c>
      <c r="H904" t="s">
        <v>5</v>
      </c>
      <c r="I904" t="s">
        <v>91</v>
      </c>
      <c r="J904">
        <v>121</v>
      </c>
      <c r="K904">
        <v>0.03</v>
      </c>
      <c r="L904">
        <v>1</v>
      </c>
      <c r="M904">
        <v>1</v>
      </c>
      <c r="N904">
        <v>1</v>
      </c>
      <c r="O904">
        <v>100</v>
      </c>
      <c r="P904" t="b">
        <f t="shared" si="205"/>
        <v>0</v>
      </c>
      <c r="S904" t="str">
        <f t="shared" si="201"/>
        <v>LATER</v>
      </c>
      <c r="T904" t="str">
        <f t="shared" si="202"/>
        <v>SainteLague</v>
      </c>
      <c r="U904">
        <f t="shared" si="204"/>
        <v>903</v>
      </c>
      <c r="V904">
        <f t="shared" si="203"/>
        <v>65407</v>
      </c>
      <c r="W904" s="8" t="str">
        <f>VLOOKUP(V904,'ideas-input'!$A:$B,2,FALSE)</f>
        <v>[WEB CLIENTE] Configuración visibilidad web a nivel CENTRO</v>
      </c>
      <c r="X904" t="str">
        <f t="shared" si="206"/>
        <v>CMO</v>
      </c>
      <c r="Y904" s="8" t="str">
        <f>VLOOKUP(V904,'ideas-input'!$A:$D,4,FALSE)</f>
        <v>eCommerce</v>
      </c>
      <c r="Z904" t="str">
        <f t="shared" si="207"/>
        <v>Commercial</v>
      </c>
      <c r="AA904" t="str">
        <f t="shared" si="208"/>
        <v>Backlog</v>
      </c>
      <c r="AB904">
        <f t="shared" si="209"/>
        <v>121</v>
      </c>
      <c r="AC904">
        <f t="shared" si="210"/>
        <v>0.03</v>
      </c>
      <c r="AD904">
        <f t="shared" si="211"/>
        <v>1</v>
      </c>
      <c r="AE904">
        <f t="shared" si="212"/>
        <v>1</v>
      </c>
      <c r="AF904">
        <f t="shared" si="213"/>
        <v>1</v>
      </c>
      <c r="AG904">
        <f t="shared" si="214"/>
        <v>100</v>
      </c>
    </row>
    <row r="905" spans="1:33" x14ac:dyDescent="0.2">
      <c r="A905" t="s">
        <v>127</v>
      </c>
      <c r="B905" t="s">
        <v>128</v>
      </c>
      <c r="C905">
        <v>904</v>
      </c>
      <c r="D905">
        <v>65352</v>
      </c>
      <c r="E905" t="s">
        <v>351</v>
      </c>
      <c r="F905" t="s">
        <v>65</v>
      </c>
      <c r="G905" t="s">
        <v>10</v>
      </c>
      <c r="H905" t="s">
        <v>5</v>
      </c>
      <c r="I905" t="s">
        <v>91</v>
      </c>
      <c r="J905">
        <v>122</v>
      </c>
      <c r="K905">
        <v>0.03</v>
      </c>
      <c r="L905">
        <v>1</v>
      </c>
      <c r="M905">
        <v>1</v>
      </c>
      <c r="N905">
        <v>1</v>
      </c>
      <c r="O905">
        <v>100</v>
      </c>
      <c r="P905" t="b">
        <f t="shared" si="205"/>
        <v>0</v>
      </c>
      <c r="S905" t="str">
        <f t="shared" si="201"/>
        <v>LATER</v>
      </c>
      <c r="T905" t="str">
        <f t="shared" si="202"/>
        <v>SainteLague</v>
      </c>
      <c r="U905">
        <f t="shared" si="204"/>
        <v>904</v>
      </c>
      <c r="V905">
        <f t="shared" si="203"/>
        <v>65352</v>
      </c>
      <c r="W905" s="8" t="str">
        <f>VLOOKUP(V905,'ideas-input'!$A:$B,2,FALSE)</f>
        <v>[PUDOS] - Mejora Pudo Manager</v>
      </c>
      <c r="X905" t="str">
        <f t="shared" si="206"/>
        <v>CMO</v>
      </c>
      <c r="Y905" s="8" t="str">
        <f>VLOOKUP(V905,'ideas-input'!$A:$D,4,FALSE)</f>
        <v>eCommerce</v>
      </c>
      <c r="Z905" t="str">
        <f t="shared" si="207"/>
        <v>Commercial</v>
      </c>
      <c r="AA905" t="str">
        <f t="shared" si="208"/>
        <v>Backlog</v>
      </c>
      <c r="AB905">
        <f t="shared" si="209"/>
        <v>122</v>
      </c>
      <c r="AC905">
        <f t="shared" si="210"/>
        <v>0.03</v>
      </c>
      <c r="AD905">
        <f t="shared" si="211"/>
        <v>1</v>
      </c>
      <c r="AE905">
        <f t="shared" si="212"/>
        <v>1</v>
      </c>
      <c r="AF905">
        <f t="shared" si="213"/>
        <v>1</v>
      </c>
      <c r="AG905">
        <f t="shared" si="214"/>
        <v>100</v>
      </c>
    </row>
    <row r="906" spans="1:33" x14ac:dyDescent="0.2">
      <c r="A906" t="s">
        <v>127</v>
      </c>
      <c r="B906" t="s">
        <v>128</v>
      </c>
      <c r="C906">
        <v>905</v>
      </c>
      <c r="D906">
        <v>63389</v>
      </c>
      <c r="E906" t="s">
        <v>1515</v>
      </c>
      <c r="F906" t="s">
        <v>65</v>
      </c>
      <c r="G906" t="s">
        <v>10</v>
      </c>
      <c r="H906" t="s">
        <v>5</v>
      </c>
      <c r="I906" t="s">
        <v>95</v>
      </c>
      <c r="J906">
        <v>123</v>
      </c>
      <c r="K906">
        <v>0.03</v>
      </c>
      <c r="L906">
        <v>1</v>
      </c>
      <c r="M906">
        <v>1</v>
      </c>
      <c r="N906">
        <v>1</v>
      </c>
      <c r="O906">
        <v>100</v>
      </c>
      <c r="P906" t="b">
        <f t="shared" si="205"/>
        <v>0</v>
      </c>
      <c r="S906" t="str">
        <f t="shared" si="201"/>
        <v>LATER</v>
      </c>
      <c r="T906" t="str">
        <f t="shared" si="202"/>
        <v>SainteLague</v>
      </c>
      <c r="U906">
        <f t="shared" si="204"/>
        <v>905</v>
      </c>
      <c r="V906">
        <f t="shared" si="203"/>
        <v>63389</v>
      </c>
      <c r="W906" s="8" t="str">
        <f>VLOOKUP(V906,'ideas-input'!$A:$B,2,FALSE)</f>
        <v>[Internacional]- Actualización Web- Módulo Aduana</v>
      </c>
      <c r="X906" t="str">
        <f t="shared" si="206"/>
        <v>CMO</v>
      </c>
      <c r="Y906" s="8" t="str">
        <f>VLOOKUP(V906,'ideas-input'!$A:$D,4,FALSE)</f>
        <v>eCommerce</v>
      </c>
      <c r="Z906" t="str">
        <f t="shared" si="207"/>
        <v>Commercial</v>
      </c>
      <c r="AA906" t="str">
        <f t="shared" si="208"/>
        <v>In Definition</v>
      </c>
      <c r="AB906">
        <f t="shared" si="209"/>
        <v>123</v>
      </c>
      <c r="AC906">
        <f t="shared" si="210"/>
        <v>0.03</v>
      </c>
      <c r="AD906">
        <f t="shared" si="211"/>
        <v>1</v>
      </c>
      <c r="AE906">
        <f t="shared" si="212"/>
        <v>1</v>
      </c>
      <c r="AF906">
        <f t="shared" si="213"/>
        <v>1</v>
      </c>
      <c r="AG906">
        <f t="shared" si="214"/>
        <v>100</v>
      </c>
    </row>
    <row r="907" spans="1:33" x14ac:dyDescent="0.2">
      <c r="A907" t="s">
        <v>127</v>
      </c>
      <c r="B907" t="s">
        <v>128</v>
      </c>
      <c r="C907">
        <v>906</v>
      </c>
      <c r="D907">
        <v>61754</v>
      </c>
      <c r="E907" t="s">
        <v>1516</v>
      </c>
      <c r="F907" t="s">
        <v>65</v>
      </c>
      <c r="G907" t="s">
        <v>10</v>
      </c>
      <c r="H907" t="s">
        <v>5</v>
      </c>
      <c r="I907" t="s">
        <v>97</v>
      </c>
      <c r="J907">
        <v>124</v>
      </c>
      <c r="K907">
        <v>0.03</v>
      </c>
      <c r="L907">
        <v>1</v>
      </c>
      <c r="M907">
        <v>1</v>
      </c>
      <c r="N907">
        <v>1</v>
      </c>
      <c r="O907">
        <v>100</v>
      </c>
      <c r="P907" t="b">
        <f t="shared" si="205"/>
        <v>0</v>
      </c>
      <c r="S907" t="str">
        <f t="shared" si="201"/>
        <v>LATER</v>
      </c>
      <c r="T907" t="str">
        <f t="shared" si="202"/>
        <v>SainteLague</v>
      </c>
      <c r="U907">
        <f t="shared" si="204"/>
        <v>906</v>
      </c>
      <c r="V907">
        <f t="shared" si="203"/>
        <v>61754</v>
      </c>
      <c r="W907" s="8" t="str">
        <f>VLOOKUP(V907,'ideas-input'!$A:$B,2,FALSE)</f>
        <v>[Web de Clientes] - Seguimiento de Envío - Posibilidad de descargar el albarán asociado al envío</v>
      </c>
      <c r="X907" t="str">
        <f t="shared" si="206"/>
        <v>CMO</v>
      </c>
      <c r="Y907" s="8" t="str">
        <f>VLOOKUP(V907,'ideas-input'!$A:$D,4,FALSE)</f>
        <v>eCommerce</v>
      </c>
      <c r="Z907" t="str">
        <f t="shared" si="207"/>
        <v>Commercial</v>
      </c>
      <c r="AA907" t="str">
        <f t="shared" si="208"/>
        <v>Ready for Solution</v>
      </c>
      <c r="AB907">
        <f t="shared" si="209"/>
        <v>124</v>
      </c>
      <c r="AC907">
        <f t="shared" si="210"/>
        <v>0.03</v>
      </c>
      <c r="AD907">
        <f t="shared" si="211"/>
        <v>1</v>
      </c>
      <c r="AE907">
        <f t="shared" si="212"/>
        <v>1</v>
      </c>
      <c r="AF907">
        <f t="shared" si="213"/>
        <v>1</v>
      </c>
      <c r="AG907">
        <f t="shared" si="214"/>
        <v>100</v>
      </c>
    </row>
    <row r="908" spans="1:33" x14ac:dyDescent="0.2">
      <c r="A908" t="s">
        <v>127</v>
      </c>
      <c r="B908" t="s">
        <v>128</v>
      </c>
      <c r="C908">
        <v>907</v>
      </c>
      <c r="D908">
        <v>49943</v>
      </c>
      <c r="E908" t="s">
        <v>1517</v>
      </c>
      <c r="F908" t="s">
        <v>65</v>
      </c>
      <c r="G908" t="s">
        <v>10</v>
      </c>
      <c r="H908" t="s">
        <v>5</v>
      </c>
      <c r="I908" t="s">
        <v>91</v>
      </c>
      <c r="J908">
        <v>125</v>
      </c>
      <c r="K908">
        <v>0.03</v>
      </c>
      <c r="L908">
        <v>1</v>
      </c>
      <c r="M908">
        <v>1</v>
      </c>
      <c r="N908">
        <v>1</v>
      </c>
      <c r="O908">
        <v>100</v>
      </c>
      <c r="P908" t="b">
        <f t="shared" si="205"/>
        <v>0</v>
      </c>
      <c r="S908" t="str">
        <f t="shared" si="201"/>
        <v>LATER</v>
      </c>
      <c r="T908" t="str">
        <f t="shared" si="202"/>
        <v>SainteLague</v>
      </c>
      <c r="U908">
        <f t="shared" si="204"/>
        <v>907</v>
      </c>
      <c r="V908">
        <f t="shared" si="203"/>
        <v>49943</v>
      </c>
      <c r="W908" s="8" t="str">
        <f>VLOOKUP(V908,'ideas-input'!$A:$B,2,FALSE)</f>
        <v>[Nexus-MVP] [Web de Clientes] - Recogidas - Resolución Incidencia en la recogida causa ajena: permitir al cliente solicitar una nueva recogida</v>
      </c>
      <c r="X908" t="str">
        <f t="shared" si="206"/>
        <v>CMO</v>
      </c>
      <c r="Y908" s="8" t="str">
        <f>VLOOKUP(V908,'ideas-input'!$A:$D,4,FALSE)</f>
        <v>eCommerce</v>
      </c>
      <c r="Z908" t="str">
        <f t="shared" si="207"/>
        <v>Commercial</v>
      </c>
      <c r="AA908" t="str">
        <f t="shared" si="208"/>
        <v>Backlog</v>
      </c>
      <c r="AB908">
        <f t="shared" si="209"/>
        <v>125</v>
      </c>
      <c r="AC908">
        <f t="shared" si="210"/>
        <v>0.03</v>
      </c>
      <c r="AD908">
        <f t="shared" si="211"/>
        <v>1</v>
      </c>
      <c r="AE908">
        <f t="shared" si="212"/>
        <v>1</v>
      </c>
      <c r="AF908">
        <f t="shared" si="213"/>
        <v>1</v>
      </c>
      <c r="AG908">
        <f t="shared" si="214"/>
        <v>100</v>
      </c>
    </row>
    <row r="909" spans="1:33" x14ac:dyDescent="0.2">
      <c r="A909" t="s">
        <v>127</v>
      </c>
      <c r="B909" t="s">
        <v>128</v>
      </c>
      <c r="C909">
        <v>908</v>
      </c>
      <c r="D909">
        <v>49850</v>
      </c>
      <c r="E909" t="s">
        <v>1518</v>
      </c>
      <c r="F909" t="s">
        <v>65</v>
      </c>
      <c r="G909" t="s">
        <v>10</v>
      </c>
      <c r="H909" t="s">
        <v>5</v>
      </c>
      <c r="I909" t="s">
        <v>91</v>
      </c>
      <c r="J909">
        <v>126</v>
      </c>
      <c r="K909">
        <v>0.03</v>
      </c>
      <c r="L909">
        <v>1</v>
      </c>
      <c r="M909">
        <v>1</v>
      </c>
      <c r="N909">
        <v>1</v>
      </c>
      <c r="O909">
        <v>100</v>
      </c>
      <c r="P909" t="b">
        <f t="shared" si="205"/>
        <v>0</v>
      </c>
      <c r="S909" t="str">
        <f t="shared" si="201"/>
        <v>LATER</v>
      </c>
      <c r="T909" t="str">
        <f t="shared" si="202"/>
        <v>SainteLague</v>
      </c>
      <c r="U909">
        <f t="shared" si="204"/>
        <v>908</v>
      </c>
      <c r="V909">
        <f t="shared" si="203"/>
        <v>49850</v>
      </c>
      <c r="W909" s="8" t="str">
        <f>VLOOKUP(V909,'ideas-input'!$A:$B,2,FALSE)</f>
        <v>[PUDOS] - Internalización de la gestión de envíos en punto Celeritas</v>
      </c>
      <c r="X909" t="str">
        <f t="shared" si="206"/>
        <v>CMO</v>
      </c>
      <c r="Y909" s="8" t="str">
        <f>VLOOKUP(V909,'ideas-input'!$A:$D,4,FALSE)</f>
        <v>eCommerce</v>
      </c>
      <c r="Z909" t="str">
        <f t="shared" si="207"/>
        <v>Commercial</v>
      </c>
      <c r="AA909" t="str">
        <f t="shared" si="208"/>
        <v>Backlog</v>
      </c>
      <c r="AB909">
        <f t="shared" si="209"/>
        <v>126</v>
      </c>
      <c r="AC909">
        <f t="shared" si="210"/>
        <v>0.03</v>
      </c>
      <c r="AD909">
        <f t="shared" si="211"/>
        <v>1</v>
      </c>
      <c r="AE909">
        <f t="shared" si="212"/>
        <v>1</v>
      </c>
      <c r="AF909">
        <f t="shared" si="213"/>
        <v>1</v>
      </c>
      <c r="AG909">
        <f t="shared" si="214"/>
        <v>100</v>
      </c>
    </row>
    <row r="910" spans="1:33" x14ac:dyDescent="0.2">
      <c r="A910" t="s">
        <v>127</v>
      </c>
      <c r="B910" t="s">
        <v>128</v>
      </c>
      <c r="C910">
        <v>909</v>
      </c>
      <c r="D910">
        <v>47341</v>
      </c>
      <c r="E910" t="s">
        <v>1704</v>
      </c>
      <c r="F910" t="s">
        <v>65</v>
      </c>
      <c r="G910" t="s">
        <v>10</v>
      </c>
      <c r="H910" t="s">
        <v>5</v>
      </c>
      <c r="I910" t="s">
        <v>91</v>
      </c>
      <c r="J910">
        <v>127</v>
      </c>
      <c r="K910">
        <v>0.03</v>
      </c>
      <c r="L910">
        <v>1</v>
      </c>
      <c r="M910">
        <v>1</v>
      </c>
      <c r="N910">
        <v>1</v>
      </c>
      <c r="O910">
        <v>100</v>
      </c>
      <c r="P910" t="b">
        <f t="shared" si="205"/>
        <v>0</v>
      </c>
      <c r="S910" t="str">
        <f t="shared" si="201"/>
        <v>LATER</v>
      </c>
      <c r="T910" t="str">
        <f t="shared" si="202"/>
        <v>SainteLague</v>
      </c>
      <c r="U910">
        <f t="shared" si="204"/>
        <v>909</v>
      </c>
      <c r="V910">
        <f t="shared" si="203"/>
        <v>47341</v>
      </c>
      <c r="W910" s="8" t="str">
        <f>VLOOKUP(V910,'ideas-input'!$A:$B,2,FALSE)</f>
        <v>[Producto] -  Código promocional</v>
      </c>
      <c r="X910" t="str">
        <f t="shared" si="206"/>
        <v>CMO</v>
      </c>
      <c r="Y910" s="8" t="str">
        <f>VLOOKUP(V910,'ideas-input'!$A:$D,4,FALSE)</f>
        <v>eCommerce</v>
      </c>
      <c r="Z910" t="str">
        <f t="shared" si="207"/>
        <v>Commercial</v>
      </c>
      <c r="AA910" t="str">
        <f t="shared" si="208"/>
        <v>Backlog</v>
      </c>
      <c r="AB910">
        <f t="shared" si="209"/>
        <v>127</v>
      </c>
      <c r="AC910">
        <f t="shared" si="210"/>
        <v>0.03</v>
      </c>
      <c r="AD910">
        <f t="shared" si="211"/>
        <v>1</v>
      </c>
      <c r="AE910">
        <f t="shared" si="212"/>
        <v>1</v>
      </c>
      <c r="AF910">
        <f t="shared" si="213"/>
        <v>1</v>
      </c>
      <c r="AG910">
        <f t="shared" si="214"/>
        <v>100</v>
      </c>
    </row>
    <row r="911" spans="1:33" x14ac:dyDescent="0.2">
      <c r="A911" t="s">
        <v>127</v>
      </c>
      <c r="B911" t="s">
        <v>128</v>
      </c>
      <c r="C911">
        <v>910</v>
      </c>
      <c r="D911">
        <v>46923</v>
      </c>
      <c r="E911" t="s">
        <v>1519</v>
      </c>
      <c r="F911" t="s">
        <v>65</v>
      </c>
      <c r="G911" t="s">
        <v>10</v>
      </c>
      <c r="H911" t="s">
        <v>5</v>
      </c>
      <c r="I911" t="s">
        <v>95</v>
      </c>
      <c r="J911">
        <v>128</v>
      </c>
      <c r="K911">
        <v>0.03</v>
      </c>
      <c r="L911">
        <v>1</v>
      </c>
      <c r="M911">
        <v>1</v>
      </c>
      <c r="N911">
        <v>1</v>
      </c>
      <c r="O911">
        <v>100</v>
      </c>
      <c r="P911" t="b">
        <f t="shared" si="205"/>
        <v>0</v>
      </c>
      <c r="S911" t="str">
        <f t="shared" si="201"/>
        <v>LATER</v>
      </c>
      <c r="T911" t="str">
        <f t="shared" si="202"/>
        <v>SainteLague</v>
      </c>
      <c r="U911">
        <f t="shared" si="204"/>
        <v>910</v>
      </c>
      <c r="V911">
        <f t="shared" si="203"/>
        <v>46923</v>
      </c>
      <c r="W911" s="8" t="str">
        <f>VLOOKUP(V911,'ideas-input'!$A:$B,2,FALSE)</f>
        <v>[PUDOS] - Resolución incidencias de Puntos CTT Express</v>
      </c>
      <c r="X911" t="str">
        <f t="shared" si="206"/>
        <v>CMO</v>
      </c>
      <c r="Y911" s="8" t="str">
        <f>VLOOKUP(V911,'ideas-input'!$A:$D,4,FALSE)</f>
        <v>eCommerce</v>
      </c>
      <c r="Z911" t="str">
        <f t="shared" si="207"/>
        <v>Commercial</v>
      </c>
      <c r="AA911" t="str">
        <f t="shared" si="208"/>
        <v>In Definition</v>
      </c>
      <c r="AB911">
        <f t="shared" si="209"/>
        <v>128</v>
      </c>
      <c r="AC911">
        <f t="shared" si="210"/>
        <v>0.03</v>
      </c>
      <c r="AD911">
        <f t="shared" si="211"/>
        <v>1</v>
      </c>
      <c r="AE911">
        <f t="shared" si="212"/>
        <v>1</v>
      </c>
      <c r="AF911">
        <f t="shared" si="213"/>
        <v>1</v>
      </c>
      <c r="AG911">
        <f t="shared" si="214"/>
        <v>100</v>
      </c>
    </row>
    <row r="912" spans="1:33" x14ac:dyDescent="0.2">
      <c r="A912" t="s">
        <v>127</v>
      </c>
      <c r="B912" t="s">
        <v>128</v>
      </c>
      <c r="C912">
        <v>911</v>
      </c>
      <c r="D912">
        <v>46838</v>
      </c>
      <c r="E912" t="s">
        <v>352</v>
      </c>
      <c r="F912" t="s">
        <v>65</v>
      </c>
      <c r="G912" t="s">
        <v>10</v>
      </c>
      <c r="H912" t="s">
        <v>5</v>
      </c>
      <c r="I912" t="s">
        <v>91</v>
      </c>
      <c r="J912">
        <v>129</v>
      </c>
      <c r="K912">
        <v>0.03</v>
      </c>
      <c r="L912">
        <v>1</v>
      </c>
      <c r="M912">
        <v>1</v>
      </c>
      <c r="N912">
        <v>1</v>
      </c>
      <c r="O912">
        <v>100</v>
      </c>
      <c r="P912" t="b">
        <f t="shared" si="205"/>
        <v>0</v>
      </c>
      <c r="S912" t="str">
        <f t="shared" si="201"/>
        <v>LATER</v>
      </c>
      <c r="T912" t="str">
        <f t="shared" si="202"/>
        <v>SainteLague</v>
      </c>
      <c r="U912">
        <f t="shared" si="204"/>
        <v>911</v>
      </c>
      <c r="V912">
        <f t="shared" si="203"/>
        <v>46838</v>
      </c>
      <c r="W912" s="8" t="str">
        <f>VLOOKUP(V912,'ideas-input'!$A:$B,2,FALSE)</f>
        <v>Desarrollo Nuevas funcionalidades/Venta (TP)</v>
      </c>
      <c r="X912" t="str">
        <f t="shared" si="206"/>
        <v>CMO</v>
      </c>
      <c r="Y912" s="8" t="str">
        <f>VLOOKUP(V912,'ideas-input'!$A:$D,4,FALSE)</f>
        <v>eCommerce</v>
      </c>
      <c r="Z912" t="str">
        <f t="shared" si="207"/>
        <v>Commercial</v>
      </c>
      <c r="AA912" t="str">
        <f t="shared" si="208"/>
        <v>Backlog</v>
      </c>
      <c r="AB912">
        <f t="shared" si="209"/>
        <v>129</v>
      </c>
      <c r="AC912">
        <f t="shared" si="210"/>
        <v>0.03</v>
      </c>
      <c r="AD912">
        <f t="shared" si="211"/>
        <v>1</v>
      </c>
      <c r="AE912">
        <f t="shared" si="212"/>
        <v>1</v>
      </c>
      <c r="AF912">
        <f t="shared" si="213"/>
        <v>1</v>
      </c>
      <c r="AG912">
        <f t="shared" si="214"/>
        <v>100</v>
      </c>
    </row>
    <row r="913" spans="1:33" x14ac:dyDescent="0.2">
      <c r="A913" t="s">
        <v>127</v>
      </c>
      <c r="B913" t="s">
        <v>128</v>
      </c>
      <c r="C913">
        <v>912</v>
      </c>
      <c r="D913">
        <v>46837</v>
      </c>
      <c r="E913" t="s">
        <v>1520</v>
      </c>
      <c r="F913" t="s">
        <v>65</v>
      </c>
      <c r="G913" t="s">
        <v>10</v>
      </c>
      <c r="H913" t="s">
        <v>5</v>
      </c>
      <c r="I913" t="s">
        <v>91</v>
      </c>
      <c r="J913">
        <v>130</v>
      </c>
      <c r="K913">
        <v>0.03</v>
      </c>
      <c r="L913">
        <v>1</v>
      </c>
      <c r="M913">
        <v>1</v>
      </c>
      <c r="N913">
        <v>1</v>
      </c>
      <c r="O913">
        <v>100</v>
      </c>
      <c r="P913" t="b">
        <f t="shared" si="205"/>
        <v>0</v>
      </c>
      <c r="S913" t="str">
        <f t="shared" si="201"/>
        <v>LATER</v>
      </c>
      <c r="T913" t="str">
        <f t="shared" si="202"/>
        <v>SainteLague</v>
      </c>
      <c r="U913">
        <f t="shared" si="204"/>
        <v>912</v>
      </c>
      <c r="V913">
        <f t="shared" si="203"/>
        <v>46837</v>
      </c>
      <c r="W913" s="8" t="str">
        <f>VLOOKUP(V913,'ideas-input'!$A:$B,2,FALSE)</f>
        <v>Implementación de la red Locky (TP)</v>
      </c>
      <c r="X913" t="str">
        <f t="shared" si="206"/>
        <v>CMO</v>
      </c>
      <c r="Y913" s="8" t="str">
        <f>VLOOKUP(V913,'ideas-input'!$A:$D,4,FALSE)</f>
        <v>eCommerce</v>
      </c>
      <c r="Z913" t="str">
        <f t="shared" si="207"/>
        <v>Commercial</v>
      </c>
      <c r="AA913" t="str">
        <f t="shared" si="208"/>
        <v>Backlog</v>
      </c>
      <c r="AB913">
        <f t="shared" si="209"/>
        <v>130</v>
      </c>
      <c r="AC913">
        <f t="shared" si="210"/>
        <v>0.03</v>
      </c>
      <c r="AD913">
        <f t="shared" si="211"/>
        <v>1</v>
      </c>
      <c r="AE913">
        <f t="shared" si="212"/>
        <v>1</v>
      </c>
      <c r="AF913">
        <f t="shared" si="213"/>
        <v>1</v>
      </c>
      <c r="AG913">
        <f t="shared" si="214"/>
        <v>100</v>
      </c>
    </row>
    <row r="914" spans="1:33" x14ac:dyDescent="0.2">
      <c r="A914" t="s">
        <v>127</v>
      </c>
      <c r="B914" t="s">
        <v>128</v>
      </c>
      <c r="C914">
        <v>913</v>
      </c>
      <c r="D914">
        <v>46818</v>
      </c>
      <c r="E914" t="s">
        <v>1521</v>
      </c>
      <c r="F914" t="s">
        <v>65</v>
      </c>
      <c r="G914" t="s">
        <v>10</v>
      </c>
      <c r="H914" t="s">
        <v>5</v>
      </c>
      <c r="I914" t="s">
        <v>95</v>
      </c>
      <c r="J914">
        <v>131</v>
      </c>
      <c r="K914">
        <v>0.03</v>
      </c>
      <c r="L914">
        <v>1</v>
      </c>
      <c r="M914">
        <v>1</v>
      </c>
      <c r="N914">
        <v>1</v>
      </c>
      <c r="O914">
        <v>100</v>
      </c>
      <c r="P914" t="b">
        <f t="shared" si="205"/>
        <v>0</v>
      </c>
      <c r="S914" t="str">
        <f t="shared" si="201"/>
        <v>LATER</v>
      </c>
      <c r="T914" t="str">
        <f t="shared" si="202"/>
        <v>SainteLague</v>
      </c>
      <c r="U914">
        <f t="shared" si="204"/>
        <v>913</v>
      </c>
      <c r="V914">
        <f t="shared" si="203"/>
        <v>46818</v>
      </c>
      <c r="W914" s="8" t="str">
        <f>VLOOKUP(V914,'ideas-input'!$A:$B,2,FALSE)</f>
        <v>Servicios Preferentes/Revisión del cálculo de compromiso (TP)</v>
      </c>
      <c r="X914" t="str">
        <f t="shared" si="206"/>
        <v>CMO</v>
      </c>
      <c r="Y914" s="8" t="str">
        <f>VLOOKUP(V914,'ideas-input'!$A:$D,4,FALSE)</f>
        <v>eCommerce</v>
      </c>
      <c r="Z914" t="str">
        <f t="shared" si="207"/>
        <v>Commercial</v>
      </c>
      <c r="AA914" t="str">
        <f t="shared" si="208"/>
        <v>In Definition</v>
      </c>
      <c r="AB914">
        <f t="shared" si="209"/>
        <v>131</v>
      </c>
      <c r="AC914">
        <f t="shared" si="210"/>
        <v>0.03</v>
      </c>
      <c r="AD914">
        <f t="shared" si="211"/>
        <v>1</v>
      </c>
      <c r="AE914">
        <f t="shared" si="212"/>
        <v>1</v>
      </c>
      <c r="AF914">
        <f t="shared" si="213"/>
        <v>1</v>
      </c>
      <c r="AG914">
        <f t="shared" si="214"/>
        <v>100</v>
      </c>
    </row>
    <row r="915" spans="1:33" x14ac:dyDescent="0.2">
      <c r="A915" t="s">
        <v>127</v>
      </c>
      <c r="B915" t="s">
        <v>128</v>
      </c>
      <c r="C915">
        <v>914</v>
      </c>
      <c r="D915">
        <v>65738</v>
      </c>
      <c r="E915" t="s">
        <v>1523</v>
      </c>
      <c r="F915" t="s">
        <v>65</v>
      </c>
      <c r="G915" t="s">
        <v>10</v>
      </c>
      <c r="H915" t="s">
        <v>5</v>
      </c>
      <c r="I915" t="s">
        <v>91</v>
      </c>
      <c r="J915">
        <v>132</v>
      </c>
      <c r="K915">
        <v>0.03</v>
      </c>
      <c r="L915">
        <v>1</v>
      </c>
      <c r="M915">
        <v>1</v>
      </c>
      <c r="N915">
        <v>1</v>
      </c>
      <c r="O915">
        <v>100</v>
      </c>
      <c r="P915" t="b">
        <f t="shared" si="205"/>
        <v>0</v>
      </c>
      <c r="S915" t="str">
        <f t="shared" si="201"/>
        <v>LATER</v>
      </c>
      <c r="T915" t="str">
        <f t="shared" si="202"/>
        <v>SainteLague</v>
      </c>
      <c r="U915">
        <f t="shared" si="204"/>
        <v>914</v>
      </c>
      <c r="V915">
        <f t="shared" si="203"/>
        <v>65738</v>
      </c>
      <c r="W915" s="8" t="str">
        <f>VLOOKUP(V915,'ideas-input'!$A:$B,2,FALSE)</f>
        <v>[PUDOS] - Generación POD envíos Celeritas / Locky</v>
      </c>
      <c r="X915" t="str">
        <f t="shared" si="206"/>
        <v>CMO</v>
      </c>
      <c r="Y915" s="8" t="str">
        <f>VLOOKUP(V915,'ideas-input'!$A:$D,4,FALSE)</f>
        <v>eCommerce</v>
      </c>
      <c r="Z915" t="str">
        <f t="shared" si="207"/>
        <v>Commercial</v>
      </c>
      <c r="AA915" t="str">
        <f t="shared" si="208"/>
        <v>Backlog</v>
      </c>
      <c r="AB915">
        <f t="shared" si="209"/>
        <v>132</v>
      </c>
      <c r="AC915">
        <f t="shared" si="210"/>
        <v>0.03</v>
      </c>
      <c r="AD915">
        <f t="shared" si="211"/>
        <v>1</v>
      </c>
      <c r="AE915">
        <f t="shared" si="212"/>
        <v>1</v>
      </c>
      <c r="AF915">
        <f t="shared" si="213"/>
        <v>1</v>
      </c>
      <c r="AG915">
        <f t="shared" si="214"/>
        <v>100</v>
      </c>
    </row>
    <row r="916" spans="1:33" x14ac:dyDescent="0.2">
      <c r="A916" t="s">
        <v>127</v>
      </c>
      <c r="B916" t="s">
        <v>128</v>
      </c>
      <c r="C916">
        <v>915</v>
      </c>
      <c r="D916">
        <v>139346</v>
      </c>
      <c r="E916" t="s">
        <v>949</v>
      </c>
      <c r="F916" t="s">
        <v>65</v>
      </c>
      <c r="G916" t="s">
        <v>10</v>
      </c>
      <c r="H916" t="s">
        <v>5</v>
      </c>
      <c r="I916" t="s">
        <v>91</v>
      </c>
      <c r="J916">
        <v>133</v>
      </c>
      <c r="K916">
        <v>0.03</v>
      </c>
      <c r="L916">
        <v>1</v>
      </c>
      <c r="M916">
        <v>1</v>
      </c>
      <c r="N916">
        <v>1</v>
      </c>
      <c r="O916">
        <v>100</v>
      </c>
      <c r="P916" t="b">
        <f t="shared" si="205"/>
        <v>0</v>
      </c>
      <c r="S916" t="str">
        <f t="shared" si="201"/>
        <v>LATER</v>
      </c>
      <c r="T916" t="str">
        <f t="shared" si="202"/>
        <v>SainteLague</v>
      </c>
      <c r="U916">
        <f t="shared" si="204"/>
        <v>915</v>
      </c>
      <c r="V916">
        <f t="shared" si="203"/>
        <v>139346</v>
      </c>
      <c r="W916" s="8" t="str">
        <f>VLOOKUP(V916,'ideas-input'!$A:$B,2,FALSE)</f>
        <v>WS - Mejorar Experiencia en PUDO's</v>
      </c>
      <c r="X916" t="str">
        <f t="shared" si="206"/>
        <v>CMO</v>
      </c>
      <c r="Y916" s="8" t="str">
        <f>VLOOKUP(V916,'ideas-input'!$A:$D,4,FALSE)</f>
        <v>eCommerce</v>
      </c>
      <c r="Z916" t="str">
        <f t="shared" si="207"/>
        <v>Commercial</v>
      </c>
      <c r="AA916" t="str">
        <f t="shared" si="208"/>
        <v>Backlog</v>
      </c>
      <c r="AB916">
        <f t="shared" si="209"/>
        <v>133</v>
      </c>
      <c r="AC916">
        <f t="shared" si="210"/>
        <v>0.03</v>
      </c>
      <c r="AD916">
        <f t="shared" si="211"/>
        <v>1</v>
      </c>
      <c r="AE916">
        <f t="shared" si="212"/>
        <v>1</v>
      </c>
      <c r="AF916">
        <f t="shared" si="213"/>
        <v>1</v>
      </c>
      <c r="AG916">
        <f t="shared" si="214"/>
        <v>100</v>
      </c>
    </row>
    <row r="917" spans="1:33" x14ac:dyDescent="0.2">
      <c r="A917" t="s">
        <v>127</v>
      </c>
      <c r="B917" t="s">
        <v>128</v>
      </c>
      <c r="C917">
        <v>916</v>
      </c>
      <c r="D917">
        <v>140672</v>
      </c>
      <c r="E917" t="s">
        <v>1705</v>
      </c>
      <c r="F917" t="s">
        <v>65</v>
      </c>
      <c r="G917" t="s">
        <v>10</v>
      </c>
      <c r="H917" t="s">
        <v>5</v>
      </c>
      <c r="I917" t="s">
        <v>95</v>
      </c>
      <c r="J917">
        <v>134</v>
      </c>
      <c r="K917">
        <v>0.03</v>
      </c>
      <c r="L917">
        <v>1</v>
      </c>
      <c r="M917">
        <v>1</v>
      </c>
      <c r="N917">
        <v>1</v>
      </c>
      <c r="O917">
        <v>100</v>
      </c>
      <c r="P917" t="b">
        <f t="shared" si="205"/>
        <v>0</v>
      </c>
      <c r="S917" t="str">
        <f t="shared" si="201"/>
        <v>LATER</v>
      </c>
      <c r="T917" t="str">
        <f t="shared" si="202"/>
        <v>SainteLague</v>
      </c>
      <c r="U917">
        <f t="shared" si="204"/>
        <v>916</v>
      </c>
      <c r="V917">
        <f t="shared" si="203"/>
        <v>140672</v>
      </c>
      <c r="W917" s="8" t="str">
        <f>VLOOKUP(V917,'ideas-input'!$A:$B,2,FALSE)</f>
        <v>Plan de Retención de Clientes en Descenso de Actividad</v>
      </c>
      <c r="X917" t="str">
        <f t="shared" si="206"/>
        <v>CMO</v>
      </c>
      <c r="Y917" s="8" t="str">
        <f>VLOOKUP(V917,'ideas-input'!$A:$D,4,FALSE)</f>
        <v>eCommerce</v>
      </c>
      <c r="Z917" t="str">
        <f t="shared" si="207"/>
        <v>Commercial</v>
      </c>
      <c r="AA917" t="str">
        <f t="shared" si="208"/>
        <v>In Definition</v>
      </c>
      <c r="AB917">
        <f t="shared" si="209"/>
        <v>134</v>
      </c>
      <c r="AC917">
        <f t="shared" si="210"/>
        <v>0.03</v>
      </c>
      <c r="AD917">
        <f t="shared" si="211"/>
        <v>1</v>
      </c>
      <c r="AE917">
        <f t="shared" si="212"/>
        <v>1</v>
      </c>
      <c r="AF917">
        <f t="shared" si="213"/>
        <v>1</v>
      </c>
      <c r="AG917">
        <f t="shared" si="214"/>
        <v>100</v>
      </c>
    </row>
    <row r="918" spans="1:33" x14ac:dyDescent="0.2">
      <c r="A918" t="s">
        <v>127</v>
      </c>
      <c r="B918" t="s">
        <v>128</v>
      </c>
      <c r="C918">
        <v>917</v>
      </c>
      <c r="D918">
        <v>140627</v>
      </c>
      <c r="E918" t="s">
        <v>1706</v>
      </c>
      <c r="F918" t="s">
        <v>65</v>
      </c>
      <c r="G918" t="s">
        <v>10</v>
      </c>
      <c r="H918" t="s">
        <v>5</v>
      </c>
      <c r="I918" t="s">
        <v>95</v>
      </c>
      <c r="J918">
        <v>135</v>
      </c>
      <c r="K918">
        <v>1.333</v>
      </c>
      <c r="L918">
        <v>1</v>
      </c>
      <c r="M918">
        <v>1</v>
      </c>
      <c r="N918">
        <v>2</v>
      </c>
      <c r="O918">
        <v>3</v>
      </c>
      <c r="P918" t="b">
        <f t="shared" si="205"/>
        <v>0</v>
      </c>
      <c r="S918" t="str">
        <f t="shared" si="201"/>
        <v>LATER</v>
      </c>
      <c r="T918" t="str">
        <f t="shared" si="202"/>
        <v>SainteLague</v>
      </c>
      <c r="U918">
        <f t="shared" si="204"/>
        <v>917</v>
      </c>
      <c r="V918">
        <f t="shared" si="203"/>
        <v>140627</v>
      </c>
      <c r="W918" s="8" t="str">
        <f>VLOOKUP(V918,'ideas-input'!$A:$B,2,FALSE)</f>
        <v>[PUDOS] Adaptación portal de proveedores para gestión de puntos de red propia</v>
      </c>
      <c r="X918" t="str">
        <f t="shared" si="206"/>
        <v>CMO</v>
      </c>
      <c r="Y918" s="8" t="str">
        <f>VLOOKUP(V918,'ideas-input'!$A:$D,4,FALSE)</f>
        <v>eCommerce</v>
      </c>
      <c r="Z918" t="str">
        <f t="shared" si="207"/>
        <v>Commercial</v>
      </c>
      <c r="AA918" t="str">
        <f t="shared" si="208"/>
        <v>In Definition</v>
      </c>
      <c r="AB918">
        <f t="shared" si="209"/>
        <v>135</v>
      </c>
      <c r="AC918">
        <f t="shared" si="210"/>
        <v>1.333</v>
      </c>
      <c r="AD918">
        <f t="shared" si="211"/>
        <v>1</v>
      </c>
      <c r="AE918">
        <f t="shared" si="212"/>
        <v>1</v>
      </c>
      <c r="AF918">
        <f t="shared" si="213"/>
        <v>2</v>
      </c>
      <c r="AG918">
        <f t="shared" si="214"/>
        <v>3</v>
      </c>
    </row>
    <row r="919" spans="1:33" x14ac:dyDescent="0.2">
      <c r="A919" t="s">
        <v>127</v>
      </c>
      <c r="B919" t="s">
        <v>128</v>
      </c>
      <c r="C919">
        <v>918</v>
      </c>
      <c r="D919">
        <v>139490</v>
      </c>
      <c r="E919" t="s">
        <v>1525</v>
      </c>
      <c r="F919" t="s">
        <v>65</v>
      </c>
      <c r="G919" t="s">
        <v>10</v>
      </c>
      <c r="H919" t="s">
        <v>5</v>
      </c>
      <c r="I919" t="s">
        <v>91</v>
      </c>
      <c r="J919">
        <v>136</v>
      </c>
      <c r="K919">
        <v>0.03</v>
      </c>
      <c r="L919">
        <v>1</v>
      </c>
      <c r="M919">
        <v>1</v>
      </c>
      <c r="N919">
        <v>1</v>
      </c>
      <c r="O919">
        <v>100</v>
      </c>
      <c r="P919" t="b">
        <f t="shared" si="205"/>
        <v>0</v>
      </c>
      <c r="S919" t="str">
        <f t="shared" ref="S919:S934" si="215">A919</f>
        <v>LATER</v>
      </c>
      <c r="T919" t="str">
        <f t="shared" ref="T919:T934" si="216">B919</f>
        <v>SainteLague</v>
      </c>
      <c r="U919">
        <f t="shared" si="204"/>
        <v>918</v>
      </c>
      <c r="V919">
        <f t="shared" ref="V919:V934" si="217">D919</f>
        <v>139490</v>
      </c>
      <c r="W919" s="8" t="str">
        <f>VLOOKUP(V919,'ideas-input'!$A:$B,2,FALSE)</f>
        <v>[NEXUS]- PRODUCTO CTT RETORNO</v>
      </c>
      <c r="X919" t="str">
        <f t="shared" si="206"/>
        <v>CMO</v>
      </c>
      <c r="Y919" s="8" t="str">
        <f>VLOOKUP(V919,'ideas-input'!$A:$D,4,FALSE)</f>
        <v>eCommerce</v>
      </c>
      <c r="Z919" t="str">
        <f t="shared" si="207"/>
        <v>Commercial</v>
      </c>
      <c r="AA919" t="str">
        <f t="shared" si="208"/>
        <v>Backlog</v>
      </c>
      <c r="AB919">
        <f t="shared" si="209"/>
        <v>136</v>
      </c>
      <c r="AC919">
        <f t="shared" si="210"/>
        <v>0.03</v>
      </c>
      <c r="AD919">
        <f t="shared" si="211"/>
        <v>1</v>
      </c>
      <c r="AE919">
        <f t="shared" si="212"/>
        <v>1</v>
      </c>
      <c r="AF919">
        <f t="shared" si="213"/>
        <v>1</v>
      </c>
      <c r="AG919">
        <f t="shared" si="214"/>
        <v>100</v>
      </c>
    </row>
    <row r="920" spans="1:33" x14ac:dyDescent="0.2">
      <c r="A920" t="s">
        <v>127</v>
      </c>
      <c r="B920" t="s">
        <v>128</v>
      </c>
      <c r="C920">
        <v>919</v>
      </c>
      <c r="D920">
        <v>139282</v>
      </c>
      <c r="E920" t="s">
        <v>1526</v>
      </c>
      <c r="F920" t="s">
        <v>65</v>
      </c>
      <c r="G920" t="s">
        <v>10</v>
      </c>
      <c r="H920" t="s">
        <v>5</v>
      </c>
      <c r="I920" t="s">
        <v>95</v>
      </c>
      <c r="J920">
        <v>137</v>
      </c>
      <c r="K920">
        <v>0.03</v>
      </c>
      <c r="L920">
        <v>1</v>
      </c>
      <c r="M920">
        <v>1</v>
      </c>
      <c r="N920">
        <v>1</v>
      </c>
      <c r="O920">
        <v>100</v>
      </c>
      <c r="P920" t="b">
        <f t="shared" si="205"/>
        <v>0</v>
      </c>
      <c r="S920" t="str">
        <f t="shared" si="215"/>
        <v>LATER</v>
      </c>
      <c r="T920" t="str">
        <f t="shared" si="216"/>
        <v>SainteLague</v>
      </c>
      <c r="U920">
        <f t="shared" si="204"/>
        <v>919</v>
      </c>
      <c r="V920">
        <f t="shared" si="217"/>
        <v>139282</v>
      </c>
      <c r="W920" s="8" t="str">
        <f>VLOOKUP(V920,'ideas-input'!$A:$B,2,FALSE)</f>
        <v>[PUDOS] Recoger y mostrar a destinatarios y repartidores, información adicional de la ubicación y acceso a los Lockys</v>
      </c>
      <c r="X920" t="str">
        <f t="shared" si="206"/>
        <v>CMO</v>
      </c>
      <c r="Y920" s="8" t="str">
        <f>VLOOKUP(V920,'ideas-input'!$A:$D,4,FALSE)</f>
        <v>eCommerce</v>
      </c>
      <c r="Z920" t="str">
        <f t="shared" si="207"/>
        <v>Commercial</v>
      </c>
      <c r="AA920" t="str">
        <f t="shared" si="208"/>
        <v>In Definition</v>
      </c>
      <c r="AB920">
        <f t="shared" si="209"/>
        <v>137</v>
      </c>
      <c r="AC920">
        <f t="shared" si="210"/>
        <v>0.03</v>
      </c>
      <c r="AD920">
        <f t="shared" si="211"/>
        <v>1</v>
      </c>
      <c r="AE920">
        <f t="shared" si="212"/>
        <v>1</v>
      </c>
      <c r="AF920">
        <f t="shared" si="213"/>
        <v>1</v>
      </c>
      <c r="AG920">
        <f t="shared" si="214"/>
        <v>100</v>
      </c>
    </row>
    <row r="921" spans="1:33" x14ac:dyDescent="0.2">
      <c r="A921" t="s">
        <v>127</v>
      </c>
      <c r="B921" t="s">
        <v>128</v>
      </c>
      <c r="C921">
        <v>920</v>
      </c>
      <c r="D921">
        <v>138573</v>
      </c>
      <c r="E921" t="s">
        <v>1527</v>
      </c>
      <c r="F921" t="s">
        <v>65</v>
      </c>
      <c r="G921" t="s">
        <v>10</v>
      </c>
      <c r="H921" t="s">
        <v>5</v>
      </c>
      <c r="I921" t="s">
        <v>95</v>
      </c>
      <c r="J921">
        <v>138</v>
      </c>
      <c r="K921">
        <v>0.03</v>
      </c>
      <c r="L921">
        <v>1</v>
      </c>
      <c r="M921">
        <v>1</v>
      </c>
      <c r="N921">
        <v>1</v>
      </c>
      <c r="O921">
        <v>100</v>
      </c>
      <c r="P921" t="b">
        <f t="shared" si="205"/>
        <v>0</v>
      </c>
      <c r="S921" t="str">
        <f t="shared" si="215"/>
        <v>LATER</v>
      </c>
      <c r="T921" t="str">
        <f t="shared" si="216"/>
        <v>SainteLague</v>
      </c>
      <c r="U921">
        <f t="shared" si="204"/>
        <v>920</v>
      </c>
      <c r="V921">
        <f t="shared" si="217"/>
        <v>138573</v>
      </c>
      <c r="W921" s="8" t="str">
        <f>VLOOKUP(V921,'ideas-input'!$A:$B,2,FALSE)</f>
        <v>[PUDOS]-[QLIK] App/Hoja de analítica de incidencias en PUDOs</v>
      </c>
      <c r="X921" t="str">
        <f t="shared" si="206"/>
        <v>CMO</v>
      </c>
      <c r="Y921" s="8" t="str">
        <f>VLOOKUP(V921,'ideas-input'!$A:$D,4,FALSE)</f>
        <v>eCommerce</v>
      </c>
      <c r="Z921" t="str">
        <f t="shared" si="207"/>
        <v>Commercial</v>
      </c>
      <c r="AA921" t="str">
        <f t="shared" si="208"/>
        <v>In Definition</v>
      </c>
      <c r="AB921">
        <f t="shared" si="209"/>
        <v>138</v>
      </c>
      <c r="AC921">
        <f t="shared" si="210"/>
        <v>0.03</v>
      </c>
      <c r="AD921">
        <f t="shared" si="211"/>
        <v>1</v>
      </c>
      <c r="AE921">
        <f t="shared" si="212"/>
        <v>1</v>
      </c>
      <c r="AF921">
        <f t="shared" si="213"/>
        <v>1</v>
      </c>
      <c r="AG921">
        <f t="shared" si="214"/>
        <v>100</v>
      </c>
    </row>
    <row r="922" spans="1:33" x14ac:dyDescent="0.2">
      <c r="A922" t="s">
        <v>127</v>
      </c>
      <c r="B922" t="s">
        <v>128</v>
      </c>
      <c r="C922">
        <v>921</v>
      </c>
      <c r="D922">
        <v>138420</v>
      </c>
      <c r="E922" t="s">
        <v>1528</v>
      </c>
      <c r="F922" t="s">
        <v>65</v>
      </c>
      <c r="G922" t="s">
        <v>10</v>
      </c>
      <c r="H922" t="s">
        <v>5</v>
      </c>
      <c r="I922" t="s">
        <v>95</v>
      </c>
      <c r="J922">
        <v>139</v>
      </c>
      <c r="K922">
        <v>0.03</v>
      </c>
      <c r="L922">
        <v>1</v>
      </c>
      <c r="M922">
        <v>1</v>
      </c>
      <c r="N922">
        <v>1</v>
      </c>
      <c r="O922">
        <v>100</v>
      </c>
      <c r="P922" t="b">
        <f t="shared" si="205"/>
        <v>0</v>
      </c>
      <c r="S922" t="str">
        <f t="shared" si="215"/>
        <v>LATER</v>
      </c>
      <c r="T922" t="str">
        <f t="shared" si="216"/>
        <v>SainteLague</v>
      </c>
      <c r="U922">
        <f t="shared" ref="U922:U934" si="218">C922</f>
        <v>921</v>
      </c>
      <c r="V922">
        <f t="shared" si="217"/>
        <v>138420</v>
      </c>
      <c r="W922" s="8" t="str">
        <f>VLOOKUP(V922,'ideas-input'!$A:$B,2,FALSE)</f>
        <v>[PUDOS] Reservas y aceptación de envíos a PUDO - Verificar si el punto está activado/desactivado por PUDOS para dar el OK</v>
      </c>
      <c r="X922" t="str">
        <f t="shared" si="206"/>
        <v>CMO</v>
      </c>
      <c r="Y922" s="8" t="str">
        <f>VLOOKUP(V922,'ideas-input'!$A:$D,4,FALSE)</f>
        <v>eCommerce</v>
      </c>
      <c r="Z922" t="str">
        <f t="shared" si="207"/>
        <v>Commercial</v>
      </c>
      <c r="AA922" t="str">
        <f t="shared" si="208"/>
        <v>In Definition</v>
      </c>
      <c r="AB922">
        <f t="shared" si="209"/>
        <v>139</v>
      </c>
      <c r="AC922">
        <f t="shared" si="210"/>
        <v>0.03</v>
      </c>
      <c r="AD922">
        <f t="shared" si="211"/>
        <v>1</v>
      </c>
      <c r="AE922">
        <f t="shared" si="212"/>
        <v>1</v>
      </c>
      <c r="AF922">
        <f t="shared" si="213"/>
        <v>1</v>
      </c>
      <c r="AG922">
        <f t="shared" si="214"/>
        <v>100</v>
      </c>
    </row>
    <row r="923" spans="1:33" x14ac:dyDescent="0.2">
      <c r="A923" t="s">
        <v>127</v>
      </c>
      <c r="B923" t="s">
        <v>128</v>
      </c>
      <c r="C923">
        <v>922</v>
      </c>
      <c r="D923">
        <v>138224</v>
      </c>
      <c r="E923" t="s">
        <v>1522</v>
      </c>
      <c r="F923" t="s">
        <v>65</v>
      </c>
      <c r="G923" t="s">
        <v>10</v>
      </c>
      <c r="H923" t="s">
        <v>5</v>
      </c>
      <c r="I923" t="s">
        <v>91</v>
      </c>
      <c r="J923">
        <v>140</v>
      </c>
      <c r="K923">
        <v>0.03</v>
      </c>
      <c r="L923">
        <v>1</v>
      </c>
      <c r="M923">
        <v>1</v>
      </c>
      <c r="N923">
        <v>1</v>
      </c>
      <c r="O923">
        <v>100</v>
      </c>
      <c r="P923" t="b">
        <f t="shared" si="205"/>
        <v>0</v>
      </c>
      <c r="S923" t="str">
        <f t="shared" si="215"/>
        <v>LATER</v>
      </c>
      <c r="T923" t="str">
        <f t="shared" si="216"/>
        <v>SainteLague</v>
      </c>
      <c r="U923">
        <f t="shared" si="218"/>
        <v>922</v>
      </c>
      <c r="V923">
        <f t="shared" si="217"/>
        <v>138224</v>
      </c>
      <c r="W923" s="8" t="str">
        <f>VLOOKUP(V923,'ideas-input'!$A:$B,2,FALSE)</f>
        <v>[NEXUS] Servicio de Intentos de entrega Flexible</v>
      </c>
      <c r="X923" t="str">
        <f t="shared" si="206"/>
        <v>CMO</v>
      </c>
      <c r="Y923" s="8" t="str">
        <f>VLOOKUP(V923,'ideas-input'!$A:$D,4,FALSE)</f>
        <v>eCommerce</v>
      </c>
      <c r="Z923" t="str">
        <f t="shared" si="207"/>
        <v>Commercial</v>
      </c>
      <c r="AA923" t="str">
        <f t="shared" si="208"/>
        <v>Backlog</v>
      </c>
      <c r="AB923">
        <f t="shared" si="209"/>
        <v>140</v>
      </c>
      <c r="AC923">
        <f t="shared" si="210"/>
        <v>0.03</v>
      </c>
      <c r="AD923">
        <f t="shared" si="211"/>
        <v>1</v>
      </c>
      <c r="AE923">
        <f t="shared" si="212"/>
        <v>1</v>
      </c>
      <c r="AF923">
        <f t="shared" si="213"/>
        <v>1</v>
      </c>
      <c r="AG923">
        <f t="shared" si="214"/>
        <v>100</v>
      </c>
    </row>
    <row r="924" spans="1:33" x14ac:dyDescent="0.2">
      <c r="A924" t="s">
        <v>127</v>
      </c>
      <c r="B924" t="s">
        <v>128</v>
      </c>
      <c r="C924">
        <v>923</v>
      </c>
      <c r="D924">
        <v>138044</v>
      </c>
      <c r="E924" t="s">
        <v>1529</v>
      </c>
      <c r="F924" t="s">
        <v>65</v>
      </c>
      <c r="G924" t="s">
        <v>10</v>
      </c>
      <c r="H924" t="s">
        <v>5</v>
      </c>
      <c r="I924" t="s">
        <v>91</v>
      </c>
      <c r="J924">
        <v>141</v>
      </c>
      <c r="K924">
        <v>0.03</v>
      </c>
      <c r="L924">
        <v>1</v>
      </c>
      <c r="M924">
        <v>1</v>
      </c>
      <c r="N924">
        <v>1</v>
      </c>
      <c r="O924">
        <v>100</v>
      </c>
      <c r="P924" t="b">
        <f t="shared" si="205"/>
        <v>0</v>
      </c>
      <c r="S924" t="str">
        <f t="shared" si="215"/>
        <v>LATER</v>
      </c>
      <c r="T924" t="str">
        <f t="shared" si="216"/>
        <v>SainteLague</v>
      </c>
      <c r="U924">
        <f t="shared" si="218"/>
        <v>923</v>
      </c>
      <c r="V924">
        <f t="shared" si="217"/>
        <v>138044</v>
      </c>
      <c r="W924" s="8" t="str">
        <f>VLOOKUP(V924,'ideas-input'!$A:$B,2,FALSE)</f>
        <v>[NexIA] - Shipping Simulator - Evolución</v>
      </c>
      <c r="X924" t="str">
        <f t="shared" si="206"/>
        <v>CMO</v>
      </c>
      <c r="Y924" s="8" t="str">
        <f>VLOOKUP(V924,'ideas-input'!$A:$D,4,FALSE)</f>
        <v>eCommerce</v>
      </c>
      <c r="Z924" t="str">
        <f t="shared" si="207"/>
        <v>Commercial</v>
      </c>
      <c r="AA924" t="str">
        <f t="shared" si="208"/>
        <v>Backlog</v>
      </c>
      <c r="AB924">
        <f t="shared" si="209"/>
        <v>141</v>
      </c>
      <c r="AC924">
        <f t="shared" si="210"/>
        <v>0.03</v>
      </c>
      <c r="AD924">
        <f t="shared" si="211"/>
        <v>1</v>
      </c>
      <c r="AE924">
        <f t="shared" si="212"/>
        <v>1</v>
      </c>
      <c r="AF924">
        <f t="shared" si="213"/>
        <v>1</v>
      </c>
      <c r="AG924">
        <f t="shared" si="214"/>
        <v>100</v>
      </c>
    </row>
    <row r="925" spans="1:33" x14ac:dyDescent="0.2">
      <c r="A925" t="s">
        <v>127</v>
      </c>
      <c r="B925" t="s">
        <v>128</v>
      </c>
      <c r="C925">
        <v>924</v>
      </c>
      <c r="D925">
        <v>137246</v>
      </c>
      <c r="E925" t="s">
        <v>1530</v>
      </c>
      <c r="F925" t="s">
        <v>65</v>
      </c>
      <c r="G925" t="s">
        <v>10</v>
      </c>
      <c r="H925" t="s">
        <v>5</v>
      </c>
      <c r="I925" t="s">
        <v>91</v>
      </c>
      <c r="J925">
        <v>142</v>
      </c>
      <c r="K925">
        <v>1.75</v>
      </c>
      <c r="L925">
        <v>5</v>
      </c>
      <c r="M925">
        <v>1</v>
      </c>
      <c r="N925">
        <v>1</v>
      </c>
      <c r="O925">
        <v>4</v>
      </c>
      <c r="P925" t="b">
        <f t="shared" si="205"/>
        <v>0</v>
      </c>
      <c r="S925" t="str">
        <f t="shared" si="215"/>
        <v>LATER</v>
      </c>
      <c r="T925" t="str">
        <f t="shared" si="216"/>
        <v>SainteLague</v>
      </c>
      <c r="U925">
        <f t="shared" si="218"/>
        <v>924</v>
      </c>
      <c r="V925">
        <f t="shared" si="217"/>
        <v>137246</v>
      </c>
      <c r="W925" s="8" t="str">
        <f>VLOOKUP(V925,'ideas-input'!$A:$B,2,FALSE)</f>
        <v>[PUDOS] - Tools for managing own network</v>
      </c>
      <c r="X925" t="str">
        <f t="shared" si="206"/>
        <v>CMO</v>
      </c>
      <c r="Y925" s="8" t="str">
        <f>VLOOKUP(V925,'ideas-input'!$A:$D,4,FALSE)</f>
        <v>eCommerce</v>
      </c>
      <c r="Z925" t="str">
        <f t="shared" si="207"/>
        <v>Commercial</v>
      </c>
      <c r="AA925" t="str">
        <f t="shared" si="208"/>
        <v>Backlog</v>
      </c>
      <c r="AB925">
        <f t="shared" si="209"/>
        <v>142</v>
      </c>
      <c r="AC925">
        <f t="shared" si="210"/>
        <v>1.75</v>
      </c>
      <c r="AD925">
        <f t="shared" si="211"/>
        <v>5</v>
      </c>
      <c r="AE925">
        <f t="shared" si="212"/>
        <v>1</v>
      </c>
      <c r="AF925">
        <f t="shared" si="213"/>
        <v>1</v>
      </c>
      <c r="AG925">
        <f t="shared" si="214"/>
        <v>4</v>
      </c>
    </row>
    <row r="926" spans="1:33" x14ac:dyDescent="0.2">
      <c r="A926" t="s">
        <v>127</v>
      </c>
      <c r="B926" t="s">
        <v>128</v>
      </c>
      <c r="C926">
        <v>925</v>
      </c>
      <c r="D926">
        <v>63592</v>
      </c>
      <c r="E926" t="s">
        <v>1524</v>
      </c>
      <c r="F926" t="s">
        <v>65</v>
      </c>
      <c r="G926" t="s">
        <v>10</v>
      </c>
      <c r="H926" t="s">
        <v>5</v>
      </c>
      <c r="I926" t="s">
        <v>91</v>
      </c>
      <c r="J926">
        <v>143</v>
      </c>
      <c r="K926">
        <v>0.03</v>
      </c>
      <c r="L926">
        <v>1</v>
      </c>
      <c r="M926">
        <v>1</v>
      </c>
      <c r="N926">
        <v>1</v>
      </c>
      <c r="O926">
        <v>100</v>
      </c>
      <c r="P926" t="b">
        <f t="shared" si="205"/>
        <v>0</v>
      </c>
      <c r="S926" t="str">
        <f t="shared" si="215"/>
        <v>LATER</v>
      </c>
      <c r="T926" t="str">
        <f t="shared" si="216"/>
        <v>SainteLague</v>
      </c>
      <c r="U926">
        <f t="shared" si="218"/>
        <v>925</v>
      </c>
      <c r="V926">
        <f t="shared" si="217"/>
        <v>63592</v>
      </c>
      <c r="W926" s="8" t="str">
        <f>VLOOKUP(V926,'ideas-input'!$A:$B,2,FALSE)</f>
        <v>[NEXUS]-[OOH] - MVP</v>
      </c>
      <c r="X926" t="str">
        <f t="shared" si="206"/>
        <v>CMO</v>
      </c>
      <c r="Y926" s="8" t="str">
        <f>VLOOKUP(V926,'ideas-input'!$A:$D,4,FALSE)</f>
        <v>eCommerce</v>
      </c>
      <c r="Z926" t="str">
        <f t="shared" si="207"/>
        <v>Commercial</v>
      </c>
      <c r="AA926" t="str">
        <f t="shared" si="208"/>
        <v>Backlog</v>
      </c>
      <c r="AB926">
        <f t="shared" si="209"/>
        <v>143</v>
      </c>
      <c r="AC926">
        <f t="shared" si="210"/>
        <v>0.03</v>
      </c>
      <c r="AD926">
        <f t="shared" si="211"/>
        <v>1</v>
      </c>
      <c r="AE926">
        <f t="shared" si="212"/>
        <v>1</v>
      </c>
      <c r="AF926">
        <f t="shared" si="213"/>
        <v>1</v>
      </c>
      <c r="AG926">
        <f t="shared" si="214"/>
        <v>100</v>
      </c>
    </row>
    <row r="927" spans="1:33" x14ac:dyDescent="0.2">
      <c r="P927" t="b">
        <f t="shared" si="205"/>
        <v>0</v>
      </c>
      <c r="S927">
        <f t="shared" si="215"/>
        <v>0</v>
      </c>
      <c r="T927">
        <f t="shared" si="216"/>
        <v>0</v>
      </c>
      <c r="U927">
        <f t="shared" si="218"/>
        <v>0</v>
      </c>
      <c r="V927">
        <f t="shared" si="217"/>
        <v>0</v>
      </c>
      <c r="W927" s="8" t="e">
        <f>VLOOKUP(V927,'ideas-input'!$A:$B,2,FALSE)</f>
        <v>#N/A</v>
      </c>
      <c r="X927">
        <f t="shared" si="206"/>
        <v>0</v>
      </c>
      <c r="Y927" s="8" t="e">
        <f>VLOOKUP(V927,'ideas-input'!$A:$D,4,FALSE)</f>
        <v>#N/A</v>
      </c>
      <c r="Z927">
        <f t="shared" si="207"/>
        <v>0</v>
      </c>
      <c r="AA927">
        <f t="shared" si="208"/>
        <v>0</v>
      </c>
      <c r="AB927">
        <f t="shared" si="209"/>
        <v>0</v>
      </c>
      <c r="AC927">
        <f t="shared" si="210"/>
        <v>0</v>
      </c>
      <c r="AD927">
        <f t="shared" si="211"/>
        <v>0</v>
      </c>
      <c r="AE927">
        <f t="shared" si="212"/>
        <v>0</v>
      </c>
      <c r="AF927">
        <f t="shared" si="213"/>
        <v>0</v>
      </c>
      <c r="AG927">
        <f t="shared" si="214"/>
        <v>0</v>
      </c>
    </row>
    <row r="928" spans="1:33" x14ac:dyDescent="0.2">
      <c r="P928" t="b">
        <f t="shared" si="205"/>
        <v>0</v>
      </c>
      <c r="S928">
        <f t="shared" si="215"/>
        <v>0</v>
      </c>
      <c r="T928">
        <f t="shared" si="216"/>
        <v>0</v>
      </c>
      <c r="U928">
        <f t="shared" si="218"/>
        <v>0</v>
      </c>
      <c r="V928">
        <f t="shared" si="217"/>
        <v>0</v>
      </c>
      <c r="W928" s="8" t="e">
        <f>VLOOKUP(V928,'ideas-input'!$A:$B,2,FALSE)</f>
        <v>#N/A</v>
      </c>
      <c r="X928">
        <f t="shared" si="206"/>
        <v>0</v>
      </c>
      <c r="Y928" s="8" t="e">
        <f>VLOOKUP(V928,'ideas-input'!$A:$D,4,FALSE)</f>
        <v>#N/A</v>
      </c>
      <c r="Z928">
        <f t="shared" si="207"/>
        <v>0</v>
      </c>
      <c r="AA928">
        <f t="shared" si="208"/>
        <v>0</v>
      </c>
      <c r="AB928">
        <f t="shared" si="209"/>
        <v>0</v>
      </c>
      <c r="AC928">
        <f t="shared" si="210"/>
        <v>0</v>
      </c>
      <c r="AD928">
        <f t="shared" si="211"/>
        <v>0</v>
      </c>
      <c r="AE928">
        <f t="shared" si="212"/>
        <v>0</v>
      </c>
      <c r="AF928">
        <f t="shared" si="213"/>
        <v>0</v>
      </c>
      <c r="AG928">
        <f t="shared" si="214"/>
        <v>0</v>
      </c>
    </row>
    <row r="929" spans="16:33" x14ac:dyDescent="0.2">
      <c r="P929" t="b">
        <f t="shared" si="205"/>
        <v>0</v>
      </c>
      <c r="S929">
        <f t="shared" si="215"/>
        <v>0</v>
      </c>
      <c r="T929">
        <f t="shared" si="216"/>
        <v>0</v>
      </c>
      <c r="U929">
        <f t="shared" si="218"/>
        <v>0</v>
      </c>
      <c r="V929">
        <f t="shared" si="217"/>
        <v>0</v>
      </c>
      <c r="W929" s="8" t="e">
        <f>VLOOKUP(V929,'ideas-input'!$A:$B,2,FALSE)</f>
        <v>#N/A</v>
      </c>
      <c r="X929">
        <f t="shared" si="206"/>
        <v>0</v>
      </c>
      <c r="Y929" s="8" t="e">
        <f>VLOOKUP(V929,'ideas-input'!$A:$D,4,FALSE)</f>
        <v>#N/A</v>
      </c>
      <c r="Z929">
        <f t="shared" si="207"/>
        <v>0</v>
      </c>
      <c r="AA929">
        <f t="shared" si="208"/>
        <v>0</v>
      </c>
      <c r="AB929">
        <f t="shared" si="209"/>
        <v>0</v>
      </c>
      <c r="AC929">
        <f t="shared" si="210"/>
        <v>0</v>
      </c>
      <c r="AD929">
        <f t="shared" si="211"/>
        <v>0</v>
      </c>
      <c r="AE929">
        <f t="shared" si="212"/>
        <v>0</v>
      </c>
      <c r="AF929">
        <f t="shared" si="213"/>
        <v>0</v>
      </c>
      <c r="AG929">
        <f t="shared" si="214"/>
        <v>0</v>
      </c>
    </row>
    <row r="930" spans="16:33" x14ac:dyDescent="0.2">
      <c r="P930" t="b">
        <f t="shared" si="205"/>
        <v>0</v>
      </c>
      <c r="S930">
        <f t="shared" si="215"/>
        <v>0</v>
      </c>
      <c r="T930">
        <f t="shared" si="216"/>
        <v>0</v>
      </c>
      <c r="U930">
        <f t="shared" si="218"/>
        <v>0</v>
      </c>
      <c r="V930">
        <f t="shared" si="217"/>
        <v>0</v>
      </c>
      <c r="W930" s="8" t="e">
        <f>VLOOKUP(V930,'ideas-input'!$A:$B,2,FALSE)</f>
        <v>#N/A</v>
      </c>
      <c r="X930">
        <f t="shared" si="206"/>
        <v>0</v>
      </c>
      <c r="Y930" s="8" t="e">
        <f>VLOOKUP(V930,'ideas-input'!$A:$D,4,FALSE)</f>
        <v>#N/A</v>
      </c>
      <c r="Z930">
        <f t="shared" si="207"/>
        <v>0</v>
      </c>
      <c r="AA930">
        <f t="shared" si="208"/>
        <v>0</v>
      </c>
      <c r="AB930">
        <f t="shared" si="209"/>
        <v>0</v>
      </c>
      <c r="AC930">
        <f t="shared" si="210"/>
        <v>0</v>
      </c>
      <c r="AD930">
        <f t="shared" si="211"/>
        <v>0</v>
      </c>
      <c r="AE930">
        <f t="shared" si="212"/>
        <v>0</v>
      </c>
      <c r="AF930">
        <f t="shared" si="213"/>
        <v>0</v>
      </c>
      <c r="AG930">
        <f t="shared" si="214"/>
        <v>0</v>
      </c>
    </row>
    <row r="931" spans="16:33" x14ac:dyDescent="0.2">
      <c r="P931" t="b">
        <f t="shared" si="205"/>
        <v>0</v>
      </c>
      <c r="S931">
        <f t="shared" si="215"/>
        <v>0</v>
      </c>
      <c r="T931">
        <f t="shared" si="216"/>
        <v>0</v>
      </c>
      <c r="U931">
        <f t="shared" si="218"/>
        <v>0</v>
      </c>
      <c r="V931">
        <f t="shared" si="217"/>
        <v>0</v>
      </c>
      <c r="W931" s="8" t="e">
        <f>VLOOKUP(V931,'ideas-input'!$A:$B,2,FALSE)</f>
        <v>#N/A</v>
      </c>
      <c r="X931">
        <f t="shared" si="206"/>
        <v>0</v>
      </c>
      <c r="Y931" s="8" t="e">
        <f>VLOOKUP(V931,'ideas-input'!$A:$D,4,FALSE)</f>
        <v>#N/A</v>
      </c>
      <c r="Z931">
        <f t="shared" si="207"/>
        <v>0</v>
      </c>
      <c r="AA931">
        <f t="shared" si="208"/>
        <v>0</v>
      </c>
      <c r="AB931">
        <f t="shared" si="209"/>
        <v>0</v>
      </c>
      <c r="AC931">
        <f t="shared" si="210"/>
        <v>0</v>
      </c>
      <c r="AD931">
        <f t="shared" si="211"/>
        <v>0</v>
      </c>
      <c r="AE931">
        <f t="shared" si="212"/>
        <v>0</v>
      </c>
      <c r="AF931">
        <f t="shared" si="213"/>
        <v>0</v>
      </c>
      <c r="AG931">
        <f t="shared" si="214"/>
        <v>0</v>
      </c>
    </row>
    <row r="932" spans="16:33" x14ac:dyDescent="0.2">
      <c r="P932" t="b">
        <f t="shared" si="205"/>
        <v>0</v>
      </c>
      <c r="S932">
        <f t="shared" si="215"/>
        <v>0</v>
      </c>
      <c r="T932">
        <f t="shared" si="216"/>
        <v>0</v>
      </c>
      <c r="U932">
        <f t="shared" si="218"/>
        <v>0</v>
      </c>
      <c r="V932">
        <f t="shared" si="217"/>
        <v>0</v>
      </c>
      <c r="W932" s="8" t="e">
        <f>VLOOKUP(V932,'ideas-input'!$A:$B,2,FALSE)</f>
        <v>#N/A</v>
      </c>
      <c r="X932">
        <f t="shared" si="206"/>
        <v>0</v>
      </c>
      <c r="Y932" s="8" t="e">
        <f>VLOOKUP(V932,'ideas-input'!$A:$D,4,FALSE)</f>
        <v>#N/A</v>
      </c>
      <c r="Z932">
        <f t="shared" si="207"/>
        <v>0</v>
      </c>
      <c r="AA932">
        <f t="shared" si="208"/>
        <v>0</v>
      </c>
      <c r="AB932">
        <f t="shared" si="209"/>
        <v>0</v>
      </c>
      <c r="AC932">
        <f t="shared" si="210"/>
        <v>0</v>
      </c>
      <c r="AD932">
        <f t="shared" si="211"/>
        <v>0</v>
      </c>
      <c r="AE932">
        <f t="shared" si="212"/>
        <v>0</v>
      </c>
      <c r="AF932">
        <f t="shared" si="213"/>
        <v>0</v>
      </c>
      <c r="AG932">
        <f t="shared" si="214"/>
        <v>0</v>
      </c>
    </row>
    <row r="933" spans="16:33" x14ac:dyDescent="0.2">
      <c r="P933" t="b">
        <f t="shared" si="205"/>
        <v>0</v>
      </c>
      <c r="S933">
        <f t="shared" si="215"/>
        <v>0</v>
      </c>
      <c r="T933">
        <f t="shared" si="216"/>
        <v>0</v>
      </c>
      <c r="U933">
        <f t="shared" si="218"/>
        <v>0</v>
      </c>
      <c r="V933">
        <f t="shared" si="217"/>
        <v>0</v>
      </c>
      <c r="W933" s="8" t="e">
        <f>VLOOKUP(V933,'ideas-input'!$A:$B,2,FALSE)</f>
        <v>#N/A</v>
      </c>
      <c r="X933">
        <f t="shared" si="206"/>
        <v>0</v>
      </c>
      <c r="Y933" s="8" t="e">
        <f>VLOOKUP(V933,'ideas-input'!$A:$D,4,FALSE)</f>
        <v>#N/A</v>
      </c>
      <c r="Z933">
        <f t="shared" si="207"/>
        <v>0</v>
      </c>
      <c r="AA933">
        <f t="shared" si="208"/>
        <v>0</v>
      </c>
      <c r="AB933">
        <f t="shared" si="209"/>
        <v>0</v>
      </c>
      <c r="AC933">
        <f t="shared" si="210"/>
        <v>0</v>
      </c>
      <c r="AD933">
        <f t="shared" si="211"/>
        <v>0</v>
      </c>
      <c r="AE933">
        <f t="shared" si="212"/>
        <v>0</v>
      </c>
      <c r="AF933">
        <f t="shared" si="213"/>
        <v>0</v>
      </c>
      <c r="AG933">
        <f t="shared" si="214"/>
        <v>0</v>
      </c>
    </row>
    <row r="934" spans="16:33" x14ac:dyDescent="0.2">
      <c r="P934" t="b">
        <f t="shared" si="205"/>
        <v>0</v>
      </c>
      <c r="S934">
        <f t="shared" si="215"/>
        <v>0</v>
      </c>
      <c r="T934">
        <f t="shared" si="216"/>
        <v>0</v>
      </c>
      <c r="U934">
        <f t="shared" si="218"/>
        <v>0</v>
      </c>
      <c r="V934">
        <f t="shared" si="217"/>
        <v>0</v>
      </c>
      <c r="W934" s="8" t="e">
        <f>VLOOKUP(V934,'ideas-input'!$A:$B,2,FALSE)</f>
        <v>#N/A</v>
      </c>
      <c r="X934">
        <f t="shared" si="206"/>
        <v>0</v>
      </c>
      <c r="Y934" s="8" t="e">
        <f>VLOOKUP(V934,'ideas-input'!$A:$D,4,FALSE)</f>
        <v>#N/A</v>
      </c>
      <c r="Z934">
        <f t="shared" si="207"/>
        <v>0</v>
      </c>
      <c r="AA934">
        <f t="shared" si="208"/>
        <v>0</v>
      </c>
      <c r="AB934">
        <f t="shared" si="209"/>
        <v>0</v>
      </c>
      <c r="AC934">
        <f t="shared" si="210"/>
        <v>0</v>
      </c>
      <c r="AD934">
        <f t="shared" si="211"/>
        <v>0</v>
      </c>
      <c r="AE934">
        <f t="shared" si="212"/>
        <v>0</v>
      </c>
      <c r="AF934">
        <f t="shared" si="213"/>
        <v>0</v>
      </c>
      <c r="AG934">
        <f t="shared" si="214"/>
        <v>0</v>
      </c>
    </row>
    <row r="988" spans="16:16" x14ac:dyDescent="0.2">
      <c r="P988" t="b">
        <f t="shared" ref="P988:P999" si="219">AND(C988&lt;$Q$1,IF(ISBLANK(C988),0,C988)&gt;0)</f>
        <v>0</v>
      </c>
    </row>
    <row r="989" spans="16:16" x14ac:dyDescent="0.2">
      <c r="P989" t="b">
        <f t="shared" si="219"/>
        <v>0</v>
      </c>
    </row>
    <row r="990" spans="16:16" x14ac:dyDescent="0.2">
      <c r="P990" t="b">
        <f t="shared" si="219"/>
        <v>0</v>
      </c>
    </row>
    <row r="991" spans="16:16" x14ac:dyDescent="0.2">
      <c r="P991" t="b">
        <f t="shared" si="219"/>
        <v>0</v>
      </c>
    </row>
    <row r="992" spans="16:16" x14ac:dyDescent="0.2">
      <c r="P992" t="b">
        <f t="shared" si="219"/>
        <v>0</v>
      </c>
    </row>
    <row r="993" spans="16:16" x14ac:dyDescent="0.2">
      <c r="P993" t="b">
        <f t="shared" si="219"/>
        <v>0</v>
      </c>
    </row>
    <row r="994" spans="16:16" x14ac:dyDescent="0.2">
      <c r="P994" t="b">
        <f t="shared" si="219"/>
        <v>0</v>
      </c>
    </row>
    <row r="995" spans="16:16" x14ac:dyDescent="0.2">
      <c r="P995" t="b">
        <f t="shared" si="219"/>
        <v>0</v>
      </c>
    </row>
    <row r="996" spans="16:16" x14ac:dyDescent="0.2">
      <c r="P996" t="b">
        <f t="shared" si="219"/>
        <v>0</v>
      </c>
    </row>
    <row r="997" spans="16:16" x14ac:dyDescent="0.2">
      <c r="P997" t="b">
        <f t="shared" si="219"/>
        <v>0</v>
      </c>
    </row>
    <row r="998" spans="16:16" x14ac:dyDescent="0.2">
      <c r="P998" t="b">
        <f t="shared" si="219"/>
        <v>0</v>
      </c>
    </row>
    <row r="999" spans="16:16" x14ac:dyDescent="0.2">
      <c r="P999" t="b">
        <f t="shared" si="219"/>
        <v>0</v>
      </c>
    </row>
  </sheetData>
  <autoFilter ref="A1:AH934" xr:uid="{25D437AB-C2CB-8D43-BD8D-11D3278E662B}">
    <sortState xmlns:xlrd2="http://schemas.microsoft.com/office/spreadsheetml/2017/richdata2" ref="A2:AG934">
      <sortCondition ref="C1:C934"/>
    </sortState>
  </autoFilter>
  <phoneticPr fontId="9" type="noConversion"/>
  <conditionalFormatting sqref="N1">
    <cfRule type="cellIs" dxfId="17" priority="1" operator="equal">
      <formula>"ALERT"</formula>
    </cfRule>
  </conditionalFormatting>
  <conditionalFormatting sqref="P1 O1:O1048576">
    <cfRule type="cellIs" dxfId="16" priority="2" operator="equal">
      <formula>"ALERT"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567E-D622-634E-B542-C92E3813531E}">
  <dimension ref="A3:D36"/>
  <sheetViews>
    <sheetView workbookViewId="0">
      <selection activeCell="D24" sqref="D24"/>
    </sheetView>
  </sheetViews>
  <sheetFormatPr baseColWidth="10" defaultRowHeight="16" x14ac:dyDescent="0.2"/>
  <cols>
    <col min="1" max="1" width="17.1640625" bestFit="1" customWidth="1"/>
    <col min="2" max="2" width="16" bestFit="1" customWidth="1"/>
    <col min="3" max="3" width="6.33203125" bestFit="1" customWidth="1"/>
    <col min="4" max="4" width="10.5" bestFit="1" customWidth="1"/>
    <col min="5" max="5" width="11.1640625" bestFit="1" customWidth="1"/>
    <col min="6" max="6" width="9.6640625" bestFit="1" customWidth="1"/>
    <col min="7" max="7" width="5.5" bestFit="1" customWidth="1"/>
    <col min="8" max="8" width="16.5" bestFit="1" customWidth="1"/>
    <col min="9" max="9" width="20.33203125" bestFit="1" customWidth="1"/>
    <col min="10" max="10" width="15.83203125" bestFit="1" customWidth="1"/>
    <col min="11" max="11" width="10.5" bestFit="1" customWidth="1"/>
  </cols>
  <sheetData>
    <row r="3" spans="1:4" x14ac:dyDescent="0.2">
      <c r="A3" s="26" t="s">
        <v>359</v>
      </c>
      <c r="B3" s="26" t="s">
        <v>361</v>
      </c>
    </row>
    <row r="4" spans="1:4" x14ac:dyDescent="0.2">
      <c r="A4" s="26" t="s">
        <v>356</v>
      </c>
      <c r="B4" t="s">
        <v>360</v>
      </c>
      <c r="C4" t="s">
        <v>362</v>
      </c>
      <c r="D4" t="s">
        <v>358</v>
      </c>
    </row>
    <row r="5" spans="1:4" x14ac:dyDescent="0.2">
      <c r="A5" s="27" t="s">
        <v>127</v>
      </c>
      <c r="B5" s="54">
        <v>96</v>
      </c>
      <c r="C5" s="54">
        <v>785</v>
      </c>
      <c r="D5" s="54">
        <v>881</v>
      </c>
    </row>
    <row r="6" spans="1:4" x14ac:dyDescent="0.2">
      <c r="A6" s="28" t="s">
        <v>10</v>
      </c>
      <c r="B6" s="54">
        <v>48</v>
      </c>
      <c r="C6" s="54">
        <v>420</v>
      </c>
      <c r="D6" s="54">
        <v>468</v>
      </c>
    </row>
    <row r="7" spans="1:4" x14ac:dyDescent="0.2">
      <c r="A7" s="29" t="s">
        <v>5</v>
      </c>
      <c r="B7" s="54">
        <v>13</v>
      </c>
      <c r="C7" s="54">
        <v>234</v>
      </c>
      <c r="D7" s="54">
        <v>247</v>
      </c>
    </row>
    <row r="8" spans="1:4" x14ac:dyDescent="0.2">
      <c r="A8" s="29" t="s">
        <v>12</v>
      </c>
      <c r="B8" s="54">
        <v>11</v>
      </c>
      <c r="C8" s="54">
        <v>95</v>
      </c>
      <c r="D8" s="54">
        <v>106</v>
      </c>
    </row>
    <row r="9" spans="1:4" x14ac:dyDescent="0.2">
      <c r="A9" s="29" t="s">
        <v>6</v>
      </c>
      <c r="B9" s="54">
        <v>13</v>
      </c>
      <c r="C9" s="54">
        <v>32</v>
      </c>
      <c r="D9" s="54">
        <v>45</v>
      </c>
    </row>
    <row r="10" spans="1:4" x14ac:dyDescent="0.2">
      <c r="A10" s="29" t="s">
        <v>8</v>
      </c>
      <c r="B10" s="54">
        <v>11</v>
      </c>
      <c r="C10" s="54">
        <v>59</v>
      </c>
      <c r="D10" s="54">
        <v>70</v>
      </c>
    </row>
    <row r="11" spans="1:4" x14ac:dyDescent="0.2">
      <c r="A11" s="28" t="s">
        <v>379</v>
      </c>
      <c r="B11" s="54">
        <v>48</v>
      </c>
      <c r="C11" s="54">
        <v>365</v>
      </c>
      <c r="D11" s="54">
        <v>413</v>
      </c>
    </row>
    <row r="12" spans="1:4" x14ac:dyDescent="0.2">
      <c r="A12" s="29" t="s">
        <v>11</v>
      </c>
      <c r="B12" s="54">
        <v>2</v>
      </c>
      <c r="C12" s="54">
        <v>8</v>
      </c>
      <c r="D12" s="54">
        <v>10</v>
      </c>
    </row>
    <row r="13" spans="1:4" x14ac:dyDescent="0.2">
      <c r="A13" s="29" t="s">
        <v>5</v>
      </c>
      <c r="B13" s="54">
        <v>13</v>
      </c>
      <c r="C13" s="54">
        <v>174</v>
      </c>
      <c r="D13" s="54">
        <v>187</v>
      </c>
    </row>
    <row r="14" spans="1:4" x14ac:dyDescent="0.2">
      <c r="A14" s="29" t="s">
        <v>12</v>
      </c>
      <c r="B14" s="54">
        <v>10</v>
      </c>
      <c r="C14" s="54">
        <v>49</v>
      </c>
      <c r="D14" s="54">
        <v>59</v>
      </c>
    </row>
    <row r="15" spans="1:4" x14ac:dyDescent="0.2">
      <c r="A15" s="29" t="s">
        <v>6</v>
      </c>
      <c r="B15" s="54">
        <v>13</v>
      </c>
      <c r="C15" s="54">
        <v>12</v>
      </c>
      <c r="D15" s="54">
        <v>25</v>
      </c>
    </row>
    <row r="16" spans="1:4" x14ac:dyDescent="0.2">
      <c r="A16" s="29" t="s">
        <v>8</v>
      </c>
      <c r="B16" s="54">
        <v>10</v>
      </c>
      <c r="C16" s="54">
        <v>122</v>
      </c>
      <c r="D16" s="54">
        <v>132</v>
      </c>
    </row>
    <row r="17" spans="1:4" x14ac:dyDescent="0.2">
      <c r="A17" s="27" t="s">
        <v>353</v>
      </c>
      <c r="B17" s="54">
        <v>4</v>
      </c>
      <c r="C17" s="54"/>
      <c r="D17" s="54">
        <v>4</v>
      </c>
    </row>
    <row r="18" spans="1:4" x14ac:dyDescent="0.2">
      <c r="A18" s="28" t="s">
        <v>10</v>
      </c>
      <c r="B18" s="54">
        <v>3</v>
      </c>
      <c r="C18" s="54"/>
      <c r="D18" s="54">
        <v>3</v>
      </c>
    </row>
    <row r="19" spans="1:4" x14ac:dyDescent="0.2">
      <c r="A19" s="29" t="s">
        <v>5</v>
      </c>
      <c r="B19" s="54">
        <v>1</v>
      </c>
      <c r="C19" s="54"/>
      <c r="D19" s="54">
        <v>1</v>
      </c>
    </row>
    <row r="20" spans="1:4" x14ac:dyDescent="0.2">
      <c r="A20" s="29" t="s">
        <v>6</v>
      </c>
      <c r="B20" s="54">
        <v>2</v>
      </c>
      <c r="C20" s="54"/>
      <c r="D20" s="54">
        <v>2</v>
      </c>
    </row>
    <row r="21" spans="1:4" x14ac:dyDescent="0.2">
      <c r="A21" s="28" t="s">
        <v>379</v>
      </c>
      <c r="B21" s="54">
        <v>1</v>
      </c>
      <c r="C21" s="54"/>
      <c r="D21" s="54">
        <v>1</v>
      </c>
    </row>
    <row r="22" spans="1:4" x14ac:dyDescent="0.2">
      <c r="A22" s="29" t="s">
        <v>5</v>
      </c>
      <c r="B22" s="54">
        <v>1</v>
      </c>
      <c r="C22" s="54"/>
      <c r="D22" s="54">
        <v>1</v>
      </c>
    </row>
    <row r="23" spans="1:4" x14ac:dyDescent="0.2">
      <c r="A23" s="27" t="s">
        <v>366</v>
      </c>
      <c r="B23" s="54">
        <v>40</v>
      </c>
      <c r="C23" s="54"/>
      <c r="D23" s="54">
        <v>40</v>
      </c>
    </row>
    <row r="24" spans="1:4" x14ac:dyDescent="0.2">
      <c r="A24" s="28" t="s">
        <v>10</v>
      </c>
      <c r="B24" s="54">
        <v>12</v>
      </c>
      <c r="C24" s="54"/>
      <c r="D24" s="54">
        <v>12</v>
      </c>
    </row>
    <row r="25" spans="1:4" x14ac:dyDescent="0.2">
      <c r="A25" s="29" t="s">
        <v>5</v>
      </c>
      <c r="B25" s="54">
        <v>7</v>
      </c>
      <c r="C25" s="54"/>
      <c r="D25" s="54">
        <v>7</v>
      </c>
    </row>
    <row r="26" spans="1:4" x14ac:dyDescent="0.2">
      <c r="A26" s="29" t="s">
        <v>12</v>
      </c>
      <c r="B26" s="54">
        <v>1</v>
      </c>
      <c r="C26" s="54"/>
      <c r="D26" s="54">
        <v>1</v>
      </c>
    </row>
    <row r="27" spans="1:4" x14ac:dyDescent="0.2">
      <c r="A27" s="29" t="s">
        <v>6</v>
      </c>
      <c r="B27" s="54">
        <v>3</v>
      </c>
      <c r="C27" s="54"/>
      <c r="D27" s="54">
        <v>3</v>
      </c>
    </row>
    <row r="28" spans="1:4" x14ac:dyDescent="0.2">
      <c r="A28" s="29" t="s">
        <v>8</v>
      </c>
      <c r="B28" s="54">
        <v>1</v>
      </c>
      <c r="C28" s="54"/>
      <c r="D28" s="54">
        <v>1</v>
      </c>
    </row>
    <row r="29" spans="1:4" x14ac:dyDescent="0.2">
      <c r="A29" s="28" t="s">
        <v>379</v>
      </c>
      <c r="B29" s="54">
        <v>28</v>
      </c>
      <c r="C29" s="54"/>
      <c r="D29" s="54">
        <v>28</v>
      </c>
    </row>
    <row r="30" spans="1:4" x14ac:dyDescent="0.2">
      <c r="A30" s="29" t="s">
        <v>11</v>
      </c>
      <c r="B30" s="54">
        <v>2</v>
      </c>
      <c r="C30" s="54"/>
      <c r="D30" s="54">
        <v>2</v>
      </c>
    </row>
    <row r="31" spans="1:4" x14ac:dyDescent="0.2">
      <c r="A31" s="29" t="s">
        <v>5</v>
      </c>
      <c r="B31" s="54">
        <v>7</v>
      </c>
      <c r="C31" s="54"/>
      <c r="D31" s="54">
        <v>7</v>
      </c>
    </row>
    <row r="32" spans="1:4" x14ac:dyDescent="0.2">
      <c r="A32" s="29" t="s">
        <v>12</v>
      </c>
      <c r="B32" s="54">
        <v>11</v>
      </c>
      <c r="C32" s="54"/>
      <c r="D32" s="54">
        <v>11</v>
      </c>
    </row>
    <row r="33" spans="1:4" x14ac:dyDescent="0.2">
      <c r="A33" s="29" t="s">
        <v>6</v>
      </c>
      <c r="B33" s="54">
        <v>2</v>
      </c>
      <c r="C33" s="54"/>
      <c r="D33" s="54">
        <v>2</v>
      </c>
    </row>
    <row r="34" spans="1:4" x14ac:dyDescent="0.2">
      <c r="A34" s="29" t="s">
        <v>8</v>
      </c>
      <c r="B34" s="54">
        <v>6</v>
      </c>
      <c r="C34" s="54"/>
      <c r="D34" s="54">
        <v>6</v>
      </c>
    </row>
    <row r="35" spans="1:4" x14ac:dyDescent="0.2">
      <c r="A35" s="27" t="s">
        <v>357</v>
      </c>
      <c r="B35" s="54"/>
      <c r="C35" s="54"/>
      <c r="D35" s="54"/>
    </row>
    <row r="36" spans="1:4" x14ac:dyDescent="0.2">
      <c r="A36" s="27" t="s">
        <v>358</v>
      </c>
      <c r="B36" s="54">
        <v>140</v>
      </c>
      <c r="C36" s="54">
        <v>785</v>
      </c>
      <c r="D36" s="54">
        <v>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A33C-DAAE-D94D-8B41-438A219D4B6A}">
  <sheetPr>
    <tabColor rgb="FFC00000"/>
  </sheetPr>
  <dimension ref="B2:U48"/>
  <sheetViews>
    <sheetView workbookViewId="0">
      <selection activeCell="T4" sqref="T4:T13"/>
    </sheetView>
  </sheetViews>
  <sheetFormatPr baseColWidth="10" defaultColWidth="3" defaultRowHeight="16" x14ac:dyDescent="0.2"/>
  <cols>
    <col min="2" max="2" width="22.83203125" bestFit="1" customWidth="1"/>
    <col min="3" max="3" width="4.6640625" bestFit="1" customWidth="1"/>
    <col min="5" max="5" width="12" bestFit="1" customWidth="1"/>
    <col min="6" max="6" width="4.6640625" bestFit="1" customWidth="1"/>
    <col min="8" max="8" width="11.6640625" bestFit="1" customWidth="1"/>
    <col min="9" max="9" width="6.1640625" bestFit="1" customWidth="1"/>
    <col min="11" max="11" width="13" bestFit="1" customWidth="1"/>
    <col min="12" max="12" width="4.6640625" bestFit="1" customWidth="1"/>
    <col min="14" max="14" width="8.6640625" bestFit="1" customWidth="1"/>
    <col min="15" max="15" width="5.6640625" bestFit="1" customWidth="1"/>
    <col min="17" max="17" width="5.33203125" bestFit="1" customWidth="1"/>
    <col min="18" max="18" width="3.6640625" bestFit="1" customWidth="1"/>
    <col min="20" max="20" width="12.33203125" bestFit="1" customWidth="1"/>
    <col min="21" max="21" width="6.6640625" bestFit="1" customWidth="1"/>
    <col min="28" max="28" width="7.33203125" bestFit="1" customWidth="1"/>
    <col min="29" max="29" width="11.1640625" bestFit="1" customWidth="1"/>
    <col min="30" max="30" width="12.1640625" bestFit="1" customWidth="1"/>
  </cols>
  <sheetData>
    <row r="2" spans="2:21" x14ac:dyDescent="0.2">
      <c r="B2" s="9" t="s">
        <v>81</v>
      </c>
    </row>
    <row r="3" spans="2:21" x14ac:dyDescent="0.2">
      <c r="B3" s="38" t="s">
        <v>79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38" t="s">
        <v>80</v>
      </c>
      <c r="U3" s="38"/>
    </row>
    <row r="4" spans="2:21" x14ac:dyDescent="0.2">
      <c r="B4" s="39" t="s">
        <v>41</v>
      </c>
      <c r="C4" s="40">
        <v>0.38</v>
      </c>
      <c r="D4" s="40"/>
      <c r="E4" s="40" t="s">
        <v>43</v>
      </c>
      <c r="F4" s="40">
        <v>0.19</v>
      </c>
      <c r="G4" s="40"/>
      <c r="H4" s="40" t="s">
        <v>57</v>
      </c>
      <c r="I4" s="40">
        <v>0.19</v>
      </c>
      <c r="J4" s="40"/>
      <c r="K4" s="40" t="s">
        <v>61</v>
      </c>
      <c r="L4" s="40">
        <v>0.19</v>
      </c>
      <c r="M4" s="40"/>
      <c r="N4" s="40" t="s">
        <v>62</v>
      </c>
      <c r="O4" s="40">
        <v>0.05</v>
      </c>
      <c r="P4" s="40"/>
      <c r="Q4" s="40"/>
      <c r="R4" s="40"/>
      <c r="S4" s="39"/>
      <c r="T4" s="41" t="s">
        <v>65</v>
      </c>
      <c r="U4" s="42">
        <v>0.12</v>
      </c>
    </row>
    <row r="5" spans="2:21" x14ac:dyDescent="0.2">
      <c r="B5" s="41" t="s">
        <v>23</v>
      </c>
      <c r="C5" s="43">
        <v>0.16</v>
      </c>
      <c r="D5" s="43"/>
      <c r="E5" s="43" t="s">
        <v>7</v>
      </c>
      <c r="F5" s="43">
        <v>0.35</v>
      </c>
      <c r="G5" s="43"/>
      <c r="H5" s="43" t="s">
        <v>44</v>
      </c>
      <c r="I5" s="44">
        <v>6.6666666666666666E-2</v>
      </c>
      <c r="J5" s="43"/>
      <c r="K5" s="43" t="s">
        <v>9</v>
      </c>
      <c r="L5" s="43">
        <v>0.3</v>
      </c>
      <c r="M5" s="43"/>
      <c r="N5" s="43" t="s">
        <v>98</v>
      </c>
      <c r="O5" s="43" t="s">
        <v>897</v>
      </c>
      <c r="P5" s="41"/>
      <c r="Q5" s="41"/>
      <c r="R5" s="41"/>
      <c r="S5" s="41"/>
      <c r="T5" s="41" t="s">
        <v>66</v>
      </c>
      <c r="U5" s="42">
        <v>0.08</v>
      </c>
    </row>
    <row r="6" spans="2:21" x14ac:dyDescent="0.2">
      <c r="B6" s="41" t="s">
        <v>21</v>
      </c>
      <c r="C6" s="43">
        <v>0.16</v>
      </c>
      <c r="D6" s="43"/>
      <c r="E6" s="43" t="s">
        <v>26</v>
      </c>
      <c r="F6" s="43">
        <v>0.35</v>
      </c>
      <c r="G6" s="43"/>
      <c r="H6" s="43" t="s">
        <v>22</v>
      </c>
      <c r="I6" s="44">
        <v>6.6666666666666666E-2</v>
      </c>
      <c r="J6" s="43"/>
      <c r="K6" s="43" t="s">
        <v>11</v>
      </c>
      <c r="L6" s="43">
        <v>0.2</v>
      </c>
      <c r="M6" s="43"/>
      <c r="N6" s="43"/>
      <c r="O6" s="43"/>
      <c r="P6" s="41"/>
      <c r="Q6" s="41"/>
      <c r="R6" s="41"/>
      <c r="S6" s="41"/>
      <c r="T6" s="41" t="s">
        <v>68</v>
      </c>
      <c r="U6" s="42">
        <v>0.08</v>
      </c>
    </row>
    <row r="7" spans="2:21" x14ac:dyDescent="0.2">
      <c r="B7" s="41" t="s">
        <v>36</v>
      </c>
      <c r="C7" s="43">
        <v>0.16</v>
      </c>
      <c r="D7" s="43"/>
      <c r="E7" s="43" t="s">
        <v>42</v>
      </c>
      <c r="F7" s="43">
        <v>0.3</v>
      </c>
      <c r="G7" s="43"/>
      <c r="H7" s="43" t="s">
        <v>45</v>
      </c>
      <c r="I7" s="44">
        <v>6.6666666666666666E-2</v>
      </c>
      <c r="J7" s="43"/>
      <c r="K7" s="43" t="s">
        <v>34</v>
      </c>
      <c r="L7" s="43">
        <v>0.2</v>
      </c>
      <c r="M7" s="43"/>
      <c r="N7" s="43"/>
      <c r="O7" s="43"/>
      <c r="P7" s="41"/>
      <c r="Q7" s="41"/>
      <c r="R7" s="41"/>
      <c r="S7" s="41"/>
      <c r="T7" s="41" t="s">
        <v>67</v>
      </c>
      <c r="U7" s="42">
        <v>0.12</v>
      </c>
    </row>
    <row r="8" spans="2:21" x14ac:dyDescent="0.2">
      <c r="B8" s="41" t="s">
        <v>37</v>
      </c>
      <c r="C8" s="43">
        <v>0.12</v>
      </c>
      <c r="D8" s="43"/>
      <c r="E8" s="43"/>
      <c r="F8" s="43"/>
      <c r="G8" s="43"/>
      <c r="H8" s="43" t="s">
        <v>46</v>
      </c>
      <c r="I8" s="44">
        <v>6.6666666666666666E-2</v>
      </c>
      <c r="J8" s="43"/>
      <c r="K8" s="43" t="s">
        <v>58</v>
      </c>
      <c r="L8" s="43">
        <v>0.1</v>
      </c>
      <c r="M8" s="43"/>
      <c r="N8" s="43"/>
      <c r="O8" s="43"/>
      <c r="P8" s="41"/>
      <c r="Q8" s="41"/>
      <c r="R8" s="41"/>
      <c r="S8" s="41"/>
      <c r="T8" s="41" t="s">
        <v>69</v>
      </c>
      <c r="U8" s="42">
        <v>0.12</v>
      </c>
    </row>
    <row r="9" spans="2:21" x14ac:dyDescent="0.2">
      <c r="B9" s="41" t="s">
        <v>38</v>
      </c>
      <c r="C9" s="43">
        <v>0.1</v>
      </c>
      <c r="D9" s="43"/>
      <c r="E9" s="43"/>
      <c r="F9" s="43"/>
      <c r="G9" s="43"/>
      <c r="H9" s="43" t="s">
        <v>35</v>
      </c>
      <c r="I9" s="44">
        <v>6.6666666666666666E-2</v>
      </c>
      <c r="J9" s="43"/>
      <c r="K9" s="43" t="s">
        <v>59</v>
      </c>
      <c r="L9" s="43">
        <v>0.1</v>
      </c>
      <c r="M9" s="43"/>
      <c r="N9" s="43"/>
      <c r="O9" s="43"/>
      <c r="P9" s="41"/>
      <c r="Q9" s="41"/>
      <c r="R9" s="41"/>
      <c r="S9" s="41"/>
      <c r="T9" s="41" t="s">
        <v>71</v>
      </c>
      <c r="U9" s="42">
        <v>7.0000000000000007E-2</v>
      </c>
    </row>
    <row r="10" spans="2:21" x14ac:dyDescent="0.2">
      <c r="B10" s="41" t="s">
        <v>25</v>
      </c>
      <c r="C10" s="43">
        <v>0.09</v>
      </c>
      <c r="D10" s="43"/>
      <c r="E10" s="43"/>
      <c r="F10" s="43"/>
      <c r="G10" s="43"/>
      <c r="H10" s="43" t="s">
        <v>47</v>
      </c>
      <c r="I10" s="44">
        <v>6.6666666666666666E-2</v>
      </c>
      <c r="J10" s="43"/>
      <c r="K10" s="43" t="s">
        <v>60</v>
      </c>
      <c r="L10" s="43">
        <v>0.1</v>
      </c>
      <c r="M10" s="43"/>
      <c r="N10" s="43"/>
      <c r="O10" s="43"/>
      <c r="P10" s="41"/>
      <c r="Q10" s="41"/>
      <c r="R10" s="41"/>
      <c r="S10" s="41"/>
      <c r="T10" s="41" t="s">
        <v>72</v>
      </c>
      <c r="U10" s="42">
        <v>0.03</v>
      </c>
    </row>
    <row r="11" spans="2:21" x14ac:dyDescent="0.2">
      <c r="B11" s="41" t="s">
        <v>39</v>
      </c>
      <c r="C11" s="43">
        <v>0.09</v>
      </c>
      <c r="D11" s="43"/>
      <c r="E11" s="43"/>
      <c r="F11" s="43"/>
      <c r="G11" s="43"/>
      <c r="H11" s="43" t="s">
        <v>48</v>
      </c>
      <c r="I11" s="44">
        <v>6.6666666666666666E-2</v>
      </c>
      <c r="J11" s="43"/>
      <c r="K11" s="43"/>
      <c r="L11" s="43"/>
      <c r="M11" s="43"/>
      <c r="N11" s="43"/>
      <c r="O11" s="43"/>
      <c r="P11" s="41"/>
      <c r="Q11" s="41"/>
      <c r="R11" s="41"/>
      <c r="S11" s="41"/>
      <c r="T11" s="41" t="s">
        <v>73</v>
      </c>
      <c r="U11" s="42">
        <v>0.03</v>
      </c>
    </row>
    <row r="12" spans="2:21" x14ac:dyDescent="0.2">
      <c r="B12" s="41" t="s">
        <v>24</v>
      </c>
      <c r="C12" s="43">
        <v>0.09</v>
      </c>
      <c r="D12" s="43"/>
      <c r="E12" s="43"/>
      <c r="F12" s="43"/>
      <c r="G12" s="43"/>
      <c r="H12" s="43" t="s">
        <v>49</v>
      </c>
      <c r="I12" s="44">
        <v>6.6666666666666666E-2</v>
      </c>
      <c r="J12" s="43"/>
      <c r="K12" s="43"/>
      <c r="L12" s="43"/>
      <c r="M12" s="43"/>
      <c r="N12" s="43"/>
      <c r="O12" s="43"/>
      <c r="P12" s="41"/>
      <c r="Q12" s="41"/>
      <c r="R12" s="41"/>
      <c r="S12" s="41"/>
      <c r="T12" s="41" t="s">
        <v>64</v>
      </c>
      <c r="U12" s="42">
        <v>0.2</v>
      </c>
    </row>
    <row r="13" spans="2:21" x14ac:dyDescent="0.2">
      <c r="B13" s="41" t="s">
        <v>40</v>
      </c>
      <c r="C13" s="43">
        <v>0.03</v>
      </c>
      <c r="D13" s="43"/>
      <c r="E13" s="43"/>
      <c r="F13" s="43"/>
      <c r="G13" s="43"/>
      <c r="H13" s="43" t="s">
        <v>50</v>
      </c>
      <c r="I13" s="44">
        <v>6.6666666666666666E-2</v>
      </c>
      <c r="J13" s="43"/>
      <c r="K13" s="43"/>
      <c r="L13" s="43"/>
      <c r="M13" s="43"/>
      <c r="N13" s="43"/>
      <c r="O13" s="43"/>
      <c r="P13" s="41"/>
      <c r="Q13" s="41"/>
      <c r="R13" s="41"/>
      <c r="S13" s="41"/>
      <c r="T13" s="41" t="s">
        <v>70</v>
      </c>
      <c r="U13" s="42">
        <v>0.15</v>
      </c>
    </row>
    <row r="14" spans="2:21" x14ac:dyDescent="0.2">
      <c r="B14" s="41"/>
      <c r="C14" s="43"/>
      <c r="D14" s="43"/>
      <c r="E14" s="43"/>
      <c r="F14" s="43"/>
      <c r="G14" s="43"/>
      <c r="H14" s="43" t="s">
        <v>51</v>
      </c>
      <c r="I14" s="44">
        <v>6.6666666666666666E-2</v>
      </c>
      <c r="J14" s="43"/>
      <c r="K14" s="43"/>
      <c r="L14" s="43"/>
      <c r="M14" s="43"/>
      <c r="N14" s="43"/>
      <c r="O14" s="43"/>
      <c r="P14" s="43"/>
      <c r="Q14" s="41"/>
      <c r="R14" s="41"/>
      <c r="S14" s="41"/>
      <c r="T14" s="41"/>
      <c r="U14" s="41"/>
    </row>
    <row r="15" spans="2:21" x14ac:dyDescent="0.2">
      <c r="B15" s="41"/>
      <c r="C15" s="43"/>
      <c r="D15" s="43"/>
      <c r="E15" s="43"/>
      <c r="F15" s="43"/>
      <c r="G15" s="43"/>
      <c r="H15" s="43" t="s">
        <v>52</v>
      </c>
      <c r="I15" s="44">
        <v>6.6666666666666666E-2</v>
      </c>
      <c r="J15" s="43"/>
      <c r="K15" s="43"/>
      <c r="L15" s="43"/>
      <c r="M15" s="43"/>
      <c r="N15" s="43"/>
      <c r="O15" s="43"/>
      <c r="P15" s="43"/>
      <c r="Q15" s="41"/>
      <c r="R15" s="41"/>
      <c r="S15" s="41"/>
      <c r="T15" s="41"/>
      <c r="U15" s="41"/>
    </row>
    <row r="16" spans="2:21" x14ac:dyDescent="0.2">
      <c r="B16" s="41"/>
      <c r="C16" s="43"/>
      <c r="D16" s="43"/>
      <c r="E16" s="43"/>
      <c r="F16" s="43"/>
      <c r="G16" s="43"/>
      <c r="H16" s="43" t="s">
        <v>53</v>
      </c>
      <c r="I16" s="44">
        <v>6.6666666666666666E-2</v>
      </c>
      <c r="J16" s="43"/>
      <c r="K16" s="43"/>
      <c r="L16" s="43"/>
      <c r="M16" s="43"/>
      <c r="N16" s="43"/>
      <c r="O16" s="43"/>
      <c r="P16" s="43"/>
      <c r="Q16" s="41"/>
      <c r="R16" s="41"/>
      <c r="S16" s="41"/>
      <c r="T16" s="41"/>
      <c r="U16" s="41"/>
    </row>
    <row r="17" spans="2:21" x14ac:dyDescent="0.2">
      <c r="B17" s="41"/>
      <c r="C17" s="43"/>
      <c r="D17" s="43"/>
      <c r="E17" s="43"/>
      <c r="F17" s="43"/>
      <c r="G17" s="43"/>
      <c r="H17" s="43" t="s">
        <v>54</v>
      </c>
      <c r="I17" s="44">
        <v>6.6666666666666666E-2</v>
      </c>
      <c r="J17" s="43"/>
      <c r="K17" s="43"/>
      <c r="L17" s="43"/>
      <c r="M17" s="43"/>
      <c r="N17" s="43"/>
      <c r="O17" s="43"/>
      <c r="P17" s="43"/>
      <c r="Q17" s="41"/>
      <c r="R17" s="41"/>
      <c r="S17" s="41"/>
      <c r="T17" s="41"/>
      <c r="U17" s="41"/>
    </row>
    <row r="18" spans="2:21" x14ac:dyDescent="0.2">
      <c r="B18" s="41"/>
      <c r="C18" s="43"/>
      <c r="D18" s="43"/>
      <c r="E18" s="43"/>
      <c r="F18" s="43"/>
      <c r="G18" s="43"/>
      <c r="H18" s="43" t="s">
        <v>55</v>
      </c>
      <c r="I18" s="44">
        <v>6.6666666666666666E-2</v>
      </c>
      <c r="J18" s="43"/>
      <c r="K18" s="43"/>
      <c r="L18" s="43"/>
      <c r="M18" s="43"/>
      <c r="N18" s="43"/>
      <c r="O18" s="43"/>
      <c r="P18" s="43"/>
      <c r="Q18" s="41"/>
      <c r="R18" s="41"/>
      <c r="S18" s="41"/>
      <c r="T18" s="41"/>
      <c r="U18" s="41"/>
    </row>
    <row r="19" spans="2:21" x14ac:dyDescent="0.2">
      <c r="B19" s="41"/>
      <c r="C19" s="43"/>
      <c r="D19" s="43"/>
      <c r="E19" s="43"/>
      <c r="F19" s="43"/>
      <c r="G19" s="43"/>
      <c r="H19" s="43" t="s">
        <v>56</v>
      </c>
      <c r="I19" s="44">
        <v>6.6666666666666666E-2</v>
      </c>
      <c r="J19" s="43"/>
      <c r="K19" s="43"/>
      <c r="L19" s="43"/>
      <c r="M19" s="43"/>
      <c r="N19" s="43"/>
      <c r="O19" s="43"/>
      <c r="P19" s="43"/>
      <c r="Q19" s="41"/>
      <c r="R19" s="41"/>
      <c r="S19" s="41"/>
      <c r="T19" s="41"/>
      <c r="U19" s="41"/>
    </row>
    <row r="30" spans="2:21" x14ac:dyDescent="0.2">
      <c r="B30" s="9" t="s">
        <v>82</v>
      </c>
    </row>
    <row r="31" spans="2:21" x14ac:dyDescent="0.2">
      <c r="B31" s="38" t="s">
        <v>898</v>
      </c>
      <c r="C31" s="47">
        <v>0.5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9"/>
      <c r="T31" s="38" t="s">
        <v>63</v>
      </c>
      <c r="U31" s="47">
        <v>0.5</v>
      </c>
    </row>
    <row r="32" spans="2:21" x14ac:dyDescent="0.2">
      <c r="B32" s="39" t="s">
        <v>5</v>
      </c>
      <c r="C32" s="40">
        <v>0.25</v>
      </c>
      <c r="D32" s="40"/>
      <c r="E32" s="40" t="s">
        <v>6</v>
      </c>
      <c r="F32" s="40">
        <v>0.25</v>
      </c>
      <c r="G32" s="40"/>
      <c r="H32" s="40" t="s">
        <v>12</v>
      </c>
      <c r="I32" s="40">
        <v>0.2</v>
      </c>
      <c r="J32" s="40"/>
      <c r="K32" s="40" t="s">
        <v>8</v>
      </c>
      <c r="L32" s="40">
        <v>0.2</v>
      </c>
      <c r="M32" s="40"/>
      <c r="N32" s="40" t="s">
        <v>74</v>
      </c>
      <c r="O32" s="40">
        <v>0.05</v>
      </c>
      <c r="P32" s="40"/>
      <c r="Q32" s="40" t="s">
        <v>11</v>
      </c>
      <c r="R32" s="40">
        <v>0.05</v>
      </c>
      <c r="S32" s="39"/>
      <c r="T32" s="41" t="s">
        <v>64</v>
      </c>
      <c r="U32" s="42">
        <v>0.2</v>
      </c>
    </row>
    <row r="33" spans="2:21" x14ac:dyDescent="0.2">
      <c r="B33" s="41" t="s">
        <v>23</v>
      </c>
      <c r="C33" s="46">
        <v>0.16</v>
      </c>
      <c r="D33" s="43"/>
      <c r="E33" s="43" t="s">
        <v>26</v>
      </c>
      <c r="F33" s="43">
        <v>0.35</v>
      </c>
      <c r="G33" s="43"/>
      <c r="H33" s="43" t="s">
        <v>44</v>
      </c>
      <c r="I33" s="44">
        <v>6.6666666666666666E-2</v>
      </c>
      <c r="J33" s="43"/>
      <c r="K33" s="43" t="s">
        <v>9</v>
      </c>
      <c r="L33" s="43">
        <v>0.4</v>
      </c>
      <c r="M33" s="43"/>
      <c r="N33" s="43" t="s">
        <v>116</v>
      </c>
      <c r="O33" s="43">
        <v>1</v>
      </c>
      <c r="P33" s="41"/>
      <c r="Q33" s="41"/>
      <c r="R33" s="41"/>
      <c r="S33" s="41"/>
      <c r="T33" s="41" t="s">
        <v>65</v>
      </c>
      <c r="U33" s="42">
        <v>0.12</v>
      </c>
    </row>
    <row r="34" spans="2:21" x14ac:dyDescent="0.2">
      <c r="B34" s="41" t="s">
        <v>21</v>
      </c>
      <c r="C34" s="43">
        <v>0.16</v>
      </c>
      <c r="D34" s="43"/>
      <c r="E34" s="43" t="s">
        <v>7</v>
      </c>
      <c r="F34" s="43">
        <v>0.35</v>
      </c>
      <c r="G34" s="43"/>
      <c r="H34" s="43" t="s">
        <v>22</v>
      </c>
      <c r="I34" s="44">
        <v>6.6666666666666666E-2</v>
      </c>
      <c r="J34" s="43"/>
      <c r="K34" s="43" t="s">
        <v>34</v>
      </c>
      <c r="L34" s="43">
        <v>0.15</v>
      </c>
      <c r="M34" s="43"/>
      <c r="N34" s="43"/>
      <c r="O34" s="43"/>
      <c r="P34" s="41"/>
      <c r="Q34" s="41"/>
      <c r="R34" s="41"/>
      <c r="S34" s="41"/>
      <c r="T34" s="41" t="s">
        <v>67</v>
      </c>
      <c r="U34" s="42">
        <v>0.12</v>
      </c>
    </row>
    <row r="35" spans="2:21" x14ac:dyDescent="0.2">
      <c r="B35" s="41" t="s">
        <v>36</v>
      </c>
      <c r="C35" s="43">
        <v>0.16</v>
      </c>
      <c r="D35" s="43"/>
      <c r="E35" s="43" t="s">
        <v>42</v>
      </c>
      <c r="F35" s="43">
        <v>0.3</v>
      </c>
      <c r="G35" s="43"/>
      <c r="H35" s="43" t="s">
        <v>45</v>
      </c>
      <c r="I35" s="44">
        <v>6.6666666666666666E-2</v>
      </c>
      <c r="J35" s="43"/>
      <c r="K35" s="43" t="s">
        <v>58</v>
      </c>
      <c r="L35" s="43">
        <v>0.15</v>
      </c>
      <c r="M35" s="43"/>
      <c r="N35" s="43"/>
      <c r="O35" s="43"/>
      <c r="P35" s="41"/>
      <c r="Q35" s="41"/>
      <c r="R35" s="41"/>
      <c r="S35" s="41"/>
      <c r="T35" s="41" t="s">
        <v>66</v>
      </c>
      <c r="U35" s="42">
        <v>0.08</v>
      </c>
    </row>
    <row r="36" spans="2:21" x14ac:dyDescent="0.2">
      <c r="B36" s="41" t="s">
        <v>37</v>
      </c>
      <c r="C36" s="43">
        <v>0.12</v>
      </c>
      <c r="D36" s="43"/>
      <c r="E36" s="43"/>
      <c r="F36" s="43"/>
      <c r="G36" s="43"/>
      <c r="H36" s="43" t="s">
        <v>46</v>
      </c>
      <c r="I36" s="44">
        <v>6.6666666666666666E-2</v>
      </c>
      <c r="J36" s="43"/>
      <c r="K36" s="43" t="s">
        <v>59</v>
      </c>
      <c r="L36" s="43">
        <v>0.15</v>
      </c>
      <c r="M36" s="43"/>
      <c r="N36" s="43"/>
      <c r="O36" s="43"/>
      <c r="P36" s="41"/>
      <c r="Q36" s="41"/>
      <c r="R36" s="41"/>
      <c r="S36" s="41"/>
      <c r="T36" s="41" t="s">
        <v>68</v>
      </c>
      <c r="U36" s="42">
        <v>0.08</v>
      </c>
    </row>
    <row r="37" spans="2:21" x14ac:dyDescent="0.2">
      <c r="B37" s="41" t="s">
        <v>38</v>
      </c>
      <c r="C37" s="43">
        <v>0.1</v>
      </c>
      <c r="D37" s="43"/>
      <c r="E37" s="43"/>
      <c r="F37" s="43"/>
      <c r="G37" s="43"/>
      <c r="H37" s="43" t="s">
        <v>35</v>
      </c>
      <c r="I37" s="44">
        <v>6.6666666666666666E-2</v>
      </c>
      <c r="J37" s="43"/>
      <c r="K37" s="43" t="s">
        <v>60</v>
      </c>
      <c r="L37" s="43">
        <v>0.15</v>
      </c>
      <c r="M37" s="43"/>
      <c r="N37" s="43"/>
      <c r="O37" s="43"/>
      <c r="P37" s="41"/>
      <c r="Q37" s="41"/>
      <c r="R37" s="41"/>
      <c r="S37" s="41"/>
      <c r="T37" s="41" t="s">
        <v>69</v>
      </c>
      <c r="U37" s="42">
        <v>0.12</v>
      </c>
    </row>
    <row r="38" spans="2:21" x14ac:dyDescent="0.2">
      <c r="B38" s="41" t="s">
        <v>25</v>
      </c>
      <c r="C38" s="43">
        <v>0.09</v>
      </c>
      <c r="D38" s="43"/>
      <c r="E38" s="43"/>
      <c r="F38" s="43"/>
      <c r="G38" s="43"/>
      <c r="H38" s="43" t="s">
        <v>47</v>
      </c>
      <c r="I38" s="44">
        <v>6.6666666666666666E-2</v>
      </c>
      <c r="J38" s="43"/>
      <c r="K38" s="43"/>
      <c r="L38" s="43"/>
      <c r="M38" s="43"/>
      <c r="N38" s="43"/>
      <c r="O38" s="43"/>
      <c r="P38" s="41"/>
      <c r="Q38" s="41"/>
      <c r="R38" s="41"/>
      <c r="S38" s="41"/>
      <c r="T38" s="41" t="s">
        <v>70</v>
      </c>
      <c r="U38" s="42">
        <v>0.15</v>
      </c>
    </row>
    <row r="39" spans="2:21" x14ac:dyDescent="0.2">
      <c r="B39" s="41" t="s">
        <v>39</v>
      </c>
      <c r="C39" s="43">
        <v>0.09</v>
      </c>
      <c r="D39" s="43"/>
      <c r="E39" s="43"/>
      <c r="F39" s="43"/>
      <c r="G39" s="43"/>
      <c r="H39" s="43" t="s">
        <v>48</v>
      </c>
      <c r="I39" s="44">
        <v>6.6666666666666666E-2</v>
      </c>
      <c r="J39" s="43"/>
      <c r="K39" s="43"/>
      <c r="L39" s="43"/>
      <c r="M39" s="43"/>
      <c r="N39" s="43"/>
      <c r="O39" s="43"/>
      <c r="P39" s="41"/>
      <c r="Q39" s="41"/>
      <c r="R39" s="41"/>
      <c r="S39" s="41"/>
      <c r="T39" s="41" t="s">
        <v>71</v>
      </c>
      <c r="U39" s="42">
        <v>7.0000000000000007E-2</v>
      </c>
    </row>
    <row r="40" spans="2:21" x14ac:dyDescent="0.2">
      <c r="B40" s="41" t="s">
        <v>24</v>
      </c>
      <c r="C40" s="43">
        <v>0.09</v>
      </c>
      <c r="D40" s="43"/>
      <c r="E40" s="43"/>
      <c r="F40" s="43"/>
      <c r="G40" s="43"/>
      <c r="H40" s="43" t="s">
        <v>98</v>
      </c>
      <c r="I40" s="44">
        <v>6.6666666666666666E-2</v>
      </c>
      <c r="J40" s="43"/>
      <c r="K40" s="43"/>
      <c r="L40" s="43"/>
      <c r="M40" s="43"/>
      <c r="N40" s="43"/>
      <c r="O40" s="43"/>
      <c r="P40" s="41"/>
      <c r="Q40" s="41"/>
      <c r="R40" s="41"/>
      <c r="S40" s="41"/>
      <c r="T40" s="41" t="s">
        <v>72</v>
      </c>
      <c r="U40" s="42">
        <v>0.03</v>
      </c>
    </row>
    <row r="41" spans="2:21" x14ac:dyDescent="0.2">
      <c r="B41" s="41" t="s">
        <v>40</v>
      </c>
      <c r="C41" s="43">
        <v>0.03</v>
      </c>
      <c r="D41" s="43"/>
      <c r="E41" s="43"/>
      <c r="F41" s="43"/>
      <c r="G41" s="43"/>
      <c r="H41" s="43" t="s">
        <v>54</v>
      </c>
      <c r="I41" s="44">
        <v>6.6666666666666666E-2</v>
      </c>
      <c r="J41" s="43"/>
      <c r="K41" s="43"/>
      <c r="L41" s="43"/>
      <c r="M41" s="43"/>
      <c r="N41" s="43"/>
      <c r="O41" s="43"/>
      <c r="P41" s="41"/>
      <c r="Q41" s="41"/>
      <c r="R41" s="41"/>
      <c r="S41" s="41"/>
      <c r="T41" s="41" t="s">
        <v>73</v>
      </c>
      <c r="U41" s="42">
        <v>0.03</v>
      </c>
    </row>
    <row r="42" spans="2:21" x14ac:dyDescent="0.2">
      <c r="B42" s="41"/>
      <c r="C42" s="43"/>
      <c r="D42" s="43"/>
      <c r="E42" s="43"/>
      <c r="F42" s="43"/>
      <c r="G42" s="43"/>
      <c r="H42" s="43" t="s">
        <v>50</v>
      </c>
      <c r="I42" s="44">
        <v>6.6666666669999999E-2</v>
      </c>
      <c r="J42" s="43"/>
      <c r="K42" s="43"/>
      <c r="L42" s="43"/>
      <c r="M42" s="43"/>
      <c r="N42" s="43"/>
      <c r="O42" s="43"/>
      <c r="P42" s="43"/>
      <c r="Q42" s="41"/>
      <c r="R42" s="41"/>
      <c r="S42" s="41"/>
      <c r="T42" s="41"/>
      <c r="U42" s="41"/>
    </row>
    <row r="43" spans="2:21" x14ac:dyDescent="0.2">
      <c r="B43" s="41"/>
      <c r="C43" s="43"/>
      <c r="D43" s="43"/>
      <c r="E43" s="43"/>
      <c r="F43" s="43"/>
      <c r="G43" s="43"/>
      <c r="H43" s="43" t="s">
        <v>51</v>
      </c>
      <c r="I43" s="44">
        <v>6.6666666669999999E-2</v>
      </c>
      <c r="J43" s="43"/>
      <c r="K43" s="43"/>
      <c r="L43" s="43"/>
      <c r="M43" s="43"/>
      <c r="N43" s="43"/>
      <c r="O43" s="43"/>
      <c r="P43" s="43"/>
      <c r="Q43" s="41"/>
      <c r="R43" s="41"/>
      <c r="S43" s="41"/>
      <c r="T43" s="41"/>
      <c r="U43" s="41"/>
    </row>
    <row r="44" spans="2:21" x14ac:dyDescent="0.2">
      <c r="B44" s="41"/>
      <c r="C44" s="43"/>
      <c r="D44" s="43"/>
      <c r="E44" s="43"/>
      <c r="F44" s="43"/>
      <c r="G44" s="43"/>
      <c r="H44" s="43" t="s">
        <v>56</v>
      </c>
      <c r="I44" s="44">
        <v>4.4444444446666669E-2</v>
      </c>
      <c r="J44" s="43"/>
      <c r="K44" s="43"/>
      <c r="L44" s="43"/>
      <c r="M44" s="43"/>
      <c r="N44" s="43"/>
      <c r="O44" s="43"/>
      <c r="P44" s="43"/>
      <c r="Q44" s="41"/>
      <c r="R44" s="41"/>
      <c r="S44" s="41"/>
      <c r="T44" s="41"/>
      <c r="U44" s="41"/>
    </row>
    <row r="45" spans="2:21" x14ac:dyDescent="0.2">
      <c r="B45" s="41"/>
      <c r="C45" s="43"/>
      <c r="D45" s="43"/>
      <c r="E45" s="43"/>
      <c r="F45" s="43"/>
      <c r="G45" s="43"/>
      <c r="H45" s="43" t="s">
        <v>365</v>
      </c>
      <c r="I45" s="44">
        <v>6.6666666669999999E-2</v>
      </c>
      <c r="J45" s="43"/>
      <c r="K45" s="43"/>
      <c r="L45" s="43"/>
      <c r="M45" s="43"/>
      <c r="N45" s="43"/>
      <c r="O45" s="43"/>
      <c r="P45" s="43"/>
      <c r="Q45" s="41"/>
      <c r="R45" s="41"/>
      <c r="S45" s="41"/>
      <c r="T45" s="41"/>
      <c r="U45" s="41"/>
    </row>
    <row r="46" spans="2:21" x14ac:dyDescent="0.2">
      <c r="B46" s="41"/>
      <c r="C46" s="43"/>
      <c r="D46" s="43"/>
      <c r="E46" s="43"/>
      <c r="F46" s="43"/>
      <c r="G46" s="43"/>
      <c r="H46" s="43" t="s">
        <v>53</v>
      </c>
      <c r="I46" s="44">
        <v>6.6666666669999999E-2</v>
      </c>
      <c r="J46" s="43"/>
      <c r="K46" s="43"/>
      <c r="L46" s="43"/>
      <c r="M46" s="43"/>
      <c r="N46" s="43"/>
      <c r="O46" s="43"/>
      <c r="P46" s="43"/>
      <c r="Q46" s="41"/>
      <c r="R46" s="41"/>
      <c r="S46" s="41"/>
      <c r="T46" s="41"/>
      <c r="U46" s="41"/>
    </row>
    <row r="47" spans="2:21" x14ac:dyDescent="0.2">
      <c r="B47" s="41"/>
      <c r="C47" s="43"/>
      <c r="D47" s="43"/>
      <c r="E47" s="43"/>
      <c r="F47" s="43"/>
      <c r="G47" s="43"/>
      <c r="H47" s="43" t="s">
        <v>55</v>
      </c>
      <c r="I47" s="44">
        <v>4.4444444446666669E-2</v>
      </c>
      <c r="J47" s="43"/>
      <c r="K47" s="43"/>
      <c r="L47" s="43"/>
      <c r="M47" s="43"/>
      <c r="N47" s="43"/>
      <c r="O47" s="43"/>
      <c r="P47" s="43"/>
      <c r="Q47" s="41"/>
      <c r="R47" s="41"/>
      <c r="S47" s="41"/>
      <c r="T47" s="41"/>
      <c r="U47" s="41"/>
    </row>
    <row r="48" spans="2:21" x14ac:dyDescent="0.2">
      <c r="H48" t="s">
        <v>896</v>
      </c>
      <c r="I48" s="48">
        <v>4.4444444446666669E-2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2580-9999-2F4B-A555-53976565DB12}">
  <sheetPr filterMode="1"/>
  <dimension ref="A1:AD204"/>
  <sheetViews>
    <sheetView zoomScale="120" zoomScaleNormal="120" workbookViewId="0">
      <pane ySplit="2" topLeftCell="A34" activePane="bottomLeft" state="frozen"/>
      <selection pane="bottomLeft" activeCell="E35" sqref="E35:E46"/>
    </sheetView>
  </sheetViews>
  <sheetFormatPr baseColWidth="10" defaultColWidth="8.83203125" defaultRowHeight="16" x14ac:dyDescent="0.2"/>
  <cols>
    <col min="1" max="1" width="3" customWidth="1"/>
    <col min="2" max="2" width="14.33203125" bestFit="1" customWidth="1"/>
    <col min="3" max="3" width="19.83203125" bestFit="1" customWidth="1"/>
    <col min="4" max="4" width="15.5" bestFit="1" customWidth="1"/>
    <col min="5" max="5" width="12.1640625" bestFit="1" customWidth="1"/>
    <col min="6" max="6" width="13.33203125" bestFit="1" customWidth="1"/>
    <col min="7" max="7" width="11.83203125" bestFit="1" customWidth="1"/>
    <col min="8" max="8" width="5.33203125" customWidth="1"/>
    <col min="9" max="9" width="16.33203125" bestFit="1" customWidth="1"/>
    <col min="10" max="10" width="15.1640625" customWidth="1"/>
    <col min="11" max="11" width="7" bestFit="1" customWidth="1"/>
    <col min="12" max="12" width="6.5" bestFit="1" customWidth="1"/>
    <col min="13" max="13" width="4" customWidth="1"/>
    <col min="14" max="14" width="23.33203125" bestFit="1" customWidth="1"/>
    <col min="15" max="15" width="11.83203125" bestFit="1" customWidth="1"/>
    <col min="16" max="16" width="7.1640625" customWidth="1"/>
    <col min="17" max="17" width="2.83203125" customWidth="1"/>
    <col min="18" max="18" width="12" bestFit="1" customWidth="1"/>
    <col min="19" max="19" width="6.5" bestFit="1" customWidth="1"/>
    <col min="20" max="20" width="3" customWidth="1"/>
    <col min="21" max="21" width="14.33203125" bestFit="1" customWidth="1"/>
    <col min="22" max="22" width="6.5" bestFit="1" customWidth="1"/>
    <col min="23" max="23" width="12.5" bestFit="1" customWidth="1"/>
    <col min="24" max="24" width="2.33203125" customWidth="1"/>
    <col min="25" max="25" width="14.33203125" bestFit="1" customWidth="1"/>
    <col min="26" max="26" width="15.5" bestFit="1" customWidth="1"/>
    <col min="28" max="28" width="28" bestFit="1" customWidth="1"/>
    <col min="29" max="29" width="20.1640625" bestFit="1" customWidth="1"/>
    <col min="30" max="30" width="21" bestFit="1" customWidth="1"/>
  </cols>
  <sheetData>
    <row r="1" spans="1:30" x14ac:dyDescent="0.2">
      <c r="B1" s="18" t="s">
        <v>99</v>
      </c>
      <c r="C1" s="16" t="s">
        <v>118</v>
      </c>
      <c r="D1" s="16"/>
      <c r="E1" s="16"/>
      <c r="I1" s="1" t="s">
        <v>117</v>
      </c>
      <c r="L1" s="1"/>
      <c r="M1" s="1"/>
      <c r="N1" s="18" t="s">
        <v>99</v>
      </c>
      <c r="O1" s="16" t="s">
        <v>119</v>
      </c>
      <c r="S1" s="7"/>
      <c r="V1" s="7"/>
      <c r="Y1" s="21" t="s">
        <v>102</v>
      </c>
      <c r="Z1" s="20"/>
      <c r="AB1" s="21" t="s">
        <v>102</v>
      </c>
      <c r="AC1" s="20"/>
      <c r="AD1" s="20"/>
    </row>
    <row r="2" spans="1:30" x14ac:dyDescent="0.2">
      <c r="A2" s="1"/>
      <c r="B2" s="5" t="s">
        <v>2</v>
      </c>
      <c r="C2" s="5" t="s">
        <v>0</v>
      </c>
      <c r="D2" s="5" t="s">
        <v>1</v>
      </c>
      <c r="E2" s="5" t="s">
        <v>3</v>
      </c>
      <c r="F2" s="19" t="s">
        <v>101</v>
      </c>
      <c r="G2" s="19" t="s">
        <v>100</v>
      </c>
      <c r="I2" s="6" t="s">
        <v>0</v>
      </c>
      <c r="J2" s="6" t="s">
        <v>1</v>
      </c>
      <c r="K2" s="6" t="s">
        <v>3</v>
      </c>
      <c r="L2" s="6" t="s">
        <v>20</v>
      </c>
      <c r="M2" s="1"/>
      <c r="N2" s="4" t="s">
        <v>0</v>
      </c>
      <c r="O2" s="4" t="s">
        <v>3</v>
      </c>
      <c r="P2" s="6" t="s">
        <v>20</v>
      </c>
      <c r="Q2" s="1"/>
      <c r="R2" s="6" t="str" cm="1">
        <f t="array" ref="R2:R9">_xlfn.UNIQUE(D2:D1000)</f>
        <v>BudgetGroup</v>
      </c>
      <c r="S2" s="6" t="s">
        <v>20</v>
      </c>
      <c r="T2" s="1"/>
      <c r="U2" s="6" t="str" cm="1">
        <f t="array" ref="U2:U45">_xlfn.UNIQUE(B2:B1000)</f>
        <v>RequestingArea</v>
      </c>
      <c r="V2" s="6" t="s">
        <v>20</v>
      </c>
      <c r="W2" s="1" t="s">
        <v>103</v>
      </c>
      <c r="X2" s="1"/>
      <c r="Y2" s="6" t="s">
        <v>2</v>
      </c>
      <c r="Z2" s="6" t="s">
        <v>1</v>
      </c>
      <c r="AA2" s="1"/>
      <c r="AB2" s="6" t="s">
        <v>104</v>
      </c>
      <c r="AC2" s="6" t="s">
        <v>105</v>
      </c>
      <c r="AD2" s="6" t="s">
        <v>106</v>
      </c>
    </row>
    <row r="3" spans="1:30" hidden="1" x14ac:dyDescent="0.2">
      <c r="B3" t="s">
        <v>11</v>
      </c>
      <c r="C3" t="s">
        <v>4</v>
      </c>
      <c r="D3" s="17" t="str">
        <f t="shared" ref="D3:D66" si="0">VLOOKUP($B3,$Y:$Z,2,FALSE)</f>
        <v>CISO</v>
      </c>
      <c r="E3" s="17">
        <f t="shared" ref="E3:E66" si="1">G3*SUMIFS($K:$K,$I:$I,C3,$J:$J,D3)/F3</f>
        <v>5</v>
      </c>
      <c r="F3" s="17">
        <f t="shared" ref="F3:F66" si="2">SUMIFS($G$2:$G$1000,$D$2:$D$1000,D3,$C$2:$C$1000,C3)</f>
        <v>5</v>
      </c>
      <c r="G3" s="8">
        <v>5</v>
      </c>
      <c r="I3" t="s">
        <v>10</v>
      </c>
      <c r="J3" t="s">
        <v>11</v>
      </c>
      <c r="K3">
        <v>5</v>
      </c>
      <c r="L3" s="16">
        <f>SUMIF($I:$I,I3,$K:$K)</f>
        <v>100</v>
      </c>
      <c r="N3" s="2" t="s">
        <v>10</v>
      </c>
      <c r="O3">
        <v>26</v>
      </c>
      <c r="P3" s="16">
        <f>SUM(O3:O18)</f>
        <v>100</v>
      </c>
      <c r="R3" s="17" t="str">
        <v>CISO</v>
      </c>
      <c r="S3" s="3">
        <f t="shared" ref="S3:S14" si="3">SUMIF($D:$D,R3,$E:$E)</f>
        <v>30</v>
      </c>
      <c r="U3" s="17" t="str">
        <v>CISO</v>
      </c>
      <c r="V3" s="3">
        <f t="shared" ref="V3:V44" si="4">SUMIF($B:$B,U3,$E:$E)</f>
        <v>30</v>
      </c>
      <c r="W3" s="17" t="str">
        <f>VLOOKUP(U3,$Y:$Z,2,FALSE)</f>
        <v>CISO</v>
      </c>
      <c r="Y3" t="s">
        <v>11</v>
      </c>
      <c r="Z3" t="s">
        <v>11</v>
      </c>
      <c r="AB3" s="22" t="s">
        <v>107</v>
      </c>
      <c r="AC3" t="str" cm="1">
        <f t="array" ref="AC3:AD3">_xlfn.TEXTSPLIT(AB3,"&gt;",)</f>
        <v xml:space="preserve"> IDEA </v>
      </c>
      <c r="AD3" t="str">
        <v xml:space="preserve"> Backlog</v>
      </c>
    </row>
    <row r="4" spans="1:30" hidden="1" x14ac:dyDescent="0.2">
      <c r="B4" t="s">
        <v>38</v>
      </c>
      <c r="C4" t="s">
        <v>4</v>
      </c>
      <c r="D4" s="17" t="str">
        <f t="shared" si="0"/>
        <v>Commercial</v>
      </c>
      <c r="E4" s="17">
        <f t="shared" si="1"/>
        <v>4</v>
      </c>
      <c r="F4" s="17">
        <f t="shared" si="2"/>
        <v>100</v>
      </c>
      <c r="G4" s="8">
        <v>10</v>
      </c>
      <c r="I4" t="s">
        <v>10</v>
      </c>
      <c r="J4" t="s">
        <v>5</v>
      </c>
      <c r="K4">
        <v>25</v>
      </c>
      <c r="L4" s="16">
        <f t="shared" ref="L4:L38" si="5">SUMIF($I:$I,I4,$K:$K)</f>
        <v>100</v>
      </c>
      <c r="N4" s="2" t="s">
        <v>15</v>
      </c>
      <c r="O4">
        <v>22</v>
      </c>
      <c r="R4" s="17" t="str">
        <v>Commercial</v>
      </c>
      <c r="S4" s="3">
        <f t="shared" si="3"/>
        <v>184.99999999999997</v>
      </c>
      <c r="U4" s="17" t="str">
        <v>CSI</v>
      </c>
      <c r="V4" s="3">
        <f t="shared" si="4"/>
        <v>16.652406417112299</v>
      </c>
      <c r="W4" s="17" t="str">
        <f t="shared" ref="W4:W44" si="6">VLOOKUP(U4,$Y:$Z,2,FALSE)</f>
        <v>Commercial</v>
      </c>
      <c r="Y4" t="s">
        <v>66</v>
      </c>
      <c r="Z4" t="s">
        <v>5</v>
      </c>
      <c r="AB4" s="22" t="s">
        <v>108</v>
      </c>
      <c r="AC4" t="str" cm="1">
        <f t="array" ref="AC4:AD4">_xlfn.TEXTSPLIT(AB4,"&gt;",)</f>
        <v xml:space="preserve"> IDEA </v>
      </c>
      <c r="AD4" t="str">
        <v xml:space="preserve"> Pitch</v>
      </c>
    </row>
    <row r="5" spans="1:30" hidden="1" x14ac:dyDescent="0.2">
      <c r="B5" t="s">
        <v>39</v>
      </c>
      <c r="C5" t="s">
        <v>4</v>
      </c>
      <c r="D5" s="17" t="str">
        <f t="shared" si="0"/>
        <v>Commercial</v>
      </c>
      <c r="E5" s="17">
        <f t="shared" si="1"/>
        <v>4</v>
      </c>
      <c r="F5" s="17">
        <f t="shared" si="2"/>
        <v>100</v>
      </c>
      <c r="G5" s="8">
        <v>10</v>
      </c>
      <c r="I5" t="s">
        <v>10</v>
      </c>
      <c r="J5" t="s">
        <v>12</v>
      </c>
      <c r="K5">
        <v>20</v>
      </c>
      <c r="L5" s="16">
        <f t="shared" si="5"/>
        <v>100</v>
      </c>
      <c r="N5" s="2" t="s">
        <v>4</v>
      </c>
      <c r="O5">
        <v>16</v>
      </c>
      <c r="R5" s="17" t="str">
        <v>Corporate</v>
      </c>
      <c r="S5" s="3">
        <f t="shared" si="3"/>
        <v>135.00000000000006</v>
      </c>
      <c r="U5" s="17" t="str">
        <v>CTTE</v>
      </c>
      <c r="V5" s="3">
        <f t="shared" si="4"/>
        <v>16.652406417112299</v>
      </c>
      <c r="W5" s="17" t="str">
        <f t="shared" si="6"/>
        <v>Commercial</v>
      </c>
      <c r="Y5" t="s">
        <v>65</v>
      </c>
      <c r="Z5" t="s">
        <v>5</v>
      </c>
      <c r="AB5" s="22" t="s">
        <v>109</v>
      </c>
      <c r="AC5" t="str" cm="1">
        <f t="array" ref="AC5:AD5">_xlfn.TEXTSPLIT(AB5,"&gt;",)</f>
        <v xml:space="preserve"> IDEA </v>
      </c>
      <c r="AD5" t="str">
        <v xml:space="preserve"> In Definition</v>
      </c>
    </row>
    <row r="6" spans="1:30" hidden="1" x14ac:dyDescent="0.2">
      <c r="B6" t="s">
        <v>36</v>
      </c>
      <c r="C6" t="s">
        <v>4</v>
      </c>
      <c r="D6" s="17" t="str">
        <f t="shared" si="0"/>
        <v>Commercial</v>
      </c>
      <c r="E6" s="17">
        <f t="shared" si="1"/>
        <v>4</v>
      </c>
      <c r="F6" s="17">
        <f t="shared" si="2"/>
        <v>100</v>
      </c>
      <c r="G6" s="8">
        <v>10</v>
      </c>
      <c r="I6" t="s">
        <v>10</v>
      </c>
      <c r="J6" t="s">
        <v>6</v>
      </c>
      <c r="K6">
        <v>25</v>
      </c>
      <c r="L6" s="16">
        <f t="shared" si="5"/>
        <v>100</v>
      </c>
      <c r="N6" s="2" t="s">
        <v>17</v>
      </c>
      <c r="O6">
        <v>14</v>
      </c>
      <c r="R6" s="17" t="str">
        <v>Operations</v>
      </c>
      <c r="S6" s="3">
        <f t="shared" si="3"/>
        <v>104.99999999999997</v>
      </c>
      <c r="U6" s="17" t="str">
        <v>DNI</v>
      </c>
      <c r="V6" s="3">
        <f t="shared" si="4"/>
        <v>16.652406417112299</v>
      </c>
      <c r="W6" s="17" t="str">
        <f t="shared" si="6"/>
        <v>Commercial</v>
      </c>
      <c r="Y6" t="s">
        <v>38</v>
      </c>
      <c r="Z6" t="s">
        <v>5</v>
      </c>
      <c r="AB6" s="22" t="s">
        <v>110</v>
      </c>
      <c r="AC6" t="str" cm="1">
        <f t="array" ref="AC6:AD6">_xlfn.TEXTSPLIT(AB6,"&gt;",)</f>
        <v xml:space="preserve"> SOLUTION </v>
      </c>
      <c r="AD6" t="str">
        <v xml:space="preserve"> In Approval</v>
      </c>
    </row>
    <row r="7" spans="1:30" hidden="1" x14ac:dyDescent="0.2">
      <c r="B7" t="s">
        <v>40</v>
      </c>
      <c r="C7" t="s">
        <v>4</v>
      </c>
      <c r="D7" s="17" t="str">
        <f t="shared" si="0"/>
        <v>Commercial</v>
      </c>
      <c r="E7" s="17">
        <f t="shared" si="1"/>
        <v>4</v>
      </c>
      <c r="F7" s="17">
        <f t="shared" si="2"/>
        <v>100</v>
      </c>
      <c r="G7" s="8">
        <v>10</v>
      </c>
      <c r="I7" t="s">
        <v>10</v>
      </c>
      <c r="J7" t="s">
        <v>8</v>
      </c>
      <c r="K7">
        <v>15</v>
      </c>
      <c r="L7" s="16">
        <f t="shared" si="5"/>
        <v>100</v>
      </c>
      <c r="N7" s="2" t="s">
        <v>16</v>
      </c>
      <c r="O7">
        <v>12</v>
      </c>
      <c r="R7" s="17" t="str">
        <v>Technology</v>
      </c>
      <c r="S7" s="3">
        <f t="shared" si="3"/>
        <v>110</v>
      </c>
      <c r="U7" s="17" t="str">
        <v>ECM</v>
      </c>
      <c r="V7" s="3">
        <f t="shared" si="4"/>
        <v>16.652406417112299</v>
      </c>
      <c r="W7" s="17" t="str">
        <f t="shared" si="6"/>
        <v>Commercial</v>
      </c>
      <c r="Y7" t="s">
        <v>39</v>
      </c>
      <c r="Z7" t="s">
        <v>5</v>
      </c>
      <c r="AB7" s="22" t="s">
        <v>111</v>
      </c>
      <c r="AC7" t="str" cm="1">
        <f t="array" ref="AC7:AD7">_xlfn.TEXTSPLIT(AB7,"&gt;",)</f>
        <v xml:space="preserve"> SOLUTION </v>
      </c>
      <c r="AD7" t="str">
        <v xml:space="preserve"> Ready for Approval</v>
      </c>
    </row>
    <row r="8" spans="1:30" hidden="1" x14ac:dyDescent="0.2">
      <c r="B8" t="s">
        <v>21</v>
      </c>
      <c r="C8" t="s">
        <v>4</v>
      </c>
      <c r="D8" s="17" t="str">
        <f t="shared" si="0"/>
        <v>Commercial</v>
      </c>
      <c r="E8" s="17">
        <f t="shared" si="1"/>
        <v>8</v>
      </c>
      <c r="F8" s="17">
        <f t="shared" si="2"/>
        <v>100</v>
      </c>
      <c r="G8" s="8">
        <v>20</v>
      </c>
      <c r="I8" s="23" t="s">
        <v>10</v>
      </c>
      <c r="J8" s="23" t="s">
        <v>74</v>
      </c>
      <c r="K8" s="23">
        <v>10</v>
      </c>
      <c r="L8" s="16">
        <f t="shared" si="5"/>
        <v>100</v>
      </c>
      <c r="N8" s="2" t="s">
        <v>14</v>
      </c>
      <c r="O8">
        <v>10</v>
      </c>
      <c r="R8" s="17" t="str">
        <v>Data &amp; AI</v>
      </c>
      <c r="S8" s="3">
        <f t="shared" si="3"/>
        <v>35</v>
      </c>
      <c r="U8" s="17" t="str">
        <v>GP B2B</v>
      </c>
      <c r="V8" s="3">
        <f t="shared" si="4"/>
        <v>23.379679144385026</v>
      </c>
      <c r="W8" s="17" t="str">
        <f t="shared" si="6"/>
        <v>Commercial</v>
      </c>
      <c r="Y8" t="s">
        <v>36</v>
      </c>
      <c r="Z8" t="s">
        <v>5</v>
      </c>
      <c r="AB8" s="22" t="s">
        <v>112</v>
      </c>
      <c r="AC8" t="str" cm="1">
        <f t="array" ref="AC8:AD8">_xlfn.TEXTSPLIT(AB8,"&gt;",)</f>
        <v xml:space="preserve"> IDEA </v>
      </c>
      <c r="AD8" t="str">
        <v xml:space="preserve"> Ready for Solution</v>
      </c>
    </row>
    <row r="9" spans="1:30" hidden="1" x14ac:dyDescent="0.2">
      <c r="B9" t="s">
        <v>25</v>
      </c>
      <c r="C9" t="s">
        <v>4</v>
      </c>
      <c r="D9" s="17" t="str">
        <f t="shared" si="0"/>
        <v>Commercial</v>
      </c>
      <c r="E9" s="17">
        <f t="shared" si="1"/>
        <v>4</v>
      </c>
      <c r="F9" s="17">
        <f t="shared" si="2"/>
        <v>100</v>
      </c>
      <c r="G9" s="8">
        <v>10</v>
      </c>
      <c r="I9" t="s">
        <v>15</v>
      </c>
      <c r="J9" t="s">
        <v>11</v>
      </c>
      <c r="K9">
        <v>5</v>
      </c>
      <c r="L9" s="16">
        <f t="shared" si="5"/>
        <v>100</v>
      </c>
      <c r="N9" s="13" t="s">
        <v>18</v>
      </c>
      <c r="O9" s="14">
        <v>0</v>
      </c>
      <c r="R9">
        <v>0</v>
      </c>
      <c r="S9" s="3">
        <f t="shared" si="3"/>
        <v>0</v>
      </c>
      <c r="U9" s="17" t="str">
        <v>GP B2C</v>
      </c>
      <c r="V9" s="3">
        <f t="shared" si="4"/>
        <v>19.379679144385026</v>
      </c>
      <c r="W9" s="17" t="str">
        <f t="shared" si="6"/>
        <v>Commercial</v>
      </c>
      <c r="Y9" t="s">
        <v>40</v>
      </c>
      <c r="Z9" t="s">
        <v>5</v>
      </c>
      <c r="AB9" s="22" t="s">
        <v>113</v>
      </c>
      <c r="AC9" t="str" cm="1">
        <f t="array" ref="AC9:AD9">_xlfn.TEXTSPLIT(AB9,"&gt;",)</f>
        <v xml:space="preserve"> SOLUTION </v>
      </c>
      <c r="AD9" t="str">
        <v xml:space="preserve"> High Level Design</v>
      </c>
    </row>
    <row r="10" spans="1:30" hidden="1" x14ac:dyDescent="0.2">
      <c r="B10" t="s">
        <v>23</v>
      </c>
      <c r="C10" t="s">
        <v>4</v>
      </c>
      <c r="D10" s="17" t="str">
        <f t="shared" si="0"/>
        <v>Commercial</v>
      </c>
      <c r="E10" s="17">
        <f t="shared" si="1"/>
        <v>4</v>
      </c>
      <c r="F10" s="17">
        <f t="shared" si="2"/>
        <v>100</v>
      </c>
      <c r="G10" s="8">
        <v>10</v>
      </c>
      <c r="I10" t="s">
        <v>15</v>
      </c>
      <c r="J10" t="s">
        <v>5</v>
      </c>
      <c r="K10">
        <v>30</v>
      </c>
      <c r="L10" s="16">
        <f t="shared" si="5"/>
        <v>100</v>
      </c>
      <c r="S10" s="3">
        <f t="shared" si="3"/>
        <v>0</v>
      </c>
      <c r="U10" s="17" t="str">
        <v>GP ECL</v>
      </c>
      <c r="V10" s="3">
        <f t="shared" si="4"/>
        <v>21.122994652406415</v>
      </c>
      <c r="W10" s="17" t="str">
        <f t="shared" si="6"/>
        <v>Commercial</v>
      </c>
      <c r="Y10" t="s">
        <v>21</v>
      </c>
      <c r="Z10" t="s">
        <v>5</v>
      </c>
      <c r="AB10" s="22" t="s">
        <v>114</v>
      </c>
      <c r="AC10" t="str" cm="1">
        <f t="array" ref="AC10:AD10">_xlfn.TEXTSPLIT(AB10,"&gt;",)</f>
        <v xml:space="preserve"> SOLUTION </v>
      </c>
      <c r="AD10" t="str">
        <v xml:space="preserve"> Ready for Development</v>
      </c>
    </row>
    <row r="11" spans="1:30" hidden="1" x14ac:dyDescent="0.2">
      <c r="B11" t="s">
        <v>24</v>
      </c>
      <c r="C11" t="s">
        <v>4</v>
      </c>
      <c r="D11" s="17" t="str">
        <f t="shared" si="0"/>
        <v>Commercial</v>
      </c>
      <c r="E11" s="17">
        <f t="shared" si="1"/>
        <v>4</v>
      </c>
      <c r="F11" s="17">
        <f t="shared" si="2"/>
        <v>100</v>
      </c>
      <c r="G11" s="8">
        <v>10</v>
      </c>
      <c r="I11" t="s">
        <v>15</v>
      </c>
      <c r="J11" t="s">
        <v>12</v>
      </c>
      <c r="K11">
        <v>20</v>
      </c>
      <c r="L11" s="16">
        <f t="shared" si="5"/>
        <v>100</v>
      </c>
      <c r="S11" s="3">
        <f t="shared" si="3"/>
        <v>0</v>
      </c>
      <c r="U11" s="17" t="str">
        <v>GPG</v>
      </c>
      <c r="V11" s="3">
        <f t="shared" si="4"/>
        <v>19.379679144385026</v>
      </c>
      <c r="W11" s="17" t="str">
        <f t="shared" si="6"/>
        <v>Commercial</v>
      </c>
      <c r="Y11" t="s">
        <v>25</v>
      </c>
      <c r="Z11" t="s">
        <v>5</v>
      </c>
      <c r="AB11" s="22" t="s">
        <v>115</v>
      </c>
      <c r="AC11" t="str" cm="1">
        <f t="array" ref="AC11:AD11">_xlfn.TEXTSPLIT(AB11,"&gt;",)</f>
        <v xml:space="preserve"> SOLUTION </v>
      </c>
      <c r="AD11" t="str">
        <v xml:space="preserve"> In Definition</v>
      </c>
    </row>
    <row r="12" spans="1:30" hidden="1" x14ac:dyDescent="0.2">
      <c r="B12" t="s">
        <v>37</v>
      </c>
      <c r="C12" t="s">
        <v>4</v>
      </c>
      <c r="D12" s="17" t="str">
        <f t="shared" si="0"/>
        <v>Commercial</v>
      </c>
      <c r="E12" s="17">
        <f t="shared" si="1"/>
        <v>4</v>
      </c>
      <c r="F12" s="17">
        <f t="shared" si="2"/>
        <v>100</v>
      </c>
      <c r="G12" s="8">
        <v>10</v>
      </c>
      <c r="I12" t="s">
        <v>15</v>
      </c>
      <c r="J12" t="s">
        <v>6</v>
      </c>
      <c r="K12">
        <v>20</v>
      </c>
      <c r="L12" s="16">
        <f t="shared" si="5"/>
        <v>100</v>
      </c>
      <c r="S12" s="3">
        <f t="shared" si="3"/>
        <v>0</v>
      </c>
      <c r="U12" s="17" t="str">
        <v>GS</v>
      </c>
      <c r="V12" s="3">
        <f t="shared" si="4"/>
        <v>26.304812834224595</v>
      </c>
      <c r="W12" s="17" t="str">
        <f t="shared" si="6"/>
        <v>Commercial</v>
      </c>
      <c r="Y12" t="s">
        <v>23</v>
      </c>
      <c r="Z12" t="s">
        <v>5</v>
      </c>
    </row>
    <row r="13" spans="1:30" hidden="1" x14ac:dyDescent="0.2">
      <c r="B13" t="s">
        <v>44</v>
      </c>
      <c r="C13" t="s">
        <v>4</v>
      </c>
      <c r="D13" s="17" t="str">
        <f t="shared" si="0"/>
        <v>Corporate</v>
      </c>
      <c r="E13" s="17">
        <f t="shared" si="1"/>
        <v>1.4285714285714286</v>
      </c>
      <c r="F13" s="17">
        <f t="shared" si="2"/>
        <v>140</v>
      </c>
      <c r="G13" s="8">
        <v>10</v>
      </c>
      <c r="I13" t="s">
        <v>15</v>
      </c>
      <c r="J13" t="s">
        <v>8</v>
      </c>
      <c r="K13">
        <v>20</v>
      </c>
      <c r="L13" s="16">
        <f t="shared" si="5"/>
        <v>100</v>
      </c>
      <c r="S13" s="3">
        <f t="shared" si="3"/>
        <v>0</v>
      </c>
      <c r="U13" s="17" t="str">
        <v>ACR</v>
      </c>
      <c r="V13" s="3">
        <f t="shared" si="4"/>
        <v>9.1233766233766236</v>
      </c>
      <c r="W13" s="17" t="str">
        <f t="shared" si="6"/>
        <v>Corporate</v>
      </c>
      <c r="Y13" t="s">
        <v>24</v>
      </c>
      <c r="Z13" t="s">
        <v>5</v>
      </c>
    </row>
    <row r="14" spans="1:30" hidden="1" x14ac:dyDescent="0.2">
      <c r="B14" t="s">
        <v>46</v>
      </c>
      <c r="C14" t="s">
        <v>4</v>
      </c>
      <c r="D14" s="17" t="str">
        <f t="shared" si="0"/>
        <v>Corporate</v>
      </c>
      <c r="E14" s="17">
        <f t="shared" si="1"/>
        <v>1.4285714285714286</v>
      </c>
      <c r="F14" s="17">
        <f t="shared" si="2"/>
        <v>140</v>
      </c>
      <c r="G14" s="8">
        <v>10</v>
      </c>
      <c r="I14" s="23" t="s">
        <v>15</v>
      </c>
      <c r="J14" s="23" t="s">
        <v>74</v>
      </c>
      <c r="K14" s="23">
        <v>5</v>
      </c>
      <c r="L14" s="16">
        <f t="shared" si="5"/>
        <v>100</v>
      </c>
      <c r="S14" s="3">
        <f t="shared" si="3"/>
        <v>0</v>
      </c>
      <c r="U14" s="17" t="str">
        <v>AVC</v>
      </c>
      <c r="V14" s="3">
        <f t="shared" si="4"/>
        <v>9.1233766233766236</v>
      </c>
      <c r="W14" s="17" t="str">
        <f t="shared" si="6"/>
        <v>Corporate</v>
      </c>
      <c r="Y14" t="s">
        <v>37</v>
      </c>
      <c r="Z14" t="s">
        <v>5</v>
      </c>
    </row>
    <row r="15" spans="1:30" hidden="1" x14ac:dyDescent="0.2">
      <c r="B15" t="s">
        <v>22</v>
      </c>
      <c r="C15" t="s">
        <v>4</v>
      </c>
      <c r="D15" s="17" t="str">
        <f t="shared" si="0"/>
        <v>Corporate</v>
      </c>
      <c r="E15" s="17">
        <f t="shared" si="1"/>
        <v>2.8571428571428572</v>
      </c>
      <c r="F15" s="17">
        <f t="shared" si="2"/>
        <v>140</v>
      </c>
      <c r="G15" s="8">
        <v>20</v>
      </c>
      <c r="I15" s="24" t="s">
        <v>4</v>
      </c>
      <c r="J15" s="24" t="s">
        <v>11</v>
      </c>
      <c r="K15" s="24">
        <v>5</v>
      </c>
      <c r="L15" s="16">
        <f t="shared" si="5"/>
        <v>100</v>
      </c>
      <c r="S15" s="7"/>
      <c r="U15" s="17" t="str">
        <v>CF</v>
      </c>
      <c r="V15" s="3">
        <f t="shared" si="4"/>
        <v>18.246753246753247</v>
      </c>
      <c r="W15" s="17" t="str">
        <f t="shared" si="6"/>
        <v>Corporate</v>
      </c>
      <c r="Y15" t="s">
        <v>68</v>
      </c>
      <c r="Z15" t="s">
        <v>5</v>
      </c>
    </row>
    <row r="16" spans="1:30" hidden="1" x14ac:dyDescent="0.2">
      <c r="B16" t="s">
        <v>48</v>
      </c>
      <c r="C16" t="s">
        <v>4</v>
      </c>
      <c r="D16" s="17" t="str">
        <f t="shared" si="0"/>
        <v>Corporate</v>
      </c>
      <c r="E16" s="17">
        <f t="shared" si="1"/>
        <v>1.4285714285714286</v>
      </c>
      <c r="F16" s="17">
        <f t="shared" si="2"/>
        <v>140</v>
      </c>
      <c r="G16" s="8">
        <v>10</v>
      </c>
      <c r="I16" t="s">
        <v>4</v>
      </c>
      <c r="J16" t="s">
        <v>5</v>
      </c>
      <c r="K16">
        <v>40</v>
      </c>
      <c r="L16" s="16">
        <f t="shared" si="5"/>
        <v>100</v>
      </c>
      <c r="S16" s="7"/>
      <c r="U16" s="17" t="str">
        <v>CL</v>
      </c>
      <c r="V16" s="3">
        <f t="shared" si="4"/>
        <v>9.1233766233766236</v>
      </c>
      <c r="W16" s="17" t="str">
        <f t="shared" si="6"/>
        <v>Corporate</v>
      </c>
      <c r="Y16" t="s">
        <v>44</v>
      </c>
      <c r="Z16" t="s">
        <v>12</v>
      </c>
    </row>
    <row r="17" spans="2:26" hidden="1" x14ac:dyDescent="0.2">
      <c r="B17" t="s">
        <v>50</v>
      </c>
      <c r="C17" t="s">
        <v>4</v>
      </c>
      <c r="D17" s="17" t="str">
        <f t="shared" si="0"/>
        <v>Corporate</v>
      </c>
      <c r="E17" s="17">
        <f t="shared" si="1"/>
        <v>1.4285714285714286</v>
      </c>
      <c r="F17" s="17">
        <f t="shared" si="2"/>
        <v>140</v>
      </c>
      <c r="G17" s="8">
        <v>10</v>
      </c>
      <c r="I17" t="s">
        <v>4</v>
      </c>
      <c r="J17" t="s">
        <v>12</v>
      </c>
      <c r="K17">
        <v>20</v>
      </c>
      <c r="L17" s="16">
        <f t="shared" si="5"/>
        <v>100</v>
      </c>
      <c r="S17" s="7"/>
      <c r="U17" s="17" t="str">
        <v>CMP</v>
      </c>
      <c r="V17" s="3">
        <f t="shared" si="4"/>
        <v>9.1233766233766236</v>
      </c>
      <c r="W17" s="17" t="str">
        <f t="shared" si="6"/>
        <v>Corporate</v>
      </c>
      <c r="Y17" t="s">
        <v>67</v>
      </c>
      <c r="Z17" t="s">
        <v>12</v>
      </c>
    </row>
    <row r="18" spans="2:26" hidden="1" x14ac:dyDescent="0.2">
      <c r="B18" t="s">
        <v>54</v>
      </c>
      <c r="C18" t="s">
        <v>4</v>
      </c>
      <c r="D18" s="17" t="str">
        <f t="shared" si="0"/>
        <v>Corporate</v>
      </c>
      <c r="E18" s="17">
        <f t="shared" si="1"/>
        <v>1.4285714285714286</v>
      </c>
      <c r="F18" s="17">
        <f t="shared" si="2"/>
        <v>140</v>
      </c>
      <c r="G18" s="8">
        <v>10</v>
      </c>
      <c r="I18" t="s">
        <v>4</v>
      </c>
      <c r="J18" t="s">
        <v>6</v>
      </c>
      <c r="K18">
        <v>10</v>
      </c>
      <c r="L18" s="16">
        <f t="shared" si="5"/>
        <v>100</v>
      </c>
      <c r="S18" s="7"/>
      <c r="U18" s="17" t="str">
        <v>DPO</v>
      </c>
      <c r="V18" s="3">
        <f t="shared" si="4"/>
        <v>9.1233766233766236</v>
      </c>
      <c r="W18" s="17" t="str">
        <f t="shared" si="6"/>
        <v>Corporate</v>
      </c>
      <c r="Y18" t="s">
        <v>46</v>
      </c>
      <c r="Z18" t="s">
        <v>12</v>
      </c>
    </row>
    <row r="19" spans="2:26" hidden="1" x14ac:dyDescent="0.2">
      <c r="B19" t="s">
        <v>56</v>
      </c>
      <c r="C19" t="s">
        <v>4</v>
      </c>
      <c r="D19" s="17" t="str">
        <f t="shared" si="0"/>
        <v>Corporate</v>
      </c>
      <c r="E19" s="17">
        <f t="shared" si="1"/>
        <v>1.4285714285714286</v>
      </c>
      <c r="F19" s="17">
        <f t="shared" si="2"/>
        <v>140</v>
      </c>
      <c r="G19" s="8">
        <v>10</v>
      </c>
      <c r="I19" t="s">
        <v>4</v>
      </c>
      <c r="J19" t="s">
        <v>8</v>
      </c>
      <c r="K19">
        <v>20</v>
      </c>
      <c r="L19" s="16">
        <f t="shared" si="5"/>
        <v>100</v>
      </c>
      <c r="S19" s="7"/>
      <c r="U19" s="17" t="str">
        <v>FL</v>
      </c>
      <c r="V19" s="3">
        <f t="shared" si="4"/>
        <v>9.1233766233766236</v>
      </c>
      <c r="W19" s="17" t="str">
        <f t="shared" si="6"/>
        <v>Corporate</v>
      </c>
      <c r="Y19" t="s">
        <v>22</v>
      </c>
      <c r="Z19" t="s">
        <v>12</v>
      </c>
    </row>
    <row r="20" spans="2:26" hidden="1" x14ac:dyDescent="0.2">
      <c r="B20" t="s">
        <v>35</v>
      </c>
      <c r="C20" t="s">
        <v>4</v>
      </c>
      <c r="D20" s="17" t="str">
        <f t="shared" si="0"/>
        <v>Corporate</v>
      </c>
      <c r="E20" s="17">
        <f t="shared" si="1"/>
        <v>1.4285714285714286</v>
      </c>
      <c r="F20" s="17">
        <f t="shared" si="2"/>
        <v>140</v>
      </c>
      <c r="G20" s="8">
        <v>10</v>
      </c>
      <c r="I20" s="23" t="s">
        <v>4</v>
      </c>
      <c r="J20" s="23" t="s">
        <v>74</v>
      </c>
      <c r="K20" s="23">
        <v>5</v>
      </c>
      <c r="L20" s="16">
        <f t="shared" si="5"/>
        <v>100</v>
      </c>
      <c r="S20" s="7"/>
      <c r="U20" s="17" t="str">
        <v>GRH</v>
      </c>
      <c r="V20" s="3">
        <f t="shared" si="4"/>
        <v>9.1233766233766236</v>
      </c>
      <c r="W20" s="17" t="str">
        <f t="shared" si="6"/>
        <v>Corporate</v>
      </c>
      <c r="Y20" t="s">
        <v>69</v>
      </c>
      <c r="Z20" t="s">
        <v>12</v>
      </c>
    </row>
    <row r="21" spans="2:26" hidden="1" x14ac:dyDescent="0.2">
      <c r="B21" t="s">
        <v>47</v>
      </c>
      <c r="C21" t="s">
        <v>4</v>
      </c>
      <c r="D21" s="17" t="str">
        <f t="shared" si="0"/>
        <v>Corporate</v>
      </c>
      <c r="E21" s="17">
        <f t="shared" si="1"/>
        <v>1.4285714285714286</v>
      </c>
      <c r="F21" s="17">
        <f t="shared" si="2"/>
        <v>140</v>
      </c>
      <c r="G21" s="8">
        <v>10</v>
      </c>
      <c r="I21" s="24" t="s">
        <v>17</v>
      </c>
      <c r="J21" s="24" t="s">
        <v>11</v>
      </c>
      <c r="K21" s="24">
        <v>5</v>
      </c>
      <c r="L21" s="16">
        <f t="shared" si="5"/>
        <v>100</v>
      </c>
      <c r="S21" s="7"/>
      <c r="U21" s="17" t="str">
        <v>GT</v>
      </c>
      <c r="V21" s="3">
        <f t="shared" si="4"/>
        <v>9.1233766233766236</v>
      </c>
      <c r="W21" s="17" t="str">
        <f t="shared" si="6"/>
        <v>Corporate</v>
      </c>
      <c r="Y21" t="s">
        <v>72</v>
      </c>
      <c r="Z21" t="s">
        <v>12</v>
      </c>
    </row>
    <row r="22" spans="2:26" hidden="1" x14ac:dyDescent="0.2">
      <c r="B22" t="s">
        <v>98</v>
      </c>
      <c r="C22" t="s">
        <v>4</v>
      </c>
      <c r="D22" s="17" t="str">
        <f t="shared" si="0"/>
        <v>Corporate</v>
      </c>
      <c r="E22" s="17">
        <f t="shared" si="1"/>
        <v>1.4285714285714286</v>
      </c>
      <c r="F22" s="17">
        <f t="shared" si="2"/>
        <v>140</v>
      </c>
      <c r="G22" s="8">
        <v>10</v>
      </c>
      <c r="I22" t="s">
        <v>17</v>
      </c>
      <c r="J22" t="s">
        <v>5</v>
      </c>
      <c r="K22">
        <v>30</v>
      </c>
      <c r="L22" s="16">
        <f t="shared" si="5"/>
        <v>100</v>
      </c>
      <c r="S22" s="7"/>
      <c r="U22" s="17" t="str">
        <v>PC</v>
      </c>
      <c r="V22" s="3">
        <f t="shared" si="4"/>
        <v>10.032467532467532</v>
      </c>
      <c r="W22" s="17" t="str">
        <f t="shared" si="6"/>
        <v>Corporate</v>
      </c>
      <c r="Y22" t="s">
        <v>48</v>
      </c>
      <c r="Z22" t="s">
        <v>12</v>
      </c>
    </row>
    <row r="23" spans="2:26" hidden="1" x14ac:dyDescent="0.2">
      <c r="B23" t="s">
        <v>45</v>
      </c>
      <c r="C23" t="s">
        <v>4</v>
      </c>
      <c r="D23" s="17" t="str">
        <f t="shared" si="0"/>
        <v>Corporate</v>
      </c>
      <c r="E23" s="17">
        <f t="shared" si="1"/>
        <v>1.4285714285714286</v>
      </c>
      <c r="F23" s="17">
        <f t="shared" si="2"/>
        <v>140</v>
      </c>
      <c r="G23" s="8">
        <v>10</v>
      </c>
      <c r="I23" t="s">
        <v>17</v>
      </c>
      <c r="J23" t="s">
        <v>12</v>
      </c>
      <c r="K23">
        <v>30</v>
      </c>
      <c r="L23" s="16">
        <f t="shared" si="5"/>
        <v>100</v>
      </c>
      <c r="S23" s="7"/>
      <c r="U23" s="17" t="str">
        <v>RS</v>
      </c>
      <c r="V23" s="3">
        <f t="shared" si="4"/>
        <v>9.1233766233766236</v>
      </c>
      <c r="W23" s="17" t="str">
        <f t="shared" si="6"/>
        <v>Corporate</v>
      </c>
      <c r="Y23" t="s">
        <v>50</v>
      </c>
      <c r="Z23" t="s">
        <v>12</v>
      </c>
    </row>
    <row r="24" spans="2:26" hidden="1" x14ac:dyDescent="0.2">
      <c r="B24" t="s">
        <v>51</v>
      </c>
      <c r="C24" t="s">
        <v>4</v>
      </c>
      <c r="D24" s="17" t="str">
        <f t="shared" si="0"/>
        <v>Corporate</v>
      </c>
      <c r="E24" s="17">
        <f t="shared" si="1"/>
        <v>1.4285714285714286</v>
      </c>
      <c r="F24" s="17">
        <f t="shared" si="2"/>
        <v>140</v>
      </c>
      <c r="G24" s="8">
        <v>10</v>
      </c>
      <c r="I24" t="s">
        <v>17</v>
      </c>
      <c r="J24" t="s">
        <v>6</v>
      </c>
      <c r="K24">
        <v>10</v>
      </c>
      <c r="L24" s="16">
        <f t="shared" si="5"/>
        <v>100</v>
      </c>
      <c r="S24" s="7"/>
      <c r="U24" s="17" t="str">
        <v>ST</v>
      </c>
      <c r="V24" s="3">
        <f t="shared" si="4"/>
        <v>9.1233766233766236</v>
      </c>
      <c r="W24" s="17" t="str">
        <f t="shared" si="6"/>
        <v>Corporate</v>
      </c>
      <c r="Y24" t="s">
        <v>73</v>
      </c>
      <c r="Z24" t="s">
        <v>12</v>
      </c>
    </row>
    <row r="25" spans="2:26" hidden="1" x14ac:dyDescent="0.2">
      <c r="B25" t="s">
        <v>53</v>
      </c>
      <c r="C25" t="s">
        <v>4</v>
      </c>
      <c r="D25" s="17" t="str">
        <f t="shared" si="0"/>
        <v>Corporate</v>
      </c>
      <c r="E25" s="17">
        <f t="shared" si="1"/>
        <v>1.4285714285714286</v>
      </c>
      <c r="F25" s="17">
        <f t="shared" si="2"/>
        <v>140</v>
      </c>
      <c r="G25" s="8">
        <v>10</v>
      </c>
      <c r="I25" t="s">
        <v>17</v>
      </c>
      <c r="J25" t="s">
        <v>8</v>
      </c>
      <c r="K25">
        <v>20</v>
      </c>
      <c r="L25" s="16">
        <f t="shared" si="5"/>
        <v>100</v>
      </c>
      <c r="S25" s="7"/>
      <c r="U25" s="17" t="str">
        <v>TF</v>
      </c>
      <c r="V25" s="3">
        <f t="shared" si="4"/>
        <v>9.1233766233766236</v>
      </c>
      <c r="W25" s="17" t="str">
        <f t="shared" si="6"/>
        <v>Corporate</v>
      </c>
      <c r="Y25" t="s">
        <v>54</v>
      </c>
      <c r="Z25" t="s">
        <v>12</v>
      </c>
    </row>
    <row r="26" spans="2:26" hidden="1" x14ac:dyDescent="0.2">
      <c r="B26" t="s">
        <v>7</v>
      </c>
      <c r="C26" t="s">
        <v>4</v>
      </c>
      <c r="D26" s="17" t="str">
        <f t="shared" si="0"/>
        <v>Operations</v>
      </c>
      <c r="E26" s="17">
        <f t="shared" si="1"/>
        <v>3.3333333333333335</v>
      </c>
      <c r="F26" s="17">
        <f t="shared" si="2"/>
        <v>30</v>
      </c>
      <c r="G26" s="8">
        <v>10</v>
      </c>
      <c r="I26" s="23" t="s">
        <v>17</v>
      </c>
      <c r="J26" s="23" t="s">
        <v>74</v>
      </c>
      <c r="K26" s="23">
        <v>5</v>
      </c>
      <c r="L26" s="16">
        <f t="shared" si="5"/>
        <v>100</v>
      </c>
      <c r="S26" s="7"/>
      <c r="U26" s="17" t="str">
        <v>EDO</v>
      </c>
      <c r="V26" s="3">
        <f t="shared" si="4"/>
        <v>36.333333333333336</v>
      </c>
      <c r="W26" s="17" t="str">
        <f t="shared" si="6"/>
        <v>Operations</v>
      </c>
      <c r="Y26" t="s">
        <v>56</v>
      </c>
      <c r="Z26" t="s">
        <v>12</v>
      </c>
    </row>
    <row r="27" spans="2:26" hidden="1" x14ac:dyDescent="0.2">
      <c r="B27" t="s">
        <v>42</v>
      </c>
      <c r="C27" t="s">
        <v>4</v>
      </c>
      <c r="D27" s="17" t="str">
        <f t="shared" si="0"/>
        <v>Operations</v>
      </c>
      <c r="E27" s="17">
        <f t="shared" si="1"/>
        <v>3.3333333333333335</v>
      </c>
      <c r="F27" s="17">
        <f t="shared" si="2"/>
        <v>30</v>
      </c>
      <c r="G27" s="8">
        <v>10</v>
      </c>
      <c r="I27" s="24" t="s">
        <v>16</v>
      </c>
      <c r="J27" s="24" t="s">
        <v>11</v>
      </c>
      <c r="K27" s="24">
        <v>5</v>
      </c>
      <c r="L27" s="16">
        <f t="shared" si="5"/>
        <v>100</v>
      </c>
      <c r="S27" s="7"/>
      <c r="U27" s="17" t="str">
        <v>EM</v>
      </c>
      <c r="V27" s="3">
        <f t="shared" si="4"/>
        <v>28.166666666666664</v>
      </c>
      <c r="W27" s="17" t="str">
        <f t="shared" si="6"/>
        <v>Operations</v>
      </c>
      <c r="Y27" t="s">
        <v>35</v>
      </c>
      <c r="Z27" t="s">
        <v>12</v>
      </c>
    </row>
    <row r="28" spans="2:26" hidden="1" x14ac:dyDescent="0.2">
      <c r="B28" t="s">
        <v>26</v>
      </c>
      <c r="C28" t="s">
        <v>4</v>
      </c>
      <c r="D28" s="17" t="str">
        <f t="shared" si="0"/>
        <v>Operations</v>
      </c>
      <c r="E28" s="17">
        <f t="shared" si="1"/>
        <v>3.3333333333333335</v>
      </c>
      <c r="F28" s="17">
        <f t="shared" si="2"/>
        <v>30</v>
      </c>
      <c r="G28" s="8">
        <v>10</v>
      </c>
      <c r="I28" t="s">
        <v>16</v>
      </c>
      <c r="J28" t="s">
        <v>5</v>
      </c>
      <c r="K28">
        <v>30</v>
      </c>
      <c r="L28" s="16">
        <f t="shared" si="5"/>
        <v>100</v>
      </c>
      <c r="S28" s="7"/>
      <c r="U28" s="17" t="str">
        <v>SEO</v>
      </c>
      <c r="V28" s="3">
        <f t="shared" si="4"/>
        <v>32.166666666666664</v>
      </c>
      <c r="W28" s="17" t="str">
        <f t="shared" si="6"/>
        <v>Operations</v>
      </c>
      <c r="Y28" t="s">
        <v>47</v>
      </c>
      <c r="Z28" t="s">
        <v>12</v>
      </c>
    </row>
    <row r="29" spans="2:26" hidden="1" x14ac:dyDescent="0.2">
      <c r="B29" t="s">
        <v>34</v>
      </c>
      <c r="C29" t="s">
        <v>4</v>
      </c>
      <c r="D29" s="17" t="str">
        <f t="shared" si="0"/>
        <v>Technology</v>
      </c>
      <c r="E29" s="17">
        <f t="shared" si="1"/>
        <v>4</v>
      </c>
      <c r="F29" s="17">
        <f t="shared" si="2"/>
        <v>50</v>
      </c>
      <c r="G29" s="8">
        <v>10</v>
      </c>
      <c r="I29" t="s">
        <v>16</v>
      </c>
      <c r="J29" t="s">
        <v>12</v>
      </c>
      <c r="K29">
        <v>25</v>
      </c>
      <c r="L29" s="16">
        <f t="shared" si="5"/>
        <v>100</v>
      </c>
      <c r="S29" s="7"/>
      <c r="U29" s="17" t="str">
        <v>BCTT</v>
      </c>
      <c r="V29" s="3">
        <f t="shared" si="4"/>
        <v>18.375</v>
      </c>
      <c r="W29" s="17" t="str">
        <f t="shared" si="6"/>
        <v>Technology</v>
      </c>
      <c r="Y29" t="s">
        <v>98</v>
      </c>
      <c r="Z29" t="s">
        <v>12</v>
      </c>
    </row>
    <row r="30" spans="2:26" hidden="1" x14ac:dyDescent="0.2">
      <c r="B30" t="s">
        <v>9</v>
      </c>
      <c r="C30" t="s">
        <v>4</v>
      </c>
      <c r="D30" s="17" t="str">
        <f t="shared" si="0"/>
        <v>Technology</v>
      </c>
      <c r="E30" s="17">
        <f t="shared" si="1"/>
        <v>4</v>
      </c>
      <c r="F30" s="17">
        <f t="shared" si="2"/>
        <v>50</v>
      </c>
      <c r="G30" s="8">
        <v>10</v>
      </c>
      <c r="I30" t="s">
        <v>16</v>
      </c>
      <c r="J30" t="s">
        <v>6</v>
      </c>
      <c r="K30">
        <v>10</v>
      </c>
      <c r="L30" s="16">
        <f t="shared" si="5"/>
        <v>100</v>
      </c>
      <c r="S30" s="7"/>
      <c r="U30" s="17" t="str">
        <v>SI</v>
      </c>
      <c r="V30" s="3">
        <f t="shared" si="4"/>
        <v>32.75</v>
      </c>
      <c r="W30" s="17" t="str">
        <f t="shared" si="6"/>
        <v>Technology</v>
      </c>
      <c r="Y30" t="s">
        <v>71</v>
      </c>
      <c r="Z30" t="s">
        <v>12</v>
      </c>
    </row>
    <row r="31" spans="2:26" hidden="1" x14ac:dyDescent="0.2">
      <c r="B31" t="s">
        <v>60</v>
      </c>
      <c r="C31" t="s">
        <v>4</v>
      </c>
      <c r="D31" s="17" t="str">
        <f t="shared" si="0"/>
        <v>Technology</v>
      </c>
      <c r="E31" s="17">
        <f t="shared" si="1"/>
        <v>4</v>
      </c>
      <c r="F31" s="17">
        <f t="shared" si="2"/>
        <v>50</v>
      </c>
      <c r="G31" s="8">
        <v>10</v>
      </c>
      <c r="I31" t="s">
        <v>16</v>
      </c>
      <c r="J31" t="s">
        <v>8</v>
      </c>
      <c r="K31">
        <v>25</v>
      </c>
      <c r="L31" s="16">
        <f t="shared" si="5"/>
        <v>100</v>
      </c>
      <c r="S31" s="7"/>
      <c r="U31" s="17" t="str">
        <v>SI-CRP</v>
      </c>
      <c r="V31" s="3">
        <f t="shared" si="4"/>
        <v>18.375</v>
      </c>
      <c r="W31" s="17" t="str">
        <f t="shared" si="6"/>
        <v>Technology</v>
      </c>
      <c r="Y31" t="s">
        <v>45</v>
      </c>
      <c r="Z31" t="s">
        <v>12</v>
      </c>
    </row>
    <row r="32" spans="2:26" hidden="1" x14ac:dyDescent="0.2">
      <c r="B32" t="s">
        <v>59</v>
      </c>
      <c r="C32" t="s">
        <v>4</v>
      </c>
      <c r="D32" s="17" t="str">
        <f t="shared" si="0"/>
        <v>Technology</v>
      </c>
      <c r="E32" s="17">
        <f t="shared" si="1"/>
        <v>4</v>
      </c>
      <c r="F32" s="17">
        <f t="shared" si="2"/>
        <v>50</v>
      </c>
      <c r="G32" s="8">
        <v>10</v>
      </c>
      <c r="I32" s="23" t="s">
        <v>16</v>
      </c>
      <c r="J32" s="23" t="s">
        <v>74</v>
      </c>
      <c r="K32" s="23">
        <v>5</v>
      </c>
      <c r="L32" s="16">
        <f t="shared" si="5"/>
        <v>100</v>
      </c>
      <c r="S32" s="7"/>
      <c r="U32" s="17" t="str">
        <v>SI-OPS</v>
      </c>
      <c r="V32" s="3">
        <f t="shared" si="4"/>
        <v>18.375</v>
      </c>
      <c r="W32" s="17" t="str">
        <f t="shared" si="6"/>
        <v>Technology</v>
      </c>
      <c r="Y32" t="s">
        <v>51</v>
      </c>
      <c r="Z32" t="s">
        <v>12</v>
      </c>
    </row>
    <row r="33" spans="2:26" hidden="1" x14ac:dyDescent="0.2">
      <c r="B33" t="s">
        <v>58</v>
      </c>
      <c r="C33" t="s">
        <v>4</v>
      </c>
      <c r="D33" s="17" t="str">
        <f t="shared" si="0"/>
        <v>Technology</v>
      </c>
      <c r="E33" s="17">
        <f t="shared" si="1"/>
        <v>4</v>
      </c>
      <c r="F33" s="17">
        <f t="shared" si="2"/>
        <v>50</v>
      </c>
      <c r="G33" s="8">
        <v>10</v>
      </c>
      <c r="I33" s="24" t="s">
        <v>14</v>
      </c>
      <c r="J33" s="24" t="s">
        <v>11</v>
      </c>
      <c r="K33" s="24">
        <v>5</v>
      </c>
      <c r="L33" s="16">
        <f t="shared" si="5"/>
        <v>100</v>
      </c>
      <c r="S33" s="7"/>
      <c r="U33" s="17" t="str">
        <v>SI-PRD</v>
      </c>
      <c r="V33" s="3">
        <f t="shared" si="4"/>
        <v>18.375</v>
      </c>
      <c r="W33" s="17" t="str">
        <f t="shared" si="6"/>
        <v>Technology</v>
      </c>
      <c r="Y33" t="s">
        <v>53</v>
      </c>
      <c r="Z33" t="s">
        <v>12</v>
      </c>
    </row>
    <row r="34" spans="2:26" x14ac:dyDescent="0.2">
      <c r="B34" t="s">
        <v>11</v>
      </c>
      <c r="C34" t="s">
        <v>10</v>
      </c>
      <c r="D34" s="17" t="str">
        <f t="shared" si="0"/>
        <v>CISO</v>
      </c>
      <c r="E34" s="17">
        <f t="shared" si="1"/>
        <v>5</v>
      </c>
      <c r="F34" s="17">
        <f t="shared" si="2"/>
        <v>5</v>
      </c>
      <c r="G34" s="8">
        <v>5</v>
      </c>
      <c r="I34" t="s">
        <v>14</v>
      </c>
      <c r="J34" t="s">
        <v>5</v>
      </c>
      <c r="K34">
        <v>30</v>
      </c>
      <c r="L34" s="16">
        <f t="shared" si="5"/>
        <v>100</v>
      </c>
      <c r="S34" s="7"/>
      <c r="U34" s="17" t="str">
        <v>CCO</v>
      </c>
      <c r="V34" s="3">
        <f t="shared" si="4"/>
        <v>2.9411764705882355</v>
      </c>
      <c r="W34" s="17" t="str">
        <f t="shared" si="6"/>
        <v>Commercial</v>
      </c>
      <c r="Y34" t="s">
        <v>64</v>
      </c>
      <c r="Z34" t="s">
        <v>6</v>
      </c>
    </row>
    <row r="35" spans="2:26" x14ac:dyDescent="0.2">
      <c r="B35" t="s">
        <v>66</v>
      </c>
      <c r="C35" t="s">
        <v>10</v>
      </c>
      <c r="D35" s="17" t="str">
        <f t="shared" si="0"/>
        <v>Commercial</v>
      </c>
      <c r="E35" s="17">
        <f t="shared" si="1"/>
        <v>2.9411764705882355</v>
      </c>
      <c r="F35" s="17">
        <f t="shared" si="2"/>
        <v>170</v>
      </c>
      <c r="G35" s="8">
        <v>20</v>
      </c>
      <c r="I35" t="s">
        <v>14</v>
      </c>
      <c r="J35" t="s">
        <v>12</v>
      </c>
      <c r="K35">
        <v>20</v>
      </c>
      <c r="L35" s="16">
        <f t="shared" si="5"/>
        <v>100</v>
      </c>
      <c r="S35" s="7"/>
      <c r="U35" s="17" t="str">
        <v>CMO</v>
      </c>
      <c r="V35" s="3">
        <f t="shared" si="4"/>
        <v>2.9411764705882355</v>
      </c>
      <c r="W35" s="17" t="str">
        <f t="shared" si="6"/>
        <v>Commercial</v>
      </c>
      <c r="Y35" t="s">
        <v>7</v>
      </c>
      <c r="Z35" t="s">
        <v>6</v>
      </c>
    </row>
    <row r="36" spans="2:26" x14ac:dyDescent="0.2">
      <c r="B36" t="s">
        <v>65</v>
      </c>
      <c r="C36" t="s">
        <v>10</v>
      </c>
      <c r="D36" s="17" t="str">
        <f t="shared" si="0"/>
        <v>Commercial</v>
      </c>
      <c r="E36" s="17">
        <f t="shared" si="1"/>
        <v>2.9411764705882355</v>
      </c>
      <c r="F36" s="17">
        <f t="shared" si="2"/>
        <v>170</v>
      </c>
      <c r="G36" s="8">
        <v>20</v>
      </c>
      <c r="I36" t="s">
        <v>14</v>
      </c>
      <c r="J36" t="s">
        <v>6</v>
      </c>
      <c r="K36">
        <v>30</v>
      </c>
      <c r="L36" s="16">
        <f t="shared" si="5"/>
        <v>100</v>
      </c>
      <c r="S36" s="7"/>
      <c r="U36" s="17" t="str">
        <v>IDC</v>
      </c>
      <c r="V36" s="3">
        <f t="shared" si="4"/>
        <v>2.9411764705882355</v>
      </c>
      <c r="W36" s="17" t="str">
        <f t="shared" si="6"/>
        <v>Commercial</v>
      </c>
      <c r="Y36" t="s">
        <v>42</v>
      </c>
      <c r="Z36" t="s">
        <v>6</v>
      </c>
    </row>
    <row r="37" spans="2:26" x14ac:dyDescent="0.2">
      <c r="B37" t="s">
        <v>38</v>
      </c>
      <c r="C37" t="s">
        <v>10</v>
      </c>
      <c r="D37" s="17" t="str">
        <f t="shared" si="0"/>
        <v>Commercial</v>
      </c>
      <c r="E37" s="17">
        <f t="shared" si="1"/>
        <v>1.4705882352941178</v>
      </c>
      <c r="F37" s="17">
        <f t="shared" si="2"/>
        <v>170</v>
      </c>
      <c r="G37" s="8">
        <v>10</v>
      </c>
      <c r="I37" t="s">
        <v>14</v>
      </c>
      <c r="J37" t="s">
        <v>8</v>
      </c>
      <c r="K37">
        <v>10</v>
      </c>
      <c r="L37" s="16">
        <f t="shared" si="5"/>
        <v>100</v>
      </c>
      <c r="S37" s="7"/>
      <c r="U37" s="17" t="str">
        <v>ATC</v>
      </c>
      <c r="V37" s="3">
        <f t="shared" si="4"/>
        <v>1.8181818181818181</v>
      </c>
      <c r="W37" s="17" t="str">
        <f t="shared" si="6"/>
        <v>Corporate</v>
      </c>
      <c r="Y37" t="s">
        <v>42</v>
      </c>
      <c r="Z37" t="s">
        <v>6</v>
      </c>
    </row>
    <row r="38" spans="2:26" x14ac:dyDescent="0.2">
      <c r="B38" t="s">
        <v>39</v>
      </c>
      <c r="C38" t="s">
        <v>10</v>
      </c>
      <c r="D38" s="17" t="str">
        <f t="shared" si="0"/>
        <v>Commercial</v>
      </c>
      <c r="E38" s="17">
        <f t="shared" si="1"/>
        <v>1.4705882352941178</v>
      </c>
      <c r="F38" s="17">
        <f t="shared" si="2"/>
        <v>170</v>
      </c>
      <c r="G38" s="8">
        <v>10</v>
      </c>
      <c r="I38" s="23" t="s">
        <v>14</v>
      </c>
      <c r="J38" s="23" t="s">
        <v>74</v>
      </c>
      <c r="K38" s="23">
        <v>5</v>
      </c>
      <c r="L38" s="16">
        <f t="shared" si="5"/>
        <v>100</v>
      </c>
      <c r="S38" s="7"/>
      <c r="U38" s="17" t="str">
        <v>CFO</v>
      </c>
      <c r="V38" s="3">
        <f t="shared" si="4"/>
        <v>1.8181818181818181</v>
      </c>
      <c r="W38" s="17" t="str">
        <f t="shared" si="6"/>
        <v>Corporate</v>
      </c>
      <c r="Y38" t="s">
        <v>26</v>
      </c>
      <c r="Z38" t="s">
        <v>6</v>
      </c>
    </row>
    <row r="39" spans="2:26" x14ac:dyDescent="0.2">
      <c r="B39" t="s">
        <v>36</v>
      </c>
      <c r="C39" t="s">
        <v>10</v>
      </c>
      <c r="D39" s="17" t="str">
        <f t="shared" si="0"/>
        <v>Commercial</v>
      </c>
      <c r="E39" s="17">
        <f t="shared" si="1"/>
        <v>1.4705882352941178</v>
      </c>
      <c r="F39" s="17">
        <f t="shared" si="2"/>
        <v>170</v>
      </c>
      <c r="G39" s="8">
        <v>10</v>
      </c>
      <c r="S39" s="7"/>
      <c r="U39" s="17" t="str">
        <v>CHR</v>
      </c>
      <c r="V39" s="3">
        <f t="shared" si="4"/>
        <v>0.90909090909090906</v>
      </c>
      <c r="W39" s="17" t="str">
        <f t="shared" si="6"/>
        <v>Corporate</v>
      </c>
      <c r="Y39" t="s">
        <v>34</v>
      </c>
      <c r="Z39" t="s">
        <v>8</v>
      </c>
    </row>
    <row r="40" spans="2:26" x14ac:dyDescent="0.2">
      <c r="B40" t="s">
        <v>40</v>
      </c>
      <c r="C40" t="s">
        <v>10</v>
      </c>
      <c r="D40" s="17" t="str">
        <f t="shared" si="0"/>
        <v>Commercial</v>
      </c>
      <c r="E40" s="17">
        <f t="shared" si="1"/>
        <v>1.4705882352941178</v>
      </c>
      <c r="F40" s="17">
        <f t="shared" si="2"/>
        <v>170</v>
      </c>
      <c r="G40" s="8">
        <v>10</v>
      </c>
      <c r="S40" s="7"/>
      <c r="U40" s="17" t="str">
        <v>COM</v>
      </c>
      <c r="V40" s="3">
        <f t="shared" si="4"/>
        <v>0.90909090909090906</v>
      </c>
      <c r="W40" s="17" t="str">
        <f t="shared" si="6"/>
        <v>Corporate</v>
      </c>
      <c r="Y40" t="s">
        <v>70</v>
      </c>
      <c r="Z40" t="s">
        <v>8</v>
      </c>
    </row>
    <row r="41" spans="2:26" x14ac:dyDescent="0.2">
      <c r="B41" t="s">
        <v>21</v>
      </c>
      <c r="C41" t="s">
        <v>10</v>
      </c>
      <c r="D41" s="17" t="str">
        <f t="shared" si="0"/>
        <v>Commercial</v>
      </c>
      <c r="E41" s="17">
        <f t="shared" si="1"/>
        <v>1.4705882352941178</v>
      </c>
      <c r="F41" s="17">
        <f t="shared" si="2"/>
        <v>170</v>
      </c>
      <c r="G41" s="8">
        <v>10</v>
      </c>
      <c r="S41" s="7"/>
      <c r="U41" s="17" t="str">
        <v>PRO</v>
      </c>
      <c r="V41" s="3">
        <f t="shared" si="4"/>
        <v>0.90909090909090906</v>
      </c>
      <c r="W41" s="17" t="str">
        <f t="shared" si="6"/>
        <v>Corporate</v>
      </c>
      <c r="Y41" t="s">
        <v>9</v>
      </c>
      <c r="Z41" t="s">
        <v>8</v>
      </c>
    </row>
    <row r="42" spans="2:26" x14ac:dyDescent="0.2">
      <c r="B42" t="s">
        <v>25</v>
      </c>
      <c r="C42" t="s">
        <v>10</v>
      </c>
      <c r="D42" s="17" t="str">
        <f t="shared" si="0"/>
        <v>Commercial</v>
      </c>
      <c r="E42" s="17">
        <f t="shared" si="1"/>
        <v>1.4705882352941178</v>
      </c>
      <c r="F42" s="17">
        <f t="shared" si="2"/>
        <v>170</v>
      </c>
      <c r="G42" s="8">
        <v>10</v>
      </c>
      <c r="S42" s="7"/>
      <c r="U42" s="17" t="str">
        <v>COO</v>
      </c>
      <c r="V42" s="3">
        <f t="shared" si="4"/>
        <v>8.3333333333333339</v>
      </c>
      <c r="W42" s="17" t="str">
        <f t="shared" si="6"/>
        <v>Operations</v>
      </c>
      <c r="Y42" t="s">
        <v>60</v>
      </c>
      <c r="Z42" t="s">
        <v>8</v>
      </c>
    </row>
    <row r="43" spans="2:26" x14ac:dyDescent="0.2">
      <c r="B43" t="s">
        <v>23</v>
      </c>
      <c r="C43" t="s">
        <v>10</v>
      </c>
      <c r="D43" s="17" t="str">
        <f t="shared" si="0"/>
        <v>Commercial</v>
      </c>
      <c r="E43" s="17">
        <f t="shared" si="1"/>
        <v>2.9411764705882355</v>
      </c>
      <c r="F43" s="17">
        <f t="shared" si="2"/>
        <v>170</v>
      </c>
      <c r="G43" s="8">
        <v>20</v>
      </c>
      <c r="S43" s="7"/>
      <c r="U43" s="17" t="str">
        <v>CIO</v>
      </c>
      <c r="V43" s="3">
        <f t="shared" si="4"/>
        <v>3.75</v>
      </c>
      <c r="W43" s="17" t="str">
        <f t="shared" si="6"/>
        <v>Technology</v>
      </c>
      <c r="Y43" t="s">
        <v>59</v>
      </c>
      <c r="Z43" t="s">
        <v>8</v>
      </c>
    </row>
    <row r="44" spans="2:26" x14ac:dyDescent="0.2">
      <c r="B44" t="s">
        <v>24</v>
      </c>
      <c r="C44" t="s">
        <v>10</v>
      </c>
      <c r="D44" s="17" t="str">
        <f t="shared" si="0"/>
        <v>Commercial</v>
      </c>
      <c r="E44" s="17">
        <f t="shared" si="1"/>
        <v>1.4705882352941178</v>
      </c>
      <c r="F44" s="17">
        <f t="shared" si="2"/>
        <v>170</v>
      </c>
      <c r="G44" s="8">
        <v>10</v>
      </c>
      <c r="S44" s="7"/>
      <c r="U44" s="17" t="str">
        <v>IAD</v>
      </c>
      <c r="V44" s="3">
        <f t="shared" si="4"/>
        <v>35</v>
      </c>
      <c r="W44" s="17" t="str">
        <f t="shared" si="6"/>
        <v>Data &amp; AI</v>
      </c>
      <c r="Y44" t="s">
        <v>58</v>
      </c>
      <c r="Z44" t="s">
        <v>8</v>
      </c>
    </row>
    <row r="45" spans="2:26" x14ac:dyDescent="0.2">
      <c r="B45" t="s">
        <v>37</v>
      </c>
      <c r="C45" t="s">
        <v>10</v>
      </c>
      <c r="D45" s="17" t="str">
        <f t="shared" si="0"/>
        <v>Commercial</v>
      </c>
      <c r="E45" s="17">
        <f t="shared" si="1"/>
        <v>2.9411764705882355</v>
      </c>
      <c r="F45" s="17">
        <f t="shared" si="2"/>
        <v>170</v>
      </c>
      <c r="G45" s="8">
        <v>20</v>
      </c>
      <c r="S45" s="7"/>
      <c r="U45">
        <v>0</v>
      </c>
      <c r="V45" s="7"/>
      <c r="Y45" t="s">
        <v>116</v>
      </c>
      <c r="Z45" t="s">
        <v>74</v>
      </c>
    </row>
    <row r="46" spans="2:26" x14ac:dyDescent="0.2">
      <c r="B46" t="s">
        <v>68</v>
      </c>
      <c r="C46" t="s">
        <v>10</v>
      </c>
      <c r="D46" s="17" t="str">
        <f t="shared" si="0"/>
        <v>Commercial</v>
      </c>
      <c r="E46" s="17">
        <f t="shared" si="1"/>
        <v>2.9411764705882355</v>
      </c>
      <c r="F46" s="17">
        <f t="shared" si="2"/>
        <v>170</v>
      </c>
      <c r="G46" s="8">
        <v>20</v>
      </c>
      <c r="S46" s="7"/>
      <c r="V46" s="7"/>
    </row>
    <row r="47" spans="2:26" x14ac:dyDescent="0.2">
      <c r="B47" t="s">
        <v>44</v>
      </c>
      <c r="C47" t="s">
        <v>10</v>
      </c>
      <c r="D47" s="17" t="str">
        <f t="shared" si="0"/>
        <v>Corporate</v>
      </c>
      <c r="E47" s="17">
        <f t="shared" si="1"/>
        <v>0.90909090909090906</v>
      </c>
      <c r="F47" s="17">
        <f t="shared" si="2"/>
        <v>220</v>
      </c>
      <c r="G47" s="8">
        <v>10</v>
      </c>
      <c r="S47" s="7"/>
      <c r="V47" s="7"/>
    </row>
    <row r="48" spans="2:26" x14ac:dyDescent="0.2">
      <c r="B48" t="s">
        <v>67</v>
      </c>
      <c r="C48" t="s">
        <v>10</v>
      </c>
      <c r="D48" s="17" t="str">
        <f t="shared" si="0"/>
        <v>Corporate</v>
      </c>
      <c r="E48" s="17">
        <f t="shared" si="1"/>
        <v>1.8181818181818181</v>
      </c>
      <c r="F48" s="17">
        <f t="shared" si="2"/>
        <v>220</v>
      </c>
      <c r="G48" s="8">
        <v>20</v>
      </c>
      <c r="S48" s="7"/>
      <c r="V48" s="7"/>
    </row>
    <row r="49" spans="2:22" x14ac:dyDescent="0.2">
      <c r="B49" t="s">
        <v>46</v>
      </c>
      <c r="C49" t="s">
        <v>10</v>
      </c>
      <c r="D49" s="17" t="str">
        <f t="shared" si="0"/>
        <v>Corporate</v>
      </c>
      <c r="E49" s="17">
        <f t="shared" si="1"/>
        <v>0.90909090909090906</v>
      </c>
      <c r="F49" s="17">
        <f t="shared" si="2"/>
        <v>220</v>
      </c>
      <c r="G49" s="8">
        <v>10</v>
      </c>
      <c r="S49" s="7"/>
      <c r="V49" s="7"/>
    </row>
    <row r="50" spans="2:22" x14ac:dyDescent="0.2">
      <c r="B50" t="s">
        <v>22</v>
      </c>
      <c r="C50" t="s">
        <v>10</v>
      </c>
      <c r="D50" s="17" t="str">
        <f t="shared" si="0"/>
        <v>Corporate</v>
      </c>
      <c r="E50" s="17">
        <f t="shared" si="1"/>
        <v>1.8181818181818181</v>
      </c>
      <c r="F50" s="17">
        <f t="shared" si="2"/>
        <v>220</v>
      </c>
      <c r="G50" s="8">
        <v>20</v>
      </c>
      <c r="S50" s="7"/>
      <c r="V50" s="7"/>
    </row>
    <row r="51" spans="2:22" x14ac:dyDescent="0.2">
      <c r="B51" t="s">
        <v>69</v>
      </c>
      <c r="C51" t="s">
        <v>10</v>
      </c>
      <c r="D51" s="17" t="str">
        <f t="shared" si="0"/>
        <v>Corporate</v>
      </c>
      <c r="E51" s="17">
        <f t="shared" si="1"/>
        <v>1.8181818181818181</v>
      </c>
      <c r="F51" s="17">
        <f t="shared" si="2"/>
        <v>220</v>
      </c>
      <c r="G51" s="8">
        <v>20</v>
      </c>
      <c r="S51" s="7"/>
      <c r="V51" s="7"/>
    </row>
    <row r="52" spans="2:22" x14ac:dyDescent="0.2">
      <c r="B52" t="s">
        <v>72</v>
      </c>
      <c r="C52" t="s">
        <v>10</v>
      </c>
      <c r="D52" s="17" t="str">
        <f t="shared" si="0"/>
        <v>Corporate</v>
      </c>
      <c r="E52" s="17">
        <f t="shared" si="1"/>
        <v>0.90909090909090906</v>
      </c>
      <c r="F52" s="17">
        <f t="shared" si="2"/>
        <v>220</v>
      </c>
      <c r="G52" s="8">
        <v>10</v>
      </c>
      <c r="S52" s="7"/>
      <c r="V52" s="7"/>
    </row>
    <row r="53" spans="2:22" x14ac:dyDescent="0.2">
      <c r="B53" t="s">
        <v>48</v>
      </c>
      <c r="C53" t="s">
        <v>10</v>
      </c>
      <c r="D53" s="17" t="str">
        <f t="shared" si="0"/>
        <v>Corporate</v>
      </c>
      <c r="E53" s="17">
        <f t="shared" si="1"/>
        <v>0.90909090909090906</v>
      </c>
      <c r="F53" s="17">
        <f t="shared" si="2"/>
        <v>220</v>
      </c>
      <c r="G53" s="8">
        <v>10</v>
      </c>
      <c r="S53" s="7"/>
      <c r="V53" s="7"/>
    </row>
    <row r="54" spans="2:22" x14ac:dyDescent="0.2">
      <c r="B54" t="s">
        <v>50</v>
      </c>
      <c r="C54" t="s">
        <v>10</v>
      </c>
      <c r="D54" s="17" t="str">
        <f t="shared" si="0"/>
        <v>Corporate</v>
      </c>
      <c r="E54" s="17">
        <f t="shared" si="1"/>
        <v>0.90909090909090906</v>
      </c>
      <c r="F54" s="17">
        <f t="shared" si="2"/>
        <v>220</v>
      </c>
      <c r="G54" s="8">
        <v>10</v>
      </c>
      <c r="S54" s="7"/>
      <c r="V54" s="7"/>
    </row>
    <row r="55" spans="2:22" x14ac:dyDescent="0.2">
      <c r="B55" t="s">
        <v>73</v>
      </c>
      <c r="C55" t="s">
        <v>10</v>
      </c>
      <c r="D55" s="17" t="str">
        <f t="shared" si="0"/>
        <v>Corporate</v>
      </c>
      <c r="E55" s="17">
        <f t="shared" si="1"/>
        <v>0.90909090909090906</v>
      </c>
      <c r="F55" s="17">
        <f t="shared" si="2"/>
        <v>220</v>
      </c>
      <c r="G55" s="8">
        <v>10</v>
      </c>
      <c r="S55" s="7"/>
      <c r="V55" s="7"/>
    </row>
    <row r="56" spans="2:22" x14ac:dyDescent="0.2">
      <c r="B56" t="s">
        <v>54</v>
      </c>
      <c r="C56" t="s">
        <v>10</v>
      </c>
      <c r="D56" s="17" t="str">
        <f t="shared" si="0"/>
        <v>Corporate</v>
      </c>
      <c r="E56" s="17">
        <f t="shared" si="1"/>
        <v>0.90909090909090906</v>
      </c>
      <c r="F56" s="17">
        <f t="shared" si="2"/>
        <v>220</v>
      </c>
      <c r="G56" s="8">
        <v>10</v>
      </c>
      <c r="S56" s="7"/>
      <c r="V56" s="7"/>
    </row>
    <row r="57" spans="2:22" x14ac:dyDescent="0.2">
      <c r="B57" t="s">
        <v>56</v>
      </c>
      <c r="C57" t="s">
        <v>10</v>
      </c>
      <c r="D57" s="17" t="str">
        <f t="shared" si="0"/>
        <v>Corporate</v>
      </c>
      <c r="E57" s="17">
        <f t="shared" si="1"/>
        <v>0.90909090909090906</v>
      </c>
      <c r="F57" s="17">
        <f t="shared" si="2"/>
        <v>220</v>
      </c>
      <c r="G57" s="8">
        <v>10</v>
      </c>
      <c r="S57" s="7"/>
      <c r="V57" s="7"/>
    </row>
    <row r="58" spans="2:22" x14ac:dyDescent="0.2">
      <c r="B58" t="s">
        <v>35</v>
      </c>
      <c r="C58" t="s">
        <v>10</v>
      </c>
      <c r="D58" s="17" t="str">
        <f t="shared" si="0"/>
        <v>Corporate</v>
      </c>
      <c r="E58" s="17">
        <f t="shared" si="1"/>
        <v>0.90909090909090906</v>
      </c>
      <c r="F58" s="17">
        <f t="shared" si="2"/>
        <v>220</v>
      </c>
      <c r="G58" s="8">
        <v>10</v>
      </c>
      <c r="S58" s="7"/>
      <c r="V58" s="7"/>
    </row>
    <row r="59" spans="2:22" x14ac:dyDescent="0.2">
      <c r="B59" t="s">
        <v>47</v>
      </c>
      <c r="C59" t="s">
        <v>10</v>
      </c>
      <c r="D59" s="17" t="str">
        <f t="shared" si="0"/>
        <v>Corporate</v>
      </c>
      <c r="E59" s="17">
        <f t="shared" si="1"/>
        <v>0.90909090909090906</v>
      </c>
      <c r="F59" s="17">
        <f t="shared" si="2"/>
        <v>220</v>
      </c>
      <c r="G59" s="8">
        <v>10</v>
      </c>
      <c r="S59" s="7"/>
      <c r="V59" s="7"/>
    </row>
    <row r="60" spans="2:22" x14ac:dyDescent="0.2">
      <c r="B60" t="s">
        <v>98</v>
      </c>
      <c r="C60" t="s">
        <v>10</v>
      </c>
      <c r="D60" s="17" t="str">
        <f t="shared" si="0"/>
        <v>Corporate</v>
      </c>
      <c r="E60" s="17">
        <f t="shared" si="1"/>
        <v>1.8181818181818181</v>
      </c>
      <c r="F60" s="17">
        <f t="shared" si="2"/>
        <v>220</v>
      </c>
      <c r="G60" s="8">
        <v>20</v>
      </c>
      <c r="S60" s="7"/>
      <c r="V60" s="7"/>
    </row>
    <row r="61" spans="2:22" x14ac:dyDescent="0.2">
      <c r="B61" t="s">
        <v>71</v>
      </c>
      <c r="C61" t="s">
        <v>10</v>
      </c>
      <c r="D61" s="17" t="str">
        <f t="shared" si="0"/>
        <v>Corporate</v>
      </c>
      <c r="E61" s="17">
        <f t="shared" si="1"/>
        <v>0.90909090909090906</v>
      </c>
      <c r="F61" s="17">
        <f t="shared" si="2"/>
        <v>220</v>
      </c>
      <c r="G61" s="8">
        <v>10</v>
      </c>
      <c r="S61" s="7"/>
      <c r="V61" s="7"/>
    </row>
    <row r="62" spans="2:22" x14ac:dyDescent="0.2">
      <c r="B62" t="s">
        <v>45</v>
      </c>
      <c r="C62" t="s">
        <v>10</v>
      </c>
      <c r="D62" s="17" t="str">
        <f t="shared" si="0"/>
        <v>Corporate</v>
      </c>
      <c r="E62" s="17">
        <f t="shared" si="1"/>
        <v>0.90909090909090906</v>
      </c>
      <c r="F62" s="17">
        <f t="shared" si="2"/>
        <v>220</v>
      </c>
      <c r="G62" s="8">
        <v>10</v>
      </c>
      <c r="S62" s="7"/>
      <c r="V62" s="7"/>
    </row>
    <row r="63" spans="2:22" x14ac:dyDescent="0.2">
      <c r="B63" t="s">
        <v>51</v>
      </c>
      <c r="C63" t="s">
        <v>10</v>
      </c>
      <c r="D63" s="17" t="str">
        <f t="shared" si="0"/>
        <v>Corporate</v>
      </c>
      <c r="E63" s="17">
        <f t="shared" si="1"/>
        <v>0.90909090909090906</v>
      </c>
      <c r="F63" s="17">
        <f t="shared" si="2"/>
        <v>220</v>
      </c>
      <c r="G63" s="8">
        <v>10</v>
      </c>
      <c r="S63" s="7"/>
      <c r="V63" s="7"/>
    </row>
    <row r="64" spans="2:22" x14ac:dyDescent="0.2">
      <c r="B64" t="s">
        <v>53</v>
      </c>
      <c r="C64" t="s">
        <v>10</v>
      </c>
      <c r="D64" s="17" t="str">
        <f t="shared" si="0"/>
        <v>Corporate</v>
      </c>
      <c r="E64" s="17">
        <f t="shared" si="1"/>
        <v>0.90909090909090906</v>
      </c>
      <c r="F64" s="17">
        <f t="shared" si="2"/>
        <v>220</v>
      </c>
      <c r="G64" s="8">
        <v>10</v>
      </c>
      <c r="S64" s="7"/>
      <c r="V64" s="7"/>
    </row>
    <row r="65" spans="2:22" x14ac:dyDescent="0.2">
      <c r="B65" t="s">
        <v>64</v>
      </c>
      <c r="C65" t="s">
        <v>10</v>
      </c>
      <c r="D65" s="17" t="str">
        <f t="shared" si="0"/>
        <v>Operations</v>
      </c>
      <c r="E65" s="17">
        <f t="shared" si="1"/>
        <v>8.3333333333333339</v>
      </c>
      <c r="F65" s="17">
        <f t="shared" si="2"/>
        <v>60</v>
      </c>
      <c r="G65" s="8">
        <v>20</v>
      </c>
      <c r="S65" s="7"/>
      <c r="V65" s="7"/>
    </row>
    <row r="66" spans="2:22" x14ac:dyDescent="0.2">
      <c r="B66" t="s">
        <v>7</v>
      </c>
      <c r="C66" t="s">
        <v>10</v>
      </c>
      <c r="D66" s="17" t="str">
        <f t="shared" si="0"/>
        <v>Operations</v>
      </c>
      <c r="E66" s="17">
        <f t="shared" si="1"/>
        <v>8.3333333333333339</v>
      </c>
      <c r="F66" s="17">
        <f t="shared" si="2"/>
        <v>60</v>
      </c>
      <c r="G66" s="8">
        <v>20</v>
      </c>
      <c r="S66" s="7"/>
      <c r="V66" s="7"/>
    </row>
    <row r="67" spans="2:22" x14ac:dyDescent="0.2">
      <c r="B67" t="s">
        <v>42</v>
      </c>
      <c r="C67" t="s">
        <v>10</v>
      </c>
      <c r="D67" s="17" t="str">
        <f t="shared" ref="D67:D130" si="7">VLOOKUP($B67,$Y:$Z,2,FALSE)</f>
        <v>Operations</v>
      </c>
      <c r="E67" s="17">
        <f t="shared" ref="E67:E130" si="8">G67*SUMIFS($K:$K,$I:$I,C67,$J:$J,D67)/F67</f>
        <v>4.166666666666667</v>
      </c>
      <c r="F67" s="17">
        <f t="shared" ref="F67:F130" si="9">SUMIFS($G$2:$G$1000,$D$2:$D$1000,D67,$C$2:$C$1000,C67)</f>
        <v>60</v>
      </c>
      <c r="G67" s="8">
        <v>10</v>
      </c>
      <c r="S67" s="7"/>
      <c r="V67" s="7"/>
    </row>
    <row r="68" spans="2:22" x14ac:dyDescent="0.2">
      <c r="B68" t="s">
        <v>26</v>
      </c>
      <c r="C68" t="s">
        <v>10</v>
      </c>
      <c r="D68" s="17" t="str">
        <f t="shared" si="7"/>
        <v>Operations</v>
      </c>
      <c r="E68" s="17">
        <f t="shared" si="8"/>
        <v>4.166666666666667</v>
      </c>
      <c r="F68" s="17">
        <f t="shared" si="9"/>
        <v>60</v>
      </c>
      <c r="G68" s="8">
        <v>10</v>
      </c>
      <c r="S68" s="7"/>
      <c r="V68" s="7"/>
    </row>
    <row r="69" spans="2:22" x14ac:dyDescent="0.2">
      <c r="B69" t="s">
        <v>34</v>
      </c>
      <c r="C69" t="s">
        <v>10</v>
      </c>
      <c r="D69" s="17" t="str">
        <f t="shared" si="7"/>
        <v>Technology</v>
      </c>
      <c r="E69" s="17">
        <f t="shared" si="8"/>
        <v>1.875</v>
      </c>
      <c r="F69" s="17">
        <f t="shared" si="9"/>
        <v>80</v>
      </c>
      <c r="G69" s="8">
        <v>10</v>
      </c>
      <c r="S69" s="7"/>
      <c r="V69" s="7"/>
    </row>
    <row r="70" spans="2:22" x14ac:dyDescent="0.2">
      <c r="B70" t="s">
        <v>70</v>
      </c>
      <c r="C70" t="s">
        <v>10</v>
      </c>
      <c r="D70" s="17" t="str">
        <f t="shared" si="7"/>
        <v>Technology</v>
      </c>
      <c r="E70" s="17">
        <f t="shared" si="8"/>
        <v>3.75</v>
      </c>
      <c r="F70" s="17">
        <f t="shared" si="9"/>
        <v>80</v>
      </c>
      <c r="G70" s="8">
        <v>20</v>
      </c>
      <c r="S70" s="7"/>
      <c r="V70" s="7"/>
    </row>
    <row r="71" spans="2:22" x14ac:dyDescent="0.2">
      <c r="B71" t="s">
        <v>9</v>
      </c>
      <c r="C71" t="s">
        <v>10</v>
      </c>
      <c r="D71" s="17" t="str">
        <f t="shared" si="7"/>
        <v>Technology</v>
      </c>
      <c r="E71" s="17">
        <f t="shared" si="8"/>
        <v>3.75</v>
      </c>
      <c r="F71" s="17">
        <f t="shared" si="9"/>
        <v>80</v>
      </c>
      <c r="G71" s="8">
        <v>20</v>
      </c>
      <c r="S71" s="7"/>
      <c r="V71" s="7"/>
    </row>
    <row r="72" spans="2:22" x14ac:dyDescent="0.2">
      <c r="B72" t="s">
        <v>60</v>
      </c>
      <c r="C72" t="s">
        <v>10</v>
      </c>
      <c r="D72" s="17" t="str">
        <f t="shared" si="7"/>
        <v>Technology</v>
      </c>
      <c r="E72" s="17">
        <f t="shared" si="8"/>
        <v>1.875</v>
      </c>
      <c r="F72" s="17">
        <f t="shared" si="9"/>
        <v>80</v>
      </c>
      <c r="G72" s="8">
        <v>10</v>
      </c>
      <c r="S72" s="7"/>
      <c r="V72" s="7"/>
    </row>
    <row r="73" spans="2:22" x14ac:dyDescent="0.2">
      <c r="B73" t="s">
        <v>59</v>
      </c>
      <c r="C73" t="s">
        <v>10</v>
      </c>
      <c r="D73" s="17" t="str">
        <f t="shared" si="7"/>
        <v>Technology</v>
      </c>
      <c r="E73" s="17">
        <f t="shared" si="8"/>
        <v>1.875</v>
      </c>
      <c r="F73" s="17">
        <f t="shared" si="9"/>
        <v>80</v>
      </c>
      <c r="G73" s="8">
        <v>10</v>
      </c>
      <c r="S73" s="7"/>
      <c r="V73" s="7"/>
    </row>
    <row r="74" spans="2:22" x14ac:dyDescent="0.2">
      <c r="B74" t="s">
        <v>58</v>
      </c>
      <c r="C74" t="s">
        <v>10</v>
      </c>
      <c r="D74" s="17" t="str">
        <f t="shared" si="7"/>
        <v>Technology</v>
      </c>
      <c r="E74" s="17">
        <f t="shared" si="8"/>
        <v>1.875</v>
      </c>
      <c r="F74" s="17">
        <f t="shared" si="9"/>
        <v>80</v>
      </c>
      <c r="G74" s="8">
        <v>10</v>
      </c>
      <c r="S74" s="7"/>
      <c r="V74" s="7"/>
    </row>
    <row r="75" spans="2:22" hidden="1" x14ac:dyDescent="0.2">
      <c r="B75" t="s">
        <v>11</v>
      </c>
      <c r="C75" t="s">
        <v>14</v>
      </c>
      <c r="D75" s="17" t="str">
        <f t="shared" si="7"/>
        <v>CISO</v>
      </c>
      <c r="E75" s="17">
        <f t="shared" si="8"/>
        <v>5</v>
      </c>
      <c r="F75" s="17">
        <f t="shared" si="9"/>
        <v>20</v>
      </c>
      <c r="G75" s="8">
        <v>20</v>
      </c>
      <c r="S75" s="7"/>
      <c r="V75" s="7"/>
    </row>
    <row r="76" spans="2:22" hidden="1" x14ac:dyDescent="0.2">
      <c r="B76" t="s">
        <v>38</v>
      </c>
      <c r="C76" t="s">
        <v>14</v>
      </c>
      <c r="D76" s="17" t="str">
        <f t="shared" si="7"/>
        <v>Commercial</v>
      </c>
      <c r="E76" s="17">
        <f t="shared" si="8"/>
        <v>3</v>
      </c>
      <c r="F76" s="17">
        <f t="shared" si="9"/>
        <v>100</v>
      </c>
      <c r="G76" s="8">
        <v>10</v>
      </c>
      <c r="S76" s="7"/>
      <c r="V76" s="7"/>
    </row>
    <row r="77" spans="2:22" hidden="1" x14ac:dyDescent="0.2">
      <c r="B77" t="s">
        <v>39</v>
      </c>
      <c r="C77" t="s">
        <v>14</v>
      </c>
      <c r="D77" s="17" t="str">
        <f t="shared" si="7"/>
        <v>Commercial</v>
      </c>
      <c r="E77" s="17">
        <f t="shared" si="8"/>
        <v>3</v>
      </c>
      <c r="F77" s="17">
        <f t="shared" si="9"/>
        <v>100</v>
      </c>
      <c r="G77" s="8">
        <v>10</v>
      </c>
      <c r="S77" s="7"/>
      <c r="V77" s="7"/>
    </row>
    <row r="78" spans="2:22" hidden="1" x14ac:dyDescent="0.2">
      <c r="B78" t="s">
        <v>36</v>
      </c>
      <c r="C78" t="s">
        <v>14</v>
      </c>
      <c r="D78" s="17" t="str">
        <f t="shared" si="7"/>
        <v>Commercial</v>
      </c>
      <c r="E78" s="17">
        <f t="shared" si="8"/>
        <v>3</v>
      </c>
      <c r="F78" s="17">
        <f t="shared" si="9"/>
        <v>100</v>
      </c>
      <c r="G78" s="8">
        <v>10</v>
      </c>
      <c r="S78" s="7"/>
      <c r="V78" s="7"/>
    </row>
    <row r="79" spans="2:22" hidden="1" x14ac:dyDescent="0.2">
      <c r="B79" t="s">
        <v>40</v>
      </c>
      <c r="C79" t="s">
        <v>14</v>
      </c>
      <c r="D79" s="17" t="str">
        <f t="shared" si="7"/>
        <v>Commercial</v>
      </c>
      <c r="E79" s="17">
        <f t="shared" si="8"/>
        <v>3</v>
      </c>
      <c r="F79" s="17">
        <f t="shared" si="9"/>
        <v>100</v>
      </c>
      <c r="G79" s="8">
        <v>10</v>
      </c>
      <c r="S79" s="7"/>
      <c r="V79" s="7"/>
    </row>
    <row r="80" spans="2:22" hidden="1" x14ac:dyDescent="0.2">
      <c r="B80" t="s">
        <v>21</v>
      </c>
      <c r="C80" t="s">
        <v>14</v>
      </c>
      <c r="D80" s="17" t="str">
        <f t="shared" si="7"/>
        <v>Commercial</v>
      </c>
      <c r="E80" s="17">
        <f t="shared" si="8"/>
        <v>3</v>
      </c>
      <c r="F80" s="17">
        <f t="shared" si="9"/>
        <v>100</v>
      </c>
      <c r="G80" s="8">
        <v>10</v>
      </c>
      <c r="S80" s="7"/>
      <c r="V80" s="7"/>
    </row>
    <row r="81" spans="2:22" hidden="1" x14ac:dyDescent="0.2">
      <c r="B81" t="s">
        <v>25</v>
      </c>
      <c r="C81" t="s">
        <v>14</v>
      </c>
      <c r="D81" s="17" t="str">
        <f t="shared" si="7"/>
        <v>Commercial</v>
      </c>
      <c r="E81" s="17">
        <f t="shared" si="8"/>
        <v>3</v>
      </c>
      <c r="F81" s="17">
        <f t="shared" si="9"/>
        <v>100</v>
      </c>
      <c r="G81" s="8">
        <v>10</v>
      </c>
      <c r="S81" s="7"/>
      <c r="V81" s="7"/>
    </row>
    <row r="82" spans="2:22" hidden="1" x14ac:dyDescent="0.2">
      <c r="B82" t="s">
        <v>23</v>
      </c>
      <c r="C82" t="s">
        <v>14</v>
      </c>
      <c r="D82" s="17" t="str">
        <f t="shared" si="7"/>
        <v>Commercial</v>
      </c>
      <c r="E82" s="17">
        <f t="shared" si="8"/>
        <v>6</v>
      </c>
      <c r="F82" s="17">
        <f t="shared" si="9"/>
        <v>100</v>
      </c>
      <c r="G82" s="8">
        <v>20</v>
      </c>
      <c r="S82" s="7"/>
      <c r="V82" s="7"/>
    </row>
    <row r="83" spans="2:22" hidden="1" x14ac:dyDescent="0.2">
      <c r="B83" t="s">
        <v>24</v>
      </c>
      <c r="C83" t="s">
        <v>14</v>
      </c>
      <c r="D83" s="17" t="str">
        <f t="shared" si="7"/>
        <v>Commercial</v>
      </c>
      <c r="E83" s="17">
        <f t="shared" si="8"/>
        <v>3</v>
      </c>
      <c r="F83" s="17">
        <f t="shared" si="9"/>
        <v>100</v>
      </c>
      <c r="G83" s="8">
        <v>10</v>
      </c>
      <c r="S83" s="7"/>
      <c r="V83" s="7"/>
    </row>
    <row r="84" spans="2:22" hidden="1" x14ac:dyDescent="0.2">
      <c r="B84" t="s">
        <v>37</v>
      </c>
      <c r="C84" t="s">
        <v>14</v>
      </c>
      <c r="D84" s="17" t="str">
        <f t="shared" si="7"/>
        <v>Commercial</v>
      </c>
      <c r="E84" s="17">
        <f t="shared" si="8"/>
        <v>3</v>
      </c>
      <c r="F84" s="17">
        <f t="shared" si="9"/>
        <v>100</v>
      </c>
      <c r="G84" s="8">
        <v>10</v>
      </c>
      <c r="S84" s="7"/>
      <c r="V84" s="7"/>
    </row>
    <row r="85" spans="2:22" hidden="1" x14ac:dyDescent="0.2">
      <c r="B85" t="s">
        <v>44</v>
      </c>
      <c r="C85" t="s">
        <v>14</v>
      </c>
      <c r="D85" s="17" t="str">
        <f t="shared" si="7"/>
        <v>Corporate</v>
      </c>
      <c r="E85" s="17">
        <f t="shared" si="8"/>
        <v>1.4285714285714286</v>
      </c>
      <c r="F85" s="17">
        <f t="shared" si="9"/>
        <v>140</v>
      </c>
      <c r="G85" s="8">
        <v>10</v>
      </c>
      <c r="S85" s="7"/>
      <c r="V85" s="7"/>
    </row>
    <row r="86" spans="2:22" hidden="1" x14ac:dyDescent="0.2">
      <c r="B86" t="s">
        <v>46</v>
      </c>
      <c r="C86" t="s">
        <v>14</v>
      </c>
      <c r="D86" s="17" t="str">
        <f t="shared" si="7"/>
        <v>Corporate</v>
      </c>
      <c r="E86" s="17">
        <f t="shared" si="8"/>
        <v>1.4285714285714286</v>
      </c>
      <c r="F86" s="17">
        <f t="shared" si="9"/>
        <v>140</v>
      </c>
      <c r="G86" s="8">
        <v>10</v>
      </c>
      <c r="S86" s="7"/>
      <c r="V86" s="7"/>
    </row>
    <row r="87" spans="2:22" hidden="1" x14ac:dyDescent="0.2">
      <c r="B87" t="s">
        <v>22</v>
      </c>
      <c r="C87" t="s">
        <v>14</v>
      </c>
      <c r="D87" s="17" t="str">
        <f t="shared" si="7"/>
        <v>Corporate</v>
      </c>
      <c r="E87" s="17">
        <f t="shared" si="8"/>
        <v>2.8571428571428572</v>
      </c>
      <c r="F87" s="17">
        <f t="shared" si="9"/>
        <v>140</v>
      </c>
      <c r="G87" s="8">
        <v>20</v>
      </c>
      <c r="S87" s="7"/>
      <c r="V87" s="7"/>
    </row>
    <row r="88" spans="2:22" hidden="1" x14ac:dyDescent="0.2">
      <c r="B88" t="s">
        <v>48</v>
      </c>
      <c r="C88" t="s">
        <v>14</v>
      </c>
      <c r="D88" s="17" t="str">
        <f t="shared" si="7"/>
        <v>Corporate</v>
      </c>
      <c r="E88" s="17">
        <f t="shared" si="8"/>
        <v>1.4285714285714286</v>
      </c>
      <c r="F88" s="17">
        <f t="shared" si="9"/>
        <v>140</v>
      </c>
      <c r="G88" s="8">
        <v>10</v>
      </c>
      <c r="S88" s="7"/>
      <c r="V88" s="7"/>
    </row>
    <row r="89" spans="2:22" hidden="1" x14ac:dyDescent="0.2">
      <c r="B89" t="s">
        <v>50</v>
      </c>
      <c r="C89" t="s">
        <v>14</v>
      </c>
      <c r="D89" s="17" t="str">
        <f t="shared" si="7"/>
        <v>Corporate</v>
      </c>
      <c r="E89" s="17">
        <f t="shared" si="8"/>
        <v>1.4285714285714286</v>
      </c>
      <c r="F89" s="17">
        <f t="shared" si="9"/>
        <v>140</v>
      </c>
      <c r="G89" s="8">
        <v>10</v>
      </c>
      <c r="S89" s="7"/>
      <c r="V89" s="7"/>
    </row>
    <row r="90" spans="2:22" hidden="1" x14ac:dyDescent="0.2">
      <c r="B90" t="s">
        <v>54</v>
      </c>
      <c r="C90" t="s">
        <v>14</v>
      </c>
      <c r="D90" s="17" t="str">
        <f t="shared" si="7"/>
        <v>Corporate</v>
      </c>
      <c r="E90" s="17">
        <f t="shared" si="8"/>
        <v>1.4285714285714286</v>
      </c>
      <c r="F90" s="17">
        <f t="shared" si="9"/>
        <v>140</v>
      </c>
      <c r="G90" s="8">
        <v>10</v>
      </c>
      <c r="S90" s="7"/>
      <c r="V90" s="7"/>
    </row>
    <row r="91" spans="2:22" hidden="1" x14ac:dyDescent="0.2">
      <c r="B91" t="s">
        <v>56</v>
      </c>
      <c r="C91" t="s">
        <v>14</v>
      </c>
      <c r="D91" s="17" t="str">
        <f t="shared" si="7"/>
        <v>Corporate</v>
      </c>
      <c r="E91" s="17">
        <f t="shared" si="8"/>
        <v>1.4285714285714286</v>
      </c>
      <c r="F91" s="17">
        <f t="shared" si="9"/>
        <v>140</v>
      </c>
      <c r="G91" s="8">
        <v>10</v>
      </c>
      <c r="S91" s="7"/>
      <c r="V91" s="7"/>
    </row>
    <row r="92" spans="2:22" hidden="1" x14ac:dyDescent="0.2">
      <c r="B92" t="s">
        <v>35</v>
      </c>
      <c r="C92" t="s">
        <v>14</v>
      </c>
      <c r="D92" s="17" t="str">
        <f t="shared" si="7"/>
        <v>Corporate</v>
      </c>
      <c r="E92" s="17">
        <f t="shared" si="8"/>
        <v>1.4285714285714286</v>
      </c>
      <c r="F92" s="17">
        <f t="shared" si="9"/>
        <v>140</v>
      </c>
      <c r="G92" s="8">
        <v>10</v>
      </c>
      <c r="S92" s="7"/>
      <c r="V92" s="7"/>
    </row>
    <row r="93" spans="2:22" hidden="1" x14ac:dyDescent="0.2">
      <c r="B93" t="s">
        <v>47</v>
      </c>
      <c r="C93" t="s">
        <v>14</v>
      </c>
      <c r="D93" s="17" t="str">
        <f t="shared" si="7"/>
        <v>Corporate</v>
      </c>
      <c r="E93" s="17">
        <f t="shared" si="8"/>
        <v>1.4285714285714286</v>
      </c>
      <c r="F93" s="17">
        <f t="shared" si="9"/>
        <v>140</v>
      </c>
      <c r="G93" s="8">
        <v>10</v>
      </c>
      <c r="S93" s="7"/>
      <c r="V93" s="7"/>
    </row>
    <row r="94" spans="2:22" hidden="1" x14ac:dyDescent="0.2">
      <c r="B94" t="s">
        <v>98</v>
      </c>
      <c r="C94" t="s">
        <v>14</v>
      </c>
      <c r="D94" s="17" t="str">
        <f t="shared" si="7"/>
        <v>Corporate</v>
      </c>
      <c r="E94" s="17">
        <f t="shared" si="8"/>
        <v>1.4285714285714286</v>
      </c>
      <c r="F94" s="17">
        <f t="shared" si="9"/>
        <v>140</v>
      </c>
      <c r="G94" s="8">
        <v>10</v>
      </c>
      <c r="S94" s="7"/>
      <c r="V94" s="7"/>
    </row>
    <row r="95" spans="2:22" hidden="1" x14ac:dyDescent="0.2">
      <c r="B95" t="s">
        <v>45</v>
      </c>
      <c r="C95" t="s">
        <v>14</v>
      </c>
      <c r="D95" s="17" t="str">
        <f t="shared" si="7"/>
        <v>Corporate</v>
      </c>
      <c r="E95" s="17">
        <f t="shared" si="8"/>
        <v>1.4285714285714286</v>
      </c>
      <c r="F95" s="17">
        <f t="shared" si="9"/>
        <v>140</v>
      </c>
      <c r="G95" s="8">
        <v>10</v>
      </c>
      <c r="S95" s="7"/>
      <c r="V95" s="7"/>
    </row>
    <row r="96" spans="2:22" hidden="1" x14ac:dyDescent="0.2">
      <c r="B96" t="s">
        <v>51</v>
      </c>
      <c r="C96" t="s">
        <v>14</v>
      </c>
      <c r="D96" s="17" t="str">
        <f t="shared" si="7"/>
        <v>Corporate</v>
      </c>
      <c r="E96" s="17">
        <f t="shared" si="8"/>
        <v>1.4285714285714286</v>
      </c>
      <c r="F96" s="17">
        <f t="shared" si="9"/>
        <v>140</v>
      </c>
      <c r="G96" s="8">
        <v>10</v>
      </c>
      <c r="S96" s="7"/>
      <c r="V96" s="7"/>
    </row>
    <row r="97" spans="2:22" hidden="1" x14ac:dyDescent="0.2">
      <c r="B97" t="s">
        <v>53</v>
      </c>
      <c r="C97" t="s">
        <v>14</v>
      </c>
      <c r="D97" s="17" t="str">
        <f t="shared" si="7"/>
        <v>Corporate</v>
      </c>
      <c r="E97" s="17">
        <f t="shared" si="8"/>
        <v>1.4285714285714286</v>
      </c>
      <c r="F97" s="17">
        <f t="shared" si="9"/>
        <v>140</v>
      </c>
      <c r="G97" s="8">
        <v>10</v>
      </c>
      <c r="S97" s="7"/>
      <c r="V97" s="7"/>
    </row>
    <row r="98" spans="2:22" hidden="1" x14ac:dyDescent="0.2">
      <c r="B98" t="s">
        <v>7</v>
      </c>
      <c r="C98" t="s">
        <v>14</v>
      </c>
      <c r="D98" s="17" t="str">
        <f t="shared" si="7"/>
        <v>Operations</v>
      </c>
      <c r="E98" s="17">
        <f t="shared" si="8"/>
        <v>10</v>
      </c>
      <c r="F98" s="17">
        <f t="shared" si="9"/>
        <v>30</v>
      </c>
      <c r="G98" s="8">
        <v>10</v>
      </c>
      <c r="S98" s="7"/>
      <c r="V98" s="7"/>
    </row>
    <row r="99" spans="2:22" hidden="1" x14ac:dyDescent="0.2">
      <c r="B99" t="s">
        <v>42</v>
      </c>
      <c r="C99" t="s">
        <v>14</v>
      </c>
      <c r="D99" s="17" t="str">
        <f t="shared" si="7"/>
        <v>Operations</v>
      </c>
      <c r="E99" s="17">
        <f t="shared" si="8"/>
        <v>10</v>
      </c>
      <c r="F99" s="17">
        <f t="shared" si="9"/>
        <v>30</v>
      </c>
      <c r="G99" s="8">
        <v>10</v>
      </c>
      <c r="S99" s="7"/>
      <c r="V99" s="7"/>
    </row>
    <row r="100" spans="2:22" hidden="1" x14ac:dyDescent="0.2">
      <c r="B100" t="s">
        <v>26</v>
      </c>
      <c r="C100" t="s">
        <v>14</v>
      </c>
      <c r="D100" s="17" t="str">
        <f t="shared" si="7"/>
        <v>Operations</v>
      </c>
      <c r="E100" s="17">
        <f t="shared" si="8"/>
        <v>10</v>
      </c>
      <c r="F100" s="17">
        <f t="shared" si="9"/>
        <v>30</v>
      </c>
      <c r="G100" s="8">
        <v>10</v>
      </c>
      <c r="S100" s="7"/>
      <c r="V100" s="7"/>
    </row>
    <row r="101" spans="2:22" hidden="1" x14ac:dyDescent="0.2">
      <c r="B101" t="s">
        <v>34</v>
      </c>
      <c r="C101" t="s">
        <v>14</v>
      </c>
      <c r="D101" s="17" t="str">
        <f t="shared" si="7"/>
        <v>Technology</v>
      </c>
      <c r="E101" s="17">
        <f t="shared" si="8"/>
        <v>1.6666666666666667</v>
      </c>
      <c r="F101" s="17">
        <f t="shared" si="9"/>
        <v>60</v>
      </c>
      <c r="G101" s="8">
        <v>10</v>
      </c>
      <c r="S101" s="7"/>
      <c r="V101" s="7"/>
    </row>
    <row r="102" spans="2:22" hidden="1" x14ac:dyDescent="0.2">
      <c r="B102" t="s">
        <v>9</v>
      </c>
      <c r="C102" t="s">
        <v>14</v>
      </c>
      <c r="D102" s="17" t="str">
        <f t="shared" si="7"/>
        <v>Technology</v>
      </c>
      <c r="E102" s="17">
        <f t="shared" si="8"/>
        <v>3.3333333333333335</v>
      </c>
      <c r="F102" s="17">
        <f t="shared" si="9"/>
        <v>60</v>
      </c>
      <c r="G102" s="8">
        <v>20</v>
      </c>
      <c r="S102" s="7"/>
      <c r="V102" s="7"/>
    </row>
    <row r="103" spans="2:22" hidden="1" x14ac:dyDescent="0.2">
      <c r="B103" t="s">
        <v>60</v>
      </c>
      <c r="C103" t="s">
        <v>14</v>
      </c>
      <c r="D103" s="17" t="str">
        <f t="shared" si="7"/>
        <v>Technology</v>
      </c>
      <c r="E103" s="17">
        <f t="shared" si="8"/>
        <v>1.6666666666666667</v>
      </c>
      <c r="F103" s="17">
        <f t="shared" si="9"/>
        <v>60</v>
      </c>
      <c r="G103" s="8">
        <v>10</v>
      </c>
      <c r="S103" s="7"/>
      <c r="V103" s="7"/>
    </row>
    <row r="104" spans="2:22" hidden="1" x14ac:dyDescent="0.2">
      <c r="B104" t="s">
        <v>59</v>
      </c>
      <c r="C104" t="s">
        <v>14</v>
      </c>
      <c r="D104" s="17" t="str">
        <f t="shared" si="7"/>
        <v>Technology</v>
      </c>
      <c r="E104" s="17">
        <f t="shared" si="8"/>
        <v>1.6666666666666667</v>
      </c>
      <c r="F104" s="17">
        <f t="shared" si="9"/>
        <v>60</v>
      </c>
      <c r="G104" s="8">
        <v>10</v>
      </c>
      <c r="S104" s="7"/>
      <c r="V104" s="7"/>
    </row>
    <row r="105" spans="2:22" hidden="1" x14ac:dyDescent="0.2">
      <c r="B105" t="s">
        <v>58</v>
      </c>
      <c r="C105" t="s">
        <v>14</v>
      </c>
      <c r="D105" s="17" t="str">
        <f t="shared" si="7"/>
        <v>Technology</v>
      </c>
      <c r="E105" s="17">
        <f t="shared" si="8"/>
        <v>1.6666666666666667</v>
      </c>
      <c r="F105" s="17">
        <f t="shared" si="9"/>
        <v>60</v>
      </c>
      <c r="G105" s="8">
        <v>10</v>
      </c>
      <c r="S105" s="7"/>
      <c r="V105" s="7"/>
    </row>
    <row r="106" spans="2:22" hidden="1" x14ac:dyDescent="0.2">
      <c r="B106" t="s">
        <v>11</v>
      </c>
      <c r="C106" t="s">
        <v>15</v>
      </c>
      <c r="D106" s="17" t="str">
        <f t="shared" si="7"/>
        <v>CISO</v>
      </c>
      <c r="E106" s="17">
        <f t="shared" si="8"/>
        <v>5</v>
      </c>
      <c r="F106" s="17">
        <f t="shared" si="9"/>
        <v>20</v>
      </c>
      <c r="G106" s="8">
        <v>20</v>
      </c>
      <c r="S106" s="7"/>
      <c r="V106" s="7"/>
    </row>
    <row r="107" spans="2:22" hidden="1" x14ac:dyDescent="0.2">
      <c r="B107" t="s">
        <v>38</v>
      </c>
      <c r="C107" t="s">
        <v>15</v>
      </c>
      <c r="D107" s="17" t="str">
        <f t="shared" si="7"/>
        <v>Commercial</v>
      </c>
      <c r="E107" s="17">
        <f t="shared" si="8"/>
        <v>2.7272727272727271</v>
      </c>
      <c r="F107" s="17">
        <f t="shared" si="9"/>
        <v>110</v>
      </c>
      <c r="G107" s="8">
        <v>10</v>
      </c>
      <c r="S107" s="7"/>
      <c r="V107" s="7"/>
    </row>
    <row r="108" spans="2:22" hidden="1" x14ac:dyDescent="0.2">
      <c r="B108" t="s">
        <v>39</v>
      </c>
      <c r="C108" t="s">
        <v>15</v>
      </c>
      <c r="D108" s="17" t="str">
        <f t="shared" si="7"/>
        <v>Commercial</v>
      </c>
      <c r="E108" s="17">
        <f t="shared" si="8"/>
        <v>2.7272727272727271</v>
      </c>
      <c r="F108" s="17">
        <f t="shared" si="9"/>
        <v>110</v>
      </c>
      <c r="G108" s="8">
        <v>10</v>
      </c>
      <c r="S108" s="7"/>
      <c r="V108" s="7"/>
    </row>
    <row r="109" spans="2:22" hidden="1" x14ac:dyDescent="0.2">
      <c r="B109" t="s">
        <v>36</v>
      </c>
      <c r="C109" t="s">
        <v>15</v>
      </c>
      <c r="D109" s="17" t="str">
        <f t="shared" si="7"/>
        <v>Commercial</v>
      </c>
      <c r="E109" s="17">
        <f t="shared" si="8"/>
        <v>2.7272727272727271</v>
      </c>
      <c r="F109" s="17">
        <f t="shared" si="9"/>
        <v>110</v>
      </c>
      <c r="G109" s="8">
        <v>10</v>
      </c>
      <c r="S109" s="7"/>
      <c r="V109" s="7"/>
    </row>
    <row r="110" spans="2:22" hidden="1" x14ac:dyDescent="0.2">
      <c r="B110" t="s">
        <v>40</v>
      </c>
      <c r="C110" t="s">
        <v>15</v>
      </c>
      <c r="D110" s="17" t="str">
        <f t="shared" si="7"/>
        <v>Commercial</v>
      </c>
      <c r="E110" s="17">
        <f t="shared" si="8"/>
        <v>2.7272727272727271</v>
      </c>
      <c r="F110" s="17">
        <f t="shared" si="9"/>
        <v>110</v>
      </c>
      <c r="G110" s="8">
        <v>10</v>
      </c>
      <c r="S110" s="7"/>
      <c r="V110" s="7"/>
    </row>
    <row r="111" spans="2:22" hidden="1" x14ac:dyDescent="0.2">
      <c r="B111" t="s">
        <v>21</v>
      </c>
      <c r="C111" t="s">
        <v>15</v>
      </c>
      <c r="D111" s="17" t="str">
        <f t="shared" si="7"/>
        <v>Commercial</v>
      </c>
      <c r="E111" s="17">
        <f t="shared" si="8"/>
        <v>5.4545454545454541</v>
      </c>
      <c r="F111" s="17">
        <f t="shared" si="9"/>
        <v>110</v>
      </c>
      <c r="G111" s="8">
        <v>20</v>
      </c>
      <c r="S111" s="7"/>
      <c r="V111" s="7"/>
    </row>
    <row r="112" spans="2:22" hidden="1" x14ac:dyDescent="0.2">
      <c r="B112" t="s">
        <v>25</v>
      </c>
      <c r="C112" t="s">
        <v>15</v>
      </c>
      <c r="D112" s="17" t="str">
        <f t="shared" si="7"/>
        <v>Commercial</v>
      </c>
      <c r="E112" s="17">
        <f t="shared" si="8"/>
        <v>2.7272727272727271</v>
      </c>
      <c r="F112" s="17">
        <f t="shared" si="9"/>
        <v>110</v>
      </c>
      <c r="G112" s="8">
        <v>10</v>
      </c>
      <c r="S112" s="7"/>
      <c r="V112" s="7"/>
    </row>
    <row r="113" spans="2:22" hidden="1" x14ac:dyDescent="0.2">
      <c r="B113" t="s">
        <v>23</v>
      </c>
      <c r="C113" t="s">
        <v>15</v>
      </c>
      <c r="D113" s="17" t="str">
        <f t="shared" si="7"/>
        <v>Commercial</v>
      </c>
      <c r="E113" s="17">
        <f t="shared" si="8"/>
        <v>2.7272727272727271</v>
      </c>
      <c r="F113" s="17">
        <f t="shared" si="9"/>
        <v>110</v>
      </c>
      <c r="G113" s="8">
        <v>10</v>
      </c>
      <c r="S113" s="7"/>
      <c r="V113" s="7"/>
    </row>
    <row r="114" spans="2:22" hidden="1" x14ac:dyDescent="0.2">
      <c r="B114" t="s">
        <v>24</v>
      </c>
      <c r="C114" t="s">
        <v>15</v>
      </c>
      <c r="D114" s="17" t="str">
        <f t="shared" si="7"/>
        <v>Commercial</v>
      </c>
      <c r="E114" s="17">
        <f t="shared" si="8"/>
        <v>2.7272727272727271</v>
      </c>
      <c r="F114" s="17">
        <f t="shared" si="9"/>
        <v>110</v>
      </c>
      <c r="G114" s="8">
        <v>10</v>
      </c>
      <c r="S114" s="7"/>
      <c r="V114" s="7"/>
    </row>
    <row r="115" spans="2:22" hidden="1" x14ac:dyDescent="0.2">
      <c r="B115" t="s">
        <v>37</v>
      </c>
      <c r="C115" t="s">
        <v>15</v>
      </c>
      <c r="D115" s="17" t="str">
        <f t="shared" si="7"/>
        <v>Commercial</v>
      </c>
      <c r="E115" s="17">
        <f t="shared" si="8"/>
        <v>5.4545454545454541</v>
      </c>
      <c r="F115" s="17">
        <f t="shared" si="9"/>
        <v>110</v>
      </c>
      <c r="G115" s="8">
        <v>20</v>
      </c>
      <c r="S115" s="7"/>
      <c r="V115" s="7"/>
    </row>
    <row r="116" spans="2:22" hidden="1" x14ac:dyDescent="0.2">
      <c r="B116" t="s">
        <v>44</v>
      </c>
      <c r="C116" t="s">
        <v>15</v>
      </c>
      <c r="D116" s="17" t="str">
        <f t="shared" si="7"/>
        <v>Corporate</v>
      </c>
      <c r="E116" s="17">
        <f t="shared" si="8"/>
        <v>1.4285714285714286</v>
      </c>
      <c r="F116" s="17">
        <f t="shared" si="9"/>
        <v>140</v>
      </c>
      <c r="G116" s="8">
        <v>10</v>
      </c>
      <c r="S116" s="7"/>
      <c r="V116" s="7"/>
    </row>
    <row r="117" spans="2:22" hidden="1" x14ac:dyDescent="0.2">
      <c r="B117" t="s">
        <v>46</v>
      </c>
      <c r="C117" t="s">
        <v>15</v>
      </c>
      <c r="D117" s="17" t="str">
        <f t="shared" si="7"/>
        <v>Corporate</v>
      </c>
      <c r="E117" s="17">
        <f t="shared" si="8"/>
        <v>1.4285714285714286</v>
      </c>
      <c r="F117" s="17">
        <f t="shared" si="9"/>
        <v>140</v>
      </c>
      <c r="G117" s="8">
        <v>10</v>
      </c>
      <c r="S117" s="7"/>
      <c r="V117" s="7"/>
    </row>
    <row r="118" spans="2:22" hidden="1" x14ac:dyDescent="0.2">
      <c r="B118" t="s">
        <v>22</v>
      </c>
      <c r="C118" t="s">
        <v>15</v>
      </c>
      <c r="D118" s="17" t="str">
        <f t="shared" si="7"/>
        <v>Corporate</v>
      </c>
      <c r="E118" s="17">
        <f t="shared" si="8"/>
        <v>2.8571428571428572</v>
      </c>
      <c r="F118" s="17">
        <f t="shared" si="9"/>
        <v>140</v>
      </c>
      <c r="G118" s="8">
        <v>20</v>
      </c>
      <c r="S118" s="7"/>
      <c r="V118" s="7"/>
    </row>
    <row r="119" spans="2:22" hidden="1" x14ac:dyDescent="0.2">
      <c r="B119" t="s">
        <v>48</v>
      </c>
      <c r="C119" t="s">
        <v>15</v>
      </c>
      <c r="D119" s="17" t="str">
        <f t="shared" si="7"/>
        <v>Corporate</v>
      </c>
      <c r="E119" s="17">
        <f t="shared" si="8"/>
        <v>1.4285714285714286</v>
      </c>
      <c r="F119" s="17">
        <f t="shared" si="9"/>
        <v>140</v>
      </c>
      <c r="G119" s="8">
        <v>10</v>
      </c>
      <c r="S119" s="7"/>
      <c r="V119" s="7"/>
    </row>
    <row r="120" spans="2:22" hidden="1" x14ac:dyDescent="0.2">
      <c r="B120" t="s">
        <v>50</v>
      </c>
      <c r="C120" t="s">
        <v>15</v>
      </c>
      <c r="D120" s="17" t="str">
        <f t="shared" si="7"/>
        <v>Corporate</v>
      </c>
      <c r="E120" s="17">
        <f t="shared" si="8"/>
        <v>1.4285714285714286</v>
      </c>
      <c r="F120" s="17">
        <f t="shared" si="9"/>
        <v>140</v>
      </c>
      <c r="G120" s="8">
        <v>10</v>
      </c>
      <c r="S120" s="7"/>
      <c r="V120" s="7"/>
    </row>
    <row r="121" spans="2:22" hidden="1" x14ac:dyDescent="0.2">
      <c r="B121" t="s">
        <v>54</v>
      </c>
      <c r="C121" t="s">
        <v>15</v>
      </c>
      <c r="D121" s="17" t="str">
        <f t="shared" si="7"/>
        <v>Corporate</v>
      </c>
      <c r="E121" s="17">
        <f t="shared" si="8"/>
        <v>1.4285714285714286</v>
      </c>
      <c r="F121" s="17">
        <f t="shared" si="9"/>
        <v>140</v>
      </c>
      <c r="G121" s="8">
        <v>10</v>
      </c>
      <c r="S121" s="7"/>
      <c r="V121" s="7"/>
    </row>
    <row r="122" spans="2:22" hidden="1" x14ac:dyDescent="0.2">
      <c r="B122" t="s">
        <v>56</v>
      </c>
      <c r="C122" t="s">
        <v>15</v>
      </c>
      <c r="D122" s="17" t="str">
        <f t="shared" si="7"/>
        <v>Corporate</v>
      </c>
      <c r="E122" s="17">
        <f t="shared" si="8"/>
        <v>1.4285714285714286</v>
      </c>
      <c r="F122" s="17">
        <f t="shared" si="9"/>
        <v>140</v>
      </c>
      <c r="G122" s="8">
        <v>10</v>
      </c>
      <c r="S122" s="7"/>
      <c r="V122" s="7"/>
    </row>
    <row r="123" spans="2:22" hidden="1" x14ac:dyDescent="0.2">
      <c r="B123" t="s">
        <v>35</v>
      </c>
      <c r="C123" t="s">
        <v>15</v>
      </c>
      <c r="D123" s="17" t="str">
        <f t="shared" si="7"/>
        <v>Corporate</v>
      </c>
      <c r="E123" s="17">
        <f t="shared" si="8"/>
        <v>1.4285714285714286</v>
      </c>
      <c r="F123" s="17">
        <f t="shared" si="9"/>
        <v>140</v>
      </c>
      <c r="G123" s="8">
        <v>10</v>
      </c>
      <c r="S123" s="7"/>
      <c r="V123" s="7"/>
    </row>
    <row r="124" spans="2:22" hidden="1" x14ac:dyDescent="0.2">
      <c r="B124" t="s">
        <v>47</v>
      </c>
      <c r="C124" t="s">
        <v>15</v>
      </c>
      <c r="D124" s="17" t="str">
        <f t="shared" si="7"/>
        <v>Corporate</v>
      </c>
      <c r="E124" s="17">
        <f t="shared" si="8"/>
        <v>1.4285714285714286</v>
      </c>
      <c r="F124" s="17">
        <f t="shared" si="9"/>
        <v>140</v>
      </c>
      <c r="G124" s="8">
        <v>10</v>
      </c>
      <c r="S124" s="7"/>
      <c r="V124" s="7"/>
    </row>
    <row r="125" spans="2:22" hidden="1" x14ac:dyDescent="0.2">
      <c r="B125" t="s">
        <v>98</v>
      </c>
      <c r="C125" t="s">
        <v>15</v>
      </c>
      <c r="D125" s="17" t="str">
        <f t="shared" si="7"/>
        <v>Corporate</v>
      </c>
      <c r="E125" s="17">
        <f t="shared" si="8"/>
        <v>1.4285714285714286</v>
      </c>
      <c r="F125" s="17">
        <f t="shared" si="9"/>
        <v>140</v>
      </c>
      <c r="G125" s="8">
        <v>10</v>
      </c>
      <c r="S125" s="7"/>
      <c r="V125" s="7"/>
    </row>
    <row r="126" spans="2:22" hidden="1" x14ac:dyDescent="0.2">
      <c r="B126" t="s">
        <v>45</v>
      </c>
      <c r="C126" t="s">
        <v>15</v>
      </c>
      <c r="D126" s="17" t="str">
        <f t="shared" si="7"/>
        <v>Corporate</v>
      </c>
      <c r="E126" s="17">
        <f t="shared" si="8"/>
        <v>1.4285714285714286</v>
      </c>
      <c r="F126" s="17">
        <f t="shared" si="9"/>
        <v>140</v>
      </c>
      <c r="G126" s="8">
        <v>10</v>
      </c>
      <c r="S126" s="7"/>
      <c r="V126" s="7"/>
    </row>
    <row r="127" spans="2:22" hidden="1" x14ac:dyDescent="0.2">
      <c r="B127" t="s">
        <v>51</v>
      </c>
      <c r="C127" t="s">
        <v>15</v>
      </c>
      <c r="D127" s="17" t="str">
        <f t="shared" si="7"/>
        <v>Corporate</v>
      </c>
      <c r="E127" s="17">
        <f t="shared" si="8"/>
        <v>1.4285714285714286</v>
      </c>
      <c r="F127" s="17">
        <f t="shared" si="9"/>
        <v>140</v>
      </c>
      <c r="G127" s="8">
        <v>10</v>
      </c>
      <c r="S127" s="7"/>
      <c r="V127" s="7"/>
    </row>
    <row r="128" spans="2:22" hidden="1" x14ac:dyDescent="0.2">
      <c r="B128" t="s">
        <v>53</v>
      </c>
      <c r="C128" t="s">
        <v>15</v>
      </c>
      <c r="D128" s="17" t="str">
        <f t="shared" si="7"/>
        <v>Corporate</v>
      </c>
      <c r="E128" s="17">
        <f t="shared" si="8"/>
        <v>1.4285714285714286</v>
      </c>
      <c r="F128" s="17">
        <f t="shared" si="9"/>
        <v>140</v>
      </c>
      <c r="G128" s="8">
        <v>10</v>
      </c>
      <c r="S128" s="7"/>
      <c r="V128" s="7"/>
    </row>
    <row r="129" spans="2:22" hidden="1" x14ac:dyDescent="0.2">
      <c r="B129" t="s">
        <v>7</v>
      </c>
      <c r="C129" t="s">
        <v>15</v>
      </c>
      <c r="D129" s="17" t="str">
        <f t="shared" si="7"/>
        <v>Operations</v>
      </c>
      <c r="E129" s="17">
        <f t="shared" si="8"/>
        <v>8</v>
      </c>
      <c r="F129" s="17">
        <f t="shared" si="9"/>
        <v>50</v>
      </c>
      <c r="G129" s="8">
        <v>20</v>
      </c>
      <c r="S129" s="7"/>
      <c r="V129" s="7"/>
    </row>
    <row r="130" spans="2:22" hidden="1" x14ac:dyDescent="0.2">
      <c r="B130" t="s">
        <v>42</v>
      </c>
      <c r="C130" t="s">
        <v>15</v>
      </c>
      <c r="D130" s="17" t="str">
        <f t="shared" si="7"/>
        <v>Operations</v>
      </c>
      <c r="E130" s="17">
        <f t="shared" si="8"/>
        <v>4</v>
      </c>
      <c r="F130" s="17">
        <f t="shared" si="9"/>
        <v>50</v>
      </c>
      <c r="G130" s="8">
        <v>10</v>
      </c>
      <c r="S130" s="7"/>
      <c r="V130" s="7"/>
    </row>
    <row r="131" spans="2:22" hidden="1" x14ac:dyDescent="0.2">
      <c r="B131" t="s">
        <v>26</v>
      </c>
      <c r="C131" t="s">
        <v>15</v>
      </c>
      <c r="D131" s="17" t="str">
        <f t="shared" ref="D131:D194" si="10">VLOOKUP($B131,$Y:$Z,2,FALSE)</f>
        <v>Operations</v>
      </c>
      <c r="E131" s="17">
        <f t="shared" ref="E131:E194" si="11">G131*SUMIFS($K:$K,$I:$I,C131,$J:$J,D131)/F131</f>
        <v>8</v>
      </c>
      <c r="F131" s="17">
        <f t="shared" ref="F131:F194" si="12">SUMIFS($G$2:$G$1000,$D$2:$D$1000,D131,$C$2:$C$1000,C131)</f>
        <v>50</v>
      </c>
      <c r="G131" s="8">
        <v>20</v>
      </c>
      <c r="S131" s="7"/>
      <c r="V131" s="7"/>
    </row>
    <row r="132" spans="2:22" hidden="1" x14ac:dyDescent="0.2">
      <c r="B132" t="s">
        <v>34</v>
      </c>
      <c r="C132" t="s">
        <v>15</v>
      </c>
      <c r="D132" s="17" t="str">
        <f t="shared" si="10"/>
        <v>Technology</v>
      </c>
      <c r="E132" s="17">
        <f t="shared" si="11"/>
        <v>3.3333333333333335</v>
      </c>
      <c r="F132" s="17">
        <f t="shared" si="12"/>
        <v>60</v>
      </c>
      <c r="G132" s="8">
        <v>10</v>
      </c>
      <c r="S132" s="7"/>
      <c r="V132" s="7"/>
    </row>
    <row r="133" spans="2:22" hidden="1" x14ac:dyDescent="0.2">
      <c r="B133" t="s">
        <v>9</v>
      </c>
      <c r="C133" t="s">
        <v>15</v>
      </c>
      <c r="D133" s="17" t="str">
        <f t="shared" si="10"/>
        <v>Technology</v>
      </c>
      <c r="E133" s="17">
        <f t="shared" si="11"/>
        <v>6.666666666666667</v>
      </c>
      <c r="F133" s="17">
        <f t="shared" si="12"/>
        <v>60</v>
      </c>
      <c r="G133" s="8">
        <v>20</v>
      </c>
      <c r="S133" s="7"/>
      <c r="V133" s="7"/>
    </row>
    <row r="134" spans="2:22" hidden="1" x14ac:dyDescent="0.2">
      <c r="B134" t="s">
        <v>60</v>
      </c>
      <c r="C134" t="s">
        <v>15</v>
      </c>
      <c r="D134" s="17" t="str">
        <f t="shared" si="10"/>
        <v>Technology</v>
      </c>
      <c r="E134" s="17">
        <f t="shared" si="11"/>
        <v>3.3333333333333335</v>
      </c>
      <c r="F134" s="17">
        <f t="shared" si="12"/>
        <v>60</v>
      </c>
      <c r="G134" s="8">
        <v>10</v>
      </c>
      <c r="S134" s="7"/>
      <c r="V134" s="7"/>
    </row>
    <row r="135" spans="2:22" hidden="1" x14ac:dyDescent="0.2">
      <c r="B135" t="s">
        <v>59</v>
      </c>
      <c r="C135" t="s">
        <v>15</v>
      </c>
      <c r="D135" s="17" t="str">
        <f t="shared" si="10"/>
        <v>Technology</v>
      </c>
      <c r="E135" s="17">
        <f t="shared" si="11"/>
        <v>3.3333333333333335</v>
      </c>
      <c r="F135" s="17">
        <f t="shared" si="12"/>
        <v>60</v>
      </c>
      <c r="G135" s="8">
        <v>10</v>
      </c>
      <c r="S135" s="7"/>
      <c r="V135" s="7"/>
    </row>
    <row r="136" spans="2:22" hidden="1" x14ac:dyDescent="0.2">
      <c r="B136" t="s">
        <v>58</v>
      </c>
      <c r="C136" t="s">
        <v>15</v>
      </c>
      <c r="D136" s="17" t="str">
        <f t="shared" si="10"/>
        <v>Technology</v>
      </c>
      <c r="E136" s="17">
        <f t="shared" si="11"/>
        <v>3.3333333333333335</v>
      </c>
      <c r="F136" s="17">
        <f t="shared" si="12"/>
        <v>60</v>
      </c>
      <c r="G136" s="8">
        <v>10</v>
      </c>
      <c r="S136" s="7"/>
      <c r="V136" s="7"/>
    </row>
    <row r="137" spans="2:22" hidden="1" x14ac:dyDescent="0.2">
      <c r="B137" t="s">
        <v>11</v>
      </c>
      <c r="C137" t="s">
        <v>16</v>
      </c>
      <c r="D137" s="17" t="str">
        <f t="shared" si="10"/>
        <v>CISO</v>
      </c>
      <c r="E137" s="17">
        <f t="shared" si="11"/>
        <v>5</v>
      </c>
      <c r="F137" s="17">
        <f t="shared" si="12"/>
        <v>20</v>
      </c>
      <c r="G137" s="8">
        <v>20</v>
      </c>
      <c r="S137" s="7"/>
      <c r="V137" s="7"/>
    </row>
    <row r="138" spans="2:22" hidden="1" x14ac:dyDescent="0.2">
      <c r="B138" t="s">
        <v>38</v>
      </c>
      <c r="C138" t="s">
        <v>16</v>
      </c>
      <c r="D138" s="17" t="str">
        <f t="shared" si="10"/>
        <v>Commercial</v>
      </c>
      <c r="E138" s="17">
        <f t="shared" si="11"/>
        <v>2.7272727272727271</v>
      </c>
      <c r="F138" s="17">
        <f t="shared" si="12"/>
        <v>110</v>
      </c>
      <c r="G138" s="8">
        <v>10</v>
      </c>
      <c r="S138" s="7"/>
      <c r="V138" s="7"/>
    </row>
    <row r="139" spans="2:22" hidden="1" x14ac:dyDescent="0.2">
      <c r="B139" t="s">
        <v>39</v>
      </c>
      <c r="C139" t="s">
        <v>16</v>
      </c>
      <c r="D139" s="17" t="str">
        <f t="shared" si="10"/>
        <v>Commercial</v>
      </c>
      <c r="E139" s="17">
        <f t="shared" si="11"/>
        <v>2.7272727272727271</v>
      </c>
      <c r="F139" s="17">
        <f t="shared" si="12"/>
        <v>110</v>
      </c>
      <c r="G139" s="8">
        <v>10</v>
      </c>
      <c r="S139" s="7"/>
      <c r="V139" s="7"/>
    </row>
    <row r="140" spans="2:22" hidden="1" x14ac:dyDescent="0.2">
      <c r="B140" t="s">
        <v>36</v>
      </c>
      <c r="C140" t="s">
        <v>16</v>
      </c>
      <c r="D140" s="17" t="str">
        <f t="shared" si="10"/>
        <v>Commercial</v>
      </c>
      <c r="E140" s="17">
        <f t="shared" si="11"/>
        <v>2.7272727272727271</v>
      </c>
      <c r="F140" s="17">
        <f t="shared" si="12"/>
        <v>110</v>
      </c>
      <c r="G140" s="8">
        <v>10</v>
      </c>
      <c r="S140" s="7"/>
      <c r="V140" s="7"/>
    </row>
    <row r="141" spans="2:22" hidden="1" x14ac:dyDescent="0.2">
      <c r="B141" t="s">
        <v>40</v>
      </c>
      <c r="C141" t="s">
        <v>16</v>
      </c>
      <c r="D141" s="17" t="str">
        <f t="shared" si="10"/>
        <v>Commercial</v>
      </c>
      <c r="E141" s="17">
        <f t="shared" si="11"/>
        <v>2.7272727272727271</v>
      </c>
      <c r="F141" s="17">
        <f t="shared" si="12"/>
        <v>110</v>
      </c>
      <c r="G141" s="8">
        <v>10</v>
      </c>
      <c r="S141" s="7"/>
      <c r="V141" s="7"/>
    </row>
    <row r="142" spans="2:22" hidden="1" x14ac:dyDescent="0.2">
      <c r="B142" t="s">
        <v>21</v>
      </c>
      <c r="C142" t="s">
        <v>16</v>
      </c>
      <c r="D142" s="17" t="str">
        <f t="shared" si="10"/>
        <v>Commercial</v>
      </c>
      <c r="E142" s="17">
        <f t="shared" si="11"/>
        <v>2.7272727272727271</v>
      </c>
      <c r="F142" s="17">
        <f t="shared" si="12"/>
        <v>110</v>
      </c>
      <c r="G142" s="8">
        <v>10</v>
      </c>
      <c r="S142" s="7"/>
      <c r="V142" s="7"/>
    </row>
    <row r="143" spans="2:22" hidden="1" x14ac:dyDescent="0.2">
      <c r="B143" t="s">
        <v>25</v>
      </c>
      <c r="C143" t="s">
        <v>16</v>
      </c>
      <c r="D143" s="17" t="str">
        <f t="shared" si="10"/>
        <v>Commercial</v>
      </c>
      <c r="E143" s="17">
        <f t="shared" si="11"/>
        <v>2.7272727272727271</v>
      </c>
      <c r="F143" s="17">
        <f t="shared" si="12"/>
        <v>110</v>
      </c>
      <c r="G143" s="8">
        <v>10</v>
      </c>
      <c r="S143" s="7"/>
      <c r="V143" s="7"/>
    </row>
    <row r="144" spans="2:22" hidden="1" x14ac:dyDescent="0.2">
      <c r="B144" t="s">
        <v>23</v>
      </c>
      <c r="C144" t="s">
        <v>16</v>
      </c>
      <c r="D144" s="17" t="str">
        <f t="shared" si="10"/>
        <v>Commercial</v>
      </c>
      <c r="E144" s="17">
        <f t="shared" si="11"/>
        <v>2.7272727272727271</v>
      </c>
      <c r="F144" s="17">
        <f t="shared" si="12"/>
        <v>110</v>
      </c>
      <c r="G144" s="8">
        <v>10</v>
      </c>
      <c r="S144" s="7"/>
      <c r="V144" s="7"/>
    </row>
    <row r="145" spans="2:22" hidden="1" x14ac:dyDescent="0.2">
      <c r="B145" t="s">
        <v>24</v>
      </c>
      <c r="C145" t="s">
        <v>16</v>
      </c>
      <c r="D145" s="17" t="str">
        <f t="shared" si="10"/>
        <v>Commercial</v>
      </c>
      <c r="E145" s="17">
        <f t="shared" si="11"/>
        <v>5.4545454545454541</v>
      </c>
      <c r="F145" s="17">
        <f t="shared" si="12"/>
        <v>110</v>
      </c>
      <c r="G145" s="8">
        <v>20</v>
      </c>
      <c r="S145" s="7"/>
      <c r="V145" s="7"/>
    </row>
    <row r="146" spans="2:22" hidden="1" x14ac:dyDescent="0.2">
      <c r="B146" t="s">
        <v>37</v>
      </c>
      <c r="C146" t="s">
        <v>16</v>
      </c>
      <c r="D146" s="17" t="str">
        <f t="shared" si="10"/>
        <v>Commercial</v>
      </c>
      <c r="E146" s="17">
        <f t="shared" si="11"/>
        <v>5.4545454545454541</v>
      </c>
      <c r="F146" s="17">
        <f t="shared" si="12"/>
        <v>110</v>
      </c>
      <c r="G146" s="8">
        <v>20</v>
      </c>
      <c r="S146" s="7"/>
      <c r="V146" s="7"/>
    </row>
    <row r="147" spans="2:22" hidden="1" x14ac:dyDescent="0.2">
      <c r="B147" t="s">
        <v>44</v>
      </c>
      <c r="C147" t="s">
        <v>16</v>
      </c>
      <c r="D147" s="17" t="str">
        <f t="shared" si="10"/>
        <v>Corporate</v>
      </c>
      <c r="E147" s="17">
        <f t="shared" si="11"/>
        <v>1.7857142857142858</v>
      </c>
      <c r="F147" s="17">
        <f t="shared" si="12"/>
        <v>140</v>
      </c>
      <c r="G147" s="8">
        <v>10</v>
      </c>
      <c r="S147" s="7"/>
      <c r="V147" s="7"/>
    </row>
    <row r="148" spans="2:22" hidden="1" x14ac:dyDescent="0.2">
      <c r="B148" t="s">
        <v>46</v>
      </c>
      <c r="C148" t="s">
        <v>16</v>
      </c>
      <c r="D148" s="17" t="str">
        <f t="shared" si="10"/>
        <v>Corporate</v>
      </c>
      <c r="E148" s="17">
        <f t="shared" si="11"/>
        <v>1.7857142857142858</v>
      </c>
      <c r="F148" s="17">
        <f t="shared" si="12"/>
        <v>140</v>
      </c>
      <c r="G148" s="8">
        <v>10</v>
      </c>
      <c r="S148" s="7"/>
      <c r="V148" s="7"/>
    </row>
    <row r="149" spans="2:22" hidden="1" x14ac:dyDescent="0.2">
      <c r="B149" t="s">
        <v>22</v>
      </c>
      <c r="C149" t="s">
        <v>16</v>
      </c>
      <c r="D149" s="17" t="str">
        <f t="shared" si="10"/>
        <v>Corporate</v>
      </c>
      <c r="E149" s="17">
        <f t="shared" si="11"/>
        <v>3.5714285714285716</v>
      </c>
      <c r="F149" s="17">
        <f t="shared" si="12"/>
        <v>140</v>
      </c>
      <c r="G149" s="8">
        <v>20</v>
      </c>
      <c r="S149" s="7"/>
      <c r="V149" s="7"/>
    </row>
    <row r="150" spans="2:22" hidden="1" x14ac:dyDescent="0.2">
      <c r="B150" t="s">
        <v>48</v>
      </c>
      <c r="C150" t="s">
        <v>16</v>
      </c>
      <c r="D150" s="17" t="str">
        <f t="shared" si="10"/>
        <v>Corporate</v>
      </c>
      <c r="E150" s="17">
        <f t="shared" si="11"/>
        <v>1.7857142857142858</v>
      </c>
      <c r="F150" s="17">
        <f t="shared" si="12"/>
        <v>140</v>
      </c>
      <c r="G150" s="8">
        <v>10</v>
      </c>
      <c r="S150" s="7"/>
      <c r="V150" s="7"/>
    </row>
    <row r="151" spans="2:22" hidden="1" x14ac:dyDescent="0.2">
      <c r="B151" t="s">
        <v>50</v>
      </c>
      <c r="C151" t="s">
        <v>16</v>
      </c>
      <c r="D151" s="17" t="str">
        <f t="shared" si="10"/>
        <v>Corporate</v>
      </c>
      <c r="E151" s="17">
        <f t="shared" si="11"/>
        <v>1.7857142857142858</v>
      </c>
      <c r="F151" s="17">
        <f t="shared" si="12"/>
        <v>140</v>
      </c>
      <c r="G151" s="8">
        <v>10</v>
      </c>
      <c r="S151" s="7"/>
      <c r="V151" s="7"/>
    </row>
    <row r="152" spans="2:22" hidden="1" x14ac:dyDescent="0.2">
      <c r="B152" t="s">
        <v>54</v>
      </c>
      <c r="C152" t="s">
        <v>16</v>
      </c>
      <c r="D152" s="17" t="str">
        <f t="shared" si="10"/>
        <v>Corporate</v>
      </c>
      <c r="E152" s="17">
        <f t="shared" si="11"/>
        <v>1.7857142857142858</v>
      </c>
      <c r="F152" s="17">
        <f t="shared" si="12"/>
        <v>140</v>
      </c>
      <c r="G152" s="8">
        <v>10</v>
      </c>
      <c r="S152" s="7"/>
      <c r="V152" s="7"/>
    </row>
    <row r="153" spans="2:22" hidden="1" x14ac:dyDescent="0.2">
      <c r="B153" t="s">
        <v>56</v>
      </c>
      <c r="C153" t="s">
        <v>16</v>
      </c>
      <c r="D153" s="17" t="str">
        <f t="shared" si="10"/>
        <v>Corporate</v>
      </c>
      <c r="E153" s="17">
        <f t="shared" si="11"/>
        <v>1.7857142857142858</v>
      </c>
      <c r="F153" s="17">
        <f t="shared" si="12"/>
        <v>140</v>
      </c>
      <c r="G153" s="8">
        <v>10</v>
      </c>
      <c r="S153" s="7"/>
      <c r="V153" s="7"/>
    </row>
    <row r="154" spans="2:22" hidden="1" x14ac:dyDescent="0.2">
      <c r="B154" t="s">
        <v>35</v>
      </c>
      <c r="C154" t="s">
        <v>16</v>
      </c>
      <c r="D154" s="17" t="str">
        <f t="shared" si="10"/>
        <v>Corporate</v>
      </c>
      <c r="E154" s="17">
        <f t="shared" si="11"/>
        <v>1.7857142857142858</v>
      </c>
      <c r="F154" s="17">
        <f t="shared" si="12"/>
        <v>140</v>
      </c>
      <c r="G154" s="8">
        <v>10</v>
      </c>
      <c r="S154" s="7"/>
      <c r="V154" s="7"/>
    </row>
    <row r="155" spans="2:22" hidden="1" x14ac:dyDescent="0.2">
      <c r="B155" t="s">
        <v>47</v>
      </c>
      <c r="C155" t="s">
        <v>16</v>
      </c>
      <c r="D155" s="17" t="str">
        <f t="shared" si="10"/>
        <v>Corporate</v>
      </c>
      <c r="E155" s="17">
        <f t="shared" si="11"/>
        <v>1.7857142857142858</v>
      </c>
      <c r="F155" s="17">
        <f t="shared" si="12"/>
        <v>140</v>
      </c>
      <c r="G155" s="8">
        <v>10</v>
      </c>
      <c r="S155" s="7"/>
      <c r="V155" s="7"/>
    </row>
    <row r="156" spans="2:22" hidden="1" x14ac:dyDescent="0.2">
      <c r="B156" t="s">
        <v>98</v>
      </c>
      <c r="C156" t="s">
        <v>16</v>
      </c>
      <c r="D156" s="17" t="str">
        <f t="shared" si="10"/>
        <v>Corporate</v>
      </c>
      <c r="E156" s="17">
        <f t="shared" si="11"/>
        <v>1.7857142857142858</v>
      </c>
      <c r="F156" s="17">
        <f t="shared" si="12"/>
        <v>140</v>
      </c>
      <c r="G156" s="8">
        <v>10</v>
      </c>
      <c r="S156" s="7"/>
      <c r="V156" s="7"/>
    </row>
    <row r="157" spans="2:22" hidden="1" x14ac:dyDescent="0.2">
      <c r="B157" t="s">
        <v>45</v>
      </c>
      <c r="C157" t="s">
        <v>16</v>
      </c>
      <c r="D157" s="17" t="str">
        <f t="shared" si="10"/>
        <v>Corporate</v>
      </c>
      <c r="E157" s="17">
        <f t="shared" si="11"/>
        <v>1.7857142857142858</v>
      </c>
      <c r="F157" s="17">
        <f t="shared" si="12"/>
        <v>140</v>
      </c>
      <c r="G157" s="8">
        <v>10</v>
      </c>
      <c r="S157" s="7"/>
      <c r="V157" s="7"/>
    </row>
    <row r="158" spans="2:22" hidden="1" x14ac:dyDescent="0.2">
      <c r="B158" t="s">
        <v>51</v>
      </c>
      <c r="C158" t="s">
        <v>16</v>
      </c>
      <c r="D158" s="17" t="str">
        <f t="shared" si="10"/>
        <v>Corporate</v>
      </c>
      <c r="E158" s="17">
        <f t="shared" si="11"/>
        <v>1.7857142857142858</v>
      </c>
      <c r="F158" s="17">
        <f t="shared" si="12"/>
        <v>140</v>
      </c>
      <c r="G158" s="8">
        <v>10</v>
      </c>
      <c r="S158" s="7"/>
      <c r="V158" s="7"/>
    </row>
    <row r="159" spans="2:22" hidden="1" x14ac:dyDescent="0.2">
      <c r="B159" t="s">
        <v>53</v>
      </c>
      <c r="C159" t="s">
        <v>16</v>
      </c>
      <c r="D159" s="17" t="str">
        <f t="shared" si="10"/>
        <v>Corporate</v>
      </c>
      <c r="E159" s="17">
        <f t="shared" si="11"/>
        <v>1.7857142857142858</v>
      </c>
      <c r="F159" s="17">
        <f t="shared" si="12"/>
        <v>140</v>
      </c>
      <c r="G159" s="8">
        <v>10</v>
      </c>
      <c r="S159" s="7"/>
      <c r="V159" s="7"/>
    </row>
    <row r="160" spans="2:22" hidden="1" x14ac:dyDescent="0.2">
      <c r="B160" t="s">
        <v>7</v>
      </c>
      <c r="C160" t="s">
        <v>16</v>
      </c>
      <c r="D160" s="17" t="str">
        <f t="shared" si="10"/>
        <v>Operations</v>
      </c>
      <c r="E160" s="17">
        <f t="shared" si="11"/>
        <v>3.3333333333333335</v>
      </c>
      <c r="F160" s="17">
        <f t="shared" si="12"/>
        <v>30</v>
      </c>
      <c r="G160" s="8">
        <v>10</v>
      </c>
      <c r="S160" s="7"/>
      <c r="V160" s="7"/>
    </row>
    <row r="161" spans="2:22" hidden="1" x14ac:dyDescent="0.2">
      <c r="B161" t="s">
        <v>42</v>
      </c>
      <c r="C161" t="s">
        <v>16</v>
      </c>
      <c r="D161" s="17" t="str">
        <f t="shared" si="10"/>
        <v>Operations</v>
      </c>
      <c r="E161" s="17">
        <f t="shared" si="11"/>
        <v>3.3333333333333335</v>
      </c>
      <c r="F161" s="17">
        <f t="shared" si="12"/>
        <v>30</v>
      </c>
      <c r="G161" s="8">
        <v>10</v>
      </c>
      <c r="S161" s="7"/>
      <c r="V161" s="7"/>
    </row>
    <row r="162" spans="2:22" hidden="1" x14ac:dyDescent="0.2">
      <c r="B162" t="s">
        <v>26</v>
      </c>
      <c r="C162" t="s">
        <v>16</v>
      </c>
      <c r="D162" s="17" t="str">
        <f t="shared" si="10"/>
        <v>Operations</v>
      </c>
      <c r="E162" s="17">
        <f t="shared" si="11"/>
        <v>3.3333333333333335</v>
      </c>
      <c r="F162" s="17">
        <f t="shared" si="12"/>
        <v>30</v>
      </c>
      <c r="G162" s="8">
        <v>10</v>
      </c>
      <c r="S162" s="7"/>
      <c r="V162" s="7"/>
    </row>
    <row r="163" spans="2:22" hidden="1" x14ac:dyDescent="0.2">
      <c r="B163" t="s">
        <v>34</v>
      </c>
      <c r="C163" t="s">
        <v>16</v>
      </c>
      <c r="D163" s="17" t="str">
        <f t="shared" si="10"/>
        <v>Technology</v>
      </c>
      <c r="E163" s="17">
        <f t="shared" si="11"/>
        <v>4.166666666666667</v>
      </c>
      <c r="F163" s="17">
        <f t="shared" si="12"/>
        <v>60</v>
      </c>
      <c r="G163" s="8">
        <v>10</v>
      </c>
      <c r="S163" s="7"/>
      <c r="V163" s="7"/>
    </row>
    <row r="164" spans="2:22" hidden="1" x14ac:dyDescent="0.2">
      <c r="B164" t="s">
        <v>9</v>
      </c>
      <c r="C164" t="s">
        <v>16</v>
      </c>
      <c r="D164" s="17" t="str">
        <f t="shared" si="10"/>
        <v>Technology</v>
      </c>
      <c r="E164" s="17">
        <f t="shared" si="11"/>
        <v>8.3333333333333339</v>
      </c>
      <c r="F164" s="17">
        <f t="shared" si="12"/>
        <v>60</v>
      </c>
      <c r="G164" s="8">
        <v>20</v>
      </c>
      <c r="S164" s="7"/>
      <c r="V164" s="7"/>
    </row>
    <row r="165" spans="2:22" hidden="1" x14ac:dyDescent="0.2">
      <c r="B165" t="s">
        <v>60</v>
      </c>
      <c r="C165" t="s">
        <v>16</v>
      </c>
      <c r="D165" s="17" t="str">
        <f t="shared" si="10"/>
        <v>Technology</v>
      </c>
      <c r="E165" s="17">
        <f t="shared" si="11"/>
        <v>4.166666666666667</v>
      </c>
      <c r="F165" s="17">
        <f t="shared" si="12"/>
        <v>60</v>
      </c>
      <c r="G165" s="8">
        <v>10</v>
      </c>
      <c r="S165" s="7"/>
      <c r="V165" s="7"/>
    </row>
    <row r="166" spans="2:22" hidden="1" x14ac:dyDescent="0.2">
      <c r="B166" t="s">
        <v>59</v>
      </c>
      <c r="C166" t="s">
        <v>16</v>
      </c>
      <c r="D166" s="17" t="str">
        <f t="shared" si="10"/>
        <v>Technology</v>
      </c>
      <c r="E166" s="17">
        <f t="shared" si="11"/>
        <v>4.166666666666667</v>
      </c>
      <c r="F166" s="17">
        <f t="shared" si="12"/>
        <v>60</v>
      </c>
      <c r="G166" s="8">
        <v>10</v>
      </c>
      <c r="S166" s="7"/>
      <c r="V166" s="7"/>
    </row>
    <row r="167" spans="2:22" hidden="1" x14ac:dyDescent="0.2">
      <c r="B167" t="s">
        <v>58</v>
      </c>
      <c r="C167" t="s">
        <v>16</v>
      </c>
      <c r="D167" s="17" t="str">
        <f t="shared" si="10"/>
        <v>Technology</v>
      </c>
      <c r="E167" s="17">
        <f t="shared" si="11"/>
        <v>4.166666666666667</v>
      </c>
      <c r="F167" s="17">
        <f t="shared" si="12"/>
        <v>60</v>
      </c>
      <c r="G167" s="8">
        <v>10</v>
      </c>
      <c r="S167" s="7"/>
      <c r="V167" s="7"/>
    </row>
    <row r="168" spans="2:22" hidden="1" x14ac:dyDescent="0.2">
      <c r="B168" t="s">
        <v>11</v>
      </c>
      <c r="C168" t="s">
        <v>17</v>
      </c>
      <c r="D168" s="17" t="str">
        <f t="shared" si="10"/>
        <v>CISO</v>
      </c>
      <c r="E168" s="17">
        <f t="shared" si="11"/>
        <v>5</v>
      </c>
      <c r="F168" s="17">
        <f t="shared" si="12"/>
        <v>20</v>
      </c>
      <c r="G168" s="8">
        <v>20</v>
      </c>
      <c r="S168" s="7"/>
      <c r="V168" s="7"/>
    </row>
    <row r="169" spans="2:22" hidden="1" x14ac:dyDescent="0.2">
      <c r="B169" t="s">
        <v>38</v>
      </c>
      <c r="C169" t="s">
        <v>17</v>
      </c>
      <c r="D169" s="17" t="str">
        <f t="shared" si="10"/>
        <v>Commercial</v>
      </c>
      <c r="E169" s="17">
        <f t="shared" si="11"/>
        <v>2.7272727272727271</v>
      </c>
      <c r="F169" s="17">
        <f t="shared" si="12"/>
        <v>110</v>
      </c>
      <c r="G169" s="8">
        <v>10</v>
      </c>
      <c r="S169" s="7"/>
      <c r="V169" s="7"/>
    </row>
    <row r="170" spans="2:22" hidden="1" x14ac:dyDescent="0.2">
      <c r="B170" t="s">
        <v>39</v>
      </c>
      <c r="C170" t="s">
        <v>17</v>
      </c>
      <c r="D170" s="17" t="str">
        <f t="shared" si="10"/>
        <v>Commercial</v>
      </c>
      <c r="E170" s="17">
        <f t="shared" si="11"/>
        <v>2.7272727272727271</v>
      </c>
      <c r="F170" s="17">
        <f t="shared" si="12"/>
        <v>110</v>
      </c>
      <c r="G170" s="8">
        <v>10</v>
      </c>
      <c r="S170" s="7"/>
      <c r="V170" s="7"/>
    </row>
    <row r="171" spans="2:22" hidden="1" x14ac:dyDescent="0.2">
      <c r="B171" t="s">
        <v>36</v>
      </c>
      <c r="C171" t="s">
        <v>17</v>
      </c>
      <c r="D171" s="17" t="str">
        <f t="shared" si="10"/>
        <v>Commercial</v>
      </c>
      <c r="E171" s="17">
        <f t="shared" si="11"/>
        <v>2.7272727272727271</v>
      </c>
      <c r="F171" s="17">
        <f t="shared" si="12"/>
        <v>110</v>
      </c>
      <c r="G171" s="8">
        <v>10</v>
      </c>
      <c r="S171" s="7"/>
      <c r="V171" s="7"/>
    </row>
    <row r="172" spans="2:22" hidden="1" x14ac:dyDescent="0.2">
      <c r="B172" t="s">
        <v>40</v>
      </c>
      <c r="C172" t="s">
        <v>17</v>
      </c>
      <c r="D172" s="17" t="str">
        <f t="shared" si="10"/>
        <v>Commercial</v>
      </c>
      <c r="E172" s="17">
        <f t="shared" si="11"/>
        <v>2.7272727272727271</v>
      </c>
      <c r="F172" s="17">
        <f t="shared" si="12"/>
        <v>110</v>
      </c>
      <c r="G172" s="8">
        <v>10</v>
      </c>
      <c r="S172" s="7"/>
      <c r="V172" s="7"/>
    </row>
    <row r="173" spans="2:22" hidden="1" x14ac:dyDescent="0.2">
      <c r="B173" t="s">
        <v>21</v>
      </c>
      <c r="C173" t="s">
        <v>17</v>
      </c>
      <c r="D173" s="17" t="str">
        <f t="shared" si="10"/>
        <v>Commercial</v>
      </c>
      <c r="E173" s="17">
        <f t="shared" si="11"/>
        <v>2.7272727272727271</v>
      </c>
      <c r="F173" s="17">
        <f t="shared" si="12"/>
        <v>110</v>
      </c>
      <c r="G173" s="8">
        <v>10</v>
      </c>
      <c r="S173" s="7"/>
      <c r="V173" s="7"/>
    </row>
    <row r="174" spans="2:22" hidden="1" x14ac:dyDescent="0.2">
      <c r="B174" t="s">
        <v>25</v>
      </c>
      <c r="C174" t="s">
        <v>17</v>
      </c>
      <c r="D174" s="17" t="str">
        <f t="shared" si="10"/>
        <v>Commercial</v>
      </c>
      <c r="E174" s="17">
        <f t="shared" si="11"/>
        <v>5.4545454545454541</v>
      </c>
      <c r="F174" s="17">
        <f t="shared" si="12"/>
        <v>110</v>
      </c>
      <c r="G174" s="8">
        <v>20</v>
      </c>
      <c r="S174" s="7"/>
      <c r="V174" s="7"/>
    </row>
    <row r="175" spans="2:22" hidden="1" x14ac:dyDescent="0.2">
      <c r="B175" t="s">
        <v>23</v>
      </c>
      <c r="C175" t="s">
        <v>17</v>
      </c>
      <c r="D175" s="17" t="str">
        <f t="shared" si="10"/>
        <v>Commercial</v>
      </c>
      <c r="E175" s="17">
        <f t="shared" si="11"/>
        <v>2.7272727272727271</v>
      </c>
      <c r="F175" s="17">
        <f t="shared" si="12"/>
        <v>110</v>
      </c>
      <c r="G175" s="8">
        <v>10</v>
      </c>
      <c r="S175" s="7"/>
      <c r="V175" s="7"/>
    </row>
    <row r="176" spans="2:22" hidden="1" x14ac:dyDescent="0.2">
      <c r="B176" t="s">
        <v>24</v>
      </c>
      <c r="C176" t="s">
        <v>17</v>
      </c>
      <c r="D176" s="17" t="str">
        <f t="shared" si="10"/>
        <v>Commercial</v>
      </c>
      <c r="E176" s="17">
        <f t="shared" si="11"/>
        <v>2.7272727272727271</v>
      </c>
      <c r="F176" s="17">
        <f t="shared" si="12"/>
        <v>110</v>
      </c>
      <c r="G176" s="8">
        <v>10</v>
      </c>
      <c r="S176" s="7"/>
      <c r="V176" s="7"/>
    </row>
    <row r="177" spans="2:22" hidden="1" x14ac:dyDescent="0.2">
      <c r="B177" t="s">
        <v>37</v>
      </c>
      <c r="C177" t="s">
        <v>17</v>
      </c>
      <c r="D177" s="17" t="str">
        <f t="shared" si="10"/>
        <v>Commercial</v>
      </c>
      <c r="E177" s="17">
        <f t="shared" si="11"/>
        <v>5.4545454545454541</v>
      </c>
      <c r="F177" s="17">
        <f t="shared" si="12"/>
        <v>110</v>
      </c>
      <c r="G177" s="8">
        <v>20</v>
      </c>
      <c r="S177" s="7"/>
      <c r="V177" s="7"/>
    </row>
    <row r="178" spans="2:22" hidden="1" x14ac:dyDescent="0.2">
      <c r="B178" t="s">
        <v>44</v>
      </c>
      <c r="C178" t="s">
        <v>17</v>
      </c>
      <c r="D178" s="17" t="str">
        <f t="shared" si="10"/>
        <v>Corporate</v>
      </c>
      <c r="E178" s="17">
        <f t="shared" si="11"/>
        <v>2.1428571428571428</v>
      </c>
      <c r="F178" s="17">
        <f t="shared" si="12"/>
        <v>140</v>
      </c>
      <c r="G178" s="8">
        <v>10</v>
      </c>
      <c r="S178" s="7"/>
      <c r="V178" s="7"/>
    </row>
    <row r="179" spans="2:22" hidden="1" x14ac:dyDescent="0.2">
      <c r="B179" t="s">
        <v>46</v>
      </c>
      <c r="C179" t="s">
        <v>17</v>
      </c>
      <c r="D179" s="17" t="str">
        <f t="shared" si="10"/>
        <v>Corporate</v>
      </c>
      <c r="E179" s="17">
        <f t="shared" si="11"/>
        <v>2.1428571428571428</v>
      </c>
      <c r="F179" s="17">
        <f t="shared" si="12"/>
        <v>140</v>
      </c>
      <c r="G179" s="8">
        <v>10</v>
      </c>
      <c r="S179" s="7"/>
      <c r="V179" s="7"/>
    </row>
    <row r="180" spans="2:22" hidden="1" x14ac:dyDescent="0.2">
      <c r="B180" t="s">
        <v>22</v>
      </c>
      <c r="C180" t="s">
        <v>17</v>
      </c>
      <c r="D180" s="17" t="str">
        <f t="shared" si="10"/>
        <v>Corporate</v>
      </c>
      <c r="E180" s="17">
        <f t="shared" si="11"/>
        <v>4.2857142857142856</v>
      </c>
      <c r="F180" s="17">
        <f t="shared" si="12"/>
        <v>140</v>
      </c>
      <c r="G180" s="8">
        <v>20</v>
      </c>
      <c r="S180" s="7"/>
      <c r="V180" s="7"/>
    </row>
    <row r="181" spans="2:22" hidden="1" x14ac:dyDescent="0.2">
      <c r="B181" t="s">
        <v>48</v>
      </c>
      <c r="C181" t="s">
        <v>17</v>
      </c>
      <c r="D181" s="17" t="str">
        <f t="shared" si="10"/>
        <v>Corporate</v>
      </c>
      <c r="E181" s="17">
        <f t="shared" si="11"/>
        <v>2.1428571428571428</v>
      </c>
      <c r="F181" s="17">
        <f t="shared" si="12"/>
        <v>140</v>
      </c>
      <c r="G181" s="8">
        <v>10</v>
      </c>
      <c r="S181" s="7"/>
      <c r="V181" s="7"/>
    </row>
    <row r="182" spans="2:22" hidden="1" x14ac:dyDescent="0.2">
      <c r="B182" t="s">
        <v>50</v>
      </c>
      <c r="C182" t="s">
        <v>17</v>
      </c>
      <c r="D182" s="17" t="str">
        <f t="shared" si="10"/>
        <v>Corporate</v>
      </c>
      <c r="E182" s="17">
        <f t="shared" si="11"/>
        <v>2.1428571428571428</v>
      </c>
      <c r="F182" s="17">
        <f t="shared" si="12"/>
        <v>140</v>
      </c>
      <c r="G182" s="8">
        <v>10</v>
      </c>
      <c r="S182" s="7"/>
      <c r="V182" s="7"/>
    </row>
    <row r="183" spans="2:22" hidden="1" x14ac:dyDescent="0.2">
      <c r="B183" t="s">
        <v>54</v>
      </c>
      <c r="C183" t="s">
        <v>17</v>
      </c>
      <c r="D183" s="17" t="str">
        <f t="shared" si="10"/>
        <v>Corporate</v>
      </c>
      <c r="E183" s="17">
        <f t="shared" si="11"/>
        <v>2.1428571428571428</v>
      </c>
      <c r="F183" s="17">
        <f t="shared" si="12"/>
        <v>140</v>
      </c>
      <c r="G183" s="8">
        <v>10</v>
      </c>
      <c r="S183" s="7"/>
      <c r="V183" s="7"/>
    </row>
    <row r="184" spans="2:22" hidden="1" x14ac:dyDescent="0.2">
      <c r="B184" t="s">
        <v>56</v>
      </c>
      <c r="C184" t="s">
        <v>17</v>
      </c>
      <c r="D184" s="17" t="str">
        <f t="shared" si="10"/>
        <v>Corporate</v>
      </c>
      <c r="E184" s="17">
        <f t="shared" si="11"/>
        <v>2.1428571428571428</v>
      </c>
      <c r="F184" s="17">
        <f t="shared" si="12"/>
        <v>140</v>
      </c>
      <c r="G184" s="8">
        <v>10</v>
      </c>
      <c r="S184" s="7"/>
      <c r="V184" s="7"/>
    </row>
    <row r="185" spans="2:22" hidden="1" x14ac:dyDescent="0.2">
      <c r="B185" t="s">
        <v>35</v>
      </c>
      <c r="C185" t="s">
        <v>17</v>
      </c>
      <c r="D185" s="17" t="str">
        <f t="shared" si="10"/>
        <v>Corporate</v>
      </c>
      <c r="E185" s="17">
        <f t="shared" si="11"/>
        <v>2.1428571428571428</v>
      </c>
      <c r="F185" s="17">
        <f t="shared" si="12"/>
        <v>140</v>
      </c>
      <c r="G185" s="8">
        <v>10</v>
      </c>
      <c r="S185" s="7"/>
      <c r="V185" s="7"/>
    </row>
    <row r="186" spans="2:22" hidden="1" x14ac:dyDescent="0.2">
      <c r="B186" t="s">
        <v>47</v>
      </c>
      <c r="C186" t="s">
        <v>17</v>
      </c>
      <c r="D186" s="17" t="str">
        <f t="shared" si="10"/>
        <v>Corporate</v>
      </c>
      <c r="E186" s="17">
        <f t="shared" si="11"/>
        <v>2.1428571428571428</v>
      </c>
      <c r="F186" s="17">
        <f t="shared" si="12"/>
        <v>140</v>
      </c>
      <c r="G186" s="8">
        <v>10</v>
      </c>
      <c r="S186" s="7"/>
      <c r="V186" s="7"/>
    </row>
    <row r="187" spans="2:22" hidden="1" x14ac:dyDescent="0.2">
      <c r="B187" t="s">
        <v>98</v>
      </c>
      <c r="C187" t="s">
        <v>17</v>
      </c>
      <c r="D187" s="17" t="str">
        <f t="shared" si="10"/>
        <v>Corporate</v>
      </c>
      <c r="E187" s="17">
        <f t="shared" si="11"/>
        <v>2.1428571428571428</v>
      </c>
      <c r="F187" s="17">
        <f t="shared" si="12"/>
        <v>140</v>
      </c>
      <c r="G187" s="8">
        <v>10</v>
      </c>
      <c r="S187" s="7"/>
      <c r="V187" s="7"/>
    </row>
    <row r="188" spans="2:22" hidden="1" x14ac:dyDescent="0.2">
      <c r="B188" t="s">
        <v>45</v>
      </c>
      <c r="C188" t="s">
        <v>17</v>
      </c>
      <c r="D188" s="17" t="str">
        <f t="shared" si="10"/>
        <v>Corporate</v>
      </c>
      <c r="E188" s="17">
        <f t="shared" si="11"/>
        <v>2.1428571428571428</v>
      </c>
      <c r="F188" s="17">
        <f t="shared" si="12"/>
        <v>140</v>
      </c>
      <c r="G188" s="8">
        <v>10</v>
      </c>
      <c r="S188" s="7"/>
      <c r="V188" s="7"/>
    </row>
    <row r="189" spans="2:22" hidden="1" x14ac:dyDescent="0.2">
      <c r="B189" t="s">
        <v>51</v>
      </c>
      <c r="C189" t="s">
        <v>17</v>
      </c>
      <c r="D189" s="17" t="str">
        <f t="shared" si="10"/>
        <v>Corporate</v>
      </c>
      <c r="E189" s="17">
        <f t="shared" si="11"/>
        <v>2.1428571428571428</v>
      </c>
      <c r="F189" s="17">
        <f t="shared" si="12"/>
        <v>140</v>
      </c>
      <c r="G189" s="8">
        <v>10</v>
      </c>
      <c r="S189" s="7"/>
      <c r="V189" s="7"/>
    </row>
    <row r="190" spans="2:22" hidden="1" x14ac:dyDescent="0.2">
      <c r="B190" t="s">
        <v>53</v>
      </c>
      <c r="C190" t="s">
        <v>17</v>
      </c>
      <c r="D190" s="17" t="str">
        <f t="shared" si="10"/>
        <v>Corporate</v>
      </c>
      <c r="E190" s="17">
        <f t="shared" si="11"/>
        <v>2.1428571428571428</v>
      </c>
      <c r="F190" s="17">
        <f t="shared" si="12"/>
        <v>140</v>
      </c>
      <c r="G190" s="8">
        <v>10</v>
      </c>
      <c r="S190" s="7"/>
      <c r="V190" s="7"/>
    </row>
    <row r="191" spans="2:22" hidden="1" x14ac:dyDescent="0.2">
      <c r="B191" t="s">
        <v>7</v>
      </c>
      <c r="C191" t="s">
        <v>17</v>
      </c>
      <c r="D191" s="17" t="str">
        <f t="shared" si="10"/>
        <v>Operations</v>
      </c>
      <c r="E191" s="17">
        <f t="shared" si="11"/>
        <v>3.3333333333333335</v>
      </c>
      <c r="F191" s="17">
        <f t="shared" si="12"/>
        <v>30</v>
      </c>
      <c r="G191" s="8">
        <v>10</v>
      </c>
      <c r="S191" s="7"/>
      <c r="V191" s="7"/>
    </row>
    <row r="192" spans="2:22" hidden="1" x14ac:dyDescent="0.2">
      <c r="B192" t="s">
        <v>42</v>
      </c>
      <c r="C192" t="s">
        <v>17</v>
      </c>
      <c r="D192" s="17" t="str">
        <f t="shared" si="10"/>
        <v>Operations</v>
      </c>
      <c r="E192" s="17">
        <f t="shared" si="11"/>
        <v>3.3333333333333335</v>
      </c>
      <c r="F192" s="17">
        <f t="shared" si="12"/>
        <v>30</v>
      </c>
      <c r="G192" s="8">
        <v>10</v>
      </c>
      <c r="S192" s="7"/>
      <c r="V192" s="7"/>
    </row>
    <row r="193" spans="2:22" hidden="1" x14ac:dyDescent="0.2">
      <c r="B193" t="s">
        <v>26</v>
      </c>
      <c r="C193" t="s">
        <v>17</v>
      </c>
      <c r="D193" s="17" t="str">
        <f t="shared" si="10"/>
        <v>Operations</v>
      </c>
      <c r="E193" s="17">
        <f t="shared" si="11"/>
        <v>3.3333333333333335</v>
      </c>
      <c r="F193" s="17">
        <f t="shared" si="12"/>
        <v>30</v>
      </c>
      <c r="G193" s="8">
        <v>10</v>
      </c>
      <c r="S193" s="7"/>
      <c r="V193" s="7"/>
    </row>
    <row r="194" spans="2:22" hidden="1" x14ac:dyDescent="0.2">
      <c r="B194" t="s">
        <v>34</v>
      </c>
      <c r="C194" t="s">
        <v>17</v>
      </c>
      <c r="D194" s="17" t="str">
        <f t="shared" si="10"/>
        <v>Technology</v>
      </c>
      <c r="E194" s="17">
        <f t="shared" si="11"/>
        <v>3.3333333333333335</v>
      </c>
      <c r="F194" s="17">
        <f t="shared" si="12"/>
        <v>60</v>
      </c>
      <c r="G194" s="8">
        <v>10</v>
      </c>
      <c r="S194" s="7"/>
      <c r="V194" s="7"/>
    </row>
    <row r="195" spans="2:22" hidden="1" x14ac:dyDescent="0.2">
      <c r="B195" t="s">
        <v>9</v>
      </c>
      <c r="C195" t="s">
        <v>17</v>
      </c>
      <c r="D195" s="17" t="str">
        <f t="shared" ref="D195:D198" si="13">VLOOKUP($B195,$Y:$Z,2,FALSE)</f>
        <v>Technology</v>
      </c>
      <c r="E195" s="17">
        <f t="shared" ref="E195:E204" si="14">G195*SUMIFS($K:$K,$I:$I,C195,$J:$J,D195)/F195</f>
        <v>6.666666666666667</v>
      </c>
      <c r="F195" s="17">
        <f t="shared" ref="F195:F204" si="15">SUMIFS($G$2:$G$1000,$D$2:$D$1000,D195,$C$2:$C$1000,C195)</f>
        <v>60</v>
      </c>
      <c r="G195" s="8">
        <v>20</v>
      </c>
      <c r="S195" s="7"/>
      <c r="V195" s="7"/>
    </row>
    <row r="196" spans="2:22" hidden="1" x14ac:dyDescent="0.2">
      <c r="B196" t="s">
        <v>60</v>
      </c>
      <c r="C196" t="s">
        <v>17</v>
      </c>
      <c r="D196" s="17" t="str">
        <f t="shared" si="13"/>
        <v>Technology</v>
      </c>
      <c r="E196" s="17">
        <f t="shared" si="14"/>
        <v>3.3333333333333335</v>
      </c>
      <c r="F196" s="17">
        <f t="shared" si="15"/>
        <v>60</v>
      </c>
      <c r="G196" s="8">
        <v>10</v>
      </c>
      <c r="S196" s="7"/>
      <c r="V196" s="7"/>
    </row>
    <row r="197" spans="2:22" hidden="1" x14ac:dyDescent="0.2">
      <c r="B197" t="s">
        <v>59</v>
      </c>
      <c r="C197" t="s">
        <v>17</v>
      </c>
      <c r="D197" s="17" t="str">
        <f t="shared" si="13"/>
        <v>Technology</v>
      </c>
      <c r="E197" s="17">
        <f t="shared" si="14"/>
        <v>3.3333333333333335</v>
      </c>
      <c r="F197" s="17">
        <f t="shared" si="15"/>
        <v>60</v>
      </c>
      <c r="G197" s="8">
        <v>10</v>
      </c>
      <c r="S197" s="7"/>
      <c r="V197" s="7"/>
    </row>
    <row r="198" spans="2:22" hidden="1" x14ac:dyDescent="0.2">
      <c r="B198" t="s">
        <v>58</v>
      </c>
      <c r="C198" t="s">
        <v>17</v>
      </c>
      <c r="D198" s="17" t="str">
        <f t="shared" si="13"/>
        <v>Technology</v>
      </c>
      <c r="E198" s="17">
        <f t="shared" si="14"/>
        <v>3.3333333333333335</v>
      </c>
      <c r="F198" s="17">
        <f t="shared" si="15"/>
        <v>60</v>
      </c>
      <c r="G198" s="8">
        <v>10</v>
      </c>
      <c r="S198" s="7"/>
      <c r="V198" s="7"/>
    </row>
    <row r="199" spans="2:22" hidden="1" x14ac:dyDescent="0.2">
      <c r="B199" t="s">
        <v>116</v>
      </c>
      <c r="C199" t="s">
        <v>4</v>
      </c>
      <c r="D199" s="17" t="s">
        <v>74</v>
      </c>
      <c r="E199" s="17">
        <f t="shared" si="14"/>
        <v>5</v>
      </c>
      <c r="F199" s="17">
        <f t="shared" si="15"/>
        <v>20</v>
      </c>
      <c r="G199" s="8">
        <v>20</v>
      </c>
      <c r="S199" s="7"/>
      <c r="V199" s="7"/>
    </row>
    <row r="200" spans="2:22" x14ac:dyDescent="0.2">
      <c r="B200" t="s">
        <v>116</v>
      </c>
      <c r="C200" t="s">
        <v>10</v>
      </c>
      <c r="D200" s="17" t="s">
        <v>74</v>
      </c>
      <c r="E200" s="17">
        <f t="shared" si="14"/>
        <v>10</v>
      </c>
      <c r="F200" s="17">
        <f t="shared" si="15"/>
        <v>20</v>
      </c>
      <c r="G200" s="8">
        <v>20</v>
      </c>
      <c r="S200" s="7"/>
      <c r="V200" s="7"/>
    </row>
    <row r="201" spans="2:22" hidden="1" x14ac:dyDescent="0.2">
      <c r="B201" t="s">
        <v>116</v>
      </c>
      <c r="C201" t="s">
        <v>14</v>
      </c>
      <c r="D201" s="17" t="s">
        <v>74</v>
      </c>
      <c r="E201" s="17">
        <f t="shared" si="14"/>
        <v>5</v>
      </c>
      <c r="F201" s="17">
        <f t="shared" si="15"/>
        <v>20</v>
      </c>
      <c r="G201" s="8">
        <v>20</v>
      </c>
      <c r="S201" s="7"/>
      <c r="V201" s="7"/>
    </row>
    <row r="202" spans="2:22" hidden="1" x14ac:dyDescent="0.2">
      <c r="B202" t="s">
        <v>116</v>
      </c>
      <c r="C202" t="s">
        <v>15</v>
      </c>
      <c r="D202" s="17" t="s">
        <v>74</v>
      </c>
      <c r="E202" s="17">
        <f t="shared" si="14"/>
        <v>5</v>
      </c>
      <c r="F202" s="17">
        <f t="shared" si="15"/>
        <v>20</v>
      </c>
      <c r="G202" s="8">
        <v>20</v>
      </c>
      <c r="S202" s="7"/>
      <c r="V202" s="7"/>
    </row>
    <row r="203" spans="2:22" hidden="1" x14ac:dyDescent="0.2">
      <c r="B203" t="s">
        <v>116</v>
      </c>
      <c r="C203" t="s">
        <v>16</v>
      </c>
      <c r="D203" s="17" t="s">
        <v>74</v>
      </c>
      <c r="E203" s="17">
        <f t="shared" si="14"/>
        <v>5</v>
      </c>
      <c r="F203" s="17">
        <f t="shared" si="15"/>
        <v>20</v>
      </c>
      <c r="G203" s="8">
        <v>20</v>
      </c>
      <c r="S203" s="7"/>
      <c r="V203" s="7"/>
    </row>
    <row r="204" spans="2:22" hidden="1" x14ac:dyDescent="0.2">
      <c r="B204" t="s">
        <v>116</v>
      </c>
      <c r="C204" t="s">
        <v>17</v>
      </c>
      <c r="D204" s="17" t="s">
        <v>74</v>
      </c>
      <c r="E204" s="17">
        <f t="shared" si="14"/>
        <v>5</v>
      </c>
      <c r="F204" s="17">
        <f t="shared" si="15"/>
        <v>20</v>
      </c>
      <c r="G204" s="8">
        <v>20</v>
      </c>
      <c r="S204" s="7"/>
      <c r="V204" s="7"/>
    </row>
  </sheetData>
  <autoFilter ref="B2:D204" xr:uid="{D521F980-2E5F-EC49-B62F-4F6A4A27A40F}">
    <filterColumn colId="1">
      <filters>
        <filter val="eCommerce"/>
      </filters>
    </filterColumn>
    <sortState xmlns:xlrd2="http://schemas.microsoft.com/office/spreadsheetml/2017/richdata2" ref="B3:D62">
      <sortCondition ref="D2:D62"/>
    </sortState>
  </autoFilter>
  <conditionalFormatting sqref="G1:G1048576"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8">
    <cfRule type="colorScale" priority="3">
      <colorScale>
        <cfvo type="min"/>
        <cfvo type="max"/>
        <color rgb="FFFFEF9C"/>
        <color rgb="FF63BE7B"/>
      </colorScale>
    </cfRule>
  </conditionalFormatting>
  <conditionalFormatting sqref="L3:L38">
    <cfRule type="notContainsText" dxfId="15" priority="1" operator="notContains" text="100">
      <formula>ISERROR(SEARCH("100",L3))</formula>
    </cfRule>
  </conditionalFormatting>
  <conditionalFormatting sqref="P3">
    <cfRule type="notContainsText" dxfId="14" priority="2" operator="notContains" text="100">
      <formula>ISERROR(SEARCH("100",P3))</formula>
    </cfRule>
  </conditionalFormatting>
  <conditionalFormatting sqref="S3:S14">
    <cfRule type="colorScale" priority="7">
      <colorScale>
        <cfvo type="min"/>
        <cfvo type="max"/>
        <color rgb="FFFFEF9C"/>
        <color rgb="FF63BE7B"/>
      </colorScale>
    </cfRule>
    <cfRule type="cellIs" dxfId="13" priority="9" operator="equal">
      <formula>100</formula>
    </cfRule>
  </conditionalFormatting>
  <conditionalFormatting sqref="V3:V44">
    <cfRule type="colorScale" priority="6">
      <colorScale>
        <cfvo type="min"/>
        <cfvo type="max"/>
        <color rgb="FFFFEF9C"/>
        <color rgb="FF63BE7B"/>
      </colorScale>
    </cfRule>
    <cfRule type="cellIs" dxfId="12" priority="8" operator="equal">
      <formula>100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8DFD-45B9-6B4E-99A1-FC80C2C804E6}">
  <dimension ref="A1:AJ88"/>
  <sheetViews>
    <sheetView topLeftCell="A20" zoomScale="132" zoomScaleNormal="130" workbookViewId="0">
      <selection activeCell="N16" sqref="N16"/>
    </sheetView>
  </sheetViews>
  <sheetFormatPr baseColWidth="10" defaultRowHeight="16" x14ac:dyDescent="0.2"/>
  <cols>
    <col min="1" max="1" width="27" bestFit="1" customWidth="1"/>
    <col min="2" max="3" width="6" bestFit="1" customWidth="1"/>
    <col min="4" max="4" width="3.83203125" customWidth="1"/>
    <col min="5" max="5" width="12" bestFit="1" customWidth="1"/>
    <col min="6" max="6" width="5.33203125" bestFit="1" customWidth="1"/>
    <col min="7" max="7" width="6" bestFit="1" customWidth="1"/>
    <col min="8" max="8" width="3.83203125" customWidth="1"/>
    <col min="9" max="9" width="11.6640625" bestFit="1" customWidth="1"/>
    <col min="10" max="10" width="6.6640625" bestFit="1" customWidth="1"/>
    <col min="11" max="11" width="6" bestFit="1" customWidth="1"/>
    <col min="12" max="12" width="3.83203125" customWidth="1"/>
    <col min="13" max="13" width="13" bestFit="1" customWidth="1"/>
    <col min="14" max="14" width="5.33203125" bestFit="1" customWidth="1"/>
    <col min="15" max="15" width="6" bestFit="1" customWidth="1"/>
    <col min="16" max="16" width="3.83203125" customWidth="1"/>
    <col min="17" max="17" width="8.6640625" bestFit="1" customWidth="1"/>
    <col min="18" max="18" width="5.33203125" bestFit="1" customWidth="1"/>
    <col min="19" max="19" width="6" bestFit="1" customWidth="1"/>
    <col min="20" max="20" width="3.83203125" customWidth="1"/>
    <col min="21" max="21" width="6" bestFit="1" customWidth="1"/>
    <col min="22" max="22" width="5.33203125" bestFit="1" customWidth="1"/>
    <col min="23" max="23" width="7.83203125" bestFit="1" customWidth="1"/>
    <col min="24" max="24" width="5.33203125" bestFit="1" customWidth="1"/>
    <col min="25" max="25" width="4.6640625" bestFit="1" customWidth="1"/>
    <col min="26" max="27" width="11.1640625" bestFit="1" customWidth="1"/>
    <col min="28" max="28" width="9.1640625" bestFit="1" customWidth="1"/>
    <col min="29" max="29" width="10.1640625" bestFit="1" customWidth="1"/>
    <col min="30" max="32" width="9.1640625" bestFit="1" customWidth="1"/>
  </cols>
  <sheetData>
    <row r="1" spans="1:36" x14ac:dyDescent="0.2">
      <c r="A1" s="9" t="s">
        <v>81</v>
      </c>
    </row>
    <row r="2" spans="1:36" s="1" customFormat="1" x14ac:dyDescent="0.2">
      <c r="A2" s="11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 t="s">
        <v>80</v>
      </c>
      <c r="X2" s="11"/>
      <c r="Y2" s="11"/>
      <c r="Z2" s="11"/>
      <c r="AA2" s="11"/>
      <c r="AB2" s="11"/>
      <c r="AC2" s="11"/>
      <c r="AD2" s="11"/>
      <c r="AE2" s="11"/>
      <c r="AF2" s="11"/>
    </row>
    <row r="3" spans="1:36" s="1" customFormat="1" x14ac:dyDescent="0.2">
      <c r="A3" s="11" t="s">
        <v>41</v>
      </c>
      <c r="B3" s="35">
        <v>0.38</v>
      </c>
      <c r="C3" s="35"/>
      <c r="D3" s="35"/>
      <c r="E3" s="35" t="s">
        <v>43</v>
      </c>
      <c r="F3" s="35">
        <v>0.19</v>
      </c>
      <c r="G3" s="35"/>
      <c r="H3" s="35"/>
      <c r="I3" s="35" t="s">
        <v>57</v>
      </c>
      <c r="J3" s="35">
        <v>0.19</v>
      </c>
      <c r="K3" s="35"/>
      <c r="L3" s="35"/>
      <c r="M3" s="35" t="s">
        <v>61</v>
      </c>
      <c r="N3" s="35">
        <v>0.19</v>
      </c>
      <c r="O3" s="35"/>
      <c r="P3" s="35"/>
      <c r="Q3" s="35" t="s">
        <v>62</v>
      </c>
      <c r="R3" s="35">
        <v>0.05</v>
      </c>
      <c r="S3" s="11"/>
      <c r="T3" s="11"/>
      <c r="U3" s="11"/>
      <c r="V3" s="11"/>
      <c r="W3" s="10" t="s">
        <v>65</v>
      </c>
      <c r="X3" s="12">
        <v>0.12</v>
      </c>
      <c r="Y3" s="11"/>
      <c r="Z3" s="11" t="s">
        <v>75</v>
      </c>
      <c r="AA3" s="11"/>
      <c r="AB3" s="11"/>
      <c r="AC3" s="11"/>
      <c r="AD3" s="11"/>
      <c r="AE3" s="11"/>
      <c r="AF3" s="11"/>
    </row>
    <row r="4" spans="1:36" x14ac:dyDescent="0.2">
      <c r="A4" s="10" t="s">
        <v>23</v>
      </c>
      <c r="B4" s="36">
        <v>0.16</v>
      </c>
      <c r="C4" s="36"/>
      <c r="D4" s="36"/>
      <c r="E4" s="36" t="s">
        <v>7</v>
      </c>
      <c r="F4" s="36">
        <v>0.35</v>
      </c>
      <c r="G4" s="36"/>
      <c r="H4" s="36"/>
      <c r="I4" s="36" t="s">
        <v>44</v>
      </c>
      <c r="J4" s="37">
        <v>6.6666666666666666E-2</v>
      </c>
      <c r="K4" s="36"/>
      <c r="L4" s="36"/>
      <c r="M4" s="36" t="s">
        <v>9</v>
      </c>
      <c r="N4" s="36">
        <v>0.3</v>
      </c>
      <c r="O4" s="36"/>
      <c r="P4" s="36"/>
      <c r="Q4" s="36"/>
      <c r="R4" s="36"/>
      <c r="S4" s="10"/>
      <c r="T4" s="10"/>
      <c r="U4" s="10"/>
      <c r="V4" s="10"/>
      <c r="W4" s="10" t="s">
        <v>66</v>
      </c>
      <c r="X4" s="12">
        <v>0.08</v>
      </c>
      <c r="Y4" s="11"/>
      <c r="Z4" s="11" t="s">
        <v>75</v>
      </c>
      <c r="AA4" s="10"/>
      <c r="AB4" s="10"/>
      <c r="AC4" s="10"/>
      <c r="AD4" s="10"/>
      <c r="AE4" s="10"/>
      <c r="AF4" s="10"/>
      <c r="AH4" s="10" t="s">
        <v>64</v>
      </c>
      <c r="AI4">
        <f>AJ4*100</f>
        <v>20</v>
      </c>
      <c r="AJ4" s="12">
        <v>0.2</v>
      </c>
    </row>
    <row r="5" spans="1:36" x14ac:dyDescent="0.2">
      <c r="A5" s="10" t="s">
        <v>21</v>
      </c>
      <c r="B5" s="36">
        <v>0.16</v>
      </c>
      <c r="C5" s="36"/>
      <c r="D5" s="36"/>
      <c r="E5" s="36" t="s">
        <v>26</v>
      </c>
      <c r="F5" s="36">
        <v>0.35</v>
      </c>
      <c r="G5" s="36"/>
      <c r="H5" s="36"/>
      <c r="I5" s="36" t="s">
        <v>22</v>
      </c>
      <c r="J5" s="37">
        <v>6.6666666666666666E-2</v>
      </c>
      <c r="K5" s="36"/>
      <c r="L5" s="36"/>
      <c r="M5" s="36" t="s">
        <v>11</v>
      </c>
      <c r="N5" s="36">
        <v>0.2</v>
      </c>
      <c r="O5" s="36"/>
      <c r="P5" s="36"/>
      <c r="Q5" s="36"/>
      <c r="R5" s="36"/>
      <c r="S5" s="10"/>
      <c r="T5" s="10"/>
      <c r="U5" s="10"/>
      <c r="V5" s="10"/>
      <c r="W5" s="10" t="s">
        <v>68</v>
      </c>
      <c r="X5" s="12">
        <v>0.08</v>
      </c>
      <c r="Y5" s="11"/>
      <c r="Z5" s="11" t="s">
        <v>75</v>
      </c>
      <c r="AA5" s="12"/>
      <c r="AB5" s="12"/>
      <c r="AC5" s="12"/>
      <c r="AD5" s="12"/>
      <c r="AE5" s="12"/>
      <c r="AF5" s="12"/>
      <c r="AH5" s="10" t="s">
        <v>65</v>
      </c>
      <c r="AI5">
        <f t="shared" ref="AI5:AI13" si="0">AJ5*100</f>
        <v>12</v>
      </c>
      <c r="AJ5" s="12">
        <v>0.12</v>
      </c>
    </row>
    <row r="6" spans="1:36" x14ac:dyDescent="0.2">
      <c r="A6" s="10" t="s">
        <v>36</v>
      </c>
      <c r="B6" s="36">
        <v>0.16</v>
      </c>
      <c r="C6" s="36"/>
      <c r="D6" s="36"/>
      <c r="E6" s="36" t="s">
        <v>42</v>
      </c>
      <c r="F6" s="36">
        <v>0.3</v>
      </c>
      <c r="G6" s="36"/>
      <c r="H6" s="36"/>
      <c r="I6" s="36" t="s">
        <v>45</v>
      </c>
      <c r="J6" s="37">
        <v>6.6666666666666666E-2</v>
      </c>
      <c r="K6" s="36"/>
      <c r="L6" s="36"/>
      <c r="M6" s="36" t="s">
        <v>34</v>
      </c>
      <c r="N6" s="36">
        <v>0.2</v>
      </c>
      <c r="O6" s="36"/>
      <c r="P6" s="36"/>
      <c r="Q6" s="36"/>
      <c r="R6" s="36"/>
      <c r="S6" s="10"/>
      <c r="T6" s="10"/>
      <c r="U6" s="10"/>
      <c r="V6" s="10"/>
      <c r="W6" s="10" t="s">
        <v>67</v>
      </c>
      <c r="X6" s="12">
        <v>0.12</v>
      </c>
      <c r="Y6" s="11"/>
      <c r="Z6" s="11" t="s">
        <v>77</v>
      </c>
      <c r="AA6" s="10"/>
      <c r="AB6" s="10"/>
      <c r="AC6" s="10"/>
      <c r="AD6" s="10"/>
      <c r="AE6" s="10"/>
      <c r="AF6" s="10"/>
      <c r="AH6" s="10" t="s">
        <v>67</v>
      </c>
      <c r="AI6">
        <f t="shared" si="0"/>
        <v>12</v>
      </c>
      <c r="AJ6" s="12">
        <v>0.12</v>
      </c>
    </row>
    <row r="7" spans="1:36" x14ac:dyDescent="0.2">
      <c r="A7" s="10" t="s">
        <v>37</v>
      </c>
      <c r="B7" s="36">
        <v>0.12</v>
      </c>
      <c r="C7" s="36"/>
      <c r="D7" s="36"/>
      <c r="E7" s="36"/>
      <c r="F7" s="36"/>
      <c r="G7" s="36"/>
      <c r="H7" s="36"/>
      <c r="I7" s="36" t="s">
        <v>46</v>
      </c>
      <c r="J7" s="37">
        <v>6.6666666666666666E-2</v>
      </c>
      <c r="K7" s="36"/>
      <c r="L7" s="36"/>
      <c r="M7" s="36" t="s">
        <v>58</v>
      </c>
      <c r="N7" s="36">
        <v>0.1</v>
      </c>
      <c r="O7" s="36"/>
      <c r="P7" s="36"/>
      <c r="Q7" s="36"/>
      <c r="R7" s="36"/>
      <c r="S7" s="10"/>
      <c r="T7" s="10"/>
      <c r="U7" s="10"/>
      <c r="V7" s="10"/>
      <c r="W7" s="10" t="s">
        <v>69</v>
      </c>
      <c r="X7" s="12">
        <v>0.12</v>
      </c>
      <c r="Y7" s="11"/>
      <c r="Z7" s="11" t="s">
        <v>77</v>
      </c>
      <c r="AA7" s="10"/>
      <c r="AB7" s="10"/>
      <c r="AC7" s="10"/>
      <c r="AD7" s="10"/>
      <c r="AE7" s="10"/>
      <c r="AF7" s="10"/>
      <c r="AH7" s="10" t="s">
        <v>66</v>
      </c>
      <c r="AI7">
        <f t="shared" si="0"/>
        <v>8</v>
      </c>
      <c r="AJ7" s="12">
        <v>0.08</v>
      </c>
    </row>
    <row r="8" spans="1:36" x14ac:dyDescent="0.2">
      <c r="A8" s="10" t="s">
        <v>38</v>
      </c>
      <c r="B8" s="36">
        <v>0.1</v>
      </c>
      <c r="C8" s="36"/>
      <c r="D8" s="36"/>
      <c r="E8" s="36"/>
      <c r="F8" s="36"/>
      <c r="G8" s="36"/>
      <c r="H8" s="36"/>
      <c r="I8" s="36" t="s">
        <v>35</v>
      </c>
      <c r="J8" s="37">
        <v>6.6666666666666666E-2</v>
      </c>
      <c r="K8" s="36"/>
      <c r="L8" s="36"/>
      <c r="M8" s="36" t="s">
        <v>59</v>
      </c>
      <c r="N8" s="36">
        <v>0.1</v>
      </c>
      <c r="O8" s="36"/>
      <c r="P8" s="36"/>
      <c r="Q8" s="36"/>
      <c r="R8" s="36"/>
      <c r="S8" s="10"/>
      <c r="T8" s="10"/>
      <c r="U8" s="10"/>
      <c r="V8" s="10"/>
      <c r="W8" s="10" t="s">
        <v>71</v>
      </c>
      <c r="X8" s="12">
        <v>7.0000000000000007E-2</v>
      </c>
      <c r="Y8" s="11"/>
      <c r="Z8" s="11" t="s">
        <v>77</v>
      </c>
      <c r="AA8" s="10"/>
      <c r="AB8" s="10"/>
      <c r="AC8" s="10"/>
      <c r="AD8" s="10"/>
      <c r="AE8" s="10"/>
      <c r="AF8" s="10"/>
      <c r="AH8" s="10" t="s">
        <v>68</v>
      </c>
      <c r="AI8">
        <f t="shared" si="0"/>
        <v>8</v>
      </c>
      <c r="AJ8" s="12">
        <v>0.08</v>
      </c>
    </row>
    <row r="9" spans="1:36" x14ac:dyDescent="0.2">
      <c r="A9" s="10" t="s">
        <v>25</v>
      </c>
      <c r="B9" s="36">
        <v>0.09</v>
      </c>
      <c r="C9" s="36"/>
      <c r="D9" s="36"/>
      <c r="E9" s="36"/>
      <c r="F9" s="36"/>
      <c r="G9" s="36"/>
      <c r="H9" s="36"/>
      <c r="I9" s="36" t="s">
        <v>47</v>
      </c>
      <c r="J9" s="37">
        <v>6.6666666666666666E-2</v>
      </c>
      <c r="K9" s="36"/>
      <c r="L9" s="36"/>
      <c r="M9" s="36" t="s">
        <v>60</v>
      </c>
      <c r="N9" s="36">
        <v>0.1</v>
      </c>
      <c r="O9" s="36"/>
      <c r="P9" s="36"/>
      <c r="Q9" s="36"/>
      <c r="R9" s="36"/>
      <c r="S9" s="10"/>
      <c r="T9" s="10"/>
      <c r="U9" s="10"/>
      <c r="V9" s="10"/>
      <c r="W9" s="10" t="s">
        <v>72</v>
      </c>
      <c r="X9" s="12">
        <v>0.03</v>
      </c>
      <c r="Y9" s="11"/>
      <c r="Z9" s="11" t="s">
        <v>77</v>
      </c>
      <c r="AA9" s="10"/>
      <c r="AB9" s="10"/>
      <c r="AC9" s="10"/>
      <c r="AD9" s="10"/>
      <c r="AE9" s="10"/>
      <c r="AF9" s="10"/>
      <c r="AH9" s="10" t="s">
        <v>69</v>
      </c>
      <c r="AI9">
        <f t="shared" si="0"/>
        <v>12</v>
      </c>
      <c r="AJ9" s="12">
        <v>0.12</v>
      </c>
    </row>
    <row r="10" spans="1:36" x14ac:dyDescent="0.2">
      <c r="A10" s="10" t="s">
        <v>39</v>
      </c>
      <c r="B10" s="36">
        <v>0.09</v>
      </c>
      <c r="C10" s="36"/>
      <c r="D10" s="36"/>
      <c r="E10" s="36"/>
      <c r="F10" s="36"/>
      <c r="G10" s="36"/>
      <c r="H10" s="36"/>
      <c r="I10" s="36" t="s">
        <v>48</v>
      </c>
      <c r="J10" s="37">
        <v>6.6666666666666666E-2</v>
      </c>
      <c r="K10" s="36"/>
      <c r="L10" s="36"/>
      <c r="M10" s="36"/>
      <c r="N10" s="36"/>
      <c r="O10" s="36"/>
      <c r="P10" s="36"/>
      <c r="Q10" s="36"/>
      <c r="R10" s="36"/>
      <c r="S10" s="10"/>
      <c r="T10" s="10"/>
      <c r="U10" s="10"/>
      <c r="V10" s="10"/>
      <c r="W10" s="10" t="s">
        <v>73</v>
      </c>
      <c r="X10" s="12">
        <v>0.03</v>
      </c>
      <c r="Y10" s="11"/>
      <c r="Z10" s="11" t="s">
        <v>77</v>
      </c>
      <c r="AA10" s="10"/>
      <c r="AB10" s="10"/>
      <c r="AC10" s="10"/>
      <c r="AD10" s="10"/>
      <c r="AE10" s="10"/>
      <c r="AF10" s="10"/>
      <c r="AH10" s="10" t="s">
        <v>70</v>
      </c>
      <c r="AI10">
        <f t="shared" si="0"/>
        <v>15</v>
      </c>
      <c r="AJ10" s="12">
        <v>0.15</v>
      </c>
    </row>
    <row r="11" spans="1:36" x14ac:dyDescent="0.2">
      <c r="A11" s="10" t="s">
        <v>24</v>
      </c>
      <c r="B11" s="36">
        <v>0.09</v>
      </c>
      <c r="C11" s="36"/>
      <c r="D11" s="36"/>
      <c r="E11" s="36"/>
      <c r="F11" s="36"/>
      <c r="G11" s="36"/>
      <c r="H11" s="36"/>
      <c r="I11" s="36" t="s">
        <v>49</v>
      </c>
      <c r="J11" s="37">
        <v>6.6666666666666666E-2</v>
      </c>
      <c r="K11" s="36"/>
      <c r="L11" s="36"/>
      <c r="M11" s="36"/>
      <c r="N11" s="36"/>
      <c r="O11" s="36"/>
      <c r="P11" s="36"/>
      <c r="Q11" s="36"/>
      <c r="R11" s="36"/>
      <c r="S11" s="10"/>
      <c r="T11" s="10"/>
      <c r="U11" s="10"/>
      <c r="V11" s="10"/>
      <c r="W11" s="10" t="s">
        <v>64</v>
      </c>
      <c r="X11" s="12">
        <v>0.2</v>
      </c>
      <c r="Y11" s="11"/>
      <c r="Z11" s="11" t="s">
        <v>76</v>
      </c>
      <c r="AA11" s="10"/>
      <c r="AB11" s="10"/>
      <c r="AC11" s="10"/>
      <c r="AD11" s="10"/>
      <c r="AE11" s="10"/>
      <c r="AF11" s="10"/>
      <c r="AH11" s="10" t="s">
        <v>71</v>
      </c>
      <c r="AI11">
        <f t="shared" si="0"/>
        <v>7.0000000000000009</v>
      </c>
      <c r="AJ11" s="12">
        <v>7.0000000000000007E-2</v>
      </c>
    </row>
    <row r="12" spans="1:36" x14ac:dyDescent="0.2">
      <c r="A12" s="10" t="s">
        <v>40</v>
      </c>
      <c r="B12" s="36">
        <v>0.03</v>
      </c>
      <c r="C12" s="36"/>
      <c r="D12" s="36"/>
      <c r="E12" s="36"/>
      <c r="F12" s="36"/>
      <c r="G12" s="36"/>
      <c r="H12" s="36"/>
      <c r="I12" s="36" t="s">
        <v>50</v>
      </c>
      <c r="J12" s="37">
        <v>6.6666666666666666E-2</v>
      </c>
      <c r="K12" s="36"/>
      <c r="L12" s="36"/>
      <c r="M12" s="36"/>
      <c r="N12" s="36"/>
      <c r="O12" s="36"/>
      <c r="P12" s="36"/>
      <c r="Q12" s="36"/>
      <c r="R12" s="36"/>
      <c r="S12" s="10"/>
      <c r="T12" s="10"/>
      <c r="U12" s="10"/>
      <c r="V12" s="10"/>
      <c r="W12" s="10" t="s">
        <v>70</v>
      </c>
      <c r="X12" s="12">
        <v>0.15</v>
      </c>
      <c r="Y12" s="11"/>
      <c r="Z12" s="11" t="s">
        <v>78</v>
      </c>
      <c r="AA12" s="10"/>
      <c r="AB12" s="10"/>
      <c r="AC12" s="10"/>
      <c r="AD12" s="10"/>
      <c r="AE12" s="10"/>
      <c r="AF12" s="10"/>
      <c r="AH12" s="10" t="s">
        <v>72</v>
      </c>
      <c r="AI12">
        <f t="shared" si="0"/>
        <v>3</v>
      </c>
      <c r="AJ12" s="12">
        <v>0.03</v>
      </c>
    </row>
    <row r="13" spans="1:36" x14ac:dyDescent="0.2">
      <c r="A13" s="10"/>
      <c r="B13" s="36"/>
      <c r="C13" s="36"/>
      <c r="D13" s="36"/>
      <c r="E13" s="36"/>
      <c r="F13" s="36"/>
      <c r="G13" s="36"/>
      <c r="H13" s="36"/>
      <c r="I13" s="36" t="s">
        <v>51</v>
      </c>
      <c r="J13" s="37">
        <v>6.6666666666666666E-2</v>
      </c>
      <c r="K13" s="36"/>
      <c r="L13" s="36"/>
      <c r="M13" s="36"/>
      <c r="N13" s="36"/>
      <c r="O13" s="36"/>
      <c r="P13" s="36"/>
      <c r="Q13" s="36"/>
      <c r="R13" s="36"/>
      <c r="S13" s="36"/>
      <c r="T13" s="10"/>
      <c r="U13" s="10"/>
      <c r="V13" s="10"/>
      <c r="W13" s="10"/>
      <c r="X13" s="10"/>
      <c r="Y13" s="11"/>
      <c r="Z13" s="10"/>
      <c r="AA13" s="10"/>
      <c r="AB13" s="10"/>
      <c r="AC13" s="10"/>
      <c r="AD13" s="10"/>
      <c r="AE13" s="10"/>
      <c r="AF13" s="10"/>
      <c r="AH13" s="10" t="s">
        <v>73</v>
      </c>
      <c r="AI13">
        <f t="shared" si="0"/>
        <v>3</v>
      </c>
      <c r="AJ13" s="12">
        <v>0.03</v>
      </c>
    </row>
    <row r="14" spans="1:36" x14ac:dyDescent="0.2">
      <c r="A14" s="10"/>
      <c r="B14" s="36"/>
      <c r="C14" s="36"/>
      <c r="D14" s="36"/>
      <c r="E14" s="36"/>
      <c r="F14" s="36"/>
      <c r="G14" s="36"/>
      <c r="H14" s="36"/>
      <c r="I14" s="36" t="s">
        <v>52</v>
      </c>
      <c r="J14" s="37">
        <v>6.6666666666666666E-2</v>
      </c>
      <c r="K14" s="36"/>
      <c r="L14" s="36"/>
      <c r="M14" s="36"/>
      <c r="N14" s="36"/>
      <c r="O14" s="36"/>
      <c r="P14" s="36"/>
      <c r="Q14" s="36"/>
      <c r="R14" s="36"/>
      <c r="S14" s="36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6" x14ac:dyDescent="0.2">
      <c r="A15" s="10"/>
      <c r="B15" s="36"/>
      <c r="C15" s="36"/>
      <c r="D15" s="36"/>
      <c r="E15" s="36"/>
      <c r="F15" s="36"/>
      <c r="G15" s="36"/>
      <c r="H15" s="36"/>
      <c r="I15" s="36" t="s">
        <v>53</v>
      </c>
      <c r="J15" s="37">
        <v>6.6666666666666666E-2</v>
      </c>
      <c r="K15" s="36"/>
      <c r="L15" s="36"/>
      <c r="M15" s="36"/>
      <c r="N15" s="36"/>
      <c r="O15" s="36"/>
      <c r="P15" s="36"/>
      <c r="Q15" s="36"/>
      <c r="R15" s="36"/>
      <c r="S15" s="36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6" x14ac:dyDescent="0.2">
      <c r="A16" s="10"/>
      <c r="B16" s="36"/>
      <c r="C16" s="36"/>
      <c r="D16" s="36"/>
      <c r="E16" s="36"/>
      <c r="F16" s="36"/>
      <c r="G16" s="36"/>
      <c r="H16" s="36"/>
      <c r="I16" s="36" t="s">
        <v>54</v>
      </c>
      <c r="J16" s="37">
        <v>6.6666666666666666E-2</v>
      </c>
      <c r="K16" s="36"/>
      <c r="L16" s="36"/>
      <c r="M16" s="36"/>
      <c r="N16" s="36"/>
      <c r="O16" s="36"/>
      <c r="P16" s="36"/>
      <c r="Q16" s="36"/>
      <c r="R16" s="36"/>
      <c r="S16" s="36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x14ac:dyDescent="0.2">
      <c r="A17" s="10"/>
      <c r="B17" s="36"/>
      <c r="C17" s="36"/>
      <c r="D17" s="36"/>
      <c r="E17" s="36"/>
      <c r="F17" s="36"/>
      <c r="G17" s="36"/>
      <c r="H17" s="36"/>
      <c r="I17" s="36" t="s">
        <v>55</v>
      </c>
      <c r="J17" s="37">
        <v>6.6666666666666666E-2</v>
      </c>
      <c r="K17" s="36"/>
      <c r="L17" s="36"/>
      <c r="M17" s="36"/>
      <c r="N17" s="36"/>
      <c r="O17" s="36"/>
      <c r="P17" s="36"/>
      <c r="Q17" s="36"/>
      <c r="R17" s="36"/>
      <c r="S17" s="36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x14ac:dyDescent="0.2">
      <c r="A18" s="10"/>
      <c r="B18" s="36"/>
      <c r="C18" s="36"/>
      <c r="D18" s="36"/>
      <c r="E18" s="36"/>
      <c r="F18" s="36"/>
      <c r="G18" s="36"/>
      <c r="H18" s="36"/>
      <c r="I18" s="36" t="s">
        <v>56</v>
      </c>
      <c r="J18" s="37">
        <v>6.6666666666666666E-2</v>
      </c>
      <c r="K18" s="36"/>
      <c r="L18" s="36"/>
      <c r="M18" s="36"/>
      <c r="N18" s="36"/>
      <c r="O18" s="36"/>
      <c r="P18" s="36"/>
      <c r="Q18" s="36"/>
      <c r="R18" s="36"/>
      <c r="S18" s="36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20" spans="1:32" x14ac:dyDescent="0.2">
      <c r="A20" s="9" t="s">
        <v>82</v>
      </c>
    </row>
    <row r="21" spans="1:32" x14ac:dyDescent="0.2">
      <c r="A21" s="1" t="s">
        <v>63</v>
      </c>
      <c r="B21" s="15">
        <f>VLOOKUP(A21,'tom_demand_setup - TO BE'!$S:$T,2,FALSE)</f>
        <v>40</v>
      </c>
      <c r="C21" s="6" t="b">
        <f>(B23+F23+J23+N23+R23+V23)=100</f>
        <v>1</v>
      </c>
    </row>
    <row r="22" spans="1:32" x14ac:dyDescent="0.2">
      <c r="A22" s="8" t="s">
        <v>19</v>
      </c>
      <c r="B22" s="6" t="b">
        <f>B23=SUM(B24:B32)</f>
        <v>1</v>
      </c>
      <c r="E22" s="8" t="s">
        <v>19</v>
      </c>
      <c r="F22" s="6" t="b">
        <f>F23=SUM(F24:F32)</f>
        <v>1</v>
      </c>
      <c r="I22" s="8" t="s">
        <v>19</v>
      </c>
      <c r="J22" s="6" t="b">
        <f>J23=SUM(J24:J32)</f>
        <v>1</v>
      </c>
      <c r="M22" s="8" t="s">
        <v>19</v>
      </c>
      <c r="N22" s="6" t="b">
        <f>N23=SUM(N24:N32)</f>
        <v>1</v>
      </c>
      <c r="Q22" s="8" t="s">
        <v>19</v>
      </c>
      <c r="R22" s="6" t="b">
        <f>R23=SUM(R24:R32)</f>
        <v>1</v>
      </c>
      <c r="U22" s="8" t="s">
        <v>19</v>
      </c>
      <c r="V22" s="6" t="b">
        <f>V23=SUM(V24:V32)</f>
        <v>1</v>
      </c>
    </row>
    <row r="23" spans="1:32" s="1" customFormat="1" x14ac:dyDescent="0.2">
      <c r="A23" s="1" t="s">
        <v>5</v>
      </c>
      <c r="B23" s="11">
        <v>25</v>
      </c>
      <c r="C23" s="1">
        <f>B23*($B$21/100)</f>
        <v>10</v>
      </c>
      <c r="E23" s="1" t="s">
        <v>6</v>
      </c>
      <c r="F23" s="11">
        <v>25</v>
      </c>
      <c r="G23" s="1">
        <f>F23*($B$21/100)</f>
        <v>10</v>
      </c>
      <c r="I23" s="1" t="s">
        <v>12</v>
      </c>
      <c r="J23" s="11">
        <v>20</v>
      </c>
      <c r="K23" s="1">
        <f>J23*($B$21/100)</f>
        <v>8</v>
      </c>
      <c r="M23" s="1" t="s">
        <v>8</v>
      </c>
      <c r="N23" s="11">
        <v>20</v>
      </c>
      <c r="O23" s="1">
        <f>N23*($B$21/100)</f>
        <v>8</v>
      </c>
      <c r="Q23" s="1" t="s">
        <v>74</v>
      </c>
      <c r="R23" s="11">
        <v>5</v>
      </c>
      <c r="S23" s="1">
        <f>R23*($B$21/100)</f>
        <v>2</v>
      </c>
      <c r="U23" s="1" t="s">
        <v>11</v>
      </c>
      <c r="V23" s="11">
        <v>5</v>
      </c>
      <c r="W23" s="1">
        <f>V23*($B$21/100)</f>
        <v>2</v>
      </c>
      <c r="X23">
        <v>25</v>
      </c>
      <c r="Y23"/>
      <c r="Z23"/>
      <c r="AA23"/>
    </row>
    <row r="24" spans="1:32" x14ac:dyDescent="0.2">
      <c r="A24" t="s">
        <v>65</v>
      </c>
      <c r="B24" s="10">
        <v>4</v>
      </c>
      <c r="C24" s="1">
        <f t="shared" ref="C24:C31" si="1">B24*($B$21/100)</f>
        <v>1.6</v>
      </c>
      <c r="E24" s="16" t="s">
        <v>64</v>
      </c>
      <c r="F24" s="10">
        <v>8</v>
      </c>
      <c r="G24" s="1">
        <f t="shared" ref="G24:G31" si="2">F24*($B$21/100)</f>
        <v>3.2</v>
      </c>
      <c r="I24" s="16" t="s">
        <v>67</v>
      </c>
      <c r="J24" s="10">
        <v>8</v>
      </c>
      <c r="K24" s="1">
        <f t="shared" ref="K24:K31" si="3">J24*($B$21/100)</f>
        <v>3.2</v>
      </c>
      <c r="M24" s="16" t="s">
        <v>70</v>
      </c>
      <c r="N24" s="10">
        <v>20</v>
      </c>
      <c r="O24" s="1">
        <f t="shared" ref="O24:O31" si="4">N24*($B$21/100)</f>
        <v>8</v>
      </c>
      <c r="Q24" s="16" t="s">
        <v>13</v>
      </c>
      <c r="R24" s="10">
        <v>5</v>
      </c>
      <c r="S24" s="1">
        <f t="shared" ref="S24:S31" si="5">R24*($B$21/100)</f>
        <v>2</v>
      </c>
      <c r="U24" s="16" t="s">
        <v>11</v>
      </c>
      <c r="V24" s="10">
        <v>5</v>
      </c>
      <c r="W24" s="1">
        <f t="shared" ref="W24:W31" si="6">V24*($B$21/100)</f>
        <v>2</v>
      </c>
      <c r="X24">
        <v>25</v>
      </c>
    </row>
    <row r="25" spans="1:32" x14ac:dyDescent="0.2">
      <c r="A25" t="s">
        <v>66</v>
      </c>
      <c r="B25" s="10">
        <v>4</v>
      </c>
      <c r="C25" s="1">
        <f t="shared" si="1"/>
        <v>1.6</v>
      </c>
      <c r="E25" s="16" t="s">
        <v>7</v>
      </c>
      <c r="F25" s="10">
        <v>8</v>
      </c>
      <c r="G25" s="1">
        <f t="shared" si="2"/>
        <v>3.2</v>
      </c>
      <c r="I25" s="16" t="s">
        <v>69</v>
      </c>
      <c r="J25" s="10">
        <v>8</v>
      </c>
      <c r="K25" s="1">
        <f t="shared" si="3"/>
        <v>3.2</v>
      </c>
      <c r="N25" s="10"/>
      <c r="O25" s="1">
        <f t="shared" si="4"/>
        <v>0</v>
      </c>
      <c r="R25" s="10"/>
      <c r="S25" s="1">
        <f t="shared" si="5"/>
        <v>0</v>
      </c>
      <c r="V25" s="10"/>
      <c r="W25" s="1">
        <f t="shared" si="6"/>
        <v>0</v>
      </c>
      <c r="X25">
        <v>20</v>
      </c>
    </row>
    <row r="26" spans="1:32" x14ac:dyDescent="0.2">
      <c r="A26" t="s">
        <v>68</v>
      </c>
      <c r="B26" s="10">
        <v>4</v>
      </c>
      <c r="C26" s="1">
        <f t="shared" si="1"/>
        <v>1.6</v>
      </c>
      <c r="E26" t="s">
        <v>26</v>
      </c>
      <c r="F26" s="10">
        <v>8</v>
      </c>
      <c r="G26" s="1">
        <f t="shared" si="2"/>
        <v>3.2</v>
      </c>
      <c r="I26" s="16" t="s">
        <v>71</v>
      </c>
      <c r="J26" s="10">
        <v>2</v>
      </c>
      <c r="K26" s="1">
        <f t="shared" si="3"/>
        <v>0.8</v>
      </c>
      <c r="N26" s="10"/>
      <c r="O26" s="1">
        <f t="shared" si="4"/>
        <v>0</v>
      </c>
      <c r="R26" s="10"/>
      <c r="S26" s="1">
        <f t="shared" si="5"/>
        <v>0</v>
      </c>
      <c r="V26" s="10"/>
      <c r="W26" s="1">
        <f t="shared" si="6"/>
        <v>0</v>
      </c>
      <c r="X26">
        <v>20</v>
      </c>
    </row>
    <row r="27" spans="1:32" x14ac:dyDescent="0.2">
      <c r="A27" t="s">
        <v>23</v>
      </c>
      <c r="B27" s="10">
        <v>5</v>
      </c>
      <c r="C27" s="1">
        <f t="shared" si="1"/>
        <v>2</v>
      </c>
      <c r="E27" t="s">
        <v>42</v>
      </c>
      <c r="F27" s="10">
        <v>1</v>
      </c>
      <c r="G27" s="1">
        <f t="shared" si="2"/>
        <v>0.4</v>
      </c>
      <c r="I27" s="16" t="s">
        <v>72</v>
      </c>
      <c r="J27" s="10">
        <v>1</v>
      </c>
      <c r="K27" s="1">
        <f t="shared" si="3"/>
        <v>0.4</v>
      </c>
      <c r="N27" s="10"/>
      <c r="O27" s="1">
        <f t="shared" si="4"/>
        <v>0</v>
      </c>
      <c r="R27" s="10"/>
      <c r="S27" s="1">
        <f t="shared" si="5"/>
        <v>0</v>
      </c>
      <c r="V27" s="10"/>
      <c r="W27" s="1">
        <f t="shared" si="6"/>
        <v>0</v>
      </c>
      <c r="X27">
        <v>5</v>
      </c>
    </row>
    <row r="28" spans="1:32" x14ac:dyDescent="0.2">
      <c r="A28" t="s">
        <v>36</v>
      </c>
      <c r="B28" s="10">
        <v>2</v>
      </c>
      <c r="C28" s="1">
        <f t="shared" si="1"/>
        <v>0.8</v>
      </c>
      <c r="F28" s="10"/>
      <c r="G28" s="1">
        <f t="shared" si="2"/>
        <v>0</v>
      </c>
      <c r="I28" s="16" t="s">
        <v>73</v>
      </c>
      <c r="J28" s="10">
        <v>1</v>
      </c>
      <c r="K28" s="1">
        <f t="shared" si="3"/>
        <v>0.4</v>
      </c>
      <c r="N28" s="10"/>
      <c r="O28" s="1">
        <f t="shared" si="4"/>
        <v>0</v>
      </c>
      <c r="R28" s="10"/>
      <c r="S28" s="1">
        <f t="shared" si="5"/>
        <v>0</v>
      </c>
      <c r="V28" s="10"/>
      <c r="W28" s="1">
        <f t="shared" si="6"/>
        <v>0</v>
      </c>
      <c r="X28">
        <v>5</v>
      </c>
    </row>
    <row r="29" spans="1:32" x14ac:dyDescent="0.2">
      <c r="A29" s="16" t="s">
        <v>37</v>
      </c>
      <c r="B29" s="10">
        <v>2</v>
      </c>
      <c r="C29" s="1">
        <f t="shared" si="1"/>
        <v>0.8</v>
      </c>
      <c r="F29" s="10"/>
      <c r="G29" s="1">
        <f t="shared" si="2"/>
        <v>0</v>
      </c>
      <c r="J29" s="10"/>
      <c r="K29" s="1">
        <f t="shared" si="3"/>
        <v>0</v>
      </c>
      <c r="N29" s="10"/>
      <c r="O29" s="1">
        <f t="shared" si="4"/>
        <v>0</v>
      </c>
      <c r="R29" s="10"/>
      <c r="S29" s="1">
        <f t="shared" si="5"/>
        <v>0</v>
      </c>
      <c r="V29" s="10"/>
      <c r="W29" s="1">
        <f t="shared" si="6"/>
        <v>0</v>
      </c>
    </row>
    <row r="30" spans="1:32" x14ac:dyDescent="0.2">
      <c r="A30" t="s">
        <v>38</v>
      </c>
      <c r="B30" s="10">
        <v>2</v>
      </c>
      <c r="C30" s="1">
        <f t="shared" si="1"/>
        <v>0.8</v>
      </c>
      <c r="F30" s="10"/>
      <c r="G30" s="1">
        <f t="shared" si="2"/>
        <v>0</v>
      </c>
      <c r="J30" s="10"/>
      <c r="K30" s="1">
        <f t="shared" si="3"/>
        <v>0</v>
      </c>
      <c r="N30" s="10"/>
      <c r="O30" s="1">
        <f t="shared" si="4"/>
        <v>0</v>
      </c>
      <c r="R30" s="10"/>
      <c r="S30" s="1">
        <f t="shared" si="5"/>
        <v>0</v>
      </c>
      <c r="V30" s="10"/>
      <c r="W30" s="1">
        <f t="shared" si="6"/>
        <v>0</v>
      </c>
    </row>
    <row r="31" spans="1:32" x14ac:dyDescent="0.2">
      <c r="A31" t="s">
        <v>25</v>
      </c>
      <c r="B31" s="10">
        <v>2</v>
      </c>
      <c r="C31" s="1">
        <f t="shared" si="1"/>
        <v>0.8</v>
      </c>
      <c r="F31" s="10"/>
      <c r="G31" s="1">
        <f t="shared" si="2"/>
        <v>0</v>
      </c>
      <c r="J31" s="10"/>
      <c r="K31" s="1">
        <f t="shared" si="3"/>
        <v>0</v>
      </c>
      <c r="N31" s="10"/>
      <c r="O31" s="1">
        <f t="shared" si="4"/>
        <v>0</v>
      </c>
      <c r="R31" s="10"/>
      <c r="S31" s="1">
        <f t="shared" si="5"/>
        <v>0</v>
      </c>
      <c r="V31" s="10"/>
      <c r="W31" s="1">
        <f t="shared" si="6"/>
        <v>0</v>
      </c>
    </row>
    <row r="32" spans="1:32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4" spans="1:24" x14ac:dyDescent="0.2">
      <c r="A34" s="1" t="s">
        <v>83</v>
      </c>
      <c r="B34" s="15">
        <f>VLOOKUP(A34,'tom_demand_setup - TO BE'!$S:$T,2,FALSE)</f>
        <v>22</v>
      </c>
      <c r="C34" s="6" t="b">
        <f>(B36+F36+J36+N36+R36+V36)=100</f>
        <v>1</v>
      </c>
    </row>
    <row r="35" spans="1:24" x14ac:dyDescent="0.2">
      <c r="A35" s="8" t="s">
        <v>19</v>
      </c>
      <c r="B35" s="6" t="b">
        <f>B36=SUM(B37:B52)</f>
        <v>1</v>
      </c>
      <c r="E35" s="8" t="s">
        <v>19</v>
      </c>
      <c r="F35" s="6" t="b">
        <f>F36=SUM(F37:F52)</f>
        <v>1</v>
      </c>
      <c r="I35" s="8" t="s">
        <v>19</v>
      </c>
      <c r="J35" s="6" t="b">
        <f>J36=SUM(J37:J52)</f>
        <v>1</v>
      </c>
      <c r="M35" s="8" t="s">
        <v>19</v>
      </c>
      <c r="N35" s="6" t="b">
        <f>N36=SUM(N37:N52)</f>
        <v>1</v>
      </c>
      <c r="Q35" s="8" t="s">
        <v>19</v>
      </c>
      <c r="R35" s="6" t="b">
        <f>R36=SUM(R37:R52)</f>
        <v>1</v>
      </c>
      <c r="U35" s="8" t="s">
        <v>19</v>
      </c>
      <c r="V35" s="6" t="b">
        <f>V36=SUM(V37:V52)</f>
        <v>1</v>
      </c>
    </row>
    <row r="36" spans="1:24" s="1" customFormat="1" x14ac:dyDescent="0.2">
      <c r="A36" s="1" t="s">
        <v>5</v>
      </c>
      <c r="B36" s="1">
        <v>25</v>
      </c>
      <c r="C36" s="1">
        <f>B36*($B$34/100)</f>
        <v>5.5</v>
      </c>
      <c r="E36" s="1" t="s">
        <v>6</v>
      </c>
      <c r="F36" s="1">
        <v>25</v>
      </c>
      <c r="G36" s="1">
        <f>F36*($B$34/100)</f>
        <v>5.5</v>
      </c>
      <c r="I36" s="1" t="s">
        <v>12</v>
      </c>
      <c r="J36" s="1">
        <v>20</v>
      </c>
      <c r="K36" s="1">
        <f>J36*($B$34/100)</f>
        <v>4.4000000000000004</v>
      </c>
      <c r="M36" s="1" t="s">
        <v>8</v>
      </c>
      <c r="N36" s="1">
        <v>20</v>
      </c>
      <c r="O36" s="1">
        <f>N36*($B$34/100)</f>
        <v>4.4000000000000004</v>
      </c>
      <c r="Q36" s="1" t="s">
        <v>74</v>
      </c>
      <c r="R36" s="1">
        <v>5</v>
      </c>
      <c r="S36" s="1">
        <f>R36*($B$34/100)</f>
        <v>1.1000000000000001</v>
      </c>
      <c r="U36" s="1" t="s">
        <v>11</v>
      </c>
      <c r="V36" s="1">
        <v>5</v>
      </c>
      <c r="W36" s="1">
        <f>V36*($B$34/100)</f>
        <v>1.1000000000000001</v>
      </c>
      <c r="X36" s="1">
        <v>25</v>
      </c>
    </row>
    <row r="37" spans="1:24" x14ac:dyDescent="0.2">
      <c r="A37" s="16" t="s">
        <v>21</v>
      </c>
      <c r="B37">
        <v>5</v>
      </c>
      <c r="C37" s="1">
        <f t="shared" ref="C37:C51" si="7">B37*($B$34/100)</f>
        <v>1.1000000000000001</v>
      </c>
      <c r="E37" s="16" t="s">
        <v>7</v>
      </c>
      <c r="F37">
        <v>10</v>
      </c>
      <c r="G37" s="1">
        <f t="shared" ref="G37:G51" si="8">F37*($B$34/100)</f>
        <v>2.2000000000000002</v>
      </c>
      <c r="I37" s="16" t="s">
        <v>44</v>
      </c>
      <c r="J37">
        <v>2</v>
      </c>
      <c r="K37" s="1">
        <f t="shared" ref="K37:K51" si="9">J37*($B$34/100)</f>
        <v>0.44</v>
      </c>
      <c r="M37" s="16" t="s">
        <v>9</v>
      </c>
      <c r="N37">
        <v>10</v>
      </c>
      <c r="O37" s="1">
        <f t="shared" ref="O37:O51" si="10">N37*($B$34/100)</f>
        <v>2.2000000000000002</v>
      </c>
      <c r="Q37" s="16" t="s">
        <v>13</v>
      </c>
      <c r="R37">
        <v>5</v>
      </c>
      <c r="S37" s="1">
        <f t="shared" ref="S37:S51" si="11">R37*($B$34/100)</f>
        <v>1.1000000000000001</v>
      </c>
      <c r="U37" s="16" t="s">
        <v>11</v>
      </c>
      <c r="V37">
        <v>5</v>
      </c>
      <c r="W37" s="1">
        <f t="shared" ref="W37:W51" si="12">V37*($B$34/100)</f>
        <v>1.1000000000000001</v>
      </c>
      <c r="X37">
        <v>25</v>
      </c>
    </row>
    <row r="38" spans="1:24" x14ac:dyDescent="0.2">
      <c r="A38" t="s">
        <v>36</v>
      </c>
      <c r="B38">
        <v>5</v>
      </c>
      <c r="C38" s="1">
        <f t="shared" si="7"/>
        <v>1.1000000000000001</v>
      </c>
      <c r="E38" s="16" t="s">
        <v>26</v>
      </c>
      <c r="F38">
        <v>10</v>
      </c>
      <c r="G38" s="1">
        <f t="shared" si="8"/>
        <v>2.2000000000000002</v>
      </c>
      <c r="I38" t="s">
        <v>22</v>
      </c>
      <c r="J38">
        <v>2</v>
      </c>
      <c r="K38" s="1">
        <f t="shared" si="9"/>
        <v>0.44</v>
      </c>
      <c r="M38" s="16" t="s">
        <v>34</v>
      </c>
      <c r="N38">
        <v>10</v>
      </c>
      <c r="O38" s="1">
        <f t="shared" si="10"/>
        <v>2.2000000000000002</v>
      </c>
      <c r="S38" s="1">
        <f t="shared" si="11"/>
        <v>0</v>
      </c>
      <c r="W38" s="1">
        <f t="shared" si="12"/>
        <v>0</v>
      </c>
    </row>
    <row r="39" spans="1:24" x14ac:dyDescent="0.2">
      <c r="A39" s="16" t="s">
        <v>37</v>
      </c>
      <c r="B39">
        <v>5</v>
      </c>
      <c r="C39" s="1">
        <f t="shared" si="7"/>
        <v>1.1000000000000001</v>
      </c>
      <c r="E39" t="s">
        <v>42</v>
      </c>
      <c r="F39">
        <v>5</v>
      </c>
      <c r="G39" s="1">
        <f t="shared" si="8"/>
        <v>1.1000000000000001</v>
      </c>
      <c r="I39" t="s">
        <v>45</v>
      </c>
      <c r="J39">
        <v>1</v>
      </c>
      <c r="K39" s="1">
        <f t="shared" si="9"/>
        <v>0.22</v>
      </c>
      <c r="O39" s="1">
        <f t="shared" si="10"/>
        <v>0</v>
      </c>
      <c r="S39" s="1">
        <f t="shared" si="11"/>
        <v>0</v>
      </c>
      <c r="W39" s="1">
        <f t="shared" si="12"/>
        <v>0</v>
      </c>
    </row>
    <row r="40" spans="1:24" x14ac:dyDescent="0.2">
      <c r="A40" t="s">
        <v>38</v>
      </c>
      <c r="B40">
        <v>5</v>
      </c>
      <c r="C40" s="1">
        <f t="shared" si="7"/>
        <v>1.1000000000000001</v>
      </c>
      <c r="G40" s="1">
        <f t="shared" si="8"/>
        <v>0</v>
      </c>
      <c r="I40" s="16" t="s">
        <v>46</v>
      </c>
      <c r="J40">
        <v>2</v>
      </c>
      <c r="K40" s="1">
        <f t="shared" si="9"/>
        <v>0.44</v>
      </c>
      <c r="O40" s="1">
        <f t="shared" si="10"/>
        <v>0</v>
      </c>
      <c r="S40" s="1">
        <f t="shared" si="11"/>
        <v>0</v>
      </c>
      <c r="W40" s="1">
        <f t="shared" si="12"/>
        <v>0</v>
      </c>
    </row>
    <row r="41" spans="1:24" x14ac:dyDescent="0.2">
      <c r="A41" t="s">
        <v>25</v>
      </c>
      <c r="B41">
        <v>5</v>
      </c>
      <c r="C41" s="1">
        <f t="shared" si="7"/>
        <v>1.1000000000000001</v>
      </c>
      <c r="G41" s="1">
        <f t="shared" si="8"/>
        <v>0</v>
      </c>
      <c r="I41" s="16" t="s">
        <v>35</v>
      </c>
      <c r="J41">
        <v>2</v>
      </c>
      <c r="K41" s="1">
        <f t="shared" si="9"/>
        <v>0.44</v>
      </c>
      <c r="O41" s="1">
        <f t="shared" si="10"/>
        <v>0</v>
      </c>
      <c r="S41" s="1">
        <f t="shared" si="11"/>
        <v>0</v>
      </c>
      <c r="W41" s="1">
        <f t="shared" si="12"/>
        <v>0</v>
      </c>
    </row>
    <row r="42" spans="1:24" x14ac:dyDescent="0.2">
      <c r="C42" s="1">
        <f t="shared" si="7"/>
        <v>0</v>
      </c>
      <c r="G42" s="1">
        <f t="shared" si="8"/>
        <v>0</v>
      </c>
      <c r="I42" s="16" t="s">
        <v>47</v>
      </c>
      <c r="J42">
        <v>2</v>
      </c>
      <c r="K42" s="1">
        <f t="shared" si="9"/>
        <v>0.44</v>
      </c>
      <c r="O42" s="1">
        <f t="shared" si="10"/>
        <v>0</v>
      </c>
      <c r="S42" s="1">
        <f t="shared" si="11"/>
        <v>0</v>
      </c>
      <c r="W42" s="1">
        <f t="shared" si="12"/>
        <v>0</v>
      </c>
    </row>
    <row r="43" spans="1:24" x14ac:dyDescent="0.2">
      <c r="C43" s="1">
        <f t="shared" si="7"/>
        <v>0</v>
      </c>
      <c r="G43" s="1">
        <f t="shared" si="8"/>
        <v>0</v>
      </c>
      <c r="I43" t="s">
        <v>48</v>
      </c>
      <c r="J43">
        <v>1</v>
      </c>
      <c r="K43" s="1">
        <f t="shared" si="9"/>
        <v>0.22</v>
      </c>
      <c r="O43" s="1">
        <f t="shared" si="10"/>
        <v>0</v>
      </c>
      <c r="S43" s="1">
        <f t="shared" si="11"/>
        <v>0</v>
      </c>
      <c r="W43" s="1">
        <f t="shared" si="12"/>
        <v>0</v>
      </c>
    </row>
    <row r="44" spans="1:24" x14ac:dyDescent="0.2">
      <c r="C44" s="1">
        <f t="shared" si="7"/>
        <v>0</v>
      </c>
      <c r="G44" s="1">
        <f t="shared" si="8"/>
        <v>0</v>
      </c>
      <c r="I44" t="s">
        <v>49</v>
      </c>
      <c r="J44">
        <v>1</v>
      </c>
      <c r="K44" s="1">
        <f t="shared" si="9"/>
        <v>0.22</v>
      </c>
      <c r="O44" s="1">
        <f t="shared" si="10"/>
        <v>0</v>
      </c>
      <c r="S44" s="1">
        <f t="shared" si="11"/>
        <v>0</v>
      </c>
      <c r="W44" s="1">
        <f t="shared" si="12"/>
        <v>0</v>
      </c>
    </row>
    <row r="45" spans="1:24" x14ac:dyDescent="0.2">
      <c r="C45" s="1">
        <f t="shared" si="7"/>
        <v>0</v>
      </c>
      <c r="G45" s="1">
        <f t="shared" si="8"/>
        <v>0</v>
      </c>
      <c r="I45" t="s">
        <v>50</v>
      </c>
      <c r="J45">
        <v>1</v>
      </c>
      <c r="K45" s="1">
        <f t="shared" si="9"/>
        <v>0.22</v>
      </c>
      <c r="O45" s="1">
        <f t="shared" si="10"/>
        <v>0</v>
      </c>
      <c r="S45" s="1">
        <f t="shared" si="11"/>
        <v>0</v>
      </c>
      <c r="W45" s="1">
        <f t="shared" si="12"/>
        <v>0</v>
      </c>
    </row>
    <row r="46" spans="1:24" x14ac:dyDescent="0.2">
      <c r="C46" s="1">
        <f t="shared" si="7"/>
        <v>0</v>
      </c>
      <c r="G46" s="1">
        <f t="shared" si="8"/>
        <v>0</v>
      </c>
      <c r="I46" t="s">
        <v>51</v>
      </c>
      <c r="J46">
        <v>1</v>
      </c>
      <c r="K46" s="1">
        <f t="shared" si="9"/>
        <v>0.22</v>
      </c>
      <c r="O46" s="1">
        <f t="shared" si="10"/>
        <v>0</v>
      </c>
      <c r="S46" s="1">
        <f t="shared" si="11"/>
        <v>0</v>
      </c>
      <c r="W46" s="1">
        <f t="shared" si="12"/>
        <v>0</v>
      </c>
    </row>
    <row r="47" spans="1:24" x14ac:dyDescent="0.2">
      <c r="C47" s="1">
        <f t="shared" si="7"/>
        <v>0</v>
      </c>
      <c r="G47" s="1">
        <f t="shared" si="8"/>
        <v>0</v>
      </c>
      <c r="I47" t="s">
        <v>52</v>
      </c>
      <c r="J47">
        <v>1</v>
      </c>
      <c r="K47" s="1">
        <f t="shared" si="9"/>
        <v>0.22</v>
      </c>
      <c r="O47" s="1">
        <f t="shared" si="10"/>
        <v>0</v>
      </c>
      <c r="S47" s="1">
        <f t="shared" si="11"/>
        <v>0</v>
      </c>
      <c r="W47" s="1">
        <f t="shared" si="12"/>
        <v>0</v>
      </c>
    </row>
    <row r="48" spans="1:24" x14ac:dyDescent="0.2">
      <c r="C48" s="1">
        <f t="shared" si="7"/>
        <v>0</v>
      </c>
      <c r="G48" s="1">
        <f t="shared" si="8"/>
        <v>0</v>
      </c>
      <c r="I48" s="16" t="s">
        <v>53</v>
      </c>
      <c r="J48">
        <v>1</v>
      </c>
      <c r="K48" s="1">
        <f t="shared" si="9"/>
        <v>0.22</v>
      </c>
      <c r="O48" s="1">
        <f t="shared" si="10"/>
        <v>0</v>
      </c>
      <c r="S48" s="1">
        <f t="shared" si="11"/>
        <v>0</v>
      </c>
      <c r="W48" s="1">
        <f t="shared" si="12"/>
        <v>0</v>
      </c>
    </row>
    <row r="49" spans="1:23" x14ac:dyDescent="0.2">
      <c r="C49" s="1">
        <f t="shared" si="7"/>
        <v>0</v>
      </c>
      <c r="G49" s="1">
        <f t="shared" si="8"/>
        <v>0</v>
      </c>
      <c r="I49" t="s">
        <v>54</v>
      </c>
      <c r="J49">
        <v>1</v>
      </c>
      <c r="K49" s="1">
        <f t="shared" si="9"/>
        <v>0.22</v>
      </c>
      <c r="O49" s="1">
        <f t="shared" si="10"/>
        <v>0</v>
      </c>
      <c r="S49" s="1">
        <f t="shared" si="11"/>
        <v>0</v>
      </c>
      <c r="W49" s="1">
        <f t="shared" si="12"/>
        <v>0</v>
      </c>
    </row>
    <row r="50" spans="1:23" x14ac:dyDescent="0.2">
      <c r="C50" s="1">
        <f t="shared" si="7"/>
        <v>0</v>
      </c>
      <c r="G50" s="1">
        <f t="shared" si="8"/>
        <v>0</v>
      </c>
      <c r="I50" t="s">
        <v>55</v>
      </c>
      <c r="J50">
        <v>1</v>
      </c>
      <c r="K50" s="1">
        <f t="shared" si="9"/>
        <v>0.22</v>
      </c>
      <c r="O50" s="1">
        <f t="shared" si="10"/>
        <v>0</v>
      </c>
      <c r="S50" s="1">
        <f t="shared" si="11"/>
        <v>0</v>
      </c>
      <c r="W50" s="1">
        <f t="shared" si="12"/>
        <v>0</v>
      </c>
    </row>
    <row r="51" spans="1:23" x14ac:dyDescent="0.2">
      <c r="C51" s="1">
        <f t="shared" si="7"/>
        <v>0</v>
      </c>
      <c r="G51" s="1">
        <f t="shared" si="8"/>
        <v>0</v>
      </c>
      <c r="I51" s="16" t="s">
        <v>98</v>
      </c>
      <c r="J51">
        <v>1</v>
      </c>
      <c r="K51" s="1">
        <f t="shared" si="9"/>
        <v>0.22</v>
      </c>
      <c r="O51" s="1">
        <f t="shared" si="10"/>
        <v>0</v>
      </c>
      <c r="S51" s="1">
        <f t="shared" si="11"/>
        <v>0</v>
      </c>
      <c r="W51" s="1">
        <f t="shared" si="12"/>
        <v>0</v>
      </c>
    </row>
    <row r="52" spans="1:23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4" spans="1:23" x14ac:dyDescent="0.2">
      <c r="A54" s="1" t="s">
        <v>87</v>
      </c>
      <c r="B54" s="15">
        <f>VLOOKUP(A54,'tom_demand_setup - TO BE'!$S:$T,2,FALSE)</f>
        <v>16</v>
      </c>
      <c r="C54" s="6" t="b">
        <f>(B56+F56+J56+N56+R56+V56)=100</f>
        <v>0</v>
      </c>
    </row>
    <row r="55" spans="1:23" x14ac:dyDescent="0.2">
      <c r="A55" s="8" t="s">
        <v>19</v>
      </c>
      <c r="B55" s="6" t="b">
        <f>B56=SUM(B57:B61)</f>
        <v>1</v>
      </c>
      <c r="E55" s="8" t="s">
        <v>19</v>
      </c>
      <c r="F55" s="6" t="b">
        <f>F56=SUM(F57:F61)</f>
        <v>0</v>
      </c>
      <c r="I55" s="8" t="s">
        <v>19</v>
      </c>
      <c r="J55" s="6" t="b">
        <f>J56=SUM(J57:J61)</f>
        <v>0</v>
      </c>
      <c r="M55" s="8" t="s">
        <v>19</v>
      </c>
      <c r="N55" s="6" t="b">
        <f>N56=SUM(N57:N61)</f>
        <v>1</v>
      </c>
      <c r="Q55" s="8" t="s">
        <v>19</v>
      </c>
      <c r="R55" s="6" t="b">
        <f>R56=SUM(R57:R61)</f>
        <v>1</v>
      </c>
      <c r="U55" s="8" t="s">
        <v>19</v>
      </c>
      <c r="V55" s="6" t="b">
        <f>V56=SUM(V57:V61)</f>
        <v>1</v>
      </c>
    </row>
    <row r="56" spans="1:23" s="1" customFormat="1" x14ac:dyDescent="0.2">
      <c r="A56" s="1" t="s">
        <v>5</v>
      </c>
      <c r="B56" s="1">
        <v>50</v>
      </c>
      <c r="C56" s="1">
        <f>B56*($B$72/100)</f>
        <v>4</v>
      </c>
      <c r="E56" s="1" t="s">
        <v>6</v>
      </c>
      <c r="F56" s="1">
        <v>20</v>
      </c>
      <c r="G56" s="1">
        <f>F56*($B$72/100)</f>
        <v>1.6</v>
      </c>
      <c r="I56" s="1" t="s">
        <v>12</v>
      </c>
      <c r="J56" s="1">
        <v>20</v>
      </c>
      <c r="K56" s="1">
        <f>J56*($B$72/100)</f>
        <v>1.6</v>
      </c>
      <c r="M56" s="1" t="s">
        <v>8</v>
      </c>
      <c r="N56" s="1">
        <v>20</v>
      </c>
      <c r="O56" s="1">
        <f>N56*($B$72/100)</f>
        <v>1.6</v>
      </c>
      <c r="Q56" s="1" t="s">
        <v>74</v>
      </c>
      <c r="R56" s="1">
        <v>5</v>
      </c>
      <c r="S56" s="1">
        <f>R56*($B$72/100)</f>
        <v>0.4</v>
      </c>
      <c r="U56" s="1" t="s">
        <v>11</v>
      </c>
      <c r="V56" s="1">
        <v>5</v>
      </c>
      <c r="W56" s="1">
        <f>V56*($B$72/100)</f>
        <v>0.4</v>
      </c>
    </row>
    <row r="57" spans="1:23" x14ac:dyDescent="0.2">
      <c r="A57" s="16" t="s">
        <v>21</v>
      </c>
      <c r="B57">
        <v>50</v>
      </c>
      <c r="C57" s="1">
        <f t="shared" ref="C57" si="13">B57*($B$72/100)</f>
        <v>4</v>
      </c>
      <c r="G57" s="1">
        <f t="shared" ref="G57" si="14">F57*($B$72/100)</f>
        <v>0</v>
      </c>
      <c r="J57">
        <v>0</v>
      </c>
      <c r="K57" s="1">
        <f t="shared" ref="K57" si="15">J57*($B$72/100)</f>
        <v>0</v>
      </c>
      <c r="M57" t="s">
        <v>9</v>
      </c>
      <c r="N57">
        <v>20</v>
      </c>
      <c r="O57" s="1">
        <f t="shared" ref="O57" si="16">N57*($B$72/100)</f>
        <v>1.6</v>
      </c>
      <c r="Q57" t="s">
        <v>13</v>
      </c>
      <c r="R57">
        <v>5</v>
      </c>
      <c r="S57" s="1">
        <f t="shared" ref="S57" si="17">R57*($B$72/100)</f>
        <v>0.4</v>
      </c>
      <c r="U57" t="s">
        <v>11</v>
      </c>
      <c r="V57">
        <v>5</v>
      </c>
      <c r="W57" s="1">
        <f t="shared" ref="W57" si="18">V57*($B$72/100)</f>
        <v>0.4</v>
      </c>
    </row>
    <row r="58" spans="1:23" x14ac:dyDescent="0.2">
      <c r="C58" s="1">
        <f t="shared" ref="C58:C60" si="19">B58*($B$54/100)</f>
        <v>0</v>
      </c>
      <c r="G58" s="1">
        <f t="shared" ref="G58:G60" si="20">F58*($B$54/100)</f>
        <v>0</v>
      </c>
      <c r="K58" s="1">
        <f t="shared" ref="K58:K60" si="21">J58*($B$54/100)</f>
        <v>0</v>
      </c>
      <c r="O58" s="1">
        <f t="shared" ref="O58:O60" si="22">N58*($B$54/100)</f>
        <v>0</v>
      </c>
      <c r="S58" s="1">
        <f t="shared" ref="S58:S60" si="23">R58*($B$54/100)</f>
        <v>0</v>
      </c>
      <c r="W58" s="1">
        <f t="shared" ref="W58:W60" si="24">V58*($B$54/100)</f>
        <v>0</v>
      </c>
    </row>
    <row r="59" spans="1:23" x14ac:dyDescent="0.2">
      <c r="C59" s="1">
        <f t="shared" si="19"/>
        <v>0</v>
      </c>
      <c r="G59" s="1">
        <f t="shared" si="20"/>
        <v>0</v>
      </c>
      <c r="K59" s="1">
        <f t="shared" si="21"/>
        <v>0</v>
      </c>
      <c r="O59" s="1">
        <f t="shared" si="22"/>
        <v>0</v>
      </c>
      <c r="S59" s="1">
        <f t="shared" si="23"/>
        <v>0</v>
      </c>
      <c r="W59" s="1">
        <f t="shared" si="24"/>
        <v>0</v>
      </c>
    </row>
    <row r="60" spans="1:23" x14ac:dyDescent="0.2">
      <c r="C60" s="1">
        <f t="shared" si="19"/>
        <v>0</v>
      </c>
      <c r="G60" s="1">
        <f t="shared" si="20"/>
        <v>0</v>
      </c>
      <c r="K60" s="1">
        <f t="shared" si="21"/>
        <v>0</v>
      </c>
      <c r="O60" s="1">
        <f t="shared" si="22"/>
        <v>0</v>
      </c>
      <c r="S60" s="1">
        <f t="shared" si="23"/>
        <v>0</v>
      </c>
      <c r="W60" s="1">
        <f t="shared" si="24"/>
        <v>0</v>
      </c>
    </row>
    <row r="61" spans="1:23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3" spans="1:23" x14ac:dyDescent="0.2">
      <c r="A63" s="1" t="s">
        <v>84</v>
      </c>
      <c r="B63" s="15">
        <f>VLOOKUP(A63,'tom_demand_setup - TO BE'!$S:$T,2,FALSE)</f>
        <v>4</v>
      </c>
      <c r="C63" s="6" t="b">
        <f>(B65+F65+J65+N65+R65+V65)=100</f>
        <v>1</v>
      </c>
    </row>
    <row r="64" spans="1:23" x14ac:dyDescent="0.2">
      <c r="A64" s="8" t="s">
        <v>19</v>
      </c>
      <c r="B64" s="6" t="b">
        <f>B65=SUM(B66:B70)</f>
        <v>1</v>
      </c>
      <c r="E64" s="8" t="s">
        <v>19</v>
      </c>
      <c r="F64" s="6" t="b">
        <f>F65=SUM(F66:F70)</f>
        <v>1</v>
      </c>
      <c r="I64" s="8" t="s">
        <v>19</v>
      </c>
      <c r="J64" s="6" t="b">
        <f>J65=SUM(J66:J70)</f>
        <v>1</v>
      </c>
      <c r="M64" s="8" t="s">
        <v>19</v>
      </c>
      <c r="N64" s="6" t="b">
        <f>N65=SUM(N66:N70)</f>
        <v>1</v>
      </c>
      <c r="Q64" s="8" t="s">
        <v>19</v>
      </c>
      <c r="R64" s="6" t="b">
        <f>R65=SUM(R66:R70)</f>
        <v>1</v>
      </c>
      <c r="U64" s="8" t="s">
        <v>19</v>
      </c>
      <c r="V64" s="6" t="b">
        <f>V65=SUM(V66:V70)</f>
        <v>1</v>
      </c>
    </row>
    <row r="65" spans="1:23" s="1" customFormat="1" x14ac:dyDescent="0.2">
      <c r="A65" s="1" t="s">
        <v>5</v>
      </c>
      <c r="B65" s="1">
        <v>45</v>
      </c>
      <c r="C65" s="1">
        <f>B65*($B$63/100)</f>
        <v>1.8</v>
      </c>
      <c r="E65" s="1" t="s">
        <v>6</v>
      </c>
      <c r="F65" s="1">
        <v>25</v>
      </c>
      <c r="G65" s="1">
        <f>F65*($B$63/100)</f>
        <v>1</v>
      </c>
      <c r="I65" s="1" t="s">
        <v>12</v>
      </c>
      <c r="J65" s="1">
        <v>0</v>
      </c>
      <c r="K65" s="1">
        <f>J65*($B$63/100)</f>
        <v>0</v>
      </c>
      <c r="M65" s="1" t="s">
        <v>8</v>
      </c>
      <c r="N65" s="1">
        <v>20</v>
      </c>
      <c r="O65" s="1">
        <f>N65*($B$63/100)</f>
        <v>0.8</v>
      </c>
      <c r="Q65" s="1" t="s">
        <v>74</v>
      </c>
      <c r="R65" s="1">
        <v>5</v>
      </c>
      <c r="S65" s="1">
        <f>R65*($B$63/100)</f>
        <v>0.2</v>
      </c>
      <c r="U65" s="1" t="s">
        <v>11</v>
      </c>
      <c r="V65" s="1">
        <v>5</v>
      </c>
      <c r="W65" s="1">
        <f>V65*($B$63/100)</f>
        <v>0.2</v>
      </c>
    </row>
    <row r="66" spans="1:23" x14ac:dyDescent="0.2">
      <c r="A66" s="16" t="s">
        <v>23</v>
      </c>
      <c r="B66">
        <v>45</v>
      </c>
      <c r="C66" s="1">
        <f t="shared" ref="C66:C69" si="25">B66*($B$63/100)</f>
        <v>1.8</v>
      </c>
      <c r="E66" t="s">
        <v>7</v>
      </c>
      <c r="F66">
        <v>13</v>
      </c>
      <c r="G66" s="1">
        <f t="shared" ref="G66:G69" si="26">F66*($B$63/100)</f>
        <v>0.52</v>
      </c>
      <c r="K66" s="1">
        <f t="shared" ref="K66:K69" si="27">J66*($B$63/100)</f>
        <v>0</v>
      </c>
      <c r="M66" t="s">
        <v>9</v>
      </c>
      <c r="N66">
        <v>20</v>
      </c>
      <c r="O66" s="1">
        <f t="shared" ref="O66:O69" si="28">N66*($B$63/100)</f>
        <v>0.8</v>
      </c>
      <c r="Q66" t="s">
        <v>13</v>
      </c>
      <c r="R66">
        <v>5</v>
      </c>
      <c r="S66" s="1">
        <f t="shared" ref="S66:S69" si="29">R66*($B$63/100)</f>
        <v>0.2</v>
      </c>
      <c r="U66" t="s">
        <v>11</v>
      </c>
      <c r="V66">
        <v>5</v>
      </c>
      <c r="W66" s="1">
        <f t="shared" ref="W66:W69" si="30">V66*($B$63/100)</f>
        <v>0.2</v>
      </c>
    </row>
    <row r="67" spans="1:23" x14ac:dyDescent="0.2">
      <c r="C67" s="1">
        <f t="shared" si="25"/>
        <v>0</v>
      </c>
      <c r="E67" t="s">
        <v>26</v>
      </c>
      <c r="F67">
        <v>12</v>
      </c>
      <c r="G67" s="1">
        <f t="shared" si="26"/>
        <v>0.48</v>
      </c>
      <c r="K67" s="1">
        <f t="shared" si="27"/>
        <v>0</v>
      </c>
      <c r="O67" s="1">
        <f t="shared" si="28"/>
        <v>0</v>
      </c>
      <c r="S67" s="1">
        <f t="shared" si="29"/>
        <v>0</v>
      </c>
      <c r="W67" s="1">
        <f t="shared" si="30"/>
        <v>0</v>
      </c>
    </row>
    <row r="68" spans="1:23" x14ac:dyDescent="0.2">
      <c r="C68" s="1">
        <f t="shared" si="25"/>
        <v>0</v>
      </c>
      <c r="G68" s="1">
        <f t="shared" si="26"/>
        <v>0</v>
      </c>
      <c r="K68" s="1">
        <f t="shared" si="27"/>
        <v>0</v>
      </c>
      <c r="O68" s="1">
        <f t="shared" si="28"/>
        <v>0</v>
      </c>
      <c r="S68" s="1">
        <f t="shared" si="29"/>
        <v>0</v>
      </c>
      <c r="W68" s="1">
        <f t="shared" si="30"/>
        <v>0</v>
      </c>
    </row>
    <row r="69" spans="1:23" x14ac:dyDescent="0.2">
      <c r="C69" s="1">
        <f t="shared" si="25"/>
        <v>0</v>
      </c>
      <c r="G69" s="1">
        <f t="shared" si="26"/>
        <v>0</v>
      </c>
      <c r="K69" s="1">
        <f t="shared" si="27"/>
        <v>0</v>
      </c>
      <c r="O69" s="1">
        <f t="shared" si="28"/>
        <v>0</v>
      </c>
      <c r="S69" s="1">
        <f t="shared" si="29"/>
        <v>0</v>
      </c>
      <c r="W69" s="1">
        <f t="shared" si="30"/>
        <v>0</v>
      </c>
    </row>
    <row r="70" spans="1:23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2" spans="1:23" x14ac:dyDescent="0.2">
      <c r="A72" s="1" t="s">
        <v>85</v>
      </c>
      <c r="B72" s="15">
        <f>VLOOKUP(A72,'tom_demand_setup - TO BE'!$S:$T,2,FALSE)</f>
        <v>8</v>
      </c>
      <c r="C72" s="6" t="b">
        <f>(B74+F74+J74+N74+R74+V74)=100</f>
        <v>1</v>
      </c>
    </row>
    <row r="73" spans="1:23" x14ac:dyDescent="0.2">
      <c r="A73" s="8" t="s">
        <v>19</v>
      </c>
      <c r="B73" s="6" t="b">
        <f>B74=SUM(B75:B79)</f>
        <v>1</v>
      </c>
      <c r="E73" s="8" t="s">
        <v>19</v>
      </c>
      <c r="F73" s="6" t="b">
        <f>F74=SUM(F75:F79)</f>
        <v>1</v>
      </c>
      <c r="I73" s="8" t="s">
        <v>19</v>
      </c>
      <c r="J73" s="6" t="b">
        <f>J74=SUM(J75:J79)</f>
        <v>1</v>
      </c>
      <c r="M73" s="8" t="s">
        <v>19</v>
      </c>
      <c r="N73" s="6" t="b">
        <f>N74=SUM(N75:N79)</f>
        <v>1</v>
      </c>
      <c r="Q73" s="8" t="s">
        <v>19</v>
      </c>
      <c r="R73" s="6" t="b">
        <f>R74=SUM(R75:R79)</f>
        <v>1</v>
      </c>
      <c r="U73" s="8" t="s">
        <v>19</v>
      </c>
      <c r="V73" s="6" t="b">
        <f>V74=SUM(V75:V79)</f>
        <v>1</v>
      </c>
    </row>
    <row r="74" spans="1:23" s="1" customFormat="1" x14ac:dyDescent="0.2">
      <c r="A74" s="1" t="s">
        <v>5</v>
      </c>
      <c r="B74" s="1">
        <v>80</v>
      </c>
      <c r="C74" s="1">
        <f>B74*($B$72/100)</f>
        <v>6.4</v>
      </c>
      <c r="E74" s="1" t="s">
        <v>6</v>
      </c>
      <c r="F74" s="1">
        <v>0</v>
      </c>
      <c r="G74" s="1">
        <f>F74*($B$72/100)</f>
        <v>0</v>
      </c>
      <c r="I74" s="1" t="s">
        <v>12</v>
      </c>
      <c r="J74" s="1">
        <v>0</v>
      </c>
      <c r="K74" s="1">
        <f>J74*($B$72/100)</f>
        <v>0</v>
      </c>
      <c r="M74" s="1" t="s">
        <v>8</v>
      </c>
      <c r="N74" s="1">
        <v>10</v>
      </c>
      <c r="O74" s="1">
        <f>N74*($B$72/100)</f>
        <v>0.8</v>
      </c>
      <c r="Q74" s="1" t="s">
        <v>74</v>
      </c>
      <c r="R74" s="1">
        <v>5</v>
      </c>
      <c r="S74" s="1">
        <f>R74*($B$72/100)</f>
        <v>0.4</v>
      </c>
      <c r="U74" s="1" t="s">
        <v>11</v>
      </c>
      <c r="V74" s="1">
        <v>5</v>
      </c>
      <c r="W74" s="1">
        <f>V74*($B$72/100)</f>
        <v>0.4</v>
      </c>
    </row>
    <row r="75" spans="1:23" x14ac:dyDescent="0.2">
      <c r="A75" s="16" t="s">
        <v>24</v>
      </c>
      <c r="B75">
        <v>80</v>
      </c>
      <c r="C75" s="1">
        <f t="shared" ref="C75:C78" si="31">B75*($B$72/100)</f>
        <v>6.4</v>
      </c>
      <c r="G75" s="1">
        <f t="shared" ref="G75:G78" si="32">F75*($B$72/100)</f>
        <v>0</v>
      </c>
      <c r="J75">
        <v>0</v>
      </c>
      <c r="K75" s="1">
        <f t="shared" ref="K75:K78" si="33">J75*($B$72/100)</f>
        <v>0</v>
      </c>
      <c r="M75" t="s">
        <v>9</v>
      </c>
      <c r="N75">
        <v>10</v>
      </c>
      <c r="O75" s="1">
        <f t="shared" ref="O75:O78" si="34">N75*($B$72/100)</f>
        <v>0.8</v>
      </c>
      <c r="Q75" t="s">
        <v>13</v>
      </c>
      <c r="R75">
        <v>5</v>
      </c>
      <c r="S75" s="1">
        <f t="shared" ref="S75:S78" si="35">R75*($B$72/100)</f>
        <v>0.4</v>
      </c>
      <c r="U75" t="s">
        <v>11</v>
      </c>
      <c r="V75">
        <v>5</v>
      </c>
      <c r="W75" s="1">
        <f t="shared" ref="W75:W78" si="36">V75*($B$72/100)</f>
        <v>0.4</v>
      </c>
    </row>
    <row r="76" spans="1:23" x14ac:dyDescent="0.2">
      <c r="C76" s="1">
        <f t="shared" si="31"/>
        <v>0</v>
      </c>
      <c r="G76" s="1">
        <f t="shared" si="32"/>
        <v>0</v>
      </c>
      <c r="K76" s="1">
        <f t="shared" si="33"/>
        <v>0</v>
      </c>
      <c r="O76" s="1">
        <f t="shared" si="34"/>
        <v>0</v>
      </c>
      <c r="S76" s="1">
        <f t="shared" si="35"/>
        <v>0</v>
      </c>
      <c r="W76" s="1">
        <f t="shared" si="36"/>
        <v>0</v>
      </c>
    </row>
    <row r="77" spans="1:23" x14ac:dyDescent="0.2">
      <c r="C77" s="1">
        <f t="shared" si="31"/>
        <v>0</v>
      </c>
      <c r="G77" s="1">
        <f t="shared" si="32"/>
        <v>0</v>
      </c>
      <c r="K77" s="1">
        <f t="shared" si="33"/>
        <v>0</v>
      </c>
      <c r="O77" s="1">
        <f t="shared" si="34"/>
        <v>0</v>
      </c>
      <c r="S77" s="1">
        <f t="shared" si="35"/>
        <v>0</v>
      </c>
      <c r="W77" s="1">
        <f t="shared" si="36"/>
        <v>0</v>
      </c>
    </row>
    <row r="78" spans="1:23" x14ac:dyDescent="0.2">
      <c r="C78" s="1">
        <f t="shared" si="31"/>
        <v>0</v>
      </c>
      <c r="G78" s="1">
        <f t="shared" si="32"/>
        <v>0</v>
      </c>
      <c r="K78" s="1">
        <f t="shared" si="33"/>
        <v>0</v>
      </c>
      <c r="O78" s="1">
        <f t="shared" si="34"/>
        <v>0</v>
      </c>
      <c r="S78" s="1">
        <f t="shared" si="35"/>
        <v>0</v>
      </c>
      <c r="W78" s="1">
        <f t="shared" si="36"/>
        <v>0</v>
      </c>
    </row>
    <row r="79" spans="1:23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1" spans="1:23" x14ac:dyDescent="0.2">
      <c r="A81" s="1" t="s">
        <v>86</v>
      </c>
      <c r="B81" s="15">
        <f>VLOOKUP(A81,'tom_demand_setup - TO BE'!$S:$T,2,FALSE)</f>
        <v>10</v>
      </c>
      <c r="C81" s="6" t="b">
        <f>(B83+F83+J83+N83+R83+V83)=100</f>
        <v>1</v>
      </c>
    </row>
    <row r="82" spans="1:23" x14ac:dyDescent="0.2">
      <c r="A82" s="8" t="s">
        <v>19</v>
      </c>
      <c r="B82" s="6" t="b">
        <f>B83=SUM(B84:B88)</f>
        <v>1</v>
      </c>
      <c r="E82" s="8" t="s">
        <v>19</v>
      </c>
      <c r="F82" s="6" t="b">
        <f>F83=SUM(F84:F88)</f>
        <v>1</v>
      </c>
      <c r="I82" s="8" t="s">
        <v>19</v>
      </c>
      <c r="J82" s="6" t="b">
        <f>J83=SUM(J84:J88)</f>
        <v>1</v>
      </c>
      <c r="M82" s="8" t="s">
        <v>19</v>
      </c>
      <c r="N82" s="6" t="b">
        <f>N83=SUM(N84:N88)</f>
        <v>1</v>
      </c>
      <c r="Q82" s="8" t="s">
        <v>19</v>
      </c>
      <c r="R82" s="6" t="b">
        <f>R83=SUM(R84:R88)</f>
        <v>1</v>
      </c>
      <c r="U82" s="8" t="s">
        <v>19</v>
      </c>
      <c r="V82" s="6" t="b">
        <f>V83=SUM(V84:V88)</f>
        <v>1</v>
      </c>
    </row>
    <row r="83" spans="1:23" s="1" customFormat="1" x14ac:dyDescent="0.2">
      <c r="A83" s="1" t="s">
        <v>5</v>
      </c>
      <c r="B83" s="1">
        <v>50</v>
      </c>
      <c r="C83" s="1">
        <f>B83*($B$81/100)</f>
        <v>5</v>
      </c>
      <c r="E83" s="1" t="s">
        <v>6</v>
      </c>
      <c r="F83" s="1">
        <v>0</v>
      </c>
      <c r="G83" s="1">
        <f>F83*($B$81/100)</f>
        <v>0</v>
      </c>
      <c r="I83" s="1" t="s">
        <v>12</v>
      </c>
      <c r="J83" s="1">
        <v>20</v>
      </c>
      <c r="K83" s="1">
        <f>J83*($B$81/100)</f>
        <v>2</v>
      </c>
      <c r="M83" s="1" t="s">
        <v>8</v>
      </c>
      <c r="N83" s="1">
        <v>20</v>
      </c>
      <c r="O83" s="1">
        <f>N83*($B$81/100)</f>
        <v>2</v>
      </c>
      <c r="Q83" s="1" t="s">
        <v>74</v>
      </c>
      <c r="R83" s="1">
        <v>5</v>
      </c>
      <c r="S83" s="1">
        <f>R83*($B$81/100)</f>
        <v>0.5</v>
      </c>
      <c r="U83" s="1" t="s">
        <v>11</v>
      </c>
      <c r="V83" s="1">
        <v>5</v>
      </c>
      <c r="W83" s="1">
        <f>V83*($B$81/100)</f>
        <v>0.5</v>
      </c>
    </row>
    <row r="84" spans="1:23" x14ac:dyDescent="0.2">
      <c r="A84" s="16" t="s">
        <v>25</v>
      </c>
      <c r="B84">
        <v>25</v>
      </c>
      <c r="C84" s="1">
        <f t="shared" ref="C84:C87" si="37">B84*($B$81/100)</f>
        <v>2.5</v>
      </c>
      <c r="G84" s="1">
        <f t="shared" ref="G84:G87" si="38">F84*($B$81/100)</f>
        <v>0</v>
      </c>
      <c r="I84" t="s">
        <v>22</v>
      </c>
      <c r="J84">
        <v>20</v>
      </c>
      <c r="K84" s="1">
        <f t="shared" ref="K84:K87" si="39">J84*($B$81/100)</f>
        <v>2</v>
      </c>
      <c r="M84" t="s">
        <v>9</v>
      </c>
      <c r="N84">
        <v>20</v>
      </c>
      <c r="O84" s="1">
        <f t="shared" ref="O84:O87" si="40">N84*($B$81/100)</f>
        <v>2</v>
      </c>
      <c r="Q84" t="s">
        <v>13</v>
      </c>
      <c r="R84">
        <v>5</v>
      </c>
      <c r="S84" s="1">
        <f t="shared" ref="S84:S87" si="41">R84*($B$81/100)</f>
        <v>0.5</v>
      </c>
      <c r="U84" t="s">
        <v>11</v>
      </c>
      <c r="V84">
        <v>5</v>
      </c>
      <c r="W84" s="1">
        <f t="shared" ref="W84:W87" si="42">V84*($B$81/100)</f>
        <v>0.5</v>
      </c>
    </row>
    <row r="85" spans="1:23" x14ac:dyDescent="0.2">
      <c r="C85" s="1">
        <f t="shared" si="37"/>
        <v>0</v>
      </c>
      <c r="G85" s="1">
        <f t="shared" si="38"/>
        <v>0</v>
      </c>
      <c r="K85" s="1">
        <f t="shared" si="39"/>
        <v>0</v>
      </c>
      <c r="O85" s="1">
        <f t="shared" si="40"/>
        <v>0</v>
      </c>
      <c r="S85" s="1">
        <f t="shared" si="41"/>
        <v>0</v>
      </c>
      <c r="W85" s="1">
        <f t="shared" si="42"/>
        <v>0</v>
      </c>
    </row>
    <row r="86" spans="1:23" x14ac:dyDescent="0.2">
      <c r="A86" s="16" t="s">
        <v>37</v>
      </c>
      <c r="B86">
        <v>25</v>
      </c>
      <c r="C86" s="1">
        <f t="shared" si="37"/>
        <v>2.5</v>
      </c>
      <c r="G86" s="1">
        <f t="shared" si="38"/>
        <v>0</v>
      </c>
      <c r="K86" s="1">
        <f t="shared" si="39"/>
        <v>0</v>
      </c>
      <c r="O86" s="1">
        <f t="shared" si="40"/>
        <v>0</v>
      </c>
      <c r="S86" s="1">
        <f t="shared" si="41"/>
        <v>0</v>
      </c>
      <c r="W86" s="1">
        <f t="shared" si="42"/>
        <v>0</v>
      </c>
    </row>
    <row r="87" spans="1:23" x14ac:dyDescent="0.2">
      <c r="C87" s="1">
        <f t="shared" si="37"/>
        <v>0</v>
      </c>
      <c r="G87" s="1">
        <f t="shared" si="38"/>
        <v>0</v>
      </c>
      <c r="K87" s="1">
        <f t="shared" si="39"/>
        <v>0</v>
      </c>
      <c r="O87" s="1">
        <f t="shared" si="40"/>
        <v>0</v>
      </c>
      <c r="S87" s="1">
        <f t="shared" si="41"/>
        <v>0</v>
      </c>
      <c r="W87" s="1">
        <f t="shared" si="42"/>
        <v>0</v>
      </c>
    </row>
    <row r="88" spans="1:23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</sheetData>
  <sortState xmlns:xlrd2="http://schemas.microsoft.com/office/spreadsheetml/2017/richdata2" ref="W3:Y12">
    <sortCondition ref="W3:W12"/>
  </sortState>
  <conditionalFormatting sqref="B22 F22 J22 N22 R22 V22 B35 F35 J35 N35 R35 V35 B64 F64 J64 N64 R64 V64 B73 F73 J73 N73 R73 V73 B82 F82 J82 N82 R82 V82">
    <cfRule type="cellIs" dxfId="11" priority="9" operator="equal">
      <formula>TRUE</formula>
    </cfRule>
  </conditionalFormatting>
  <conditionalFormatting sqref="B55 F55 J55 N55 R55 V55">
    <cfRule type="cellIs" dxfId="10" priority="2" operator="equal">
      <formula>TRUE</formula>
    </cfRule>
  </conditionalFormatting>
  <conditionalFormatting sqref="C21">
    <cfRule type="cellIs" dxfId="9" priority="8" operator="equal">
      <formula>TRUE</formula>
    </cfRule>
  </conditionalFormatting>
  <conditionalFormatting sqref="C34">
    <cfRule type="cellIs" dxfId="8" priority="7" operator="equal">
      <formula>TRUE</formula>
    </cfRule>
  </conditionalFormatting>
  <conditionalFormatting sqref="C54">
    <cfRule type="cellIs" dxfId="7" priority="1" operator="equal">
      <formula>TRUE</formula>
    </cfRule>
  </conditionalFormatting>
  <conditionalFormatting sqref="C63">
    <cfRule type="cellIs" dxfId="6" priority="3" operator="equal">
      <formula>TRUE</formula>
    </cfRule>
  </conditionalFormatting>
  <conditionalFormatting sqref="C72">
    <cfRule type="cellIs" dxfId="5" priority="5" operator="equal">
      <formula>TRUE</formula>
    </cfRule>
  </conditionalFormatting>
  <conditionalFormatting sqref="C81">
    <cfRule type="cellIs" dxfId="4" priority="4" operator="equal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B90F-3A03-854A-8D6E-5FA8647D11EC}">
  <dimension ref="A1:AG204"/>
  <sheetViews>
    <sheetView topLeftCell="B1" zoomScale="120" zoomScaleNormal="120" workbookViewId="0">
      <pane ySplit="2" topLeftCell="A3" activePane="bottomLeft" state="frozen"/>
      <selection pane="bottomLeft" activeCell="F3" sqref="F3"/>
    </sheetView>
  </sheetViews>
  <sheetFormatPr baseColWidth="10" defaultColWidth="8.83203125" defaultRowHeight="16" x14ac:dyDescent="0.2"/>
  <cols>
    <col min="1" max="1" width="3" customWidth="1"/>
    <col min="2" max="2" width="4.6640625" bestFit="1" customWidth="1"/>
    <col min="3" max="3" width="14.33203125" bestFit="1" customWidth="1"/>
    <col min="4" max="4" width="19.83203125" bestFit="1" customWidth="1"/>
    <col min="5" max="5" width="15.5" bestFit="1" customWidth="1"/>
    <col min="6" max="6" width="12.1640625" bestFit="1" customWidth="1"/>
    <col min="7" max="7" width="13.33203125" bestFit="1" customWidth="1"/>
    <col min="8" max="8" width="11.83203125" bestFit="1" customWidth="1"/>
    <col min="9" max="9" width="5.33203125" customWidth="1"/>
    <col min="10" max="10" width="16.33203125" bestFit="1" customWidth="1"/>
    <col min="11" max="11" width="15.1640625" customWidth="1"/>
    <col min="12" max="12" width="7" bestFit="1" customWidth="1"/>
    <col min="13" max="13" width="6.5" bestFit="1" customWidth="1"/>
    <col min="14" max="14" width="7" bestFit="1" customWidth="1"/>
    <col min="15" max="15" width="6.5" bestFit="1" customWidth="1"/>
    <col min="16" max="16" width="4" customWidth="1"/>
    <col min="17" max="17" width="23.33203125" bestFit="1" customWidth="1"/>
    <col min="18" max="18" width="11.83203125" bestFit="1" customWidth="1"/>
    <col min="19" max="19" width="7.1640625" customWidth="1"/>
    <col min="20" max="20" width="2.83203125" customWidth="1"/>
    <col min="21" max="21" width="12" bestFit="1" customWidth="1"/>
    <col min="22" max="22" width="6.5" bestFit="1" customWidth="1"/>
    <col min="23" max="23" width="3" customWidth="1"/>
    <col min="24" max="24" width="14.33203125" bestFit="1" customWidth="1"/>
    <col min="25" max="25" width="6.5" bestFit="1" customWidth="1"/>
    <col min="26" max="26" width="12.5" bestFit="1" customWidth="1"/>
    <col min="27" max="27" width="2.33203125" customWidth="1"/>
    <col min="28" max="28" width="14.33203125" bestFit="1" customWidth="1"/>
    <col min="29" max="29" width="15.5" bestFit="1" customWidth="1"/>
    <col min="31" max="31" width="28" bestFit="1" customWidth="1"/>
    <col min="32" max="32" width="20.1640625" bestFit="1" customWidth="1"/>
    <col min="33" max="33" width="21" bestFit="1" customWidth="1"/>
  </cols>
  <sheetData>
    <row r="1" spans="1:33" x14ac:dyDescent="0.2">
      <c r="B1" t="s">
        <v>122</v>
      </c>
      <c r="C1" s="18" t="s">
        <v>99</v>
      </c>
      <c r="D1" s="16" t="s">
        <v>118</v>
      </c>
      <c r="E1" s="16"/>
      <c r="F1" s="16"/>
      <c r="J1" s="1" t="s">
        <v>117</v>
      </c>
      <c r="M1" s="1"/>
      <c r="O1" s="1"/>
      <c r="P1" s="1"/>
      <c r="Q1" s="18" t="s">
        <v>99</v>
      </c>
      <c r="R1" s="16" t="s">
        <v>119</v>
      </c>
      <c r="V1" s="7"/>
      <c r="Y1" s="7"/>
      <c r="AB1" s="21" t="s">
        <v>102</v>
      </c>
      <c r="AC1" s="20"/>
      <c r="AE1" s="21" t="s">
        <v>102</v>
      </c>
      <c r="AF1" s="20"/>
      <c r="AG1" s="20"/>
    </row>
    <row r="2" spans="1:33" x14ac:dyDescent="0.2">
      <c r="A2" s="1"/>
      <c r="B2" s="19" t="s">
        <v>120</v>
      </c>
      <c r="C2" s="5" t="s">
        <v>2</v>
      </c>
      <c r="D2" s="5" t="s">
        <v>0</v>
      </c>
      <c r="E2" s="5" t="s">
        <v>1</v>
      </c>
      <c r="F2" s="5" t="s">
        <v>3</v>
      </c>
      <c r="G2" s="19" t="s">
        <v>101</v>
      </c>
      <c r="H2" s="19" t="s">
        <v>100</v>
      </c>
      <c r="J2" s="6" t="s">
        <v>0</v>
      </c>
      <c r="K2" s="6" t="s">
        <v>1</v>
      </c>
      <c r="L2" s="6" t="s">
        <v>363</v>
      </c>
      <c r="M2" s="6" t="s">
        <v>20</v>
      </c>
      <c r="N2" s="6" t="s">
        <v>3</v>
      </c>
      <c r="O2" s="6" t="s">
        <v>20</v>
      </c>
      <c r="P2" s="1"/>
      <c r="Q2" s="4" t="s">
        <v>0</v>
      </c>
      <c r="R2" s="4" t="s">
        <v>3</v>
      </c>
      <c r="S2" s="6" t="s">
        <v>20</v>
      </c>
      <c r="T2" s="1"/>
      <c r="U2" s="6" t="str" cm="1">
        <f t="array" ref="U2:U9">_xlfn.UNIQUE(E2:E1000)</f>
        <v>BudgetGroup</v>
      </c>
      <c r="V2" s="6" t="s">
        <v>20</v>
      </c>
      <c r="W2" s="1"/>
      <c r="X2" s="6" t="str" cm="1">
        <f t="array" ref="X2:X45">_xlfn.UNIQUE(C2:C1000)</f>
        <v>RequestingArea</v>
      </c>
      <c r="Y2" s="6" t="s">
        <v>20</v>
      </c>
      <c r="Z2" s="1" t="s">
        <v>103</v>
      </c>
      <c r="AA2" s="1"/>
      <c r="AB2" s="6" t="s">
        <v>2</v>
      </c>
      <c r="AC2" s="6" t="s">
        <v>1</v>
      </c>
      <c r="AD2" s="1"/>
      <c r="AE2" s="6" t="s">
        <v>104</v>
      </c>
      <c r="AF2" s="6" t="s">
        <v>105</v>
      </c>
      <c r="AG2" s="6" t="s">
        <v>106</v>
      </c>
    </row>
    <row r="3" spans="1:33" x14ac:dyDescent="0.2">
      <c r="B3">
        <v>1</v>
      </c>
      <c r="C3" t="s">
        <v>21</v>
      </c>
      <c r="D3" t="s">
        <v>4</v>
      </c>
      <c r="E3" s="17" t="str">
        <f t="shared" ref="E3:E66" si="0">VLOOKUP($C3,$AB:$AC,2,FALSE)</f>
        <v>Commercial</v>
      </c>
      <c r="F3" s="17">
        <f>H3*SUMIFS($L:$L,$J:$J,D3,$K:$K,E3)/G3</f>
        <v>1</v>
      </c>
      <c r="G3" s="17">
        <f t="shared" ref="G3:G66" si="1">SUMIFS($H$2:$H$1000,$E$2:$E$1000,E3,$D$2:$D$1000,D3)</f>
        <v>9</v>
      </c>
      <c r="H3" s="8">
        <v>1</v>
      </c>
      <c r="J3" t="s">
        <v>10</v>
      </c>
      <c r="K3" t="s">
        <v>11</v>
      </c>
      <c r="L3">
        <f>COUNTIFS(E:E,K3,D:D,J3)</f>
        <v>1</v>
      </c>
      <c r="M3" s="16">
        <f>SUMIF($J:$J,J3,$L:$L)</f>
        <v>42</v>
      </c>
      <c r="N3">
        <f>SUMIFS(F:F,E:E,K3,D:D,J3)</f>
        <v>1</v>
      </c>
      <c r="O3" s="16">
        <f>SUMIF($J:$J,L3,$L:$L)</f>
        <v>0</v>
      </c>
      <c r="Q3" s="2" t="s">
        <v>10</v>
      </c>
      <c r="R3">
        <v>40</v>
      </c>
      <c r="S3" s="16">
        <f>SUM(R3:R18)</f>
        <v>100</v>
      </c>
      <c r="U3" s="17" t="str">
        <v>Commercial</v>
      </c>
      <c r="V3" s="3">
        <f t="shared" ref="V3:V14" si="2">SUMIF($E:$E,U3,$F:$F)</f>
        <v>56</v>
      </c>
      <c r="X3" s="17" t="str">
        <v>GP B2B</v>
      </c>
      <c r="Y3" s="3">
        <f t="shared" ref="Y3:Y44" si="3">SUMIF($C:$C,X3,$F:$F)</f>
        <v>6</v>
      </c>
      <c r="Z3" s="17" t="str">
        <f>VLOOKUP(X3,$AB:$AC,2,FALSE)</f>
        <v>Commercial</v>
      </c>
      <c r="AB3" t="s">
        <v>11</v>
      </c>
      <c r="AC3" t="s">
        <v>11</v>
      </c>
      <c r="AE3" s="22" t="s">
        <v>107</v>
      </c>
      <c r="AF3" t="str" cm="1">
        <f t="array" ref="AF3:AG3">_xlfn.TEXTSPLIT(AE3,"&gt;",)</f>
        <v xml:space="preserve"> IDEA </v>
      </c>
      <c r="AG3" t="str">
        <v xml:space="preserve"> Backlog</v>
      </c>
    </row>
    <row r="4" spans="1:33" x14ac:dyDescent="0.2">
      <c r="B4">
        <v>2</v>
      </c>
      <c r="C4" t="s">
        <v>26</v>
      </c>
      <c r="D4" t="s">
        <v>4</v>
      </c>
      <c r="E4" s="17" t="str">
        <f t="shared" si="0"/>
        <v>Operations</v>
      </c>
      <c r="F4" s="17">
        <f t="shared" ref="F4:F67" si="4">H4*SUMIFS($L:$L,$J:$J,D4,$K:$K,E4)/G4</f>
        <v>1</v>
      </c>
      <c r="G4" s="17">
        <f t="shared" si="1"/>
        <v>3</v>
      </c>
      <c r="H4" s="8">
        <v>1</v>
      </c>
      <c r="J4" t="s">
        <v>10</v>
      </c>
      <c r="K4" t="s">
        <v>5</v>
      </c>
      <c r="L4">
        <f t="shared" ref="L4" si="5">COUNTIFS(E:E,K4,D:D,J4)</f>
        <v>12</v>
      </c>
      <c r="M4" s="16">
        <f t="shared" ref="M4" si="6">SUMIF($J:$J,J4,$L:$L)</f>
        <v>42</v>
      </c>
      <c r="N4">
        <f t="shared" ref="N4:N38" si="7">SUMIFS(F:F,E:E,K4,D:D,J4)</f>
        <v>12</v>
      </c>
      <c r="O4" s="16">
        <f t="shared" ref="O4" si="8">SUMIF($J:$J,L4,$L:$L)</f>
        <v>0</v>
      </c>
      <c r="Q4" s="2" t="s">
        <v>15</v>
      </c>
      <c r="R4">
        <v>22</v>
      </c>
      <c r="U4" s="17" t="str">
        <v>Operations</v>
      </c>
      <c r="V4" s="3">
        <f t="shared" si="2"/>
        <v>22</v>
      </c>
      <c r="X4" s="17" t="str">
        <v>SEO</v>
      </c>
      <c r="Y4" s="3">
        <f t="shared" si="3"/>
        <v>7</v>
      </c>
      <c r="Z4" s="17" t="str">
        <f t="shared" ref="Z4:Z44" si="9">VLOOKUP(X4,$AB:$AC,2,FALSE)</f>
        <v>Operations</v>
      </c>
      <c r="AB4" t="s">
        <v>66</v>
      </c>
      <c r="AC4" t="s">
        <v>5</v>
      </c>
      <c r="AE4" s="22" t="s">
        <v>108</v>
      </c>
      <c r="AF4" t="str" cm="1">
        <f t="array" ref="AF4:AG4">_xlfn.TEXTSPLIT(AE4,"&gt;",)</f>
        <v xml:space="preserve"> IDEA </v>
      </c>
      <c r="AG4" t="str">
        <v xml:space="preserve"> Pitch</v>
      </c>
    </row>
    <row r="5" spans="1:33" x14ac:dyDescent="0.2">
      <c r="B5">
        <v>3</v>
      </c>
      <c r="C5" t="s">
        <v>22</v>
      </c>
      <c r="D5" t="s">
        <v>4</v>
      </c>
      <c r="E5" s="17" t="str">
        <f t="shared" si="0"/>
        <v>Corporate</v>
      </c>
      <c r="F5" s="17">
        <f t="shared" si="4"/>
        <v>1</v>
      </c>
      <c r="G5" s="17">
        <f t="shared" si="1"/>
        <v>13</v>
      </c>
      <c r="H5" s="8">
        <v>1</v>
      </c>
      <c r="J5" t="s">
        <v>10</v>
      </c>
      <c r="K5" t="s">
        <v>12</v>
      </c>
      <c r="L5">
        <f>COUNTIFS(E:E,K5,D:D,J5)</f>
        <v>18</v>
      </c>
      <c r="M5" s="16">
        <f>SUMIF($J:$J,J5,$L:$L)</f>
        <v>42</v>
      </c>
      <c r="N5">
        <f t="shared" si="7"/>
        <v>18</v>
      </c>
      <c r="O5" s="16">
        <f>SUMIF($J:$J,L5,$L:$L)</f>
        <v>0</v>
      </c>
      <c r="Q5" s="2" t="s">
        <v>4</v>
      </c>
      <c r="R5">
        <v>16</v>
      </c>
      <c r="U5" s="17" t="str">
        <v>Corporate</v>
      </c>
      <c r="V5" s="3">
        <f t="shared" si="2"/>
        <v>78</v>
      </c>
      <c r="X5" s="17" t="str">
        <v>CF</v>
      </c>
      <c r="Y5" s="3">
        <f t="shared" si="3"/>
        <v>6</v>
      </c>
      <c r="Z5" s="17" t="str">
        <f t="shared" si="9"/>
        <v>Corporate</v>
      </c>
      <c r="AB5" t="s">
        <v>65</v>
      </c>
      <c r="AC5" t="s">
        <v>5</v>
      </c>
      <c r="AE5" s="22" t="s">
        <v>109</v>
      </c>
      <c r="AF5" t="str" cm="1">
        <f t="array" ref="AF5:AG5">_xlfn.TEXTSPLIT(AE5,"&gt;",)</f>
        <v xml:space="preserve"> IDEA </v>
      </c>
      <c r="AG5" t="str">
        <v xml:space="preserve"> In Definition</v>
      </c>
    </row>
    <row r="6" spans="1:33" x14ac:dyDescent="0.2">
      <c r="B6">
        <v>4</v>
      </c>
      <c r="C6" t="s">
        <v>9</v>
      </c>
      <c r="D6" t="s">
        <v>4</v>
      </c>
      <c r="E6" s="17" t="str">
        <f t="shared" si="0"/>
        <v>Technology</v>
      </c>
      <c r="F6" s="17">
        <f t="shared" si="4"/>
        <v>1</v>
      </c>
      <c r="G6" s="17">
        <f t="shared" si="1"/>
        <v>5</v>
      </c>
      <c r="H6" s="8">
        <v>1</v>
      </c>
      <c r="J6" t="s">
        <v>10</v>
      </c>
      <c r="K6" t="s">
        <v>6</v>
      </c>
      <c r="L6">
        <f t="shared" ref="L6:L13" si="10">COUNTIFS(E:E,K6,D:D,J6)</f>
        <v>4</v>
      </c>
      <c r="M6" s="16">
        <f t="shared" ref="M6:M38" si="11">SUMIF($J:$J,J6,$L:$L)</f>
        <v>42</v>
      </c>
      <c r="N6">
        <f t="shared" si="7"/>
        <v>7</v>
      </c>
      <c r="O6" s="16">
        <f t="shared" ref="O6:O38" si="12">SUMIF($J:$J,L6,$L:$L)</f>
        <v>0</v>
      </c>
      <c r="Q6" s="2" t="s">
        <v>17</v>
      </c>
      <c r="R6">
        <v>10</v>
      </c>
      <c r="U6" s="17" t="str">
        <v>Technology</v>
      </c>
      <c r="V6" s="3">
        <f t="shared" si="2"/>
        <v>31</v>
      </c>
      <c r="X6" s="17" t="str">
        <v>SI</v>
      </c>
      <c r="Y6" s="3">
        <f t="shared" si="3"/>
        <v>6</v>
      </c>
      <c r="Z6" s="17" t="str">
        <f t="shared" si="9"/>
        <v>Technology</v>
      </c>
      <c r="AB6" t="s">
        <v>38</v>
      </c>
      <c r="AC6" t="s">
        <v>5</v>
      </c>
      <c r="AE6" s="22" t="s">
        <v>110</v>
      </c>
      <c r="AF6" t="str" cm="1">
        <f t="array" ref="AF6:AG6">_xlfn.TEXTSPLIT(AE6,"&gt;",)</f>
        <v xml:space="preserve"> SOLUTION </v>
      </c>
      <c r="AG6" t="str">
        <v xml:space="preserve"> In Approval</v>
      </c>
    </row>
    <row r="7" spans="1:33" x14ac:dyDescent="0.2">
      <c r="B7">
        <v>5</v>
      </c>
      <c r="C7" t="s">
        <v>11</v>
      </c>
      <c r="D7" t="s">
        <v>4</v>
      </c>
      <c r="E7" s="17" t="str">
        <f t="shared" si="0"/>
        <v>CISO</v>
      </c>
      <c r="F7" s="17">
        <f t="shared" si="4"/>
        <v>1</v>
      </c>
      <c r="G7" s="17">
        <f t="shared" si="1"/>
        <v>1</v>
      </c>
      <c r="H7" s="8">
        <v>1</v>
      </c>
      <c r="J7" t="s">
        <v>10</v>
      </c>
      <c r="K7" t="s">
        <v>8</v>
      </c>
      <c r="L7">
        <f t="shared" si="10"/>
        <v>6</v>
      </c>
      <c r="M7" s="16">
        <f t="shared" si="11"/>
        <v>42</v>
      </c>
      <c r="N7">
        <f t="shared" si="7"/>
        <v>6</v>
      </c>
      <c r="O7" s="16">
        <f t="shared" si="12"/>
        <v>0</v>
      </c>
      <c r="Q7" s="2" t="s">
        <v>16</v>
      </c>
      <c r="R7">
        <v>8</v>
      </c>
      <c r="U7" s="17" t="str">
        <v>CISO</v>
      </c>
      <c r="V7" s="3">
        <f t="shared" si="2"/>
        <v>6</v>
      </c>
      <c r="X7" s="17" t="str">
        <v>CISO</v>
      </c>
      <c r="Y7" s="3">
        <f t="shared" si="3"/>
        <v>6</v>
      </c>
      <c r="Z7" s="17" t="str">
        <f t="shared" si="9"/>
        <v>CISO</v>
      </c>
      <c r="AB7" t="s">
        <v>39</v>
      </c>
      <c r="AC7" t="s">
        <v>5</v>
      </c>
      <c r="AE7" s="22" t="s">
        <v>111</v>
      </c>
      <c r="AF7" t="str" cm="1">
        <f t="array" ref="AF7:AG7">_xlfn.TEXTSPLIT(AE7,"&gt;",)</f>
        <v xml:space="preserve"> SOLUTION </v>
      </c>
      <c r="AG7" t="str">
        <v xml:space="preserve"> Ready for Approval</v>
      </c>
    </row>
    <row r="8" spans="1:33" x14ac:dyDescent="0.2">
      <c r="B8">
        <v>6</v>
      </c>
      <c r="C8" t="s">
        <v>116</v>
      </c>
      <c r="D8" t="s">
        <v>4</v>
      </c>
      <c r="E8" s="17" t="str">
        <f t="shared" si="0"/>
        <v>Data &amp; AI</v>
      </c>
      <c r="F8" s="17">
        <f t="shared" si="4"/>
        <v>1</v>
      </c>
      <c r="G8" s="17">
        <f t="shared" si="1"/>
        <v>1</v>
      </c>
      <c r="H8" s="8">
        <v>1</v>
      </c>
      <c r="J8" s="23" t="s">
        <v>10</v>
      </c>
      <c r="K8" s="23" t="s">
        <v>74</v>
      </c>
      <c r="L8" s="23">
        <f t="shared" si="10"/>
        <v>1</v>
      </c>
      <c r="M8" s="16">
        <f t="shared" si="11"/>
        <v>42</v>
      </c>
      <c r="N8">
        <f t="shared" si="7"/>
        <v>1</v>
      </c>
      <c r="O8" s="16">
        <f t="shared" si="12"/>
        <v>0</v>
      </c>
      <c r="Q8" s="2" t="s">
        <v>14</v>
      </c>
      <c r="R8">
        <v>4</v>
      </c>
      <c r="U8" s="17" t="str">
        <v>Data &amp; AI</v>
      </c>
      <c r="V8" s="3">
        <f t="shared" si="2"/>
        <v>12</v>
      </c>
      <c r="X8" s="17" t="str">
        <v>IAD</v>
      </c>
      <c r="Y8" s="3">
        <f t="shared" si="3"/>
        <v>6</v>
      </c>
      <c r="Z8" s="17" t="str">
        <f t="shared" si="9"/>
        <v>Data &amp; AI</v>
      </c>
      <c r="AB8" t="s">
        <v>36</v>
      </c>
      <c r="AC8" t="s">
        <v>5</v>
      </c>
      <c r="AE8" s="22" t="s">
        <v>112</v>
      </c>
      <c r="AF8" t="str" cm="1">
        <f t="array" ref="AF8:AG8">_xlfn.TEXTSPLIT(AE8,"&gt;",)</f>
        <v xml:space="preserve"> IDEA </v>
      </c>
      <c r="AG8" t="str">
        <v xml:space="preserve"> Ready for Solution</v>
      </c>
    </row>
    <row r="9" spans="1:33" x14ac:dyDescent="0.2">
      <c r="B9">
        <v>7</v>
      </c>
      <c r="C9" t="s">
        <v>37</v>
      </c>
      <c r="D9" t="s">
        <v>4</v>
      </c>
      <c r="E9" s="17" t="str">
        <f t="shared" si="0"/>
        <v>Commercial</v>
      </c>
      <c r="F9" s="17">
        <f t="shared" si="4"/>
        <v>1</v>
      </c>
      <c r="G9" s="17">
        <f t="shared" si="1"/>
        <v>9</v>
      </c>
      <c r="H9" s="8">
        <v>1</v>
      </c>
      <c r="J9" t="s">
        <v>15</v>
      </c>
      <c r="K9" t="s">
        <v>11</v>
      </c>
      <c r="L9">
        <f t="shared" si="10"/>
        <v>1</v>
      </c>
      <c r="M9" s="16">
        <f t="shared" si="11"/>
        <v>32</v>
      </c>
      <c r="N9">
        <f t="shared" si="7"/>
        <v>1</v>
      </c>
      <c r="O9" s="16">
        <f t="shared" si="12"/>
        <v>0</v>
      </c>
      <c r="Q9" s="13" t="s">
        <v>18</v>
      </c>
      <c r="R9" s="14">
        <v>0</v>
      </c>
      <c r="U9">
        <v>0</v>
      </c>
      <c r="V9" s="3">
        <f t="shared" si="2"/>
        <v>0</v>
      </c>
      <c r="X9" s="17" t="str">
        <v>GS</v>
      </c>
      <c r="Y9" s="3">
        <f t="shared" si="3"/>
        <v>6</v>
      </c>
      <c r="Z9" s="17" t="str">
        <f t="shared" si="9"/>
        <v>Commercial</v>
      </c>
      <c r="AB9" t="s">
        <v>40</v>
      </c>
      <c r="AC9" t="s">
        <v>5</v>
      </c>
      <c r="AE9" s="22" t="s">
        <v>113</v>
      </c>
      <c r="AF9" t="str" cm="1">
        <f t="array" ref="AF9:AG9">_xlfn.TEXTSPLIT(AE9,"&gt;",)</f>
        <v xml:space="preserve"> SOLUTION </v>
      </c>
      <c r="AG9" t="str">
        <v xml:space="preserve"> High Level Design</v>
      </c>
    </row>
    <row r="10" spans="1:33" x14ac:dyDescent="0.2">
      <c r="B10">
        <v>8</v>
      </c>
      <c r="C10" t="s">
        <v>44</v>
      </c>
      <c r="D10" t="s">
        <v>4</v>
      </c>
      <c r="E10" s="17" t="str">
        <f t="shared" si="0"/>
        <v>Corporate</v>
      </c>
      <c r="F10" s="17">
        <f t="shared" si="4"/>
        <v>1</v>
      </c>
      <c r="G10" s="17">
        <f t="shared" si="1"/>
        <v>13</v>
      </c>
      <c r="H10" s="8">
        <v>1</v>
      </c>
      <c r="J10" t="s">
        <v>15</v>
      </c>
      <c r="K10" t="s">
        <v>5</v>
      </c>
      <c r="L10">
        <f t="shared" si="10"/>
        <v>9</v>
      </c>
      <c r="M10" s="16">
        <f t="shared" si="11"/>
        <v>32</v>
      </c>
      <c r="N10">
        <f t="shared" si="7"/>
        <v>9</v>
      </c>
      <c r="O10" s="16">
        <f t="shared" si="12"/>
        <v>0</v>
      </c>
      <c r="V10" s="3">
        <f t="shared" si="2"/>
        <v>0</v>
      </c>
      <c r="X10" s="17" t="str">
        <v>ACR</v>
      </c>
      <c r="Y10" s="3">
        <f t="shared" si="3"/>
        <v>6</v>
      </c>
      <c r="Z10" s="17" t="str">
        <f t="shared" si="9"/>
        <v>Corporate</v>
      </c>
      <c r="AB10" t="s">
        <v>21</v>
      </c>
      <c r="AC10" t="s">
        <v>5</v>
      </c>
      <c r="AE10" s="22" t="s">
        <v>114</v>
      </c>
      <c r="AF10" t="str" cm="1">
        <f t="array" ref="AF10:AG10">_xlfn.TEXTSPLIT(AE10,"&gt;",)</f>
        <v xml:space="preserve"> SOLUTION </v>
      </c>
      <c r="AG10" t="str">
        <v xml:space="preserve"> Ready for Development</v>
      </c>
    </row>
    <row r="11" spans="1:33" x14ac:dyDescent="0.2">
      <c r="B11">
        <v>9</v>
      </c>
      <c r="C11" t="s">
        <v>7</v>
      </c>
      <c r="D11" t="s">
        <v>4</v>
      </c>
      <c r="E11" s="17" t="str">
        <f t="shared" si="0"/>
        <v>Operations</v>
      </c>
      <c r="F11" s="17">
        <f t="shared" si="4"/>
        <v>1</v>
      </c>
      <c r="G11" s="17">
        <f t="shared" si="1"/>
        <v>3</v>
      </c>
      <c r="H11" s="8">
        <v>1</v>
      </c>
      <c r="J11" t="s">
        <v>15</v>
      </c>
      <c r="K11" t="s">
        <v>12</v>
      </c>
      <c r="L11">
        <f t="shared" si="10"/>
        <v>13</v>
      </c>
      <c r="M11" s="16">
        <f t="shared" si="11"/>
        <v>32</v>
      </c>
      <c r="N11">
        <f t="shared" si="7"/>
        <v>13</v>
      </c>
      <c r="O11" s="16">
        <f t="shared" si="12"/>
        <v>0</v>
      </c>
      <c r="V11" s="3">
        <f t="shared" si="2"/>
        <v>0</v>
      </c>
      <c r="X11" s="17" t="str">
        <v>EDO</v>
      </c>
      <c r="Y11" s="3">
        <f t="shared" si="3"/>
        <v>7</v>
      </c>
      <c r="Z11" s="17" t="str">
        <f t="shared" si="9"/>
        <v>Operations</v>
      </c>
      <c r="AB11" t="s">
        <v>25</v>
      </c>
      <c r="AC11" t="s">
        <v>5</v>
      </c>
      <c r="AE11" s="22" t="s">
        <v>115</v>
      </c>
      <c r="AF11" t="str" cm="1">
        <f t="array" ref="AF11:AG11">_xlfn.TEXTSPLIT(AE11,"&gt;",)</f>
        <v xml:space="preserve"> SOLUTION </v>
      </c>
      <c r="AG11" t="str">
        <v xml:space="preserve"> In Definition</v>
      </c>
    </row>
    <row r="12" spans="1:33" x14ac:dyDescent="0.2">
      <c r="B12">
        <v>10</v>
      </c>
      <c r="C12" t="s">
        <v>59</v>
      </c>
      <c r="D12" t="s">
        <v>4</v>
      </c>
      <c r="E12" s="17" t="str">
        <f t="shared" si="0"/>
        <v>Technology</v>
      </c>
      <c r="F12" s="17">
        <f t="shared" si="4"/>
        <v>1</v>
      </c>
      <c r="G12" s="17">
        <f t="shared" si="1"/>
        <v>5</v>
      </c>
      <c r="H12" s="8">
        <v>1</v>
      </c>
      <c r="J12" t="s">
        <v>15</v>
      </c>
      <c r="K12" t="s">
        <v>6</v>
      </c>
      <c r="L12">
        <f t="shared" si="10"/>
        <v>3</v>
      </c>
      <c r="M12" s="16">
        <f t="shared" si="11"/>
        <v>32</v>
      </c>
      <c r="N12">
        <f t="shared" si="7"/>
        <v>3</v>
      </c>
      <c r="O12" s="16">
        <f t="shared" si="12"/>
        <v>0</v>
      </c>
      <c r="V12" s="3">
        <f t="shared" si="2"/>
        <v>0</v>
      </c>
      <c r="X12" s="17" t="str">
        <v>SI-OPS</v>
      </c>
      <c r="Y12" s="3">
        <f t="shared" si="3"/>
        <v>6</v>
      </c>
      <c r="Z12" s="17" t="str">
        <f t="shared" si="9"/>
        <v>Technology</v>
      </c>
      <c r="AB12" t="s">
        <v>23</v>
      </c>
      <c r="AC12" t="s">
        <v>5</v>
      </c>
    </row>
    <row r="13" spans="1:33" x14ac:dyDescent="0.2">
      <c r="B13">
        <v>11</v>
      </c>
      <c r="C13" t="s">
        <v>36</v>
      </c>
      <c r="D13" t="s">
        <v>4</v>
      </c>
      <c r="E13" s="17" t="str">
        <f t="shared" si="0"/>
        <v>Commercial</v>
      </c>
      <c r="F13" s="17">
        <f t="shared" si="4"/>
        <v>1</v>
      </c>
      <c r="G13" s="17">
        <f t="shared" si="1"/>
        <v>9</v>
      </c>
      <c r="H13" s="8">
        <v>1</v>
      </c>
      <c r="J13" t="s">
        <v>15</v>
      </c>
      <c r="K13" t="s">
        <v>8</v>
      </c>
      <c r="L13">
        <f t="shared" si="10"/>
        <v>5</v>
      </c>
      <c r="M13" s="16">
        <f t="shared" si="11"/>
        <v>32</v>
      </c>
      <c r="N13">
        <f t="shared" si="7"/>
        <v>5</v>
      </c>
      <c r="O13" s="16">
        <f t="shared" si="12"/>
        <v>0</v>
      </c>
      <c r="V13" s="3">
        <f t="shared" si="2"/>
        <v>0</v>
      </c>
      <c r="X13" s="17" t="str">
        <v>DNI</v>
      </c>
      <c r="Y13" s="3">
        <f t="shared" si="3"/>
        <v>6</v>
      </c>
      <c r="Z13" s="17" t="str">
        <f t="shared" si="9"/>
        <v>Commercial</v>
      </c>
      <c r="AB13" t="s">
        <v>24</v>
      </c>
      <c r="AC13" t="s">
        <v>5</v>
      </c>
    </row>
    <row r="14" spans="1:33" x14ac:dyDescent="0.2">
      <c r="B14">
        <v>12</v>
      </c>
      <c r="C14" t="s">
        <v>46</v>
      </c>
      <c r="D14" t="s">
        <v>4</v>
      </c>
      <c r="E14" s="17" t="str">
        <f t="shared" si="0"/>
        <v>Corporate</v>
      </c>
      <c r="F14" s="17">
        <f t="shared" si="4"/>
        <v>1</v>
      </c>
      <c r="G14" s="17">
        <f t="shared" si="1"/>
        <v>13</v>
      </c>
      <c r="H14" s="8">
        <v>1</v>
      </c>
      <c r="J14" s="23" t="s">
        <v>15</v>
      </c>
      <c r="K14" s="23" t="s">
        <v>74</v>
      </c>
      <c r="L14" s="23">
        <f>COUNTIFS(E:E,K14,D:D,J14)</f>
        <v>1</v>
      </c>
      <c r="M14" s="16">
        <f t="shared" si="11"/>
        <v>32</v>
      </c>
      <c r="N14">
        <f t="shared" si="7"/>
        <v>1</v>
      </c>
      <c r="O14" s="16">
        <f t="shared" si="12"/>
        <v>0</v>
      </c>
      <c r="V14" s="3">
        <f t="shared" si="2"/>
        <v>0</v>
      </c>
      <c r="X14" s="17" t="str">
        <v>AVC</v>
      </c>
      <c r="Y14" s="3">
        <f t="shared" si="3"/>
        <v>6</v>
      </c>
      <c r="Z14" s="17" t="str">
        <f t="shared" si="9"/>
        <v>Corporate</v>
      </c>
      <c r="AB14" t="s">
        <v>37</v>
      </c>
      <c r="AC14" t="s">
        <v>5</v>
      </c>
    </row>
    <row r="15" spans="1:33" x14ac:dyDescent="0.2">
      <c r="B15">
        <v>13</v>
      </c>
      <c r="C15" t="s">
        <v>42</v>
      </c>
      <c r="D15" t="s">
        <v>4</v>
      </c>
      <c r="E15" s="17" t="str">
        <f t="shared" si="0"/>
        <v>Operations</v>
      </c>
      <c r="F15" s="17">
        <f t="shared" si="4"/>
        <v>1</v>
      </c>
      <c r="G15" s="17">
        <f t="shared" si="1"/>
        <v>3</v>
      </c>
      <c r="H15" s="8">
        <v>1</v>
      </c>
      <c r="J15" s="24" t="s">
        <v>4</v>
      </c>
      <c r="K15" s="24" t="s">
        <v>11</v>
      </c>
      <c r="L15">
        <f t="shared" ref="L15:L38" si="13">COUNTIFS(E:E,K15,D:D,J15)</f>
        <v>1</v>
      </c>
      <c r="M15" s="16">
        <f t="shared" si="11"/>
        <v>32</v>
      </c>
      <c r="N15">
        <f t="shared" si="7"/>
        <v>1</v>
      </c>
      <c r="O15" s="16">
        <f t="shared" si="12"/>
        <v>0</v>
      </c>
      <c r="V15" s="7"/>
      <c r="X15" s="17" t="str">
        <v>EM</v>
      </c>
      <c r="Y15" s="3">
        <f t="shared" si="3"/>
        <v>6</v>
      </c>
      <c r="Z15" s="17" t="str">
        <f t="shared" si="9"/>
        <v>Operations</v>
      </c>
      <c r="AB15" t="s">
        <v>68</v>
      </c>
      <c r="AC15" t="s">
        <v>5</v>
      </c>
    </row>
    <row r="16" spans="1:33" x14ac:dyDescent="0.2">
      <c r="B16">
        <v>14</v>
      </c>
      <c r="C16" t="s">
        <v>58</v>
      </c>
      <c r="D16" t="s">
        <v>4</v>
      </c>
      <c r="E16" s="17" t="str">
        <f t="shared" si="0"/>
        <v>Technology</v>
      </c>
      <c r="F16" s="17">
        <f t="shared" si="4"/>
        <v>1</v>
      </c>
      <c r="G16" s="17">
        <f t="shared" si="1"/>
        <v>5</v>
      </c>
      <c r="H16" s="8">
        <v>1</v>
      </c>
      <c r="J16" t="s">
        <v>4</v>
      </c>
      <c r="K16" t="s">
        <v>5</v>
      </c>
      <c r="L16">
        <f>COUNTIFS(E:E,K16,D:D,J16)</f>
        <v>9</v>
      </c>
      <c r="M16" s="16">
        <f t="shared" si="11"/>
        <v>32</v>
      </c>
      <c r="N16">
        <f t="shared" si="7"/>
        <v>9</v>
      </c>
      <c r="O16" s="16">
        <f t="shared" si="12"/>
        <v>0</v>
      </c>
      <c r="V16" s="7"/>
      <c r="X16" s="17" t="str">
        <v>SI-PRD</v>
      </c>
      <c r="Y16" s="3">
        <f t="shared" si="3"/>
        <v>6</v>
      </c>
      <c r="Z16" s="17" t="str">
        <f t="shared" si="9"/>
        <v>Technology</v>
      </c>
      <c r="AB16" t="s">
        <v>44</v>
      </c>
      <c r="AC16" t="s">
        <v>12</v>
      </c>
    </row>
    <row r="17" spans="2:29" x14ac:dyDescent="0.2">
      <c r="B17">
        <v>15</v>
      </c>
      <c r="C17" t="s">
        <v>38</v>
      </c>
      <c r="D17" t="s">
        <v>4</v>
      </c>
      <c r="E17" s="17" t="str">
        <f t="shared" si="0"/>
        <v>Commercial</v>
      </c>
      <c r="F17" s="17">
        <f t="shared" si="4"/>
        <v>1</v>
      </c>
      <c r="G17" s="17">
        <f t="shared" si="1"/>
        <v>9</v>
      </c>
      <c r="H17" s="8">
        <v>1</v>
      </c>
      <c r="J17" t="s">
        <v>4</v>
      </c>
      <c r="K17" t="s">
        <v>12</v>
      </c>
      <c r="L17">
        <f t="shared" si="13"/>
        <v>13</v>
      </c>
      <c r="M17" s="16">
        <f t="shared" si="11"/>
        <v>32</v>
      </c>
      <c r="N17">
        <f t="shared" si="7"/>
        <v>13</v>
      </c>
      <c r="O17" s="16">
        <f t="shared" si="12"/>
        <v>0</v>
      </c>
      <c r="V17" s="7"/>
      <c r="X17" s="17" t="str">
        <v>CSI</v>
      </c>
      <c r="Y17" s="3">
        <f t="shared" si="3"/>
        <v>6</v>
      </c>
      <c r="Z17" s="17" t="str">
        <f t="shared" si="9"/>
        <v>Commercial</v>
      </c>
      <c r="AB17" t="s">
        <v>67</v>
      </c>
      <c r="AC17" t="s">
        <v>12</v>
      </c>
    </row>
    <row r="18" spans="2:29" x14ac:dyDescent="0.2">
      <c r="B18">
        <v>16</v>
      </c>
      <c r="C18" t="s">
        <v>47</v>
      </c>
      <c r="D18" t="s">
        <v>4</v>
      </c>
      <c r="E18" s="17" t="str">
        <f t="shared" si="0"/>
        <v>Corporate</v>
      </c>
      <c r="F18" s="17">
        <f t="shared" si="4"/>
        <v>1</v>
      </c>
      <c r="G18" s="17">
        <f t="shared" si="1"/>
        <v>13</v>
      </c>
      <c r="H18" s="8">
        <v>1</v>
      </c>
      <c r="J18" t="s">
        <v>4</v>
      </c>
      <c r="K18" t="s">
        <v>6</v>
      </c>
      <c r="L18">
        <f t="shared" si="13"/>
        <v>3</v>
      </c>
      <c r="M18" s="16">
        <f t="shared" si="11"/>
        <v>32</v>
      </c>
      <c r="N18">
        <f t="shared" si="7"/>
        <v>3</v>
      </c>
      <c r="O18" s="16">
        <f t="shared" si="12"/>
        <v>0</v>
      </c>
      <c r="V18" s="7"/>
      <c r="X18" s="17" t="str">
        <v>GT</v>
      </c>
      <c r="Y18" s="3">
        <f t="shared" si="3"/>
        <v>6</v>
      </c>
      <c r="Z18" s="17" t="str">
        <f t="shared" si="9"/>
        <v>Corporate</v>
      </c>
      <c r="AB18" t="s">
        <v>46</v>
      </c>
      <c r="AC18" t="s">
        <v>12</v>
      </c>
    </row>
    <row r="19" spans="2:29" x14ac:dyDescent="0.2">
      <c r="B19">
        <v>17</v>
      </c>
      <c r="C19" t="s">
        <v>34</v>
      </c>
      <c r="D19" t="s">
        <v>4</v>
      </c>
      <c r="E19" s="17" t="str">
        <f t="shared" si="0"/>
        <v>Technology</v>
      </c>
      <c r="F19" s="17">
        <f t="shared" si="4"/>
        <v>1</v>
      </c>
      <c r="G19" s="17">
        <f t="shared" si="1"/>
        <v>5</v>
      </c>
      <c r="H19" s="8">
        <v>1</v>
      </c>
      <c r="J19" t="s">
        <v>4</v>
      </c>
      <c r="K19" t="s">
        <v>8</v>
      </c>
      <c r="L19">
        <f t="shared" si="13"/>
        <v>5</v>
      </c>
      <c r="M19" s="16">
        <f t="shared" si="11"/>
        <v>32</v>
      </c>
      <c r="N19">
        <f t="shared" si="7"/>
        <v>5</v>
      </c>
      <c r="O19" s="16">
        <f t="shared" si="12"/>
        <v>0</v>
      </c>
      <c r="V19" s="7"/>
      <c r="X19" s="17" t="str">
        <v>BCTT</v>
      </c>
      <c r="Y19" s="3">
        <f t="shared" si="3"/>
        <v>6</v>
      </c>
      <c r="Z19" s="17" t="str">
        <f t="shared" si="9"/>
        <v>Technology</v>
      </c>
      <c r="AB19" t="s">
        <v>22</v>
      </c>
      <c r="AC19" t="s">
        <v>12</v>
      </c>
    </row>
    <row r="20" spans="2:29" x14ac:dyDescent="0.2">
      <c r="B20">
        <v>18</v>
      </c>
      <c r="C20" t="s">
        <v>25</v>
      </c>
      <c r="D20" t="s">
        <v>4</v>
      </c>
      <c r="E20" s="17" t="str">
        <f t="shared" si="0"/>
        <v>Commercial</v>
      </c>
      <c r="F20" s="17">
        <f t="shared" si="4"/>
        <v>1</v>
      </c>
      <c r="G20" s="17">
        <f t="shared" si="1"/>
        <v>9</v>
      </c>
      <c r="H20" s="8">
        <v>1</v>
      </c>
      <c r="J20" s="23" t="s">
        <v>4</v>
      </c>
      <c r="K20" s="23" t="s">
        <v>74</v>
      </c>
      <c r="L20" s="23">
        <f t="shared" si="13"/>
        <v>1</v>
      </c>
      <c r="M20" s="16">
        <f t="shared" si="11"/>
        <v>32</v>
      </c>
      <c r="N20">
        <f t="shared" si="7"/>
        <v>1</v>
      </c>
      <c r="O20" s="16">
        <f t="shared" si="12"/>
        <v>0</v>
      </c>
      <c r="V20" s="7"/>
      <c r="X20" s="17" t="str">
        <v>GP B2C</v>
      </c>
      <c r="Y20" s="3">
        <f t="shared" si="3"/>
        <v>6</v>
      </c>
      <c r="Z20" s="17" t="str">
        <f t="shared" si="9"/>
        <v>Commercial</v>
      </c>
      <c r="AB20" t="s">
        <v>69</v>
      </c>
      <c r="AC20" t="s">
        <v>12</v>
      </c>
    </row>
    <row r="21" spans="2:29" x14ac:dyDescent="0.2">
      <c r="B21">
        <v>19</v>
      </c>
      <c r="C21" t="s">
        <v>35</v>
      </c>
      <c r="D21" t="s">
        <v>4</v>
      </c>
      <c r="E21" s="17" t="str">
        <f t="shared" si="0"/>
        <v>Corporate</v>
      </c>
      <c r="F21" s="17">
        <f t="shared" si="4"/>
        <v>1</v>
      </c>
      <c r="G21" s="17">
        <f t="shared" si="1"/>
        <v>13</v>
      </c>
      <c r="H21" s="8">
        <v>1</v>
      </c>
      <c r="J21" s="24" t="s">
        <v>17</v>
      </c>
      <c r="K21" s="24" t="s">
        <v>11</v>
      </c>
      <c r="L21">
        <f t="shared" si="13"/>
        <v>1</v>
      </c>
      <c r="M21" s="16">
        <f t="shared" si="11"/>
        <v>32</v>
      </c>
      <c r="N21">
        <f t="shared" si="7"/>
        <v>1</v>
      </c>
      <c r="O21" s="16">
        <f t="shared" si="12"/>
        <v>0</v>
      </c>
      <c r="V21" s="7"/>
      <c r="X21" s="17" t="str">
        <v>GRH</v>
      </c>
      <c r="Y21" s="3">
        <f t="shared" si="3"/>
        <v>6</v>
      </c>
      <c r="Z21" s="17" t="str">
        <f t="shared" si="9"/>
        <v>Corporate</v>
      </c>
      <c r="AB21" t="s">
        <v>72</v>
      </c>
      <c r="AC21" t="s">
        <v>12</v>
      </c>
    </row>
    <row r="22" spans="2:29" x14ac:dyDescent="0.2">
      <c r="B22">
        <v>20</v>
      </c>
      <c r="C22" t="s">
        <v>60</v>
      </c>
      <c r="D22" t="s">
        <v>4</v>
      </c>
      <c r="E22" s="17" t="str">
        <f t="shared" si="0"/>
        <v>Technology</v>
      </c>
      <c r="F22" s="17">
        <f t="shared" si="4"/>
        <v>1</v>
      </c>
      <c r="G22" s="17">
        <f t="shared" si="1"/>
        <v>5</v>
      </c>
      <c r="H22" s="8">
        <v>1</v>
      </c>
      <c r="J22" t="s">
        <v>17</v>
      </c>
      <c r="K22" t="s">
        <v>5</v>
      </c>
      <c r="L22">
        <f t="shared" si="13"/>
        <v>8</v>
      </c>
      <c r="M22" s="16">
        <f t="shared" si="11"/>
        <v>32</v>
      </c>
      <c r="N22">
        <f t="shared" si="7"/>
        <v>8</v>
      </c>
      <c r="O22" s="16">
        <f t="shared" si="12"/>
        <v>0</v>
      </c>
      <c r="V22" s="7"/>
      <c r="X22" s="17" t="str">
        <v>SI-CRP</v>
      </c>
      <c r="Y22" s="3">
        <f t="shared" si="3"/>
        <v>6</v>
      </c>
      <c r="Z22" s="17" t="str">
        <f t="shared" si="9"/>
        <v>Technology</v>
      </c>
      <c r="AB22" t="s">
        <v>48</v>
      </c>
      <c r="AC22" t="s">
        <v>12</v>
      </c>
    </row>
    <row r="23" spans="2:29" x14ac:dyDescent="0.2">
      <c r="B23">
        <v>21</v>
      </c>
      <c r="C23" t="s">
        <v>23</v>
      </c>
      <c r="D23" t="s">
        <v>4</v>
      </c>
      <c r="E23" s="17" t="str">
        <f t="shared" si="0"/>
        <v>Commercial</v>
      </c>
      <c r="F23" s="17">
        <f t="shared" si="4"/>
        <v>1</v>
      </c>
      <c r="G23" s="17">
        <f t="shared" si="1"/>
        <v>9</v>
      </c>
      <c r="H23" s="8">
        <v>1</v>
      </c>
      <c r="J23" t="s">
        <v>17</v>
      </c>
      <c r="K23" t="s">
        <v>12</v>
      </c>
      <c r="L23">
        <f t="shared" si="13"/>
        <v>8</v>
      </c>
      <c r="M23" s="16">
        <f t="shared" si="11"/>
        <v>32</v>
      </c>
      <c r="N23">
        <f t="shared" si="7"/>
        <v>8</v>
      </c>
      <c r="O23" s="16">
        <f t="shared" si="12"/>
        <v>0</v>
      </c>
      <c r="V23" s="7"/>
      <c r="X23" s="17" t="str">
        <v>GP ECL</v>
      </c>
      <c r="Y23" s="3">
        <f t="shared" si="3"/>
        <v>6</v>
      </c>
      <c r="Z23" s="17" t="str">
        <f t="shared" si="9"/>
        <v>Commercial</v>
      </c>
      <c r="AB23" t="s">
        <v>50</v>
      </c>
      <c r="AC23" t="s">
        <v>12</v>
      </c>
    </row>
    <row r="24" spans="2:29" x14ac:dyDescent="0.2">
      <c r="B24">
        <v>22</v>
      </c>
      <c r="C24" t="s">
        <v>98</v>
      </c>
      <c r="D24" t="s">
        <v>4</v>
      </c>
      <c r="E24" s="17" t="str">
        <f t="shared" si="0"/>
        <v>Corporate</v>
      </c>
      <c r="F24" s="17">
        <f t="shared" si="4"/>
        <v>1</v>
      </c>
      <c r="G24" s="17">
        <f t="shared" si="1"/>
        <v>13</v>
      </c>
      <c r="H24" s="8">
        <v>1</v>
      </c>
      <c r="J24" t="s">
        <v>17</v>
      </c>
      <c r="K24" t="s">
        <v>6</v>
      </c>
      <c r="L24">
        <f t="shared" si="13"/>
        <v>3</v>
      </c>
      <c r="M24" s="16">
        <f t="shared" si="11"/>
        <v>32</v>
      </c>
      <c r="N24">
        <f t="shared" si="7"/>
        <v>3</v>
      </c>
      <c r="O24" s="16">
        <f t="shared" si="12"/>
        <v>0</v>
      </c>
      <c r="V24" s="7"/>
      <c r="X24" s="17" t="str">
        <v>PC</v>
      </c>
      <c r="Y24" s="3">
        <f t="shared" si="3"/>
        <v>6</v>
      </c>
      <c r="Z24" s="17" t="str">
        <f t="shared" si="9"/>
        <v>Corporate</v>
      </c>
      <c r="AB24" t="s">
        <v>73</v>
      </c>
      <c r="AC24" t="s">
        <v>12</v>
      </c>
    </row>
    <row r="25" spans="2:29" x14ac:dyDescent="0.2">
      <c r="B25">
        <v>23</v>
      </c>
      <c r="C25" t="s">
        <v>24</v>
      </c>
      <c r="D25" t="s">
        <v>4</v>
      </c>
      <c r="E25" s="17" t="str">
        <f t="shared" si="0"/>
        <v>Commercial</v>
      </c>
      <c r="F25" s="17">
        <f t="shared" si="4"/>
        <v>1</v>
      </c>
      <c r="G25" s="17">
        <f t="shared" si="1"/>
        <v>9</v>
      </c>
      <c r="H25" s="8">
        <v>1</v>
      </c>
      <c r="J25" t="s">
        <v>17</v>
      </c>
      <c r="K25" t="s">
        <v>8</v>
      </c>
      <c r="L25">
        <f t="shared" si="13"/>
        <v>5</v>
      </c>
      <c r="M25" s="16">
        <f t="shared" si="11"/>
        <v>32</v>
      </c>
      <c r="N25">
        <f t="shared" si="7"/>
        <v>5</v>
      </c>
      <c r="O25" s="16">
        <f t="shared" si="12"/>
        <v>0</v>
      </c>
      <c r="V25" s="7"/>
      <c r="X25" s="17" t="str">
        <v>GPG</v>
      </c>
      <c r="Y25" s="3">
        <f t="shared" si="3"/>
        <v>6</v>
      </c>
      <c r="Z25" s="17" t="str">
        <f t="shared" si="9"/>
        <v>Commercial</v>
      </c>
      <c r="AB25" t="s">
        <v>54</v>
      </c>
      <c r="AC25" t="s">
        <v>12</v>
      </c>
    </row>
    <row r="26" spans="2:29" x14ac:dyDescent="0.2">
      <c r="B26">
        <v>24</v>
      </c>
      <c r="C26" t="s">
        <v>45</v>
      </c>
      <c r="D26" t="s">
        <v>4</v>
      </c>
      <c r="E26" s="17" t="str">
        <f t="shared" si="0"/>
        <v>Corporate</v>
      </c>
      <c r="F26" s="17">
        <f t="shared" si="4"/>
        <v>1</v>
      </c>
      <c r="G26" s="17">
        <f t="shared" si="1"/>
        <v>13</v>
      </c>
      <c r="H26" s="8">
        <v>1</v>
      </c>
      <c r="J26" s="23" t="s">
        <v>17</v>
      </c>
      <c r="K26" s="23" t="s">
        <v>74</v>
      </c>
      <c r="L26" s="23">
        <f t="shared" si="13"/>
        <v>7</v>
      </c>
      <c r="M26" s="16">
        <f t="shared" si="11"/>
        <v>32</v>
      </c>
      <c r="N26">
        <f t="shared" si="7"/>
        <v>7</v>
      </c>
      <c r="O26" s="16">
        <f t="shared" si="12"/>
        <v>0</v>
      </c>
      <c r="V26" s="7"/>
      <c r="X26" s="17" t="str">
        <v>RS</v>
      </c>
      <c r="Y26" s="3">
        <f t="shared" si="3"/>
        <v>6</v>
      </c>
      <c r="Z26" s="17" t="str">
        <f t="shared" si="9"/>
        <v>Corporate</v>
      </c>
      <c r="AB26" t="s">
        <v>56</v>
      </c>
      <c r="AC26" t="s">
        <v>12</v>
      </c>
    </row>
    <row r="27" spans="2:29" x14ac:dyDescent="0.2">
      <c r="B27">
        <v>25</v>
      </c>
      <c r="C27" t="s">
        <v>40</v>
      </c>
      <c r="D27" t="s">
        <v>4</v>
      </c>
      <c r="E27" s="17" t="str">
        <f t="shared" si="0"/>
        <v>Commercial</v>
      </c>
      <c r="F27" s="17">
        <f t="shared" si="4"/>
        <v>1</v>
      </c>
      <c r="G27" s="17">
        <f t="shared" si="1"/>
        <v>9</v>
      </c>
      <c r="H27" s="8">
        <v>1</v>
      </c>
      <c r="J27" s="24" t="s">
        <v>16</v>
      </c>
      <c r="K27" s="24" t="s">
        <v>11</v>
      </c>
      <c r="L27">
        <f t="shared" si="13"/>
        <v>1</v>
      </c>
      <c r="M27" s="16">
        <f t="shared" si="11"/>
        <v>32</v>
      </c>
      <c r="N27">
        <f t="shared" si="7"/>
        <v>1</v>
      </c>
      <c r="O27" s="16">
        <f t="shared" si="12"/>
        <v>0</v>
      </c>
      <c r="V27" s="7"/>
      <c r="X27" s="17" t="str">
        <v>ECM</v>
      </c>
      <c r="Y27" s="3">
        <f t="shared" si="3"/>
        <v>6</v>
      </c>
      <c r="Z27" s="17" t="str">
        <f t="shared" si="9"/>
        <v>Commercial</v>
      </c>
      <c r="AB27" t="s">
        <v>35</v>
      </c>
      <c r="AC27" t="s">
        <v>12</v>
      </c>
    </row>
    <row r="28" spans="2:29" x14ac:dyDescent="0.2">
      <c r="B28">
        <v>26</v>
      </c>
      <c r="C28" t="s">
        <v>48</v>
      </c>
      <c r="D28" t="s">
        <v>4</v>
      </c>
      <c r="E28" s="17" t="str">
        <f t="shared" si="0"/>
        <v>Corporate</v>
      </c>
      <c r="F28" s="17">
        <f t="shared" si="4"/>
        <v>1</v>
      </c>
      <c r="G28" s="17">
        <f t="shared" si="1"/>
        <v>13</v>
      </c>
      <c r="H28" s="8">
        <v>1</v>
      </c>
      <c r="J28" t="s">
        <v>16</v>
      </c>
      <c r="K28" t="s">
        <v>5</v>
      </c>
      <c r="L28">
        <f t="shared" si="13"/>
        <v>9</v>
      </c>
      <c r="M28" s="16">
        <f t="shared" si="11"/>
        <v>32</v>
      </c>
      <c r="N28">
        <f t="shared" si="7"/>
        <v>9</v>
      </c>
      <c r="O28" s="16">
        <f t="shared" si="12"/>
        <v>0</v>
      </c>
      <c r="V28" s="7"/>
      <c r="X28" s="17" t="str">
        <v>CL</v>
      </c>
      <c r="Y28" s="3">
        <f t="shared" si="3"/>
        <v>6</v>
      </c>
      <c r="Z28" s="17" t="str">
        <f t="shared" si="9"/>
        <v>Corporate</v>
      </c>
      <c r="AB28" t="s">
        <v>47</v>
      </c>
      <c r="AC28" t="s">
        <v>12</v>
      </c>
    </row>
    <row r="29" spans="2:29" x14ac:dyDescent="0.2">
      <c r="B29">
        <v>27</v>
      </c>
      <c r="C29" t="s">
        <v>39</v>
      </c>
      <c r="D29" t="s">
        <v>4</v>
      </c>
      <c r="E29" s="17" t="str">
        <f t="shared" si="0"/>
        <v>Commercial</v>
      </c>
      <c r="F29" s="17">
        <f t="shared" si="4"/>
        <v>1</v>
      </c>
      <c r="G29" s="17">
        <f t="shared" si="1"/>
        <v>9</v>
      </c>
      <c r="H29" s="8">
        <v>1</v>
      </c>
      <c r="J29" t="s">
        <v>16</v>
      </c>
      <c r="K29" t="s">
        <v>12</v>
      </c>
      <c r="L29">
        <f t="shared" si="13"/>
        <v>13</v>
      </c>
      <c r="M29" s="16">
        <f t="shared" si="11"/>
        <v>32</v>
      </c>
      <c r="N29">
        <f t="shared" si="7"/>
        <v>13</v>
      </c>
      <c r="O29" s="16">
        <f t="shared" si="12"/>
        <v>0</v>
      </c>
      <c r="V29" s="7"/>
      <c r="X29" s="17" t="str">
        <v>CTTE</v>
      </c>
      <c r="Y29" s="3">
        <f t="shared" si="3"/>
        <v>6</v>
      </c>
      <c r="Z29" s="17" t="str">
        <f t="shared" si="9"/>
        <v>Commercial</v>
      </c>
      <c r="AB29" t="s">
        <v>98</v>
      </c>
      <c r="AC29" t="s">
        <v>12</v>
      </c>
    </row>
    <row r="30" spans="2:29" x14ac:dyDescent="0.2">
      <c r="B30">
        <v>28</v>
      </c>
      <c r="C30" t="s">
        <v>54</v>
      </c>
      <c r="D30" t="s">
        <v>4</v>
      </c>
      <c r="E30" s="17" t="str">
        <f t="shared" si="0"/>
        <v>Corporate</v>
      </c>
      <c r="F30" s="17">
        <f t="shared" si="4"/>
        <v>1</v>
      </c>
      <c r="G30" s="17">
        <f t="shared" si="1"/>
        <v>13</v>
      </c>
      <c r="H30" s="8">
        <v>1</v>
      </c>
      <c r="J30" t="s">
        <v>16</v>
      </c>
      <c r="K30" t="s">
        <v>6</v>
      </c>
      <c r="L30">
        <f t="shared" si="13"/>
        <v>3</v>
      </c>
      <c r="M30" s="16">
        <f t="shared" si="11"/>
        <v>32</v>
      </c>
      <c r="N30">
        <f t="shared" si="7"/>
        <v>3</v>
      </c>
      <c r="O30" s="16">
        <f t="shared" si="12"/>
        <v>0</v>
      </c>
      <c r="V30" s="7"/>
      <c r="X30" s="17" t="str">
        <v>DPO</v>
      </c>
      <c r="Y30" s="3">
        <f t="shared" si="3"/>
        <v>6</v>
      </c>
      <c r="Z30" s="17" t="str">
        <f t="shared" si="9"/>
        <v>Corporate</v>
      </c>
      <c r="AB30" t="s">
        <v>71</v>
      </c>
      <c r="AC30" t="s">
        <v>12</v>
      </c>
    </row>
    <row r="31" spans="2:29" x14ac:dyDescent="0.2">
      <c r="B31">
        <v>29</v>
      </c>
      <c r="C31" t="s">
        <v>50</v>
      </c>
      <c r="D31" t="s">
        <v>4</v>
      </c>
      <c r="E31" s="17" t="str">
        <f t="shared" si="0"/>
        <v>Corporate</v>
      </c>
      <c r="F31" s="17">
        <f t="shared" si="4"/>
        <v>1</v>
      </c>
      <c r="G31" s="17">
        <f t="shared" si="1"/>
        <v>13</v>
      </c>
      <c r="H31" s="8">
        <v>1</v>
      </c>
      <c r="J31" t="s">
        <v>16</v>
      </c>
      <c r="K31" t="s">
        <v>8</v>
      </c>
      <c r="L31">
        <f t="shared" si="13"/>
        <v>5</v>
      </c>
      <c r="M31" s="16">
        <f t="shared" si="11"/>
        <v>32</v>
      </c>
      <c r="N31">
        <f t="shared" si="7"/>
        <v>5</v>
      </c>
      <c r="O31" s="16">
        <f t="shared" si="12"/>
        <v>0</v>
      </c>
      <c r="V31" s="7"/>
      <c r="X31" s="17" t="str">
        <v>CMP</v>
      </c>
      <c r="Y31" s="3">
        <f t="shared" si="3"/>
        <v>6</v>
      </c>
      <c r="Z31" s="17" t="str">
        <f t="shared" si="9"/>
        <v>Corporate</v>
      </c>
      <c r="AB31" t="s">
        <v>45</v>
      </c>
      <c r="AC31" t="s">
        <v>12</v>
      </c>
    </row>
    <row r="32" spans="2:29" x14ac:dyDescent="0.2">
      <c r="B32">
        <v>30</v>
      </c>
      <c r="C32" t="s">
        <v>51</v>
      </c>
      <c r="D32" t="s">
        <v>4</v>
      </c>
      <c r="E32" s="17" t="str">
        <f t="shared" si="0"/>
        <v>Corporate</v>
      </c>
      <c r="F32" s="17">
        <f t="shared" si="4"/>
        <v>1</v>
      </c>
      <c r="G32" s="17">
        <f t="shared" si="1"/>
        <v>13</v>
      </c>
      <c r="H32" s="8">
        <v>1</v>
      </c>
      <c r="J32" s="23" t="s">
        <v>16</v>
      </c>
      <c r="K32" s="23" t="s">
        <v>74</v>
      </c>
      <c r="L32" s="23">
        <f t="shared" si="13"/>
        <v>1</v>
      </c>
      <c r="M32" s="16">
        <f t="shared" si="11"/>
        <v>32</v>
      </c>
      <c r="N32">
        <f t="shared" si="7"/>
        <v>1</v>
      </c>
      <c r="O32" s="16">
        <f t="shared" si="12"/>
        <v>0</v>
      </c>
      <c r="V32" s="7"/>
      <c r="X32" s="17" t="str">
        <v>ST</v>
      </c>
      <c r="Y32" s="3">
        <f t="shared" si="3"/>
        <v>6</v>
      </c>
      <c r="Z32" s="17" t="str">
        <f t="shared" si="9"/>
        <v>Corporate</v>
      </c>
      <c r="AB32" t="s">
        <v>51</v>
      </c>
      <c r="AC32" t="s">
        <v>12</v>
      </c>
    </row>
    <row r="33" spans="2:29" x14ac:dyDescent="0.2">
      <c r="B33">
        <v>31</v>
      </c>
      <c r="C33" t="s">
        <v>56</v>
      </c>
      <c r="D33" t="s">
        <v>4</v>
      </c>
      <c r="E33" s="17" t="str">
        <f t="shared" si="0"/>
        <v>Corporate</v>
      </c>
      <c r="F33" s="17">
        <f t="shared" si="4"/>
        <v>1</v>
      </c>
      <c r="G33" s="17">
        <f t="shared" si="1"/>
        <v>13</v>
      </c>
      <c r="H33" s="8">
        <v>1</v>
      </c>
      <c r="J33" s="24" t="s">
        <v>14</v>
      </c>
      <c r="K33" s="24" t="s">
        <v>11</v>
      </c>
      <c r="L33">
        <f t="shared" si="13"/>
        <v>1</v>
      </c>
      <c r="M33" s="16">
        <f t="shared" si="11"/>
        <v>32</v>
      </c>
      <c r="N33">
        <f t="shared" si="7"/>
        <v>1</v>
      </c>
      <c r="O33" s="16">
        <f t="shared" si="12"/>
        <v>0</v>
      </c>
      <c r="V33" s="7"/>
      <c r="X33" s="17" t="str">
        <v>FL</v>
      </c>
      <c r="Y33" s="3">
        <f t="shared" si="3"/>
        <v>6</v>
      </c>
      <c r="Z33" s="17" t="str">
        <f t="shared" si="9"/>
        <v>Corporate</v>
      </c>
      <c r="AB33" t="s">
        <v>53</v>
      </c>
      <c r="AC33" t="s">
        <v>12</v>
      </c>
    </row>
    <row r="34" spans="2:29" x14ac:dyDescent="0.2">
      <c r="B34">
        <v>32</v>
      </c>
      <c r="C34" t="s">
        <v>53</v>
      </c>
      <c r="D34" t="s">
        <v>4</v>
      </c>
      <c r="E34" s="17" t="str">
        <f t="shared" si="0"/>
        <v>Corporate</v>
      </c>
      <c r="F34" s="17">
        <f t="shared" si="4"/>
        <v>1</v>
      </c>
      <c r="G34" s="17">
        <f t="shared" si="1"/>
        <v>13</v>
      </c>
      <c r="H34" s="8">
        <v>1</v>
      </c>
      <c r="J34" t="s">
        <v>14</v>
      </c>
      <c r="K34" t="s">
        <v>5</v>
      </c>
      <c r="L34">
        <f t="shared" si="13"/>
        <v>9</v>
      </c>
      <c r="M34" s="16">
        <f t="shared" si="11"/>
        <v>32</v>
      </c>
      <c r="N34">
        <f t="shared" si="7"/>
        <v>9</v>
      </c>
      <c r="O34" s="16">
        <f t="shared" si="12"/>
        <v>0</v>
      </c>
      <c r="V34" s="7"/>
      <c r="X34" s="17" t="str">
        <v>TF</v>
      </c>
      <c r="Y34" s="3">
        <f t="shared" si="3"/>
        <v>6</v>
      </c>
      <c r="Z34" s="17" t="str">
        <f t="shared" si="9"/>
        <v>Corporate</v>
      </c>
      <c r="AB34" t="s">
        <v>64</v>
      </c>
      <c r="AC34" t="s">
        <v>6</v>
      </c>
    </row>
    <row r="35" spans="2:29" x14ac:dyDescent="0.2">
      <c r="B35">
        <v>1</v>
      </c>
      <c r="C35" t="s">
        <v>64</v>
      </c>
      <c r="D35" t="s">
        <v>10</v>
      </c>
      <c r="E35" s="17" t="str">
        <f t="shared" si="0"/>
        <v>Operations</v>
      </c>
      <c r="F35" s="25">
        <v>2</v>
      </c>
      <c r="G35" s="17">
        <f>SUMIFS($H$2:$H$1000,$E$2:$E$1000,E35,$D$2:$D$1000,D35)</f>
        <v>7</v>
      </c>
      <c r="H35" s="8">
        <v>2</v>
      </c>
      <c r="J35" t="s">
        <v>14</v>
      </c>
      <c r="K35" t="s">
        <v>12</v>
      </c>
      <c r="L35">
        <f t="shared" si="13"/>
        <v>13</v>
      </c>
      <c r="M35" s="16">
        <f t="shared" si="11"/>
        <v>32</v>
      </c>
      <c r="N35">
        <f t="shared" si="7"/>
        <v>13</v>
      </c>
      <c r="O35" s="16">
        <f t="shared" si="12"/>
        <v>0</v>
      </c>
      <c r="V35" s="7"/>
      <c r="X35" s="17" t="str">
        <v>COO</v>
      </c>
      <c r="Y35" s="3">
        <f t="shared" si="3"/>
        <v>2</v>
      </c>
      <c r="Z35" s="17" t="str">
        <f t="shared" si="9"/>
        <v>Operations</v>
      </c>
      <c r="AB35" t="s">
        <v>7</v>
      </c>
      <c r="AC35" t="s">
        <v>6</v>
      </c>
    </row>
    <row r="36" spans="2:29" x14ac:dyDescent="0.2">
      <c r="B36">
        <v>2</v>
      </c>
      <c r="C36" t="s">
        <v>23</v>
      </c>
      <c r="D36" t="s">
        <v>10</v>
      </c>
      <c r="E36" s="17" t="str">
        <f t="shared" si="0"/>
        <v>Commercial</v>
      </c>
      <c r="F36" s="17">
        <f t="shared" si="4"/>
        <v>1</v>
      </c>
      <c r="G36" s="17">
        <f t="shared" si="1"/>
        <v>12</v>
      </c>
      <c r="H36" s="8">
        <v>1</v>
      </c>
      <c r="J36" t="s">
        <v>14</v>
      </c>
      <c r="K36" t="s">
        <v>6</v>
      </c>
      <c r="L36">
        <f t="shared" si="13"/>
        <v>3</v>
      </c>
      <c r="M36" s="16">
        <f t="shared" si="11"/>
        <v>32</v>
      </c>
      <c r="N36">
        <f t="shared" si="7"/>
        <v>3</v>
      </c>
      <c r="O36" s="16">
        <f t="shared" si="12"/>
        <v>0</v>
      </c>
      <c r="V36" s="7"/>
      <c r="X36" s="17" t="str">
        <v>CFO</v>
      </c>
      <c r="Y36" s="3">
        <f t="shared" si="3"/>
        <v>1</v>
      </c>
      <c r="Z36" s="17" t="str">
        <f t="shared" si="9"/>
        <v>Corporate</v>
      </c>
      <c r="AB36" t="s">
        <v>42</v>
      </c>
      <c r="AC36" t="s">
        <v>6</v>
      </c>
    </row>
    <row r="37" spans="2:29" x14ac:dyDescent="0.2">
      <c r="B37">
        <v>3</v>
      </c>
      <c r="C37" t="s">
        <v>69</v>
      </c>
      <c r="D37" t="s">
        <v>10</v>
      </c>
      <c r="E37" s="17" t="str">
        <f t="shared" si="0"/>
        <v>Corporate</v>
      </c>
      <c r="F37" s="17">
        <f t="shared" si="4"/>
        <v>1</v>
      </c>
      <c r="G37" s="17">
        <f t="shared" si="1"/>
        <v>18</v>
      </c>
      <c r="H37" s="8">
        <v>1</v>
      </c>
      <c r="J37" t="s">
        <v>14</v>
      </c>
      <c r="K37" t="s">
        <v>8</v>
      </c>
      <c r="L37">
        <f t="shared" si="13"/>
        <v>5</v>
      </c>
      <c r="M37" s="16">
        <f t="shared" si="11"/>
        <v>32</v>
      </c>
      <c r="N37">
        <f t="shared" si="7"/>
        <v>5</v>
      </c>
      <c r="O37" s="16">
        <f t="shared" si="12"/>
        <v>0</v>
      </c>
      <c r="V37" s="7"/>
      <c r="X37" s="17" t="str">
        <v>CIO</v>
      </c>
      <c r="Y37" s="3">
        <f t="shared" si="3"/>
        <v>1</v>
      </c>
      <c r="Z37" s="17" t="str">
        <f t="shared" si="9"/>
        <v>Technology</v>
      </c>
      <c r="AB37" t="s">
        <v>42</v>
      </c>
      <c r="AC37" t="s">
        <v>6</v>
      </c>
    </row>
    <row r="38" spans="2:29" x14ac:dyDescent="0.2">
      <c r="B38">
        <v>4</v>
      </c>
      <c r="C38" t="s">
        <v>70</v>
      </c>
      <c r="D38" t="s">
        <v>10</v>
      </c>
      <c r="E38" s="17" t="str">
        <f t="shared" si="0"/>
        <v>Technology</v>
      </c>
      <c r="F38" s="17">
        <f t="shared" si="4"/>
        <v>1</v>
      </c>
      <c r="G38" s="17">
        <f t="shared" si="1"/>
        <v>6</v>
      </c>
      <c r="H38" s="8">
        <v>1</v>
      </c>
      <c r="J38" s="23" t="s">
        <v>14</v>
      </c>
      <c r="K38" s="23" t="s">
        <v>74</v>
      </c>
      <c r="L38" s="23">
        <f t="shared" si="13"/>
        <v>1</v>
      </c>
      <c r="M38" s="16">
        <f t="shared" si="11"/>
        <v>32</v>
      </c>
      <c r="N38">
        <f t="shared" si="7"/>
        <v>1</v>
      </c>
      <c r="O38" s="16">
        <f t="shared" si="12"/>
        <v>0</v>
      </c>
      <c r="V38" s="7"/>
      <c r="X38" s="17" t="str">
        <v>CMO</v>
      </c>
      <c r="Y38" s="3">
        <f t="shared" si="3"/>
        <v>1</v>
      </c>
      <c r="Z38" s="17" t="str">
        <f t="shared" si="9"/>
        <v>Commercial</v>
      </c>
      <c r="AB38" t="s">
        <v>26</v>
      </c>
      <c r="AC38" t="s">
        <v>6</v>
      </c>
    </row>
    <row r="39" spans="2:29" x14ac:dyDescent="0.2">
      <c r="B39">
        <v>5</v>
      </c>
      <c r="C39" t="s">
        <v>11</v>
      </c>
      <c r="D39" t="s">
        <v>10</v>
      </c>
      <c r="E39" s="17" t="str">
        <f t="shared" si="0"/>
        <v>CISO</v>
      </c>
      <c r="F39" s="17">
        <f t="shared" si="4"/>
        <v>1</v>
      </c>
      <c r="G39" s="17">
        <f t="shared" si="1"/>
        <v>1</v>
      </c>
      <c r="H39" s="8">
        <v>1</v>
      </c>
      <c r="V39" s="7"/>
      <c r="X39" s="17" t="str">
        <v>CCO</v>
      </c>
      <c r="Y39" s="3">
        <f t="shared" si="3"/>
        <v>1</v>
      </c>
      <c r="Z39" s="17" t="str">
        <f t="shared" si="9"/>
        <v>Commercial</v>
      </c>
      <c r="AB39" t="s">
        <v>34</v>
      </c>
      <c r="AC39" t="s">
        <v>8</v>
      </c>
    </row>
    <row r="40" spans="2:29" x14ac:dyDescent="0.2">
      <c r="B40">
        <v>6</v>
      </c>
      <c r="C40" t="s">
        <v>116</v>
      </c>
      <c r="D40" t="s">
        <v>10</v>
      </c>
      <c r="E40" s="17" t="str">
        <f t="shared" si="0"/>
        <v>Data &amp; AI</v>
      </c>
      <c r="F40" s="17">
        <f t="shared" si="4"/>
        <v>1</v>
      </c>
      <c r="G40" s="17">
        <f t="shared" si="1"/>
        <v>1</v>
      </c>
      <c r="H40" s="8">
        <v>1</v>
      </c>
      <c r="V40" s="7"/>
      <c r="X40" s="17" t="str">
        <v>ATC</v>
      </c>
      <c r="Y40" s="3">
        <f t="shared" si="3"/>
        <v>1</v>
      </c>
      <c r="Z40" s="17" t="str">
        <f t="shared" si="9"/>
        <v>Corporate</v>
      </c>
      <c r="AB40" t="s">
        <v>70</v>
      </c>
      <c r="AC40" t="s">
        <v>8</v>
      </c>
    </row>
    <row r="41" spans="2:29" x14ac:dyDescent="0.2">
      <c r="B41">
        <v>7</v>
      </c>
      <c r="C41" t="s">
        <v>37</v>
      </c>
      <c r="D41" t="s">
        <v>10</v>
      </c>
      <c r="E41" s="17" t="str">
        <f t="shared" si="0"/>
        <v>Commercial</v>
      </c>
      <c r="F41" s="17">
        <f t="shared" si="4"/>
        <v>1</v>
      </c>
      <c r="G41" s="17">
        <f t="shared" si="1"/>
        <v>12</v>
      </c>
      <c r="H41" s="8">
        <v>1</v>
      </c>
      <c r="V41" s="7"/>
      <c r="X41" s="17" t="str">
        <v>IDC</v>
      </c>
      <c r="Y41" s="3">
        <f t="shared" si="3"/>
        <v>1</v>
      </c>
      <c r="Z41" s="17" t="str">
        <f t="shared" si="9"/>
        <v>Commercial</v>
      </c>
      <c r="AB41" t="s">
        <v>9</v>
      </c>
      <c r="AC41" t="s">
        <v>8</v>
      </c>
    </row>
    <row r="42" spans="2:29" x14ac:dyDescent="0.2">
      <c r="B42">
        <v>8</v>
      </c>
      <c r="C42" t="s">
        <v>7</v>
      </c>
      <c r="D42" t="s">
        <v>10</v>
      </c>
      <c r="E42" s="17" t="str">
        <f t="shared" si="0"/>
        <v>Operations</v>
      </c>
      <c r="F42" s="25">
        <v>2</v>
      </c>
      <c r="G42" s="17">
        <f t="shared" si="1"/>
        <v>7</v>
      </c>
      <c r="H42" s="8">
        <v>2</v>
      </c>
      <c r="V42" s="7"/>
      <c r="X42" s="17" t="str">
        <v>CHR</v>
      </c>
      <c r="Y42" s="3">
        <f t="shared" si="3"/>
        <v>1</v>
      </c>
      <c r="Z42" s="17" t="str">
        <f t="shared" si="9"/>
        <v>Corporate</v>
      </c>
      <c r="AB42" t="s">
        <v>60</v>
      </c>
      <c r="AC42" t="s">
        <v>8</v>
      </c>
    </row>
    <row r="43" spans="2:29" x14ac:dyDescent="0.2">
      <c r="B43">
        <v>9</v>
      </c>
      <c r="C43" t="s">
        <v>44</v>
      </c>
      <c r="D43" t="s">
        <v>10</v>
      </c>
      <c r="E43" s="17" t="str">
        <f t="shared" si="0"/>
        <v>Corporate</v>
      </c>
      <c r="F43" s="17">
        <f t="shared" si="4"/>
        <v>1</v>
      </c>
      <c r="G43" s="17">
        <f t="shared" si="1"/>
        <v>18</v>
      </c>
      <c r="H43" s="8">
        <v>1</v>
      </c>
      <c r="V43" s="7"/>
      <c r="X43" s="17" t="str">
        <v>PRO</v>
      </c>
      <c r="Y43" s="3">
        <f t="shared" si="3"/>
        <v>1</v>
      </c>
      <c r="Z43" s="17" t="str">
        <f t="shared" si="9"/>
        <v>Corporate</v>
      </c>
      <c r="AB43" t="s">
        <v>59</v>
      </c>
      <c r="AC43" t="s">
        <v>8</v>
      </c>
    </row>
    <row r="44" spans="2:29" x14ac:dyDescent="0.2">
      <c r="B44">
        <v>10</v>
      </c>
      <c r="C44" t="s">
        <v>9</v>
      </c>
      <c r="D44" t="s">
        <v>10</v>
      </c>
      <c r="E44" s="17" t="str">
        <f t="shared" si="0"/>
        <v>Technology</v>
      </c>
      <c r="F44" s="17">
        <f t="shared" si="4"/>
        <v>1</v>
      </c>
      <c r="G44" s="17">
        <f t="shared" si="1"/>
        <v>6</v>
      </c>
      <c r="H44" s="8">
        <v>1</v>
      </c>
      <c r="V44" s="7"/>
      <c r="X44" s="17" t="str">
        <v>COM</v>
      </c>
      <c r="Y44" s="3">
        <f t="shared" si="3"/>
        <v>1</v>
      </c>
      <c r="Z44" s="17" t="str">
        <f t="shared" si="9"/>
        <v>Corporate</v>
      </c>
      <c r="AB44" t="s">
        <v>58</v>
      </c>
      <c r="AC44" t="s">
        <v>8</v>
      </c>
    </row>
    <row r="45" spans="2:29" x14ac:dyDescent="0.2">
      <c r="B45">
        <v>11</v>
      </c>
      <c r="C45" t="s">
        <v>65</v>
      </c>
      <c r="D45" t="s">
        <v>10</v>
      </c>
      <c r="E45" s="17" t="str">
        <f t="shared" si="0"/>
        <v>Commercial</v>
      </c>
      <c r="F45" s="17">
        <f t="shared" si="4"/>
        <v>1</v>
      </c>
      <c r="G45" s="17">
        <f t="shared" si="1"/>
        <v>12</v>
      </c>
      <c r="H45" s="8">
        <v>1</v>
      </c>
      <c r="V45" s="7"/>
      <c r="X45">
        <v>0</v>
      </c>
      <c r="Y45" s="7"/>
      <c r="AB45" t="s">
        <v>116</v>
      </c>
      <c r="AC45" t="s">
        <v>74</v>
      </c>
    </row>
    <row r="46" spans="2:29" x14ac:dyDescent="0.2">
      <c r="B46">
        <v>12</v>
      </c>
      <c r="C46" t="s">
        <v>26</v>
      </c>
      <c r="D46" t="s">
        <v>10</v>
      </c>
      <c r="E46" s="17" t="str">
        <f t="shared" si="0"/>
        <v>Operations</v>
      </c>
      <c r="F46" s="25">
        <v>2</v>
      </c>
      <c r="G46" s="17">
        <f t="shared" si="1"/>
        <v>7</v>
      </c>
      <c r="H46" s="8">
        <v>2</v>
      </c>
      <c r="V46" s="7"/>
      <c r="Y46" s="7"/>
    </row>
    <row r="47" spans="2:29" x14ac:dyDescent="0.2">
      <c r="B47">
        <v>13</v>
      </c>
      <c r="C47" t="s">
        <v>22</v>
      </c>
      <c r="D47" t="s">
        <v>10</v>
      </c>
      <c r="E47" s="17" t="str">
        <f t="shared" si="0"/>
        <v>Corporate</v>
      </c>
      <c r="F47" s="17">
        <f t="shared" si="4"/>
        <v>1</v>
      </c>
      <c r="G47" s="17">
        <f t="shared" si="1"/>
        <v>18</v>
      </c>
      <c r="H47" s="8">
        <v>1</v>
      </c>
      <c r="V47" s="7"/>
      <c r="Y47" s="7"/>
    </row>
    <row r="48" spans="2:29" x14ac:dyDescent="0.2">
      <c r="B48">
        <v>14</v>
      </c>
      <c r="C48" t="s">
        <v>59</v>
      </c>
      <c r="D48" t="s">
        <v>10</v>
      </c>
      <c r="E48" s="17" t="str">
        <f t="shared" si="0"/>
        <v>Technology</v>
      </c>
      <c r="F48" s="17">
        <f t="shared" si="4"/>
        <v>1</v>
      </c>
      <c r="G48" s="17">
        <f t="shared" si="1"/>
        <v>6</v>
      </c>
      <c r="H48" s="8">
        <v>1</v>
      </c>
      <c r="V48" s="7"/>
      <c r="Y48" s="7"/>
    </row>
    <row r="49" spans="2:25" x14ac:dyDescent="0.2">
      <c r="B49">
        <v>15</v>
      </c>
      <c r="C49" t="s">
        <v>66</v>
      </c>
      <c r="D49" t="s">
        <v>10</v>
      </c>
      <c r="E49" s="17" t="str">
        <f t="shared" si="0"/>
        <v>Commercial</v>
      </c>
      <c r="F49" s="17">
        <f t="shared" si="4"/>
        <v>1</v>
      </c>
      <c r="G49" s="17">
        <f t="shared" si="1"/>
        <v>12</v>
      </c>
      <c r="H49" s="8">
        <v>1</v>
      </c>
      <c r="V49" s="7"/>
      <c r="Y49" s="7"/>
    </row>
    <row r="50" spans="2:25" x14ac:dyDescent="0.2">
      <c r="B50">
        <v>17</v>
      </c>
      <c r="C50" t="s">
        <v>34</v>
      </c>
      <c r="D50" t="s">
        <v>10</v>
      </c>
      <c r="E50" s="17" t="str">
        <f t="shared" si="0"/>
        <v>Technology</v>
      </c>
      <c r="F50" s="17">
        <f t="shared" si="4"/>
        <v>1</v>
      </c>
      <c r="G50" s="17">
        <f t="shared" si="1"/>
        <v>6</v>
      </c>
      <c r="H50" s="8">
        <v>1</v>
      </c>
      <c r="V50" s="7"/>
      <c r="Y50" s="7"/>
    </row>
    <row r="51" spans="2:25" x14ac:dyDescent="0.2">
      <c r="B51">
        <v>18</v>
      </c>
      <c r="C51" t="s">
        <v>67</v>
      </c>
      <c r="D51" t="s">
        <v>10</v>
      </c>
      <c r="E51" s="17" t="str">
        <f t="shared" si="0"/>
        <v>Corporate</v>
      </c>
      <c r="F51" s="17">
        <f t="shared" si="4"/>
        <v>1</v>
      </c>
      <c r="G51" s="17">
        <f t="shared" si="1"/>
        <v>18</v>
      </c>
      <c r="H51" s="8">
        <v>1</v>
      </c>
      <c r="V51" s="7"/>
      <c r="Y51" s="7"/>
    </row>
    <row r="52" spans="2:25" x14ac:dyDescent="0.2">
      <c r="B52">
        <v>19</v>
      </c>
      <c r="C52" t="s">
        <v>58</v>
      </c>
      <c r="D52" t="s">
        <v>10</v>
      </c>
      <c r="E52" s="17" t="str">
        <f t="shared" si="0"/>
        <v>Technology</v>
      </c>
      <c r="F52" s="17">
        <f t="shared" si="4"/>
        <v>1</v>
      </c>
      <c r="G52" s="17">
        <f t="shared" si="1"/>
        <v>6</v>
      </c>
      <c r="H52" s="8">
        <v>1</v>
      </c>
      <c r="V52" s="7"/>
      <c r="Y52" s="7"/>
    </row>
    <row r="53" spans="2:25" x14ac:dyDescent="0.2">
      <c r="B53">
        <v>20</v>
      </c>
      <c r="C53" t="s">
        <v>68</v>
      </c>
      <c r="D53" t="s">
        <v>10</v>
      </c>
      <c r="E53" s="17" t="str">
        <f t="shared" si="0"/>
        <v>Commercial</v>
      </c>
      <c r="F53" s="17">
        <f t="shared" si="4"/>
        <v>1</v>
      </c>
      <c r="G53" s="17">
        <f t="shared" si="1"/>
        <v>12</v>
      </c>
      <c r="H53" s="8">
        <v>1</v>
      </c>
      <c r="V53" s="7"/>
      <c r="Y53" s="7"/>
    </row>
    <row r="54" spans="2:25" x14ac:dyDescent="0.2">
      <c r="B54">
        <v>21</v>
      </c>
      <c r="C54" t="s">
        <v>46</v>
      </c>
      <c r="D54" t="s">
        <v>10</v>
      </c>
      <c r="E54" s="17" t="str">
        <f t="shared" si="0"/>
        <v>Corporate</v>
      </c>
      <c r="F54" s="17">
        <f t="shared" si="4"/>
        <v>1</v>
      </c>
      <c r="G54" s="17">
        <f t="shared" si="1"/>
        <v>18</v>
      </c>
      <c r="H54" s="8">
        <v>1</v>
      </c>
      <c r="V54" s="7"/>
      <c r="Y54" s="7"/>
    </row>
    <row r="55" spans="2:25" x14ac:dyDescent="0.2">
      <c r="B55">
        <v>22</v>
      </c>
      <c r="C55" t="s">
        <v>42</v>
      </c>
      <c r="D55" t="s">
        <v>10</v>
      </c>
      <c r="E55" s="17" t="str">
        <f t="shared" si="0"/>
        <v>Operations</v>
      </c>
      <c r="F55" s="25">
        <v>1</v>
      </c>
      <c r="G55" s="17">
        <f t="shared" si="1"/>
        <v>7</v>
      </c>
      <c r="H55" s="8">
        <v>1</v>
      </c>
      <c r="V55" s="7"/>
      <c r="Y55" s="7"/>
    </row>
    <row r="56" spans="2:25" x14ac:dyDescent="0.2">
      <c r="B56">
        <v>23</v>
      </c>
      <c r="C56" t="s">
        <v>36</v>
      </c>
      <c r="D56" t="s">
        <v>10</v>
      </c>
      <c r="E56" s="17" t="str">
        <f t="shared" si="0"/>
        <v>Commercial</v>
      </c>
      <c r="F56" s="17">
        <f t="shared" si="4"/>
        <v>1</v>
      </c>
      <c r="G56" s="17">
        <f t="shared" si="1"/>
        <v>12</v>
      </c>
      <c r="H56" s="8">
        <v>1</v>
      </c>
      <c r="V56" s="7"/>
      <c r="Y56" s="7"/>
    </row>
    <row r="57" spans="2:25" x14ac:dyDescent="0.2">
      <c r="B57">
        <v>24</v>
      </c>
      <c r="C57" t="s">
        <v>72</v>
      </c>
      <c r="D57" t="s">
        <v>10</v>
      </c>
      <c r="E57" s="17" t="str">
        <f t="shared" si="0"/>
        <v>Corporate</v>
      </c>
      <c r="F57" s="17">
        <f t="shared" si="4"/>
        <v>1</v>
      </c>
      <c r="G57" s="17">
        <f t="shared" si="1"/>
        <v>18</v>
      </c>
      <c r="H57" s="8">
        <v>1</v>
      </c>
      <c r="V57" s="7"/>
      <c r="Y57" s="7"/>
    </row>
    <row r="58" spans="2:25" x14ac:dyDescent="0.2">
      <c r="B58">
        <v>25</v>
      </c>
      <c r="C58" t="s">
        <v>60</v>
      </c>
      <c r="D58" t="s">
        <v>10</v>
      </c>
      <c r="E58" s="17" t="str">
        <f t="shared" si="0"/>
        <v>Technology</v>
      </c>
      <c r="F58" s="17">
        <f t="shared" si="4"/>
        <v>1</v>
      </c>
      <c r="G58" s="17">
        <f t="shared" si="1"/>
        <v>6</v>
      </c>
      <c r="H58" s="8">
        <v>1</v>
      </c>
      <c r="V58" s="7"/>
      <c r="Y58" s="7"/>
    </row>
    <row r="59" spans="2:25" x14ac:dyDescent="0.2">
      <c r="B59">
        <v>26</v>
      </c>
      <c r="C59" t="s">
        <v>38</v>
      </c>
      <c r="D59" t="s">
        <v>10</v>
      </c>
      <c r="E59" s="17" t="str">
        <f t="shared" si="0"/>
        <v>Commercial</v>
      </c>
      <c r="F59" s="17">
        <f t="shared" si="4"/>
        <v>1</v>
      </c>
      <c r="G59" s="17">
        <f t="shared" si="1"/>
        <v>12</v>
      </c>
      <c r="H59" s="8">
        <v>1</v>
      </c>
      <c r="V59" s="7"/>
      <c r="Y59" s="7"/>
    </row>
    <row r="60" spans="2:25" x14ac:dyDescent="0.2">
      <c r="B60">
        <v>27</v>
      </c>
      <c r="C60" t="s">
        <v>71</v>
      </c>
      <c r="D60" t="s">
        <v>10</v>
      </c>
      <c r="E60" s="17" t="str">
        <f t="shared" si="0"/>
        <v>Corporate</v>
      </c>
      <c r="F60" s="17">
        <f t="shared" si="4"/>
        <v>1</v>
      </c>
      <c r="G60" s="17">
        <f t="shared" si="1"/>
        <v>18</v>
      </c>
      <c r="H60" s="8">
        <v>1</v>
      </c>
      <c r="V60" s="7"/>
      <c r="Y60" s="7"/>
    </row>
    <row r="61" spans="2:25" x14ac:dyDescent="0.2">
      <c r="B61">
        <v>28</v>
      </c>
      <c r="C61" t="s">
        <v>21</v>
      </c>
      <c r="D61" t="s">
        <v>10</v>
      </c>
      <c r="E61" s="17" t="str">
        <f t="shared" si="0"/>
        <v>Commercial</v>
      </c>
      <c r="F61" s="17">
        <f t="shared" si="4"/>
        <v>1</v>
      </c>
      <c r="G61" s="17">
        <f t="shared" si="1"/>
        <v>12</v>
      </c>
      <c r="H61" s="8">
        <v>1</v>
      </c>
      <c r="V61" s="7"/>
      <c r="Y61" s="7"/>
    </row>
    <row r="62" spans="2:25" x14ac:dyDescent="0.2">
      <c r="B62">
        <v>29</v>
      </c>
      <c r="C62" t="s">
        <v>54</v>
      </c>
      <c r="D62" t="s">
        <v>10</v>
      </c>
      <c r="E62" s="17" t="str">
        <f t="shared" si="0"/>
        <v>Corporate</v>
      </c>
      <c r="F62" s="17">
        <f t="shared" si="4"/>
        <v>1</v>
      </c>
      <c r="G62" s="17">
        <f t="shared" si="1"/>
        <v>18</v>
      </c>
      <c r="H62" s="8">
        <v>1</v>
      </c>
      <c r="V62" s="7"/>
      <c r="Y62" s="7"/>
    </row>
    <row r="63" spans="2:25" x14ac:dyDescent="0.2">
      <c r="B63">
        <v>30</v>
      </c>
      <c r="C63" t="s">
        <v>25</v>
      </c>
      <c r="D63" t="s">
        <v>10</v>
      </c>
      <c r="E63" s="17" t="str">
        <f t="shared" si="0"/>
        <v>Commercial</v>
      </c>
      <c r="F63" s="17">
        <f t="shared" si="4"/>
        <v>1</v>
      </c>
      <c r="G63" s="17">
        <f t="shared" si="1"/>
        <v>12</v>
      </c>
      <c r="H63" s="8">
        <v>1</v>
      </c>
      <c r="V63" s="7"/>
      <c r="Y63" s="7"/>
    </row>
    <row r="64" spans="2:25" x14ac:dyDescent="0.2">
      <c r="B64">
        <v>31</v>
      </c>
      <c r="C64" t="s">
        <v>47</v>
      </c>
      <c r="D64" t="s">
        <v>10</v>
      </c>
      <c r="E64" s="17" t="str">
        <f t="shared" si="0"/>
        <v>Corporate</v>
      </c>
      <c r="F64" s="17">
        <f t="shared" si="4"/>
        <v>1</v>
      </c>
      <c r="G64" s="17">
        <f t="shared" si="1"/>
        <v>18</v>
      </c>
      <c r="H64" s="8">
        <v>1</v>
      </c>
      <c r="V64" s="7"/>
      <c r="Y64" s="7"/>
    </row>
    <row r="65" spans="2:25" x14ac:dyDescent="0.2">
      <c r="B65">
        <v>32</v>
      </c>
      <c r="C65" t="s">
        <v>24</v>
      </c>
      <c r="D65" t="s">
        <v>10</v>
      </c>
      <c r="E65" s="17" t="str">
        <f t="shared" si="0"/>
        <v>Commercial</v>
      </c>
      <c r="F65" s="17">
        <f t="shared" si="4"/>
        <v>1</v>
      </c>
      <c r="G65" s="17">
        <f t="shared" si="1"/>
        <v>12</v>
      </c>
      <c r="H65" s="8">
        <v>1</v>
      </c>
      <c r="V65" s="7"/>
      <c r="Y65" s="7"/>
    </row>
    <row r="66" spans="2:25" x14ac:dyDescent="0.2">
      <c r="B66">
        <v>35</v>
      </c>
      <c r="C66" t="s">
        <v>35</v>
      </c>
      <c r="D66" t="s">
        <v>10</v>
      </c>
      <c r="E66" s="17" t="str">
        <f t="shared" si="0"/>
        <v>Corporate</v>
      </c>
      <c r="F66" s="17">
        <f t="shared" si="4"/>
        <v>1</v>
      </c>
      <c r="G66" s="17">
        <f t="shared" si="1"/>
        <v>18</v>
      </c>
      <c r="H66" s="8">
        <v>1</v>
      </c>
      <c r="V66" s="7"/>
      <c r="Y66" s="7"/>
    </row>
    <row r="67" spans="2:25" x14ac:dyDescent="0.2">
      <c r="B67">
        <v>36</v>
      </c>
      <c r="C67" t="s">
        <v>40</v>
      </c>
      <c r="D67" t="s">
        <v>10</v>
      </c>
      <c r="E67" s="17" t="str">
        <f t="shared" ref="E67:E130" si="14">VLOOKUP($C67,$AB:$AC,2,FALSE)</f>
        <v>Commercial</v>
      </c>
      <c r="F67" s="17">
        <f t="shared" si="4"/>
        <v>1</v>
      </c>
      <c r="G67" s="17">
        <f t="shared" ref="G67:G130" si="15">SUMIFS($H$2:$H$1000,$E$2:$E$1000,E67,$D$2:$D$1000,D67)</f>
        <v>12</v>
      </c>
      <c r="H67" s="8">
        <v>1</v>
      </c>
      <c r="V67" s="7"/>
      <c r="Y67" s="7"/>
    </row>
    <row r="68" spans="2:25" x14ac:dyDescent="0.2">
      <c r="B68">
        <v>37</v>
      </c>
      <c r="C68" t="s">
        <v>98</v>
      </c>
      <c r="D68" t="s">
        <v>10</v>
      </c>
      <c r="E68" s="17" t="str">
        <f t="shared" si="14"/>
        <v>Corporate</v>
      </c>
      <c r="F68" s="17">
        <f t="shared" ref="F68:F131" si="16">H68*SUMIFS($L:$L,$J:$J,D68,$K:$K,E68)/G68</f>
        <v>1</v>
      </c>
      <c r="G68" s="17">
        <f t="shared" si="15"/>
        <v>18</v>
      </c>
      <c r="H68" s="8">
        <v>1</v>
      </c>
      <c r="V68" s="7"/>
      <c r="Y68" s="7"/>
    </row>
    <row r="69" spans="2:25" x14ac:dyDescent="0.2">
      <c r="B69">
        <v>38</v>
      </c>
      <c r="C69" t="s">
        <v>45</v>
      </c>
      <c r="D69" t="s">
        <v>10</v>
      </c>
      <c r="E69" s="17" t="str">
        <f t="shared" si="14"/>
        <v>Corporate</v>
      </c>
      <c r="F69" s="17">
        <f t="shared" si="16"/>
        <v>1</v>
      </c>
      <c r="G69" s="17">
        <f t="shared" si="15"/>
        <v>18</v>
      </c>
      <c r="H69" s="8">
        <v>1</v>
      </c>
      <c r="V69" s="7"/>
      <c r="Y69" s="7"/>
    </row>
    <row r="70" spans="2:25" x14ac:dyDescent="0.2">
      <c r="B70">
        <v>39</v>
      </c>
      <c r="C70" t="s">
        <v>51</v>
      </c>
      <c r="D70" t="s">
        <v>10</v>
      </c>
      <c r="E70" s="17" t="str">
        <f t="shared" si="14"/>
        <v>Corporate</v>
      </c>
      <c r="F70" s="17">
        <f t="shared" si="16"/>
        <v>1</v>
      </c>
      <c r="G70" s="17">
        <f t="shared" si="15"/>
        <v>18</v>
      </c>
      <c r="H70" s="8">
        <v>1</v>
      </c>
      <c r="V70" s="7"/>
      <c r="Y70" s="7"/>
    </row>
    <row r="71" spans="2:25" x14ac:dyDescent="0.2">
      <c r="B71">
        <v>40</v>
      </c>
      <c r="C71" t="s">
        <v>48</v>
      </c>
      <c r="D71" t="s">
        <v>10</v>
      </c>
      <c r="E71" s="17" t="str">
        <f t="shared" si="14"/>
        <v>Corporate</v>
      </c>
      <c r="F71" s="17">
        <f t="shared" si="16"/>
        <v>1</v>
      </c>
      <c r="G71" s="17">
        <f t="shared" si="15"/>
        <v>18</v>
      </c>
      <c r="H71" s="8">
        <v>1</v>
      </c>
      <c r="V71" s="7"/>
      <c r="Y71" s="7"/>
    </row>
    <row r="72" spans="2:25" x14ac:dyDescent="0.2">
      <c r="B72">
        <v>41</v>
      </c>
      <c r="C72" t="s">
        <v>50</v>
      </c>
      <c r="D72" t="s">
        <v>10</v>
      </c>
      <c r="E72" s="17" t="str">
        <f t="shared" si="14"/>
        <v>Corporate</v>
      </c>
      <c r="F72" s="17">
        <f t="shared" si="16"/>
        <v>1</v>
      </c>
      <c r="G72" s="17">
        <f t="shared" si="15"/>
        <v>18</v>
      </c>
      <c r="H72" s="8">
        <v>1</v>
      </c>
      <c r="V72" s="7"/>
      <c r="Y72" s="7"/>
    </row>
    <row r="73" spans="2:25" x14ac:dyDescent="0.2">
      <c r="B73">
        <v>42</v>
      </c>
      <c r="C73" t="s">
        <v>73</v>
      </c>
      <c r="D73" t="s">
        <v>10</v>
      </c>
      <c r="E73" s="17" t="str">
        <f t="shared" si="14"/>
        <v>Corporate</v>
      </c>
      <c r="F73" s="17">
        <f t="shared" si="16"/>
        <v>1</v>
      </c>
      <c r="G73" s="17">
        <f t="shared" si="15"/>
        <v>18</v>
      </c>
      <c r="H73" s="8">
        <v>1</v>
      </c>
      <c r="V73" s="7"/>
      <c r="Y73" s="7"/>
    </row>
    <row r="74" spans="2:25" x14ac:dyDescent="0.2">
      <c r="B74">
        <v>43</v>
      </c>
      <c r="C74" t="s">
        <v>56</v>
      </c>
      <c r="D74" t="s">
        <v>10</v>
      </c>
      <c r="E74" s="17" t="str">
        <f t="shared" si="14"/>
        <v>Corporate</v>
      </c>
      <c r="F74" s="17">
        <f t="shared" si="16"/>
        <v>1</v>
      </c>
      <c r="G74" s="17">
        <f t="shared" si="15"/>
        <v>18</v>
      </c>
      <c r="H74" s="8">
        <v>1</v>
      </c>
      <c r="V74" s="7"/>
      <c r="Y74" s="7"/>
    </row>
    <row r="75" spans="2:25" x14ac:dyDescent="0.2">
      <c r="B75">
        <v>44</v>
      </c>
      <c r="C75" t="s">
        <v>53</v>
      </c>
      <c r="D75" t="s">
        <v>10</v>
      </c>
      <c r="E75" s="17" t="str">
        <f t="shared" si="14"/>
        <v>Corporate</v>
      </c>
      <c r="F75" s="17">
        <f t="shared" si="16"/>
        <v>1</v>
      </c>
      <c r="G75" s="17">
        <f t="shared" si="15"/>
        <v>18</v>
      </c>
      <c r="H75" s="8">
        <v>1</v>
      </c>
      <c r="V75" s="7"/>
      <c r="Y75" s="7"/>
    </row>
    <row r="76" spans="2:25" x14ac:dyDescent="0.2">
      <c r="B76">
        <v>45</v>
      </c>
      <c r="C76" t="s">
        <v>39</v>
      </c>
      <c r="D76" t="s">
        <v>10</v>
      </c>
      <c r="E76" s="17" t="str">
        <f t="shared" si="14"/>
        <v>Commercial</v>
      </c>
      <c r="F76" s="17">
        <f t="shared" si="16"/>
        <v>1</v>
      </c>
      <c r="G76" s="17">
        <f t="shared" si="15"/>
        <v>12</v>
      </c>
      <c r="H76" s="8">
        <v>1</v>
      </c>
      <c r="V76" s="7"/>
      <c r="Y76" s="7"/>
    </row>
    <row r="77" spans="2:25" x14ac:dyDescent="0.2">
      <c r="B77">
        <v>1</v>
      </c>
      <c r="C77" t="s">
        <v>23</v>
      </c>
      <c r="D77" t="s">
        <v>14</v>
      </c>
      <c r="E77" s="17" t="str">
        <f t="shared" si="14"/>
        <v>Commercial</v>
      </c>
      <c r="F77" s="17">
        <f t="shared" si="16"/>
        <v>1</v>
      </c>
      <c r="G77" s="17">
        <f t="shared" si="15"/>
        <v>9</v>
      </c>
      <c r="H77" s="8">
        <v>1</v>
      </c>
      <c r="V77" s="7"/>
      <c r="Y77" s="7"/>
    </row>
    <row r="78" spans="2:25" x14ac:dyDescent="0.2">
      <c r="B78">
        <v>2</v>
      </c>
      <c r="C78" t="s">
        <v>26</v>
      </c>
      <c r="D78" t="s">
        <v>14</v>
      </c>
      <c r="E78" s="17" t="str">
        <f t="shared" si="14"/>
        <v>Operations</v>
      </c>
      <c r="F78" s="17">
        <f t="shared" si="16"/>
        <v>1</v>
      </c>
      <c r="G78" s="17">
        <f t="shared" si="15"/>
        <v>3</v>
      </c>
      <c r="H78" s="8">
        <v>1</v>
      </c>
      <c r="V78" s="7"/>
      <c r="Y78" s="7"/>
    </row>
    <row r="79" spans="2:25" x14ac:dyDescent="0.2">
      <c r="B79">
        <v>3</v>
      </c>
      <c r="C79" t="s">
        <v>22</v>
      </c>
      <c r="D79" t="s">
        <v>14</v>
      </c>
      <c r="E79" s="17" t="str">
        <f t="shared" si="14"/>
        <v>Corporate</v>
      </c>
      <c r="F79" s="17">
        <f t="shared" si="16"/>
        <v>1</v>
      </c>
      <c r="G79" s="17">
        <f t="shared" si="15"/>
        <v>13</v>
      </c>
      <c r="H79" s="8">
        <v>1</v>
      </c>
      <c r="V79" s="7"/>
      <c r="Y79" s="7"/>
    </row>
    <row r="80" spans="2:25" x14ac:dyDescent="0.2">
      <c r="B80">
        <v>4</v>
      </c>
      <c r="C80" t="s">
        <v>9</v>
      </c>
      <c r="D80" t="s">
        <v>14</v>
      </c>
      <c r="E80" s="17" t="str">
        <f t="shared" si="14"/>
        <v>Technology</v>
      </c>
      <c r="F80" s="17">
        <f t="shared" si="16"/>
        <v>1</v>
      </c>
      <c r="G80" s="17">
        <f t="shared" si="15"/>
        <v>5</v>
      </c>
      <c r="H80" s="8">
        <v>1</v>
      </c>
      <c r="V80" s="7"/>
      <c r="Y80" s="7"/>
    </row>
    <row r="81" spans="2:25" x14ac:dyDescent="0.2">
      <c r="B81">
        <v>5</v>
      </c>
      <c r="C81" t="s">
        <v>11</v>
      </c>
      <c r="D81" t="s">
        <v>14</v>
      </c>
      <c r="E81" s="17" t="str">
        <f t="shared" si="14"/>
        <v>CISO</v>
      </c>
      <c r="F81" s="17">
        <f t="shared" si="16"/>
        <v>1</v>
      </c>
      <c r="G81" s="17">
        <f t="shared" si="15"/>
        <v>1</v>
      </c>
      <c r="H81" s="8">
        <v>1</v>
      </c>
      <c r="V81" s="7"/>
      <c r="Y81" s="7"/>
    </row>
    <row r="82" spans="2:25" x14ac:dyDescent="0.2">
      <c r="B82">
        <v>6</v>
      </c>
      <c r="C82" t="s">
        <v>116</v>
      </c>
      <c r="D82" t="s">
        <v>14</v>
      </c>
      <c r="E82" s="17" t="str">
        <f t="shared" si="14"/>
        <v>Data &amp; AI</v>
      </c>
      <c r="F82" s="17">
        <f t="shared" si="16"/>
        <v>1</v>
      </c>
      <c r="G82" s="17">
        <f t="shared" si="15"/>
        <v>1</v>
      </c>
      <c r="H82" s="8">
        <v>1</v>
      </c>
      <c r="V82" s="7"/>
      <c r="Y82" s="7"/>
    </row>
    <row r="83" spans="2:25" x14ac:dyDescent="0.2">
      <c r="B83">
        <v>7</v>
      </c>
      <c r="C83" t="s">
        <v>37</v>
      </c>
      <c r="D83" t="s">
        <v>14</v>
      </c>
      <c r="E83" s="17" t="str">
        <f t="shared" si="14"/>
        <v>Commercial</v>
      </c>
      <c r="F83" s="17">
        <f t="shared" si="16"/>
        <v>1</v>
      </c>
      <c r="G83" s="17">
        <f t="shared" si="15"/>
        <v>9</v>
      </c>
      <c r="H83" s="8">
        <v>1</v>
      </c>
      <c r="V83" s="7"/>
      <c r="Y83" s="7"/>
    </row>
    <row r="84" spans="2:25" x14ac:dyDescent="0.2">
      <c r="B84">
        <v>8</v>
      </c>
      <c r="C84" t="s">
        <v>44</v>
      </c>
      <c r="D84" t="s">
        <v>14</v>
      </c>
      <c r="E84" s="17" t="str">
        <f t="shared" si="14"/>
        <v>Corporate</v>
      </c>
      <c r="F84" s="17">
        <f t="shared" si="16"/>
        <v>1</v>
      </c>
      <c r="G84" s="17">
        <f t="shared" si="15"/>
        <v>13</v>
      </c>
      <c r="H84" s="8">
        <v>1</v>
      </c>
      <c r="V84" s="7"/>
      <c r="Y84" s="7"/>
    </row>
    <row r="85" spans="2:25" x14ac:dyDescent="0.2">
      <c r="B85">
        <v>9</v>
      </c>
      <c r="C85" t="s">
        <v>7</v>
      </c>
      <c r="D85" t="s">
        <v>14</v>
      </c>
      <c r="E85" s="17" t="str">
        <f t="shared" si="14"/>
        <v>Operations</v>
      </c>
      <c r="F85" s="17">
        <f t="shared" si="16"/>
        <v>1</v>
      </c>
      <c r="G85" s="17">
        <f t="shared" si="15"/>
        <v>3</v>
      </c>
      <c r="H85" s="8">
        <v>1</v>
      </c>
      <c r="V85" s="7"/>
      <c r="Y85" s="7"/>
    </row>
    <row r="86" spans="2:25" x14ac:dyDescent="0.2">
      <c r="B86">
        <v>10</v>
      </c>
      <c r="C86" t="s">
        <v>59</v>
      </c>
      <c r="D86" t="s">
        <v>14</v>
      </c>
      <c r="E86" s="17" t="str">
        <f t="shared" si="14"/>
        <v>Technology</v>
      </c>
      <c r="F86" s="17">
        <f t="shared" si="16"/>
        <v>1</v>
      </c>
      <c r="G86" s="17">
        <f t="shared" si="15"/>
        <v>5</v>
      </c>
      <c r="H86" s="8">
        <v>1</v>
      </c>
      <c r="V86" s="7"/>
      <c r="Y86" s="7"/>
    </row>
    <row r="87" spans="2:25" x14ac:dyDescent="0.2">
      <c r="B87">
        <v>11</v>
      </c>
      <c r="C87" t="s">
        <v>36</v>
      </c>
      <c r="D87" t="s">
        <v>14</v>
      </c>
      <c r="E87" s="17" t="str">
        <f t="shared" si="14"/>
        <v>Commercial</v>
      </c>
      <c r="F87" s="17">
        <f t="shared" si="16"/>
        <v>1</v>
      </c>
      <c r="G87" s="17">
        <f t="shared" si="15"/>
        <v>9</v>
      </c>
      <c r="H87" s="8">
        <v>1</v>
      </c>
      <c r="V87" s="7"/>
      <c r="Y87" s="7"/>
    </row>
    <row r="88" spans="2:25" x14ac:dyDescent="0.2">
      <c r="B88">
        <v>12</v>
      </c>
      <c r="C88" t="s">
        <v>46</v>
      </c>
      <c r="D88" t="s">
        <v>14</v>
      </c>
      <c r="E88" s="17" t="str">
        <f t="shared" si="14"/>
        <v>Corporate</v>
      </c>
      <c r="F88" s="17">
        <f t="shared" si="16"/>
        <v>1</v>
      </c>
      <c r="G88" s="17">
        <f t="shared" si="15"/>
        <v>13</v>
      </c>
      <c r="H88" s="8">
        <v>1</v>
      </c>
      <c r="V88" s="7"/>
      <c r="Y88" s="7"/>
    </row>
    <row r="89" spans="2:25" x14ac:dyDescent="0.2">
      <c r="B89">
        <v>13</v>
      </c>
      <c r="C89" t="s">
        <v>42</v>
      </c>
      <c r="D89" t="s">
        <v>14</v>
      </c>
      <c r="E89" s="17" t="str">
        <f t="shared" si="14"/>
        <v>Operations</v>
      </c>
      <c r="F89" s="17">
        <f t="shared" si="16"/>
        <v>1</v>
      </c>
      <c r="G89" s="17">
        <f t="shared" si="15"/>
        <v>3</v>
      </c>
      <c r="H89" s="8">
        <v>1</v>
      </c>
      <c r="V89" s="7"/>
      <c r="Y89" s="7"/>
    </row>
    <row r="90" spans="2:25" x14ac:dyDescent="0.2">
      <c r="B90">
        <v>14</v>
      </c>
      <c r="C90" t="s">
        <v>58</v>
      </c>
      <c r="D90" t="s">
        <v>14</v>
      </c>
      <c r="E90" s="17" t="str">
        <f t="shared" si="14"/>
        <v>Technology</v>
      </c>
      <c r="F90" s="17">
        <f t="shared" si="16"/>
        <v>1</v>
      </c>
      <c r="G90" s="17">
        <f t="shared" si="15"/>
        <v>5</v>
      </c>
      <c r="H90" s="8">
        <v>1</v>
      </c>
      <c r="V90" s="7"/>
      <c r="Y90" s="7"/>
    </row>
    <row r="91" spans="2:25" x14ac:dyDescent="0.2">
      <c r="B91">
        <v>15</v>
      </c>
      <c r="C91" t="s">
        <v>38</v>
      </c>
      <c r="D91" t="s">
        <v>14</v>
      </c>
      <c r="E91" s="17" t="str">
        <f t="shared" si="14"/>
        <v>Commercial</v>
      </c>
      <c r="F91" s="17">
        <f t="shared" si="16"/>
        <v>1</v>
      </c>
      <c r="G91" s="17">
        <f t="shared" si="15"/>
        <v>9</v>
      </c>
      <c r="H91" s="8">
        <v>1</v>
      </c>
      <c r="V91" s="7"/>
      <c r="Y91" s="7"/>
    </row>
    <row r="92" spans="2:25" x14ac:dyDescent="0.2">
      <c r="B92">
        <v>16</v>
      </c>
      <c r="C92" t="s">
        <v>47</v>
      </c>
      <c r="D92" t="s">
        <v>14</v>
      </c>
      <c r="E92" s="17" t="str">
        <f t="shared" si="14"/>
        <v>Corporate</v>
      </c>
      <c r="F92" s="17">
        <f t="shared" si="16"/>
        <v>1</v>
      </c>
      <c r="G92" s="17">
        <f t="shared" si="15"/>
        <v>13</v>
      </c>
      <c r="H92" s="8">
        <v>1</v>
      </c>
      <c r="V92" s="7"/>
      <c r="Y92" s="7"/>
    </row>
    <row r="93" spans="2:25" x14ac:dyDescent="0.2">
      <c r="B93">
        <v>17</v>
      </c>
      <c r="C93" t="s">
        <v>34</v>
      </c>
      <c r="D93" t="s">
        <v>14</v>
      </c>
      <c r="E93" s="17" t="str">
        <f t="shared" si="14"/>
        <v>Technology</v>
      </c>
      <c r="F93" s="17">
        <f t="shared" si="16"/>
        <v>1</v>
      </c>
      <c r="G93" s="17">
        <f t="shared" si="15"/>
        <v>5</v>
      </c>
      <c r="H93" s="8">
        <v>1</v>
      </c>
      <c r="V93" s="7"/>
      <c r="Y93" s="7"/>
    </row>
    <row r="94" spans="2:25" x14ac:dyDescent="0.2">
      <c r="B94">
        <v>18</v>
      </c>
      <c r="C94" t="s">
        <v>25</v>
      </c>
      <c r="D94" t="s">
        <v>14</v>
      </c>
      <c r="E94" s="17" t="str">
        <f t="shared" si="14"/>
        <v>Commercial</v>
      </c>
      <c r="F94" s="17">
        <f t="shared" si="16"/>
        <v>1</v>
      </c>
      <c r="G94" s="17">
        <f t="shared" si="15"/>
        <v>9</v>
      </c>
      <c r="H94" s="8">
        <v>1</v>
      </c>
      <c r="V94" s="7"/>
      <c r="Y94" s="7"/>
    </row>
    <row r="95" spans="2:25" x14ac:dyDescent="0.2">
      <c r="B95">
        <v>19</v>
      </c>
      <c r="C95" t="s">
        <v>35</v>
      </c>
      <c r="D95" t="s">
        <v>14</v>
      </c>
      <c r="E95" s="17" t="str">
        <f t="shared" si="14"/>
        <v>Corporate</v>
      </c>
      <c r="F95" s="17">
        <f t="shared" si="16"/>
        <v>1</v>
      </c>
      <c r="G95" s="17">
        <f t="shared" si="15"/>
        <v>13</v>
      </c>
      <c r="H95" s="8">
        <v>1</v>
      </c>
      <c r="V95" s="7"/>
      <c r="Y95" s="7"/>
    </row>
    <row r="96" spans="2:25" x14ac:dyDescent="0.2">
      <c r="B96">
        <v>20</v>
      </c>
      <c r="C96" t="s">
        <v>60</v>
      </c>
      <c r="D96" t="s">
        <v>14</v>
      </c>
      <c r="E96" s="17" t="str">
        <f t="shared" si="14"/>
        <v>Technology</v>
      </c>
      <c r="F96" s="17">
        <f t="shared" si="16"/>
        <v>1</v>
      </c>
      <c r="G96" s="17">
        <f t="shared" si="15"/>
        <v>5</v>
      </c>
      <c r="H96" s="8">
        <v>1</v>
      </c>
      <c r="V96" s="7"/>
      <c r="Y96" s="7"/>
    </row>
    <row r="97" spans="2:25" x14ac:dyDescent="0.2">
      <c r="B97">
        <v>21</v>
      </c>
      <c r="C97" t="s">
        <v>21</v>
      </c>
      <c r="D97" t="s">
        <v>14</v>
      </c>
      <c r="E97" s="17" t="str">
        <f t="shared" si="14"/>
        <v>Commercial</v>
      </c>
      <c r="F97" s="17">
        <f t="shared" si="16"/>
        <v>1</v>
      </c>
      <c r="G97" s="17">
        <f t="shared" si="15"/>
        <v>9</v>
      </c>
      <c r="H97" s="8">
        <v>1</v>
      </c>
      <c r="V97" s="7"/>
      <c r="Y97" s="7"/>
    </row>
    <row r="98" spans="2:25" x14ac:dyDescent="0.2">
      <c r="B98">
        <v>22</v>
      </c>
      <c r="C98" t="s">
        <v>98</v>
      </c>
      <c r="D98" t="s">
        <v>14</v>
      </c>
      <c r="E98" s="17" t="str">
        <f t="shared" si="14"/>
        <v>Corporate</v>
      </c>
      <c r="F98" s="17">
        <f t="shared" si="16"/>
        <v>1</v>
      </c>
      <c r="G98" s="17">
        <f t="shared" si="15"/>
        <v>13</v>
      </c>
      <c r="H98" s="8">
        <v>1</v>
      </c>
      <c r="V98" s="7"/>
      <c r="Y98" s="7"/>
    </row>
    <row r="99" spans="2:25" x14ac:dyDescent="0.2">
      <c r="B99">
        <v>23</v>
      </c>
      <c r="C99" t="s">
        <v>24</v>
      </c>
      <c r="D99" t="s">
        <v>14</v>
      </c>
      <c r="E99" s="17" t="str">
        <f t="shared" si="14"/>
        <v>Commercial</v>
      </c>
      <c r="F99" s="17">
        <f t="shared" si="16"/>
        <v>1</v>
      </c>
      <c r="G99" s="17">
        <f t="shared" si="15"/>
        <v>9</v>
      </c>
      <c r="H99" s="8">
        <v>1</v>
      </c>
      <c r="V99" s="7"/>
      <c r="Y99" s="7"/>
    </row>
    <row r="100" spans="2:25" x14ac:dyDescent="0.2">
      <c r="B100">
        <v>24</v>
      </c>
      <c r="C100" t="s">
        <v>45</v>
      </c>
      <c r="D100" t="s">
        <v>14</v>
      </c>
      <c r="E100" s="17" t="str">
        <f t="shared" si="14"/>
        <v>Corporate</v>
      </c>
      <c r="F100" s="17">
        <f t="shared" si="16"/>
        <v>1</v>
      </c>
      <c r="G100" s="17">
        <f t="shared" si="15"/>
        <v>13</v>
      </c>
      <c r="H100" s="8">
        <v>1</v>
      </c>
      <c r="V100" s="7"/>
      <c r="Y100" s="7"/>
    </row>
    <row r="101" spans="2:25" x14ac:dyDescent="0.2">
      <c r="B101">
        <v>25</v>
      </c>
      <c r="C101" t="s">
        <v>40</v>
      </c>
      <c r="D101" t="s">
        <v>14</v>
      </c>
      <c r="E101" s="17" t="str">
        <f t="shared" si="14"/>
        <v>Commercial</v>
      </c>
      <c r="F101" s="17">
        <f t="shared" si="16"/>
        <v>1</v>
      </c>
      <c r="G101" s="17">
        <f t="shared" si="15"/>
        <v>9</v>
      </c>
      <c r="H101" s="8">
        <v>1</v>
      </c>
      <c r="V101" s="7"/>
      <c r="Y101" s="7"/>
    </row>
    <row r="102" spans="2:25" x14ac:dyDescent="0.2">
      <c r="B102">
        <v>26</v>
      </c>
      <c r="C102" t="s">
        <v>48</v>
      </c>
      <c r="D102" t="s">
        <v>14</v>
      </c>
      <c r="E102" s="17" t="str">
        <f t="shared" si="14"/>
        <v>Corporate</v>
      </c>
      <c r="F102" s="17">
        <f t="shared" si="16"/>
        <v>1</v>
      </c>
      <c r="G102" s="17">
        <f t="shared" si="15"/>
        <v>13</v>
      </c>
      <c r="H102" s="8">
        <v>1</v>
      </c>
      <c r="V102" s="7"/>
      <c r="Y102" s="7"/>
    </row>
    <row r="103" spans="2:25" x14ac:dyDescent="0.2">
      <c r="B103">
        <v>27</v>
      </c>
      <c r="C103" t="s">
        <v>39</v>
      </c>
      <c r="D103" t="s">
        <v>14</v>
      </c>
      <c r="E103" s="17" t="str">
        <f t="shared" si="14"/>
        <v>Commercial</v>
      </c>
      <c r="F103" s="17">
        <f t="shared" si="16"/>
        <v>1</v>
      </c>
      <c r="G103" s="17">
        <f t="shared" si="15"/>
        <v>9</v>
      </c>
      <c r="H103" s="8">
        <v>1</v>
      </c>
      <c r="V103" s="7"/>
      <c r="Y103" s="7"/>
    </row>
    <row r="104" spans="2:25" x14ac:dyDescent="0.2">
      <c r="B104">
        <v>28</v>
      </c>
      <c r="C104" t="s">
        <v>54</v>
      </c>
      <c r="D104" t="s">
        <v>14</v>
      </c>
      <c r="E104" s="17" t="str">
        <f t="shared" si="14"/>
        <v>Corporate</v>
      </c>
      <c r="F104" s="17">
        <f t="shared" si="16"/>
        <v>1</v>
      </c>
      <c r="G104" s="17">
        <f t="shared" si="15"/>
        <v>13</v>
      </c>
      <c r="H104" s="8">
        <v>1</v>
      </c>
      <c r="V104" s="7"/>
      <c r="Y104" s="7"/>
    </row>
    <row r="105" spans="2:25" x14ac:dyDescent="0.2">
      <c r="B105">
        <v>29</v>
      </c>
      <c r="C105" t="s">
        <v>50</v>
      </c>
      <c r="D105" t="s">
        <v>14</v>
      </c>
      <c r="E105" s="17" t="str">
        <f t="shared" si="14"/>
        <v>Corporate</v>
      </c>
      <c r="F105" s="17">
        <f t="shared" si="16"/>
        <v>1</v>
      </c>
      <c r="G105" s="17">
        <f t="shared" si="15"/>
        <v>13</v>
      </c>
      <c r="H105" s="8">
        <v>1</v>
      </c>
      <c r="V105" s="7"/>
      <c r="Y105" s="7"/>
    </row>
    <row r="106" spans="2:25" x14ac:dyDescent="0.2">
      <c r="B106">
        <v>30</v>
      </c>
      <c r="C106" t="s">
        <v>51</v>
      </c>
      <c r="D106" t="s">
        <v>14</v>
      </c>
      <c r="E106" s="17" t="str">
        <f t="shared" si="14"/>
        <v>Corporate</v>
      </c>
      <c r="F106" s="17">
        <f t="shared" si="16"/>
        <v>1</v>
      </c>
      <c r="G106" s="17">
        <f t="shared" si="15"/>
        <v>13</v>
      </c>
      <c r="H106" s="8">
        <v>1</v>
      </c>
      <c r="V106" s="7"/>
      <c r="Y106" s="7"/>
    </row>
    <row r="107" spans="2:25" x14ac:dyDescent="0.2">
      <c r="B107">
        <v>31</v>
      </c>
      <c r="C107" t="s">
        <v>56</v>
      </c>
      <c r="D107" t="s">
        <v>14</v>
      </c>
      <c r="E107" s="17" t="str">
        <f t="shared" si="14"/>
        <v>Corporate</v>
      </c>
      <c r="F107" s="17">
        <f t="shared" si="16"/>
        <v>1</v>
      </c>
      <c r="G107" s="17">
        <f t="shared" si="15"/>
        <v>13</v>
      </c>
      <c r="H107" s="8">
        <v>1</v>
      </c>
      <c r="V107" s="7"/>
      <c r="Y107" s="7"/>
    </row>
    <row r="108" spans="2:25" x14ac:dyDescent="0.2">
      <c r="B108">
        <v>32</v>
      </c>
      <c r="C108" t="s">
        <v>53</v>
      </c>
      <c r="D108" t="s">
        <v>14</v>
      </c>
      <c r="E108" s="17" t="str">
        <f t="shared" si="14"/>
        <v>Corporate</v>
      </c>
      <c r="F108" s="17">
        <f t="shared" si="16"/>
        <v>1</v>
      </c>
      <c r="G108" s="17">
        <f t="shared" si="15"/>
        <v>13</v>
      </c>
      <c r="H108" s="8">
        <v>1</v>
      </c>
      <c r="V108" s="7"/>
      <c r="Y108" s="7"/>
    </row>
    <row r="109" spans="2:25" x14ac:dyDescent="0.2">
      <c r="B109">
        <v>1</v>
      </c>
      <c r="C109" t="s">
        <v>21</v>
      </c>
      <c r="D109" t="s">
        <v>15</v>
      </c>
      <c r="E109" s="17" t="str">
        <f t="shared" si="14"/>
        <v>Commercial</v>
      </c>
      <c r="F109" s="17">
        <f t="shared" si="16"/>
        <v>1</v>
      </c>
      <c r="G109" s="17">
        <f t="shared" si="15"/>
        <v>9</v>
      </c>
      <c r="H109" s="8">
        <v>1</v>
      </c>
      <c r="V109" s="7"/>
      <c r="Y109" s="7"/>
    </row>
    <row r="110" spans="2:25" x14ac:dyDescent="0.2">
      <c r="B110">
        <v>2</v>
      </c>
      <c r="C110" t="s">
        <v>26</v>
      </c>
      <c r="D110" t="s">
        <v>15</v>
      </c>
      <c r="E110" s="17" t="str">
        <f t="shared" si="14"/>
        <v>Operations</v>
      </c>
      <c r="F110" s="17">
        <f t="shared" si="16"/>
        <v>1</v>
      </c>
      <c r="G110" s="17">
        <f t="shared" si="15"/>
        <v>3</v>
      </c>
      <c r="H110" s="8">
        <v>1</v>
      </c>
      <c r="V110" s="7"/>
      <c r="Y110" s="7"/>
    </row>
    <row r="111" spans="2:25" x14ac:dyDescent="0.2">
      <c r="B111">
        <v>3</v>
      </c>
      <c r="C111" t="s">
        <v>22</v>
      </c>
      <c r="D111" t="s">
        <v>15</v>
      </c>
      <c r="E111" s="17" t="str">
        <f t="shared" si="14"/>
        <v>Corporate</v>
      </c>
      <c r="F111" s="17">
        <f t="shared" si="16"/>
        <v>1</v>
      </c>
      <c r="G111" s="17">
        <f t="shared" si="15"/>
        <v>13</v>
      </c>
      <c r="H111" s="8">
        <v>1</v>
      </c>
      <c r="V111" s="7"/>
      <c r="Y111" s="7"/>
    </row>
    <row r="112" spans="2:25" x14ac:dyDescent="0.2">
      <c r="B112">
        <v>4</v>
      </c>
      <c r="C112" t="s">
        <v>9</v>
      </c>
      <c r="D112" t="s">
        <v>15</v>
      </c>
      <c r="E112" s="17" t="str">
        <f t="shared" si="14"/>
        <v>Technology</v>
      </c>
      <c r="F112" s="17">
        <f t="shared" si="16"/>
        <v>1</v>
      </c>
      <c r="G112" s="17">
        <f t="shared" si="15"/>
        <v>5</v>
      </c>
      <c r="H112" s="8">
        <v>1</v>
      </c>
      <c r="V112" s="7"/>
      <c r="Y112" s="7"/>
    </row>
    <row r="113" spans="2:25" x14ac:dyDescent="0.2">
      <c r="B113">
        <v>5</v>
      </c>
      <c r="C113" t="s">
        <v>11</v>
      </c>
      <c r="D113" t="s">
        <v>15</v>
      </c>
      <c r="E113" s="17" t="str">
        <f t="shared" si="14"/>
        <v>CISO</v>
      </c>
      <c r="F113" s="17">
        <f t="shared" si="16"/>
        <v>1</v>
      </c>
      <c r="G113" s="17">
        <f t="shared" si="15"/>
        <v>1</v>
      </c>
      <c r="H113" s="8">
        <v>1</v>
      </c>
      <c r="V113" s="7"/>
      <c r="Y113" s="7"/>
    </row>
    <row r="114" spans="2:25" x14ac:dyDescent="0.2">
      <c r="B114">
        <v>6</v>
      </c>
      <c r="C114" t="s">
        <v>116</v>
      </c>
      <c r="D114" t="s">
        <v>15</v>
      </c>
      <c r="E114" s="17" t="str">
        <f t="shared" si="14"/>
        <v>Data &amp; AI</v>
      </c>
      <c r="F114" s="17">
        <f t="shared" si="16"/>
        <v>1</v>
      </c>
      <c r="G114" s="17">
        <f t="shared" si="15"/>
        <v>1</v>
      </c>
      <c r="H114" s="8">
        <v>1</v>
      </c>
      <c r="V114" s="7"/>
      <c r="Y114" s="7"/>
    </row>
    <row r="115" spans="2:25" x14ac:dyDescent="0.2">
      <c r="B115">
        <v>7</v>
      </c>
      <c r="C115" t="s">
        <v>37</v>
      </c>
      <c r="D115" t="s">
        <v>15</v>
      </c>
      <c r="E115" s="17" t="str">
        <f t="shared" si="14"/>
        <v>Commercial</v>
      </c>
      <c r="F115" s="17">
        <f t="shared" si="16"/>
        <v>1</v>
      </c>
      <c r="G115" s="17">
        <f t="shared" si="15"/>
        <v>9</v>
      </c>
      <c r="H115" s="8">
        <v>1</v>
      </c>
      <c r="V115" s="7"/>
      <c r="Y115" s="7"/>
    </row>
    <row r="116" spans="2:25" x14ac:dyDescent="0.2">
      <c r="B116">
        <v>8</v>
      </c>
      <c r="C116" t="s">
        <v>44</v>
      </c>
      <c r="D116" t="s">
        <v>15</v>
      </c>
      <c r="E116" s="17" t="str">
        <f t="shared" si="14"/>
        <v>Corporate</v>
      </c>
      <c r="F116" s="17">
        <f t="shared" si="16"/>
        <v>1</v>
      </c>
      <c r="G116" s="17">
        <f t="shared" si="15"/>
        <v>13</v>
      </c>
      <c r="H116" s="8">
        <v>1</v>
      </c>
      <c r="V116" s="7"/>
      <c r="Y116" s="7"/>
    </row>
    <row r="117" spans="2:25" x14ac:dyDescent="0.2">
      <c r="B117">
        <v>9</v>
      </c>
      <c r="C117" t="s">
        <v>7</v>
      </c>
      <c r="D117" t="s">
        <v>15</v>
      </c>
      <c r="E117" s="17" t="str">
        <f t="shared" si="14"/>
        <v>Operations</v>
      </c>
      <c r="F117" s="17">
        <f t="shared" si="16"/>
        <v>1</v>
      </c>
      <c r="G117" s="17">
        <f t="shared" si="15"/>
        <v>3</v>
      </c>
      <c r="H117" s="8">
        <v>1</v>
      </c>
      <c r="V117" s="7"/>
      <c r="Y117" s="7"/>
    </row>
    <row r="118" spans="2:25" x14ac:dyDescent="0.2">
      <c r="B118">
        <v>10</v>
      </c>
      <c r="C118" t="s">
        <v>59</v>
      </c>
      <c r="D118" t="s">
        <v>15</v>
      </c>
      <c r="E118" s="17" t="str">
        <f t="shared" si="14"/>
        <v>Technology</v>
      </c>
      <c r="F118" s="17">
        <f t="shared" si="16"/>
        <v>1</v>
      </c>
      <c r="G118" s="17">
        <f t="shared" si="15"/>
        <v>5</v>
      </c>
      <c r="H118" s="8">
        <v>1</v>
      </c>
      <c r="V118" s="7"/>
      <c r="Y118" s="7"/>
    </row>
    <row r="119" spans="2:25" x14ac:dyDescent="0.2">
      <c r="B119">
        <v>11</v>
      </c>
      <c r="C119" t="s">
        <v>36</v>
      </c>
      <c r="D119" t="s">
        <v>15</v>
      </c>
      <c r="E119" s="17" t="str">
        <f t="shared" si="14"/>
        <v>Commercial</v>
      </c>
      <c r="F119" s="17">
        <f t="shared" si="16"/>
        <v>1</v>
      </c>
      <c r="G119" s="17">
        <f t="shared" si="15"/>
        <v>9</v>
      </c>
      <c r="H119" s="8">
        <v>1</v>
      </c>
      <c r="V119" s="7"/>
      <c r="Y119" s="7"/>
    </row>
    <row r="120" spans="2:25" x14ac:dyDescent="0.2">
      <c r="B120">
        <v>12</v>
      </c>
      <c r="C120" t="s">
        <v>46</v>
      </c>
      <c r="D120" t="s">
        <v>15</v>
      </c>
      <c r="E120" s="17" t="str">
        <f t="shared" si="14"/>
        <v>Corporate</v>
      </c>
      <c r="F120" s="17">
        <f t="shared" si="16"/>
        <v>1</v>
      </c>
      <c r="G120" s="17">
        <f t="shared" si="15"/>
        <v>13</v>
      </c>
      <c r="H120" s="8">
        <v>1</v>
      </c>
      <c r="V120" s="7"/>
      <c r="Y120" s="7"/>
    </row>
    <row r="121" spans="2:25" x14ac:dyDescent="0.2">
      <c r="B121">
        <v>13</v>
      </c>
      <c r="C121" t="s">
        <v>42</v>
      </c>
      <c r="D121" t="s">
        <v>15</v>
      </c>
      <c r="E121" s="17" t="str">
        <f t="shared" si="14"/>
        <v>Operations</v>
      </c>
      <c r="F121" s="17">
        <f t="shared" si="16"/>
        <v>1</v>
      </c>
      <c r="G121" s="17">
        <f t="shared" si="15"/>
        <v>3</v>
      </c>
      <c r="H121" s="8">
        <v>1</v>
      </c>
      <c r="V121" s="7"/>
      <c r="Y121" s="7"/>
    </row>
    <row r="122" spans="2:25" x14ac:dyDescent="0.2">
      <c r="B122">
        <v>14</v>
      </c>
      <c r="C122" t="s">
        <v>58</v>
      </c>
      <c r="D122" t="s">
        <v>15</v>
      </c>
      <c r="E122" s="17" t="str">
        <f t="shared" si="14"/>
        <v>Technology</v>
      </c>
      <c r="F122" s="17">
        <f t="shared" si="16"/>
        <v>1</v>
      </c>
      <c r="G122" s="17">
        <f t="shared" si="15"/>
        <v>5</v>
      </c>
      <c r="H122" s="8">
        <v>1</v>
      </c>
      <c r="V122" s="7"/>
      <c r="Y122" s="7"/>
    </row>
    <row r="123" spans="2:25" x14ac:dyDescent="0.2">
      <c r="B123">
        <v>15</v>
      </c>
      <c r="C123" t="s">
        <v>38</v>
      </c>
      <c r="D123" t="s">
        <v>15</v>
      </c>
      <c r="E123" s="17" t="str">
        <f t="shared" si="14"/>
        <v>Commercial</v>
      </c>
      <c r="F123" s="17">
        <f t="shared" si="16"/>
        <v>1</v>
      </c>
      <c r="G123" s="17">
        <f t="shared" si="15"/>
        <v>9</v>
      </c>
      <c r="H123" s="8">
        <v>1</v>
      </c>
      <c r="V123" s="7"/>
      <c r="Y123" s="7"/>
    </row>
    <row r="124" spans="2:25" x14ac:dyDescent="0.2">
      <c r="B124">
        <v>16</v>
      </c>
      <c r="C124" t="s">
        <v>47</v>
      </c>
      <c r="D124" t="s">
        <v>15</v>
      </c>
      <c r="E124" s="17" t="str">
        <f t="shared" si="14"/>
        <v>Corporate</v>
      </c>
      <c r="F124" s="17">
        <f t="shared" si="16"/>
        <v>1</v>
      </c>
      <c r="G124" s="17">
        <f t="shared" si="15"/>
        <v>13</v>
      </c>
      <c r="H124" s="8">
        <v>1</v>
      </c>
      <c r="V124" s="7"/>
      <c r="Y124" s="7"/>
    </row>
    <row r="125" spans="2:25" x14ac:dyDescent="0.2">
      <c r="B125">
        <v>17</v>
      </c>
      <c r="C125" t="s">
        <v>34</v>
      </c>
      <c r="D125" t="s">
        <v>15</v>
      </c>
      <c r="E125" s="17" t="str">
        <f t="shared" si="14"/>
        <v>Technology</v>
      </c>
      <c r="F125" s="17">
        <f t="shared" si="16"/>
        <v>1</v>
      </c>
      <c r="G125" s="17">
        <f t="shared" si="15"/>
        <v>5</v>
      </c>
      <c r="H125" s="8">
        <v>1</v>
      </c>
      <c r="V125" s="7"/>
      <c r="Y125" s="7"/>
    </row>
    <row r="126" spans="2:25" x14ac:dyDescent="0.2">
      <c r="B126">
        <v>18</v>
      </c>
      <c r="C126" t="s">
        <v>25</v>
      </c>
      <c r="D126" t="s">
        <v>15</v>
      </c>
      <c r="E126" s="17" t="str">
        <f t="shared" si="14"/>
        <v>Commercial</v>
      </c>
      <c r="F126" s="17">
        <f t="shared" si="16"/>
        <v>1</v>
      </c>
      <c r="G126" s="17">
        <f t="shared" si="15"/>
        <v>9</v>
      </c>
      <c r="H126" s="8">
        <v>1</v>
      </c>
      <c r="V126" s="7"/>
      <c r="Y126" s="7"/>
    </row>
    <row r="127" spans="2:25" x14ac:dyDescent="0.2">
      <c r="B127">
        <v>19</v>
      </c>
      <c r="C127" t="s">
        <v>35</v>
      </c>
      <c r="D127" t="s">
        <v>15</v>
      </c>
      <c r="E127" s="17" t="str">
        <f t="shared" si="14"/>
        <v>Corporate</v>
      </c>
      <c r="F127" s="17">
        <f t="shared" si="16"/>
        <v>1</v>
      </c>
      <c r="G127" s="17">
        <f t="shared" si="15"/>
        <v>13</v>
      </c>
      <c r="H127" s="8">
        <v>1</v>
      </c>
      <c r="V127" s="7"/>
      <c r="Y127" s="7"/>
    </row>
    <row r="128" spans="2:25" x14ac:dyDescent="0.2">
      <c r="B128">
        <v>20</v>
      </c>
      <c r="C128" t="s">
        <v>60</v>
      </c>
      <c r="D128" t="s">
        <v>15</v>
      </c>
      <c r="E128" s="17" t="str">
        <f t="shared" si="14"/>
        <v>Technology</v>
      </c>
      <c r="F128" s="17">
        <f t="shared" si="16"/>
        <v>1</v>
      </c>
      <c r="G128" s="17">
        <f t="shared" si="15"/>
        <v>5</v>
      </c>
      <c r="H128" s="8">
        <v>1</v>
      </c>
      <c r="V128" s="7"/>
      <c r="Y128" s="7"/>
    </row>
    <row r="129" spans="2:25" x14ac:dyDescent="0.2">
      <c r="B129">
        <v>21</v>
      </c>
      <c r="C129" t="s">
        <v>23</v>
      </c>
      <c r="D129" t="s">
        <v>15</v>
      </c>
      <c r="E129" s="17" t="str">
        <f t="shared" si="14"/>
        <v>Commercial</v>
      </c>
      <c r="F129" s="17">
        <f t="shared" si="16"/>
        <v>1</v>
      </c>
      <c r="G129" s="17">
        <f t="shared" si="15"/>
        <v>9</v>
      </c>
      <c r="H129" s="8">
        <v>1</v>
      </c>
      <c r="V129" s="7"/>
      <c r="Y129" s="7"/>
    </row>
    <row r="130" spans="2:25" x14ac:dyDescent="0.2">
      <c r="B130">
        <v>22</v>
      </c>
      <c r="C130" t="s">
        <v>98</v>
      </c>
      <c r="D130" t="s">
        <v>15</v>
      </c>
      <c r="E130" s="17" t="str">
        <f t="shared" si="14"/>
        <v>Corporate</v>
      </c>
      <c r="F130" s="17">
        <f t="shared" si="16"/>
        <v>1</v>
      </c>
      <c r="G130" s="17">
        <f t="shared" si="15"/>
        <v>13</v>
      </c>
      <c r="H130" s="8">
        <v>1</v>
      </c>
      <c r="V130" s="7"/>
      <c r="Y130" s="7"/>
    </row>
    <row r="131" spans="2:25" x14ac:dyDescent="0.2">
      <c r="B131">
        <v>23</v>
      </c>
      <c r="C131" t="s">
        <v>24</v>
      </c>
      <c r="D131" t="s">
        <v>15</v>
      </c>
      <c r="E131" s="17" t="str">
        <f t="shared" ref="E131:E194" si="17">VLOOKUP($C131,$AB:$AC,2,FALSE)</f>
        <v>Commercial</v>
      </c>
      <c r="F131" s="17">
        <f t="shared" si="16"/>
        <v>1</v>
      </c>
      <c r="G131" s="17">
        <f t="shared" ref="G131:G194" si="18">SUMIFS($H$2:$H$1000,$E$2:$E$1000,E131,$D$2:$D$1000,D131)</f>
        <v>9</v>
      </c>
      <c r="H131" s="8">
        <v>1</v>
      </c>
      <c r="V131" s="7"/>
      <c r="Y131" s="7"/>
    </row>
    <row r="132" spans="2:25" x14ac:dyDescent="0.2">
      <c r="B132">
        <v>24</v>
      </c>
      <c r="C132" t="s">
        <v>45</v>
      </c>
      <c r="D132" t="s">
        <v>15</v>
      </c>
      <c r="E132" s="17" t="str">
        <f t="shared" si="17"/>
        <v>Corporate</v>
      </c>
      <c r="F132" s="17">
        <f t="shared" ref="F132:F195" si="19">H132*SUMIFS($L:$L,$J:$J,D132,$K:$K,E132)/G132</f>
        <v>1</v>
      </c>
      <c r="G132" s="17">
        <f t="shared" si="18"/>
        <v>13</v>
      </c>
      <c r="H132" s="8">
        <v>1</v>
      </c>
      <c r="V132" s="7"/>
      <c r="Y132" s="7"/>
    </row>
    <row r="133" spans="2:25" x14ac:dyDescent="0.2">
      <c r="B133">
        <v>25</v>
      </c>
      <c r="C133" t="s">
        <v>40</v>
      </c>
      <c r="D133" t="s">
        <v>15</v>
      </c>
      <c r="E133" s="17" t="str">
        <f t="shared" si="17"/>
        <v>Commercial</v>
      </c>
      <c r="F133" s="17">
        <f t="shared" si="19"/>
        <v>1</v>
      </c>
      <c r="G133" s="17">
        <f t="shared" si="18"/>
        <v>9</v>
      </c>
      <c r="H133" s="8">
        <v>1</v>
      </c>
      <c r="V133" s="7"/>
      <c r="Y133" s="7"/>
    </row>
    <row r="134" spans="2:25" x14ac:dyDescent="0.2">
      <c r="B134">
        <v>26</v>
      </c>
      <c r="C134" t="s">
        <v>48</v>
      </c>
      <c r="D134" t="s">
        <v>15</v>
      </c>
      <c r="E134" s="17" t="str">
        <f t="shared" si="17"/>
        <v>Corporate</v>
      </c>
      <c r="F134" s="17">
        <f t="shared" si="19"/>
        <v>1</v>
      </c>
      <c r="G134" s="17">
        <f t="shared" si="18"/>
        <v>13</v>
      </c>
      <c r="H134" s="8">
        <v>1</v>
      </c>
      <c r="V134" s="7"/>
      <c r="Y134" s="7"/>
    </row>
    <row r="135" spans="2:25" x14ac:dyDescent="0.2">
      <c r="B135">
        <v>27</v>
      </c>
      <c r="C135" t="s">
        <v>39</v>
      </c>
      <c r="D135" t="s">
        <v>15</v>
      </c>
      <c r="E135" s="17" t="str">
        <f t="shared" si="17"/>
        <v>Commercial</v>
      </c>
      <c r="F135" s="17">
        <f t="shared" si="19"/>
        <v>1</v>
      </c>
      <c r="G135" s="17">
        <f t="shared" si="18"/>
        <v>9</v>
      </c>
      <c r="H135" s="8">
        <v>1</v>
      </c>
      <c r="V135" s="7"/>
      <c r="Y135" s="7"/>
    </row>
    <row r="136" spans="2:25" x14ac:dyDescent="0.2">
      <c r="B136">
        <v>28</v>
      </c>
      <c r="C136" t="s">
        <v>54</v>
      </c>
      <c r="D136" t="s">
        <v>15</v>
      </c>
      <c r="E136" s="17" t="str">
        <f t="shared" si="17"/>
        <v>Corporate</v>
      </c>
      <c r="F136" s="17">
        <f t="shared" si="19"/>
        <v>1</v>
      </c>
      <c r="G136" s="17">
        <f t="shared" si="18"/>
        <v>13</v>
      </c>
      <c r="H136" s="8">
        <v>1</v>
      </c>
      <c r="V136" s="7"/>
      <c r="Y136" s="7"/>
    </row>
    <row r="137" spans="2:25" x14ac:dyDescent="0.2">
      <c r="B137">
        <v>29</v>
      </c>
      <c r="C137" t="s">
        <v>50</v>
      </c>
      <c r="D137" t="s">
        <v>15</v>
      </c>
      <c r="E137" s="17" t="str">
        <f t="shared" si="17"/>
        <v>Corporate</v>
      </c>
      <c r="F137" s="17">
        <f t="shared" si="19"/>
        <v>1</v>
      </c>
      <c r="G137" s="17">
        <f t="shared" si="18"/>
        <v>13</v>
      </c>
      <c r="H137" s="8">
        <v>1</v>
      </c>
      <c r="V137" s="7"/>
      <c r="Y137" s="7"/>
    </row>
    <row r="138" spans="2:25" x14ac:dyDescent="0.2">
      <c r="B138">
        <v>30</v>
      </c>
      <c r="C138" t="s">
        <v>51</v>
      </c>
      <c r="D138" t="s">
        <v>15</v>
      </c>
      <c r="E138" s="17" t="str">
        <f t="shared" si="17"/>
        <v>Corporate</v>
      </c>
      <c r="F138" s="17">
        <f t="shared" si="19"/>
        <v>1</v>
      </c>
      <c r="G138" s="17">
        <f t="shared" si="18"/>
        <v>13</v>
      </c>
      <c r="H138" s="8">
        <v>1</v>
      </c>
      <c r="V138" s="7"/>
      <c r="Y138" s="7"/>
    </row>
    <row r="139" spans="2:25" x14ac:dyDescent="0.2">
      <c r="B139">
        <v>31</v>
      </c>
      <c r="C139" t="s">
        <v>56</v>
      </c>
      <c r="D139" t="s">
        <v>15</v>
      </c>
      <c r="E139" s="17" t="str">
        <f t="shared" si="17"/>
        <v>Corporate</v>
      </c>
      <c r="F139" s="17">
        <f t="shared" si="19"/>
        <v>1</v>
      </c>
      <c r="G139" s="17">
        <f t="shared" si="18"/>
        <v>13</v>
      </c>
      <c r="H139" s="8">
        <v>1</v>
      </c>
      <c r="V139" s="7"/>
      <c r="Y139" s="7"/>
    </row>
    <row r="140" spans="2:25" x14ac:dyDescent="0.2">
      <c r="B140">
        <v>32</v>
      </c>
      <c r="C140" t="s">
        <v>53</v>
      </c>
      <c r="D140" t="s">
        <v>15</v>
      </c>
      <c r="E140" s="17" t="str">
        <f t="shared" si="17"/>
        <v>Corporate</v>
      </c>
      <c r="F140" s="17">
        <f t="shared" si="19"/>
        <v>1</v>
      </c>
      <c r="G140" s="17">
        <f t="shared" si="18"/>
        <v>13</v>
      </c>
      <c r="H140" s="8">
        <v>1</v>
      </c>
      <c r="V140" s="7"/>
      <c r="Y140" s="7"/>
    </row>
    <row r="141" spans="2:25" x14ac:dyDescent="0.2">
      <c r="B141">
        <v>1</v>
      </c>
      <c r="C141" t="s">
        <v>24</v>
      </c>
      <c r="D141" t="s">
        <v>16</v>
      </c>
      <c r="E141" s="17" t="str">
        <f t="shared" si="17"/>
        <v>Commercial</v>
      </c>
      <c r="F141" s="17">
        <f t="shared" si="19"/>
        <v>1</v>
      </c>
      <c r="G141" s="17">
        <f t="shared" si="18"/>
        <v>9</v>
      </c>
      <c r="H141" s="8">
        <v>1</v>
      </c>
      <c r="V141" s="7"/>
      <c r="Y141" s="7"/>
    </row>
    <row r="142" spans="2:25" x14ac:dyDescent="0.2">
      <c r="B142">
        <v>2</v>
      </c>
      <c r="C142" t="s">
        <v>26</v>
      </c>
      <c r="D142" t="s">
        <v>16</v>
      </c>
      <c r="E142" s="17" t="str">
        <f t="shared" si="17"/>
        <v>Operations</v>
      </c>
      <c r="F142" s="17">
        <f t="shared" si="19"/>
        <v>1</v>
      </c>
      <c r="G142" s="17">
        <f t="shared" si="18"/>
        <v>3</v>
      </c>
      <c r="H142" s="8">
        <v>1</v>
      </c>
      <c r="V142" s="7"/>
      <c r="Y142" s="7"/>
    </row>
    <row r="143" spans="2:25" x14ac:dyDescent="0.2">
      <c r="B143">
        <v>3</v>
      </c>
      <c r="C143" t="s">
        <v>22</v>
      </c>
      <c r="D143" t="s">
        <v>16</v>
      </c>
      <c r="E143" s="17" t="str">
        <f t="shared" si="17"/>
        <v>Corporate</v>
      </c>
      <c r="F143" s="17">
        <f t="shared" si="19"/>
        <v>1</v>
      </c>
      <c r="G143" s="17">
        <f t="shared" si="18"/>
        <v>13</v>
      </c>
      <c r="H143" s="8">
        <v>1</v>
      </c>
      <c r="V143" s="7"/>
      <c r="Y143" s="7"/>
    </row>
    <row r="144" spans="2:25" x14ac:dyDescent="0.2">
      <c r="B144">
        <v>4</v>
      </c>
      <c r="C144" t="s">
        <v>9</v>
      </c>
      <c r="D144" t="s">
        <v>16</v>
      </c>
      <c r="E144" s="17" t="str">
        <f t="shared" si="17"/>
        <v>Technology</v>
      </c>
      <c r="F144" s="17">
        <f t="shared" si="19"/>
        <v>1</v>
      </c>
      <c r="G144" s="17">
        <f t="shared" si="18"/>
        <v>5</v>
      </c>
      <c r="H144" s="8">
        <v>1</v>
      </c>
      <c r="V144" s="7"/>
      <c r="Y144" s="7"/>
    </row>
    <row r="145" spans="2:25" x14ac:dyDescent="0.2">
      <c r="B145">
        <v>5</v>
      </c>
      <c r="C145" t="s">
        <v>11</v>
      </c>
      <c r="D145" t="s">
        <v>16</v>
      </c>
      <c r="E145" s="17" t="str">
        <f t="shared" si="17"/>
        <v>CISO</v>
      </c>
      <c r="F145" s="17">
        <f t="shared" si="19"/>
        <v>1</v>
      </c>
      <c r="G145" s="17">
        <f t="shared" si="18"/>
        <v>1</v>
      </c>
      <c r="H145" s="8">
        <v>1</v>
      </c>
      <c r="V145" s="7"/>
      <c r="Y145" s="7"/>
    </row>
    <row r="146" spans="2:25" x14ac:dyDescent="0.2">
      <c r="B146">
        <v>6</v>
      </c>
      <c r="C146" t="s">
        <v>116</v>
      </c>
      <c r="D146" t="s">
        <v>16</v>
      </c>
      <c r="E146" s="17" t="str">
        <f t="shared" si="17"/>
        <v>Data &amp; AI</v>
      </c>
      <c r="F146" s="17">
        <f t="shared" si="19"/>
        <v>1</v>
      </c>
      <c r="G146" s="17">
        <f t="shared" si="18"/>
        <v>1</v>
      </c>
      <c r="H146" s="8">
        <v>1</v>
      </c>
      <c r="V146" s="7"/>
      <c r="Y146" s="7"/>
    </row>
    <row r="147" spans="2:25" x14ac:dyDescent="0.2">
      <c r="B147">
        <v>7</v>
      </c>
      <c r="C147" t="s">
        <v>37</v>
      </c>
      <c r="D147" t="s">
        <v>16</v>
      </c>
      <c r="E147" s="17" t="str">
        <f t="shared" si="17"/>
        <v>Commercial</v>
      </c>
      <c r="F147" s="17">
        <f t="shared" si="19"/>
        <v>1</v>
      </c>
      <c r="G147" s="17">
        <f t="shared" si="18"/>
        <v>9</v>
      </c>
      <c r="H147" s="8">
        <v>1</v>
      </c>
      <c r="V147" s="7"/>
      <c r="Y147" s="7"/>
    </row>
    <row r="148" spans="2:25" x14ac:dyDescent="0.2">
      <c r="B148">
        <v>8</v>
      </c>
      <c r="C148" t="s">
        <v>44</v>
      </c>
      <c r="D148" t="s">
        <v>16</v>
      </c>
      <c r="E148" s="17" t="str">
        <f t="shared" si="17"/>
        <v>Corporate</v>
      </c>
      <c r="F148" s="17">
        <f t="shared" si="19"/>
        <v>1</v>
      </c>
      <c r="G148" s="17">
        <f t="shared" si="18"/>
        <v>13</v>
      </c>
      <c r="H148" s="8">
        <v>1</v>
      </c>
      <c r="V148" s="7"/>
      <c r="Y148" s="7"/>
    </row>
    <row r="149" spans="2:25" x14ac:dyDescent="0.2">
      <c r="B149">
        <v>9</v>
      </c>
      <c r="C149" t="s">
        <v>7</v>
      </c>
      <c r="D149" t="s">
        <v>16</v>
      </c>
      <c r="E149" s="17" t="str">
        <f t="shared" si="17"/>
        <v>Operations</v>
      </c>
      <c r="F149" s="17">
        <f t="shared" si="19"/>
        <v>1</v>
      </c>
      <c r="G149" s="17">
        <f t="shared" si="18"/>
        <v>3</v>
      </c>
      <c r="H149" s="8">
        <v>1</v>
      </c>
      <c r="V149" s="7"/>
      <c r="Y149" s="7"/>
    </row>
    <row r="150" spans="2:25" x14ac:dyDescent="0.2">
      <c r="B150">
        <v>10</v>
      </c>
      <c r="C150" t="s">
        <v>59</v>
      </c>
      <c r="D150" t="s">
        <v>16</v>
      </c>
      <c r="E150" s="17" t="str">
        <f t="shared" si="17"/>
        <v>Technology</v>
      </c>
      <c r="F150" s="17">
        <f t="shared" si="19"/>
        <v>1</v>
      </c>
      <c r="G150" s="17">
        <f t="shared" si="18"/>
        <v>5</v>
      </c>
      <c r="H150" s="8">
        <v>1</v>
      </c>
      <c r="V150" s="7"/>
      <c r="Y150" s="7"/>
    </row>
    <row r="151" spans="2:25" x14ac:dyDescent="0.2">
      <c r="B151">
        <v>11</v>
      </c>
      <c r="C151" t="s">
        <v>36</v>
      </c>
      <c r="D151" t="s">
        <v>16</v>
      </c>
      <c r="E151" s="17" t="str">
        <f t="shared" si="17"/>
        <v>Commercial</v>
      </c>
      <c r="F151" s="17">
        <f t="shared" si="19"/>
        <v>1</v>
      </c>
      <c r="G151" s="17">
        <f t="shared" si="18"/>
        <v>9</v>
      </c>
      <c r="H151" s="8">
        <v>1</v>
      </c>
      <c r="V151" s="7"/>
      <c r="Y151" s="7"/>
    </row>
    <row r="152" spans="2:25" x14ac:dyDescent="0.2">
      <c r="B152">
        <v>12</v>
      </c>
      <c r="C152" t="s">
        <v>46</v>
      </c>
      <c r="D152" t="s">
        <v>16</v>
      </c>
      <c r="E152" s="17" t="str">
        <f t="shared" si="17"/>
        <v>Corporate</v>
      </c>
      <c r="F152" s="17">
        <f t="shared" si="19"/>
        <v>1</v>
      </c>
      <c r="G152" s="17">
        <f t="shared" si="18"/>
        <v>13</v>
      </c>
      <c r="H152" s="8">
        <v>1</v>
      </c>
      <c r="V152" s="7"/>
      <c r="Y152" s="7"/>
    </row>
    <row r="153" spans="2:25" x14ac:dyDescent="0.2">
      <c r="B153">
        <v>13</v>
      </c>
      <c r="C153" t="s">
        <v>42</v>
      </c>
      <c r="D153" t="s">
        <v>16</v>
      </c>
      <c r="E153" s="17" t="str">
        <f t="shared" si="17"/>
        <v>Operations</v>
      </c>
      <c r="F153" s="17">
        <f t="shared" si="19"/>
        <v>1</v>
      </c>
      <c r="G153" s="17">
        <f t="shared" si="18"/>
        <v>3</v>
      </c>
      <c r="H153" s="8">
        <v>1</v>
      </c>
      <c r="V153" s="7"/>
      <c r="Y153" s="7"/>
    </row>
    <row r="154" spans="2:25" x14ac:dyDescent="0.2">
      <c r="B154">
        <v>14</v>
      </c>
      <c r="C154" t="s">
        <v>58</v>
      </c>
      <c r="D154" t="s">
        <v>16</v>
      </c>
      <c r="E154" s="17" t="str">
        <f t="shared" si="17"/>
        <v>Technology</v>
      </c>
      <c r="F154" s="17">
        <f t="shared" si="19"/>
        <v>1</v>
      </c>
      <c r="G154" s="17">
        <f t="shared" si="18"/>
        <v>5</v>
      </c>
      <c r="H154" s="8">
        <v>1</v>
      </c>
      <c r="V154" s="7"/>
      <c r="Y154" s="7"/>
    </row>
    <row r="155" spans="2:25" x14ac:dyDescent="0.2">
      <c r="B155">
        <v>15</v>
      </c>
      <c r="C155" t="s">
        <v>38</v>
      </c>
      <c r="D155" t="s">
        <v>16</v>
      </c>
      <c r="E155" s="17" t="str">
        <f t="shared" si="17"/>
        <v>Commercial</v>
      </c>
      <c r="F155" s="17">
        <f t="shared" si="19"/>
        <v>1</v>
      </c>
      <c r="G155" s="17">
        <f t="shared" si="18"/>
        <v>9</v>
      </c>
      <c r="H155" s="8">
        <v>1</v>
      </c>
      <c r="V155" s="7"/>
      <c r="Y155" s="7"/>
    </row>
    <row r="156" spans="2:25" x14ac:dyDescent="0.2">
      <c r="B156">
        <v>16</v>
      </c>
      <c r="C156" t="s">
        <v>47</v>
      </c>
      <c r="D156" t="s">
        <v>16</v>
      </c>
      <c r="E156" s="17" t="str">
        <f t="shared" si="17"/>
        <v>Corporate</v>
      </c>
      <c r="F156" s="17">
        <f t="shared" si="19"/>
        <v>1</v>
      </c>
      <c r="G156" s="17">
        <f t="shared" si="18"/>
        <v>13</v>
      </c>
      <c r="H156" s="8">
        <v>1</v>
      </c>
      <c r="V156" s="7"/>
      <c r="Y156" s="7"/>
    </row>
    <row r="157" spans="2:25" x14ac:dyDescent="0.2">
      <c r="B157">
        <v>17</v>
      </c>
      <c r="C157" t="s">
        <v>34</v>
      </c>
      <c r="D157" t="s">
        <v>16</v>
      </c>
      <c r="E157" s="17" t="str">
        <f t="shared" si="17"/>
        <v>Technology</v>
      </c>
      <c r="F157" s="17">
        <f t="shared" si="19"/>
        <v>1</v>
      </c>
      <c r="G157" s="17">
        <f t="shared" si="18"/>
        <v>5</v>
      </c>
      <c r="H157" s="8">
        <v>1</v>
      </c>
      <c r="V157" s="7"/>
      <c r="Y157" s="7"/>
    </row>
    <row r="158" spans="2:25" x14ac:dyDescent="0.2">
      <c r="B158">
        <v>18</v>
      </c>
      <c r="C158" t="s">
        <v>25</v>
      </c>
      <c r="D158" t="s">
        <v>16</v>
      </c>
      <c r="E158" s="17" t="str">
        <f t="shared" si="17"/>
        <v>Commercial</v>
      </c>
      <c r="F158" s="17">
        <f t="shared" si="19"/>
        <v>1</v>
      </c>
      <c r="G158" s="17">
        <f t="shared" si="18"/>
        <v>9</v>
      </c>
      <c r="H158" s="8">
        <v>1</v>
      </c>
      <c r="V158" s="7"/>
      <c r="Y158" s="7"/>
    </row>
    <row r="159" spans="2:25" x14ac:dyDescent="0.2">
      <c r="B159">
        <v>19</v>
      </c>
      <c r="C159" t="s">
        <v>35</v>
      </c>
      <c r="D159" t="s">
        <v>16</v>
      </c>
      <c r="E159" s="17" t="str">
        <f t="shared" si="17"/>
        <v>Corporate</v>
      </c>
      <c r="F159" s="17">
        <f t="shared" si="19"/>
        <v>1</v>
      </c>
      <c r="G159" s="17">
        <f t="shared" si="18"/>
        <v>13</v>
      </c>
      <c r="H159" s="8">
        <v>1</v>
      </c>
      <c r="V159" s="7"/>
      <c r="Y159" s="7"/>
    </row>
    <row r="160" spans="2:25" x14ac:dyDescent="0.2">
      <c r="B160">
        <v>20</v>
      </c>
      <c r="C160" t="s">
        <v>60</v>
      </c>
      <c r="D160" t="s">
        <v>16</v>
      </c>
      <c r="E160" s="17" t="str">
        <f t="shared" si="17"/>
        <v>Technology</v>
      </c>
      <c r="F160" s="17">
        <f t="shared" si="19"/>
        <v>1</v>
      </c>
      <c r="G160" s="17">
        <f t="shared" si="18"/>
        <v>5</v>
      </c>
      <c r="H160" s="8">
        <v>1</v>
      </c>
      <c r="V160" s="7"/>
      <c r="Y160" s="7"/>
    </row>
    <row r="161" spans="2:25" x14ac:dyDescent="0.2">
      <c r="B161">
        <v>21</v>
      </c>
      <c r="C161" t="s">
        <v>23</v>
      </c>
      <c r="D161" t="s">
        <v>16</v>
      </c>
      <c r="E161" s="17" t="str">
        <f t="shared" si="17"/>
        <v>Commercial</v>
      </c>
      <c r="F161" s="17">
        <f t="shared" si="19"/>
        <v>1</v>
      </c>
      <c r="G161" s="17">
        <f t="shared" si="18"/>
        <v>9</v>
      </c>
      <c r="H161" s="8">
        <v>1</v>
      </c>
      <c r="V161" s="7"/>
      <c r="Y161" s="7"/>
    </row>
    <row r="162" spans="2:25" x14ac:dyDescent="0.2">
      <c r="B162">
        <v>22</v>
      </c>
      <c r="C162" t="s">
        <v>98</v>
      </c>
      <c r="D162" t="s">
        <v>16</v>
      </c>
      <c r="E162" s="17" t="str">
        <f t="shared" si="17"/>
        <v>Corporate</v>
      </c>
      <c r="F162" s="17">
        <f t="shared" si="19"/>
        <v>1</v>
      </c>
      <c r="G162" s="17">
        <f t="shared" si="18"/>
        <v>13</v>
      </c>
      <c r="H162" s="8">
        <v>1</v>
      </c>
      <c r="V162" s="7"/>
      <c r="Y162" s="7"/>
    </row>
    <row r="163" spans="2:25" x14ac:dyDescent="0.2">
      <c r="B163">
        <v>23</v>
      </c>
      <c r="C163" t="s">
        <v>21</v>
      </c>
      <c r="D163" t="s">
        <v>16</v>
      </c>
      <c r="E163" s="17" t="str">
        <f t="shared" si="17"/>
        <v>Commercial</v>
      </c>
      <c r="F163" s="17">
        <f t="shared" si="19"/>
        <v>1</v>
      </c>
      <c r="G163" s="17">
        <f t="shared" si="18"/>
        <v>9</v>
      </c>
      <c r="H163" s="8">
        <v>1</v>
      </c>
      <c r="V163" s="7"/>
      <c r="Y163" s="7"/>
    </row>
    <row r="164" spans="2:25" x14ac:dyDescent="0.2">
      <c r="B164">
        <v>24</v>
      </c>
      <c r="C164" t="s">
        <v>45</v>
      </c>
      <c r="D164" t="s">
        <v>16</v>
      </c>
      <c r="E164" s="17" t="str">
        <f t="shared" si="17"/>
        <v>Corporate</v>
      </c>
      <c r="F164" s="17">
        <f t="shared" si="19"/>
        <v>1</v>
      </c>
      <c r="G164" s="17">
        <f t="shared" si="18"/>
        <v>13</v>
      </c>
      <c r="H164" s="8">
        <v>1</v>
      </c>
      <c r="V164" s="7"/>
      <c r="Y164" s="7"/>
    </row>
    <row r="165" spans="2:25" x14ac:dyDescent="0.2">
      <c r="B165">
        <v>25</v>
      </c>
      <c r="C165" t="s">
        <v>40</v>
      </c>
      <c r="D165" t="s">
        <v>16</v>
      </c>
      <c r="E165" s="17" t="str">
        <f t="shared" si="17"/>
        <v>Commercial</v>
      </c>
      <c r="F165" s="17">
        <f t="shared" si="19"/>
        <v>1</v>
      </c>
      <c r="G165" s="17">
        <f t="shared" si="18"/>
        <v>9</v>
      </c>
      <c r="H165" s="8">
        <v>1</v>
      </c>
      <c r="V165" s="7"/>
      <c r="Y165" s="7"/>
    </row>
    <row r="166" spans="2:25" x14ac:dyDescent="0.2">
      <c r="B166">
        <v>26</v>
      </c>
      <c r="C166" t="s">
        <v>48</v>
      </c>
      <c r="D166" t="s">
        <v>16</v>
      </c>
      <c r="E166" s="17" t="str">
        <f t="shared" si="17"/>
        <v>Corporate</v>
      </c>
      <c r="F166" s="17">
        <f t="shared" si="19"/>
        <v>1</v>
      </c>
      <c r="G166" s="17">
        <f t="shared" si="18"/>
        <v>13</v>
      </c>
      <c r="H166" s="8">
        <v>1</v>
      </c>
      <c r="V166" s="7"/>
      <c r="Y166" s="7"/>
    </row>
    <row r="167" spans="2:25" x14ac:dyDescent="0.2">
      <c r="B167">
        <v>27</v>
      </c>
      <c r="C167" t="s">
        <v>39</v>
      </c>
      <c r="D167" t="s">
        <v>16</v>
      </c>
      <c r="E167" s="17" t="str">
        <f t="shared" si="17"/>
        <v>Commercial</v>
      </c>
      <c r="F167" s="17">
        <f t="shared" si="19"/>
        <v>1</v>
      </c>
      <c r="G167" s="17">
        <f t="shared" si="18"/>
        <v>9</v>
      </c>
      <c r="H167" s="8">
        <v>1</v>
      </c>
      <c r="V167" s="7"/>
      <c r="Y167" s="7"/>
    </row>
    <row r="168" spans="2:25" x14ac:dyDescent="0.2">
      <c r="B168">
        <v>28</v>
      </c>
      <c r="C168" t="s">
        <v>54</v>
      </c>
      <c r="D168" t="s">
        <v>16</v>
      </c>
      <c r="E168" s="17" t="str">
        <f t="shared" si="17"/>
        <v>Corporate</v>
      </c>
      <c r="F168" s="17">
        <f t="shared" si="19"/>
        <v>1</v>
      </c>
      <c r="G168" s="17">
        <f t="shared" si="18"/>
        <v>13</v>
      </c>
      <c r="H168" s="8">
        <v>1</v>
      </c>
      <c r="V168" s="7"/>
      <c r="Y168" s="7"/>
    </row>
    <row r="169" spans="2:25" x14ac:dyDescent="0.2">
      <c r="B169">
        <v>29</v>
      </c>
      <c r="C169" t="s">
        <v>50</v>
      </c>
      <c r="D169" t="s">
        <v>16</v>
      </c>
      <c r="E169" s="17" t="str">
        <f t="shared" si="17"/>
        <v>Corporate</v>
      </c>
      <c r="F169" s="17">
        <f t="shared" si="19"/>
        <v>1</v>
      </c>
      <c r="G169" s="17">
        <f t="shared" si="18"/>
        <v>13</v>
      </c>
      <c r="H169" s="8">
        <v>1</v>
      </c>
      <c r="V169" s="7"/>
      <c r="Y169" s="7"/>
    </row>
    <row r="170" spans="2:25" x14ac:dyDescent="0.2">
      <c r="B170">
        <v>30</v>
      </c>
      <c r="C170" t="s">
        <v>51</v>
      </c>
      <c r="D170" t="s">
        <v>16</v>
      </c>
      <c r="E170" s="17" t="str">
        <f t="shared" si="17"/>
        <v>Corporate</v>
      </c>
      <c r="F170" s="17">
        <f t="shared" si="19"/>
        <v>1</v>
      </c>
      <c r="G170" s="17">
        <f t="shared" si="18"/>
        <v>13</v>
      </c>
      <c r="H170" s="8">
        <v>1</v>
      </c>
      <c r="V170" s="7"/>
      <c r="Y170" s="7"/>
    </row>
    <row r="171" spans="2:25" x14ac:dyDescent="0.2">
      <c r="B171">
        <v>31</v>
      </c>
      <c r="C171" t="s">
        <v>56</v>
      </c>
      <c r="D171" t="s">
        <v>16</v>
      </c>
      <c r="E171" s="17" t="str">
        <f t="shared" si="17"/>
        <v>Corporate</v>
      </c>
      <c r="F171" s="17">
        <f t="shared" si="19"/>
        <v>1</v>
      </c>
      <c r="G171" s="17">
        <f t="shared" si="18"/>
        <v>13</v>
      </c>
      <c r="H171" s="8">
        <v>1</v>
      </c>
      <c r="V171" s="7"/>
      <c r="Y171" s="7"/>
    </row>
    <row r="172" spans="2:25" x14ac:dyDescent="0.2">
      <c r="B172">
        <v>32</v>
      </c>
      <c r="C172" t="s">
        <v>53</v>
      </c>
      <c r="D172" t="s">
        <v>16</v>
      </c>
      <c r="E172" s="17" t="str">
        <f t="shared" si="17"/>
        <v>Corporate</v>
      </c>
      <c r="F172" s="17">
        <f t="shared" si="19"/>
        <v>1</v>
      </c>
      <c r="G172" s="17">
        <f t="shared" si="18"/>
        <v>13</v>
      </c>
      <c r="H172" s="8">
        <v>1</v>
      </c>
      <c r="V172" s="7"/>
      <c r="Y172" s="7"/>
    </row>
    <row r="173" spans="2:25" x14ac:dyDescent="0.2">
      <c r="B173">
        <v>1</v>
      </c>
      <c r="C173" t="s">
        <v>25</v>
      </c>
      <c r="D173" t="s">
        <v>17</v>
      </c>
      <c r="E173" s="17" t="str">
        <f t="shared" si="17"/>
        <v>Commercial</v>
      </c>
      <c r="F173" s="17">
        <f t="shared" si="19"/>
        <v>1</v>
      </c>
      <c r="G173" s="17">
        <f t="shared" si="18"/>
        <v>8</v>
      </c>
      <c r="H173" s="8">
        <v>1</v>
      </c>
      <c r="V173" s="7"/>
      <c r="Y173" s="7"/>
    </row>
    <row r="174" spans="2:25" x14ac:dyDescent="0.2">
      <c r="B174">
        <v>2</v>
      </c>
      <c r="C174" t="s">
        <v>26</v>
      </c>
      <c r="D174" t="s">
        <v>17</v>
      </c>
      <c r="E174" s="17" t="str">
        <f t="shared" si="17"/>
        <v>Operations</v>
      </c>
      <c r="F174" s="17">
        <f t="shared" si="19"/>
        <v>1</v>
      </c>
      <c r="G174" s="17">
        <f t="shared" si="18"/>
        <v>3</v>
      </c>
      <c r="H174" s="8">
        <v>1</v>
      </c>
      <c r="V174" s="7"/>
      <c r="Y174" s="7"/>
    </row>
    <row r="175" spans="2:25" x14ac:dyDescent="0.2">
      <c r="B175">
        <v>3</v>
      </c>
      <c r="C175" t="s">
        <v>22</v>
      </c>
      <c r="D175" t="s">
        <v>17</v>
      </c>
      <c r="E175" s="17" t="str">
        <f t="shared" si="17"/>
        <v>Corporate</v>
      </c>
      <c r="F175" s="17">
        <f t="shared" si="19"/>
        <v>1</v>
      </c>
      <c r="G175" s="17">
        <f t="shared" si="18"/>
        <v>8</v>
      </c>
      <c r="H175" s="8">
        <v>1</v>
      </c>
      <c r="V175" s="7"/>
      <c r="Y175" s="7"/>
    </row>
    <row r="176" spans="2:25" x14ac:dyDescent="0.2">
      <c r="B176">
        <v>4</v>
      </c>
      <c r="C176" t="s">
        <v>9</v>
      </c>
      <c r="D176" t="s">
        <v>17</v>
      </c>
      <c r="E176" s="17" t="str">
        <f t="shared" si="17"/>
        <v>Technology</v>
      </c>
      <c r="F176" s="17">
        <f t="shared" si="19"/>
        <v>1</v>
      </c>
      <c r="G176" s="17">
        <f t="shared" si="18"/>
        <v>5</v>
      </c>
      <c r="H176" s="8">
        <v>1</v>
      </c>
      <c r="V176" s="7"/>
      <c r="Y176" s="7"/>
    </row>
    <row r="177" spans="2:25" x14ac:dyDescent="0.2">
      <c r="B177">
        <v>5</v>
      </c>
      <c r="C177" t="s">
        <v>11</v>
      </c>
      <c r="D177" t="s">
        <v>17</v>
      </c>
      <c r="E177" s="17" t="str">
        <f t="shared" si="17"/>
        <v>CISO</v>
      </c>
      <c r="F177" s="17">
        <f t="shared" si="19"/>
        <v>1</v>
      </c>
      <c r="G177" s="17">
        <f t="shared" si="18"/>
        <v>1</v>
      </c>
      <c r="H177" s="8">
        <v>1</v>
      </c>
      <c r="V177" s="7"/>
      <c r="Y177" s="7"/>
    </row>
    <row r="178" spans="2:25" x14ac:dyDescent="0.2">
      <c r="B178">
        <v>6</v>
      </c>
      <c r="C178" t="s">
        <v>116</v>
      </c>
      <c r="D178" t="s">
        <v>17</v>
      </c>
      <c r="E178" s="17" t="str">
        <f t="shared" si="17"/>
        <v>Data &amp; AI</v>
      </c>
      <c r="F178" s="17">
        <f t="shared" si="19"/>
        <v>1</v>
      </c>
      <c r="G178" s="17">
        <f t="shared" si="18"/>
        <v>7</v>
      </c>
      <c r="H178" s="8">
        <v>1</v>
      </c>
      <c r="V178" s="7"/>
      <c r="Y178" s="7"/>
    </row>
    <row r="179" spans="2:25" x14ac:dyDescent="0.2">
      <c r="B179">
        <v>7</v>
      </c>
      <c r="C179" t="s">
        <v>37</v>
      </c>
      <c r="D179" t="s">
        <v>17</v>
      </c>
      <c r="E179" s="17" t="str">
        <f t="shared" si="17"/>
        <v>Commercial</v>
      </c>
      <c r="F179" s="17">
        <f t="shared" si="19"/>
        <v>1</v>
      </c>
      <c r="G179" s="17">
        <f t="shared" si="18"/>
        <v>8</v>
      </c>
      <c r="H179" s="8">
        <v>1</v>
      </c>
      <c r="V179" s="7"/>
      <c r="Y179" s="7"/>
    </row>
    <row r="180" spans="2:25" x14ac:dyDescent="0.2">
      <c r="B180">
        <v>8</v>
      </c>
      <c r="C180" t="s">
        <v>44</v>
      </c>
      <c r="D180" t="s">
        <v>17</v>
      </c>
      <c r="E180" s="17" t="str">
        <f t="shared" si="17"/>
        <v>Corporate</v>
      </c>
      <c r="F180" s="17">
        <f t="shared" si="19"/>
        <v>1</v>
      </c>
      <c r="G180" s="17">
        <f t="shared" si="18"/>
        <v>8</v>
      </c>
      <c r="H180" s="8">
        <v>1</v>
      </c>
      <c r="V180" s="7"/>
      <c r="Y180" s="7"/>
    </row>
    <row r="181" spans="2:25" x14ac:dyDescent="0.2">
      <c r="B181">
        <v>9</v>
      </c>
      <c r="C181" t="s">
        <v>7</v>
      </c>
      <c r="D181" t="s">
        <v>17</v>
      </c>
      <c r="E181" s="17" t="str">
        <f t="shared" si="17"/>
        <v>Operations</v>
      </c>
      <c r="F181" s="17">
        <f t="shared" si="19"/>
        <v>1</v>
      </c>
      <c r="G181" s="17">
        <f t="shared" si="18"/>
        <v>3</v>
      </c>
      <c r="H181" s="8">
        <v>1</v>
      </c>
      <c r="V181" s="7"/>
      <c r="Y181" s="7"/>
    </row>
    <row r="182" spans="2:25" x14ac:dyDescent="0.2">
      <c r="B182">
        <v>10</v>
      </c>
      <c r="C182" t="s">
        <v>59</v>
      </c>
      <c r="D182" t="s">
        <v>17</v>
      </c>
      <c r="E182" s="17" t="str">
        <f t="shared" si="17"/>
        <v>Technology</v>
      </c>
      <c r="F182" s="17">
        <f t="shared" si="19"/>
        <v>1</v>
      </c>
      <c r="G182" s="17">
        <f t="shared" si="18"/>
        <v>5</v>
      </c>
      <c r="H182" s="8">
        <v>1</v>
      </c>
      <c r="V182" s="7"/>
      <c r="Y182" s="7"/>
    </row>
    <row r="183" spans="2:25" x14ac:dyDescent="0.2">
      <c r="B183">
        <v>11</v>
      </c>
      <c r="C183" t="s">
        <v>36</v>
      </c>
      <c r="D183" t="s">
        <v>17</v>
      </c>
      <c r="E183" s="17" t="str">
        <f t="shared" si="17"/>
        <v>Commercial</v>
      </c>
      <c r="F183" s="17">
        <f t="shared" si="19"/>
        <v>1</v>
      </c>
      <c r="G183" s="17">
        <f t="shared" si="18"/>
        <v>8</v>
      </c>
      <c r="H183" s="8">
        <v>1</v>
      </c>
      <c r="V183" s="7"/>
      <c r="Y183" s="7"/>
    </row>
    <row r="184" spans="2:25" x14ac:dyDescent="0.2">
      <c r="B184">
        <v>12</v>
      </c>
      <c r="C184" t="s">
        <v>46</v>
      </c>
      <c r="D184" t="s">
        <v>17</v>
      </c>
      <c r="E184" s="17" t="str">
        <f t="shared" si="17"/>
        <v>Corporate</v>
      </c>
      <c r="F184" s="17">
        <f t="shared" si="19"/>
        <v>1</v>
      </c>
      <c r="G184" s="17">
        <f t="shared" si="18"/>
        <v>8</v>
      </c>
      <c r="H184" s="8">
        <v>1</v>
      </c>
      <c r="V184" s="7"/>
      <c r="Y184" s="7"/>
    </row>
    <row r="185" spans="2:25" x14ac:dyDescent="0.2">
      <c r="B185">
        <v>13</v>
      </c>
      <c r="C185" t="s">
        <v>42</v>
      </c>
      <c r="D185" t="s">
        <v>17</v>
      </c>
      <c r="E185" s="17" t="str">
        <f t="shared" si="17"/>
        <v>Operations</v>
      </c>
      <c r="F185" s="17">
        <f t="shared" si="19"/>
        <v>1</v>
      </c>
      <c r="G185" s="17">
        <f t="shared" si="18"/>
        <v>3</v>
      </c>
      <c r="H185" s="8">
        <v>1</v>
      </c>
      <c r="V185" s="7"/>
      <c r="Y185" s="7"/>
    </row>
    <row r="186" spans="2:25" x14ac:dyDescent="0.2">
      <c r="B186">
        <v>14</v>
      </c>
      <c r="C186" t="s">
        <v>58</v>
      </c>
      <c r="D186" t="s">
        <v>17</v>
      </c>
      <c r="E186" s="17" t="str">
        <f t="shared" si="17"/>
        <v>Technology</v>
      </c>
      <c r="F186" s="17">
        <f t="shared" si="19"/>
        <v>1</v>
      </c>
      <c r="G186" s="17">
        <f t="shared" si="18"/>
        <v>5</v>
      </c>
      <c r="H186" s="8">
        <v>1</v>
      </c>
      <c r="V186" s="7"/>
      <c r="Y186" s="7"/>
    </row>
    <row r="187" spans="2:25" x14ac:dyDescent="0.2">
      <c r="B187">
        <v>15</v>
      </c>
      <c r="C187" t="s">
        <v>38</v>
      </c>
      <c r="D187" t="s">
        <v>17</v>
      </c>
      <c r="E187" s="17" t="str">
        <f t="shared" si="17"/>
        <v>Commercial</v>
      </c>
      <c r="F187" s="17">
        <f t="shared" si="19"/>
        <v>1</v>
      </c>
      <c r="G187" s="17">
        <f t="shared" si="18"/>
        <v>8</v>
      </c>
      <c r="H187" s="8">
        <v>1</v>
      </c>
      <c r="V187" s="7"/>
      <c r="Y187" s="7"/>
    </row>
    <row r="188" spans="2:25" x14ac:dyDescent="0.2">
      <c r="B188">
        <v>16</v>
      </c>
      <c r="C188" t="s">
        <v>47</v>
      </c>
      <c r="D188" t="s">
        <v>17</v>
      </c>
      <c r="E188" s="17" t="str">
        <f t="shared" si="17"/>
        <v>Corporate</v>
      </c>
      <c r="F188" s="17">
        <f t="shared" si="19"/>
        <v>1</v>
      </c>
      <c r="G188" s="17">
        <f t="shared" si="18"/>
        <v>8</v>
      </c>
      <c r="H188" s="8">
        <v>1</v>
      </c>
      <c r="V188" s="7"/>
      <c r="Y188" s="7"/>
    </row>
    <row r="189" spans="2:25" x14ac:dyDescent="0.2">
      <c r="B189">
        <v>17</v>
      </c>
      <c r="C189" t="s">
        <v>34</v>
      </c>
      <c r="D189" t="s">
        <v>17</v>
      </c>
      <c r="E189" s="17" t="str">
        <f t="shared" si="17"/>
        <v>Technology</v>
      </c>
      <c r="F189" s="17">
        <f t="shared" si="19"/>
        <v>1</v>
      </c>
      <c r="G189" s="17">
        <f t="shared" si="18"/>
        <v>5</v>
      </c>
      <c r="H189" s="8">
        <v>1</v>
      </c>
      <c r="V189" s="7"/>
      <c r="Y189" s="7"/>
    </row>
    <row r="190" spans="2:25" x14ac:dyDescent="0.2">
      <c r="B190">
        <v>18</v>
      </c>
      <c r="C190" t="s">
        <v>21</v>
      </c>
      <c r="D190" t="s">
        <v>17</v>
      </c>
      <c r="E190" s="17" t="str">
        <f t="shared" si="17"/>
        <v>Commercial</v>
      </c>
      <c r="F190" s="17">
        <f t="shared" si="19"/>
        <v>1</v>
      </c>
      <c r="G190" s="17">
        <f t="shared" si="18"/>
        <v>8</v>
      </c>
      <c r="H190" s="8">
        <v>1</v>
      </c>
      <c r="V190" s="7"/>
      <c r="Y190" s="7"/>
    </row>
    <row r="191" spans="2:25" x14ac:dyDescent="0.2">
      <c r="B191">
        <v>19</v>
      </c>
      <c r="C191" t="s">
        <v>35</v>
      </c>
      <c r="D191" t="s">
        <v>17</v>
      </c>
      <c r="E191" s="17" t="str">
        <f t="shared" si="17"/>
        <v>Corporate</v>
      </c>
      <c r="F191" s="17">
        <f t="shared" si="19"/>
        <v>1</v>
      </c>
      <c r="G191" s="17">
        <f t="shared" si="18"/>
        <v>8</v>
      </c>
      <c r="H191" s="8">
        <v>1</v>
      </c>
      <c r="V191" s="7"/>
      <c r="Y191" s="7"/>
    </row>
    <row r="192" spans="2:25" x14ac:dyDescent="0.2">
      <c r="B192">
        <v>20</v>
      </c>
      <c r="C192" t="s">
        <v>60</v>
      </c>
      <c r="D192" t="s">
        <v>17</v>
      </c>
      <c r="E192" s="17" t="str">
        <f t="shared" si="17"/>
        <v>Technology</v>
      </c>
      <c r="F192" s="17">
        <f t="shared" si="19"/>
        <v>1</v>
      </c>
      <c r="G192" s="17">
        <f t="shared" si="18"/>
        <v>5</v>
      </c>
      <c r="H192" s="8">
        <v>1</v>
      </c>
      <c r="V192" s="7"/>
      <c r="Y192" s="7"/>
    </row>
    <row r="193" spans="2:25" x14ac:dyDescent="0.2">
      <c r="B193">
        <v>21</v>
      </c>
      <c r="C193" t="s">
        <v>23</v>
      </c>
      <c r="D193" t="s">
        <v>17</v>
      </c>
      <c r="E193" s="17" t="str">
        <f t="shared" si="17"/>
        <v>Commercial</v>
      </c>
      <c r="F193" s="17">
        <f t="shared" si="19"/>
        <v>1</v>
      </c>
      <c r="G193" s="17">
        <f t="shared" si="18"/>
        <v>8</v>
      </c>
      <c r="H193" s="8">
        <v>1</v>
      </c>
      <c r="V193" s="7"/>
      <c r="Y193" s="7"/>
    </row>
    <row r="194" spans="2:25" x14ac:dyDescent="0.2">
      <c r="B194">
        <v>22</v>
      </c>
      <c r="C194" t="s">
        <v>98</v>
      </c>
      <c r="D194" t="s">
        <v>17</v>
      </c>
      <c r="E194" s="17" t="str">
        <f t="shared" si="17"/>
        <v>Corporate</v>
      </c>
      <c r="F194" s="17">
        <f t="shared" si="19"/>
        <v>1</v>
      </c>
      <c r="G194" s="17">
        <f t="shared" si="18"/>
        <v>8</v>
      </c>
      <c r="H194" s="8">
        <v>1</v>
      </c>
      <c r="V194" s="7"/>
      <c r="Y194" s="7"/>
    </row>
    <row r="195" spans="2:25" x14ac:dyDescent="0.2">
      <c r="B195">
        <v>23</v>
      </c>
      <c r="C195" t="s">
        <v>24</v>
      </c>
      <c r="D195" t="s">
        <v>17</v>
      </c>
      <c r="E195" s="17" t="str">
        <f t="shared" ref="E195:E198" si="20">VLOOKUP($C195,$AB:$AC,2,FALSE)</f>
        <v>Commercial</v>
      </c>
      <c r="F195" s="17">
        <f t="shared" si="19"/>
        <v>1</v>
      </c>
      <c r="G195" s="17">
        <f t="shared" ref="G195:G204" si="21">SUMIFS($H$2:$H$1000,$E$2:$E$1000,E195,$D$2:$D$1000,D195)</f>
        <v>8</v>
      </c>
      <c r="H195" s="8">
        <v>1</v>
      </c>
      <c r="V195" s="7"/>
      <c r="Y195" s="7"/>
    </row>
    <row r="196" spans="2:25" x14ac:dyDescent="0.2">
      <c r="B196">
        <v>24</v>
      </c>
      <c r="C196" t="s">
        <v>45</v>
      </c>
      <c r="D196" t="s">
        <v>17</v>
      </c>
      <c r="E196" s="17" t="str">
        <f t="shared" si="20"/>
        <v>Corporate</v>
      </c>
      <c r="F196" s="17">
        <f t="shared" ref="F196:F204" si="22">H196*SUMIFS($L:$L,$J:$J,D196,$K:$K,E196)/G196</f>
        <v>1</v>
      </c>
      <c r="G196" s="17">
        <f t="shared" si="21"/>
        <v>8</v>
      </c>
      <c r="H196" s="8">
        <v>1</v>
      </c>
      <c r="V196" s="7"/>
      <c r="Y196" s="7"/>
    </row>
    <row r="197" spans="2:25" x14ac:dyDescent="0.2">
      <c r="B197">
        <v>25</v>
      </c>
      <c r="C197" t="s">
        <v>40</v>
      </c>
      <c r="D197" t="s">
        <v>17</v>
      </c>
      <c r="E197" s="17" t="str">
        <f t="shared" si="20"/>
        <v>Commercial</v>
      </c>
      <c r="F197" s="17">
        <f t="shared" si="22"/>
        <v>1</v>
      </c>
      <c r="G197" s="17">
        <f t="shared" si="21"/>
        <v>8</v>
      </c>
      <c r="H197" s="8">
        <v>1</v>
      </c>
      <c r="V197" s="7"/>
      <c r="Y197" s="7"/>
    </row>
    <row r="198" spans="2:25" x14ac:dyDescent="0.2">
      <c r="B198">
        <v>26</v>
      </c>
      <c r="C198" t="s">
        <v>48</v>
      </c>
      <c r="D198" t="s">
        <v>17</v>
      </c>
      <c r="E198" s="17" t="str">
        <f t="shared" si="20"/>
        <v>Corporate</v>
      </c>
      <c r="F198" s="17">
        <f t="shared" si="22"/>
        <v>1</v>
      </c>
      <c r="G198" s="17">
        <f t="shared" si="21"/>
        <v>8</v>
      </c>
      <c r="H198" s="8">
        <v>1</v>
      </c>
      <c r="V198" s="7"/>
      <c r="Y198" s="7"/>
    </row>
    <row r="199" spans="2:25" x14ac:dyDescent="0.2">
      <c r="B199">
        <v>27</v>
      </c>
      <c r="C199" t="s">
        <v>39</v>
      </c>
      <c r="D199" t="s">
        <v>17</v>
      </c>
      <c r="E199" s="17" t="s">
        <v>74</v>
      </c>
      <c r="F199" s="17">
        <f t="shared" si="22"/>
        <v>1</v>
      </c>
      <c r="G199" s="17">
        <f t="shared" si="21"/>
        <v>7</v>
      </c>
      <c r="H199" s="8">
        <v>1</v>
      </c>
      <c r="V199" s="7"/>
      <c r="Y199" s="7"/>
    </row>
    <row r="200" spans="2:25" x14ac:dyDescent="0.2">
      <c r="B200">
        <v>28</v>
      </c>
      <c r="C200" t="s">
        <v>54</v>
      </c>
      <c r="D200" t="s">
        <v>17</v>
      </c>
      <c r="E200" s="17" t="s">
        <v>74</v>
      </c>
      <c r="F200" s="17">
        <f t="shared" si="22"/>
        <v>1</v>
      </c>
      <c r="G200" s="17">
        <f t="shared" si="21"/>
        <v>7</v>
      </c>
      <c r="H200" s="8">
        <v>1</v>
      </c>
      <c r="V200" s="7"/>
      <c r="Y200" s="7"/>
    </row>
    <row r="201" spans="2:25" x14ac:dyDescent="0.2">
      <c r="B201">
        <v>29</v>
      </c>
      <c r="C201" t="s">
        <v>50</v>
      </c>
      <c r="D201" t="s">
        <v>17</v>
      </c>
      <c r="E201" s="17" t="s">
        <v>74</v>
      </c>
      <c r="F201" s="17">
        <f t="shared" si="22"/>
        <v>1</v>
      </c>
      <c r="G201" s="17">
        <f t="shared" si="21"/>
        <v>7</v>
      </c>
      <c r="H201" s="8">
        <v>1</v>
      </c>
      <c r="V201" s="7"/>
      <c r="Y201" s="7"/>
    </row>
    <row r="202" spans="2:25" x14ac:dyDescent="0.2">
      <c r="B202">
        <v>30</v>
      </c>
      <c r="C202" t="s">
        <v>51</v>
      </c>
      <c r="D202" t="s">
        <v>17</v>
      </c>
      <c r="E202" s="17" t="s">
        <v>74</v>
      </c>
      <c r="F202" s="17">
        <f t="shared" si="22"/>
        <v>1</v>
      </c>
      <c r="G202" s="17">
        <f t="shared" si="21"/>
        <v>7</v>
      </c>
      <c r="H202" s="8">
        <v>1</v>
      </c>
      <c r="V202" s="7"/>
      <c r="Y202" s="7"/>
    </row>
    <row r="203" spans="2:25" x14ac:dyDescent="0.2">
      <c r="B203">
        <v>31</v>
      </c>
      <c r="C203" t="s">
        <v>56</v>
      </c>
      <c r="D203" t="s">
        <v>17</v>
      </c>
      <c r="E203" s="17" t="s">
        <v>74</v>
      </c>
      <c r="F203" s="17">
        <f t="shared" si="22"/>
        <v>1</v>
      </c>
      <c r="G203" s="17">
        <f t="shared" si="21"/>
        <v>7</v>
      </c>
      <c r="H203" s="8">
        <v>1</v>
      </c>
      <c r="V203" s="7"/>
      <c r="Y203" s="7"/>
    </row>
    <row r="204" spans="2:25" x14ac:dyDescent="0.2">
      <c r="B204">
        <v>32</v>
      </c>
      <c r="C204" t="s">
        <v>53</v>
      </c>
      <c r="D204" t="s">
        <v>17</v>
      </c>
      <c r="E204" s="17" t="s">
        <v>74</v>
      </c>
      <c r="F204" s="17">
        <f t="shared" si="22"/>
        <v>1</v>
      </c>
      <c r="G204" s="17">
        <f t="shared" si="21"/>
        <v>7</v>
      </c>
      <c r="H204" s="8">
        <v>1</v>
      </c>
      <c r="V204" s="7"/>
      <c r="Y204" s="7"/>
    </row>
  </sheetData>
  <autoFilter ref="A2:AG204" xr:uid="{D521F980-2E5F-EC49-B62F-4F6A4A27A40F}"/>
  <conditionalFormatting sqref="H1:H1048576">
    <cfRule type="colorScale" priority="6">
      <colorScale>
        <cfvo type="min"/>
        <cfvo type="max"/>
        <color rgb="FFFFEF9C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8">
    <cfRule type="colorScale" priority="5">
      <colorScale>
        <cfvo type="min"/>
        <cfvo type="max"/>
        <color rgb="FFFFEF9C"/>
        <color rgb="FF63BE7B"/>
      </colorScale>
    </cfRule>
  </conditionalFormatting>
  <conditionalFormatting sqref="M3:M38 O3:O38">
    <cfRule type="notContainsText" dxfId="3" priority="3" operator="notContains" text="100">
      <formula>ISERROR(SEARCH("100",M3))</formula>
    </cfRule>
  </conditionalFormatting>
  <conditionalFormatting sqref="N3:N38">
    <cfRule type="colorScale" priority="1">
      <colorScale>
        <cfvo type="min"/>
        <cfvo type="max"/>
        <color rgb="FFFFEF9C"/>
        <color rgb="FF63BE7B"/>
      </colorScale>
    </cfRule>
  </conditionalFormatting>
  <conditionalFormatting sqref="Q35:Q40">
    <cfRule type="colorScale" priority="2">
      <colorScale>
        <cfvo type="min"/>
        <cfvo type="max"/>
        <color rgb="FFFFEF9C"/>
        <color rgb="FF63BE7B"/>
      </colorScale>
    </cfRule>
  </conditionalFormatting>
  <conditionalFormatting sqref="S3">
    <cfRule type="notContainsText" dxfId="2" priority="4" operator="notContains" text="100">
      <formula>ISERROR(SEARCH("100",S3))</formula>
    </cfRule>
  </conditionalFormatting>
  <conditionalFormatting sqref="V3:V14">
    <cfRule type="colorScale" priority="9">
      <colorScale>
        <cfvo type="min"/>
        <cfvo type="max"/>
        <color rgb="FFFFEF9C"/>
        <color rgb="FF63BE7B"/>
      </colorScale>
    </cfRule>
    <cfRule type="cellIs" dxfId="1" priority="11" operator="equal">
      <formula>100</formula>
    </cfRule>
  </conditionalFormatting>
  <conditionalFormatting sqref="Y3:Y44">
    <cfRule type="colorScale" priority="8">
      <colorScale>
        <cfvo type="min"/>
        <cfvo type="max"/>
        <color rgb="FFFFEF9C"/>
        <color rgb="FF63BE7B"/>
      </colorScale>
    </cfRule>
    <cfRule type="cellIs" dxfId="0" priority="10" operator="equal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tom_demand_setup - TO BE</vt:lpstr>
      <vt:lpstr>tom_demand_setup - ATUAL</vt:lpstr>
      <vt:lpstr>support &gt;&gt;</vt:lpstr>
      <vt:lpstr>tom_demand_setup - ATUAL (2)</vt:lpstr>
      <vt:lpstr>ideas-input</vt:lpstr>
      <vt:lpstr>ideas-output</vt:lpstr>
      <vt:lpstr>pivot</vt:lpstr>
      <vt:lpstr>backup &gt;&gt; </vt:lpstr>
      <vt:lpstr>weights (base2026.02)</vt:lpstr>
      <vt:lpstr>TOM25-26 DEMAND WEIGHTS</vt:lpstr>
      <vt:lpstr>tom_demand_setup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Pedro Saraiva</dc:creator>
  <cp:lastModifiedBy>Rui Pedro Saraiva</cp:lastModifiedBy>
  <dcterms:created xsi:type="dcterms:W3CDTF">2026-01-02T17:09:01Z</dcterms:created>
  <dcterms:modified xsi:type="dcterms:W3CDTF">2026-03-06T15:12:58Z</dcterms:modified>
</cp:coreProperties>
</file>